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_Indonesia_datasets" sheetId="1" r:id="rId5"/>
    <sheet state="visible" name="DataCleaning" sheetId="2" r:id="rId6"/>
    <sheet state="visible" name="Pivot Table 2" sheetId="3" r:id="rId7"/>
    <sheet state="visible" name="DimLokasi" sheetId="4" r:id="rId8"/>
    <sheet state="visible" name="DimRumahSakit" sheetId="5" r:id="rId9"/>
    <sheet state="visible" name="FactRumahSakit" sheetId="6" r:id="rId10"/>
  </sheets>
  <definedNames>
    <definedName hidden="1" localSheetId="0" name="_xlnm._FilterDatabase">Hospital_Indonesia_datasets!$A$1:$L$3156</definedName>
    <definedName hidden="1" localSheetId="1" name="_xlnm._FilterDatabase">DataCleaning!$A$1:$L$3156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<sst xmlns="http://schemas.openxmlformats.org/spreadsheetml/2006/main" count="76845" uniqueCount="6858">
  <si>
    <t>id</t>
  </si>
  <si>
    <t>nama</t>
  </si>
  <si>
    <t>propinsi</t>
  </si>
  <si>
    <t>kab</t>
  </si>
  <si>
    <t>alamat</t>
  </si>
  <si>
    <t>jenis</t>
  </si>
  <si>
    <t>kelas</t>
  </si>
  <si>
    <t>status_blu</t>
  </si>
  <si>
    <t>kepemilikan</t>
  </si>
  <si>
    <t>total_tempat_tidur</t>
  </si>
  <si>
    <t>total_layanan</t>
  </si>
  <si>
    <t>total_tenaga_kerja</t>
  </si>
  <si>
    <t>RS Arun Lhokseumawe</t>
  </si>
  <si>
    <t>Aceh</t>
  </si>
  <si>
    <t>Kota Lhokseumawe</t>
  </si>
  <si>
    <t>Jl. Plaju Komplek Perumahan PT Arun Batuphat Timur, Kec. Muara Satu</t>
  </si>
  <si>
    <t>Rumah Sakit Umum</t>
  </si>
  <si>
    <t>C</t>
  </si>
  <si>
    <t>Non BLU/BLUD</t>
  </si>
  <si>
    <t>SWASTA/LAINNYA</t>
  </si>
  <si>
    <t>RS Umum Fandika</t>
  </si>
  <si>
    <t>Aceh Tengah</t>
  </si>
  <si>
    <t>Jl. Terminal Simpang Wariji Blangkolak 1 Kec. Bebesen</t>
  </si>
  <si>
    <t>D</t>
  </si>
  <si>
    <t>RS Umum Daerah Meuraxa</t>
  </si>
  <si>
    <t>Kota Banda Aceh</t>
  </si>
  <si>
    <t>Jl. Soekarno Hatta Km. 2 Desa Mibo Kecamatan Banda Raya</t>
  </si>
  <si>
    <t>B</t>
  </si>
  <si>
    <t>BLUD</t>
  </si>
  <si>
    <t>Pemkot</t>
  </si>
  <si>
    <t>RS Gigi Mulut Universitas Syiah Kuala</t>
  </si>
  <si>
    <t>Jl. Prof A. Madjid Ibrahim I No. 5 Banda Aceh Kel. Punge Jurong</t>
  </si>
  <si>
    <t>Rumah Sakit Khusus Gigi dan Mulut</t>
  </si>
  <si>
    <t>BLU</t>
  </si>
  <si>
    <t>Kementerian Lain</t>
  </si>
  <si>
    <t>RS Umum Daerah Kota Subulussalam</t>
  </si>
  <si>
    <t>Kota Subulussalam</t>
  </si>
  <si>
    <t>Jl. Hamzah Fansyuri (Subulussalam-Rundeng) Kec. Simpang Kiri Kota Subulussalam Aceh 24782</t>
  </si>
  <si>
    <t>RS Umum Daerah Datu Beru Takengon</t>
  </si>
  <si>
    <t>Jl. Rumah Sakit No.153 Kec. Kebayakan</t>
  </si>
  <si>
    <t>Pemkab</t>
  </si>
  <si>
    <t>RS Umum Mufid</t>
  </si>
  <si>
    <t>Pidie</t>
  </si>
  <si>
    <t>JL. PROF. A. MAJID IBRAHIM, NO. 62-66, KEC. KOTA SIGLI KABUPATEN PIDIE, ACEH</t>
  </si>
  <si>
    <t>Perusahaan</t>
  </si>
  <si>
    <t>RS Umum Metro Medical Center</t>
  </si>
  <si>
    <t>Jl. Merdeka Barat No. 70 A, Kecamatan Muara Dua, Kota Lhokseumawe , Nanggroe Aceh Darussalam</t>
  </si>
  <si>
    <t>RS Umum Daerah Muyang Kute Redelong Bener Meriah</t>
  </si>
  <si>
    <t>Bener Meriah</t>
  </si>
  <si>
    <t>Jl. Simpang Teritit-Pondok Baru, Simpang Empat Kute Kering Redelong Kec. Bukit</t>
  </si>
  <si>
    <t>RS Gayo Medical Centre</t>
  </si>
  <si>
    <t>Jl. Paya Tumpi-Mandale, No. 126  Kec. Kebayakan</t>
  </si>
  <si>
    <t>RS Ibu dan Anak Keluarga Desa</t>
  </si>
  <si>
    <t>Aceh Tenggara</t>
  </si>
  <si>
    <t>Jl. Iskandar Muda No. 58 Kutacane</t>
  </si>
  <si>
    <t>Rumah Sakit Khusus Ibu dan Anak</t>
  </si>
  <si>
    <t>RS Umum Graha Bunda</t>
  </si>
  <si>
    <t>Aceh Timur</t>
  </si>
  <si>
    <t>Jl. Medan - Banda Aceh Bukit Pala, Idi Rayeuk - Aceh Timur</t>
  </si>
  <si>
    <t>Organisasi Sosial</t>
  </si>
  <si>
    <t>RS Umum Daerah Dr. Fauziah Bireun</t>
  </si>
  <si>
    <t>Bireuen</t>
  </si>
  <si>
    <t>Jl. Mayjen T. Hamzah Bendahara No. 13 Bireuen</t>
  </si>
  <si>
    <t>RS Bhayangkara Banda Aceh</t>
  </si>
  <si>
    <t>Jl. Cut Nyak Dhien No. 23, Lamteumen Barat Banda Aceh</t>
  </si>
  <si>
    <t>POLRI</t>
  </si>
  <si>
    <t>RS Umum Daerah Dr. H. Yulidin Away</t>
  </si>
  <si>
    <t>Aceh Selatan</t>
  </si>
  <si>
    <t>Jl. T. Ben Mahmud Nomor 86 A Tapaktuan</t>
  </si>
  <si>
    <t>RS Umum Daerah Kabupaten Aceh Besar</t>
  </si>
  <si>
    <t>Aceh Besar</t>
  </si>
  <si>
    <t>Jl. Banda Aceh-Medan Km. 25 Desa Sinyeu, Kec. Indrapuri</t>
  </si>
  <si>
    <t>RS Tk. II Iskandar Muda Banda Aceh</t>
  </si>
  <si>
    <t>Jl. T.  Hamzah Bendahara No. 1, Kel. Kuta Alam, Kec. Kuta Alam, 24415</t>
  </si>
  <si>
    <t>TNI AD</t>
  </si>
  <si>
    <t>RS Ibu dan Anak ABBY</t>
  </si>
  <si>
    <t>Jl. T. Chik Ditiro Nomor 28 Lancang Garam, Kec. Banda Sakti, Kota Lhokseumawe Propinsi Aceh</t>
  </si>
  <si>
    <t>RS Umum Daerah Simeulue</t>
  </si>
  <si>
    <t>Simeulue</t>
  </si>
  <si>
    <t>Jl. Teuku Raja Mahmud Desa Amiria Bahagia,  Kecamatan Simeulue Timur,  Kabupaten Simeulue,  Provinsi Aceh</t>
  </si>
  <si>
    <t>RS Umum Sakinah</t>
  </si>
  <si>
    <t>Jl. Antara No. 30 Kp. Jawa Baru Lhokseumawe</t>
  </si>
  <si>
    <t>RS Tk. IV Lhokseumawe Aceh Utara</t>
  </si>
  <si>
    <t>Jl. Samudra No.53A Kp Jawa Kec. Banda Sakti  Kota Lhokseumawe</t>
  </si>
  <si>
    <t>RS Umum Jeumpa Hospital</t>
  </si>
  <si>
    <t>Jl. B.Aceh - Medan, Km 220 No 102 Dsn.Teratai, Desa Geulanggang Baro, Kecamatan Kota Juang</t>
  </si>
  <si>
    <t>RS Tanoh Gayo</t>
  </si>
  <si>
    <t>Gayo Lues</t>
  </si>
  <si>
    <t>Jl. Blower Kp Pers. Sentang, Desa/Kelurahan Bustanussalam, Kec. Blangkejeren</t>
  </si>
  <si>
    <t>RS Umum Daerah Teuku Umar Kabupaten Aceh Jaya</t>
  </si>
  <si>
    <t>Aceh Jaya</t>
  </si>
  <si>
    <t>Jln. Ali Gunong, Lr. PMI No. 1, Calang, Kec. Krueng Sabee Kabupaten Aceh Jaya Propinsi Aceh</t>
  </si>
  <si>
    <t>RS AL Sabang</t>
  </si>
  <si>
    <t>Kota Sabang</t>
  </si>
  <si>
    <t>Jl. Teuku Chik Ditiro, Kel. Kota Atas, Kec. Sukakarya</t>
  </si>
  <si>
    <t>TNI AL</t>
  </si>
  <si>
    <t>RS Umum Daerah Type D Pratama T. Cut Ali</t>
  </si>
  <si>
    <t>Jl. Padang Ketek Gampong Kedai Rundeng Kec. Kluet Selatan</t>
  </si>
  <si>
    <t>D PRATAMA</t>
  </si>
  <si>
    <t>RS Umum Daerah Langsa</t>
  </si>
  <si>
    <t>Kota Langsa</t>
  </si>
  <si>
    <t>Jl. Jend. Ahmad Yani No.1, Gampong Jawa, Kec. Langsa Kota, Kota Langsa, Provinsi Aceh.</t>
  </si>
  <si>
    <t>RS Umum Daerah TGK. Abdullah Syafii Beureuneun</t>
  </si>
  <si>
    <t>Jl. Banda Aceh-Medan Km. 125,5 Kota Mini  Beureunuen Kec. Mutiara Timur</t>
  </si>
  <si>
    <t>RS Umum Malahayati</t>
  </si>
  <si>
    <t>Jl. Cut Nyak Dhien No. 498 Banda Aceh</t>
  </si>
  <si>
    <t>RS Umum Ibnu Sina</t>
  </si>
  <si>
    <t>Jl. Banda Aceh-Medan Km 25,5 Kecamatan Indrapuri, Kabupaten Aceh Besar, Provinsi Aceh.</t>
  </si>
  <si>
    <t>RS Umum Muhammad Ali Kasim</t>
  </si>
  <si>
    <t>Jl. Pangur, Desa Pangur, Kecamatan Dabun Gelang</t>
  </si>
  <si>
    <t>RS Umum Pertamina Rantau</t>
  </si>
  <si>
    <t>Aceh Tamiang</t>
  </si>
  <si>
    <t>Jl. Cepu No 1 Komplek Pertamina Rantau Aceh Tamiang</t>
  </si>
  <si>
    <t>BUMN</t>
  </si>
  <si>
    <t>RS Umum Daerah dr. Muchtar Hasbi</t>
  </si>
  <si>
    <t>Aceh Utara</t>
  </si>
  <si>
    <t>Jl. Medan Banda Aceh Alue Mudem Landing Lhoksukon</t>
  </si>
  <si>
    <t>Jl. Medan-Banda Aceh No. 100 M, Meunasah Blang, Bireuen</t>
  </si>
  <si>
    <t>RS Umum Teungku Fakinah</t>
  </si>
  <si>
    <t>Jl. Jend. Sudirman 27-29 Banda Aceh</t>
  </si>
  <si>
    <t>RS Umum Daerah dr. Zubir Mahmud</t>
  </si>
  <si>
    <t>Jl. Banda Aceh-Medan Km. 372 Desa Seuneubok Barat Kecamatan Idi Timur</t>
  </si>
  <si>
    <t>RS Umum Daerah Sultan Iskandar Muda Nagan Raya</t>
  </si>
  <si>
    <t>Nagan Raya</t>
  </si>
  <si>
    <t>Jl. Nasional Meulaboh-Tapak Tuan KM. 28,5 Ujung Patihah Kabupaten Nagan Raya</t>
  </si>
  <si>
    <t>RS Umum Avicenna</t>
  </si>
  <si>
    <t>Jln. Laksamana Malahayati/Kuala Raja No.1 Lhok Awe Teungoh, Kecamatan Kota Juang, Kabupaten Bireuen, Provinsi Aceh, 24252</t>
  </si>
  <si>
    <t>RS Zahra</t>
  </si>
  <si>
    <t>Jl. Medan-Banda Aceh, KM 303, Meunasah Reudeup, Kec Lhoksukon</t>
  </si>
  <si>
    <t>RS Cahaya Sehat</t>
  </si>
  <si>
    <t>Jl. Panglima Raja Lelo, No. 10, Gampong Hilir, Kec. Tapaktuan</t>
  </si>
  <si>
    <t>RS Umum Daerah Sultan Abdul Aziz Syah Peureulak</t>
  </si>
  <si>
    <t>Jl. Monisa No.1 Desa Lhok Dalam Kecamatan Peureulak Kabupaten Aceh Timur Provinsi Aceh</t>
  </si>
  <si>
    <t>RS Umum Kasih Ibu Lhokseumawe</t>
  </si>
  <si>
    <t>Jl. Merdeka No. 17 Dusun III, Kel. Kuta Blang, Kec. Banda Sakti</t>
  </si>
  <si>
    <t>RS Umum Cempaka Lima</t>
  </si>
  <si>
    <t>Jl. Politeknik No 23 Dusun Meunasah Dayah, Lr B, Gp.Beurawe, Kecamatan Kuta Alam, Banda Aceh</t>
  </si>
  <si>
    <t>RS Ibu dan Anak Pemerintah Aceh</t>
  </si>
  <si>
    <t>Jl. Prof. A. Madjid Ibrahim I No. 3 Punge Jurong Kec. Meuraxa</t>
  </si>
  <si>
    <t>Pemprop</t>
  </si>
  <si>
    <t>RS Umum Daerah Aceh Singkil</t>
  </si>
  <si>
    <t>Aceh Singkil</t>
  </si>
  <si>
    <t>Jl. Rimo-Singkil Km. 8 Desa Gunung Lagan Kec. Gunung Meriah</t>
  </si>
  <si>
    <t>RS Ibu dan Anak Cempaka Az Zahra Banda Aceh</t>
  </si>
  <si>
    <t>Jl. Syiah Kuala No. 88, Bandar Baru, Kec. Kuta Alam, Kota Banda Aceh, Provinsi Aceh</t>
  </si>
  <si>
    <t>RS Umum Daerah Cut Nyak Dhien</t>
  </si>
  <si>
    <t>Aceh Barat</t>
  </si>
  <si>
    <t>Jl. Gajah Mada Meulaboh</t>
  </si>
  <si>
    <t>RS Umum Daerah  Dr. Zainoel Abidin</t>
  </si>
  <si>
    <t>Jl. Tgk Daud Beureueh, NO. 108 B. Aceh</t>
  </si>
  <si>
    <t>A</t>
  </si>
  <si>
    <t>RS Tk. IV IM 07.02</t>
  </si>
  <si>
    <t>Jl. Pocut Baren Ujung Karang Desa Suak Indrapuri Kec. Johan Pahlawan Meulaboh Aceh Barat</t>
  </si>
  <si>
    <t>RS Islam Ibnu Sina Sigli</t>
  </si>
  <si>
    <t>Jl Lingkar Keunire no 21-24, Gampong Cot</t>
  </si>
  <si>
    <t>RS Umum Nurul Hasanah</t>
  </si>
  <si>
    <t>Jl. A. Yani No. 23 Pulo Kemiri Kutacane</t>
  </si>
  <si>
    <t>RS Umum Bunda</t>
  </si>
  <si>
    <t>Jl. Darussalam Nomor 16, Desa/Kel. Lancang Garam, Kec. Banda Sakti</t>
  </si>
  <si>
    <t>RS Umum Daerah Sabang</t>
  </si>
  <si>
    <t>Jl. Teuku Umar No. 21 Gampong Kuta Ateuh Kec. Sukakarya</t>
  </si>
  <si>
    <t>RS Ibu dan Anak Azalia</t>
  </si>
  <si>
    <t>Jl. Empun Bayak Kampung Bale Atu  Kec. Bukit</t>
  </si>
  <si>
    <t>Perorangan</t>
  </si>
  <si>
    <t>RS Umum Harapan Sehat</t>
  </si>
  <si>
    <t>Jl. Sisingamangaraja, Dusun III, Desa Gampa, Kecamatan Johan Pahlawan, Kabupaten Aceh Barat. Provinsi Aceh</t>
  </si>
  <si>
    <t>RS Umum Daerah H. Sahudin Kutacane</t>
  </si>
  <si>
    <t>Jl. Kutacane - Blangkejeren Km. 3 Kec. Badar Kabupaten Aceh Tenggara Provinsi Aceh</t>
  </si>
  <si>
    <t>RS Umum Daerah TGK Chik Ditiro Sigli</t>
  </si>
  <si>
    <t>Jl. Prof. A. Majid Ibrahim Sigli</t>
  </si>
  <si>
    <t>RS Umum Pertamedika Ummi Rosnati</t>
  </si>
  <si>
    <t>Jl. Sekolah No. 5 Gampoeng Ateuk Pahlawan, Kecamatan Baiturahman, Kota Banda Aceh 23241</t>
  </si>
  <si>
    <t>RS Jiwa Aceh</t>
  </si>
  <si>
    <t>Jl. Dr. T. Syarief Thayeb No.25 Banda Aceh</t>
  </si>
  <si>
    <t>Rumah Sakit Khusus Jiwa</t>
  </si>
  <si>
    <t>RS Umum Citra Husada</t>
  </si>
  <si>
    <t>Jl. Prof. A. Majid Ibrahim Kelurahan Lampeudeu Baroh Kecamatan  Pidie. Kabupaten Pidie. Provinsi Aceh.</t>
  </si>
  <si>
    <t>RS Umum Daerah Teungku Peukan</t>
  </si>
  <si>
    <t>Aceh Barat Daya</t>
  </si>
  <si>
    <t>Jl. Nasional Padang Meurante Desa Ujung Padang, Kec. Susoh</t>
  </si>
  <si>
    <t>RS Umum PMI Cabang Aceh Utara</t>
  </si>
  <si>
    <t>Jl. Samudera, Desa/Kel Kampung Jawa, Kec. Banda Sakti</t>
  </si>
  <si>
    <t>RS Umum Meutia</t>
  </si>
  <si>
    <t>Jl. Cut Meutia No. 55</t>
  </si>
  <si>
    <t>RS Umum Cut Meutia</t>
  </si>
  <si>
    <t>Jl. Garuda No. 1  Kebun Baru, Kec. Paya Bujok Seulemak, Langsa Baro, Kota Langsa, Aceh</t>
  </si>
  <si>
    <t>RS Umum Bireuen Medical Center</t>
  </si>
  <si>
    <t>Bireuen, Aceh</t>
  </si>
  <si>
    <t>RS Umum Montella</t>
  </si>
  <si>
    <t>Jl. Beringin jaya ,  kel.  seunubok Kec. Johan pahlawan , kabupaten aceh barat,  Aceh 23611</t>
  </si>
  <si>
    <t>RS Umum Cut Meutia Kab. Aceh Utara</t>
  </si>
  <si>
    <t>Jl. Banda Aceh-Medan Km.6 Buket Rata Lhokseumawe</t>
  </si>
  <si>
    <t>RS Umum Harapan Bunda Banda Aceh</t>
  </si>
  <si>
    <t>Jl. Teuku Umar No. 181-211, Kel. Setui, Kec. Baiturrahman</t>
  </si>
  <si>
    <t>RS Umum Prima Inti Medika</t>
  </si>
  <si>
    <t>Jl. Singgalang No. 1 Komplek Perumahan PT. PIM Krueng Geukeuh Kab. Aceh Utara</t>
  </si>
  <si>
    <t>RS Umum Az-Zuhra</t>
  </si>
  <si>
    <t>Jl. Pasar. Impres No.2 LK. IV Desa Kuta Blang  Kec. Banda Sakti, Kota Lhokseumawe, Aceh 24352</t>
  </si>
  <si>
    <t>RS Umum Daerah Pidie Jaya</t>
  </si>
  <si>
    <t>Pidie Jaya</t>
  </si>
  <si>
    <t>Jl. Banda Aceh - Medan Gp.Dayah Timu  KM. 158 Meureudu</t>
  </si>
  <si>
    <t>RS Pendidikan Universitas Syiah Kuala</t>
  </si>
  <si>
    <t>Jl. Lingkar Kampus USK, Kopelma Darussalam, Kota Banda Aceh</t>
  </si>
  <si>
    <t>RS Umum Daerah Muda Sedia Kabupaten Aceh Tamiang</t>
  </si>
  <si>
    <t>Jl. Kesehatan Kab.Aceh Tamiang</t>
  </si>
  <si>
    <t>RS Umum Harapan Ibu</t>
  </si>
  <si>
    <t>Jl. Kembang Ranjong-Teupin Raya, Desa Gampong Sagoe No. 7 Kec. Glumpang Baro</t>
  </si>
  <si>
    <t>RS Umum Bunga Melati</t>
  </si>
  <si>
    <t>Jl. Samudra Baru No.3, Keude Aceh Kec. Banda Sakti</t>
  </si>
  <si>
    <t>RS Umum Ummi Langsa</t>
  </si>
  <si>
    <t>Jl. Prof. Majid Ibrahim No.10 A Kelurahan. Gp Sungai Pauh Kecamatan Langsa Barat  Kota Langsa, Aceh</t>
  </si>
  <si>
    <t>RS Umum Telaga Bunda</t>
  </si>
  <si>
    <t>Jl. Peutua Banta 7, Gampong Bireuen Meunasah Blang</t>
  </si>
  <si>
    <t>RS Hermina Aceh</t>
  </si>
  <si>
    <t>Jl. Soekarno Hatta,  Kec. Ingin Jaya</t>
  </si>
  <si>
    <t>RS Cut Nyak Dhien Langsa</t>
  </si>
  <si>
    <t>Jl. T.M. Bachrun No.1. Kabupaten Kota Langsa Provinsi Aceh</t>
  </si>
  <si>
    <t>RS Umum Inanta</t>
  </si>
  <si>
    <t>Sumatera Utara</t>
  </si>
  <si>
    <t>Kota Padang Sidempuan</t>
  </si>
  <si>
    <t>Jl. Sisingamangaraja No.85/87, Kota Padangsidimpuan Provinsi Sumatera Utara</t>
  </si>
  <si>
    <t>RS Umum Putri Bidadari</t>
  </si>
  <si>
    <t>Langkat</t>
  </si>
  <si>
    <t>JL. STABAT-TANJUNG PURA RT.002/RW.007 DUSUN DONDONG SEJATI DESA JENTERA STABAT KEC. WAMPU KAB. LANGKAT</t>
  </si>
  <si>
    <t>RS Umum Dr. Gerhard L. Tobing</t>
  </si>
  <si>
    <t>Deli Serdang</t>
  </si>
  <si>
    <t>Jl. Medan-Tanjung Morawa Km. 15,5, Kec. Tanjung Morawa, Kab. Deli Serdang, Prov. Sumatera Utara</t>
  </si>
  <si>
    <t>RS Umum Utama</t>
  </si>
  <si>
    <t>Asahan</t>
  </si>
  <si>
    <t>Jl. HOS. Cokroaminoto No. 93 Kel. Kisaran Kota Kec. Kisaran Barat</t>
  </si>
  <si>
    <t>RS Murni Teguh Horas Insani</t>
  </si>
  <si>
    <t>Kota Pematang Siantar</t>
  </si>
  <si>
    <t>Jl. Medan KM 2.5, Kel. Nagapitu, Kec. Siantar Martoba, Kota Pematang Siantar, Sumatra Utara</t>
  </si>
  <si>
    <t>RS Umum Hadi Husada</t>
  </si>
  <si>
    <t>Kota Tanjung Balai</t>
  </si>
  <si>
    <t>Jl Jend. Sudirman No. 26 Tanjungbalai Kel. Karya Kec. Tanjungbalai Selatan Kota Tanjungbalai  Provinsi sumatra Utara</t>
  </si>
  <si>
    <t>RS Umum Daerah Bangun Purba</t>
  </si>
  <si>
    <t>Jl. Perintis Kemerdekaan No. 60 Desa Bangun Purba Kec.Bangun Purba</t>
  </si>
  <si>
    <t>RS Umum Bahagia Medan</t>
  </si>
  <si>
    <t>Kota Medan</t>
  </si>
  <si>
    <t>Jl Bahagia No.85, Kelurahan Teladan Timur, Kecamatan Medan Kota, Provinsi Sumatera Utara</t>
  </si>
  <si>
    <t>RS Umum Vina Estetica</t>
  </si>
  <si>
    <t>Jl Sultan Iskandar Muda No.119, Kec. Medan Petisah,</t>
  </si>
  <si>
    <t>RS Umum Daerah Dolok Sanggul</t>
  </si>
  <si>
    <t>Humbang Hasundutan</t>
  </si>
  <si>
    <t>Jl. dr. Ferdinand Lumban Tobing No. 1 Dolok Sanggul</t>
  </si>
  <si>
    <t>RS Umum Sint Lucia</t>
  </si>
  <si>
    <t>Tapanuli Utara</t>
  </si>
  <si>
    <t>Jl. Sisingamangaraja No. 171/173 Siborongborong. Tapanuli Utara</t>
  </si>
  <si>
    <t>Organisasi Katholik</t>
  </si>
  <si>
    <t>RS Umum Daerah Lukas Hilisimaetano</t>
  </si>
  <si>
    <t>Nias Selatan</t>
  </si>
  <si>
    <t>Jl. RSUD Lukas No. 1 Hilisimaetano</t>
  </si>
  <si>
    <t>RS Khusus Bedah Accuplast</t>
  </si>
  <si>
    <t>Jl Sei Bahbolon No.40, Kec.Medan Baru, Kota Medan, Sumatera Utara 2015</t>
  </si>
  <si>
    <t>Rumah Sakit Khusus Bedah</t>
  </si>
  <si>
    <t>RS Umum Methodist</t>
  </si>
  <si>
    <t>Jl M. H. Thamrin No. 105, Medan</t>
  </si>
  <si>
    <t>Organisasi Protestan</t>
  </si>
  <si>
    <t>RS Umum Citra Medika</t>
  </si>
  <si>
    <t>Labuhan Batu</t>
  </si>
  <si>
    <t>Jl. Ahmad Yani No. 221 CDEF Rantau Parapat Kel. Kartini, Kec. Rantau Utara</t>
  </si>
  <si>
    <t>RS Umum Daerah Panyabungan</t>
  </si>
  <si>
    <t>Mandailing Natal</t>
  </si>
  <si>
    <t>Jl Merdeka No.40, Kayu Jati Panyabungan</t>
  </si>
  <si>
    <t>RS TNI Tk. IV 01.07.03</t>
  </si>
  <si>
    <t>Jl. Sudirman No.1 Kelurahan : Losung Batu, Kecamatan : Padang Sidempuan.</t>
  </si>
  <si>
    <t>RS Umum Artha Medica</t>
  </si>
  <si>
    <t>Kota Binjai</t>
  </si>
  <si>
    <t>Binjai Sumatera Utara</t>
  </si>
  <si>
    <t>RS Khusus Mata Prima Vision</t>
  </si>
  <si>
    <t>Jl. Pabrik Tenun No.51, RW.53,Kel. Sei Putih Tengah, Kec. Medan Petisah, Kota Medan, Sumatera Utara, 20114</t>
  </si>
  <si>
    <t>Rumah Sakit Khusus Mata</t>
  </si>
  <si>
    <t>RS Umum Prof. Dr. Boloni</t>
  </si>
  <si>
    <t>Jl Robert Wolter Monginsidi No.11 Medan</t>
  </si>
  <si>
    <t>RS Pratama Kab. Nias Barat</t>
  </si>
  <si>
    <t>Nias Barat</t>
  </si>
  <si>
    <t>JL. Budi Utomo Desa Onolimbu Kec. Lahomi</t>
  </si>
  <si>
    <t>RS Umum Karya Husada</t>
  </si>
  <si>
    <t>Simalungun</t>
  </si>
  <si>
    <t>Jl. Merdeka Nomor 12-18 Kelurahan Perdagangan III Kecamatan Bandar Kabupaten Simalungun</t>
  </si>
  <si>
    <t>RS Umum Laras Kabupaten Simalungun</t>
  </si>
  <si>
    <t>Jl. Desa Naga Jaya I Kec. Bandar Huluan Kab.Simalungun</t>
  </si>
  <si>
    <t>RS Umum Delia</t>
  </si>
  <si>
    <t>Jln. KI Hajar Dewantara, No 09 Dusun V Desa Sei Limbat Kecamatan Selesai Kabupaten Langkat, Provinsi Sumatera Utara</t>
  </si>
  <si>
    <t>RS Umum Amanda</t>
  </si>
  <si>
    <t>Karo</t>
  </si>
  <si>
    <t>Jl Jamin Ginting Simpang Korpri No. 1 Berastagi</t>
  </si>
  <si>
    <t>RS Umum Bunda Mulia</t>
  </si>
  <si>
    <t>Jl. Abdi Setia Bakti, Kel. Sei Renggas, Kec. Kota Kisaran Barat, Kab. Asahan, Provinsi Sumatra Utara</t>
  </si>
  <si>
    <t>RS Umum Serenapita</t>
  </si>
  <si>
    <t>Dairi</t>
  </si>
  <si>
    <t>Jl. Sisingamangaraja No. 91 Sidikalang</t>
  </si>
  <si>
    <t>RS Gigi dan Mulut Prima</t>
  </si>
  <si>
    <t>Jl. Pabrik Tenun No. 103</t>
  </si>
  <si>
    <t>RS Dhillon</t>
  </si>
  <si>
    <t>Jl. Dahlan Tanjung Komplek Graha Abadi Permai Tanjung Morawa, Deli Serdang</t>
  </si>
  <si>
    <t>RS Umum Madani</t>
  </si>
  <si>
    <t>Jl. Arief Rahman Hakim No.168, Sukaramai I, Kec. Medan Area, Kota Medan, Sumatera Utara 20227, Indonesia</t>
  </si>
  <si>
    <t>RS Umum Sri Pamela</t>
  </si>
  <si>
    <t>Kota Tebing Tinggi</t>
  </si>
  <si>
    <t>Jl. Jend. Sudirman No. 299</t>
  </si>
  <si>
    <t>RS Ibu dan Anak Stella Maris</t>
  </si>
  <si>
    <t>Jl Samanhudi No.20-22, Kel. Jati, Kec. Medan Maimun, Kota Medan</t>
  </si>
  <si>
    <t>RS Umum Estomihi</t>
  </si>
  <si>
    <t>Jl. Sisinga Mangaraja 235,Medan</t>
  </si>
  <si>
    <t>RS Umum Mitra Medika</t>
  </si>
  <si>
    <t>Jl. K.L. Yos Sudarso Km 7,5 Tanjung Mulia,Medan</t>
  </si>
  <si>
    <t>RS Umum Kasih Permata Dara</t>
  </si>
  <si>
    <t>Batu Bara</t>
  </si>
  <si>
    <t>Jl. Lintas Sumatera No. 215 Sipare-pare Kec. Air Putih Kab. Batubara</t>
  </si>
  <si>
    <t>RS Umum Bethesda Gunungsitoli</t>
  </si>
  <si>
    <t>Kota Gunungsitoli</t>
  </si>
  <si>
    <t>Jl Diponegoro No.375 C Desa sifalaete Tabaoloho Kecamatan Gunungsitoli Kota Gunungsitoli</t>
  </si>
  <si>
    <t>RS Umum HKBP Balige</t>
  </si>
  <si>
    <t>Toba Samosir</t>
  </si>
  <si>
    <t>Jl. Gereja No.17, Balige</t>
  </si>
  <si>
    <t>RS Umum Lasmi Kartika</t>
  </si>
  <si>
    <t>Jl Pancasila Dusun X Desa Tanah Tinggi</t>
  </si>
  <si>
    <t>RS Khusus Mata Provinsi Sumatera Utara</t>
  </si>
  <si>
    <t>Jl. Kapten Sumarsono No 01 Kelurahan Helvetia Timur Kecamatan Medan Helvetia</t>
  </si>
  <si>
    <t>RS Umum Daerah Dr. FL Tobing Sibolga</t>
  </si>
  <si>
    <t>Kota Sibolga</t>
  </si>
  <si>
    <t>Jl Dr. F.L. Tobing No. 35 Sibolga</t>
  </si>
  <si>
    <t>RS Ibu dan Anak Badrul Aini</t>
  </si>
  <si>
    <t>Jln. Bromo Gg.Sukri No.18 Kel.Tegal Sari III  Kec.Medan Area Kota Medan Sumatera Utara</t>
  </si>
  <si>
    <t>RS Umum Bina Kasih</t>
  </si>
  <si>
    <t>Jl Jend. TB.Simatupang No.148 Sunggal</t>
  </si>
  <si>
    <t>RS AL Dr. Komang Makes Belawan</t>
  </si>
  <si>
    <t>Jl. Bengkalis  No.1  Kel Belawan 1 Kec. Medan Belawan</t>
  </si>
  <si>
    <t>RS Umum Hartati Medical Centre</t>
  </si>
  <si>
    <t>Jl. Siringo-ringo No. 150 Rantauprapat, Kel. Binaraga, Kec. Rantau Utara, Kab. Labuhan Batu, Provinsi Sumatera Utara</t>
  </si>
  <si>
    <t>RS Umum Daerah Gunung Tua</t>
  </si>
  <si>
    <t>Padang Lawas Utara</t>
  </si>
  <si>
    <t>Jl Raya gunung Tua - Binangan KM 6 Aek Haruaya</t>
  </si>
  <si>
    <t>RS Khusus Bedah Setia Budi</t>
  </si>
  <si>
    <t>Jl. Mesjid No. 3 Kelurahan Tanjung Rejo, Kecamatan Medan Sunggal, Kota Medan, Sumatera Utara Kode Pos 20122</t>
  </si>
  <si>
    <t>RS Ibu dan Anak Murni Teguh Rosiva</t>
  </si>
  <si>
    <t>Jl. Bangka No. 15 Medan</t>
  </si>
  <si>
    <t>RS Umum Yoshua</t>
  </si>
  <si>
    <t>Jl. Medan - Lubuk Pakam N0. 70</t>
  </si>
  <si>
    <t>RS Umum Daerah Perdagangan</t>
  </si>
  <si>
    <t>Jl. Radjadmin Purba, SH. Perdagangan</t>
  </si>
  <si>
    <t>RS Umum Daerah Sultan Sulaiman Syariful Alamsyah</t>
  </si>
  <si>
    <t>Serdang Bedagai</t>
  </si>
  <si>
    <t>Jl. Negara Km. 58 No. 315, Kecamatan Sei Rampah Kabupaten Serdang Bedagai, Provinsi Sumatera Utara</t>
  </si>
  <si>
    <t>RS Ibu dan Anak Maharani</t>
  </si>
  <si>
    <t>Jl. Sultan Serdang No. 100, Desa Buntu Bedimbar, Kecamatan Tanjung  Morawa, Kabupaten Deli Serdang, Provinsi Sumatera Utara 20362</t>
  </si>
  <si>
    <t>RS Umum Full Bethesda</t>
  </si>
  <si>
    <t>Jl Binjai Km.10,8/Jl. Sama No.71 kec. sunggal</t>
  </si>
  <si>
    <t>RS Umum Harapan</t>
  </si>
  <si>
    <t>Jl Farel Pasaribu No. 21</t>
  </si>
  <si>
    <t>RS Umum Siloam Dhirga Surya</t>
  </si>
  <si>
    <t>Jl Imam Bonjol No. 6</t>
  </si>
  <si>
    <t>RS Tk. II Putri Hijau Medan</t>
  </si>
  <si>
    <t>Jl Putri Hijau No. 17, Medan</t>
  </si>
  <si>
    <t>RS Ibu dan Anak Pramaliesa</t>
  </si>
  <si>
    <t>Jl. Rumbia Sena No. 65 Desa Baru</t>
  </si>
  <si>
    <t>RS Umum Daerah Batu Bara</t>
  </si>
  <si>
    <t>Jl Datuk Kubah Batu Bara, Kwala  Gunung Kec. Datuk Lima Puluh Kab. Batu Bara</t>
  </si>
  <si>
    <t>RS Umum Karya Bakti Ujung Bandar</t>
  </si>
  <si>
    <t>Jalan Karya Bakti No. 20 Kelurahan Ujung Bandar Kecamatan Rantau Selatan Kabupaten Labuhanbatu Sumatera Utara</t>
  </si>
  <si>
    <t>RS Khusus Gigi dan Mulut Univ. Sumatera Utara</t>
  </si>
  <si>
    <t>Jl Alumni No.2 Kampus USU Medan</t>
  </si>
  <si>
    <t>RS Umum Imelda Pekerja Indonesia</t>
  </si>
  <si>
    <t>Jl. Bilal No. 24, kel.Pulo Brayan Darat I, Kec.Medan Timur, Kode Pos 20239</t>
  </si>
  <si>
    <t>RS Sri Pamela Torgamba</t>
  </si>
  <si>
    <t>Labuhan Batu Selatan</t>
  </si>
  <si>
    <t>Jl. Lintas Sumatera - Riau KM. 380</t>
  </si>
  <si>
    <t>RS Umum Mitra Guray Petumbukan</t>
  </si>
  <si>
    <t>Jl. Besar Petumbukan No. 29, Kec. Galang</t>
  </si>
  <si>
    <t>RS Bhayangkara Tk.III Kota Tebing Tinggi</t>
  </si>
  <si>
    <t>Jl Pahlawan No 17</t>
  </si>
  <si>
    <t>RS Umum Sylvani</t>
  </si>
  <si>
    <t>Jl Perintis Kemerdekaan No. 21</t>
  </si>
  <si>
    <t>RS Umum Daerah Dr. Djasamen Saragih</t>
  </si>
  <si>
    <t>Jl. Sutomo No. 230, Pematangsiantar</t>
  </si>
  <si>
    <t>RS Umum Metta Medika</t>
  </si>
  <si>
    <t>Jl Sutoyo Siswomiharjo No 34 Sibolga</t>
  </si>
  <si>
    <t>RS Umum Islam Malahayati</t>
  </si>
  <si>
    <t>Jl Pangeran Diponegoro No.2-4 Medan</t>
  </si>
  <si>
    <t>RS Umum Wahyu</t>
  </si>
  <si>
    <t>Jl. Padang No. 25 Medan</t>
  </si>
  <si>
    <t>RS Umum Daerah Pandan</t>
  </si>
  <si>
    <t>Tapanuli Tengah</t>
  </si>
  <si>
    <t>Jl. Dr. FL. Tobing No. 05 Pandan</t>
  </si>
  <si>
    <t>RS Umum Mahawira Prima Indonesia</t>
  </si>
  <si>
    <t>Jl. Cemara No. 16</t>
  </si>
  <si>
    <t>RS Grandmed</t>
  </si>
  <si>
    <t>Jl Medan km. 25 no. 66 Lubuk Pakam</t>
  </si>
  <si>
    <t>RS Umum Daerah Kabupaten Karo</t>
  </si>
  <si>
    <t>Jl. Kapten Selamat Ketaren  Kabanjahe</t>
  </si>
  <si>
    <t>RS Umum Hidayah</t>
  </si>
  <si>
    <t>Jl. Medan - Deli Tua KM. 8.5 No. 55, Suka Makmur, Kec. Deli Tua, Kabupaten. Deli Serdang, Sumatera Utara</t>
  </si>
  <si>
    <t>RS Umum Daerah Tanjung Pura</t>
  </si>
  <si>
    <t>Jl. Khairil Anwar No. 9-11 Tanjung Pura</t>
  </si>
  <si>
    <t>RS Umum Rahmad Hidayah</t>
  </si>
  <si>
    <t>Jl Limau Manis Pasar XIII No.61, Desa Limau Manis, Kecamatan Tanjung Morawa, Kabupaten Deli Serdang, Provinsi Sumatera Utara</t>
  </si>
  <si>
    <t>RS Umum Mitra Medika Amplas</t>
  </si>
  <si>
    <t>Jl. Sisingamangaraja No. 11 Kelurahan Harjosari 1 Kecamatan Medan Amplas</t>
  </si>
  <si>
    <t>RS Umum Deli</t>
  </si>
  <si>
    <t>Jl Merbabu No.18-20 A Medan</t>
  </si>
  <si>
    <t>RS Umum Tere Margareth</t>
  </si>
  <si>
    <t>Jl Ring Road Setia Budi Kel. Tj. Sari</t>
  </si>
  <si>
    <t>RS Umum Daerah dr. M. Thomsen Nias</t>
  </si>
  <si>
    <t>Nias</t>
  </si>
  <si>
    <t>Jl dr. Ciptomangunkusumo No. 15 Gunungsitoli</t>
  </si>
  <si>
    <t>RS SUFINA AZIZ</t>
  </si>
  <si>
    <t>Jl Karya Baru No.1,Medan</t>
  </si>
  <si>
    <t>RS Umum Pusat H. Adam Malik</t>
  </si>
  <si>
    <t>Jl Bunga Lau No. 17, Medan</t>
  </si>
  <si>
    <t>Kemkes</t>
  </si>
  <si>
    <t>RS Umum Tiara Kasih Sejati</t>
  </si>
  <si>
    <t>Jl Menambin No.4, Timbang Galung, Pematangsiantar</t>
  </si>
  <si>
    <t>RS Dokter Takdir</t>
  </si>
  <si>
    <t>Jl. Siringo-ringo No. 11-13 ,Kelurahan Siringo-ringo,Kecamatan Rantau Utara,Kabupaten Labuhan Batu,Provinsi Sumatera Utara.</t>
  </si>
  <si>
    <t>RS Umum Ibu Kartini</t>
  </si>
  <si>
    <t>Jl sech silau lk v, Kel. sei renggas kec, kota kisaran barat</t>
  </si>
  <si>
    <t>RS Sri Pamela Membang Muda</t>
  </si>
  <si>
    <t>Labuhan Batu Utara</t>
  </si>
  <si>
    <t>Jl. Lintas Sumatera Km. 224 Desa Perkebunan Membang Muda, Kec. Kualuh Hulu, Kab. Labuhanbatu Utara, Prov. Sumatera Utara.</t>
  </si>
  <si>
    <t>RS Umum Sawit Indah Perbaungan</t>
  </si>
  <si>
    <t>Jl May.Jend (Purn) H.T. Rizal Nurdin No.10 Perbaungan</t>
  </si>
  <si>
    <t>RS Jiwa Bina Karsa Tuntungan</t>
  </si>
  <si>
    <t>Jl. Besar Tuntungan No. 142G Desa Tuntungan I Kec. Pancur Batu</t>
  </si>
  <si>
    <t>RS Umum Vita Insani</t>
  </si>
  <si>
    <t>Jl. Merdeka No.329 Kel. Pahlawan Kec. Siantar Timur Kota Pematang Siantar</t>
  </si>
  <si>
    <t>RS Ibu dan Anak Grand Fatimah</t>
  </si>
  <si>
    <t>Jl. Sultan Hasanuddin No. 67, Kel. Kartini, Kec. Binjai Kota, Kota Binjai</t>
  </si>
  <si>
    <t>RS Umum Lina</t>
  </si>
  <si>
    <t>Jl. Lintas Sumatera Lingkungan II Kelurahan Aek Loba Pekan Kecamatan Aek Kuasan Kabupaten Asahan</t>
  </si>
  <si>
    <t>RS Umum Sundari</t>
  </si>
  <si>
    <t>Jl Jend. T.B.Simatupang No.31,Kampung Lalang, Kec. Medan Sunggal, Medan, Sumatera Utara</t>
  </si>
  <si>
    <t>RS Umum Natama</t>
  </si>
  <si>
    <t>Jl. Kartini No. 30A Tebing Tinggi</t>
  </si>
  <si>
    <t>RS Umum Flora</t>
  </si>
  <si>
    <t>Jl. Jenderal Sudirman No. 29 Aek Kanopan  Kec.kualuh Hulu kab.Labuhanbatu utara/Kota. Aek kanopan provinsi Sumatera Utara kode pos 21457.</t>
  </si>
  <si>
    <t>RS Umum Daerah Dr. Hadrianus Sinaga</t>
  </si>
  <si>
    <t>Samosir</t>
  </si>
  <si>
    <t>Jl .Dr. Hadrianus Sinaga No. 86 Pangururan</t>
  </si>
  <si>
    <t>Jl. Medan - Batang Kuis Dusun XI Emplasmen, Desa Bandar Klippa, Kecamatan Percut Sei Tuan</t>
  </si>
  <si>
    <t>RS Umum Daerah Drs. H. Amri Tambunan</t>
  </si>
  <si>
    <t>Jl. Thamrin Lubuk Pakam, Desa/Kel. Lubuk Pakam Pekan, Kec. Lubuk Pakam</t>
  </si>
  <si>
    <t>RS Umum Daerah  Aek Kanopan</t>
  </si>
  <si>
    <t>Jl. Lintas Sumatera Desa Sidua-dua Kec. Kualuh Selatan Kab. Labuhan Batu Utara Provinsi Sumatera Utara</t>
  </si>
  <si>
    <t>RS Umum Pertamina Pangkalan Brandan</t>
  </si>
  <si>
    <t>Jl. Wahidin No. 1 Pangkalan Brandan</t>
  </si>
  <si>
    <t>RS Umum Raskita</t>
  </si>
  <si>
    <t>Jl. Let. Jend. Jamin Ginting No. 362 Binjai, Kec. Binjai Selatan</t>
  </si>
  <si>
    <t>RS Umum Melati</t>
  </si>
  <si>
    <t>Jl Deli No. 105-115 Perbaungan, Serdang Bedagai</t>
  </si>
  <si>
    <t>RS Umum Hermina Medan</t>
  </si>
  <si>
    <t>JL. ASRAMA KEL. SEI SIKAMBING C II, KEC. MEDAN HELVETIA</t>
  </si>
  <si>
    <t>RS Umum Patar Asih</t>
  </si>
  <si>
    <t>JL BAKARAN BATU NO. 188 DESA TUMPATAN KECAMATAN BERINGIN</t>
  </si>
  <si>
    <t>RS Umum Advent Medan</t>
  </si>
  <si>
    <t>Jl Jend Gatot Subroto Km.4, Kel Sei Sikambing D, Kec Medan Petisah, Kota Medan, Provinsi Sumatera Utara</t>
  </si>
  <si>
    <t>RS Umum Daerah Padang Sidempuan</t>
  </si>
  <si>
    <t>Jl Dr. F.L. Tobing No. 10, Kel. Wek. V Kec. Padangsidimpuan Utara Kota Padangsidimpuan</t>
  </si>
  <si>
    <t>RS Tk. IV 01.07.02 Binjai</t>
  </si>
  <si>
    <t>Jl. Bandung No.4 Binjai</t>
  </si>
  <si>
    <t>RS Umum Martha Friska Multatuli</t>
  </si>
  <si>
    <t>Jl Multatuli Komplek Taman Multatuli Indah No.1 Medan</t>
  </si>
  <si>
    <t>RS Umum Sarah</t>
  </si>
  <si>
    <t>Jl. Baja Raya No. 10 Kelurahan  Petisah Tengah Kecamatan   Medan Petisah  Kota Medan Propinsi  Sumatera Utara</t>
  </si>
  <si>
    <t>RS Umum Mitra Sehat</t>
  </si>
  <si>
    <t>Jl. Sei Merah No. 300/21  Desa Dagang Kerawan - Tanjung Morawa, Deli Serdang</t>
  </si>
  <si>
    <t>RS Umum Balimbingan PTP 4</t>
  </si>
  <si>
    <t>Desa Balimbingan, Kecamatan Tanah Jawa, Kabupaten Simalungun, Sumatera Utara</t>
  </si>
  <si>
    <t>RS Umum Sembiring Deli Tua</t>
  </si>
  <si>
    <t>Jl. Besar No.77, Deli Tua</t>
  </si>
  <si>
    <t>RS Khusus Paru Sumatera Utara</t>
  </si>
  <si>
    <t>Jl. Setia Budi Pasar II No 84, Kelurahan Tj. Sari, Kecamatan Medan Selayang,  Kota Medan  Provinsi Sumatera Utara</t>
  </si>
  <si>
    <t>Rumah Sakit Khusus Paru</t>
  </si>
  <si>
    <t>RS Murni Teguh Pematang Siantar</t>
  </si>
  <si>
    <t>Jl. Siantar - Medan KM 4.5 Kel. Nagapita</t>
  </si>
  <si>
    <t>RS Umum Murni Teguh Methodist Susanna Wesley</t>
  </si>
  <si>
    <t>Jl. Harmonika Baru Pasar I Padang Bulan Selayang II</t>
  </si>
  <si>
    <t>RS Umum Setio Husodo</t>
  </si>
  <si>
    <t>Jl SM. Raja No.67 Kisaran</t>
  </si>
  <si>
    <t>RS Umum Daerah Dr. H. Kumpulan Pane</t>
  </si>
  <si>
    <t>Jl Dr. Kumpulan Pane No.226 Kec Kota Tebing Tinggi Kel. Bandar Utama</t>
  </si>
  <si>
    <t>RS Umum Wulan Windy</t>
  </si>
  <si>
    <t>Jl. Marelan Raya No. 17 Rengas Pulau - Medan</t>
  </si>
  <si>
    <t>RS Umum Permata Madina Panyabungan</t>
  </si>
  <si>
    <t>Jl Merdeka No. 155 Kelurahan Kayu Jati Kecamatan Panyabungan</t>
  </si>
  <si>
    <t>RS Umum Mitra Sejati</t>
  </si>
  <si>
    <t>Jl Jend. AH Nasution No.7 Pangkalan Masyhur Medan</t>
  </si>
  <si>
    <t>RS Umum Daerah Porsea</t>
  </si>
  <si>
    <t>Jl. Raja Sipakko Napitulu, Ds. Parparean, Kec. Porsea, Kab. Toba Samosir</t>
  </si>
  <si>
    <t>RS Umum Daerah Kota Pinang</t>
  </si>
  <si>
    <t>Jl Istana No. 26.  Kelurahan  Kotapinang Kabupaten LabuhanBatu Selatan Provinsi Sumatera Utara</t>
  </si>
  <si>
    <t>RS Ibu Dan Anak Artha Mahinrus</t>
  </si>
  <si>
    <t>Jl. Pasar III No. 151  Kel. Tegal Rejo Kec. Medan Perjuangan</t>
  </si>
  <si>
    <t>RS Umum Daerah Salak</t>
  </si>
  <si>
    <t>Pakpak Bharat</t>
  </si>
  <si>
    <t>Jl. Raja David Desa Boangmanalu Kec. Salak Kabupaten Pakpak Bharat</t>
  </si>
  <si>
    <t>RS Khusus Mata Medan Baru Medical Centre</t>
  </si>
  <si>
    <t>Jl Abdullah Lubis No.67, Medan</t>
  </si>
  <si>
    <t>RS Umum Daerah Nias Selatan</t>
  </si>
  <si>
    <t>Hiliana'a, Desa Hiliana'a Kec. Teluk Dalam Kab. Nias Selatan Prov. Sumatera Utara</t>
  </si>
  <si>
    <t>RS Mata Siantar</t>
  </si>
  <si>
    <t>Jl. Kartini Nomor 18 Kelurahan Bantan Kecamatan Siantar Barat</t>
  </si>
  <si>
    <t>RS Umum Materna</t>
  </si>
  <si>
    <t>Jl Teuku Umar 9-11 Medan</t>
  </si>
  <si>
    <t>OG Hospital</t>
  </si>
  <si>
    <t>Jl. Olahraga No. 1 Kel. Timbang Langkat Kec. Binjai Timur</t>
  </si>
  <si>
    <t>RS Umum Daerah Tapanuli Selatan</t>
  </si>
  <si>
    <t>Tapanuli Selatan</t>
  </si>
  <si>
    <t>Jl. Rumah Sakit No.1 Banjar Toba, Kel. Bagas Nagodang, Kec. Sipirok</t>
  </si>
  <si>
    <t>RS Umum Daerah Tafaeri</t>
  </si>
  <si>
    <t>Nias Utara</t>
  </si>
  <si>
    <t>Jl. Lotu - Sawo Km.3, Desa Lolofaoso, Kecamatan Lotu</t>
  </si>
  <si>
    <t>RS Umum Mahkota Bidadari</t>
  </si>
  <si>
    <t>Jl. Sisingamangaraja No. 146, Desa Paluh Manis, Kecamatan Gebang, Kabupaten Langkat, Provinsi Sumatera Utara</t>
  </si>
  <si>
    <t>RS Umum Bandung</t>
  </si>
  <si>
    <t>Jl Mistar No. 39-43</t>
  </si>
  <si>
    <t>RS Umum Daerah Tuan Rondahaim</t>
  </si>
  <si>
    <t>Komplek Perkantoran SKPD Pemkab Simalungun, Desa/Kelurahan Sondi Raya, Kecamatan Raya</t>
  </si>
  <si>
    <t>RS Umum Universitas Sumatera Utara</t>
  </si>
  <si>
    <t>Jl. Dr. T. Mansur No. 66 Kampus USU Medan 20154</t>
  </si>
  <si>
    <t>RS Chevani</t>
  </si>
  <si>
    <t>Jl. Prof. H. M. Yamin No. 17 Tanjung Marulak Hilir</t>
  </si>
  <si>
    <t>RS Umum Daerah Parapat</t>
  </si>
  <si>
    <t>Jl. Kolonel TPR Sinaga Parapat</t>
  </si>
  <si>
    <t>RS Umum Delima Medan</t>
  </si>
  <si>
    <t>JL. KL. YOS SUDARSO  KM 13,6 NO. 19 A  MARTUBUNG, KEC. MEDAN LABUHAN, KEL. BESAR, PROV. SUMATERA UTARA 20251</t>
  </si>
  <si>
    <t>RS Umum Sari Mutiara Lubuk Pakam</t>
  </si>
  <si>
    <t>Jl. Medan No.17,Lubuk Pakam</t>
  </si>
  <si>
    <t>RS Umum Efarina Etaham</t>
  </si>
  <si>
    <t>Jl Jamin Ginting No 1, Berastagi - Desa Raya, Kab. Karo</t>
  </si>
  <si>
    <t>RS Umum Bidadari</t>
  </si>
  <si>
    <t>Jl Perintis Kemerdekaan No. 174 KEL. KEBUN LADA KEC. BINJAI UTARA</t>
  </si>
  <si>
    <t>RS Metta Medika</t>
  </si>
  <si>
    <t>Jl. Sisingamangaraja No. 113 Padang Sidempuan</t>
  </si>
  <si>
    <t>RS Umum Daerah Dr. Pirngadi</t>
  </si>
  <si>
    <t>Jl Prof H M Yamin SH No. 47, Medan</t>
  </si>
  <si>
    <t>RS Khusus Ginjal Rasyida</t>
  </si>
  <si>
    <t>Jl D.I Panjaitan No. 144 Medan Kel. Sei Sikambing D Kec. Medan Petisah</t>
  </si>
  <si>
    <t>Rumah Sakit Khusus Ginjal</t>
  </si>
  <si>
    <t>RS Umum Royal Prima Marelan</t>
  </si>
  <si>
    <t>Jl. Marelan Pasar 3 No. 187 Kel. Rengas Pulau Kec. Medan Marelan 20255 Sumut</t>
  </si>
  <si>
    <t>RS Umum Daerah Pintu Padang</t>
  </si>
  <si>
    <t>Jl. Mandailing No.KM.18, Kel. Pintu Padang I, Kec. Batang Angkola, Kabupaten Tapanuli Selatan, Sumatera Utara, Indonesia</t>
  </si>
  <si>
    <t>RS Columbia Asia Medan</t>
  </si>
  <si>
    <t>Jl Listrik No.2A Medan</t>
  </si>
  <si>
    <t>RS Umum Prima Husada Cipta Medan</t>
  </si>
  <si>
    <t>Jalan Stasiun No.92, Belawan II, Medan Kota Belawan, Belawan Bahagia, Medan Kota Belawan, Kota Medan, Sumatera Utara 20411</t>
  </si>
  <si>
    <t>RS Umum Daerah Rantau Prapat</t>
  </si>
  <si>
    <t>Jl. KH. Dewantara 129, Rantau Prapat</t>
  </si>
  <si>
    <t>RS Efarina Etaham Pematang Siantar</t>
  </si>
  <si>
    <t>Jl. Pendeta J. Wismar Saragih No.1  Bane Kec.Siantar Utara</t>
  </si>
  <si>
    <t>RS Umum Universitas Prima Indonesia</t>
  </si>
  <si>
    <t>Jl. Simalungun No. 7A</t>
  </si>
  <si>
    <t>RS Ibu dan Anak Mina Husada</t>
  </si>
  <si>
    <t>Jl. Kapten Pala Bangun No. 8 Padang Mas - Sentrum Kabanjahe 22115 JL. Nabung Surbakti  No.07 Padang Mas - Sentrum Kabanjahe 22111 Kab.KARO Provinsi Sumatera Utara</t>
  </si>
  <si>
    <t>RS Umum Daerah Dr. Tengku Mansyur</t>
  </si>
  <si>
    <t>Jl. Mayjen Sutoyo No. 39, Kel. Perwira, Kec. Tanjungbalai Selatan</t>
  </si>
  <si>
    <t>RS Umum Eshmun</t>
  </si>
  <si>
    <t>Jalan Marelan Raya No. 173A Kelurahan Tanah Enam Ratus Kecamatan Medan Marelan Kota Medan Provinsi Sumatera Utara</t>
  </si>
  <si>
    <t>Jl Medan-Bt Kuis No 377 Pasar X Desa Bandar Klippa</t>
  </si>
  <si>
    <t>RSAU Dr. Abdul Malik</t>
  </si>
  <si>
    <t>Jl. Imam Bonjol No.50,Medan</t>
  </si>
  <si>
    <t>TNI AU</t>
  </si>
  <si>
    <t>RS Sapta Medika</t>
  </si>
  <si>
    <t>Jl. Datuk Umar Palangki Tanah Merah Kec, Air Putih</t>
  </si>
  <si>
    <t>RS Umum Daerah Sibuhuan</t>
  </si>
  <si>
    <t>Padang Lawas</t>
  </si>
  <si>
    <t>Jl. KH. Dewantara Sibuhuan Kec. Barumun</t>
  </si>
  <si>
    <t>RS Umum Permata Hati</t>
  </si>
  <si>
    <t>Jl. Ir. H. Juanda No. 21 Kisaran</t>
  </si>
  <si>
    <t>RS Umum Haji Medan</t>
  </si>
  <si>
    <t>Jl RS Haji Medan Estate No 47</t>
  </si>
  <si>
    <t>RS Umum Mitra Medika Premiere</t>
  </si>
  <si>
    <t>Jl. Letjen S. Parman No. 236 Kel. Petisah Tengah  Kec. Medan Petisah</t>
  </si>
  <si>
    <t>RS Umum Bidadari Batubara</t>
  </si>
  <si>
    <t>Jl. Lintas Sumatera Medan - Kisaran KM 108, Dusun Kelembis, Desa Sukaraja</t>
  </si>
  <si>
    <t>RS Umum Daerah Sidikalang</t>
  </si>
  <si>
    <t>Jl. Rumah Sakit No 19, Sidikalang</t>
  </si>
  <si>
    <t>RS Tiga Bersaudara</t>
  </si>
  <si>
    <t>Jl. Lintas Sumatera Utara Kampung Pajak Kec NA IX X</t>
  </si>
  <si>
    <t>RS Umum Sinar Husni</t>
  </si>
  <si>
    <t>Jl. Veteran Gg. Utama Psr. V Helvetia</t>
  </si>
  <si>
    <t>RS Umum Permata Madina Sibuhuan</t>
  </si>
  <si>
    <t>Jl Ki Hajar Dewantara Sibuhuan</t>
  </si>
  <si>
    <t>RS Bhayangkara Tingkat II</t>
  </si>
  <si>
    <t>Jl KH Wahid Hasyim No.1, Medan</t>
  </si>
  <si>
    <t>RS Pratama Lologolu Soguna Ba Zato</t>
  </si>
  <si>
    <t>Jl. Desa Lologolu, Kec. Mandrehe</t>
  </si>
  <si>
    <t>RS Khusus Mata SMEC</t>
  </si>
  <si>
    <t>Jl Iskandar Muda No.278</t>
  </si>
  <si>
    <t>RS Umum Melati Desa Pon</t>
  </si>
  <si>
    <t>Jalan Besar No 218 A Desa Pon - Sei Rampah</t>
  </si>
  <si>
    <t>RS Umum Pancur Batu</t>
  </si>
  <si>
    <t>Jl. Jamin Ginting KM. 17,5 Desa Tengah Kec. Pancur Batu</t>
  </si>
  <si>
    <t>RS Umum Muhammadiyah Sumatera Utara</t>
  </si>
  <si>
    <t>Jl Mandala By Pass No.27, Desa/Kelurahan Tegal S Mandala I, Kec. Medan Denai, Kota Medan, Provinsi Sumatera Utara, Kode Pos : 20226</t>
  </si>
  <si>
    <t>RS Umum Martha Friska</t>
  </si>
  <si>
    <t>Jl KL. Yos Sudarso Km.6 No. 91,Medan</t>
  </si>
  <si>
    <t>RS Khusus Mata Mencirim Tujuh-Tujuh</t>
  </si>
  <si>
    <t>Jl Sei Mencirim No. 77 Medan</t>
  </si>
  <si>
    <t>RS Umum Daerah H. Abdul Manan Simatupang</t>
  </si>
  <si>
    <t>Jl. Sisingamangaraja No. 315 Kisaran Kota, Kec. Kota Kisaran Barat, Kabupaten Asahan Sumatera Utara 21211</t>
  </si>
  <si>
    <t>RS Metta Medika II</t>
  </si>
  <si>
    <t>Jl. Diponegoro No. 6-8 Kota Sibolga</t>
  </si>
  <si>
    <t>RS Umum Murni Teguh Memorial Hospital</t>
  </si>
  <si>
    <t>Jl. Jawa No. 2 Medan</t>
  </si>
  <si>
    <t>RS Umum Stella Maris</t>
  </si>
  <si>
    <t>Jl. Mgr. Albertus Soegijapranata Bintang Laut Telukdalam</t>
  </si>
  <si>
    <t>RS Umum Wampu Norita</t>
  </si>
  <si>
    <t>Jl. Medan - Tj. Pura KM.46 No.86 Kec. Wampu Kab. Langkat 20851</t>
  </si>
  <si>
    <t>RS Rasyida Siantar</t>
  </si>
  <si>
    <t>Jl. Seram Atas No. 5B, Kel. Bantan Kec. Siantar Barat Kota Pematang Siantar, Prov. Sumatera Utara - INDONESIA</t>
  </si>
  <si>
    <t>RS Tk. IV 01.07.01</t>
  </si>
  <si>
    <t>Jl. Gn Simanuk Manuk No.6. Pematangsiantar</t>
  </si>
  <si>
    <t>RS Jiwa Prof. Dr. Muhammad Ildrem</t>
  </si>
  <si>
    <t>Jl Let. Jend. Jamin Ginting S Km. 10/ Jl. Tali Air No. 21 Kel. Mangga Kec. Medan Tuntungan</t>
  </si>
  <si>
    <t>RS Umum Bunda Thamrin</t>
  </si>
  <si>
    <t>Jl Sei Batang Hari  No. 28 - 30 - 32 - 34 Medan</t>
  </si>
  <si>
    <t>RS Umum Armina Madina Panyabungan</t>
  </si>
  <si>
    <t>Jl Merdeka No. 23 Kayu Jati - Panyabungan</t>
  </si>
  <si>
    <t>RS Umum Kasih Insani</t>
  </si>
  <si>
    <t>Jl. Besar Namorambe No. 10 -15</t>
  </si>
  <si>
    <t>RS Umum Daerah Tarutung</t>
  </si>
  <si>
    <t>Jl. Agus Salim No. 1 Tarutung</t>
  </si>
  <si>
    <t>RS Umum Kusta Lau Simomo</t>
  </si>
  <si>
    <t>Desa Lau Simomo Kec. Kabanjahe Kab. Karo</t>
  </si>
  <si>
    <t>RS Umum Nuraini</t>
  </si>
  <si>
    <t>Jl Lintas Sumatera Bloksongo Desa Sisumut Kecamatan Kotapinang Kabupaten Labuhanbatu Selatan Provinsi Sumatera Utara Kode Pos. 21464</t>
  </si>
  <si>
    <t>RS Umum Wira Husada</t>
  </si>
  <si>
    <t>Jl Kartini Nomor 209 Kisaran</t>
  </si>
  <si>
    <t>RS Umum PTP II Tg Selamat</t>
  </si>
  <si>
    <t>Jl. Besar Batang Serangan Desa/Kelurahan Tanjung Selamat Kecamatan Padang Tualang Kabupaten Langkat Provinsi Sumatera Utara</t>
  </si>
  <si>
    <t>RS Umum Trianda</t>
  </si>
  <si>
    <t>Jl Medan - Tebing Tinggi Km.42,5 No.752B, Dusun I Desa Pasar Bengkel, Kecamatan Perbaungan, Kabupaten Serdang Bedagai, Provinsi Sumatera Utara</t>
  </si>
  <si>
    <t>RS Umum Ratu Mas</t>
  </si>
  <si>
    <t>Jl Tengku Amir Hamzah No. 281a, Binjai Utara - Kota Binjai - Sumatera Utara</t>
  </si>
  <si>
    <t>RS Umum Santa Elisabeth Medan</t>
  </si>
  <si>
    <t>Jl. Haji Misbah No. 7 Medan</t>
  </si>
  <si>
    <t>RS Umum Daerah dr. Husni Thamrin</t>
  </si>
  <si>
    <t>Jl. Multatuli No. 72 Kec. Natal Kab. Mandailing Natal</t>
  </si>
  <si>
    <t>RS Umum Daerah H. Bachtiar Djafar</t>
  </si>
  <si>
    <t>JL. K.L. YOS SUDARSO KM. 18,5 KEL. PEKAN LABUHAN KEC. MEDAN LABUHAN KOTA MEDAN PROV. SUMATERA UTARA - 20253</t>
  </si>
  <si>
    <t>RS Umum Daerah Dr. R. M. Djoelham Binjai</t>
  </si>
  <si>
    <t>Jl Sultan Hasanuddin No. 9 Binjai</t>
  </si>
  <si>
    <t>RS Umum AL Fuadi</t>
  </si>
  <si>
    <t>Jl Ahmad Yani No 23 Kel. Kartini Kec. Binjai Kota</t>
  </si>
  <si>
    <t>RS Umum Sri Ratu</t>
  </si>
  <si>
    <t>Jln. Nibung Raya No.204-212 Kel. Petisah Tengah, Kec.Medan Petisah, Kota Medan, Prov.Sumatera Utara</t>
  </si>
  <si>
    <t>RS Bhayangkara Tk. IV  Batangtoru</t>
  </si>
  <si>
    <t>Jl. Merdeka No. 17 Desa Hapesong Baru Kec. Batang Toru</t>
  </si>
  <si>
    <t>RS Umum Latersia</t>
  </si>
  <si>
    <t>Jl Soekarno Hatta Km 18 No 451</t>
  </si>
  <si>
    <t>RS Umum Keliat</t>
  </si>
  <si>
    <t>Jl Sutan Arab No. 35 Dusun 2 Klumpang Kampung</t>
  </si>
  <si>
    <t>RS Sri Pamela Sei Dadap</t>
  </si>
  <si>
    <t>Jl. Protokol Sei Dadap-Sumut</t>
  </si>
  <si>
    <t>RS Jiwa Bina Karsa Medan</t>
  </si>
  <si>
    <t>Jl Pales III Simpang Perumnas Simalingkar/Jl. Let. Jend. Djamin Ginting Km.9</t>
  </si>
  <si>
    <t>RS Umum Pabatu</t>
  </si>
  <si>
    <t>DESA KEDAI DAMAR, KEC.TEBING TINGGI,KAB.SERDANG BEDAGAI,SUMATERA UTARA</t>
  </si>
  <si>
    <t>RS Ibu dan Anak Lenggogeni</t>
  </si>
  <si>
    <t>Sumatera Barat</t>
  </si>
  <si>
    <t>Kota Padang</t>
  </si>
  <si>
    <t>Jl. Purus II No.1, Rw 03 Kota Padang Sumatra Barat 25115 Indonesia</t>
  </si>
  <si>
    <t>RS Ibu dan Anak Annisa Payakumbuh</t>
  </si>
  <si>
    <t>Kota Payakumbuh</t>
  </si>
  <si>
    <t>Jl. Sultan Hasanudin, Kel. Padangtongah Balainanduo, Kec. Payakumbuh Barat, Kota Payakumbuh</t>
  </si>
  <si>
    <t>RS Umum Daerah Pariaman</t>
  </si>
  <si>
    <t>Kota Pariaman</t>
  </si>
  <si>
    <t>Jl. Prof. M.Yamin SH, No.5, Desa/Kelurahan Kampung Baru, Kec. Pariaman Tengah, Kota Pariaman, Provinsi Sumatera Barat, Kode Pos: 25514</t>
  </si>
  <si>
    <t>RS Umum Harapan Ibunda</t>
  </si>
  <si>
    <t>Tanah Datar</t>
  </si>
  <si>
    <t>Jl. Imam Bonjol No.3B, Dobok</t>
  </si>
  <si>
    <t>RS Tk. IV Bukittinggi</t>
  </si>
  <si>
    <t>Kota Bukittinggi</t>
  </si>
  <si>
    <t>Jl. Jend. Sudirman 37 Bukittinggi</t>
  </si>
  <si>
    <t>RS Ibu dan Anak Siti Hawa</t>
  </si>
  <si>
    <t>Jl Parak Gadang Raya No 35 A Padang</t>
  </si>
  <si>
    <t>RS Umum Daerah Batang Sangir</t>
  </si>
  <si>
    <t>Solok Selatan</t>
  </si>
  <si>
    <t>Jl. Lubuk Malako Nagari Lubuk Malako Kec. Sangir Jujuan</t>
  </si>
  <si>
    <t>RS Umum Islam Ibnu Sina</t>
  </si>
  <si>
    <t>Jl. Gajah Mada Gunung Pangilun Padang</t>
  </si>
  <si>
    <t>Organisasi Islam</t>
  </si>
  <si>
    <t>RS Khusus Bedah Ropanasuri</t>
  </si>
  <si>
    <t>Jl. Aur No.8, Ujung Gurun, Padang Barat</t>
  </si>
  <si>
    <t>RS Umum Daerah dr. Achmad Darwis</t>
  </si>
  <si>
    <t>Lima Puluh Kota</t>
  </si>
  <si>
    <t>Jl. Tan Malaka No.1, Kec.Suliki</t>
  </si>
  <si>
    <t>RS Islam Ibnu Sina Bukittinggi</t>
  </si>
  <si>
    <t>Jl. Batang Agam, Belakang Balok</t>
  </si>
  <si>
    <t>RS Tk. IV 01.07.06 Solok</t>
  </si>
  <si>
    <t>Kota Solok</t>
  </si>
  <si>
    <t>JL. Proklamasi No. 03 kota Solok</t>
  </si>
  <si>
    <t>RS Umum Daerah Dr. Muhammad Zein Painan</t>
  </si>
  <si>
    <t>Pesisir Selatan</t>
  </si>
  <si>
    <t>Jl. A. Rivai No 1 Painan Kabupaten Pesisir Selatan</t>
  </si>
  <si>
    <t>RS Umum Ibnu Sina Kota Payakumbuh</t>
  </si>
  <si>
    <t>Jl. Veteran No 14 Payakumbuh</t>
  </si>
  <si>
    <t>RS Bhayangkara Padang</t>
  </si>
  <si>
    <t>Jl. Jati No.I Padang</t>
  </si>
  <si>
    <t>RS Umum Daerah Mohammad Natsir</t>
  </si>
  <si>
    <t>Jl. Simpang Rumbio, kec. lubuk sikarah Solok</t>
  </si>
  <si>
    <t>RS Umum Bunda Padang</t>
  </si>
  <si>
    <t>Jl. Proklamasi No. 37 Padang</t>
  </si>
  <si>
    <t>RS Umum Daerah Serambi Madinah Kota Solok</t>
  </si>
  <si>
    <t>Jl. Tuanku Imam Bonjol No. 366 Kel. Tanah Garam Kec. Lubuk Sikarah</t>
  </si>
  <si>
    <t>RS Ibu dan Anak Sukma Bunda</t>
  </si>
  <si>
    <t>Jl. Soekarno-Hatta Kelurahan Bulakan Balai Kandi Kecamatan Payakumbuh Barat Kota Payakumbuh Provinsi Sumatera Barat</t>
  </si>
  <si>
    <t>Pasaman Barat</t>
  </si>
  <si>
    <t>Jl M Natsir pasaman baru</t>
  </si>
  <si>
    <t>RS Umum Hermina Padang</t>
  </si>
  <si>
    <t>Jl. Khatib Sulaiman RT 006 RW 007, Kel. Lolong Belanti, Kec. Padang Utara</t>
  </si>
  <si>
    <t>RS Umum Daerah Arosuka Solok</t>
  </si>
  <si>
    <t>Solok</t>
  </si>
  <si>
    <t>Jl. Raya Solok Padang KM, 20 Arosuka Kode Pos 27364 Provinsi Sumatera Barat Telp/Fax (0755) 31160</t>
  </si>
  <si>
    <t>RS Jiwa dr. Yaunin</t>
  </si>
  <si>
    <t>Jl. Sawahan No.36, Sawahan, Kec. Padang Tim., Kota Padang, Sumatera Barat 25171</t>
  </si>
  <si>
    <t>RS Umum Daerah Padang Panjang</t>
  </si>
  <si>
    <t>Kota Padang Panjang</t>
  </si>
  <si>
    <t>Jl. Tabek Gadang Kel. Ganting Kec. Padang Panjang Timur</t>
  </si>
  <si>
    <t>RS Ibu dan Anak Fadhila Batusangkar</t>
  </si>
  <si>
    <t>Jl. Baringin No. 5 Jorong Baringin Nagari Baringin Kec. Lima Kaum Batusangkar</t>
  </si>
  <si>
    <t>RS Ibu dan Anak Citra Aguswar Medical Center</t>
  </si>
  <si>
    <t>Jl. M. Rasyid No.30 Desa Rambai, Kec. Pariaman Selatan, Kota Pariaman, Sumatera Barat</t>
  </si>
  <si>
    <t>RS Umum Daerah Tuanku Rao</t>
  </si>
  <si>
    <t>Pasaman</t>
  </si>
  <si>
    <t>Jl. Lintas Sumatera KM. 8 Jorong Selamat Utara, Nagari Sitombol, Kecamatan Padang Gelugur Kabupaten Pasaman Provinsi Sumatera Barat</t>
  </si>
  <si>
    <t>RSUP Dr. M. Djamil</t>
  </si>
  <si>
    <t>Jalan Perintis Kemerdekaan, Kel. Sawahan Timur, Kec. Padang Timur, Kota Padang, Sumatera Barat, 25127</t>
  </si>
  <si>
    <t>RS Islam Ibnu Sina Panti Yarsi</t>
  </si>
  <si>
    <t>Jl. Lintas Medan Bukittinggi Kampung Cengkeh No. 86 Panti</t>
  </si>
  <si>
    <t>RS Jiwa Prof. Dr. Hasan Basri Saanin Datuk Tan Par</t>
  </si>
  <si>
    <t>Jl. Raya Ulu Gadut, Padang</t>
  </si>
  <si>
    <t>RS Umum Madina</t>
  </si>
  <si>
    <t>Jl. Urip Sumoharjo, Kel. Tarok Dipo, Kec. Guguak Panjang, Kota Bukittinggi, Prov. Sumatera Barat</t>
  </si>
  <si>
    <t>RS Umum Daerah Kamang Baru</t>
  </si>
  <si>
    <t>Sijunjung</t>
  </si>
  <si>
    <t>Jl. Lintas Sumatera Jorong Batang Kariang Kec. Kamang Baru</t>
  </si>
  <si>
    <t>RS Umum Aisyiyah Pariaman</t>
  </si>
  <si>
    <t>Jl. Abdul Muis No. 26, Kelurahan Taratak Kec.Pariaman Tengah, Kota Pariaman, Provinsi Sumatera Barat</t>
  </si>
  <si>
    <t>RS Umum Daerah Prof. Dr. M.A. Hanafiah</t>
  </si>
  <si>
    <t>Jl. Bundo Kanduang no 1 Batusangkar</t>
  </si>
  <si>
    <t>RS Ibu dan Anak AL-Ihsan</t>
  </si>
  <si>
    <t>Jl. Bakti Depan SPBU Pertamina Simpang Empat, Jorong Simpang Ampek, Nagari Lingkuang Aua, Kecamatan Pasaman, Kabupaten Pasaman Barat, Provinsi Sumatera Barat</t>
  </si>
  <si>
    <t>RS Umum Daerah Dr. Achmad Mochtar</t>
  </si>
  <si>
    <t>Jl. Dr. A. Rivai Kec. Guguak Panjang Bukittingi</t>
  </si>
  <si>
    <t>RS Khusus Gigi dan Mulut Baiturrahmah</t>
  </si>
  <si>
    <t>Jl. Raya by Pass KM.14 Sei Sapih Padang</t>
  </si>
  <si>
    <t>RS Ibu dan Anak Permata Bunda Solok</t>
  </si>
  <si>
    <t>Jl. Nasir Sutan Pamuncak, By Pass Kelurahan KTK, Kecamatan Lubuk Sikarah Kota Solok</t>
  </si>
  <si>
    <t>RS. Universitas Andalas</t>
  </si>
  <si>
    <t>Kompleks kampus Unand, Limau Manis, Kec. Pauh, PADANG</t>
  </si>
  <si>
    <t>RS Umum Yos Sudarso</t>
  </si>
  <si>
    <t>Jalan Situjuh nomor 1 Padang</t>
  </si>
  <si>
    <t>RS Khusus Ibu dan Anak Permata Hati</t>
  </si>
  <si>
    <t>Jl. Rawang Painan Utara, Nagari Painan Kec. IV Jurai, Kab Pesisir Selatan, Provinsi Sumatra Barat</t>
  </si>
  <si>
    <t>RS Ibu dan Anak Cicik</t>
  </si>
  <si>
    <t>Jl. Dr.Sutomo No 94 Padang</t>
  </si>
  <si>
    <t>RS Ibu dan Anak Mutiara Bunda</t>
  </si>
  <si>
    <t>Jl. S. Parman No. 142 Padang</t>
  </si>
  <si>
    <t>RS Umum Daerah Lubuk Basung</t>
  </si>
  <si>
    <t>Agam</t>
  </si>
  <si>
    <t>Jl. M.Hatta Padang Baru,Lubuk Basung</t>
  </si>
  <si>
    <t>RS Umum Daerah Sungai Rumbai</t>
  </si>
  <si>
    <t>Dharmasraya</t>
  </si>
  <si>
    <t>Jl. Lintas Sumatera Jorong Ujung Koto Nagari Sungai Rumbai Timur Kecamatan Sungai Rumbai Kabupaten</t>
  </si>
  <si>
    <t>RS Otak DR. Drs. M. Hatta Bukittinggi</t>
  </si>
  <si>
    <t>Jl. Jend Sudirman Bukittinggi PO. BOX I Bukittinggi</t>
  </si>
  <si>
    <t>Rumah Sakit Khusus Stroke</t>
  </si>
  <si>
    <t>RS Islam Siti Rahmah</t>
  </si>
  <si>
    <t>JL.Raya by Pass KM 15 Air Pacah Padang</t>
  </si>
  <si>
    <t>RS Ibu dan Anak Sayang Ibu</t>
  </si>
  <si>
    <t>Jl. Hamka no. 273  Batusangkar Jorong Simpuruik Nagari Simpuruik Kecamatan Sungai Tarab Kabupaten Tanah Datar Provinsi Sumatera Barat</t>
  </si>
  <si>
    <t>RS Umum Daerah Dr Sadikin Kota Pariaman</t>
  </si>
  <si>
    <t>Jl. Nostalgia No. 55, Desa Kampung Gadang Padusunan, Kecamatan Pariaman Timur, Kota Pariaman, Propinsi Sumatera Barat</t>
  </si>
  <si>
    <t>RS Umum Daerah Kep. Mentawai</t>
  </si>
  <si>
    <t>Kepulauan Mentawai</t>
  </si>
  <si>
    <t>Jalan Raya Tuapejat KM.9. Kecamatan Sipora Utara Kabupaten Kepulauan Mentawai Propinsi Sumatera Barat</t>
  </si>
  <si>
    <t>RS Umum Naili DBS</t>
  </si>
  <si>
    <t>JL.Ratulangi N0.24 RT.001 RW.008 Kelurahan Kampung Jao</t>
  </si>
  <si>
    <t>RS Umum Aisyiyah Padang</t>
  </si>
  <si>
    <t>Jl. H. Agus Salim No. 6 Padang , Sumatera Barat</t>
  </si>
  <si>
    <t>RS Umum Daerah dr. Rasidin Padang</t>
  </si>
  <si>
    <t>Jl. Air Paku Sungai Sapih Kecamatan Kuranji Kota Padang Sumatera Barat</t>
  </si>
  <si>
    <t>RS Ibu Dan Anak Ananda</t>
  </si>
  <si>
    <t>Jl. Prof. M. Yamin Pandan Ujung No. 76, Kelurahan PPA, Kecamatan Tanjung Harapan, Kota Solok, Sumatera Barat</t>
  </si>
  <si>
    <t>RS Khusus Ibu dan Anak Haryanda</t>
  </si>
  <si>
    <t>Jl. Lintas Sumatera, Pondok Mahligai Indah, Tanah Badantung, Kecamatan Sijunjung, Kabupaten Sijunjung, Provinsi Sumatera Barat</t>
  </si>
  <si>
    <t>RS Khusus Bedah Kartika Docta</t>
  </si>
  <si>
    <t>Jl. Gajah Mada No.14 Kelurahan Gunung Pangilun, Kecamatan Padang Utara, Kota Padang</t>
  </si>
  <si>
    <t>RS Umum Daerah Tuanku Imam Bonjol</t>
  </si>
  <si>
    <t>Jl. Jendral Sudirman No.33, Kelurahan Pauah, Kecamatan Lubuk Sikaping, Kabupaten Pasaman, Provinsi Sumatera Barat</t>
  </si>
  <si>
    <t>RS Ibu dan Anak Restu Ibu</t>
  </si>
  <si>
    <t>Jl. Terandam No. 5-7 Kel. Sawahan, Kec. Padang Timur, Kota Padang, Prov. Sumatera Barat</t>
  </si>
  <si>
    <t>RS Umum Daerah Dr. Adnaan WD</t>
  </si>
  <si>
    <t>Jl. AIS Nasution 25,Balai Kaliki Payakumbuh</t>
  </si>
  <si>
    <t>RS Umum Daerah Muara Labuh</t>
  </si>
  <si>
    <t>Jl. Raya Km.1 Muara Labuh Padang Aro</t>
  </si>
  <si>
    <t>RS Gigi dan Mulut Universitas Andalas</t>
  </si>
  <si>
    <t>Jl. Perintis Kemerdekan No.77 Jati Baru</t>
  </si>
  <si>
    <t>RS Khusus Mata Regina Eye Center</t>
  </si>
  <si>
    <t>Jl. H. Agus Salim No. 11A Padang</t>
  </si>
  <si>
    <t>RS Paru Sumatera Barat</t>
  </si>
  <si>
    <t>Padang Pariaman</t>
  </si>
  <si>
    <t>Jl. M. Djamil No 110 Lubuk Alung</t>
  </si>
  <si>
    <t>RS Umum Daerah Sawah Lunto</t>
  </si>
  <si>
    <t>Kota Sawah Lunto</t>
  </si>
  <si>
    <t>Jl. RA. Kartini No.18, Sawah Lunto Desa/Kelurahan Aur Mulio,  Kec.  Lembah Segar,  Kota Sawahlunto,  Provinsi Sumatera Barat,  Kode Pos 27418</t>
  </si>
  <si>
    <t>RS Khusus Mata Padang Eye Center</t>
  </si>
  <si>
    <t>Jl.Pemuda No 53, Padang</t>
  </si>
  <si>
    <t>RS Umum Daerah Ujung Gading</t>
  </si>
  <si>
    <t>Jl. Flores Jorong Kuamang Nagari Ujung Gading Kecamatan Lembah Melintang Kabupaten Pasaman Barat Provinsi Sumatera Barat, Kode Pos (26572)</t>
  </si>
  <si>
    <t>RS Umum Daerah Pasaman Barat</t>
  </si>
  <si>
    <t>Jl. Jenderal Sudirman, Kec.Luhak Nan Duo,Kab.Pasaman Barat,Provinsi Sumatra Barat</t>
  </si>
  <si>
    <t>RS Umum Daerah Padang Pariaman</t>
  </si>
  <si>
    <t>Jl.raya Padang bukittingi Km.42 Parit malintang</t>
  </si>
  <si>
    <t>RS Ibu dan Anak Rezki Bunda</t>
  </si>
  <si>
    <t>Jln. Gajah Mada No. 435A Lansano. Kec. Lubuk Basung, Kabupaten Agam, Provinsi Sumatera Barat</t>
  </si>
  <si>
    <t>RS Umum Tamar Medical Centre</t>
  </si>
  <si>
    <t>Jalan Basuki Rahmat No. 1 Kelurahan Karan Aur Kecamatan Pariaman Tengah</t>
  </si>
  <si>
    <t>RS Umum Daerah Tapan</t>
  </si>
  <si>
    <t>Jalan Tapan - Padang , Kenagarian Bukit Buai Tapan, Kecamatan Basa Ampek Balai Tapan, Kabupaten Pesisir Selatan, Provinsi Sumatera Barat</t>
  </si>
  <si>
    <t>RS Umum Daerah Sungai Dareh</t>
  </si>
  <si>
    <t>Jl. Lintas Sumatera KM 4, Kenagarian Sungai Kambut, Kec. Pulau Punjung</t>
  </si>
  <si>
    <t>RS Umum Semen Padang Hospital</t>
  </si>
  <si>
    <t>Jl. By Pass KM 7 Kelurahan Pisang Kecamatan Pauh</t>
  </si>
  <si>
    <t>RS Umum Ibnu Sina Padang Panjang</t>
  </si>
  <si>
    <t>Jl. Soekarno-Hatta No. 17, Kel. Bukit Surungan, Kec. Padang Panjang Barat</t>
  </si>
  <si>
    <t>RS Umum Daerah Ahmad Syafi'I Ma'arif</t>
  </si>
  <si>
    <t>Jl. Lintas Sumatera Km. 110 Tanah Badantuang</t>
  </si>
  <si>
    <t>RS Umum BKM</t>
  </si>
  <si>
    <t>Jl Jend Sudirman Sago IV Jurai Painan</t>
  </si>
  <si>
    <t>RS Tk. III Reksodiwiryo Padang</t>
  </si>
  <si>
    <t>Jl. dr. Wahidin No. 1, Kel. Ganting Parak Gadang, Kec. Padang Timur</t>
  </si>
  <si>
    <t>RS Umum Daerah Kota Bukittinggi</t>
  </si>
  <si>
    <t>Jl. By Pass Kubu Gulai Bancah RT.006  RW.002, Kelurahan Kubu Gulai Bancah, Kecamatan Mandiangin Koto Selayan, Kota Bukittinggi ,Provinsi Sumatera Barat</t>
  </si>
  <si>
    <t>RS Umum Daerah  Selasih Riau</t>
  </si>
  <si>
    <t>Riau</t>
  </si>
  <si>
    <t>Pelalawan</t>
  </si>
  <si>
    <t>Jl Rumah Sakit No.01 Pkl Kerinci</t>
  </si>
  <si>
    <t>RS Umum  Syafira</t>
  </si>
  <si>
    <t>Kota Pekanbaru</t>
  </si>
  <si>
    <t>Jl Jenderal Sudirman No.134, Pekanbaru</t>
  </si>
  <si>
    <t>RS Ibu dan Anak Milano</t>
  </si>
  <si>
    <t>Kuantan Singingi</t>
  </si>
  <si>
    <t>Jl Perintis Kemerdekaan KM 2 Jao Teluk Kuantan</t>
  </si>
  <si>
    <t>RS Prof. Dr. Tabrani</t>
  </si>
  <si>
    <t>Jl Jend. Sudirman 410, Pekanbaru</t>
  </si>
  <si>
    <t>RS Ibu dan Anak  Zainab</t>
  </si>
  <si>
    <t>Jl Ronggowarsito I No I Kelurahan Sukamaju Kecamatan Sail Kota Pekanbaru</t>
  </si>
  <si>
    <t>RS Umum  Mutia Sari</t>
  </si>
  <si>
    <t>Bengkalis</t>
  </si>
  <si>
    <t>Jl. Bathin Betuah No. 1A, Air Jamban, Mandau, Bengkalis</t>
  </si>
  <si>
    <t>RS Pertamina Dumai</t>
  </si>
  <si>
    <t>Kota Dumai</t>
  </si>
  <si>
    <t>Jl Raya Bukit Datuk,Dumai</t>
  </si>
  <si>
    <t>RS Umum Daerah  Raja Musa</t>
  </si>
  <si>
    <t>Indragiri Hilir</t>
  </si>
  <si>
    <t>Jl Tunas Harapan Sungai Guntung Kecamatan Kateman, Kabupaten Indragiri hilir, Provinsi Riau</t>
  </si>
  <si>
    <t>RS Umum Daerah  Bangkinang</t>
  </si>
  <si>
    <t>Kampar</t>
  </si>
  <si>
    <t>Jl Lingkar Bangkinang-Batu Belah, Kampar, Riau</t>
  </si>
  <si>
    <t>RS Umum  Mesra</t>
  </si>
  <si>
    <t>Jl Raya Pasir Putih No. 3A-C Kec. Siak Hulu, Kabupaten Kampar, Riau</t>
  </si>
  <si>
    <t>RS Ibu dan Anak Bunda Puja</t>
  </si>
  <si>
    <t>Jl. Batang Tuaka No. 1, RT/RW 001/002, Kel. Pekan Arba Kec. Tembilahan</t>
  </si>
  <si>
    <t>RS Angkatan Udara dr. Sukirman Lanud Roesmin Nurjadin</t>
  </si>
  <si>
    <t>Jl. Adi Sucipto No. 123 Kelurahan Maharatu Kecamatan Marpoyan Damai Kota Pekanbaru Provinsi Riau</t>
  </si>
  <si>
    <t>RS Umum Awal Bros Bagan Batu</t>
  </si>
  <si>
    <t>Rokan Hilir</t>
  </si>
  <si>
    <t>Jl. Lintas Riau-Sumatera Utara KM. 1 Desa/Kel. Bagan Batu Kec. Bagan Sinembah</t>
  </si>
  <si>
    <t>RS Umum  Kasih Ibu Rengat</t>
  </si>
  <si>
    <t>Indragiri Hulu</t>
  </si>
  <si>
    <t>Jl Azki Aris Kampung Dagang Rengat</t>
  </si>
  <si>
    <t>RS Ibu dan Anak Harapan Medika</t>
  </si>
  <si>
    <t>Rokan Hulu</t>
  </si>
  <si>
    <t>Jl. Jendral Sudirman No. 265 Ujungbatu Kab. Rokan Hulu</t>
  </si>
  <si>
    <t>RS Umum Pelita</t>
  </si>
  <si>
    <t>Jl. Raya Pekanbaru – Sungai Pagar, RT.001/RW.001 Dusun I Harapan Makmur, Desa Lubuk Sakat, Kec. Perhentian Raja.</t>
  </si>
  <si>
    <t>RS Tk. IV Pekanbaru</t>
  </si>
  <si>
    <t>Jl Kesehatan No 2 Pekanbaru</t>
  </si>
  <si>
    <t>RS Khusus Mata Pekanbaru Eye Center</t>
  </si>
  <si>
    <t>Jl Soekarno Hatta No 236 Pekanbaru</t>
  </si>
  <si>
    <t>RS Hermina Pekanbaru</t>
  </si>
  <si>
    <t>Jl. Tuanku Tambusai RT. 03 RW. 02 Kel. Delima Kec. Tampan Kota Pekanbaru</t>
  </si>
  <si>
    <t>RS Umum Daerah  Petala Bumi</t>
  </si>
  <si>
    <t>Jl Dr. Soetomo No.65 Kota Pekanbaru Provinsi Riau</t>
  </si>
  <si>
    <t>RS Ibu dan Anak Athaya Medika</t>
  </si>
  <si>
    <t>Jl. Lintas-Medan Kepenghuluan Ujung Tanjung Putih</t>
  </si>
  <si>
    <t>RS Umum  Thursina</t>
  </si>
  <si>
    <t>Jl Hangtuah No. 93</t>
  </si>
  <si>
    <t>RS Umum  Universitas Riau</t>
  </si>
  <si>
    <t>Kompleks Bina Widya KM 12,5 Simpang Baru, Panam</t>
  </si>
  <si>
    <t>RS Umum  Tandun</t>
  </si>
  <si>
    <t>Desa Talang danto, Kec. Tapung Hulu, Kab. Kampar, Prov. Riau</t>
  </si>
  <si>
    <t>RS Umum Daerah  Kabupaten Kepulauan Meranti</t>
  </si>
  <si>
    <t>Kepulauan Meranti</t>
  </si>
  <si>
    <t>Jl Dorak</t>
  </si>
  <si>
    <t>RS Umum  Permata Hati</t>
  </si>
  <si>
    <t>Jl Jend. Sudirman No. 37,Kelurahan Gajah Sakti,Kecamatan Mandau,Kabupaten Bengkalis,Duri-RIAU,28784</t>
  </si>
  <si>
    <t>RS  Eria</t>
  </si>
  <si>
    <t>Jl. KH. Ahmad Dahlan No. 163 kelurahan kampung tengah, kecamatan sukajadi, pekanbaru, provinsi riau</t>
  </si>
  <si>
    <t>RS Ibu dan Anak  Safira</t>
  </si>
  <si>
    <t>Jl. Jendral Sudirman No.79 Air Molek, Kel. Sekar Mawar, Kec. Pasir Penyu, Kab. Indragiri Hulu, Prov. Riau</t>
  </si>
  <si>
    <t>Aulia Hospital</t>
  </si>
  <si>
    <t>Jl. HR Soebrantas No. 63 Kel. Tuah Karya Kec. Tampan Pekanbaru Riau</t>
  </si>
  <si>
    <t>RS Umum Daerah  Tengku Sulung</t>
  </si>
  <si>
    <t>Jl Penunjang Pulau Kijang, Kec.Reteh, Kab. Inhil, Prov Riau</t>
  </si>
  <si>
    <t>RS Ibu Anak  Norfa Husada</t>
  </si>
  <si>
    <t>JL. MAYOR ALI RASYID NO 17 ABCD BANGKINANG KOTA, KABUPATEN KAMPAR, PROVINSI RIAU</t>
  </si>
  <si>
    <t>RS Umum Daerah Teluk Kuantan</t>
  </si>
  <si>
    <t>Jl Kesehatan No. 1 Sinambek</t>
  </si>
  <si>
    <t>RS Pertamina Hulu Rokan</t>
  </si>
  <si>
    <t>Komplek Merapi Camp PT Pertamina Hulu Rokan Duri, Kelurahan Pematang Pudu, Kecamatan Mandau, Kabupaten Bengkalis, Provinsi Riau</t>
  </si>
  <si>
    <t>RS Santa Maria Pekanbaru</t>
  </si>
  <si>
    <t>Jl Ahmad Yani No. 68 Rt/Rw 001/001 Kel.Pulau Karam Kec. Sukajadi</t>
  </si>
  <si>
    <t>RS Ibu dan Anak Annisa</t>
  </si>
  <si>
    <t>Jl Garuda No.66 Kel.Tangkerang Tengah Kec.Marpoyan Damai</t>
  </si>
  <si>
    <t>RS Graha Yasmine</t>
  </si>
  <si>
    <t>Jl. Marlan Jaya, Bukit Datuk, Kec. Dumai Selatan, Kota Dumai</t>
  </si>
  <si>
    <t>RS Umum Daerah  Bengkalis</t>
  </si>
  <si>
    <t>Jl Kelapapati Tengah No.90, Bengkalis</t>
  </si>
  <si>
    <t>RS Umum  Lancang Kuning</t>
  </si>
  <si>
    <t>Jl Ronggowarsito Ujung No.5A Pekanbaru</t>
  </si>
  <si>
    <t>RS Umum  Surya Insani</t>
  </si>
  <si>
    <t>Jl Diponegoro KM 4 Pasir Pengaraian</t>
  </si>
  <si>
    <t>RS Ibu Anak  Budhi Mulia</t>
  </si>
  <si>
    <t>Jl Soekarno Hatta no 228 Pekanbaru</t>
  </si>
  <si>
    <t>RS Umum  Awal Bros Ujung Batu</t>
  </si>
  <si>
    <t>Jl. Jenderal Sudirman No. 314</t>
  </si>
  <si>
    <t>RS Daerah Madani Kota Pekanbaru</t>
  </si>
  <si>
    <t>Jl. Garuda Sakti Pekanbaru KM 2</t>
  </si>
  <si>
    <t>RS Umum Daerah  Puri Husada Tembilahan</t>
  </si>
  <si>
    <t>Jl Veteran No. 52 Tembilahan</t>
  </si>
  <si>
    <t>RS Umum  Eka Hospital Pekanbaru</t>
  </si>
  <si>
    <t>Jl Soekarno- Hatta Km.6,5</t>
  </si>
  <si>
    <t>RS Umum  Awal Bros Panam</t>
  </si>
  <si>
    <t>Jl HR. Soebrantas No 88 Panam, Kelurahan Sialang Munggu, Kecamatan Tuah Madani, Kota Pekanbaru, Provinsi Riau. Kodepos:  28293</t>
  </si>
  <si>
    <t>RS Khusus  Mata SMEC Pekanbaru</t>
  </si>
  <si>
    <t>Jl Arifin Ahmad No. 92 Kecamatan Marpoyan Damai Kota Pekanbaru</t>
  </si>
  <si>
    <t>RS Jiwa Tampan</t>
  </si>
  <si>
    <t>Jl H.R. Subrantas Km.12,5 Pekanbaru</t>
  </si>
  <si>
    <t>RS Umum Azzahra</t>
  </si>
  <si>
    <t>Jl. Rambutan No. 03 RK Harapan, Ujung Batu</t>
  </si>
  <si>
    <t>RS Umum  Medicare Sorek</t>
  </si>
  <si>
    <t>Jl Dt. Laksamana Sorek I kec Pkl.Kuras</t>
  </si>
  <si>
    <t>RS Umum  Indah</t>
  </si>
  <si>
    <t>Jl Jenderal Sudirman, KM 02, Kel. Bahtera Makmur Kota, Kec. Bagan Sinembah, Kab. Rokan Hilir, Riau.</t>
  </si>
  <si>
    <t>RS Umum  Amalia Medika</t>
  </si>
  <si>
    <t>Jl Lintas Timur Pangkalan Kerinci - Pelalawan - Riau</t>
  </si>
  <si>
    <t>RS Umum Daerah  Kec.Mandau</t>
  </si>
  <si>
    <t>Jl Stadion No.10 Duri Bengkalis</t>
  </si>
  <si>
    <t>RS Ibu Anak  Bunda Anisyah</t>
  </si>
  <si>
    <t>JL. Raya Pekanbaru-Bangkinang KM 52, Kampar</t>
  </si>
  <si>
    <t>RS Umum  Prima Pekanbaru</t>
  </si>
  <si>
    <t>Jl Bima NO.1 T. Tambusai Ujung Kel. Delima Kec. Binawidya, Pekanbaru</t>
  </si>
  <si>
    <t>RS Ibunda</t>
  </si>
  <si>
    <t>Jl. Lintas Riau Km 4 Bagan Batu Kelurahan Bahtera Makmur Kota Kecamatan Bagan Sinembah Kabupaten Rokan Hilir Provinsi Riau</t>
  </si>
  <si>
    <t>RS Umum Daerah  Kota Dumai</t>
  </si>
  <si>
    <t>Jl Tanjung Jati No.4, Buluh Kasap Kecamatan Dumai Timur Kota Dumai . Provinsi Riau</t>
  </si>
  <si>
    <t>RS Umum Daerah Tengku Rafi'an Siak Sri Indrapura</t>
  </si>
  <si>
    <t>Siak</t>
  </si>
  <si>
    <t>Jl Raja Kecik No.1 Kampung dalam,Siak Sri Indrapura</t>
  </si>
  <si>
    <t>RS Umum Daerah Minas</t>
  </si>
  <si>
    <t>Jl. Yos Sudarso Km. 26, Minas, Siak</t>
  </si>
  <si>
    <t>RS Umum  Bina Kasih</t>
  </si>
  <si>
    <t>Jl. Samanhudi No. 3-5 Kel. Sago - Kec. Senapelan, Kota Pekanbaru - Riau - 28151</t>
  </si>
  <si>
    <t>RS Muizzah</t>
  </si>
  <si>
    <t>Jl. Lintas Timur Belilas Kel. Pangkalan Kasai</t>
  </si>
  <si>
    <t>RS Umum Daerah  Arifin Achmad</t>
  </si>
  <si>
    <t>Jl Diponegoro No. 2, Pekanbaru</t>
  </si>
  <si>
    <t>RS Awal Bros Dumai</t>
  </si>
  <si>
    <t>Jl. Jenderal Sudirman No. 88, RT 013 RW 000, Kel. Bintan, Kec. Dumai Kota</t>
  </si>
  <si>
    <t>RS Doa Ibunda</t>
  </si>
  <si>
    <t>Jl. Jenderal Sudirman KM 03 Ujungbatu Timur</t>
  </si>
  <si>
    <t>RS Umum  Sansani</t>
  </si>
  <si>
    <t>Jl Soekarno Hatta (Arengka Atas) Pekanbaru</t>
  </si>
  <si>
    <t>RS Umum  Awal Bros Pekanbaru</t>
  </si>
  <si>
    <t>Jl Jend. Sudirman No.117, Kelurahan Tangkerang Selatan, Kecamatan Bukit Raya - Riau, Kode Pos 28282</t>
  </si>
  <si>
    <t>RS Ibu dan Anak Hermina Rumbai</t>
  </si>
  <si>
    <t>Jl. Khayangan No.53, Limbungan Baru, Rumbai Pesisir, Pekanbaru City, Riau 28261</t>
  </si>
  <si>
    <t>RS Umum Cahaya</t>
  </si>
  <si>
    <t>Jl Lintas Riau Ujung Tanjung, Kec. Tanah Puth RT 024 RW 009</t>
  </si>
  <si>
    <t>Naray Hospital</t>
  </si>
  <si>
    <t>Jl. Dr. Wahidin No. 98 – 99, Kel. Purnama, Kec. Dumai Barat, Kota Dumai Riau</t>
  </si>
  <si>
    <t>RS Umum  Efarina</t>
  </si>
  <si>
    <t>Jl Lintas Timur No.1 Pangkalan Kerinci Riau</t>
  </si>
  <si>
    <t>RS Umum Daerah Tualang</t>
  </si>
  <si>
    <t>Jl. Raya Perawang Minas Km. 10 Kelurahan Perawang Barat Kecamatan Tualang</t>
  </si>
  <si>
    <t>RS Bhayangkara Tk. III Kota Pekanbaru</t>
  </si>
  <si>
    <t>JL KARTINI NO. 14 PEKANBARU</t>
  </si>
  <si>
    <t>RS Awal Bros A. Yani</t>
  </si>
  <si>
    <t>Jln. Jend. A. Yani No. 73</t>
  </si>
  <si>
    <t>RS Umum Daerah  Rokan Hulu</t>
  </si>
  <si>
    <t>Jl Syekh Ismail, Pasir Pengaraian</t>
  </si>
  <si>
    <t>RS Ibu dan Anak Andini</t>
  </si>
  <si>
    <t>Jl. Tuanku Tambusai No. 55 Pekanbaru Kelurahan Tangkerang Barat / Kecamatan Marpoyan Damai Provinsi Riau</t>
  </si>
  <si>
    <t>RS Umum Daerah  Indrasari Rengat</t>
  </si>
  <si>
    <t>Jl Lintas Timur Sumatera Rengat Kec. Rengat Barat Kab. Indragiri Hulu Prov. Riau</t>
  </si>
  <si>
    <t>RS Bhayangkara Dumai</t>
  </si>
  <si>
    <t>Jl. Hangtuah No.01 Kel. Buluh Kasap Kec. Dumai Timur</t>
  </si>
  <si>
    <t>RS Umum  Islam Ibnu Sina</t>
  </si>
  <si>
    <t>Jl Melati No.60 Pekanbaru</t>
  </si>
  <si>
    <t>RS Nurlima</t>
  </si>
  <si>
    <t>Jl. Raya Lintas Pekanbaru-Taluk Kuantan Km 62 Desa Lipat Kain Selatan, Kec. Kampar Kiri</t>
  </si>
  <si>
    <t>RS Ibu Anak  Husada Bunda</t>
  </si>
  <si>
    <t>Jl Prof. M. Yamin, SH Salo, Kec.Salo Kab. Kampar, Riau 28451</t>
  </si>
  <si>
    <t>RS Umum Daerah  Dr. RM. Pratomo Bagansiapiapi</t>
  </si>
  <si>
    <t>Jl Pahlawan No.13, Bagansiapiapi</t>
  </si>
  <si>
    <t>RS Umum  Pekanbaru Medical Center</t>
  </si>
  <si>
    <t>Jl Lembaga Pemasyarakatan No.25, Gobah Pekanbaru</t>
  </si>
  <si>
    <t>RS Jabal Rahmah Medika</t>
  </si>
  <si>
    <t>Jambi</t>
  </si>
  <si>
    <t>Bungo</t>
  </si>
  <si>
    <t>Jl. RM Thaher RT. 015 RW. 005 Kel. Cadika Kec. Rimbo Tengah</t>
  </si>
  <si>
    <t>RS Umum Daerah Sungai Gelam</t>
  </si>
  <si>
    <t>Muaro Jambi</t>
  </si>
  <si>
    <t>Jl. Ketaling KM. 21</t>
  </si>
  <si>
    <t>RS Kuamang Kuning</t>
  </si>
  <si>
    <t>Jl. Asahan Desa Purwasari Kecamatan Pelepat Ilir</t>
  </si>
  <si>
    <t>Belum Ditetapkan</t>
  </si>
  <si>
    <t>RS Umum Daerah KH. Daud Arif</t>
  </si>
  <si>
    <t>Tanjung Jabung Barat</t>
  </si>
  <si>
    <t>Jl. Syarif Hidayatullah, No. 14 Kuala Tungkal</t>
  </si>
  <si>
    <t>RS Umum Daerah H. Abdul Manap</t>
  </si>
  <si>
    <t>Kota Jambi</t>
  </si>
  <si>
    <t>Jl. SK. Rd. Syahbuddin Kel. Mayang Mangurai Kec. Alam Barajo Kota Jambi Provinsi Jambi</t>
  </si>
  <si>
    <t>RS Umum Kambang</t>
  </si>
  <si>
    <t>Jl. Kol. Amir Hamzah No. 53 Kel. Selamat Kec. Danau Sipin</t>
  </si>
  <si>
    <t>RS Islam Arafah</t>
  </si>
  <si>
    <t>Jl. Mpu Gandring No.1 Kebun Jeruk</t>
  </si>
  <si>
    <t>RS Umum Baiturahim Jambi</t>
  </si>
  <si>
    <t>Jl. Prof. M. Yamin SH, No. 30 Kel. Lebak Bandung</t>
  </si>
  <si>
    <t>RS Umum Daerah H. Hanafie</t>
  </si>
  <si>
    <t>Jl. Teuku Umar 88  Muara Bungo</t>
  </si>
  <si>
    <t>Jl.Lebai Hasan, Rt 06/02, Sungai Pinang, Muara Bungo</t>
  </si>
  <si>
    <t>RS Umum Daerah Sultan Thaha Saifuddin</t>
  </si>
  <si>
    <t>Tebo</t>
  </si>
  <si>
    <t>Jl. Sultan Thaha Saifuddin KM. 04 Muara Tebo</t>
  </si>
  <si>
    <t>RS Raudhah</t>
  </si>
  <si>
    <t>Merangin</t>
  </si>
  <si>
    <t>Jl Lintas Sumatera Km 1 Bukit Aur Bangko Jambi</t>
  </si>
  <si>
    <t>RS Tk. III 02.06.01  dr. Bratanata</t>
  </si>
  <si>
    <t>Jl. Raden Mattaher No. 33,Jambi</t>
  </si>
  <si>
    <t>RS Umum Daerah Suryah Khairuddin</t>
  </si>
  <si>
    <t>Jl. Lintas Timur  Kec. Merlung, Kab. Tanjung Jabung Barat</t>
  </si>
  <si>
    <t>RS Umum Erni Medika</t>
  </si>
  <si>
    <t>Jl. Berlin RT 12 No.21 Kel. Talang Bakung</t>
  </si>
  <si>
    <t>RS Umum Daerah Rantau Rasau</t>
  </si>
  <si>
    <t>Tanjung Jabung Timur</t>
  </si>
  <si>
    <t>Jl. Lintas Rantau Rasau SK 28 Desa Rantu Jaya Kode Pos 36771</t>
  </si>
  <si>
    <t>RS Umum Daerah Prof. Dr. H.  Chatib Quzwain</t>
  </si>
  <si>
    <t>Sarolangun</t>
  </si>
  <si>
    <t>Jl. Lintas Sumatera Km.09 Desa Bukit, Sarolangun</t>
  </si>
  <si>
    <t>RS Umum Daerah H. Abdurrahman Sayoeti</t>
  </si>
  <si>
    <t>JL. K.H Hasan Anang No. 33 RT. 08 Kel. Olak Kemang Kec. Danau Teluk, Kota Jambi, Provinsi Jambi</t>
  </si>
  <si>
    <t>RS Royal Prima</t>
  </si>
  <si>
    <t>Jl. Raden Wijaya RT 35 Kebon Kopi Kec Jambi Selatan</t>
  </si>
  <si>
    <t>RS Mitra</t>
  </si>
  <si>
    <t>Jl. Jenderal Basuki Rahmat No 77 Rt 07, Paal Lima, Kota Baru, Jambi</t>
  </si>
  <si>
    <t>RS Umum Santa Theresia</t>
  </si>
  <si>
    <t>Jl. Dr. Sutomo No.19 Jambi</t>
  </si>
  <si>
    <t>RS Langit Golden Medika</t>
  </si>
  <si>
    <t>Jl. Lintas Sumatera KM. 02 Simpang MAN Aur Gading Sarolangun</t>
  </si>
  <si>
    <t>RS Umum Daerah Ahmad Ripin</t>
  </si>
  <si>
    <t>Jln. Lintas Timur Komp. Perkantoran Bukit Cinto Kenang. Kelurahan  Sengeti. Kecamatan  Sekernan. Kabupaten Muaro Jambi. Provinsi Jambi</t>
  </si>
  <si>
    <t>RS Siloam Jambi</t>
  </si>
  <si>
    <t>Jl. Soekarno - Hatta Paal Merah,Jambi</t>
  </si>
  <si>
    <t>RS Umum Daerah Sungai Bahar</t>
  </si>
  <si>
    <t>Jl. Soekarno Hatta, Desa Suka Makmur, Kecamatan Sungai Bahar, Kabupaten Muaro Jambi, Provinsi Jambi</t>
  </si>
  <si>
    <t>RS Ibu dan Anak Moelia</t>
  </si>
  <si>
    <t>Jl. Diponegoro RT. 13 RW. 04 Pasir Putih Muara Bungo</t>
  </si>
  <si>
    <t>RS Umum Daerah Nurdin Hamzah</t>
  </si>
  <si>
    <t>Jl. WR. Supratman Kel. Parit Culum I Kec. Muara Sabak Barat Kab. Tanjung Jabung Timur Provinsi Jambi</t>
  </si>
  <si>
    <t>RS Umum Rimbo Medika</t>
  </si>
  <si>
    <t>Jalan, Kapten  Pattimura RT. 02 No. 58 kelurahan kenali besar,kecamatan Alam Barajo Kota Jambi Provinsi Jambi</t>
  </si>
  <si>
    <t>RS Rapha Theresia</t>
  </si>
  <si>
    <t>Jl. Kardinal J Darmojuwono (Jl. Lingkar Selatan), Kel. Kenali Asam Bawah, Kec. Kota Baru</t>
  </si>
  <si>
    <t>RS Mitra Medika Batang Hari</t>
  </si>
  <si>
    <t>Batang Hari</t>
  </si>
  <si>
    <t>Jl. Gajah Mada Kel. Teratai Kec. Muara Bulian</t>
  </si>
  <si>
    <t>RS Umum Daerah Mayjen H. A. Thalib</t>
  </si>
  <si>
    <t>Kota Sungai penuh</t>
  </si>
  <si>
    <t>Jl. Jenderal Basuki Rahmat, Desa Koto Renah, Kecamatan Pesisir Bukit, Kota Sungai Penuh, Provinsi Jambi</t>
  </si>
  <si>
    <t>Jl. Kabia No.4 RT. 01 Kebun Handil</t>
  </si>
  <si>
    <t>RS Merangin Medical Centre</t>
  </si>
  <si>
    <t>Jl. Lintas Sumatera KM. 03 Lingkungan Mensawang Kelurahan Dusun Bangko Kecamatan Bangko Kabupaten Merangin Kode Pos 37313</t>
  </si>
  <si>
    <t>RS Umum Daerah Raden Mattaher Jambi</t>
  </si>
  <si>
    <t>Jl. Letjen Suprapto no. 31 Telanaipura Jambi</t>
  </si>
  <si>
    <t>Jln. Jendral A. Yani No. 36 ( Rumah Sakit Melati) Sungai Penuh</t>
  </si>
  <si>
    <t>RS Umum Daerah Kolonel Abundjani/Bangko</t>
  </si>
  <si>
    <t>Jln. Kesehatan No. 20 Kelurahan Pematang Kandis Kecamatan Bangko Kabupaten Merangin Provinsi Jambi</t>
  </si>
  <si>
    <t>RS Andimas</t>
  </si>
  <si>
    <t>Jl. Sapta Marga RT. 021 RW. 003 Kel. Pematang Kandis Kec. Bangko</t>
  </si>
  <si>
    <t>RS Bhayangkara Jambi</t>
  </si>
  <si>
    <t>Jl. Raden Mathaher No.03 Jambi</t>
  </si>
  <si>
    <t>RS Umum Daerah Haji Abdoel Madjid Batoe</t>
  </si>
  <si>
    <t>Jl. Prof. Dr. Sri Soedewi, SH Muara Bulian</t>
  </si>
  <si>
    <t>RS Jiwa Daerah Provinsi Jambi</t>
  </si>
  <si>
    <t>Jl. Dr. Purwadi KM 9,5 Kelurahan Aur Kenali Kecamatan Telanaipura Jambi 36129</t>
  </si>
  <si>
    <t>RS Umum Setia Budi</t>
  </si>
  <si>
    <t>Jl. Pahlawan RT. 001 RW. 005 Kelurahan Wirotho Agung Kecamatan Rimbo Bujang Kabupaten Tebo Provinsi Jambi Kode Pos 37553</t>
  </si>
  <si>
    <t>RS Umum Daerah Rantau Ikil</t>
  </si>
  <si>
    <t>Desa Rantau Ikil Kec. Jujuhan Kab. Bungo</t>
  </si>
  <si>
    <t>RS Ibu dan Anak Trinanda Palembang</t>
  </si>
  <si>
    <t>Sumatera Selatan</t>
  </si>
  <si>
    <t>Kota Palembang</t>
  </si>
  <si>
    <t>Jl. RE. Martadinata No. 6-8 Palembang</t>
  </si>
  <si>
    <t>RS Umum Daerah Siti Fatimah Provinsi Sumatera Sela</t>
  </si>
  <si>
    <t>Jl. Kol. H. Burlian Km 6</t>
  </si>
  <si>
    <t>RS Pertamina Kota Prabumulih</t>
  </si>
  <si>
    <t>Kota Prabumulih</t>
  </si>
  <si>
    <t>Jl. Kesehatan No. 100 Komperta Prabumulih</t>
  </si>
  <si>
    <t>RS Umum Daerah Sukajadi</t>
  </si>
  <si>
    <t>Banyuasin</t>
  </si>
  <si>
    <t>Jl. Palembang Betung Km. 14.5 Kelurahan Tanah Mas Kecamatan  Talang kelapa Kabupaten Banyuasin Provinsi Sumatera Selatan kodepos 30961</t>
  </si>
  <si>
    <t>RS Ibu dan Anak Adellia Graha Medika</t>
  </si>
  <si>
    <t>Lahat</t>
  </si>
  <si>
    <t>Jl. Letnan Marzuki Ruko 59-59 Simpang Kodim Lama Kel. Pasar Lama Kec. Lahat</t>
  </si>
  <si>
    <t>RS Umum Daerah Bayung Lincir</t>
  </si>
  <si>
    <t>Musi Banyuasin</t>
  </si>
  <si>
    <t>Jl Raya Palembang-Jambi KM 200 Kec, Bayung Lencir</t>
  </si>
  <si>
    <t>RS Umum Daerah Siti Aisyah Kota Lubuk Linggau</t>
  </si>
  <si>
    <t>Kota Lubuk Linggau</t>
  </si>
  <si>
    <t>Jl. Letkol Sukirno No.20A Kel.Air Kuti, Kec. Lubuklinggau Timur I Kota Lubuklinggau Provinsi Sumatera Selatan</t>
  </si>
  <si>
    <t>RS Islam Siti Khadijah</t>
  </si>
  <si>
    <t>Jl. Demang Lebar Daun No.26</t>
  </si>
  <si>
    <t>RS Ibu dan Anak Marissa Palembang</t>
  </si>
  <si>
    <t>JL.KAPTEN ABDULLAH NO.1212 RT.18 RW. 07 KELURAHAN TALANG BUBUK, KECAMATAN PLAJU</t>
  </si>
  <si>
    <t>RS Umum Daerah dr. H. M. Rabain Muara Enim</t>
  </si>
  <si>
    <t>Muara Enim</t>
  </si>
  <si>
    <t>Jl. Sultan Mahmud Badarudin II No. 49</t>
  </si>
  <si>
    <t>RS Ibu dan Anak Rika Amelia</t>
  </si>
  <si>
    <t>Jl. Sultan Machmud Badaruddin II No. 18 Rt. 17 Rw. 04 Kel. Alang-Alang Lebar KM 11</t>
  </si>
  <si>
    <t>RS Ibu dan Anak Prima Qonita</t>
  </si>
  <si>
    <t>Ogan Komering Ulu</t>
  </si>
  <si>
    <t>Jl. Pahlawan Kemarung No. 27 Kec. Baturaja Timur, Kab. Ogan Komering Ulu, Prov. Sumatera Selatan</t>
  </si>
  <si>
    <t>RS Umum Daerah Muara Dua</t>
  </si>
  <si>
    <t>Ogan Komering Ulu Selatan</t>
  </si>
  <si>
    <t>Jl. Raya Ranau Bumi Agung Jaya, Kecamatan Buay Rawan, Kabupaten Ogan Komering Ulu Selatan, Provinsi Sumatera Selatan</t>
  </si>
  <si>
    <t>RS Umum Pusat Dr. Rivai Abdullah</t>
  </si>
  <si>
    <t>Jl. Sungai Kundur Kelurahan Mariana Kec. Banyuasin I</t>
  </si>
  <si>
    <t>RS Umum Santo Antonio</t>
  </si>
  <si>
    <t>Jl. Garuda No.3 KM.3 Desa Tanjung Baru, Kec. Baturaja Timur</t>
  </si>
  <si>
    <t>RS Umum Daerah Sekayu</t>
  </si>
  <si>
    <t>Jl. Bupati Oesman Bakar Lingkungan I Kel. Kayuara Kec. Sekayu Kab.Musi Banyuasin</t>
  </si>
  <si>
    <t>RS Siloam Silampari</t>
  </si>
  <si>
    <t>Jl Yos Sudarso Rt 11 Kelurahan Taba Jemekeh Kecamatan Lubuklinggau Timur 1</t>
  </si>
  <si>
    <t>RS Umum Daerah Palembang Bari</t>
  </si>
  <si>
    <t>Jl. Panca Usaha No.1 Kel. 5 ulu Seb. Ulu I, PALEMBANG</t>
  </si>
  <si>
    <t>RS Ibu dan Anak Karunia Indah Medika</t>
  </si>
  <si>
    <t>Jl. Mayor Tjik Agus Kiemas Lintas Kepur Muara Enim (Kawasan Perkantoran Islamic Center)</t>
  </si>
  <si>
    <t>RS Umum Sriwijaya</t>
  </si>
  <si>
    <t>Jl. Jenderal Sudirman No. 502 Km.4,5, Palembang</t>
  </si>
  <si>
    <t>RS Umum Daerah Talang Ubi</t>
  </si>
  <si>
    <t>Penukal Abab Lematang Ilir</t>
  </si>
  <si>
    <t>Jl. Taman Siswa RT. 014 RW. 05 Kel. Pasar Bhayangkara Kec. Talang Ubi</t>
  </si>
  <si>
    <t>RS Khusus Gigi dan Mulut Palembang Provinsi Sumate</t>
  </si>
  <si>
    <t>Jl. Kolonel. H. Burlian KM. 6 Palembang</t>
  </si>
  <si>
    <t>RS Umum Pertamina Palembang</t>
  </si>
  <si>
    <t>JL. Pengantingan NO I Komplek Pertamina Plaju, Palembang</t>
  </si>
  <si>
    <t>RS Ibu dan Anak Amanna</t>
  </si>
  <si>
    <t>Jl. DR. M. Hatta No. 877 Kelurahan Kemalaraja Kecamatan Baturaja Timur Kabupaten Ogan Komering Ulu Provinsi Sumatera Selatan</t>
  </si>
  <si>
    <t>RS Umum Daerah Semende Darat Laut</t>
  </si>
  <si>
    <t>Jl. Lingkar Desa Muara Dua Desa Muara Dua Kecamatan Semende Darat Laut Kabupaten Muara Enim Provinsi Sumatera Selatan Kode Pos 31356</t>
  </si>
  <si>
    <t>RS Umum Daerah Ogan Komering Ulu Timur</t>
  </si>
  <si>
    <t>Ogan Komering Ulu Timur</t>
  </si>
  <si>
    <t>Jl. Raya Belitang Rasuan No.1 Tulus Ayu Kecamatan Belitang Madang Raya</t>
  </si>
  <si>
    <t>RS Ibu dan Anak Ananda Lubuk Linggau</t>
  </si>
  <si>
    <t>Jl. Yos Sudarso Rt. 006,  Kelurahan Batu Urip, Kecamatan Lubuklinggau Timur 1, Kota Lubuklinggau, Provinsi Sumatera Selatan. Kodepos 31624.</t>
  </si>
  <si>
    <t>RS Muhammadiyah Palembang</t>
  </si>
  <si>
    <t>Jl. A. Yani 13 Ulu, kota Palembang,Sumatera selatan</t>
  </si>
  <si>
    <t>RS Umum Daerah Gandus Palembang</t>
  </si>
  <si>
    <t>Jl. Sofyan Kenawas Gandus Palembang</t>
  </si>
  <si>
    <t>RS Umum Daerah Tugu Jaya</t>
  </si>
  <si>
    <t>Ogan Komering Ilir</t>
  </si>
  <si>
    <t>Jln. Lintas Timur Palembang - Lampung KM. 125 Desa Tugu Jaya, Kecamatan Lempuing, Kabupaten Ogan Komering Ilir Sumatera Selatan 30657</t>
  </si>
  <si>
    <t>RS Umum YK Madira Palembang</t>
  </si>
  <si>
    <t>Jl. Jendral Sudirman No. 1051 C-D-E KM 3.5 Kecamatan Ilir Timur 1 , Kelurahan 20 Ilir D-I, Palembang, 30126, Provinsi Sumatera Selatan.</t>
  </si>
  <si>
    <t>RS Tk. IV Lahat</t>
  </si>
  <si>
    <t>Jl. Letjen harun sohar No.26,Lahat</t>
  </si>
  <si>
    <t>RS Umum Pusri Palembang</t>
  </si>
  <si>
    <t>Jl May Zen Kompl Pusri, 2 Ilir Palembang</t>
  </si>
  <si>
    <t>RS Ibu dan Anak AGDA</t>
  </si>
  <si>
    <t>Jl. Cut Nyak Dien No. 631 Kel. Kemalaraja</t>
  </si>
  <si>
    <t>RS Umum Daerah Gelumbang</t>
  </si>
  <si>
    <t>JL. Lingkar Gelumbang Kelurahan Gelumbang Kecamatan Gelumbang, Kabupaten Muara Enim, Provinsi Sumatera Selatan</t>
  </si>
  <si>
    <t>RS Umum Daerah Kota Prabumulih</t>
  </si>
  <si>
    <t>Jl. Lingkar Barat RT. 11 RW. 03, Kelurahan Gunung Ibul, Kecamatan Prabumulih Timur. Kota Prabumulih. Provinsi Sumatera Selatan</t>
  </si>
  <si>
    <t>RS Siloam Sriwijaya Palembang</t>
  </si>
  <si>
    <t>JL.POM IX (KOMPLEK PS MALL) KELURAHAN LOROK PAKJO</t>
  </si>
  <si>
    <t>RS Umum Daerah Pratama Makarti Jaya</t>
  </si>
  <si>
    <t>Jl. Sultan Agung No. 56 Lingkungan II Kelurahan Makarti Jaya Kecamatan Makarti Jaya Kabupaten Banyuasin Sumatera Selatan</t>
  </si>
  <si>
    <t>RS Umum Daerah Martapura</t>
  </si>
  <si>
    <t>Jl. Adiwiyata Simpang Lengot Kota Baru Kecamatan Martapura</t>
  </si>
  <si>
    <t>RS Ibu dan Anak Az-Zahra Palembang</t>
  </si>
  <si>
    <t>Jl.Brigjend Hasan Kasim No. 1-2 Kel. Bukit Sangkal Kec. Kalidoni Palembang</t>
  </si>
  <si>
    <t>RS Hermina Palembang</t>
  </si>
  <si>
    <t>JL. BASUKI RAHMAT NO 897 RT 897 RT 11 RW 003 PALEMBANG</t>
  </si>
  <si>
    <t>RS Umum Trijaya Medical Center</t>
  </si>
  <si>
    <t>Jl. Lintas Baturaja No. 541 Tanjung Buhuk, Kelurahan Tanjung Enim, Kecamatan Lawang Kidul, Kabupaten Muara Enim, Provinsi Sumatera Selatan</t>
  </si>
  <si>
    <t>RS Umum Daerah Dr. Sobirin Kabupaten Musi Rawas</t>
  </si>
  <si>
    <t>Musi Rawas</t>
  </si>
  <si>
    <t>Jalan Pangeran Moehamad Amin, Muara Beliti Baru, Kecamatan Muara Beliti, Kabupaten Musi Rawas Kode Pos 31661</t>
  </si>
  <si>
    <t>RS Jiwa Ernaldi Bahar Provinsi Sumatera Selatan</t>
  </si>
  <si>
    <t>Jl. Tembus Terminal No. 02, KM. 12 Kecamatan Alang Alang Lebar Kota Palembang</t>
  </si>
  <si>
    <t>RS Islam At-Taqwa Gumawang</t>
  </si>
  <si>
    <t>Jl. Inspeksi Irigasi Komering, Desa Tanah Merah, Kecamatan Belitang Madang Raya, Kabupaten Ogan Komering Ulu Timur, Provinsi Sumatera Selatan</t>
  </si>
  <si>
    <t>RS Ar-Royyan</t>
  </si>
  <si>
    <t>Ogan Ilir</t>
  </si>
  <si>
    <t>Jl Lintas Timur KM 33  LK I RT 02 Kel. Timbangan Kec. Indralaya Utara Kab. Ogan Ilir, Sumatera Selatan</t>
  </si>
  <si>
    <t>RS Umum Bukit Asam Medika</t>
  </si>
  <si>
    <t>Jl. Raya Bukit Asam no 118 Tanjung Enim</t>
  </si>
  <si>
    <t>RS Umum Daerah Banyuasin</t>
  </si>
  <si>
    <t>Jl. Raya Palembang - Betung Km.48,Pangkalan Balai Kabupaten Banyuasin Provinsi Sumatera Selatan</t>
  </si>
  <si>
    <t>RS Musi Medika Cendikia</t>
  </si>
  <si>
    <t>Jl. Demang Lebar Daun No.62 RT.035 RW.010 Kel. Demang Lebar Daun Kec. Ilir Barat I. Palembang Sumatera Selatan</t>
  </si>
  <si>
    <t>RS Pelabuhan Palembang</t>
  </si>
  <si>
    <t>Jl. Mayor Memet Sastra Wirya No.1 Boom Baru</t>
  </si>
  <si>
    <t>RS Pratama Tanah Abang</t>
  </si>
  <si>
    <t>Jl. RS Tanah Abang Dusun 1 Tanah Abang Jaya, Kecamatan Tanah Abang</t>
  </si>
  <si>
    <t>RS Umum Daerah Dr. Ibnu Sutowo Baturaja</t>
  </si>
  <si>
    <t>Jl. Dr. Moh.Hatta No.1,Baturaja</t>
  </si>
  <si>
    <t>RS Ibu dan Anak Mama</t>
  </si>
  <si>
    <t>Jalan Lembing Blok F No. 15 Kampus POM IX, RT 031, RW 009, Kelurahan Lorok Pakjo, Kecamatan Ilir Barat Satu, Kota Palembang, Provinsi Sumatera Selatan</t>
  </si>
  <si>
    <t>RS Hermina OPI Jakabaring</t>
  </si>
  <si>
    <t>Jl. Gub H A Bastari RT 010 RW 005 Kel. Jakabaring Selatan Kec. Rambutan</t>
  </si>
  <si>
    <t>RS Umum Daerah Rupit Kabupaten Musi Rawas Utara</t>
  </si>
  <si>
    <t>Musi Rawas Utara</t>
  </si>
  <si>
    <t>Jl. Kesehatan No. 1 Desa Lawang Agung Kec. Rupit Kab. Musi Rawas Utara Provinsi Sumatera Selatan</t>
  </si>
  <si>
    <t>RS Umum Bunda Palembang</t>
  </si>
  <si>
    <t>Jl. Demang Lebar Daun No 70 Palembang</t>
  </si>
  <si>
    <t>RS Umum Daerah Kabupaten Empat Lawang</t>
  </si>
  <si>
    <t>Empat Lawang</t>
  </si>
  <si>
    <t>Jl. Noerdin Pandji Km 5, Kelurahan Tanjung Kupang, Kecamatan Tebing Tinggi, Kabupaten Empat Lawang, Provinsi Sumatera Selatan</t>
  </si>
  <si>
    <t>RS Permata Palembang</t>
  </si>
  <si>
    <t>Jl. Soekarno Hatta, Ilir Barat 1, Palembang</t>
  </si>
  <si>
    <t>RS AR Bunda Kota Prabumulih</t>
  </si>
  <si>
    <t>Jl. Angkatan 45 Kel. Gunung Ibul Barat Kec. Prabumulih Timur Prabumulih, Sumatera Selatan 31121</t>
  </si>
  <si>
    <t>RS Umum Pusat Dr. Mohammad Hoesin Palembang</t>
  </si>
  <si>
    <t>Jl. Jendral Sudirman KM 3,5 Palembang</t>
  </si>
  <si>
    <t>RS Umum Ar-Rasyid Palembang</t>
  </si>
  <si>
    <t>JL. H. M. Saleh No. 02 KM. 7 Kel. Sukarami Kec. Sukarami Palembang</t>
  </si>
  <si>
    <t>RS Bunda Medika Jakabaring</t>
  </si>
  <si>
    <t>Jl. Gubernur H.A. Bastari Jakabaring Desa Sungai Kedukan Kecamatan Rambutan</t>
  </si>
  <si>
    <t>RS Umum Daerah Petanang</t>
  </si>
  <si>
    <t>Jl. Soekarno Hatta KM 12.5 Kelurahan. Petanang Ilir Kecamatan. Lubuklinggau Utara 1. Kota Lubuk Linggau. Provinsi Sumatera Selatan</t>
  </si>
  <si>
    <t>Charitas Hospital Belitang</t>
  </si>
  <si>
    <t>Jl. H. Muhammad Shaleh Mualim BK 10 Tegal Rejo Belitang</t>
  </si>
  <si>
    <t>RS Umum Daerah Sungai Lilin</t>
  </si>
  <si>
    <t>Jl. Palembang-Jambi KM.117 RSUD Sungai Lilin Kecamatan Sungai Lilin</t>
  </si>
  <si>
    <t>RS Umum Myria Palembang</t>
  </si>
  <si>
    <t>Jl. Kol. H. Barlian Km. 7 No. 228 Kota. Palembang</t>
  </si>
  <si>
    <t>RS Umum Graha Mandiri</t>
  </si>
  <si>
    <t>Jl.ANWAR ARSYAD NO.12 RT.02 RW.07 KEL SIRING AGUNG</t>
  </si>
  <si>
    <t>RS Umum Daerah Lahat</t>
  </si>
  <si>
    <t>Jl. Letjend Harun Sohar  I  No.28 Kelurahan Pasar Baru Kabupaten Lahat Sumatera Selatan</t>
  </si>
  <si>
    <t>RS Ibu dan Anak Bunda Noni</t>
  </si>
  <si>
    <t>Jl. Srijaya Negara No.1 Rt.72 Rw.11 Kel. Bukit Lama</t>
  </si>
  <si>
    <t>RS Umum dr. AK. Gani Kota Palembang</t>
  </si>
  <si>
    <t>Jl. dr AK Gani no I Palembang</t>
  </si>
  <si>
    <t>RS Bhayangkara M. Hasan Palembang</t>
  </si>
  <si>
    <t>Jl. Jenderal Sudirman KM. 4.5</t>
  </si>
  <si>
    <t>RS AR Bunda Kota Lubuk Linggau</t>
  </si>
  <si>
    <t>Jl. Garuda No. 245 RT. 03 Kel. Bandung Kiri Kec. Lubuklinggau Barat I Kota Lubuklinggau, Sumsel</t>
  </si>
  <si>
    <t>RS Ibu dan Anak Dwi Sari</t>
  </si>
  <si>
    <t>Jl. Yos Sudarso No. 2 RT. 03, Watervang, Kec. Lubuklinggau Timur I, Kota Lubuklinggau, Provinsi Sumatera Selatan</t>
  </si>
  <si>
    <t>RS Umum Daerah Lubai Ulu</t>
  </si>
  <si>
    <t>Jl. Raya Prabumulih- Batu Raja ,Desa Karang Agung, Kecamatan Lubai Ulu, Kabupaten Muara Enim, Provinsi Sumatera Selatan</t>
  </si>
  <si>
    <t>RS Umum Daerah Kayuagung</t>
  </si>
  <si>
    <t>Jl. Letjen Yusuf Sungadekane No. 01, Kel.Jua Jua, Kec.Kayuagung, Sumatera Selatan</t>
  </si>
  <si>
    <t>RS Umum Fadhilah Kota Prabumulih</t>
  </si>
  <si>
    <t>Jl. Jenderal Sudirman No.01 Kel. Patih Galung Kec. Prabumulih Barat</t>
  </si>
  <si>
    <t>RS Ibu dan Anak Graha Kurnia</t>
  </si>
  <si>
    <t>Jl.Syekh Kaliyudin (Kemiling) Rt. 11 Rw. 04 Desa Tanjung Baru Kec. Baturaja Timur Kab. Ogan Komering Ulu Provinsi Sumatera Selatan</t>
  </si>
  <si>
    <t>RS Umum Dr. Noesmir Baturaja</t>
  </si>
  <si>
    <t>Jln. Dr. Moh Hatta No 64</t>
  </si>
  <si>
    <t>RS Umum Daerah Kabupaten Ogan Ilir</t>
  </si>
  <si>
    <t>Komplek Perkantoran Terpadu (KPT) Pemerintah Daerah Kabupaten Ogan Ilir Desa Sejaro Sakti Kecamatan Indralaya Kabupaten Ogan Ilir Provinsi Sumatera Selatan</t>
  </si>
  <si>
    <t>RS Khusus Mata Masyarakat Provinsi Sumatera Selatan</t>
  </si>
  <si>
    <t>Jl. Kol. H. Burlian KM.6 , Desa/Kelurahan Sukajaya, Kec.Sukarami, Kota Palembang, Prov.Sumatera Selatan , Kode Pos : 30151</t>
  </si>
  <si>
    <t>RS Pratama Pendopo</t>
  </si>
  <si>
    <t>Jl. Jati Kel. Pendopo Kec. Pendopo</t>
  </si>
  <si>
    <t>RS Umum Daerah Basemah Kota Pagar Alam</t>
  </si>
  <si>
    <t>Kota Pagar Alam</t>
  </si>
  <si>
    <t>Jl. AIS Nasution No.3 Kel. Alun Dua Kec. Pagar Alam Utara Kota Pagar Alam Provinsi Sumatera Selatan</t>
  </si>
  <si>
    <t>RS Umum Mahyuzahra</t>
  </si>
  <si>
    <t>JL.RAYA LINTAS TIMUR KM.35,5 KELURAHAN INDRALAYA RAYA KECAMATAN INDRALAYA KABUPATEN OGAN ILIR PROVINSI SUMATERA SELATAN</t>
  </si>
  <si>
    <t>RS Umum Charitas Hospital Palembang</t>
  </si>
  <si>
    <t>Jl. Sudirman 1054 Palembang</t>
  </si>
  <si>
    <t>RS Umum Daerah Muara Beliti</t>
  </si>
  <si>
    <t>Jl. Pangeran Moehammad Amin, Komplek Perkantoran Pemerintah Kabupaten Musi Rawas, Ds. Muara Beliti Baru, Kec. Muara Beliti, Kab. Musi Rawas, Prov. Sumatera Selatan</t>
  </si>
  <si>
    <t>Charitas Hospital Kenten</t>
  </si>
  <si>
    <t>JL.BETAWI RAYA NO 1340 RT 22 RW 06 KELURAHAN LEBONG GAJAH KECAMATAN SEMATANG BORANG PALEMBANG</t>
  </si>
  <si>
    <t>RS Khusus Bedah Dokter Maulana AK</t>
  </si>
  <si>
    <t>JALAN DOKTOR MUHAMMAD HATTA KELURAHAN KEMALARAJA KECAMATAN BATURAJA TIMUR KABUPATEN OGAN KOMERING ULU PROVINSI SUMATERA SELATAN</t>
  </si>
  <si>
    <t>RS Ibu dan Anak Tino Galo Kota Bengkulu</t>
  </si>
  <si>
    <t>Bengkulu</t>
  </si>
  <si>
    <t>Kota Bengkulu</t>
  </si>
  <si>
    <t>Jl. Budi Utomo Kel. Beringin Raya</t>
  </si>
  <si>
    <t>RS Umum Daerah Kabupaten Rejang Lebong</t>
  </si>
  <si>
    <t>Rejang Lebong</t>
  </si>
  <si>
    <t>Jalan  Jalur Dua Kelurahan Durian Depun  Kecamatan Merigi  Kabupaten  Kepahiang  Provinsi  Bengkulu  Kode  Pos 39371</t>
  </si>
  <si>
    <t>RS Umum Daerah Bengkulu Tengah</t>
  </si>
  <si>
    <t>Bengkulu Tengah</t>
  </si>
  <si>
    <t>Jl. Raya Bengkulu - Kepahiang  Km.27,5 Desa Durian Demang Kecamatan Karang Tinggi, Kabupaten Bengkulu Tengah, Propinsi Bengkulu 38385</t>
  </si>
  <si>
    <t>RS Assalam</t>
  </si>
  <si>
    <t>Jl. MH. Thamrin No. 04 Kel. Air Rambai, Kec. Curup</t>
  </si>
  <si>
    <t>RS Rafflesia Bengkulu</t>
  </si>
  <si>
    <t>Jln. Mahoni No.10 Kelurahan Padang Jati Kecamatan Ratu Samban Kota Bengkulu Kode Pos 38227</t>
  </si>
  <si>
    <t>RS Umum Daerah Arga Makmur</t>
  </si>
  <si>
    <t>Bengkulu Utara</t>
  </si>
  <si>
    <t>Jl. Siti Khadijah No. 08 Arga Makmur Kabupaten Bengkulu Utara</t>
  </si>
  <si>
    <t>RS As-syifa</t>
  </si>
  <si>
    <t>Bengkulu Selatan</t>
  </si>
  <si>
    <t>Jl. Gerak Alam RT. 13 Kelurahan Kota Medan Kecamatan Kota Manna</t>
  </si>
  <si>
    <t>RS Bhayangkara Jitra Kota Bengkulu</t>
  </si>
  <si>
    <t>Jl. Veteran No.2 Kelurahan Jitra Kota Bengkulu</t>
  </si>
  <si>
    <t>RS Umum Daerah Tais Kabupaten Seluma</t>
  </si>
  <si>
    <t>Seluma</t>
  </si>
  <si>
    <t>Jl. Raya Bengkulu-Manna Km. 64 Kelurahan Selebar Kecamatan Seluma Timur Kabupaten Seluma, Propinsi Bengkulu</t>
  </si>
  <si>
    <t>RS Umum Daerah Lagita</t>
  </si>
  <si>
    <t>Jl. Pusat KTM Lagita Desa Urai Kecamatan Ketahun Kab Bengkulu Utara Provinsi Bengkulu</t>
  </si>
  <si>
    <t>RS Umum Ummi Bengkulu</t>
  </si>
  <si>
    <t>Jln. Hibrida Raya No. 01 RT 23 RW 08</t>
  </si>
  <si>
    <t>RS Gading Medika</t>
  </si>
  <si>
    <t>Jl. Citandui No. 34 Kel. Lingkar Barat Kec. Gading Cempaka</t>
  </si>
  <si>
    <t>RS Umum Daerah Kepahiang</t>
  </si>
  <si>
    <t>Kepahiang</t>
  </si>
  <si>
    <t>Jl. Lintas Kepahiang-Bengkulu KM 03 Desa Tebat Monok Kepahiang</t>
  </si>
  <si>
    <t>RS Tiara Sella</t>
  </si>
  <si>
    <t>Jl.S.Parman No.61 Kota Bengkulu</t>
  </si>
  <si>
    <t>RS Umum Daerah Hasanuddin Damrah Manna</t>
  </si>
  <si>
    <t>Jl. Raya Padang Panjang Manna Kabupaten Bengkulu Selatan</t>
  </si>
  <si>
    <t>RS Jiwa Soeprapto Provinsi Bengkulu</t>
  </si>
  <si>
    <t>Jl. Bhakti Husada Lingkar Barat Bengkulu</t>
  </si>
  <si>
    <t>RS Umum Daerah Lebong</t>
  </si>
  <si>
    <t>Lebong</t>
  </si>
  <si>
    <t>Jln. Muara Aman - Curup, Desa Muning Agung , Kecamatan Lebong Sakti, Kabupaten Lebong , Provinsi Bengkulu</t>
  </si>
  <si>
    <t>RS Tk. IV Bengkulu</t>
  </si>
  <si>
    <t>Jl. Zainul Arifin RT 05/01 Kel. Padang Nangka Kecamatan Singaran Pati Bengkulu</t>
  </si>
  <si>
    <t>RS Umum Daerah Kaur</t>
  </si>
  <si>
    <t>Kaur</t>
  </si>
  <si>
    <t>Jl. Lintas Barat Sumatera, Cahaya Bathin, Kec. Semidang Gumay, Kabupaten Kaur, Provinsi Bengkulu</t>
  </si>
  <si>
    <t>RS Bergerak Enggano</t>
  </si>
  <si>
    <t>Jl. Raya Malakoni KM 3 Kecamatan Enggano Kabupaten Bengkulu Utara</t>
  </si>
  <si>
    <t>RS Umum Daerah Harapan dan Doa</t>
  </si>
  <si>
    <t>Jl. Let. Jend. Basuki Rahmad  Kecamatan Ratu Samban Kota Bengkulu</t>
  </si>
  <si>
    <t>Charitas Hospital Arga Makmur</t>
  </si>
  <si>
    <t>Jl. Ir. Soekarno No.12 Rama Agung Arga Makmur, Bengkulu Utara</t>
  </si>
  <si>
    <t>RS Umum Daerah Mukomuko</t>
  </si>
  <si>
    <t>Muko Muko</t>
  </si>
  <si>
    <t>Jl. Danau Nibung Desa Kota Praja Kecamatan Air Manjunto Kabupaten Mukomuko Provinsi Bengkulu</t>
  </si>
  <si>
    <t>RS Ibu dan Anak AL-Barra</t>
  </si>
  <si>
    <t>Jl. Pulai Berantai Desa Ujung Padang Kecamatan Kota Mukomuko</t>
  </si>
  <si>
    <t>RS An-Nissa</t>
  </si>
  <si>
    <t>Jl. Lintas Curup-Lubuk Linggau, Kelurahan Simpang Nangka, Kecamatan Selupu Rejang, Kabupaten Rejang Lebong, Provinsi Bengkulu.</t>
  </si>
  <si>
    <t>RS Umum Daerah Dr. M. Yunus Bengkulu</t>
  </si>
  <si>
    <t>Jl. Bayangkara Kel. Sido Mulyo Kec. Gading Cempaka Kota Bengkulu</t>
  </si>
  <si>
    <t>RS Umum Daerah Pringsewu</t>
  </si>
  <si>
    <t>Lampung</t>
  </si>
  <si>
    <t>Pringsewu</t>
  </si>
  <si>
    <t>Jl. Lintas Barat Pekon Fajar Agung Barat Kec. Pringsewu</t>
  </si>
  <si>
    <t>RS Natar Medika</t>
  </si>
  <si>
    <t>Lampung Selatan</t>
  </si>
  <si>
    <t>Jl. Raya Natar No.4 Muara Putih, Lampung Selatan</t>
  </si>
  <si>
    <t>RS Umum Advent Bandar Lampung</t>
  </si>
  <si>
    <t>Kota Bandar Lampung</t>
  </si>
  <si>
    <t>Jl. Teuku Umar No. 48, Kelurahan Surabaya, Kecamatan Kedaton</t>
  </si>
  <si>
    <t>RS Siti Khodijah</t>
  </si>
  <si>
    <t>Jl. Kolonel Makmun Rasyid No. 59, Kel Way Urang</t>
  </si>
  <si>
    <t>RS Ibu Anak Hidayah Ibu</t>
  </si>
  <si>
    <t>JL. KESUMA BANGSA NO.128 WAY URANG, KALIANDA, Desa/Kelurahan Way Urang, Kec. Kalianda, Kab. Lampung Selatan, Provinsi Lampung, Kode Pos: 35551</t>
  </si>
  <si>
    <t>RS Umum Daerah Menggala Tulang Bawang</t>
  </si>
  <si>
    <t>Tulang Bawang</t>
  </si>
  <si>
    <t>Jalan Negara Lintas Timur KM. 112 Tiuh Tohou Ke. Menggala, Kab.T ulang Bawang, Prov. Lampung</t>
  </si>
  <si>
    <t>RS Medika Insani</t>
  </si>
  <si>
    <t>Lampung Utara</t>
  </si>
  <si>
    <t>Jl. Sumber Jaya No. 667 Desa Tanjung Baru Kecamatan Bukit Kemuning Kabupaten Lampung Utara</t>
  </si>
  <si>
    <t>RS Umum Kartini</t>
  </si>
  <si>
    <t>Lampung Tengah</t>
  </si>
  <si>
    <t>Jl. KARTINI NO. 104 KALIREJO</t>
  </si>
  <si>
    <t>RS Ibu dan Anak Bunda</t>
  </si>
  <si>
    <t>Lampung Barat</t>
  </si>
  <si>
    <t>Jl. Raden Intan II, No.36, Kelurahan Way Mengaku, Kecamatan Balik Bukit</t>
  </si>
  <si>
    <t>RS Mata Lampung Eye Center (LEC)</t>
  </si>
  <si>
    <t>Jl. Sultan Agung, Komplek Ruko Sentra Niaga No. 12-15 Way Halim Permai, Bandar Lampung</t>
  </si>
  <si>
    <t>RS Griya Medika Dompet Dhuafa</t>
  </si>
  <si>
    <t>Jl. Ethanol Unit 2 Tunggal Warga Kec. Banjar Agung</t>
  </si>
  <si>
    <t>RS Umum Daerah Sukadana</t>
  </si>
  <si>
    <t>Lampung Timur</t>
  </si>
  <si>
    <t>Jl. Letnan Adnan Sanjaya,Lintas Timur,Sukadana,Lampung Timur</t>
  </si>
  <si>
    <t>RS Umum Haji Kamino</t>
  </si>
  <si>
    <t>Way Kanan</t>
  </si>
  <si>
    <t>Jl. Sriwijaya No. 56  Setia Negara Kec. Baradatu Kab. Way Kanan Provinsi Lampung</t>
  </si>
  <si>
    <t>RS Belleza Kedaton Bandar Lampung</t>
  </si>
  <si>
    <t>Jl. Sultan Haji Labuan Ratu Bandar Lampung</t>
  </si>
  <si>
    <t>RS Umum Graha Husada</t>
  </si>
  <si>
    <t>Jl. Gajah Mada No.88,Bandar Lampung</t>
  </si>
  <si>
    <t>RS Ibu dan Anak Restu Bunda</t>
  </si>
  <si>
    <t>Jl. Kh. Hasyim Ashari No.73, Gedong Pakuon, Kec. Telukbetung Selatan, Kota Bandar Lampung, Lampung 35221</t>
  </si>
  <si>
    <t>RS Airan Raya</t>
  </si>
  <si>
    <t>JL. Airan Raya NO.99 Way Huwi Jati Agung Lampung Selatan</t>
  </si>
  <si>
    <t>RS Umum Daerah KH. Muhammad Thohir KRUI</t>
  </si>
  <si>
    <t>Pesisir Barat</t>
  </si>
  <si>
    <t>Jl. Atar Sedangkek Pekon Way Suluh Kecamatan Krui Selatan Kabupaten Pesisir Barat</t>
  </si>
  <si>
    <t>RS Tk. IV 02.07.04</t>
  </si>
  <si>
    <t>Jl. Dr. A.Rivai No.7, Bandar Lampung</t>
  </si>
  <si>
    <t>RS Umum Harapan Bunda</t>
  </si>
  <si>
    <t>Jl. Raya Lintas Sumatera, Seputih Jaya No.31, Kec. Gunung Sugih, Kab. Lampung Tengah</t>
  </si>
  <si>
    <t>RS Artha Bunda</t>
  </si>
  <si>
    <t>Jl. Lintas Timur RT/RW 017/08 Desa Sido Binangun,Kec.Way Seputih,Kab. Lampung Tengah Propinsi Lampung</t>
  </si>
  <si>
    <t>RS Umum Daerah Tulang Bawang Barat</t>
  </si>
  <si>
    <t>Tulang Bawang Barat</t>
  </si>
  <si>
    <t>Jl. Diponegoro Tiyuh Panaragan Kec. Tulang Bawang Tengah Kab. Tulang Bawang Barat Provinsi Lampung</t>
  </si>
  <si>
    <t>RS Umum Yukum Medical Centre</t>
  </si>
  <si>
    <t>Jl. Negara No.99 Km.67 Yukum Jaya Lampung Tengah</t>
  </si>
  <si>
    <t>RS AKA Medika Sribhawono</t>
  </si>
  <si>
    <t>Jl. Ir. Sutami Km.1 Sribhawono, Lampung Timur</t>
  </si>
  <si>
    <t>RS Bhayangkara Polda Lampung</t>
  </si>
  <si>
    <t>Jl. Pramuka No.88 Rajabasa Bandar Lampung</t>
  </si>
  <si>
    <t>RS Umum Islam Metro</t>
  </si>
  <si>
    <t>Kota Metro</t>
  </si>
  <si>
    <t>Jl. Jend.AH Nasution No.250 kelurahan Yosodadi, kecamatan Metro Timur , Kota Metro Lampung Provinsi Lampung</t>
  </si>
  <si>
    <t>RS Ibu dan Anak Puri Betik Hati</t>
  </si>
  <si>
    <t>Jln. Pajajaran No 109 Jagabaya II Wayhalim</t>
  </si>
  <si>
    <t>RS Maria Regina</t>
  </si>
  <si>
    <t>Jl. Abdoel Moeloek No. 119 Tanjung Aman, Kotabumi, Lampung Utara</t>
  </si>
  <si>
    <t>RS Umum Imanuel Way Halim</t>
  </si>
  <si>
    <t>Jl. Sukarno Hatta Way Halim,Bandar Lampung</t>
  </si>
  <si>
    <t>RS Umum Daerah Pesawaran</t>
  </si>
  <si>
    <t>Pesawaran</t>
  </si>
  <si>
    <t>Jln. Raya Kedondong, Sukamarga, Desa Gedong Tataan Kec. Gedong Tataan, kab. Pesawaran</t>
  </si>
  <si>
    <t>RS Ibu dan Anak Ibunda</t>
  </si>
  <si>
    <t>Jl. Raya Lintas Pantai Timur Sumatera, Desa Mataram Baru, Kel. Mataram Baru Kec. Mataram Baru</t>
  </si>
  <si>
    <t>RS Panti Secanti</t>
  </si>
  <si>
    <t>Tanggamus</t>
  </si>
  <si>
    <t>Jl. Raya Gisting,Tanggamus</t>
  </si>
  <si>
    <t>RS Umum Az - Zahra</t>
  </si>
  <si>
    <t>Jl. Kartini No. 109 Kalirejo , Kec. Kalirejo,</t>
  </si>
  <si>
    <t>RS Umum Islam Asy-Syifaa Bandar Jaya</t>
  </si>
  <si>
    <t>Jl. Lintas Sumatera KM 65 Yukum Jaya Terbanggi Besar Bandar Jaya</t>
  </si>
  <si>
    <t>RS Umum Daerah Dr. A. Dadi Tjokrodipo</t>
  </si>
  <si>
    <t>Jl. Basuki Rachmat No. 73 Teluk Betung Utara, Kota Bandar Lampung</t>
  </si>
  <si>
    <t>RS Umum  Mardi Waluyo</t>
  </si>
  <si>
    <t>Jl. Jenderal Sudirman 156,Kota Metro, Lampung</t>
  </si>
  <si>
    <t>RS Umum Bumi Waras</t>
  </si>
  <si>
    <t>Jl. W. Monginsidi No.235,Bandar Lampung</t>
  </si>
  <si>
    <t>RS Umum Mutiara Bunda</t>
  </si>
  <si>
    <t>Jl. Lintas Timur No. 1147 Unit II  Kec. Bandar Agung</t>
  </si>
  <si>
    <t>RS Umum Mitra Husada</t>
  </si>
  <si>
    <t>Jl. Jend.A.Yani No.14 Pringsewu,Kab.Pringsewu</t>
  </si>
  <si>
    <t>RS Umum Daerah Zainal Abidin Pagar Alam</t>
  </si>
  <si>
    <t>Jl. Raya Lintas Sumatera, Umpu Semenguk</t>
  </si>
  <si>
    <t>RS Ibu dan Anak Bunda Asy Syifa</t>
  </si>
  <si>
    <t>JL. Dr. Susilo, Nomor 54  Enggal, Pahoman, Bandar Lampung, Lampung</t>
  </si>
  <si>
    <t>RS Ibu dan Anak Mawar</t>
  </si>
  <si>
    <t>Jalan Lintas Timur Plangkawati 1, Desa Labuhan Ratu VII Kec. Labuhan Ratu Kab. Lampung Timur, Provinsi Lampung</t>
  </si>
  <si>
    <t>RS Ibu Anak Puri Adhya Paramita</t>
  </si>
  <si>
    <t>Jl. SULTAN AGUNG NO. 5 BANDAR JAYA - TERBANGGI BESAR</t>
  </si>
  <si>
    <t>RS Umum Daerah Dr. H. Bob Bazar, SKM</t>
  </si>
  <si>
    <t>Jl. Lettu Rohani No. 14 B, Desa Kedaton, Kecamatan Kalianda, Kabupaten Lampung Selatan, Provinsi Lampung</t>
  </si>
  <si>
    <t>RS Umum Surya Asih</t>
  </si>
  <si>
    <t>Jl. A. Yani No.51, Pringsewu</t>
  </si>
  <si>
    <t>RS Umum Urip Sumoharjo</t>
  </si>
  <si>
    <t>Jl. Urip Sumoharjo No.200,Bandar Lampung</t>
  </si>
  <si>
    <t>Jl. Raya Way Jepara Plangkawati II Labuhan Ratu Baru Kec. Way Jepara Kab. Lampung Timur</t>
  </si>
  <si>
    <t>RS Umum Penawar Medika</t>
  </si>
  <si>
    <t>Jl. Lintas Timur Sumatera Desa Agung Dalam Rt.003 Rw.002 Kec. Banjar margo Kab. Tulang Bawang Provinsi Lampung</t>
  </si>
  <si>
    <t>RS Umum Daerah Dr H Abdul Moeloek</t>
  </si>
  <si>
    <t>Jl. Dr. Rivai 6, Kelurahan Penengahan Kecamatan Tanjungkarang Pusat, Kota Bandar Lampung, Provinsi Lampung  35112</t>
  </si>
  <si>
    <t>RS Umum Daerah Demang Sepulau Raya</t>
  </si>
  <si>
    <t>Jl. Lintas Sumatera Nomor 4.A, Terbanggi Agung, Gunung Sugih, Lampung Tengah. KodePos 34161</t>
  </si>
  <si>
    <t>RS Ibu dan Anak Ummi Athayya</t>
  </si>
  <si>
    <t>Jl. KH. Ahmad Dahlan, Candra Mukti, Tulang BAwang Barat</t>
  </si>
  <si>
    <t>RS Ibu dan Anak Mutiara Putri</t>
  </si>
  <si>
    <t>JL. HOS COKROAMINOTO NO. 96 ENGGAL BANDAR LAMPUNG</t>
  </si>
  <si>
    <t>RS Umum Gladish Medical Center</t>
  </si>
  <si>
    <t>Jln.Ahmad Yani No.36 Desa Taman Sari Kec.Gedong Tataan Kabupaten Pesawaran Lampung</t>
  </si>
  <si>
    <t>RS Umum Mitra Mulia Husada</t>
  </si>
  <si>
    <t>Jl. Proklamator Raya No.162-164,Lampung Tengah</t>
  </si>
  <si>
    <t>RS Ibu dan Anak Mutiara Hati</t>
  </si>
  <si>
    <t>Jl. Raya Tambahsari No.15 Gading Rejo</t>
  </si>
  <si>
    <t>RS Azizah</t>
  </si>
  <si>
    <t>Jl. Hanafiah No. 64/75 Kel. Imopuro Metro Pusat</t>
  </si>
  <si>
    <t>RS Umum Bintang Amin</t>
  </si>
  <si>
    <t>Jl. Pramuka No.27 Kecamatan Kemiling, Kota Bandar Lampung Provinsi Lampung</t>
  </si>
  <si>
    <t>RS Jiwa Daerah Provinsi Lampung</t>
  </si>
  <si>
    <t>Jl. Raya Gd.Tataan KM 13 Pesawaran 35366</t>
  </si>
  <si>
    <t>RS Ibu dan Anak Asih Kota Metro</t>
  </si>
  <si>
    <t>JL.JEND.A.YANI NO.52 IRINGMULYO METRO TIMUR, KOTA METRO,LAMPUNG.</t>
  </si>
  <si>
    <t>RS Mesuji Healthcare Center</t>
  </si>
  <si>
    <t>Mesuji</t>
  </si>
  <si>
    <t>Jl. Jendral Sudirman, Kel. Simpang Mesuji, Kec. Simpang Pematang</t>
  </si>
  <si>
    <t>RS Umum Daerah Alimuddin Umar</t>
  </si>
  <si>
    <t>Jl. Teuku Umar No. 3, Lampung Barat</t>
  </si>
  <si>
    <t>RS Umum Daerah May Jen HM Ryacudu</t>
  </si>
  <si>
    <t>Jl. Jend.Sudirman No.2 Kelurahan Tanjung Harapan Kecamatan Kotabumi Selatan  - Kabupaten Lampung Utara Provinsi Lampung</t>
  </si>
  <si>
    <t>RS Umum Permata Hati Metro</t>
  </si>
  <si>
    <t>Jl. AH. Nasution No. 34-36 Kel. Yosorejo Kec. Metro Timur Kota Metro -Lampung</t>
  </si>
  <si>
    <t>RS Hermina Lampung</t>
  </si>
  <si>
    <t>Jl. Tulang Bawang No. 21 Kel. Enggal Kec. Enggal</t>
  </si>
  <si>
    <t>RS Candimas Medical Center</t>
  </si>
  <si>
    <t>Jl. Alamsyah Ratu Perwira Negara No. 47 Kotabumi Selatan</t>
  </si>
  <si>
    <t>RS Umum Daerah Ahmad Yani Metro</t>
  </si>
  <si>
    <t>Jl.Jend. A.Yani No.13 Kota Metro</t>
  </si>
  <si>
    <t>RS Ibu dan Anak Anugerah Medical Center Metro</t>
  </si>
  <si>
    <t>Jl. Kunang 15 Kauman, Metro</t>
  </si>
  <si>
    <t>RS Ibu dan Anak Santa Anna</t>
  </si>
  <si>
    <t>Jl.Hasanuddin no.27 Telukbetung</t>
  </si>
  <si>
    <t>RS Umum Asy-Syifa Medika</t>
  </si>
  <si>
    <t>Daya Asri RT/RW 002/002 Kecamatan Tumijajar  Kabupaten Tulang Bawang Barat Provinsi Lampung</t>
  </si>
  <si>
    <t>RS Khusus Mata Permana Sari</t>
  </si>
  <si>
    <t>Jl.Bougenvile 1 Rawa Laut Kec.Enggal-Bandar Lampung</t>
  </si>
  <si>
    <t>RS Umum HI. Muhammad Yusuf</t>
  </si>
  <si>
    <t>Jl. Lintas Sumatera No. 12 KelurahanKalibalangan, Kecamatan Abung Selatan , Kabupaten Lampung Utara, Provinsi Lampung</t>
  </si>
  <si>
    <t>RS Wisma Rini</t>
  </si>
  <si>
    <t>Jl. Wisma Rini Nomor 1 Kel. Pringsewu Selatan Kec. Pringsewu Kab. Pringsewu Prov. Lampung</t>
  </si>
  <si>
    <t>RS Umum Daerah Ragab Begawe Caram</t>
  </si>
  <si>
    <t>Jl. ZA. Pagar Alam Brabasan Kec. Tanjung Raya Kabupaten Mesuji Lampung</t>
  </si>
  <si>
    <t>RS Umum Daerah Batin Mangunang</t>
  </si>
  <si>
    <t>Jl. Soekarno Hatta Komplek Islamic Center kecamatan Kota Agung Kabupaten Tanggamus Provinsi Lampung Kode Pos 35384</t>
  </si>
  <si>
    <t>RS Umum Handayani</t>
  </si>
  <si>
    <t>Jl. Soekarno - Hatta No.94,Kotabumi lampung Utara</t>
  </si>
  <si>
    <t>RS Umum Muhammadiyah Metro</t>
  </si>
  <si>
    <t>Jl. Soekarno Hatta No.42 Mulyojati 16B, Metro Barat</t>
  </si>
  <si>
    <t>RS Ibu Anak Puti Bungsu</t>
  </si>
  <si>
    <t>Jalan. Raden Intan RT/RW 003/002 LK II, Bandar Jaya Timur , Terbanggi Besar, Lampung tengah</t>
  </si>
  <si>
    <t>RS Ibu dan Anak Harapan Bunda</t>
  </si>
  <si>
    <t>Jl. KH. Dewantara No. 1269 Pringsewu - Lampung</t>
  </si>
  <si>
    <t>RS Umum Daerah Bandar Negara Husada</t>
  </si>
  <si>
    <t>Kompleks Pemprov Lampung Kota Baru Jati Agung Kabupaten Lampung Selatan 35365</t>
  </si>
  <si>
    <t>RS Umum Daerah Sumbersari Bantul</t>
  </si>
  <si>
    <t>Jl. Jenderal Soeprapto No. 4 Kel. Sumbersari Kec. Metro Selatan</t>
  </si>
  <si>
    <t>RS Bakti Timah Pangkalpinang</t>
  </si>
  <si>
    <t>Kepulauan Bangka Belitung</t>
  </si>
  <si>
    <t>Kota Pangkal Pinang</t>
  </si>
  <si>
    <t>Jl. Bukit Baru No.1, Kel.Taman Bunga Kec.Gerunggang Kota Pangkal Pinang Prov.Kep.Bangka Belitung</t>
  </si>
  <si>
    <t>RS Bhayangkara Polda Kep. Bangka Belitung</t>
  </si>
  <si>
    <t>Bangka Tengah</t>
  </si>
  <si>
    <t>Jl. Telaga Biru No. 1 Desa Padang Baru, kecamatan Pangkalan Baru, Kabupaten. Bangka Tengah, Provinsi. Kepulauan Bangka Belitung</t>
  </si>
  <si>
    <t>RS Umum Daerah Dr. (HC) Ir. Soekarno</t>
  </si>
  <si>
    <t>Bangka</t>
  </si>
  <si>
    <t>Jl. Zipur Desa Air Anyir Kec. Merawang</t>
  </si>
  <si>
    <t>RS Bakti Timah Sungailiat</t>
  </si>
  <si>
    <t>Jl. Jend. Sudirman No. 03, Kel. Sungailiat Kec. Sungailiat, Kabupaten Bangka 33211 Provinsi Kepulauan Bangka Belitung</t>
  </si>
  <si>
    <t>RS Ibu dan Anak Rona</t>
  </si>
  <si>
    <t>Jl. KH. Hasan Basri Sulaiman No. 20 RT. 01 RW. 01 Kel. Gedung Nasional Kec. Taman Sari Pangkalpinang</t>
  </si>
  <si>
    <t>RS Ibu dan Anak Muhaya</t>
  </si>
  <si>
    <t>Jl.Jend.Sudirman Pangkalpinang Kepulauan Bangka Belitung</t>
  </si>
  <si>
    <t>RS Tk. IV Batin Tikal</t>
  </si>
  <si>
    <t>Jl. A. Yani No. 155A  Kel. Kejaksaan Kec. Taman Sari</t>
  </si>
  <si>
    <t>RS Umum Daerah Drs. H. Abu Hanifah</t>
  </si>
  <si>
    <t>Komplek Perkantoran Terpadu Pemerintah Kabupaten Bangka Tengah Jl. Merdeka By Pass Koba</t>
  </si>
  <si>
    <t>RS Umum Daerah Kriopanting Payung</t>
  </si>
  <si>
    <t>Bangka Selatan</t>
  </si>
  <si>
    <t>Jl. Angkap Seruk Desa Payung Kec. Payung</t>
  </si>
  <si>
    <t>RS Umum Daerah Junjung Besaoh</t>
  </si>
  <si>
    <t>Jl. Raya Gadung Desa Gadung, Kecamatan Toboali, Kabupaten Bangka Selatan, Propinsi Kepulauan Bangka Belitung</t>
  </si>
  <si>
    <t>RS Umum Daerah Sjafrie Rachman Puding Besar</t>
  </si>
  <si>
    <t>Jl. Raya Sungailiat - Muntok Desa Puding Besar, Kecamatan Puding Besar Kabupaten Bangka, Provinsi Bangka Belitung</t>
  </si>
  <si>
    <t>RS Umum Daerah Depati Hamzah</t>
  </si>
  <si>
    <t>Jl. Soekarno Hatta,Kota PangkalPinang</t>
  </si>
  <si>
    <t>RS Umum Almah</t>
  </si>
  <si>
    <t>Belitung</t>
  </si>
  <si>
    <t>Jl. Jend. Sudirman KM. 11 No. 1, Buluh Tumbang, Kec. Tanjung Pandan, Kabupaten Belitung, Kepulauan Bangka Belitung, 33144</t>
  </si>
  <si>
    <t>RS Umum Daerah Dr. Ir. H. Ibnu Saleh, MM</t>
  </si>
  <si>
    <t>Jl. Raya Sungkap  Desa Namang Kecamatan Namang  Kabupaten Bangka Tengah Provinsi Kep. Bangka Belitung 33685</t>
  </si>
  <si>
    <t>RS Jiwa Daerah dr. Samsi Jacobalis</t>
  </si>
  <si>
    <t>Jl. Jend Sudirman No. 345 Kel. Parit Padang Kec. Sungai Liat</t>
  </si>
  <si>
    <t>RS Ibu dan Anak Dzakirah</t>
  </si>
  <si>
    <t>Jl. Depati Hamzah Kelurahan Bacang Kecamatan Bukit Intan</t>
  </si>
  <si>
    <t>RS Siloam Bangka</t>
  </si>
  <si>
    <t>Jl. Soekarno Hatta KM. 5 Kelurahan Dul Kecamatan Pangkalanbaru</t>
  </si>
  <si>
    <t>RS Umum Bakti Timah Muntok</t>
  </si>
  <si>
    <t>Bangka Barat</t>
  </si>
  <si>
    <t>Jl. Raya Komplek Unmet Muntok</t>
  </si>
  <si>
    <t>RS Primaya Bhakti Wara</t>
  </si>
  <si>
    <t>JL. Solihin GP No.180 Kel. Gajah Mada Kec.Rangkui</t>
  </si>
  <si>
    <t>RS Umum Daerah dr. H. Marsidi Judono</t>
  </si>
  <si>
    <t>Jl. Jend. Sudirman Km 5,5 Desa Aik Rayak Tanjungpandan Kabupaten Belitung Provinsi Kepulauan Bangka Belitung</t>
  </si>
  <si>
    <t>RS Umum Daerah DR. Eko Maulana Ali</t>
  </si>
  <si>
    <t>JL. RAYA BELINYU DUSUN SIMPANG CANGKUM DESA RIDING PANJANG KECAMATAN BELINYU KABUPATEN BANGKA PROVINSI KEPULAUAN BANGKA BELITUNG</t>
  </si>
  <si>
    <t>RS Umum Daerah Sejiran Setason</t>
  </si>
  <si>
    <t>Jl. Kadur Dalam, Kelurahan Belo Laut, Kecamatan Mentok, Kabupaten Bangka Barat, Propinsi Kepulauan Bangka Belitung</t>
  </si>
  <si>
    <t>RS Umum Arsani</t>
  </si>
  <si>
    <t>Jl. Raya Air Kenanga Kec. Sungailiat Kab. Bangka Prov. Kepulauan Bangka Belitung</t>
  </si>
  <si>
    <t>RS Utama</t>
  </si>
  <si>
    <t>Jl. Jenderal Sudirman KM. 3 RT. 019 RW. 008 Kel. Lesung Batang Tanjungpandan</t>
  </si>
  <si>
    <t>RS Kalbu Intan Medika</t>
  </si>
  <si>
    <t>Jl. Basuki Rachmad Kel. Batu Intan Kec. Girimaya Pangkal Pinang</t>
  </si>
  <si>
    <t>RS Umum Daerah  Muhammad Zein</t>
  </si>
  <si>
    <t>Belitung Timur</t>
  </si>
  <si>
    <t>Jl. Raya Manggar Gantung Desa Padang Kecamatan Manggar</t>
  </si>
  <si>
    <t>RS Gunung Manik</t>
  </si>
  <si>
    <t>Jl. Raya Air Kuang Desa Puput Kecamatan Parittiga, Kabupaten Bangka Barat, Provinsi Bangka Belitung</t>
  </si>
  <si>
    <t>RS Umum Daerah Depati Bahrin</t>
  </si>
  <si>
    <t>Jl. Jendral Sudirman No.195, Kelurahan Parit Padang Kecamatan Sungailiat Kabupaten Bangka Provinsi Kepulauan Bangka Belitung</t>
  </si>
  <si>
    <t>RS Keluarga Husada Batam</t>
  </si>
  <si>
    <t>Kepulauan Riau</t>
  </si>
  <si>
    <t>Kota Batam</t>
  </si>
  <si>
    <t>Jl. Tengku Sulung Odessa Blok C1 No. 12-16 Kelurahan Belian Kecamatan Batam Kota</t>
  </si>
  <si>
    <t>RS Umum Daerah Embung Fatimah Kota Batam</t>
  </si>
  <si>
    <t>Jl. R. Soeprapto. Blok D 1 - 9 Batu Aji Kota Batam</t>
  </si>
  <si>
    <t>RS Ibu dan  Anak Griya Medika Batam</t>
  </si>
  <si>
    <t>Komp. Mega Indah A-B No.3-4</t>
  </si>
  <si>
    <t>RS Umum Daerah Natuna</t>
  </si>
  <si>
    <t>Natuna</t>
  </si>
  <si>
    <t>Jl. H.Ali Murtopo,Natuna</t>
  </si>
  <si>
    <t>RS Umum Daerah Encik Mariyam</t>
  </si>
  <si>
    <t>Lingga</t>
  </si>
  <si>
    <t>Jl. Masjid Sultan Lingga No. 46 Kp. Darat Daik Kabupaten Lingga</t>
  </si>
  <si>
    <t>RS Umum Daerah Tanjung Batu Kundur</t>
  </si>
  <si>
    <t>Karimun</t>
  </si>
  <si>
    <t>Jl. Diponegoro No. 1 Tanjung Batu Kota Kecamatan Kundur  Kabupaten Karimun Provinsi Kepulauan Riau</t>
  </si>
  <si>
    <t>RS Umum Santa Elisabeth Batam Kota</t>
  </si>
  <si>
    <t>Jl. Raja Ali Kelana, Belian Batam Kota</t>
  </si>
  <si>
    <t>RS Umum Budi Kemuliaan Batam</t>
  </si>
  <si>
    <t>Jl. Budi Kemuliaan No.1,Batam</t>
  </si>
  <si>
    <t>RS Jasmine</t>
  </si>
  <si>
    <t>Komplek Pertokoan Duta Raya No. 05-11 Kel.Belian Kec. Batam Kota</t>
  </si>
  <si>
    <t>Rumkital dr. Midiyato Suratani</t>
  </si>
  <si>
    <t>Kota Tanjung Pinang</t>
  </si>
  <si>
    <t>Jl. Ciptadi No. 1 Tanjung Pinang</t>
  </si>
  <si>
    <t>RS Umum Daerah  Kabupaten Bintan</t>
  </si>
  <si>
    <t>Bintan</t>
  </si>
  <si>
    <t>Jl. Kesehatan No.1 Kelurahan Kijang Kota - Kecamatan Bintan Timur</t>
  </si>
  <si>
    <t>RS Badan Pengusahaan Batam</t>
  </si>
  <si>
    <t>Jl. Dr. Cipto Mangunkusumo No.1,  Sekupang,Batam</t>
  </si>
  <si>
    <t>RS Ibu dan Anak Frisdhy Angel</t>
  </si>
  <si>
    <t>Jl. Raden Patah Blok B No. 1-3 Lubuk Baja Kota</t>
  </si>
  <si>
    <t>RSAU dr. Yuniati Wisma Karyani</t>
  </si>
  <si>
    <t>Jl. Satrad 212, Kelurahan Batu Hitam, Kec Bunguran Timur, Kabupaten Natuna, Provinsi Kepulauan Riau</t>
  </si>
  <si>
    <t>RS Mutiara Aini</t>
  </si>
  <si>
    <t>Jl. Batu Aji II Kompleks Griya Pratama Blok JJ</t>
  </si>
  <si>
    <t>RS Umum Awal Bros Batam</t>
  </si>
  <si>
    <t>Jl. Gajah Mada Kav.I Baloi</t>
  </si>
  <si>
    <t>RS Umum Santa Elisabeth Batam</t>
  </si>
  <si>
    <t>Jl. Anggrek Blok II Lubuk Baja</t>
  </si>
  <si>
    <t>RS Hj. Bunda Halimah Batam</t>
  </si>
  <si>
    <t>Jl. Uniba Bl. A09 Kawasan Uniba Batam Center Kelurahan Belian Kecamatan Batam Kota Provinsi Kepulauan Riau</t>
  </si>
  <si>
    <t>RS Jiwa dan Ketergantungan Obat Engku Haji Daud</t>
  </si>
  <si>
    <t>Jl. Indun Suri-Simpang Busung No.1, Tanjung Uban Kepulauan Riau</t>
  </si>
  <si>
    <t>RS Umum Daerah Tarempa</t>
  </si>
  <si>
    <t>Kepulauan Anambas</t>
  </si>
  <si>
    <t>Jl. Imam Bonjol No. 61, Kelurahan Tarempa, Kec. Siantan,  Kabupaten Kepualauan Anambas, Provinsi Kepulauan Riau</t>
  </si>
  <si>
    <t>RS Umum Daerah Palmatak</t>
  </si>
  <si>
    <t>Jalan Datuk Lamin No. 03 rt 9 rw 1 Desa Payalaman Kecamatan Kute Siantan Kabupaten Kepulauan Anambas Provinsi Kepulauan Riau</t>
  </si>
  <si>
    <t>RS Umum Charis Medika</t>
  </si>
  <si>
    <t>Jl. R.Suprapto Blok D 1-9</t>
  </si>
  <si>
    <t>RS Awal Bros Botania</t>
  </si>
  <si>
    <t>Jl. Raja Ali Kelana, Desa/Kelurahan Belian, Kec. Batam Kota, Kota Batam</t>
  </si>
  <si>
    <t>RS Umum Daerah Kota Tanjung Pinang</t>
  </si>
  <si>
    <t>Jl. Jend. Sudirman No.  795  Kota Tanjungpinang</t>
  </si>
  <si>
    <t>RS Bhayangkara Batam Polda Kepri</t>
  </si>
  <si>
    <t>Jl. Dang Merdu KM 2 Batu Besar Nongsa Kota Batam</t>
  </si>
  <si>
    <t>RS Umum Harapan Bunda Batam</t>
  </si>
  <si>
    <t>Jl. Seraya No. 1 Batam</t>
  </si>
  <si>
    <t>RS Umum Daerah Raja Ahmad Tabib</t>
  </si>
  <si>
    <t>JL. W.R Supratman No. 100 Km. 8 Tanjungpinang Kepulauan Riau</t>
  </si>
  <si>
    <t>RS Umum Daerah Bergerak Jemaja</t>
  </si>
  <si>
    <t>Jl. Padang Melang Desa Batu Berapit - Kecamatan Jemaja Kabupaten Kepulauan Anambas Provinsi Kepulauan Riau</t>
  </si>
  <si>
    <t>RS Santa Elisabeth Sei Lekop</t>
  </si>
  <si>
    <t>Jl. Sei Binti, Kav. Sungai Lekop, Kel. Sungai Lekop RT01/RW13, Kec. Sagulung</t>
  </si>
  <si>
    <t>RS Umum Daerah Dabo Kabupaten Lingga</t>
  </si>
  <si>
    <t>Jl. Kesehatan No.1, Dabo Singkep Kabupaten Lingga</t>
  </si>
  <si>
    <t>RS Umum Bhakti Timah</t>
  </si>
  <si>
    <t>Jl. Canggai Putri, Kel. Teluk Uma, Kec. Tebing</t>
  </si>
  <si>
    <t>RS Umum Graha Hermine</t>
  </si>
  <si>
    <t>Komp. Ruko Asih Raya No. 6-15 Batu Aji</t>
  </si>
  <si>
    <t>RS Umum Soedarsono Darmosoewito</t>
  </si>
  <si>
    <t>Jl. Hang Kesturi KM 4,5 Kabil Batam</t>
  </si>
  <si>
    <t>RS Umum Camatha Sahidya</t>
  </si>
  <si>
    <t>Jl. Jend. A. Yani No.8, PanbiL - Kec. Sei Beduk, Kota Batam, Kepulauan Riau</t>
  </si>
  <si>
    <t>RS Umum Daerah Muhammad Sani Kabupaten Karimun</t>
  </si>
  <si>
    <t>Jl. Soekarno - Hatta No. 1, Kelurahan Harjosari, Kecamatan Tebing, Kabupaten Karimun, Provinsi Kepulauan Riau</t>
  </si>
  <si>
    <t>RS Tk. II M. Ridwan Meuraksa</t>
  </si>
  <si>
    <t>DKI Jakarta</t>
  </si>
  <si>
    <t>Kota Jakarta Timur</t>
  </si>
  <si>
    <t>Jl. Taman Mini I RT 004 / RW 02 Kel. Pinangranti Kec. Makasar</t>
  </si>
  <si>
    <t>RS Ibu dan Anak AL-Fauzan</t>
  </si>
  <si>
    <t>RSIA Al Fauzan Jl. Pedati No. 3 Kel. Kampung Tengah, Kec. Kramat Jati, Kota Jakarta Timur, DKI Jakarta</t>
  </si>
  <si>
    <t>RS Umum Prikasih</t>
  </si>
  <si>
    <t>Kota Jakarta Selatan</t>
  </si>
  <si>
    <t>Jl. RS Fatmawati Raya No. 74, Pondok Labu, Cilandak</t>
  </si>
  <si>
    <t>RS Gigi dan Mulut FKG Univ. Indonesia</t>
  </si>
  <si>
    <t>Kota Jakarta Pusat</t>
  </si>
  <si>
    <t>Jl. Salemba Raya No. 4 Jakarta Pusat</t>
  </si>
  <si>
    <t>RS Umum Murni Teguh Sudirman Jakarta</t>
  </si>
  <si>
    <t>Jl. Jend. Sudirman No. 86</t>
  </si>
  <si>
    <t>RS Pondok Indah Puri Indah</t>
  </si>
  <si>
    <t>Kota Jakarta Barat</t>
  </si>
  <si>
    <t>Jl. Puri Indah Raya,Blok S-2,Kel.Kembangan Selatan,Jakbar</t>
  </si>
  <si>
    <t>RS Umum Kartika Pulo Mas</t>
  </si>
  <si>
    <t>Jl. Pulo Mas Timur K No 2 Jakarta Timur</t>
  </si>
  <si>
    <t>RS Ibu dan Anak Resti Mulya</t>
  </si>
  <si>
    <t>Jl. Pahlawan Komarudin no. 05 penggilingan - Cakung</t>
  </si>
  <si>
    <t>RS Umum Gading Pluit</t>
  </si>
  <si>
    <t>Kota Jakarta Utara</t>
  </si>
  <si>
    <t>Jl. Boulevard Timur Raya Pegangsaan Dua,Kelapa Gading</t>
  </si>
  <si>
    <t>RS Umum Daerah Kramat Jati</t>
  </si>
  <si>
    <t>Jln. Raya Inpres No. 48</t>
  </si>
  <si>
    <t>RS Umum Daerah Taman Sari</t>
  </si>
  <si>
    <t>Jalan Madu Rt/Rw 03/03 No.10 Mangga Besar Taman Sari Jakarta Barat 11180</t>
  </si>
  <si>
    <t>RS Umum Anggrek Mas</t>
  </si>
  <si>
    <t>Jl. Anggrek No. 2B rt.009/02 Kelapa Dua Kebon Jeruk</t>
  </si>
  <si>
    <t>RS Umum Abdi Waluyo</t>
  </si>
  <si>
    <t>Jl. Hos Cokroaminoto 31-33 Jakarta Pusat</t>
  </si>
  <si>
    <t>RS Umum Ali Sibroh Malisi</t>
  </si>
  <si>
    <t>Jl. Warung Silah No. 01 Gudang baru Rt. 08 Rw. 05 Kel. Cipedak Kec. Jagakarsa Jakarta Selatan 12630</t>
  </si>
  <si>
    <t>RS Khusus Ibu dan Anak Brawijaya</t>
  </si>
  <si>
    <t>Jl..Taman Brawijaya No.1 Kel. Cepete Utara Kec. Kebayoran Baru</t>
  </si>
  <si>
    <t>RS Umum Siloam Hospitals Kebon Jeruk</t>
  </si>
  <si>
    <t>Jl. Perjuangan Raya Kav.8 Jakarta Barat</t>
  </si>
  <si>
    <t>RS Umum Bunda Jakarta</t>
  </si>
  <si>
    <t>Jl. Teuku Cik Ditiro No. 21 Menteng</t>
  </si>
  <si>
    <t>RS Umum Daerah  Tanjung Priok</t>
  </si>
  <si>
    <t>Jl. Bugis No. 03 Kel. Kebon Bawang Kec. Tanjung Priok</t>
  </si>
  <si>
    <t>RS Khusus Bedah Halimun</t>
  </si>
  <si>
    <t>Jl. Halimun No.9, Guntur Setiabudi, Desa/Kelurahan Guntur, Kec.Setiabudi, Kota Adm. Jakarta Selatan, Provinsi DKI Jakarta,Kode Pos: 12980</t>
  </si>
  <si>
    <t>RS Umum Universitas Kristen Indonesia</t>
  </si>
  <si>
    <t>Jl. May.Jen Soetoyo No.2 Kel.Cawang,Kec. Kramat jati, Jakarta Timur</t>
  </si>
  <si>
    <t>RS Umum Siloam TB Simatupang</t>
  </si>
  <si>
    <t>Jl. RA Kartini No. 8 Cilandak</t>
  </si>
  <si>
    <t>RS Umum Royal Progress</t>
  </si>
  <si>
    <t>Jl. Danau Sunter Utara, Sunter Paradise I</t>
  </si>
  <si>
    <t>RSGM LADOKGI R.E MARTADINATA</t>
  </si>
  <si>
    <t>Jl. Farmasi No.1, Bendungan Hilir, Tanah Abang, Jakarta Pusat</t>
  </si>
  <si>
    <t>RS Umum Daerah Ciracas</t>
  </si>
  <si>
    <t>Jalan Lapangan Tembak Cibubur 1 , Kelurahan Cibubur, Kecamatan Ciracas, Kota Jakarta Timur, Provinsi DKI Jakarta</t>
  </si>
  <si>
    <t>RSUPN Dr. Cipto Mangunkusumo</t>
  </si>
  <si>
    <t>Jl. Diponegoro 71 Jakarta Pusat</t>
  </si>
  <si>
    <t>RS Umum Grha Kedoya</t>
  </si>
  <si>
    <t>Jln. Panjang Arteri No. 26 Kedoya Utara, kebon Jeruk</t>
  </si>
  <si>
    <t>RS Bedah Siloam Asri</t>
  </si>
  <si>
    <t>Jl. Duren Tiga Raya No. 20, Duren Tiga, Pancoran</t>
  </si>
  <si>
    <t>RS Umum Duta Indah</t>
  </si>
  <si>
    <t>Jl. Teluk Gong Raya No. 12 Kel. Pejagalan Kec. Penjaringan</t>
  </si>
  <si>
    <t>RS Umum YPK Mandiri</t>
  </si>
  <si>
    <t>Jl. Gereja Theresia No. 22 Menteng Jakpus</t>
  </si>
  <si>
    <t>RS Umum Andhika</t>
  </si>
  <si>
    <t>Jl. Warung Sila No. 8, RT.06/RW.04, Gudang Baru Ciganjur, Jagakarsa Jakarta Selatan</t>
  </si>
  <si>
    <t>RS Umum Agung</t>
  </si>
  <si>
    <t>Jl. Sultan Agung No.67 RT 1/ RW 8, Kelurahan Ps Manggis, Kecamatan Setiabudi, Kota Jakarta Selatan, Daerah Khusus Ibukota Jakarta 12970</t>
  </si>
  <si>
    <t>RS Umum Sumber Waras</t>
  </si>
  <si>
    <t>Jl. Kyai Tapa No.1 Grogol Jakbar</t>
  </si>
  <si>
    <t>RSUP Persahabatan</t>
  </si>
  <si>
    <t>Jl. Persahabatan Raya No. 1, Jakarta Timur</t>
  </si>
  <si>
    <t>RS Khusus THT SS Medika</t>
  </si>
  <si>
    <t>JL. SALEMBA 1 NO.11-13 RT.06 RW 06 KELURAHAN KENARI , KECAMATAN SENEN, KOTA JAKARTA PUSAT PROV. DKI JAKARTA</t>
  </si>
  <si>
    <t>Rumah Sakit Khusus THT-KL</t>
  </si>
  <si>
    <t>RS Umum Akademik Atma Jaya</t>
  </si>
  <si>
    <t>Jl. Pluit Raya Jakarta Utara No. 02</t>
  </si>
  <si>
    <t>RS Umum Harapan Jayakarta</t>
  </si>
  <si>
    <t>Jl. Bekasi Timur Raya No.6 Km.18, Kel. Jatinegara, Kec. Cakung, Jaktim</t>
  </si>
  <si>
    <t>RS Umum Setia Mitra</t>
  </si>
  <si>
    <t>Jl. Fatmawati No. 80-82, RT 3 RW 10, Kel. Cilandak Barat, Kec. Cilandak, Jakarta Selatan, DKI Jakarta, 12430</t>
  </si>
  <si>
    <t>RS Umum Dr. Suyoto Kemhan</t>
  </si>
  <si>
    <t>Jl. RC. Veteran Raya No. 178 RT 09 RW 03 Kelurahan Bintaro Kecamatan Pesanggrahan Jakarta Selatan 12330</t>
  </si>
  <si>
    <t>RS Umum Daerah  Pademangan</t>
  </si>
  <si>
    <t>Jl. Budi Mulia Raya No.2 Pademangan Barat</t>
  </si>
  <si>
    <t>RS Siloam Agora</t>
  </si>
  <si>
    <t>Jl. Letjend Suprapto No.1</t>
  </si>
  <si>
    <t>RS Khusus THT Prof Nizar</t>
  </si>
  <si>
    <t>Jl. Kesehatan No. 9 Jakpus</t>
  </si>
  <si>
    <t>RS Umum Daerah Sawah Besar</t>
  </si>
  <si>
    <t>Jl. Dwi Warna Raya No. 6-8</t>
  </si>
  <si>
    <t>RS Umum Aulia</t>
  </si>
  <si>
    <t>Jl. Jeruk Raya No.15 RT.011 RW 01 Kelurahan Jagakarsa, Kecamatan Jagakarsa, Kota Jakarta Selatan, Provinsi DKI Jakarta</t>
  </si>
  <si>
    <t>RS Umum Alia Hospital</t>
  </si>
  <si>
    <t>Jl. Pahlawan Revolusi No. 100 Pondok Bamabu</t>
  </si>
  <si>
    <t>RS Umum Eka Permata Hijau</t>
  </si>
  <si>
    <t>Jl. Kebayoran Lama  No.64 Jakarta Barat</t>
  </si>
  <si>
    <t>RS Umum Premier Jatinegara</t>
  </si>
  <si>
    <t>Jl. Jatinegara Timur No.85-87,Jaktim</t>
  </si>
  <si>
    <t>RS Umum Pantai Indah Kapuk</t>
  </si>
  <si>
    <t>Jl. Pantai Indah Utara 3 Pantai Indah Kapuk, Kapuk Muara, Penjaringan</t>
  </si>
  <si>
    <t>RS Umum Mayapada</t>
  </si>
  <si>
    <t>Jalan Lebak Bulus I. Kav. 29</t>
  </si>
  <si>
    <t>RS Umum Daerah Cilincing</t>
  </si>
  <si>
    <t>Jl. Madya Kebantenan Nomor 4, Semper Timur, Cilincing</t>
  </si>
  <si>
    <t>RS Umum AL Dr. Mintoharjo</t>
  </si>
  <si>
    <t>Jl. Bendungan Hilir No.17, RT.4/RW.3, Bendungan. Hilir, Kecamatan Tanah Abang, Kota Jakarta Pusat, Daerah Khusus Ibukota Jakarta 10210</t>
  </si>
  <si>
    <t>RS Umum Primaya Evasari Hospital</t>
  </si>
  <si>
    <t>Jl. Rawamangun No. 47, Rawasari, Cempaka Putih, Jakarta Pusat</t>
  </si>
  <si>
    <t>RS Khusus Kanker MRCCC Siloam Semanggi</t>
  </si>
  <si>
    <t>Jl. Garnisun No. 2 - 3, RT 003, RW 004, Kel. Karet Semanggi, Kec. Setiabudi, Jakarta Selatan</t>
  </si>
  <si>
    <t>Rumah Sakit Khusus Kanker</t>
  </si>
  <si>
    <t>RS Umum Medistra</t>
  </si>
  <si>
    <t>Jl. Jendral Gatot Subroto Kav  59 Kelurahan  Kuningan Timur,  Kecamatan  Setiabudi Jakarta Selatan DKI Jakarta</t>
  </si>
  <si>
    <t>RS Umum Firdaus</t>
  </si>
  <si>
    <t>Komp. Bea Cukai Jl. Siak J5/14</t>
  </si>
  <si>
    <t>RS Khusus Mata Jakarta Eye Center Kedoya</t>
  </si>
  <si>
    <t>Jl. Terusan Arjuna Utara No.1, Kedoya Sel., Kec. Kb. Jeruk, Kota Jakarta Barat, Daerah Khusus Ibukota Jakarta 11520</t>
  </si>
  <si>
    <t>RS Umum Bhakti Mulia</t>
  </si>
  <si>
    <t>Jl. KS Tubun No.79 Slipi Jakbar</t>
  </si>
  <si>
    <t>RS Umum Pengayoman Cipinang</t>
  </si>
  <si>
    <t>Jl. Raya Bekasi Timur 170 B, Jaktim</t>
  </si>
  <si>
    <t>RS Penyakit Infeksi Prof. Dr. Sulianti Saroso</t>
  </si>
  <si>
    <t>Jl. Sunter Permai Raya No. 2, Rt 02/Rw 12, Papanggo, Kec. Tanjung Priok, Jakarta Utara, DKI Jakarta</t>
  </si>
  <si>
    <t>Rumah Sakit Khusus Infeksi</t>
  </si>
  <si>
    <t>RS Umum Bhayangkara Lemdiklat Polri</t>
  </si>
  <si>
    <t>JL. CIPUTAT RAYA NO 40, KELURAHAN  PONDOK PINANG, KECAMATAN KEBAYORAN LAMA</t>
  </si>
  <si>
    <t>RS Umum Daerah Jagakarsa</t>
  </si>
  <si>
    <t>Jl. Moh. Kahfi  I No.27A, Kecamatan Jagakarsa Jakarta Selatan</t>
  </si>
  <si>
    <t>RS Khusus Mata Nusantara</t>
  </si>
  <si>
    <t>Jl. R.A. Kartini No. 99</t>
  </si>
  <si>
    <t>RS Umum Yadika</t>
  </si>
  <si>
    <t>Jl. Pahlawan Revolusi No.47 Pondok Bambu Jaktim</t>
  </si>
  <si>
    <t>RS Umum Daerah Kebayoran Baru</t>
  </si>
  <si>
    <t>Jl. Abdul Majid No 28, Kelurahan Cipete Utara, Kecamatan Kebayoran Baru, Kota Administrasi Jakarta S</t>
  </si>
  <si>
    <t>RS Umum Tzu Chi Hospital</t>
  </si>
  <si>
    <t>Jl. Pantai Indah Kapuk Boulevard,  Kel. Kamal Muara,  Kec. Penjaringan</t>
  </si>
  <si>
    <t>Organisasi Budha</t>
  </si>
  <si>
    <t>RS Umum Pusat Pertamina</t>
  </si>
  <si>
    <t>Jl. Kyai Maja No.43 Kebayoran Baru,Jakarta Selatan</t>
  </si>
  <si>
    <t>RS Umum Restu Kasih</t>
  </si>
  <si>
    <t>Jl. Raya Bogor KM 19 No. 3A Kramat Jati</t>
  </si>
  <si>
    <t>RS Umum Pondok Indah</t>
  </si>
  <si>
    <t>Jl. Metro Duta Kav. UE Pondok  Indah,Jaksel</t>
  </si>
  <si>
    <t>RS Khusus Bedah Bina Estetika</t>
  </si>
  <si>
    <t>JL. TEUKU CIKDITIRO NO.41, RT:10, RW:05, KELURAHAN MENTENG, KECAMATAN MENTENG, JAKARTA PUSAT, 10310</t>
  </si>
  <si>
    <t>RS Umum Daerah Kepulauan Seribu</t>
  </si>
  <si>
    <t>Kepulauan Seribu</t>
  </si>
  <si>
    <t>Pulau Pramuka Rt.001 RW.004, Kelurahan : Pulau Panggang, Kecamatan</t>
  </si>
  <si>
    <t>021-26071997</t>
  </si>
  <si>
    <t>RS Umum dr Abdul Radjak Cengkareng</t>
  </si>
  <si>
    <t>Jl. Daan mogot KM. 17. Komplek Imperial Business Center Blok A No.1-10 Kel. Kalideres Kec. Kalideres</t>
  </si>
  <si>
    <t>RS Umum Cinta Kasih Tzu Chi</t>
  </si>
  <si>
    <t>JL. KAMAL RAYA OUTER RING ROAD CENGKARENG</t>
  </si>
  <si>
    <t>RS Khusus Bedah Columbia Asia Pulomas</t>
  </si>
  <si>
    <t>Jl. Kayu Putih Raya No. 1 Kel. Kayu Putih Kec. Pulogadung</t>
  </si>
  <si>
    <t>RS Khusus Bedah Rawamangun</t>
  </si>
  <si>
    <t>Jl. Balai Pustaka Raya No. 29 - 31, Rawamangun</t>
  </si>
  <si>
    <t>RS Yadika Kebayoran Lama</t>
  </si>
  <si>
    <t>Jl. Ciputat Raya No. 5</t>
  </si>
  <si>
    <t>RS Umum Puri Medika</t>
  </si>
  <si>
    <t>Jl. Sungai Bambu No.5 Tanjung Priok</t>
  </si>
  <si>
    <t>RS Umum Sint Carolus</t>
  </si>
  <si>
    <t>Jl. Salemba Raya No.41 Jakarta Pusat</t>
  </si>
  <si>
    <t>RS Umum dr. Abdul Radjak Salemba</t>
  </si>
  <si>
    <t>Jl. Salemba Tengah 24-28, Paseban, Senen, Jakarta Pusat, DKI Jakarta</t>
  </si>
  <si>
    <t>RS Gigi dan Mulut Univ. Prof. Moestopo</t>
  </si>
  <si>
    <t>Jl. Bintaro Permai Raya No 3 Jaksel</t>
  </si>
  <si>
    <t>RS Kanker Dharmais</t>
  </si>
  <si>
    <t>Jl. S Parman Kav.84-86 Slipi Jakarta Barat</t>
  </si>
  <si>
    <t>RS Umum Daerah Tebet</t>
  </si>
  <si>
    <t>Jl. Prof. Dr. Soepomo, SH. No. 54, Tebet, Jakarta Selatan</t>
  </si>
  <si>
    <t>RS Angkatan Udara dr. Esnawan Antariksa</t>
  </si>
  <si>
    <t>Jl. Merpati No. 2 Halim Perdana Kusuma, Jakarta</t>
  </si>
  <si>
    <t>RS Ibu dan Anak Sayyidah</t>
  </si>
  <si>
    <t>Jl. Taman malaka Selatan No.6 Pondok Kelapa, Jaktim</t>
  </si>
  <si>
    <t>RS Umum Ciputra Hospital Citragarden City</t>
  </si>
  <si>
    <t>Jl. Boulevard Blok G1 No.1 Citra 5 - CitraGarden City Jakarta Barat</t>
  </si>
  <si>
    <t>RS Umum  Dr. EUIS</t>
  </si>
  <si>
    <t>Jl. H. Naman No.3 (TRANSITO) Kalimalang Kelurahan Pondok Kelapa Kecamatan Duren Sawit</t>
  </si>
  <si>
    <t>RS Umum Hermina Podomoro</t>
  </si>
  <si>
    <t>Jl. Danau Agung 2 Sunter Jakarta Utara</t>
  </si>
  <si>
    <t>RS Umum Haji Jakarta</t>
  </si>
  <si>
    <t>Jl. Raya Pondok Gede no. 4</t>
  </si>
  <si>
    <t>RS Umum Jakarta</t>
  </si>
  <si>
    <t>Jl. Garnisun No. 1, Jl. Jend. Sudirman</t>
  </si>
  <si>
    <t>RS Ibu dan Anak Kemang Medical Care</t>
  </si>
  <si>
    <t>Jl. Ampera Raya No. 34</t>
  </si>
  <si>
    <t>RS Umum Mitra Keluarga Kalideres</t>
  </si>
  <si>
    <t>JL PETA SELATAN NO 1 RT/RW 007/011 KEL KALIDERES KEC KALIDERES JAKARTA BARAT</t>
  </si>
  <si>
    <t>RS Umum Daerah Kemayoran</t>
  </si>
  <si>
    <t>Jl. Serdang Baru I  RT.6/RW.5 Kel. Serdang Kec. Kemayoran Kota Jakarta Pusat DKI Jakarta</t>
  </si>
  <si>
    <t>RS Umum Mitra Kemayoran</t>
  </si>
  <si>
    <t>Jl. HBR Motik Rt 013 Rw 006 Kel. Kebon Kosong Kec. Kemayoran  Jakarta Pusat 10630</t>
  </si>
  <si>
    <t>RS Ibu dan Anak St. Yusuf</t>
  </si>
  <si>
    <t>Jl. Ganggeng Raya No. 9 Kel. Sungai Bambu Tanjung Priok</t>
  </si>
  <si>
    <t>RS Ibu dan Anak Metro Hospitals Kebon Jeruk</t>
  </si>
  <si>
    <t>Jl. Duri Raya No. 22 Duri Kepa Jakbar</t>
  </si>
  <si>
    <t>RS Ukrida</t>
  </si>
  <si>
    <t>Jl. Arjuna Utara No. 6 Kel. Duri Kepa Kec. Kebon Jeruk</t>
  </si>
  <si>
    <t>RS Islam Jakarta Pondok Kopi</t>
  </si>
  <si>
    <t>Jl. Raya Pondok Kopi Jakarta Timur</t>
  </si>
  <si>
    <t>Mayapada Hospital Kuningan</t>
  </si>
  <si>
    <t>Jl. HR. Rasuna Said Kav. C 17 Kel. Karet Kuningan Kec. Setiabudi</t>
  </si>
  <si>
    <t>RS Jantung dan Pembuluh Darah Heartology</t>
  </si>
  <si>
    <t>Jl. Birah III No. 4 Kel. Rawa Barat, Kebayoran Baru</t>
  </si>
  <si>
    <t>Rumah Sakit Khusus Jantung</t>
  </si>
  <si>
    <t>RS Umum Port Medical Center</t>
  </si>
  <si>
    <t>Jl. Enggano No. 10 Tanjung Priok, Jakarta Utara</t>
  </si>
  <si>
    <t>RS Islam Jakarta Cempaka Putih</t>
  </si>
  <si>
    <t>Jl. Cempaka Putih Tengah I / 1 Jakarta Pusat - Indonesia</t>
  </si>
  <si>
    <t>RS Ibu dan Anak JWCC Asih</t>
  </si>
  <si>
    <t>Jl. Panglima Polim III no.34 Melawai Kebayoran Baru</t>
  </si>
  <si>
    <t>RS Ibu dan Anak SamMarie Basra</t>
  </si>
  <si>
    <t>Jl. Basuki Rachmat No. 31 Pondok Bambu, Kota Administrasi Jakarta Timur, Provinsi DKI Jakarta</t>
  </si>
  <si>
    <t>RS Khusus THT Bedah KL Proklamasi</t>
  </si>
  <si>
    <t>Jl. Proklamasi No. 43, Menteng - Jakarta Pusat</t>
  </si>
  <si>
    <t>RS Umum Mulyasari</t>
  </si>
  <si>
    <t>Jl. Raya Plumpung Semper No.19 RT.006/RW.015, Jakarta Utara</t>
  </si>
  <si>
    <t>RS Umum Olahraga Nasional</t>
  </si>
  <si>
    <t>Jl. Jambore Raya No. 1 Kelurahan Cibubur Kecamatan Ciracas 13720</t>
  </si>
  <si>
    <t>Jl. Ciledug Raya No.94-96 Cipulir, Keabayoran Lama</t>
  </si>
  <si>
    <t>RS Khusus Ibu dan Anak Eka Grand Family</t>
  </si>
  <si>
    <t>Jl. Pantai Indah Selatan I Komp. Elang Laut Boulevard Kav. I No. 1 Penjaringan Jakarta Utara</t>
  </si>
  <si>
    <t>RS Jantung dan Pembuluh Darah Harapan Kita</t>
  </si>
  <si>
    <t>Jl. S. Parman Kav 87, Slipi</t>
  </si>
  <si>
    <t>RS Tk. IV Cijantung</t>
  </si>
  <si>
    <t>Jl. Mahoni No. 1 Cijantung II Rt 005/004  Pasar Rebo Jakarta Timur</t>
  </si>
  <si>
    <t>RS Pusat Otak Nasional Prof DR. dr. Mahar Mardjono</t>
  </si>
  <si>
    <t>Jl. MT Haryono Kav. 11 Kel. Cawang Kec. Kramat Jati</t>
  </si>
  <si>
    <t>Rumah Sakit Khusus Otak</t>
  </si>
  <si>
    <t>RS Islam Jakarta Sukapura</t>
  </si>
  <si>
    <t>Jl. Tipar Cakung No.5, Kelurahan Sukapura, Kecamatan Cilincing, Kota Jakarta Utara, Provinsi Daerah Khusus Ibukota Jakarta 14140</t>
  </si>
  <si>
    <t>RS Umum Daerah Pesanggrahan</t>
  </si>
  <si>
    <t>Jalan Cenek I no. 1 Pesanggrahan</t>
  </si>
  <si>
    <t>RS Khusus Daerah Duren Sawit</t>
  </si>
  <si>
    <t>Jl. Duren Sawit Baru Jakarta Timur</t>
  </si>
  <si>
    <t>RS Umum Budi Kemuliaan</t>
  </si>
  <si>
    <t>Jl. Budi Kemuliaan No.25 Jakarta Pusat</t>
  </si>
  <si>
    <t>RS Umum Gandaria</t>
  </si>
  <si>
    <t>Jl. Gandaria Tengah II, No 6 sd 14 Kebayoran Baru, Jakarta Selatan.</t>
  </si>
  <si>
    <t>RS Umum Antam Medika</t>
  </si>
  <si>
    <t>Jl. Pemuda Raya No. 1A, Kelurahan Jatinegara Kaum, Kecamatan Pulo Gadung, Kota Jakarta Timur, Provinsi DKI Jakarta</t>
  </si>
  <si>
    <t>RS Ibu dan Anak Tambak</t>
  </si>
  <si>
    <t>Jl. Tambak No.18, Pegangsaan, Kec. Menteng, Kota Jakarta Pusat, Daerah Khusus Ibukota Jakarta 10320, Indonesia</t>
  </si>
  <si>
    <t>RS Muhammadiyah Taman Puring</t>
  </si>
  <si>
    <t>Jl. Gandaria 1 No.20, RT.1/RW.2, Kramat Pela, Kec. Kby. Baru, Kota Jakarta Selatan, Daerah Khusus Ibukota Jakarta 12130</t>
  </si>
  <si>
    <t>RS Umum Daerah Koja</t>
  </si>
  <si>
    <t>Jl. Deli No.4 Tanjung Priok,Jakut</t>
  </si>
  <si>
    <t>RS Jantung Binawaluya</t>
  </si>
  <si>
    <t>Jl. TB Simatupang No.71, RT.11/RW.5, Susukan, Kec. Ciracas</t>
  </si>
  <si>
    <t>RS Umum Harum</t>
  </si>
  <si>
    <t>Jl. Tarum Barat, Kalimalang</t>
  </si>
  <si>
    <t>RS Umum Daerah Kalideres</t>
  </si>
  <si>
    <t>Jl. Bedugul Blok NA, RT.008 RW.012, Perumahan Daan Mogot Baru, Kelurahan Kalideres, Kecamatan Kalideres, Kota Jakarta Barat, Provinsi DKI Jakarta Kode Pos: 11840</t>
  </si>
  <si>
    <t>RS Ketergantungan Obat</t>
  </si>
  <si>
    <t>Jl. Lapangan Tembak No 75 Kelurahan Cibubur Kecamatan  Ciracas Jakarta Timur 13720</t>
  </si>
  <si>
    <t>Rumah Sakit Ketergantungan Obat</t>
  </si>
  <si>
    <t>RS Umum Daerah Cempaka Putih</t>
  </si>
  <si>
    <t>Jl.Rawasari Selatan No1</t>
  </si>
  <si>
    <t>RS Umum Hermina Kemayoran</t>
  </si>
  <si>
    <t>Jl. Selangit Blok B.10 Kav No.4 Kel. Gunung Sahari Selatan Kec. Kemayoran</t>
  </si>
  <si>
    <t>RS Umum Kramat 128</t>
  </si>
  <si>
    <t>Jl. Kramat Raya No.128,Jakpus</t>
  </si>
  <si>
    <t>RS Umum Jakarta Medical Center (JMC)</t>
  </si>
  <si>
    <t>Jl. Buncit Raya No.15, Kalibata, Pancoran</t>
  </si>
  <si>
    <t>RS Umum Pekerja</t>
  </si>
  <si>
    <t>Jl. Raya Cakung Cilincing RT 002 RW 001 Kel. Sukapura Kec. Cilincing - Jakarta Utara</t>
  </si>
  <si>
    <t>RS Umum Patria IKKT</t>
  </si>
  <si>
    <t>Jl. Cendrawasih No.1, Komplek Kemhan Mabes TNI Slipi, Kel. Palmerah, Kec. Palmerah, Kota Adm. Jakarta Barat, Prov. DKI Jakarta 11480</t>
  </si>
  <si>
    <t>RS Umum Adhyaksa</t>
  </si>
  <si>
    <t>Jl. Raya Hankam No. 60 Ceger Cipayung</t>
  </si>
  <si>
    <t>RS Umum Daerah Tanah Abang</t>
  </si>
  <si>
    <t>Jl. KH. Mas Mansyur No. 30 Kel. Kebon Kacang Kec. Tanah Abang, Jakarta Pusat</t>
  </si>
  <si>
    <t>RS Umum Daerah Cipayung</t>
  </si>
  <si>
    <t>Jl. Mini III RT 004 RW 003 Kelurahan Bambu Apus, Kecamatan Cipayung Kota Jakarta Timur DKI Jakarta</t>
  </si>
  <si>
    <t>RS Umum Daerah Pasar Rebo</t>
  </si>
  <si>
    <t>Jl. TB Simatupang No.30</t>
  </si>
  <si>
    <t>RS Mata JEC Primasana @Tanjung Priok</t>
  </si>
  <si>
    <t>Jl. Kebon Bawang Raya No. 01 RT. 13 RW. 01 Kelurahan Kebon Bawang Kecamatan Tanjungpriok</t>
  </si>
  <si>
    <t>RS Umum Pluit</t>
  </si>
  <si>
    <t>Jl. Raya Pluit Selatan 2 Jakut</t>
  </si>
  <si>
    <t>RS Umum Daerah Johar Baru</t>
  </si>
  <si>
    <t>Jl. Tanah Tinggi XII,  No.15-23, RT.10/RW.9, Tanah Tinggi, Kec. Johar Baru, Kota Jakarta Pusat, Daerah Khusus Ibukota Jakarta</t>
  </si>
  <si>
    <t>RS Umum PAD Gatot Soebroto</t>
  </si>
  <si>
    <t>Jl. dr. Abdul  Rahman Saleh No. 24  Senen Jakarta Pusat</t>
  </si>
  <si>
    <t>RS Khusus Ibu Anak Bunda Jakarta</t>
  </si>
  <si>
    <t>Jl. Teuku Cik Ditiro No. 28 Menteng</t>
  </si>
  <si>
    <t>RS Ibu dan Anak SamMarie Wijaya</t>
  </si>
  <si>
    <t>Jl. Wijaya I No.45, RW.5, Petogogan, Kec. Kebayoran. Baru, Kota Jakarta Selatan</t>
  </si>
  <si>
    <t>RS Orthopedi Siaga Raya</t>
  </si>
  <si>
    <t>Jl. Siaga Raya Kav.4-8, Pejaten Barat, Pasar Minggu, Jakarta Selatan</t>
  </si>
  <si>
    <t>Rumah Sakit Khusus Orthopedi</t>
  </si>
  <si>
    <t>RS Umum Pelni Petamburan</t>
  </si>
  <si>
    <t>Jl.Aipda KS Tubun No. 92-94, Desa/Kelurahan Slipi, Kec Palmerah, Kota Adm. Jakarta Barat, Provinsi DKI Jakarta Kode Pos  11410</t>
  </si>
  <si>
    <t>RS Umum Daerah Budhi Asih</t>
  </si>
  <si>
    <t>Jl. Dewi Sartika, Cawang III/ 200,Jakarta Timur</t>
  </si>
  <si>
    <t>RS Umum  Pelabuhan Tanjung Priok</t>
  </si>
  <si>
    <t>Jl. Kramat Jaya Tg Priok Jakut</t>
  </si>
  <si>
    <t>RS Umum Daerah Tugu Koja</t>
  </si>
  <si>
    <t>Jl. Walang Permai No 39, RT.008 RW.012, Kel. Tugu Utara, Kec. Koja, Kota Administrasi Jakarta Utara, DKI Jakarta</t>
  </si>
  <si>
    <t>Jl. Raya Bogor Km.22 No. 44 Jakarta Timur</t>
  </si>
  <si>
    <t>RS Umum Daerah Jati Padang</t>
  </si>
  <si>
    <t>Jl. Raya Ragunan No. 16 dan 17, Kelurahan Pasar Minggu, Kecamatan Pasar Minggu, Kota Administrasi Jakarta Selatan, Provinsi DKI Jakarta. Kode pos 12520</t>
  </si>
  <si>
    <t>RSUP Fatmawati</t>
  </si>
  <si>
    <t>Jl. RS Fatmawati Cilandak,Jaksel</t>
  </si>
  <si>
    <t>RS Gigi dan Mulut FKG Universitas Trisakti</t>
  </si>
  <si>
    <t>Jl. Kyai Tapa No. 260 Grogol Jakarta Barat</t>
  </si>
  <si>
    <t>RS Umum Tebet</t>
  </si>
  <si>
    <t>Jl. Letjen MT Haryono kav 13 Jakarta Selatan</t>
  </si>
  <si>
    <t>RS Umum Daerah  Kembangan</t>
  </si>
  <si>
    <t>Jl. Topaz Raya Blok F 2 No. 3 Rt.15 Rw. 07, Kelurahan Meruya Utara,  Kecamatan Kembangan, Jakarta Barat 11620</t>
  </si>
  <si>
    <t>RS Umum Yarsi</t>
  </si>
  <si>
    <t>Jl. Letjen Suprapto Kelurahan Cempaka Putih Timur Kecamatan Cempaka Putih Jakarta Pusat</t>
  </si>
  <si>
    <t>RS Khusus JEC @Menteng</t>
  </si>
  <si>
    <t>Jl. Teuku Cik Ditiro No.46 Jakarta Pusat</t>
  </si>
  <si>
    <t>RS Gigi Dan Mulut Angkatan Udara</t>
  </si>
  <si>
    <t>Jl.Puntodewo 1 Dirgantara 2, Halim Perdanakusuma</t>
  </si>
  <si>
    <t>RS Ibu dan Anak Brawijaya Durentiga</t>
  </si>
  <si>
    <t>Jl. Duren Tiga Raya No.5 Pancoran Jaksel</t>
  </si>
  <si>
    <t>RS Umum Siloam Mampang</t>
  </si>
  <si>
    <t>Jl. Mampang Prpt. Raya No.16, RW.5, Duren Tiga, Kec. Pancoran, Kota Jakarta Selatan, Daerah Khusus Ibukota Jakarta 12760</t>
  </si>
  <si>
    <t>RS Umum Hermina Daan Mogot</t>
  </si>
  <si>
    <t>Jl. Kintamani Raya No. 2, Komp. Perumahan Daan Mogot Baru</t>
  </si>
  <si>
    <t>RS Jantung Jakarta</t>
  </si>
  <si>
    <t>Jl. Matraman Raya No. 23, RT 002 RW 001, Jakarta Timur, DKI Jakarta. 13140</t>
  </si>
  <si>
    <t>RS Umum Daerah Kebayoran Lama</t>
  </si>
  <si>
    <t>Jl. Jatayu RT. 001 RW. 012 Kelurahan Kebayoran Lama Selatan Kecamatan Kebayoran Lama Jakarta Selatan</t>
  </si>
  <si>
    <t>RS Umum Hermina Jatinegara</t>
  </si>
  <si>
    <t>Jl. Jatinegara Barat 126, Jakarta Timur</t>
  </si>
  <si>
    <t>RS Khusus Ibu dan Anak Eka Family</t>
  </si>
  <si>
    <t>Jl. Pluit Mas I Blok A No 2A - 5A Pejagalan Penjaringan Jakarta Utara</t>
  </si>
  <si>
    <t>RS Umum Daerah Mampang Prapatan</t>
  </si>
  <si>
    <t>Jl. Kapten P. Tendean No. 9A Jakarta Selatan</t>
  </si>
  <si>
    <t>RS Brawijaya Saharjo</t>
  </si>
  <si>
    <t>Jl. Dr. Saharjo No.199, RT.1/RW.1, Tebet Bar., Kec. Tebet, Kota Jakarta Selatan, Daerah Khusus Ibukota Jakarta 12810</t>
  </si>
  <si>
    <t>RS Umum Husada</t>
  </si>
  <si>
    <t>Jl. Raya Mangga Besar No.137/139 Jakarta Pusat</t>
  </si>
  <si>
    <t>RS Umum Pertamina Jaya</t>
  </si>
  <si>
    <t>Jl. A. Yani No. 2 By Pass Jakarta Pusat</t>
  </si>
  <si>
    <t>RS Umum Tria Dipa</t>
  </si>
  <si>
    <t>Jl. Raya Pasar Minggu No.3A Rt 004 Rw 01 Kelurahan Pancoran, Kecamatan Pancoran, Jakarta Selatan</t>
  </si>
  <si>
    <t>RS Umum Daerah Pasar Minggu</t>
  </si>
  <si>
    <t>JL. TB. SIMATUPANG NO. 1 KELURAHAN RAGUNAN, KECAMATAN PASAR MINGGU - JAKARTA SELATAN</t>
  </si>
  <si>
    <t>RS Jiwa Dr. Soeharto Heerdjan</t>
  </si>
  <si>
    <t>Jl. Prof.Dr.Latumeten No. 1 Jakarta Barat</t>
  </si>
  <si>
    <t>RS Pusdikkes</t>
  </si>
  <si>
    <t>Jl. Raya Bogor Km. 20, Kramat Jati, Jakarta Timur</t>
  </si>
  <si>
    <t>RS Umum Sukmul</t>
  </si>
  <si>
    <t>Jl. Tawes No.18-20 Tanjung Priuk  Jakarta Utara 14310</t>
  </si>
  <si>
    <t>RS Umum Dharma Nugraha</t>
  </si>
  <si>
    <t>Jl. Balai Pustaka Baru 19 Rawamangun</t>
  </si>
  <si>
    <t>RS Umum AL Cilandak</t>
  </si>
  <si>
    <t>Jl. Raya Cilandak KKO Cilandak Timur, Pasar Minggu Jakarta Selatan</t>
  </si>
  <si>
    <t>RS Umum MMC</t>
  </si>
  <si>
    <t>Jl. H R. Rasuna Said Kav C 20 - 21, Karet Kuningan, Setiabudi, Jakarta Selatan</t>
  </si>
  <si>
    <t>RS Menteng Mitra Afia</t>
  </si>
  <si>
    <t>Jl. Kalipasir No.9 Kel. Kebon Sirih, Kec. Menteng, Jakarta Pusat</t>
  </si>
  <si>
    <t>RS Kapal Nusa Waluya II</t>
  </si>
  <si>
    <t>RUKO MAQNA UNIT 12 &amp; 15 APARTEMEN MAQNA  RESIDENCE KOMP. BUSINESS PARK KEBON JERUK JL RAYA MERUYA ILIR NO. 88, Desa/Kelurahan Meruya Utara, Kec. Kembangan</t>
  </si>
  <si>
    <t>RS Kapal/Bergerak</t>
  </si>
  <si>
    <t>RS Umum  Royal Taruma</t>
  </si>
  <si>
    <t>Jl. Daan Mogot No.34,Jakarta Barat</t>
  </si>
  <si>
    <t>RS EMC Pulomas</t>
  </si>
  <si>
    <t>Jl. Pulomas Barat VI No. 20.</t>
  </si>
  <si>
    <t>RS Umum Mitra Keluarga Kelapa Gading</t>
  </si>
  <si>
    <t>Jl. Bukit Gading Raya Kav.2</t>
  </si>
  <si>
    <t>RS Primaya PGI Cikini</t>
  </si>
  <si>
    <t>Jl. Raden Saleh No. 40 Jakpus</t>
  </si>
  <si>
    <t>RS Umum Daerah Tarakan</t>
  </si>
  <si>
    <t>Jl. Kyai Caringin no. 7 RT 11 / RW 04, Cideng, Kec. Gambir</t>
  </si>
  <si>
    <t>RS Umum Zahirah</t>
  </si>
  <si>
    <t>Jl. Sirsak No.21 RT/RW 009/001, Jagakarsa, Jakarta Selatan, DKI JAKARTA, 12620</t>
  </si>
  <si>
    <t>RS Umum Petukangan</t>
  </si>
  <si>
    <t>Jl. Ciledug Raya No. 8A-B, Petukangan Selatan, Pesanggrahan</t>
  </si>
  <si>
    <t>RS Anak dan Bunda Harapan Kita</t>
  </si>
  <si>
    <t>Jl. Let.Jend. S Parman Kav. 87 Slipi Jakbar</t>
  </si>
  <si>
    <t>RS Umum Daerah Matraman</t>
  </si>
  <si>
    <t>Jl. Kebon kelapa raya no. 29 kel. Utan kayu selatan kec. Matraman</t>
  </si>
  <si>
    <t>RS Gigi Dan Mulut YARSI</t>
  </si>
  <si>
    <t>Jl. LetJend Suprapto Kav. 13 Cempaka Putih. Jakarta Pusat. DKI Jakarta</t>
  </si>
  <si>
    <t>RS Umum Bhayangkara Tk. I R.Said Sukanto</t>
  </si>
  <si>
    <t>Jl. Raya Bogor Kramat Jati,Jakarta Timur</t>
  </si>
  <si>
    <t>RS Umum Daerah Cengkareng</t>
  </si>
  <si>
    <t>Jl.Kamal Raya Bumi Cengkareng Indah Cengkareng Timur</t>
  </si>
  <si>
    <t>RS Umum  Satya Negara</t>
  </si>
  <si>
    <t>Jl. Agung Utara Raya No. 1 Jakut</t>
  </si>
  <si>
    <t>RS Jiwa Islam Klender</t>
  </si>
  <si>
    <t>Jl. Bunga Rampai X, Perumnas Klender , Malaka Jaya Kecamatan Duren Sawit Kota Administrasi Jakarta Timur, Provinsi DKI Jakarta</t>
  </si>
  <si>
    <t>RS Jiwa Dharmawangsa</t>
  </si>
  <si>
    <t>Jl. Darmawangsa Raya Blok P/ II No.13, Kelurahan Pulo Kecamatan Kebayoran Baru Kotamadya Jakarta Selatan Provinsi DKI Jakarta</t>
  </si>
  <si>
    <t>RS Umum Proklamasi</t>
  </si>
  <si>
    <t>Jawa Barat</t>
  </si>
  <si>
    <t>Karawang</t>
  </si>
  <si>
    <t>Jl. Raya Proklamasi KM. 2 Rengasdengklok, Karawang</t>
  </si>
  <si>
    <t>RS Umum El-Syifa</t>
  </si>
  <si>
    <t>Kuningan</t>
  </si>
  <si>
    <t>Jl. RE. Martadinata No.108, Desa Ancaran, Kecamatan Kuningan, Kabupaten Kuningan, Provinsi Jawa Barat</t>
  </si>
  <si>
    <t>RS Umum Syifa Medina</t>
  </si>
  <si>
    <t>Kota Tasikmalaya</t>
  </si>
  <si>
    <t>Jl. Bantar No. 15A Kelurahan Argasari Kecamatan Cihideung Kota Tasikmalaya</t>
  </si>
  <si>
    <t>Bekasi</t>
  </si>
  <si>
    <t>Jl. Raya Industri No. 36 Cikarang Utara</t>
  </si>
  <si>
    <t>RS Umum Anak Negeri Hospital</t>
  </si>
  <si>
    <t>Kota Depok</t>
  </si>
  <si>
    <t>Jl. Raya Keadilan No. 16 Kp. Rawa Denok RT/RW 04/12 Kel. Rangkapan Jaya Baru, Kec. Pancoran Mas</t>
  </si>
  <si>
    <t>RS Umum Daerah Sekarwangi</t>
  </si>
  <si>
    <t>Sukabumi</t>
  </si>
  <si>
    <t>Jl. Siliwangi No. 49 Cibadak Sukabumi</t>
  </si>
  <si>
    <t>RS Umum Al-Islam Bandung</t>
  </si>
  <si>
    <t>Kota Bandung</t>
  </si>
  <si>
    <t>Jl. Soekarno. Hatta 644 Bandung</t>
  </si>
  <si>
    <t>RS Umum TNI AU Lanud Sulaiman</t>
  </si>
  <si>
    <t>Bandung</t>
  </si>
  <si>
    <t>JL. Terusan Kopo KM. 10 NO. 457, Kelurahan Sulaiman, Kecamatan Margahayu, Kabupaten Bandung</t>
  </si>
  <si>
    <t>RS Umum Dr. Hafiz</t>
  </si>
  <si>
    <t>Cianjur</t>
  </si>
  <si>
    <t>Jln. Pramuka No. 15 RT 003 RW 002 Desa Sukamulya Kecamtan Karangtengah Kabupaten Cianjur</t>
  </si>
  <si>
    <t>RS EMC Sentul</t>
  </si>
  <si>
    <t>Bogor</t>
  </si>
  <si>
    <t>Jl. MH. Thamrin Kav. 57 Sentul City, Bogor 16810</t>
  </si>
  <si>
    <t>RS Umum Annisa</t>
  </si>
  <si>
    <t>Jl. Cikarang Baru No.31 Cikarang Utara Bekasi</t>
  </si>
  <si>
    <t>RS Hastien</t>
  </si>
  <si>
    <t>Cikangkung Barat II RT.007 RW.002 Desa Rengasdengklok Utara, Kecamatan Rengasdengklok</t>
  </si>
  <si>
    <t>RS Umum Daerah Cicalengka</t>
  </si>
  <si>
    <t>Jl. H. Darham No.35 - Cikopo, Cicalengka Kab. Bandung</t>
  </si>
  <si>
    <t>RS Umum Khalishah</t>
  </si>
  <si>
    <t>Cirebon</t>
  </si>
  <si>
    <t>Jl. Dr. Setia Budi No.8 Desa Pegagan Kecamatan Palimanan, Kabupaten Cirebon, Provinsi Jawa Barat</t>
  </si>
  <si>
    <t>RS Umum Helsa</t>
  </si>
  <si>
    <t>Jln. Ir. H. Juanda No 123 Cikampek Karawang</t>
  </si>
  <si>
    <t>RS Umum KMC Luragung</t>
  </si>
  <si>
    <t>Dusun Rahayu RT.002/001 Desa Cirahayu Kec. Luragung Kab. Kuningan</t>
  </si>
  <si>
    <t>RS Hermina Karawang</t>
  </si>
  <si>
    <t>Jl. Tuparev Sukasari Kel. Karawang Wetan Kec. Karawang Timur Karawang</t>
  </si>
  <si>
    <t>RS Umum Hermina Grand Wisata</t>
  </si>
  <si>
    <t>Jl. Festival Boulevard Blok J AI No.1 Desa Lambang Sari Kec.Tambun Selatan Kab.Bekasi</t>
  </si>
  <si>
    <t>RS Umum Daerah Arjawinangun</t>
  </si>
  <si>
    <t>Jl. By Pass Palimanan - Jakarta KM. 2 No. 1  Arjawinangun</t>
  </si>
  <si>
    <t>RS Umum Permata Bekasi</t>
  </si>
  <si>
    <t>Kota Bekasi</t>
  </si>
  <si>
    <t>Jl. Legenda Raya No. 9 Mustika Jaya, Bekasi</t>
  </si>
  <si>
    <t>RSAU dr. M. Salamun</t>
  </si>
  <si>
    <t>Jl. Ciumbuleuit 203 Bandung</t>
  </si>
  <si>
    <t>RS Umum Putera Bahagia</t>
  </si>
  <si>
    <t>Kota Cirebon</t>
  </si>
  <si>
    <t>Jl. Ciremai Raya No 114 Perumnas Cirebon</t>
  </si>
  <si>
    <t>RS Rayhan</t>
  </si>
  <si>
    <t>Subang</t>
  </si>
  <si>
    <t>Jl. Raya Sadang - Subang KM 17 ,Desa Wantilan, Kecamatan Cipeundeuy, Kabupaten Subang, Jawa Barat, 41272</t>
  </si>
  <si>
    <t>RS Ibu dan Anak Citra Insani</t>
  </si>
  <si>
    <t>Jl. Raya Parung No.242 Lebakwangi, Pemagarsari - Bogor</t>
  </si>
  <si>
    <t>RS Umum Rajawali</t>
  </si>
  <si>
    <t>Jl. Rajawali No.38  Rt 005 / Rw 010, Kelurahan Maleber, Kecamatan Andir, Kota Bandung 40184</t>
  </si>
  <si>
    <t>RS Umum Asri Medika</t>
  </si>
  <si>
    <t>Jl. Citanduy Raya L 11 No 1, Simpangan, Cikarang Utara, Kab Bekasi, Jawa Barat</t>
  </si>
  <si>
    <t>RS Mekar Sari</t>
  </si>
  <si>
    <t>Jl. Mekar Sari No. 1 Bekasi</t>
  </si>
  <si>
    <t>RS Umum Daerah Leuwiliang</t>
  </si>
  <si>
    <t>Jl. Raya Cibeber - Leuwiliang Bogor</t>
  </si>
  <si>
    <t>RS Umum Permata Depok</t>
  </si>
  <si>
    <t>Jl. Raya Muchtar No.22 Sawangan</t>
  </si>
  <si>
    <t>RS Primaya Bekasi Utara</t>
  </si>
  <si>
    <t>Villa Indah Permai Golden City Blok G No. 1 Teluk Pucung Bekasi Utara</t>
  </si>
  <si>
    <t>RS Jiwa Provinsi Jawa Barat</t>
  </si>
  <si>
    <t>Bandung Barat</t>
  </si>
  <si>
    <t>Jl. Kolonel Masturi KM 7 Cisarua - Bandung Barat</t>
  </si>
  <si>
    <t>RS Umum Daerah Gunung Jati</t>
  </si>
  <si>
    <t>Jl. Kesambi No. 56 Cirebon 45134</t>
  </si>
  <si>
    <t>RS Umum Mitra Idaman</t>
  </si>
  <si>
    <t>Kota Banjar</t>
  </si>
  <si>
    <t>Jl. Sudiro W No.57 Kota Banjar</t>
  </si>
  <si>
    <t>Rumah Sakit DKH Cibadak</t>
  </si>
  <si>
    <t>Jl. Siliwangi No.139, Kp. Sekarwangi RT 03/17 Kelurahan Cibadak, Kecamatan Cibadak, Kabupaten Sukabumi</t>
  </si>
  <si>
    <t>RS Umum Daerah Bedas Cimaung</t>
  </si>
  <si>
    <t>Jl. Raya Pengalengan Desa Cikalong, Kec. Cimaung 40374 Kab. Bandung</t>
  </si>
  <si>
    <t>RS Umum Daerah Sindangbarang</t>
  </si>
  <si>
    <t>Jl. Raya Sindangbarang-Cidaun KM. 01 Desa Saganten Kec. Sindangbarang</t>
  </si>
  <si>
    <t>RS Umum Anna</t>
  </si>
  <si>
    <t>Jalan Pekayon Raya No 36, Kelurahan Jaka Setia, Kecamatan Bekasi Selatan, Kota Bekasi, Provinsi Jawa Barat</t>
  </si>
  <si>
    <t>RS Umum Daerah Pondokgede</t>
  </si>
  <si>
    <t>Jl. Raya Jatiwaringin 1 RT 01 RW 11 Kel. Jatiwaringin Kec. Pondok gede</t>
  </si>
  <si>
    <t>RS Umum Permata Bunda</t>
  </si>
  <si>
    <t>Ciamis</t>
  </si>
  <si>
    <t>Jl. Mr. Iwa Kusumasomantri No.1 Ciamis</t>
  </si>
  <si>
    <t>RS Umum Al-Arif</t>
  </si>
  <si>
    <t>Jl. R.E. Martadinata No.158, Baregbeg - Ciamis</t>
  </si>
  <si>
    <t>RS Ibu dan Anak Asyifa Depok</t>
  </si>
  <si>
    <t>Jl.Raya Depok - Cinere No 09, Rkp. Jaya Baru, Depok</t>
  </si>
  <si>
    <t>RS Umum Universitas Muhammadiyah Cirebon</t>
  </si>
  <si>
    <t>Jl. KH. Wahid Hasyim No. 8 Desa Mertapeda Wetan, Kec. Astanajapura Kab. Cirebon 45181 Provinsi Jawa Barat</t>
  </si>
  <si>
    <t>RS Ibu dan Anak Kenari Graha Medika</t>
  </si>
  <si>
    <t>Griya Kenari Mas Blok B2 Cileungsi Bogor</t>
  </si>
  <si>
    <t>RS Ibu dan Anak Bunda Suryatni</t>
  </si>
  <si>
    <t>Kota Bogor</t>
  </si>
  <si>
    <t>Jl. KH. Sholeh Iskandar No,21 Tanah Sareal Kota Bogor</t>
  </si>
  <si>
    <t>RS Umum Haji Syaiful Anwar</t>
  </si>
  <si>
    <t>Jl. Raya Cipunagara RT. 39 RW. 10 Desa Kamarung Kecamatan Pagaden Kabupaten Subang Provinsi Jawa Barat</t>
  </si>
  <si>
    <t>RS Edelweiss Bentang Salapan</t>
  </si>
  <si>
    <t>Jl. Raya Bandung RT. 001/RW. 011, Desa Bojong, Kec. Karangtengah</t>
  </si>
  <si>
    <t>Mayapada Hospital Bogor</t>
  </si>
  <si>
    <t>Jl. Pajajaran Indah V No.97, Bogor Timur Kota Bogor</t>
  </si>
  <si>
    <t>RS Umum Karina Medika</t>
  </si>
  <si>
    <t>Purwakarta</t>
  </si>
  <si>
    <t>JL Baru Kp. Krajan RT 31 RW 09 Desa Maracang  Kec. Babakancikao Kab. Purwakarta  41151</t>
  </si>
  <si>
    <t>RS Umum Daerah Subang</t>
  </si>
  <si>
    <t>Jl. Brigjen Katamso No. 37  Subang</t>
  </si>
  <si>
    <t>RS Umum Juwita</t>
  </si>
  <si>
    <t>Jl. M. Hasibuan No.78, Bekasi Timur</t>
  </si>
  <si>
    <t>RS Ibu dan Anak Irhamna Indramayu</t>
  </si>
  <si>
    <t>Indramayu</t>
  </si>
  <si>
    <t>Jl. Raya Terusan No. 01, Kel. Terusan, Kec. Sindang, Kab. Indramayu, Prov. Jawa Barat</t>
  </si>
  <si>
    <t>RS Umum Saraswati</t>
  </si>
  <si>
    <t>Jl. Jend. Ahmad Yani No.27, Cikampek, Kab. Karawang</t>
  </si>
  <si>
    <t>RS Umum Ridhoka Salma</t>
  </si>
  <si>
    <t>Jl. Raya Imam Bonjol No 7 Cikarang Barat</t>
  </si>
  <si>
    <t>RS Jantung Hasna Medika Kuningan</t>
  </si>
  <si>
    <t>Jl. Raya Cigugur Lingkungan Manis RT. 030 RW. 011 Kecamatan Cigugur</t>
  </si>
  <si>
    <t>RS Umum Daerah Jampang Kulon</t>
  </si>
  <si>
    <t>Jl. Cibarusah No.1 Jampang Kulon, Kab.Sukabumi</t>
  </si>
  <si>
    <t>RS Umum Bina Sehat</t>
  </si>
  <si>
    <t>Jl. Raya Dayeuhkolot No.325, Desa Citeureup, Kec. Dayeuhkolot, Kab. Bandung</t>
  </si>
  <si>
    <t>RS Umum Medirossa 2</t>
  </si>
  <si>
    <t>JL Raya Serang Cibarusah No.5 Desa Sindangmulya Kecamatan Cibarusah Kab. Bekasi - 17340</t>
  </si>
  <si>
    <t>RS Islam Zam-Zam Muhammadiyah Jatibarang</t>
  </si>
  <si>
    <t>Jl. Letnan Joni 1231, Desa Jatibarang Baru, Kecamatan Jatibarang, Kabupaten Indramayu, Provinsi Jawa Barat</t>
  </si>
  <si>
    <t>Siloam Hospitals Lippo Cikarang</t>
  </si>
  <si>
    <t>Jl. MH Thamrin Kav.105 Bekasi</t>
  </si>
  <si>
    <t>RS Umum Citra Medika Depok</t>
  </si>
  <si>
    <t>Jl. Raya Kalimulya No. 68, RT 6 RW 7, Kel. Kalimulya Kec. Cilodong</t>
  </si>
  <si>
    <t>RS Khusus Ibu dan Anak Grha Mutiara</t>
  </si>
  <si>
    <t>Jl. Brigjen Katamso No. 4 Subang  41212 Kp. Sukawening RT. 62 RW. 20 Kelurahan Cigadung Kecamatan Subang Kabupaten Subang Provinsi Jawa Barat</t>
  </si>
  <si>
    <t>RS Umum dr. Abdul Radjak Cibitung</t>
  </si>
  <si>
    <t>Jl. Al-Huda, Cikarang Jati NO 61, RT.02 RW.02 Desa Sukajaya</t>
  </si>
  <si>
    <t>RS Umum Tk. IV Guntur</t>
  </si>
  <si>
    <t>Garut</t>
  </si>
  <si>
    <t>Jl. Bratayuda No. 101 Kelurahan Kota Kulon Kecamatan Garut Kota Kabupaten Garut Provinsi Jawa Barat</t>
  </si>
  <si>
    <t>RS Umum Kasih Bunda</t>
  </si>
  <si>
    <t>Kota Cimahi</t>
  </si>
  <si>
    <t>Jl. Mahar Martanegara No.166 Kel. Baros Kec. Cimahi Tengah</t>
  </si>
  <si>
    <t>Sentra Medika Hospital Gempol</t>
  </si>
  <si>
    <t>Jl. KH. Agus Salim Blok Ketipa Desa Kedungbunder</t>
  </si>
  <si>
    <t>RS Umum PMI Bogor</t>
  </si>
  <si>
    <t>Jl. Raya Pajajaran No. 80 Bogor</t>
  </si>
  <si>
    <t>RS Umum Mitra Keluarga Depok</t>
  </si>
  <si>
    <t>Jl. Margonda Raya, Pancoran Mas, Depok, Jawa Barat</t>
  </si>
  <si>
    <t>RS Mata Bandung Eye Center</t>
  </si>
  <si>
    <t>Jl. Buah Batu No.147 Kel. Turangga Kec. Lengkong Kota Bandung 40265 -6.9377070, 107.6238201</t>
  </si>
  <si>
    <t>RS Umum Daerah Majalengka</t>
  </si>
  <si>
    <t>Majalengka</t>
  </si>
  <si>
    <t>Jl. Kesehatan No.77 Majalengka</t>
  </si>
  <si>
    <t>RS Umum Kartika Husada</t>
  </si>
  <si>
    <t>Jl. Raya Mangunjaya No.07 Kp.Rukem,Tambun - Bekasi</t>
  </si>
  <si>
    <t>RS Umum Citama</t>
  </si>
  <si>
    <t>Jl. Raya Pabuaran No. 52 Bogor</t>
  </si>
  <si>
    <t>RS Umum Nurhayati Garut</t>
  </si>
  <si>
    <t>Jl. Jendral Sudirman No. 6 RT. 05 RW. 05 Desa Suci Kecamatan Karangpawitan Kabupaten Garut Provinsi Jawa Barat Indonesia</t>
  </si>
  <si>
    <t>RS Umum Intan Husada</t>
  </si>
  <si>
    <t>Jl. Suherman Nomor 72 Desa Tarogong Kec. Tarogong Kidul Kabupaten Garut 44151 Provinsi Jawa Barat</t>
  </si>
  <si>
    <t>RS Kartini</t>
  </si>
  <si>
    <t>Jl. Pahlawan No. 48  Kel. Neglasari  Kec. Cibeunying Kaler Kota Bandung Propinsi Jawa Barat 40124</t>
  </si>
  <si>
    <t>RS Pasundan</t>
  </si>
  <si>
    <t>Jl. Haji Wasid No. 1 RT. 008 RW. 007 Kel. Lebak Gede Kec. Coblong</t>
  </si>
  <si>
    <t>RS Umum Bhakti Yudha</t>
  </si>
  <si>
    <t>Jl. Raya Sawangan No. 2A Depok</t>
  </si>
  <si>
    <t>RS Umum Immanuel Bandung</t>
  </si>
  <si>
    <t>Jl. Kopo 161 Bandung</t>
  </si>
  <si>
    <t>RS Umum Budi Asta</t>
  </si>
  <si>
    <t>Jl. Kalitanjung No.51, Kec. Harjamukti, Kel. Harjamukti, Kota Cirebon, Jawa Barat</t>
  </si>
  <si>
    <t>RS Umum Rama Hadi</t>
  </si>
  <si>
    <t>Jl.Raya Sadang - Subang RT 17/04 Desa Ciwangi Kec. Bungursari Kab. Purwakarta</t>
  </si>
  <si>
    <t>RS Umum Mary Cileungsi Hijau</t>
  </si>
  <si>
    <t>Jl. Raya Narogong Km 21 Cileungsi Bogor</t>
  </si>
  <si>
    <t>RS Umum Tk. IV 03.07.03 Sariningsih</t>
  </si>
  <si>
    <t>Jl. L. L. R.E. Martadinata No.09, Kel.Citarum, Kec. Bandung Wetan, Kota Bandung, Jawa Barat 40115</t>
  </si>
  <si>
    <t>RS Umum Medimas</t>
  </si>
  <si>
    <t>Jl. Evakuasi No. 116 Cirebon Kelurahan Karyamulya, Kecamatan Kesambi, Kota Cirebon, Provinsi Jawa Barat</t>
  </si>
  <si>
    <t>RS Umum Bhakti Husada</t>
  </si>
  <si>
    <t>Jl. R. E. Martadinata (By Pass) Cikarang - Bekasi</t>
  </si>
  <si>
    <t>RS Umum Daerah Al Ihsan Provinsi Jawa Barat</t>
  </si>
  <si>
    <t>Jl. Ki Astramanggala Bale Endah Kab. Bandung</t>
  </si>
  <si>
    <t>RS Umum Panti Abdi Dharma</t>
  </si>
  <si>
    <t>Jl. Pulasaren No.07 Cirebon 45114</t>
  </si>
  <si>
    <t>RS Umum Avisena</t>
  </si>
  <si>
    <t>Jl. Melong 170 RT 04 RW 05 Kelurahan Melong, Kecamatan Cimahi Selatan, Kota Cimahi, JAWA BARAT</t>
  </si>
  <si>
    <t>RS Umum Puspa Husada</t>
  </si>
  <si>
    <t>Jalan Pondok Timur Indah No.Km.1 No.27 Jatimulya Kec. Tambun Sel. Kabupaten Bekasi, Jawa Barat 17157, Indonesia</t>
  </si>
  <si>
    <t>RS DKH Sukatani</t>
  </si>
  <si>
    <t>Jl Raya Pilar Sukatani No 9 Desa Karangsentosa, kec. Karang Bahagia, Kab. Bekasi, Jawa Barat</t>
  </si>
  <si>
    <t>RS Umum Siloam Hospitals Bogor</t>
  </si>
  <si>
    <t>Jl. Pajajaran No. 27 Bogor Tengah, Kota Bogor</t>
  </si>
  <si>
    <t>RS Umum Daerah Pandega Pangandaran</t>
  </si>
  <si>
    <t>Pangandaran</t>
  </si>
  <si>
    <t>Jl. Merdeka Desa Pananjung Kecamatan Pangandaran Kabupaten Pangandaran Kode Pos 46396</t>
  </si>
  <si>
    <t>RS Umum Citra Harapan</t>
  </si>
  <si>
    <t>Jl.Raya Harapan Indah Kawasan Sentra Niaga No. 3-5 Harapan Indah Pejuang, Medan Satria Kota Bekasi</t>
  </si>
  <si>
    <t>RS Umum Wijaya Kusumah</t>
  </si>
  <si>
    <t>Jl. RE Martadinata No. 172 Kab. Kuningan</t>
  </si>
  <si>
    <t>RS Umum Bhayangkara Indramayu</t>
  </si>
  <si>
    <t>Jl. Raya Pantura Km.73-75 Losarang - Indramayu</t>
  </si>
  <si>
    <t>RS Umum Juliana</t>
  </si>
  <si>
    <t>Jl. Raya Tajur No. 75 Bogor Timur Kota Bogor</t>
  </si>
  <si>
    <t>RS Siloam Bekasi Timur</t>
  </si>
  <si>
    <t>Jl. Charil Anwar Blu Plaza No 27, RT. 004 RW. 09 Kelurahan Margahayu Kecamatan Bekasi Timur</t>
  </si>
  <si>
    <t>RS Umum Daerah Talaga</t>
  </si>
  <si>
    <t>Jl. Raya Majalengka-Cikijing, Blok Cipeucang I Desa Talaga Wetan, Kecamatan Talaga</t>
  </si>
  <si>
    <t>RS Cimalaka</t>
  </si>
  <si>
    <t>Sumedang</t>
  </si>
  <si>
    <t>Jl. Raya Mandalaherang No. 225 Desa Mandalaherang</t>
  </si>
  <si>
    <t>RS Umum Daerah R. Syamsudin, SH</t>
  </si>
  <si>
    <t>Kota Sukabumi</t>
  </si>
  <si>
    <t>Jl. Rumah Sakit No. 1 Kota Sukabumi</t>
  </si>
  <si>
    <t>RS Umum dr. Abdul Radjak Purwakarta</t>
  </si>
  <si>
    <t>Jl. Raya Bungur Sari No. 36 Purwakarta</t>
  </si>
  <si>
    <t>RSAU dr. Hoediyono Lanud Suryadarma</t>
  </si>
  <si>
    <t>Jl. Raya Baru No. 10 Desa/Kel. Kalijati Barat Kec. Kalijati Kab. Subang</t>
  </si>
  <si>
    <t>RS Umum Mitra Anugrah Lestari</t>
  </si>
  <si>
    <t>Jl. Cibaligo No.76, Kel. Cigugur Tengah Kec. Cimahi Tengah</t>
  </si>
  <si>
    <t>RS Umum Harapan Mulia</t>
  </si>
  <si>
    <t>Jl. Raya Cibarusah No. 5 Kebon Kopi Cibarusah Kelurahan Cibarusah Jaya, Kecamatan Cibarusah, Kabupaten Bekasi, Jawa Barat</t>
  </si>
  <si>
    <t>RS Ibu dan Anak Dr. Djoko Pramono</t>
  </si>
  <si>
    <t>Jl. Panatayuda I No.35, Karawang</t>
  </si>
  <si>
    <t>RS Umum Permata Keluarga Lippo Cikarang</t>
  </si>
  <si>
    <t>Jl. M.H Thamrin Kav. 129 Lippo Cikarang, Desa Cibatu, Kecamatan Cikarang Selatan, Kabupaten Bekasi</t>
  </si>
  <si>
    <t>RS Umum Budi Asih</t>
  </si>
  <si>
    <t>Jl. Raya Serang-Cibarusah 001/001 Ds. Serang  Kec. CIkarang Kab. Bekasi</t>
  </si>
  <si>
    <t>RS Umum Daerah Sayang</t>
  </si>
  <si>
    <t>Jl. Rumah Sakit No.1 Cianjur</t>
  </si>
  <si>
    <t>RS Khusus Gigi dan Mulut UNPAD</t>
  </si>
  <si>
    <t>Jl. Sekeloa Selatan I Bandung</t>
  </si>
  <si>
    <t>RS Umum Bhayangkara Brimob</t>
  </si>
  <si>
    <t>JL Komjen Pol. M Yasin, Kelapadua, Cimanggis</t>
  </si>
  <si>
    <t>RS Islam Aysha</t>
  </si>
  <si>
    <t>Perumahan Acropolis RT. 006 RW. 018 Blok MF Kel. Karadenan Kec. Cibinong Kab. Bogor 16913</t>
  </si>
  <si>
    <t>RS Umum Rawa Lumbu</t>
  </si>
  <si>
    <t>Jl. Dasa Darma Kav 20-23, Kelurahan Bojong Rawa Lumbu, Kecamatan Rawa Lumbu, Kota Bekasi, Provinsi Jawa Barat</t>
  </si>
  <si>
    <t>RS EMC Cibitung</t>
  </si>
  <si>
    <t>Jl. Kalimantan Blok CB No.1 Kawasan Industri MM2100, Gandasari, Cikarang Barat</t>
  </si>
  <si>
    <t>RS Umum Islam Hj. Siti Muniroh</t>
  </si>
  <si>
    <t>Jl. Tamansari No 228 Kelurahan Mulyasari Kecamatan Tamansari</t>
  </si>
  <si>
    <t>RS Umum Mitra Family</t>
  </si>
  <si>
    <t>Jl. Raya Galuh Mas RT/RW 002/005, Desa Sukaharja, Kecamatan Teluk Jambe Timur</t>
  </si>
  <si>
    <t>RS Umum Karya Bhakti Pratiwi</t>
  </si>
  <si>
    <t>Jl. Raya Dramaga KM. 7 Bogor</t>
  </si>
  <si>
    <t>RS Medina</t>
  </si>
  <si>
    <t>Jl. Raya Wanaraja No. 500 RT. 004 RW. 008 Desa Cinunuk Kecamatan Wanaraja Kabupaten Garut Provinsi Jawa Barat 44183</t>
  </si>
  <si>
    <t>RS Primaya Depok</t>
  </si>
  <si>
    <t>Jl. H. Dimun Raya RT.001 RW.024 Sukamaju Kec. Cilodong</t>
  </si>
  <si>
    <t>RSAU Dr. M. Hassan Toto</t>
  </si>
  <si>
    <t>Jl. Sardjio No. 1  Kel. Atang Senjaya Kec. Kemang</t>
  </si>
  <si>
    <t>RS Bedah Budi Kasih</t>
  </si>
  <si>
    <t>Jl. Raya Siliwangi Panyingkiran Km.7 No.84 Kel. Karyamukti Kec. Panyingkiran Kab. Majalengka Prov. Jawa Barat</t>
  </si>
  <si>
    <t>RS Umum Family Medical Center</t>
  </si>
  <si>
    <t>Jl. Raya Bogor Km.51 Ciluar, Bogor</t>
  </si>
  <si>
    <t>RS Sentosa</t>
  </si>
  <si>
    <t>Jl. Raya Kemang No. 18 Desa Pondok Udik Kec. Kemang Kab. Bogor</t>
  </si>
  <si>
    <t>RS Umum Daerah Ciawi</t>
  </si>
  <si>
    <t>Jl. Raya Puncak 479 Ciawi Bogor</t>
  </si>
  <si>
    <t>RS Umum Santo Borromeus</t>
  </si>
  <si>
    <t>Jl. Ir. H. Juanda  No.100</t>
  </si>
  <si>
    <t>Jl. Urip Sumoharjo No.5 Ciwaringin, Kab. Cirebon</t>
  </si>
  <si>
    <t>RS Umum Bunda Margonda</t>
  </si>
  <si>
    <t>Jl. Margonda Raya No.28 RT002 RW003 Kelurahan Pondok Cina Kecamatan Beji , Depok - Jawa Barat</t>
  </si>
  <si>
    <t>RS Paru Dr. H. A. Rotinsulu</t>
  </si>
  <si>
    <t>Jl. Bukit Jarian No. 40 Bandung</t>
  </si>
  <si>
    <t>RS Umum Daerah Asih Husada Langensari</t>
  </si>
  <si>
    <t>Jl. Pahlawan No. 25 Lingk. Babakan Kel. Muktisari Kec. Langensari</t>
  </si>
  <si>
    <t>RS Umum Mitra Keluarga Bekasi</t>
  </si>
  <si>
    <t>Jl. Jend. Ahmad Yani - Kayuringin Jaya, Bekasi</t>
  </si>
  <si>
    <t>RS Umum Puri Asih</t>
  </si>
  <si>
    <t>Jl. Raya Jatisari No. 3 Jatisari Karawang</t>
  </si>
  <si>
    <t>RS Umum Daerah Lembang</t>
  </si>
  <si>
    <t>Jl. Raya Lembang KM.11,4 No.11 Desa Gudang Kahuripan Kec. Lembang, Kabupaten Bandung Barat, Provinsi Jawa Barat</t>
  </si>
  <si>
    <t>RS Umum Daerah Jatisari Kabupaten Karawang</t>
  </si>
  <si>
    <t>Jl. Raya Jatisari Desa Jatisari Kec. Jatisari Kab. Karawang</t>
  </si>
  <si>
    <t>RS Umum St. Elisabeth</t>
  </si>
  <si>
    <t>Jl. Raya Narogong 202 KM.5,Kemang Pratama,Kel. BojongRawa Lumbu, Kec. Rawa Lumbu, Kota Bekasi.</t>
  </si>
  <si>
    <t>RS Umum Bhakti Medicare</t>
  </si>
  <si>
    <t>Jl. Raya Siliwangi No.186B, Cicurug - Sukabumi</t>
  </si>
  <si>
    <t>RS Umum Daerah Waled</t>
  </si>
  <si>
    <t>Jl. Prabu Kiansantang No. 4 Waled, Cirebon</t>
  </si>
  <si>
    <t>RS Umum Dewi Sri</t>
  </si>
  <si>
    <t>Jl. Arif Rahman Hakim No. 1 A Karawang</t>
  </si>
  <si>
    <t>RS Umum Mitra Keluarga Cikarang</t>
  </si>
  <si>
    <t>Jl. Industri Raya 100, Lemah Abang</t>
  </si>
  <si>
    <t>RS Umum Permata Cirebon</t>
  </si>
  <si>
    <t>Jl. Tuparev No.117 Cirebon</t>
  </si>
  <si>
    <t>RS Umum Bhayangkara Tk. IV Bogor</t>
  </si>
  <si>
    <t>Jl. Kapten Muslihat No. 18 Paledang Bogor Tengah Kota Bogor</t>
  </si>
  <si>
    <t>RS Umum Assyifa Sukabumi</t>
  </si>
  <si>
    <t>Jl. Jend Sudirman No. 3 Kel. Gunungpuyuh Kec. Gunungpuyuh Kota Sukabumi</t>
  </si>
  <si>
    <t>RS Umum Daerah Karawang</t>
  </si>
  <si>
    <t>Jl. Galuh Mas Raya No.1, Sukaharja, Teluk Jambe, Karawang</t>
  </si>
  <si>
    <t>RS Umum Hermina Galaxy</t>
  </si>
  <si>
    <t>jl. Gardenia Raya Blok BA I No.11 Grand Galaxy City Bekasi</t>
  </si>
  <si>
    <t>RS Umum Nurhayati Cikajang</t>
  </si>
  <si>
    <t>Jl. Raya Cikajang RT 005 RW 001, Kel. Girijaya, Kec. Cikajang</t>
  </si>
  <si>
    <t>RS Umum Izza</t>
  </si>
  <si>
    <t>Jl. Berlian Raya Ciselang, Cikampek Utara, Kec. Kota Baru, Karawang, Jawa Barat 41374</t>
  </si>
  <si>
    <t>RS Umum Rosela</t>
  </si>
  <si>
    <t>Jl. Interchange Tol Karawang Barat No.3 Karawang Jawa barat</t>
  </si>
  <si>
    <t>RS Permata Bunda</t>
  </si>
  <si>
    <t>Blok C1 Jl. Gramapuri I No.8-10 Wanasari Cibitung Bekasi Regency 17520</t>
  </si>
  <si>
    <t>RS Umum Daerah Majalaya</t>
  </si>
  <si>
    <t>Jl. Raya Cipaku No.87 Majalaya Kabupaten Bandung</t>
  </si>
  <si>
    <t>RS AMC</t>
  </si>
  <si>
    <t>Jl. Raya Cileunyi No.1, Cileunyi Wetan, Cileunyi, Bandung, Jawa Barat 40622</t>
  </si>
  <si>
    <t>RS Umum Sentra Medika Cibinong</t>
  </si>
  <si>
    <t>Jl. Mayor Oking Jaya Atmaja No.9 Bogor</t>
  </si>
  <si>
    <t>RS Ibu dan Anak dr. Hj. Karmini EH</t>
  </si>
  <si>
    <t>Jl.RSU No 56-58 Kel. Kahuripan Kec. Tawang Kota Tasikmalaya Provinsi Jawa Barat</t>
  </si>
  <si>
    <t>RS Umum Daerah Al-Mulk</t>
  </si>
  <si>
    <t>Jl. Pelabuhan 2 KM 6 Lembursitu, Kecamatan Lembursitu, Kota Sukabumi Provinsi Jawa Barat</t>
  </si>
  <si>
    <t>RS Universitas Indonesia</t>
  </si>
  <si>
    <t>Jl. Prof. Dr. Bahder Djohan, Kampus Universitas Indonesia Depok</t>
  </si>
  <si>
    <t>RS Umum Baros</t>
  </si>
  <si>
    <t>Jl. Raya Baros No.E46 RT. 01 RW. 15, Kelurahan Baros, Kecamatan Cimahi Tengah, Kota Cimahi 40521, Provinsi Jawa Barat</t>
  </si>
  <si>
    <t>RS Umum Daerah Bedas Tegalluar</t>
  </si>
  <si>
    <t>Jl. Rancawangi Desa Tegalluar Kec. Bojongsoang</t>
  </si>
  <si>
    <t>RS Umum Bella</t>
  </si>
  <si>
    <t>Jl. Ir. H .Juanda No. 141, Bekasi</t>
  </si>
  <si>
    <t>RS Cenka</t>
  </si>
  <si>
    <t>Jl.Pilar-Sukatani Desa Sukaraya Warung Pojok RT. 05 RW. 06 Kec. Karangbahagia, Kab. Bekasi, Jawa Barat 17530</t>
  </si>
  <si>
    <t>RS Umum Prasetya Bunda</t>
  </si>
  <si>
    <t>Jl. Ir. H. Juanda No.1 RT03/RW03, Kelurahan Panyingkiran, Kecamatan Indihiang, Kota Tasikmalaya, Provinsi Jawa Barat, 46411</t>
  </si>
  <si>
    <t>RS Ananda Tambun Selatan</t>
  </si>
  <si>
    <t>JL. Raya Perum Jatimulya No. 1 RT/RW 008/007 Kel. Jatimulya Kec. Tambun Selatan Kab. Bekasi Prov. Jawa Barat</t>
  </si>
  <si>
    <t>RS Umum Mulia Pajajaran</t>
  </si>
  <si>
    <t>Jl. Raya Pajajaran No. 98, Bantarjati - Bogor Utara, Kota Bogor</t>
  </si>
  <si>
    <t>RS Umum Azra</t>
  </si>
  <si>
    <t>Jl. Raya Pajajaran No.219, Bogor Utara Kota Bogor</t>
  </si>
  <si>
    <t>RS Umum Daerah Cileungsi</t>
  </si>
  <si>
    <t>Jl. Raya Cileungsi - Jonggol KM. 10 Cipeucang, Kecamatan Cileungsi</t>
  </si>
  <si>
    <t>RS Gigi dan Mulut Maranatha</t>
  </si>
  <si>
    <t>Jl. Prof. drg. Suria Sumantri, MPH. No.65 Bandung</t>
  </si>
  <si>
    <t>RS Umum Pakuwon</t>
  </si>
  <si>
    <t>Jl. Raden Dewi Sartika No. 17 Kel. Regol Wetan Kec. Sumedang Selatan Kab. Sumedang Prov. Jabar</t>
  </si>
  <si>
    <t>RS Umum Kartika Kasih</t>
  </si>
  <si>
    <t>Jl. Jenderal Ahmad Yani No.18A, Kota Sukabumi</t>
  </si>
  <si>
    <t>RS Umum Anna Medika</t>
  </si>
  <si>
    <t>Jl. Raya Perjuangan No.45, RT.003/RW.003, Harapan Baru, Kec. Bekasi Utara, Kota Bekasi, Jawa Barat (17123)</t>
  </si>
  <si>
    <t>RS Edelweiss</t>
  </si>
  <si>
    <t>Jl. Soekarno Hatta No. 550 Kel. Sekejati Kec. Buahbatu</t>
  </si>
  <si>
    <t>RS Mitra Keluarga Grand Wisata</t>
  </si>
  <si>
    <t>Jl. Boulevard Grand Wisata, Kel. Lambangsari</t>
  </si>
  <si>
    <t>RS Umum Puri Cinere</t>
  </si>
  <si>
    <t>Jl. Maribaya No.1 Puri Cinere,Kelurahan Pangkalan Jati, Kecamatan Cinere, Kota Depok, Provinsi Jawa Barat</t>
  </si>
  <si>
    <t>RS Umum Pindad</t>
  </si>
  <si>
    <t>Jl. Gatot Soebroto No. 517 Kel. Sukapura Kec. Kiaracondong</t>
  </si>
  <si>
    <t>RS Umum Simpangan Depok</t>
  </si>
  <si>
    <t>Jl. Raya Bogor Km.36 , Kel. Sukamaju, Kec. Cilodong, Depok 16414, Jawa Barat</t>
  </si>
  <si>
    <t>RS Ibu dan Anak Rinova Intan</t>
  </si>
  <si>
    <t>Jl. Raya Seroja No. 101 Harapan Jaya</t>
  </si>
  <si>
    <t>RS Umum Islam Bogor</t>
  </si>
  <si>
    <t>Jl. Perdana Raya No.22, Tanah Sareal, Kota Bogor</t>
  </si>
  <si>
    <t>RS Umum Daerah Kota Bandung</t>
  </si>
  <si>
    <t>Jalan Rumah Sakit No. 22, Kelurahan Pakemitan, Kec. Cinambo</t>
  </si>
  <si>
    <t>RS Umum Humana Prima</t>
  </si>
  <si>
    <t>Jl. Rancabolang No. 21 Kel. Manjahlega Kec. Rancasari Kota Bandung</t>
  </si>
  <si>
    <t>RS Umum Bhakti Husada II Purwakarta</t>
  </si>
  <si>
    <t>Jl. Raya Sadang-Subang KM 5 RT 01/01 Cikumpay Campaka Purwakarta</t>
  </si>
  <si>
    <t>RS Umum Harapan Keluarga</t>
  </si>
  <si>
    <t>Jl Raya Cipacing - Rancaekek KM 20 Jatinangor Sumedang</t>
  </si>
  <si>
    <t>RS Umum Citra Arafiq Sawangan</t>
  </si>
  <si>
    <t>Jl. Kemang Dalam RT 003 RW 004 Kel. Duren Seribu Kec. Bojongsari Kota Depok</t>
  </si>
  <si>
    <t>RS Muhammadiyah Bandung Selatan</t>
  </si>
  <si>
    <t>Jl. Raya laswi RT. 02 RW. 12 Desa Ciheulang Kec. Ciparay</t>
  </si>
  <si>
    <t>RS Umum Hermina Bekasi</t>
  </si>
  <si>
    <t>Jl. Kemakmuran No.39 Margajaya Bekasi</t>
  </si>
  <si>
    <t>RS dr. Abdul Radjak Jababeka</t>
  </si>
  <si>
    <t>Jl. Kasuari Raya Kav. IA &amp; 1B Cikarang Baru - Jababeka, Bekasi 17550</t>
  </si>
  <si>
    <t>RS Umum Medika Dramaga</t>
  </si>
  <si>
    <t>Jl. Raya Dramaga Km.7,3 Margajaya-Bogor Barat-Kota Bogor</t>
  </si>
  <si>
    <t>RS Ibu dan Anak Bunda Aisyah</t>
  </si>
  <si>
    <t>Jl. RE. Martadinata No. 200 B Cipedes Kota Tasikmalaya</t>
  </si>
  <si>
    <t>RS Asysyifaa</t>
  </si>
  <si>
    <t>Jl. Raya Leuwiliang Cibeber 1 Kab Bogor 16640</t>
  </si>
  <si>
    <t>RS Paramedika</t>
  </si>
  <si>
    <t>Jl. Raya Kali Abang Tengah RT. 003/031 Kelurahan Pejuang, Kec. Medan Satria</t>
  </si>
  <si>
    <t>RS Ibu dan Anak Selasih Medika</t>
  </si>
  <si>
    <t>Jl. Bintara Raya No. 05 Rt 002 Rw 005 Kel. Bintara Kec. Bekasi Barat Kota Bekasi Provinsi Jawa Barat Kode Pos 17134</t>
  </si>
  <si>
    <t>RS Umum Mutiara Hati</t>
  </si>
  <si>
    <t>Jl. Raya Pagaden Rt 15/04 Desa Sukamulya Kec.Pagaden Subang</t>
  </si>
  <si>
    <t>RS Siloam Bekasi Sepanjang Jaya</t>
  </si>
  <si>
    <t>Jl. Pramuka No. 12 Rt. 004 Rw. 002 Kel. Sepanjang Jaya Kec. Rawalumbu Bekasi</t>
  </si>
  <si>
    <t>RS Umum Permata Jonggol</t>
  </si>
  <si>
    <t>Jl.Raya Jonggol No. 1A, Sukamanah, Kecamatan Jonggol Kabupaten Bogor Jawa Barat</t>
  </si>
  <si>
    <t>RS Ibu dan Anak Kartini</t>
  </si>
  <si>
    <t>Jl. Letkol GA Manulang No. 46 Padalarang Bandung Barat</t>
  </si>
  <si>
    <t>RS Jantung dan Pembuluh Darah Paramarta</t>
  </si>
  <si>
    <t>Jl. Soekarno Hatta No. 581 Bandung 42075</t>
  </si>
  <si>
    <t>RS Paru Provinsi Jawa Barat</t>
  </si>
  <si>
    <t>Jl. Pangeran Kejaksan PO.BOX 4 Desa Sidawangi, Kecamatan Sumber Kab. Cirebon</t>
  </si>
  <si>
    <t>RS Siloam Sentosa</t>
  </si>
  <si>
    <t>Jl. Pahlawan No. 60, Duren Jaya Bekasi</t>
  </si>
  <si>
    <t>RS Ibu dan Anak Setya Bhakti</t>
  </si>
  <si>
    <t>Jl. Raya Bogor KM.30 Kel. Mekarsari Kec. Cimanggis</t>
  </si>
  <si>
    <t>RS Umum Daerah Cabangbungin</t>
  </si>
  <si>
    <t>Jl. Kp. Bojong RT 004/RW 001 Desa Jayalaksana Kecamatan Cabangbungin Kabupaten Bekasi</t>
  </si>
  <si>
    <t>RSU Bhayangkara Tk. II Sartika Asih</t>
  </si>
  <si>
    <t>Jl. Moch. Toha No. 369 Bandung</t>
  </si>
  <si>
    <t>Jl. Jend. A.Yani No.98 Cikampek Karawang</t>
  </si>
  <si>
    <t>RS Umum Kartika Husada Setu</t>
  </si>
  <si>
    <t>Jl. Raya Burangkeng Desa Burangkeng Rt. 001 Rw.06 Kec. Setu</t>
  </si>
  <si>
    <t>RS Mitra Keluarga Pratama</t>
  </si>
  <si>
    <t>Jl. Raya Jatimekar Kel. Jatimekar Kec. Jatiasih Kota Bekasi</t>
  </si>
  <si>
    <t>RS Umum Hermina Depok</t>
  </si>
  <si>
    <t>Jl. Raya Siliwangi No. 50 Pancoran Mas Depok</t>
  </si>
  <si>
    <t>RS Umum Bungsu</t>
  </si>
  <si>
    <t>Jl. Veteran No. 6 Bandung</t>
  </si>
  <si>
    <t>RS Umum Amira</t>
  </si>
  <si>
    <t>Jl. Ipik Gandamanah RT 35 / 03 Munjul Jaya Kab. Purwakarta</t>
  </si>
  <si>
    <t>RS Umum Daerah Pagelaran</t>
  </si>
  <si>
    <t>JL.Raya Pagelaran No 18 Desa Pagelaran Kec. Pagelaran Kab. Cianjur 43266</t>
  </si>
  <si>
    <t>RS Umum Daerah dr. Chasbullah Abdulmadjid</t>
  </si>
  <si>
    <t>Jl. Pramuka No. 55 Bekasi</t>
  </si>
  <si>
    <t>RS Khusus Gigi dan Mulut Kota Bandung</t>
  </si>
  <si>
    <t>Jl. L.L.R.E Martadinata 45 Bandung</t>
  </si>
  <si>
    <t>RS Ibu dan Anak Gizar</t>
  </si>
  <si>
    <t>Jl. Villa Mutiara Cikarang 1, Ruko Pasadena Blok RA No 3, 5 &amp; 6 Ciantra Kec. Cikarang Selatan Kab. Bekasi Provinsi Jawa Barat</t>
  </si>
  <si>
    <t>RS Umum Dadi Keluarga Ciamis</t>
  </si>
  <si>
    <t>Jl. RE. Martadinata Nomor 333-335 Baregbeg, Ciamis</t>
  </si>
  <si>
    <t>RS Umum Mayapada Hospital Bandung</t>
  </si>
  <si>
    <t>Jl. Terusan Buah Batu No.5, Batununggal, Kec. Bandung Kidul, Kota Bandung</t>
  </si>
  <si>
    <t>RS Umum Tk. II Dustira</t>
  </si>
  <si>
    <t>Jl. dr. Dustira No.1 Kel. Baros Kec. Cimahi Tengah</t>
  </si>
  <si>
    <t>RS Umum Hermina Pasteur</t>
  </si>
  <si>
    <t>Jl. Dr. Djundjunan No.107 Kota Bandung</t>
  </si>
  <si>
    <t>RS Umum Holistic Purwakarta</t>
  </si>
  <si>
    <t>Jl. Terusan Kapten Halim KM.09 Salamulya, Pondoksalam, Purwakarta</t>
  </si>
  <si>
    <t>RS Umum Daerah Mursid Ibnu Syafiuddin</t>
  </si>
  <si>
    <t>Jl. Raya Krangkeng KM.28 Indramayu Provinsi Jawa Barat Kode Pos 45284</t>
  </si>
  <si>
    <t>RS Umum Livasya</t>
  </si>
  <si>
    <t>Jl. Raya Timur III No.875, Dawuan, Kec. Dawuan, Kabupaten Majalengka, Jawa Barat 45453</t>
  </si>
  <si>
    <t>RS Umum Ananda</t>
  </si>
  <si>
    <t>Jl. Sultan Agung No. 173, Kec. Medan Satria - Kota Bekasi.</t>
  </si>
  <si>
    <t>RS Umum Annisa Queen</t>
  </si>
  <si>
    <t>Jln. Jenderal Sudirman No 208 Desa Suci Kaler Kecamatan Karangpawitan Kab. Garut</t>
  </si>
  <si>
    <t>RS Umum Daerah Jatisampurna</t>
  </si>
  <si>
    <t>Jl. Raya Pasar Kranggan No. 26 RT 01 RW 04 Kelurahan Jatisampurna Kecamatan Jatisampurna Kota Bekasi Provinsi Jawa Barat 17433</t>
  </si>
  <si>
    <t>RS Umum Daerah Banjar</t>
  </si>
  <si>
    <t>Jl. Rumah Sakit No. 5 Kota Banjar</t>
  </si>
  <si>
    <t>RS Umum Betha Medika</t>
  </si>
  <si>
    <t>Jl. Raya Cisaat No.595 RT 025 RW 06 Desa Cibatu Kecamatan Cisaat Kabupaten Sukabumi Provinsi Jawa Barat 43152</t>
  </si>
  <si>
    <t>RS Umum Kuningan Medical Center</t>
  </si>
  <si>
    <t>Jl.R.E. Martadinata No. 1 Kertawangunan Kec. Sindangagung Kab. Kuningan</t>
  </si>
  <si>
    <t>RS Umum Daerah Cililin</t>
  </si>
  <si>
    <t>Jl. Cililin Kp. Cinta Karya Desa Cililin Kecamatan Cililin Kabupaten Bandung Barat Provinsi Jawa Barat 40562</t>
  </si>
  <si>
    <t>RS Umum Sumber Hurip</t>
  </si>
  <si>
    <t>Jl. Rd. Dewi Sartika No. 15 Kel. Tukmudal, Kecamatan Sumber, Kabupaten Cirebon, Provinsi Jawa Barat</t>
  </si>
  <si>
    <t>RS Umum Daerah Cikalongwetan</t>
  </si>
  <si>
    <t>Jl. Raya Padalarang-Purwakarta No. 290 Km. 11, Desa/Kelurahan Ciptagumati, Kec. Cikalongwetan, Kab. Bandung Barat, Provinsi Jawa Barat</t>
  </si>
  <si>
    <t>RS Bhayangkara Cianjur</t>
  </si>
  <si>
    <t>Jl. Suroso Nomor. 21,  Kel. Pamoyanan, Kec. Cianjur, Kab. Cianjur, Prov. Jawa Barat.</t>
  </si>
  <si>
    <t>RS Hermina Ciawi</t>
  </si>
  <si>
    <t>Jl. Kampung Gadog, RT. 001 RW. 003, Desa Pandansari, Kec. Ciawi</t>
  </si>
  <si>
    <t>RS Umum Hermina Bogor</t>
  </si>
  <si>
    <t>Jl. Ring Road I Kav. 23,25,27 Perum Taman Yasmin Bogor</t>
  </si>
  <si>
    <t>RS Umum Vania</t>
  </si>
  <si>
    <t>JL. Siliwangi No. 11, Kel. Sukasari, Kec. Bogor Timur Kota Bogor</t>
  </si>
  <si>
    <t>Jl. Kartini No. 2 RT. 001 RW. 009 Kelurahan Depok Kecamatan Pancoran Mas</t>
  </si>
  <si>
    <t>RS Umum Daerah M. A. Sentot Patrol</t>
  </si>
  <si>
    <t>Jl. Raya Patrol Km. 46 Patrol Kab. Indramayu</t>
  </si>
  <si>
    <t>RS Umum Masmitra</t>
  </si>
  <si>
    <t>Jl. Kelurahan Jati Makmur No.40, Pondok Gede Kota Bekasi</t>
  </si>
  <si>
    <t>RS Umum Metro Hospitals</t>
  </si>
  <si>
    <t>Jl.Anggrek I B2/2 RT 01/11 Kec Mekar Mukti</t>
  </si>
  <si>
    <t>RS Umum Satria Medika</t>
  </si>
  <si>
    <t>Jl. Raya Bantar Gebang Setu No 119 Kel Padurenan Kec Mustika Jaya</t>
  </si>
  <si>
    <t>RS Umum Islam Karawang</t>
  </si>
  <si>
    <t>Jl. Pangkal Perjuangan KM.2, Karawang</t>
  </si>
  <si>
    <t>RS Jantung Hasna Medika</t>
  </si>
  <si>
    <t>Jl. Raden Gilap No 8 Palimanan, Kabupaten Cirebon</t>
  </si>
  <si>
    <t>RS Umum Pinna</t>
  </si>
  <si>
    <t>Jl. Raya KarangSatria No:4-5 RT/RW :002/006 Tambun Utara 17511 Kabupaten Bekasi. Jawa Barat</t>
  </si>
  <si>
    <t>RS Pasar Minggu Cirebon</t>
  </si>
  <si>
    <t>Jl. Ki Ageng Tepak Desa Semplo Kecamatan Palimanan</t>
  </si>
  <si>
    <t>RS Umum Daerah Palabuhanratu</t>
  </si>
  <si>
    <t>Jl. Ahmad Yani No.2 Palabuhanratu</t>
  </si>
  <si>
    <t>RS Khusus Bedah Halmahera Siaga</t>
  </si>
  <si>
    <t>Jl. LL RE Martadinata No. 28 Kota Bandung</t>
  </si>
  <si>
    <t>RS Umum Karya Medika Bantar Gebang</t>
  </si>
  <si>
    <t>Jl. Raya Narogong km. 11 Pangkalan 1A, Bantar Gebang Bekasi</t>
  </si>
  <si>
    <t>RS Umum Tarumajaya</t>
  </si>
  <si>
    <t>Jalan Raya Tarumajaya No. 1B RT 05 RW 01 , Desa Pantai Makmur, Kecamatan Tarumajaya, Kabupaten Bekasi, Provinsi Jawa Barat 17212</t>
  </si>
  <si>
    <t>RS Umum Daerah Kesehatan Kerja</t>
  </si>
  <si>
    <t>Jl. Raya Rancaekek KM. 27 NO. 612 Desa Nanjungmekar Kec. Rancaekek</t>
  </si>
  <si>
    <t>RS CItra Arafiq Bekasi</t>
  </si>
  <si>
    <t>Jl. Macem Sumur Batu RT.004 RW.001 Kel. Cikiwul Kec. Bantar Gebang-Kota Bekasi</t>
  </si>
  <si>
    <t>RS Murni Teguh Naripan Bandung</t>
  </si>
  <si>
    <t>Jl. Naripan No. 89 RT. 001 RW. 004 Kel. Kebon Pisang Kec. Sumur Bandung</t>
  </si>
  <si>
    <t>RS Umum Bhakti Kartini</t>
  </si>
  <si>
    <t>Jl. R.A. Kartini No. 11 Bekasi</t>
  </si>
  <si>
    <t>RS Ibu dan Anak Sayang Bunda</t>
  </si>
  <si>
    <t>Jln. Sukalaya 1 No 22 Kel. Argasari Kec. Cihideung Kota Tasikmalaya 46122,  Jawa Barat</t>
  </si>
  <si>
    <t>RS Umum Daerah dr. Slamet Garut</t>
  </si>
  <si>
    <t>Jl. Rumah Sakit No.12 RT 001 RW 001 Desa Sukakarya, Kecamatan Tarogong Kidul Kabupaten Garut, Provinsi Jawa Barat</t>
  </si>
  <si>
    <t>RS Amanda Cikarang Selatan</t>
  </si>
  <si>
    <t>Jln. Raya Serang No. 83 Desa Serang Kecamatan Cikarang Selatan Kabupaten Bekasi</t>
  </si>
  <si>
    <t>RS Umum Taman Harapan Baru</t>
  </si>
  <si>
    <t>Jl. Kaliabang Tengah No. 2 RT 004 / RW 023 Kel. Pejuang Kec. Medan Satria - kota bekasi 17131</t>
  </si>
  <si>
    <t>RS Umum SAN Medical Center</t>
  </si>
  <si>
    <t>Jl. A. Yani No 16, Dusun: Sentul, Desa: Cikampek Selatan, Kecamatan: Cikampek, Kabupaten: Karawang, Provinsi: Jawa Barat</t>
  </si>
  <si>
    <t>RS Primaya Karawang</t>
  </si>
  <si>
    <t>Jl. Arteri Galuh Mas Kav. Komersial Galuh Mas Blok 10, Desa Puseurjaya Kec. Telukjambe Timur</t>
  </si>
  <si>
    <t>RS Primaya Sukabumi</t>
  </si>
  <si>
    <t>Jl. RA Kosasih No. 45 Kel. Sukaraja Kec. Sukaraja</t>
  </si>
  <si>
    <t>RS Umum Permata Cibubur</t>
  </si>
  <si>
    <t>Jl. Alternatif Cibubur - Cileungsi No. 6A, Kec. Jati Sampurna, Bekasi</t>
  </si>
  <si>
    <t>RS Mitra Plumbon Majalengka</t>
  </si>
  <si>
    <t>Jl. Raya Barat Pasar Prapatan No. 109  Desa Panjalin Kidul Kec. Sumberjaya , Kab. Majalengka 45455</t>
  </si>
  <si>
    <t>RS Harapan Sehati</t>
  </si>
  <si>
    <t>Jl. Raya Tegar Beriman Kp. Pondok Manggis RT. 01 RW. 04 Kel. Bojong Baru Kec. Bojong Gede Kab Bogor</t>
  </si>
  <si>
    <t>RS Eka Hospital</t>
  </si>
  <si>
    <t>Perum Kota Wisata Kav. V2, Desa Nagrak, Kec. Gunung Putri Kab. Bogor</t>
  </si>
  <si>
    <t>RS Umum Mitra Plumbon</t>
  </si>
  <si>
    <t>Jl. Raya Plumbon Km.11 Cirebon</t>
  </si>
  <si>
    <t>RS Umum Medirossa Cikarang</t>
  </si>
  <si>
    <t>Jl. Industri Tegal Gede No.09, Cikarang Selatan Bekasi</t>
  </si>
  <si>
    <t>RS Mitra Plumbon Patrol</t>
  </si>
  <si>
    <t>Jl. Raya Patrol Blok Ranca Ketileng Desa  Patrol Baru</t>
  </si>
  <si>
    <t>Rumah Sakit Umum Daerah Dewi Sartika</t>
  </si>
  <si>
    <t>Jalan Cibeuti Kelurahan Talagasari Kecamatan Kawalu Tasikmalaya</t>
  </si>
  <si>
    <t>RS Paru Dr. M. Goenawan Partowidigdo</t>
  </si>
  <si>
    <t>Jl. Raya Puncak KM. 83 Kotak Pos 28, Cisarua - Bogor 16750</t>
  </si>
  <si>
    <t>RS Umum Kebonjati</t>
  </si>
  <si>
    <t>Jl. Kebonjati No. 152  Kel. Kebon Jeruk Kec. Andir kota Bandung</t>
  </si>
  <si>
    <t>RS Umum Sumber Kasih</t>
  </si>
  <si>
    <t>Jl. Siliwangi No.135 Cirebon</t>
  </si>
  <si>
    <t>RS Ibu dan Anak Widaningsih</t>
  </si>
  <si>
    <t>Jl. Sutisna Senjaya No.130, Cikalang, Kec. Tawang, Kota. Tasikmalaya, Jawa Barat 46113</t>
  </si>
  <si>
    <t>RS Umum Asri Purwakarta</t>
  </si>
  <si>
    <t>Jl. Veteran No. 15</t>
  </si>
  <si>
    <t>RS Umum Pertamina Balongan Indramayu</t>
  </si>
  <si>
    <t>Jl. Bumi Patra No. 1 Komplek Perum Pertamina Indramayu.</t>
  </si>
  <si>
    <t>RS Oetomo</t>
  </si>
  <si>
    <t>Jl. Raya Bojongsoang No. 156 RT. 003 RW. 002 Desa Lengkong Kec. Bojongsoang</t>
  </si>
  <si>
    <t>RS Ibu dan Anak Tumbuh Kembang</t>
  </si>
  <si>
    <t>Jl. Raya Bogor Km.31 No.23 Cimanggis Kota Depok</t>
  </si>
  <si>
    <t>RS Ibu dan Anak Limijati</t>
  </si>
  <si>
    <t>Jl. LLRE. Martadinata No. 39 Kota Bandung</t>
  </si>
  <si>
    <t>RS EMC Pekayon</t>
  </si>
  <si>
    <t>Jl. Pulo Ribung RT. 001 RW. 021 Kelurahan Pekayon Jaya Kecamatan Bekasi Selatan Kota Bekasi</t>
  </si>
  <si>
    <t>RS Helsa</t>
  </si>
  <si>
    <t>Jl. Raya Hankam No. 17 Pondok Melati Kota Bekasi</t>
  </si>
  <si>
    <t>RS Umum Daerah Singaparna Medika Citrautama</t>
  </si>
  <si>
    <t>Tasikmalaya</t>
  </si>
  <si>
    <t>Jl. Rancamaya Singaparna, kabupaten Tasikmalaya, Jawa Barat</t>
  </si>
  <si>
    <t>RS Ibu dan Anak Sawojajar</t>
  </si>
  <si>
    <t>Jl. Sawojajar No, 9 Bogor Tengah Kota Bogor</t>
  </si>
  <si>
    <t>RS Unggul Karsa Medika</t>
  </si>
  <si>
    <t>Jl. Taman Kopo Indah III Blok H No. 1, Desa MekarRahayu, Kecamatan MargaAsih, Kabupaten Bandung</t>
  </si>
  <si>
    <t>RS Ananda Babelan</t>
  </si>
  <si>
    <t>Jl. Raya Babelan KM. 9.6 RT/RW 002/001 Kelurahan Kebalen Kecamatan Babelan</t>
  </si>
  <si>
    <t>RS Umum Mitra Kasih</t>
  </si>
  <si>
    <t>Jl. Jend.Amir Machmud No.341 Kel. Cigugur Tengah Kec. Cimahi Tengah Kota Cimahi</t>
  </si>
  <si>
    <t>RS Umum Tk. III Ciremai</t>
  </si>
  <si>
    <t>Jl. Kesambi No. 237 Cirebon</t>
  </si>
  <si>
    <t>RS Umum Banjar Patroman</t>
  </si>
  <si>
    <t>Jl. Stadion Patroman Kav. III No. 3 Kota Banjar</t>
  </si>
  <si>
    <t>RS Umum Daerah Bedas Kertasari</t>
  </si>
  <si>
    <t>Jl. Raya Kertasari-Pacet, Desa Sukapura, Kecamatan Kertasari 40386 Kab. Bandung</t>
  </si>
  <si>
    <t>RS Ibu dan Anak Anugrah ALZ</t>
  </si>
  <si>
    <t>Kp. Pasirnangka RT. 002/015, Desa Batulayang, Kec. Cililin</t>
  </si>
  <si>
    <t>RS Umum Daerah Kab.Bekasi</t>
  </si>
  <si>
    <t>Jl. Teuku Umar Cibitung,Bekasi</t>
  </si>
  <si>
    <t>RS Umum Daerah Bantar Gebang</t>
  </si>
  <si>
    <t>Jl. Raya Siliwangi KM 10 Rt 04 Rw 04 Kel. Bantar Gebang Kota Bekasi</t>
  </si>
  <si>
    <t>RS Umum Daerah 45 Kuningan</t>
  </si>
  <si>
    <t>Jl. Jendral Sudirman No. 68 Kuningan</t>
  </si>
  <si>
    <t>RS Umum Juanda</t>
  </si>
  <si>
    <t>Jl. Ir. H. Juanda No.207, Purwawinangun, Kec. Kuningan, Kabupaten Kuningan, Jawa Barat 45511</t>
  </si>
  <si>
    <t>RS Primaya Bekasi Barat</t>
  </si>
  <si>
    <t>Jl. KH. Noer Alie Kav. 17-18 (Kalimalang), Kel. Kayuringin Jaya, Kec. Bekasi Selatan</t>
  </si>
  <si>
    <t>RS Umum Trimitra</t>
  </si>
  <si>
    <t>Jl. Raya Jakarta Bogor Km.43, Kelurahan Pabuaran, Kecamatan Cibinong -  Kabupaten Bogor, Provinsi Jawa Barat</t>
  </si>
  <si>
    <t>RS Umum Mitra Keluarga Cibubur</t>
  </si>
  <si>
    <t>Jl. Alternatif  Transyogi, Cibubur</t>
  </si>
  <si>
    <t>RS Umum Hermina Mekarsari</t>
  </si>
  <si>
    <t>Jl Raya Cileungsi Jonggol Km 1 Cileungsi Kab Bogor</t>
  </si>
  <si>
    <t>RS Mustika Medika Bekasi</t>
  </si>
  <si>
    <t>Jalan Kelapa Dua no 110 RT 07 RW 08 Kelurahan Padurenan Kecamatan Mustikajaya Kota Bekasi</t>
  </si>
  <si>
    <t>RS Umum PTPN VIII</t>
  </si>
  <si>
    <t>Jl. Otto Iskandardinata No.1 Kab. Subang</t>
  </si>
  <si>
    <t>RS Umum Sentra Medika</t>
  </si>
  <si>
    <t>Jl. Raya Bogor KM. 33 Cisalak, Sukmajaya, Depok</t>
  </si>
  <si>
    <t>RS Umum Mitra Keluarga Bekasi Timur</t>
  </si>
  <si>
    <t>JL. Pengasinan, Rawa Semut, Margahayu Bekasi Timur</t>
  </si>
  <si>
    <t>RS Ibu dan Anak Ummi</t>
  </si>
  <si>
    <t>Jl. Paseh No. 10 Tuguraja Cihideung Kota Tasikmalaya</t>
  </si>
  <si>
    <t>RS Cahaya Medika</t>
  </si>
  <si>
    <t>Kampung Kebon RT. 002 RW. 01 Desa Jejalen Kec. Tambun Utara</t>
  </si>
  <si>
    <t>RS umum Daerah Teluk Pucung</t>
  </si>
  <si>
    <t>Jl. Lingkar Utara RT 002 RW 006 Kelurahan Teluk Pucung Kecamatan Bekasi Utara Kota Bekasi Provinsi Jawa Barat</t>
  </si>
  <si>
    <t>RS Umum Delima Asih Sisma Medika</t>
  </si>
  <si>
    <t>Jl. Wirasaba No.54, Johar - Karawang</t>
  </si>
  <si>
    <t>RS Umum Hermina Arcamanik</t>
  </si>
  <si>
    <t>Jl. A.H. Nasution No. 50 Antapani Kota Bandung</t>
  </si>
  <si>
    <t>RS Umum Santosa Hospital Bandung Kopo</t>
  </si>
  <si>
    <t>Jl. K.H. Wahid Hasyim (Kopo) No. 461-463 Bandung</t>
  </si>
  <si>
    <t>RS Umum Nuraida</t>
  </si>
  <si>
    <t>Jl. Achmad Sobana No. 105 Kelurahan Tegal Gundil Kecamatan Bogor Utara Kota Bogor</t>
  </si>
  <si>
    <t>RS Umum Daerah Sagaranten</t>
  </si>
  <si>
    <t>Kp. Cigadog RT. 025 RW. 006 Desa Sagaranten Kec. Sagaranten</t>
  </si>
  <si>
    <t>RS Umum Hermina Sukabumi</t>
  </si>
  <si>
    <t>Jl. Raya Sukaraja, Kabupaten Sukabumi</t>
  </si>
  <si>
    <t>RS Khusus Ginjal Ny. R. A. Habibie</t>
  </si>
  <si>
    <t>Jl. Tubagus Ismail No. 46 Kota Bandung</t>
  </si>
  <si>
    <t>RS Umum Cahya Kawaluyan</t>
  </si>
  <si>
    <t>Jl. Parahyangan KM. 3 - Kota Baru Parahyangan Kec. Padalarang KBB</t>
  </si>
  <si>
    <t>RS Mitra Keluarga Deltamas</t>
  </si>
  <si>
    <t>Jl. Deltamas Boulevard, Ds. Hegarmukti, Kecamatan Cikarang Pusat, Kabupaten Bekasi</t>
  </si>
  <si>
    <t>Jl. Raya Industri Pasirgombong Cikarang</t>
  </si>
  <si>
    <t>Jl. Imam Bonjol No. 80A Desa Sukadanau, Kecamatan Cikarang Barat, Kabupaten Bekasi</t>
  </si>
  <si>
    <t>RS Umum Rumah Sehat Terpadu Dompet Dhuafa</t>
  </si>
  <si>
    <t>Jl. Raya Parung KM 42 Bogor</t>
  </si>
  <si>
    <t>RS Mitra Plumbon Indramayu</t>
  </si>
  <si>
    <t>Jl. By Pass Jalan Baru Desa Ujungaris Kec. Widasari Kab. Indramayu</t>
  </si>
  <si>
    <t>RS Umum Daerah Malangbong</t>
  </si>
  <si>
    <t>Jl Raya Malangbong - Ciawi Kp Cinagka RT 01 RW 07 Desa Sukamanah Kec Malangbong Garut</t>
  </si>
  <si>
    <t>RS Umum Daerah dr. Soekardjo</t>
  </si>
  <si>
    <t>Jl. Rumah Sakit 33 Tasikmalaya, Kel. Empangsari, Kec. Tawang, Kota Tasikmalaya, Provinsi Jawa Barat.</t>
  </si>
  <si>
    <t>RS Ibu dan Anak Pasutri</t>
  </si>
  <si>
    <t>Jl. Merak No.3 Tanah Sareal Kota Bogor</t>
  </si>
  <si>
    <t>RS DKH Cikarang Barat</t>
  </si>
  <si>
    <t>Jl. Raya Jatiwangi Ds. Cikedokan  001/001 Cikarang Barat, Kab. Bekasi Jawa Barat</t>
  </si>
  <si>
    <t>RS Umum Salak</t>
  </si>
  <si>
    <t>Jl. Jend Sudirman No. 8 Kota Bogor</t>
  </si>
  <si>
    <t>Altius Hospitals</t>
  </si>
  <si>
    <t>Jl. Harapan Indah Boulevard Sektor V Desa/Kelurahan Pusaka Rakyat Kec. Tarumajaya</t>
  </si>
  <si>
    <t>RS Umum Daerah Cideres</t>
  </si>
  <si>
    <t>Jl. Raya Cideres  - Kadipaten No. 180 Desa Bojong Cideres Kecamatan Dawuan Kabupaten Majalengka 45453</t>
  </si>
  <si>
    <t>RS Umum Karya Medika II</t>
  </si>
  <si>
    <t>Jl. Sultan Hasanuddin No.63 Kec. Tambun Selatan</t>
  </si>
  <si>
    <t>RS Umum Fikri Medika</t>
  </si>
  <si>
    <t>Jl. Raya Kosambi - Telagasari KM 03 Klari Karawang</t>
  </si>
  <si>
    <t>RS Ibu dan Anak Viola</t>
  </si>
  <si>
    <t>Jl. Pondok Ungu Permai Sektor V A1 No 22-26</t>
  </si>
  <si>
    <t>Bogor Senior Hospital</t>
  </si>
  <si>
    <t>Jl. Raya Tajur No. 168 Muarasari Bogor</t>
  </si>
  <si>
    <t>RS Umum Daerah Cibinong</t>
  </si>
  <si>
    <t>JL. KSR Dadi Kusmayadi No. 27 Cibinong Bogor</t>
  </si>
  <si>
    <t>RS Umum Santo Yusup</t>
  </si>
  <si>
    <t>Jl. Cikutra No. 7 Kota Bandung</t>
  </si>
  <si>
    <t>RS Umum Muhammadiyah</t>
  </si>
  <si>
    <t>Jl. Dr. Wahidin Sudirohusodo No.79 Cirebon</t>
  </si>
  <si>
    <t>RS Umum Daerah Linggajati Kuningan</t>
  </si>
  <si>
    <t>Jln. Raya Bandorasa Wetan - Cilimus No.36 Kec.Cilimus  Kab. Kuningan</t>
  </si>
  <si>
    <t>RS Umum Meilia</t>
  </si>
  <si>
    <t>Jl. Alternatif Cibubur KM. 1, Kel. Harjamukti, Cimanggis, Kota Depok</t>
  </si>
  <si>
    <t>RS Khusus Mata Cicendo</t>
  </si>
  <si>
    <t>Jl. Cicendo No.4 Bandung</t>
  </si>
  <si>
    <t>RS Ibu dan Anak Nurul Annisa</t>
  </si>
  <si>
    <t>Jl. Raya Cibarusah Rt 004/003 Desa Sukaresmi  Kec. Cikarang Selatan</t>
  </si>
  <si>
    <t>RS Umum Citra Arafiq</t>
  </si>
  <si>
    <t>Jl. Perindustrian Raya No.53 Baktijaya Sukmajaya</t>
  </si>
  <si>
    <t>RS Pena 98</t>
  </si>
  <si>
    <t>Jl. Pemuda No. 36 RT 001 RW 007 Desa Pengasinan Kecamatan Gunung Sindur Kabupaten Bogor Provinsi Jawa Barat.</t>
  </si>
  <si>
    <t>RS Seto Hasbadi</t>
  </si>
  <si>
    <t>JL. Raya Seroja No. 19 Harapan Jaya, Bekasi Utara, Kota Bekasi, Jawa Barat, 17124</t>
  </si>
  <si>
    <t>Jl. HR. Wasita Kusumah No. 1 Indihiang Kota Tasikmalaya</t>
  </si>
  <si>
    <t>RS DKH Kedungwaringin</t>
  </si>
  <si>
    <t>Jl. Raya Karawang - Bekasi km.30 Ds. Bojongsari, Kec. Kedungwaringin, Kab.Bekasi, Prov.Jawa Barat</t>
  </si>
  <si>
    <t>RS Paragon</t>
  </si>
  <si>
    <t>Kp. Kamurang RT 002 RW 006 Kelurahan Puspanegara Kec. Citeureup</t>
  </si>
  <si>
    <t>RS Umum Daerah Oto Iskandar Di Nata</t>
  </si>
  <si>
    <t>Jl. Raya Gading Tutuka, Kp. Cingcin Kolot, RT 01 RW 17, Desa Cingcin, Kec. Soreang, Kab. Bandung, Provinsi Jawa Barat</t>
  </si>
  <si>
    <t>RS Umum Pelabuhan Cirebon</t>
  </si>
  <si>
    <t>Jl. Sisingamangaraja No.45 Cirebon 45112</t>
  </si>
  <si>
    <t>RS Mitra Plumbon Cibitung</t>
  </si>
  <si>
    <t>Jl. H. Bosih No.117 Cibitung Kabupaten Bekasi</t>
  </si>
  <si>
    <t>RS Umum Dr. Iqbali Taufan</t>
  </si>
  <si>
    <t>Villa Mutiara Cikarang 2 Blok. E3 No.16-20 Sukasejati Kec. Cikarang Selatan Kab. Bekasi</t>
  </si>
  <si>
    <t>RS Umum Jati Sampurna</t>
  </si>
  <si>
    <t>Jl. Rawa Dolar RT. 003 RW. 007 Kel. Jatiraden Kec. Jatisampurna</t>
  </si>
  <si>
    <t>RS Ibu dan Anak Grha Bunda</t>
  </si>
  <si>
    <t>Jl. Terusan Jakarta No. 15-17 Kec. Kiaracondong kota Bandung</t>
  </si>
  <si>
    <t>RS Permata Kuningan</t>
  </si>
  <si>
    <t>Jl. Cut Nyak Dien RT. 007 RW. 002, kelurahan Cijoho, Kecamatan Kuningan, Kabupaten Kuningan,  Provinsi Jawa - Barat. 45513</t>
  </si>
  <si>
    <t>RS Umum Sekar Kamulyan</t>
  </si>
  <si>
    <t>Jl. Rumah Sakit No. 28 Kec.  Cigugur Kab. Kuningan</t>
  </si>
  <si>
    <t>RS Umum Siloam Purwakarta</t>
  </si>
  <si>
    <t>Jl. Bungursari No.1, Purwakarta</t>
  </si>
  <si>
    <t>RS Umum Ummi</t>
  </si>
  <si>
    <t>Jl. Empang II No. 2 Bogor Selatan Kota Bogor</t>
  </si>
  <si>
    <t>Jl. Raya Jatiasih No.72 Jatiasih-Bekasi</t>
  </si>
  <si>
    <t>RS Hermina Tasikmalaya</t>
  </si>
  <si>
    <t>Jl. Ir H. Juanda No. 7A RT. 03 RW. 14 Kel. Cipedes Kec Cipedes 46133</t>
  </si>
  <si>
    <t>RS Umum Ridogalih</t>
  </si>
  <si>
    <t>Jl. Gudang No. 24 Sukabumi</t>
  </si>
  <si>
    <t>RS Eka Bekasi</t>
  </si>
  <si>
    <t>Kota Harapan Indah Blok i2-9 No. 9</t>
  </si>
  <si>
    <t>RS Umum Daerah Bayu Asih</t>
  </si>
  <si>
    <t>Jl. Veteran No. 39 Purwakarta</t>
  </si>
  <si>
    <t>RS Umum Pamanukan Medical Center (PMC)</t>
  </si>
  <si>
    <t>Jl. Raya Rancasari KM 4,35  Rt 10/Rw 04 Ds.Rancasari Kec.Pamanukan Kab.Subang</t>
  </si>
  <si>
    <t>RS Umum Citra Sari Husada</t>
  </si>
  <si>
    <t>Jl. Raya Kosambi -Telaga Sari Km.3 Klari, Karawang</t>
  </si>
  <si>
    <t>RS Umum Tiara</t>
  </si>
  <si>
    <t>Jl. Raya Babelan No. 73 Desa Kebalen Kec. Babelan Kab. Bekasi</t>
  </si>
  <si>
    <t>RS Ibu dan Anak Respati</t>
  </si>
  <si>
    <t>Jl. Raya Singaparna KM 11 Cikunir Singaparna</t>
  </si>
  <si>
    <t>RS Ibu dan Anak Parahyangan</t>
  </si>
  <si>
    <t>Jl. Parahyangan Raya No.Kav. 11, Kota Baru, Kec. Padalarang, Kab. Bandung Barat</t>
  </si>
  <si>
    <t>RS Umum Daerah Cimacan</t>
  </si>
  <si>
    <t>Jl. Raya Cimacan No.17, Cianjur</t>
  </si>
  <si>
    <t>RS Umum Santosa Hospital Bandung Central</t>
  </si>
  <si>
    <t>Jl. Kebon Jati No.38,Bandung</t>
  </si>
  <si>
    <t>RS Umum Tasik Medika Citratama (TMC)</t>
  </si>
  <si>
    <t>Jl. K.H.Z. Mustofa No. 310 Kel. Tuguraja Kec. Cihideung</t>
  </si>
  <si>
    <t>RS Umum Hosana Medica</t>
  </si>
  <si>
    <t>Jl. BIIE Utama no. 1, Lippo Cikarang, Kelurahan Cibatu, Kecamatan Cikarang Selatan, Kabupaten Bekasi Jawa Barat</t>
  </si>
  <si>
    <t>RS Umum Sentral Medika</t>
  </si>
  <si>
    <t>Jl.Raya Cikalongsari No.42. Jatisari. Kab.Karawang</t>
  </si>
  <si>
    <t>RS Umum Jasa Kartini</t>
  </si>
  <si>
    <t>Jalan Otto Iskandardinata No. 15 Kel. Empangsari Kec. Tawang</t>
  </si>
  <si>
    <t>RS Hermina Metland Cibitung</t>
  </si>
  <si>
    <t>Perumahan Metland Cibitung</t>
  </si>
  <si>
    <t>RS Jiwa dr. H. Marzoeki Mahdi</t>
  </si>
  <si>
    <t>Jl. dr. Sumeru No.114 Kota Bogor</t>
  </si>
  <si>
    <t>RS Umum Bhayangkara Setukpa Lemdikpol</t>
  </si>
  <si>
    <t>Jl. Aminta Azmali No. 59A Kota Sukabumi</t>
  </si>
  <si>
    <t>RS Umum Daerah Sumedang</t>
  </si>
  <si>
    <t>Jl. Prabu Geusan Ulun No 41 Jl. Palasari No. 80 Kabupaten Sumedang</t>
  </si>
  <si>
    <t>RS Umum Melania</t>
  </si>
  <si>
    <t>Jl. Pahlawan No.91, Kota Bogor</t>
  </si>
  <si>
    <t>RS Dokter Adam Talib Cikunir</t>
  </si>
  <si>
    <t>Jl. Cikunir Raya dh/H. Napiah No.8, RT 006/RW 003 Jakamulya, Kec. Bekasi Selatan. Kota Bekasi Jawa Barat 17146</t>
  </si>
  <si>
    <t>RS Umum Permata Keluarga Jababeka</t>
  </si>
  <si>
    <t>Jl. DR. Cipto Mangunkusumo Blok A Nomor  1 A Medical City Kota Jababeka</t>
  </si>
  <si>
    <t>RS Umum Tugu Ibu</t>
  </si>
  <si>
    <t>Jl. Raya Bogor Km 29 Cimanggis - Depok</t>
  </si>
  <si>
    <t>RS Umum Advent Bandung</t>
  </si>
  <si>
    <t>Jl. Cihampelas No. 161 Bandung</t>
  </si>
  <si>
    <t>RS Umum Daerah Khidmat Sehat Afiat Kota Depok</t>
  </si>
  <si>
    <t>Jl. Raya Muchtar No. 99 Sawangan</t>
  </si>
  <si>
    <t>RS Emhaka</t>
  </si>
  <si>
    <t>Jln. Taman Harapan Baru Raya, Blok R1, No. 20</t>
  </si>
  <si>
    <t>RS Umum Amanda Mitra Keluarga</t>
  </si>
  <si>
    <t>Jl. Raya Buahaseum  Desa Karya Mukti  Kec. Lemahabang Wadas Kab. Karawang</t>
  </si>
  <si>
    <t>RS Sentra Medika Langut</t>
  </si>
  <si>
    <t>Jln. Raya Langut No. 100 Desa Langut Kecamatan Lohbener</t>
  </si>
  <si>
    <t>RS Ibu dan Anak Buah Hati</t>
  </si>
  <si>
    <t>Jl. Grand Hotel No. 66  RT. 005 RW. 006 Desa Lembang Kec. Lembang Kab. Bandung Barat</t>
  </si>
  <si>
    <t>RS Pradipa Medika</t>
  </si>
  <si>
    <t>JL. CARACAS-MANDIRANCAN NO. 144 RT/RW 012/003 DESA CARACAS, KECAMATAN CILIMUS, KABUPATEN KUNINGAN, PROVINSI JAWA BARAT</t>
  </si>
  <si>
    <t>RS dr. Abdul Radjak Cileungsi</t>
  </si>
  <si>
    <t>Jl. Raya Narogong Km.16, Limus Nunggal Cileungsi, Bogor</t>
  </si>
  <si>
    <t>RS Umum Daerah Bandung Kiwari</t>
  </si>
  <si>
    <t>Jl. KH. Wahid Hasyim No. 311 Bandung</t>
  </si>
  <si>
    <t>RS Gigi dan Mulut Pendidikan Unjani</t>
  </si>
  <si>
    <t>Jl. Encep Kartawiria no. 88 Kel. Citeureup Kec. Cimahi Utara</t>
  </si>
  <si>
    <t>RS Universitas Padjadjaran</t>
  </si>
  <si>
    <t>Jl. Ir. Soekarno KM. 21, Desa Cikeruh, Kecamatan Jatinangor</t>
  </si>
  <si>
    <t>RS Umum Karya Medika</t>
  </si>
  <si>
    <t>Jl. Imam Bonjol No. 9B Kalijaya Cikarang Barat, Ka. Bekasi 17530</t>
  </si>
  <si>
    <t>RS Umum Grha Permata Ibu</t>
  </si>
  <si>
    <t>Jl. KH. M. Usman No 168 Kukusan Depok</t>
  </si>
  <si>
    <t>RS Ibu dan Anak Cahaya Bunda</t>
  </si>
  <si>
    <t>Jl. Raya Perjuangan No. 8 Cirebon</t>
  </si>
  <si>
    <t>RS Primaya</t>
  </si>
  <si>
    <t>Jl. HM. Joyomartono RT 003 RW 021 Kelurahan Margahayu Kecamatan Bekasi Timur Kota Bekasi.</t>
  </si>
  <si>
    <t>RS Ibu dan Anak Graha Medika Padalarang</t>
  </si>
  <si>
    <t>Jl. Raya Padalarang Ruko Padalarang Point No. 527</t>
  </si>
  <si>
    <t>RS Permata Keluarga Karawang</t>
  </si>
  <si>
    <t>Jl. Raya Galuh Mas Blok VI A No. 1</t>
  </si>
  <si>
    <t>RS Umum Islam dr. Subki Abdulkadir</t>
  </si>
  <si>
    <t>Jl. R.A. Kartini No.66,Bekasi</t>
  </si>
  <si>
    <t>RS EMC Cikarang</t>
  </si>
  <si>
    <t>Komplek Oasis Kav. 1, Jl. Raya Cikarang Cibarusah, Kelurahan Sukaresmi, Kecamatan Cikarang Selatan.</t>
  </si>
  <si>
    <t>RS Pertamina Cirebon</t>
  </si>
  <si>
    <t>Jl. Patra Raya Klayan No 1 Cirebon</t>
  </si>
  <si>
    <t>RS Umum Lira Medika</t>
  </si>
  <si>
    <t>Jl. Syech Quro No.14, Palumbonsari - Lamaran, Karawang</t>
  </si>
  <si>
    <t>RS Karisma Cimareme</t>
  </si>
  <si>
    <t>Jl. Raya Cimareme No. 235 RT. 03 RW. 01 Kec.Ngamprah</t>
  </si>
  <si>
    <t>RS Graha Medika Bogor</t>
  </si>
  <si>
    <t>Jl. KH Abdullah Bin Nuh No. 2</t>
  </si>
  <si>
    <t>RS Umum Daerah Anugerah Sehat Afiat</t>
  </si>
  <si>
    <t>Jl. Raya Tapos, RT 005 RW 004, Kel. Cimpaeun, Kec. Tapos</t>
  </si>
  <si>
    <t>RS Khusus Jantung dan Pembuluh Darah Melinda Cardio Vascular Center</t>
  </si>
  <si>
    <t>Jl. Dr. Cipto No. 11,  RT 004 RW 002 Kel. Pasirkaliki Kec. Cicendo</t>
  </si>
  <si>
    <t>RS Umum Pusat Dr. Hasan Sadikin</t>
  </si>
  <si>
    <t>Jl. Pasteur No. 38 Bandung</t>
  </si>
  <si>
    <t>RS Umum Bayukarta</t>
  </si>
  <si>
    <t>Jl. Kertabumi No.44 Karawang</t>
  </si>
  <si>
    <t>RS Umum Cikarang Medika</t>
  </si>
  <si>
    <t>Jl. KH. Fudholi No. 78 Cikarang Utara</t>
  </si>
  <si>
    <t>RS Ibu dan Anak Harapan Bunda Bandung</t>
  </si>
  <si>
    <t>Jl. Pluto Raya Blok C Margahayu Raya, Buah Batu, Kota Bandung</t>
  </si>
  <si>
    <t>RS Umum Mandaya</t>
  </si>
  <si>
    <t>Jl. Arteri Tol Karawang  Barat Teluk jambe Karawang</t>
  </si>
  <si>
    <t>RS Umum Dokter Adam Talib</t>
  </si>
  <si>
    <t>JL. TEUKU UMAR NO. 25 CIKARANG BARAT</t>
  </si>
  <si>
    <t>RS Hamori</t>
  </si>
  <si>
    <t>Jl. Raya Pagaden Subang Ds. jabong, Kec. Pagaden, Kab. Subang, Jawa Barat</t>
  </si>
  <si>
    <t>RS Umum Daerah Cibabat</t>
  </si>
  <si>
    <t>Jl. Jend. H. Amir Machmud No. 140 Kel. Cibabat Kec. Cimahi Utara</t>
  </si>
  <si>
    <t>RS Ibu dan Anak Melinda</t>
  </si>
  <si>
    <t>Jl. Pajajaran No.46 Kel Pasirkaliki, Kec. Cicendo, Kota Bandung</t>
  </si>
  <si>
    <t>RS Ibu dan Anak Dian</t>
  </si>
  <si>
    <t>Jl. Raya Cibogo Hilir, Kp. Sukasari, RT/RW 004/002 Ds. Cibogohilir, Kec. Plered, Kab. Purwakarta, Provinsi Jawa Barat, 41162.</t>
  </si>
  <si>
    <t>RS Ibu dan Anak Assalam</t>
  </si>
  <si>
    <t>Jl. Raya Bogor KM 46,7 Nanggewer Mekar Cibinong Bogor</t>
  </si>
  <si>
    <t>RS Helsa Citeureup</t>
  </si>
  <si>
    <t>Jl. Mayor Oking Jaya Atmaja No. 92A, Ds. Karang Asem Barat, Kec. Citeureup</t>
  </si>
  <si>
    <t>RS Umum Daerah Bedas Arjasari</t>
  </si>
  <si>
    <t>Jl. Raya Banjaran Barat No. 596 Desa Batukarut Kec. Arjasari</t>
  </si>
  <si>
    <t>RS Umum Graha Juanda</t>
  </si>
  <si>
    <t>Jl. IR. H. Juanda No. 326, Bekasi Timur</t>
  </si>
  <si>
    <t>RS Umum Brawijaya Bojongsari</t>
  </si>
  <si>
    <t>Jl. Raya Parung Ciputat RT 002 RW 002 Bojongsari  Baru, Bojongsari, Kota Depok, Jawa Barat 16516</t>
  </si>
  <si>
    <t>RS Umum Karya Pangalengan Bhakti Sehat</t>
  </si>
  <si>
    <t>Jl. Raya Pangalengan No. 340 , Pangalengan Kab. Bandung Jawa Barat</t>
  </si>
  <si>
    <t>RS Umum Daerah Kab. Ciamis</t>
  </si>
  <si>
    <t>Jl. Rumah Sakit No.76 Ciamis</t>
  </si>
  <si>
    <t>RS Uni Medika Setu Bekasi</t>
  </si>
  <si>
    <t>Jl. Raya setu No.99 Desa Lubang Buaya Kec. Setu</t>
  </si>
  <si>
    <t>RS Jantung Diagram</t>
  </si>
  <si>
    <t>Jl. Cinere Raya No.19</t>
  </si>
  <si>
    <t>RS Umum Daerah Kota Bogor</t>
  </si>
  <si>
    <t>Jl. DR. Sumeru No.120, Kota Bogor, Jawa Barat</t>
  </si>
  <si>
    <t>RS Khusus Orthopedi RSOP Ciamis</t>
  </si>
  <si>
    <t>Jl. Raya Ciamis Banjar KM 7 No. 341 RT 16 RW 06 Desa Cijeungjing Kec Cijeungjing</t>
  </si>
  <si>
    <t>RS Hermina Soreang</t>
  </si>
  <si>
    <t>Jl. Terusan Al Fathu No.9A, Sarilamping, Soreang, Kec. Soreang, Kabupaten Bandung, Jawa Barat 40911</t>
  </si>
  <si>
    <t>RS Umum Daerah Kab. Indramayu</t>
  </si>
  <si>
    <t>Jl. Murah Nara No. 7 Sindang Indramayu</t>
  </si>
  <si>
    <t>RS Karunia Kasih</t>
  </si>
  <si>
    <t>Jl. Raya Jatiwaringin No.133, Pd Gede Bekasi</t>
  </si>
  <si>
    <t>JL. Raya Karanggan No. 02 Puspasari, Citeureup Bogor</t>
  </si>
  <si>
    <t>RS Ibu dan Anak Al Islam</t>
  </si>
  <si>
    <t>Jl. Awibitung No. 29-31 Kelurahan Cicadas Kecamatan Cibeunying Kidul</t>
  </si>
  <si>
    <t>RS Syahid Al Irsyad</t>
  </si>
  <si>
    <t>Jl. Jendral Sudirman No. 240 Cipancuh Kec.Haurgeulis  - Indramayu</t>
  </si>
  <si>
    <t>RS Umum Daerah Kawali</t>
  </si>
  <si>
    <t>Jl. Raya Kawali Cirebon Nomor 37, Desa Winduraja, Kec. Kawali</t>
  </si>
  <si>
    <t>RS Jantung dan Pembuluh Darah Tasikmalaya</t>
  </si>
  <si>
    <t>Jl. Moch. Hatta, Kp. Kalangsari RT.001/RW.020, Desa/Kelurahan Sukamanah, Kec. Cipedes</t>
  </si>
  <si>
    <t>RS Umum Bina Husada</t>
  </si>
  <si>
    <t>Jl. Mayor Oking Jaya Atmaja KM1 No.101 Cibinong - Bogor</t>
  </si>
  <si>
    <t>Jl. K.H. Ahmad Dahlan No.53 Bandung</t>
  </si>
  <si>
    <t>RS Umum Hasanah Graha Afiah</t>
  </si>
  <si>
    <t>Jl. Raden Saleh No.42 (Studio Alam TVRI) Depok</t>
  </si>
  <si>
    <t>RS Umum Daerah Pameungpeuk Prov. Jabar</t>
  </si>
  <si>
    <t>Jl. Raya Miramareu No 99 Desa Sirnabakti Kec. Pameungpeuk</t>
  </si>
  <si>
    <t>RS Umum MM Indramayu</t>
  </si>
  <si>
    <t>Jl. Let.Jend Soeprapto No. 292 Indramayu</t>
  </si>
  <si>
    <t>RS Umum Melinda 2</t>
  </si>
  <si>
    <t>Jl. Dr. Cipto No.1 Bandung</t>
  </si>
  <si>
    <t>RSAU dr. Siswanto Lanud Adi Soemarmo</t>
  </si>
  <si>
    <t>Jawa Tengah</t>
  </si>
  <si>
    <t>Karanganyar</t>
  </si>
  <si>
    <t>Jl. Tentara Pelajar - Colomadu, Karanganyar</t>
  </si>
  <si>
    <t>RS Ibu dan Anak Miriam</t>
  </si>
  <si>
    <t>Kudus</t>
  </si>
  <si>
    <t>Jl. Ahmad Yani 58 Kelurahan Panjunan Kecamatan Kota, Kabupaten Kudus, Provinsi Jawa Tengah</t>
  </si>
  <si>
    <t>RS Umum Tk. III Wijayakusuma</t>
  </si>
  <si>
    <t>Banyumas</t>
  </si>
  <si>
    <t>Jl. Prof.Dr. HR Bunyamin Purwokerto Kel. Bancarkembar Kec. Purwokerto Utara Kab. Banyumas</t>
  </si>
  <si>
    <t>Kota Magelang</t>
  </si>
  <si>
    <t>Jl. Senopati No.11,Magelang</t>
  </si>
  <si>
    <t>RS Ibu dan Anak Permata</t>
  </si>
  <si>
    <t>Purworejo</t>
  </si>
  <si>
    <t>Jl. Mayjend Sutoyo No.75 RW. V Sindurjan, Kec. Purworejo, Kabupaten Purworejo, Jawa Tengah 54113</t>
  </si>
  <si>
    <t>RS Umum Daerah Sukowati Tangen</t>
  </si>
  <si>
    <t>Sragen</t>
  </si>
  <si>
    <t>Jl. Raya Tangen Gesi, Dukuh Brakbunder, Katelan, Tangen</t>
  </si>
  <si>
    <t>RS Umum Daerah Mijen</t>
  </si>
  <si>
    <t>Kota Semarang</t>
  </si>
  <si>
    <t>Jl. RM Hadi Soebeno No. 146-148</t>
  </si>
  <si>
    <t>RS Umum Bantuan Blora</t>
  </si>
  <si>
    <t>Blora</t>
  </si>
  <si>
    <t>Jl. Dr. Sutomo No. 45, Blora</t>
  </si>
  <si>
    <t>RS Ibu dan Anak Dian Pertiwi</t>
  </si>
  <si>
    <t>Jl. Lawu Papahan, Tasikmadu Karanganyar</t>
  </si>
  <si>
    <t>RS Umum  Nurussyifa</t>
  </si>
  <si>
    <t>Jl. Kudus - Pati Km.10 Jekulo, Kudus</t>
  </si>
  <si>
    <t>RS Umum Palang Biru Gombong</t>
  </si>
  <si>
    <t>Kebumen</t>
  </si>
  <si>
    <t>Jl. Yos Sudarso Timur Desa Kedungpuji Gombong</t>
  </si>
  <si>
    <t>RS Paru Dr. Ario Wirawan</t>
  </si>
  <si>
    <t>Kota Salatiga</t>
  </si>
  <si>
    <t>Jl. Hasanudin No.806,Salatiga</t>
  </si>
  <si>
    <t>RS Umum Islam NU Demak</t>
  </si>
  <si>
    <t>Demak</t>
  </si>
  <si>
    <t>Jl. Jogoloyo No.9, Kec. Wonosalam, Demak</t>
  </si>
  <si>
    <t>RS Umum Hermina Solo</t>
  </si>
  <si>
    <t>Kota Surakarta</t>
  </si>
  <si>
    <t>Jalan Kolonel Sutarto No. 16 Jebres Solo</t>
  </si>
  <si>
    <t>RS Umum Charlie Hospital</t>
  </si>
  <si>
    <t>Kendal</t>
  </si>
  <si>
    <t>Dusun Balak RT 001 RW 006 Desa Ngabean Kec. Boja Kab. Kendal</t>
  </si>
  <si>
    <t>RS Umum Daerah Waras Wiris</t>
  </si>
  <si>
    <t>Boyolali</t>
  </si>
  <si>
    <t>Jl. Raya Karanggede - Gemolong Km. 13 Andong Kab.Boyolali</t>
  </si>
  <si>
    <t>RS Ibu dan Anak Anugerah</t>
  </si>
  <si>
    <t>Jl. Kalisari Baru No.7,Semarang</t>
  </si>
  <si>
    <t>RS Umum Qim</t>
  </si>
  <si>
    <t>Batang</t>
  </si>
  <si>
    <t>Jl. Urip Sumoharjo, Sambong</t>
  </si>
  <si>
    <t>RS Umum Islam Purworejo</t>
  </si>
  <si>
    <t>Jl. Magelang km.2 Purworejo</t>
  </si>
  <si>
    <t>RS Umum AISs Wonosobo</t>
  </si>
  <si>
    <t>Wonosobo</t>
  </si>
  <si>
    <t>Jl. A. Yani / T. Jogonegoro No. 2A RT. 02 RW. 07, Jaraksari Kec. Wonosobo</t>
  </si>
  <si>
    <t>RS Umum Daerah Bendan Kota Pekalongan</t>
  </si>
  <si>
    <t>Kota Pekalongan</t>
  </si>
  <si>
    <t>Jl. Sriwijaya No. 2 Pekalongan</t>
  </si>
  <si>
    <t>RS Umum PKU Muhammadiyah Delanggu</t>
  </si>
  <si>
    <t>Klaten</t>
  </si>
  <si>
    <t>Jl. Raya Delanggu Utara No. 19 Desa/Kel. Gatak Kec. Delanggu Kab. Klaten</t>
  </si>
  <si>
    <t>RS Gigi dan Mulut Unimus</t>
  </si>
  <si>
    <t>Jl. Kedungmundu Raya No. 22 Semarang</t>
  </si>
  <si>
    <t>RS Bhayangkara Blora</t>
  </si>
  <si>
    <t>Jl. Raya Blora-Purwodadi No. 103, Desa Jagong, Kec. Kunduran</t>
  </si>
  <si>
    <t>RS Umum Pertamina Cilacap</t>
  </si>
  <si>
    <t>Cilacap</t>
  </si>
  <si>
    <t>Jl. Dr. Setiabudi No.1 Tegal Kamulyan, Cilacap Selatan, Cilacap</t>
  </si>
  <si>
    <t>RS Umum Dedy Jaya</t>
  </si>
  <si>
    <t>Brebes</t>
  </si>
  <si>
    <t>Jl. Ahmad Yani No.57,Brebes</t>
  </si>
  <si>
    <t>RS Umum Kasih Ibu Purworejo</t>
  </si>
  <si>
    <t>Jl. Mayjend Sutoyo No.19 Desa Pangenjurutengah Kec. Purworejo</t>
  </si>
  <si>
    <t>RS Umum Dadi Keluarga</t>
  </si>
  <si>
    <t>Jl. Sultan Agung No.8A  Kel. Teluk Kec. Purwokerto Selatan</t>
  </si>
  <si>
    <t>Grobogan</t>
  </si>
  <si>
    <t>Jl. Hayam Wuruk No. 24, Purwodadi, Grobogan, Propinsi Jawa Tengah</t>
  </si>
  <si>
    <t>RS Umum Siaga Medika Banyumas</t>
  </si>
  <si>
    <t>Jl. Pramuka No. 55 Desa Sudagaran, Kec. Banyumas</t>
  </si>
  <si>
    <t>RS PKU Muhammadiyah Surakarta</t>
  </si>
  <si>
    <t>Jl. Ronggowarsito 130, Surakarta Propinsi Jawa Tengah</t>
  </si>
  <si>
    <t>RS Umum Permata Medika Kebumen</t>
  </si>
  <si>
    <t>JL. INDRAKILA NO.17, KEBUMEN, KEBUMEN, JAWA TENGAH</t>
  </si>
  <si>
    <t>RS Islam Surakarta YARSIS</t>
  </si>
  <si>
    <t>Sukoharjo</t>
  </si>
  <si>
    <t>Jl. Ahmad Yani Mendungan Pabelan Kartasura Sukoharjo</t>
  </si>
  <si>
    <t>RS Ibu dan Anak Permata Hati</t>
  </si>
  <si>
    <t>Jl. Nisemito No.28,Kudus</t>
  </si>
  <si>
    <t>RS Ibu dan Anak Adina</t>
  </si>
  <si>
    <t>Jl. Pasukan Ronggolawe No.24, Wonosobo</t>
  </si>
  <si>
    <t>RS Roemani Muhammadiyah Semarang</t>
  </si>
  <si>
    <t>Jl. Wonodri No. 22 Semarang</t>
  </si>
  <si>
    <t>RS Ibu dan Anak Ananda Pasar Ace</t>
  </si>
  <si>
    <t>JL. BANDUNGSARI III A NO 77, KEL. TAMBANGAN, KEC. MIJEN, KOTA SEMARANG, PROVINSI JAWA TENGAH</t>
  </si>
  <si>
    <t>RS Umum Islam Kendal</t>
  </si>
  <si>
    <t>Jl. Ar Rahmah No.17, Desa/Kelurahan Ngasinan, Kec  Weleri, Kab. Kendal, Provinsi Jawa Tengah</t>
  </si>
  <si>
    <t>RS Umum Islam Purwodadi</t>
  </si>
  <si>
    <t>JL. Dr. SOETOMO NO.9 PURWODADI GROBOGAN</t>
  </si>
  <si>
    <t>RS Umum Nirmala Suri</t>
  </si>
  <si>
    <t>Jl. Raya Solo Sukoharjo KM. 09 Sukoharjo 57527</t>
  </si>
  <si>
    <t>RS Umum Karomah Holistic</t>
  </si>
  <si>
    <t>Jl. Gajah Mada Barat No.124,Pekalongan</t>
  </si>
  <si>
    <t>RS Prima Sehat Pekalongan</t>
  </si>
  <si>
    <t>Pekalongan</t>
  </si>
  <si>
    <t>Jl. Pantura Rembun No. 1, Kec. Siwalan, Kab. Pekalongan, 51137</t>
  </si>
  <si>
    <t>RS Umum Daerah dr. Soehadi Prijonegoro</t>
  </si>
  <si>
    <t>Jl. Raya Sukowati No.534, Sragen</t>
  </si>
  <si>
    <t>RS Harapan Sehat Slawi</t>
  </si>
  <si>
    <t>Tegal</t>
  </si>
  <si>
    <t>Jl. Gatot Subroto, Slawi, Kabupaten Tegal</t>
  </si>
  <si>
    <t>RS Sekar Laras</t>
  </si>
  <si>
    <t>Jl. Gajah Mada RT. 002 RW. 015</t>
  </si>
  <si>
    <t>RS Umum Islam Purwokerto</t>
  </si>
  <si>
    <t>Jl. H. Masyuri Rejasari No 39 Purwokerto, Rejasari, Purwokerto Barat</t>
  </si>
  <si>
    <t>RS Umum Daerah Dr. Moewardi Surakarta</t>
  </si>
  <si>
    <t>Jl. Kol Sutarto 132,Surakarta</t>
  </si>
  <si>
    <t>RS Umum PKU Muhammadiyah Blora</t>
  </si>
  <si>
    <t>Jl. Raya Blora-Cepu Km 3 Desa Seso Kec. Jepon</t>
  </si>
  <si>
    <t>RS Umum Daerah RAA Soewondo</t>
  </si>
  <si>
    <t>Pati</t>
  </si>
  <si>
    <t>Jl. Dr Soesanto  No. 114 Pati</t>
  </si>
  <si>
    <t>RS Umum Daerah dr. Soeselo Slawi Kabupaten Tegal</t>
  </si>
  <si>
    <t>Jl. Dr. Sutomo No.63 Desa Slawi Kulon Kecamatan Slawi</t>
  </si>
  <si>
    <t>RS Harapan Sehat Pemalang</t>
  </si>
  <si>
    <t>Pemalang</t>
  </si>
  <si>
    <t>Jl. RE Martadinata</t>
  </si>
  <si>
    <t>RS Umum Wijayakusuma</t>
  </si>
  <si>
    <t>Jl. Gelatik No.1 Panjer, Kebumen</t>
  </si>
  <si>
    <t>Jl. Sudirman No. 169 Salatiga</t>
  </si>
  <si>
    <t>RS Umum Dera As-Syifa</t>
  </si>
  <si>
    <t>Jl. Merdeka No 191 Banjarharjo - Kabupaten Brebes</t>
  </si>
  <si>
    <t>RS Marganingsih</t>
  </si>
  <si>
    <t>Jl. Raya Purwodadi Blora KM. 5 RT. 01 RW. 03, Dusun Plosonambangan, Desa Rejosari, Kecamatan Grobogan, Kabupaten Grobogan, Provinsi Jawa Tengah 58152</t>
  </si>
  <si>
    <t>RS Umum Daerah dr. Gondo Suwarno</t>
  </si>
  <si>
    <t>Semarang</t>
  </si>
  <si>
    <t>Jl. Diponegoro 125,Ungaran</t>
  </si>
  <si>
    <t>RS Umum Pusat Dr. Soeradji Tirtonegoro</t>
  </si>
  <si>
    <t>Jl. KRT. Suraji Tirtonegoro No.1, Klaten</t>
  </si>
  <si>
    <t>RS Ibu dan Anak Gunung Sawo</t>
  </si>
  <si>
    <t>Jl. Gunung Sawo No.21,Semarang</t>
  </si>
  <si>
    <t>RS Umum Rizky Amalia</t>
  </si>
  <si>
    <t>Jalan Jenderal Ahmad Yani Cantel Wetan No.100, Kutorejo, Sragen Tengah, Kec. Sragen, Kabupaten Sragen, Jawa Tengah 57211</t>
  </si>
  <si>
    <t>RS Umum Santa Maria Pemalang</t>
  </si>
  <si>
    <t>Jl. Pemuda No. 24 Pemalang</t>
  </si>
  <si>
    <t>RS Umum Daerah Bumiayu</t>
  </si>
  <si>
    <t>Jl. KH. Ahmad Dahlan KM. 1 Bumiayu</t>
  </si>
  <si>
    <t>RS Umum Hidayah Boyolali</t>
  </si>
  <si>
    <t>Kragilan, Mojosongo, Boyolali</t>
  </si>
  <si>
    <t>RS Umum Daerah Limpung</t>
  </si>
  <si>
    <t>Jl. Dr. Soetomo No. 17A Limpung 51271</t>
  </si>
  <si>
    <t>RS Umum Daerah Majenang</t>
  </si>
  <si>
    <t>Jl. Dr. Soetomo No. 54 Majenang</t>
  </si>
  <si>
    <t>RS Umum Daerah Tidar</t>
  </si>
  <si>
    <t>Jl. Tidar No.30 A, Kota Magelang</t>
  </si>
  <si>
    <t>RS Umum Muhammadiyah Darul Istiqomah Kendal</t>
  </si>
  <si>
    <t>Jln. Sekopek No. 15  Tepimulyo Plantaran Kaliwungu Selatan Kendal Jawa Tengah</t>
  </si>
  <si>
    <t>RS Umum Daerah Budi Rahayu</t>
  </si>
  <si>
    <t>Jl. Urip Sumoharjo No. 15, Kelurahan Wates, Kecamatan Magelang Utara, Kota Magelang, Provinsi Jawa Tengah</t>
  </si>
  <si>
    <t>RS Sarkies 'Aisyiyah Kudus</t>
  </si>
  <si>
    <t>Jl. Mas Sirin No. 79 Kudus-Margoyoso Km. 2 Desa/Kelurahan Purwosari, Kec. Kota Kudus</t>
  </si>
  <si>
    <t>RS Umum Habibullah</t>
  </si>
  <si>
    <t>Banjarasem RT 05 RW 02 Desa Tahunan Kec. Gabus Kab.Grobogan</t>
  </si>
  <si>
    <t>RS Umum An Ni'mah</t>
  </si>
  <si>
    <t>Jalan Raya Klapagading Kulon Rt 01 Rw 14 Kec Wangon - Banyumas</t>
  </si>
  <si>
    <t>RS Ibu dan Anak Pala Raya</t>
  </si>
  <si>
    <t>Jl. Pala Raya 11A Mejasem Barat Tegal Kec.Kramat</t>
  </si>
  <si>
    <t>RS Umum Afdila Cilacap</t>
  </si>
  <si>
    <t>Jl. Soekarno-Hatta No.79, Kesugihan</t>
  </si>
  <si>
    <t>RS Umum Nirmala</t>
  </si>
  <si>
    <t>Purbalingga</t>
  </si>
  <si>
    <t>Jl. Letnan Yusup Babakan, Kalimanah Purbalingga</t>
  </si>
  <si>
    <t>RS Umum Kasih Ibu</t>
  </si>
  <si>
    <t>Jl. Slamet Riyadi 404,Surakarta</t>
  </si>
  <si>
    <t>RS Umum Daerah R. A. Kartini</t>
  </si>
  <si>
    <t>Jepara</t>
  </si>
  <si>
    <t>Jl. K.H. Wahid Hasyim Jepara</t>
  </si>
  <si>
    <t>RS Umum Daerah Bukit Menoreh</t>
  </si>
  <si>
    <t>Magelang</t>
  </si>
  <si>
    <t>Jl. Magelang - Purworejo Km. 15, Salaman, Magelang.</t>
  </si>
  <si>
    <t>RS Cepoko</t>
  </si>
  <si>
    <t>Jl. Kolonel R. W. Sugiarto KM. 16 RT.05 RW.01, Kel. Cepoko, Kec. Gunungpati</t>
  </si>
  <si>
    <t>RS Umum Daerah Muntilan Kab. Magelang</t>
  </si>
  <si>
    <t>Jl. Kartini No.13 Muntilan Kabupaten Magelang Provinsi Jawa Tengah Kode Pos 56411</t>
  </si>
  <si>
    <t>RS Jiwa Daerah  Dr. Amino Gondohutomo</t>
  </si>
  <si>
    <t>Jl. Brigjen Sudiarto No. 347, Pedurungan, Kota Semarang</t>
  </si>
  <si>
    <t>RS Islam PKU Muhammadiyah Pekajangan</t>
  </si>
  <si>
    <t>Jl. Raya Ambokembang No.42-44 Kedungwuni Pekalongan Jawa Tengah</t>
  </si>
  <si>
    <t>RS Umum Daerah Dr. Soediran Mangun Sumarso Wonogi</t>
  </si>
  <si>
    <t>Wonogiri</t>
  </si>
  <si>
    <t>Jl. Jend A Yani No. 40,Giriwono, Wonogiri, Jateng</t>
  </si>
  <si>
    <t>RS Umum  Mitra Siaga</t>
  </si>
  <si>
    <t>Jl. Pala Raya No.54 Tegal</t>
  </si>
  <si>
    <t>RS Umum PKU Muhammadiyah Pedan</t>
  </si>
  <si>
    <t>Jl. Pedan-Cawas KM. 01 Sobayan Pedan Klaten</t>
  </si>
  <si>
    <t>RS Ibu dan Anak Siloam Semarang</t>
  </si>
  <si>
    <t>Jl. Kompol Maksum No.296 Peterongan, Kec. Semarang Selatan, Kota Semarang, Jawa Tengah 50242</t>
  </si>
  <si>
    <t>RS Umum Islam Boyolali</t>
  </si>
  <si>
    <t>Jl. Raya Boyolali Klaten Kemiri Mojosongo</t>
  </si>
  <si>
    <t>RS Umum Sarila Husada</t>
  </si>
  <si>
    <t>Jl. Veteran No. 41-43,Sragen</t>
  </si>
  <si>
    <t>RS Umum PKU Muhammadiyah Jatinom</t>
  </si>
  <si>
    <t>Jl.Raya Jatinom-Klaten KM 01, Gedaren, Jatinom, Klaten</t>
  </si>
  <si>
    <t>Jl. Pramuka No. 249 Kelurahan Purwokerto Kidul Kecamatan Purwokerto Selatan Kabupaten Banyumas Provinsi Jawa Tengah</t>
  </si>
  <si>
    <t>RS Umum Tk III Slamet Riyadi Surakarta</t>
  </si>
  <si>
    <t>Jl. Slamet Riyadi 321,Laweyan ,Surakarta</t>
  </si>
  <si>
    <t>RS PKU Muhammadiyah Sampangan Surakarta</t>
  </si>
  <si>
    <t>Semanggi RT 002 RW 009, Pasar Kliwon, Surakarta</t>
  </si>
  <si>
    <t>RS Umum Mitra Bangsa Pati</t>
  </si>
  <si>
    <t>Jl. Kol.Sugiyono No.75,Pati</t>
  </si>
  <si>
    <t>RS Umum PKU Muhammadiyah Sruweng</t>
  </si>
  <si>
    <t>Jl. Raya Sruweng No.5 Sruweng Kebumen</t>
  </si>
  <si>
    <t>RS Umum St. Elisabeth Semarang</t>
  </si>
  <si>
    <t>Jl. Kawi No.1,Semarang</t>
  </si>
  <si>
    <t>RS Umum Sebening Kasih</t>
  </si>
  <si>
    <t>Jl. Raya Tayu - Pati Km. 3 No. 99A Pakis Tayu Pati</t>
  </si>
  <si>
    <t>RS Umum Daerah Kabupaten Temanggung</t>
  </si>
  <si>
    <t>Temanggung</t>
  </si>
  <si>
    <t>Jl. Gajahmada 1A</t>
  </si>
  <si>
    <t>RS Umum PKU Muhammadiyah Sukoharjo</t>
  </si>
  <si>
    <t>Jl. Mayor Sunaryo No. 37, Kelurahan Sukoharjo, Kecamatan Sukoharjo, Kabupaten Sukoharjo, Provinsi Jawa Tengah</t>
  </si>
  <si>
    <t>RS Bhayangkara Surakarta</t>
  </si>
  <si>
    <t>Jl. Adi Sucipto No. 2 Kel. Manahan Kec. Banjarsari</t>
  </si>
  <si>
    <t>RS Ibu dan Anak Ultima</t>
  </si>
  <si>
    <t>Ds.Trangkil RT. 01 RW. 01 Kec. Trangkil Kab. Pati</t>
  </si>
  <si>
    <t>RS Umum 'Aisyiyah Klaten</t>
  </si>
  <si>
    <t>Jl. KH. Hasyim Azhari, Mojayan, Klaten Tengah, Jawa Tengah, Indonesia</t>
  </si>
  <si>
    <t>RS Daerah KRMT Wongsonegoro</t>
  </si>
  <si>
    <t>Jl. Fatmawati No.1 Semarang</t>
  </si>
  <si>
    <t>RS Umum Islam Cawas Klaten</t>
  </si>
  <si>
    <t>Jl. Raya Tugu - Cawas, Kelurahan Tugu, Kecamatan Cawas, Kabupaten Klaten, Provinsi Jawa Tengah. 57463</t>
  </si>
  <si>
    <t>RS Umum Islam Al-Ikhlas</t>
  </si>
  <si>
    <t>Jl. Kolonel Soegiono NO. 13 Taman</t>
  </si>
  <si>
    <t>RS Umum Indriati</t>
  </si>
  <si>
    <t>Jl. Palem Raya Langenharjo Sukoharjo</t>
  </si>
  <si>
    <t>RS Hermina Purwokerto</t>
  </si>
  <si>
    <t>Jl. Yos Sudarso RT 003 RW 001 Karanglewas Lor Kec.Purwokerto Barat, Kab. Banyumas</t>
  </si>
  <si>
    <t>RS PKU Aisyiyah Jepara</t>
  </si>
  <si>
    <t>Jl. Brigjen Katamso  No 18 Panggang Jepara</t>
  </si>
  <si>
    <t>RS Umum Trimedika Ketapang</t>
  </si>
  <si>
    <t>Jl. Pangeran Puger (Jl. Raya Purwodadi-Pati Km. 6) Kec. Grobogan Kab. Grobogan</t>
  </si>
  <si>
    <t>RS Umum Aprillia</t>
  </si>
  <si>
    <t>Jl. Jend. Gatot Subroto 95 Cilacap</t>
  </si>
  <si>
    <t>RS Jiwa Prof. Dr. Soerojo</t>
  </si>
  <si>
    <t>Jl. Jenderal Ahmad Yani 169 Magelang</t>
  </si>
  <si>
    <t>RS Umum Daerah Dr. R. Soeprapto Cepu</t>
  </si>
  <si>
    <t>Jl. Ronggolawe No. 50,Cepu</t>
  </si>
  <si>
    <t>RS Ibu dan Anak Bunda Arif Purwokerto</t>
  </si>
  <si>
    <t>Jl. Jatiwinangun No. 16 Purwokerto Kab.Banyumas</t>
  </si>
  <si>
    <t>RS Umum Asy-Syifa Sambi</t>
  </si>
  <si>
    <t>Jl. Raya Bangak-Simo Km 7, Sambi, Boyolali</t>
  </si>
  <si>
    <t>RS Hawari Essa</t>
  </si>
  <si>
    <t>Jl. Raya Kajen RT 001 RW 005, Desa Kajen, Kec. Lebaksiu, Kab. Tegal</t>
  </si>
  <si>
    <t>RS Umum Daerah Hj. Anna Lasmanah Banjarnegara</t>
  </si>
  <si>
    <t>Banjarnegara</t>
  </si>
  <si>
    <t>Jl. Jend. Sudirman No.42, Kutabanjarnegara, Kec. Banjarnegara, Kab. Banjarnegara, Jawa Tengah 53415</t>
  </si>
  <si>
    <t>RS Umum Daerah Ibu Fatmawati Soekarno</t>
  </si>
  <si>
    <t>Jl. Lettu Sumarto No. 1 Kel. Kadipiro Kec. Banjarsari</t>
  </si>
  <si>
    <t>RS Ibu dan Anak Hermina Mutiara Bunda</t>
  </si>
  <si>
    <t>Jl. Merak No. 8 Mangunsari Sidomukti</t>
  </si>
  <si>
    <t>RS Umum Sultan Hadlirin Jepara</t>
  </si>
  <si>
    <t>Jl. Jepara-Bangsri KM.3, Desa Kuwasen Kota Jepara Propinsi Jawa Tengah</t>
  </si>
  <si>
    <t>RS Umum Universitas Sebelas Maret</t>
  </si>
  <si>
    <t>Jl. Ahmad Yani 200 Makamhaji Kartasura Sukoharjo</t>
  </si>
  <si>
    <t>RS Islam Gigi dan Mulut Sultan Agung</t>
  </si>
  <si>
    <t>Jl. Raya Kaligawe Km. 4</t>
  </si>
  <si>
    <t>RS Umum Comal Baru</t>
  </si>
  <si>
    <t>Jl. Comal Baru Ujunggede Ampelgading</t>
  </si>
  <si>
    <t>RS Umum PKU Aisyiyah Boyolali</t>
  </si>
  <si>
    <t>Jl. Pasar Sapi Baru, Desa/Kelurahan Karanggeneng, Kecamatan Boyolali, Kabupaten Boyolali, Provinsi Jawa Tengah</t>
  </si>
  <si>
    <t>RS Umum Hermina Pandanaran</t>
  </si>
  <si>
    <t>Jl. Pandanaran No.24 Semarang</t>
  </si>
  <si>
    <t>RS Umum PKU Muhammadiyah Petanahan Kebumen</t>
  </si>
  <si>
    <t>JL. DAENDELS KM 1, Desa/Kelurahan Munggu, Kec. Petanahan, Kab.Kebumen, Provinsi Jawa Tengah,Kode Pos: 54382</t>
  </si>
  <si>
    <t>RS Priscilla Medical Center</t>
  </si>
  <si>
    <t>Jl. Raya Maos-Sampang Desa Karangtengah Kec. Sampang</t>
  </si>
  <si>
    <t>RS Hermina Wonogiri</t>
  </si>
  <si>
    <t>Jl. Raya Wonogiri-Ngadirojo KM 5 Wonogiri</t>
  </si>
  <si>
    <t>RS Umum Islam Harapan Anda</t>
  </si>
  <si>
    <t>Kota Tegal</t>
  </si>
  <si>
    <t>Jl. Ababil No.42,Tegal</t>
  </si>
  <si>
    <t>RS Umum Islam Banjarnegara</t>
  </si>
  <si>
    <t>Jl Raya Bawang KM 8 Banjarnegara</t>
  </si>
  <si>
    <t>RS Umum PKU Muhammadiyah Sragen</t>
  </si>
  <si>
    <t>Jl. Raya Sragen-Solo Km. 8, Masaran, Sragen</t>
  </si>
  <si>
    <t>RS Umum Assalam</t>
  </si>
  <si>
    <t>Jl. Gatot Subroto KM.1,5 Kulon Palang Gemolong</t>
  </si>
  <si>
    <t>RS PKU Muhammadiyah Kartasura</t>
  </si>
  <si>
    <t>Jl. Slamet Riyadi No. 06, Kelurahan Kartasura, Kec. Kartasura, Kab. Sukoharjo, Jawa Tengah</t>
  </si>
  <si>
    <t>RS Harapan Sehat Jatibarang</t>
  </si>
  <si>
    <t>Jl. Raya Jatibarang-Brebes, Janegara, Jatibarang</t>
  </si>
  <si>
    <t>RS Keluarga Sehat Tayu</t>
  </si>
  <si>
    <t>Jl. Pati-Tayu KM 27, Tayu Pati</t>
  </si>
  <si>
    <t>RS Umum Sinar Kasih</t>
  </si>
  <si>
    <t>Jl. Martadireja II Purwokerto</t>
  </si>
  <si>
    <t>RS Jiwa Daerah Dr. Arif Zainudin Provinsi Jawa Tengah</t>
  </si>
  <si>
    <t>Jl. K.H. Dewantoro 80, Jebres, Surakarta</t>
  </si>
  <si>
    <t>RS Umum Daerah Suradadi</t>
  </si>
  <si>
    <t>Jl. Raya Tegal-Pemalang KM.12</t>
  </si>
  <si>
    <t>RS Umum Astrini</t>
  </si>
  <si>
    <t>JL. Brigjend Katamso, Kaliancar, Selogiri.</t>
  </si>
  <si>
    <t>RS Umum Daerah dr. Loekmono Hadi</t>
  </si>
  <si>
    <t>Jl. Dr. Lukmonohadi No.19,Kudus</t>
  </si>
  <si>
    <t>RS Umum  Budi Agung Pati</t>
  </si>
  <si>
    <t>Jl. Bajo No. 7 Juwana</t>
  </si>
  <si>
    <t>RS Ibu dan Anak Nuzula</t>
  </si>
  <si>
    <t>Jl. Pabrik Gula Banjaratma No. 2, RT 03 RW 05, Pule, Sigentong, Kec. Wanasari</t>
  </si>
  <si>
    <t>RS Umum Panti Waluyo Yakkum Purworejo</t>
  </si>
  <si>
    <t>Jl. Ahmad Yani No. 21 Purworejo</t>
  </si>
  <si>
    <t>RS Umum Telogorejo Semarang</t>
  </si>
  <si>
    <t>Jl. KH. Ahmad Dahlan Semarang</t>
  </si>
  <si>
    <t>RS Umum Gunung Sawo Kab. Temanggung</t>
  </si>
  <si>
    <t>Jl. Gatot Subroto Km. 2, Manding Temanggung</t>
  </si>
  <si>
    <t>RS Umum Baitul Hikmah</t>
  </si>
  <si>
    <t>JL RAYA SOEKARNO HATTA KM 12 KECAMATAN GEMUH KABUPATEN KENDAL PROVINSI JAWA TENGAH</t>
  </si>
  <si>
    <t>RS Umum Muhammadiyah Mardhatillah</t>
  </si>
  <si>
    <t>Jl. Jend. Sudirman Timur Kecamatan Randudongkal</t>
  </si>
  <si>
    <t>RS Islam At-Tin Husada Purbalingga</t>
  </si>
  <si>
    <t>Jl. Mayjend. Soengkono No. 9, Kel. Selabaya, Kec. Kalimanah</t>
  </si>
  <si>
    <t>RS PKU Aisyiyah Kendal</t>
  </si>
  <si>
    <t>Jl. Soekarno Hatta Rt.004 Rw.002 Desa Tlahab Kecamatan Gemuh Kabupaten Kendal Provinsi Jawa Tengah</t>
  </si>
  <si>
    <t>RS Umum Daerah Samin Surosentiko Randublatung</t>
  </si>
  <si>
    <t>Gg. Kabayan RT. 06 RW. 01 Kel. Randublatung</t>
  </si>
  <si>
    <t>RS Umum Cakra Husada</t>
  </si>
  <si>
    <t>Jl. Merbabu No. 7 Klaten</t>
  </si>
  <si>
    <t>RS Umum Daerah Kraton Kab. Pekalongan</t>
  </si>
  <si>
    <t>Jl. Veteran 31,Pekalongan</t>
  </si>
  <si>
    <t>RS Umum Kumala Siwimijen Kudus</t>
  </si>
  <si>
    <t>Jl. Jepara KM. 6 Desa Mijen Kec. Kaliwungu</t>
  </si>
  <si>
    <t>RS Umum Daerah Brebes</t>
  </si>
  <si>
    <t>Jl. Jend.Sudirman No.181 Brebes Jawa Tengah 52212</t>
  </si>
  <si>
    <t>RS Umum Daerah Prof Dr. Margono Soekarjo</t>
  </si>
  <si>
    <t>Jl. Dr Gumbreg No. 1 Purwokerto</t>
  </si>
  <si>
    <t>RS Ibu dan Anak Gladiool</t>
  </si>
  <si>
    <t>Jl. Kenanga No.4-6,Magelang</t>
  </si>
  <si>
    <t>RS Umum  PKU Muhammadiyah Wonosobo</t>
  </si>
  <si>
    <t>Jl. Gatot Subroto, Sudungdewo, Kec. Kertek, Kab. Wonosobo, Prov. Jawa Tengah 56371</t>
  </si>
  <si>
    <t>RS Umum Daerah Sultan Fatah Karangawen Demak</t>
  </si>
  <si>
    <t>Jl. Raya Semarang Purwodadi KM. 21 No. 107 Karangawen Demak</t>
  </si>
  <si>
    <t>RS Umum PKU Muhammadiyah Cepu</t>
  </si>
  <si>
    <t>Jl. Ronggolawe No.137,Cepu</t>
  </si>
  <si>
    <t>RS Khusus Orthopedi Karima Utama</t>
  </si>
  <si>
    <t>Jl. Amarta 8-10 Ngabeyan Kartasura, Sukoharjo - Jawa Tengah</t>
  </si>
  <si>
    <t>RS Umum Islam Arafah</t>
  </si>
  <si>
    <t>Rembang</t>
  </si>
  <si>
    <t>Jl. Raya Rembang - Lasem Km.5 Tritunggal, Rembang</t>
  </si>
  <si>
    <t>RS Umum Daerah dr. Soedirman Kabupaten Kebumen</t>
  </si>
  <si>
    <t>Jl. Kebumen Raya - Muktisari Kebumen</t>
  </si>
  <si>
    <t>RS Umum Tk. IV 04.07.03 dr. Asmir</t>
  </si>
  <si>
    <t>Jl. Dr Muwardi No. 50 Salatiga</t>
  </si>
  <si>
    <t>RS Umum Daerah Sunan Kalijaga</t>
  </si>
  <si>
    <t>Jl. Sultan Fatah No. 669/50,Demak</t>
  </si>
  <si>
    <t>RS Umum Fastabiq Sehat PKU Muhammadiyah Pati</t>
  </si>
  <si>
    <t>Jl. Raya Pati-Tayu Km. 03 Tambaharjo, Pati</t>
  </si>
  <si>
    <t>RS Harapan Sehat Bumiayu</t>
  </si>
  <si>
    <t>Jl. Lingkar Bumiayu Perempatan Negaradaha Kec. Bumiayu Kab. Brebes</t>
  </si>
  <si>
    <t>RS Umum  Karanggede Sisma Medika</t>
  </si>
  <si>
    <t>Jl. Raya Karanggede - Solo KM.1, Boyolali</t>
  </si>
  <si>
    <t>RS Panti Wilasa "Dr. Cipto" Semarang</t>
  </si>
  <si>
    <t>Jl. Dr. Cipto 50, Bugangan, Semarang Timur</t>
  </si>
  <si>
    <t>RS Khusus Bedah Mitra Ariva</t>
  </si>
  <si>
    <t>Jl. Raya Ajibarang WetanAjibarang Banyumas</t>
  </si>
  <si>
    <t>RS Umum Daerah Kartini Karanganyar</t>
  </si>
  <si>
    <t>Jl. Laksda Yos Sudarso Karanganyar</t>
  </si>
  <si>
    <t>RS Umum Hermina Banyumanik Semarang</t>
  </si>
  <si>
    <t>Jln. Jenderal Polisi Anton Soedjarwo No.195 A, Banyumanik</t>
  </si>
  <si>
    <t>RS Umum Daerah Cilacap</t>
  </si>
  <si>
    <t>Jl. Gatot Subroto 28 Cilacap RT 04 / RW 05 Kel. Sidanegara Kec. Cilacap Tengah Kab. Cilacap</t>
  </si>
  <si>
    <t>RS Umum Muhammadiyah Siti Aminah</t>
  </si>
  <si>
    <t>Jl. P. Diponegoro Desa Jatisawit Kecamatan Bumiayu Kabupaten Brebes</t>
  </si>
  <si>
    <t>RS Umum Jafar Medika Karanganyar</t>
  </si>
  <si>
    <t>Munggur RT 09/RW 04, Kelurahan Munggur, Kecamatan Mojogedang, Kabupaten Karanganyar, Provinsi Jawa Tengah</t>
  </si>
  <si>
    <t>RS Umum Amanah Mahmudah</t>
  </si>
  <si>
    <t>JL. Jenderal Sudirman No. 05 Sitanggal Larangan</t>
  </si>
  <si>
    <t>RS Ibu dan Anak MPH Purbalingga</t>
  </si>
  <si>
    <t>Jl. Letjen S. Parman No. 56 Kedungmenjangan Purbalingga</t>
  </si>
  <si>
    <t>RS Umum Panti Rahayu</t>
  </si>
  <si>
    <t>Jl. R Suprapto No.6,Purwodadi</t>
  </si>
  <si>
    <t>RS Khusus Orthopaedi Purwokerto</t>
  </si>
  <si>
    <t>Jl. Soepardjo Rustam No. 99 Sokaraja</t>
  </si>
  <si>
    <t>RS Umum Bhayangkara Semarang</t>
  </si>
  <si>
    <t>JL.MAJAPAHIT NO.140 SEMARANG</t>
  </si>
  <si>
    <t>RS Umum Duta Mulya</t>
  </si>
  <si>
    <t>jl. dr. Wahidin No. 66A , Muktisari, Sindangsari, Kec. Majenang, Kabupaten Cilacap, Jawa Tengah 53257</t>
  </si>
  <si>
    <t>RS Umum Wiradadi Husada</t>
  </si>
  <si>
    <t>Jl. Menteri Supeno No. 25, Sokaraja-Banyumas</t>
  </si>
  <si>
    <t>RS Umum Panti Waluyo</t>
  </si>
  <si>
    <t>Jl. Jend A Yani No.1-2</t>
  </si>
  <si>
    <t>RS Umum  Islam Sunan Kudus</t>
  </si>
  <si>
    <t>Jl. Kudus Permai No.1, Kaliwungu, Kudus</t>
  </si>
  <si>
    <t>RS Umum Setjonegoro Wonosobo</t>
  </si>
  <si>
    <t>Jl. Setjonegoro No.1,Wonosobo</t>
  </si>
  <si>
    <t>RS Umum Sultan Agung Semarang</t>
  </si>
  <si>
    <t>Jl. Raya Kaligawe Km.4,Semarang</t>
  </si>
  <si>
    <t>RS Umum Aghisna Medika Kroya</t>
  </si>
  <si>
    <t>Jl. Yos Sudarso No. 1 Karangmangu, Kec. Kroya, Kab. Cilacap, Provinsi Jawa Tengah</t>
  </si>
  <si>
    <t>RS Umum Daerah  Dr. H. Soewondo Kendal</t>
  </si>
  <si>
    <t>Jl. Laut No. 21 Kelurahan Patukangan, Kec. Kendal, Kab. Kendal, Provinsi Jawa Tengah</t>
  </si>
  <si>
    <t>RS Umum Maguan Husada</t>
  </si>
  <si>
    <t>Jl. Raya Pracimantoro-Giribelah Km.6  Suci, Kec. Pracimantoro, Kab. Wonogiri, Provinsi Jawa Tengah</t>
  </si>
  <si>
    <t>At-Tin Hospital</t>
  </si>
  <si>
    <t>Jl. Slamet Riyadi No. 14 Tegalrejo, Bawen, Kab. Semarang</t>
  </si>
  <si>
    <t>RS Ibu dan Anak Annisa Blora</t>
  </si>
  <si>
    <t>Jl. RA. Kartini No. 7 Kecamatan Blora  Kabupaten Blora Provinsi Jawa Tengah</t>
  </si>
  <si>
    <t>RS Umum Daerah Ir. Soekarno Kabupaten Sukoharjo</t>
  </si>
  <si>
    <t>Jl. Dr. Muwardi 71, Sukoharjo</t>
  </si>
  <si>
    <t>RS Umum Siti Khodijah</t>
  </si>
  <si>
    <t>Jl. Bandung No.39-47,Pekalongan</t>
  </si>
  <si>
    <t>RS Bhina Bhakti Husada</t>
  </si>
  <si>
    <t>Jl. Pemuda KM. 4</t>
  </si>
  <si>
    <t>RS Umum Daerah Ir. Soekarno Kab. Brebes</t>
  </si>
  <si>
    <t>Jl. RA. Kartini No. 20 Ketanggungan, Desa Ketanggungan, Kecamatan Ketanggungan, Kabupaten Brebes, Provinsi Jawa Tengah</t>
  </si>
  <si>
    <t>RS PKU Muhammadiyah Karanganyar</t>
  </si>
  <si>
    <t>Jl. Papahan Tasikmadu Kelurahan Papahan Kecamatan Tasikmadu Kabupaten Karanganyar Propinsi Jawa Tengah</t>
  </si>
  <si>
    <t>RS Khusus Mata Solo</t>
  </si>
  <si>
    <t>Jl. Adi Sucipto 169, Karangasem , Laweyan</t>
  </si>
  <si>
    <t>RS Umum Kusuma Ungaran</t>
  </si>
  <si>
    <t>JL. LETJEN. SUPRAPTO NO 62 SIDOMULYO, UNGARAN TIMUR</t>
  </si>
  <si>
    <t>RS Umum Santa Elisabeth Purwokerto</t>
  </si>
  <si>
    <t>Jl. dr. Angka No. 40 Purwokerto</t>
  </si>
  <si>
    <t>RS Umum Islam Magelang</t>
  </si>
  <si>
    <t>Jl. Jeruk No.4 A , Sanden, Kota Magelang</t>
  </si>
  <si>
    <t>Jl. Kudus Jepara KM 4 Kudus, Desa/Kel. Garung Lor, Kec. Kaliwungu</t>
  </si>
  <si>
    <t>RS Umum Aisyiyah Muntilan</t>
  </si>
  <si>
    <t>JL. KHA Dahlan No. 24 Muntilan</t>
  </si>
  <si>
    <t>RS Umum Daerah dr. R. Soetrasno Rembang</t>
  </si>
  <si>
    <t>Jl. Pahlawan No.16 Rembang</t>
  </si>
  <si>
    <t>RS Umum Keluarga Sehat</t>
  </si>
  <si>
    <t>Jl. P. Sudirman No. 9 Margorejo Pati</t>
  </si>
  <si>
    <t>RS Umum Mitra Keluarga Tegal</t>
  </si>
  <si>
    <t>Jl. Sipelem No.4, Kemandungan, Tegal</t>
  </si>
  <si>
    <t>RS Fitri Candra</t>
  </si>
  <si>
    <t>Jl. Brigjjend Katamso, Klampisan, Selogiri Wonogiri 57652</t>
  </si>
  <si>
    <t>RS Umum Daerah Bung Karno Kota Surakarta</t>
  </si>
  <si>
    <t>Jl. Sungai Serang 1 RT 03 Rw 03 Kelurahan Mojo Kecamatan Pasar Kliwon</t>
  </si>
  <si>
    <t>RS Umum PKU Muhamadiyah Gombong</t>
  </si>
  <si>
    <t>Jl. Yos Sudarso 461 Gombong Kebumen</t>
  </si>
  <si>
    <t>RS Gigi dan Mulut Soelastri</t>
  </si>
  <si>
    <t>Jl. Brigjen Slamet Riyadi No. 366 Surakarta 57141</t>
  </si>
  <si>
    <t>RS Umum Daerah dr. Gunawan Mangunkusumo</t>
  </si>
  <si>
    <t>Jl. Kartini No.101, Ambarawa</t>
  </si>
  <si>
    <t>RS Ibu dan Anak Permata Insani</t>
  </si>
  <si>
    <t>Jl. Yos sudarso No 38  (Komplek Islamic Centre) Kelurahan Pasar Batang Kecamatan Brebes Kabupaten Brebes</t>
  </si>
  <si>
    <t>RS Umum PKU Muhammadiyah Purbalingga</t>
  </si>
  <si>
    <t>Jl. Kolonel Sugiri, RT 002 RW 004, Desa/Kelurahan Gandasuli, Kec.Bobotsari, Kab. Purbalingga, Provinsi Jawa Tengah Kode Pos 53353</t>
  </si>
  <si>
    <t>RS Umum Daerah Simo</t>
  </si>
  <si>
    <t>Jl. Simo - Bangak KM. 01, Kebayanan 3, Pelem, Kec. Simo, Kabupaten Boyolali, Jawa Tengah</t>
  </si>
  <si>
    <t>RS Ibu dan Anak Bunda Semarang</t>
  </si>
  <si>
    <t>Jl. Brigjen Katamso No. 8, Kelurahan Karangturi, Kecamatan Semarang Timur, Kota Semarang, Provinsi Jawa Tengah, Kode Pos 50124</t>
  </si>
  <si>
    <t>RS Umum  ARO</t>
  </si>
  <si>
    <t>Jl. Dr. Soetomo Gamer Pekalongan</t>
  </si>
  <si>
    <t>RS Umum Daerah Dr. M. Ashari Pemalang</t>
  </si>
  <si>
    <t>Jl. Gatot Subroto No.41,Pemalang</t>
  </si>
  <si>
    <t>RS Umum PKU Muhammadiyah Mayong</t>
  </si>
  <si>
    <t>Jl. Pegadaian No. 12 Mayong Jepara</t>
  </si>
  <si>
    <t>RS Umum As-Suyuthiyyah</t>
  </si>
  <si>
    <t>Jl. Raya Juwana - Tayu Km. 7 Guyangan Trangkil Pati Jawa Tengah</t>
  </si>
  <si>
    <t>RS Umum Islam Fatimah</t>
  </si>
  <si>
    <t>Jl. Ir. H. Juanda No. 20, Kab. Cilacap</t>
  </si>
  <si>
    <t>RS Umum Bhakti Asih Brebes</t>
  </si>
  <si>
    <t>Jl. P. Diponegoro No. 125, Pesantunan Kec. Wanasari Kab. Brebes - Jawa tengah</t>
  </si>
  <si>
    <t>RS Ibu dan Anak Ummu Hani</t>
  </si>
  <si>
    <t>Jl. D I Panjaitan No 40 A Purbalingga Jawa Tengah</t>
  </si>
  <si>
    <t>RS Umum Daerah Kesesi Pekalongan</t>
  </si>
  <si>
    <t>Jl. Raya Kaibahan Kesesi, Desa Kesesi, Kecamatan Kesesi Kab. Pekalongan, Provinsi JawaTengah, Indonesia. 51162</t>
  </si>
  <si>
    <t>RS Samsoe Hidajat</t>
  </si>
  <si>
    <t>Jl. RE Martadinata No. 9, Arteri Utara, Kel. Tawangsari, Kec. Semarang Barat</t>
  </si>
  <si>
    <t>RS Umum PKU Muhammadiyah Gubug</t>
  </si>
  <si>
    <t>Jl. Letjen R Soeprapto No.12 Gubug</t>
  </si>
  <si>
    <t>RS Aisyiyah Kudus</t>
  </si>
  <si>
    <t>Jl. H.O.S. Cokroaminoto No. 248, Mlatinorowito Kec. Kota Kudus Kab. Kudus Jawa Tengah 59319</t>
  </si>
  <si>
    <t>RS Umum Prima Medika</t>
  </si>
  <si>
    <t>Jl. Slamet Riyadi No. 321 Pemalang</t>
  </si>
  <si>
    <t>RS Umum PKU Muhammadiyah Kutowinangun</t>
  </si>
  <si>
    <t>Jl. Pemuda No 12 Kutowinangun</t>
  </si>
  <si>
    <t>RS Umum Budi Sehat Purworejo</t>
  </si>
  <si>
    <t>Jl. W.R. Supratman No. 183 Cangkrep Lor, Purworejo</t>
  </si>
  <si>
    <t>RS Umum Daerah dr. R. Goeteng Taroenadibrata</t>
  </si>
  <si>
    <t>Jl. Tentara Pelajar Purbalingga No. 22</t>
  </si>
  <si>
    <t>RS Umum Islam Kustati</t>
  </si>
  <si>
    <t>Jl. Kapt. Mulyadi No.249</t>
  </si>
  <si>
    <t>RS Amanah Umat Purworejo</t>
  </si>
  <si>
    <t>Jl. Brigjen Katamso No. 144A Purworejo 54115</t>
  </si>
  <si>
    <t>Rumkitban 04.08.04 Kartika Husada Kudus</t>
  </si>
  <si>
    <t>Jl. Jend. Sudirman No.64, Kudus</t>
  </si>
  <si>
    <t>RS Umum Islam Wonosobo</t>
  </si>
  <si>
    <t>Jl. Letjen S. Parman Km.3 Wonosobo</t>
  </si>
  <si>
    <t>RS Umum Panti Wilasa Citarum</t>
  </si>
  <si>
    <t>Jl. Citarum No 98 Semarang</t>
  </si>
  <si>
    <t>RS Umum Islam Banyubening Boyolali</t>
  </si>
  <si>
    <t>Jl. Raya Waduk Cengklik No. 11, Desa/Kel. Ngargorejo, Kec. Ngemplak</t>
  </si>
  <si>
    <t>RS Islam Tunas Harapan</t>
  </si>
  <si>
    <t>Jl. Soekarno Hatta 104 Kota Salatiga</t>
  </si>
  <si>
    <t>RS Umum Daerah Batang</t>
  </si>
  <si>
    <t>Jl. Dr Sutomo No. 42 Batang  Kelurahan Kauman Kecamatan Batang Kabupaten Batang Provinsi Jawa Tengah 51215</t>
  </si>
  <si>
    <t>RS Indriati Boyolali</t>
  </si>
  <si>
    <t>Jl. Raya Boyolali Solo KM. 02 Mojosongo Boyolali</t>
  </si>
  <si>
    <t>RS Onkologi Solo</t>
  </si>
  <si>
    <t>Jl. Siwalan No.37 RT.002 RW.014  Kel. Kerten, Kec. Laweyan, Kab. Kota Surakarta, Jawa Tengah 57143</t>
  </si>
  <si>
    <t>RS PKU Muhammadiyah Pamotan</t>
  </si>
  <si>
    <t>Jl. Raya Pamotan - Lasem Km. 2,5 Pamotan,  Rembang</t>
  </si>
  <si>
    <t>RS Umum Dr. Oen Solo Baru</t>
  </si>
  <si>
    <t>Komplek Perumahan Solo Baru Kec.Grogol Sukoharjo</t>
  </si>
  <si>
    <t>RS Umum Daerah Kardinah</t>
  </si>
  <si>
    <t>Jl. AIP. KS Tubun No.2 Kelurahan Kejambon Kecamatan Tegal Timur Kota Tegal</t>
  </si>
  <si>
    <t>RS Umum Ananda Purworejo</t>
  </si>
  <si>
    <t>Jl. Pahlawan, Sucen Juru Tengah, Bayan Purworejo,</t>
  </si>
  <si>
    <t>RS Umum PKU Muhammadiyah Banjarnegara</t>
  </si>
  <si>
    <t>Jl. Raya Banjarnegara Banyumas KM. 18 Danaraja Purwanegara Banjarnegara</t>
  </si>
  <si>
    <t>RS Umum Mardi Lestari Sragen</t>
  </si>
  <si>
    <t>Jl. Rokan No. 8 Sragen</t>
  </si>
  <si>
    <t>RS Khusus Bedah Columbia Asia Semarang</t>
  </si>
  <si>
    <t>Jl. Siliwangi No. 143</t>
  </si>
  <si>
    <t>RS Ibu dan Anak Aisyiyah Pekajangan Pekalongan</t>
  </si>
  <si>
    <t>Jl. Raya Pekajangan No. 610</t>
  </si>
  <si>
    <t>RS Umum Hidayah Purwokerto</t>
  </si>
  <si>
    <t>Jl. Supriyadi No. 22 Purwokerto</t>
  </si>
  <si>
    <t>RS Umum Dr. Oen</t>
  </si>
  <si>
    <t>Jl. Brigjend Katamso 55,Surakarta</t>
  </si>
  <si>
    <t>RS Ibu dan Anak Plamongan Indah</t>
  </si>
  <si>
    <t>jl. kelapa gading raya no. 52 semarang</t>
  </si>
  <si>
    <t>RS Umum Daerah Bagas Waras</t>
  </si>
  <si>
    <t>Jalan Ir. Soekarno Km 2 Buntalan Klaten Tengah</t>
  </si>
  <si>
    <t>RS Umum Islam Pati</t>
  </si>
  <si>
    <t>Jl. Raya Pati-Tayu KM.18Waturoyo Margoyoso Pati</t>
  </si>
  <si>
    <t>RS Umum Permata Medika</t>
  </si>
  <si>
    <t>Jl. Moch Ichsan No.93 - 97, Ngaliyan Semarang</t>
  </si>
  <si>
    <t>RS Umum Pelita Anugerah</t>
  </si>
  <si>
    <t>Jl. Raya Bandungrejo Km 11,5, Mranggen Demak</t>
  </si>
  <si>
    <t>RS Umum Daerah Ki Ageng Getas Pendowo Gubug</t>
  </si>
  <si>
    <t>Jl.  Ahmad Yani No. 57 Gubug Kec. Gubug</t>
  </si>
  <si>
    <t>RS Khusus Mata Purwokerto</t>
  </si>
  <si>
    <t>Jl. Beringin Raya Perum. Tanjung Elok,  Purwokerto Selatan</t>
  </si>
  <si>
    <t>RS Unimus</t>
  </si>
  <si>
    <t>Jl. Kedungmundu Raya No. 214 Kedungmundu Tembalang</t>
  </si>
  <si>
    <t>RS Umum Purbowangi</t>
  </si>
  <si>
    <t>Jl. Yos Sudarso Barat No. 1, Desa/Kelurahan Purbowangi, Kec. Buayan, Kab. Kebumen, Provinsi Jawa Tengah, Kode Pos: 54474</t>
  </si>
  <si>
    <t>RS Umum Pusat Dr. Kariadi</t>
  </si>
  <si>
    <t>Jl. Dr. Soetomo No.16,Semarang</t>
  </si>
  <si>
    <t>RS Umum Mulia Hati Wonogiri</t>
  </si>
  <si>
    <t>Jl.RM.Said No.08, Brumbung, Kaliancar, Selogiri,Wonogiri</t>
  </si>
  <si>
    <t>Jl. Naryo Atmajan 27 Ambarawa</t>
  </si>
  <si>
    <t>RS Jiwa Daerah Dr. RM. Soedjarwadi</t>
  </si>
  <si>
    <t>Jalan Ki Pandanaran Km. 2, Klaten</t>
  </si>
  <si>
    <t>RS Umum Banyumanik</t>
  </si>
  <si>
    <t>Jl. Bina Remaja Srondol No.61,Semarang</t>
  </si>
  <si>
    <t>Rumah Sakit Umum Hastuti</t>
  </si>
  <si>
    <t>Candibaru RT 39 RW 11 Plumbungan Karangmalang Sragen</t>
  </si>
  <si>
    <t>RS Muhammadiyah Rodliyah Achid</t>
  </si>
  <si>
    <t>Jl. Raya Moga-Pulosari KM.2 Pemalang</t>
  </si>
  <si>
    <t>RS Umum Adella</t>
  </si>
  <si>
    <t>Jl. Prof.Moh. Yamin No.77 Slawi</t>
  </si>
  <si>
    <t>RS Umum H. A. Zaky Djunaid</t>
  </si>
  <si>
    <t>Jl.Pelita II Kel. Buaran Kec. Pekalongan Selatan Pekalongan</t>
  </si>
  <si>
    <t>RS Umum Santa Maria Cilacap</t>
  </si>
  <si>
    <t>Jl. Jend. Achmad Yani No. 38, Sidakaya, Cilacap Selatan</t>
  </si>
  <si>
    <t>RS JIH Purwokerto</t>
  </si>
  <si>
    <t>Jl. KH. Ahmad Dahlan Dusun III Dukuhwaluh Kembaran Banyumas 53182</t>
  </si>
  <si>
    <t>RS PKU Muhammadiyah Boja</t>
  </si>
  <si>
    <t>Jl. Raya Boja Limbangan, Desa/Kel. Salamsari, Kec. Boja</t>
  </si>
  <si>
    <t>Jl. Gatot Subroto 31 A Cilacap</t>
  </si>
  <si>
    <t>RS Umum Tk. II Dr. Soedjono</t>
  </si>
  <si>
    <t>Jl. Urip Soemoharjo No 48 Kelurahan Wates Kec. Magelang Utara</t>
  </si>
  <si>
    <t>RS Umum Islam Yakssi Gemolong</t>
  </si>
  <si>
    <t>Jln. Raya Solo-Purwodadi Km.20, Gemolong</t>
  </si>
  <si>
    <t>RS Umum Daerah Dr. R. Soetijono Blora</t>
  </si>
  <si>
    <t>Jl. Dr Sutomo No. 42, Blora</t>
  </si>
  <si>
    <t>RS Umum Amanah</t>
  </si>
  <si>
    <t>Jl Raya Kebokura No.37 Kec Sumpiuh Kab Banyumas</t>
  </si>
  <si>
    <t>RS Umum  Aisyiyah</t>
  </si>
  <si>
    <t>Jl. Mayjend Soetoyo no 113, Kel. Sindurjan, Kec. Purworejo, Kab. Purworejo, Prop. Jawa Tengah</t>
  </si>
  <si>
    <t>Jl. May.Jend.Soengkono KM.1,Kec. Kalimanah, Purbalingga dan JL. Soekarno Hatta No.02 Kec. Kalimanah</t>
  </si>
  <si>
    <t>RS Umum Triharsi</t>
  </si>
  <si>
    <t>Jl. Monginsidi No.82,Surakarta</t>
  </si>
  <si>
    <t>RS Umum Daerah Panti Nugroho</t>
  </si>
  <si>
    <t>Jl. Soekarno Hatta KM 2 Kelurahan Karang Manyar Kecamatan Kalimanah Kabupaten Purbalingga</t>
  </si>
  <si>
    <t>RS Umum Siaga Medika Pemalang</t>
  </si>
  <si>
    <t>Jl. Perintis Kemerdekaan No. 1 Beji (Gandulan) Taman</t>
  </si>
  <si>
    <t>RS Ibu dan Anak NU Cakra Medika</t>
  </si>
  <si>
    <t>Jl. Gajahmada No. 11 Turibang Cepu</t>
  </si>
  <si>
    <t>RS Keluarga Sehat III Semarang</t>
  </si>
  <si>
    <t>Jl. Puri Anjasmoro No. G1 / 28, Tawangsari, Kec. Semarang Barat, Kota Semarang</t>
  </si>
  <si>
    <t>RS Umum Daerah dr. Rehatta Provinsi Jawa Tengah</t>
  </si>
  <si>
    <t>Jl. Raya Jepara – Kelet KM.37 Kode Pos  59454 Telepon (0291) 579002 Faksimile (0291) 578161 Laman www.rsrehatta.jatengprov.go.id Surat Elektronik rsrehatta@jatengprov.go.id</t>
  </si>
  <si>
    <t>RS Umum Daerah Candi Umbul</t>
  </si>
  <si>
    <t>Jl. Pagergunung KM. 1 Kec. Grabag Kab. Magelang</t>
  </si>
  <si>
    <t>RS Umum Daerah Pandan Arang Boyolali</t>
  </si>
  <si>
    <t>Jl. Kantil No. 14 Pulisen, Boyolali, Jawa Tengah</t>
  </si>
  <si>
    <t>RS Umum Daerah dr. Adhyatma, MPH</t>
  </si>
  <si>
    <t>Jl. WALISONGO KM 8,5 NO 137  Semarang</t>
  </si>
  <si>
    <t>RS Umum Ken Saras</t>
  </si>
  <si>
    <t>Jl. Soekarno Hatta Km 29 Bergas, Ungaran-Kab. Semarang</t>
  </si>
  <si>
    <t>RS Umum Daerah Merah Putih</t>
  </si>
  <si>
    <t>Jl. Raya Magelang-Yogyakarta KM 05 Mungkidan Danurejo Mertoyudan</t>
  </si>
  <si>
    <t>Charlie Hospital Demak</t>
  </si>
  <si>
    <t>Jl. Raya Guntur KM 4, Pulosari</t>
  </si>
  <si>
    <t>RS Umum Daerah Kajen Kab. Pekalongan</t>
  </si>
  <si>
    <t>Jl. Raya Karangsari Karanganyar Kab. Pekalongan</t>
  </si>
  <si>
    <t>RS Umum Mitra Pedan</t>
  </si>
  <si>
    <t>Jl.  Raya Pedan - Juwiring Km. 1 Kedungan, Pedan, Klaten</t>
  </si>
  <si>
    <t>RS Umum Muhammadiyah Selogiri</t>
  </si>
  <si>
    <t>Jl. Lama Bulak, RT.02, RW.04 Desa Nambangan Selogiri, Wonogiri</t>
  </si>
  <si>
    <t>RS Umum Tk. IV Tegal</t>
  </si>
  <si>
    <t>Jl. Raya Pagongan, Pepedan, Kecamatan Dukuhturi, Kabupaten Tegal</t>
  </si>
  <si>
    <t>RS Khusus Bedah Jatiwinangun</t>
  </si>
  <si>
    <t>Jl. Jatiwinangun No.54, Purwokerto</t>
  </si>
  <si>
    <t>RS Ibu dan Anak Budhi Asih</t>
  </si>
  <si>
    <t>JL. PERINTIS KEMERDEKAAN NO. 30</t>
  </si>
  <si>
    <t>RS PKU Muhammadiyah Prambanan</t>
  </si>
  <si>
    <t>Jl. Raya Batas Kota Klaten Prambanan KM 46, Sanggrahan Prambanan 57454</t>
  </si>
  <si>
    <t>RS Umum Islam Amal Sehat Sragen</t>
  </si>
  <si>
    <t>Jl. Veteran No.35, Sragen, Jawa Tengah</t>
  </si>
  <si>
    <t>RS Umum Nasional Diponegoro</t>
  </si>
  <si>
    <t>Jl. Prof. Moeljono S. Trastotenojo, Tembalang, Kec. Tembalang</t>
  </si>
  <si>
    <t>RS Umum Ananda Purwokerto</t>
  </si>
  <si>
    <t>Jl. Pemuda No. 30 Kelurahan Kober, Kecamatan Purwokerto Barat, Banyumas</t>
  </si>
  <si>
    <t>RS Umum Brayat Minulya</t>
  </si>
  <si>
    <t>Jl. Dr. Setiabudi No. 106 Surakarta</t>
  </si>
  <si>
    <t>RS Umum Indo Sehat Karanganyar</t>
  </si>
  <si>
    <t>JL. Raya Solo - Sragen KM. 11, Kecamatan Kebakkramat, Kabupaten Karanganyar, Propinsi Jawa Tengah</t>
  </si>
  <si>
    <t>RS Umum N-21 Gemilang</t>
  </si>
  <si>
    <t>Jln. Pondok Pabelan No. 5 , Desa Pabelan, Kecamatan Mungkid, Kabupaten Magelang Provinsi Jawa Tengah</t>
  </si>
  <si>
    <t>RS PKU Muhammadiyah Wonogiri</t>
  </si>
  <si>
    <t>jl. Durian No 28 Sanggrahan, Desa/Kelurahan Giripurwo, Kec. Wonogiri, Kab. Wonogiri, Provinsi Jawa Tengah</t>
  </si>
  <si>
    <t>RS Hj. Fatimah Sulhan PKU Muhammadiyah Demak</t>
  </si>
  <si>
    <t>Jl. Sultan Hadiwijaya No. 18 Mangunjiwan</t>
  </si>
  <si>
    <t>RS Umum PKU dr. Soemowidagdo Boyolali</t>
  </si>
  <si>
    <t>Tegalarum No. 200 RT. 22 RW. 01, Kateguhan, Sawit, Boyolali, Jawa Tengah 57374</t>
  </si>
  <si>
    <t>RS Umum Daerah Kayen Pati</t>
  </si>
  <si>
    <t>Jl. Rumah Sakit No.1 Kayen Pati</t>
  </si>
  <si>
    <t>RS Umum Daerah Dr. Tjitrowardojo Purworejo</t>
  </si>
  <si>
    <t>Jl. Jend. Sudirman No.60 Purworejo</t>
  </si>
  <si>
    <t>RS Umum William Booth</t>
  </si>
  <si>
    <t>Jl. LetJen. S. Parman No. 5, Semarang</t>
  </si>
  <si>
    <t>RS Umum Ngesti Waluyo</t>
  </si>
  <si>
    <t>Jl. Pahlawan Parakan,Temanggung, Jawa Tengah</t>
  </si>
  <si>
    <t>RS Umum Daerah Prembun</t>
  </si>
  <si>
    <t>Jl. Slamet Riyadi No. 53 Prembun Kebumen</t>
  </si>
  <si>
    <t>RS Mitra Siaga Tarub</t>
  </si>
  <si>
    <t>Jl. Karangjati RT. 001 RW. 001 Desa/Kel. Karangjati Kec. Tarub</t>
  </si>
  <si>
    <t>RS Umum Islam Klaten</t>
  </si>
  <si>
    <t>Jl. Raya Klaten Solo KM 4,Klaten</t>
  </si>
  <si>
    <t>RS Ibu dan Anak Kusuma Pradja</t>
  </si>
  <si>
    <t>Jl. Bugangan Raya No.3 - 5,Semarang</t>
  </si>
  <si>
    <t>RS Umum Anugerah Pekalongan</t>
  </si>
  <si>
    <t>Jl. Perintis Kemerdekaan no.3</t>
  </si>
  <si>
    <t>RS Umum Raffa Majenang</t>
  </si>
  <si>
    <t>Jl. Bhayangkara No. 69 Kecamatan Majenang</t>
  </si>
  <si>
    <t>RS Mangesti Rahayu</t>
  </si>
  <si>
    <t>Jl. Adi Sumarmo, RT. 02/RW. 06, Gawanan, Colomadu, Karanganyar</t>
  </si>
  <si>
    <t>RSI PKU Muhammadiyah Tegal</t>
  </si>
  <si>
    <t>Jl. Raya Singkil Km.0,5 Adiwerna, - Tegal Desa Adiwerna, Kec. Adiwerna, Kab. Tegal, Provinsi Jawa Tengah</t>
  </si>
  <si>
    <t>RS Umum Purwa Husada</t>
  </si>
  <si>
    <t>Jl. Gajah Mada KM. 4 (Jl. Purworejo-Kutoarjo) Candisari, Banyuurip, Purworejo</t>
  </si>
  <si>
    <t>RS umum Daerah Banyumas</t>
  </si>
  <si>
    <t>Jl. Rumah Sakit No.1 Banyumas</t>
  </si>
  <si>
    <t>RS Umum Lestari Raharja</t>
  </si>
  <si>
    <t>Jl. Sutopo No.5,Magelang</t>
  </si>
  <si>
    <t>RS Umum Banyumanik 2</t>
  </si>
  <si>
    <t>Jl. Perintis Kemerdekaan No. 57 Banyumanik</t>
  </si>
  <si>
    <t>RS Umum Permata Blora</t>
  </si>
  <si>
    <t>Jl. Reksodiputro No. 57, Blora</t>
  </si>
  <si>
    <t>RS Umum Purwogondo</t>
  </si>
  <si>
    <t>Jl. Puring Km.8, Kalipurwo Kuwarasan Kebumen</t>
  </si>
  <si>
    <t>BENDUNGAN, PILANGSARI, NGRAMPAL, SRAGEN</t>
  </si>
  <si>
    <t>RS Mitra Keluarga Slawi</t>
  </si>
  <si>
    <t>Jl. Ahmad Yani RT. 05 RW. 01 Kel. Procot Kec. Slawi</t>
  </si>
  <si>
    <t>RS Umum Emmanuel</t>
  </si>
  <si>
    <t>Jl. Raya Banyumas - Banjarnegara No.12 Dusun Sidodadi, Desa/ Kelurahan Purwareja, Kecamatan Purwareja Klampok, Kabupaten Banjarnegara , Provinsi Jawa Tengah 53474</t>
  </si>
  <si>
    <t>RS Umum Daerah Kota Salatiga</t>
  </si>
  <si>
    <t>Jl. Osamaliki No.19, Salatiga</t>
  </si>
  <si>
    <t>RS Umum Allam Medica Bumiayu</t>
  </si>
  <si>
    <t>Jl. Pangeran Diponegoro No. 609 Jatisawit, Kec. Bumiayu Kab. Brebes</t>
  </si>
  <si>
    <t>RS Umum Syubbanul Wathon</t>
  </si>
  <si>
    <t>Jl Magelang Kopeng Km. 8 Dusun Nuren Desa Purwosari Kec. Tegalrejo</t>
  </si>
  <si>
    <t>RS Ortopedi Siaga Utama</t>
  </si>
  <si>
    <t>Jl. Pemuda 17 Lingkar Utara Menduran Kec. Brati</t>
  </si>
  <si>
    <t>RS Graha Husada Jepara</t>
  </si>
  <si>
    <t>Jl. MH. Thamrin No. 14 Kelurahan Panggang, Kec.Jepara Kab.Jepara Provinsi Jawa Tengah</t>
  </si>
  <si>
    <t>RS Umum Daerah dr. Soeratno Gemolong</t>
  </si>
  <si>
    <t>Jl. R Ngt Tjitrosantjoko 10 Gemolong Gemolong Sragen</t>
  </si>
  <si>
    <t>RS Umum Umi Barokah</t>
  </si>
  <si>
    <t>Jl.Prof.DR.Soeharso No.6 Tegal Rejo,Boyolali</t>
  </si>
  <si>
    <t>RS Umum Bhayangkara Akpol Semarang</t>
  </si>
  <si>
    <t>Jl. Sultan Agung No. 131 Candi Baru Komplek AKPOL</t>
  </si>
  <si>
    <t>RS Umum Bhakti Asih Jatibarang</t>
  </si>
  <si>
    <t>Jl. Raya Jatibarang Timur, Jatibarang Lor , Kec. Jatibarang, Kab Brebes, Jawa Tengah</t>
  </si>
  <si>
    <t>RS Umum  Amal Sehat</t>
  </si>
  <si>
    <t>Jl. Ngerjopuro RT.02/RW.03,Slogohimo Wonogiri</t>
  </si>
  <si>
    <t>RS Ibu dan Anak Kasih Ibu Tegal</t>
  </si>
  <si>
    <t>Jl. Sultan Agung 32,Tegal</t>
  </si>
  <si>
    <t>RS Umum Natalia</t>
  </si>
  <si>
    <t>Jl. Teratai No. 15 Pulisen Boyolali</t>
  </si>
  <si>
    <t>RS Umum Aghisna Medika Sidareja</t>
  </si>
  <si>
    <t>Jl. Jenderal Sudirman No. 1 Sidamulya Kecamatan Sidareja</t>
  </si>
  <si>
    <t>RS Umum Daerah R.A.A Tjokronegoro</t>
  </si>
  <si>
    <t>Jl. Soekarno Hatta, Boro Kulon, Kec. Banyuurip</t>
  </si>
  <si>
    <t>RS Umum Daerah Dr. R.Soedjati Soemodiardjo</t>
  </si>
  <si>
    <t>Jl. D.I Panjaitan 36,Purwodadi - Grobogan 58111</t>
  </si>
  <si>
    <t>RS Umum Daerah Ajibarang</t>
  </si>
  <si>
    <t>Jl. Raya Pancasan No.1,Ajibarang Banyumas</t>
  </si>
  <si>
    <t>RS Orthopedi Prof. Dr. R. Soeharso</t>
  </si>
  <si>
    <t>Jl. Jenderal Ahmad Yani Pabelan, Surakarta 57162</t>
  </si>
  <si>
    <t>RS Umum Islami Mutiara Bunda</t>
  </si>
  <si>
    <t>Jl. Raya Pantura Cenderawasih kecamatan Tanjung kabupaten Brebes</t>
  </si>
  <si>
    <t>RS Mata JEC-Candi Semarang</t>
  </si>
  <si>
    <t>Jl. Pamularsih Raya No. 112 Gisikdrono Kec. Semarang Barat</t>
  </si>
  <si>
    <t>RS Umum Mardi Rahayu</t>
  </si>
  <si>
    <t>Jl. AKBP R Agil  Kusumadya 110,Kudus</t>
  </si>
  <si>
    <t>RS Umum Medika Lestari Banyumas</t>
  </si>
  <si>
    <t>Jl. Raya Buntu-Gombong KM 1 RT.03 RW.03 Pageralang Kecamatan Kemranjen-Banyumas.</t>
  </si>
  <si>
    <t>RS Umum Siaga Medika Purbalingga</t>
  </si>
  <si>
    <t>Jl. Letnan Sudani Karangsentul Kecamatan Padamara Kabupaten Purbalingga</t>
  </si>
  <si>
    <t>RS JIH Solo</t>
  </si>
  <si>
    <t>Jl. Adi Sucipto No 118 Jajar Laweyan</t>
  </si>
  <si>
    <t>RS Umum Palang Biru Kutoarjo</t>
  </si>
  <si>
    <t>Jl. Marditomo No.17, Kutoarjo, Kab.Purworejo</t>
  </si>
  <si>
    <t>RS Umum Tk.III Bhakti Wira Tamtama Smg</t>
  </si>
  <si>
    <t>Jl. Dr. Sutomo No.17. Semarang</t>
  </si>
  <si>
    <t>RS Umum Hermina Pekalongan</t>
  </si>
  <si>
    <t>Jl. Jendral Sudirman 16A Kota Pekalongan</t>
  </si>
  <si>
    <t>RS PKU Muhammadiyah Temanggung</t>
  </si>
  <si>
    <t>JL. RAYA KEDU KM 2 KALISAT CAMPURSARI BULU TEMANGGUNG</t>
  </si>
  <si>
    <t>RS Umum Jati Husada Karanganyar</t>
  </si>
  <si>
    <t>Jl. Raya Solo - Tawangmangu KM 10,3 Jati, Jaten, Karanganyar, Jawa Tengah</t>
  </si>
  <si>
    <t>RS Umum Saras Ibnu Sina Sukowati</t>
  </si>
  <si>
    <t>Jl. Jatayu RT. 03 RW. 02 Taman Agung, Nglorog</t>
  </si>
  <si>
    <t>RS Umum Diponegoro Dua Satu Klaten</t>
  </si>
  <si>
    <t>Jl. Diponegoro No. 21 Klaten</t>
  </si>
  <si>
    <t>RS Umum Budi Rahayu</t>
  </si>
  <si>
    <t>Jl. Barito No. 5 Pekalongan</t>
  </si>
  <si>
    <t>RS Umum Siti Asiyah</t>
  </si>
  <si>
    <t>Jl. Pasar Wage, Desa Kalierang Kecamatan  Bumiayu,  Kabupaten Brebes</t>
  </si>
  <si>
    <t>RS Khusus Gigi dan Mulut Univ. Jenderal Soedirman</t>
  </si>
  <si>
    <t>Jl. Dr. Soeparno Kelurahan Grendeng Kecamatan Purwokerto Utara Kabupaten Banyumas Provinsi Jawa Tengah Kode Pos 53122</t>
  </si>
  <si>
    <t>RS Umum Pusat Surakarta</t>
  </si>
  <si>
    <t>Jl. Profesor DR. Soeharso No.28, Jajar, Kec. Laweyan</t>
  </si>
  <si>
    <t>RSU Santo Yusup Boro</t>
  </si>
  <si>
    <t>Yogyakarta</t>
  </si>
  <si>
    <t>Kulon Progo</t>
  </si>
  <si>
    <t>Boro RT. 01 / RW.01, Banjarasri, Kalibawang, Kulon Progo</t>
  </si>
  <si>
    <t>RS Umum Rizki Amalia</t>
  </si>
  <si>
    <t>Jl Wates-Purworejo Km.10, Kalidengen, Temon, KP</t>
  </si>
  <si>
    <t>RS Akademik Universitas Gadjah Mada</t>
  </si>
  <si>
    <t>Sleman</t>
  </si>
  <si>
    <t>Jl. Kabupaten (Lingkar Utara), Kronggahan, Trihanggo, Gamping, Sleman, D.I. Yogyakarta</t>
  </si>
  <si>
    <t>RS Umum Sakina Idaman</t>
  </si>
  <si>
    <t>Jl Nyi Tjondroloekito No. 60, Sinduadi, Mlati, Sleman</t>
  </si>
  <si>
    <t>RS At-Turots Al-Islamy</t>
  </si>
  <si>
    <t>Klaci 1 Margoluwih Seyegan Sleman</t>
  </si>
  <si>
    <t>RS Umum Pelita Husada</t>
  </si>
  <si>
    <t>Gunung Kidul</t>
  </si>
  <si>
    <t>Jl Raya Semanu Km.3 Sambirejo Semanu Gunungkidul DIY 55893</t>
  </si>
  <si>
    <t>RS Bethesda Wonosari</t>
  </si>
  <si>
    <t>Jl. Karangmojo-Wonosari Km.2,3 Selang III Selang Wonosari Gunung Kidul</t>
  </si>
  <si>
    <t>RS Umum Mitra Paramedika</t>
  </si>
  <si>
    <t>Jl Raya Ngemplak Kemasan Widodomartani</t>
  </si>
  <si>
    <t>RS Umum Daerah Sleman</t>
  </si>
  <si>
    <t>JL Bhayangkara No 48 Triharjo Sleman</t>
  </si>
  <si>
    <t>RS Umum Hermina Yogya</t>
  </si>
  <si>
    <t>Jl Mataram RT 05 RW 50, Gondangan, Ringinsari, Maguwoharjo, Depok, Kab. Sleman, Yogyakarta</t>
  </si>
  <si>
    <t>RS  Mata Dr. Yap</t>
  </si>
  <si>
    <t>Kota Yogyakarta</t>
  </si>
  <si>
    <t>Jl Cik Di Tiro No. 5 Yogyakarta</t>
  </si>
  <si>
    <t>RS Umum Puri Husada Yogyakarta</t>
  </si>
  <si>
    <t>Jl. Palagan Tentara Pelajar No.67 Km.11 Rejodani Ngaglik Sleman</t>
  </si>
  <si>
    <t>RS Umum Pura Raharja Medika</t>
  </si>
  <si>
    <t>Jl. Raya Brosot Bangeran Bumirejo Lendah Kulon Progo Daerah Istimewa Yogyakarta</t>
  </si>
  <si>
    <t>RS Khusus Ibu dan Anak Rachmi</t>
  </si>
  <si>
    <t>Jl. KH. Wachid Hasyim No. 47 Notoprajan Ngampilan Yogyakarta 55262</t>
  </si>
  <si>
    <t>RS Umum Daerah Panembahan Senopati</t>
  </si>
  <si>
    <t>Bantul</t>
  </si>
  <si>
    <t>Jl Dr. Wahidin Sudiro Husodo Bantul</t>
  </si>
  <si>
    <t>RS Islam Hidayatullah Yogyakarta</t>
  </si>
  <si>
    <t>Jl Veteran No.184 Pandeyan Umbulharjo Yogyakarta</t>
  </si>
  <si>
    <t>RS Umum PKU Muhammadiyah Wonosari</t>
  </si>
  <si>
    <t>Jalan Lingkar Utara Kemorosari II, Piyaman Wonosari Gunungkidul DIY</t>
  </si>
  <si>
    <t>RS Jih</t>
  </si>
  <si>
    <t>Jl Ring Road Utara no. 160 Condongcatur Depok</t>
  </si>
  <si>
    <t>RS Umum PKU Muhammadiyah Gamping</t>
  </si>
  <si>
    <t>Jl. Wates KM 5,5 Gamping Sleman</t>
  </si>
  <si>
    <t>Charitas Hospital Klepu</t>
  </si>
  <si>
    <t>Klepu Sendangmulyo Minggir</t>
  </si>
  <si>
    <t>RS Umum Daerah Saras Adyatma</t>
  </si>
  <si>
    <t>Jl. Paker-Dawetan Selo Sidomulyo Bambanglipuro Bantul</t>
  </si>
  <si>
    <t>RS Ludira Husada Tama</t>
  </si>
  <si>
    <t>Jl Wiratama 4 Tegalrejo, Yogyakarta</t>
  </si>
  <si>
    <t>RS AMC Muhammadiyah</t>
  </si>
  <si>
    <t>Jl. H.O.S Cokroaminoto No. 17 B Pakuncen, Wirobrajan, Kota Yogyakarta, Daerah Istimewa Yogyakarta</t>
  </si>
  <si>
    <t>RS Islam Gunungkidul</t>
  </si>
  <si>
    <t>Jl. Pramuka RT 004/RW 001 Ngipak Karangmojo Gunungkidul</t>
  </si>
  <si>
    <t>RS Universitas Ahmad Dahlan</t>
  </si>
  <si>
    <t>Jl Cindelaras Raya - Karangsari, Wedomartani, Ngemplak</t>
  </si>
  <si>
    <t>RSU PKU Muhammadiyah Bantul</t>
  </si>
  <si>
    <t>Jl Jenderal Sudirman 124 Bantul</t>
  </si>
  <si>
    <t>RS PKU Muhammadiyah Yogyakarta</t>
  </si>
  <si>
    <t>Jl K.H. Ahmad Dahlan No. 20 Ngupasan Gondomanan Yogyakarta</t>
  </si>
  <si>
    <t>RS Umum Kharisma Paramedika</t>
  </si>
  <si>
    <t>Jl. Khudori No.34, Wates, Kulon Progo</t>
  </si>
  <si>
    <t>RS Umum Gramedika 10</t>
  </si>
  <si>
    <t>Jl Raya Besi Jangkang No. 10, Sardonoharjo, Ngaglik</t>
  </si>
  <si>
    <t>RS Gigi dan Mulut Universitas Muhammadiyah Yogyakarta</t>
  </si>
  <si>
    <t>Jl. HOS Cokroaminoto 17, Wirobrajan, Kota Yogyakarta</t>
  </si>
  <si>
    <t>RS Umum Panti Rini</t>
  </si>
  <si>
    <t>Jl Solo Km 12,5 Krajan Tirtomartani Kalasan Sleman Yogyakarta</t>
  </si>
  <si>
    <t>RS Bethesda Lempuyangwangi</t>
  </si>
  <si>
    <t>Jl Hayam Wuruk No.6 Yogyakarta</t>
  </si>
  <si>
    <t>RS Umum Daerah Nyi Ageng Serang</t>
  </si>
  <si>
    <t>Jl Sentolo - Muntilan KM 0,3 Banguncipto, Sentolo, Kab. Kulon Progo, Prop. DIY</t>
  </si>
  <si>
    <t>RS Khusus Ibu dan Anak  PKU Muhammadiyah Kotagede</t>
  </si>
  <si>
    <t>Jl Kemasan No. 43 Purbayan Kotagede Yogyakarta</t>
  </si>
  <si>
    <t>RS Umum Nur Hidayah</t>
  </si>
  <si>
    <t>Jl Imogiri Timur Km. 11,5 Trimulyo Jetis Bantul</t>
  </si>
  <si>
    <t>RS Bethesda Yogyakarta</t>
  </si>
  <si>
    <t>Jl Jend. Sudirman No. 70 Kotabaru Yogyakarta</t>
  </si>
  <si>
    <t>RS Rajawali Citra</t>
  </si>
  <si>
    <t>Jl Pleret Km.2,5, Banjardadap Potorono Banguntapan Bantul</t>
  </si>
  <si>
    <t>Jl. Wates KM 9 Balecatur, Gamping</t>
  </si>
  <si>
    <t>RS Umum Bunga Bangsa Medika</t>
  </si>
  <si>
    <t>Jl. Lili Kembang Nomor 17 Maguwoharjo Depok</t>
  </si>
  <si>
    <t>RS Umum PKU Muhammadiyah Nanggulan</t>
  </si>
  <si>
    <t>Ngemplak, Kembang, Nanggulan, Kulon Progo, Yogyakarta</t>
  </si>
  <si>
    <t>RS Islam Yayasan PDHI</t>
  </si>
  <si>
    <t>Jl Solo Km 12,5 Kalasan Sleman Yogyakarta</t>
  </si>
  <si>
    <t>RS Happy Land Medical Centre</t>
  </si>
  <si>
    <t>Jl Ipda Tut Harsono No.53 Timoho Yogyakarta</t>
  </si>
  <si>
    <t>RS Umum Daerah Wates</t>
  </si>
  <si>
    <t>Jl Tentara Pelajar Km.1 No.5 Wates Kulon Progo</t>
  </si>
  <si>
    <t>RS Umum Nur Rohmah</t>
  </si>
  <si>
    <t>Jl Wonosari - Yogya Km. 7, Bandung, Playen, Gunungkidul</t>
  </si>
  <si>
    <t>RS Khusus Jiwa Puri Nirmala</t>
  </si>
  <si>
    <t>Jl Jayaningprangan No. 13 Gunungketur Pakualaman Yogyakarta</t>
  </si>
  <si>
    <t>RS Umum Condong Catur</t>
  </si>
  <si>
    <t>Jl Manggis No.6, Gempol, Condong Catur, Depok, Sleman</t>
  </si>
  <si>
    <t>RS Umum Griya Mahardika Yogyakarta</t>
  </si>
  <si>
    <t>jl. Parangtritis KM 4.5 gang Wijayakusuma No 212 Yogyakarta</t>
  </si>
  <si>
    <t>Jl Wonosari-Ponjong Km 7 Kelor Karangmojo Gunungkidul</t>
  </si>
  <si>
    <t>RS Universitas Islam Indonesia</t>
  </si>
  <si>
    <t>Jl. Srandakan KM 5,5 Wijirejo Pandak Bantul</t>
  </si>
  <si>
    <t>RS Umum Rizki Amalia Medika</t>
  </si>
  <si>
    <t>Jl raya Brosot - Wates Km.5 Jogahan Bumirejo Lendah Kulon Progo</t>
  </si>
  <si>
    <t>RSUP Dr. Sardjito</t>
  </si>
  <si>
    <t>Jl Kesehatan No.1 Sekip Yogyakarta</t>
  </si>
  <si>
    <t>RS Pratama Kota Yogyakarta</t>
  </si>
  <si>
    <t>Jl Kol. Sugiyono No.98 RT 069 RW 019 Brontokusuman, Mergangsan, Yogyakarta</t>
  </si>
  <si>
    <t>RS PKU Muhammadiyah Sleman</t>
  </si>
  <si>
    <t>Jl. Magelang KM 10,5 Pandowoharjo, Kec. Sleman</t>
  </si>
  <si>
    <t>RS Khusus Ibu Anak Sadewa</t>
  </si>
  <si>
    <t>Babarsari TB 16/13-B Caturtunggal Depok Sleman</t>
  </si>
  <si>
    <t>RS Jiwa Grhasia</t>
  </si>
  <si>
    <t>Jl. Kaliurang Km. 17 Pakem Sleman DIY</t>
  </si>
  <si>
    <t>RS Khusus Ibu dan Anak Kahyangan</t>
  </si>
  <si>
    <t>Jl Tinosidin No 390 Cebongan Ngestiharjo Kasihan Bantul</t>
  </si>
  <si>
    <t>RS Ibu dan anak Allaudya</t>
  </si>
  <si>
    <t>Jl. Karangmojo - Wonosari km 2, Selang III, Selang, Kec. Wonosari, Kabupaten Gunungkidul, Daerah Istimewa Yogyakarta 55891</t>
  </si>
  <si>
    <t>RS Paru Respira</t>
  </si>
  <si>
    <t>Jl Panembahan Senopati No 4, Palbapang, Bantul, Yogyakarta</t>
  </si>
  <si>
    <t>RS Umum Daerah Kota Yogyakarta</t>
  </si>
  <si>
    <t>Jl Wirosaban No. 1 Yogyakarta</t>
  </si>
  <si>
    <t>RS Umum Daerah Prambanan</t>
  </si>
  <si>
    <t>Jl Prambanan Piyungan Km.7, Delegan, Sumberharjo, Prambanan, Sleman</t>
  </si>
  <si>
    <t>RS Umum Santa Elisabeth</t>
  </si>
  <si>
    <t>Ganjuran Sumbermulyo Bambanglipuro</t>
  </si>
  <si>
    <t>RS Tk. III 04.06.03 Dr. Soetarto</t>
  </si>
  <si>
    <t>Jl. Juadi No.19, Kotabaru, Kec. Gondokusuman, Kota Yogyakarta, Daerah Istimewa Yogyakarta 55224</t>
  </si>
  <si>
    <t>RS Bedah Adelia</t>
  </si>
  <si>
    <t>JL Monumen TNI AU No 1 Tamanan Banguntapan Bantul</t>
  </si>
  <si>
    <t>RS Umum Bhayangkara POLDA DIY</t>
  </si>
  <si>
    <t>Jl Jogya - Solo KM. 14 Glondong Tirtomartani Kalasan Sleman Yogyakarta</t>
  </si>
  <si>
    <t>RS Khusus Bedah An-Nur</t>
  </si>
  <si>
    <t>Jl. Colombo No. 14-16 Sleman Yogyakarta</t>
  </si>
  <si>
    <t>RS Khusus Ibu dan Anak Permata Bunda</t>
  </si>
  <si>
    <t>Jl. Ngeksigondo No. 56 Yogyakarta</t>
  </si>
  <si>
    <t>RS Ibu Anak Ummi Khasanah</t>
  </si>
  <si>
    <t>Jl Pemuda Ds Gandekan Bantul</t>
  </si>
  <si>
    <t>RS Umum Panti Rapih</t>
  </si>
  <si>
    <t>Jl. Cik Di Tiro 30 Yogyakarta</t>
  </si>
  <si>
    <t>RS Umum Rachma Husada</t>
  </si>
  <si>
    <t>Jl Parangtritis Km.16 Gerselo Patalan Jetis Bantul</t>
  </si>
  <si>
    <t>RS Umum Daerah Saptosari</t>
  </si>
  <si>
    <t>Karang Jetis Saptosari Gunungkidul</t>
  </si>
  <si>
    <t>RS Khusus Bedah Ring Road Selatan</t>
  </si>
  <si>
    <t>Glugo Panggungharjo Sewon Bantul Yogyakarta</t>
  </si>
  <si>
    <t>RS Umum Panti Nugroho</t>
  </si>
  <si>
    <t>Jl. Kaliurang  Km.17 Pakem,Sleman</t>
  </si>
  <si>
    <t>RS Gigi dan Mulut UGM Prof. Soedomo</t>
  </si>
  <si>
    <t>Jl. Sekip Utara Yogyakarta</t>
  </si>
  <si>
    <t>RS Umum Permata Husada</t>
  </si>
  <si>
    <t>Jl Raya Pleret KM 4, Kauman, Pleret, Bantul, Daerah Istimewa Yogyakarta</t>
  </si>
  <si>
    <t>RS Umum Daerah Wonosari</t>
  </si>
  <si>
    <t>Jl Taman Bhakti No. 06 Wonosari</t>
  </si>
  <si>
    <t>RS Siloam Yogyakarta</t>
  </si>
  <si>
    <t>Jl. Laksda Adisucipto Nomor 32 34 Yogyakarta 55221</t>
  </si>
  <si>
    <t>RS Umum Queen Latifa</t>
  </si>
  <si>
    <t>Jl Raya Yogya Wates KM. 21 Sukoreno, Sentolo, Kabupaten Kulon Progo , Provinsi D. I Yogyakarta 55664</t>
  </si>
  <si>
    <t>RSPAU Dr.  Suhardi Harjolukito</t>
  </si>
  <si>
    <t>Jl. Raya Janti Blok O Banguntapan Bantul Yogyakarta</t>
  </si>
  <si>
    <t>RS Queen Latifa</t>
  </si>
  <si>
    <t>Jl Siliwangi (RingRoad Barat) No 118, Mlangi, Nogotirto, Gamping, Sleman, Yogyakarta</t>
  </si>
  <si>
    <t>RS Ibu Anak Arvita Bunda</t>
  </si>
  <si>
    <t>Jl. Raya Tajem - Pasar Stan RT 04 RW 44 Maguwoharjo, Depok, Sleman, DI. Yogyakarta</t>
  </si>
  <si>
    <t>RS Umum Daerah Syarifah Ambami Rato Ebu</t>
  </si>
  <si>
    <t>Jawa Timur</t>
  </si>
  <si>
    <t>Bangkalan</t>
  </si>
  <si>
    <t>Jl. Pemuda Kaffa No. 9 Bangkalan</t>
  </si>
  <si>
    <t>RS Umum Bhayangkara Tk. III Nganjuk</t>
  </si>
  <si>
    <t>Nganjuk</t>
  </si>
  <si>
    <t>Jl. Abdul Rahman Saleh 56, Kauman, Kabupaten Nganjuk</t>
  </si>
  <si>
    <t>RS Umum Widodo</t>
  </si>
  <si>
    <t>Ngawi</t>
  </si>
  <si>
    <t>Jl. Yos Sudarso 8 Ngawi</t>
  </si>
  <si>
    <t>RS Ibu dan Anak Mukti Husada</t>
  </si>
  <si>
    <t>Pamekasan</t>
  </si>
  <si>
    <t>Jl. Kabupaten No. 68 Pamekasan</t>
  </si>
  <si>
    <t>RS Umum Daerah Blambangan</t>
  </si>
  <si>
    <t>Banyuwangi</t>
  </si>
  <si>
    <t>Jl. Letkol Istiqlah No. 49 Banyuwangi</t>
  </si>
  <si>
    <t>RS Ibu dan Anak IBI Surabaya</t>
  </si>
  <si>
    <t>Kota Surabaya</t>
  </si>
  <si>
    <t>Jl. Dupak No. 15A Surabaya, kelurahan gundih, kecamatan bubutan kota surabaya provinsi jawa timur</t>
  </si>
  <si>
    <t>RS Umum Era Medika</t>
  </si>
  <si>
    <t>Tulungagung</t>
  </si>
  <si>
    <t>Jl. Raya Pulosari No. 15 Ngunut Tulungagung</t>
  </si>
  <si>
    <t>RS Umum  Wonolangan</t>
  </si>
  <si>
    <t>Probolinggo</t>
  </si>
  <si>
    <t>Jl. Raya Dringu No 118 Desa Kedungdalem Kec. Dringu, Kab. Probolinggo</t>
  </si>
  <si>
    <t>RS Muhammadiyah Babat</t>
  </si>
  <si>
    <t>Lamongan</t>
  </si>
  <si>
    <t>Jl. KH. Ahmad Dahlan No. 14 Babat, Lamongan</t>
  </si>
  <si>
    <t>RS Umum An-Nisaa</t>
  </si>
  <si>
    <t>Blitar</t>
  </si>
  <si>
    <t>Jl. Suparyono Timur No. 1, Bajang Talun Blitar</t>
  </si>
  <si>
    <t>RS Prima Husada</t>
  </si>
  <si>
    <t>Malang</t>
  </si>
  <si>
    <t>Perum Banjararum Selatan No.3-7, RT 003 RW 012 Desa Banjararum Kec. Singosari, Kab. Malang</t>
  </si>
  <si>
    <t>RS Ibu dan Anak Khodijah</t>
  </si>
  <si>
    <t>Gresik</t>
  </si>
  <si>
    <t>Jl. Pelita III Ds. Mriyunan Kec. Sidayu</t>
  </si>
  <si>
    <t>RS Nahdlatul Ulama Babat</t>
  </si>
  <si>
    <t>Jl. Raya Babat-Lamongan KM 4, Desa/Kel. Gembong, Kec. Babat</t>
  </si>
  <si>
    <t>RS Umum Delta Surya</t>
  </si>
  <si>
    <t>Sidoarjo</t>
  </si>
  <si>
    <t>Jl. Pahlawan No. 09 Sidoarjo</t>
  </si>
  <si>
    <t>RS Ibu dan Anak Kendangsari Merr</t>
  </si>
  <si>
    <t>Jl. Dr. Ir. Soekarno No. 2, Kalijudan, Mulyorejo, Surabaya, Jawa Timur, Indonesia</t>
  </si>
  <si>
    <t>RS Sahabat</t>
  </si>
  <si>
    <t>Pasuruan</t>
  </si>
  <si>
    <t>Jl. Raya Surabaya Malang KM 50 Desa Suwayuwo Kecamatan Sukorejo</t>
  </si>
  <si>
    <t>RS Ibu dan Anak Melati Magetan</t>
  </si>
  <si>
    <t>Magetan</t>
  </si>
  <si>
    <t>Jl. Ahmad Yani No. 90 Magetan</t>
  </si>
  <si>
    <t>RS Umum Daerah  dr. Darsono</t>
  </si>
  <si>
    <t>Pacitan</t>
  </si>
  <si>
    <t>Jl. Ahmad Yani 51 Pacitan</t>
  </si>
  <si>
    <t>RS Umum Daerah Tongas</t>
  </si>
  <si>
    <t>Jl. Raya Tongas No. 229 Kec. Tongas Kab. Probolinggo</t>
  </si>
  <si>
    <t>RS Ibu dan Anak Lombok Dua Dua Lontar</t>
  </si>
  <si>
    <t>Jl. Lontar No. 206 (lama Jl. Raya Lontar No. 109) Surabaya</t>
  </si>
  <si>
    <t>RS Umum Rahman Rahim</t>
  </si>
  <si>
    <t>Jl. Raya Saimbang No. 277 RT. 10 RW. 03 Desa Kebonagung Kecamatan Sukodono</t>
  </si>
  <si>
    <t>RS Umum Citra Husada Jember</t>
  </si>
  <si>
    <t>Jember</t>
  </si>
  <si>
    <t>Jl. Teratai No. 22 , Kelurahan Gebang, Kecamatan Patrang, Kabupaten Jember , Provinsi Jawa Timur</t>
  </si>
  <si>
    <t>Jl. Soekarno Hatta, Kutoanyar</t>
  </si>
  <si>
    <t>RS Umum Daerah Simpang Lima Gumul Kediri</t>
  </si>
  <si>
    <t>Kediri</t>
  </si>
  <si>
    <t>Jl. Galuh Candra Kirana Desa Tugurejo Kecamatan Ngasem Kabupaten Kediri</t>
  </si>
  <si>
    <t>RS Umum Daerah Dr. R. Sosodoro Djatikoesoemo</t>
  </si>
  <si>
    <t>Bojonegoro</t>
  </si>
  <si>
    <t>Jl. Veteran No 36, Bojonegoro</t>
  </si>
  <si>
    <t>RS Umum Assakinah Medika</t>
  </si>
  <si>
    <t>Jl. Raya Sidoarjo 14, Kebonagung, Sukodono</t>
  </si>
  <si>
    <t>RS Umum Daerah Mantingan</t>
  </si>
  <si>
    <t>Jl. Raya Ngawi - Mantingan, Desa Jatimulyo, Kec. Mantingan</t>
  </si>
  <si>
    <t>RS Umum Amelia</t>
  </si>
  <si>
    <t>Jl. Pahlawan No. 25A Pare Kediri</t>
  </si>
  <si>
    <t>RS Umum Daerah Kota Madiun</t>
  </si>
  <si>
    <t>Kota Madiun</t>
  </si>
  <si>
    <t>Jl. Campursari No.12B Madiun</t>
  </si>
  <si>
    <t>RS Islam Arofah</t>
  </si>
  <si>
    <t>Mojokerto</t>
  </si>
  <si>
    <t>Jl. Gajah Mada No.1 Kec. Mojosari, Kab. Mojokerto</t>
  </si>
  <si>
    <t>RS Umum Asyifa Husada Pamekasan</t>
  </si>
  <si>
    <t>Jl. Mandilaras No. 88-90, Kec. Pamekasan, Kab. Pamekasan, Provinsi Jawa Timur</t>
  </si>
  <si>
    <t>RS Umum Daerah Karangkembang</t>
  </si>
  <si>
    <t>Jl. Raya-Jombang Km. 2 Kelurahan Babat, Kecamatan Babat, Kabupaten Lamongan, Provinsi Jawa Timur</t>
  </si>
  <si>
    <t>RS Perkebunan PTPN X (Persero) Jember</t>
  </si>
  <si>
    <t>Jl. Bedadung No.2</t>
  </si>
  <si>
    <t>RS Umum Adi Husada Kapasari</t>
  </si>
  <si>
    <t>Jl. Kapasari No. 97-101 Surabaya</t>
  </si>
  <si>
    <t>RS PKU Muhammadiyah Surabaya</t>
  </si>
  <si>
    <t>JL. KH MAS MANSYUR 180-182, KELURAHAN NYAMPLUNGAN, KECAMATAN PABEAN CANTIAN, KOTA SURABAYA, PROVINSI JAWA TIMUR</t>
  </si>
  <si>
    <t>RS Punten</t>
  </si>
  <si>
    <t>Kota Batu</t>
  </si>
  <si>
    <t>Jl. Kenanga No. 300 Bulukerto Kecamatan Bumiaji Kota Batu</t>
  </si>
  <si>
    <t>RS Nindhita</t>
  </si>
  <si>
    <t>Sampang</t>
  </si>
  <si>
    <t>Jl. Syamsul Arifin 87 Sampang</t>
  </si>
  <si>
    <t>RS Hermina Pasuruan</t>
  </si>
  <si>
    <t>Jl. Raya Pasuruan-Probolinggo KM 5 Desa Sambirejo Kec. Rejoso</t>
  </si>
  <si>
    <t>RS Baptis Kediri</t>
  </si>
  <si>
    <t>Kota Kediri</t>
  </si>
  <si>
    <t>Jl. Brigjen Pol IBH Pranoto No. 1-7 Kota Kediri</t>
  </si>
  <si>
    <t>JL BALOWERTI GG II NO.59 KELURAHAN BALOWERTI KECAMATAN KOTA - KOTA KEDIRI JAWA TIMUR-64121</t>
  </si>
  <si>
    <t>RS Umum Royal Surabaya</t>
  </si>
  <si>
    <t>JL. Rungkut Industri I/1 Surabaya</t>
  </si>
  <si>
    <t>RS Ubaya</t>
  </si>
  <si>
    <t>Jl. Panjang Jiwo Permai No. 89, Kecamatan Tenggilis Mejoyo</t>
  </si>
  <si>
    <t>RS Ibu dan Anak Mitra Mulia</t>
  </si>
  <si>
    <t>Kota Malang</t>
  </si>
  <si>
    <t>Jl. Pahlawan Trip A10 Malang</t>
  </si>
  <si>
    <t>RS Umum Daerah Waluyo Jati Kraksaan</t>
  </si>
  <si>
    <t>Jl. Dr. Soetomo No. 1 Kec. Kraksaan Kab. Probolinggo</t>
  </si>
  <si>
    <t>RS Gotong Royong</t>
  </si>
  <si>
    <t>Jl. Medokan Semampir Indah No. 97 Surabaya</t>
  </si>
  <si>
    <t>RS Umum Wali Songo I</t>
  </si>
  <si>
    <t>Jl. Raya Balongpanggang - Mojokerto Km 4 Kec. Balongpanggang</t>
  </si>
  <si>
    <t>RS Ibu dan Anak Pusura Tegalsari</t>
  </si>
  <si>
    <t>JL. Tegalsari No.59 Surabaya</t>
  </si>
  <si>
    <t>Jl. Raya Surabaya Malang KM 54 Lemahbang Kecamatan Sukorejo</t>
  </si>
  <si>
    <t>RS Umum Islam Gondang Legi</t>
  </si>
  <si>
    <t>Jl. Hayam Wuruk 66, Gondang Legi Wetan, Kab. Malang</t>
  </si>
  <si>
    <t>RS Umum dr. Etty Asharto Batu</t>
  </si>
  <si>
    <t>Jl. Sajid No 44 Pesanggrahan</t>
  </si>
  <si>
    <t>RS Umum Kusuma Hospital</t>
  </si>
  <si>
    <t>Jl. Bonorogo No. 3 Pamekasan</t>
  </si>
  <si>
    <t>RS Umum Islam Jombang</t>
  </si>
  <si>
    <t>Jombang</t>
  </si>
  <si>
    <t>Jl. Brigjen Kretarto 22 A Jombang</t>
  </si>
  <si>
    <t>RS Ibu dan Anak Citra Keluarga</t>
  </si>
  <si>
    <t>Jl. Urip Sumoharjo 189, Kelurahan Ngronggo Kecamatan Kota - Kota Kediri Provinsi Jawa Timur Kode Pos 64129</t>
  </si>
  <si>
    <t>RS Umum Islam Orpeha</t>
  </si>
  <si>
    <t>Jl. KH. R. Abdul Fatah Batangsaren Kec. Kauman Kab. Tulungagung</t>
  </si>
  <si>
    <t>RS Umum Santa Clara</t>
  </si>
  <si>
    <t>Jl. Biliton No. 15  Kel.Madiun Lor, Kec.Mangunharjo, Kota Madiun</t>
  </si>
  <si>
    <t>RS Umum Usada</t>
  </si>
  <si>
    <t>Jl. Jeruk 117 Wage,Taman Sidoarjo</t>
  </si>
  <si>
    <t>RS Ibu dan Anak Karinda Husada</t>
  </si>
  <si>
    <t>Situbondo</t>
  </si>
  <si>
    <t>Jl. Raya Kota Timur No. 26B, Besuki, Situbondo, Situbondo, Jawa Timur 68356</t>
  </si>
  <si>
    <t>RS Islam Nashrul Ummah</t>
  </si>
  <si>
    <t>Jl. Merpati No.62, Lamongan</t>
  </si>
  <si>
    <t>RS Ibu dan Anak Puri Bunda</t>
  </si>
  <si>
    <t>Jl. Simpang Sulfat Utara No. 60 A Malang</t>
  </si>
  <si>
    <t>RS Airlangga Jombang</t>
  </si>
  <si>
    <t>Jl. Airlangga, No. 50 C Jelakombo  Kecamatan Jombang Kabupaten Jombang Provinsi Jawa Timur</t>
  </si>
  <si>
    <t>RS Arafah Anwar Medika Sukodono</t>
  </si>
  <si>
    <t>Jl. Sawo No. 2 Dungus Sukodono</t>
  </si>
  <si>
    <t>RS Ibu dan Anak Permata Hati Pare Kediri</t>
  </si>
  <si>
    <t>Jl. Raya Kediri Nomor 48, Ds. Darungan, Kec Pare Kab Kediri</t>
  </si>
  <si>
    <t>RS Umum Rahayu Medika</t>
  </si>
  <si>
    <t>Jl. Pekulo-Sukomukti No.09, Kebaman, Srono, Banyuwangi  Jawa Timur</t>
  </si>
  <si>
    <t>RS Graha Husada</t>
  </si>
  <si>
    <t>Tuban</t>
  </si>
  <si>
    <t>Jl. Imam Bonjol, Lajo Lor, Kecamatan Singgahan, Kabupaten Tuban, Jawa Timur</t>
  </si>
  <si>
    <t>RS Ibu dan Anak Pondok Jati</t>
  </si>
  <si>
    <t>Perum Pondok Jati Blok AK No 11-13, Pagerwojo, Buduran, Sidoarjo - Jawa Timur</t>
  </si>
  <si>
    <t>RS Umum Daerah Dr. H. Slamet Martodirdjo Pamekasan</t>
  </si>
  <si>
    <t>Jl. Raya Panglegur No.4, Pamekasan</t>
  </si>
  <si>
    <t>RS Umum Wava Husada</t>
  </si>
  <si>
    <t>Jln. Panglima Sudirman 99a Kepanjen Malang</t>
  </si>
  <si>
    <t>RS Mutiara Hati Mojokerto</t>
  </si>
  <si>
    <t>Jl. Raya Kemantren Wetan No.49, Desa Terusan, Kecamatan Gedeg, Kab. Mojokerto</t>
  </si>
  <si>
    <t>RS Umum At-Tin Husada</t>
  </si>
  <si>
    <t>Jl. Raya Ngawi-Solo, Km. 04,  Krajan Selatan, Watualang, Kec. Ngawi, Kab. Ngawi, Jawa Timur</t>
  </si>
  <si>
    <t>RS Permata Hati Lamongan</t>
  </si>
  <si>
    <t>Jl. Raya Tambakboyo No. 02, Desa. Tambakrigadung, Kecamatan Tikung</t>
  </si>
  <si>
    <t>RS Umum Daerah Genteng</t>
  </si>
  <si>
    <t>Jl. Hasanudin No.98, Genteng, Banyuwangi - Jawa Timur</t>
  </si>
  <si>
    <t>RS Al Irsyad Surabaya</t>
  </si>
  <si>
    <t>Jl. KHM.Mansyur No. 210 - 214 dan 191 Surabaya</t>
  </si>
  <si>
    <t>RS Umum PKU Muhammadiyah Rogojampi</t>
  </si>
  <si>
    <t>Jalan P. Diponegoro Nomor 20 Rogojampi, Kab. Banyuwangi</t>
  </si>
  <si>
    <t>RS Paru Manguharjo Madiun</t>
  </si>
  <si>
    <t>Jl. Yos Sudarso 108-112 Manguharjo, Kel. Madiun Lor, Kec. Manguharjo, Kota Madiun</t>
  </si>
  <si>
    <t>RS Umum Daerah Geneng</t>
  </si>
  <si>
    <t>Jl. Raya Ngawi-Madiun KM 09 Kelurahan Tambakromo, Kec. Geneng, Kab. Ngawi</t>
  </si>
  <si>
    <t>RS Tk. II Dr. Soepraoen</t>
  </si>
  <si>
    <t>Jl. Soedanco Supriyadi No. 22 Kota Malang</t>
  </si>
  <si>
    <t>RS Muhammadiyah Siti Khodijah</t>
  </si>
  <si>
    <t>JL. Dr. Soetomo 322 Sukorejo Kec. Gurah Kab. Kediri</t>
  </si>
  <si>
    <t>RS Umum Nadhlatul Ulama Jombang</t>
  </si>
  <si>
    <t>Jl Hasyim Ashari No 211 Jombang</t>
  </si>
  <si>
    <t>RS Umum Daerah Bantarangin</t>
  </si>
  <si>
    <t>Ponorogo</t>
  </si>
  <si>
    <t>Jl. Diponegoro No. 4 Desa Sumoroto Kec. Kauman Kab. Ponorogo</t>
  </si>
  <si>
    <t>RS Umum Jasem</t>
  </si>
  <si>
    <t>Jl. Samanhudi No.85 A Sidoarjo</t>
  </si>
  <si>
    <t>RS Umum Aisyiyah Ponorogo</t>
  </si>
  <si>
    <t>Jl. Dr Sutomo 18 - 24, Ponorogo</t>
  </si>
  <si>
    <t>RSUD dr. Wahidin Sudiro Husodo Kota Mojokerto</t>
  </si>
  <si>
    <t>Kota Mojokerto</t>
  </si>
  <si>
    <t>Jl. Raya Surodinawan 170 Kel. Surodinawan, Kec. Prajurit Kulon, Kota Mojokerto</t>
  </si>
  <si>
    <t>RS Ibu dan Anak Putri Surabaya</t>
  </si>
  <si>
    <t>Jl. Arief Rahman Hakim No. 130 Surabaya</t>
  </si>
  <si>
    <t>RS Ibu dan Anak Buah Delima</t>
  </si>
  <si>
    <t>jl.Sunandar priyo sudarmo 154 sidoarjo</t>
  </si>
  <si>
    <t>RS Umum Intan Medika</t>
  </si>
  <si>
    <t>Jl. Raya Utara Pasar Blawi, Blawi, Karangbinangun</t>
  </si>
  <si>
    <t>RS Umum Salsabila Husada</t>
  </si>
  <si>
    <t>Jl. Raya Jatikerto No. 305 Kecamatan Kromengan Kabupaten Malang</t>
  </si>
  <si>
    <t>RS Umum Daerah R. Ali Manshur</t>
  </si>
  <si>
    <t>Jl. Raya Timur No. 131 Jatirogo Tuban</t>
  </si>
  <si>
    <t>RS Umum Muhamadiyah Sumberejo</t>
  </si>
  <si>
    <t>Jl. Raya Sumberrejo 1193 Bojonegoro</t>
  </si>
  <si>
    <t>Jl. Soekarno Hatta No. 75 Malang</t>
  </si>
  <si>
    <t>RS Jiwa Dr. Radjiman Wediodiningrat Lawang</t>
  </si>
  <si>
    <t>Jl. A. Yani, Lawang, Malang, Jawa Timur</t>
  </si>
  <si>
    <t>RSPAL dr. Ramelan</t>
  </si>
  <si>
    <t>Jl. Gadung No. 1 Surabaya</t>
  </si>
  <si>
    <t>RS Kamar Medika</t>
  </si>
  <si>
    <t>Jl. Empunala No.351, Kel. Kedundung, Kec. Magersari, Kota Mojokerto</t>
  </si>
  <si>
    <t>RS Paru Jember</t>
  </si>
  <si>
    <t>Jl. Nusa Indah No. 28 Jember</t>
  </si>
  <si>
    <t>RS Umum Tk. III Brawijaya</t>
  </si>
  <si>
    <t>Jl. Kesatrian No.17 Surabaya</t>
  </si>
  <si>
    <t>RS Ibu dan Anak Amanah</t>
  </si>
  <si>
    <t>Kota Probolinggo</t>
  </si>
  <si>
    <t>Jln dr Moh. Saleh No. 43 Kota Probolinggo</t>
  </si>
  <si>
    <t>JL Kundi No 70 Kepuh Kiriman Waru Sidoarjo</t>
  </si>
  <si>
    <t>RS Ibu dan Anak Fatma</t>
  </si>
  <si>
    <t>JL Lettu Suyitno No 2 Desa Campurejo Kecamatan Bojonegoro Kabupaten Bojonegoro</t>
  </si>
  <si>
    <t>RS Gigi Mulut IIK Bhakti Wiyata</t>
  </si>
  <si>
    <t>Jl. KH. Wachid Hasyim No. 65</t>
  </si>
  <si>
    <t>RS Umum Anna Medika Madura</t>
  </si>
  <si>
    <t>Jl. RE Martadinata No. 10 Mlajah Bangkalan</t>
  </si>
  <si>
    <t>RS Muhammadiyah Kalikapas Lamongan</t>
  </si>
  <si>
    <t>Dusun Kalikapas Rt.001 Rw.002 kelurahan Sidomukti Kecamatan Lamongan Kabupaten Lamongan  Provinsi Jawa Timur</t>
  </si>
  <si>
    <t>RS Ibu dan Anak Nirmala Kediri</t>
  </si>
  <si>
    <t>Jl. Jaksa Agung Suprapto No. 5 Kediri</t>
  </si>
  <si>
    <t>Jl. Airlangga 137 Kecamatan Mojosari Kab. Mojokerto</t>
  </si>
  <si>
    <t>RS Ibu Dan Anak Hikmah Sawi</t>
  </si>
  <si>
    <t>Jl. KH. Moh. Toha No. 1A Bangkalan</t>
  </si>
  <si>
    <t>RS Islam Masyithoh Bangil</t>
  </si>
  <si>
    <t>Jl. A. Yani No. 6 Bangil- Kab. Pasuruan</t>
  </si>
  <si>
    <t>RS Gigi dan Mulut FKG Universitas Airlangga</t>
  </si>
  <si>
    <t>Jl. Prof Dr. Moestopo 47 Surabaya</t>
  </si>
  <si>
    <t>RS National Hospital</t>
  </si>
  <si>
    <t>Jl. Boulevard Famili Selatan kav. 1, Surabaya</t>
  </si>
  <si>
    <t>RS Umum Al-Ittihad</t>
  </si>
  <si>
    <t>JL. RAYA TOGOGAN, Desa/Kelurahan Togogan, Kec. Srengat, Kab. Blitar, Provinsi Jawa Timur, Kode Pos: 66152</t>
  </si>
  <si>
    <t>RS Ibu dan Anak Adi Guna</t>
  </si>
  <si>
    <t>Jl. Alun-alun Rangkah no. 1-3 kelurahan. Rangkah kecamatan. Tambaksari Kota Surabaya</t>
  </si>
  <si>
    <t>RS Islam Malang</t>
  </si>
  <si>
    <t>Jl. MT. Haryono No. 139 Malang Kel. Dinoyo Kec. Lowokwaru</t>
  </si>
  <si>
    <t>RS Umum Daerah Lawang</t>
  </si>
  <si>
    <t>JL. R.A. Kartini No. 5 Lawang Kab. Malang</t>
  </si>
  <si>
    <t>RS Nahdlatul Ulama Tuban</t>
  </si>
  <si>
    <t>Jl. Letda Sucipto No. 211 Tuban</t>
  </si>
  <si>
    <t>RS Ibu dan Anak Esto Ebhu</t>
  </si>
  <si>
    <t>Sumenep</t>
  </si>
  <si>
    <t>Jl.Dr Cipto no 38. Kolor Kab. Sumenep</t>
  </si>
  <si>
    <t>RS Ibu dan Anak Amanda</t>
  </si>
  <si>
    <t>JL. Mayor Sujadi No. 38 Jepun Tulungagung</t>
  </si>
  <si>
    <t>RS Umum Daerah Ketapang</t>
  </si>
  <si>
    <t>Jl. Raya Ketapang Sampang No 7, Desa/Kelurahan Ketapang Barat, Kec. Ketapang, Kab. Sampang, Provinsi Jawa Timur, Kode Pos: 69261</t>
  </si>
  <si>
    <t>RS Daerah Kertosono</t>
  </si>
  <si>
    <t>Jl. Panglima Sudirman No.16 Kertosono.</t>
  </si>
  <si>
    <t>RS Ibu dan Anak Puri</t>
  </si>
  <si>
    <t>Jl. Taman Slamet No.20, Malang</t>
  </si>
  <si>
    <t>RS PKU Muhammadiyah Sekapuk</t>
  </si>
  <si>
    <t>Jln. Raya Deandles No. 21 Kelurahan Desa Sekapuk  RT 01 RW 01 Kecamatan Ujungpangkah  Kabupaten Gresik Propinsi Jawa Timur 61154</t>
  </si>
  <si>
    <t>RS Umum Daerah Kabupaten Kediri</t>
  </si>
  <si>
    <t>Jl. Pahlawan Kusuma Bangsa No. 1 Pare</t>
  </si>
  <si>
    <t>RS Angkatan Udara dr. Efram Harsana</t>
  </si>
  <si>
    <t>Jl. Marsma TNI Anumerta R.Iswahjudi, Kelurahan Maospati, Kecamatan Maospati, Kab. Magetan</t>
  </si>
  <si>
    <t>RS Ibu dan Anak Kirana</t>
  </si>
  <si>
    <t>Jl. Raya Ngelom No.87 Taman, Sidoarjo</t>
  </si>
  <si>
    <t>RS Ibu dan Anak Soerya</t>
  </si>
  <si>
    <t>Raya Kalijaten 11-15 Taman Sidoarjo</t>
  </si>
  <si>
    <t>RS Umum Lukas</t>
  </si>
  <si>
    <t>Jl. KH. Moch Kholil no. 36A Bangkalan Kab Bangkalan Provinsi Jawa Timur Kode Pos 69115</t>
  </si>
  <si>
    <t>RS Mata Masyarakat Jawa Timur</t>
  </si>
  <si>
    <t>JL. Ketintang Baru Selatan I No. 1 Surabaya</t>
  </si>
  <si>
    <t>RS Umum Daerah Ibnu Sina Kab. Gresik</t>
  </si>
  <si>
    <t>Jl. Dr. Wahidin Sudirohusodo No. 243B Gresik</t>
  </si>
  <si>
    <t>RS Umum Muhammadiyah Surya Melati</t>
  </si>
  <si>
    <t>Jl. Raya Ngadiluwih - Wates km. 10, Ds. Ngletih, Kec. Kandat, Kab, Kediri, Prov. Jawa Timur</t>
  </si>
  <si>
    <t>RS Muhammadiyah Jombang</t>
  </si>
  <si>
    <t>Jl. Dr. Soetomo No.15 Jombang, Jawa Timur</t>
  </si>
  <si>
    <t>RS Sheila Medika</t>
  </si>
  <si>
    <t>Jl. Letjen Wahono No. 77-79 Juanda Sedati</t>
  </si>
  <si>
    <t>RS Umum Daerah dr. H. Moh. Anwar</t>
  </si>
  <si>
    <t>Jl. Dr Cipto No. 42 Desa Kolor Kab. Sumenep</t>
  </si>
  <si>
    <t>RS Ibu dan Anak Sekar Wangi</t>
  </si>
  <si>
    <t>Jl. Gubernur Suryo No. 46-48 RT 07 RW 01, Desa Baron, Kecamatan Magetan, Kabupaten Magetan, Provinsi Jawa Timur</t>
  </si>
  <si>
    <t>RS Ibu dan Anak Trisna Medika</t>
  </si>
  <si>
    <t>Jalan Pahlawan No.216 RT.03/RW.02, Dusun Ketanon, Ketanon, Kec. Kedungwaru, Kabupaten Tulungagung, Jawa Timur 66226</t>
  </si>
  <si>
    <t>RS Mata KMU Lamongan</t>
  </si>
  <si>
    <t>Jl. Raya No. 181, Plosowahyu, Kec. Lamongan, Kab. Lamongan</t>
  </si>
  <si>
    <t>RS Yasmin</t>
  </si>
  <si>
    <t>Jl. Letkol Istiqlah Nomor 80-84 Banyuwangi</t>
  </si>
  <si>
    <t>RS Premier Surabaya</t>
  </si>
  <si>
    <t>Jl. Nginden Intan Barat B</t>
  </si>
  <si>
    <t>RS Umum Muslimat Ponorogo</t>
  </si>
  <si>
    <t>Jl. Jend. A. Yani 155, Ponorogo</t>
  </si>
  <si>
    <t>RS Umum Pusat Surabaya</t>
  </si>
  <si>
    <t>Jl. Indrapura No. 17 Kemayoran</t>
  </si>
  <si>
    <t>RS Umum Panti Waluya Sawahan Malang</t>
  </si>
  <si>
    <t>Jl. Nusakambangan No.56 Kota Malang</t>
  </si>
  <si>
    <t>RS Bhayangkara Bondowoso</t>
  </si>
  <si>
    <t>Bondowoso</t>
  </si>
  <si>
    <t>JL. Jend. Pol. Sucipto Judodiharjo No. 12, Kec.  Bondowoso, Kab. Bondowoso</t>
  </si>
  <si>
    <t>RS Mitra Sehat Medika</t>
  </si>
  <si>
    <t>Jl Raya By Pass No. 06</t>
  </si>
  <si>
    <t>RS Umum Daerah Pasirian Kabupaten Lumajang</t>
  </si>
  <si>
    <t>Lumajang</t>
  </si>
  <si>
    <t>Jl. Raya Pasirian No. 225A. Kec. Pasirian</t>
  </si>
  <si>
    <t>RS Umum Daerah Prof. Dr. Soekandar</t>
  </si>
  <si>
    <t>Jl. Hayam Wuruk  No 25 Mojosari Kab Mojokerto</t>
  </si>
  <si>
    <t>RS Ibu dan Anak Mardi Waloeja Kauman Malang</t>
  </si>
  <si>
    <t>Jl. Kauman No.23, Malang</t>
  </si>
  <si>
    <t>RS Umum Bakti Mulia Banyuwangi</t>
  </si>
  <si>
    <t>Jl. Brawijaya No. 46-47, Dsn. Krajan RT 01, RW 14, Ds Kedungrejo, Kec. Muncar, Kab. Banyuwangi, Jawa Timur</t>
  </si>
  <si>
    <t>RS Umum Muhammadiyah Ponorogo</t>
  </si>
  <si>
    <t>Jalan Diponegoro No. 50, Kelurahan Mangkujayan, Kecamatan Ponorogo, Kabupaten Ponorogo, Provinsi Jawa Timur, Kode Pos 63413</t>
  </si>
  <si>
    <t>RS Reksa Waluya</t>
  </si>
  <si>
    <t>Jl. Mojopahit 422, Kel. Miji, Kec. Prajurit Kulon, Kota Mojokerto</t>
  </si>
  <si>
    <t>RS Umum Satiti Prima Husada</t>
  </si>
  <si>
    <t>Ds. Balesono, Kec. Ngunut Kab. Tulungagung</t>
  </si>
  <si>
    <t>RS umum Daerah Padangan</t>
  </si>
  <si>
    <t>Jl. Dr. Soetomo No. 2 Padangan, Bojonegoro</t>
  </si>
  <si>
    <t>RS Umum Daerah Ngimbang</t>
  </si>
  <si>
    <t>Jl. Raya Babat-Jombang No.227 Sendangrejo Kec. Ngimbang Kab. Lamongan</t>
  </si>
  <si>
    <t>RS Umum Sumekar</t>
  </si>
  <si>
    <t>Jl. Arya Wiraraja No. 99 Lingkar Timur Desa Kolor Kec. Kota</t>
  </si>
  <si>
    <t>RS Graha Sehat Medika</t>
  </si>
  <si>
    <t>Kota Pasuruan</t>
  </si>
  <si>
    <t>Jl. Ahmad Yani No.15, Kel.Karang Ketug, Kec. Gading Rejo,  Kota Pasuruan, Propinsi Jawa Timur, Indonesia, 67135</t>
  </si>
  <si>
    <t>RS Mata Situbondo</t>
  </si>
  <si>
    <t>Jl. PB. Sudirman No 05 RT. 02 RW. 02, Kab. Situbondo</t>
  </si>
  <si>
    <t>RS Umum Daerah Kanjuruhan Kepanjen Kab. Malang</t>
  </si>
  <si>
    <t>Jl. Panji No. 100 Kepanjen, Kab. Malang</t>
  </si>
  <si>
    <t>RS Katolik St. Vincentius a Paulo</t>
  </si>
  <si>
    <t>Jl. Diponegoro 51 Surabaya</t>
  </si>
  <si>
    <t>RS Umum Daerah Campurdarat</t>
  </si>
  <si>
    <t>Jl. Kanigoro No. 13 Ngingas, Kecamatan Campurdarat, Kabupaten Tulungagung, Provinsi Jawa Timur</t>
  </si>
  <si>
    <t>RS Umum Daerah Sidoarjo Barat</t>
  </si>
  <si>
    <t>Jl. Bibis Bunder, Kelurahan Tambak Kemerakan, Kecamatan Krian, Kabupaten Sidoarjo, Provinsi Jawa Timur</t>
  </si>
  <si>
    <t>RS Gigi dan Mulut Universitas Jember</t>
  </si>
  <si>
    <t>Jl. Kalimantan No. 37 Jember, Kecamatan Sumbersari, Kabupaten Jember,  68121</t>
  </si>
  <si>
    <t>RS Soemitro Lanud Moeljono Surabaya</t>
  </si>
  <si>
    <t>Jl.Serayu No. 17 Surabaya</t>
  </si>
  <si>
    <t>RS Umum Aisyiyah Siti Fatimah</t>
  </si>
  <si>
    <t>JL. Raya Kenongo. no 14. Kel. Kenongo, Kec. Tulangan, Kab. Sidoarjo, Provinsi Jawa Timur</t>
  </si>
  <si>
    <t>RS Umum Daerah Mohammad Noer Pamekasan</t>
  </si>
  <si>
    <t>JL. Bonorogo 17 Pamekasan Madura</t>
  </si>
  <si>
    <t>RS Umum Medika Utama</t>
  </si>
  <si>
    <t>Jl. Kusuma Bangsa No. 1 Kanigoro Blitar 66171</t>
  </si>
  <si>
    <t>RS Umum Daerah Mardi Waluyo</t>
  </si>
  <si>
    <t>Kota Blitar</t>
  </si>
  <si>
    <t>Jl. Kalimantan 113, Kota Blitar</t>
  </si>
  <si>
    <t>RS Ibu dan Anak Mardi Waloeja Rampal Malang</t>
  </si>
  <si>
    <t>Jl. W.R. Supratman No.1, RW.3, Rampal Celaket, Kec. Klojen, Kota Malang, Jawa Timur 65111</t>
  </si>
  <si>
    <t>RS Ibu dan Anak Tanjungsari</t>
  </si>
  <si>
    <t>Jl. Mahakam No. 147-149 Kel. Tanjungsari Kec. Sukorejo</t>
  </si>
  <si>
    <t>RS Umum Daerah R. T. Notopuro Sidoarjo</t>
  </si>
  <si>
    <t>Jl. Mojopahit No. 667 Kelurahan Celep, Kecamatan Sidoarjo, Kabupaten Sidoarjo, Jawa Timur 61215</t>
  </si>
  <si>
    <t>RS Islam Darus Syifa</t>
  </si>
  <si>
    <t>Jl. Raya Benowo No.5,Surabaya</t>
  </si>
  <si>
    <t>RS Umum Daerah Dolopo</t>
  </si>
  <si>
    <t>Madiun</t>
  </si>
  <si>
    <t>Jl. Raya Dolopo No. 117, Dolopo, Madiun</t>
  </si>
  <si>
    <t>Jl.Raya Surabaya Mojokerto KM.44 Kramat Temenggung Tarik Sidoarjo</t>
  </si>
  <si>
    <t>RS Umum Medical Mandiri Pacitan</t>
  </si>
  <si>
    <t>Jalur Lintas Selatan,Suruhan Desa Sirnoboyo, Kecamatan Pacitan, Kabupaten Pacitan, Provinsi Jawa Timur</t>
  </si>
  <si>
    <t>RS Umum Islam Madinah Kasembon</t>
  </si>
  <si>
    <t>Jl. Raya Sukosari No.32, Sukosari, Kasembon, Kabupaten  Malang</t>
  </si>
  <si>
    <t>RS Unipdu Medika Jombang</t>
  </si>
  <si>
    <t>Jl. Raya Peterongan Jogoroto Km.0.5, Jombang</t>
  </si>
  <si>
    <t>RS Umum Daerah Husada Prima</t>
  </si>
  <si>
    <t>Jl. Karang Tembok No. 39 Surabaya</t>
  </si>
  <si>
    <t>RS Mata Fatma</t>
  </si>
  <si>
    <t>Jl. Raya Kalijaten No. 40</t>
  </si>
  <si>
    <t>RS Ibu dan Anak Haji</t>
  </si>
  <si>
    <t>Jl. KH. Agus Salim No. 35,Kel. Sisir, Kec. Batu, Kota Batu, Jawa Timur</t>
  </si>
  <si>
    <t>RS Umum Daerah Ar Rozy</t>
  </si>
  <si>
    <t>JL. Prof Hamka KM 3.5 Kel. Kareng Lor Kec. Kedopok Kota Probolinggo</t>
  </si>
  <si>
    <t>RS Umum Daerah Caruban</t>
  </si>
  <si>
    <t>Jl. A. Yani KM 2 Caruban Madiun</t>
  </si>
  <si>
    <t>RS Siti Miriam</t>
  </si>
  <si>
    <t>Jl. dr. Wahidin No.101, RT 002 RW. 001, Kel. Kalirejo, Kec. Lawang, Kab.Malang</t>
  </si>
  <si>
    <t>RS Umum Nyai Ageng Pinatih Gresik</t>
  </si>
  <si>
    <t>Jl. KH Abdul Karim 76-78 Gresik</t>
  </si>
  <si>
    <t>RS Umum Daerah Besuki Kabupaten Situbondo</t>
  </si>
  <si>
    <t>Jl. Olah Raga No 55 Besuki Kabupaten Situbondo Provinsi Jawa Timur</t>
  </si>
  <si>
    <t>RS Umum Daerah Waru Pamekasan</t>
  </si>
  <si>
    <t>Jl. Raya Waru Pasean, Kec. Waru, Kab. Pamekasan, Provinsi Jawa Timur</t>
  </si>
  <si>
    <t>RS Umum Daerah Gambiran</t>
  </si>
  <si>
    <t>JL. KAPTEN PIERRE TENDEAN NO. 16 KOTA KEDIRI</t>
  </si>
  <si>
    <t>RS Manyar Medical Centre</t>
  </si>
  <si>
    <t>Jl. Manyar No.9, Surabaya</t>
  </si>
  <si>
    <t>RS Umum dr. H.Koesnadi Bondowoso</t>
  </si>
  <si>
    <t>Jl. Piere Tendean No. 3 Bondowoso</t>
  </si>
  <si>
    <t>RS Umum Daerah dr. Mohamad Soewandhie</t>
  </si>
  <si>
    <t>Jl. Tambakrejo No. 45-47 Surabaya</t>
  </si>
  <si>
    <t>RS Rizani</t>
  </si>
  <si>
    <t>Jl. Raya Surabaya - Situbondo KM 135 desa Sumberejo Kec. Paiton Kab. Probolinggo</t>
  </si>
  <si>
    <t>RS Enggal Dangan</t>
  </si>
  <si>
    <t>Jl. Raya Bamban No. 28 Desa Asrikaton Kec. Pakis</t>
  </si>
  <si>
    <t>RS NU Permata</t>
  </si>
  <si>
    <t>Jl. Musi No. 9-9B Desa Sumberejo, Kecamatan Sukodono, Kab. Lumajang</t>
  </si>
  <si>
    <t>RS Marsudi Waluyo</t>
  </si>
  <si>
    <t>Jl. Raya Mondoroko Km. 09, Dusun Magersari, RT.03 RW.06, Desa Purwoasri, Kec. Singosari, Kabupaten Malang - 65153</t>
  </si>
  <si>
    <t>RS Umum Aminah</t>
  </si>
  <si>
    <t>Jl. Untung Suropati, Desa Watutulis, Kec Prambon Sidoarjo</t>
  </si>
  <si>
    <t>RS Umum Daerah Kab. Jombang</t>
  </si>
  <si>
    <t>Jl. KH. Wahid Hasyim No.52, Jombang</t>
  </si>
  <si>
    <t>RS Ibu dan Anak HST</t>
  </si>
  <si>
    <t>Trenggalek</t>
  </si>
  <si>
    <t>Jl. Dr. Soetomo 39A RT.01 RW.01 Kelurahan Ngantru, Kec. Trenggalek, Kab. Trenggalek, Provinsi Jawa Timur</t>
  </si>
  <si>
    <t>RS Umum Daerah dr. Soedomo Trenggalek</t>
  </si>
  <si>
    <t>Jl. dr. Soetomo No. 02 Kelurahan Tamanan, Kecamatan Trenggalek, Kabupaten Trenggalek, Provinsi Jawa Timur</t>
  </si>
  <si>
    <t>RS Islam Sakinah</t>
  </si>
  <si>
    <t>Jl. RA Basuni No.12, Desa Jampirogo, Kecamatan Sooko, Kabupaten Mojokerto, Provinsi Jawa Timur</t>
  </si>
  <si>
    <t>RS Ibu dan Anak Husada Bunda</t>
  </si>
  <si>
    <t>Jl. Pahlawan Trip No.2 Malang, Jawa Timur</t>
  </si>
  <si>
    <t>RSU Agung Mulia</t>
  </si>
  <si>
    <t>Jl. Sasuit Tubun NO.25-Lingk. Bleber Kel. Sidoharjo Kec. Pacitan Kab. Pacitan</t>
  </si>
  <si>
    <t>RS Kaliwates Jember</t>
  </si>
  <si>
    <t>Jl. Diah Pitaloka Nomor 4 Jember</t>
  </si>
  <si>
    <t>RS Medika Mulia Tuban</t>
  </si>
  <si>
    <t>Jl. Mojopahit 699 Tuban</t>
  </si>
  <si>
    <t>RS Umum Aminah Blitar</t>
  </si>
  <si>
    <t>Jl. Veteran No. 39 Kel. Kepanjen Kidul</t>
  </si>
  <si>
    <t>RS Bhayangkara Wahyu Tutuko Bojonegoro</t>
  </si>
  <si>
    <t>Jl. Panglima Sudirman No 168-169 Bojonegoro</t>
  </si>
  <si>
    <t>RS Daerah Dr. Haryoto Kabupaten Lumajang</t>
  </si>
  <si>
    <t>Jl. Basuki Rahmat No.5, Lumajang</t>
  </si>
  <si>
    <t>RS Adi Husada Undaan</t>
  </si>
  <si>
    <t>Jl. Undaan Wetan No. 40-44, Surabaya</t>
  </si>
  <si>
    <t>Jl. Ciujung No. 19 Malang</t>
  </si>
  <si>
    <t>RS Bhirawa Bhakti</t>
  </si>
  <si>
    <t>Jl. Panglima Sudirman D9A</t>
  </si>
  <si>
    <t>RS Daerah Balung Jember</t>
  </si>
  <si>
    <t>Jalan Rambipuji, No 19, Desa Balung Lor, Kecamatan Balung, Kabupaten Jember, Provinsi Jawa Timur</t>
  </si>
  <si>
    <t>RS Mata Undaan</t>
  </si>
  <si>
    <t>Jl. Undaan Kulon 17-19 Surabaya</t>
  </si>
  <si>
    <t>RS Umum Prima Husada</t>
  </si>
  <si>
    <t>Jl. Letjen Suprapto No. 03, Kepuh Kiriman Waru</t>
  </si>
  <si>
    <t>RS Umum Wajak Husada</t>
  </si>
  <si>
    <t>Jl. Raya Kidangbang RT. 16 RW. 05 Desa Kidangbang Kec. Wajak Kab. Malang 65173</t>
  </si>
  <si>
    <t>RS Umum Syuhada Haji</t>
  </si>
  <si>
    <t>Jl. Tanjung No.158 Pakunden Kota Blitar</t>
  </si>
  <si>
    <t>RS Umum  Pusdik Polri Porong</t>
  </si>
  <si>
    <t>JL. RAYA PORONG NO. 1 SIDOARJO</t>
  </si>
  <si>
    <t>RS Bhayangkara TK II HS. Samsoeri Mertojoso</t>
  </si>
  <si>
    <t>Jl. A. Yani No. 116, Surabaya</t>
  </si>
  <si>
    <t>RS Umum Persada Hospital</t>
  </si>
  <si>
    <t>Kompleks Araya Business Center Kav.II-IV Jl. Panji Suroso Malang</t>
  </si>
  <si>
    <t>RS Umum BRI Medika Malang</t>
  </si>
  <si>
    <t>Jl. Mayjend Panjaitan No. 176</t>
  </si>
  <si>
    <t>RS Hermina Madiun</t>
  </si>
  <si>
    <t>Jl. Sido Makmur Ring Road Barat Kel. Manguharjo</t>
  </si>
  <si>
    <t>RS Umum Dharma Husada</t>
  </si>
  <si>
    <t>Jl. Sukarno Hatta No. 10 Kota Probolinggo</t>
  </si>
  <si>
    <t>RS Umum Islam Surabaya Jemursari</t>
  </si>
  <si>
    <t>Jl. Jemursari No 51-57, Surabaya</t>
  </si>
  <si>
    <t>RS Ibu dan Anak Cempaka Putih Permata</t>
  </si>
  <si>
    <t>Jl. Jambangan Kebon Agung No.8, Kec. Jambangan, Surabaya, Jawa Timur</t>
  </si>
  <si>
    <t>RS Umum Daerah Dr. Soeroto Ngawi</t>
  </si>
  <si>
    <t>Jl. Dr. Wahidin no. 27</t>
  </si>
  <si>
    <t>Jl. Danau Toba E VI No.16 - 17 Sawojajar</t>
  </si>
  <si>
    <t>RS Umum Mabarrot MWC NU</t>
  </si>
  <si>
    <t>Jl. Raya Bungah Dukun No. 1D, Desa/Kelurahan Masangan, Kec. Bungah, Kab. Gresik, Provinsi Jawa Timur, Kode Pos 61152</t>
  </si>
  <si>
    <t>RS Mitra Medika Bondowoso</t>
  </si>
  <si>
    <t>Jl. HOS Cokroaminoto nomer 98 Kab. Bondowoso</t>
  </si>
  <si>
    <t>RS Umum Daerah Abuya Kangean</t>
  </si>
  <si>
    <t>Jl. Raya Pantai Celgung Desa Sambakati Kec. Arjasa Kabupaten Sumenep Provinsi Jawa Timur</t>
  </si>
  <si>
    <t>RS Denisa</t>
  </si>
  <si>
    <t>Jl. Dr. Wahidin Sudirohusodo No.736</t>
  </si>
  <si>
    <t>RS Umum Bhayangkara Pusdik Brimob</t>
  </si>
  <si>
    <t>JL.RAYA WATUKOSEK - GEMPOL PASURUAN</t>
  </si>
  <si>
    <t>RS Umum Daerah Srengat Kab. Blitar</t>
  </si>
  <si>
    <t>JL. RAYA DANDONG RT 002 RW 003 KEL. DANDONG, KEC. SRENGAT,KAB. BLITAR</t>
  </si>
  <si>
    <t>RS Umum Mulia Medical Center</t>
  </si>
  <si>
    <t>Jl. Pasir Putih No.07 RT. 002 RW. 001 Kelurahan Bletok Kecamatan Bungatan</t>
  </si>
  <si>
    <t>RS Umum Daerah Dr. Soebandi Jember</t>
  </si>
  <si>
    <t>Jl. Dr. Soebandi No.124, Jember</t>
  </si>
  <si>
    <t>RS TNI AL Dr. Oepomo</t>
  </si>
  <si>
    <t>Jl. Laksda M.Nazir No.56 Surabaya</t>
  </si>
  <si>
    <t>RS Ibu dan Anak Refa husada</t>
  </si>
  <si>
    <t>Jl. Mayjend Sungkono No. 9, Kel. Tlogowaru, Kec. Kedungkandang</t>
  </si>
  <si>
    <t>RS Pusura Candi</t>
  </si>
  <si>
    <t>JL Raya Gelam No. 39 Sidoarjo</t>
  </si>
  <si>
    <t>RS Umum Bhayangkara Kediri</t>
  </si>
  <si>
    <t>Jl. Kombes Pol Duryat 17 Kediri</t>
  </si>
  <si>
    <t>RS Ibu dan Anak Muhammadiyah Kota Probolinggo</t>
  </si>
  <si>
    <t>Jl. Panglima Sudirman No. 65</t>
  </si>
  <si>
    <t>RS Umum Randegansari Husada</t>
  </si>
  <si>
    <t>Dsn. Telapak RT. 02 RW. 01 Ds. Randegansari Kec. Driyorejo</t>
  </si>
  <si>
    <t>RS Ibu dan Anak Melati Children Hospital</t>
  </si>
  <si>
    <t>Jl. Suropati No. 12 Malang</t>
  </si>
  <si>
    <t>RS Elizabeth</t>
  </si>
  <si>
    <t>Jl. WR Supratman Nomor 2A Situbondo</t>
  </si>
  <si>
    <t>RS Ibu dan Anak Pura Raharja</t>
  </si>
  <si>
    <t>JL. PUCANG ADI NO.12-14</t>
  </si>
  <si>
    <t>RS Ibu dan Anak Kendangsari Surabaya</t>
  </si>
  <si>
    <t>Jl. Raya Kendangsari No. 38 Surabaya</t>
  </si>
  <si>
    <t>RS Ibu dan Anak Muhammadiyah Malang</t>
  </si>
  <si>
    <t>Jl. KH. Wahid Hasyim NO. 26, 30 Malang</t>
  </si>
  <si>
    <t>RS Muslimat NU Muna Anggita Bojonegoro</t>
  </si>
  <si>
    <t>Jl. Ahmad Yani No. 10A Bojonegoro</t>
  </si>
  <si>
    <t>RS Umum Daerah Umar Mas'ud Bawean</t>
  </si>
  <si>
    <t>Jl. Pendidikan No. 2 Desa Sawahmulya Kecamatan Sangkapura Kabupaten Gresik Provinsi Jawa Timur Indonesia</t>
  </si>
  <si>
    <t>RS Ibu dan Anak Jatimed</t>
  </si>
  <si>
    <t>Jl. Panglima Sudirman No. 5 Besuki Situbondo</t>
  </si>
  <si>
    <t>RS Umum Daerah Panggul</t>
  </si>
  <si>
    <t>Jl. Raya Panggul No. 21 Desa Wonocoyo Kec. Panggul Kab. Trenggalek</t>
  </si>
  <si>
    <t>RS Umum Cahaya Medika</t>
  </si>
  <si>
    <t>Jl. Kelud No. 5 RT. 12 RW. 05 Desa Sukorejo, Kec. Pagelaran</t>
  </si>
  <si>
    <t>RS Ibu dan Anak Muslimat Jombang</t>
  </si>
  <si>
    <t>Jl. Urip Sumohardjo No 34 Jombang</t>
  </si>
  <si>
    <t>RS Muhammadiyah Gresik</t>
  </si>
  <si>
    <t>JL.KH.KHOLIL 88 , KELURAHAN KROMAN  ,KECAMATAN GRESIK, KABUPATEN GRESIK,PROVINSI JAWA TIMUR KODE POS  61115</t>
  </si>
  <si>
    <t>RS Ibu dan Anak Siti Aisyah Pamekasan</t>
  </si>
  <si>
    <t>Jl. KH. Amin Jakfar V/5-7, Kel. Gladak Anyar Kec. Pamekasan Kab. Pamekasan Prov. Jawa Timur 69317</t>
  </si>
  <si>
    <t>RS Umum Daerah Dr. Iskak Tulungagung</t>
  </si>
  <si>
    <t>Jl. Dr. Wahidin Sudiro Husodo Tulungagung</t>
  </si>
  <si>
    <t>RS Umum Daerah Dr. Soedono Madiun</t>
  </si>
  <si>
    <t>Jl. Dr. Soetomo 59, Madiun</t>
  </si>
  <si>
    <t>RS Ibu dan Anak Kasih Bunda</t>
  </si>
  <si>
    <t>Jl. Jaya Wijaya No.1, Kec. Pare Kab. Kediri</t>
  </si>
  <si>
    <t>RS Bina Sehat Jember</t>
  </si>
  <si>
    <t>Jl. Jayanegara 7 Kaliwates Jember</t>
  </si>
  <si>
    <t>RS Ben Mari</t>
  </si>
  <si>
    <t>JL.Raya Kendalpayak No.17, RT. 004, RW 007, Desa Kendalpayak, Kec. Pakisaji, Kab, Malang</t>
  </si>
  <si>
    <t>Jl. Petro No. 20 Plaosan Kecamatan Babat Kabupaten Lamongan Provinsi Jawa Timur</t>
  </si>
  <si>
    <t>RS Umum Daerah Kepohbaru</t>
  </si>
  <si>
    <t>Jl. Raya Kepohbaru-Gunungsari No. 472 Kec. Kepohbaru Kab. Bojonegoro Jawa Timur</t>
  </si>
  <si>
    <t>RS Umum Daerah Dr. Soegiri Lamongan</t>
  </si>
  <si>
    <t>Jl. Kusuma Bangsa No. 7 Lamongan</t>
  </si>
  <si>
    <t>RS Umum Muhammadiyah Kalitidu</t>
  </si>
  <si>
    <t>Jl.Raya Kalitidu Cepu No. 266</t>
  </si>
  <si>
    <t>RS Umum Daerah dr. Mohammad Zyn Kab. Sampang</t>
  </si>
  <si>
    <t>Jl. Rajawali No. 10, Sampang</t>
  </si>
  <si>
    <t>RS Bunda</t>
  </si>
  <si>
    <t>Jl. Raya Kandangan 23-24 Surabaya</t>
  </si>
  <si>
    <t>RS Ibu dan Anak Al Hasanah</t>
  </si>
  <si>
    <t>Jl. Sri Rejeki No. 91B, kel. Sukosari, Kec. Kartoharjo, Kota Madiun , Jawa Timur</t>
  </si>
  <si>
    <t>RS Dharma Husada</t>
  </si>
  <si>
    <t>Jl. Raya Ngoro 192. Ngoro. Mojokerto</t>
  </si>
  <si>
    <t>Jl. Krikilan-Glenmore Dusun Krajan, Tegalharjo</t>
  </si>
  <si>
    <t>RS Umum Siloam Hospitals Surabaya</t>
  </si>
  <si>
    <t>Jl. Gubeng Raya 70 Surabaya</t>
  </si>
  <si>
    <t>RS Bhayangkara Hasta Brata Batu</t>
  </si>
  <si>
    <t>Jl Kartini No 1 Kel. Ngaglik Kec. Batu, Kota Batu</t>
  </si>
  <si>
    <t>RS Umum Daerah Dr. Saiful Anwar</t>
  </si>
  <si>
    <t>Jl. Jaksa Agung Suprapto No. 2 Malang</t>
  </si>
  <si>
    <t>RS Khusus Bedah Al Ishaqiy</t>
  </si>
  <si>
    <t>Jl. RE Martadinata No. 34 Bangkalan Provinsi Jawa Timur</t>
  </si>
  <si>
    <t>RS Umum Daerah Ngantang</t>
  </si>
  <si>
    <t>Jl. Raya Kaumrejo No 47 RT 20 RW 004 Desa Kaumrejo Kec. Ngantang, Kab. Malang, provinsi Jawa timur, Kodepos 65392</t>
  </si>
  <si>
    <t>RS Islam Siti Hajar Sidoarjo</t>
  </si>
  <si>
    <t>Jl. Raden Patah No. 70-72 Sidoarjo</t>
  </si>
  <si>
    <t>RS Siloam Jember</t>
  </si>
  <si>
    <t>Jl. Gajah Mada 104 Kelurahan Jember Kidul Kecamatan Kaliwates</t>
  </si>
  <si>
    <t>RS Umum Daerah Dr. Harjono S. Kabupaten Ponorogo</t>
  </si>
  <si>
    <t>Jl. Raya Ponorogo-Pacitan Kel. Pakunden Kab. Ponorogo</t>
  </si>
  <si>
    <t>RS Umum Daerah Dr. R. Soedarsono Kota Pasuruan</t>
  </si>
  <si>
    <t>Jl. Dr Wahidin Sudirohusodo No. 1-4 Kota Pasuruan</t>
  </si>
  <si>
    <t>RS Wijaya Surabaya</t>
  </si>
  <si>
    <t>Jl. Raya Menganti No.398 Wiyung Surabaya</t>
  </si>
  <si>
    <t>RS Ibu dan Anak Metro Hospitals Sidoarjo</t>
  </si>
  <si>
    <t>Jl. Raya Seruni No. 159 Desa Sruni Kecamatan Gedangan Kabupaten Sidoarjo Provinsi Jawa Timur</t>
  </si>
  <si>
    <t>RS Surya Medika</t>
  </si>
  <si>
    <t>Jl. Laban Kulon 58 Menganti</t>
  </si>
  <si>
    <t>RS Umum Mitra Sehat Kabupaten Situbondo</t>
  </si>
  <si>
    <t>Desa Curah Jeru Kecamatan Panji RT 02/RW 011 Kabupaten Situbondo</t>
  </si>
  <si>
    <t>RS Bedah Surya Dharma Husada</t>
  </si>
  <si>
    <t>Jl. KH. Hasyim Asyari No. 123 Jombang Jawa Timur</t>
  </si>
  <si>
    <t>RS Umum Aisyiyah Bojonegoro</t>
  </si>
  <si>
    <t>Jl. Hasyim Asyari 17 Bojonegoro</t>
  </si>
  <si>
    <t>Jl. Mastrip No. 14 Srengat Kab. Blitar</t>
  </si>
  <si>
    <t>RS Bedah Hasta Husada</t>
  </si>
  <si>
    <t>Jl. Bromo 98-100 RT 011 RW 005, Kel. Kepanjen, Kec. Kepanjen, Kab. Malang</t>
  </si>
  <si>
    <t>RS Bala Keselamatan Bokor</t>
  </si>
  <si>
    <t>Jl. A.Yani  No.91 Turen , Kab.Malang</t>
  </si>
  <si>
    <t>RS Umum Daerah Dr. Soetomo</t>
  </si>
  <si>
    <t>Jl. Mayjend. Prof. Dr. Moestopo No. 6 - 8 Surabaya, Jawa Timur</t>
  </si>
  <si>
    <t>RS Umum Al-Islam H. M. Mawardi</t>
  </si>
  <si>
    <t>Jl. Kyai Mojo No.12A Jeruk Gamping Krian Sidoarjo</t>
  </si>
  <si>
    <t>RS Umum Wates Husada</t>
  </si>
  <si>
    <t>Jl Raya Wates Utara Kec. Balongpanggang Kab. Gresik</t>
  </si>
  <si>
    <t>RS Umum Daerah Kilisuci</t>
  </si>
  <si>
    <t>Jl. KH. Wakhid Hasyim 64 Kota Kediri</t>
  </si>
  <si>
    <t>RS Tk. III Baladhika Husada Jember</t>
  </si>
  <si>
    <t>Jl. PB Sudirman No. 45 Jember</t>
  </si>
  <si>
    <t>RS Islam Surabaya</t>
  </si>
  <si>
    <t>Jl. Jend A Yani 2-4 Surabaya</t>
  </si>
  <si>
    <t>RS Umum Aulia Blitar</t>
  </si>
  <si>
    <t>Jl. Raya Utara No. 3 Kembangarum, Sutojayan, Kab. Blitar</t>
  </si>
  <si>
    <t>RS Ibu dan Anak Ferina</t>
  </si>
  <si>
    <t>Jl. Irian Barat No. 7-11 Surabaya</t>
  </si>
  <si>
    <t>RS Umum Muhammadiyah Lumajang</t>
  </si>
  <si>
    <t>JL. Letkol Selamet Wardoyo NO.103 , Kel. Labruk Lor, Kec. Lumajang, Kab. Lumajang, Prov. Jawa Timur</t>
  </si>
  <si>
    <t>RS Umum Daha Husada</t>
  </si>
  <si>
    <t>Jl. Veteran No. 48 Kota Kediri</t>
  </si>
  <si>
    <t>RS Umum Bhakti Persada</t>
  </si>
  <si>
    <t>Jl. Pasar Legi No. 145 Kel. Mangge Kec. Barat Magetan</t>
  </si>
  <si>
    <t>RS Hasyim Asy'ari</t>
  </si>
  <si>
    <t>Jl. Cukir-Parkir Makam Gus Dur, Desa Kwaron, Kecamatan Diwek</t>
  </si>
  <si>
    <t>RS Graha Sehat</t>
  </si>
  <si>
    <t>Jl. Raya Panglima Sudirman No.2 B Kraksaan</t>
  </si>
  <si>
    <t>RS Bhakti Rahayu</t>
  </si>
  <si>
    <t>Jl. Ketintang Madya I/16 Surabaya</t>
  </si>
  <si>
    <t>RS Umum Daerah Kota Malang</t>
  </si>
  <si>
    <t>JL. RAJASA NO. 27 MALANG</t>
  </si>
  <si>
    <t>RS Umum Dian Husada</t>
  </si>
  <si>
    <t>Jl. Raya Gemekan No. 77 Desa Gemekan Kec. Sooko Kab. Mojokerto</t>
  </si>
  <si>
    <t>RS Umum Mitra Sehat Mandiri Sidoarjo</t>
  </si>
  <si>
    <t>Jl. Raya Krian- Mojosari KM 3 Tropodo Krian Sidoarjo</t>
  </si>
  <si>
    <t>RS Umum Islam Aisyiyah Malang</t>
  </si>
  <si>
    <t>Jl. Sulawesi No 16 Malang</t>
  </si>
  <si>
    <t>RS Bhayangkara Lumajang</t>
  </si>
  <si>
    <t>Jl. Kyai Ilyas Nomor 7, kabupaten Lumajang</t>
  </si>
  <si>
    <t>RS Umum dr. Suyudi</t>
  </si>
  <si>
    <t>Jl. Deandles Paciran,Kecamatan Paciran, Kab. Lamongan</t>
  </si>
  <si>
    <t>RS Sukma Wijaya</t>
  </si>
  <si>
    <t>Jl. H. Agus Salim No. 19, Kel. Banyuanyar, Kec. Sampang</t>
  </si>
  <si>
    <t>RS Umum Daerah Nganjuk</t>
  </si>
  <si>
    <t>Jl. Dr. Sutomo 62, Nganjuk</t>
  </si>
  <si>
    <t>RS Ibu dan Anak Fauziah</t>
  </si>
  <si>
    <t>Jl. Dr. Sutomo 47 Tulungagung</t>
  </si>
  <si>
    <t>RS Mawaddah Medika</t>
  </si>
  <si>
    <t>Jl. Raya Ngijingan RT 001 RW 001, Desa Purwojati Kec. Ngoro, Kab. Mojokerto</t>
  </si>
  <si>
    <t>RS Umum Daerah Ngudi Waluyo Wlingi</t>
  </si>
  <si>
    <t>Jl. Dr. Sucipto No. 5 Wlingi Kabupaten Blitar</t>
  </si>
  <si>
    <t>RS Umum TNI AD Tk. IV 05.04.01 Kota Madiun</t>
  </si>
  <si>
    <t>Jl. Pahlawan No. 79 Kartoharjo Madiun</t>
  </si>
  <si>
    <t>RS Islam Aisyiyah Nganjuk</t>
  </si>
  <si>
    <t>Jl. Imam Bonjol No. 20 Kelurahan Payaman, Kecamatan Nganjuk, Kabupaten Nganjuk, Provinsi Jawa Timur</t>
  </si>
  <si>
    <t>RS Umum Muhammadiyah Bandung</t>
  </si>
  <si>
    <t>Jl. Panglima Sudirman No. 42, RT/RW 001/001 Dusun Bakah, Desa Mergayu, Kecamatan Bandung, Kabupaten Tulungagung, Propinsi Jawatimur</t>
  </si>
  <si>
    <t>RS Universitas Airlangga</t>
  </si>
  <si>
    <t>Jl. Dharmahusada Permai, Desa/Kelurahan Mulyorejo, Kec. Mulyorejo, Kota Surabaya, Provinsi Jawa Timur</t>
  </si>
  <si>
    <t>RS Bantuan 05.08.04 Lawang</t>
  </si>
  <si>
    <t>Jl. Sumber Waras No. 32 RT. 005 RW. 015</t>
  </si>
  <si>
    <t>RS Ibu dan Anak Idaf Husada</t>
  </si>
  <si>
    <t>Jl. KO Wisata Bukit Mas II Blok RF no. 11, Blok F no. 10 - 11,  Lidah Wetan, Lakarsantri</t>
  </si>
  <si>
    <t>RS Umum Muhammadiyah Lamongan</t>
  </si>
  <si>
    <t>Jl. Jaksa Agung Suprapto No 76 Lamongan</t>
  </si>
  <si>
    <t>RS Umum dr. Moedjito Dwidjosiswojo</t>
  </si>
  <si>
    <t>Jl. Hayam Wuruk No. 9</t>
  </si>
  <si>
    <t>RS Petrokimia Gresik Driyorejo</t>
  </si>
  <si>
    <t>Jl. Legundi Km. 0,5 Krikilan Driyorejo Gresik</t>
  </si>
  <si>
    <t>RS Asih Abyakta</t>
  </si>
  <si>
    <t>Jl Raya Surabaya Malang Km.42 No,88 Kepulungan Gempol Kabupaten Pasuruan</t>
  </si>
  <si>
    <t>RS An-Noor Medika Lamongan</t>
  </si>
  <si>
    <t>Jl. Andansari No 1 Sukorejo, Kec. Lamongan</t>
  </si>
  <si>
    <t>RS Umum Larasati Pamekasan</t>
  </si>
  <si>
    <t>Jl. Mandilaras No.74-80 Pamekasan</t>
  </si>
  <si>
    <t>RS Putra Waspada Tulungagung</t>
  </si>
  <si>
    <t>Jl. Jayeng Kusuma No 66 RT.002, RW.006, Kel. Ngujang, Kec. Kedungwaru, Kab. Tulungagung</t>
  </si>
  <si>
    <t>RS Umum Srikandi IBI Jember</t>
  </si>
  <si>
    <t>Jl. KH Agus Salim No. 20 Kelurahan Tegal Besar Kecamatan Kaliwates Kabupaten Jember, Provinsi Jawa Timur</t>
  </si>
  <si>
    <t>RS Islam Fatimah</t>
  </si>
  <si>
    <t>Jl. Jember nomor 25, Kelurahan Kalirejo, Kab. Banyuwangi, Provinsi Jawa Timur</t>
  </si>
  <si>
    <t>RS Umum Daerah Haji Provinsi Jawa Timur</t>
  </si>
  <si>
    <t>Jl. Manyar Kertoadi  Surabaya</t>
  </si>
  <si>
    <t>RS Umum Panti Nirmala</t>
  </si>
  <si>
    <t>Jl. Kebalen Wetan N0.2-8 Kedung Kandang, Kota Malang</t>
  </si>
  <si>
    <t>RS Orthopedi dan Traumatologi Surabaya</t>
  </si>
  <si>
    <t>EMERALD MANSION TX 10 CITRALAND, SURABAYA</t>
  </si>
  <si>
    <t>RS Umum Daerah Sumberglagah</t>
  </si>
  <si>
    <t>Dsn. Sumberglagah Ds. Tanjungkenongo Kec. Pacet Mojokerto</t>
  </si>
  <si>
    <t>RS Ibu dan Anak Bantuan 05.08.05 Surabaya</t>
  </si>
  <si>
    <t>Gubeng Pojok No.21 Surabaya</t>
  </si>
  <si>
    <t>RS Umum Darmayu Ponorogo</t>
  </si>
  <si>
    <t>Jl. Dr. Sutomo No. 44-50 Ponorogo</t>
  </si>
  <si>
    <t>RS Gatoel</t>
  </si>
  <si>
    <t>Jl. Raden Wijaya No. 56 Kel. Kranggan Kec. Prajurit Kulon</t>
  </si>
  <si>
    <t>RS Umum Bhayangkara Tulungagung</t>
  </si>
  <si>
    <t>Jl. I Gusti Ngurah Rai 25 - 27, Tulungagung</t>
  </si>
  <si>
    <t>RS Bantuan 05.08.03 Sidoarjo</t>
  </si>
  <si>
    <t>JL DR SOETOMO NO 2 SIDOARJO</t>
  </si>
  <si>
    <t>RS Fathma Medika</t>
  </si>
  <si>
    <t>JL. PENDOPO NO. 45, SEMBAYAT, MANYAR</t>
  </si>
  <si>
    <t>RS Umum Daerah Grati</t>
  </si>
  <si>
    <t>Jl. Raya Grati No. 199 Ranu Klindungan Grati Pasuruan</t>
  </si>
  <si>
    <t>RS Umum Daerah Sumberrejo</t>
  </si>
  <si>
    <t>Jl. Raya No. 231 Sumberrejo, Bojonegoro</t>
  </si>
  <si>
    <t>RS Umum Lirboyo</t>
  </si>
  <si>
    <t>Jl. Dr.Saharjo, Campurejo, Mojoroto, Kota Kediri</t>
  </si>
  <si>
    <t>RS Umum Daerah Ploso</t>
  </si>
  <si>
    <t>Jl. Darmo Sugondo No.83 Rejoagung-Ploso</t>
  </si>
  <si>
    <t>RS Ibu dan Anak Samudra Husada</t>
  </si>
  <si>
    <t>Jl. Samudra No. 30, Kel. Bulukerto, Kec. Magetan Kab. Magetan</t>
  </si>
  <si>
    <t>RS Umum Darmayu Madiun</t>
  </si>
  <si>
    <t>Jl. Kapten Tendean No. 47, Kel. Demangan Kec. Taman</t>
  </si>
  <si>
    <t>RS Umum Karsa Husada Kota Batu</t>
  </si>
  <si>
    <t>Jl. A.Yani No.10-13 Kota Batu</t>
  </si>
  <si>
    <t>RS William Booth Surabaya</t>
  </si>
  <si>
    <t>Jl. Diponegoro 34, Surabaya</t>
  </si>
  <si>
    <t>RS Ibu dan Anak Galeri Candra Malang</t>
  </si>
  <si>
    <t>JL. ANDONG NO. 3 MALANG</t>
  </si>
  <si>
    <t>RS Mata Pasuruan</t>
  </si>
  <si>
    <t>Jl. Ngopak No. 56 Dusun Krawan Desa Kedawung Wetan Kec. Grati Kab. Pasuruan</t>
  </si>
  <si>
    <t>RS Utama Husada Jember</t>
  </si>
  <si>
    <t>Jl. Manggar No.134 Tegalsari, Ambulu Jember</t>
  </si>
  <si>
    <t>RS Marinir Ewa Pangalila Gunungsari</t>
  </si>
  <si>
    <t>Jl. Golf 1  No. 1 Surabaya</t>
  </si>
  <si>
    <t>RS Islam Lumajang</t>
  </si>
  <si>
    <t>Jl. Kyai Muksin nomor 19 Kelurahan Tompokersan Kec. Lumajang Kab. Lumajang</t>
  </si>
  <si>
    <t>RS Surabaya Medical Service</t>
  </si>
  <si>
    <t>Jl. Kapuas No. 2 Kelurahan Keputran Kecamatan Tegalsari Kota Surabaya Propinsi Jawa Timur</t>
  </si>
  <si>
    <t>RS Umum Universitas Muhammadiyah Jember</t>
  </si>
  <si>
    <t>Jl. Wolter Monginsidi Nomor 91 Lingkungan Sumber Salak RT. 001 RW. 005 Kel. Kranjingan Kec. Sumbersari</t>
  </si>
  <si>
    <t>RS Muhammadiyah Ahmad Dahlan</t>
  </si>
  <si>
    <t>Jl. Gatot Subroto No. 84 Ngampel Mojoroto Kediri</t>
  </si>
  <si>
    <t>RS Umum Fatimah Lamongan</t>
  </si>
  <si>
    <t>Jl. Pahlawan Selatan No. 18</t>
  </si>
  <si>
    <t>RS Umum  Wilujeng</t>
  </si>
  <si>
    <t>Jl. Joyoboyo No.4 Padangan Kec Kayen Kidul, Kab. Kediri</t>
  </si>
  <si>
    <t>Mayapada Hospital Surabaya</t>
  </si>
  <si>
    <t>Jl. Mayjend Sungkono No. 16-20</t>
  </si>
  <si>
    <t>RS Umum Daerah Bangil</t>
  </si>
  <si>
    <t>Jl. Raya Raci - Bangil Kab. Pasuruan</t>
  </si>
  <si>
    <t>RS Gigi dan Mulut Nala Husada</t>
  </si>
  <si>
    <t>JL ARIEF RAHMAN HAKIM NO 150 SURABAYA</t>
  </si>
  <si>
    <t>RS Ibu dan Anak Lombok Dua Dua</t>
  </si>
  <si>
    <t>Jl. Flores No. 12 Surabaya</t>
  </si>
  <si>
    <t>RS Umum Daerah Asembagus Kabupaten Situbondo</t>
  </si>
  <si>
    <t>Jl.Raya Asembagus No. 207 RT 002 RW 008 Dusun Wringin Desa Wringinanom Kecamatan Asembagus Kabupaten Situbondo 68373</t>
  </si>
  <si>
    <t>RS Al-Rohmah Banyuwangi</t>
  </si>
  <si>
    <t>Jl. A. Yani No. 37 Jajag Gambiran, Banyuwangi</t>
  </si>
  <si>
    <t>RS Sumber Sentosa</t>
  </si>
  <si>
    <t>Jl. Kebonsari No. 221 Malang, RT 003, RW 002 Desa Tumpang, Kec. Tumpang, Kab. Malang</t>
  </si>
  <si>
    <t>RS Umum Anwar Medika</t>
  </si>
  <si>
    <t>Jl. Raya By Pass Krian KM 33  Balong Bendo Sidoarjo</t>
  </si>
  <si>
    <t>RS Djatiroto</t>
  </si>
  <si>
    <t>Jl. PB. Sudirman 81  RT 03 RW 01, Dsn. Krajan Desa Kaliboto Lor Kec. Jatiroto, Kab. Lumajang</t>
  </si>
  <si>
    <t>RS Lawang Medika</t>
  </si>
  <si>
    <t>Jl. Dr. Cipto No.8 Bedali, Lawang, Kab. Malang</t>
  </si>
  <si>
    <t>RS Grha Husada Gresik</t>
  </si>
  <si>
    <t>Komplek Perum PT Petrokimia Gresik, Jalan Padi No.3, Tlogopojok, Kroman, Kec. Gresik, Kabupaten Gresik, Jawa Timur 61118</t>
  </si>
  <si>
    <t>RS Umum Abdhi Famili</t>
  </si>
  <si>
    <t>Jl. KH. Moh. Ikrom RT 002 / RW 001 Wringinrejo, Gambiran-Banyuwangi</t>
  </si>
  <si>
    <t>RS Qona'ah</t>
  </si>
  <si>
    <t>Jl. Diponegoro No. 7 Kel Banyuanyar Kec. Sampang</t>
  </si>
  <si>
    <t>RS Umum Daerah Dungus</t>
  </si>
  <si>
    <t>Jl. Raya Dungus - Wungu Madiun</t>
  </si>
  <si>
    <t>RS Prasetya Husada</t>
  </si>
  <si>
    <t>Jl. Raya Ngijo No.25, RT 05 RW 05 Desa Ngijo Kec. Ngijo,  Kab. Malang</t>
  </si>
  <si>
    <t>RS Toeloengredjo</t>
  </si>
  <si>
    <t>Jl. A Yani No. 25, Pare,  Kec. Pare, Kediri, Jawa Timur 64212</t>
  </si>
  <si>
    <t>RS Umum Islam Siti Aisyah</t>
  </si>
  <si>
    <t>Jl. Mayjen Sungkono No. 38-40 Kel. Nambangan Lor, kec. Manguharjo, Kota Madiun</t>
  </si>
  <si>
    <t>RS Umum Griya Husada Madiun</t>
  </si>
  <si>
    <t>Jl. Mayjen DI Panjaitan No. 22 Kel. Banjarejo, Kec. Taman Kota Madiun - Jawa Timur</t>
  </si>
  <si>
    <t>RS Semen Gresik</t>
  </si>
  <si>
    <t>Jl. R A Kartini No. 280 Kel. Tlogopatut Kec. Gresik, Kab. Gresik</t>
  </si>
  <si>
    <t>RS Umum Universitas Muhammadiyah Malang</t>
  </si>
  <si>
    <t>JL. RAYA TLOGOMAS NO 45 MALANG</t>
  </si>
  <si>
    <t>RS Islam Garam Kalianget</t>
  </si>
  <si>
    <t>Jl. Raya Kalianget No.1 Kalianget, Kab Sumenep</t>
  </si>
  <si>
    <t>RS Ibu dan Anak Graha Medika</t>
  </si>
  <si>
    <t>Graha Sampurna Indah E-3,6,8,10,12,14,16,18,20,22 Surabaya</t>
  </si>
  <si>
    <t>RS Umum Wava Husada Kesamben</t>
  </si>
  <si>
    <t>Jl. Raya Kesamben Jugo No 1 RT 04 RW 07 Desa Kesamben, Kecamatan Kesamben, Kabupaten Blitar</t>
  </si>
  <si>
    <t>RS Ibu dan Anak Aisyiyah</t>
  </si>
  <si>
    <t>Jl. Letnan Ramli No. 21, Rw. 02, Desa/Kelurahan Kraton, Kec. Bangkalan, Kab. Bangkalan, Provinsi Jawa Timur</t>
  </si>
  <si>
    <t>RS Nahdlatul Ulama Banyuwangi</t>
  </si>
  <si>
    <t>Jl. Raya Mangir No. 9, Kec. Rogojampi, Banyuwangi</t>
  </si>
  <si>
    <t>RS Husada Utama Surabaya</t>
  </si>
  <si>
    <t>Jl. Prof. Dr. Moestopo 31-33-35 Surabaya</t>
  </si>
  <si>
    <t>RS Umum Rachmi Dewi</t>
  </si>
  <si>
    <t>Jl. Jawa No. 79 - 81, Gresik Kota Baru, Kec. Manyar, Kab. Gresik, Provinsi Jawa Timur 61151</t>
  </si>
  <si>
    <t>RS Umum Citra Medika Lamongan</t>
  </si>
  <si>
    <t>Jl. Lamongrejo No. 28 Lamongan</t>
  </si>
  <si>
    <t>RS Umum Lavalette Malang</t>
  </si>
  <si>
    <t>Jl. WR. Supratman No.10 Kota Malang</t>
  </si>
  <si>
    <t>RS Umum Ibnu Sina Bojonegoro</t>
  </si>
  <si>
    <t>Jl. Lisman No.7 Campurejo</t>
  </si>
  <si>
    <t>RS Universitas Brawijaya</t>
  </si>
  <si>
    <t>Jl. Soekarno Hatta Malang</t>
  </si>
  <si>
    <t>RS Umum PKU Muhammadiyah Mojoagung</t>
  </si>
  <si>
    <t>Jl. Raya Sumobito No 3 Terusan Gambiran Betek, Desa mancilan, Kecamatan Mojoagung, Kabupaten Jombang</t>
  </si>
  <si>
    <t>RS Emma</t>
  </si>
  <si>
    <t>Jl. Raya Ijen No.67 Kel. Wates, Kec. Magersari, Kota Mojokerto</t>
  </si>
  <si>
    <t>RS Ibu dan Anak Fatimah Kraksaan</t>
  </si>
  <si>
    <t>Jl. Letjend Suprapto No. 55, Desa Bulu, Kec. Kraksaan Kab. Probolinggo</t>
  </si>
  <si>
    <t>RS Ibu dan Anak Glamour Husada Kebun</t>
  </si>
  <si>
    <t>Dusun Labang Laok RT 001 RW 001 Desa Kebun Kec. Kamal</t>
  </si>
  <si>
    <t>RS Griya Waluya</t>
  </si>
  <si>
    <t>Jl. Sultan Agung Nomor 68 Ponorogo</t>
  </si>
  <si>
    <t>RS Islam Hasanah Muhammadiyah</t>
  </si>
  <si>
    <t>Jl. HOS Cokroaminoto No. 26-28, Kelurahan Jagalan, Kecamatan Kranggan, Kota Mojokerto</t>
  </si>
  <si>
    <t>RS Umum Islam  Madinah</t>
  </si>
  <si>
    <t>Jl. Jatiwayang  Lk 02 Ngunut, Tulungagung</t>
  </si>
  <si>
    <t>RS Al Huda</t>
  </si>
  <si>
    <t>Jl. Raya Gambiran No. 225, Desa Gambiran, Kec. Gambiran, Kab. Banyuwangi</t>
  </si>
  <si>
    <t>RS Islam Aminah</t>
  </si>
  <si>
    <t>Jl. Kenari No. 54 Blitar</t>
  </si>
  <si>
    <t>RS Yasyfin Darussalam Gontor</t>
  </si>
  <si>
    <t>Dukuh Gontor 2, RT. 002 RW. 002, Desa Gontor, Kecamatan Mlarak, Kabupaten Ponorogo</t>
  </si>
  <si>
    <t>RS Ibu dan Anak Puri Bunda Madura</t>
  </si>
  <si>
    <t>Jl. Kabupaten No. 99  Kel. Bugih  Kec. Pamekasan</t>
  </si>
  <si>
    <t>RS Umum Daerah Dr. R. Koesma Tuban</t>
  </si>
  <si>
    <t>Jl. dr. Wahidin Sudiro Husodo No. 800</t>
  </si>
  <si>
    <t>RS Umum Arga Husada</t>
  </si>
  <si>
    <t>Jl Raya Branggahan Dsn krajan Ds. Branggahan Kec. Ngadiluwih</t>
  </si>
  <si>
    <t>RS Umum Ratih</t>
  </si>
  <si>
    <t>Jl. Penanggungan No.32, Mojoroto, Kota Kediri, Jawa Timur</t>
  </si>
  <si>
    <t>RS Baptis Batu</t>
  </si>
  <si>
    <t>Jln. Raya Panglima Sudirman No. 33 Desa Tlekung, Kecamatan Junrejo, Kota Batu, Jawa Timur</t>
  </si>
  <si>
    <t>RS Darmo</t>
  </si>
  <si>
    <t>Jl. Raya Darmo 90,Surabaya</t>
  </si>
  <si>
    <t>RS Umum Pelengkap Medical Center</t>
  </si>
  <si>
    <t>Jl. Ir. Juanda Nomor 03, Jombang, Provinsi Jawa Timur</t>
  </si>
  <si>
    <t>RS Mitra Keluarga Pondok Tjandra</t>
  </si>
  <si>
    <t>Jl. Raya Taman Asri Kav DD. 1-8, Tambaksumur, Waru</t>
  </si>
  <si>
    <t>RS Daerah Kalisat Jember</t>
  </si>
  <si>
    <t>Jl. M.H.Thamrin No.31 Kalisat ,Desa Ajung, Kecamatan Kalisat, Kabupaten Jember, Provinsi Jawa Timur</t>
  </si>
  <si>
    <t>RS Jiwa Menur</t>
  </si>
  <si>
    <t>Jl. Raya Menur No.120, Kertajaya, Kec. Gubeng, Surabaya, Jawa Timur 60282</t>
  </si>
  <si>
    <t>RS Katolik Budi Rahayu</t>
  </si>
  <si>
    <t>Jl.  A. Yani 18 Kota Blitar</t>
  </si>
  <si>
    <t>RS Umum  Aura Syifa</t>
  </si>
  <si>
    <t>Jl. Joyoboyo 42 Dsn. Dlopo Desa Karangrejo Kecamatan Ngasem</t>
  </si>
  <si>
    <t>RS Umum Siti Khodijah Muhammadiyah Cabang Sepanjan</t>
  </si>
  <si>
    <t>Jl. Raya Bebekan RT. 02 RW. 01, Kel. Bebekan, Kec. Taman</t>
  </si>
  <si>
    <t>RS Onkologi</t>
  </si>
  <si>
    <t>Jl. Arief Rahman Hakim No. 184 (Araya Galaxi Bumi Permai Blok A2 no. 5,6,7)</t>
  </si>
  <si>
    <t>RS Umum Muhammadiyah Babat</t>
  </si>
  <si>
    <t>Jl. Raya Babat-Surabaya KM. 4 Babat Lamongan</t>
  </si>
  <si>
    <t>RS Umum Daerah dr. Mohamad Saleh Kota Probolinggo</t>
  </si>
  <si>
    <t>Jl. Mayjend Panjaitan No.65 Kota Probolinggo</t>
  </si>
  <si>
    <t>RS Umum Daerah Bhakti Dharma Husada</t>
  </si>
  <si>
    <t>Jl. Raya Kendung No.115-117, Surabaya</t>
  </si>
  <si>
    <t>RS Wiyung Sejahtera</t>
  </si>
  <si>
    <t>Jl. Karangan PDAM 1-3 Wiyung Surabaya</t>
  </si>
  <si>
    <t>RS Umum Daerah dr. Sayidiman Magetan</t>
  </si>
  <si>
    <t>Jl. Pahlawan No.2 Magetan Propinsi Jawa Timur</t>
  </si>
  <si>
    <t>RS Muji Rahayu</t>
  </si>
  <si>
    <t>JL.RAYA MANUKAN WETAN 68-68 A Surabaya</t>
  </si>
  <si>
    <t>RS Umum Hermina Tangkubanprahu</t>
  </si>
  <si>
    <t>Jl. Tangkubanprahu No. 31-33 Malang</t>
  </si>
  <si>
    <t>RS Ibu dan Anak Nur Ummi Numbi</t>
  </si>
  <si>
    <t>Jl. Manukan Tengah 51 J/ 4-6</t>
  </si>
  <si>
    <t>RS AU dr. Mohammad Moenir</t>
  </si>
  <si>
    <t>Jl. Rogonoto Timur RT 003 RW 005 Desa Taman Harjo Kec. Singosari</t>
  </si>
  <si>
    <t>RS Petrokimia Gresik</t>
  </si>
  <si>
    <t>Jl. Jend. A. Yani No. 69 Kel. Ngipik, Kec. Ngipik, Kab. Gresik</t>
  </si>
  <si>
    <t>RS Al-Aziz</t>
  </si>
  <si>
    <t>Jl Raya Tembelang, Kec. Tembelang Kab. Jombang</t>
  </si>
  <si>
    <t>RS Ibu dan Anak Perdana Medica</t>
  </si>
  <si>
    <t>JL Kutisari No. 6 Surabaya</t>
  </si>
  <si>
    <t>RS Graha Medika</t>
  </si>
  <si>
    <t>Jl. Raya Genteng, Dusun Sidorejo Wetan RT 001 RW 001 Desa Yosomulyo, Kecamatan Gambiran, Kabupaten Banyuwangi</t>
  </si>
  <si>
    <t>RS TK. IV 05.07.02 Kediri</t>
  </si>
  <si>
    <t>Jl. Mayjen Sungkono No. 44, Kota Kediri</t>
  </si>
  <si>
    <t>RS Abdurrahman Syamsuri (Arsy)</t>
  </si>
  <si>
    <t>Jl. Raya Deandles km-74 Paciran Kab. Lamongan</t>
  </si>
  <si>
    <t>RS Mitra Keluarga Kenjeran</t>
  </si>
  <si>
    <t>Jl. Kenjeran No. 506 Surabaya</t>
  </si>
  <si>
    <t>RS Umum Islam Cahaya Giri Gresik</t>
  </si>
  <si>
    <t>Jl Raya Bringkang no 90-94 , Desa/Kelurahan Bringkang, Kec. Menganti, Kab. Gresik, Provinsi Jawa Timur, Kode Pos: 61174</t>
  </si>
  <si>
    <t>RS Umum Daerah dr. Abdoer Rahem Situbondo</t>
  </si>
  <si>
    <t>Jl. Anggrek No. 68, Kelurahan. Patokan Kecamatan. Situbondo, Kabupaten. Situbondo Jawa Timur</t>
  </si>
  <si>
    <t>RS Umum  Mitra Keluarga Surabaya</t>
  </si>
  <si>
    <t>Jl. Satelit Indah II darmo satelit</t>
  </si>
  <si>
    <t>RS Angkatan Udara dr. Munir Lanud Abdulrachman Saleh</t>
  </si>
  <si>
    <t>Jl. Dr. M. Munir No.18 Lanud Abd. Saleh, Desa Saptorenggo Kec. Pakis Kab, Malang</t>
  </si>
  <si>
    <t>RS Kristen Mojowarno</t>
  </si>
  <si>
    <t>Jl. Merdeka No.59 Mojowarno, Jombang</t>
  </si>
  <si>
    <t>RS Mitra Delima</t>
  </si>
  <si>
    <t>Jl. Raya Bulupayung No. 1B, RT 007, RW 031, Desa Krebet, Kec. Bululawang, Kab. Malang</t>
  </si>
  <si>
    <t>RS Umum Budi Asih Trenggalek</t>
  </si>
  <si>
    <t>Jl. Mayjend Sungkono Nomor 80 Dusun Cengkong Desa Tamanan, Kecamatan Trenggalek Kabupaten Trenggalek, Provinsi Jawa Timur</t>
  </si>
  <si>
    <t>RS Umum Daerah Raden Achmad Basoeni</t>
  </si>
  <si>
    <t>Jl. Raya Gedeg No.17, Kec. Gedeg, Kab.Mojokerto</t>
  </si>
  <si>
    <t>RS Sido Waras</t>
  </si>
  <si>
    <t>Jl. Raya Pasar Sawahan km.10, Kec.Bangsal, Kab.Mojokerto</t>
  </si>
  <si>
    <t>RS Umum Mitra Keluarga Waru</t>
  </si>
  <si>
    <t>Jl. Jend. S. Parman No. 8 Waru</t>
  </si>
  <si>
    <t>RS Ibu dan Anak Pondok Tjandra</t>
  </si>
  <si>
    <t>Jl. Mangga I E Nomor 225, Perumahan Pondok Tjandra Indah, Kelurahan Tambaksumur, Kecamatan. Waru, Kabupaten Sidoarjo, Jawa Timur 61256</t>
  </si>
  <si>
    <t>RS Cahya Medika</t>
  </si>
  <si>
    <t>Jl. Raya Pakisan No.24 RT.19/RW.07, Desa Bataan, Kecamatan Tenggarang, Kabupaten Bondowoso, Jawa Timur</t>
  </si>
  <si>
    <t>RS Muhammadiyah Tuban</t>
  </si>
  <si>
    <t>Jl. Diponegoro No.1 Tuban</t>
  </si>
  <si>
    <t>RS Wijaya Kusuma</t>
  </si>
  <si>
    <t>Jl. A. Yani No.149 Lumajang</t>
  </si>
  <si>
    <t>RS Primasatya Husada Citra (PHC) Surabaya</t>
  </si>
  <si>
    <t>Jl. Prapat Kurung Selatan no 1 Tanjung Perak Surabaya</t>
  </si>
  <si>
    <t>RS Bedah Mitra Sehat</t>
  </si>
  <si>
    <t>Jl. Raya Lamongan - Babat KM 5 Desa Karanglangit, Kec, Lamongan, Kab. Lamongan</t>
  </si>
  <si>
    <t>Jl. Semeru No.1 RT. 04 RW. 20 Kel. Turen Kec. Turen</t>
  </si>
  <si>
    <t>RS Khusus Bedah Heart and Surgery</t>
  </si>
  <si>
    <t>Jl. Sukarno-Hatta 34A Bangkalan</t>
  </si>
  <si>
    <t>Banten</t>
  </si>
  <si>
    <t>Kota Cilegon</t>
  </si>
  <si>
    <t>Jl. S.A.Tirtayasa Ruko Maisonnete Blok B1-8 Simpang Tiga, Ramanuju, Purwakarta, Cilegon, Banten</t>
  </si>
  <si>
    <t>RS Permata Serdang</t>
  </si>
  <si>
    <t>Serang</t>
  </si>
  <si>
    <t>Jl. Raya Waringin Kurung RT 001/ RW 003, Desa Serdang, Kecamatan Kramatwatu, Kabupaten Serang, Provinsi Banten</t>
  </si>
  <si>
    <t>RS Umum Daerah Dr. Adjidarmo</t>
  </si>
  <si>
    <t>Lebak</t>
  </si>
  <si>
    <t>Jl. Iko Jatmiko No. 1 Rangkasbitung</t>
  </si>
  <si>
    <t>RS Bethsaida</t>
  </si>
  <si>
    <t>Tangerang</t>
  </si>
  <si>
    <t>Jl. Boulevard Raya Gading Serpong Kav. 29, Tangerang</t>
  </si>
  <si>
    <t>RS Columbia Asia BSD</t>
  </si>
  <si>
    <t>Kota Tangerang Selatan</t>
  </si>
  <si>
    <t>Jl. Letnan Soetopo Kav Kom. III A No.7, BSD Tangerang  Selatan, Banten</t>
  </si>
  <si>
    <t>RS Sari Asih Karawaci</t>
  </si>
  <si>
    <t>Kota Tangerang</t>
  </si>
  <si>
    <t>Jl. Imam Bonjol No. 38 Karawaci Sukajadi Kota Tangerang</t>
  </si>
  <si>
    <t>RS Sari Asih Sangiang</t>
  </si>
  <si>
    <t>Jl. Moh. Toha KM 3,5 (Simpang Tiga Sangiang) Kota Tangerang</t>
  </si>
  <si>
    <t>RS Islam Sari Asih Ar-rahmah</t>
  </si>
  <si>
    <t>Jl. K.S Tubun No. 44 Kelurahan Koang Jaya, Kecamatan Karawaci - Kota Tangerang, Banten</t>
  </si>
  <si>
    <t>RS Siloam Hospitals Kelapa Dua</t>
  </si>
  <si>
    <t>Jl. Kelapa Dua Raya No.1001 Kel. Kelapa Dua Kec. Kelapa Dua Tangerang</t>
  </si>
  <si>
    <t>RS Ibu dan Anak Permata Ibunda</t>
  </si>
  <si>
    <t>Pandeglang</t>
  </si>
  <si>
    <t>Jl. Stadion Badak No 20 Saruni Majasari Pandeglang</t>
  </si>
  <si>
    <t>RS Ibu dan Anak Bunda Ciputat</t>
  </si>
  <si>
    <t>Jl.RE Martadinata No.30 Kec.Ciputat Kel. Ciputat Kota.Tangerang Selatan</t>
  </si>
  <si>
    <t>RS Umum Daerah dr. Drajat Prawiranegara</t>
  </si>
  <si>
    <t>Jl. Rumah Sakit No. 1 Serang</t>
  </si>
  <si>
    <t>RS Umum Bhakti Asih</t>
  </si>
  <si>
    <t>Jl. Raden saleh No.10 Karang Tengah, Tangerang</t>
  </si>
  <si>
    <t>RS Umum Daerah Pakuhaji</t>
  </si>
  <si>
    <t>Jl. KH. Sa'adullah No. 88 Kelurahan Pakuhaji Kabupaten Tangerang</t>
  </si>
  <si>
    <t>RS Umum Daerah Serpong Utara</t>
  </si>
  <si>
    <t>Jl. Raya Serpong Kel. Pakulonan Kec. Serpong Utara Kota Tangerang Selatan</t>
  </si>
  <si>
    <t>RS Umum Daerah Malingping</t>
  </si>
  <si>
    <t>Jl. Raya Saketi Km.01, Malingping Kab.Lebak</t>
  </si>
  <si>
    <t>Jl. M.H. Thamrin No. 3 Kebon Nanas, Cikokol, Kota Tangerang 15117</t>
  </si>
  <si>
    <t>RS Qadr</t>
  </si>
  <si>
    <t>Komp Islamic Village, Kelapa Dua, Tangerang</t>
  </si>
  <si>
    <t>RS Sari Asih Ciputat</t>
  </si>
  <si>
    <t>Jl. Otista Raya Sasak Tinggi No. 3 , RT 004/ RW 011,  Kelurahan Ciputat, Kecamatan Ciputat, Kota Tangerang Selatan, Banten, 15411</t>
  </si>
  <si>
    <t>RS Umum Daerah Banten</t>
  </si>
  <si>
    <t>Kota Serang</t>
  </si>
  <si>
    <t>JL Syeh Nawawi Al-Bantani Kelurahan Banjarsari Kecamatan Cipocok Jaya Kota Serang, Propinsi Banten</t>
  </si>
  <si>
    <t>RS Tiara</t>
  </si>
  <si>
    <t>Jln Beringin Raya No.3-5 Kel.Nusajaya, Kec.Karawaci, Kota Tangerang, Provinsi Banten</t>
  </si>
  <si>
    <t>RS EMC Tangerang</t>
  </si>
  <si>
    <t>Jl. KH. Hasyim Ashari No. 24 Kel. Buaran Indah, Kec. Tangerang, Kota Tangerang, Prov. Banten 15119</t>
  </si>
  <si>
    <t>RS Ibu dan Anak Bina Medika</t>
  </si>
  <si>
    <t>Jl. Rasuna Said Kav B7/A5-08 Sektor 7 CBD Bintaro Jaya</t>
  </si>
  <si>
    <t>RS Andalucia</t>
  </si>
  <si>
    <t>Jl. Raya Serang-Pandeglang KM.05 Kelurahan Tembong, Kec. Cipocok Jaya</t>
  </si>
  <si>
    <t>RS Umum Daerah Kota Tangerang</t>
  </si>
  <si>
    <t>Jl Pulau Puteri Raya Perumahan Modernland, Kel. Kelapa Indah Kec. Tangerang</t>
  </si>
  <si>
    <t>RS Alinda Husada</t>
  </si>
  <si>
    <t>Jl. Raya Tanjung Lesung KM. 1 Panimbang Kp. Neglasari Ds. Panmbangjaya Kec. Panimbang Kab. Pandeglang Prov. Banten</t>
  </si>
  <si>
    <t>RS Khusus Bedah Via Medika</t>
  </si>
  <si>
    <t>Jl. WR Supratman, RT/RW 005/006, Kel. Cempaka Putih, Kec. Ciputat Timur</t>
  </si>
  <si>
    <t>RS Bunda Sejati</t>
  </si>
  <si>
    <t>Jl. Prabu Siliwangi No. 11 Jatiuwung Tangerang</t>
  </si>
  <si>
    <t>RS Umum Keluarga Kita</t>
  </si>
  <si>
    <t>Jl. Raya PLP Curug KM. 4 No. 8 Curug</t>
  </si>
  <si>
    <t>RS Ibu dan Anak Makiyah</t>
  </si>
  <si>
    <t>Jl. KH. Kuding RT. 005 RW. 006, Kelurahan Belendung, Kecamatan Benda, Kota Tangerang, Provinsi Banten</t>
  </si>
  <si>
    <t>RS Budiasih</t>
  </si>
  <si>
    <t>Jl. KH. Sohari No.39 Serang 42118</t>
  </si>
  <si>
    <t>Metro Hospitals Cikupa</t>
  </si>
  <si>
    <t>JL. Raya Serang Km. 16,8 Cikupa</t>
  </si>
  <si>
    <t>RS Selaras</t>
  </si>
  <si>
    <t>JL. RAYA LAPAN DESA SURADITA RT 007 RW 001 CISAUK KAB.TANGERANG, Desa/Kelurahan Suradita, Kec. Cisauk, Kab. Tangerang, Provinsi Banten,</t>
  </si>
  <si>
    <t>RS SHL</t>
  </si>
  <si>
    <t>Jl. Amd Lintas Timur No. 17 Ciputri, Kec. Kadu Hejo, Kab. Pandeglang, Prov. Banten</t>
  </si>
  <si>
    <t>RS Umum Daerah Kota Cilegon</t>
  </si>
  <si>
    <t>Jl. Kapten P. Tendean Km. 3 Cilegon</t>
  </si>
  <si>
    <t>RS Mitra Keluarga Bintaro</t>
  </si>
  <si>
    <t>Jl. Raya Bintaro Utama Sektor III A</t>
  </si>
  <si>
    <t>RS. Mitra Keluarga Pamulang</t>
  </si>
  <si>
    <t>Jl. Moch Toha RT/RW 002/017</t>
  </si>
  <si>
    <t>RS Ichsan Medical Center</t>
  </si>
  <si>
    <t>Jl. Raya Jombang No. 56 , Kelurahan Jombang,  Kecamatan Ciputat, Kota Tangerang Selatan, Banten</t>
  </si>
  <si>
    <t>RS Rumah Indonesia Sehat</t>
  </si>
  <si>
    <t>Jl. Lengkong Gudang Timur Raya No. 777 BSD - Tangerang Selatan</t>
  </si>
  <si>
    <t>RS Mayapada</t>
  </si>
  <si>
    <t>Jl. Honoris Raya Kav. 6 , Kota Modern, Tangerang</t>
  </si>
  <si>
    <t>RS Ibu dan Anak Permata Sarana Husada</t>
  </si>
  <si>
    <t>Jl. Pamulang Permai Blok D3 No. 1-3</t>
  </si>
  <si>
    <t>RS Ibu dan Anak Karunia Bunda</t>
  </si>
  <si>
    <t>Jl. Aria Santika No. 28, Kel. Margasari, Kec. Karawaci, Kota Tangerang, Provinsi Banten, 15113</t>
  </si>
  <si>
    <t>RS Suci Paramita</t>
  </si>
  <si>
    <t>Jl. Raya Serang Km. 28,5 Kawasan Industri CCM Kav. F 1 - 8 Cangkudu, Balaraja</t>
  </si>
  <si>
    <t>RS Ibu dan Anak PKU Muhammadiyah Cipondoh</t>
  </si>
  <si>
    <t>Jl. Maulana Hasanudin No. 63, Kelurahan Cipondoh, Kecamatan Cipondoh, Kota Tangerang, Provinsi Banten</t>
  </si>
  <si>
    <t>RS Ibu dan Anak Bunda Sejahtera</t>
  </si>
  <si>
    <t>Jl.Puri Agung No.3 Pondok Makmur Kel.Kuta Baru Kec.Pasar kemis</t>
  </si>
  <si>
    <t>RS Umum Daerah Kabupaten Tangerang</t>
  </si>
  <si>
    <t>Jl. A Yani No. 9 Tangerang Kota Tangerang</t>
  </si>
  <si>
    <t>RS Ibu dan Anak Harapan Mulia</t>
  </si>
  <si>
    <t>Jl. Raya Pemda Tigaraksa RT 001/RW 001 Kel/Desa Matagara Kecamatan Tigaraksa Kabupaten Tangerang Provinsi Banten</t>
  </si>
  <si>
    <t>RS Ibu dan Anak Pratiwi</t>
  </si>
  <si>
    <t>Jl. RHM Noeradji Kel. Sumur Pacing Kec. Karawaci</t>
  </si>
  <si>
    <t>Jl. Sunan Kalijaga No. 325, Blok Papanggo, Cijoro Pasir, Rangkasbitung, Lebak, Banten</t>
  </si>
  <si>
    <t>RS Ibu dan Anak Buah Hati Pamulang</t>
  </si>
  <si>
    <t>Jl Raya Siliwangi No 189 Kelurahan Benda Baru, Kecamatan Pamulang</t>
  </si>
  <si>
    <t>RS Ibu dan Anak Selaras</t>
  </si>
  <si>
    <t>Jl. Raya Serang KM. 18,5 Desa Bojong Kec. Cikupa</t>
  </si>
  <si>
    <t>RS Mentari</t>
  </si>
  <si>
    <t>Jl. Raya Legok KM 4 Bojong Nangka, Kelapa Dua, Tangerang</t>
  </si>
  <si>
    <t>RS Eka</t>
  </si>
  <si>
    <t>Central Business Distric Lot IX, BSD City.</t>
  </si>
  <si>
    <t>RS Dinda</t>
  </si>
  <si>
    <t>Jl. Galuh No. 2 Jatiuwung, Cibodas - Tangerang</t>
  </si>
  <si>
    <t>RS Hermina Serpong</t>
  </si>
  <si>
    <t>Jl. Raya Puspitek No.km 1 No 99, Buaran, Kec. Serpong, Kota Tangerang Selatan, Banten 15310</t>
  </si>
  <si>
    <t>RS Umum Daerah Pondok Aren</t>
  </si>
  <si>
    <t>Jalan Raya Pondok Betung, Kelurahan Pondok Betung, Kecamatan Pondok Aren, Kota Tangerang Selatan, Provinsi Banten</t>
  </si>
  <si>
    <t>RS Hermina Ciruas</t>
  </si>
  <si>
    <t>Jl.Raya Serang-Jakarta Km.9 Ds.Ranjeng Rt 01/01 Kec.Ciruas</t>
  </si>
  <si>
    <t>RS Ibu dan Anak Ilanur</t>
  </si>
  <si>
    <t>Jl. Raya Serang KM 24 No.1 Balaraja, Kab. Tangerang, Banten</t>
  </si>
  <si>
    <t>RSUP Dr. Sitanala Tangerang</t>
  </si>
  <si>
    <t>Jl. Dr Sitanala No. 99 Kota Tangerang</t>
  </si>
  <si>
    <t>RS Umum Daerah Benda</t>
  </si>
  <si>
    <t>Jl. Halim Perdanakusuma, Desa/Kel. Jurumudi Baru Kec. Benda</t>
  </si>
  <si>
    <t>RS Insan Permata</t>
  </si>
  <si>
    <t>Jl. Bhayangkara 1 No.68 Kel. Pakujaya Kec. Serpong Utara Tangerang Selatan</t>
  </si>
  <si>
    <t>RS Umum Daerah Kota Serang</t>
  </si>
  <si>
    <t>Jl. Raya Jakarta KM. 04 Lingk Kp. Turus Rt. 02 Rw. 11 Kelurahan Penancangan Kecamatan Cipocok Jaya</t>
  </si>
  <si>
    <t>RS Citra sundari</t>
  </si>
  <si>
    <t>Jl. Temu Putih No. 100 Kel. Jombang Wetan Kec. Jombang, Kota Cilegon, Provinsi Banten</t>
  </si>
  <si>
    <t>RS UniMedika Sepatan</t>
  </si>
  <si>
    <t>Jl. Raya Pakuhaji No. 3 RT. 002 RW. 001 Kel. Sepatan Kab. Tangerang</t>
  </si>
  <si>
    <t>RS Umum Daerah Balaraja</t>
  </si>
  <si>
    <t>Jl.Rumah Sakit NO. 88 Desa Tobat Kec. Balaraja</t>
  </si>
  <si>
    <t>RS Murni Teguh Ciledug</t>
  </si>
  <si>
    <t>Jl. HOS Cokroaminoto (Ciledug Raya) No. 4A Kreo Selatan Larangan Tangerang 15156</t>
  </si>
  <si>
    <t>RS Tonggak Husada</t>
  </si>
  <si>
    <t>Jl. Raya Bojonegara No 8 Kp. Tunggak Rt. 002 Rw. 002 Ds. Kertasana Kec. Bojonegara Kab. Serang Prov. Banten</t>
  </si>
  <si>
    <t>RS Mulya</t>
  </si>
  <si>
    <t>Jl.KH. Hasyim Ashari No. 18 Sudimara Pinang Pinang</t>
  </si>
  <si>
    <t>RS St. Carolus Summarecon Serpong</t>
  </si>
  <si>
    <t>Jl Gading Golf Boulevard Kav. 08 Desa Cihuni Kec. Pagedangan</t>
  </si>
  <si>
    <t>RS Aqidah</t>
  </si>
  <si>
    <t>Jl. Raden Fatah No.40</t>
  </si>
  <si>
    <t>RS Mandaya Royal Puri</t>
  </si>
  <si>
    <t>Jl. Metland Boulevard Lot C3 Metland Cyber City RT. 001 RW. 002 Pondok Bahar</t>
  </si>
  <si>
    <t>RS Buah Hati Ciputat</t>
  </si>
  <si>
    <t>Jl Aria Putra No 399 Serua Indah</t>
  </si>
  <si>
    <t>RS Mata Achmad Wardi BWI-DD</t>
  </si>
  <si>
    <t>Jl. Raya Taktakan KM 01</t>
  </si>
  <si>
    <t>RS Sari Asih Serang</t>
  </si>
  <si>
    <t>Jl.Raya Jenderal Sudirman No.38, Kel.Penancangan, Kec.Cipocok, Kota Serang</t>
  </si>
  <si>
    <t>RS Umum BUN</t>
  </si>
  <si>
    <t>Jl. Raya Kosambi Timur no.2 RT. 011/004, Kosambi  Timur, Kosambi</t>
  </si>
  <si>
    <t>RS Jannah</t>
  </si>
  <si>
    <t>Jl. KH. Abdul Hadi No. 20 RT.003/014 Kebon Jahe, Cipare</t>
  </si>
  <si>
    <t>RS Misi Lebak</t>
  </si>
  <si>
    <t>Jl. Multatuli No. 41 Muara Ciujung Barat, Rangkasbitung, Banten.</t>
  </si>
  <si>
    <t>RS Permata Pamulang</t>
  </si>
  <si>
    <t>Jl Raya Siliwangi No 1A Pondok Benda</t>
  </si>
  <si>
    <t>RS Ibu dan Anak Gebang Medika</t>
  </si>
  <si>
    <t>Jl Prabu Kian Santang No. 30 Rt. 001 Rw. 001 Kel. Gebang Raya Kec. Periuk Kota Tangerang Provinsi Banten</t>
  </si>
  <si>
    <t>RS Metro Hospitals M. Toha</t>
  </si>
  <si>
    <t>Jl. Raya Mohammad Toha Km. 2  No. 1 Kel. Nambo Jaya Kecamatan Karawaci 15112</t>
  </si>
  <si>
    <t>RS Umum Daerah Kota Tangerang Selatan</t>
  </si>
  <si>
    <t>Jl. Pajajaran No.101, Kec.Pamulang, Kota Tangerang Selatan</t>
  </si>
  <si>
    <t>RS Siloam Hospitals Lippo Village</t>
  </si>
  <si>
    <t>Jl. Siloam No. 6  Lippo Village Tangerang</t>
  </si>
  <si>
    <t>RS Fatimah</t>
  </si>
  <si>
    <t>Jl. Raya Serang Cilegon KM 3,5 Kelurahan Drangong Kec. Taktakan, Kota Serang, Banten 42162</t>
  </si>
  <si>
    <t>RS Sari Asih Cipondoh</t>
  </si>
  <si>
    <t>Jl. Maulana Hasanudin No. 108 Kel. Cipondoh Makmur Kec. Cipondoh Kota Tangerang Provinsi Banten Kode Pos: 15148</t>
  </si>
  <si>
    <t>RS Umum Hermina Cilegon</t>
  </si>
  <si>
    <t>Kawasan PT. Bonauli Real Estate Jl. Terusan Bonakarta Rt 01/01</t>
  </si>
  <si>
    <t>RS Tk. IV Kencana Serang</t>
  </si>
  <si>
    <t>Jl. A. Yani No. 21-23 Serang</t>
  </si>
  <si>
    <t>RS Kurnia Serang</t>
  </si>
  <si>
    <t>Jl. Raya Cilegon KM 8 Kramatwatu</t>
  </si>
  <si>
    <t>RS Krakatau Medika</t>
  </si>
  <si>
    <t>Jl. Semang Raya No. 01</t>
  </si>
  <si>
    <t>RS Mitra Keluarga Gading Serpong</t>
  </si>
  <si>
    <t>Jl. Kp. Anggris, Kelurahan Medang, Kecamatan Pagedangan, Kabupaten Tangerang</t>
  </si>
  <si>
    <t>RS Umum Hermina Tangerang</t>
  </si>
  <si>
    <t>Jl. KS, Tubun No.10 Kel. Pasar Baru Kec. Karawaci Kota Tangerang</t>
  </si>
  <si>
    <t>RS Sari Asih Ciledug</t>
  </si>
  <si>
    <t>JL. HOS Cokroaminoto No 38 Ciledug, Desa/Kelurahan Sudimara Timur, Kec. Ciledug, Kota Tangerang, Provinsi Banten, Kode Pos: 15151</t>
  </si>
  <si>
    <t>RS Khusus Jiwa Dharma Graha</t>
  </si>
  <si>
    <t>Jl. Raya Astek No. 17 Lengkong Gudang Timur Serpong</t>
  </si>
  <si>
    <t>RS Medika Lestari</t>
  </si>
  <si>
    <t>Jl. HOS Cokroaminoto Perum Pondok Lestari Blok C1 No.1-2 Ciledug, Kota Tangerang - Banten</t>
  </si>
  <si>
    <t>RS Mitra Husada</t>
  </si>
  <si>
    <t>Jl. Kp. Melayu Barat No. 11A Teluk Naga - Tangerang -  Banten</t>
  </si>
  <si>
    <t>RS Ibu dan Anak Dhia</t>
  </si>
  <si>
    <t>Jl. Cendrawasih No. 90 Sawah Lama, Ciputat, Tangerang Selatan, Banten 15413</t>
  </si>
  <si>
    <t>RS Ibu dan Anak Assyifa</t>
  </si>
  <si>
    <t>Jl. Paus Raya No.1, RT.002/RW.004, Karawaci Baru, Kec. Karawaci, Kota Tangerang, Banten 15116</t>
  </si>
  <si>
    <t>RS An-Nisa</t>
  </si>
  <si>
    <t>Jl. Gatot Subroto No. 96 Km. 3 Kel. Uwung Jaya Kec. Cibodas Tangerang</t>
  </si>
  <si>
    <t>RS Khusus THT-Bedah KL Proklamasi BSD</t>
  </si>
  <si>
    <t>Commercial Park Central Business of District BSD Kav.7 Tangerang Selatan</t>
  </si>
  <si>
    <t>Brawijaya Hospital Tangerang</t>
  </si>
  <si>
    <t>Jl. KH. Mas Mansyur No. 2 Kunciran Tangerang</t>
  </si>
  <si>
    <t>RS Umum Hermina Bitung</t>
  </si>
  <si>
    <t>JL. RAYA SERANG KM 10 POS BITUNG KEC. CURUG KAB. TANGERANG - BANTEN</t>
  </si>
  <si>
    <t>RS Permata Hati</t>
  </si>
  <si>
    <t>Jl. Raya Serang KM. 12,5 Kp. Cirewed, Kel.Sukadamai Kec.Cikupa</t>
  </si>
  <si>
    <t>RS Otika Medika</t>
  </si>
  <si>
    <t>Jl. Raya Serang Pandeglang KM. 11 Kampung Pertanian RT.003/RW.001 Desa Baros, Kecamatan Baros, Kabupaten Serang, Provinsi Banten.</t>
  </si>
  <si>
    <t>RS Benggala</t>
  </si>
  <si>
    <t>Jl. Yusuf Martadilaga No. 56 . RT 03 / RW 09. Kel Cipare. Kec Serang. Banten. 42117</t>
  </si>
  <si>
    <t>RS Syarif Hidayatullah</t>
  </si>
  <si>
    <t>Jl. Ir. H. Juanda No. 95, Ciputat Timur</t>
  </si>
  <si>
    <t>RS Ibu dan Anak Vitalaya</t>
  </si>
  <si>
    <t>Jl. Raya Siliwangi No. 50  Pondok Benda, Pamulang, Tangerang Selatan 15416</t>
  </si>
  <si>
    <t>RS Umum Primaya Pasar Kemis</t>
  </si>
  <si>
    <t>Jl. Raya Pasar  RT. 004 RW. 002 Kel. Kutajaya Kec. Pasar Kemis</t>
  </si>
  <si>
    <t>RS Ibu dan Anak Tiara</t>
  </si>
  <si>
    <t>Jl. Raya serang KM 14.5 No.1 Pasir Gadung</t>
  </si>
  <si>
    <t>RS Kurnia</t>
  </si>
  <si>
    <t>Jl. Jombang Masjid No.4 Cilegon</t>
  </si>
  <si>
    <t>RS Umum Daerah Berkah Pandeglang</t>
  </si>
  <si>
    <t>Jl. Raya Labuan KM. 5, Desa/Kelurahan Paluruhan, Kec Kaduhejo, Kab.Pandeglang, Provinsi Banten, Kode Pos 42253</t>
  </si>
  <si>
    <t>RS Karang Tengah Medika</t>
  </si>
  <si>
    <t>Jl. Karyawan IV Kec Karang Tengah Ciledug</t>
  </si>
  <si>
    <t>RS Hermina Ciledug</t>
  </si>
  <si>
    <t>Jl. Dr. Cipto Mangunkusumo No. 3 Kec. Ciledug</t>
  </si>
  <si>
    <t>RS Umum Daerah Tigaraksa</t>
  </si>
  <si>
    <t>Jl. Tigaraksa-Adiyasa, Kel/Desa Kadu Agung, Kec. Tigaraksa, Kab. Tangerang, Prov Banten, Kode Pos: 15720</t>
  </si>
  <si>
    <t>RS Ibu dan Anak Permata Dalima</t>
  </si>
  <si>
    <t>Bumi Serpong Damai Sektor 1-2 Blok K/5-UA/26-27,Tangerang</t>
  </si>
  <si>
    <t>RS Umum Ibunda</t>
  </si>
  <si>
    <t>Jl. Ki Uju No. 1 Kaujon Masjid Kuno Kel. Serang Kec. Serang</t>
  </si>
  <si>
    <t>RS Bhayangkara Tk. IV Biddokkes Polda Banten</t>
  </si>
  <si>
    <t>Jl. Raya Serang Pandeglang KM. 2 Sempu Cipare Serang</t>
  </si>
  <si>
    <t>RS Premier Bintaro</t>
  </si>
  <si>
    <t>Jl. MH. Thamrin No. 1 Sektor 7 Bintaro Jaya Tangerang</t>
  </si>
  <si>
    <t>RS Cinta Kasih</t>
  </si>
  <si>
    <t>Jl.Ciputat Baru Raya No.10, Ciputat</t>
  </si>
  <si>
    <t>RS Ibu dan Anak Puri Garcia</t>
  </si>
  <si>
    <t>Jl. Griya Purnama No. 99, Drangong, Kecamatan Taktakan, Kota Serang, Provinsi Banten</t>
  </si>
  <si>
    <t>RS Pondok Indah Bintaro Jaya</t>
  </si>
  <si>
    <t>CBD Emerald Blok CE/C No. 01, Boulevard Bintaro Jaya</t>
  </si>
  <si>
    <t>RS Hermina Periuk Tangerang</t>
  </si>
  <si>
    <t>Jl. Moh. Toha Kp. Nagrak RT.004/006 Kel.Periuk, Kec. Periuk</t>
  </si>
  <si>
    <t>RS Daan Mogot Kesdam Jaya</t>
  </si>
  <si>
    <t>Jl. Daan Mogot No. 59 Kota Tangerang</t>
  </si>
  <si>
    <t>RS Hermina Ciputat</t>
  </si>
  <si>
    <t>Jl Ciputat Raya No 2 Kertamukti Ciputat</t>
  </si>
  <si>
    <t>RS Umum Murni Asih</t>
  </si>
  <si>
    <t>Jl. Raya Legok No.86, Rt 2/Rw 1 Kelurahan Medang, Kecamatan Pagedangan, Kabupaten Tangerang -15810 Banten</t>
  </si>
  <si>
    <t>RS Citra Arafiq Serang</t>
  </si>
  <si>
    <t>Jl. Raya Serang-Pandeglang, Tembong, Cipocok Jaya</t>
  </si>
  <si>
    <t>RS EMC Alam Sutera</t>
  </si>
  <si>
    <t>Jl. Alam Sutera Boulevard Kav. 25 Tangerang</t>
  </si>
  <si>
    <t>RS Umum Aulia Pandeglang</t>
  </si>
  <si>
    <t>Jl. Raya Labuan-Pandeglang KM. 12 Menes Pandeglang 42262. Kp Soreang Desa Menes Kecamatan Menes. Desa Menes, Kecamatan Menes, Kabupaten Pandeglang, Provinsi Banten.</t>
  </si>
  <si>
    <t>RS Bethsaida Hospital Serang</t>
  </si>
  <si>
    <t>Jl. Lingkar Selatan Cilegon Km. 1,8 , Kel/Desa Harjatani, Kec. Kramatwatu</t>
  </si>
  <si>
    <t>RS Ciputra</t>
  </si>
  <si>
    <t>Jl. Citra Raya Boulevard Blok V.00/08, Tangerang</t>
  </si>
  <si>
    <t>RS Melati</t>
  </si>
  <si>
    <t>Jl. Merdeka No. 92, Kelurahan Gerendeng, Kecamatan Karawaci, Kota Tangerang, Provinsi Banten.</t>
  </si>
  <si>
    <t>RS Umum Dharma Kerti</t>
  </si>
  <si>
    <t>Bali</t>
  </si>
  <si>
    <t>Tabanan</t>
  </si>
  <si>
    <t>Jl. Teratai No. 16 Dauh Pala</t>
  </si>
  <si>
    <t>RS Umum Surya Husadha</t>
  </si>
  <si>
    <t>Kota Denpasar</t>
  </si>
  <si>
    <t>Jl. Pulau Serangan No. 7 Denpasar</t>
  </si>
  <si>
    <t>RS Umum Surya Husadha Nusa Dua</t>
  </si>
  <si>
    <t>Badung</t>
  </si>
  <si>
    <t>Jl. Siligita Blok I No 14, Nusa Dua, Kuta Selatan</t>
  </si>
  <si>
    <t>RS Umum Kasih Ibu Tabanan</t>
  </si>
  <si>
    <t>Jl. Flamboyan No.9 kampung Kodok. Tegal Belodan, Tabanan</t>
  </si>
  <si>
    <t>RS Umum Payangan</t>
  </si>
  <si>
    <t>Gianyar</t>
  </si>
  <si>
    <t>Jl. Giri Kesuma, Br. Melinggih, Kecamatan Payangan, Kabupaten Gianyar, Provinsi Bali</t>
  </si>
  <si>
    <t>RS Umum Kertha Usadha</t>
  </si>
  <si>
    <t>Buleleng</t>
  </si>
  <si>
    <t>Jl. Cendrawasih No. 5-7 Singaraja</t>
  </si>
  <si>
    <t>Organisasi Hindu</t>
  </si>
  <si>
    <t>Jl. Gatot Subroto VI No. 19 Denpasar</t>
  </si>
  <si>
    <t>RS Umum Daerah Sanjiwani Gianyar</t>
  </si>
  <si>
    <t>Jl. Ciung Wenara No. 2 Gianyar</t>
  </si>
  <si>
    <t>RS Umum Kasih Ibu Saba</t>
  </si>
  <si>
    <t>Jl. Raya Pantai Saba No. 9, Saba, Blahbatuh, Gianyar (80581)</t>
  </si>
  <si>
    <t>RS Umum Daerah Singasana</t>
  </si>
  <si>
    <t>Banjar Tegal Antugan, Desa Nyitdah, Kec. Kediri , Kab.Tabanan, Prov.Bali, 82121.</t>
  </si>
  <si>
    <t>RS Umum Dharma Yadnya</t>
  </si>
  <si>
    <t>Jl. WR. Supratman 256 Denpasar</t>
  </si>
  <si>
    <t>RS Umum Semara Ratih</t>
  </si>
  <si>
    <t>Jalan Raya Denpasar - Singaraja, Banjar Luwus, Desa Luwus, Kecamatan Baturiti, Kabupaten Tabanan, Provinsi Bali</t>
  </si>
  <si>
    <t>RS Umum Bhakti Rahayu Tabanan</t>
  </si>
  <si>
    <t>Jl. Batukaru No.2 Tuakilang Tabanan</t>
  </si>
  <si>
    <t>RSUP Prof. Dr. I.G.N.G. Ngoerah</t>
  </si>
  <si>
    <t>Jl. Diponegoro Denpasar Bali</t>
  </si>
  <si>
    <t>RS Umum Balimed Karangasem</t>
  </si>
  <si>
    <t>Karangasem</t>
  </si>
  <si>
    <t>Jl. Nenas, Kecicang, Karangasem</t>
  </si>
  <si>
    <t>RS Umum Daerah Bangli</t>
  </si>
  <si>
    <t>Bangli</t>
  </si>
  <si>
    <t>Jl. Brigjen Ngurah Rai No. 99X Bangli</t>
  </si>
  <si>
    <t>RS Umum Daerah Bali Mandara Provinsi Bali</t>
  </si>
  <si>
    <t>Jl. By Pass Ngurah Rai No 548 Denpasar</t>
  </si>
  <si>
    <t>RS Umum Famili Husada</t>
  </si>
  <si>
    <t>Jl. Astina Timur No. 8A Samplangan, Kecamatan Gianyar, Kabupaten Gianyar</t>
  </si>
  <si>
    <t>RS Umum Bhakti Rahayu</t>
  </si>
  <si>
    <t>Jl. Gatot Subroto II /11 Denpasar</t>
  </si>
  <si>
    <t>RS Umum Shanti Graha</t>
  </si>
  <si>
    <t>Desa Sulanyah, Kecamatan Seririt, Singaraja</t>
  </si>
  <si>
    <t>RS Bali Jimbaran</t>
  </si>
  <si>
    <t>Jl. Raya Kampus Unud No.52, Jimbaran, Kec. Kuta Sel., Kabupaten Badung, Bali</t>
  </si>
  <si>
    <t>RS Umum Parama Sidhi</t>
  </si>
  <si>
    <t>Jl. Ahmad Yani No.171 A Baktiseraga, Singaraja</t>
  </si>
  <si>
    <t>RS Balimed Buleleng</t>
  </si>
  <si>
    <t>Jl. Gunung Lempuyang, Singaraja, Banjar Tegal</t>
  </si>
  <si>
    <t>RS Bhayangkara Denpasar</t>
  </si>
  <si>
    <t>Jl. Trijata no.32 Denpasar</t>
  </si>
  <si>
    <t>RS Khusus Bedah BIMC Nusa Dua</t>
  </si>
  <si>
    <t>Kawasan ITDC Blok D, Nusa Dua, Badung</t>
  </si>
  <si>
    <t>RS Ibu dan Anak Puri Bunda Singaraja</t>
  </si>
  <si>
    <t>Jl. Pulau Komodo No. 6 Banyuning</t>
  </si>
  <si>
    <t>RS Umum Daerah Giri Emas</t>
  </si>
  <si>
    <t>Jl. Raya Sangsit, Desa Giri Emas Kecamatan Sawan Kabupaten Buleleng</t>
  </si>
  <si>
    <t>RS Ibu dan Anak Bali Royal (Bros Ina)</t>
  </si>
  <si>
    <t>Jl. Tantular Barat, Desa/Kelurahan Dangin Puri Kelod</t>
  </si>
  <si>
    <t>RS TK. II Udayana</t>
  </si>
  <si>
    <t>Jl. PB. Sudirman No. 1 Denpasar</t>
  </si>
  <si>
    <t>RS Umum Daerah Gema Santi Nusa Penida</t>
  </si>
  <si>
    <t>Klungkung</t>
  </si>
  <si>
    <t>Banjar Nyuh, Desa Ped, Kecamatan Nusa Penida</t>
  </si>
  <si>
    <t>RS Umum Ganesha</t>
  </si>
  <si>
    <t>Jl Raya Celuk Sukawati</t>
  </si>
  <si>
    <t>RS Umum Daerah Negara</t>
  </si>
  <si>
    <t>Jembrana</t>
  </si>
  <si>
    <t>Jl. Wijaya Kusuma No. 17 Kel. Baler Bale Agung Kec. Negara</t>
  </si>
  <si>
    <t>RS Umum Grha Bhakti Medika</t>
  </si>
  <si>
    <t>Jl. By Pass Prof. Dr. Ida Bagus Mantra Desa Negari Kec. Banjarangkan</t>
  </si>
  <si>
    <t>RS Umum Daerah Karangasem</t>
  </si>
  <si>
    <t>Jl. Ngurah Rai No. 58 Amlapura</t>
  </si>
  <si>
    <t>RS Gigi dan Mulut Saraswati Denpasar</t>
  </si>
  <si>
    <t>Jl. Kamboja No. 11 A Denpasar</t>
  </si>
  <si>
    <t>RS Umum Bintang</t>
  </si>
  <si>
    <t>Jl. Ngurah Rai No. 10</t>
  </si>
  <si>
    <t>RS Windu Husada</t>
  </si>
  <si>
    <t>Jl. Raya Mambal-Ubud, Mekar Bhuwana, Kec. Abiansemal</t>
  </si>
  <si>
    <t>RS Umum Bali Royal</t>
  </si>
  <si>
    <t>JL. Letda Tantular No. 6 Denpasar</t>
  </si>
  <si>
    <t>RS Umum Kasih Ibu Kedonganan</t>
  </si>
  <si>
    <t>Jl. Uluwatu No. 69 Kedonganan, Kuta, Badung</t>
  </si>
  <si>
    <t>RS Khusus Mata Bali Mandara</t>
  </si>
  <si>
    <t>Jl. Angsoka No. 8 Denpasar</t>
  </si>
  <si>
    <t>RS Umum Daerah Tabanan</t>
  </si>
  <si>
    <t>Jl. Pahlawan No. 14 Tabanan Bali</t>
  </si>
  <si>
    <t>RS Umum Bangli Medika Canti</t>
  </si>
  <si>
    <t>Jl. Tirta Giri Kutri, LC Subak Aya, Bebalang</t>
  </si>
  <si>
    <t>RS Umum Ari Canti</t>
  </si>
  <si>
    <t>Jl. Raya Mas Ubud, Kab.Gianyar</t>
  </si>
  <si>
    <t>RS Tk. IV Singaraja</t>
  </si>
  <si>
    <t>Jl. Ngurah Rai No. 70 Singaraja</t>
  </si>
  <si>
    <t>RS Kasna Medika</t>
  </si>
  <si>
    <t>Jl. Raya Singaraja Amlapura, Desa Tianyar Barat, Kec. Kubu</t>
  </si>
  <si>
    <t>RS Umum Balimed</t>
  </si>
  <si>
    <t>Jl.Mahendradatta No.57,Denpasar Bali</t>
  </si>
  <si>
    <t>RS Umum Murni Teguh Tuban Bali</t>
  </si>
  <si>
    <t>Jl. Raya Tuban N0.1A/45, Tuban Kuta Kab. Badung</t>
  </si>
  <si>
    <t>RS Khusus Bedah BIMC</t>
  </si>
  <si>
    <t>Jl. By Pass Ngurah Rai No. 100X Kuta Badung</t>
  </si>
  <si>
    <t>Jl. Teuku Umar 120 Denpasar</t>
  </si>
  <si>
    <t>RS Umum Bali Holistik</t>
  </si>
  <si>
    <t>Jl. Raya Umabian Desa Belayu, Kec. Marga Kab. Tabanan, Bali</t>
  </si>
  <si>
    <t>RS umum Karya Dharma Husada</t>
  </si>
  <si>
    <t>Jl. Yudistra No. 7 Singaraja</t>
  </si>
  <si>
    <t>RS Ibu dan Anak Puri Bunda Tabanan</t>
  </si>
  <si>
    <t>Jl. By Pass Ir. Soekarno Kediri</t>
  </si>
  <si>
    <t>RS Pratama Kubu</t>
  </si>
  <si>
    <t>Dusun Labuan Sari, Desa Tianyar Barat, Kecamatan Kubu, Kabupaten Karangasem, Provinsi Bali</t>
  </si>
  <si>
    <t>RS Kenak Medika</t>
  </si>
  <si>
    <t>Banjar Batanancak Jl. Raya Mas Ubud Gianyar</t>
  </si>
  <si>
    <t>RS Universitas Udayana</t>
  </si>
  <si>
    <t>Jl. Rumah Sakit Universitas Udayana No. 1, Lingk. Perarudan Kel. Jimbaran Kec. Kuta Selatan</t>
  </si>
  <si>
    <t>RS Ibu dan Anak Bunda Denpasar</t>
  </si>
  <si>
    <t>Jl. Gatot Subroto Barat 455X</t>
  </si>
  <si>
    <t>RS Umum Daerah Klungkung</t>
  </si>
  <si>
    <t>Jl. Flamboyan No. 40 Semarapura, Kecamatan Klungkung, Kabupaten Klungkung - Bali</t>
  </si>
  <si>
    <t>RS Umum Balimed Negara</t>
  </si>
  <si>
    <t>Jl. Hayam Wuruk No. 23 Negara, Dangintukadaya, Kecamatan Jembrana, 82218</t>
  </si>
  <si>
    <t>RS Umum Puri Raharja</t>
  </si>
  <si>
    <t>Jl. WR. Supratman 14  dan 19 Denpasar</t>
  </si>
  <si>
    <t>RS Khusus Ibu dan Anak Pucuk Permata Hati</t>
  </si>
  <si>
    <t>Jalan Teuku Umar Barat NO. 71 xx, Kelurahan Padang Sambian Kelod, Kecamatan Denpasar Barat, Denpasar - Bali</t>
  </si>
  <si>
    <t>RS Daerah Mangusada</t>
  </si>
  <si>
    <t>Jl. Raya Kapal Mengwi, Badung, Bali</t>
  </si>
  <si>
    <t>RS Umum Garba Med</t>
  </si>
  <si>
    <t>Jl. Raya Kerobokan No. 53 Lingkungan Jambe Kerobokan Kuta Utara</t>
  </si>
  <si>
    <t>RS Umum Daerah Wangaya</t>
  </si>
  <si>
    <t>Jl. Kartini No. 133 Denpasar</t>
  </si>
  <si>
    <t>RS Khusus Mata Ramata</t>
  </si>
  <si>
    <t>Jl. Gatot Subroto Barat No. 429</t>
  </si>
  <si>
    <t>RS Jiwa Provinsi Bali</t>
  </si>
  <si>
    <t>Jl.Kusuma Yudha No. 29 Bangli</t>
  </si>
  <si>
    <t>RS Umum Premagana</t>
  </si>
  <si>
    <t>Jalan Hyang Sangsi No.2 Komplek Perumahan Chandra Ayu, Banjar Tubuh, Batubulan Sukawati</t>
  </si>
  <si>
    <t>Jl. Ir. Soekarno Nomor 88X Gerokgak Gede Tabanan</t>
  </si>
  <si>
    <t>Jl. Tukad Unda No. 1 , Banjar Sembung Sari, Desa Sumerta Kelod, Kecamatan Denpasar Timur, Kota Denpasar, Propinsi Bali.</t>
  </si>
  <si>
    <t>Jl. Kecubung No. 22 Samarapura</t>
  </si>
  <si>
    <t>RS Umum Siloam Bali</t>
  </si>
  <si>
    <t>Jl. Sunset Road No. 818 Kel. Kuta, Kec Kuta</t>
  </si>
  <si>
    <t>RS Umum Daerah Tangguwisia</t>
  </si>
  <si>
    <t>Jl. Singaraja-Seriri, Desa Tangguwisia, Kecamatan Seririt, Kabupaten Buleleng, Provinsi Bali</t>
  </si>
  <si>
    <t>RS Umum Wisma Prashanti</t>
  </si>
  <si>
    <t>Jl. Yeh Gangga No. 9</t>
  </si>
  <si>
    <t>RS Umum Manuaba</t>
  </si>
  <si>
    <t>Jl. Cokroaminoto 28 Denpasar</t>
  </si>
  <si>
    <t>RS Khusus Bedah Dharma Usadha Sidhi</t>
  </si>
  <si>
    <t>Jl. Serma Kawi No 13-17 Denpasar</t>
  </si>
  <si>
    <t>RS Umum Kertayasa</t>
  </si>
  <si>
    <t>Jl. Ngurah Rai 143 Negara</t>
  </si>
  <si>
    <t>RS Umum Daerah Kab. Buleleng</t>
  </si>
  <si>
    <t>Jl. Ngurah Rai 30 Singaraja</t>
  </si>
  <si>
    <t>Jl. Raya Sesetan No.10 Kota Denpasar</t>
  </si>
  <si>
    <t>Jl. Rajawali No. 36, Kelurahan Pendem, Kecamatan Jembrana</t>
  </si>
  <si>
    <t>Jl. Cokroaminoto No. 356 Denpasar</t>
  </si>
  <si>
    <t>RS Umum Daerah Lombok Timur</t>
  </si>
  <si>
    <t>Nusa Tenggara Barat</t>
  </si>
  <si>
    <t>Lombok Timur</t>
  </si>
  <si>
    <t>Jl. HOS Cokroaminoto No. 31 Desa Labuhan Haji Kecamatan Labuhan Haji Lombok Timur</t>
  </si>
  <si>
    <t>RS Umum Kab. Lombok Utara</t>
  </si>
  <si>
    <t>Lombok Utara</t>
  </si>
  <si>
    <t>Jl. Raya Tioq Tata Tunaq, Tanjung Lombok Utara</t>
  </si>
  <si>
    <t>RS Umum Bima</t>
  </si>
  <si>
    <t>Bima</t>
  </si>
  <si>
    <t>Jl. Langsat No. 1 Kel. Rabangodu Selatan, Kec. Raba</t>
  </si>
  <si>
    <t>RS Metro Medika</t>
  </si>
  <si>
    <t>Kota Mataram</t>
  </si>
  <si>
    <t>JL. Jenderal Sudirman No. 18A Rembiga, Selaparang, Mataram, NTB</t>
  </si>
  <si>
    <t>RS H. L. Manambai Abdulkadir</t>
  </si>
  <si>
    <t>Sumbawa</t>
  </si>
  <si>
    <t>Jl. Lintas Sumbawa-Bima KM. 5 Sumbawa Besar</t>
  </si>
  <si>
    <t>RS Universitas Mataram</t>
  </si>
  <si>
    <t>Jl. Majapahit No. 62 Mataram</t>
  </si>
  <si>
    <t>RS Ibu dan Anak Kuncup Bunga</t>
  </si>
  <si>
    <t>Jl. DR. Cipto MangunKusumo No. 16 Kel. Majdi Kec. Selong, Prov. Nusa Tenggara Barat</t>
  </si>
  <si>
    <t>RS Angkatan Darat REM Wira Bhakti Mataram</t>
  </si>
  <si>
    <t>Jl. HOS Cokroaminoto 7 Mataram</t>
  </si>
  <si>
    <t>RS Bio Medika</t>
  </si>
  <si>
    <t>Jl. Bung Karno No. 143 Pagutan Barat, Kecamatan Mataram, Mataram, NTB</t>
  </si>
  <si>
    <t>RS Mata Nusa Tenggara Barat</t>
  </si>
  <si>
    <t>Jl. Harimau No 1 kelurahan Pejanggik, Kecamatan Mataram, Kota mataram, Provinsi Nusa Tenggara Barat</t>
  </si>
  <si>
    <t>RS Umum Praya</t>
  </si>
  <si>
    <t>Lombok Tengah</t>
  </si>
  <si>
    <t>Jalan Haji Lalu Hasyim, Kelurahan Tiwu Galih, Kecamatan  Praya. Kabupaten Lombok Tengah, Provinsi Nusa Tenggara Barat. Kode Pos: 83518</t>
  </si>
  <si>
    <t>RS Umum Khatolik Saint Antonius  Ampenan</t>
  </si>
  <si>
    <t>Jl. Koperasi no 61 Ampenan Utara, Kecamatan Ampenan, Kota Mataram, Propinsi Nusa Tenggara Barat Kode Pos 83111</t>
  </si>
  <si>
    <t>JL. MAJAPAHIT NO. 10C MATARAM</t>
  </si>
  <si>
    <t>RS Umum Daerah Asy-Syifa Sumbawa Barat</t>
  </si>
  <si>
    <t>Sumbawa Barat</t>
  </si>
  <si>
    <t>Jln Lang Sesat Taliwang</t>
  </si>
  <si>
    <t>RS Umum Daerah Dr. R. Soedjono Selong</t>
  </si>
  <si>
    <t>Jl. Prof M. Yamin, SH. No. 55 Selong, 83612</t>
  </si>
  <si>
    <t>RS Tk. IV Sultan Abdul Kahir II Bima</t>
  </si>
  <si>
    <t>Kota Bima</t>
  </si>
  <si>
    <t>Jl. Jendral Sudirman No. 27 Kel. Rabangodu Utara Kec. Raba Kota Bima NTB</t>
  </si>
  <si>
    <t>RS Umum Daerah Patuh Karya</t>
  </si>
  <si>
    <t>Jl. Arjanjang, Selebung Ketangga, Kecamatan Keruak Kabupaten Lombok Timur NTB</t>
  </si>
  <si>
    <t>RS Umum Daerah Kota Bima</t>
  </si>
  <si>
    <t>Jl. Datuk Dibanta Kelurahan Jatiwangi Kecamatan Asakota, Kota Bima Provinsi Nusa Tenggara Barat</t>
  </si>
  <si>
    <t>RS Bhayangkara Mataram</t>
  </si>
  <si>
    <t>Jl. Langko No.64,Mataram</t>
  </si>
  <si>
    <t>RS Abdul Malik Fadjar</t>
  </si>
  <si>
    <t>Jl. Hasanuddin No. 33, RT 003 RW 003, Kelurahan Bugis, Kecamatan Sumbawa, Kabupaten Sumbawa, Provinsi Nusa Tenggara Barat</t>
  </si>
  <si>
    <t>RS Umum Dompu</t>
  </si>
  <si>
    <t>Dompu</t>
  </si>
  <si>
    <t>Jl. Kesehatan No. 1 Kel.Bada Kec.Dompu Kab.Dompu Provinsi Nusa Tenggara Barat</t>
  </si>
  <si>
    <t>RS Ibu dan Anak Permata Hati Lombok Timur</t>
  </si>
  <si>
    <t>Jl. Raya Masbagik Selong Dusun Tanak Malit Selatan Kel. Masbagik Selatan Kab. Lombok Timur</t>
  </si>
  <si>
    <t>RS Harapan Keluarga</t>
  </si>
  <si>
    <t>Jl. Ahmad Yani No. 9 Selagalas, Kec. Sandubaya, Mataram</t>
  </si>
  <si>
    <t>RS Lotim Medical Center</t>
  </si>
  <si>
    <t>Jl. Pejanggik No. 78A Kelurahan Rakam, Kecamatan Selong, Kab. Lombok Timur. Provinsi NTB</t>
  </si>
  <si>
    <t>RS Umum Daerah Provinsi NTB</t>
  </si>
  <si>
    <t>Jl. Prabu Rangkasari Dasan Cermen</t>
  </si>
  <si>
    <t>RS Islam Namira</t>
  </si>
  <si>
    <t>Jl. K.H. Akhmad Dahlan No 17 Pancor</t>
  </si>
  <si>
    <t>RS Umum Daerah Patut Patuh Patju</t>
  </si>
  <si>
    <t>Lombok Barat</t>
  </si>
  <si>
    <t>Jl. H. Lalu Anggrat BA No. 2 Gerung</t>
  </si>
  <si>
    <t>RS Ibu dan Anak Bhumi Bunda</t>
  </si>
  <si>
    <t>Jl.Basuki Rahmat No.90 Ketejer, Gerunung, Praya Kab. Lombok Tengah Provinsi NTB</t>
  </si>
  <si>
    <t>RS Mandalika Provinsi Nusa Tenggara Barat</t>
  </si>
  <si>
    <t>Jl. Kuta Lombok, Sengkol, Kec. Pujut</t>
  </si>
  <si>
    <t>RS Umum Daerah Awet Muda Narmada</t>
  </si>
  <si>
    <t>Jl. Ahmad Yani No. 69 Telaga Ngembeng Narmada Lombok Barat</t>
  </si>
  <si>
    <t>RS Islam Siti Hajar</t>
  </si>
  <si>
    <t>Jl. Catur Warga Mataram, Kelurahan Mataram Timur, Kecamatan Mataram, Kota Mataram 83126</t>
  </si>
  <si>
    <t>RS Umum Daerah Sondosia Kab. Bima</t>
  </si>
  <si>
    <t>Jl. Lintas Sumbawa Desa Sondosia Kec. Bolo Kab. Bima, NTB</t>
  </si>
  <si>
    <t>Jl. Gajah Mada, Keluarahan Leneng, Kecamatan Praya</t>
  </si>
  <si>
    <t>RS Umum Daerah Selaparang</t>
  </si>
  <si>
    <t>Jl. Wisata Gunung Rinjani Desa Suela Kec. Suela Kab. Lombok Timur</t>
  </si>
  <si>
    <t>RS Islam S. Anggoro</t>
  </si>
  <si>
    <t>Jl. Raya Terara Desa Terara Kecamatan Terara Kabupaten Lombok Timur Provinsi Nusa Tenggara Barat</t>
  </si>
  <si>
    <t>RS dr. Agung</t>
  </si>
  <si>
    <t>Jln. Ir. Sutami No. 1 Kelurahan Rabadompu Barat, Kecamatan Raba, Kota Bima, Provinsi NTB.</t>
  </si>
  <si>
    <t>RS Islam Yatofa</t>
  </si>
  <si>
    <t>Jalan Raya Praya - Mantang. Km.7. Desa Montong Terep, Kecamatan Praya, Kabupaten Lombok Tengah, Provinsi Nusa Tenggara Barat</t>
  </si>
  <si>
    <t>RS Ibu dan Anak Tresna</t>
  </si>
  <si>
    <t>Jl. Bung Karno No. 28 Mataram , Kelurahan Mataram Timur,  Kecamatan Mataram, Kota Mataram,  Nusa Tenggara Barat</t>
  </si>
  <si>
    <t>RS Jiwa Mutiara Sukma</t>
  </si>
  <si>
    <t>Jalan Ahmad Yani No. 1 Kelurahan Selagalas Kecamatan Sandubaya Kota Mataram 83125</t>
  </si>
  <si>
    <t>RS Umum Daerah Kota Mataram</t>
  </si>
  <si>
    <t>Jl. Bung Karno No.3 Pagesangan Timur, Mataram</t>
  </si>
  <si>
    <t>Siloam Hospitals Mataram</t>
  </si>
  <si>
    <t>JL.MAJAPAHIT NO.10 MATARAM</t>
  </si>
  <si>
    <t>RS Umum Sumbawa</t>
  </si>
  <si>
    <t>Jl. Sultan Kaharuddin Desa/Kel. Kerato Kec. Unteriwis Kab. Sumbawa</t>
  </si>
  <si>
    <t>RS PKU Muhammadiyah Bima</t>
  </si>
  <si>
    <t>JL.Gajah Mada, No.6, Desa/Kelurahan Monggonao,kec. Mpunda, Kota Bima, Provinsi Nusa Tenggara Barat</t>
  </si>
  <si>
    <t>RS Umum Adikarsa</t>
  </si>
  <si>
    <t>Jl. Basuki Rahmat 110, Praya, Lombok Tengah, Nusa Tenggara Barat</t>
  </si>
  <si>
    <t>RS Umum Daerah Manggelewa</t>
  </si>
  <si>
    <t>Jl. Lintas Calabai Desa Doromelo Kecamatan Manggelewa Kabupaten Dompu Provinsi Nusa Tenggara Barat</t>
  </si>
  <si>
    <t>RS Risa Sentra Medika</t>
  </si>
  <si>
    <t>Jl. Pejanggik No.115 Cakranegara Mataram</t>
  </si>
  <si>
    <t>RS St Antonius Jopu</t>
  </si>
  <si>
    <t>Nusa Tenggara Timur</t>
  </si>
  <si>
    <t>Ende</t>
  </si>
  <si>
    <t>JLN. WOLOWARU-NGGELA RT 018/RW 009, DESA JOPU, KEC. WOLOWARU</t>
  </si>
  <si>
    <t>RS Ibu dan Anak Dedari</t>
  </si>
  <si>
    <t>Kota Kupang</t>
  </si>
  <si>
    <t>Jl. Rantai Damai No. 69 D, Kel. Tuak Daun Merah.</t>
  </si>
  <si>
    <t>RS Umum Imanuel Sumba</t>
  </si>
  <si>
    <t>Sumba Timur</t>
  </si>
  <si>
    <t>Jl. Nangka No.4,Waingapu-Sumba Timur</t>
  </si>
  <si>
    <t>RS Umum Daerah dr. Hendrikus Fernandez Larantuka</t>
  </si>
  <si>
    <t>Flores Timur</t>
  </si>
  <si>
    <t>Jl. Jend. Sudirman No. 33 Kelurahan Sarotari Tengah, Kecamatan Larantuka, Kabupaten Flores Timur, Provinsi Nusa Tenggara Timur</t>
  </si>
  <si>
    <t>RS Siloam Kupang</t>
  </si>
  <si>
    <t>Jl. R. W. Monginsidi Kelurahan Fatululi Kecamatan Oebobo</t>
  </si>
  <si>
    <t>RS Karitas Weetabula</t>
  </si>
  <si>
    <t>Sumba Barat Daya</t>
  </si>
  <si>
    <t>Jl. Bulgur No 1 - Weetebula</t>
  </si>
  <si>
    <t>RS Umum Leona Kupang</t>
  </si>
  <si>
    <t>Jl. Soeverdi No. 20 Oebufu</t>
  </si>
  <si>
    <t>RS Umum Daerah Ruteng</t>
  </si>
  <si>
    <t>Manggarai</t>
  </si>
  <si>
    <t>Jl. Dr. Soetomo No. 1 Ruteng, Kab. Manggarai</t>
  </si>
  <si>
    <t>RS Pratama Adonara</t>
  </si>
  <si>
    <t>Desa Saosina, Kec. Adonara Timur</t>
  </si>
  <si>
    <t>RS Umum Mamami</t>
  </si>
  <si>
    <t>Jl. R. W. Monginsidi I No 3, Kota Kupang Kel. Pasir Panjang, Kec. Kota Lama</t>
  </si>
  <si>
    <t>RS Umum Daerah Reda Bolo</t>
  </si>
  <si>
    <t>Jl. Welonda, Desa Watu Kawula, Kec. Kota Tambolaka, Kab. Sumba Barat Daya</t>
  </si>
  <si>
    <t>RSUD Pratama Raja</t>
  </si>
  <si>
    <t>Nagekeo</t>
  </si>
  <si>
    <t>DESA RAJA TIMUR KECAMATAN BOAWAE KABUPATEN NAGEKEO</t>
  </si>
  <si>
    <t>RS Umum Daerah Kefamenanu</t>
  </si>
  <si>
    <t>Timor Tengah Utara</t>
  </si>
  <si>
    <t>Jl. Letjen Suprapto Kefamenanu</t>
  </si>
  <si>
    <t>RS Damian Lembata</t>
  </si>
  <si>
    <t>Lembata</t>
  </si>
  <si>
    <t>jalan Trans Nagawutung</t>
  </si>
  <si>
    <t>RS Umum Leona Noelbakti</t>
  </si>
  <si>
    <t>Kupang</t>
  </si>
  <si>
    <t>Jl. Timor Raya Km. 17 Noelbaki Kab. Kupang</t>
  </si>
  <si>
    <t>RS TNI AL Lantamal VII Kupang</t>
  </si>
  <si>
    <t>Jl. Yos Sudarso No. 5 Osmok, Kel Namosain Kec.Alak, Kupang</t>
  </si>
  <si>
    <t>RS Kristen Lindimara</t>
  </si>
  <si>
    <t>Jl. Prof.DR WZ. Johannes No.6,Waingapu</t>
  </si>
  <si>
    <t>RS Umum Prof. Dr. WZ Johanes</t>
  </si>
  <si>
    <t>Jl. Dr Moch Hatta No. 19 Kupang, Kel. Oetete. Kec. Oebobo</t>
  </si>
  <si>
    <t>RS Jiwa Naimata</t>
  </si>
  <si>
    <t>Jl. Taebenu RT. 007 RW. 003 Kel. Naimata Kec. Maulafa</t>
  </si>
  <si>
    <t>RS Umum Muder Ignacia</t>
  </si>
  <si>
    <t>Timor Tengah Selatan</t>
  </si>
  <si>
    <t>Jalan Kakatua No. 38 Kelurahan Nunumeu Kecamatan Kota Soe</t>
  </si>
  <si>
    <t>RS Umum Daerah Borong</t>
  </si>
  <si>
    <t>Manggarai Timur</t>
  </si>
  <si>
    <t>Lehong, Desa Gurung Liwut, Kecamatan Borong</t>
  </si>
  <si>
    <t>RS Katholik Marianum Halilulik</t>
  </si>
  <si>
    <t>Belu</t>
  </si>
  <si>
    <t>Jl. Raya Halilulik - Betun, Dusun Halibaurenes</t>
  </si>
  <si>
    <t>RS Umum Dr TC Hillers Maumere</t>
  </si>
  <si>
    <t>Sikka</t>
  </si>
  <si>
    <t>Jl. Wairklau, Kel. Kota Uneng, Kec. Alok, Kabupaten Sikka, Nusa Tenggara Timur</t>
  </si>
  <si>
    <t>RS Umum Pusat dr. Ben Mboi</t>
  </si>
  <si>
    <t>Jl. Viquam RT.15/RW.5 Kel. Manulai II Kec. Alak, Kota Kupang Provinsi Nusa Tenggara Timur 85238 Indonesia</t>
  </si>
  <si>
    <t>RS Bhayangkara</t>
  </si>
  <si>
    <t>Jl. Nangka No. 84 Kupang</t>
  </si>
  <si>
    <t>RS Umum Daerah Naibonat</t>
  </si>
  <si>
    <t>Jl. Timor Raya KM.37 Oelamasi, Kupang</t>
  </si>
  <si>
    <t>RS Pratama Kualin</t>
  </si>
  <si>
    <t>Jl. Lintas Selatan, Desa Tuafanu No. 1, Kec. Kualin</t>
  </si>
  <si>
    <t>RS Umum Santo Yoseph Labuan bajo</t>
  </si>
  <si>
    <t>Manggarai Barat</t>
  </si>
  <si>
    <t>Jl. Eduardus Sangsung Kel. Wae Kelambu Kec. Komodo</t>
  </si>
  <si>
    <t>RS Umum Daerah S. K. Lerik</t>
  </si>
  <si>
    <t>Jl. Timor Raya  No. 134 Kelurahan Pasir Panjang Kecamatan Kota Lama Kota Kupang Nusa Tenggara Timur (85227)</t>
  </si>
  <si>
    <t>RS Umum Penyangga Perbatasan Betun</t>
  </si>
  <si>
    <t>Malaka</t>
  </si>
  <si>
    <t>Jl. Sukabihanawa No. 02 Desa Kamanasa Kec.Malaka Tengah,Kabupaten Malaka,Propinsi NTT</t>
  </si>
  <si>
    <t>RS Ibu dan Anak Mitra Ananda</t>
  </si>
  <si>
    <t>Jl. Ahmad Yani No. 29, Waingapu, Sumba Timur, NTT</t>
  </si>
  <si>
    <t>RS Pratama Umbu Hunga Meha Nggongi</t>
  </si>
  <si>
    <t>Jl. Lintas Waingapu-Nggongi, Desa Nggongi Kec. Karera</t>
  </si>
  <si>
    <t>RS Umum Daerah Ende</t>
  </si>
  <si>
    <t>Jl. Prof Dr. WZ.Johanes Ende</t>
  </si>
  <si>
    <t>RS Umum Kelas D Pratama Mola</t>
  </si>
  <si>
    <t>Alor</t>
  </si>
  <si>
    <t>Jl. Masang, RT. 08 RW. 04 Kel. Welai Timur, Kec. Teluk Mutiara</t>
  </si>
  <si>
    <t>RS Kristen Lende Moripa</t>
  </si>
  <si>
    <t>Sumba Barat</t>
  </si>
  <si>
    <t>Jl. El Tari No.2 Waikabubak</t>
  </si>
  <si>
    <t>RS Umum Bajawa</t>
  </si>
  <si>
    <t>Ngada</t>
  </si>
  <si>
    <t>Jl. Diponegoro No. 5, Bajawa</t>
  </si>
  <si>
    <t>RS St. Carolus Borromeus</t>
  </si>
  <si>
    <t>Jl. H.R. Koroh, km. 08, Kel. Bello, Kec. Maulafa, Kota Kupang, NTT</t>
  </si>
  <si>
    <t>RS Umum Soe</t>
  </si>
  <si>
    <t>Jl. Boegenville No.7 Soe - Timor Tengah Selatan</t>
  </si>
  <si>
    <t>RS  Bukit Lewoleba</t>
  </si>
  <si>
    <t>Jl. Trans Atadei Kel. Lewoleba Barat</t>
  </si>
  <si>
    <t>RS Tk. IV 09.07.04 Atambua</t>
  </si>
  <si>
    <t>Jl. Piere Tendean, Gerbades, Kota Atambua</t>
  </si>
  <si>
    <t>RS Umum Waikabubak</t>
  </si>
  <si>
    <t>Jl. Adhyaksa, Km.3, Kel. Diratana, Kec. Loli, Waikabubak</t>
  </si>
  <si>
    <t>RS  ST Rafael Cancar</t>
  </si>
  <si>
    <t>Jl.Ruteng-Labuan Bajo, Kel. Wae Belang</t>
  </si>
  <si>
    <t>RS Umum Kartini Kupang</t>
  </si>
  <si>
    <t>Jl. Frans Seda No. 17 RT.34 RW.09 Kelurhan Tuak Daun Merah, Kecamatan Oebobo, Kota kUpang-NTT</t>
  </si>
  <si>
    <t>RS Umum Daerah MGR Gabriel Manek</t>
  </si>
  <si>
    <t>Jl. Dr Sutomo No. 2 Atambua</t>
  </si>
  <si>
    <t>RS Umum Daerah Lewoleba</t>
  </si>
  <si>
    <t>Jl.Trans Lembata No.1 Lewoleba Lembata</t>
  </si>
  <si>
    <t>RS Umum Bunda Pembantu Abadi Naob</t>
  </si>
  <si>
    <t>Desa Naob Kecamatan Noemuti Timur</t>
  </si>
  <si>
    <t>RS Siloam Labuan Bajo</t>
  </si>
  <si>
    <t>Jl. Gabriel GampurKecamatan Komodo - Labuan BajoKab. Manggarai Barat</t>
  </si>
  <si>
    <t>RS Umum Daerah Waingapu</t>
  </si>
  <si>
    <t>Jl. Adam Malik No.54 Kel. Kambajawa - Kecamatan Kota Waingapu</t>
  </si>
  <si>
    <t>RS Umum Leona</t>
  </si>
  <si>
    <t>Jl. Eltari Kelurahan Maubeli, Kec. Kota Kefamenanu</t>
  </si>
  <si>
    <t>RS Tk. III Wirasakti Kupang</t>
  </si>
  <si>
    <t>Jln. Moch Hatta No.9-11 ,Kupang</t>
  </si>
  <si>
    <t>RS Pratama Reo</t>
  </si>
  <si>
    <t>Jl. Pelabuhan Reo Wangkung. Kec. Reok</t>
  </si>
  <si>
    <t>RS Umum St. Gabriel Kewapante Sikka</t>
  </si>
  <si>
    <t>Kewapante Kabupaten Sikka</t>
  </si>
  <si>
    <t>RS Pratama Watunggong</t>
  </si>
  <si>
    <t>Desa Satar Nawang Kec. Congkar Kab. Manggarai Timur</t>
  </si>
  <si>
    <t>RS Umum Hobakalla</t>
  </si>
  <si>
    <t>Desa Patiala Bawa Kec. Lamboya</t>
  </si>
  <si>
    <t>RS Sito Husada</t>
  </si>
  <si>
    <t>Jl. KH.Dewantara, No.15 Bardao - Atambua Belu</t>
  </si>
  <si>
    <t>RS St Elizabeth Lela</t>
  </si>
  <si>
    <t>Lela Maumere,Kab.Sikka</t>
  </si>
  <si>
    <t>RS Umum Daerah Sabu Raijua</t>
  </si>
  <si>
    <t>Sabu Raijua</t>
  </si>
  <si>
    <t>Jl. El-Tari Seba, Menia</t>
  </si>
  <si>
    <t>RS Umum Daerah Aeramo Kabupaten Nagekeo</t>
  </si>
  <si>
    <t>Desa Aeramo, Kecamatan Aesesa Kabupaten Nagekeo</t>
  </si>
  <si>
    <t>RS Pratama Raijua</t>
  </si>
  <si>
    <t>Kelurahan Ledeunu Kecamatan Raijua, Kabupaten Sabu Raijua</t>
  </si>
  <si>
    <t>RS Umum Daerah Rote Ndao Ba'a</t>
  </si>
  <si>
    <t>Rote Ndao</t>
  </si>
  <si>
    <t>Jl. Prof. Adrianus Mooy, Kel. Mokdale, Kec. Lobalain, Kab. Rote Ndao</t>
  </si>
  <si>
    <t>RS Umum Daerah Waibakul</t>
  </si>
  <si>
    <t>Sumba Tengah</t>
  </si>
  <si>
    <t>Jl. Lintas Waihibur Desa Umbu Mamijuk Kecamatan Umbu Ratu Nggay Barat Kabupaten Sumba Tengah</t>
  </si>
  <si>
    <t>RS Daerah Kalabahi</t>
  </si>
  <si>
    <t>Jl. Dr Soetomo No 08 Kelurahan Kalabahi Kota Kec. Teluk Mutiara  Kab. Alor</t>
  </si>
  <si>
    <t>RS Umum Daerah Drs. Jacobus Luna, M.Si Kabupaten Bengkayang</t>
  </si>
  <si>
    <t>Kalimantan Barat</t>
  </si>
  <si>
    <t>Bengkayang</t>
  </si>
  <si>
    <t>Jl. Sanggau Ledo No. 20, Desa/Kelurahan Sebalo, Kec. Bengkayang, Kab. Bengkayang</t>
  </si>
  <si>
    <t>RS Umum Sa'adah</t>
  </si>
  <si>
    <t>Kota Singkawang</t>
  </si>
  <si>
    <t>Jl. Gunung Merapi No.03 RT 030 RW 012, Pasiran, Singkawang Barat</t>
  </si>
  <si>
    <t>RS Pratama Tamongokng Naga Lantai</t>
  </si>
  <si>
    <t>Sekadau</t>
  </si>
  <si>
    <t>Jl. Raya Landau Apin - Tembaga, Desa Landau Apin Kec. Nanga Mahap</t>
  </si>
  <si>
    <t>RS Angkatan Udara dr. Mohammad Sutomo</t>
  </si>
  <si>
    <t>Kubu Raya</t>
  </si>
  <si>
    <t>Jl. Raya Kuala Dua No. 2 Kab. Kubu Raya</t>
  </si>
  <si>
    <t>RS Umum Daerah Kabupaten Kubu Raya</t>
  </si>
  <si>
    <t>Jl. Jenderal Sudirman Kec. Rasau Jaya Kubu Raya 78381</t>
  </si>
  <si>
    <t>RS Ibu dan Anak Nabasa Pontianak</t>
  </si>
  <si>
    <t>Kota Pontianak</t>
  </si>
  <si>
    <t>Jl. Sungai Raya Dalam No. 65, Bangka Belitung Darat, Pontianak Tenggara, Kota Pontianak, Provinsi Kalimantan Barat</t>
  </si>
  <si>
    <t>RS Umum Daerah Pemangkat</t>
  </si>
  <si>
    <t>Sambas</t>
  </si>
  <si>
    <t>Jalan. Abdul Kadir Kasim No. 20 Pemangkat</t>
  </si>
  <si>
    <t>RS Umum Medika Djaya</t>
  </si>
  <si>
    <t>Jl. Parit H. Husin 1 Blok MD No. 1, Kec. Pontianak Tenggara, Kota Pontianak, Provinsi Kalimantan Barat</t>
  </si>
  <si>
    <t>RS Umum Daerah Sekadau</t>
  </si>
  <si>
    <t>Jalan Merdeka Timur KM.6 Desa Mungguk, Kecamatan Sekadau Hilir, Kabupaten Sekadau, Provinsi Kalimantan Barat. Kode Pos. 79582</t>
  </si>
  <si>
    <t>RS Mitra Medika Pontianak</t>
  </si>
  <si>
    <t>Jl. Sultan Abdurrahman No. 25 Kel. Sungai Bangkong Kec. Pontianak Kota</t>
  </si>
  <si>
    <t>RS Umum Daerah Dr. Rubini Mempawah</t>
  </si>
  <si>
    <t>Mempawah</t>
  </si>
  <si>
    <t>Jalan Dr. Rubini, Desa/Kelurahan Kuala Secapah, Kec. Mempawah Hilir, Kab. Mempawah, Provinsi Kalimantan Barat, Kode Pos : 78914</t>
  </si>
  <si>
    <t>RS Ibu dan Anak Permata Bunda</t>
  </si>
  <si>
    <t>Ketapang</t>
  </si>
  <si>
    <t>Jl. Brigjen Katamso No 7 Sukaharja Kec. Delta Pawan Ketapang</t>
  </si>
  <si>
    <t>RS Umum Daerah Belimbing</t>
  </si>
  <si>
    <t>Melawi</t>
  </si>
  <si>
    <t>Jl. PMKS PT. SDK 1,Desa Batu Buil Kecamatan Belimbing Kabupaten Melawi Provinsi Kalimantan Barat</t>
  </si>
  <si>
    <t>RS Umum Bethesda Serukam</t>
  </si>
  <si>
    <t>Jl. Raya Bengkayang Km.48, Desa Pasti Jaya, Kec. Samalantan</t>
  </si>
  <si>
    <t>RS Umum Daerah Dr. Soedarso Pontianak</t>
  </si>
  <si>
    <t>Jl. dr. Soedarso No.1, Kel.Bangka Belitung Kec. Pontianak Tenggara, Kota Pontianak, Kalimantan Barat</t>
  </si>
  <si>
    <t>RS Umum Sentra Medika Sanggau</t>
  </si>
  <si>
    <t>Sanggau</t>
  </si>
  <si>
    <t>JL. Cempaka Kelurahan Ilir Kota RT 014/RW 003 Kecamatan Kapuas Kab. Sanggau</t>
  </si>
  <si>
    <t>RS Umum Daerah Pontianak Utara</t>
  </si>
  <si>
    <t>Jl. Khatulistiwa No. 151 Kel. Siantan Hilir, Kec. Pontianak Utara</t>
  </si>
  <si>
    <t>RS Umum Daerah Temenggung Gergaji</t>
  </si>
  <si>
    <t>Jl. Lintas Sekayam Desa Kenaman Kecamatan Sekayam Kabupaten Sanggau</t>
  </si>
  <si>
    <t>RS Ibu dan Anak Wempe Singkawang</t>
  </si>
  <si>
    <t>Jln. Gunung Sari No. 10 Kelurahan Pasiran, Kecamatan Singkawang Barat, Kota Singkawang</t>
  </si>
  <si>
    <t>RS Parindu</t>
  </si>
  <si>
    <t>Jl Raya Desa Binjai Kec.Tayan Hulu Kab. Sanggau Kalimantan Barat 78562</t>
  </si>
  <si>
    <t>RS Umum Daerah Teluk Keramat</t>
  </si>
  <si>
    <t>Dusun Tambangan RT. 001 RW. 002 Desa Puringan Kecamatan Teluk Keramat Kabupaten Sambas Kalimantan Barat</t>
  </si>
  <si>
    <t>RS Umum Kasih Bunda Jaya Nanga Pinoh</t>
  </si>
  <si>
    <t>Jl. Juang Km. 2 Dusun Tanah Tinggi Desa Tanjung Niaga Kecamatan Nanga Pinoh Kabupaten Melawi Provinsi Kalimantan Barat</t>
  </si>
  <si>
    <t>RS Jiwa Sudiyanto</t>
  </si>
  <si>
    <t>Sintang</t>
  </si>
  <si>
    <t>Jl. Adi Sucipto No. 41, RT. 3 RW. 1, Kel. Tanjung Puri, Kec. Sintang</t>
  </si>
  <si>
    <t>RS Umum Santo Vincentius Singkawang</t>
  </si>
  <si>
    <t>Jl. P. Diponegoro No. 5 Singkawang</t>
  </si>
  <si>
    <t>RS Umum St. Antonius Pontianak</t>
  </si>
  <si>
    <t>Jl. KH. Wahid Hasyim No. 249 Pontianak</t>
  </si>
  <si>
    <t>RS Umum Sayang Ibu Sintang</t>
  </si>
  <si>
    <t>Jl. Lintas Melawi No. 32 Sintang</t>
  </si>
  <si>
    <t>RS Fatima Ketapang</t>
  </si>
  <si>
    <t>Jl. Jend. Sudirman No.27 Ketapang</t>
  </si>
  <si>
    <t>RS Ibu dan Anak Anugrah</t>
  </si>
  <si>
    <t>Jl. Sungai Raya No. 43, Kecamatan Sungai Raya</t>
  </si>
  <si>
    <t>RS Tk. IV 12.07.02 Sintang</t>
  </si>
  <si>
    <t>Jl. MT Haryono KM.3 RT 16 RW 5 Kelurahan Kapuas Kanan Hulu Kec. Sintang Kab. Sintang</t>
  </si>
  <si>
    <t>RS Bersalin Jeumpa</t>
  </si>
  <si>
    <t>Jl. Sultan Syarif Abdurrahman No. 54, Akcaya, Kec. Pontianak Selatan</t>
  </si>
  <si>
    <t>RS Santa Elisabeth</t>
  </si>
  <si>
    <t>Jl. Gusti Hamzah RT 007 RW 004, Desa/Kelurahan Durian, Kec. Sambas, Kab. Sambas, Provinsi Kalimantan Barat, Kode Pos : 79462</t>
  </si>
  <si>
    <t>RS Anugerah Bunda Khatulistiwa</t>
  </si>
  <si>
    <t>Jl. Ahmad Yani Pontianak Tenggara</t>
  </si>
  <si>
    <t>RS Umum Daerah Sambas</t>
  </si>
  <si>
    <t>Jl. Pendidikan no 300 Kecamatan Sambas Kabupaten Sambas Propinsi Kalimantan Barat</t>
  </si>
  <si>
    <t>RS Universitas Tanjungpura</t>
  </si>
  <si>
    <t>Jl. Profesor Dokter H. Hadari Nawawi, Bansir Laut, Kec. Pontianak Tenggara, Kota Pontianak, Kalimantan Barat 78115</t>
  </si>
  <si>
    <t>RS Umum Daerah dr. Achmad Diponegoro Putussibau</t>
  </si>
  <si>
    <t>Kapuas Hulu</t>
  </si>
  <si>
    <t>Jl.Kom Yos Sudarso No. 42 Putussibau Kabupaten Kapuas Hulu Provinsi Kalimantan Barat</t>
  </si>
  <si>
    <t>RS Bhayangkara Pontianak</t>
  </si>
  <si>
    <t>Jl. K. S. Tubun 14 Pontianak</t>
  </si>
  <si>
    <t>RS Umum Daerah Kabupaten Landak</t>
  </si>
  <si>
    <t>Landak</t>
  </si>
  <si>
    <t>Jl. Raya Ngabang Sanggau No.109 Kecamatan Ngabang Kabupaten Landak</t>
  </si>
  <si>
    <t>RS Umum Daerah Sultan Syarif  Mohammad Alkadrie</t>
  </si>
  <si>
    <t>Jl. Komodor Yos Sudarso Pontianak</t>
  </si>
  <si>
    <t>RS Tk. IV 12.07.01 Singkawang</t>
  </si>
  <si>
    <t>Jl. Perwira No. H15 Singkawang</t>
  </si>
  <si>
    <t>RS Umum Daerah Kabupaten Melawi</t>
  </si>
  <si>
    <t>Jl. Kelakik KM. 4 Nanga Pinoh Kabupaten Melawi</t>
  </si>
  <si>
    <t>RS Umum Citra Husada Nanga Pinoh</t>
  </si>
  <si>
    <t>Jln. Dharma Bakti No. 45 C Nanga Pinoh</t>
  </si>
  <si>
    <t>RS Umum Daerah Badau</t>
  </si>
  <si>
    <t>Jl. Lintas Badau Na.Kantuk Dusun Perumbang Desa Kekurak, Kec. Badau</t>
  </si>
  <si>
    <t>RS Umum Daerah M. Th. Djaman Sanggau</t>
  </si>
  <si>
    <t>Jl. Jend Sudirman Sanggau, Kecamatan Kapuas, Kabupaten Sanggau, Provinsi Kalimantan Barat</t>
  </si>
  <si>
    <t>RS Umum Anugrah Bunda Jaya Sintang</t>
  </si>
  <si>
    <t>Jl. MT. Haryono RT 11 RW 03 Kelurahan Kapuas Kanan Hulu Sintang</t>
  </si>
  <si>
    <t>RS Ibu dan Anak Bujang Dara Sintang</t>
  </si>
  <si>
    <t>Jln. Muhammad Saad RT 003 RW 004  Kelurahan Tanjung Puri Sintang</t>
  </si>
  <si>
    <t>RS Jiwa Provinsi Kalimantan Barat</t>
  </si>
  <si>
    <t>Jl. Raya Singkawang Bengkayang KM 15 Singkawang</t>
  </si>
  <si>
    <t>RS Tk. II Kartika Husada Kes.Dam XII Tanjungpura</t>
  </si>
  <si>
    <t>Jl. Adi Sucipto KM 6.5 Sei Raya Kubu Raya</t>
  </si>
  <si>
    <t>RS Umum Daerah Sultan Muhammad Jamaludin I</t>
  </si>
  <si>
    <t>Kayong Utara</t>
  </si>
  <si>
    <t>Jl. Provinsi Sukadana, Teluk Batang, Dusun Senebing RT. 03/ RW.1 Desa Harapan Mulia Kecamatan Su</t>
  </si>
  <si>
    <t>RS Umum Daerah Dr. Agoesdjam Ketapang</t>
  </si>
  <si>
    <t>Jl. Panjaitan No.51 Ketapang</t>
  </si>
  <si>
    <t>RS Umum Daerah Semitau</t>
  </si>
  <si>
    <t>Jl. Suhaid Semitau</t>
  </si>
  <si>
    <t>RS Umum Daerah Serawai</t>
  </si>
  <si>
    <t>Jl. H. Baijoeri Desa Mekar Sari Kec. Serawai</t>
  </si>
  <si>
    <t>RS Umum Harapan Bersama Singkawang</t>
  </si>
  <si>
    <t>Jl. P. Belitung No. 61 Singkawang</t>
  </si>
  <si>
    <t>RS Pratama Kabupaten Landak</t>
  </si>
  <si>
    <t>Jl. Jurusan Anjungan Bengkayang Desa Tunang Kec. Mempawah Hulu</t>
  </si>
  <si>
    <t>RS Umum Kharitas Bhakti</t>
  </si>
  <si>
    <t>JL. Siam No.153 Pontianak</t>
  </si>
  <si>
    <t>RS Islam Yarsi Pontianak</t>
  </si>
  <si>
    <t>Jl. Tanjung Raya II Kel. Tambelan Sampit, Kec. Pontianak Timur, Kota Pontianak, Kalimantan Barat</t>
  </si>
  <si>
    <t>RS Umum Daerah Dr. Abdul Aziz Singkawang</t>
  </si>
  <si>
    <t>Jl. Dr Soetomo No. 28, Singkawang</t>
  </si>
  <si>
    <t>RS Pro Medika Pontianak</t>
  </si>
  <si>
    <t>Jl. Gusti Sulung Lelanang Blok EA No. 2-5 Kota Pontianak</t>
  </si>
  <si>
    <t>RS Umum Daerah Ade Muhammad Djoen Sintang</t>
  </si>
  <si>
    <t>Jl. Y.C. Oevang Oeray, No. 1  Desa Sungai Ana, Kec. Sintang, Kab. Sintang Kec. Sintang</t>
  </si>
  <si>
    <t>RS Ibu dan Anak Yasmin Palangka Raya</t>
  </si>
  <si>
    <t>Kalimantan Tengah</t>
  </si>
  <si>
    <t>Kota Palangka Raya</t>
  </si>
  <si>
    <t>Jl. Tjilik Riwut Km. 1,5 No. 04 RT. 004 RW. 004 Kelurahan Palangka, Kecamatan Jekan Raya, Kota Palangka Raya, Provinsi Kalimantan Tengah 73112</t>
  </si>
  <si>
    <t>RS Advent Palangkaraya</t>
  </si>
  <si>
    <t>Jl. Diponegoro No. 24/26 Kel. Langkai Kec. Pahandut Kota Palangkaraya</t>
  </si>
  <si>
    <t>RS Islam PKU Muhammadiyah Palangka Raya</t>
  </si>
  <si>
    <t>Jl. RTA. Milono KM. 2,5, Desa/Kelurahan Menteng, Kec. Jekan Raya, Kota Palangka Raya, Provinsi Kalimantan Tengah, Kode Pos : 73112</t>
  </si>
  <si>
    <t>RS Umum Daerah Puruk Cahu</t>
  </si>
  <si>
    <t>Murung Raya</t>
  </si>
  <si>
    <t>Jl. A. Yani No. 01, Puruk Cahu</t>
  </si>
  <si>
    <t>RS Umum Daerah Dr Murjani Sampit</t>
  </si>
  <si>
    <t>Kotawaringin Timur</t>
  </si>
  <si>
    <t>Jl. H M Arsyad No. 65 Sampit</t>
  </si>
  <si>
    <t>RS Umum Daerah Kabupaten Lamandau</t>
  </si>
  <si>
    <t>Lamandau</t>
  </si>
  <si>
    <t>Jl. Trans Kalimantan KM.04, Desa Kujan, Kec. Bulik</t>
  </si>
  <si>
    <t>RS Umum Daerah Dr. H. Soemarno Sosroaatmojo</t>
  </si>
  <si>
    <t>Kapuas</t>
  </si>
  <si>
    <t>Jl. Tambun Bungai  No. 16 Kuala Kapuas</t>
  </si>
  <si>
    <t>RS Umum Daerah Pulang Pisau</t>
  </si>
  <si>
    <t>Pulang Pisau</t>
  </si>
  <si>
    <t>Jl. W.A.D Duha Komplek Perkantoran Kab. Pulang Pisau  Provinsi Kalimantan Tengah</t>
  </si>
  <si>
    <t>RS Umum Daerah Kutaringin</t>
  </si>
  <si>
    <t>Kotawaringin Barat</t>
  </si>
  <si>
    <t>Jl. Danau Gatal, Diung, RT 007, Kel. Kotawaringin Hulu</t>
  </si>
  <si>
    <t>RS Umum Daerah Jaraga Sasameh</t>
  </si>
  <si>
    <t>Barito Selatan</t>
  </si>
  <si>
    <t>Jl. Patianom Nomor 6 Buntok Kode Pos.737112 Kalimantan Tengah Telepon (0525) 21261 Faksimile (0525)</t>
  </si>
  <si>
    <t>RS Umum Daerah Palangka Raya</t>
  </si>
  <si>
    <t>Jl. Mahir Mahar Km. 18.5 Kel. Kalampangan, Kec. Sebangau, Kota Palangka Raya,  Provinsi Kalimantan Tengah</t>
  </si>
  <si>
    <t>RS Jiwa Kalawa Atei</t>
  </si>
  <si>
    <t>Jl. Trans P. Raya - Kuala Kurun KM. 16 Desa Bukit Rawi</t>
  </si>
  <si>
    <t>RS Tk. IV Palangkaraya</t>
  </si>
  <si>
    <t>Jl. Diponegoro No.55 Palangkaraya Kalteng</t>
  </si>
  <si>
    <t>Jl. Beliang No.21 RT 001 RW 022 Kelurahan Palangka Kecamatan Jekan Raya Kota Palangka Raya Provinsi Kalimantan Tengah 73112</t>
  </si>
  <si>
    <t>RS Umum Harapan Insani</t>
  </si>
  <si>
    <t>Jl. Iskandar No. 88 RT. 07 Kelurahan Madurejo Kecamatan Arut Selatan Kabupaten Kotawaringin Barat Provinsi Kalimantan Tengah</t>
  </si>
  <si>
    <t>RS Umum Daerah Muara Teweh</t>
  </si>
  <si>
    <t>Barito Utara</t>
  </si>
  <si>
    <t>Jl. Yetro Sinseng Muara Teweh No. 2 Muara Teweh, Kelurahan Lanjas, Kecamatan Teweh Tengah, Kabupaten Barito Utara, Provinsi Kalimantan Tengah</t>
  </si>
  <si>
    <t>RS Pratama Tumbang Talaken</t>
  </si>
  <si>
    <t>Gunung Mas</t>
  </si>
  <si>
    <t>Jl. L. I. Nuhan. Tumbang Talaken, Kelurahan Tumbang Talaken, Kecamatan Manuhing, Kabupaten Gunung Mas, Provinsi Kalimantan Tengah Kode pos 74562</t>
  </si>
  <si>
    <t>RS Umum Daerah Sultan Imanuddin</t>
  </si>
  <si>
    <t>Jl. Sutan Syahrir No 17  Kelurahan Madurejo, Kecamatan Arut Selatan</t>
  </si>
  <si>
    <t>RS Umum Daerah Sukamara</t>
  </si>
  <si>
    <t>Sukamara</t>
  </si>
  <si>
    <t>Jl. Tjilik Riwut Km 5,5 Nomor 35 Sukamara</t>
  </si>
  <si>
    <t>RS Umum Daerah  Mas Amsyar Kasongan</t>
  </si>
  <si>
    <t>Katingan</t>
  </si>
  <si>
    <t>Jl. Tjilik Riwut No.1,Kasongan, Kelurahan Kasongan Lama, Kecamatan Katingan Hilir, Kabupaten Katingan, Provinsi Kalimantan Tengah</t>
  </si>
  <si>
    <t>RS Bhayangkara Palangka Raya</t>
  </si>
  <si>
    <t>Jl. Ahmad Yani No. 22</t>
  </si>
  <si>
    <t>RS Umum Daerah Kuala Pembuang</t>
  </si>
  <si>
    <t>Seruyan</t>
  </si>
  <si>
    <t>Jl. A. Yani No.30 Kelurahan Kuala Pembuang Satu, Kecamatan Seruyan Hilir, Kabupaten Seruyan, Provinsi Kalimantan Tengah</t>
  </si>
  <si>
    <t>RS Siloam Palangka Raya</t>
  </si>
  <si>
    <t>Jl. RTA Milono KM. 4 No. 425</t>
  </si>
  <si>
    <t>RS Citra Husada Pangkalan Bun</t>
  </si>
  <si>
    <t>Jl. Malijo No.RT.14, Madurejo, Kec. Arut Sel., Kabupaten Kotawaringin Barat, Kalimantan Tengah 74181</t>
  </si>
  <si>
    <t>RS Umum Daerah Kuala Kurun</t>
  </si>
  <si>
    <t>Jl. Jend. A. Yani No. 43 Kuala Kurun Kab. Gunung Mas</t>
  </si>
  <si>
    <t>RS Kelas D Pratama Parenggean</t>
  </si>
  <si>
    <t>Jl. Lesa  No. 39 RT 001 / RW 001, Desa Bajarau, Kecamatan Parenggean Kabupaten Kotawaringin Timur Kalimantan Tengah</t>
  </si>
  <si>
    <t>RS Pratama Tumbang Samba</t>
  </si>
  <si>
    <t>Jl. Tumbang Samba Pundu KM. 2.5 Katingan Tengah</t>
  </si>
  <si>
    <t>RS Umum Daerah Dr. Doris Sylvanus Palangka Raya</t>
  </si>
  <si>
    <t>Jl. Tambun Bungai No.4 Palangkaraya</t>
  </si>
  <si>
    <t>RS Primaya Betang Pambelum</t>
  </si>
  <si>
    <t>Jl. Tjilik Riwut Km 6.5 RT. 002 RW. 011</t>
  </si>
  <si>
    <t>RS Ibu dan Anak Bunda Palangkaraya</t>
  </si>
  <si>
    <t>Jl. George Obos No. 29 RT. 004 RW.002 Kelurahan Menteng Kecamatan Jekan Raya Kota Palangka Raya Provinsi Kalimantan Tengah</t>
  </si>
  <si>
    <t>RS Umum Daerah Hanau</t>
  </si>
  <si>
    <t>Jl. Sampit Pangkalan Bun Km.142 Pembuang Hulu kec. Hanau Kab. Seruyan Provinsi Kalimantan Tengah</t>
  </si>
  <si>
    <t>RS Umum Daerah Tamiang Layang</t>
  </si>
  <si>
    <t>Barito Timur</t>
  </si>
  <si>
    <t>Jl. Nansarunai Tamiang Layang No. 62 Kecamatan Dusun Timur  Kabupaten Barito Timur Provinsi Kalimantan Tengah</t>
  </si>
  <si>
    <t>RS Umum Daerah H. Boejasin Pelaihari</t>
  </si>
  <si>
    <t>Kalimantan Selatan</t>
  </si>
  <si>
    <t>Tanah Laut</t>
  </si>
  <si>
    <t>Jl. A. Yani Km 68 Rt.006 Rw.003 Kel. Sarang Harang Kec. Pelaihari</t>
  </si>
  <si>
    <t>RS Umum Daerah Dr. H. Moch. Ansari Saleh</t>
  </si>
  <si>
    <t>Kota Banjarmasin</t>
  </si>
  <si>
    <t>Jl Brigjend H. Hasan Basry No.1, Banjarmasin</t>
  </si>
  <si>
    <t>RS Borneo Citra Medika</t>
  </si>
  <si>
    <t>Jl A. Yani RT 7B RW 03 Kel. Angsau Kec. Pelaihari</t>
  </si>
  <si>
    <t>Hulu Sungai Selatan</t>
  </si>
  <si>
    <t>Jl. Jend. A. Yani No. 28 A Tumpang Talu Kelurahan Kandangan Barat Kecamatan Kandangan Kabupaten Hulu Sungai Selatan Provinsi Kalimantan Selatan Kode Pos 71213</t>
  </si>
  <si>
    <t>RS Umum Pelita Insani</t>
  </si>
  <si>
    <t>Banjar</t>
  </si>
  <si>
    <t>Jl. Sekumpul No. 66 Kelurahan Jawa, Kecamatan Martapura, Kabupaten Banjar, Provinsi Kalimantan Selatan</t>
  </si>
  <si>
    <t>RS Umum Aveciena Medika</t>
  </si>
  <si>
    <t>Jl. A. Yani Km.38, Kawasan Komersial Sekumpul, Kelurahan Jawa, Kecamatan Martapura, Kabupaten Banjar, Provinsi Kalimantan Selatan, 70614</t>
  </si>
  <si>
    <t>RS Umum Daerah Sengayam</t>
  </si>
  <si>
    <t>Kota baru</t>
  </si>
  <si>
    <t>Jl. Jenderal Sudirman KM. 425  Sengayam, Pamukan Barat, Kotabaru Kalimantan Selatan  72184</t>
  </si>
  <si>
    <t>RS Umum Daerah H. Badaruddin Kasim</t>
  </si>
  <si>
    <t>Tabalong</t>
  </si>
  <si>
    <t>Jl. Tanjung Baru Desa Maburai Kecamatan Murung Pudak Kabupaten Tabalong Kode Pos 71571 Kalimantan Selatan</t>
  </si>
  <si>
    <t>Jl Jafri Zamzam No 56 RT  33 Banjarmasin</t>
  </si>
  <si>
    <t>RS Umum Daerah Datu Kandang Haji</t>
  </si>
  <si>
    <t>Balangan</t>
  </si>
  <si>
    <t>Jl. Lingkar Timur Km.1,7, Kelurahan Paringin Kota, Kecamatan Paringin, Kabupaten Balangan, Kalimantan Selatan</t>
  </si>
  <si>
    <t>RS Umum Permata Husada Banjarbaru</t>
  </si>
  <si>
    <t>Kota Banjar baru</t>
  </si>
  <si>
    <t>Jl. Ir. Pangeran M. Noor No. 50A RT/RW. 004/005, Kel. Sungai Ulin Kec. Banjarbaru Utara, Kota Banjarbaru, Provinsi Kalimantan Selatan</t>
  </si>
  <si>
    <t>RS Umum Daerah Ratu Zalecha</t>
  </si>
  <si>
    <t>Jl Menteri Empat Martapura Kabupaten Banjar Kalimantan Selatan</t>
  </si>
  <si>
    <t>RS Khusus Bedah Banjarmasin Siaga</t>
  </si>
  <si>
    <t>Jl.Jend. Ahmad Yani KM.4,5 No.73 , Kel. Kebun Bunga, Kec. Banjarmasin Timur, Kota Banjarmasin, Provinsi Kalimantan Selatan, Kode Pos: 70235</t>
  </si>
  <si>
    <t>RS Umum Syifa Medika</t>
  </si>
  <si>
    <t>Jl. R.O Ulin No. 93 Kel. Loktabat Selatan, Kec. Banjarbaru Selatan Kota Banjarbaru Kalimantan Selatan</t>
  </si>
  <si>
    <t>RS Sumber Jaya Sehat</t>
  </si>
  <si>
    <t>Jl. Pahlawan No. 15 Kel. Kandangan Utara Kab. Hulu Sungai Selatan Prop. Kalimantan Selatan</t>
  </si>
  <si>
    <t>RS Umum Daerah KH. Mansyur</t>
  </si>
  <si>
    <t>JL. Pusaka RT. 01 RW. 01 - Desa Kintap Kec. Kintap Kabupaten Tanah Laut https://maps.app.goo.gl/xHgNMASPwKjwBE2KA</t>
  </si>
  <si>
    <t>RS Umum Daerah dr. H. Andi Abdurrahman Noor</t>
  </si>
  <si>
    <t>Tanah Bumbu</t>
  </si>
  <si>
    <t>Jl. HM. Amin KM. 10 RT. 03, Desa Sepunggur, Kec. Kusan Tengah, Kab.Tanah Bumbu, Kal.Sel.</t>
  </si>
  <si>
    <t>RS Umum Handayati</t>
  </si>
  <si>
    <t>Tapin</t>
  </si>
  <si>
    <t>Jl. H. Isbat RT 09 Kel. Kupang Kec. Tapin Utara</t>
  </si>
  <si>
    <t>RS Umum Daerah  H. Abdul Aziz Marabahan</t>
  </si>
  <si>
    <t>Barito Kuala</t>
  </si>
  <si>
    <t>Jl. Jend Sudirman No.10, RT. 13 RW. 001, Kelurahan Ulu Benteng, Kecamatan Marabahan, Kabupaten Barito Kuala, Provinsi Kalimantan Selatan, 70513</t>
  </si>
  <si>
    <t>RS Bhayangkara Tk. III Banjarmasin</t>
  </si>
  <si>
    <t>Jl. A. Yani Km.3,5 Banjarmasin</t>
  </si>
  <si>
    <t>RS Tk. IV Guntung Payung</t>
  </si>
  <si>
    <t>Jl. A. Yani, Km 31 Guntung manggis, Kec. Landasan Ulin, Kota Banjar Baru, Kalimantan Selatan 70721</t>
  </si>
  <si>
    <t>RS Umum Suaka Insan</t>
  </si>
  <si>
    <t>Jl. Zafri Zam-Zam No.60 Kelurahan Belitung Selatan Kecamatan Banjarmasin Barat Kota Banjarmasin</t>
  </si>
  <si>
    <t>RS Mulia Amuntai</t>
  </si>
  <si>
    <t>Hulu Sungai Utara</t>
  </si>
  <si>
    <t>Jl. Norman Umar RT. 07 Kelurahan Kebun Sari Kecamatan Amuntai Tengah Kabupaten Hulu Sungai Utara Provinsi Kalimantan Selatan</t>
  </si>
  <si>
    <t>RS Siloam Banjarmasin</t>
  </si>
  <si>
    <t>Jl. Ahmad Yani Km. 2 RT. 014 RW. 02, Sungai Baru Banjarmasin Tengah</t>
  </si>
  <si>
    <t>RS Umum Daerah Brigjed H. Hasan Basry Kandangan</t>
  </si>
  <si>
    <t>Jalan Jenderal  Sudirman No.26A RT.01 RK.I Hamalau, Sungai Raya, Kab. Hulu Sungai Selatan</t>
  </si>
  <si>
    <t>Jl. A. Syairani RT 04 RW 2 Kel. Sarang Halang Kec. Pelaihari Kabupaten Tanah Laut</t>
  </si>
  <si>
    <t>RS Tk. III Dr. R. Soeharsono</t>
  </si>
  <si>
    <t>Jl. Mayjen Soetoyo S No. 408  Banjarmasin</t>
  </si>
  <si>
    <t>RS Umum Daerah Pambalah Batung</t>
  </si>
  <si>
    <t>Jl. Brigjen Hasan Basri,Desa/Kelurahan Muara Tapus, RT.03 No.127, Kecamatan Amuntai Tengah Kabupaten Hulu Sungai Utara, Provinsi Kalimantan Selatan  kode pos. 71419</t>
  </si>
  <si>
    <t>RS Umum Daerah Pangeran Jaya Sumitra</t>
  </si>
  <si>
    <t>Jl. Brigjend. H. Hasan Basri No.57 Kelurahan  Semayap, Kecamatan Pulau Laut Utara,Kabupaten Kotabaru, Provinsi Kalimantan Selatan</t>
  </si>
  <si>
    <t>RS Umum Sari Mulia</t>
  </si>
  <si>
    <t>Jl. Pangeran Antasari No 139 Banjarmasin</t>
  </si>
  <si>
    <t>RS Umum Ceria</t>
  </si>
  <si>
    <t>Jl. Jend. Sudirman No. 10 Hamalau  Hulu Sungai Selatan</t>
  </si>
  <si>
    <t>RS Umum Pertamina Tanjung</t>
  </si>
  <si>
    <t>Jl. Gas No. 1, Komperta Murung Pudak, Tanjung</t>
  </si>
  <si>
    <t>RS Jiwa Sambang Lihum</t>
  </si>
  <si>
    <t>Jl Gubernur Syarkawi KM.3,9 Kec.Gambut Kab. Banjar</t>
  </si>
  <si>
    <t>RS Marina Permata</t>
  </si>
  <si>
    <t>Jl.Kodeco KM 4, Desa Sarigadung Kec. Simpang Empat Kab. Tanah Bumbu.</t>
  </si>
  <si>
    <t>RS TNI AU Sjamsudin Noor</t>
  </si>
  <si>
    <t>Jl. Hercules No. 17 Landasan Ulin Kota Banjarbaru Provinsi Kalimantan Selatan Kode Pos 70724</t>
  </si>
  <si>
    <t>RS Umum Mawar</t>
  </si>
  <si>
    <t>Jl. Panglima Batur Timur No. 52, Kel. Banjarbaru Utara, Kec. Komet</t>
  </si>
  <si>
    <t>RS Umum Daerah Ulin Banjarmasin</t>
  </si>
  <si>
    <t>Jl. Jen A Yani No.43, Banjarmasin Kalimantan Selatan</t>
  </si>
  <si>
    <t>RS Islam Sultan Agung Banjarbaru</t>
  </si>
  <si>
    <t>Jl. Achmad Yani Km. 17,5 RT. 15 RW. 03 Kel. Landasan Ulin Barat Kec. Liang Anggang</t>
  </si>
  <si>
    <t>RS Umum Daerah Daha Sejahtera</t>
  </si>
  <si>
    <t>Jl Pihanin Raya, Desa Pihanin Kecamatan Daha Selatan Kabupaten Hulu Sungai Selatan</t>
  </si>
  <si>
    <t>RS Umum Almansyur Medika Banjarbaru</t>
  </si>
  <si>
    <t>Jl. Ahmad Yani KM 36, Rt. 003, Rw.001, Kel. Sungai Ulin Kec. Banjarbaru Utara, Kota Banjarbaru, Kalimantan Selatan.</t>
  </si>
  <si>
    <t>RS Umum Daerah Datu Sanggul Rantau</t>
  </si>
  <si>
    <t>Jl. Tarantang RT 13 RW 04 Kel. Bitahan Kec. Lokpaikat Rantau Kalimantan Selatan 71154</t>
  </si>
  <si>
    <t>RS Umum Daerah Sultan Suriansyah Banjarmasin</t>
  </si>
  <si>
    <t>Jl. Rantauan Darat RT. 04 RW. 01 Kel. Kelayan Selatan, Kec. Banjarmasin Selatan</t>
  </si>
  <si>
    <t>RS Ibu dan Anak Mahkota Bunda</t>
  </si>
  <si>
    <t>Jl. Aes Nasution, No.102, Seberang Mesjid, kec. Banjarmasin Tengah, Kota Banjarmasin</t>
  </si>
  <si>
    <t>RSD Idaman Kota Banjarbaru</t>
  </si>
  <si>
    <t>JL. TRIKORA NO. 115 RT 09 RW 01 KELURAHAN GUNTUNG MANGGIS, KECAMATAN LANDASAN ULIN, KOTA BANJARBARU, PROVINSI KALIMANTAN SELATAN</t>
  </si>
  <si>
    <t>RS Umum Ciputra Mitra Hospital</t>
  </si>
  <si>
    <t>Jl. A. Yani Km 7,8 Komplek Perumahan Citra Land Banjarmasin</t>
  </si>
  <si>
    <t>RS Islam Banjarmasin</t>
  </si>
  <si>
    <t>JL. S PARMAN GG PURNAMA NO. 01, Desa/Kelurahan Pasar Lama, Kec. Banjarmasin Tengah, Kota Banjarmasin, Provinsi Kalimantan Selatan, Kode Pos: 70115</t>
  </si>
  <si>
    <t>RS Ibu dan Anak Paradise</t>
  </si>
  <si>
    <t>RSIA Paradise Jl. Ins-Gub No. 267 RT. 006 RW.002 Kel Kampung Baru, Kec Simpang Empat, Kabupaten Tanah Bumbu, Provinsi Kalimantan Selatan, Kode pos 72212</t>
  </si>
  <si>
    <t>RS Umum Daerah  H Damanhuri Barabai</t>
  </si>
  <si>
    <t>Hulu Sungai Tengah</t>
  </si>
  <si>
    <t>Jl. Murakata No. 4, Kecamatan Barabai, Kab. Hulu Sungai Tengah</t>
  </si>
  <si>
    <t>Jl. Taisir No. 2 Kelurahan Jawa, Kec. Sungai Sipai, Martapura Kota</t>
  </si>
  <si>
    <t>RS Khusus Gigi dan Mulut Gusti Hasan Aman</t>
  </si>
  <si>
    <t>Jl. Simpang Ulin No.28, Kelurahan Sungai Baru, Kecamatan Banjarmasin Tengah, Kota Banjarmasin, Provinsi Kalimantan Selatan</t>
  </si>
  <si>
    <t>RS Umum Daerah Talisayan</t>
  </si>
  <si>
    <t>Kalimantan Timur</t>
  </si>
  <si>
    <t>Berau</t>
  </si>
  <si>
    <t>Jl. Sultan Hasanuddin Poros Talisayan Kode Pos 77321, Kecamatan Talisayan, Kabupaten Berau</t>
  </si>
  <si>
    <t>RS Umum Daerah Dr. Kanujoso Djatiwibowo</t>
  </si>
  <si>
    <t>Kota Balikpapan</t>
  </si>
  <si>
    <t>Jl. MT Haryono No.656, Batu Ampar, Kec. Balikpapan Utara, Kota Balikpapan, Kalimantan Timur 76115</t>
  </si>
  <si>
    <t>RS Ibu Anak Cahaya Sangatta</t>
  </si>
  <si>
    <t>Kutai Timur</t>
  </si>
  <si>
    <t>Jl. Yos Sudarso III No. 77 Teluk Lingga Sangatta</t>
  </si>
  <si>
    <t>RS Medika Utama Manggar</t>
  </si>
  <si>
    <t>Jl. Mulawarman No. 24 RT. 51 Manggar Baru Balikpapan Timur</t>
  </si>
  <si>
    <t>RS Ibu dan Anak Jimmy Medika Borneo</t>
  </si>
  <si>
    <t>Kota Samarinda</t>
  </si>
  <si>
    <t>Jl. Pangeran Hidayatullah No. 11 kelurahan Pelabuhan, Kecamatan Samarinda Kota, Kota Samarinda</t>
  </si>
  <si>
    <t>RS Umum Daerah Aji Batara Agung Dewa Sakti</t>
  </si>
  <si>
    <t>Kutai Kartanegara</t>
  </si>
  <si>
    <t>Jl Balikpapan - Handil II, RT 01 Kelurahan Sungai Seluang , Kecamatan Samboja, Kabupaten Kutai Kartanegara, Provinsi Kalimantan Timur 75271</t>
  </si>
  <si>
    <t>RS Umum Daerah Sepaku Tipe D</t>
  </si>
  <si>
    <t>Penajam Paser Utara</t>
  </si>
  <si>
    <t>Jl. Negara KM.38 Desa Sukaraja Kec. Sepaku 76148</t>
  </si>
  <si>
    <t>RS Umum Daerah Muara Bengkal</t>
  </si>
  <si>
    <t>Jl. Poros Muara Bengkal RT. 16 Desa Benua Baru Kec. Muara Bengkal  Kab. Kutai Timur</t>
  </si>
  <si>
    <t>RS Medika Utama Permata</t>
  </si>
  <si>
    <t>Jl. Imam Bonjol no. 01, Balikpapan</t>
  </si>
  <si>
    <t>RS Jiwa Atma Husada Mahakam</t>
  </si>
  <si>
    <t>Jl. Kakap No.23 Samarinda</t>
  </si>
  <si>
    <t>RS Tk. II Dr. R. Hardjanto</t>
  </si>
  <si>
    <t>Jl. Tanjungpura I Balikpapan</t>
  </si>
  <si>
    <t>RS Ibu Anak Asy Syifa</t>
  </si>
  <si>
    <t>Jl. Yos Sudarso II No. 82 - 83 Sangatta Kec.Sangatta UtaraKab.Kutai timur Kalimantan Timur</t>
  </si>
  <si>
    <t>RS LNG Badak</t>
  </si>
  <si>
    <t>Kota Bontang</t>
  </si>
  <si>
    <t>Jl. Raya Kutai Komplek PT BADAK NGL NO: 1 RT: 10 Kelurahan Satimpo Kecamatan Bontang Selatan. Kota Bontang, Provinsi Kalimantan Timur,  Kode pos 75324</t>
  </si>
  <si>
    <t>RS Santa Elisabeth Bengalon</t>
  </si>
  <si>
    <t>Jl. Mulawarman RT. 23 Desa Sepaso Kec. Bengalon Kab. Kutai Timur</t>
  </si>
  <si>
    <t>RS Umum Meloy</t>
  </si>
  <si>
    <t>Jl. Yos Sudarso II, No.101, Sangatta Kabupaten Kutai Timur Kalimantan Timur</t>
  </si>
  <si>
    <t>RS Umum Daerah Kudungga</t>
  </si>
  <si>
    <t>Jl. Soekarno Hatta No.1, Kecamatan : Sangatta Utara Kabupaten Kutai Timur, Provinsi Kalimatan Timur</t>
  </si>
  <si>
    <t>RS Umum Tk. IV  Lanud Balikpapan</t>
  </si>
  <si>
    <t>Jl. Mulawarman No.RT. 31, Sepinggan, Kecamatan Balikpapan Selatan, Kota Balikpapan, Kalimantan Timur 76115</t>
  </si>
  <si>
    <t>RS Ibu Anak Asih  Balikpapan</t>
  </si>
  <si>
    <t>Jl. Sepinggan Baru No. 104 Kel. Sepinggan Kec. Balikpapan Selatan.</t>
  </si>
  <si>
    <t>RS Umum Haji Darjad</t>
  </si>
  <si>
    <t>J.l Dahlia No.4,Samarinda</t>
  </si>
  <si>
    <t>RS Bhayangkara Balikpapan</t>
  </si>
  <si>
    <t>Jl. Jend Sudirman No. 14 Kel Prapatan, Kec Balikpapan Kota, kota Balikpapan, Provinsi Kalimantan Timur</t>
  </si>
  <si>
    <t>Jl. Wain No.33 Kebun Sayur Kel.Baru Ilir Kec.Balikpapan Barat Kota Balikpapan Provinsi Kalimantan Timur Kode Pos 76131</t>
  </si>
  <si>
    <t>RS Umum Daerah Taman Husada Bontang</t>
  </si>
  <si>
    <t>Jl. Let. Jend. S. Parman No.1 RT.49 Kel. Belimbing Kec. Bontang Barat Kota Bontang Prov. Kalimantan Timur Kode Pos 75313</t>
  </si>
  <si>
    <t>RS Hermina Nusantara</t>
  </si>
  <si>
    <t>Kawasan Inti Pusat Pemerintahan, Kelurahan Sepaku, Sepaku, Nusantara</t>
  </si>
  <si>
    <t>RS Pupuk Kaltim Prima Sangata</t>
  </si>
  <si>
    <t>Jl. Yos Sudarso I No.01</t>
  </si>
  <si>
    <t>RS Mata Provinsi Kalimantan Timur</t>
  </si>
  <si>
    <t>Jalan Muhammad Yamin No. 04 RT. 019, Kelurahan Gunung Kelua Kecamatan Samarinda Ulu, Kota Samarinda Kalimantan Timur</t>
  </si>
  <si>
    <t>RS Umum Daerah Panglima Sebaya</t>
  </si>
  <si>
    <t>Paser</t>
  </si>
  <si>
    <t>Jl. Kusuma Bangsa KM.5 Tanah Grogot</t>
  </si>
  <si>
    <t>RS Umum Dirgahayu</t>
  </si>
  <si>
    <t>Jl. Gn. Merbabu No.62 Samarinda</t>
  </si>
  <si>
    <t>RS Santa Familia</t>
  </si>
  <si>
    <t>Kutai Barat</t>
  </si>
  <si>
    <t>Jl. Senopati RT. XIV Busur, Kel. Barong Tongkok, KEc. Barong</t>
  </si>
  <si>
    <t>RS Umum Daerah Ratu Aji Putri Botung</t>
  </si>
  <si>
    <t>Jl Propinsi KM 9 Kab. Penajam Paser Utara</t>
  </si>
  <si>
    <t>RS Umum Balikpapan Baru</t>
  </si>
  <si>
    <t>Jl. MT.Haryono Komplek Perumahan Balikpapan Baru Blok A.3A No.7-9</t>
  </si>
  <si>
    <t>RS Khusus Mata SMEC Balikpapan</t>
  </si>
  <si>
    <t>Ruko Sentra Eropa Blok AA-2B No. 16, Kelurahan Damai Baru, Kecamatan Balikpapan Selatan</t>
  </si>
  <si>
    <t>RS Umum Daerah Harapan Insan Sendawar</t>
  </si>
  <si>
    <t>Jl. Hasanudin N0.100, Sekolaq Joleq, Kecamatan Sekolaq Darat, Kabupaten Kutai Barat, Kalimantan Timur 75777</t>
  </si>
  <si>
    <t>RS Hermina Samarinda</t>
  </si>
  <si>
    <t>Jl.Teuku Umar Kelurahan Karang Asam Kecamatan Sungai Kunjang</t>
  </si>
  <si>
    <t>RS Ibu dan Anak  Aisyiyah Samarinda</t>
  </si>
  <si>
    <t>Jl. P. Hidayatullah No. 64 Kel. Pelabuhan Kec. Samarinda Kota, Kota Samarinda, Provinsi Kalimantan Timur</t>
  </si>
  <si>
    <t>RS Umum Daerah Pratama Sendawar</t>
  </si>
  <si>
    <t>Jl. Sengkereaq Ingkih RT. 002, Kampung Linggang Bigung, Kec. Linggang Bigung</t>
  </si>
  <si>
    <t>RS Pertamina Balikpapan</t>
  </si>
  <si>
    <t>Jl. Jend Sudirman Balikpapan No.1</t>
  </si>
  <si>
    <t>RS Umum Medika Sangatta</t>
  </si>
  <si>
    <t>Jl. Yos Sudarso IV No. 1, Sangatta</t>
  </si>
  <si>
    <t>RS Umum Bhakti Nugraha</t>
  </si>
  <si>
    <t>Jl. Basuki Rachmat No. 50,  kel. Bugis, kec. Samarinda kota, Kota Samarinda, Kalimantan Timur, Indonesia 75111</t>
  </si>
  <si>
    <t>RS Pelita Kasih</t>
  </si>
  <si>
    <t>Jl. Yos Sudarso IV No. 9 Sangatta</t>
  </si>
  <si>
    <t>RS Samarinda Medika Citra</t>
  </si>
  <si>
    <t>Jl. Kadrie Oening No 85  RT 35 Samarinda 751234</t>
  </si>
  <si>
    <t>RS Restu Ibu</t>
  </si>
  <si>
    <t>Jl. Jend A.Yani No. 12 Balikpapan Kalimantan Timur</t>
  </si>
  <si>
    <t>RS Khusus Ibu dan Anak Qurrata A'yun</t>
  </si>
  <si>
    <t>Jl. DI Panjaitan No.77, Mugirejo, Kec. Sungai Pinang, Kota Samarinda, Kalimantan Timur 75117</t>
  </si>
  <si>
    <t>RS Pupuk Kaltim</t>
  </si>
  <si>
    <t>Jl. Oksigen No.01 Komplek PT Kalimantan Timur Kelurahan Guntung Kecamatan Bontang Utara</t>
  </si>
  <si>
    <t>RS Umum Daerah Dayaku Raja</t>
  </si>
  <si>
    <t>Jl. Poros Kota Bangun - Tenggarong KM.5 RT. 001 No. 69 Desa Liang, Kec. Kota Bangun, Kab. Kutai Kartanegara, Provinsi Kalimantan Timur Kode Pos 75561</t>
  </si>
  <si>
    <t>RS Umum Daerah Dr. Abdul Rivai</t>
  </si>
  <si>
    <t>Jl. Pulau Panjang No.276 Tanjung Redeb</t>
  </si>
  <si>
    <t>RS Amalia Bontang</t>
  </si>
  <si>
    <t>Jl. R. Soeprapto No. 22 Bontang - Kalimantan Timur</t>
  </si>
  <si>
    <t>RS Umum Daerah Inche Abdoel Moeis</t>
  </si>
  <si>
    <t>Jl. H.A.M.M Rifaddin No. 1 , Kelurahan Harapan Baru, Kecamatan Loa Janan Ilir, Kota Samarinda, Provinsi Kalimantan Timur</t>
  </si>
  <si>
    <t>RS Umum Daerah Abdul Wahab Sjahranie</t>
  </si>
  <si>
    <t>Jalan Palang Merah Indonesia Nomor 1, Sidodadi, Samarinda Ulu</t>
  </si>
  <si>
    <t>RS Islam Bontang</t>
  </si>
  <si>
    <t>Jl. Brigjen Katamso No.40</t>
  </si>
  <si>
    <t>RS Umum Daerah Sangkulirang</t>
  </si>
  <si>
    <t>Jl. Wana Bhakti, Desa Benua Baru Ulu, Kec. Sangkulirang, Kab. Kutai Timur</t>
  </si>
  <si>
    <t>RS Siaga Al-Munawwarah Samarinda</t>
  </si>
  <si>
    <t>Jl.  Ramania No. 3 - Kelurahan Sidodadi - Samarinda Ulu - Kota Samarinda - Kalimantan Timur</t>
  </si>
  <si>
    <t>RS Siloam Hospitals Balikpapan</t>
  </si>
  <si>
    <t>JL. MT. Haryono Dalam No. 23</t>
  </si>
  <si>
    <t>RS Gerbang Sehat Mahulu</t>
  </si>
  <si>
    <t>Mahakam Hulu</t>
  </si>
  <si>
    <t>Ujoh Bilang Kec. Long Bagun Kab. Mahakam Ulu</t>
  </si>
  <si>
    <t>RS Umum Daerah Aji Muhammad Parikesit</t>
  </si>
  <si>
    <t>Jl. Ratu Agung No. 1 Kecamatan Tenggarong Seberang  Kabupaten Kutai Kartanegara Propinsi Kalimantan Timur</t>
  </si>
  <si>
    <t>RS Umum Daerah Beriman</t>
  </si>
  <si>
    <t>Jalan Mayjend Sutoyo No. 30 RT. 01 Kel. Gunung Sari Ulu, Kec. Balikpapan Tengah, Kota Balikpapan, Provinsi Kalimantan Timur</t>
  </si>
  <si>
    <t>RS Umum Daerah KORPRI Provinsi Kalimantan Timur</t>
  </si>
  <si>
    <t>Jl. Kesuma Bangsa No. 1B RT 18, Sungai Pinang Luar,Kec .Samarinda Kota,Kota Samarinda, Kalimantan Timur 75242</t>
  </si>
  <si>
    <t>RS Umum Tk. IV Samarinda</t>
  </si>
  <si>
    <t>Jl. Jend. Sudirman no.52 Samarinda</t>
  </si>
  <si>
    <t>RS Hermina Balikpapan</t>
  </si>
  <si>
    <t>Jl. MT Haryono No 45 Kelurahan Sepinggan Baru, Kecamatan Balikpapan Selatan, Kota Balikpapan</t>
  </si>
  <si>
    <t>RS Bhayangkara Tarakan</t>
  </si>
  <si>
    <t>Kalimantan Utara</t>
  </si>
  <si>
    <t>Kota Tarakan</t>
  </si>
  <si>
    <t>Jl. Karya Bersama RT 18 Kel. Juata Laut Kec. Tarakan Utara</t>
  </si>
  <si>
    <t>RS Pertamina Tarakan</t>
  </si>
  <si>
    <t>Jl. Mulawarman No. 99 RT. 18 Kel. Karang Anyar Pantai Kec. Tarakan Barat</t>
  </si>
  <si>
    <t>RS Umum Daerah dr.H. Jusuf SK</t>
  </si>
  <si>
    <t>Jl P. Irian No. 01 Skip Tarakan</t>
  </si>
  <si>
    <t>RS Pratama Long Ampung</t>
  </si>
  <si>
    <t>Malinau</t>
  </si>
  <si>
    <t>Jl. Batu Aloq Desa Long Ampung  RT 3, Kecamatan Kayan Selatan</t>
  </si>
  <si>
    <t>RS Pratama Sebatik</t>
  </si>
  <si>
    <t>Nunukan</t>
  </si>
  <si>
    <t>Jl. Padaelo RT. 08 Desa Tanjung Karang Kecamatan Sebatik kabupaten Nunukan Propinsi Kalimantan Utara Kode Pos 77483</t>
  </si>
  <si>
    <t>RS Pratama Sebuku</t>
  </si>
  <si>
    <t>Jl. Trans Lumbis Desa Pembeliangan RT. 3 Kec. Sebuku Kab. Nunukan</t>
  </si>
  <si>
    <t>RS Kelas D Pratama Tanjung Keramat</t>
  </si>
  <si>
    <t>Tana Tidung</t>
  </si>
  <si>
    <t>Jl. Poros  Rt.001 Desa Sambungan Selatan Kecamatan Tana Lia, Kabupaten .Tana Tidung, Provinsi Kalimantan Utara</t>
  </si>
  <si>
    <t>RS Umum Kota Tarakan</t>
  </si>
  <si>
    <t>Jl. Aki Babu RT 01 Kelurahan Karang Harapan Kecamatan Tarakan Barat Kota Tarakan Provinsi Kalimantan</t>
  </si>
  <si>
    <t>RS Pratama Langap</t>
  </si>
  <si>
    <t>Desa Langap Rt. 006 Kec. Malinau Selatan Kab. Malinau Provinsi Kalimantan Utara</t>
  </si>
  <si>
    <t>RST Tk. IV Abdul Rais Fatah Tanjung Selor</t>
  </si>
  <si>
    <t>Bulungan</t>
  </si>
  <si>
    <t>Jl. Semangka RT 022/RW 008, Kel. Tanjung Selor Hilir, Kec. Tanjung Selor</t>
  </si>
  <si>
    <t>RS AL Ilyas Tarakan</t>
  </si>
  <si>
    <t>Jl RE. Martadinata No. 29 Kel. Pamusian kec. Tarakan Tengah.Tarakan</t>
  </si>
  <si>
    <t>RS Umum Daerah Tanjung Selor</t>
  </si>
  <si>
    <t>Jl. Cenderawasih No. 3 Tanjung Harapan, Kel. Tanjung Selor Hilir Kec. Tanjung Selor</t>
  </si>
  <si>
    <t>RS Umum Daerah Kabupaten Malinau</t>
  </si>
  <si>
    <t>Jl. Respen Tubu Sembuak Warod Kec. Malinau Utara  Kab. Malinau Kode Pos (77554), Provinsi Kalimantan Utara Telp/Fax (0553) 2022220 - 2022215</t>
  </si>
  <si>
    <t>RS Umum Carsa Tarakan</t>
  </si>
  <si>
    <t>Jl. Tiram No. 3 Kel. Sebengkok Tarakan</t>
  </si>
  <si>
    <t>RS Pratama Krayan</t>
  </si>
  <si>
    <t>Desa Pa' Mering</t>
  </si>
  <si>
    <t>RS Umum Daerah Kabupaten Nunukan</t>
  </si>
  <si>
    <t>Jl. Ujang Fatimah RT.04 Nunukan Barat</t>
  </si>
  <si>
    <t>RS Umum Daerah Akhmad Berahim</t>
  </si>
  <si>
    <t>Jl. Padat Karya RT.01 RW.01, Desa Tideng Pale Timur Kecamatan Sesayap Kabupaten Tana Tidung Provinsi Kalimantan Utara 77152</t>
  </si>
  <si>
    <t>RS Umum Noongan</t>
  </si>
  <si>
    <t>Sulawesi Utara</t>
  </si>
  <si>
    <t>Minahasa</t>
  </si>
  <si>
    <t>Jl.Raya Noongan Langowan Barat</t>
  </si>
  <si>
    <t>RSU Ratatotok Buyat</t>
  </si>
  <si>
    <t>Minahasa Tenggara</t>
  </si>
  <si>
    <t>JL. J.W. Lasut Ratatotok II Kecamatan Ratatotok, Minahasa Tenggara, Sulawesi Utara</t>
  </si>
  <si>
    <t>RS Kinapit</t>
  </si>
  <si>
    <t>Kota Kotamobagu</t>
  </si>
  <si>
    <t>Jl. S. Parman No.201</t>
  </si>
  <si>
    <t>RS Siloam GMIM Sonder</t>
  </si>
  <si>
    <t>Kolongan Atas, Sonder</t>
  </si>
  <si>
    <t>RS Khusus Daerah Gigi dan Mulut Kota Manado</t>
  </si>
  <si>
    <t>Kota Manado</t>
  </si>
  <si>
    <t>Jl. Lingkar Ringroad, Kelurahan Tingkulu, Kecamatan Wanea, Kota Manado, Provinsi Sulawesi Utara, Kode Pos 95117.</t>
  </si>
  <si>
    <t>Sentra Medika Hospital Minahasa Utara</t>
  </si>
  <si>
    <t>Minahasa Utara</t>
  </si>
  <si>
    <t>Jl. Ir. Soekarno Desa Maumbi Kec. Kalawat</t>
  </si>
  <si>
    <t>Jl. Pingkan Matindas, Dendengan dalam,Manado</t>
  </si>
  <si>
    <t>RS Umum Liung Paduli</t>
  </si>
  <si>
    <t>Kepulauan Sangihe</t>
  </si>
  <si>
    <t>Kampung Naha Kecamatan Tabukan Utara</t>
  </si>
  <si>
    <t>RSAU dr. Charles P. J. Suoth Lanud Sam Ratulangi</t>
  </si>
  <si>
    <t>Jl. A.A. Maramis, Kelurahan Lapangan, Kecamatan Mapanget, Kota Manado, Provinsi Sulawesi Utara</t>
  </si>
  <si>
    <t>RS Umum Daerah Lapangan Sawang Kab. Sitaro</t>
  </si>
  <si>
    <t>Kepulauan Siau Tagulandang Biaro</t>
  </si>
  <si>
    <t>Kampung Binalu, Kec : Siau Timur Selatan</t>
  </si>
  <si>
    <t>RS Umum Daerah Bolaang Mongondow Utara</t>
  </si>
  <si>
    <t>Bolaang Mongondow Utara</t>
  </si>
  <si>
    <t>Jl. Talaga Tomoagu Bolangitang</t>
  </si>
  <si>
    <t>RS Umum Daerah Anugerah</t>
  </si>
  <si>
    <t>Kota Tomohon</t>
  </si>
  <si>
    <t>Jl. Pinaras, Kelurahan Tumatangtang Satu Kecamatan Tomohon Selatan</t>
  </si>
  <si>
    <t>RS Hermana</t>
  </si>
  <si>
    <t>Jl. A. Mononutu Desa Lembean Kec. Kauditan Kab. Minahasa Utara</t>
  </si>
  <si>
    <t>RS Ibu dan Anak Kirana Manado</t>
  </si>
  <si>
    <t>Jl. Jend Sudirman No.78, Kelurahan Lawangirung, Kecamatan Wenang, Kota Manado, Provinsi Sulawesi Utara.</t>
  </si>
  <si>
    <t>RS Budi Mulia Bitung</t>
  </si>
  <si>
    <t>Kota Bitung</t>
  </si>
  <si>
    <t>Jl. Sam Ratulangi X/9A Bitung</t>
  </si>
  <si>
    <t>RS Umum Daerah Bolaang Mongondow Selatan</t>
  </si>
  <si>
    <t>Bolaang Mongondow Selatan</t>
  </si>
  <si>
    <t>Jl. Trans Sulawesi desa Molibagu Kecamatan Bolaang Uki, Kabupaten Bolaang Mongondow selatan, Provinsi Sulawesi Utara Kode Pos 95770</t>
  </si>
  <si>
    <t>RSUP Prof. Dr. R. D. Kandou</t>
  </si>
  <si>
    <t>Jl. Raya Tanawangko No.56, Manado</t>
  </si>
  <si>
    <t>RS Siloam Paal Dua</t>
  </si>
  <si>
    <t>Jl. Yos Sudarso No.38-40, Kec. Paal Dua</t>
  </si>
  <si>
    <t>RS Umum Daerah Mitra Sehat</t>
  </si>
  <si>
    <t>Jl. Raya Ratahan - Liwutung Desa Towuntu Timur Kec. Pasan Kabupaten Minahasa Tenggara</t>
  </si>
  <si>
    <t>RS. Dr. J. H. AWALOEI - MANADO</t>
  </si>
  <si>
    <t>Jl. Pingkan Matindas, Kelurahan Dendengan Dalam</t>
  </si>
  <si>
    <t>RS Cantia Tompasobaru</t>
  </si>
  <si>
    <t>Minahasa Selatan</t>
  </si>
  <si>
    <t>Jaga II (dua) desa Pinaesaan, Kecamatan Tompasobaru, Kabupaten Minahasa Selatan</t>
  </si>
  <si>
    <t>RS Khusus Infeksi Kita Waya Provinsi Sulawesi Utara</t>
  </si>
  <si>
    <t>Jl. Raya Manado-Bitung Kel. Kairagi Satu Kec. Mapanget Kota Manado</t>
  </si>
  <si>
    <t>RS Mata Provinsi Sulawesi Utara</t>
  </si>
  <si>
    <t>Jl. W. Z. Johanis No.I Kota Manado</t>
  </si>
  <si>
    <t>RS Gigi dan Mulut Universitas Sam Ratulangi</t>
  </si>
  <si>
    <t>Jl. Dr. Soetomo No. 3</t>
  </si>
  <si>
    <t>RS Umum Daerah Manembo-Nembo Bitung</t>
  </si>
  <si>
    <t>Jl. S. H. Sarundajang Kel. Manembo-nembo Tengah Kec. Matuari</t>
  </si>
  <si>
    <t>RS Dr. J. H. Awaloei</t>
  </si>
  <si>
    <t>Jl. Raya Manado-Tateli Desa Tateli Satu Kec. Mandolang</t>
  </si>
  <si>
    <t>RS Umum Daerah Amurang</t>
  </si>
  <si>
    <t>Desa Teeptrans Jl. Trans Sulawesi Kecamatan Amurang Barat</t>
  </si>
  <si>
    <t>RS Jiwa Prof. Dr. V. L. Ratumbuysang</t>
  </si>
  <si>
    <t>Desa Kalasey Dua Kec. Mandolang Kab. Minahasa</t>
  </si>
  <si>
    <t>RS Umum Daerah ODSK</t>
  </si>
  <si>
    <t>Jl. Bethesda No. 77 Manado</t>
  </si>
  <si>
    <t>RS Monompia</t>
  </si>
  <si>
    <t>Jl. A. Yani No.720, Kotamobagu Utara</t>
  </si>
  <si>
    <t>RS Kalooran</t>
  </si>
  <si>
    <t>Lingkungan V Kelurahan Buyungon, Kecamatan Amurang, Kabupaten Minahasa Selatan, Provinsi Sulawesi Utara, Kode Pos 95954</t>
  </si>
  <si>
    <t>RS Bethesda GMIM Tomohon</t>
  </si>
  <si>
    <t>Jln. Raya Tomohon, Kelurahan Talete Satu, Kecamatan Tomohon Tengah, Kota Tomohon, Provinsi Sulawesi Utara</t>
  </si>
  <si>
    <t>RS Bhayangkara Manado</t>
  </si>
  <si>
    <t>Jl. Sam Ratulangi 326 Manado</t>
  </si>
  <si>
    <t>RS Hermina Manado</t>
  </si>
  <si>
    <t>Jl. Ring Road 2 Lingkungan 1 Kel. Paniki Bawah Kec. Mapanget</t>
  </si>
  <si>
    <t>RS Daerah Liun Kendage</t>
  </si>
  <si>
    <t>Jalan Tatehe Kelurahan Apengsembeka Kecamatan Tahuna</t>
  </si>
  <si>
    <t>RS Umum Daerah Tagulandang</t>
  </si>
  <si>
    <t>Kelurahan Bahoi Jln Batuline Tagulandang - Kab.Sitaro</t>
  </si>
  <si>
    <t>RS Umum Daerah Bolaang Mongondow Timur</t>
  </si>
  <si>
    <t>Bolaang Mongondow Timur</t>
  </si>
  <si>
    <t>Jl. Amurang Kotamobagu Desa Sumber Rejo Kecamatan Modayag Kabupaten Bolaang Mongondow Timur</t>
  </si>
  <si>
    <t>RS Umum Daerah Kota Manado</t>
  </si>
  <si>
    <t>Jl. Raya Ringroad I Kelurahan Tingkulu Lingkungan V, Kecamatan Wanea, Kota Manado, Prov. Sulawesi Utara</t>
  </si>
  <si>
    <t>RS Umum Daerah Maria Walanda Maramis</t>
  </si>
  <si>
    <t>Jl. Arnold Mononutu - Kel.Sarongsong II - Airmadidi</t>
  </si>
  <si>
    <t>RS Gunung Maria</t>
  </si>
  <si>
    <t>Jl. Sejahtera No. 282 Tomohon</t>
  </si>
  <si>
    <t>RS Advent Manado</t>
  </si>
  <si>
    <t>Jl. 14 Februari No. 1 Teling Atas Kelurahan Teling Atas, Kecamatan Wanea Kota Manado Provinsi Sulawesi Utara 95119</t>
  </si>
  <si>
    <t>RS Islam Sitti Maryam</t>
  </si>
  <si>
    <t>Jl. Pogidon Raya No.110 Tuminting Manado</t>
  </si>
  <si>
    <t>RS Bergerak Kab.Kep.Talaud</t>
  </si>
  <si>
    <t>Kepulauan Talaud</t>
  </si>
  <si>
    <t>Jl Raya Taturan - Gemeh Kecamatan Gemeh Kabupaten Kepulauan Talaud</t>
  </si>
  <si>
    <t>RS Umum Daerah Kota Bitung</t>
  </si>
  <si>
    <t>Kel. Bitung Tengah Kec. Maesa</t>
  </si>
  <si>
    <t>RS Budi Setia</t>
  </si>
  <si>
    <t>Kayowas Jaga I Langowan Barat Minahasa</t>
  </si>
  <si>
    <t>Rumkital dr. Wahyu Slamet Bitung</t>
  </si>
  <si>
    <t>Jl. Yos Sudarso No. 26 ,Kel.Bitung Barat Dua, Kec. Maesa, Kota Bitung, Sulawesi Utara</t>
  </si>
  <si>
    <t>RS Umum Daerah Kota Kotamobagu</t>
  </si>
  <si>
    <t>Kelurahan Pobundayan Kecamatan Kotamobagu Selatan</t>
  </si>
  <si>
    <t>RS Ibu dan Anak Kasih Fatimah Kotamobagu</t>
  </si>
  <si>
    <t>Jl. Kolonel Soegiono No. 101 Kelurahan Kotabangon Kecamatan Kotamobagu Timur</t>
  </si>
  <si>
    <t>RS Umum Bintauna</t>
  </si>
  <si>
    <t>Jl. Vongkuru Desa Pimpi Kecamatan Bintauna</t>
  </si>
  <si>
    <t>RS Ibu dan Anak Kasih Ibu</t>
  </si>
  <si>
    <t>Jl. R. W. Mongisidi No.1 Kompleks Bahu Mall Blok C.23 Kelurahan Bahu Kecamatan Malalayang Kota Manado 95115</t>
  </si>
  <si>
    <t>RS TK. II R. W. Mongisidi</t>
  </si>
  <si>
    <t>Jl. 14 Februari Telling Atas Manado</t>
  </si>
  <si>
    <t>RS Umum Datoe Binangkang</t>
  </si>
  <si>
    <t>Bolaang Mongondow</t>
  </si>
  <si>
    <t>Jl. Desa Lolak II Kec. Lolak Kabupaten Bolaang Mongondow</t>
  </si>
  <si>
    <t>RS Tonsea</t>
  </si>
  <si>
    <t>Jl. Arnold Mononutu No.176 Sarongsong 1, Kec. Airmadidi, Kab. Minahasa Utara, Sulawesi Utara</t>
  </si>
  <si>
    <t>RS Umum Manado Medical Center</t>
  </si>
  <si>
    <t>Jln. Rajawali No. 8 - Kec. Paal 2 - Kel. Paal 2 - Kota Manado - 95129</t>
  </si>
  <si>
    <t>RS Umum Siloam Hospital Manado</t>
  </si>
  <si>
    <t>JL.Sam Ratulangi No.22 Boulevard Center</t>
  </si>
  <si>
    <t>RS Pancaran Kasih</t>
  </si>
  <si>
    <t>Jl. Dr. Sam Ratulangi XIII Kelurahan Titiwungen Kecamatan Sario Kota Manado Provinsi Sulawesi Utara</t>
  </si>
  <si>
    <t>RS Umum Daerah Talaud</t>
  </si>
  <si>
    <t>Jl. Raya Mala Kec. Melonguane</t>
  </si>
  <si>
    <t>RS Umum Daerah Dr. Sam Ratulangi Tondano</t>
  </si>
  <si>
    <t>Jl. R. Suprapto, Luaan, Kec. Tondano Utara, Kabupaten Minahasa, Sulawesi Utara</t>
  </si>
  <si>
    <t>RS Umum Daerah Trikora Salakan</t>
  </si>
  <si>
    <t>Sulawesi Tengah</t>
  </si>
  <si>
    <t>Banggai Kepulauan</t>
  </si>
  <si>
    <t>Desa Tompudau, Kec. Tinangkung, Kab. Banggai Kepulauan, Provinsi Sulawesi Tengah</t>
  </si>
  <si>
    <t>RS Umum Daerah Poso</t>
  </si>
  <si>
    <t>Poso</t>
  </si>
  <si>
    <t>Jl. Jenderal Sudirman No.33  Kel Kasintuwu Poso</t>
  </si>
  <si>
    <t>RS Pratama Bilabanggai Buko Selatan</t>
  </si>
  <si>
    <t>Desa Apal Kecamatan Buko Selatan</t>
  </si>
  <si>
    <t>RS TK. III. 13.06.01 Dr. Sindhu Trisno</t>
  </si>
  <si>
    <t>Kota Palu</t>
  </si>
  <si>
    <t>Jl. Sisinga Mangaraja No.4, Palu</t>
  </si>
  <si>
    <t>RS Umum Daerah Ampana</t>
  </si>
  <si>
    <t>Tojo Una-Una</t>
  </si>
  <si>
    <t>Jl. St Hasanudin No. 32, Kel. Labiabae, Kec. Ampana Kota, Kabupaten Tojo Una-Una, Provinsi Sulawesi Tengah</t>
  </si>
  <si>
    <t>RS Woodward</t>
  </si>
  <si>
    <t>Jl. L.H. Woodward No.1 Palu</t>
  </si>
  <si>
    <t>RS Umum Daerah Anuntaloko Parigi</t>
  </si>
  <si>
    <t>Parigi Moutong</t>
  </si>
  <si>
    <t>Jl. Sis Al Jufri No.214 Parigi Moutong</t>
  </si>
  <si>
    <t>RS Umum Daerah Raja Tombolotutu</t>
  </si>
  <si>
    <t>Jl. Trans Sulawesi Dsn II Tinombo</t>
  </si>
  <si>
    <t>RS Ibu dan Anak Nasana Pura</t>
  </si>
  <si>
    <t>Jl. Jend. H. M. Soeharto no. 10, Kel. Petobo, Kec. Palu Selatan, Kota Palu, Provinsi Sulawesi Tengah</t>
  </si>
  <si>
    <t>RS Umum Daerah Pendau Tambu Kab Donggala</t>
  </si>
  <si>
    <t>Donggala</t>
  </si>
  <si>
    <t>Jl. Samudra No 1 Desa Mapane Tambu Kec. Balaesang Kab. Donggala</t>
  </si>
  <si>
    <t>RS Budi Agung Palu</t>
  </si>
  <si>
    <t>Jl. Maluku No. 44 Palu</t>
  </si>
  <si>
    <t>RS Umum Daerah Banggai</t>
  </si>
  <si>
    <t>Banggai Laut</t>
  </si>
  <si>
    <t>Jl. KM. 07 Desa Adean Kecamatan Banggai Tengah Kabupaten Banggai Laut Provinsi Sulawesi Tengah</t>
  </si>
  <si>
    <t>RS Pratama Mayapuria</t>
  </si>
  <si>
    <t>Morowali Utara</t>
  </si>
  <si>
    <t>Desa Baturube Kode Pos 94972</t>
  </si>
  <si>
    <t>RS Umum  Mokopido Toli-Toli</t>
  </si>
  <si>
    <t>Toli-Toli</t>
  </si>
  <si>
    <t>Jl. Lanoni No.37 Kel Baru Kec Baolan kab Toli-Toli, Sulteng</t>
  </si>
  <si>
    <t>RS Umum Daerah Morowali</t>
  </si>
  <si>
    <t>Morowali</t>
  </si>
  <si>
    <t>Jl. Trans Sulawesi , Desa Bahomohoni, Kec. Bungku Tengah, Kab. Morowali, Provinsi Sulawesi Tengah</t>
  </si>
  <si>
    <t>RS Umum Daerah Pratama Togean</t>
  </si>
  <si>
    <t>Desa Wakai Kec. Una-una Kab. Tojo Una-una</t>
  </si>
  <si>
    <t>RS Ibu dan Anak Defina</t>
  </si>
  <si>
    <t>Jln.Trans Sulawesi no.7 Kampal Parigi</t>
  </si>
  <si>
    <t>RS TK 4 Dr. Yanto, Sp.OT</t>
  </si>
  <si>
    <t>jl Tadulako No 20 Kel. Bonesompe Kec. Poso Kota Utara Kabupaten Poso</t>
  </si>
  <si>
    <t>RS Umum Daerah Buluye Napoae Moutong</t>
  </si>
  <si>
    <t>Jl. H. Samsurizal Tombolotutu No.1 Salumpengut Kec. Moutong</t>
  </si>
  <si>
    <t>RS Umum Daerah Undata Palu</t>
  </si>
  <si>
    <t>JL. RE. Martadinata, Desa/Kelurahan Talise, Kec. Mantikulore, Kota Palu, Provinsi Sulawesi Tengah</t>
  </si>
  <si>
    <t>RS Umum Daerah Salabangkapaku</t>
  </si>
  <si>
    <t>Desa Lakombulo Kec. Bungku Selatan Kab. Morowali, Provinsi Sulawesi Tengah</t>
  </si>
  <si>
    <t>RS Umum Daerah Kolonodale</t>
  </si>
  <si>
    <t>Jl. dr. Aziz Maralla No. 12 Kolonodale Kec. Petasia Kab. Morowali Utara</t>
  </si>
  <si>
    <t>RS Umum Daerah Tora Belo</t>
  </si>
  <si>
    <t>Sigi</t>
  </si>
  <si>
    <t>JL. TRANS PALU - PALOLO KM. 15 DESA/KELURAHAN, SIDERA KEC. SIGI BIROMARU KAB. SIGI PROVINSI SULAWESI TENGAH.</t>
  </si>
  <si>
    <t>RS Umum Hj. Zubaeda Bantilan</t>
  </si>
  <si>
    <t>Jl. Kesehatan No. 6 Desa Malala Kec. Dondo  Kab. Tolitoli, Sulawesi Tengah</t>
  </si>
  <si>
    <t>RS Umum Anutapura Palu</t>
  </si>
  <si>
    <t>Jl. Kangkung No.1, Desa/Kelurahan Donggala Kodi, Kec. Ulujadi, Kota Palu, Provinsi Sulawesi Tengah, Kode Pos : 94226</t>
  </si>
  <si>
    <t>RS Ibu dan Anak Care She</t>
  </si>
  <si>
    <t>Jl. MT Haryono 24 Palu</t>
  </si>
  <si>
    <t>RS GKST Tentena</t>
  </si>
  <si>
    <t>Jl. Setia Budi No.98. Tentena Kec. Pamona Puselemba</t>
  </si>
  <si>
    <t>RS Pratama dr. Abdul Chalik Masulili</t>
  </si>
  <si>
    <t>Banggai</t>
  </si>
  <si>
    <t>Jl. Trans Sulawesi Luwuk Palu Desa Tongkonunuk Kec. Pagimana</t>
  </si>
  <si>
    <t>RS Umum Daerah Madani Palu</t>
  </si>
  <si>
    <t>Jl. Thalua Kontji No. 11  Mamboro Barat Kecamatan Palu Utara</t>
  </si>
  <si>
    <t>RS Umum  Sis Al Jufri Palu</t>
  </si>
  <si>
    <t>Jl.SIS ALJUFRI No 72, PALU</t>
  </si>
  <si>
    <t>RS Claire Medika</t>
  </si>
  <si>
    <t>Jl. Sungai Musi No. 17 Kelurahan Soho Kecamatan Luwuk</t>
  </si>
  <si>
    <t>RS Umum Daerah Kabelota</t>
  </si>
  <si>
    <t>Jl. Poros  Palu - Donggala Desa/Kelurahan Kabonga Besar, Kecamatan Banawa ,Kabupaten Donggala ,Provinsi Sulawesi Tengah</t>
  </si>
  <si>
    <t>RS Umum Daerah Kabupaten Banggai</t>
  </si>
  <si>
    <t>Jl. Imam Bonjol KM 3 No. 14 Luwuk</t>
  </si>
  <si>
    <t>RS Samaritan Palu</t>
  </si>
  <si>
    <t>JL. Towua No 77 Palu</t>
  </si>
  <si>
    <t>RS Umum Daerah Wakai</t>
  </si>
  <si>
    <t>Desa Tanimpo, Kec. Una Una</t>
  </si>
  <si>
    <t>RS Ibu dan Anak Tinatapura</t>
  </si>
  <si>
    <t>Jl. Raden Saleh 31 Palu</t>
  </si>
  <si>
    <t>RS Bhayangkara Palu</t>
  </si>
  <si>
    <t>Jl. DR. Suharso Lrg III No. 2 Palu</t>
  </si>
  <si>
    <t>RS Umum Tadulako Palu</t>
  </si>
  <si>
    <t>JL Soekarno Hatta Kilometer 9 Kampus Bumi Tadulako</t>
  </si>
  <si>
    <t>RS Umum Daerah Mokoyurli Buol</t>
  </si>
  <si>
    <t>Buol</t>
  </si>
  <si>
    <t>Jln. DR. Wahidin Sudirohusodo No.12 Kel. Leok II  Kec. Biau Kabupaten Buol Provinsi Sulawesi Tengah</t>
  </si>
  <si>
    <t>RS Umum Daerah Massenrempulu Enrekang</t>
  </si>
  <si>
    <t>Sulawesi Selatan</t>
  </si>
  <si>
    <t>Enrekang</t>
  </si>
  <si>
    <t>Jl. Jend Sudirman, Kelurahan Galonta, Kecamatan Enrekang, Kabupaten Enrekang, Provinsi Sulawesi Selatan</t>
  </si>
  <si>
    <t>RS Ibu dan Anak Sitti Khadijah 1 Muhammadiyah</t>
  </si>
  <si>
    <t>Kota Makassar</t>
  </si>
  <si>
    <t>Jalan RA Kartini No. 15 - 17 Makassar</t>
  </si>
  <si>
    <t>RS Umum Bintang Laut Palopo</t>
  </si>
  <si>
    <t>Kota Palopo</t>
  </si>
  <si>
    <t>Jl. KH. M. Kasim No. 5 Palopo</t>
  </si>
  <si>
    <t>RS Khusus Daerah Gigi dan Mulut Provinsi Sulawesi</t>
  </si>
  <si>
    <t>Jl. Lanto Dg. Pasewang, Kec. Mamajang, Kel. Maricaya Selatan, Kota Makassar, Provinsi Sulawesi Selatan</t>
  </si>
  <si>
    <t>RS Umum Daerah Sayang Rakyat</t>
  </si>
  <si>
    <t>Jl. Pahlawan No. 1000 Kec. Biringkanaya</t>
  </si>
  <si>
    <t>RS Umum Daerah H.A. Sulthan Daeng Radja</t>
  </si>
  <si>
    <t>Bulukumba</t>
  </si>
  <si>
    <t>Jl. Serikaya No. 17 Bulukumba</t>
  </si>
  <si>
    <t>RS Dokter Palemmai Tandi</t>
  </si>
  <si>
    <t>Jl. Samiun No. 2 Kota Palopo</t>
  </si>
  <si>
    <t>RS Mata Makassar</t>
  </si>
  <si>
    <t>Jl. Lingkar Barat Tallasa City Tamalanrea, Desa/Kel. Tamalanrea, Kec. Tamalanrea</t>
  </si>
  <si>
    <t>RS Hamuna</t>
  </si>
  <si>
    <t>Bone</t>
  </si>
  <si>
    <t>Jl. Poros Bone Sinjai Desa Gona Kec. Kajuara Kab. Bone</t>
  </si>
  <si>
    <t>RS Ibu dan Anak Malebu Husada</t>
  </si>
  <si>
    <t>JL.Goa Ria Blok A1 No 7 Kelurahan Bakung Kecamatan Biringkanaya Kota Makassar Provinsi Sulawesi Selatan</t>
  </si>
  <si>
    <t>RS Umum Daerah La Mappapenning</t>
  </si>
  <si>
    <t>Jl. HM. Yusuf, Desa/Kel. Mappesangka, Kec. Ponre</t>
  </si>
  <si>
    <t>RS Tk. II Pelamonia</t>
  </si>
  <si>
    <t>Jl. Jend Sudirman No.27,Makassar</t>
  </si>
  <si>
    <t>Jl. Tamalanrea raya (Poros BTP) Blok 10M No.9-10</t>
  </si>
  <si>
    <t>RS Mega Buana Palopo</t>
  </si>
  <si>
    <t>Jl. Andi Djemma No. 138 Kel. Binturu Kec. Wara Selatan Kota Palopo Prov. Sulawesi Selatan</t>
  </si>
  <si>
    <t>RS Grestelina</t>
  </si>
  <si>
    <t>Jl. Hertasning Raya No.51 Makassar</t>
  </si>
  <si>
    <t>RS Umum Daerah Batiling</t>
  </si>
  <si>
    <t>Pangkajene Kepulauan</t>
  </si>
  <si>
    <t>Jl.poros Batiling, Desa Batara, Kec.Labakkang kab. Pangkep</t>
  </si>
  <si>
    <t>RS Pratama Jampea</t>
  </si>
  <si>
    <t>Kepulauan Selayar</t>
  </si>
  <si>
    <t>Dusun Lembongan Desa Bontobaru Kec. Pasimasunggu Timur Kab. Kepulauan Selayar Prov. Sulawesi Selatan</t>
  </si>
  <si>
    <t>RS Umum Batara Siang</t>
  </si>
  <si>
    <t>Jl. Sultan Hasanudin 7 Pangkajene</t>
  </si>
  <si>
    <t>RS Umum Inco Sorowako</t>
  </si>
  <si>
    <t>Luwu Timur</t>
  </si>
  <si>
    <t>Jl. Diponegoro No. 1 Sorowako, Kec. Nuha Kab.Luwu Timur</t>
  </si>
  <si>
    <t>RS Dr. Hasri Ainun Habibie Parepare</t>
  </si>
  <si>
    <t>Kota Pare-pare</t>
  </si>
  <si>
    <t>Jl. Latasakka, Tonrangeng 1 No.46 C, RT1/RW2, Kel: Lumpue, Kec: Bacukiki Barat, Kota Parepare Parepare, Prov.Sulawesi Selatan</t>
  </si>
  <si>
    <t>RS Khusus Daerah Ibu dan Anak Siti Fatimah</t>
  </si>
  <si>
    <t>Jl. Gunung Merapi No. 75  Makassar Kelurahan Lajangiru Kecamatan UjungPandang Provinsi Sulawesi Selatan</t>
  </si>
  <si>
    <t>RS Umum Daerah Galesong Kabupaten Takalar</t>
  </si>
  <si>
    <t>Takalar</t>
  </si>
  <si>
    <t>Jl. Poros Galesong Utara, Kec. Galesong Utara, Kab. Takalar</t>
  </si>
  <si>
    <t>RS Umum Daerah Datu Pancaitana</t>
  </si>
  <si>
    <t>Jl. Gatot Subroto Kel. Biru Kec. Tanete Riattang</t>
  </si>
  <si>
    <t>RS Maryam Citra Medika</t>
  </si>
  <si>
    <t>Jl Poros Takalar-Makassar KM, Kelurahan Bajeng, Kecamatan Pattallassang, Kabupaten Takalar</t>
  </si>
  <si>
    <t>RS Umum Daerah Pratama Takalar</t>
  </si>
  <si>
    <t>Jalan Zubair Dg Tutu No.1 Kelurahan Palleko Kecamatan Polongbangkeng Utara Kab. Takalar</t>
  </si>
  <si>
    <t>RS Politeknik Ilmu Pelayaran (PIP) Makassar</t>
  </si>
  <si>
    <t>Jl. Tentara Pelajar No. 173/Jl. Yos Sudarso Kel. Malimongan Tua Kec. Wajo Kota Makassar Provinsi Sulawesi Selatan</t>
  </si>
  <si>
    <t>RS Umum Daerah Lanto Daeng Pasewang</t>
  </si>
  <si>
    <t>Jeneponto</t>
  </si>
  <si>
    <t>JL ISHAK ISKANDAR, KEL. EMPOANG SELATAN, KEC. BINAMU</t>
  </si>
  <si>
    <t>RS Umum Daerah Batara Guru</t>
  </si>
  <si>
    <t>Luwu</t>
  </si>
  <si>
    <t>Jl. Sawerigading, Desa Lebani, Kec. Belopa Utara Kab.Luwu Prov.Sulawesi Selatan</t>
  </si>
  <si>
    <t>RS Otak &amp; Jantung Pertamina Royal Biringkanaya</t>
  </si>
  <si>
    <t>Jl. Pajjaiang Sudiang Raya</t>
  </si>
  <si>
    <t>RS Akademis Jaury</t>
  </si>
  <si>
    <t>Jl. Jend. M. Jusuf No. 57 A, RT 004 RW 001 Kelurahan Pattunuang Kecamatan Wajo Kota Makassar Provinsi Sulawesi Selatan</t>
  </si>
  <si>
    <t>Jl. Urip Sumohardjo No. 43</t>
  </si>
  <si>
    <t>RS Fatima Pare-Pare</t>
  </si>
  <si>
    <t>Jl. Ilham No.5 Pare-Pare</t>
  </si>
  <si>
    <t>RS Hikmah Sejahtera Sukamaju</t>
  </si>
  <si>
    <t>Luwu Utara</t>
  </si>
  <si>
    <t>Jl. Trans Sulawesi Desa Kaluku Kecamatan Sukamaju</t>
  </si>
  <si>
    <t>RS Umum Daerah Latemmamala Soppeng</t>
  </si>
  <si>
    <t>Soppeng</t>
  </si>
  <si>
    <t>Jl. Malaka Raya Kec. Lalabata, Kab. Soppeng</t>
  </si>
  <si>
    <t>RS AT Medika</t>
  </si>
  <si>
    <t>Jl. Andi Djemma No. 6 Palopo</t>
  </si>
  <si>
    <t>RS Umum Sayang Bunda</t>
  </si>
  <si>
    <t>Jl. Letjen Hertasning No.52, Kel. Tidung, Kec. Rappocini, Kota Makassar, Sulawesi Selatan 90222</t>
  </si>
  <si>
    <t>RS Umum Pusat Dr. Tadjuddin Chalid Makassar</t>
  </si>
  <si>
    <t>Jl. Paccerakkang No.67 / Pajjaiang  No.67  Daya  Makassar,90241 Propinsi Sulawesi Selatan</t>
  </si>
  <si>
    <t>RS Umum Yapika</t>
  </si>
  <si>
    <t>Gowa</t>
  </si>
  <si>
    <t>Jl. Abdul Kadir Dg. Suro No.140 Kel. Samata Kec. Somba Opu, Kab. Gowa, Prov. Sulawesi Selatan</t>
  </si>
  <si>
    <t>RS Umum Daerah Syehk Yusuf Gowa</t>
  </si>
  <si>
    <t>Jl. Dr. Wahidin Sudirohusodo No.48, Kelurahan Batangkaluku, Kecamatan Somba Opu, Kabupaten Gowa, Provinsi Sulawesi Selatan</t>
  </si>
  <si>
    <t>RS Ibu dan Anak Masyita</t>
  </si>
  <si>
    <t>Jl. Camba Jawayya No.24 Tello Baru, Makasar</t>
  </si>
  <si>
    <t>RS AL Jala Ammari Makassar</t>
  </si>
  <si>
    <t>Jl. Satando  No 27 Kel Tamalabba Kec Ujung Tanah</t>
  </si>
  <si>
    <t>RS Umum Wisata Universitas Indonesia Timur</t>
  </si>
  <si>
    <t>Jl. Abdul Kadir No.70</t>
  </si>
  <si>
    <t>RS Umum Daerah Andi Makkasau Parepare</t>
  </si>
  <si>
    <t>Jl. Nurussamawati No.9 Kota Parepare</t>
  </si>
  <si>
    <t>RS Umum Daerah Nene Mallomo</t>
  </si>
  <si>
    <t>Sidenreng Rappang</t>
  </si>
  <si>
    <t>Jl. Wolter Monginsidi Pangkajene, Kab. Sidenreng Rappang</t>
  </si>
  <si>
    <t>RS Universitas Hasanuddin</t>
  </si>
  <si>
    <t>Jl. Perintis Kemerdekaan KM.11 Kel. Tamalanrea Indah, Kec. Tamalanrea, Kota Makassar, Sulawesi Selatan 90245</t>
  </si>
  <si>
    <t>RS Umum Cahaya Medika Makassar</t>
  </si>
  <si>
    <t>Jl. Perintis Kemerdekaan KM 8 NO 27-28 Kelurahan Tamalanrea Indah, Kecamatan Tamalanrea, Kota Makassar, Sulawesi Selatan Kode Pos 90245</t>
  </si>
  <si>
    <t>RS Umum Daerah Lakipadada</t>
  </si>
  <si>
    <t>Tana Toraja</t>
  </si>
  <si>
    <t>Jl. Pongtiku No.486, Kel. Tambunan, Kecamatan Makale Utara, Kabupaten Tana Toraja, Prov. Sulawesi Selatan</t>
  </si>
  <si>
    <t>RS Umum Primaya Hertasning</t>
  </si>
  <si>
    <t>Jl. Aroepala No.  99 C Kel. Karunrung, Kec. Rappocini</t>
  </si>
  <si>
    <t>RS Umum Aisyiyah St. Khadijah</t>
  </si>
  <si>
    <t>Pinrang</t>
  </si>
  <si>
    <t>Jl. A. Abdullah No. 1-3, Kabupaten Pinrang, Provinsi Sulawesi Selatan</t>
  </si>
  <si>
    <t>RS Ibnu Sina YW-UMI Makassar</t>
  </si>
  <si>
    <t>Jl. Urip Sumohardjo Km. 05 No. 264, Kelurahan Karampuang, Kecamatan panakkukang, Kota Makassar, Provinsi Sulawesi Selatan, Kode Pos 90232</t>
  </si>
  <si>
    <t>RS Ibu dan Anak Budi Mulia</t>
  </si>
  <si>
    <t>JL. Nikel Blok. A. 21</t>
  </si>
  <si>
    <t>JALAN R.A KARTINI NO. 1A KEC. UJUNG PANDANG, KEL. BARU</t>
  </si>
  <si>
    <t>RS Umum Daerah Madising</t>
  </si>
  <si>
    <t>Jalan Poros Pinrang - Polman. KM.33 Desa Bungi Kecamatan Duampanua Kab Pinrang  Propinsi Sulawesi Selatan 91253</t>
  </si>
  <si>
    <t>RS Umum Sandi Karsa Makassar</t>
  </si>
  <si>
    <t>Jl. Abdullah Daeng Sirua No. 16A</t>
  </si>
  <si>
    <t>RS Tk. IV DR. M. Yasin Bone</t>
  </si>
  <si>
    <t>Jl. Jend Sudirman Watampone</t>
  </si>
  <si>
    <t>RS Ibu dan Anak Sentosa</t>
  </si>
  <si>
    <t>Jl. Jend. Sudirman No.52, Kel. Sawerigading, Kec. Ujung Pandang, Kota Makassar, Sulawesi Selatan 90114</t>
  </si>
  <si>
    <t>RS Umum Daerah Pongtiku</t>
  </si>
  <si>
    <t>Toraja Utara</t>
  </si>
  <si>
    <t>Buntu Mapaken, Kel/Desa. Buntu Tallunglipu, Kecamatan Tallunglipu, Kab.Toraja Utara, Provinsi Sulawesi Selatan</t>
  </si>
  <si>
    <t>Rumah Sakit Sinar Kasih Toraja</t>
  </si>
  <si>
    <t>Jl. Buntu Pantan No 8 A Kecamatan Makale, Kabupaten Tana Toraja</t>
  </si>
  <si>
    <t>RS Kelas D Pratama Sailus</t>
  </si>
  <si>
    <t>Pulau Sailus Desa Sailus Kec. Liukang Tangaya Keb. Pangkajene dan kepulauan</t>
  </si>
  <si>
    <t>RS Umum Daerah KH. Hayyung Kepulauan Selayar</t>
  </si>
  <si>
    <t>Jl. KH. Abdul Kadir Kasim Kepulauan Selayar Sulawesi Selatan</t>
  </si>
  <si>
    <t>RS Umum Daerah Lasinrang Pinrang</t>
  </si>
  <si>
    <t>Jl. Macan No. 22 Pinrang</t>
  </si>
  <si>
    <t>RS Umum Daerah Siwa</t>
  </si>
  <si>
    <t>Wajo</t>
  </si>
  <si>
    <t>Jl. Andi Djaja No.1 Kec. Pitumpanua, Siwa, Kab. Wajo</t>
  </si>
  <si>
    <t>RS Mata JEC ORBITA @Makassar</t>
  </si>
  <si>
    <t>Jl. Masjid Raya No. 75, Timungan Lompoa, Kec. Bontoala</t>
  </si>
  <si>
    <t>RS Hikmah</t>
  </si>
  <si>
    <t>Jl. Yosef Latumahina No. 1, Makassar Losari, Kec. Ujung Pandang, Sulawesi Selatan.</t>
  </si>
  <si>
    <t>RS Islam Gigi dan Mulut FKG-UMI</t>
  </si>
  <si>
    <t>Jl. Padjonga Daeng Ngalle No. 27 Makassar</t>
  </si>
  <si>
    <t>RS Umum Daerah Labuang Baji</t>
  </si>
  <si>
    <t>Jl. Dr. Ratulangi No. 81 Makassar</t>
  </si>
  <si>
    <t>RS Mujaisyah</t>
  </si>
  <si>
    <t>Jl. DR. Ratulangi KM.05 Poros Balandai, Kelurahan Temmalebba, Kecamatan Bara, Kota Palopo, Provinsi Sulawesi Selatan</t>
  </si>
  <si>
    <t>RS Umum Daerah Haji Makassar</t>
  </si>
  <si>
    <t>Jl. Dg. Ngeppe No. 14 Kecamatan Tamalate,Kelurahan Parang Tambung,Kota Makassar,Provinsi Sulawesi Selatan,Kode Pos 90224</t>
  </si>
  <si>
    <t>RS PKU Muhammadiyah Mamajang</t>
  </si>
  <si>
    <t>Jl. Veteran Selatan No. 201 Makassar Sulawesi Selatan</t>
  </si>
  <si>
    <t>RS Gigi dan Mulut Ladokgi TNI AL Yos Sudarso</t>
  </si>
  <si>
    <t>Jl. Satando No. 25 Makassar</t>
  </si>
  <si>
    <t>RS Umum Daerah dr. La Palaloi</t>
  </si>
  <si>
    <t>Maros</t>
  </si>
  <si>
    <t>Jl. Poros Maros-Makassar KM 3 Maros</t>
  </si>
  <si>
    <t>RS Umum Thalia Irham</t>
  </si>
  <si>
    <t>Jl. Poros Limbung Km.15, Panciro</t>
  </si>
  <si>
    <t>RS Hapsah</t>
  </si>
  <si>
    <t>JL. Urip Sumoharjo No 10, Kelurahan Mattirowalie, Kecamatan Tanete Riattang Barat, Kabupaten Bone, Provinsi Sulawesi-Selatan</t>
  </si>
  <si>
    <t>RS Ibu dan Anak Amanat</t>
  </si>
  <si>
    <t>Jl. Haji Bau No. 11D Makassar</t>
  </si>
  <si>
    <t>RS Umum Daerah Sawerigading</t>
  </si>
  <si>
    <t>Jl. Dr. Ratulangi KM.7 Rampoang, Kel.To'bulung, Kec.Bara, Kota Palopo, Provinsi Sulawesi Selatan, Kode Pos 91914</t>
  </si>
  <si>
    <t>RS Ibu dan Anak Paramount</t>
  </si>
  <si>
    <t>Jl. Andi Pangeran Pettarani No 82 Makassar</t>
  </si>
  <si>
    <t>RS Ibu dan Anak Chaterine Booth</t>
  </si>
  <si>
    <t>Jl. Arief Rate No.15 Makassar</t>
  </si>
  <si>
    <t>RS Umum Daerah Prof. Dr. H. Anwar Makkatutu</t>
  </si>
  <si>
    <t>Bantaeng</t>
  </si>
  <si>
    <t>Jl. Teratai No. 20 Kel. Pallantikang, Kec. Bantaeng</t>
  </si>
  <si>
    <t>RS Kepolisian Bhayangkara</t>
  </si>
  <si>
    <t>Jl. Letjen Pol. A Mappaoudang No. 63 Makassar</t>
  </si>
  <si>
    <t>RS Umum Daerah Rumbia</t>
  </si>
  <si>
    <t>Jl. Desa Lebang Manai Kec. Rumbia</t>
  </si>
  <si>
    <t>RS Umum Daerah Daya Kota Makassar</t>
  </si>
  <si>
    <t>Jl. Perintis Kemerdekaan KM. 14, Daya Kec. Biringkanayya Kota Makassar Provinsi Sulawesi Selatan</t>
  </si>
  <si>
    <t>RS Umum Daerah Kelas D Pratama Bulu Paccing Bikeru</t>
  </si>
  <si>
    <t>Sinjai</t>
  </si>
  <si>
    <t>Jl. Poros Bulu Paccing Desa Alenangka Kec. Sinjai Selatan Kab. Sinjai</t>
  </si>
  <si>
    <t>RS Ibu dan Anak Prof. dr. H. M. Farid</t>
  </si>
  <si>
    <t>Jl. Dr. Wahidin Sudirohusodo No. 230 Makassar 90173,  Desa/Kelurahan Melayu Barau, Kecamtan Wajo, Kota Makassar, Provinsi Sulawesi Selatan</t>
  </si>
  <si>
    <t>RS Prima Husada Sengkang</t>
  </si>
  <si>
    <t>Jl. Jend. Ahmad Yani No. 29 Sengkang</t>
  </si>
  <si>
    <t>RS Umum Daerah La Patarai</t>
  </si>
  <si>
    <t>Barru</t>
  </si>
  <si>
    <t>Jl. Lasawedi Kel.Coppo Kec.Barru Kab.Barru</t>
  </si>
  <si>
    <t>RS Umum Daerah Andi Djemma Masamba</t>
  </si>
  <si>
    <t>Jl. Sultan Hasanuddin No.23 Masamba</t>
  </si>
  <si>
    <t>RS Umum Daerah Banyorang</t>
  </si>
  <si>
    <t>Jl. Pendidikan No. 33, Kelurahan Banyorang, Kecamatan Tompobulu, Kabupaten Bantaeng, Provinsi Sulawesi Selatan</t>
  </si>
  <si>
    <t>RS Islam Faisal</t>
  </si>
  <si>
    <t>Jl. Andi Pangeran Pettarani, kelurahan Banta-bantaeng, Kecamatan Rappocini, Kota Makassar, Provinsi Sulawesi Selatan</t>
  </si>
  <si>
    <t>RS Ibu dan Anak Ananda</t>
  </si>
  <si>
    <t>Jl. Andi Djemma No 57, Kelurahan Banta - Bantaeng, Kecamatan Rappocini, Kota Makassar, Provinsi Sulawesi Selatan</t>
  </si>
  <si>
    <t>RS Kemenkes Makassar</t>
  </si>
  <si>
    <t>Jalan Metro Tanjung Bunga, Kawasan Center Point Indonesia, Maccini Sombala, Tamalate</t>
  </si>
  <si>
    <t>RS Ibu dan Anak Yasira</t>
  </si>
  <si>
    <t>Jl. Kusuma Bangsa No. 3</t>
  </si>
  <si>
    <t>RS Khusus Ibu dan Anak Zainab</t>
  </si>
  <si>
    <t>Jl. Bauru Daeng Gau No. 45 Kel. Bontolebang Kec. Galesong Utara</t>
  </si>
  <si>
    <t>RS Umum Daerah H. Padjonga Dg. Ngalle Takalar</t>
  </si>
  <si>
    <t>Jl. H. Ince Husain Dg Parani No 1, Kab Takalar</t>
  </si>
  <si>
    <t>RS Ibu dan Anak Pelangi Medica</t>
  </si>
  <si>
    <t>Jl. Lingkar Bisampole Kab. Bantaeng</t>
  </si>
  <si>
    <t>RS Umum Elim Rantepao</t>
  </si>
  <si>
    <t>Jl. A.Yani No. 68 Rantepao</t>
  </si>
  <si>
    <t>RS Stella Maris</t>
  </si>
  <si>
    <t>Jl. Somba Opu No.273 Makassar</t>
  </si>
  <si>
    <t>RS AU dr. Dody Sardjoto</t>
  </si>
  <si>
    <t>Jl. By Pass Bandar Udara Internasional Sultan Hasanuddin</t>
  </si>
  <si>
    <t>RS Tk. IV 07.07.03 Dr. Sumantri</t>
  </si>
  <si>
    <t>Jl. Karaeng Burane No.24 Kec Ujung Bulu Kel Ujung Kota Parepare</t>
  </si>
  <si>
    <t>RS Hermina Makassar</t>
  </si>
  <si>
    <t>Jl. Toddopuli Raya Timur, Kel. Borong, Kec. Manggala, Makassar</t>
  </si>
  <si>
    <t>RS Umum Anugrah Pangkajene</t>
  </si>
  <si>
    <t>Jl. Lanto Dg. Pasewang No. 60, Kelurahan Pangkajene, Kecamatan Maritengngae, Kabupaten Sidenreng Rappang, Provinsi Sulawesi selatan</t>
  </si>
  <si>
    <t>RS Umum Daerah Lamaddukkelleng Kabupaten Wajo</t>
  </si>
  <si>
    <t>Jl. Kartika Chandra Kirana No. 9 Sengkang</t>
  </si>
  <si>
    <t>RS Fatima Makale</t>
  </si>
  <si>
    <t>Jl. Nusantara No.18 Makale Tator</t>
  </si>
  <si>
    <t>RS Siloam Makassar</t>
  </si>
  <si>
    <t>Jl. Metro Tanjung Bunga Kav. 9</t>
  </si>
  <si>
    <t>RSUP Dr. Wahidin Sudirohusodo</t>
  </si>
  <si>
    <t>Jl. Perintis Kemerdekaan Km.11, Tamalanrea, Makassar, Sulawesi Selatan</t>
  </si>
  <si>
    <t>RS Santa Teresa Marampa Rantepao</t>
  </si>
  <si>
    <t>JL. ANDI MAPPANYUKI NO.73, RT. 01, RW. 01</t>
  </si>
  <si>
    <t>Jl. Gunung Merapi No. 220</t>
  </si>
  <si>
    <t>RS Umum Daerah Kabupaten Sinjai</t>
  </si>
  <si>
    <t>Jl. Jend Sudirman No. 47 Sinjai, Sulawesi Selatan</t>
  </si>
  <si>
    <t>RS Umum Hikmah Masamba</t>
  </si>
  <si>
    <t>Jln. Ir. Soekarno, Kelurahan  Kappuna Kecamatan Masamba Kabupaten Luwu Utara Provinsi Sulawesi Selatan</t>
  </si>
  <si>
    <t>RS Khusus Daerah Ibu dan Anak Pertiwi</t>
  </si>
  <si>
    <t>Jl. Jend.Sudirman No.14, Makasar</t>
  </si>
  <si>
    <t>RS Umum Hj. Puang Sabbe</t>
  </si>
  <si>
    <t>Jl. H. Andi Liu no. 01 Kelurahan Lakawan, Kecamatan Anggeraja, Kabupaten Enrekang, Propinsi Sulawesi Selatan</t>
  </si>
  <si>
    <t>RS Khusus Gigi dan Mulut Universitas Hasanuddin</t>
  </si>
  <si>
    <t>JL. Kandea No. 5, Kota Makassar Provinsi Sulawesi Selatan</t>
  </si>
  <si>
    <t>RS PKU Muhammadiyah Unismuh Makassar</t>
  </si>
  <si>
    <t>Jl. Tun Abdul Razak RT. 01 RW.  05 Kelurahan Romang Polong Kec. Somba Opu Kab. Gowa</t>
  </si>
  <si>
    <t>RS Khusus Daerah Dadi</t>
  </si>
  <si>
    <t>Jl. Lanto Dg. Pasewang No. 34 Makassar</t>
  </si>
  <si>
    <t>RS Umum Bahagia</t>
  </si>
  <si>
    <t>Jl.Minasa upa Raya blok H 7 No 9 .Kelurahan Minasa Upa .Kec Rappoccini .Kab Makassar .Provinsi Sulawesi-Selatan</t>
  </si>
  <si>
    <t>RS Umum Daerah Arifin Numang</t>
  </si>
  <si>
    <t>Jl.Jend.  Achmad Yani No. 1 Rappang</t>
  </si>
  <si>
    <t>RS Umum Daerah Kelas D Pratama Tanete</t>
  </si>
  <si>
    <t>Jl. Poros Bulukumba–Tanete Kel. Tanete Kec. Bulukumpa</t>
  </si>
  <si>
    <t>RS Umum Daerah I Lagaligo</t>
  </si>
  <si>
    <t>Jl. Sangkuruwira,No. 1 Ds. Aroalipu Kec.Wotu Kab.Luwu Timur</t>
  </si>
  <si>
    <t>RS Hikmah Sejahtera Belopa</t>
  </si>
  <si>
    <t>Jl. Topoka No. 22 B, Kelurahan Tampumia Radda. Kec. Belopa. Kab. Luwu. Provinsi. Sulawesi Selatan</t>
  </si>
  <si>
    <t>RS Umum Luramay</t>
  </si>
  <si>
    <t>Jl. A.P. Pettarani Blok E19/11 Makassar</t>
  </si>
  <si>
    <t>RS Umum St. Madyang</t>
  </si>
  <si>
    <t>JL. Andi Kambo No.87 Kelurahan Salekoe Kecamatan Wara Timur Kota Palopo Provinsi Sulawesi Selatan</t>
  </si>
  <si>
    <t>RS Ibu dan Anak Ananda Trifa</t>
  </si>
  <si>
    <t>Jl. H. Agussalim No. 218 Kelurahan Labukkang Kecamatan Ujung Kota Parepare Provinsi Sulawesi Selatan</t>
  </si>
  <si>
    <t>RS Umum Daerah Tenriawaru Bone</t>
  </si>
  <si>
    <t>Jl. DR. Wahidin Sudirohusodo Watampone</t>
  </si>
  <si>
    <t>RS Adinda Medical Centre</t>
  </si>
  <si>
    <t>Jl. Hos Cokroaminoto Kel. Maccorawalie Kec. Panca Rijang</t>
  </si>
  <si>
    <t>RS Umum Daerah dr. L.M Baharuddin, M. Kes Kab. Muna</t>
  </si>
  <si>
    <t>Sulawesi Tenggara</t>
  </si>
  <si>
    <t>Muna</t>
  </si>
  <si>
    <t>Jalan Jendral Achmad Yani Nomor 10 Raha Kelurahan Butung-butung Kecamatan Katobu Kabupaten Muna</t>
  </si>
  <si>
    <t>RS Jantung dan Pembuluh Darah Oputa Yi Koo Sulawesi Tenggara</t>
  </si>
  <si>
    <t>Kota Kendari</t>
  </si>
  <si>
    <t>Jl. Dr. Sam Ratulangi No. 151</t>
  </si>
  <si>
    <t>RS Benyamin Guluh Kolaka</t>
  </si>
  <si>
    <t>Kolaka</t>
  </si>
  <si>
    <t>Jl. Mekongga Indah By Pass Kolaka-Pomalaa Kel. Tahoa Kec.  Kolaka</t>
  </si>
  <si>
    <t>RS Umum Setia Bunda</t>
  </si>
  <si>
    <t>Konawe</t>
  </si>
  <si>
    <t>Jl. Jenderal Sudirman No.698, Kel. Ambekairi Kec. Unaaha Kab. Konawe Prov. Sulawesi Tenggara</t>
  </si>
  <si>
    <t>RS Umum Daerah Konawe</t>
  </si>
  <si>
    <t>Jl. Pangeran Diponegoro No.301, Konawe</t>
  </si>
  <si>
    <t>RS Umum Tiara Sentosa</t>
  </si>
  <si>
    <t>Jl. R. Suprapto No. 23 Mandonga, Kel. Mandonga , Kec. Mandonga, Kota Kendari Provinsi Sulawesi Tenggara</t>
  </si>
  <si>
    <t>RS Umum Daerah H.M.Djafar Harun</t>
  </si>
  <si>
    <t>Kolaka Utara</t>
  </si>
  <si>
    <t>Jl. Trans Sulawesi, Lasusua, Kolaka Utara, Sulawesi Tenggara</t>
  </si>
  <si>
    <t>RS Hati Mulia</t>
  </si>
  <si>
    <t>JL D.I. PANJAITAN NO 243</t>
  </si>
  <si>
    <t>RS Santa Anna</t>
  </si>
  <si>
    <t>Jl. DR. Moh.Hatta 65A Kendari</t>
  </si>
  <si>
    <t>RS Umum Dewi Sartika</t>
  </si>
  <si>
    <t>Jl. Kapten Piere Tendean No. 118 Kelurahan Watubangga Kecamatan Baruga Kota Kendari Provinsi Sulawesi Tenggara</t>
  </si>
  <si>
    <t>RS Umum Daerah Kabupaten Muna Barat</t>
  </si>
  <si>
    <t>Muna Barat</t>
  </si>
  <si>
    <t>Bumi Praja Laworo, Desa Lombu Jaya, Kec. Sawerigadi, Kab. Muna Barat, Prov. Sulawesi Tenggara</t>
  </si>
  <si>
    <t>RS Siloam Hospital Buton</t>
  </si>
  <si>
    <t>Kota Bau-Bau</t>
  </si>
  <si>
    <t>Jl. Sultan Hasanuddin No. 58 Kelurahan Batulo Kecamatan Wolio</t>
  </si>
  <si>
    <t>RS Bhayangkara Kendari</t>
  </si>
  <si>
    <t>Jl. Gunung Meluhu No. 7 Kota Kendari</t>
  </si>
  <si>
    <t>RS Umum Daerah Kabupaten Bombana</t>
  </si>
  <si>
    <t>Bombana</t>
  </si>
  <si>
    <t>Jl.Poros Kasipute-Kendari Desa Lantouwa Kecamatan Rarowatu Utara Kebupaten Bombana Provinsi Sulawesi Tenggara</t>
  </si>
  <si>
    <t>RS Umum Daerah Kabupaten Buton Tengah</t>
  </si>
  <si>
    <t>Buton Tengah</t>
  </si>
  <si>
    <t>Jalan Gersamata, Kelurahan Bombonawulu, Kecamatan Gu, Kabupaten Buton Tengah, Provinsi Sulawesi Tenggara</t>
  </si>
  <si>
    <t>RS Umum Aliyah III</t>
  </si>
  <si>
    <t>Jl. Christina Martha Tiahahu Kec. Baruga Kota Kendari Provinsi Sulawesi Tenggara</t>
  </si>
  <si>
    <t>RS PMI Prov. Sultra</t>
  </si>
  <si>
    <t>Jl. S . Parman, No. 35, Kel. Watu - watu, Kec. Kendari Barat</t>
  </si>
  <si>
    <t>RS Umum Daerah Kabupaten Buton</t>
  </si>
  <si>
    <t>Buton</t>
  </si>
  <si>
    <t>Jl. Protokol Laburunce  Kec. Pasarwajo Kab. Buton Sulawesi Tenggara</t>
  </si>
  <si>
    <t>RS Umum Daerah Konawe Selatan</t>
  </si>
  <si>
    <t>Konawe Selatan</t>
  </si>
  <si>
    <t>Jl. Poros Andoolo No. 1 Kompleks Perkantoran Pemda Kel.Potoro Kec.Andoolo, Kab.Konawe Selatan, Prov. Sulawesi Tenggara</t>
  </si>
  <si>
    <t>RS Umum Daerah Kab.Konawe Utara</t>
  </si>
  <si>
    <t>Konawe Utara</t>
  </si>
  <si>
    <t>Jl. Poros Kendari-Asera, Desa Lahimbua, Kecamatan  Andowia, Kabupaten  Konawe Utara, Provinsi Sulawesi Tenggara</t>
  </si>
  <si>
    <t>RS Umum Daerah Kabupaten Konawe Kepulauan</t>
  </si>
  <si>
    <t>Konawe Kepulauan</t>
  </si>
  <si>
    <t>Desa Pasir Putih Kecamatan Wawonii Barat Kabupaten Konawe Kepulauan Provinsi Sulawesi Tenggara</t>
  </si>
  <si>
    <t>RS Umum Harifa</t>
  </si>
  <si>
    <t>Jl. Alam Mekongga No.12 Kel. Laloeha, Kolaka 93511</t>
  </si>
  <si>
    <t>RS Bahteramas Provinsi Sultra</t>
  </si>
  <si>
    <t>Jl. Kapten Piere Tendean No 50 Kec Baruga</t>
  </si>
  <si>
    <t>RS Umum Daerah Antero Hamra Kota Kendari</t>
  </si>
  <si>
    <t>Jl. Chairil Anwar No. 23 Kel. Puuwatu Kec. Puuwatu Kota Kendari - Sulawesi Tenggara</t>
  </si>
  <si>
    <t>RS Ibu dan Anak Harapan Kita</t>
  </si>
  <si>
    <t>Jl. Gatot Subroto No. 16</t>
  </si>
  <si>
    <t>RS Antam Nikel Pomalaa</t>
  </si>
  <si>
    <t>Jl. R.Suprapto Pomalaa Kab.Kolaka</t>
  </si>
  <si>
    <t>RS Faga Husada</t>
  </si>
  <si>
    <t>Jl. Betoambari No. 182 Kel. Katobengke Kec. Betoambari, Provinsi Sulawesi Tenggara</t>
  </si>
  <si>
    <t>RS Tk. IV Dr. R. Ismoyo Kendari</t>
  </si>
  <si>
    <t>Jl. Laute No 1 Kel. Mandonga Kec. Mandonga Kota Kendari Provinsi Sulawesi Tenggara Kode Pos : 93111</t>
  </si>
  <si>
    <t>RS Umum Daerah Kabupaten Buton Selatan</t>
  </si>
  <si>
    <t>Buton Selatan</t>
  </si>
  <si>
    <t>Jl. Gajah Mada, kel. Bandar Batauga kec. Batauga kab. Buton Selatan Propinsi Sulawesi Tenggara Telp/Fax.(0402)</t>
  </si>
  <si>
    <t>RS Jiwa Kendari</t>
  </si>
  <si>
    <t>Jl. DR.Sutomo No.29</t>
  </si>
  <si>
    <t>RS Umum Aliyah II</t>
  </si>
  <si>
    <t>Jl. Buburanda Korumba - Mandonga Kendari Sulawesi Tenggara</t>
  </si>
  <si>
    <t>RS Umum Aliyah</t>
  </si>
  <si>
    <t>Jl. Bunggasi Poros Anduonohu Kel. Rahandouna Kec. Poasia, Kota Kendari, Provinsi Sulawesi Tenggara</t>
  </si>
  <si>
    <t>RS Umum Daerah Kota Bau Bau</t>
  </si>
  <si>
    <t>Jl. Drs. H. La Ode Manarfa, Kelurahan Baadia, Kecamatan Murhum, Kota Baubau, Propinsi Sulawesi Tenggara</t>
  </si>
  <si>
    <t>RS Umum Daerah Kabupaten Kolaka Timur</t>
  </si>
  <si>
    <t>Kolaka Timur</t>
  </si>
  <si>
    <t>Jl. Drs. H. Abd. Silondae No. 35 Kelurahan Welala, Kecamatan Ladongi, Kabupaten Kolaka Timur, Sulawesi Tenggara, 93573</t>
  </si>
  <si>
    <t>RS Ibu dan Anak Budi Medika</t>
  </si>
  <si>
    <t>Jl. Pramuka No. 113, Kel. Lamokato, Kec. Kolaka</t>
  </si>
  <si>
    <t>RS Umum Daerah Kota Kendari</t>
  </si>
  <si>
    <t>Jl. Z.A. Sugianto No. 39 Kendari</t>
  </si>
  <si>
    <t>RS Umum Daerah Kabupaten Wakatobi</t>
  </si>
  <si>
    <t>Wakatobi</t>
  </si>
  <si>
    <t>Jl. Utudae Samad Kel. Mandati III, Kec. Wangi - Wangi Selatan Kab.Wakatobi, Provinsi Sulawesi Tenggara</t>
  </si>
  <si>
    <t>RS Umum Daerah Kabupaten Buton Utara</t>
  </si>
  <si>
    <t>Buton Utara</t>
  </si>
  <si>
    <t>Jl. Poros Ereke - Waode Buri, Desa Kalibu, Kecamatan Kulisusu, Kabupaten Buton Utara, Provinsi Sulawesi Tenggara</t>
  </si>
  <si>
    <t>RS Umum Daerah Toto Kabila</t>
  </si>
  <si>
    <t>Gorontalo</t>
  </si>
  <si>
    <t>Bone Bolango</t>
  </si>
  <si>
    <t>Jl. Kesehatan No.25,  Desa Permata, Kec. Tilongkabila,  Kab. Bone Bolango Provinsi Gorontalo 96554</t>
  </si>
  <si>
    <t>RS Umum Daerah Tombulilato</t>
  </si>
  <si>
    <t>Jln.Trans Sulawesi Pantai selatan Km. 70 Desa Inomata Kec.Bone Raya Kab.Bone Bolango.Gorontalo</t>
  </si>
  <si>
    <t>Rumkit Tk.IV dr. Eddy Kounang Gorontalo</t>
  </si>
  <si>
    <t>Jl. Batu Doa Desa Tabongo Barat, Kec. Tabongo, Kab. Gorontalo</t>
  </si>
  <si>
    <t>RS Umum Daerah Otanaha</t>
  </si>
  <si>
    <t>Kota Gorontalo</t>
  </si>
  <si>
    <t>Jl. Rambutan No. 413 Kel. Buladu Kec. Kota Barat Kota Gorontalo Provinsi Gorontalo</t>
  </si>
  <si>
    <t>RS Umum Daerah Bumi Panua</t>
  </si>
  <si>
    <t>Pohuwato</t>
  </si>
  <si>
    <t>Jl. dr. Herizal Umar Desa Botubilotahu Kecamatan Marisa, Kabupaten Pohuwato, Provinsi Gorontalo</t>
  </si>
  <si>
    <t>RS Umum Daerah dr. Zainal Umar Sidiki</t>
  </si>
  <si>
    <t>Gorontalo Utara</t>
  </si>
  <si>
    <t>Jl. Cimelati Desa Bulalo Kecamatan Kwandang, Kabupaten Gorontalo Utara, Provinsi Gorontalo</t>
  </si>
  <si>
    <t>RS Pratama Kab. Pohuwatu</t>
  </si>
  <si>
    <t>Desa Lomuli Kecamatan Lemito</t>
  </si>
  <si>
    <t>RS Umum Daerah dr. Hasri Ainun Habibie</t>
  </si>
  <si>
    <t>Jl. Ahmad A. Wahab, Kel. Dutulanaa, Kec. Limboto</t>
  </si>
  <si>
    <t>RS Islam</t>
  </si>
  <si>
    <t>Jl. Prof. HB. Jassin No.457, Gorontalo</t>
  </si>
  <si>
    <t>RS Umum Daerah Tolinggula Melayani</t>
  </si>
  <si>
    <t>Jl. Trans Sulawesi Desa Tolinggula Pantai</t>
  </si>
  <si>
    <t>RS Umum Daerah Tani dan Nelayan</t>
  </si>
  <si>
    <t>Boalemo</t>
  </si>
  <si>
    <t>Jln. Prof. Dr.Hi.Aloei Saboe, Desa Lamu, Kec.Tilamuta, Kab.Boalemo Provinsi Gorontalo</t>
  </si>
  <si>
    <t>Jl. H.B. Jassin No. 269, Kel. Wumialo, Kec. Kota Tengah, Provinsi Gorontalo.</t>
  </si>
  <si>
    <t>RS Umum Daerah Prof Dr. H. Aloei Saboe</t>
  </si>
  <si>
    <t>Jl. Prof. Dr. H. Aloei Saboe, Kel. Wongkaditi, Kec. Kota Utara, Kota Gorontalo Provinsi Gorontalo</t>
  </si>
  <si>
    <t>RS Ibu dan Anak Siti Khadidjah</t>
  </si>
  <si>
    <t>Jl. Nani Wartabone No. 101, Kel. Heledulaa Selatan, Kec. Kota Timur, Kota Gorontalo, Provinsi Gorontalo</t>
  </si>
  <si>
    <t>RS Umum Daerah dr. M. Mohammad Dunda</t>
  </si>
  <si>
    <t>Jl. Achmad A. Wahab (eks Ahmad Yani No. 53) Limboto Gorontalo</t>
  </si>
  <si>
    <t>RS Umum Daerah DR. Ir. Iwan Bokings Kab. Boalemo</t>
  </si>
  <si>
    <t>Jl. Trans Sulawesi, Desa Tangkobu, Kecamatan Paguyaman, Kabupaten Boalemo, Provinsi Gorontalo</t>
  </si>
  <si>
    <t>RS Bhayangkara Gorontalo</t>
  </si>
  <si>
    <t>Jl. Runi S. Kabli No.10 Kel.Hutuo Kec.Limboto Kab.Gorontalo, Provinsi Gorontalo</t>
  </si>
  <si>
    <t>RS Umum Daerah Boliyohuto</t>
  </si>
  <si>
    <t>Jl. Trans Sulawesi Kel/Desa Parungi Kec. Boliyohuto,Kabupaten Gorontalo.Provinsi Gorontalo</t>
  </si>
  <si>
    <t>RS Multazam</t>
  </si>
  <si>
    <t>Jl. Gelatik No. 158 Kel. Heledulaa Utara, Kec. Kota Timur, Kota Gorontalo, Provinsi Gorontalo</t>
  </si>
  <si>
    <t>RS Umum Daerah Kabupaten Mamuju Tengah</t>
  </si>
  <si>
    <t>Sulawesi Barat</t>
  </si>
  <si>
    <t>Mamuju Tengah</t>
  </si>
  <si>
    <t>Jl.Tammauni Pue Ballung No.2 Tobadak Kab. Mamuju Tengah Prov. Sulawesi Barat</t>
  </si>
  <si>
    <t>RS Ibu dan Anak Mifta</t>
  </si>
  <si>
    <t>Polewali Mandar</t>
  </si>
  <si>
    <t>Jl. Jend. Ahmad Yani No. 100  Desa/Kelurahan Polewali, Kec.Polewali, Kabupaten Polewali Mandar, Provinsi Sulawesi Barat</t>
  </si>
  <si>
    <t>RS Umum Daerah Pasangkayu</t>
  </si>
  <si>
    <t>Pasangkayu</t>
  </si>
  <si>
    <t>Jl. Bukit Husada - No. 10 Ako Pasangakayu</t>
  </si>
  <si>
    <t>RS Umum Daerah Kabupaten Majene</t>
  </si>
  <si>
    <t>Majene</t>
  </si>
  <si>
    <t>Jl. Poros Majene-Mamuju, Kelurahan Baru, Kecamatan Banggae, Kabupaten Majene, Provinsi Sulawesi Barat</t>
  </si>
  <si>
    <t>RS Umum Daerah Kondosapata Kab. Mamasa</t>
  </si>
  <si>
    <t>Mamasa</t>
  </si>
  <si>
    <t>Jl. Poros Mamasa-Polewali Desa  Balla Kecamatan Balla,Kabupaten Mamasa, Provinsi Sulawesi Barat</t>
  </si>
  <si>
    <t>RS Umum Daerah Kabupaten Mamuju</t>
  </si>
  <si>
    <t>Mamuju</t>
  </si>
  <si>
    <t>Jl. Kurungan Bassi No 1 Kabupaten Mamuju, Sulawesi Barat</t>
  </si>
  <si>
    <t>RS Umum Mitra Manakarra</t>
  </si>
  <si>
    <t>Jl. Pongtiku No. 2 , Kelurahan Rimuku, Kecamatan Mamuju, Kabupaten Mamuju, Provinsi Sulawesi Barat</t>
  </si>
  <si>
    <t>RS Umum Daerah Wonomulyo</t>
  </si>
  <si>
    <t>Jl. Jenderal Sudirman No. 62, Kelurahan Sidodadi, Kecamatan Wonomulyo, Kabupaten Polewali Mandar , Provinsi Sulawesi Barat (91352)</t>
  </si>
  <si>
    <t>RS Banua Mamase</t>
  </si>
  <si>
    <t>Jl. Kampung Baru, Desa Buntubuda, Kecamatan Mamasa, Kabupaten Mamasa, Propinsi Sulawesi Barat</t>
  </si>
  <si>
    <t>RS Pratama Salutambung</t>
  </si>
  <si>
    <t>Jl. Poros Majene-Mamuju KM 78 Desa Salutambung</t>
  </si>
  <si>
    <t>RS Bhayangkara Tk. IV Polda Sulbar</t>
  </si>
  <si>
    <t>Jl. Arteri, Kel. Simboro, Kec. Simboro, Kab. Mamuju</t>
  </si>
  <si>
    <t>RS Umum Daerah Hajjah Andi Depu</t>
  </si>
  <si>
    <t>Jl. Dr Ratulangi No. 50 Polewali</t>
  </si>
  <si>
    <t>RS Umum Daerah Provinsi Sulawesi Barat</t>
  </si>
  <si>
    <t>Jl. RE Martadinata, Kelurahan Simboro, Kecamatan Simboro Dan Kepulauan, Kabupaten Mamuju, Sulawesi Barat</t>
  </si>
  <si>
    <t>RS Tk. III Punggawa Malolo</t>
  </si>
  <si>
    <t>Jl. Ahmad Yani, Kel. Binanga, Kec. Mamuju</t>
  </si>
  <si>
    <t>RS Ibu dan Anak Mutiara Ibu</t>
  </si>
  <si>
    <t>Jl. Pababari No. 44 Mamuju, Kelurahan Rimuku, Kecamatan Mamuju, Kabupaten Mamuju, Provinsi Sulawesi Barat</t>
  </si>
  <si>
    <t>RS Umum Dr. M. Haulussy Ambon</t>
  </si>
  <si>
    <t>Maluku</t>
  </si>
  <si>
    <t>Kota Ambon</t>
  </si>
  <si>
    <t>Jl. dr. Kayadoe, Kelurahan Benteng, Kecamatan Nusaniwe. Ambon 97117.</t>
  </si>
  <si>
    <t>RS Umum Daerah Tiakur</t>
  </si>
  <si>
    <t>Maluku Barat Daya</t>
  </si>
  <si>
    <t>Depan kantor BKPSDM Kab.MBD , Kelurahan Tiakur  , Kec.Moa , Kab.Maluku  Barat Daya</t>
  </si>
  <si>
    <t>RS Fatima Saumlaki</t>
  </si>
  <si>
    <t>Kepulauan Tanimbar</t>
  </si>
  <si>
    <t>Jl.  Suster Makaria Olilit Kecamatan Tanimbar Selatan</t>
  </si>
  <si>
    <t>RS TNI AL dr. FX. Soehardjo</t>
  </si>
  <si>
    <t>Komplek Lantamal IX Halong Ambon</t>
  </si>
  <si>
    <t>RS Umum Daerah Maren H. Noho Renuat Kota Tual</t>
  </si>
  <si>
    <t>Kota Tual</t>
  </si>
  <si>
    <t>Jl.  Raya BTN Ngadi Tamedan, Desa Fiditan, Kec. Pulau Dullah Utara - Kota Tual</t>
  </si>
  <si>
    <t>RS Umum Daerah Kab. Buru</t>
  </si>
  <si>
    <t>Buru</t>
  </si>
  <si>
    <t>Jl. Butung Leong No. 1 Desa Lala Kab.Buru</t>
  </si>
  <si>
    <t>RS Umum Pusat Dr. Johannes Leimena Ambon</t>
  </si>
  <si>
    <t>Jl. Mr. CHR Soplanit, Negeri Rumahtiga, Kec. Teluk Ambon, Kota Ambon, Provinsi Maluku</t>
  </si>
  <si>
    <t>RS Hative Passo</t>
  </si>
  <si>
    <t>Jl. Laskdya Leo Wattimena, Kelurahan Passo, Kecamatan Baguala, Kota Ambon, Provinsi Maluku,  97232</t>
  </si>
  <si>
    <t>RS Pratama Raja Latubau Soel Negeri Fogi</t>
  </si>
  <si>
    <t>Buru Selatan</t>
  </si>
  <si>
    <t>Jl. Ibrahim Soel Desa Fogi, RT 000/ RW 000, Kelurahan/ Desa : Fogi, Kecamatan : Kepala Madan, Kabupaten : Buru Selatan, Provinsi : Maluku</t>
  </si>
  <si>
    <t>RS Umum Daerah dr. Ishak Umarella</t>
  </si>
  <si>
    <t>Maluku Tengah</t>
  </si>
  <si>
    <t>Jl. Pahlawan No. 36 Tulehu, Desa/Kelurahan Tulehu, Kecamatan Salahutu, Kabupaten Maluku Tengah, Provinsi Maluku.</t>
  </si>
  <si>
    <t>RS Umum Daerah dr. Salim Alkatiri</t>
  </si>
  <si>
    <t>Jl. dr. J. Leimena No.01, Desa Labuang, Kec. Namrole</t>
  </si>
  <si>
    <t>RS Umum Bakti Rahayu</t>
  </si>
  <si>
    <t>Jl. Ahmad Yani (Belakang RRI) Ambon</t>
  </si>
  <si>
    <t>RS Umum Daerah Bula</t>
  </si>
  <si>
    <t>Seram Bagian Timur</t>
  </si>
  <si>
    <t>Jl. Wailola No. 11-12 Bula, Kabupaten Seram Bagian Timur, Propinsi Maluku</t>
  </si>
  <si>
    <t>RS Hati Kudus Langgur</t>
  </si>
  <si>
    <t>Maluku Tenggara</t>
  </si>
  <si>
    <t>Jl. Jenderal Sudirman Langgur</t>
  </si>
  <si>
    <t>RS Umum Daerah Banda</t>
  </si>
  <si>
    <t>JL.KUJALI no.163A Desa Nusantara, Kecamatan Banda, Kabupaten Maluku Tengah, Provinsi Maluku Kode Pos 97593</t>
  </si>
  <si>
    <t>RS Tk. II Prof. dr. J. A. Latumeten</t>
  </si>
  <si>
    <t>Jl. Dr. Tamaela No. 2 Ambon</t>
  </si>
  <si>
    <t>RS Umum Saparua</t>
  </si>
  <si>
    <t>Jl. Rumah Sakit Porto-Haria,Kec. Saparua, Kab. Maluku Tengah, Prov. Maluku</t>
  </si>
  <si>
    <t>RSKD Provinsi Maluku</t>
  </si>
  <si>
    <t>Jl. Laksdya Leo Wattimena Ambon</t>
  </si>
  <si>
    <t>RS Pratama Wasala</t>
  </si>
  <si>
    <t>Seram Bagian Barat</t>
  </si>
  <si>
    <t>Jl. Trans Seram, Desa Waesala, Kec. Huamual Belakang</t>
  </si>
  <si>
    <t>RS Umum Masohi</t>
  </si>
  <si>
    <t>Jl. dr. G. A. Siwabessy Masohi  Kelurahan Namaelo Kecamatan Kota Masohi Kabupaten Maluku Tengah Provinsi Maluku</t>
  </si>
  <si>
    <t>RS Umum Daerah Dr. P. P. Magretti Saumlaki</t>
  </si>
  <si>
    <t>Jl. Mr. Latuharhari - Saumlaki, Kec. Tanimbar Selatan, Kab. Kepulauan Tanimbar, Prov. Maluku</t>
  </si>
  <si>
    <t>RS Siloam Ambon</t>
  </si>
  <si>
    <t>Jl. Sultan Hasanuddin RT. 005 RW. 005 Kel. Hative kecil Kec. Sirimau</t>
  </si>
  <si>
    <t>RS Sumber Hidup GPM</t>
  </si>
  <si>
    <t>Jl. Anthonie Rhebok No. 11, Kelurahan : Honipopu, Kecamatan : Sirimau, Kota Ambon, Propinsi Maluku, Kode Pos : 97126</t>
  </si>
  <si>
    <t>RS Umum Daerah Cendrawasih Dobo</t>
  </si>
  <si>
    <t>Kepulauan Aru</t>
  </si>
  <si>
    <t>Jl. Cendrawasih Km.6 RT 001 RW 006 Kelurahan Siwalima, Kecamatan Pulau Pulau, Kabupaten Kepulauan Aru, Provinsi Maluku</t>
  </si>
  <si>
    <t>RS Bhayangkara Ambon</t>
  </si>
  <si>
    <t>Jl. Sultan Hasanuddin - Tantui, Ambon</t>
  </si>
  <si>
    <t>RS Umum Piru</t>
  </si>
  <si>
    <t>Jl. Arteri Piru, Desa Piru, Kecamatan Seram Barat, Kabupaten Seram Bagian Barat, Provinsi Maluku</t>
  </si>
  <si>
    <t>RS Al Fatah</t>
  </si>
  <si>
    <t>Jl. Sultan Babullah 2 Ambon</t>
  </si>
  <si>
    <t>RS Umum Karel Sadsuitubun</t>
  </si>
  <si>
    <t>Jl. Merdeka Raya No. 3 Ohoijang Langgur</t>
  </si>
  <si>
    <t>RS Umum Daerah Ir. Soekarno Kab. Pulau Morotai</t>
  </si>
  <si>
    <t>Maluku Utara</t>
  </si>
  <si>
    <t>Pulau Morotai</t>
  </si>
  <si>
    <t>Jln. Nakamura Desa Dehegila, Kecamatan Morotai Selatan, Kab. Pulau Morotai, Provinsi Maluku Utara</t>
  </si>
  <si>
    <t>RS Umum Dharma Ibu Ternate</t>
  </si>
  <si>
    <t>Kota Ternate</t>
  </si>
  <si>
    <t>Jl. Arnold Mononutu No. 125</t>
  </si>
  <si>
    <t>RS Umum Daerah Jailolo</t>
  </si>
  <si>
    <t>Halmahera Barat</t>
  </si>
  <si>
    <t>Jl.Ir. Soekarno Ds. Acango-Jailolo,Halmahera Barat</t>
  </si>
  <si>
    <t>RS Umum Sofifi</t>
  </si>
  <si>
    <t>Kota Tidore Kepulauan</t>
  </si>
  <si>
    <t>Jl. Raya 40, Kel. Guraping, Kec. Oba Utara, Kota Tidore Kepulauan, Provinsi Maluku Utara</t>
  </si>
  <si>
    <t>RS Umum Daerah Sanana</t>
  </si>
  <si>
    <t>Kepulauan Sula</t>
  </si>
  <si>
    <t>Jl. Dr. Sibarani - Desa Falahu RW/RT : 001/008- Kecamatan Sanana Kabupaten Kep. Sula. Provinsi Maluku Utara</t>
  </si>
  <si>
    <t>RS Pratama Bisui Kab. Halmahera Selatan</t>
  </si>
  <si>
    <t>Halmahera Selatan</t>
  </si>
  <si>
    <t>Jl. Desa Bisui Kec. Gane Timur Tengah Kab. Halmahera Selatan</t>
  </si>
  <si>
    <t>RS Umum Daerah Maba</t>
  </si>
  <si>
    <t>Halmahera Timur</t>
  </si>
  <si>
    <t>JL. TRANS HALMAHERA, DESA SOAGIMALAHA, KECAMATAN KOTA MABA, KABUPATEN HALMAHERA TIMUR, PROVINSI MALUKU UTARA</t>
  </si>
  <si>
    <t>RS Umum Daerah Weda</t>
  </si>
  <si>
    <t>Halmahera Tengah</t>
  </si>
  <si>
    <t>JL. Raya Weda, Desa Wedana kec Weda Kabupaten Halmahera Tengah Provinsi Maluku Utara</t>
  </si>
  <si>
    <t>RS Ibu dan Anak Andina</t>
  </si>
  <si>
    <t>Jl. Sultan Khairun Kel. Soa Sio Kecamatan Ternate Utara Kota Ternate Provinsi Maluku Utara kode pos 97723</t>
  </si>
  <si>
    <t>RS Tk. IV 16.07.01 TNI AD Ternate</t>
  </si>
  <si>
    <t>Jl. Ais Nasution No.2, Ternate</t>
  </si>
  <si>
    <t>RS Jiwa Sofifi</t>
  </si>
  <si>
    <t>Jl. Lintas Halmahera Desa Garojou, Kec. Oba Utara. Kota Tidore Kepulauan Provinsi Maluku Utara</t>
  </si>
  <si>
    <t>RS Umum Daerah Bobong</t>
  </si>
  <si>
    <t>Pulau Taliabu</t>
  </si>
  <si>
    <t>Jl. Lintas Selatan, Desa Ratahaya, Kecamatan Taliabu Barat , kabupaten Pulau Taliabu, provinsi Maluku utara</t>
  </si>
  <si>
    <t>RS Umum Daerah Tobelo</t>
  </si>
  <si>
    <t>Halmahera Utara</t>
  </si>
  <si>
    <t>Jl. Landbouw. Desa Gamsungi. Kota Tobelo. Kabupaten Halmahera Utara. Propinsi Maluku Utara</t>
  </si>
  <si>
    <t>RS Islam PKU Muhammadiyah Maluku Utara</t>
  </si>
  <si>
    <t>Jl. Pemuda No.131, Kel. Toboleu, Kec. Ternate Utara Kota Ternate Prov. Maluku Utara</t>
  </si>
  <si>
    <t>RS Umum Daerah Kota Tidore Kepulauan</t>
  </si>
  <si>
    <t>Jl. Sultan mansyur No 11 Indonesiana Tidore Maluku Utara</t>
  </si>
  <si>
    <t>RS Bhayangkara Tk. IV Ternate</t>
  </si>
  <si>
    <t>Jl. Hasan Esa No. 1, Kel. Takoma Kec. Ternate Tengah, Kota Ternate, Prov. Maluku Utara</t>
  </si>
  <si>
    <t>RS Umum Daerah  Labuha</t>
  </si>
  <si>
    <t>Jl.  Raya Labuha-Babang</t>
  </si>
  <si>
    <t>RS Prima Ternate</t>
  </si>
  <si>
    <t>Jl. Raya Mangga Dua Ling Mangga Dua Tengah RT. 013 RW. 06 Mangga Dua Utara Ternate Selatan</t>
  </si>
  <si>
    <t>RS Bethesda GMIH Tobelo</t>
  </si>
  <si>
    <t>JL. Kemakmuran  Tobelo, Keluran Desa Gamsungi, Kecamatan Tobelo, Kabupaten Halmahera Utara, Provinsi Maluku Utara</t>
  </si>
  <si>
    <t>RS Umum Daerah Dr. H. Chasan Boesoirie Ternate</t>
  </si>
  <si>
    <t>Jl. Cempaka Kel. Tanah Tinggi Kota Ternate</t>
  </si>
  <si>
    <t>RS Umum Daerah Kota Ternate</t>
  </si>
  <si>
    <t>Jl. Saleh Efendi No. 2 Kel. Stadion, Kec. Ternate Tengah</t>
  </si>
  <si>
    <t>RS Umum Obi</t>
  </si>
  <si>
    <t>Jalan Cabang Kuning,Desa Buton,Kec.Obi,Kab.Halmahera Selatan,Prov.Maluku Utara,Kode Pos 97792</t>
  </si>
  <si>
    <t>RS Umum Daerah Scholoo Keyen</t>
  </si>
  <si>
    <t>Papua Barat Daya</t>
  </si>
  <si>
    <t>Sorong Selatan</t>
  </si>
  <si>
    <t>Jl. Teminabuan - Ayamaru Kampung Keyen - Teminabuan</t>
  </si>
  <si>
    <t>RS Umum Daerah Raja Ampat</t>
  </si>
  <si>
    <t>Raja Ampat</t>
  </si>
  <si>
    <t>Jl. Jendral Basuki Rahmat, Kelurahan Warmasen, Distrik Waisai Kota, Kabupaten Raja Ampat, Provinsi Papua Barat Daya</t>
  </si>
  <si>
    <t>RS Umum Pratama Type D Kab. Maybrat</t>
  </si>
  <si>
    <t>Maybrat</t>
  </si>
  <si>
    <t>Jl. Susumuk-Kumurkek Sonere Aifat Maybrat Papua Barat Daya</t>
  </si>
  <si>
    <t>RS Umum Kelas D Pratama Kab. Tambrauw</t>
  </si>
  <si>
    <t>Tambrauw</t>
  </si>
  <si>
    <t>Jl. Irawiam Distrik Fef Kab. Tambrauw</t>
  </si>
  <si>
    <t>RS Tk.IV 18.07.02 J. A. Dimara</t>
  </si>
  <si>
    <t>Papua Barat</t>
  </si>
  <si>
    <t>Manokwari</t>
  </si>
  <si>
    <t>Jl. Brawijaya No.30, Kel. Manokwari Timur, Distrik Manokwari Barat, Kab. Manokwari, Papua Barat. 98312</t>
  </si>
  <si>
    <t>RS Divari Medical Center</t>
  </si>
  <si>
    <t>Jl. Drs. Esau Sesa RT. 001 RW. 008 Kel. Wosi Kec. Manokwari Barat</t>
  </si>
  <si>
    <t>RS Umum Daerah Kaimana</t>
  </si>
  <si>
    <t>Kaimana</t>
  </si>
  <si>
    <t>Jl. Perempatan Kaimana-Tanggaromi, Km 01, Distrik Kaimana, Kabupaten Kaimana, Provinsi Papua Barat 98654</t>
  </si>
  <si>
    <t>RS Umum Daerah Dr. Alberth H. Torey</t>
  </si>
  <si>
    <t>Teluk Wondama</t>
  </si>
  <si>
    <t>Jl. Raya Manggurai - Rasiei</t>
  </si>
  <si>
    <t>RS Umum Daerah Kabupaten Sorong</t>
  </si>
  <si>
    <t>Sorong</t>
  </si>
  <si>
    <t>Jl. Sorong Klamono KM. 22 Kel. Klafma Distrik Aimas</t>
  </si>
  <si>
    <t>RS Angkatan Laut dr. R. Oetojo</t>
  </si>
  <si>
    <t>Kota Sorong</t>
  </si>
  <si>
    <t>Jl. Jend. Ahmad Yani Klademak IIIC</t>
  </si>
  <si>
    <t>RS Bhayangkara Lodewijk Mandatjan</t>
  </si>
  <si>
    <t>Jl. Trikora Maripi KM 21</t>
  </si>
  <si>
    <t>RS Umum Elia Waran</t>
  </si>
  <si>
    <t>Manokwari Selatan</t>
  </si>
  <si>
    <t>Jl. Otawar, Distrik Oransbari, Kabupaten Manokwari Selatan, Provinsi Papua Barat</t>
  </si>
  <si>
    <t>RS Umum Daerah Sele Be Solu</t>
  </si>
  <si>
    <t>Jl Selebesolu II No. 1 Km 12 Klawalu Kota Sorong</t>
  </si>
  <si>
    <t>RS Tk. IV dr. Aryoko</t>
  </si>
  <si>
    <t>Jl. Basuki Rahmat KM. 10, Klawalu Distrik Sorong Timur, Papua Barat Daya</t>
  </si>
  <si>
    <t>RS Kasih Herlina</t>
  </si>
  <si>
    <t>Jl. Selat Makassar No. 7 Kel. Remu Selatan</t>
  </si>
  <si>
    <t>RS Umum Daerah Fakfak</t>
  </si>
  <si>
    <t>Fakfak</t>
  </si>
  <si>
    <t>Jalan Jend. Sudirman – Kel. Wagom Distrik Pariwari Fakfak Papua Barat Kode Pos 98613</t>
  </si>
  <si>
    <t>RS Umum Daerah Teluk Bintuni</t>
  </si>
  <si>
    <t>Teluk Bintuni</t>
  </si>
  <si>
    <t>Jl. Raya Sibena Km.7, Kampung Wesiri, Kelurahan Bintuni Barat, Kecamatan Bintuni, Kabupaten Teluk Bintuni, Provinsi Papua Barat</t>
  </si>
  <si>
    <t>RS Umum Daerah Manokwari</t>
  </si>
  <si>
    <t>Jl. Bhayangkara No. 1 Kelurahan Manokwari Timur, Kecamatan Manokwari Barat, Kabupaten Manokwari, Propinsi Papua Barat. Kode Pos 98312</t>
  </si>
  <si>
    <t>RS AL dr. Azhar Zahir Manokwari</t>
  </si>
  <si>
    <t>Jl. Serma Suwandi No. 01 Manokwari</t>
  </si>
  <si>
    <t>RS Pratama Warmare</t>
  </si>
  <si>
    <t>Jln. Poros Prafi, Kampung Indisey, Distrik Prafi, Manokwari, Papua Barat (98316)</t>
  </si>
  <si>
    <t>RS Umum Daerah Provinsi Papua Barat</t>
  </si>
  <si>
    <t>Jl. Angkasa Mulyono Kompleks Irman Jaya Manokwari Papua Barat 98312</t>
  </si>
  <si>
    <t>RS Mutiara</t>
  </si>
  <si>
    <t>JL. MALEO NO 2A HBM, Desa/Kelurahan Remu Utara, Kec. Sorong, Kota Sorong, Provinsi Papua Barat,</t>
  </si>
  <si>
    <t>RS Pertamina Sorong</t>
  </si>
  <si>
    <t>Jl. Ahmad Yani No.13 Sorong</t>
  </si>
  <si>
    <t>RS Umum Daerah Serui</t>
  </si>
  <si>
    <t>Papua</t>
  </si>
  <si>
    <t>Kepulauan Yapen</t>
  </si>
  <si>
    <t>Jl. Pertanian Wainakawini - Distrik Anotaurei,Kelurahan Anotaurei, Serui - Papua</t>
  </si>
  <si>
    <t>RS Bhayangkara Dhira Brata Cartenz</t>
  </si>
  <si>
    <t>Papua Tengah</t>
  </si>
  <si>
    <t>Mimika</t>
  </si>
  <si>
    <t>Jl. Agimuga Mile 32 Asrama Polres Mimika</t>
  </si>
  <si>
    <t>RS TNI Angkatan Laut dr. Soedibjo Sardadi</t>
  </si>
  <si>
    <t>Kota Jayapura</t>
  </si>
  <si>
    <t>Jl. Amphibi No.1 Hamadi Jayapura</t>
  </si>
  <si>
    <t>RS Mitra Masyarakat Timika</t>
  </si>
  <si>
    <t>Jl. Charitas No. 1- Papua Tengah</t>
  </si>
  <si>
    <t>RS Umum Daerah Kawera</t>
  </si>
  <si>
    <t>Mamberamo Raya</t>
  </si>
  <si>
    <t>Jln. Demianus Kyeuw-kyeuw, SH</t>
  </si>
  <si>
    <t>-</t>
  </si>
  <si>
    <t>RS Jiwa Abepura</t>
  </si>
  <si>
    <t>Jl. Kesehatan II Abepura. Kelurahan Awiyo. Kecamatan Abepura. Kota Jayapura, Papua. 99351.</t>
  </si>
  <si>
    <t>RS Umum Daerah Rumah Rodo Fabo</t>
  </si>
  <si>
    <t>Waropen</t>
  </si>
  <si>
    <t>Jl. HKBP Roberth Suweni No.1, Batu Zaman, Ware</t>
  </si>
  <si>
    <t>RS Umum Daerah Pratama Dogiyai</t>
  </si>
  <si>
    <t>Dogiyai</t>
  </si>
  <si>
    <t>Kampung Ekimani Distrik Kamu Utara Kabupaten Dogiyai</t>
  </si>
  <si>
    <t>RS TNI Angkatan Laut Merauke</t>
  </si>
  <si>
    <t>Papua Selatan</t>
  </si>
  <si>
    <t>Merauke</t>
  </si>
  <si>
    <t>JL. Trikora No.7 Merauke</t>
  </si>
  <si>
    <t>RS Angkatan Laut dr. R Gandhi AT</t>
  </si>
  <si>
    <t>Biak Numfor</t>
  </si>
  <si>
    <t>Komplek TNI AL Lanal Biak Jalan Jenderal Sudirman Kelurahan Waupnor Kecamatan Biak Kota Kabupaten Biak Numfor Provinsi Papua (98515)</t>
  </si>
  <si>
    <t>RS Umum Daerah Pratama Waghete</t>
  </si>
  <si>
    <t>Deiyai</t>
  </si>
  <si>
    <t>Jl. Poros Waghete</t>
  </si>
  <si>
    <t>RS Umum Daerah Supiori</t>
  </si>
  <si>
    <t>Supiori</t>
  </si>
  <si>
    <t>Jl. Raya Korido Marsram, Desa/kelurahan Masram, Distrik/Kecamatan Supiori Timur, Kabupaten  Supiori, Kota Sorendiweri, 98573 Provinsi Papua.</t>
  </si>
  <si>
    <t>RS Umum Nabire</t>
  </si>
  <si>
    <t>Nabire</t>
  </si>
  <si>
    <t>Jl. R.E Martadinata Nabire, Siriwini, Papua Tengah</t>
  </si>
  <si>
    <t>RS Provita Jayapura</t>
  </si>
  <si>
    <t>Jl. Sam Ratulangi No. 39 APO Jayapura Utara</t>
  </si>
  <si>
    <t>RS Bhayangkara Jayapura</t>
  </si>
  <si>
    <t>Jl. Jeruk Nipis Furia Kotaraja,Jayapura</t>
  </si>
  <si>
    <t>RS Hendrik Fintay Kabupaten Sarmi</t>
  </si>
  <si>
    <t>Sarmi</t>
  </si>
  <si>
    <t>Jl Trans Jayapura-Sarmi Kampung Dabe Distrik Pantai Timur Bagian Barat Kabupaten Sarmi Provinsi Papua</t>
  </si>
  <si>
    <t>RS Umum Daerah Tiom</t>
  </si>
  <si>
    <t>Papua Pegunungan</t>
  </si>
  <si>
    <t>Lanny Jaya</t>
  </si>
  <si>
    <t>Jl. Abua - Tiom, Distrik Tiom, Kab. Lanny Jaya</t>
  </si>
  <si>
    <t>RS Umum Daerah Dekai</t>
  </si>
  <si>
    <t>Yahukimo</t>
  </si>
  <si>
    <t>Jl.  Jendral Sudirman, Distrik Dekai , Papua Pegunungan</t>
  </si>
  <si>
    <t>RS Umum Daerah Paniai</t>
  </si>
  <si>
    <t>Paniai</t>
  </si>
  <si>
    <t>Jl. Raya Madi KM.7, Paniai Timur, Paniai, Papua Tengah</t>
  </si>
  <si>
    <t>RS Umum Jayapura</t>
  </si>
  <si>
    <t>Jl. Kesehatan I No. 01 Dok II Jayapura, Kel. Bhayangkara Kec. Jayapura Utara Kota Jayapura Provinsi Papua</t>
  </si>
  <si>
    <t>RS Umum Daerah Ramela Muara Tami</t>
  </si>
  <si>
    <t>Jl. Protokol Koya Barat, Kel. Koya Barat, Distrik Muara Tami, Kota Jayapura, Provinsi Papua</t>
  </si>
  <si>
    <t>Jl. A. Yani No. 37</t>
  </si>
  <si>
    <t>RS Pratama Elvrida Sara</t>
  </si>
  <si>
    <t>Nduga</t>
  </si>
  <si>
    <t>Jl. Kompleks Rumah Sakit Distrik Kenyam</t>
  </si>
  <si>
    <t>RS Umum Daerah Oksibil</t>
  </si>
  <si>
    <t>Pegunungan Bintang</t>
  </si>
  <si>
    <t>jl. Poros Kabiding No. 2 Oksibil</t>
  </si>
  <si>
    <t>RS Umum Daerah Kabupaten Mappi</t>
  </si>
  <si>
    <t>Mappi</t>
  </si>
  <si>
    <t>Jl. Poros Agham Km.6, Kelurahan Kepi, Distrik Obaa, Kabupaten Mappi Provinsi Papua Selatan</t>
  </si>
  <si>
    <t>RS Bunda pengharapan Merauke</t>
  </si>
  <si>
    <t>Jl. Tujuh Wali-Wali, RT 020, RW 004, Kelurahan Kamundu, Kecamatan Merauke, Kabupaten Merauke, Papua</t>
  </si>
  <si>
    <t>RS Umum Biak</t>
  </si>
  <si>
    <t>Jl. Sriwijaya Ridge I Biak, Kecamatan Samofa, Kabupaten Biak Numfor, Propinsi Papua</t>
  </si>
  <si>
    <t>RS Umum Daerah Kabupaten Intan Jaya</t>
  </si>
  <si>
    <t>Intan Jaya</t>
  </si>
  <si>
    <t>Jln. Kali Wabu Wandoga, Yokatapa, Distrik Sugapa</t>
  </si>
  <si>
    <t>RS Umum Daerah Ilaga</t>
  </si>
  <si>
    <t>Puncak</t>
  </si>
  <si>
    <t>Kampung Kibogolome Distrik Ilaga</t>
  </si>
  <si>
    <t>RS TNI Angkatan Darat Marthen Indey Jayapura</t>
  </si>
  <si>
    <t>Jln. Diponegoro No. 57 Kelurahan Gurabesi</t>
  </si>
  <si>
    <t>RS Umum Daerah Mulia</t>
  </si>
  <si>
    <t>Puncak Jaya</t>
  </si>
  <si>
    <t>Jl. Papua, Pruleme, Distrik Mulia Kabupaten Puncak Jaya</t>
  </si>
  <si>
    <t>RS Umum Merauke</t>
  </si>
  <si>
    <t>Jl. Soekarjo Wiryopranoto No. 1 Merauke</t>
  </si>
  <si>
    <t>RS Dian Harapan</t>
  </si>
  <si>
    <t>Jl. Teruna Bakti Waena Jayapura</t>
  </si>
  <si>
    <t>RS Umum Daerah Kabupaten Mimika</t>
  </si>
  <si>
    <t>Jl. Yos Sudarso KM 4. Nomor 00, Kelurahan Mawokauw Jaya, Kecamatan Wania, Kabupaten  Mimika, Propinsi Papua Tengah</t>
  </si>
  <si>
    <t>RS Bergerak Kab. Boven Digoel</t>
  </si>
  <si>
    <t>Boven Digoel</t>
  </si>
  <si>
    <t>Jl. Trans Papua Kampung Osso - Distrik Mindiptana</t>
  </si>
  <si>
    <t>RS Umum Daerah Yowari Sentani</t>
  </si>
  <si>
    <t>Jayapura</t>
  </si>
  <si>
    <t>Jl. Raya Sentani - Depapre,Doyo Baru</t>
  </si>
  <si>
    <t>RS Umum Daerah Karubaga</t>
  </si>
  <si>
    <t>Tolikara</t>
  </si>
  <si>
    <t>Jl.Igari, Kompleks Perkantoran Pemerintah Daerah Tolikara, Desa Igari Distrik Wenam  Kab.Tolikara Prov. Papua Pegunungan Kode Pos 99562</t>
  </si>
  <si>
    <t>RS Umum Daerah Perpetua J. Safanpo</t>
  </si>
  <si>
    <t>Asmat</t>
  </si>
  <si>
    <t>Jl. Zegward, Bis Agats, Kab. Asmat</t>
  </si>
  <si>
    <t>RS Umum Daerah Boven Digoel</t>
  </si>
  <si>
    <t>Jl. Trans Papua KM 4, Kel. Persatuan, Kec. Mandobo</t>
  </si>
  <si>
    <t>RS Umum Daerah Kwaingga Kabupaten Keerom</t>
  </si>
  <si>
    <t>Keerom</t>
  </si>
  <si>
    <t>JLN. BHAYANGKARA ARSO SWAKARSA</t>
  </si>
  <si>
    <t>RS Umum Daerah Er Dabi</t>
  </si>
  <si>
    <t>Yalimo</t>
  </si>
  <si>
    <t>Jl. Trans Wamena Jayapura KM. 123 Heahobak Distrik Abenaho Kab. Yalimo</t>
  </si>
  <si>
    <t>RS Umum Daerah Lukas Enembe Kab. Memberamo Tengah</t>
  </si>
  <si>
    <t>Mamberamo Tengah</t>
  </si>
  <si>
    <t>Jln. Poros Gimbis Nomor 1, Distrik Kobakma, Kab. Mamberamo Tengah</t>
  </si>
  <si>
    <t>RS Tk. IV 17.07.01 Jenderal LB Moerdani</t>
  </si>
  <si>
    <t>Jl. Poros L.B. Moerdani, Kel. Kamangi, Kec. Tanah Miring, Kab. Merauke, Prov. Papua Selatan</t>
  </si>
  <si>
    <t>RS TNI AD Tk. IV Timika</t>
  </si>
  <si>
    <t>Jl. Agimuga Mile 32 Desa Karang Senang Distrik Kuala Kencana</t>
  </si>
  <si>
    <t>RS Umum Abepura</t>
  </si>
  <si>
    <t>Jl. Kesehatan No. I Abepura, jayapura</t>
  </si>
  <si>
    <t>total_tempat</t>
  </si>
  <si>
    <t>total_tenaga</t>
  </si>
  <si>
    <t xml:space="preserve"> </t>
  </si>
  <si>
    <t>SUM of total_tenaga</t>
  </si>
  <si>
    <t>Grand Total</t>
  </si>
  <si>
    <t>Table Dimensi Lokasi</t>
  </si>
  <si>
    <t>lokasi_id</t>
  </si>
  <si>
    <t>gabungan</t>
  </si>
  <si>
    <t>Table Fakta</t>
  </si>
  <si>
    <t>rs_id</t>
  </si>
  <si>
    <t>Tabel Fakta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</si>
</sst>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total_tenaga vs propinsi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2'!$A$2:$A$39</c:f>
            </c:strRef>
          </c:cat>
          <c:val>
            <c:numRef>
              <c:f>'Pivot Table 2'!$B$2:$B$39</c:f>
              <c:numCache/>
            </c:numRef>
          </c:val>
        </c:ser>
        <c:axId val="390651954"/>
        <c:axId val="1526021006"/>
      </c:bar3DChart>
      <c:catAx>
        <c:axId val="3906519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propinsi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021006"/>
      </c:catAx>
      <c:valAx>
        <c:axId val="15260210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total_tenaga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6519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1</xdr:row>
      <xdr:rowOff>171450</xdr:rowOff>
    </xdr:from>
    <xdr:ext cx="6515100" cy="4038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3156" sheet="DataCleaning"/>
  </cacheSource>
  <cacheFields>
    <cacheField name="id" numFmtId="0">
      <sharedItems containsSemiMixedTypes="0" containsString="0" containsNumber="1" containsInteger="1">
        <n v="1110053.0"/>
        <n v="1106014.0"/>
        <n v="1171110.0"/>
        <n v="1171163.0"/>
        <n v="1102027.0"/>
        <n v="1106013.0"/>
        <n v="1109028.0"/>
        <n v="1174022.0"/>
        <n v="1117025.0"/>
        <n v="1106025.0"/>
        <n v="1104013.0"/>
        <n v="1105078.0"/>
        <n v="1110075.0"/>
        <n v="1171143.0"/>
        <n v="1103010.0"/>
        <n v="1108015.0"/>
        <n v="1171026.0"/>
        <n v="1174023.0"/>
        <n v="1101015.0"/>
        <n v="1174021.0"/>
        <n v="1174100.0"/>
        <n v="1110104.0"/>
        <n v="1113023.0"/>
        <n v="1116011.0"/>
        <n v="1172031.0"/>
        <n v="1103022.0"/>
        <n v="1173012.0"/>
        <n v="1109027.0"/>
        <n v="1171085.0"/>
        <n v="1108017.0"/>
        <n v="1113012.0"/>
        <n v="1105034.0"/>
        <n v="1111006.0"/>
        <n v="1110027.0"/>
        <n v="1171106.0"/>
        <n v="1105056.0"/>
        <n v="1115012.0"/>
        <n v="1110103.0"/>
        <n v="1111029.0"/>
        <n v="1103021.0"/>
        <n v="1105067.0"/>
        <n v="1174064.0"/>
        <n v="1171161.0"/>
        <n v="1171121.0"/>
        <n v="1102016.0"/>
        <n v="1171146.0"/>
        <n v="1107014.0"/>
        <n v="1171015.0"/>
        <n v="1107017.0"/>
        <n v="1109031.0"/>
        <n v="1104012.0"/>
        <n v="1110086.0"/>
        <n v="1172016.0"/>
        <n v="1117027.0"/>
        <n v="1107016.0"/>
        <n v="1104011.0"/>
        <n v="1109016.0"/>
        <n v="1171150.0"/>
        <n v="1171041.0"/>
        <n v="1109029.0"/>
        <n v="1112011.0"/>
        <n v="1111018.0"/>
        <n v="1171145.0"/>
        <n v="1173023.0"/>
        <n v="1110101.0"/>
        <n v="1107015.0"/>
        <n v="1174016.0"/>
        <n v="1171096.0"/>
        <n v="1111005.0"/>
        <n v="1174024.0"/>
        <n v="1118012.0"/>
        <n v="1171147.0"/>
        <n v="1114011.0"/>
        <n v="1109042.0"/>
        <n v="1174019.0"/>
        <n v="1173003.0"/>
        <n v="1110102.0"/>
        <n v="1108028.0"/>
        <n v="1173045.0"/>
        <n v="1277026.0"/>
        <n v="1213059.0"/>
        <n v="1212023.0"/>
        <n v="1208066.0"/>
        <n v="1273102.0"/>
        <n v="1272033.0"/>
        <n v="1212198.0"/>
        <n v="1275826.0"/>
        <n v="1275276.0"/>
        <n v="1205035.0"/>
        <n v="1205142.0"/>
        <n v="1214010.0"/>
        <n v="1275232.0"/>
        <n v="1275126.0"/>
        <n v="1207073.0"/>
        <n v="1203022.0"/>
        <n v="1277015.0"/>
        <n v="1276036.0"/>
        <n v="1275928.0"/>
        <n v="1275750.0"/>
        <n v="1225002.0"/>
        <n v="1209081.0"/>
        <n v="1209021.0"/>
        <n v="1213057.0"/>
        <n v="1211126.0"/>
        <n v="1208059.0"/>
        <n v="1210021.0"/>
        <n v="1275932.0"/>
        <n v="1212201.0"/>
        <n v="1275909.0"/>
        <n v="1274034.0"/>
        <n v="1275998.0"/>
        <n v="1275841.0"/>
        <n v="1275516.0"/>
        <n v="1219016.0"/>
        <n v="1278002.0"/>
        <n v="1205061.0"/>
        <n v="1219002.0"/>
        <n v="1275922.0"/>
        <n v="1271016.0"/>
        <n v="1275804.0"/>
        <n v="1275997.0"/>
        <n v="1275141.0"/>
        <n v="1207068.0"/>
        <n v="1203044.0"/>
        <n v="1275921.0"/>
        <n v="1275783.0"/>
        <n v="1212177.0"/>
        <n v="1209076.0"/>
        <n v="1218125.0"/>
        <n v="1212186.0"/>
        <n v="1275147.0"/>
        <n v="1273033.0"/>
        <n v="1275911.0"/>
        <n v="1275035.0"/>
        <n v="1212197.0"/>
        <n v="1219003.0"/>
        <n v="1207067.0"/>
        <n v="1275874.0"/>
        <n v="1275622.0"/>
        <n v="1207052.0"/>
        <n v="1212200.0"/>
        <n v="1274058.0"/>
        <n v="1276077.0"/>
        <n v="1273011.0"/>
        <n v="1271032.0"/>
        <n v="1275163.0"/>
        <n v="1275010.0"/>
        <n v="1204056.0"/>
        <n v="1212199.0"/>
        <n v="1218158.0"/>
        <n v="1211011.0"/>
        <n v="1212067.0"/>
        <n v="1213013.0"/>
        <n v="1212171.0"/>
        <n v="1275923.0"/>
        <n v="1275050.0"/>
        <n v="1275899.0"/>
        <n v="1201016.0"/>
        <n v="1275996.0"/>
        <n v="1275655.0"/>
        <n v="1273106.0"/>
        <n v="1207069.0"/>
        <n v="1208020.0"/>
        <n v="1223018.0"/>
        <n v="1218025.0"/>
        <n v="1212184.0"/>
        <n v="1273055.0"/>
        <n v="1276092.0"/>
        <n v="1208060.0"/>
        <n v="1275265.0"/>
        <n v="1274061.0"/>
        <n v="1223006.0"/>
        <n v="1205024.0"/>
        <n v="1212181.0"/>
        <n v="1212012.0"/>
        <n v="1223002.0"/>
        <n v="1213035.0"/>
        <n v="1276090.0"/>
        <n v="1218024.0"/>
        <n v="1275930.0"/>
        <n v="1212172.0"/>
        <n v="1275094.0"/>
        <n v="1277011.0"/>
        <n v="1276040.0"/>
        <n v="1275888.0"/>
        <n v="1275724.0"/>
        <n v="1212175.0"/>
        <n v="1209010.0"/>
        <n v="1212045.0"/>
        <n v="1275933.0"/>
        <n v="1273120.0"/>
        <n v="1275100.0"/>
        <n v="1208056.0"/>
        <n v="1274012.0"/>
        <n v="1275830.0"/>
        <n v="1202028.0"/>
        <n v="1275298.0"/>
        <n v="1205046.0"/>
        <n v="1222002.0"/>
        <n v="1275929.0"/>
        <n v="1216011.0"/>
        <n v="1275309.0"/>
        <n v="1214022.0"/>
        <n v="1273107.0"/>
        <n v="1275130.0"/>
        <n v="1276079.0"/>
        <n v="1203033.0"/>
        <n v="1224002.0"/>
        <n v="1213062.0"/>
        <n v="1275772.0"/>
        <n v="1209077.0"/>
        <n v="1275913.0"/>
        <n v="1274063.0"/>
        <n v="1209065.0"/>
        <n v="1275061.0"/>
        <n v="1212093.0"/>
        <n v="1211124.0"/>
        <n v="1276075.0"/>
        <n v="1277027.0"/>
        <n v="1275013.0"/>
        <n v="1275918.0"/>
        <n v="1275936.0"/>
        <n v="1203066.0"/>
        <n v="1275852.0"/>
        <n v="1275600.0"/>
        <n v="1207015.0"/>
        <n v="1273119.0"/>
        <n v="1274062.0"/>
        <n v="1211127.0"/>
        <n v="1272010.0"/>
        <n v="1275931.0"/>
        <n v="1212179.0"/>
        <n v="1275152.0"/>
        <n v="1219015.0"/>
        <n v="1203055.0"/>
        <n v="1208064.0"/>
        <n v="1275794.0"/>
        <n v="1275011.0"/>
        <n v="1219017.0"/>
        <n v="1210010.0"/>
        <n v="1223005.0"/>
        <n v="1212136.0"/>
        <n v="1221002.0"/>
        <n v="1275046.0"/>
        <n v="1225013.0"/>
        <n v="1275898.0"/>
        <n v="1218029.0"/>
        <n v="1212185.0"/>
        <n v="1275885.0"/>
        <n v="1275633.0"/>
        <n v="1275914.0"/>
        <n v="1208016.0"/>
        <n v="1271033.0"/>
        <n v="1275889.0"/>
        <n v="1214011.0"/>
        <n v="1213058.0"/>
        <n v="1273108.0"/>
        <n v="1273022.0"/>
        <n v="1275221.0"/>
        <n v="1275890.0"/>
        <n v="1202029.0"/>
        <n v="1212183.0"/>
        <n v="1205013.0"/>
        <n v="1211033.0"/>
        <n v="1206063.0"/>
        <n v="1208057.0"/>
        <n v="1213024.0"/>
        <n v="1218013.0"/>
        <n v="1276076.0"/>
        <n v="1275072.0"/>
        <n v="1202017.0"/>
        <n v="1275012.0"/>
        <n v="1276014.0"/>
        <n v="1276078.0"/>
        <n v="1275702.0"/>
        <n v="1203067.0"/>
        <n v="1276074.0"/>
        <n v="1212174.0"/>
        <n v="1208053.0"/>
        <n v="1275999.0"/>
        <n v="1218026.0"/>
        <n v="1371400.0"/>
        <n v="1376017.0"/>
        <n v="1306015.0"/>
        <n v="1305017.0"/>
        <n v="1375025.0"/>
        <n v="1371455.0"/>
        <n v="1310011.0"/>
        <n v="1371091.0"/>
        <n v="1371422.0"/>
        <n v="1308010.0"/>
        <n v="1375040.0"/>
        <n v="1372012.0"/>
        <n v="1302011.0"/>
        <n v="1376011.0"/>
        <n v="1371123.0"/>
        <n v="1372011.0"/>
        <n v="1371446.0"/>
        <n v="1372016.0"/>
        <n v="1376016.0"/>
        <n v="1309022.0"/>
        <n v="1371466.0"/>
        <n v="1303023.0"/>
        <n v="1371251.0"/>
        <n v="1374013.0"/>
        <n v="1305016.0"/>
        <n v="1377008.0"/>
        <n v="1309024.0"/>
        <n v="1371010.0"/>
        <n v="1309023.0"/>
        <n v="1371316.0"/>
        <n v="1375051.0"/>
        <n v="1304031.0"/>
        <n v="1377003.0"/>
        <n v="1305014.0"/>
        <n v="1312025.0"/>
        <n v="1375014.0"/>
        <n v="1371454.0"/>
        <n v="1372013.0"/>
        <n v="1371464.0"/>
        <n v="1371032.0"/>
        <n v="1302015.0"/>
        <n v="1371451.0"/>
        <n v="1371460.0"/>
        <n v="1308016.0"/>
        <n v="1311002.0"/>
        <n v="1375036.0"/>
        <n v="1371456.0"/>
        <n v="1305015.0"/>
        <n v="1377007.0"/>
        <n v="1301010.0"/>
        <n v="1371462.0"/>
        <n v="1371112.0"/>
        <n v="1371444.0"/>
        <n v="1372014.0"/>
        <n v="1304017.0"/>
        <n v="1371463.0"/>
        <n v="1309011.0"/>
        <n v="1371465.0"/>
        <n v="1376015.0"/>
        <n v="1303012.0"/>
        <n v="1371478.0"/>
        <n v="1371459.0"/>
        <n v="1306057.0"/>
        <n v="1373012.0"/>
        <n v="1371457.0"/>
        <n v="1312036.0"/>
        <n v="1312024.0"/>
        <n v="1306056.0"/>
        <n v="1307017.0"/>
        <n v="1377005.0"/>
        <n v="1302013.0"/>
        <n v="1311013.0"/>
        <n v="1371305.0"/>
        <n v="1374024.0"/>
        <n v="1304014.0"/>
        <n v="1302012.0"/>
        <n v="1371021.0"/>
        <n v="1375053.0"/>
        <n v="1404014.0"/>
        <n v="1471079.0"/>
        <n v="1401012.0"/>
        <n v="1471150.0"/>
        <n v="1471387.0"/>
        <n v="1408055.0"/>
        <n v="1473024.0"/>
        <n v="1403024.0"/>
        <n v="1406016.0"/>
        <n v="1406043.0"/>
        <n v="1403048.0"/>
        <n v="1471215.0"/>
        <n v="1409033.0"/>
        <n v="1402013.0"/>
        <n v="1407016.0"/>
        <n v="1406057.0"/>
        <n v="1471022.0"/>
        <n v="1471391.0"/>
        <n v="1471399.0"/>
        <n v="1471091.0"/>
        <n v="1409019.0"/>
        <n v="1408079.0"/>
        <n v="1471392.0"/>
        <n v="1406031.0"/>
        <n v="1410043.0"/>
        <n v="1408080.0"/>
        <n v="1471237.0"/>
        <n v="1402014.0"/>
        <n v="1471396.0"/>
        <n v="1403035.0"/>
        <n v="1406046.0"/>
        <n v="1401011.0"/>
        <n v="1408067.0"/>
        <n v="1471055.0"/>
        <n v="1471386.0"/>
        <n v="1473079.0"/>
        <n v="1408011.0"/>
        <n v="1471371.0"/>
        <n v="1407014.0"/>
        <n v="1471395.0"/>
        <n v="1407012.0"/>
        <n v="1471398.0"/>
        <n v="1403013.0"/>
        <n v="1471067.0"/>
        <n v="1471390.0"/>
        <n v="1471394.0"/>
        <n v="1471146.0"/>
        <n v="1407013.0"/>
        <n v="1404026.0"/>
        <n v="1409013.0"/>
        <n v="1404027.0"/>
        <n v="1408032.0"/>
        <n v="1406045.0"/>
        <n v="1471397.0"/>
        <n v="1409018.0"/>
        <n v="1473013.0"/>
        <n v="1405015.0"/>
        <n v="1405032.0"/>
        <n v="1471161.0"/>
        <n v="1402015.0"/>
        <n v="1471011.0"/>
        <n v="1472080.0"/>
        <n v="1407017.0"/>
        <n v="1471383.0"/>
        <n v="1471226.0"/>
        <n v="1471389.0"/>
        <n v="1409014.0"/>
        <n v="1473081.0"/>
        <n v="1404025.0"/>
        <n v="1405017.0"/>
        <n v="1471033.0"/>
        <n v="1471384.0"/>
        <n v="1407011.0"/>
        <n v="1471259.0"/>
        <n v="1402012.0"/>
        <n v="1473078.0"/>
        <n v="1471135.0"/>
        <n v="1406058.0"/>
        <n v="1406044.0"/>
        <n v="1409022.0"/>
        <n v="1471382.0"/>
        <n v="1509031.0"/>
        <n v="1505028.0"/>
        <n v="1509043.0"/>
        <n v="1507010.0"/>
        <n v="1571158.0"/>
        <n v="1571162.0"/>
        <n v="1571159.0"/>
        <n v="1571163.0"/>
        <n v="1509013.0"/>
        <n v="1509028.0"/>
        <n v="1508013.0"/>
        <n v="1502015.0"/>
        <n v="1571023.0"/>
        <n v="1507013.0"/>
        <n v="1571165.0"/>
        <n v="1506022.0"/>
        <n v="1503036.0"/>
        <n v="1571169.0"/>
        <n v="1504017.0"/>
        <n v="1571168.0"/>
        <n v="1571045.0"/>
        <n v="1503039.0"/>
        <n v="1505016.0"/>
        <n v="1571147.0"/>
        <n v="1505027.0"/>
        <n v="1509029.0"/>
        <n v="1506011.0"/>
        <n v="1571164.0"/>
        <n v="1571180.0"/>
        <n v="1504018.0"/>
        <n v="1501012.0"/>
        <n v="1571161.0"/>
        <n v="1502019.0"/>
        <n v="1571012.0"/>
        <n v="1572003.0"/>
        <n v="1502014.0"/>
        <n v="1502018.0"/>
        <n v="1571034.0"/>
        <n v="1504015.0"/>
        <n v="1571136.0"/>
        <n v="1508002.0"/>
        <n v="1509042.0"/>
        <n v="1671337.0"/>
        <n v="1671347.0"/>
        <n v="1672026.0"/>
        <n v="1607016.0"/>
        <n v="1604032.0"/>
        <n v="1606032.0"/>
        <n v="1674032.0"/>
        <n v="1671083.0"/>
        <n v="1671341.0"/>
        <n v="1603063.0"/>
        <n v="1671324.0"/>
        <n v="1601089.0"/>
        <n v="1608051.0"/>
        <n v="1671072.0"/>
        <n v="1601035.0"/>
        <n v="1606011.0"/>
        <n v="1674003.0"/>
        <n v="1671265.0"/>
        <n v="1603090.0"/>
        <n v="1671094.0"/>
        <n v="1603085.0"/>
        <n v="1671328.0"/>
        <n v="1671024.0"/>
        <n v="1601086.0"/>
        <n v="1603087.0"/>
        <n v="1609083.0"/>
        <n v="1674007.0"/>
        <n v="1671301.0"/>
        <n v="1671350.0"/>
        <n v="1602015.0"/>
        <n v="1671332.0"/>
        <n v="1604020.0"/>
        <n v="1671046.0"/>
        <n v="1601100.0"/>
        <n v="1603089.0"/>
        <n v="1672015.0"/>
        <n v="1671335.0"/>
        <n v="1607015.0"/>
        <n v="1609011.0"/>
        <n v="1671340.0"/>
        <n v="1671325.0"/>
        <n v="1603101.0"/>
        <n v="1674010.0"/>
        <n v="1671061.0"/>
        <n v="1609012.0"/>
        <n v="1610005.0"/>
        <n v="1603030.0"/>
        <n v="1607012.0"/>
        <n v="1671342.0"/>
        <n v="1671333.0"/>
        <n v="1612011.0"/>
        <n v="1601013.0"/>
        <n v="1671348.0"/>
        <n v="1607014.0"/>
        <n v="1605043.0"/>
        <n v="1671243.0"/>
        <n v="1611042.0"/>
        <n v="1671361.0"/>
        <n v="1672074.0"/>
        <n v="1671013.0"/>
        <n v="1671343.0"/>
        <n v="1607017.0"/>
        <n v="1674008.0"/>
        <n v="1609046.0"/>
        <n v="1606022.0"/>
        <n v="1671276.0"/>
        <n v="1671336.0"/>
        <n v="1604016.0"/>
        <n v="1671339.0"/>
        <n v="1671035.0"/>
        <n v="1671331.0"/>
        <n v="1674002.0"/>
        <n v="1674005.0"/>
        <n v="1603088.0"/>
        <n v="1602014.0"/>
        <n v="1672002.0"/>
        <n v="1601088.0"/>
        <n v="1601002.0"/>
        <n v="1610003.0"/>
        <n v="1671323.0"/>
        <n v="1611002.0"/>
        <n v="1673031.0"/>
        <n v="1610004.0"/>
        <n v="1671050.0"/>
        <n v="1605044.0"/>
        <n v="1671327.0"/>
        <n v="1601084.0"/>
        <n v="1771073.0"/>
        <n v="1702015.0"/>
        <n v="1709038.0"/>
        <n v="1702047.0"/>
        <n v="1771036.0"/>
        <n v="1703016.0"/>
        <n v="1701016.0"/>
        <n v="1771051.0"/>
        <n v="1705018.0"/>
        <n v="1703046.0"/>
        <n v="1771007.0"/>
        <n v="1771009.0"/>
        <n v="1708010.0"/>
        <n v="1771062.0"/>
        <n v="1701014.0"/>
        <n v="1771025.0"/>
        <n v="1707026.0"/>
        <n v="1771040.0"/>
        <n v="1704028.0"/>
        <n v="1703027.0"/>
        <n v="1771002.0"/>
        <n v="1703045.0"/>
        <n v="1706019.0"/>
        <n v="1706020.0"/>
        <n v="1702035.0"/>
        <n v="1771014.0"/>
        <n v="1803010.0"/>
        <n v="1803033.0"/>
        <n v="1871282.0"/>
        <n v="1803048.0"/>
        <n v="1803034.0"/>
        <n v="1808015.0"/>
        <n v="1806039.0"/>
        <n v="1805046.0"/>
        <n v="1801016.0"/>
        <n v="1871448.0"/>
        <n v="1808018.0"/>
        <n v="1804011.0"/>
        <n v="1807016.0"/>
        <n v="1871447.0"/>
        <n v="1871416.0"/>
        <n v="1871439.0"/>
        <n v="1803036.0"/>
        <n v="1813001.0"/>
        <n v="1871026.0"/>
        <n v="1805045.0"/>
        <n v="1805060.0"/>
        <n v="1812003.0"/>
        <n v="1805023.0"/>
        <n v="1804012.0"/>
        <n v="1871438.0"/>
        <n v="1872031.0"/>
        <n v="1871442.0"/>
        <n v="1806037.0"/>
        <n v="1871180.0"/>
        <n v="1809002.0"/>
        <n v="1804014.0"/>
        <n v="1802016.0"/>
        <n v="1805048.0"/>
        <n v="1805024.0"/>
        <n v="1871048.0"/>
        <n v="1871020.0"/>
        <n v="1871234.0"/>
        <n v="1808016.0"/>
        <n v="1802038.0"/>
        <n v="1807014.0"/>
        <n v="1871446.0"/>
        <n v="1804013.0"/>
        <n v="1805047.0"/>
        <n v="1803021.0"/>
        <n v="1810003.0"/>
        <n v="1871405.0"/>
        <n v="1804015.0"/>
        <n v="1808017.0"/>
        <n v="1801017.0"/>
        <n v="1805034.0"/>
        <n v="1812014.0"/>
        <n v="1871440.0"/>
        <n v="1809003.0"/>
        <n v="1805012.0"/>
        <n v="1810004.0"/>
        <n v="1872066.0"/>
        <n v="1871427.0"/>
        <n v="1871176.0"/>
        <n v="1872065.0"/>
        <n v="1811013.0"/>
        <n v="1801015.0"/>
        <n v="1806013.0"/>
        <n v="1872064.0"/>
        <n v="1871449.0"/>
        <n v="1806038.0"/>
        <n v="1872016.0"/>
        <n v="1872053.0"/>
        <n v="1871443.0"/>
        <n v="1812002.0"/>
        <n v="1871223.0"/>
        <n v="1806036.0"/>
        <n v="1871002.0"/>
        <n v="1811002.0"/>
        <n v="1802027.0"/>
        <n v="1806035.0"/>
        <n v="1872042.0"/>
        <n v="1805049.0"/>
        <n v="1810005.0"/>
        <n v="1803035.0"/>
        <n v="1872067.0"/>
        <n v="1971043.0"/>
        <n v="1904016.0"/>
        <n v="1901043.0"/>
        <n v="1901031.0"/>
        <n v="1971006.0"/>
        <n v="1971003.0"/>
        <n v="1971054.0"/>
        <n v="1904013.0"/>
        <n v="1905026.0"/>
        <n v="1905024.0"/>
        <n v="1901046.0"/>
        <n v="1971021.0"/>
        <n v="1902011.0"/>
        <n v="1904015.0"/>
        <n v="1901020.0"/>
        <n v="1971005.0"/>
        <n v="1904014.0"/>
        <n v="1903002.0"/>
        <n v="1971002.0"/>
        <n v="1902010.0"/>
        <n v="1901044.0"/>
        <n v="1903013.0"/>
        <n v="1902042.0"/>
        <n v="1902012.0"/>
        <n v="1971004.0"/>
        <n v="1906014.0"/>
        <n v="1903005.0"/>
        <n v="1901016.0"/>
        <n v="2171062.0"/>
        <n v="2071114.0"/>
        <n v="2071054.0"/>
        <n v="2003011.0"/>
        <n v="2004136.0"/>
        <n v="2101003.0"/>
        <n v="2071053.0"/>
        <n v="2071012.0"/>
        <n v="2171077.0"/>
        <n v="2072023.0"/>
        <n v="2002002.0"/>
        <n v="2071034.0"/>
        <n v="2071057.0"/>
        <n v="2003056.0"/>
        <n v="2171083.0"/>
        <n v="2071103.0"/>
        <n v="2071015.0"/>
        <n v="2171065.0"/>
        <n v="2002010.0"/>
        <n v="2105005.0"/>
        <n v="2003125.0"/>
        <n v="2071037.0"/>
        <n v="2171078.0"/>
        <n v="2072012.0"/>
        <n v="2171061.0"/>
        <n v="2071023.0"/>
        <n v="2072002.0"/>
        <n v="2005002.0"/>
        <n v="2171064.0"/>
        <n v="2004012.0"/>
        <n v="2001045.0"/>
        <n v="2071050.0"/>
        <n v="2071059.0"/>
        <n v="2071056.0"/>
        <n v="2001013.0"/>
        <n v="3173084.0"/>
        <n v="3172765.0"/>
        <n v="3171574.0"/>
        <n v="3173671.0"/>
        <n v="3171768.0"/>
        <n v="3174508.0"/>
        <n v="3172516.0"/>
        <n v="3172750.0"/>
        <n v="3175407.0"/>
        <n v="3172761.0"/>
        <n v="3174525.0"/>
        <n v="3174510.0"/>
        <n v="3173543.0"/>
        <n v="3171798.0"/>
        <n v="3171724.0"/>
        <n v="3174351.0"/>
        <n v="3173696.0"/>
        <n v="3175416.0"/>
        <n v="3171802.0"/>
        <n v="3172094.0"/>
        <n v="3171789.0"/>
        <n v="3175330.0"/>
        <n v="3173697.0"/>
        <n v="3172762.0"/>
        <n v="3173014.0"/>
        <n v="3174052.0"/>
        <n v="3171511.0"/>
        <n v="3175411.0"/>
        <n v="3173116.0"/>
        <n v="3171782.0"/>
        <n v="3171632.0"/>
        <n v="3174015.0"/>
        <n v="3172013.0"/>
        <n v="3173704.0"/>
        <n v="3175031.0"/>
        <n v="3172531.0"/>
        <n v="3171450.0"/>
        <n v="3171072.0"/>
        <n v="3175413.0"/>
        <n v="3173723.0"/>
        <n v="3173612.0"/>
        <n v="3173698.0"/>
        <n v="3171746.0"/>
        <n v="3172748.0"/>
        <n v="3174420.0"/>
        <n v="3172206.0"/>
        <n v="3175352.0"/>
        <n v="3171786.0"/>
        <n v="3175414.0"/>
        <n v="3173036.0"/>
        <n v="3173441.0"/>
        <n v="3171056.0"/>
        <n v="3171665.0"/>
        <n v="3175408.0"/>
        <n v="3174515.0"/>
        <n v="3174030.0"/>
        <n v="3172035.0"/>
        <n v="3175064.0"/>
        <n v="3171785.0"/>
        <n v="3171792.0"/>
        <n v="3171804.0"/>
        <n v="3172590.0"/>
        <n v="3171801.0"/>
        <n v="3175418.0"/>
        <n v="3171023.0"/>
        <n v="3172759.0"/>
        <n v="3171504.0"/>
        <n v="3173634.0"/>
        <n v="3101002.0"/>
        <n v="3174542.0"/>
        <n v="3174453.0"/>
        <n v="3172758.0"/>
        <n v="3172301.0"/>
        <n v="3171784.0"/>
        <n v="3175374.0"/>
        <n v="3173051.0"/>
        <n v="3173506.0"/>
        <n v="3171691.0"/>
        <n v="3174063.0"/>
        <n v="3171790.0"/>
        <n v="3172061.0"/>
        <n v="3172137.0"/>
        <n v="3174522.0"/>
        <n v="3172769.0"/>
        <n v="3175304.0"/>
        <n v="3172724.0"/>
        <n v="3171045.0"/>
        <n v="3171783.0"/>
        <n v="3174519.0"/>
        <n v="3173699.0"/>
        <n v="3173656.0"/>
        <n v="3174509.0"/>
        <n v="3174497.0"/>
        <n v="3174531.0"/>
        <n v="3172505.0"/>
        <n v="3171806.0"/>
        <n v="3171912.0"/>
        <n v="3175396.0"/>
        <n v="3173073.0"/>
        <n v="3171413.0"/>
        <n v="3172756.0"/>
        <n v="3173532.0"/>
        <n v="3175075.0"/>
        <n v="3172766.0"/>
        <n v="3171713.0"/>
        <n v="3175409.0"/>
        <n v="3174282.0"/>
        <n v="3172083.0"/>
        <n v="3172749.0"/>
        <n v="3175326.0"/>
        <n v="3171791.0"/>
        <n v="3172746.0"/>
        <n v="3173105.0"/>
        <n v="3171621.0"/>
        <n v="3172753.0"/>
        <n v="3173695.0"/>
        <n v="3171781.0"/>
        <n v="3175016.0"/>
        <n v="3172752.0"/>
        <n v="3172520.0"/>
        <n v="3174518.0"/>
        <n v="3171435.0"/>
        <n v="3173700.0"/>
        <n v="3173706.0"/>
        <n v="3173580.0"/>
        <n v="3171735.0"/>
        <n v="3175410.0"/>
        <n v="3174416.0"/>
        <n v="3172757.0"/>
        <n v="3173705.0"/>
        <n v="3172771.0"/>
        <n v="3172126.0"/>
        <n v="3175417.0"/>
        <n v="3175341.0"/>
        <n v="3173701.0"/>
        <n v="3173025.0"/>
        <n v="3173120.0"/>
        <n v="3171911.0"/>
        <n v="3171643.0"/>
        <n v="3174026.0"/>
        <n v="3172024.0"/>
        <n v="3175042.0"/>
        <n v="3175412.0"/>
        <n v="3172553.0"/>
        <n v="3171800.0"/>
        <n v="3171012.0"/>
        <n v="3174527.0"/>
        <n v="3171461.0"/>
        <n v="3174517.0"/>
        <n v="3173712.0"/>
        <n v="3173623.0"/>
        <n v="3172751.0"/>
        <n v="3171757.0"/>
        <n v="3171805.0"/>
        <n v="3174431.0"/>
        <n v="3172755.0"/>
        <n v="3171803.0"/>
        <n v="3172243.0"/>
        <n v="3175363.0"/>
        <n v="3171793.0"/>
        <n v="3171807.0"/>
        <n v="3173040.0"/>
        <n v="3173474.0"/>
        <n v="3171680.0"/>
        <n v="3171795.0"/>
        <n v="3174041.0"/>
        <n v="3172050.0"/>
        <n v="3175181.0"/>
        <n v="3172702.0"/>
        <n v="3171034.0"/>
        <n v="3171515.0"/>
        <n v="3173645.0"/>
        <n v="3174544.0"/>
        <n v="3174486.0"/>
        <n v="3172495.0"/>
        <n v="3175385.0"/>
        <n v="3173062.0"/>
        <n v="3173521.0"/>
        <n v="3171702.0"/>
        <n v="3171796.0"/>
        <n v="3174260.0"/>
        <n v="3174523.0"/>
        <n v="3173707.0"/>
        <n v="3172072.0"/>
        <n v="3174074.0"/>
        <n v="3175315.0"/>
        <n v="3172735.0"/>
        <n v="3171060.0"/>
        <n v="3215067.0"/>
        <n v="3208057.0"/>
        <n v="3278018.0"/>
        <n v="3216414.0"/>
        <n v="3276169.0"/>
        <n v="3202014.0"/>
        <n v="3273420.0"/>
        <n v="3204154.0"/>
        <n v="3203038.0"/>
        <n v="3201247.0"/>
        <n v="3216126.0"/>
        <n v="3215182.0"/>
        <n v="3204101.0"/>
        <n v="3209053.0"/>
        <n v="3215162.0"/>
        <n v="3208060.0"/>
        <n v="3215169.0"/>
        <n v="3216318.0"/>
        <n v="3209040.0"/>
        <n v="3275141.0"/>
        <n v="3273030.0"/>
        <n v="3274064.0"/>
        <n v="3213061.0"/>
        <n v="3201130.0"/>
        <n v="3273121.0"/>
        <n v="3216397.0"/>
        <n v="3275024.0"/>
        <n v="3201083.0"/>
        <n v="3276151.0"/>
        <n v="3275065.0"/>
        <n v="3217042.0"/>
        <n v="3274016.0"/>
        <n v="3279002.0"/>
        <n v="3202086.0"/>
        <n v="3204170.0"/>
        <n v="3203052.0"/>
        <n v="3275229.0"/>
        <n v="3275067.0"/>
        <n v="3207045.0"/>
        <n v="3207056.0"/>
        <n v="3276147.0"/>
        <n v="3209052.0"/>
        <n v="3201242.0"/>
        <n v="3201246.0"/>
        <n v="3213047.0"/>
        <n v="3203053.0"/>
        <n v="3271126.0"/>
        <n v="3214040.0"/>
        <n v="3213010.0"/>
        <n v="3275052.0"/>
        <n v="3212058.0"/>
        <n v="3215089.0"/>
        <n v="3216415.0"/>
        <n v="3208061.0"/>
        <n v="3202051.0"/>
        <n v="3273442.0"/>
        <n v="3216420.0"/>
        <n v="3212071.0"/>
        <n v="3216152.0"/>
        <n v="3276152.0"/>
        <n v="3213049.0"/>
        <n v="3216462.0"/>
        <n v="3205021.0"/>
        <n v="3277021.0"/>
        <n v="3209144.0"/>
        <n v="3271013.0"/>
        <n v="3276028.0"/>
        <n v="3204130.0"/>
        <n v="3210014.0"/>
        <n v="3216351.0"/>
        <n v="3201229.0"/>
        <n v="3205023.0"/>
        <n v="3205026.0"/>
        <n v="3204137.0"/>
        <n v="3273561.0"/>
        <n v="3201035.0"/>
        <n v="3273052.0"/>
        <n v="3274100.0"/>
        <n v="3214034.0"/>
        <n v="3201152.0"/>
        <n v="3273176.0"/>
        <n v="3274134.0"/>
        <n v="3216072.0"/>
        <n v="3204086.0"/>
        <n v="3274031.0"/>
        <n v="3277019.0"/>
        <n v="3216421.0"/>
        <n v="3216426.0"/>
        <n v="3201251.0"/>
        <n v="3218001.0"/>
        <n v="3275263.0"/>
        <n v="3208024.0"/>
        <n v="3212042.0"/>
        <n v="3201240.0"/>
        <n v="3275062.0"/>
        <n v="3210049.0"/>
        <n v="3211039.0"/>
        <n v="3272014.0"/>
        <n v="3214032.0"/>
        <n v="3213032.0"/>
        <n v="3277018.0"/>
        <n v="3216408.0"/>
        <n v="3215112.0"/>
        <n v="3216416.0"/>
        <n v="3216434.0"/>
        <n v="3203015.0"/>
        <n v="3273464.0"/>
        <n v="3276039.0"/>
        <n v="3201271.0"/>
        <n v="3216174.0"/>
        <n v="3216443.0"/>
        <n v="3206055.0"/>
        <n v="3215161.0"/>
        <n v="3201245.0"/>
        <n v="3205027.0"/>
        <n v="3276167.0"/>
        <n v="3271035.0"/>
        <n v="3210036.0"/>
        <n v="3201150.0"/>
        <n v="3201231.0"/>
        <n v="3201050.0"/>
        <n v="3273074.0"/>
        <n v="3209133.0"/>
        <n v="3201196.0"/>
        <n v="3273201.0"/>
        <n v="3279004.0"/>
        <n v="3275094.0"/>
        <n v="3215160.0"/>
        <n v="3217004.0"/>
        <n v="3215146.0"/>
        <n v="3216285.0"/>
        <n v="3202084.0"/>
        <n v="3209014.0"/>
        <n v="3215045.0"/>
        <n v="3216393.0"/>
        <n v="3209054.0"/>
        <n v="3271166.0"/>
        <n v="3272051.0"/>
        <n v="3215012.0"/>
        <n v="3216389.0"/>
        <n v="3205039.0"/>
        <n v="3215134.0"/>
        <n v="3215164.0"/>
        <n v="3216463.0"/>
        <n v="3204016.0"/>
        <n v="3273517.0"/>
        <n v="3201230.0"/>
        <n v="3206083.0"/>
        <n v="3272075.0"/>
        <n v="3201256.0"/>
        <n v="3277023.0"/>
        <n v="3204172.0"/>
        <n v="3275196.0"/>
        <n v="3216444.0"/>
        <n v="3278081.0"/>
        <n v="3216374.0"/>
        <n v="3271164.0"/>
        <n v="3271072.0"/>
        <n v="3201232.0"/>
        <n v="3204124.0"/>
        <n v="3211026.0"/>
        <n v="3272062.0"/>
        <n v="3216402.0"/>
        <n v="3273547.0"/>
        <n v="3216465.0"/>
        <n v="3201072.0"/>
        <n v="3273096.0"/>
        <n v="3276135.0"/>
        <n v="3275403.0"/>
        <n v="3201218.0"/>
        <n v="3273405.0"/>
        <n v="3204123.0"/>
        <n v="3214038.0"/>
        <n v="3211027.0"/>
        <n v="3276166.0"/>
        <n v="3204169.0"/>
        <n v="3275115.0"/>
        <n v="3216385.0"/>
        <n v="3201236.0"/>
        <n v="3278021.0"/>
        <n v="3201249.0"/>
        <n v="3275415.0"/>
        <n v="3275390.0"/>
        <n v="3213044.0"/>
        <n v="3275307.0"/>
        <n v="3201244.0"/>
        <n v="3217008.0"/>
        <n v="3273558.0"/>
        <n v="3209036.0"/>
        <n v="3275035.0"/>
        <n v="3276149.0"/>
        <n v="3216440.0"/>
        <n v="3273026.0"/>
        <n v="3215056.0"/>
        <n v="3216413.0"/>
        <n v="3216448.0"/>
        <n v="3201126.0"/>
        <n v="3273110.0"/>
        <n v="3214035.0"/>
        <n v="3203039.0"/>
        <n v="3275013.0"/>
        <n v="3273540.0"/>
        <n v="3216424.0"/>
        <n v="3207057.0"/>
        <n v="3273559.0"/>
        <n v="3277031.0"/>
        <n v="3273539.0"/>
        <n v="3214037.0"/>
        <n v="3212056.0"/>
        <n v="3210038.0"/>
        <n v="3216218.0"/>
        <n v="3205024.0"/>
        <n v="3275066.0"/>
        <n v="3207023.0"/>
        <n v="3202073.0"/>
        <n v="3208058.0"/>
        <n v="3217002.0"/>
        <n v="3274135.0"/>
        <n v="3217007.0"/>
        <n v="3203041.0"/>
        <n v="3201273.0"/>
        <n v="3271115.0"/>
        <n v="3271163.0"/>
        <n v="3276154.0"/>
        <n v="3212031.0"/>
        <n v="3275039.0"/>
        <n v="3216406.0"/>
        <n v="3275060.0"/>
        <n v="3215078.0"/>
        <n v="3274136.0"/>
        <n v="3216438.0"/>
        <n v="3209055.0"/>
        <n v="3202040.0"/>
        <n v="3273431.0"/>
        <n v="3275057.0"/>
        <n v="3216435.0"/>
        <n v="3204134.0"/>
        <n v="3275414.0"/>
        <n v="3273562.0"/>
        <n v="3275130.0"/>
        <n v="3278016.0"/>
        <n v="3205010.0"/>
        <n v="3216386.0"/>
        <n v="3275053.0"/>
        <n v="3215163.0"/>
        <n v="3215170.0"/>
        <n v="3202088.0"/>
        <n v="3216329.0"/>
        <n v="3210037.0"/>
        <n v="3201252.0"/>
        <n v="3201258.0"/>
        <n v="3209051.0"/>
        <n v="3216340.0"/>
        <n v="3212073.0"/>
        <n v="3278095.0"/>
        <n v="3201024.0"/>
        <n v="3204041.0"/>
        <n v="3274090.0"/>
        <n v="3278017.0"/>
        <n v="3214033.0"/>
        <n v="3212055.0"/>
        <n v="3204168.0"/>
        <n v="3201141.0"/>
        <n v="3273165.0"/>
        <n v="3216445.0"/>
        <n v="3275061.0"/>
        <n v="3206023.0"/>
        <n v="3201243.0"/>
        <n v="3204133.0"/>
        <n v="3216449.0"/>
        <n v="3204075.0"/>
        <n v="3274020.0"/>
        <n v="3279003.0"/>
        <n v="3204171.0"/>
        <n v="3217134.0"/>
        <n v="3216252.0"/>
        <n v="3275068.0"/>
        <n v="3208013.0"/>
        <n v="3208046.0"/>
        <n v="3275392.0"/>
        <n v="3271139.0"/>
        <n v="3275373.0"/>
        <n v="3201238.0"/>
        <n v="3275064.0"/>
        <n v="3213021.0"/>
        <n v="3276017.0"/>
        <n v="3275046.0"/>
        <n v="3278015.0"/>
        <n v="3216407.0"/>
        <n v="3275070.0"/>
        <n v="3215100.0"/>
        <n v="3273145.0"/>
        <n v="3273542.0"/>
        <n v="3201257.0"/>
        <n v="3202087.0"/>
        <n v="3202062.0"/>
        <n v="3273453.0"/>
        <n v="3217121.0"/>
        <n v="3216464.0"/>
        <n v="3216163.0"/>
        <n v="3216425.0"/>
        <n v="3201233.0"/>
        <n v="3212059.0"/>
        <n v="3205038.0"/>
        <n v="3206011.0"/>
        <n v="3271162.0"/>
        <n v="3216399.0"/>
        <n v="3271024.0"/>
        <n v="3216466.0"/>
        <n v="3210025.0"/>
        <n v="3216362.0"/>
        <n v="3215158.0"/>
        <n v="3216432.0"/>
        <n v="3201254.0"/>
        <n v="3201046.0"/>
        <n v="3273063.0"/>
        <n v="3274111.0"/>
        <n v="3208059.0"/>
        <n v="3201185.0"/>
        <n v="3273191.0"/>
        <n v="3216447.0"/>
        <n v="3276153.0"/>
        <n v="3201259.0"/>
        <n v="3275083.0"/>
        <n v="3278082.0"/>
        <n v="3275054.0"/>
        <n v="3201272.0"/>
        <n v="3204090.0"/>
        <n v="3274053.0"/>
        <n v="3216388.0"/>
        <n v="3216439.0"/>
        <n v="3275274.0"/>
        <n v="3204129.0"/>
        <n v="3208065.0"/>
        <n v="3208035.0"/>
        <n v="3214031.0"/>
        <n v="3201241.0"/>
        <n v="3216423.0"/>
        <n v="3278093.0"/>
        <n v="3272036.0"/>
        <n v="3216450.0"/>
        <n v="3214011.0"/>
        <n v="3213045.0"/>
        <n v="3215123.0"/>
        <n v="3216417.0"/>
        <n v="3206084.0"/>
        <n v="3217132.0"/>
        <n v="3203037.0"/>
        <n v="3273486.0"/>
        <n v="3278014.0"/>
        <n v="3216185.0"/>
        <n v="3215165.0"/>
        <n v="3206070.0"/>
        <n v="3216451.0"/>
        <n v="3271046.0"/>
        <n v="3272025.0"/>
        <n v="3211015.0"/>
        <n v="3271161.0"/>
        <n v="3216427.0"/>
        <n v="3216441.0"/>
        <n v="3201061.0"/>
        <n v="3273085.0"/>
        <n v="3276124.0"/>
        <n v="3216396.0"/>
        <n v="3215167.0"/>
        <n v="3212060.0"/>
        <n v="3217133.0"/>
        <n v="3208076.0"/>
        <n v="3201207.0"/>
        <n v="3273260.0"/>
        <n v="3277022.0"/>
        <n v="3211038.0"/>
        <n v="3216104.0"/>
        <n v="3276041.0"/>
        <n v="3274137.0"/>
        <n v="3275063.0"/>
        <n v="3217009.0"/>
        <n v="3215171.0"/>
        <n v="3275296.0"/>
        <n v="3216436.0"/>
        <n v="3209025.0"/>
        <n v="3215156.0"/>
        <n v="3217005.0"/>
        <n v="3271168.0"/>
        <n v="3276168.0"/>
        <n v="3273560.0"/>
        <n v="3273015.0"/>
        <n v="3215023.0"/>
        <n v="3216409.0"/>
        <n v="3273541.0"/>
        <n v="3215145.0"/>
        <n v="3216387.0"/>
        <n v="3213062.0"/>
        <n v="3277020.0"/>
        <n v="3273528.0"/>
        <n v="3214036.0"/>
        <n v="3201239.0"/>
        <n v="3201250.0"/>
        <n v="3204173.0"/>
        <n v="3275207.0"/>
        <n v="3276155.0"/>
        <n v="3204135.0"/>
        <n v="3207012.0"/>
        <n v="3216400.0"/>
        <n v="3276150.0"/>
        <n v="3271104.0"/>
        <n v="3207059.0"/>
        <n v="3204165.0"/>
        <n v="3212016.0"/>
        <n v="3275017.0"/>
        <n v="3201094.0"/>
        <n v="3273546.0"/>
        <n v="3212057.0"/>
        <n v="3207060.0"/>
        <n v="3278094.0"/>
        <n v="3201115.0"/>
        <n v="3273106.0"/>
        <n v="3276146.0"/>
        <n v="3205022.0"/>
        <n v="3212054.0"/>
        <n v="3273543.0"/>
        <n v="3313022.0"/>
        <n v="3319025.0"/>
        <n v="3302030.0"/>
        <n v="3371131.0"/>
        <n v="3306105.0"/>
        <n v="3314108.0"/>
        <n v="3374392.0"/>
        <n v="3316062.0"/>
        <n v="3313042.0"/>
        <n v="3319043.0"/>
        <n v="3305033.0"/>
        <n v="3373042.0"/>
        <n v="3321033.0"/>
        <n v="3372236.0"/>
        <n v="3324040.0"/>
        <n v="3309096.0"/>
        <n v="3374273.0"/>
        <n v="3325037.0"/>
        <n v="3306109.0"/>
        <n v="3307062.0"/>
        <n v="3326049.0"/>
        <n v="3310416.0"/>
        <n v="3374373.0"/>
        <n v="3316077.0"/>
        <n v="3301036.0"/>
        <n v="3329067.0"/>
        <n v="3306108.0"/>
        <n v="3302229.0"/>
        <n v="3315035.0"/>
        <n v="3302224.0"/>
        <n v="3372096.0"/>
        <n v="3305023.0"/>
        <n v="3311231.0"/>
        <n v="3319091.0"/>
        <n v="3307035.0"/>
        <n v="3374080.0"/>
        <n v="3374369.0"/>
        <n v="3324036.0"/>
        <n v="3315059.0"/>
        <n v="3311213.0"/>
        <n v="3375071.0"/>
        <n v="3326063.0"/>
        <n v="3314012.0"/>
        <n v="3328081.0"/>
        <n v="3315074.0"/>
        <n v="3302132.0"/>
        <n v="3372015.0"/>
        <n v="3316063.0"/>
        <n v="3318016.0"/>
        <n v="3328011.0"/>
        <n v="3327048.0"/>
        <n v="3305081.0"/>
        <n v="3373090.0"/>
        <n v="3329101.0"/>
        <n v="3315073.0"/>
        <n v="3322023.0"/>
        <n v="3310015.0"/>
        <n v="3374316.0"/>
        <n v="3314096.0"/>
        <n v="3327021.0"/>
        <n v="3329102.0"/>
        <n v="3309129.0"/>
        <n v="3325039.0"/>
        <n v="3301084.0"/>
        <n v="3371014.0"/>
        <n v="3324037.0"/>
        <n v="3371144.0"/>
        <n v="3319113.0"/>
        <n v="3315057.0"/>
        <n v="3302074.0"/>
        <n v="3328079.0"/>
        <n v="3301109.0"/>
        <n v="3303064.0"/>
        <n v="3372165.0"/>
        <n v="3320010.0"/>
        <n v="3308033.0"/>
        <n v="3374390.0"/>
        <n v="3308014.0"/>
        <n v="3374123.0"/>
        <n v="3326016.0"/>
        <n v="3312010.0"/>
        <n v="3376023.0"/>
        <n v="3310425.0"/>
        <n v="3374371.0"/>
        <n v="3309136.0"/>
        <n v="3314045.0"/>
        <n v="3310418.0"/>
        <n v="3302154.0"/>
        <n v="3372030.0"/>
        <n v="3372238.0"/>
        <n v="3318075.0"/>
        <n v="3305103.0"/>
        <n v="3374021.0"/>
        <n v="3318111.0"/>
        <n v="3323013.0"/>
        <n v="3311225.0"/>
        <n v="3372253.0"/>
        <n v="3318125.0"/>
        <n v="3310052.0"/>
        <n v="3374342.0"/>
        <n v="3310417.0"/>
        <n v="3327043.0"/>
        <n v="3311229.0"/>
        <n v="3302232.0"/>
        <n v="3320046.0"/>
        <n v="3315075.0"/>
        <n v="3301105.0"/>
        <n v="3371040.0"/>
        <n v="3316025.0"/>
        <n v="3302174.0"/>
        <n v="3309128.0"/>
        <n v="3328082.0"/>
        <n v="3304010.0"/>
        <n v="3372234.0"/>
        <n v="3373092.0"/>
        <n v="3320032.0"/>
        <n v="3311228.0"/>
        <n v="3374372.0"/>
        <n v="3327049.0"/>
        <n v="3309063.0"/>
        <n v="3374145.0"/>
        <n v="3305117.0"/>
        <n v="3301115.0"/>
        <n v="3312295.0"/>
        <n v="3376082.0"/>
        <n v="3304032.0"/>
        <n v="3314090.0"/>
        <n v="3314067.0"/>
        <n v="3311230.0"/>
        <n v="3329112.0"/>
        <n v="3318114.0"/>
        <n v="3302180.0"/>
        <n v="3372052.0"/>
        <n v="3328035.0"/>
        <n v="3312309.0"/>
        <n v="3319010.0"/>
        <n v="3318109.0"/>
        <n v="3329126.0"/>
        <n v="3306082.0"/>
        <n v="3374043.0"/>
        <n v="3323046.0"/>
        <n v="3324038.0"/>
        <n v="3327047.0"/>
        <n v="3303103.0"/>
        <n v="3324052.0"/>
        <n v="3316075.0"/>
        <n v="3310395.0"/>
        <n v="3326011.0"/>
        <n v="3319022.0"/>
        <n v="3329012.0"/>
        <n v="3302026.0"/>
        <n v="3371105.0"/>
        <n v="3307051.0"/>
        <n v="3321035.0"/>
        <n v="3316051.0"/>
        <n v="3311027.0"/>
        <n v="3317026.0"/>
        <n v="3305011.0"/>
        <n v="3373020.0"/>
        <n v="3321011.0"/>
        <n v="3318110.0"/>
        <n v="3329113.0"/>
        <n v="3309085.0"/>
        <n v="3374240.0"/>
        <n v="3302225.0"/>
        <n v="3313011.0"/>
        <n v="3374365.0"/>
        <n v="3301014.0"/>
        <n v="3329056.0"/>
        <n v="3313055.0"/>
        <n v="3329109.0"/>
        <n v="3303116.0"/>
        <n v="3315024.0"/>
        <n v="3302052.0"/>
        <n v="3374091.0"/>
        <n v="3301106.0"/>
        <n v="3302213.0"/>
        <n v="3372074.0"/>
        <n v="3319080.0"/>
        <n v="3307013.0"/>
        <n v="3374076.0"/>
        <n v="3301108.0"/>
        <n v="3324014.0"/>
        <n v="3312021.0"/>
        <n v="3322084.0"/>
        <n v="3316076.0"/>
        <n v="3311016.0"/>
        <n v="3375033.0"/>
        <n v="3317027.0"/>
        <n v="3329125.0"/>
        <n v="3313033.0"/>
        <n v="3372235.0"/>
        <n v="3322073.0"/>
        <n v="3302041.0"/>
        <n v="3371142.0"/>
        <n v="3319023.0"/>
        <n v="3308017.0"/>
        <n v="3317015.0"/>
        <n v="3318108.0"/>
        <n v="3328042.0"/>
        <n v="3312307.0"/>
        <n v="3372240.0"/>
        <n v="3305066.0"/>
        <n v="3372239.0"/>
        <n v="3322012.0"/>
        <n v="3329105.0"/>
        <n v="3303102.0"/>
        <n v="3309107.0"/>
        <n v="3374284.0"/>
        <n v="3375074.0"/>
        <n v="3327010.0"/>
        <n v="3320089.0"/>
        <n v="3318113.0"/>
        <n v="3301073.0"/>
        <n v="3329078.0"/>
        <n v="3303099.0"/>
        <n v="3326062.0"/>
        <n v="3374391.0"/>
        <n v="3315046.0"/>
        <n v="3319021.0"/>
        <n v="3327045.0"/>
        <n v="3305118.0"/>
        <n v="3306110.0"/>
        <n v="3303016.0"/>
        <n v="3372132.0"/>
        <n v="3306111.0"/>
        <n v="3319102.0"/>
        <n v="3307050.0"/>
        <n v="3374112.0"/>
        <n v="3309131.0"/>
        <n v="3373103.0"/>
        <n v="3325015.0"/>
        <n v="3309135.0"/>
        <n v="3372242.0"/>
        <n v="3317038.0"/>
        <n v="3311224.0"/>
        <n v="3376012.0"/>
        <n v="3306112.0"/>
        <n v="3304035.0"/>
        <n v="3314023.0"/>
        <n v="3374366.0"/>
        <n v="3326051.0"/>
        <n v="3302143.0"/>
        <n v="3372026.0"/>
        <n v="3322072.0"/>
        <n v="3310421.0"/>
        <n v="3318064.0"/>
        <n v="3374054.0"/>
        <n v="3321034.0"/>
        <n v="3315061.0"/>
        <n v="3302248.0"/>
        <n v="3374389.0"/>
        <n v="3305092.0"/>
        <n v="3374010.0"/>
        <n v="3312308.0"/>
        <n v="3322071.0"/>
        <n v="3310026.0"/>
        <n v="3374331.0"/>
        <n v="3314109.0"/>
        <n v="3327032.0"/>
        <n v="3328078.0"/>
        <n v="3375073.0"/>
        <n v="3301107.0"/>
        <n v="3302249.0"/>
        <n v="3324053.0"/>
        <n v="3301095.0"/>
        <n v="3371025.0"/>
        <n v="3314092.0"/>
        <n v="3316014.0"/>
        <n v="3302121.0"/>
        <n v="3306023.0"/>
        <n v="3303075.0"/>
        <n v="3372191.0"/>
        <n v="3303097.0"/>
        <n v="3327044.0"/>
        <n v="3316074.0"/>
        <n v="3374388.0"/>
        <n v="3320021.0"/>
        <n v="3308034.0"/>
        <n v="3309015.0"/>
        <n v="3374134.0"/>
        <n v="3322034.0"/>
        <n v="3308022.0"/>
        <n v="3321047.0"/>
        <n v="3326038.0"/>
        <n v="3310419.0"/>
        <n v="3312284.0"/>
        <n v="3376034.0"/>
        <n v="3302063.0"/>
        <n v="3302226.0"/>
        <n v="3310426.0"/>
        <n v="3314056.0"/>
        <n v="3374367.0"/>
        <n v="3302165.0"/>
        <n v="3372041.0"/>
        <n v="3313054.0"/>
        <n v="3308018.0"/>
        <n v="3312310.0"/>
        <n v="3321036.0"/>
        <n v="3309149.0"/>
        <n v="3318086.0"/>
        <n v="3306012.0"/>
        <n v="3374032.0"/>
        <n v="3323024.0"/>
        <n v="3305120.0"/>
        <n v="3328094.0"/>
        <n v="3310384.0"/>
        <n v="3374353.0"/>
        <n v="3375072.0"/>
        <n v="3301112.0"/>
        <n v="3313067.0"/>
        <n v="3328055.0"/>
        <n v="3306106.0"/>
        <n v="3302015.0"/>
        <n v="3371084.0"/>
        <n v="3374374.0"/>
        <n v="3316040.0"/>
        <n v="3305114.0"/>
        <n v="3314078.0"/>
        <n v="3328093.0"/>
        <n v="3304021.0"/>
        <n v="3373016.0"/>
        <n v="3329108.0"/>
        <n v="3308021.0"/>
        <n v="3315072.0"/>
        <n v="3320043.0"/>
        <n v="3314089.0"/>
        <n v="3309074.0"/>
        <n v="3374203.0"/>
        <n v="3329114.0"/>
        <n v="3312306.0"/>
        <n v="3376093.0"/>
        <n v="3309132.0"/>
        <n v="3301114.0"/>
        <n v="3306113.0"/>
        <n v="3315013.0"/>
        <n v="3302191.0"/>
        <n v="3372063.0"/>
        <n v="3329103.0"/>
        <n v="3374375.0"/>
        <n v="3319032.0"/>
        <n v="3302227.0"/>
        <n v="3303101.0"/>
        <n v="3372241.0"/>
        <n v="3306104.0"/>
        <n v="3374065.0"/>
        <n v="3375075.0"/>
        <n v="3323050.0"/>
        <n v="3313053.0"/>
        <n v="3314097.0"/>
        <n v="3310405.0"/>
        <n v="3375022.0"/>
        <n v="3329045.0"/>
        <n v="3302228.0"/>
        <n v="3372201.0"/>
        <n v="3401026.0"/>
        <n v="3401051.0"/>
        <n v="3404189.0"/>
        <n v="3404157.0"/>
        <n v="3404181.0"/>
        <n v="3403022.0"/>
        <n v="3403025.0"/>
        <n v="3404179.0"/>
        <n v="3404011.0"/>
        <n v="3404193.0"/>
        <n v="3471096.0"/>
        <n v="3404092.0"/>
        <n v="3401053.0"/>
        <n v="3471379.0"/>
        <n v="3402016.0"/>
        <n v="3471026.0"/>
        <n v="3403024.0"/>
        <n v="3404056.0"/>
        <n v="3404183.0"/>
        <n v="3404033.0"/>
        <n v="3402097.0"/>
        <n v="3471282.0"/>
        <n v="3471381.0"/>
        <n v="3403038.0"/>
        <n v="3404191.0"/>
        <n v="3402031.0"/>
        <n v="3471041.0"/>
        <n v="3401048.0"/>
        <n v="3404182.0"/>
        <n v="3471374.0"/>
        <n v="3404102.0"/>
        <n v="3471336.0"/>
        <n v="3401052.0"/>
        <n v="3471107.0"/>
        <n v="3402053.0"/>
        <n v="3471063.0"/>
        <n v="3402086.0"/>
        <n v="3404190.0"/>
        <n v="3404196.0"/>
        <n v="3401050.0"/>
        <n v="3404146.0"/>
        <n v="3471373.0"/>
        <n v="3401015.0"/>
        <n v="3403021.0"/>
        <n v="3471085.0"/>
        <n v="3404081.0"/>
        <n v="3402077.0"/>
        <n v="3403023.0"/>
        <n v="3402084.0"/>
        <n v="3401037.0"/>
        <n v="3404015.0"/>
        <n v="3471377.0"/>
        <n v="3404210.0"/>
        <n v="3404187.0"/>
        <n v="3404022.0"/>
        <n v="3402080.0"/>
        <n v="3403026.0"/>
        <n v="3471121.0"/>
        <n v="3471234.0"/>
        <n v="3404168.0"/>
        <n v="3402020.0"/>
        <n v="3471030.0"/>
        <n v="3402081.0"/>
        <n v="3404184.0"/>
        <n v="3404070.0"/>
        <n v="3471325.0"/>
        <n v="3402042.0"/>
        <n v="3471052.0"/>
        <n v="3402064.0"/>
        <n v="3403027.0"/>
        <n v="3402076.0"/>
        <n v="3404124.0"/>
        <n v="3471362.0"/>
        <n v="3402075.0"/>
        <n v="3403010.0"/>
        <n v="3471380.0"/>
        <n v="3401058.0"/>
        <n v="3471074.0"/>
        <n v="3404045.0"/>
        <n v="3404180.0"/>
        <n v="3526011.0"/>
        <n v="3518045.0"/>
        <n v="3521014.0"/>
        <n v="3528026.0"/>
        <n v="3510010.0"/>
        <n v="3578261.0"/>
        <n v="3504056.0"/>
        <n v="3513026.0"/>
        <n v="3524047.0"/>
        <n v="3505054.0"/>
        <n v="3507104.0"/>
        <n v="3525104.0"/>
        <n v="3524073.0"/>
        <n v="3515096.0"/>
        <n v="3578769.0"/>
        <n v="3514054.0"/>
        <n v="3520016.0"/>
        <n v="3501016.0"/>
        <n v="3513067.0"/>
        <n v="3578768.0"/>
        <n v="3515132.0"/>
        <n v="3509136.0"/>
        <n v="3504081.0"/>
        <n v="3506066.0"/>
        <n v="3522014.0"/>
        <n v="3515127.0"/>
        <n v="3521028.0"/>
        <n v="3506036.0"/>
        <n v="3577085.0"/>
        <n v="3516033.0"/>
        <n v="3528025.0"/>
        <n v="3524052.0"/>
        <n v="3509021.0"/>
        <n v="3578100.0"/>
        <n v="3578793.0"/>
        <n v="3579004.0"/>
        <n v="3527013.0"/>
        <n v="3514071.0"/>
        <n v="3571042.0"/>
        <n v="3571148.0"/>
        <n v="3578781.0"/>
        <n v="3578810.0"/>
        <n v="3573277.0"/>
        <n v="3513013.0"/>
        <n v="3578603.0"/>
        <n v="3525091.0"/>
        <n v="3578794.0"/>
        <n v="3514059.0"/>
        <n v="3507204.0"/>
        <n v="3579002.0"/>
        <n v="3528029.0"/>
        <n v="3517076.0"/>
        <n v="3571145.0"/>
        <n v="3504045.0"/>
        <n v="3577026.0"/>
        <n v="3515123.0"/>
        <n v="3512050.0"/>
        <n v="3524020.0"/>
        <n v="3573250.0"/>
        <n v="3517025.0"/>
        <n v="3515140.0"/>
        <n v="3506064.0"/>
        <n v="3510109.0"/>
        <n v="3523056.0"/>
        <n v="3515158.0"/>
        <n v="3528013.0"/>
        <n v="3507096.0"/>
        <n v="3516036.0"/>
        <n v="3521015.0"/>
        <n v="3524072.0"/>
        <n v="3510043.0"/>
        <n v="3578476.0"/>
        <n v="3510104.0"/>
        <n v="3519026.0"/>
        <n v="3521027.0"/>
        <n v="3573022.0"/>
        <n v="3506059.0"/>
        <n v="3517094.0"/>
        <n v="3502158.0"/>
        <n v="3515110.0"/>
        <n v="3502112.0"/>
        <n v="3576014.0"/>
        <n v="3578771.0"/>
        <n v="3515134.0"/>
        <n v="3524046.0"/>
        <n v="3507116.0"/>
        <n v="3523055.0"/>
        <n v="3522036.0"/>
        <n v="3573249.0"/>
        <n v="3507026.0"/>
        <n v="3578020.0"/>
        <n v="3576074.0"/>
        <n v="3509043.0"/>
        <n v="3578122.0"/>
        <n v="3574068.0"/>
        <n v="3515141.0"/>
        <n v="3522064.0"/>
        <n v="3506065.0"/>
        <n v="3526029.0"/>
        <n v="3524056.0"/>
        <n v="3571111.0"/>
        <n v="3516037.0"/>
        <n v="3526031.0"/>
        <n v="3514025.0"/>
        <n v="3578625.0"/>
        <n v="3578778.0"/>
        <n v="3505041.0"/>
        <n v="3578812.0"/>
        <n v="3573226.0"/>
        <n v="3507085.0"/>
        <n v="3523053.0"/>
        <n v="3529026.0"/>
        <n v="3504074.0"/>
        <n v="3527014.0"/>
        <n v="3518022.0"/>
        <n v="3573244.0"/>
        <n v="3525095.0"/>
        <n v="3506014.0"/>
        <n v="3520041.0"/>
        <n v="3515125.0"/>
        <n v="3515129.0"/>
        <n v="3526027.0"/>
        <n v="3578786.0"/>
        <n v="3525010.0"/>
        <n v="3506047.0"/>
        <n v="3517092.0"/>
        <n v="3515144.0"/>
        <n v="3529014.0"/>
        <n v="3520014.0"/>
        <n v="3504078.0"/>
        <n v="3524075.0"/>
        <n v="3510076.0"/>
        <n v="3578556.0"/>
        <n v="3502146.0"/>
        <n v="3578811.0"/>
        <n v="3573055.0"/>
        <n v="3511012.0"/>
        <n v="3514053.0"/>
        <n v="3508058.0"/>
        <n v="3516020.0"/>
        <n v="3573243.0"/>
        <n v="3510105.0"/>
        <n v="3502134.0"/>
        <n v="3576040.0"/>
        <n v="3504069.0"/>
        <n v="3522058.0"/>
        <n v="3524042.0"/>
        <n v="3529029.0"/>
        <n v="3514057.0"/>
        <n v="3512051.0"/>
        <n v="3507052.0"/>
        <n v="3578042.0"/>
        <n v="3504087.0"/>
        <n v="3515157.0"/>
        <n v="3509112.0"/>
        <n v="3578166.0"/>
        <n v="3515138.0"/>
        <n v="3528027.0"/>
        <n v="3505043.0"/>
        <n v="3572010.0"/>
        <n v="3573251.0"/>
        <n v="3572072.0"/>
        <n v="3515015.0"/>
        <n v="3578742.0"/>
        <n v="3519024.0"/>
        <n v="3515131.0"/>
        <n v="3501019.0"/>
        <n v="3507241.0"/>
        <n v="3517087.0"/>
        <n v="3578322.0"/>
        <n v="3515136.0"/>
        <n v="3579005.0"/>
        <n v="3574080.0"/>
        <n v="3519023.0"/>
        <n v="3507100.0"/>
        <n v="3525043.0"/>
        <n v="3512036.0"/>
        <n v="3528028.0"/>
        <n v="3571016.0"/>
        <n v="3578772.0"/>
        <n v="3511011.0"/>
        <n v="3578571.0"/>
        <n v="3513027.0"/>
        <n v="3507259.0"/>
        <n v="3508071.0"/>
        <n v="3507070.0"/>
        <n v="3515142.0"/>
        <n v="3517010.0"/>
        <n v="3503045.0"/>
        <n v="3503011.0"/>
        <n v="3516062.0"/>
        <n v="3573097.0"/>
        <n v="3501017.0"/>
        <n v="3509138.0"/>
        <n v="3523041.0"/>
        <n v="3572065.0"/>
        <n v="3522059.0"/>
        <n v="3508016.0"/>
        <n v="3578064.0"/>
        <n v="3573252.0"/>
        <n v="3573261.0"/>
        <n v="3509134.0"/>
        <n v="3578202.0"/>
        <n v="3515130.0"/>
        <n v="3507119.0"/>
        <n v="3572043.0"/>
        <n v="3515030.0"/>
        <n v="3578764.0"/>
        <n v="3573257.0"/>
        <n v="3573276.0"/>
        <n v="3577099.0"/>
        <n v="3574023.0"/>
        <n v="3578224.0"/>
        <n v="3578767.0"/>
        <n v="3521013.0"/>
        <n v="3573247.0"/>
        <n v="3525089.0"/>
        <n v="3511013.0"/>
        <n v="3529040.0"/>
        <n v="3525087.0"/>
        <n v="3514052.0"/>
        <n v="3505045.0"/>
        <n v="3512052.0"/>
        <n v="3509010.0"/>
        <n v="3578090.0"/>
        <n v="3573260.0"/>
        <n v="3515146.0"/>
        <n v="3571031.0"/>
        <n v="3574069.0"/>
        <n v="3525102.0"/>
        <n v="3573264.0"/>
        <n v="3512034.0"/>
        <n v="3578593.0"/>
        <n v="3578789.0"/>
        <n v="3573135.0"/>
        <n v="3522062.0"/>
        <n v="3525101.0"/>
        <n v="3512039.0"/>
        <n v="3503062.0"/>
        <n v="3507261.0"/>
        <n v="3517043.0"/>
        <n v="3525088.0"/>
        <n v="3528040.0"/>
        <n v="3504012.0"/>
        <n v="3577015.0"/>
        <n v="3506060.0"/>
        <n v="3509135.0"/>
        <n v="3507107.0"/>
        <n v="3524050.0"/>
        <n v="3522075.0"/>
        <n v="3524016.0"/>
        <n v="3522060.0"/>
        <n v="3527012.0"/>
        <n v="3578235.0"/>
        <n v="3577052.0"/>
        <n v="3516034.0"/>
        <n v="3510021.0"/>
        <n v="3578443.0"/>
        <n v="3579003.0"/>
        <n v="3573011.0"/>
        <n v="3526032.0"/>
        <n v="3507260.0"/>
        <n v="3515106.0"/>
        <n v="3509140.0"/>
        <n v="3502010.0"/>
        <n v="3575013.0"/>
        <n v="3578770.0"/>
        <n v="3515133.0"/>
        <n v="3525097.0"/>
        <n v="3512038.0"/>
        <n v="3517098.0"/>
        <n v="3522025.0"/>
        <n v="3505035.0"/>
        <n v="3507248.0"/>
        <n v="3507015.0"/>
        <n v="3578016.0"/>
        <n v="3515126.0"/>
        <n v="3525090.0"/>
        <n v="3571150.0"/>
        <n v="3509032.0"/>
        <n v="3578111.0"/>
        <n v="3505024.0"/>
        <n v="3578795.0"/>
        <n v="3508060.0"/>
        <n v="3571053.0"/>
        <n v="3520013.0"/>
        <n v="3517111.0"/>
        <n v="3513024.0"/>
        <n v="3578614.0"/>
        <n v="3573258.0"/>
        <n v="3516039.0"/>
        <n v="3515143.0"/>
        <n v="3573215.0"/>
        <n v="3508054.0"/>
        <n v="3524045.0"/>
        <n v="3527025.0"/>
        <n v="3518011.0"/>
        <n v="3504057.0"/>
        <n v="3516075.0"/>
        <n v="3505013.0"/>
        <n v="3577030.0"/>
        <n v="3518046.0"/>
        <n v="3504071.0"/>
        <n v="3578777.0"/>
        <n v="3573256.0"/>
        <n v="3578816.0"/>
        <n v="3524031.0"/>
        <n v="3517091.0"/>
        <n v="3525096.0"/>
        <n v="3575016.0"/>
        <n v="3524074.0"/>
        <n v="3528024.0"/>
        <n v="3504073.0"/>
        <n v="3509137.0"/>
        <n v="3510054.0"/>
        <n v="3578523.0"/>
        <n v="3573044.0"/>
        <n v="3578780.0"/>
        <n v="3516016.0"/>
        <n v="3578773.0"/>
        <n v="3502123.0"/>
        <n v="3576036.0"/>
        <n v="3504068.0"/>
        <n v="3515135.0"/>
        <n v="3525093.0"/>
        <n v="3514058.0"/>
        <n v="3522047.0"/>
        <n v="3571146.0"/>
        <n v="3517089.0"/>
        <n v="3520015.0"/>
        <n v="3577098.0"/>
        <n v="3579030.0"/>
        <n v="3578031.0"/>
        <n v="3573254.0"/>
        <n v="3514060.0"/>
        <n v="3509101.0"/>
        <n v="3578144.0"/>
        <n v="3508056.0"/>
        <n v="3578782.0"/>
        <n v="3509151.0"/>
        <n v="3571122.0"/>
        <n v="3512035.0"/>
        <n v="3506063.0"/>
        <n v="3578808.0"/>
        <n v="3514036.0"/>
        <n v="3578731.0"/>
        <n v="3578779.0"/>
        <n v="3512037.0"/>
        <n v="3510108.0"/>
        <n v="3507230.0"/>
        <n v="3515121.0"/>
        <n v="3508055.0"/>
        <n v="3507105.0"/>
        <n v="3525092.0"/>
        <n v="3510107.0"/>
        <n v="3527026.0"/>
        <n v="3519012.0"/>
        <n v="3507099.0"/>
        <n v="3506025.0"/>
        <n v="3577074.0"/>
        <n v="3577086.0"/>
        <n v="3525021.0"/>
        <n v="3507108.0"/>
        <n v="3529025.0"/>
        <n v="3578791.0"/>
        <n v="3505044.0"/>
        <n v="3526030.0"/>
        <n v="3510102.0"/>
        <n v="3578560.0"/>
        <n v="3525099.0"/>
        <n v="3524048.0"/>
        <n v="3573066.0"/>
        <n v="3522061.0"/>
        <n v="3573262.0"/>
        <n v="3517109.0"/>
        <n v="3576076.0"/>
        <n v="3513025.0"/>
        <n v="3526045.0"/>
        <n v="3502145.0"/>
        <n v="3576051.0"/>
        <n v="3504070.0"/>
        <n v="3510103.0"/>
        <n v="3572073.0"/>
        <n v="3502157.0"/>
        <n v="3528041.0"/>
        <n v="3523015.0"/>
        <n v="3506058.0"/>
        <n v="3571147.0"/>
        <n v="3579074.0"/>
        <n v="3578053.0"/>
        <n v="3517095.0"/>
        <n v="3515145.0"/>
        <n v="3509123.0"/>
        <n v="3578192.0"/>
        <n v="3572021.0"/>
        <n v="3506062.0"/>
        <n v="3515026.0"/>
        <n v="3578753.0"/>
        <n v="3524049.0"/>
        <n v="3574012.0"/>
        <n v="3578213.0"/>
        <n v="3578766.0"/>
        <n v="3520012.0"/>
        <n v="3578246.0"/>
        <n v="3573246.0"/>
        <n v="3578774.0"/>
        <n v="3507262.0"/>
        <n v="3525076.0"/>
        <n v="3517093.0"/>
        <n v="3578784.0"/>
        <n v="3510106.0"/>
        <n v="3571020.0"/>
        <n v="3524044.0"/>
        <n v="3578785.0"/>
        <n v="3525098.0"/>
        <n v="3512012.0"/>
        <n v="3578582.0"/>
        <n v="3507102.0"/>
        <n v="3517021.0"/>
        <n v="3507098.0"/>
        <n v="3503022.0"/>
        <n v="3516073.0"/>
        <n v="3516032.0"/>
        <n v="3515122.0"/>
        <n v="3515137.0"/>
        <n v="3511024.0"/>
        <n v="3523052.0"/>
        <n v="3508053.0"/>
        <n v="3578086.0"/>
        <n v="3524043.0"/>
        <n v="3507117.0"/>
        <n v="3526046.0"/>
        <n v="3672003.0"/>
        <n v="3604050.0"/>
        <n v="3602011.0"/>
        <n v="3603181.0"/>
        <n v="3674157.0"/>
        <n v="3671043.0"/>
        <n v="3671209.0"/>
        <n v="3671082.0"/>
        <n v="3603193.0"/>
        <n v="3601034.0"/>
        <n v="3674008.0"/>
        <n v="3604013.0"/>
        <n v="3671146.0"/>
        <n v="3603191.0"/>
        <n v="3674022.0"/>
        <n v="3602045.0"/>
        <n v="3671203.0"/>
        <n v="3603023.0"/>
        <n v="3674005.0"/>
        <n v="3673004.0"/>
        <n v="3671214.0"/>
        <n v="3671065.0"/>
        <n v="3674021.0"/>
        <n v="3673047.0"/>
        <n v="3671208.0"/>
        <n v="3601037.0"/>
        <n v="3674206.0"/>
        <n v="3603188.0"/>
        <n v="3603176.0"/>
        <n v="3671222.0"/>
        <n v="3604035.0"/>
        <n v="3603169.0"/>
        <n v="3603047.0"/>
        <n v="3601048.0"/>
        <n v="3672022.0"/>
        <n v="3674020.0"/>
        <n v="3674205.0"/>
        <n v="3603082.0"/>
        <n v="3671216.0"/>
        <n v="3671080.0"/>
        <n v="3674003.0"/>
        <n v="3671217.0"/>
        <n v="3603168.0"/>
        <n v="3671218.0"/>
        <n v="3603178.0"/>
        <n v="3603010.0"/>
        <n v="3603173.0"/>
        <n v="3671221.0"/>
        <n v="3602012.0"/>
        <n v="3674013.0"/>
        <n v="3603104.0"/>
        <n v="3603195.0"/>
        <n v="3674113.0"/>
        <n v="3671207.0"/>
        <n v="3674014.0"/>
        <n v="3674204.0"/>
        <n v="3604002.0"/>
        <n v="3603190.0"/>
        <n v="3671032.0"/>
        <n v="3671242.0"/>
        <n v="3674016.0"/>
        <n v="3673012.0"/>
        <n v="3672040.0"/>
        <n v="3603189.0"/>
        <n v="3603157.0"/>
        <n v="3671126.0"/>
        <n v="3604054.0"/>
        <n v="3671135.0"/>
        <n v="3603172.0"/>
        <n v="3671211.0"/>
        <n v="3671226.0"/>
        <n v="3674193.0"/>
        <n v="3673011.0"/>
        <n v="3673036.0"/>
        <n v="3603183.0"/>
        <n v="3673049.0"/>
        <n v="3602022.0"/>
        <n v="3674004.0"/>
        <n v="3671219.0"/>
        <n v="3671241.0"/>
        <n v="3674168.0"/>
        <n v="3671054.0"/>
        <n v="3673010.0"/>
        <n v="3671224.0"/>
        <n v="3672052.0"/>
        <n v="3604024.0"/>
        <n v="3604047.0"/>
        <n v="3672011.0"/>
        <n v="3603192.0"/>
        <n v="3671136.0"/>
        <n v="3671205.0"/>
        <n v="3674071.0"/>
        <n v="3603182.0"/>
        <n v="3671179.0"/>
        <n v="3674011.0"/>
        <n v="3603186.0"/>
        <n v="3671076.0"/>
        <n v="3671201.0"/>
        <n v="3671210.0"/>
        <n v="3603185.0"/>
        <n v="3603177.0"/>
        <n v="3604052.0"/>
        <n v="3604046.0"/>
        <n v="3674006.0"/>
        <n v="3674015.0"/>
        <n v="3603196.0"/>
        <n v="3603146.0"/>
        <n v="3672034.0"/>
        <n v="3601010.0"/>
        <n v="3671223.0"/>
        <n v="3671202.0"/>
        <n v="3603210.0"/>
        <n v="3603093.0"/>
        <n v="3673005.0"/>
        <n v="3604053.0"/>
        <n v="3674102.0"/>
        <n v="3674171.0"/>
        <n v="3673035.0"/>
        <n v="3674018.0"/>
        <n v="3671225.0"/>
        <n v="3671021.0"/>
        <n v="3674007.0"/>
        <n v="3603175.0"/>
        <n v="3673048.0"/>
        <n v="3603115.0"/>
        <n v="3601036.0"/>
        <n v="3604066.0"/>
        <n v="3603180.0"/>
        <n v="3671124.0"/>
        <n v="5102021.0"/>
        <n v="5171086.0"/>
        <n v="5103036.0"/>
        <n v="5102046.0"/>
        <n v="5104039.0"/>
        <n v="5108031.0"/>
        <n v="5171215.0"/>
        <n v="5104012.0"/>
        <n v="5104037.0"/>
        <n v="5102047.0"/>
        <n v="5171122.0"/>
        <n v="5102049.0"/>
        <n v="5102043.0"/>
        <n v="5171016.0"/>
        <n v="5107017.0"/>
        <n v="5106014.0"/>
        <n v="5171220.0"/>
        <n v="5104036.0"/>
        <n v="5171155.0"/>
        <n v="5108075.0"/>
        <n v="5103038.0"/>
        <n v="5108064.0"/>
        <n v="5108080.0"/>
        <n v="5171216.0"/>
        <n v="5103034.0"/>
        <n v="5108091.0"/>
        <n v="5108079.0"/>
        <n v="5171235.0"/>
        <n v="5171031.0"/>
        <n v="5105016.0"/>
        <n v="5104034.0"/>
        <n v="5101016.0"/>
        <n v="5105017.0"/>
        <n v="5107015.0"/>
        <n v="5171181.0"/>
        <n v="5105015.0"/>
        <n v="5103053.0"/>
        <n v="5171097.0"/>
        <n v="5103033.0"/>
        <n v="5171064.0"/>
        <n v="5102010.0"/>
        <n v="5106026.0"/>
        <n v="5104035.0"/>
        <n v="5108020.0"/>
        <n v="5107029.0"/>
        <n v="5171203.0"/>
        <n v="5103052.0"/>
        <n v="5103021.0"/>
        <n v="5171111.0"/>
        <n v="5102048.0"/>
        <n v="5108042.0"/>
        <n v="5102052.0"/>
        <n v="5107018.0"/>
        <n v="5104050.0"/>
        <n v="5103040.0"/>
        <n v="5171232.0"/>
        <n v="5105013.0"/>
        <n v="5101055.0"/>
        <n v="5171133.0"/>
        <n v="5171219.0"/>
        <n v="5103032.0"/>
        <n v="5103041.0"/>
        <n v="5171020.0"/>
        <n v="5171221.0"/>
        <n v="5106025.0"/>
        <n v="5104023.0"/>
        <n v="5102051.0"/>
        <n v="5171166.0"/>
        <n v="5105014.0"/>
        <n v="5103035.0"/>
        <n v="5108077.0"/>
        <n v="5102044.0"/>
        <n v="5171053.0"/>
        <n v="5171234.0"/>
        <n v="5101053.0"/>
        <n v="5108016.0"/>
        <n v="5171192.0"/>
        <n v="5101054.0"/>
        <n v="5171217.0"/>
        <n v="5203027.0"/>
        <n v="5208002.0"/>
        <n v="5206015.0"/>
        <n v="5271104.0"/>
        <n v="5206027.0"/>
        <n v="5271101.0"/>
        <n v="5203029.0"/>
        <n v="5271021.0"/>
        <n v="5271098.0"/>
        <n v="5271103.0"/>
        <n v="5202011.0"/>
        <n v="5271043.0"/>
        <n v="5271099.0"/>
        <n v="5207002.0"/>
        <n v="5203012.0"/>
        <n v="5272016.0"/>
        <n v="5203030.0"/>
        <n v="5272005.0"/>
        <n v="5271065.0"/>
        <n v="5207004.0"/>
        <n v="5205014.0"/>
        <n v="5203042.0"/>
        <n v="5272003.0"/>
        <n v="5203025.0"/>
        <n v="5271010.0"/>
        <n v="5203024.0"/>
        <n v="5201010.0"/>
        <n v="5202023.0"/>
        <n v="5202035.0"/>
        <n v="5201012.0"/>
        <n v="5271032.0"/>
        <n v="5206029.0"/>
        <n v="5202024.0"/>
        <n v="5203041.0"/>
        <n v="5203028.0"/>
        <n v="5206030.0"/>
        <n v="5202022.0"/>
        <n v="5271102.0"/>
        <n v="5271054.0"/>
        <n v="5271087.0"/>
        <n v="5271100.0"/>
        <n v="5204013.0"/>
        <n v="5206028.0"/>
        <n v="5202036.0"/>
        <n v="5205016.0"/>
        <n v="5271076.0"/>
        <n v="5311024.0"/>
        <n v="5371047.0"/>
        <n v="5302034.0"/>
        <n v="5309012.0"/>
        <n v="5303028.0"/>
        <n v="5301022.0"/>
        <n v="5371058.0"/>
        <n v="5313015.0"/>
        <n v="5309046.0"/>
        <n v="5371054.0"/>
        <n v="5317002.0"/>
        <n v="5318014.0"/>
        <n v="5305015.0"/>
        <n v="5309034.0"/>
        <n v="5303057.0"/>
        <n v="5371046.0"/>
        <n v="5302012.0"/>
        <n v="5371011.0"/>
        <n v="5371059.0"/>
        <n v="5304015.0"/>
        <n v="5319002.0"/>
        <n v="5306020.0"/>
        <n v="5310012.0"/>
        <n v="5303056.0"/>
        <n v="5303033.0"/>
        <n v="5303045.0"/>
        <n v="5304026.0"/>
        <n v="5315004.0"/>
        <n v="5303013.0"/>
        <n v="5306042.0"/>
        <n v="5302045.0"/>
        <n v="5302046.0"/>
        <n v="5311013.0"/>
        <n v="5307021.0"/>
        <n v="5301011.0"/>
        <n v="5312014.0"/>
        <n v="5371052.0"/>
        <n v="5304014.0"/>
        <n v="5308023.0"/>
        <n v="5306053.0"/>
        <n v="5301033.0"/>
        <n v="5313026.0"/>
        <n v="5371057.0"/>
        <n v="5306016.0"/>
        <n v="5308045.0"/>
        <n v="5305024.0"/>
        <n v="5315002.0"/>
        <n v="5302023.0"/>
        <n v="5305025.0"/>
        <n v="5303022.0"/>
        <n v="5313037.0"/>
        <n v="5310034.0"/>
        <n v="5319013.0"/>
        <n v="5301035.0"/>
        <n v="5306031.0"/>
        <n v="5310023.0"/>
        <n v="5320002.0"/>
        <n v="5318002.0"/>
        <n v="5320013.0"/>
        <n v="5303024.0"/>
        <n v="5316003.0"/>
        <n v="5307010.0"/>
        <n v="6102012.0"/>
        <n v="6172135.0"/>
        <n v="6109023.0"/>
        <n v="6112135.0"/>
        <n v="6112003.0"/>
        <n v="6171136.0"/>
        <n v="6101033.0"/>
        <n v="6171155.0"/>
        <n v="6109012.0"/>
        <n v="6171141.0"/>
        <n v="6104014.0"/>
        <n v="6106021.0"/>
        <n v="6110016.0"/>
        <n v="6102055.0"/>
        <n v="6171011.0"/>
        <n v="6105028.0"/>
        <n v="6171156.0"/>
        <n v="6105031.0"/>
        <n v="6172002.0"/>
        <n v="6105026.0"/>
        <n v="6101137.0"/>
        <n v="6110015.0"/>
        <n v="6107038.0"/>
        <n v="6172113.0"/>
        <n v="6171033.0"/>
        <n v="6107027.0"/>
        <n v="6106020.0"/>
        <n v="6112002.0"/>
        <n v="6107022.0"/>
        <n v="6171085.0"/>
        <n v="6101135.0"/>
        <n v="6171124.0"/>
        <n v="6101022.0"/>
        <n v="6171139.0"/>
        <n v="6108011.0"/>
        <n v="6171067.0"/>
        <n v="6103013.0"/>
        <n v="6171138.0"/>
        <n v="6172044.0"/>
        <n v="6110012.0"/>
        <n v="6110013.0"/>
        <n v="6108012.0"/>
        <n v="6105015.0"/>
        <n v="6107025.0"/>
        <n v="6107024.0"/>
        <n v="6172066.0"/>
        <n v="6171022.0"/>
        <n v="6111002.0"/>
        <n v="6106016.0"/>
        <n v="6108014.0"/>
        <n v="6107026.0"/>
        <n v="6172124.0"/>
        <n v="6103024.0"/>
        <n v="6171140.0"/>
        <n v="6171113.0"/>
        <n v="6172011.0"/>
        <n v="6171078.0"/>
        <n v="6107010.0"/>
        <n v="6271028.0"/>
        <n v="6271080.0"/>
        <n v="6271024.0"/>
        <n v="6213022.0"/>
        <n v="6202013.0"/>
        <n v="6207012.0"/>
        <n v="6203015.0"/>
        <n v="6210015.0"/>
        <n v="6201027.0"/>
        <n v="6204016.0"/>
        <n v="6271026.0"/>
        <n v="6271068.0"/>
        <n v="6271023.0"/>
        <n v="6271029.0"/>
        <n v="6201016.0"/>
        <n v="6205011.0"/>
        <n v="6211016.0"/>
        <n v="6201012.0"/>
        <n v="6207033.0"/>
        <n v="6209024.0"/>
        <n v="6271025.0"/>
        <n v="6208014.0"/>
        <n v="6271030.0"/>
        <n v="6201013.0"/>
        <n v="6211026.0"/>
        <n v="6202025.0"/>
        <n v="6209035.0"/>
        <n v="6271012.0"/>
        <n v="6271027.0"/>
        <n v="6271031.0"/>
        <n v="6208013.0"/>
        <n v="6212020.0"/>
        <n v="6301013.0"/>
        <n v="6371072.0"/>
        <n v="6301015.0"/>
        <n v="6306025.0"/>
        <n v="6303027.0"/>
        <n v="6303030.0"/>
        <n v="6302026.0"/>
        <n v="6309014.0"/>
        <n v="6371155.0"/>
        <n v="6311016.0"/>
        <n v="6372021.0"/>
        <n v="6303015.0"/>
        <n v="6371130.0"/>
        <n v="6372017.0"/>
        <n v="6306026.0"/>
        <n v="6301020.0"/>
        <n v="6310015.0"/>
        <n v="6305011.0"/>
        <n v="6304020.0"/>
        <n v="6371152.0"/>
        <n v="6372016.0"/>
        <n v="6371024.0"/>
        <n v="6308014.0"/>
        <n v="6371158.0"/>
        <n v="6306011.0"/>
        <n v="6301016.0"/>
        <n v="6371050.0"/>
        <n v="6308013.0"/>
        <n v="6302014.0"/>
        <n v="6371094.0"/>
        <n v="6306023.0"/>
        <n v="6309025.0"/>
        <n v="6304016.0"/>
        <n v="6310018.0"/>
        <n v="6371141.0"/>
        <n v="6372018.0"/>
        <n v="6371013.0"/>
        <n v="6372022.0"/>
        <n v="6306024.0"/>
        <n v="6372019.0"/>
        <n v="6305010.0"/>
        <n v="6371156.0"/>
        <n v="6371170.0"/>
        <n v="6372014.0"/>
        <n v="6303033.0"/>
        <n v="6371046.0"/>
        <n v="6310016.0"/>
        <n v="6307012.0"/>
        <n v="6303028.0"/>
        <n v="6371153.0"/>
        <n v="6405012.0"/>
        <n v="6471014.0"/>
        <n v="6404045.0"/>
        <n v="6471087.0"/>
        <n v="6472143.0"/>
        <n v="6403052.0"/>
        <n v="6409047.0"/>
        <n v="6404065.0"/>
        <n v="6471074.0"/>
        <n v="6472063.0"/>
        <n v="6471036.0"/>
        <n v="6404047.0"/>
        <n v="6474010.0"/>
        <n v="6404066.0"/>
        <n v="6404043.0"/>
        <n v="6404032.0"/>
        <n v="6471078.0"/>
        <n v="6471085.0"/>
        <n v="6472107.0"/>
        <n v="6471073.0"/>
        <n v="6471062.0"/>
        <n v="6474032.0"/>
        <n v="6409049.0"/>
        <n v="6404044.0"/>
        <n v="6472131.0"/>
        <n v="6401014.0"/>
        <n v="6472030.0"/>
        <n v="6402053.0"/>
        <n v="6409036.0"/>
        <n v="6471077.0"/>
        <n v="6471082.0"/>
        <n v="6402041.0"/>
        <n v="6472130.0"/>
        <n v="6472052.0"/>
        <n v="6402064.0"/>
        <n v="6471025.0"/>
        <n v="6404046.0"/>
        <n v="6472096.0"/>
        <n v="6404054.0"/>
        <n v="6472123.0"/>
        <n v="6471051.0"/>
        <n v="6472121.0"/>
        <n v="6474021.0"/>
        <n v="6403017.0"/>
        <n v="6405011.0"/>
        <n v="6474033.0"/>
        <n v="6472118.0"/>
        <n v="6472015.0"/>
        <n v="6474034.0"/>
        <n v="6404051.0"/>
        <n v="6472124.0"/>
        <n v="6471075.0"/>
        <n v="6411001.0"/>
        <n v="6403015.0"/>
        <n v="6471079.0"/>
        <n v="6472128.0"/>
        <n v="6472041.0"/>
        <n v="6471086.0"/>
        <n v="6571045.0"/>
        <n v="6473043.0"/>
        <n v="6473016.0"/>
        <n v="6501013.0"/>
        <n v="6504027.0"/>
        <n v="6504038.0"/>
        <n v="6503013.0"/>
        <n v="6571044.0"/>
        <n v="6408014.0"/>
        <n v="6502011.0"/>
        <n v="6473042.0"/>
        <n v="6404021.0"/>
        <n v="6406012.0"/>
        <n v="6571056.0"/>
        <n v="6504039.0"/>
        <n v="6408025.0"/>
        <n v="6503002.0"/>
        <n v="7102120.0"/>
        <n v="7109028.0"/>
        <n v="7101037.0"/>
        <n v="7102040.0"/>
        <n v="7171108.0"/>
        <n v="7106020.0"/>
        <n v="7171072.0"/>
        <n v="7103039.0"/>
        <n v="7171097.0"/>
        <n v="7103026.0"/>
        <n v="7107003.0"/>
        <n v="7173002.0"/>
        <n v="7102062.0"/>
        <n v="7171095.0"/>
        <n v="7172014.0"/>
        <n v="7110002.0"/>
        <n v="7171013.0"/>
        <n v="7171105.0"/>
        <n v="7109002.0"/>
        <n v="7171124.0"/>
        <n v="7105084.0"/>
        <n v="7171122.0"/>
        <n v="7171104.0"/>
        <n v="7171120.0"/>
        <n v="7172036.0"/>
        <n v="7102121.0"/>
        <n v="7105030.0"/>
        <n v="7171035.0"/>
        <n v="7171103.0"/>
        <n v="7174024.0"/>
        <n v="7105116.0"/>
        <n v="7173036.0"/>
        <n v="7171061.0"/>
        <n v="7171106.0"/>
        <n v="7103015.0"/>
        <n v="7108037.0"/>
        <n v="7111011.0"/>
        <n v="7171121.0"/>
        <n v="7106018.0"/>
        <n v="7173051.0"/>
        <n v="7171083.0"/>
        <n v="7171094.0"/>
        <n v="7104027.0"/>
        <n v="7172048.0"/>
        <n v="7102073.0"/>
        <n v="7172025.0"/>
        <n v="7174035.0"/>
        <n v="7174004.0"/>
        <n v="7107014.0"/>
        <n v="7171098.0"/>
        <n v="7171024.0"/>
        <n v="7101013.0"/>
        <n v="7102095.0"/>
        <n v="7171102.0"/>
        <n v="7171099.0"/>
        <n v="7171050.0"/>
        <n v="7104038.0"/>
        <n v="7102014.0"/>
        <n v="7201012.0"/>
        <n v="7204010.0"/>
        <n v="7201014.0"/>
        <n v="7271025.0"/>
        <n v="7209032.0"/>
        <n v="7271040.0"/>
        <n v="7208011.0"/>
        <n v="7208013.0"/>
        <n v="7271130.0"/>
        <n v="7205024.0"/>
        <n v="7271095.0"/>
        <n v="7201011.0"/>
        <n v="7212011.0"/>
        <n v="7206012.0"/>
        <n v="7203016.0"/>
        <n v="7209004.0"/>
        <n v="7208012.0"/>
        <n v="7204044.0"/>
        <n v="7208115.0"/>
        <n v="7271014.0"/>
        <n v="7203018.0"/>
        <n v="7204021.0"/>
        <n v="7210002.0"/>
        <n v="7206014.0"/>
        <n v="7271036.0"/>
        <n v="7271131.0"/>
        <n v="7204043.0"/>
        <n v="7202016.0"/>
        <n v="7271051.0"/>
        <n v="7271128.0"/>
        <n v="7202017.0"/>
        <n v="7205022.0"/>
        <n v="7202015.0"/>
        <n v="7271132.0"/>
        <n v="7209002.0"/>
        <n v="7271116.0"/>
        <n v="7271127.0"/>
        <n v="7271133.0"/>
        <n v="7207013.0"/>
        <n v="7316015.0"/>
        <n v="7371191.0"/>
        <n v="7373003.0"/>
        <n v="7371433.0"/>
        <n v="7371014.0"/>
        <n v="7302016.0"/>
        <n v="7373008.0"/>
        <n v="7371436.0"/>
        <n v="7308070.0"/>
        <n v="7371418.0"/>
        <n v="7308071.0"/>
        <n v="7371030.0"/>
        <n v="7371413.0"/>
        <n v="7373007.0"/>
        <n v="7371373.0"/>
        <n v="7310021.0"/>
        <n v="7301017.0"/>
        <n v="7310016.0"/>
        <n v="7317020.0"/>
        <n v="7372078.0"/>
        <n v="7371256.0"/>
        <n v="7305026.0"/>
        <n v="7308059.0"/>
        <n v="7305013.0"/>
        <n v="7305014.0"/>
        <n v="7371448.0"/>
        <n v="7304011.0"/>
        <n v="7317075.0"/>
        <n v="7371449.0"/>
        <n v="7371052.0"/>
        <n v="7371399.0"/>
        <n v="7372020.0"/>
        <n v="7322004.0"/>
        <n v="7312011.0"/>
        <n v="7373064.0"/>
        <n v="7371432.0"/>
        <n v="7371314.0"/>
        <n v="7306059.0"/>
        <n v="7306046.0"/>
        <n v="7371107.0"/>
        <n v="7371074.0"/>
        <n v="7371412.0"/>
        <n v="7372075.0"/>
        <n v="7314013.0"/>
        <n v="7371408.0"/>
        <n v="7371425.0"/>
        <n v="7318054.0"/>
        <n v="7371452.0"/>
        <n v="7315016.0"/>
        <n v="7371340.0"/>
        <n v="7371406.0"/>
        <n v="7371429.0"/>
        <n v="7315018.0"/>
        <n v="7371434.0"/>
        <n v="7308026.0"/>
        <n v="7371180.0"/>
        <n v="7326002.0"/>
        <n v="7318056.0"/>
        <n v="7310032.0"/>
        <n v="7301015.0"/>
        <n v="7315014.0"/>
        <n v="7313023.0"/>
        <n v="7371451.0"/>
        <n v="7371336.0"/>
        <n v="7371450.0"/>
        <n v="7371026.0"/>
        <n v="7373005.0"/>
        <n v="7371362.0"/>
        <n v="7371400.0"/>
        <n v="7371427.0"/>
        <n v="7309016.0"/>
        <n v="7306057.0"/>
        <n v="7308058.0"/>
        <n v="7371430.0"/>
        <n v="7373016.0"/>
        <n v="7371428.0"/>
        <n v="7371223.0"/>
        <n v="7303010.0"/>
        <n v="7371041.0"/>
        <n v="7304012.0"/>
        <n v="7371395.0"/>
        <n v="7307025.0"/>
        <n v="7371414.0"/>
        <n v="7313024.0"/>
        <n v="7311010.0"/>
        <n v="7317053.0"/>
        <n v="7303012.0"/>
        <n v="7371293.0"/>
        <n v="7371410.0"/>
        <n v="7371453.0"/>
        <n v="7302017.0"/>
        <n v="7305015.0"/>
        <n v="7305012.0"/>
        <n v="7303013.0"/>
        <n v="7318010.0"/>
        <n v="7371063.0"/>
        <n v="7309044.0"/>
        <n v="7372031.0"/>
        <n v="7371426.0"/>
        <n v="7314025.0"/>
        <n v="7313012.0"/>
        <n v="7318021.0"/>
        <n v="7371402.0"/>
        <n v="7371325.0"/>
        <n v="7326003.0"/>
        <n v="7371403.0"/>
        <n v="7307014.0"/>
        <n v="7322003.0"/>
        <n v="7371234.0"/>
        <n v="7316026.0"/>
        <n v="7371422.0"/>
        <n v="7306070.0"/>
        <n v="7371096.0"/>
        <n v="7371407.0"/>
        <n v="7314024.0"/>
        <n v="7302028.0"/>
        <n v="7325016.0"/>
        <n v="7317076.0"/>
        <n v="7371351.0"/>
        <n v="7373004.0"/>
        <n v="7372077.0"/>
        <n v="7308041.0"/>
        <n v="7314036.0"/>
        <n v="7402010.0"/>
        <n v="7471136.0"/>
        <n v="7404012.0"/>
        <n v="7403126.0"/>
        <n v="7403022.0"/>
        <n v="7471009.0"/>
        <n v="7404034.0"/>
        <n v="7471002.0"/>
        <n v="7471044.0"/>
        <n v="7471004.0"/>
        <n v="7402011.0"/>
        <n v="7472002.0"/>
        <n v="7471070.0"/>
        <n v="7406036.0"/>
        <n v="7414002.0"/>
        <n v="7471008.0"/>
        <n v="7471138.0"/>
        <n v="7401038.0"/>
        <n v="7403114.0"/>
        <n v="7408013.0"/>
        <n v="7412002.0"/>
        <n v="7404045.0"/>
        <n v="7471011.0"/>
        <n v="7471137.0"/>
        <n v="7402022.0"/>
        <n v="7404023.0"/>
        <n v="7472004.0"/>
        <n v="7403033.0"/>
        <n v="7401039.0"/>
        <n v="7471066.0"/>
        <n v="7471007.0"/>
        <n v="7471005.0"/>
        <n v="7472016.0"/>
        <n v="7411908.0"/>
        <n v="7404046.0"/>
        <n v="7471092.0"/>
        <n v="7407012.0"/>
        <n v="7401024.0"/>
        <n v="7504032.0"/>
        <n v="7504012.0"/>
        <n v="7502049.0"/>
        <n v="7502032.0"/>
        <n v="7503045.0"/>
        <n v="7505002.0"/>
        <n v="7503056.0"/>
        <n v="7502034.0"/>
        <n v="7502021.0"/>
        <n v="7505013.0"/>
        <n v="7501043.0"/>
        <n v="7571021.0"/>
        <n v="7571010.0"/>
        <n v="7571022.0"/>
        <n v="7502033.0"/>
        <n v="7501044.0"/>
        <n v="7502047.0"/>
        <n v="7502035.0"/>
        <n v="7571023.0"/>
        <n v="7604026.0"/>
        <n v="7602045.0"/>
        <n v="7605013.0"/>
        <n v="7601011.0"/>
        <n v="7603024.0"/>
        <n v="7604012.0"/>
        <n v="7604024.0"/>
        <n v="7602048.0"/>
        <n v="7603022.0"/>
        <n v="7601022.0"/>
        <n v="7604027.0"/>
        <n v="7602044.0"/>
        <n v="7604023.0"/>
        <n v="7604039.0"/>
        <n v="7604028.0"/>
        <n v="8171015.0"/>
        <n v="8108002.0"/>
        <n v="8101041.0"/>
        <n v="8171030.0"/>
        <n v="8172002.0"/>
        <n v="8103020.0"/>
        <n v="8171123.0"/>
        <n v="8171074.0"/>
        <n v="8109002.0"/>
        <n v="8103053.0"/>
        <n v="8109018.0"/>
        <n v="8171096.0"/>
        <n v="8107021.0"/>
        <n v="8101026.0"/>
        <n v="8103002.0"/>
        <n v="8171026.0"/>
        <n v="8103016.0"/>
        <n v="8171063.0"/>
        <n v="8106011.0"/>
        <n v="8103042.0"/>
        <n v="8101063.0"/>
        <n v="8171124.0"/>
        <n v="8171085.0"/>
        <n v="8105019.0"/>
        <n v="8171121.0"/>
        <n v="8106010.0"/>
        <n v="8171110.0"/>
        <n v="8101015.0"/>
        <n v="8205032.0"/>
        <n v="8271031.0"/>
        <n v="8201021.0"/>
        <n v="8272003.0"/>
        <n v="8203020.0"/>
        <n v="8204011.0"/>
        <n v="8206012.0"/>
        <n v="8205021.0"/>
        <n v="8271070.0"/>
        <n v="8271020.0"/>
        <n v="8272004.0"/>
        <n v="8208001.0"/>
        <n v="8201010.0"/>
        <n v="8271042.0"/>
        <n v="8202043.0"/>
        <n v="8271058.0"/>
        <n v="8204010.0"/>
        <n v="8271057.0"/>
        <n v="8205033.0"/>
        <n v="8271016.0"/>
        <n v="8271069.0"/>
        <n v="8204012.0"/>
        <n v="9106013.0"/>
        <n v="9108002.0"/>
        <n v="9110011.0"/>
        <n v="9109002.0"/>
        <n v="9102022.0"/>
        <n v="9105017.0"/>
        <n v="9102034.0"/>
        <n v="9103035.0"/>
        <n v="9171010.0"/>
        <n v="9171047.0"/>
        <n v="9105005.0"/>
        <n v="9111001.0"/>
        <n v="9171032.0"/>
        <n v="9271034.0"/>
        <n v="9107002.0"/>
        <n v="9101010.0"/>
        <n v="9104002.0"/>
        <n v="9102011.0"/>
        <n v="9102033.0"/>
        <n v="9105004.0"/>
        <n v="9105006.0"/>
        <n v="9171046.0"/>
        <n v="9171021.0"/>
        <n v="9204014.0"/>
        <n v="9212028.0"/>
        <n v="9203015.0"/>
        <n v="9201011.0"/>
        <n v="9228002.0"/>
        <n v="9271045.0"/>
        <n v="9226002.0"/>
        <n v="9234003.0"/>
        <n v="9201035.0"/>
        <n v="9205030.0"/>
        <n v="9236003.0"/>
        <n v="9227011.0"/>
        <n v="9202012.0"/>
        <n v="9271079.0"/>
        <n v="9271067.0"/>
        <n v="9219044.0"/>
        <n v="9230002.0"/>
        <n v="9202014.0"/>
        <n v="9202023.0"/>
        <n v="9271012.0"/>
        <n v="9271080.0"/>
        <n v="9212013.0"/>
        <n v="9229002.0"/>
        <n v="9217013.0"/>
        <n v="9214012.0"/>
        <n v="9201034.0"/>
        <n v="9205015.0"/>
        <n v="9235002.0"/>
        <n v="9233011.0"/>
        <n v="9203016.0"/>
        <n v="9211010.0"/>
        <n v="9201012.0"/>
        <n v="9271056.0"/>
        <n v="9212011.0"/>
        <n v="9213038.0"/>
        <n v="9271078.0"/>
        <n v="9218002.0"/>
        <n v="9215011.0"/>
        <n v="9213039.0"/>
        <n v="9220043.0"/>
        <n v="9232011.0"/>
        <n v="9231002.0"/>
        <n v="9201046.0"/>
        <n v="9212027.0"/>
        <n v="9271023.0"/>
      </sharedItems>
    </cacheField>
    <cacheField name="nama" numFmtId="0">
      <sharedItems>
        <s v="RS Arun Lhokseumawe"/>
        <s v="RS Umum Fandika"/>
        <s v="RS Umum Daerah Meuraxa"/>
        <s v="RS Gigi Mulut Universitas Syiah Kuala"/>
        <s v="RS Umum Daerah Kota Subulussalam"/>
        <s v="RS Umum Daerah Datu Beru Takengon"/>
        <s v="RS Umum Mufid"/>
        <s v="RS Umum Metro Medical Center"/>
        <s v="RS Umum Daerah Muyang Kute Redelong Bener Meriah"/>
        <s v="RS Gayo Medical Centre"/>
        <s v="RS Ibu dan Anak Keluarga Desa"/>
        <s v="RS Umum Graha Bunda"/>
        <s v="RS Umum Daerah Dr. Fauziah Bireun"/>
        <s v="RS Bhayangkara Banda Aceh"/>
        <s v="RS Umum Daerah Dr. H. Yulidin Away"/>
        <s v="RS Umum Daerah Kabupaten Aceh Besar"/>
        <s v="RS Tk. II Iskandar Muda Banda Aceh"/>
        <s v="RS Ibu dan Anak ABBY"/>
        <s v="RS Umum Daerah Simeulue"/>
        <s v="RS Umum Sakinah"/>
        <s v="RS Tk. IV Lhokseumawe Aceh Utara"/>
        <s v="RS Umum Jeumpa Hospital"/>
        <s v="RS Tanoh Gayo"/>
        <s v="RS Umum Daerah Teuku Umar Kabupaten Aceh Jaya"/>
        <s v="RS AL Sabang"/>
        <s v="RS Umum Daerah Type D Pratama T. Cut Ali"/>
        <s v="RS Umum Daerah Langsa"/>
        <s v="RS Umum Daerah TGK. Abdullah Syafii Beureuneun"/>
        <s v="RS Umum Malahayati"/>
        <s v="RS Umum Ibnu Sina"/>
        <s v="RS Umum Muhammad Ali Kasim"/>
        <s v="RS Umum Pertamina Rantau"/>
        <s v="RS Umum Daerah dr. Muchtar Hasbi"/>
        <s v="RS Umum Teungku Fakinah"/>
        <s v="RS Umum Daerah dr. Zubir Mahmud"/>
        <s v="RS Umum Daerah Sultan Iskandar Muda Nagan Raya"/>
        <s v="RS Umum Avicenna"/>
        <s v="RS Zahra"/>
        <s v="RS Cahaya Sehat"/>
        <s v="RS Umum Daerah Sultan Abdul Aziz Syah Peureulak"/>
        <s v="RS Umum Kasih Ibu Lhokseumawe"/>
        <s v="RS Umum Cempaka Lima"/>
        <s v="RS Ibu dan Anak Pemerintah Aceh"/>
        <s v="RS Umum Daerah Aceh Singkil"/>
        <s v="RS Ibu dan Anak Cempaka Az Zahra Banda Aceh"/>
        <s v="RS Umum Daerah Cut Nyak Dhien"/>
        <s v="RS Umum Daerah  Dr. Zainoel Abidin"/>
        <s v="RS Tk. IV IM 07.02"/>
        <s v="RS Islam Ibnu Sina Sigli"/>
        <s v="RS Umum Nurul Hasanah"/>
        <s v="RS Umum Bunda"/>
        <s v="RS Umum Daerah Sabang"/>
        <s v="RS Ibu dan Anak Azalia"/>
        <s v="RS Umum Harapan Sehat"/>
        <s v="RS Umum Daerah H. Sahudin Kutacane"/>
        <s v="RS Umum Daerah TGK Chik Ditiro Sigli"/>
        <s v="RS Umum Pertamedika Ummi Rosnati"/>
        <s v="RS Jiwa Aceh"/>
        <s v="RS Umum Citra Husada"/>
        <s v="RS Umum Daerah Teungku Peukan"/>
        <s v="RS Umum PMI Cabang Aceh Utara"/>
        <s v="RS Umum Meutia"/>
        <s v="RS Umum Cut Meutia"/>
        <s v="RS Umum Bireuen Medical Center"/>
        <s v="RS Umum Montella"/>
        <s v="RS Umum Cut Meutia Kab. Aceh Utara"/>
        <s v="RS Umum Harapan Bunda Banda Aceh"/>
        <s v="RS Umum Prima Inti Medika"/>
        <s v="RS Umum Az-Zuhra"/>
        <s v="RS Umum Daerah Pidie Jaya"/>
        <s v="RS Pendidikan Universitas Syiah Kuala"/>
        <s v="RS Umum Daerah Muda Sedia Kabupaten Aceh Tamiang"/>
        <s v="RS Umum Harapan Ibu"/>
        <s v="RS Umum Bunga Melati"/>
        <s v="RS Umum Ummi Langsa"/>
        <s v="RS Umum Telaga Bunda"/>
        <s v="RS Hermina Aceh"/>
        <s v="RS Cut Nyak Dhien Langsa"/>
        <s v="RS Umum Inanta"/>
        <s v="RS Umum Putri Bidadari"/>
        <s v="RS Umum Dr. Gerhard L. Tobing"/>
        <s v="RS Umum Utama"/>
        <s v="RS Murni Teguh Horas Insani"/>
        <s v="RS Umum Hadi Husada"/>
        <s v="RS Umum Daerah Bangun Purba"/>
        <s v="RS Umum Bahagia Medan"/>
        <s v="RS Umum Vina Estetica"/>
        <s v="RS Umum Daerah Dolok Sanggul"/>
        <s v="RS Umum Sint Lucia"/>
        <s v="RS Umum Daerah Lukas Hilisimaetano"/>
        <s v="RS Khusus Bedah Accuplast"/>
        <s v="RS Umum Methodist"/>
        <s v="RS Umum Citra Medika"/>
        <s v="RS Umum Daerah Panyabungan"/>
        <s v="RS TNI Tk. IV 01.07.03"/>
        <s v="RS Umum Artha Medica"/>
        <s v="RS Khusus Mata Prima Vision"/>
        <s v="RS Umum Prof. Dr. Boloni"/>
        <s v="RS Pratama Kab. Nias Barat"/>
        <s v="RS Umum Karya Husada"/>
        <s v="RS Umum Laras Kabupaten Simalungun"/>
        <s v="RS Umum Delia"/>
        <s v="RS Umum Amanda"/>
        <s v="RS Umum Bunda Mulia"/>
        <s v="RS Umum Serenapita"/>
        <s v="RS Gigi dan Mulut Prima"/>
        <s v="RS Dhillon"/>
        <s v="RS Umum Madani"/>
        <s v="RS Umum Sri Pamela"/>
        <s v="RS Ibu dan Anak Stella Maris"/>
        <s v="RS Umum Estomihi"/>
        <s v="RS Umum Mitra Medika"/>
        <s v="RS Umum Kasih Permata Dara"/>
        <s v="RS Umum Bethesda Gunungsitoli"/>
        <s v="RS Umum HKBP Balige"/>
        <s v="RS Umum Lasmi Kartika"/>
        <s v="RS Khusus Mata Provinsi Sumatera Utara"/>
        <s v="RS Umum Daerah Dr. FL Tobing Sibolga"/>
        <s v="RS Ibu dan Anak Badrul Aini"/>
        <s v="RS Umum Bina Kasih"/>
        <s v="RS AL Dr. Komang Makes Belawan"/>
        <s v="RS Umum Hartati Medical Centre"/>
        <s v="RS Umum Daerah Gunung Tua"/>
        <s v="RS Khusus Bedah Setia Budi"/>
        <s v="RS Ibu dan Anak Murni Teguh Rosiva"/>
        <s v="RS Umum Yoshua"/>
        <s v="RS Umum Daerah Perdagangan"/>
        <s v="RS Umum Daerah Sultan Sulaiman Syariful Alamsyah"/>
        <s v="RS Ibu dan Anak Maharani"/>
        <s v="RS Umum Full Bethesda"/>
        <s v="RS Umum Harapan"/>
        <s v="RS Umum Siloam Dhirga Surya"/>
        <s v="RS Tk. II Putri Hijau Medan"/>
        <s v="RS Ibu dan Anak Pramaliesa"/>
        <s v="RS Umum Daerah Batu Bara"/>
        <s v="RS Umum Karya Bakti Ujung Bandar"/>
        <s v="RS Khusus Gigi dan Mulut Univ. Sumatera Utara"/>
        <s v="RS Umum Imelda Pekerja Indonesia"/>
        <s v="RS Sri Pamela Torgamba"/>
        <s v="RS Umum Mitra Guray Petumbukan"/>
        <s v="RS Bhayangkara Tk.III Kota Tebing Tinggi"/>
        <s v="RS Umum Sylvani"/>
        <s v="RS Umum Daerah Dr. Djasamen Saragih"/>
        <s v="RS Umum Metta Medika"/>
        <s v="RS Umum Islam Malahayati"/>
        <s v="RS Umum Wahyu"/>
        <s v="RS Umum Daerah Pandan"/>
        <s v="RS Umum Mahawira Prima Indonesia"/>
        <s v="RS Grandmed"/>
        <s v="RS Umum Daerah Kabupaten Karo"/>
        <s v="RS Umum Hidayah"/>
        <s v="RS Umum Daerah Tanjung Pura"/>
        <s v="RS Umum Rahmad Hidayah"/>
        <s v="RS Umum Mitra Medika Amplas"/>
        <s v="RS Umum Deli"/>
        <s v="RS Umum Tere Margareth"/>
        <s v="RS Umum Daerah dr. M. Thomsen Nias"/>
        <s v="RS SUFINA AZIZ"/>
        <s v="RS Umum Pusat H. Adam Malik"/>
        <s v="RS Umum Tiara Kasih Sejati"/>
        <s v="RS Dokter Takdir"/>
        <s v="RS Umum Ibu Kartini"/>
        <s v="RS Sri Pamela Membang Muda"/>
        <s v="RS Umum Sawit Indah Perbaungan"/>
        <s v="RS Jiwa Bina Karsa Tuntungan"/>
        <s v="RS Umum Vita Insani"/>
        <s v="RS Ibu dan Anak Grand Fatimah"/>
        <s v="RS Umum Lina"/>
        <s v="RS Umum Sundari"/>
        <s v="RS Umum Natama"/>
        <s v="RS Umum Flora"/>
        <s v="RS Umum Daerah Dr. Hadrianus Sinaga"/>
        <s v="RS Umum Daerah Drs. H. Amri Tambunan"/>
        <s v="RS Umum Daerah  Aek Kanopan"/>
        <s v="RS Umum Pertamina Pangkalan Brandan"/>
        <s v="RS Umum Raskita"/>
        <s v="RS Umum Melati"/>
        <s v="RS Umum Hermina Medan"/>
        <s v="RS Umum Patar Asih"/>
        <s v="RS Umum Advent Medan"/>
        <s v="RS Umum Daerah Padang Sidempuan"/>
        <s v="RS Tk. IV 01.07.02 Binjai"/>
        <s v="RS Umum Martha Friska Multatuli"/>
        <s v="RS Umum Sarah"/>
        <s v="RS Umum Mitra Sehat"/>
        <s v="RS Umum Balimbingan PTP 4"/>
        <s v="RS Umum Sembiring Deli Tua"/>
        <s v="RS Khusus Paru Sumatera Utara"/>
        <s v="RS Murni Teguh Pematang Siantar"/>
        <s v="RS Umum Murni Teguh Methodist Susanna Wesley"/>
        <s v="RS Umum Setio Husodo"/>
        <s v="RS Umum Daerah Dr. H. Kumpulan Pane"/>
        <s v="RS Umum Wulan Windy"/>
        <s v="RS Umum Permata Madina Panyabungan"/>
        <s v="RS Umum Mitra Sejati"/>
        <s v="RS Umum Daerah Porsea"/>
        <s v="RS Umum Daerah Kota Pinang"/>
        <s v="RS Ibu Dan Anak Artha Mahinrus"/>
        <s v="RS Umum Daerah Salak"/>
        <s v="RS Khusus Mata Medan Baru Medical Centre"/>
        <s v="RS Umum Daerah Nias Selatan"/>
        <s v="RS Mata Siantar"/>
        <s v="RS Umum Materna"/>
        <s v="OG Hospital"/>
        <s v="RS Umum Daerah Tapanuli Selatan"/>
        <s v="RS Umum Daerah Tafaeri"/>
        <s v="RS Umum Mahkota Bidadari"/>
        <s v="RS Umum Bandung"/>
        <s v="RS Umum Daerah Tuan Rondahaim"/>
        <s v="RS Umum Universitas Sumatera Utara"/>
        <s v="RS Chevani"/>
        <s v="RS Umum Daerah Parapat"/>
        <s v="RS Umum Delima Medan"/>
        <s v="RS Umum Sari Mutiara Lubuk Pakam"/>
        <s v="RS Umum Efarina Etaham"/>
        <s v="RS Umum Bidadari"/>
        <s v="RS Metta Medika"/>
        <s v="RS Umum Daerah Dr. Pirngadi"/>
        <s v="RS Khusus Ginjal Rasyida"/>
        <s v="RS Umum Royal Prima Marelan"/>
        <s v="RS Umum Daerah Pintu Padang"/>
        <s v="RS Columbia Asia Medan"/>
        <s v="RS Umum Prima Husada Cipta Medan"/>
        <s v="RS Umum Daerah Rantau Prapat"/>
        <s v="RS Efarina Etaham Pematang Siantar"/>
        <s v="RS Umum Universitas Prima Indonesia"/>
        <s v="RS Ibu dan Anak Mina Husada"/>
        <s v="RS Umum Daerah Dr. Tengku Mansyur"/>
        <s v="RS Umum Eshmun"/>
        <s v="RSAU Dr. Abdul Malik"/>
        <s v="RS Sapta Medika"/>
        <s v="RS Umum Daerah Sibuhuan"/>
        <s v="RS Umum Permata Hati"/>
        <s v="RS Umum Haji Medan"/>
        <s v="RS Umum Mitra Medika Premiere"/>
        <s v="RS Umum Bidadari Batubara"/>
        <s v="RS Umum Daerah Sidikalang"/>
        <s v="RS Tiga Bersaudara"/>
        <s v="RS Umum Sinar Husni"/>
        <s v="RS Umum Permata Madina Sibuhuan"/>
        <s v="RS Bhayangkara Tingkat II"/>
        <s v="RS Pratama Lologolu Soguna Ba Zato"/>
        <s v="RS Khusus Mata SMEC"/>
        <s v="RS Umum Melati Desa Pon"/>
        <s v="RS Umum Pancur Batu"/>
        <s v="RS Umum Muhammadiyah Sumatera Utara"/>
        <s v="RS Umum Martha Friska"/>
        <s v="RS Khusus Mata Mencirim Tujuh-Tujuh"/>
        <s v="RS Umum Daerah H. Abdul Manan Simatupang"/>
        <s v="RS Metta Medika II"/>
        <s v="RS Umum Murni Teguh Memorial Hospital"/>
        <s v="RS Umum Stella Maris"/>
        <s v="RS Umum Wampu Norita"/>
        <s v="RS Rasyida Siantar"/>
        <s v="RS Tk. IV 01.07.01"/>
        <s v="RS Jiwa Prof. Dr. Muhammad Ildrem"/>
        <s v="RS Umum Bunda Thamrin"/>
        <s v="RS Umum Armina Madina Panyabungan"/>
        <s v="RS Umum Kasih Insani"/>
        <s v="RS Umum Daerah Tarutung"/>
        <s v="RS Umum Kusta Lau Simomo"/>
        <s v="RS Umum Nuraini"/>
        <s v="RS Umum Wira Husada"/>
        <s v="RS Umum PTP II Tg Selamat"/>
        <s v="RS Umum Trianda"/>
        <s v="RS Umum Ratu Mas"/>
        <s v="RS Umum Santa Elisabeth Medan"/>
        <s v="RS Umum Daerah dr. Husni Thamrin"/>
        <s v="RS Umum Daerah H. Bachtiar Djafar"/>
        <s v="RS Umum Daerah Dr. R. M. Djoelham Binjai"/>
        <s v="RS Umum AL Fuadi"/>
        <s v="RS Umum Sri Ratu"/>
        <s v="RS Bhayangkara Tk. IV  Batangtoru"/>
        <s v="RS Umum Latersia"/>
        <s v="RS Umum Keliat"/>
        <s v="RS Sri Pamela Sei Dadap"/>
        <s v="RS Jiwa Bina Karsa Medan"/>
        <s v="RS Umum Pabatu"/>
        <s v="RS Ibu dan Anak Lenggogeni"/>
        <s v="RS Ibu dan Anak Annisa Payakumbuh"/>
        <s v="RS Umum Daerah Pariaman"/>
        <s v="RS Umum Harapan Ibunda"/>
        <s v="RS Tk. IV Bukittinggi"/>
        <s v="RS Ibu dan Anak Siti Hawa"/>
        <s v="RS Umum Daerah Batang Sangir"/>
        <s v="RS Umum Islam Ibnu Sina"/>
        <s v="RS Khusus Bedah Ropanasuri"/>
        <s v="RS Umum Daerah dr. Achmad Darwis"/>
        <s v="RS Islam Ibnu Sina Bukittinggi"/>
        <s v="RS Tk. IV 01.07.06 Solok"/>
        <s v="RS Umum Daerah Dr. Muhammad Zein Painan"/>
        <s v="RS Umum Ibnu Sina Kota Payakumbuh"/>
        <s v="RS Bhayangkara Padang"/>
        <s v="RS Umum Daerah Mohammad Natsir"/>
        <s v="RS Umum Bunda Padang"/>
        <s v="RS Umum Daerah Serambi Madinah Kota Solok"/>
        <s v="RS Ibu dan Anak Sukma Bunda"/>
        <s v="RS Umum Hermina Padang"/>
        <s v="RS Umum Daerah Arosuka Solok"/>
        <s v="RS Jiwa dr. Yaunin"/>
        <s v="RS Umum Daerah Padang Panjang"/>
        <s v="RS Ibu dan Anak Fadhila Batusangkar"/>
        <s v="RS Ibu dan Anak Citra Aguswar Medical Center"/>
        <s v="RS Umum Daerah Tuanku Rao"/>
        <s v="RSUP Dr. M. Djamil"/>
        <s v="RS Islam Ibnu Sina Panti Yarsi"/>
        <s v="RS Jiwa Prof. Dr. Hasan Basri Saanin Datuk Tan Par"/>
        <s v="RS Umum Madina"/>
        <s v="RS Umum Daerah Kamang Baru"/>
        <s v="RS Umum Aisyiyah Pariaman"/>
        <s v="RS Umum Daerah Prof. Dr. M.A. Hanafiah"/>
        <s v="RS Ibu dan Anak AL-Ihsan"/>
        <s v="RS Umum Daerah Dr. Achmad Mochtar"/>
        <s v="RS Khusus Gigi dan Mulut Baiturrahmah"/>
        <s v="RS Ibu dan Anak Permata Bunda Solok"/>
        <s v="RS. Universitas Andalas"/>
        <s v="RS Umum Yos Sudarso"/>
        <s v="RS Khusus Ibu dan Anak Permata Hati"/>
        <s v="RS Ibu dan Anak Cicik"/>
        <s v="RS Ibu dan Anak Mutiara Bunda"/>
        <s v="RS Umum Daerah Lubuk Basung"/>
        <s v="RS Umum Daerah Sungai Rumbai"/>
        <s v="RS Otak DR. Drs. M. Hatta Bukittinggi"/>
        <s v="RS Islam Siti Rahmah"/>
        <s v="RS Ibu dan Anak Sayang Ibu"/>
        <s v="RS Umum Daerah Dr Sadikin Kota Pariaman"/>
        <s v="RS Umum Daerah Kep. Mentawai"/>
        <s v="RS Umum Naili DBS"/>
        <s v="RS Umum Aisyiyah Padang"/>
        <s v="RS Umum Daerah dr. Rasidin Padang"/>
        <s v="RS Ibu Dan Anak Ananda"/>
        <s v="RS Khusus Ibu dan Anak Haryanda"/>
        <s v="RS Khusus Bedah Kartika Docta"/>
        <s v="RS Umum Daerah Tuanku Imam Bonjol"/>
        <s v="RS Ibu dan Anak Restu Ibu"/>
        <s v="RS Umum Daerah Dr. Adnaan WD"/>
        <s v="RS Umum Daerah Muara Labuh"/>
        <s v="RS Gigi dan Mulut Universitas Andalas"/>
        <s v="RS Khusus Mata Regina Eye Center"/>
        <s v="RS Paru Sumatera Barat"/>
        <s v="RS Umum Daerah Sawah Lunto"/>
        <s v="RS Khusus Mata Padang Eye Center"/>
        <s v="RS Umum Daerah Ujung Gading"/>
        <s v="RS Umum Daerah Pasaman Barat"/>
        <s v="RS Umum Daerah Padang Pariaman"/>
        <s v="RS Ibu dan Anak Rezki Bunda"/>
        <s v="RS Umum Tamar Medical Centre"/>
        <s v="RS Umum Daerah Tapan"/>
        <s v="RS Umum Daerah Sungai Dareh"/>
        <s v="RS Umum Semen Padang Hospital"/>
        <s v="RS Umum Ibnu Sina Padang Panjang"/>
        <s v="RS Umum Daerah Ahmad Syafi'I Ma'arif"/>
        <s v="RS Umum BKM"/>
        <s v="RS Tk. III Reksodiwiryo Padang"/>
        <s v="RS Umum Daerah Kota Bukittinggi"/>
        <s v="RS Umum Daerah  Selasih Riau"/>
        <s v="RS Umum  Syafira"/>
        <s v="RS Ibu dan Anak Milano"/>
        <s v="RS Prof. Dr. Tabrani"/>
        <s v="RS Ibu dan Anak  Zainab"/>
        <s v="RS Umum  Mutia Sari"/>
        <s v="RS Pertamina Dumai"/>
        <s v="RS Umum Daerah  Raja Musa"/>
        <s v="RS Umum Daerah  Bangkinang"/>
        <s v="RS Umum  Mesra"/>
        <s v="RS Ibu dan Anak Bunda Puja"/>
        <s v="RS Angkatan Udara dr. Sukirman Lanud Roesmin Nurjadin"/>
        <s v="RS Umum Awal Bros Bagan Batu"/>
        <s v="RS Umum  Kasih Ibu Rengat"/>
        <s v="RS Ibu dan Anak Harapan Medika"/>
        <s v="RS Umum Pelita"/>
        <s v="RS Tk. IV Pekanbaru"/>
        <s v="RS Khusus Mata Pekanbaru Eye Center"/>
        <s v="RS Hermina Pekanbaru"/>
        <s v="RS Umum Daerah  Petala Bumi"/>
        <s v="RS Ibu dan Anak Athaya Medika"/>
        <s v="RS Umum  Thursina"/>
        <s v="RS Umum  Universitas Riau"/>
        <s v="RS Umum  Tandun"/>
        <s v="RS Umum Daerah  Kabupaten Kepulauan Meranti"/>
        <s v="RS Umum  Permata Hati"/>
        <s v="RS  Eria"/>
        <s v="RS Ibu dan Anak  Safira"/>
        <s v="Aulia Hospital"/>
        <s v="RS Umum Daerah  Tengku Sulung"/>
        <s v="RS Ibu Anak  Norfa Husada"/>
        <s v="RS Umum Daerah Teluk Kuantan"/>
        <s v="RS Pertamina Hulu Rokan"/>
        <s v="RS Santa Maria Pekanbaru"/>
        <s v="RS Ibu dan Anak Annisa"/>
        <s v="RS Graha Yasmine"/>
        <s v="RS Umum Daerah  Bengkalis"/>
        <s v="RS Umum  Lancang Kuning"/>
        <s v="RS Umum  Surya Insani"/>
        <s v="RS Ibu Anak  Budhi Mulia"/>
        <s v="RS Umum  Awal Bros Ujung Batu"/>
        <s v="RS Daerah Madani Kota Pekanbaru"/>
        <s v="RS Umum Daerah  Puri Husada Tembilahan"/>
        <s v="RS Umum  Eka Hospital Pekanbaru"/>
        <s v="RS Umum  Awal Bros Panam"/>
        <s v="RS Khusus  Mata SMEC Pekanbaru"/>
        <s v="RS Jiwa Tampan"/>
        <s v="RS Umum Azzahra"/>
        <s v="RS Umum  Medicare Sorek"/>
        <s v="RS Umum  Indah"/>
        <s v="RS Umum  Amalia Medika"/>
        <s v="RS Umum Daerah  Kec.Mandau"/>
        <s v="RS Ibu Anak  Bunda Anisyah"/>
        <s v="RS Umum  Prima Pekanbaru"/>
        <s v="RS Ibunda"/>
        <s v="RS Umum Daerah  Kota Dumai"/>
        <s v="RS Umum Daerah Tengku Rafi'an Siak Sri Indrapura"/>
        <s v="RS Umum Daerah Minas"/>
        <s v="RS Umum  Bina Kasih"/>
        <s v="RS Muizzah"/>
        <s v="RS Umum Daerah  Arifin Achmad"/>
        <s v="RS Awal Bros Dumai"/>
        <s v="RS Doa Ibunda"/>
        <s v="RS Umum  Sansani"/>
        <s v="RS Umum  Awal Bros Pekanbaru"/>
        <s v="RS Ibu dan Anak Hermina Rumbai"/>
        <s v="RS Umum Cahaya"/>
        <s v="Naray Hospital"/>
        <s v="RS Umum  Efarina"/>
        <s v="RS Umum Daerah Tualang"/>
        <s v="RS Bhayangkara Tk. III Kota Pekanbaru"/>
        <s v="RS Awal Bros A. Yani"/>
        <s v="RS Umum Daerah  Rokan Hulu"/>
        <s v="RS Ibu dan Anak Andini"/>
        <s v="RS Umum Daerah  Indrasari Rengat"/>
        <s v="RS Bhayangkara Dumai"/>
        <s v="RS Umum  Islam Ibnu Sina"/>
        <s v="RS Nurlima"/>
        <s v="RS Ibu Anak  Husada Bunda"/>
        <s v="RS Umum Daerah  Dr. RM. Pratomo Bagansiapiapi"/>
        <s v="RS Umum  Pekanbaru Medical Center"/>
        <s v="RS Jabal Rahmah Medika"/>
        <s v="RS Umum Daerah Sungai Gelam"/>
        <s v="RS Kuamang Kuning"/>
        <s v="RS Umum Daerah KH. Daud Arif"/>
        <s v="RS Umum Daerah H. Abdul Manap"/>
        <s v="RS Umum Kambang"/>
        <s v="RS Islam Arafah"/>
        <s v="RS Umum Baiturahim Jambi"/>
        <s v="RS Umum Daerah H. Hanafie"/>
        <s v="RS Umum Daerah Sultan Thaha Saifuddin"/>
        <s v="RS Raudhah"/>
        <s v="RS Tk. III 02.06.01  dr. Bratanata"/>
        <s v="RS Umum Daerah Suryah Khairuddin"/>
        <s v="RS Umum Erni Medika"/>
        <s v="RS Umum Daerah Rantau Rasau"/>
        <s v="RS Umum Daerah Prof. Dr. H.  Chatib Quzwain"/>
        <s v="RS Umum Daerah H. Abdurrahman Sayoeti"/>
        <s v="RS Royal Prima"/>
        <s v="RS Mitra"/>
        <s v="RS Umum Santa Theresia"/>
        <s v="RS Langit Golden Medika"/>
        <s v="RS Umum Daerah Ahmad Ripin"/>
        <s v="RS Siloam Jambi"/>
        <s v="RS Umum Daerah Sungai Bahar"/>
        <s v="RS Ibu dan Anak Moelia"/>
        <s v="RS Umum Daerah Nurdin Hamzah"/>
        <s v="RS Umum Rimbo Medika"/>
        <s v="RS Rapha Theresia"/>
        <s v="RS Mitra Medika Batang Hari"/>
        <s v="RS Umum Daerah Mayjen H. A. Thalib"/>
        <s v="RS Merangin Medical Centre"/>
        <s v="RS Umum Daerah Raden Mattaher Jambi"/>
        <s v="RS Umum Daerah Kolonel Abundjani/Bangko"/>
        <s v="RS Andimas"/>
        <s v="RS Bhayangkara Jambi"/>
        <s v="RS Umum Daerah Haji Abdoel Madjid Batoe"/>
        <s v="RS Jiwa Daerah Provinsi Jambi"/>
        <s v="RS Umum Setia Budi"/>
        <s v="RS Umum Daerah Rantau Ikil"/>
        <s v="RS Ibu dan Anak Trinanda Palembang"/>
        <s v="RS Umum Daerah Siti Fatimah Provinsi Sumatera Sela"/>
        <s v="RS Pertamina Kota Prabumulih"/>
        <s v="RS Umum Daerah Sukajadi"/>
        <s v="RS Ibu dan Anak Adellia Graha Medika"/>
        <s v="RS Umum Daerah Bayung Lincir"/>
        <s v="RS Umum Daerah Siti Aisyah Kota Lubuk Linggau"/>
        <s v="RS Islam Siti Khadijah"/>
        <s v="RS Ibu dan Anak Marissa Palembang"/>
        <s v="RS Umum Daerah dr. H. M. Rabain Muara Enim"/>
        <s v="RS Ibu dan Anak Rika Amelia"/>
        <s v="RS Ibu dan Anak Prima Qonita"/>
        <s v="RS Umum Daerah Muara Dua"/>
        <s v="RS Umum Pusat Dr. Rivai Abdullah"/>
        <s v="RS Umum Santo Antonio"/>
        <s v="RS Umum Daerah Sekayu"/>
        <s v="RS Siloam Silampari"/>
        <s v="RS Umum Daerah Palembang Bari"/>
        <s v="RS Ibu dan Anak Karunia Indah Medika"/>
        <s v="RS Umum Sriwijaya"/>
        <s v="RS Umum Daerah Talang Ubi"/>
        <s v="RS Khusus Gigi dan Mulut Palembang Provinsi Sumate"/>
        <s v="RS Umum Pertamina Palembang"/>
        <s v="RS Ibu dan Anak Amanna"/>
        <s v="RS Umum Daerah Semende Darat Laut"/>
        <s v="RS Umum Daerah Ogan Komering Ulu Timur"/>
        <s v="RS Ibu dan Anak Ananda Lubuk Linggau"/>
        <s v="RS Muhammadiyah Palembang"/>
        <s v="RS Umum Daerah Gandus Palembang"/>
        <s v="RS Umum Daerah Tugu Jaya"/>
        <s v="RS Umum YK Madira Palembang"/>
        <s v="RS Tk. IV Lahat"/>
        <s v="RS Umum Pusri Palembang"/>
        <s v="RS Ibu dan Anak AGDA"/>
        <s v="RS Umum Daerah Gelumbang"/>
        <s v="RS Umum Daerah Kota Prabumulih"/>
        <s v="RS Siloam Sriwijaya Palembang"/>
        <s v="RS Umum Daerah Pratama Makarti Jaya"/>
        <s v="RS Umum Daerah Martapura"/>
        <s v="RS Ibu dan Anak Az-Zahra Palembang"/>
        <s v="RS Hermina Palembang"/>
        <s v="RS Umum Trijaya Medical Center"/>
        <s v="RS Umum Daerah Dr. Sobirin Kabupaten Musi Rawas"/>
        <s v="RS Jiwa Ernaldi Bahar Provinsi Sumatera Selatan"/>
        <s v="RS Islam At-Taqwa Gumawang"/>
        <s v="RS Ar-Royyan"/>
        <s v="RS Umum Bukit Asam Medika"/>
        <s v="RS Umum Daerah Banyuasin"/>
        <s v="RS Musi Medika Cendikia"/>
        <s v="RS Pelabuhan Palembang"/>
        <s v="RS Pratama Tanah Abang"/>
        <s v="RS Umum Daerah Dr. Ibnu Sutowo Baturaja"/>
        <s v="RS Ibu dan Anak Mama"/>
        <s v="RS Hermina OPI Jakabaring"/>
        <s v="RS Umum Daerah Rupit Kabupaten Musi Rawas Utara"/>
        <s v="RS Umum Bunda Palembang"/>
        <s v="RS Umum Daerah Kabupaten Empat Lawang"/>
        <s v="RS Permata Palembang"/>
        <s v="RS AR Bunda Kota Prabumulih"/>
        <s v="RS Umum Pusat Dr. Mohammad Hoesin Palembang"/>
        <s v="RS Umum Ar-Rasyid Palembang"/>
        <s v="RS Bunda Medika Jakabaring"/>
        <s v="RS Umum Daerah Petanang"/>
        <s v="Charitas Hospital Belitang"/>
        <s v="RS Umum Daerah Sungai Lilin"/>
        <s v="RS Umum Myria Palembang"/>
        <s v="RS Umum Graha Mandiri"/>
        <s v="RS Umum Daerah Lahat"/>
        <s v="RS Ibu dan Anak Bunda Noni"/>
        <s v="RS Umum dr. AK. Gani Kota Palembang"/>
        <s v="RS Bhayangkara M. Hasan Palembang"/>
        <s v="RS AR Bunda Kota Lubuk Linggau"/>
        <s v="RS Ibu dan Anak Dwi Sari"/>
        <s v="RS Umum Daerah Lubai Ulu"/>
        <s v="RS Umum Daerah Kayuagung"/>
        <s v="RS Umum Fadhilah Kota Prabumulih"/>
        <s v="RS Ibu dan Anak Graha Kurnia"/>
        <s v="RS Umum Dr. Noesmir Baturaja"/>
        <s v="RS Umum Daerah Kabupaten Ogan Ilir"/>
        <s v="RS Khusus Mata Masyarakat Provinsi Sumatera Selatan"/>
        <s v="RS Pratama Pendopo"/>
        <s v="RS Umum Daerah Basemah Kota Pagar Alam"/>
        <s v="RS Umum Mahyuzahra"/>
        <s v="RS Umum Charitas Hospital Palembang"/>
        <s v="RS Umum Daerah Muara Beliti"/>
        <s v="Charitas Hospital Kenten"/>
        <s v="RS Khusus Bedah Dokter Maulana AK"/>
        <s v="RS Ibu dan Anak Tino Galo Kota Bengkulu"/>
        <s v="RS Umum Daerah Kabupaten Rejang Lebong"/>
        <s v="RS Umum Daerah Bengkulu Tengah"/>
        <s v="RS Assalam"/>
        <s v="RS Rafflesia Bengkulu"/>
        <s v="RS Umum Daerah Arga Makmur"/>
        <s v="RS As-syifa"/>
        <s v="RS Bhayangkara Jitra Kota Bengkulu"/>
        <s v="RS Umum Daerah Tais Kabupaten Seluma"/>
        <s v="RS Umum Daerah Lagita"/>
        <s v="RS Umum Ummi Bengkulu"/>
        <s v="RS Gading Medika"/>
        <s v="RS Umum Daerah Kepahiang"/>
        <s v="RS Tiara Sella"/>
        <s v="RS Umum Daerah Hasanuddin Damrah Manna"/>
        <s v="RS Jiwa Soeprapto Provinsi Bengkulu"/>
        <s v="RS Umum Daerah Lebong"/>
        <s v="RS Tk. IV Bengkulu"/>
        <s v="RS Umum Daerah Kaur"/>
        <s v="RS Bergerak Enggano"/>
        <s v="RS Umum Daerah Harapan dan Doa"/>
        <s v="Charitas Hospital Arga Makmur"/>
        <s v="RS Umum Daerah Mukomuko"/>
        <s v="RS Ibu dan Anak AL-Barra"/>
        <s v="RS An-Nissa"/>
        <s v="RS Umum Daerah Dr. M. Yunus Bengkulu"/>
        <s v="RS Umum Daerah Pringsewu"/>
        <s v="RS Natar Medika"/>
        <s v="RS Umum Advent Bandar Lampung"/>
        <s v="RS Siti Khodijah"/>
        <s v="RS Ibu Anak Hidayah Ibu"/>
        <s v="RS Umum Daerah Menggala Tulang Bawang"/>
        <s v="RS Medika Insani"/>
        <s v="RS Umum Kartini"/>
        <s v="RS Ibu dan Anak Bunda"/>
        <s v="RS Mata Lampung Eye Center (LEC)"/>
        <s v="RS Griya Medika Dompet Dhuafa"/>
        <s v="RS Umum Daerah Sukadana"/>
        <s v="RS Umum Haji Kamino"/>
        <s v="RS Belleza Kedaton Bandar Lampung"/>
        <s v="RS Umum Graha Husada"/>
        <s v="RS Ibu dan Anak Restu Bunda"/>
        <s v="RS Airan Raya"/>
        <s v="RS Umum Daerah KH. Muhammad Thohir KRUI"/>
        <s v="RS Tk. IV 02.07.04"/>
        <s v="RS Umum Harapan Bunda"/>
        <s v="RS Artha Bunda"/>
        <s v="RS Umum Daerah Tulang Bawang Barat"/>
        <s v="RS Umum Yukum Medical Centre"/>
        <s v="RS AKA Medika Sribhawono"/>
        <s v="RS Bhayangkara Polda Lampung"/>
        <s v="RS Umum Islam Metro"/>
        <s v="RS Ibu dan Anak Puri Betik Hati"/>
        <s v="RS Maria Regina"/>
        <s v="RS Umum Imanuel Way Halim"/>
        <s v="RS Umum Daerah Pesawaran"/>
        <s v="RS Ibu dan Anak Ibunda"/>
        <s v="RS Panti Secanti"/>
        <s v="RS Umum Az - Zahra"/>
        <s v="RS Umum Islam Asy-Syifaa Bandar Jaya"/>
        <s v="RS Umum Daerah Dr. A. Dadi Tjokrodipo"/>
        <s v="RS Umum  Mardi Waluyo"/>
        <s v="RS Umum Bumi Waras"/>
        <s v="RS Umum Mutiara Bunda"/>
        <s v="RS Umum Mitra Husada"/>
        <s v="RS Umum Daerah Zainal Abidin Pagar Alam"/>
        <s v="RS Ibu dan Anak Bunda Asy Syifa"/>
        <s v="RS Ibu dan Anak Mawar"/>
        <s v="RS Ibu Anak Puri Adhya Paramita"/>
        <s v="RS Umum Daerah Dr. H. Bob Bazar, SKM"/>
        <s v="RS Umum Surya Asih"/>
        <s v="RS Umum Urip Sumoharjo"/>
        <s v="RS Umum Penawar Medika"/>
        <s v="RS Umum Daerah Dr H Abdul Moeloek"/>
        <s v="RS Umum Daerah Demang Sepulau Raya"/>
        <s v="RS Ibu dan Anak Ummi Athayya"/>
        <s v="RS Ibu dan Anak Mutiara Putri"/>
        <s v="RS Umum Gladish Medical Center"/>
        <s v="RS Umum Mitra Mulia Husada"/>
        <s v="RS Ibu dan Anak Mutiara Hati"/>
        <s v="RS Azizah"/>
        <s v="RS Umum Bintang Amin"/>
        <s v="RS Jiwa Daerah Provinsi Lampung"/>
        <s v="RS Ibu dan Anak Asih Kota Metro"/>
        <s v="RS Mesuji Healthcare Center"/>
        <s v="RS Umum Daerah Alimuddin Umar"/>
        <s v="RS Umum Daerah May Jen HM Ryacudu"/>
        <s v="RS Umum Permata Hati Metro"/>
        <s v="RS Hermina Lampung"/>
        <s v="RS Candimas Medical Center"/>
        <s v="RS Umum Daerah Ahmad Yani Metro"/>
        <s v="RS Ibu dan Anak Anugerah Medical Center Metro"/>
        <s v="RS Ibu dan Anak Santa Anna"/>
        <s v="RS Umum Asy-Syifa Medika"/>
        <s v="RS Khusus Mata Permana Sari"/>
        <s v="RS Umum HI. Muhammad Yusuf"/>
        <s v="RS Wisma Rini"/>
        <s v="RS Umum Daerah Ragab Begawe Caram"/>
        <s v="RS Umum Daerah Batin Mangunang"/>
        <s v="RS Umum Handayani"/>
        <s v="RS Umum Muhammadiyah Metro"/>
        <s v="RS Ibu Anak Puti Bungsu"/>
        <s v="RS Ibu dan Anak Harapan Bunda"/>
        <s v="RS Umum Daerah Bandar Negara Husada"/>
        <s v="RS Umum Daerah Sumbersari Bantul"/>
        <s v="RS Bakti Timah Pangkalpinang"/>
        <s v="RS Bhayangkara Polda Kep. Bangka Belitung"/>
        <s v="RS Umum Daerah Dr. (HC) Ir. Soekarno"/>
        <s v="RS Bakti Timah Sungailiat"/>
        <s v="RS Ibu dan Anak Rona"/>
        <s v="RS Ibu dan Anak Muhaya"/>
        <s v="RS Tk. IV Batin Tikal"/>
        <s v="RS Umum Daerah Drs. H. Abu Hanifah"/>
        <s v="RS Umum Daerah Kriopanting Payung"/>
        <s v="RS Umum Daerah Junjung Besaoh"/>
        <s v="RS Umum Daerah Sjafrie Rachman Puding Besar"/>
        <s v="RS Umum Daerah Depati Hamzah"/>
        <s v="RS Umum Almah"/>
        <s v="RS Umum Daerah Dr. Ir. H. Ibnu Saleh, MM"/>
        <s v="RS Jiwa Daerah dr. Samsi Jacobalis"/>
        <s v="RS Ibu dan Anak Dzakirah"/>
        <s v="RS Siloam Bangka"/>
        <s v="RS Umum Bakti Timah Muntok"/>
        <s v="RS Primaya Bhakti Wara"/>
        <s v="RS Umum Daerah dr. H. Marsidi Judono"/>
        <s v="RS Umum Daerah DR. Eko Maulana Ali"/>
        <s v="RS Umum Daerah Sejiran Setason"/>
        <s v="RS Umum Arsani"/>
        <s v="RS Utama"/>
        <s v="RS Kalbu Intan Medika"/>
        <s v="RS Umum Daerah  Muhammad Zein"/>
        <s v="RS Gunung Manik"/>
        <s v="RS Umum Daerah Depati Bahrin"/>
        <s v="RS Keluarga Husada Batam"/>
        <s v="RS Umum Daerah Embung Fatimah Kota Batam"/>
        <s v="RS Ibu dan  Anak Griya Medika Batam"/>
        <s v="RS Umum Daerah Natuna"/>
        <s v="RS Umum Daerah Encik Mariyam"/>
        <s v="RS Umum Daerah Tanjung Batu Kundur"/>
        <s v="RS Umum Santa Elisabeth Batam Kota"/>
        <s v="RS Umum Budi Kemuliaan Batam"/>
        <s v="RS Jasmine"/>
        <s v="Rumkital dr. Midiyato Suratani"/>
        <s v="RS Umum Daerah  Kabupaten Bintan"/>
        <s v="RS Badan Pengusahaan Batam"/>
        <s v="RS Ibu dan Anak Frisdhy Angel"/>
        <s v="RSAU dr. Yuniati Wisma Karyani"/>
        <s v="RS Mutiara Aini"/>
        <s v="RS Umum Awal Bros Batam"/>
        <s v="RS Umum Santa Elisabeth Batam"/>
        <s v="RS Hj. Bunda Halimah Batam"/>
        <s v="RS Jiwa dan Ketergantungan Obat Engku Haji Daud"/>
        <s v="RS Umum Daerah Tarempa"/>
        <s v="RS Umum Daerah Palmatak"/>
        <s v="RS Umum Charis Medika"/>
        <s v="RS Awal Bros Botania"/>
        <s v="RS Umum Daerah Kota Tanjung Pinang"/>
        <s v="RS Bhayangkara Batam Polda Kepri"/>
        <s v="RS Umum Harapan Bunda Batam"/>
        <s v="RS Umum Daerah Raja Ahmad Tabib"/>
        <s v="RS Umum Daerah Bergerak Jemaja"/>
        <s v="RS Santa Elisabeth Sei Lekop"/>
        <s v="RS Umum Daerah Dabo Kabupaten Lingga"/>
        <s v="RS Umum Bhakti Timah"/>
        <s v="RS Umum Graha Hermine"/>
        <s v="RS Umum Soedarsono Darmosoewito"/>
        <s v="RS Umum Camatha Sahidya"/>
        <s v="RS Umum Daerah Muhammad Sani Kabupaten Karimun"/>
        <s v="RS Tk. II M. Ridwan Meuraksa"/>
        <s v="RS Ibu dan Anak AL-Fauzan"/>
        <s v="RS Umum Prikasih"/>
        <s v="RS Gigi dan Mulut FKG Univ. Indonesia"/>
        <s v="RS Umum Murni Teguh Sudirman Jakarta"/>
        <s v="RS Pondok Indah Puri Indah"/>
        <s v="RS Umum Kartika Pulo Mas"/>
        <s v="RS Ibu dan Anak Resti Mulya"/>
        <s v="RS Umum Gading Pluit"/>
        <s v="RS Umum Daerah Kramat Jati"/>
        <s v="RS Umum Daerah Taman Sari"/>
        <s v="RS Umum Anggrek Mas"/>
        <s v="RS Umum Abdi Waluyo"/>
        <s v="RS Umum Ali Sibroh Malisi"/>
        <s v="RS Khusus Ibu dan Anak Brawijaya"/>
        <s v="RS Umum Siloam Hospitals Kebon Jeruk"/>
        <s v="RS Umum Bunda Jakarta"/>
        <s v="RS Umum Daerah  Tanjung Priok"/>
        <s v="RS Khusus Bedah Halimun"/>
        <s v="RS Umum Universitas Kristen Indonesia"/>
        <s v="RS Umum Siloam TB Simatupang"/>
        <s v="RS Umum Royal Progress"/>
        <s v="RSGM LADOKGI R.E MARTADINATA"/>
        <s v="RS Umum Daerah Ciracas"/>
        <s v="RSUPN Dr. Cipto Mangunkusumo"/>
        <s v="RS Umum Grha Kedoya"/>
        <s v="RS Bedah Siloam Asri"/>
        <s v="RS Umum Duta Indah"/>
        <s v="RS Umum YPK Mandiri"/>
        <s v="RS Umum Andhika"/>
        <s v="RS Umum Agung"/>
        <s v="RS Umum Sumber Waras"/>
        <s v="RSUP Persahabatan"/>
        <s v="RS Khusus THT SS Medika"/>
        <s v="RS Umum Akademik Atma Jaya"/>
        <s v="RS Umum Harapan Jayakarta"/>
        <s v="RS Umum Setia Mitra"/>
        <s v="RS Umum Dr. Suyoto Kemhan"/>
        <s v="RS Umum Daerah  Pademangan"/>
        <s v="RS Siloam Agora"/>
        <s v="RS Khusus THT Prof Nizar"/>
        <s v="RS Umum Daerah Sawah Besar"/>
        <s v="RS Umum Aulia"/>
        <s v="RS Umum Alia Hospital"/>
        <s v="RS Umum Eka Permata Hijau"/>
        <s v="RS Umum Premier Jatinegara"/>
        <s v="RS Umum Pantai Indah Kapuk"/>
        <s v="RS Umum Mayapada"/>
        <s v="RS Umum Daerah Cilincing"/>
        <s v="RS Umum AL Dr. Mintoharjo"/>
        <s v="RS Umum Primaya Evasari Hospital"/>
        <s v="RS Khusus Kanker MRCCC Siloam Semanggi"/>
        <s v="RS Umum Medistra"/>
        <s v="RS Umum Firdaus"/>
        <s v="RS Khusus Mata Jakarta Eye Center Kedoya"/>
        <s v="RS Umum Bhakti Mulia"/>
        <s v="RS Umum Pengayoman Cipinang"/>
        <s v="RS Penyakit Infeksi Prof. Dr. Sulianti Saroso"/>
        <s v="RS Umum Bhayangkara Lemdiklat Polri"/>
        <s v="RS Umum Daerah Jagakarsa"/>
        <s v="RS Khusus Mata Nusantara"/>
        <s v="RS Umum Yadika"/>
        <s v="RS Umum Daerah Kebayoran Baru"/>
        <s v="RS Umum Tzu Chi Hospital"/>
        <s v="RS Umum Pusat Pertamina"/>
        <s v="RS Umum Restu Kasih"/>
        <s v="RS Umum Pondok Indah"/>
        <s v="RS Khusus Bedah Bina Estetika"/>
        <s v="RS Umum Daerah Kepulauan Seribu"/>
        <s v="RS Umum dr Abdul Radjak Cengkareng"/>
        <s v="RS Umum Cinta Kasih Tzu Chi"/>
        <s v="RS Khusus Bedah Columbia Asia Pulomas"/>
        <s v="RS Khusus Bedah Rawamangun"/>
        <s v="RS Yadika Kebayoran Lama"/>
        <s v="RS Umum Puri Medika"/>
        <s v="RS Umum Sint Carolus"/>
        <s v="RS Umum dr. Abdul Radjak Salemba"/>
        <s v="RS Gigi dan Mulut Univ. Prof. Moestopo"/>
        <s v="RS Kanker Dharmais"/>
        <s v="RS Umum Daerah Tebet"/>
        <s v="RS Angkatan Udara dr. Esnawan Antariksa"/>
        <s v="RS Ibu dan Anak Sayyidah"/>
        <s v="RS Umum Ciputra Hospital Citragarden City"/>
        <s v="RS Umum  Dr. EUIS"/>
        <s v="RS Umum Hermina Podomoro"/>
        <s v="RS Umum Haji Jakarta"/>
        <s v="RS Umum Jakarta"/>
        <s v="RS Ibu dan Anak Kemang Medical Care"/>
        <s v="RS Umum Mitra Keluarga Kalideres"/>
        <s v="RS Umum Daerah Kemayoran"/>
        <s v="RS Umum Mitra Kemayoran"/>
        <s v="RS Ibu dan Anak St. Yusuf"/>
        <s v="RS Ibu dan Anak Metro Hospitals Kebon Jeruk"/>
        <s v="RS Ukrida"/>
        <s v="RS Islam Jakarta Pondok Kopi"/>
        <s v="Mayapada Hospital Kuningan"/>
        <s v="RS Jantung dan Pembuluh Darah Heartology"/>
        <s v="RS Umum Port Medical Center"/>
        <s v="RS Islam Jakarta Cempaka Putih"/>
        <s v="RS Ibu dan Anak JWCC Asih"/>
        <s v="RS Ibu dan Anak SamMarie Basra"/>
        <s v="RS Khusus THT Bedah KL Proklamasi"/>
        <s v="RS Umum Mulyasari"/>
        <s v="RS Umum Olahraga Nasional"/>
        <s v="RS Khusus Ibu dan Anak Eka Grand Family"/>
        <s v="RS Jantung dan Pembuluh Darah Harapan Kita"/>
        <s v="RS Tk. IV Cijantung"/>
        <s v="RS Pusat Otak Nasional Prof DR. dr. Mahar Mardjono"/>
        <s v="RS Islam Jakarta Sukapura"/>
        <s v="RS Umum Daerah Pesanggrahan"/>
        <s v="RS Khusus Daerah Duren Sawit"/>
        <s v="RS Umum Budi Kemuliaan"/>
        <s v="RS Umum Gandaria"/>
        <s v="RS Umum Antam Medika"/>
        <s v="RS Ibu dan Anak Tambak"/>
        <s v="RS Muhammadiyah Taman Puring"/>
        <s v="RS Umum Daerah Koja"/>
        <s v="RS Jantung Binawaluya"/>
        <s v="RS Umum Harum"/>
        <s v="RS Umum Daerah Kalideres"/>
        <s v="RS Ketergantungan Obat"/>
        <s v="RS Umum Daerah Cempaka Putih"/>
        <s v="RS Umum Hermina Kemayoran"/>
        <s v="RS Umum Kramat 128"/>
        <s v="RS Umum Jakarta Medical Center (JMC)"/>
        <s v="RS Umum Pekerja"/>
        <s v="RS Umum Patria IKKT"/>
        <s v="RS Umum Adhyaksa"/>
        <s v="RS Umum Daerah Tanah Abang"/>
        <s v="RS Umum Daerah Cipayung"/>
        <s v="RS Umum Daerah Pasar Rebo"/>
        <s v="RS Mata JEC Primasana @Tanjung Priok"/>
        <s v="RS Umum Pluit"/>
        <s v="RS Umum Daerah Johar Baru"/>
        <s v="RS Umum PAD Gatot Soebroto"/>
        <s v="RS Khusus Ibu Anak Bunda Jakarta"/>
        <s v="RS Ibu dan Anak SamMarie Wijaya"/>
        <s v="RS Orthopedi Siaga Raya"/>
        <s v="RS Umum Pelni Petamburan"/>
        <s v="RS Umum Daerah Budhi Asih"/>
        <s v="RS Umum  Pelabuhan Tanjung Priok"/>
        <s v="RS Umum Daerah Tugu Koja"/>
        <s v="RS Umum Daerah Jati Padang"/>
        <s v="RSUP Fatmawati"/>
        <s v="RS Gigi dan Mulut FKG Universitas Trisakti"/>
        <s v="RS Umum Tebet"/>
        <s v="RS Umum Daerah  Kembangan"/>
        <s v="RS Umum Yarsi"/>
        <s v="RS Khusus JEC @Menteng"/>
        <s v="RS Gigi Dan Mulut Angkatan Udara"/>
        <s v="RS Ibu dan Anak Brawijaya Durentiga"/>
        <s v="RS Umum Siloam Mampang"/>
        <s v="RS Umum Hermina Daan Mogot"/>
        <s v="RS Jantung Jakarta"/>
        <s v="RS Umum Daerah Kebayoran Lama"/>
        <s v="RS Umum Hermina Jatinegara"/>
        <s v="RS Khusus Ibu dan Anak Eka Family"/>
        <s v="RS Umum Daerah Mampang Prapatan"/>
        <s v="RS Brawijaya Saharjo"/>
        <s v="RS Umum Husada"/>
        <s v="RS Umum Pertamina Jaya"/>
        <s v="RS Umum Tria Dipa"/>
        <s v="RS Umum Daerah Pasar Minggu"/>
        <s v="RS Jiwa Dr. Soeharto Heerdjan"/>
        <s v="RS Pusdikkes"/>
        <s v="RS Umum Sukmul"/>
        <s v="RS Umum Dharma Nugraha"/>
        <s v="RS Umum AL Cilandak"/>
        <s v="RS Umum MMC"/>
        <s v="RS Menteng Mitra Afia"/>
        <s v="RS Kapal Nusa Waluya II"/>
        <s v="RS Umum  Royal Taruma"/>
        <s v="RS EMC Pulomas"/>
        <s v="RS Umum Mitra Keluarga Kelapa Gading"/>
        <s v="RS Primaya PGI Cikini"/>
        <s v="RS Umum Daerah Tarakan"/>
        <s v="RS Umum Zahirah"/>
        <s v="RS Umum Petukangan"/>
        <s v="RS Anak dan Bunda Harapan Kita"/>
        <s v="RS Umum Daerah Matraman"/>
        <s v="RS Gigi Dan Mulut YARSI"/>
        <s v="RS Umum Bhayangkara Tk. I R.Said Sukanto"/>
        <s v="RS Umum Daerah Cengkareng"/>
        <s v="RS Umum  Satya Negara"/>
        <s v="RS Jiwa Islam Klender"/>
        <s v="RS Jiwa Dharmawangsa"/>
        <s v="RS Umum Proklamasi"/>
        <s v="RS Umum El-Syifa"/>
        <s v="RS Umum Syifa Medina"/>
        <s v="RS Umum Anak Negeri Hospital"/>
        <s v="RS Umum Daerah Sekarwangi"/>
        <s v="RS Umum Al-Islam Bandung"/>
        <s v="RS Umum TNI AU Lanud Sulaiman"/>
        <s v="RS Umum Dr. Hafiz"/>
        <s v="RS EMC Sentul"/>
        <s v="RS Umum Annisa"/>
        <s v="RS Hastien"/>
        <s v="RS Umum Daerah Cicalengka"/>
        <s v="RS Umum Khalishah"/>
        <s v="RS Umum Helsa"/>
        <s v="RS Umum KMC Luragung"/>
        <s v="RS Hermina Karawang"/>
        <s v="RS Umum Hermina Grand Wisata"/>
        <s v="RS Umum Daerah Arjawinangun"/>
        <s v="RS Umum Permata Bekasi"/>
        <s v="RSAU dr. M. Salamun"/>
        <s v="RS Umum Putera Bahagia"/>
        <s v="RS Rayhan"/>
        <s v="RS Ibu dan Anak Citra Insani"/>
        <s v="RS Umum Rajawali"/>
        <s v="RS Umum Asri Medika"/>
        <s v="RS Mekar Sari"/>
        <s v="RS Umum Daerah Leuwiliang"/>
        <s v="RS Umum Permata Depok"/>
        <s v="RS Primaya Bekasi Utara"/>
        <s v="RS Jiwa Provinsi Jawa Barat"/>
        <s v="RS Umum Daerah Gunung Jati"/>
        <s v="RS Umum Mitra Idaman"/>
        <s v="Rumah Sakit DKH Cibadak"/>
        <s v="RS Umum Daerah Bedas Cimaung"/>
        <s v="RS Umum Daerah Sindangbarang"/>
        <s v="RS Umum Anna"/>
        <s v="RS Umum Daerah Pondokgede"/>
        <s v="RS Umum Permata Bunda"/>
        <s v="RS Umum Al-Arif"/>
        <s v="RS Ibu dan Anak Asyifa Depok"/>
        <s v="RS Umum Universitas Muhammadiyah Cirebon"/>
        <s v="RS Ibu dan Anak Kenari Graha Medika"/>
        <s v="RS Ibu dan Anak Bunda Suryatni"/>
        <s v="RS Umum Haji Syaiful Anwar"/>
        <s v="RS Edelweiss Bentang Salapan"/>
        <s v="Mayapada Hospital Bogor"/>
        <s v="RS Umum Karina Medika"/>
        <s v="RS Umum Daerah Subang"/>
        <s v="RS Umum Juwita"/>
        <s v="RS Ibu dan Anak Irhamna Indramayu"/>
        <s v="RS Umum Saraswati"/>
        <s v="RS Umum Ridhoka Salma"/>
        <s v="RS Jantung Hasna Medika Kuningan"/>
        <s v="RS Umum Daerah Jampang Kulon"/>
        <s v="RS Umum Bina Sehat"/>
        <s v="RS Umum Medirossa 2"/>
        <s v="RS Islam Zam-Zam Muhammadiyah Jatibarang"/>
        <s v="Siloam Hospitals Lippo Cikarang"/>
        <s v="RS Umum Citra Medika Depok"/>
        <s v="RS Khusus Ibu dan Anak Grha Mutiara"/>
        <s v="RS Umum dr. Abdul Radjak Cibitung"/>
        <s v="RS Umum Tk. IV Guntur"/>
        <s v="RS Umum Kasih Bunda"/>
        <s v="Sentra Medika Hospital Gempol"/>
        <s v="RS Umum PMI Bogor"/>
        <s v="RS Umum Mitra Keluarga Depok"/>
        <s v="RS Mata Bandung Eye Center"/>
        <s v="RS Umum Daerah Majalengka"/>
        <s v="RS Umum Kartika Husada"/>
        <s v="RS Umum Citama"/>
        <s v="RS Umum Nurhayati Garut"/>
        <s v="RS Umum Intan Husada"/>
        <s v="RS Kartini"/>
        <s v="RS Pasundan"/>
        <s v="RS Umum Bhakti Yudha"/>
        <s v="RS Umum Immanuel Bandung"/>
        <s v="RS Umum Budi Asta"/>
        <s v="RS Umum Rama Hadi"/>
        <s v="RS Umum Mary Cileungsi Hijau"/>
        <s v="RS Umum Tk. IV 03.07.03 Sariningsih"/>
        <s v="RS Umum Medimas"/>
        <s v="RS Umum Bhakti Husada"/>
        <s v="RS Umum Daerah Al Ihsan Provinsi Jawa Barat"/>
        <s v="RS Umum Panti Abdi Dharma"/>
        <s v="RS Umum Avisena"/>
        <s v="RS Umum Puspa Husada"/>
        <s v="RS DKH Sukatani"/>
        <s v="RS Umum Siloam Hospitals Bogor"/>
        <s v="RS Umum Daerah Pandega Pangandaran"/>
        <s v="RS Umum Citra Harapan"/>
        <s v="RS Umum Wijaya Kusumah"/>
        <s v="RS Umum Bhayangkara Indramayu"/>
        <s v="RS Umum Juliana"/>
        <s v="RS Siloam Bekasi Timur"/>
        <s v="RS Umum Daerah Talaga"/>
        <s v="RS Cimalaka"/>
        <s v="RS Umum Daerah R. Syamsudin, SH"/>
        <s v="RS Umum dr. Abdul Radjak Purwakarta"/>
        <s v="RSAU dr. Hoediyono Lanud Suryadarma"/>
        <s v="RS Umum Mitra Anugrah Lestari"/>
        <s v="RS Umum Harapan Mulia"/>
        <s v="RS Ibu dan Anak Dr. Djoko Pramono"/>
        <s v="RS Umum Permata Keluarga Lippo Cikarang"/>
        <s v="RS Umum Budi Asih"/>
        <s v="RS Umum Daerah Sayang"/>
        <s v="RS Khusus Gigi dan Mulut UNPAD"/>
        <s v="RS Umum Bhayangkara Brimob"/>
        <s v="RS Islam Aysha"/>
        <s v="RS Umum Rawa Lumbu"/>
        <s v="RS EMC Cibitung"/>
        <s v="RS Umum Islam Hj. Siti Muniroh"/>
        <s v="RS Umum Mitra Family"/>
        <s v="RS Umum Karya Bhakti Pratiwi"/>
        <s v="RS Medina"/>
        <s v="RS Primaya Depok"/>
        <s v="RSAU Dr. M. Hassan Toto"/>
        <s v="RS Bedah Budi Kasih"/>
        <s v="RS Umum Family Medical Center"/>
        <s v="RS Sentosa"/>
        <s v="RS Umum Daerah Ciawi"/>
        <s v="RS Umum Santo Borromeus"/>
        <s v="RS Umum Bunda Margonda"/>
        <s v="RS Paru Dr. H. A. Rotinsulu"/>
        <s v="RS Umum Daerah Asih Husada Langensari"/>
        <s v="RS Umum Mitra Keluarga Bekasi"/>
        <s v="RS Umum Puri Asih"/>
        <s v="RS Umum Daerah Lembang"/>
        <s v="RS Umum Daerah Jatisari Kabupaten Karawang"/>
        <s v="RS Umum St. Elisabeth"/>
        <s v="RS Umum Bhakti Medicare"/>
        <s v="RS Umum Daerah Waled"/>
        <s v="RS Umum Dewi Sri"/>
        <s v="RS Umum Mitra Keluarga Cikarang"/>
        <s v="RS Umum Permata Cirebon"/>
        <s v="RS Umum Bhayangkara Tk. IV Bogor"/>
        <s v="RS Umum Assyifa Sukabumi"/>
        <s v="RS Umum Daerah Karawang"/>
        <s v="RS Umum Hermina Galaxy"/>
        <s v="RS Umum Nurhayati Cikajang"/>
        <s v="RS Umum Izza"/>
        <s v="RS Umum Rosela"/>
        <s v="RS Permata Bunda"/>
        <s v="RS Umum Daerah Majalaya"/>
        <s v="RS AMC"/>
        <s v="RS Umum Sentra Medika Cibinong"/>
        <s v="RS Ibu dan Anak dr. Hj. Karmini EH"/>
        <s v="RS Umum Daerah Al-Mulk"/>
        <s v="RS Universitas Indonesia"/>
        <s v="RS Umum Baros"/>
        <s v="RS Umum Daerah Bedas Tegalluar"/>
        <s v="RS Umum Bella"/>
        <s v="RS Cenka"/>
        <s v="RS Umum Prasetya Bunda"/>
        <s v="RS Ananda Tambun Selatan"/>
        <s v="RS Umum Mulia Pajajaran"/>
        <s v="RS Umum Azra"/>
        <s v="RS Umum Daerah Cileungsi"/>
        <s v="RS Gigi dan Mulut Maranatha"/>
        <s v="RS Umum Pakuwon"/>
        <s v="RS Umum Kartika Kasih"/>
        <s v="RS Umum Anna Medika"/>
        <s v="RS Edelweiss"/>
        <s v="RS Mitra Keluarga Grand Wisata"/>
        <s v="RS Umum Puri Cinere"/>
        <s v="RS Umum Pindad"/>
        <s v="RS Umum Simpangan Depok"/>
        <s v="RS Ibu dan Anak Rinova Intan"/>
        <s v="RS Umum Islam Bogor"/>
        <s v="RS Umum Daerah Kota Bandung"/>
        <s v="RS Umum Humana Prima"/>
        <s v="RS Umum Bhakti Husada II Purwakarta"/>
        <s v="RS Umum Harapan Keluarga"/>
        <s v="RS Umum Citra Arafiq Sawangan"/>
        <s v="RS Muhammadiyah Bandung Selatan"/>
        <s v="RS Umum Hermina Bekasi"/>
        <s v="RS dr. Abdul Radjak Jababeka"/>
        <s v="RS Umum Medika Dramaga"/>
        <s v="RS Ibu dan Anak Bunda Aisyah"/>
        <s v="RS Asysyifaa"/>
        <s v="RS Paramedika"/>
        <s v="RS Ibu dan Anak Selasih Medika"/>
        <s v="RS Umum Mutiara Hati"/>
        <s v="RS Siloam Bekasi Sepanjang Jaya"/>
        <s v="RS Umum Permata Jonggol"/>
        <s v="RS Ibu dan Anak Kartini"/>
        <s v="RS Jantung dan Pembuluh Darah Paramarta"/>
        <s v="RS Paru Provinsi Jawa Barat"/>
        <s v="RS Siloam Sentosa"/>
        <s v="RS Ibu dan Anak Setya Bhakti"/>
        <s v="RS Umum Daerah Cabangbungin"/>
        <s v="RSU Bhayangkara Tk. II Sartika Asih"/>
        <s v="RS Umum Kartika Husada Setu"/>
        <s v="RS Mitra Keluarga Pratama"/>
        <s v="RS Umum Hermina Depok"/>
        <s v="RS Umum Bungsu"/>
        <s v="RS Umum Amira"/>
        <s v="RS Umum Daerah Pagelaran"/>
        <s v="RS Umum Daerah dr. Chasbullah Abdulmadjid"/>
        <s v="RS Khusus Gigi dan Mulut Kota Bandung"/>
        <s v="RS Ibu dan Anak Gizar"/>
        <s v="RS Umum Dadi Keluarga Ciamis"/>
        <s v="RS Umum Mayapada Hospital Bandung"/>
        <s v="RS Umum Tk. II Dustira"/>
        <s v="RS Umum Hermina Pasteur"/>
        <s v="RS Umum Holistic Purwakarta"/>
        <s v="RS Umum Daerah Mursid Ibnu Syafiuddin"/>
        <s v="RS Umum Livasya"/>
        <s v="RS Umum Ananda"/>
        <s v="RS Umum Annisa Queen"/>
        <s v="RS Umum Daerah Jatisampurna"/>
        <s v="RS Umum Daerah Banjar"/>
        <s v="RS Umum Betha Medika"/>
        <s v="RS Umum Kuningan Medical Center"/>
        <s v="RS Umum Daerah Cililin"/>
        <s v="RS Umum Sumber Hurip"/>
        <s v="RS Umum Daerah Cikalongwetan"/>
        <s v="RS Bhayangkara Cianjur"/>
        <s v="RS Hermina Ciawi"/>
        <s v="RS Umum Hermina Bogor"/>
        <s v="RS Umum Vania"/>
        <s v="RS Umum Daerah M. A. Sentot Patrol"/>
        <s v="RS Umum Masmitra"/>
        <s v="RS Umum Metro Hospitals"/>
        <s v="RS Umum Satria Medika"/>
        <s v="RS Umum Islam Karawang"/>
        <s v="RS Jantung Hasna Medika"/>
        <s v="RS Umum Pinna"/>
        <s v="RS Pasar Minggu Cirebon"/>
        <s v="RS Umum Daerah Palabuhanratu"/>
        <s v="RS Khusus Bedah Halmahera Siaga"/>
        <s v="RS Umum Karya Medika Bantar Gebang"/>
        <s v="RS Umum Tarumajaya"/>
        <s v="RS Umum Daerah Kesehatan Kerja"/>
        <s v="RS CItra Arafiq Bekasi"/>
        <s v="RS Murni Teguh Naripan Bandung"/>
        <s v="RS Umum Bhakti Kartini"/>
        <s v="RS Ibu dan Anak Sayang Bunda"/>
        <s v="RS Umum Daerah dr. Slamet Garut"/>
        <s v="RS Amanda Cikarang Selatan"/>
        <s v="RS Umum Taman Harapan Baru"/>
        <s v="RS Umum SAN Medical Center"/>
        <s v="RS Primaya Karawang"/>
        <s v="RS Primaya Sukabumi"/>
        <s v="RS Umum Permata Cibubur"/>
        <s v="RS Mitra Plumbon Majalengka"/>
        <s v="RS Harapan Sehati"/>
        <s v="RS Eka Hospital"/>
        <s v="RS Umum Mitra Plumbon"/>
        <s v="RS Umum Medirossa Cikarang"/>
        <s v="RS Mitra Plumbon Patrol"/>
        <s v="Rumah Sakit Umum Daerah Dewi Sartika"/>
        <s v="RS Paru Dr. M. Goenawan Partowidigdo"/>
        <s v="RS Umum Kebonjati"/>
        <s v="RS Umum Sumber Kasih"/>
        <s v="RS Ibu dan Anak Widaningsih"/>
        <s v="RS Umum Asri Purwakarta"/>
        <s v="RS Umum Pertamina Balongan Indramayu"/>
        <s v="RS Oetomo"/>
        <s v="RS Ibu dan Anak Tumbuh Kembang"/>
        <s v="RS Ibu dan Anak Limijati"/>
        <s v="RS EMC Pekayon"/>
        <s v="RS Helsa"/>
        <s v="RS Umum Daerah Singaparna Medika Citrautama"/>
        <s v="RS Ibu dan Anak Sawojajar"/>
        <s v="RS Unggul Karsa Medika"/>
        <s v="RS Ananda Babelan"/>
        <s v="RS Umum Mitra Kasih"/>
        <s v="RS Umum Tk. III Ciremai"/>
        <s v="RS Umum Banjar Patroman"/>
        <s v="RS Umum Daerah Bedas Kertasari"/>
        <s v="RS Ibu dan Anak Anugrah ALZ"/>
        <s v="RS Umum Daerah Kab.Bekasi"/>
        <s v="RS Umum Daerah Bantar Gebang"/>
        <s v="RS Umum Daerah 45 Kuningan"/>
        <s v="RS Umum Juanda"/>
        <s v="RS Primaya Bekasi Barat"/>
        <s v="RS Umum Trimitra"/>
        <s v="RS Umum Mitra Keluarga Cibubur"/>
        <s v="RS Umum Hermina Mekarsari"/>
        <s v="RS Mustika Medika Bekasi"/>
        <s v="RS Umum PTPN VIII"/>
        <s v="RS Umum Sentra Medika"/>
        <s v="RS Umum Mitra Keluarga Bekasi Timur"/>
        <s v="RS Ibu dan Anak Ummi"/>
        <s v="RS Cahaya Medika"/>
        <s v="RS umum Daerah Teluk Pucung"/>
        <s v="RS Umum Delima Asih Sisma Medika"/>
        <s v="RS Umum Hermina Arcamanik"/>
        <s v="RS Umum Santosa Hospital Bandung Kopo"/>
        <s v="RS Umum Nuraida"/>
        <s v="RS Umum Daerah Sagaranten"/>
        <s v="RS Umum Hermina Sukabumi"/>
        <s v="RS Khusus Ginjal Ny. R. A. Habibie"/>
        <s v="RS Umum Cahya Kawaluyan"/>
        <s v="RS Mitra Keluarga Deltamas"/>
        <s v="RS Umum Rumah Sehat Terpadu Dompet Dhuafa"/>
        <s v="RS Mitra Plumbon Indramayu"/>
        <s v="RS Umum Daerah Malangbong"/>
        <s v="RS Umum Daerah dr. Soekardjo"/>
        <s v="RS Ibu dan Anak Pasutri"/>
        <s v="RS DKH Cikarang Barat"/>
        <s v="RS Umum Salak"/>
        <s v="Altius Hospitals"/>
        <s v="RS Umum Daerah Cideres"/>
        <s v="RS Umum Karya Medika II"/>
        <s v="RS Umum Fikri Medika"/>
        <s v="RS Ibu dan Anak Viola"/>
        <s v="Bogor Senior Hospital"/>
        <s v="RS Umum Daerah Cibinong"/>
        <s v="RS Umum Santo Yusup"/>
        <s v="RS Umum Muhammadiyah"/>
        <s v="RS Umum Daerah Linggajati Kuningan"/>
        <s v="RS Umum Meilia"/>
        <s v="RS Khusus Mata Cicendo"/>
        <s v="RS Ibu dan Anak Nurul Annisa"/>
        <s v="RS Umum Citra Arafiq"/>
        <s v="RS Pena 98"/>
        <s v="RS Seto Hasbadi"/>
        <s v="RS DKH Kedungwaringin"/>
        <s v="RS Paragon"/>
        <s v="RS Umum Daerah Oto Iskandar Di Nata"/>
        <s v="RS Umum Pelabuhan Cirebon"/>
        <s v="RS Mitra Plumbon Cibitung"/>
        <s v="RS Umum Dr. Iqbali Taufan"/>
        <s v="RS Umum Jati Sampurna"/>
        <s v="RS Ibu dan Anak Grha Bunda"/>
        <s v="RS Permata Kuningan"/>
        <s v="RS Umum Sekar Kamulyan"/>
        <s v="RS Umum Siloam Purwakarta"/>
        <s v="RS Umum Ummi"/>
        <s v="RS Hermina Tasikmalaya"/>
        <s v="RS Umum Ridogalih"/>
        <s v="RS Eka Bekasi"/>
        <s v="RS Umum Daerah Bayu Asih"/>
        <s v="RS Umum Pamanukan Medical Center (PMC)"/>
        <s v="RS Umum Citra Sari Husada"/>
        <s v="RS Umum Tiara"/>
        <s v="RS Ibu dan Anak Respati"/>
        <s v="RS Ibu dan Anak Parahyangan"/>
        <s v="RS Umum Daerah Cimacan"/>
        <s v="RS Umum Santosa Hospital Bandung Central"/>
        <s v="RS Umum Tasik Medika Citratama (TMC)"/>
        <s v="RS Umum Hosana Medica"/>
        <s v="RS Umum Sentral Medika"/>
        <s v="RS Umum Jasa Kartini"/>
        <s v="RS Hermina Metland Cibitung"/>
        <s v="RS Jiwa dr. H. Marzoeki Mahdi"/>
        <s v="RS Umum Bhayangkara Setukpa Lemdikpol"/>
        <s v="RS Umum Daerah Sumedang"/>
        <s v="RS Umum Melania"/>
        <s v="RS Dokter Adam Talib Cikunir"/>
        <s v="RS Umum Permata Keluarga Jababeka"/>
        <s v="RS Umum Tugu Ibu"/>
        <s v="RS Umum Advent Bandung"/>
        <s v="RS Umum Daerah Khidmat Sehat Afiat Kota Depok"/>
        <s v="RS Emhaka"/>
        <s v="RS Umum Amanda Mitra Keluarga"/>
        <s v="RS Sentra Medika Langut"/>
        <s v="RS Ibu dan Anak Buah Hati"/>
        <s v="RS Pradipa Medika"/>
        <s v="RS dr. Abdul Radjak Cileungsi"/>
        <s v="RS Umum Daerah Bandung Kiwari"/>
        <s v="RS Gigi dan Mulut Pendidikan Unjani"/>
        <s v="RS Universitas Padjadjaran"/>
        <s v="RS Umum Karya Medika"/>
        <s v="RS Umum Grha Permata Ibu"/>
        <s v="RS Ibu dan Anak Cahaya Bunda"/>
        <s v="RS Primaya"/>
        <s v="RS Ibu dan Anak Graha Medika Padalarang"/>
        <s v="RS Permata Keluarga Karawang"/>
        <s v="RS Umum Islam dr. Subki Abdulkadir"/>
        <s v="RS EMC Cikarang"/>
        <s v="RS Pertamina Cirebon"/>
        <s v="RS Umum Lira Medika"/>
        <s v="RS Karisma Cimareme"/>
        <s v="RS Graha Medika Bogor"/>
        <s v="RS Umum Daerah Anugerah Sehat Afiat"/>
        <s v="RS Khusus Jantung dan Pembuluh Darah Melinda Cardio Vascular Center"/>
        <s v="RS Umum Pusat Dr. Hasan Sadikin"/>
        <s v="RS Umum Bayukarta"/>
        <s v="RS Umum Cikarang Medika"/>
        <s v="RS Ibu dan Anak Harapan Bunda Bandung"/>
        <s v="RS Umum Mandaya"/>
        <s v="RS Umum Dokter Adam Talib"/>
        <s v="RS Hamori"/>
        <s v="RS Umum Daerah Cibabat"/>
        <s v="RS Ibu dan Anak Melinda"/>
        <s v="RS Ibu dan Anak Dian"/>
        <s v="RS Ibu dan Anak Assalam"/>
        <s v="RS Helsa Citeureup"/>
        <s v="RS Umum Daerah Bedas Arjasari"/>
        <s v="RS Umum Graha Juanda"/>
        <s v="RS Umum Brawijaya Bojongsari"/>
        <s v="RS Umum Karya Pangalengan Bhakti Sehat"/>
        <s v="RS Umum Daerah Kab. Ciamis"/>
        <s v="RS Uni Medika Setu Bekasi"/>
        <s v="RS Jantung Diagram"/>
        <s v="RS Umum Daerah Kota Bogor"/>
        <s v="RS Khusus Orthopedi RSOP Ciamis"/>
        <s v="RS Hermina Soreang"/>
        <s v="RS Umum Daerah Kab. Indramayu"/>
        <s v="RS Karunia Kasih"/>
        <s v="RS Ibu dan Anak Al Islam"/>
        <s v="RS Syahid Al Irsyad"/>
        <s v="RS Umum Daerah Kawali"/>
        <s v="RS Jantung dan Pembuluh Darah Tasikmalaya"/>
        <s v="RS Umum Bina Husada"/>
        <s v="RS Umum Hasanah Graha Afiah"/>
        <s v="RS Umum Daerah Pameungpeuk Prov. Jabar"/>
        <s v="RS Umum MM Indramayu"/>
        <s v="RS Umum Melinda 2"/>
        <s v="RSAU dr. Siswanto Lanud Adi Soemarmo"/>
        <s v="RS Ibu dan Anak Miriam"/>
        <s v="RS Umum Tk. III Wijayakusuma"/>
        <s v="RS Ibu dan Anak Permata"/>
        <s v="RS Umum Daerah Sukowati Tangen"/>
        <s v="RS Umum Daerah Mijen"/>
        <s v="RS Umum Bantuan Blora"/>
        <s v="RS Ibu dan Anak Dian Pertiwi"/>
        <s v="RS Umum  Nurussyifa"/>
        <s v="RS Umum Palang Biru Gombong"/>
        <s v="RS Paru Dr. Ario Wirawan"/>
        <s v="RS Umum Islam NU Demak"/>
        <s v="RS Umum Hermina Solo"/>
        <s v="RS Umum Charlie Hospital"/>
        <s v="RS Umum Daerah Waras Wiris"/>
        <s v="RS Ibu dan Anak Anugerah"/>
        <s v="RS Umum Qim"/>
        <s v="RS Umum Islam Purworejo"/>
        <s v="RS Umum AISs Wonosobo"/>
        <s v="RS Umum Daerah Bendan Kota Pekalongan"/>
        <s v="RS Umum PKU Muhammadiyah Delanggu"/>
        <s v="RS Gigi dan Mulut Unimus"/>
        <s v="RS Bhayangkara Blora"/>
        <s v="RS Umum Pertamina Cilacap"/>
        <s v="RS Umum Dedy Jaya"/>
        <s v="RS Umum Kasih Ibu Purworejo"/>
        <s v="RS Umum Dadi Keluarga"/>
        <s v="RS Umum Siaga Medika Banyumas"/>
        <s v="RS PKU Muhammadiyah Surakarta"/>
        <s v="RS Umum Permata Medika Kebumen"/>
        <s v="RS Islam Surakarta YARSIS"/>
        <s v="RS Ibu dan Anak Permata Hati"/>
        <s v="RS Ibu dan Anak Adina"/>
        <s v="RS Roemani Muhammadiyah Semarang"/>
        <s v="RS Ibu dan Anak Ananda Pasar Ace"/>
        <s v="RS Umum Islam Kendal"/>
        <s v="RS Umum Islam Purwodadi"/>
        <s v="RS Umum Nirmala Suri"/>
        <s v="RS Umum Karomah Holistic"/>
        <s v="RS Prima Sehat Pekalongan"/>
        <s v="RS Umum Daerah dr. Soehadi Prijonegoro"/>
        <s v="RS Harapan Sehat Slawi"/>
        <s v="RS Sekar Laras"/>
        <s v="RS Umum Islam Purwokerto"/>
        <s v="RS Umum Daerah Dr. Moewardi Surakarta"/>
        <s v="RS Umum PKU Muhammadiyah Blora"/>
        <s v="RS Umum Daerah RAA Soewondo"/>
        <s v="RS Umum Daerah dr. Soeselo Slawi Kabupaten Tegal"/>
        <s v="RS Harapan Sehat Pemalang"/>
        <s v="RS Umum Wijayakusuma"/>
        <s v="RS Umum Dera As-Syifa"/>
        <s v="RS Marganingsih"/>
        <s v="RS Umum Daerah dr. Gondo Suwarno"/>
        <s v="RS Umum Pusat Dr. Soeradji Tirtonegoro"/>
        <s v="RS Ibu dan Anak Gunung Sawo"/>
        <s v="RS Umum Rizky Amalia"/>
        <s v="RS Umum Santa Maria Pemalang"/>
        <s v="RS Umum Daerah Bumiayu"/>
        <s v="RS Umum Hidayah Boyolali"/>
        <s v="RS Umum Daerah Limpung"/>
        <s v="RS Umum Daerah Majenang"/>
        <s v="RS Umum Daerah Tidar"/>
        <s v="RS Umum Muhammadiyah Darul Istiqomah Kendal"/>
        <s v="RS Umum Daerah Budi Rahayu"/>
        <s v="RS Sarkies 'Aisyiyah Kudus"/>
        <s v="RS Umum Habibullah"/>
        <s v="RS Umum An Ni'mah"/>
        <s v="RS Ibu dan Anak Pala Raya"/>
        <s v="RS Umum Afdila Cilacap"/>
        <s v="RS Umum Nirmala"/>
        <s v="RS Umum Kasih Ibu"/>
        <s v="RS Umum Daerah R. A. Kartini"/>
        <s v="RS Umum Daerah Bukit Menoreh"/>
        <s v="RS Cepoko"/>
        <s v="RS Umum Daerah Muntilan Kab. Magelang"/>
        <s v="RS Jiwa Daerah  Dr. Amino Gondohutomo"/>
        <s v="RS Islam PKU Muhammadiyah Pekajangan"/>
        <s v="RS Umum Daerah Dr. Soediran Mangun Sumarso Wonogi"/>
        <s v="RS Umum  Mitra Siaga"/>
        <s v="RS Umum PKU Muhammadiyah Pedan"/>
        <s v="RS Ibu dan Anak Siloam Semarang"/>
        <s v="RS Umum Islam Boyolali"/>
        <s v="RS Umum Sarila Husada"/>
        <s v="RS Umum PKU Muhammadiyah Jatinom"/>
        <s v="RS Umum Tk III Slamet Riyadi Surakarta"/>
        <s v="RS PKU Muhammadiyah Sampangan Surakarta"/>
        <s v="RS Umum Mitra Bangsa Pati"/>
        <s v="RS Umum PKU Muhammadiyah Sruweng"/>
        <s v="RS Umum St. Elisabeth Semarang"/>
        <s v="RS Umum Sebening Kasih"/>
        <s v="RS Umum Daerah Kabupaten Temanggung"/>
        <s v="RS Umum PKU Muhammadiyah Sukoharjo"/>
        <s v="RS Bhayangkara Surakarta"/>
        <s v="RS Ibu dan Anak Ultima"/>
        <s v="RS Umum 'Aisyiyah Klaten"/>
        <s v="RS Daerah KRMT Wongsonegoro"/>
        <s v="RS Umum Islam Cawas Klaten"/>
        <s v="RS Umum Islam Al-Ikhlas"/>
        <s v="RS Umum Indriati"/>
        <s v="RS Hermina Purwokerto"/>
        <s v="RS PKU Aisyiyah Jepara"/>
        <s v="RS Umum Trimedika Ketapang"/>
        <s v="RS Umum Aprillia"/>
        <s v="RS Jiwa Prof. Dr. Soerojo"/>
        <s v="RS Umum Daerah Dr. R. Soeprapto Cepu"/>
        <s v="RS Ibu dan Anak Bunda Arif Purwokerto"/>
        <s v="RS Umum Asy-Syifa Sambi"/>
        <s v="RS Hawari Essa"/>
        <s v="RS Umum Daerah Hj. Anna Lasmanah Banjarnegara"/>
        <s v="RS Umum Daerah Ibu Fatmawati Soekarno"/>
        <s v="RS Ibu dan Anak Hermina Mutiara Bunda"/>
        <s v="RS Umum Sultan Hadlirin Jepara"/>
        <s v="RS Umum Universitas Sebelas Maret"/>
        <s v="RS Islam Gigi dan Mulut Sultan Agung"/>
        <s v="RS Umum Comal Baru"/>
        <s v="RS Umum PKU Aisyiyah Boyolali"/>
        <s v="RS Umum Hermina Pandanaran"/>
        <s v="RS Umum PKU Muhammadiyah Petanahan Kebumen"/>
        <s v="RS Priscilla Medical Center"/>
        <s v="RS Hermina Wonogiri"/>
        <s v="RS Umum Islam Harapan Anda"/>
        <s v="RS Umum Islam Banjarnegara"/>
        <s v="RS Umum PKU Muhammadiyah Sragen"/>
        <s v="RS Umum Assalam"/>
        <s v="RS PKU Muhammadiyah Kartasura"/>
        <s v="RS Harapan Sehat Jatibarang"/>
        <s v="RS Keluarga Sehat Tayu"/>
        <s v="RS Umum Sinar Kasih"/>
        <s v="RS Jiwa Daerah Dr. Arif Zainudin Provinsi Jawa Tengah"/>
        <s v="RS Umum Daerah Suradadi"/>
        <s v="RS Umum Astrini"/>
        <s v="RS Umum Daerah dr. Loekmono Hadi"/>
        <s v="RS Umum  Budi Agung Pati"/>
        <s v="RS Ibu dan Anak Nuzula"/>
        <s v="RS Umum Panti Waluyo Yakkum Purworejo"/>
        <s v="RS Umum Telogorejo Semarang"/>
        <s v="RS Umum Gunung Sawo Kab. Temanggung"/>
        <s v="RS Umum Baitul Hikmah"/>
        <s v="RS Umum Muhammadiyah Mardhatillah"/>
        <s v="RS Islam At-Tin Husada Purbalingga"/>
        <s v="RS PKU Aisyiyah Kendal"/>
        <s v="RS Umum Daerah Samin Surosentiko Randublatung"/>
        <s v="RS Umum Cakra Husada"/>
        <s v="RS Umum Daerah Kraton Kab. Pekalongan"/>
        <s v="RS Umum Kumala Siwimijen Kudus"/>
        <s v="RS Umum Daerah Brebes"/>
        <s v="RS Umum Daerah Prof Dr. Margono Soekarjo"/>
        <s v="RS Ibu dan Anak Gladiool"/>
        <s v="RS Umum  PKU Muhammadiyah Wonosobo"/>
        <s v="RS Umum Daerah Sultan Fatah Karangawen Demak"/>
        <s v="RS Umum PKU Muhammadiyah Cepu"/>
        <s v="RS Khusus Orthopedi Karima Utama"/>
        <s v="RS Umum Islam Arafah"/>
        <s v="RS Umum Daerah dr. Soedirman Kabupaten Kebumen"/>
        <s v="RS Umum Tk. IV 04.07.03 dr. Asmir"/>
        <s v="RS Umum Daerah Sunan Kalijaga"/>
        <s v="RS Umum Fastabiq Sehat PKU Muhammadiyah Pati"/>
        <s v="RS Harapan Sehat Bumiayu"/>
        <s v="RS Umum  Karanggede Sisma Medika"/>
        <s v="RS Panti Wilasa &quot;Dr. Cipto&quot; Semarang"/>
        <s v="RS Khusus Bedah Mitra Ariva"/>
        <s v="RS Umum Daerah Kartini Karanganyar"/>
        <s v="RS Umum Hermina Banyumanik Semarang"/>
        <s v="RS Umum Daerah Cilacap"/>
        <s v="RS Umum Muhammadiyah Siti Aminah"/>
        <s v="RS Umum Jafar Medika Karanganyar"/>
        <s v="RS Umum Amanah Mahmudah"/>
        <s v="RS Ibu dan Anak MPH Purbalingga"/>
        <s v="RS Umum Panti Rahayu"/>
        <s v="RS Khusus Orthopaedi Purwokerto"/>
        <s v="RS Umum Bhayangkara Semarang"/>
        <s v="RS Umum Duta Mulya"/>
        <s v="RS Umum Wiradadi Husada"/>
        <s v="RS Umum Panti Waluyo"/>
        <s v="RS Umum  Islam Sunan Kudus"/>
        <s v="RS Umum Setjonegoro Wonosobo"/>
        <s v="RS Umum Sultan Agung Semarang"/>
        <s v="RS Umum Aghisna Medika Kroya"/>
        <s v="RS Umum Daerah  Dr. H. Soewondo Kendal"/>
        <s v="RS Umum Maguan Husada"/>
        <s v="At-Tin Hospital"/>
        <s v="RS Ibu dan Anak Annisa Blora"/>
        <s v="RS Umum Daerah Ir. Soekarno Kabupaten Sukoharjo"/>
        <s v="RS Umum Siti Khodijah"/>
        <s v="RS Bhina Bhakti Husada"/>
        <s v="RS Umum Daerah Ir. Soekarno Kab. Brebes"/>
        <s v="RS PKU Muhammadiyah Karanganyar"/>
        <s v="RS Khusus Mata Solo"/>
        <s v="RS Umum Kusuma Ungaran"/>
        <s v="RS Umum Santa Elisabeth Purwokerto"/>
        <s v="RS Umum Islam Magelang"/>
        <s v="RS Umum Aisyiyah Muntilan"/>
        <s v="RS Umum Daerah dr. R. Soetrasno Rembang"/>
        <s v="RS Umum Keluarga Sehat"/>
        <s v="RS Umum Mitra Keluarga Tegal"/>
        <s v="RS Fitri Candra"/>
        <s v="RS Umum Daerah Bung Karno Kota Surakarta"/>
        <s v="RS Umum PKU Muhamadiyah Gombong"/>
        <s v="RS Gigi dan Mulut Soelastri"/>
        <s v="RS Umum Daerah dr. Gunawan Mangunkusumo"/>
        <s v="RS Ibu dan Anak Permata Insani"/>
        <s v="RS Umum PKU Muhammadiyah Purbalingga"/>
        <s v="RS Umum Daerah Simo"/>
        <s v="RS Ibu dan Anak Bunda Semarang"/>
        <s v="RS Umum  ARO"/>
        <s v="RS Umum Daerah Dr. M. Ashari Pemalang"/>
        <s v="RS Umum PKU Muhammadiyah Mayong"/>
        <s v="RS Umum As-Suyuthiyyah"/>
        <s v="RS Umum Islam Fatimah"/>
        <s v="RS Umum Bhakti Asih Brebes"/>
        <s v="RS Ibu dan Anak Ummu Hani"/>
        <s v="RS Umum Daerah Kesesi Pekalongan"/>
        <s v="RS Samsoe Hidajat"/>
        <s v="RS Umum PKU Muhammadiyah Gubug"/>
        <s v="RS Aisyiyah Kudus"/>
        <s v="RS Umum Prima Medika"/>
        <s v="RS Umum PKU Muhammadiyah Kutowinangun"/>
        <s v="RS Umum Budi Sehat Purworejo"/>
        <s v="RS Umum Daerah dr. R. Goeteng Taroenadibrata"/>
        <s v="RS Umum Islam Kustati"/>
        <s v="RS Amanah Umat Purworejo"/>
        <s v="Rumkitban 04.08.04 Kartika Husada Kudus"/>
        <s v="RS Umum Islam Wonosobo"/>
        <s v="RS Umum Panti Wilasa Citarum"/>
        <s v="RS Umum Islam Banyubening Boyolali"/>
        <s v="RS Islam Tunas Harapan"/>
        <s v="RS Umum Daerah Batang"/>
        <s v="RS Indriati Boyolali"/>
        <s v="RS Onkologi Solo"/>
        <s v="RS PKU Muhammadiyah Pamotan"/>
        <s v="RS Umum Dr. Oen Solo Baru"/>
        <s v="RS Umum Daerah Kardinah"/>
        <s v="RS Umum Ananda Purworejo"/>
        <s v="RS Umum PKU Muhammadiyah Banjarnegara"/>
        <s v="RS Umum Mardi Lestari Sragen"/>
        <s v="RS Khusus Bedah Columbia Asia Semarang"/>
        <s v="RS Ibu dan Anak Aisyiyah Pekajangan Pekalongan"/>
        <s v="RS Umum Hidayah Purwokerto"/>
        <s v="RS Umum Dr. Oen"/>
        <s v="RS Ibu dan Anak Plamongan Indah"/>
        <s v="RS Umum Daerah Bagas Waras"/>
        <s v="RS Umum Islam Pati"/>
        <s v="RS Umum Permata Medika"/>
        <s v="RS Umum Pelita Anugerah"/>
        <s v="RS Umum Daerah Ki Ageng Getas Pendowo Gubug"/>
        <s v="RS Khusus Mata Purwokerto"/>
        <s v="RS Unimus"/>
        <s v="RS Umum Purbowangi"/>
        <s v="RS Umum Pusat Dr. Kariadi"/>
        <s v="RS Umum Mulia Hati Wonogiri"/>
        <s v="RS Jiwa Daerah Dr. RM. Soedjarwadi"/>
        <s v="RS Umum Banyumanik"/>
        <s v="Rumah Sakit Umum Hastuti"/>
        <s v="RS Muhammadiyah Rodliyah Achid"/>
        <s v="RS Umum Adella"/>
        <s v="RS Umum H. A. Zaky Djunaid"/>
        <s v="RS Umum Santa Maria Cilacap"/>
        <s v="RS JIH Purwokerto"/>
        <s v="RS PKU Muhammadiyah Boja"/>
        <s v="RS Umum Tk. II Dr. Soedjono"/>
        <s v="RS Umum Islam Yakssi Gemolong"/>
        <s v="RS Umum Daerah Dr. R. Soetijono Blora"/>
        <s v="RS Umum Amanah"/>
        <s v="RS Umum  Aisyiyah"/>
        <s v="RS Umum Triharsi"/>
        <s v="RS Umum Daerah Panti Nugroho"/>
        <s v="RS Umum Siaga Medika Pemalang"/>
        <s v="RS Ibu dan Anak NU Cakra Medika"/>
        <s v="RS Keluarga Sehat III Semarang"/>
        <s v="RS Umum Daerah dr. Rehatta Provinsi Jawa Tengah"/>
        <s v="RS Umum Daerah Candi Umbul"/>
        <s v="RS Umum Daerah Pandan Arang Boyolali"/>
        <s v="RS Umum Daerah dr. Adhyatma, MPH"/>
        <s v="RS Umum Ken Saras"/>
        <s v="RS Umum Daerah Merah Putih"/>
        <s v="Charlie Hospital Demak"/>
        <s v="RS Umum Daerah Kajen Kab. Pekalongan"/>
        <s v="RS Umum Mitra Pedan"/>
        <s v="RS Umum Muhammadiyah Selogiri"/>
        <s v="RS Umum Tk. IV Tegal"/>
        <s v="RS Khusus Bedah Jatiwinangun"/>
        <s v="RS Ibu dan Anak Budhi Asih"/>
        <s v="RS PKU Muhammadiyah Prambanan"/>
        <s v="RS Umum Islam Amal Sehat Sragen"/>
        <s v="RS Umum Nasional Diponegoro"/>
        <s v="RS Umum Ananda Purwokerto"/>
        <s v="RS Umum Brayat Minulya"/>
        <s v="RS Umum Indo Sehat Karanganyar"/>
        <s v="RS Umum N-21 Gemilang"/>
        <s v="RS PKU Muhammadiyah Wonogiri"/>
        <s v="RS Hj. Fatimah Sulhan PKU Muhammadiyah Demak"/>
        <s v="RS Umum PKU dr. Soemowidagdo Boyolali"/>
        <s v="RS Umum Daerah Kayen Pati"/>
        <s v="RS Umum Daerah Dr. Tjitrowardojo Purworejo"/>
        <s v="RS Umum William Booth"/>
        <s v="RS Umum Ngesti Waluyo"/>
        <s v="RS Umum Daerah Prembun"/>
        <s v="RS Mitra Siaga Tarub"/>
        <s v="RS Umum Islam Klaten"/>
        <s v="RS Ibu dan Anak Kusuma Pradja"/>
        <s v="RS Umum Anugerah Pekalongan"/>
        <s v="RS Umum Raffa Majenang"/>
        <s v="RS Mangesti Rahayu"/>
        <s v="RSI PKU Muhammadiyah Tegal"/>
        <s v="RS Umum Purwa Husada"/>
        <s v="RS umum Daerah Banyumas"/>
        <s v="RS Umum Lestari Raharja"/>
        <s v="RS Umum Banyumanik 2"/>
        <s v="RS Umum Permata Blora"/>
        <s v="RS Umum Purwogondo"/>
        <s v="RS Mitra Keluarga Slawi"/>
        <s v="RS Umum Emmanuel"/>
        <s v="RS Umum Daerah Kota Salatiga"/>
        <s v="RS Umum Allam Medica Bumiayu"/>
        <s v="RS Umum Syubbanul Wathon"/>
        <s v="RS Ortopedi Siaga Utama"/>
        <s v="RS Graha Husada Jepara"/>
        <s v="RS Umum Daerah dr. Soeratno Gemolong"/>
        <s v="RS Umum Umi Barokah"/>
        <s v="RS Umum Bhayangkara Akpol Semarang"/>
        <s v="RS Umum Bhakti Asih Jatibarang"/>
        <s v="RS Umum  Amal Sehat"/>
        <s v="RS Ibu dan Anak Kasih Ibu Tegal"/>
        <s v="RS Umum Natalia"/>
        <s v="RS Umum Aghisna Medika Sidareja"/>
        <s v="RS Umum Daerah R.A.A Tjokronegoro"/>
        <s v="RS Umum Daerah Dr. R.Soedjati Soemodiardjo"/>
        <s v="RS Umum Daerah Ajibarang"/>
        <s v="RS Orthopedi Prof. Dr. R. Soeharso"/>
        <s v="RS Umum Islami Mutiara Bunda"/>
        <s v="RS Mata JEC-Candi Semarang"/>
        <s v="RS Umum Mardi Rahayu"/>
        <s v="RS Umum Medika Lestari Banyumas"/>
        <s v="RS Umum Siaga Medika Purbalingga"/>
        <s v="RS JIH Solo"/>
        <s v="RS Umum Palang Biru Kutoarjo"/>
        <s v="RS Umum Tk.III Bhakti Wira Tamtama Smg"/>
        <s v="RS Umum Hermina Pekalongan"/>
        <s v="RS PKU Muhammadiyah Temanggung"/>
        <s v="RS Umum Jati Husada Karanganyar"/>
        <s v="RS Umum Saras Ibnu Sina Sukowati"/>
        <s v="RS Umum Diponegoro Dua Satu Klaten"/>
        <s v="RS Umum Budi Rahayu"/>
        <s v="RS Umum Siti Asiyah"/>
        <s v="RS Khusus Gigi dan Mulut Univ. Jenderal Soedirman"/>
        <s v="RS Umum Pusat Surakarta"/>
        <s v="RSU Santo Yusup Boro"/>
        <s v="RS Umum Rizki Amalia"/>
        <s v="RS Akademik Universitas Gadjah Mada"/>
        <s v="RS Umum Sakina Idaman"/>
        <s v="RS At-Turots Al-Islamy"/>
        <s v="RS Umum Pelita Husada"/>
        <s v="RS Bethesda Wonosari"/>
        <s v="RS Umum Mitra Paramedika"/>
        <s v="RS Umum Daerah Sleman"/>
        <s v="RS Umum Hermina Yogya"/>
        <s v="RS  Mata Dr. Yap"/>
        <s v="RS Umum Puri Husada Yogyakarta"/>
        <s v="RS Umum Pura Raharja Medika"/>
        <s v="RS Khusus Ibu dan Anak Rachmi"/>
        <s v="RS Umum Daerah Panembahan Senopati"/>
        <s v="RS Islam Hidayatullah Yogyakarta"/>
        <s v="RS Umum PKU Muhammadiyah Wonosari"/>
        <s v="RS Jih"/>
        <s v="RS Umum PKU Muhammadiyah Gamping"/>
        <s v="Charitas Hospital Klepu"/>
        <s v="RS Umum Daerah Saras Adyatma"/>
        <s v="RS Ludira Husada Tama"/>
        <s v="RS AMC Muhammadiyah"/>
        <s v="RS Islam Gunungkidul"/>
        <s v="RS Universitas Ahmad Dahlan"/>
        <s v="RSU PKU Muhammadiyah Bantul"/>
        <s v="RS PKU Muhammadiyah Yogyakarta"/>
        <s v="RS Umum Kharisma Paramedika"/>
        <s v="RS Umum Gramedika 10"/>
        <s v="RS Gigi dan Mulut Universitas Muhammadiyah Yogyakarta"/>
        <s v="RS Umum Panti Rini"/>
        <s v="RS Bethesda Lempuyangwangi"/>
        <s v="RS Umum Daerah Nyi Ageng Serang"/>
        <s v="RS Khusus Ibu dan Anak  PKU Muhammadiyah Kotagede"/>
        <s v="RS Umum Nur Hidayah"/>
        <s v="RS Bethesda Yogyakarta"/>
        <s v="RS Rajawali Citra"/>
        <s v="RS Umum Bunga Bangsa Medika"/>
        <s v="RS Umum PKU Muhammadiyah Nanggulan"/>
        <s v="RS Islam Yayasan PDHI"/>
        <s v="RS Happy Land Medical Centre"/>
        <s v="RS Umum Daerah Wates"/>
        <s v="RS Umum Nur Rohmah"/>
        <s v="RS Khusus Jiwa Puri Nirmala"/>
        <s v="RS Umum Condong Catur"/>
        <s v="RS Umum Griya Mahardika Yogyakarta"/>
        <s v="RS Universitas Islam Indonesia"/>
        <s v="RS Umum Rizki Amalia Medika"/>
        <s v="RSUP Dr. Sardjito"/>
        <s v="RS Pratama Kota Yogyakarta"/>
        <s v="RS PKU Muhammadiyah Sleman"/>
        <s v="RS Khusus Ibu Anak Sadewa"/>
        <s v="RS Jiwa Grhasia"/>
        <s v="RS Khusus Ibu dan Anak Kahyangan"/>
        <s v="RS Ibu dan anak Allaudya"/>
        <s v="RS Paru Respira"/>
        <s v="RS Umum Daerah Kota Yogyakarta"/>
        <s v="RS Umum Daerah Prambanan"/>
        <s v="RS Umum Santa Elisabeth"/>
        <s v="RS Tk. III 04.06.03 Dr. Soetarto"/>
        <s v="RS Bedah Adelia"/>
        <s v="RS Umum Bhayangkara POLDA DIY"/>
        <s v="RS Khusus Bedah An-Nur"/>
        <s v="RS Khusus Ibu dan Anak Permata Bunda"/>
        <s v="RS Ibu Anak Ummi Khasanah"/>
        <s v="RS Umum Panti Rapih"/>
        <s v="RS Umum Rachma Husada"/>
        <s v="RS Umum Daerah Saptosari"/>
        <s v="RS Khusus Bedah Ring Road Selatan"/>
        <s v="RS Umum Panti Nugroho"/>
        <s v="RS Gigi dan Mulut UGM Prof. Soedomo"/>
        <s v="RS Umum Permata Husada"/>
        <s v="RS Umum Daerah Wonosari"/>
        <s v="RS Siloam Yogyakarta"/>
        <s v="RS Umum Queen Latifa"/>
        <s v="RSPAU Dr.  Suhardi Harjolukito"/>
        <s v="RS Queen Latifa"/>
        <s v="RS Ibu Anak Arvita Bunda"/>
        <s v="RS Umum Daerah Syarifah Ambami Rato Ebu"/>
        <s v="RS Umum Bhayangkara Tk. III Nganjuk"/>
        <s v="RS Umum Widodo"/>
        <s v="RS Ibu dan Anak Mukti Husada"/>
        <s v="RS Umum Daerah Blambangan"/>
        <s v="RS Ibu dan Anak IBI Surabaya"/>
        <s v="RS Umum Era Medika"/>
        <s v="RS Umum  Wonolangan"/>
        <s v="RS Muhammadiyah Babat"/>
        <s v="RS Umum An-Nisaa"/>
        <s v="RS Prima Husada"/>
        <s v="RS Ibu dan Anak Khodijah"/>
        <s v="RS Nahdlatul Ulama Babat"/>
        <s v="RS Umum Delta Surya"/>
        <s v="RS Ibu dan Anak Kendangsari Merr"/>
        <s v="RS Sahabat"/>
        <s v="RS Ibu dan Anak Melati Magetan"/>
        <s v="RS Umum Daerah  dr. Darsono"/>
        <s v="RS Umum Daerah Tongas"/>
        <s v="RS Ibu dan Anak Lombok Dua Dua Lontar"/>
        <s v="RS Umum Rahman Rahim"/>
        <s v="RS Umum Citra Husada Jember"/>
        <s v="RS Umum Daerah Simpang Lima Gumul Kediri"/>
        <s v="RS Umum Daerah Dr. R. Sosodoro Djatikoesoemo"/>
        <s v="RS Umum Assakinah Medika"/>
        <s v="RS Umum Daerah Mantingan"/>
        <s v="RS Umum Amelia"/>
        <s v="RS Umum Daerah Kota Madiun"/>
        <s v="RS Islam Arofah"/>
        <s v="RS Umum Asyifa Husada Pamekasan"/>
        <s v="RS Umum Daerah Karangkembang"/>
        <s v="RS Perkebunan PTPN X (Persero) Jember"/>
        <s v="RS Umum Adi Husada Kapasari"/>
        <s v="RS PKU Muhammadiyah Surabaya"/>
        <s v="RS Punten"/>
        <s v="RS Nindhita"/>
        <s v="RS Hermina Pasuruan"/>
        <s v="RS Baptis Kediri"/>
        <s v="RS Umum Royal Surabaya"/>
        <s v="RS Ubaya"/>
        <s v="RS Ibu dan Anak Mitra Mulia"/>
        <s v="RS Umum Daerah Waluyo Jati Kraksaan"/>
        <s v="RS Gotong Royong"/>
        <s v="RS Umum Wali Songo I"/>
        <s v="RS Ibu dan Anak Pusura Tegalsari"/>
        <s v="RS Umum Islam Gondang Legi"/>
        <s v="RS Umum dr. Etty Asharto Batu"/>
        <s v="RS Umum Kusuma Hospital"/>
        <s v="RS Umum Islam Jombang"/>
        <s v="RS Ibu dan Anak Citra Keluarga"/>
        <s v="RS Umum Islam Orpeha"/>
        <s v="RS Umum Santa Clara"/>
        <s v="RS Umum Usada"/>
        <s v="RS Ibu dan Anak Karinda Husada"/>
        <s v="RS Islam Nashrul Ummah"/>
        <s v="RS Ibu dan Anak Puri Bunda"/>
        <s v="RS Airlangga Jombang"/>
        <s v="RS Arafah Anwar Medika Sukodono"/>
        <s v="RS Ibu dan Anak Permata Hati Pare Kediri"/>
        <s v="RS Umum Rahayu Medika"/>
        <s v="RS Graha Husada"/>
        <s v="RS Ibu dan Anak Pondok Jati"/>
        <s v="RS Umum Daerah Dr. H. Slamet Martodirdjo Pamekasan"/>
        <s v="RS Umum Wava Husada"/>
        <s v="RS Mutiara Hati Mojokerto"/>
        <s v="RS Umum At-Tin Husada"/>
        <s v="RS Permata Hati Lamongan"/>
        <s v="RS Umum Daerah Genteng"/>
        <s v="RS Al Irsyad Surabaya"/>
        <s v="RS Umum PKU Muhammadiyah Rogojampi"/>
        <s v="RS Paru Manguharjo Madiun"/>
        <s v="RS Umum Daerah Geneng"/>
        <s v="RS Tk. II Dr. Soepraoen"/>
        <s v="RS Muhammadiyah Siti Khodijah"/>
        <s v="RS Umum Nadhlatul Ulama Jombang"/>
        <s v="RS Umum Daerah Bantarangin"/>
        <s v="RS Umum Jasem"/>
        <s v="RS Umum Aisyiyah Ponorogo"/>
        <s v="RSUD dr. Wahidin Sudiro Husodo Kota Mojokerto"/>
        <s v="RS Ibu dan Anak Putri Surabaya"/>
        <s v="RS Ibu dan Anak Buah Delima"/>
        <s v="RS Umum Intan Medika"/>
        <s v="RS Umum Salsabila Husada"/>
        <s v="RS Umum Daerah R. Ali Manshur"/>
        <s v="RS Umum Muhamadiyah Sumberejo"/>
        <s v="RS Jiwa Dr. Radjiman Wediodiningrat Lawang"/>
        <s v="RSPAL dr. Ramelan"/>
        <s v="RS Kamar Medika"/>
        <s v="RS Paru Jember"/>
        <s v="RS Umum Tk. III Brawijaya"/>
        <s v="RS Ibu dan Anak Amanah"/>
        <s v="RS Ibu dan Anak Fatma"/>
        <s v="RS Gigi Mulut IIK Bhakti Wiyata"/>
        <s v="RS Umum Anna Medika Madura"/>
        <s v="RS Muhammadiyah Kalikapas Lamongan"/>
        <s v="RS Ibu dan Anak Nirmala Kediri"/>
        <s v="RS Ibu Dan Anak Hikmah Sawi"/>
        <s v="RS Islam Masyithoh Bangil"/>
        <s v="RS Gigi dan Mulut FKG Universitas Airlangga"/>
        <s v="RS National Hospital"/>
        <s v="RS Umum Al-Ittihad"/>
        <s v="RS Ibu dan Anak Adi Guna"/>
        <s v="RS Islam Malang"/>
        <s v="RS Umum Daerah Lawang"/>
        <s v="RS Nahdlatul Ulama Tuban"/>
        <s v="RS Ibu dan Anak Esto Ebhu"/>
        <s v="RS Ibu dan Anak Amanda"/>
        <s v="RS Umum Daerah Ketapang"/>
        <s v="RS Daerah Kertosono"/>
        <s v="RS Ibu dan Anak Puri"/>
        <s v="RS PKU Muhammadiyah Sekapuk"/>
        <s v="RS Umum Daerah Kabupaten Kediri"/>
        <s v="RS Angkatan Udara dr. Efram Harsana"/>
        <s v="RS Ibu dan Anak Kirana"/>
        <s v="RS Ibu dan Anak Soerya"/>
        <s v="RS Umum Lukas"/>
        <s v="RS Mata Masyarakat Jawa Timur"/>
        <s v="RS Umum Daerah Ibnu Sina Kab. Gresik"/>
        <s v="RS Umum Muhammadiyah Surya Melati"/>
        <s v="RS Muhammadiyah Jombang"/>
        <s v="RS Sheila Medika"/>
        <s v="RS Umum Daerah dr. H. Moh. Anwar"/>
        <s v="RS Ibu dan Anak Sekar Wangi"/>
        <s v="RS Ibu dan Anak Trisna Medika"/>
        <s v="RS Mata KMU Lamongan"/>
        <s v="RS Yasmin"/>
        <s v="RS Premier Surabaya"/>
        <s v="RS Umum Muslimat Ponorogo"/>
        <s v="RS Umum Pusat Surabaya"/>
        <s v="RS Umum Panti Waluya Sawahan Malang"/>
        <s v="RS Bhayangkara Bondowoso"/>
        <s v="RS Mitra Sehat Medika"/>
        <s v="RS Umum Daerah Pasirian Kabupaten Lumajang"/>
        <s v="RS Umum Daerah Prof. Dr. Soekandar"/>
        <s v="RS Ibu dan Anak Mardi Waloeja Kauman Malang"/>
        <s v="RS Umum Bakti Mulia Banyuwangi"/>
        <s v="RS Umum Muhammadiyah Ponorogo"/>
        <s v="RS Reksa Waluya"/>
        <s v="RS Umum Satiti Prima Husada"/>
        <s v="RS umum Daerah Padangan"/>
        <s v="RS Umum Daerah Ngimbang"/>
        <s v="RS Umum Sumekar"/>
        <s v="RS Graha Sehat Medika"/>
        <s v="RS Mata Situbondo"/>
        <s v="RS Umum Daerah Kanjuruhan Kepanjen Kab. Malang"/>
        <s v="RS Katolik St. Vincentius a Paulo"/>
        <s v="RS Umum Daerah Campurdarat"/>
        <s v="RS Umum Daerah Sidoarjo Barat"/>
        <s v="RS Gigi dan Mulut Universitas Jember"/>
        <s v="RS Soemitro Lanud Moeljono Surabaya"/>
        <s v="RS Umum Aisyiyah Siti Fatimah"/>
        <s v="RS Umum Daerah Mohammad Noer Pamekasan"/>
        <s v="RS Umum Medika Utama"/>
        <s v="RS Umum Daerah Mardi Waluyo"/>
        <s v="RS Ibu dan Anak Mardi Waloeja Rampal Malang"/>
        <s v="RS Ibu dan Anak Tanjungsari"/>
        <s v="RS Umum Daerah R. T. Notopuro Sidoarjo"/>
        <s v="RS Islam Darus Syifa"/>
        <s v="RS Umum Daerah Dolopo"/>
        <s v="RS Umum Medical Mandiri Pacitan"/>
        <s v="RS Umum Islam Madinah Kasembon"/>
        <s v="RS Unipdu Medika Jombang"/>
        <s v="RS Umum Daerah Husada Prima"/>
        <s v="RS Mata Fatma"/>
        <s v="RS Ibu dan Anak Haji"/>
        <s v="RS Umum Daerah Ar Rozy"/>
        <s v="RS Umum Daerah Caruban"/>
        <s v="RS Siti Miriam"/>
        <s v="RS Umum Nyai Ageng Pinatih Gresik"/>
        <s v="RS Umum Daerah Besuki Kabupaten Situbondo"/>
        <s v="RS Umum Daerah Waru Pamekasan"/>
        <s v="RS Umum Daerah Gambiran"/>
        <s v="RS Manyar Medical Centre"/>
        <s v="RS Umum dr. H.Koesnadi Bondowoso"/>
        <s v="RS Umum Daerah dr. Mohamad Soewandhie"/>
        <s v="RS Rizani"/>
        <s v="RS Enggal Dangan"/>
        <s v="RS NU Permata"/>
        <s v="RS Marsudi Waluyo"/>
        <s v="RS Umum Aminah"/>
        <s v="RS Umum Daerah Kab. Jombang"/>
        <s v="RS Ibu dan Anak HST"/>
        <s v="RS Umum Daerah dr. Soedomo Trenggalek"/>
        <s v="RS Islam Sakinah"/>
        <s v="RS Ibu dan Anak Husada Bunda"/>
        <s v="RSU Agung Mulia"/>
        <s v="RS Kaliwates Jember"/>
        <s v="RS Medika Mulia Tuban"/>
        <s v="RS Umum Aminah Blitar"/>
        <s v="RS Bhayangkara Wahyu Tutuko Bojonegoro"/>
        <s v="RS Daerah Dr. Haryoto Kabupaten Lumajang"/>
        <s v="RS Adi Husada Undaan"/>
        <s v="RS Bhirawa Bhakti"/>
        <s v="RS Daerah Balung Jember"/>
        <s v="RS Mata Undaan"/>
        <s v="RS Umum Prima Husada"/>
        <s v="RS Umum Wajak Husada"/>
        <s v="RS Umum Syuhada Haji"/>
        <s v="RS Umum  Pusdik Polri Porong"/>
        <s v="RS Bhayangkara TK II HS. Samsoeri Mertojoso"/>
        <s v="RS Umum Persada Hospital"/>
        <s v="RS Umum BRI Medika Malang"/>
        <s v="RS Hermina Madiun"/>
        <s v="RS Umum Dharma Husada"/>
        <s v="RS Umum Islam Surabaya Jemursari"/>
        <s v="RS Ibu dan Anak Cempaka Putih Permata"/>
        <s v="RS Umum Daerah Dr. Soeroto Ngawi"/>
        <s v="RS Umum Mabarrot MWC NU"/>
        <s v="RS Mitra Medika Bondowoso"/>
        <s v="RS Umum Daerah Abuya Kangean"/>
        <s v="RS Denisa"/>
        <s v="RS Umum Bhayangkara Pusdik Brimob"/>
        <s v="RS Umum Daerah Srengat Kab. Blitar"/>
        <s v="RS Umum Mulia Medical Center"/>
        <s v="RS Umum Daerah Dr. Soebandi Jember"/>
        <s v="RS TNI AL Dr. Oepomo"/>
        <s v="RS Ibu dan Anak Refa husada"/>
        <s v="RS Pusura Candi"/>
        <s v="RS Umum Bhayangkara Kediri"/>
        <s v="RS Ibu dan Anak Muhammadiyah Kota Probolinggo"/>
        <s v="RS Umum Randegansari Husada"/>
        <s v="RS Ibu dan Anak Melati Children Hospital"/>
        <s v="RS Elizabeth"/>
        <s v="RS Ibu dan Anak Pura Raharja"/>
        <s v="RS Ibu dan Anak Kendangsari Surabaya"/>
        <s v="RS Ibu dan Anak Muhammadiyah Malang"/>
        <s v="RS Muslimat NU Muna Anggita Bojonegoro"/>
        <s v="RS Umum Daerah Umar Mas'ud Bawean"/>
        <s v="RS Ibu dan Anak Jatimed"/>
        <s v="RS Umum Daerah Panggul"/>
        <s v="RS Umum Cahaya Medika"/>
        <s v="RS Ibu dan Anak Muslimat Jombang"/>
        <s v="RS Muhammadiyah Gresik"/>
        <s v="RS Ibu dan Anak Siti Aisyah Pamekasan"/>
        <s v="RS Umum Daerah Dr. Iskak Tulungagung"/>
        <s v="RS Umum Daerah Dr. Soedono Madiun"/>
        <s v="RS Ibu dan Anak Kasih Bunda"/>
        <s v="RS Bina Sehat Jember"/>
        <s v="RS Ben Mari"/>
        <s v="RS Umum Daerah Kepohbaru"/>
        <s v="RS Umum Daerah Dr. Soegiri Lamongan"/>
        <s v="RS Umum Muhammadiyah Kalitidu"/>
        <s v="RS Umum Daerah dr. Mohammad Zyn Kab. Sampang"/>
        <s v="RS Bunda"/>
        <s v="RS Ibu dan Anak Al Hasanah"/>
        <s v="RS Dharma Husada"/>
        <s v="RS Umum Siloam Hospitals Surabaya"/>
        <s v="RS Bhayangkara Hasta Brata Batu"/>
        <s v="RS Umum Daerah Dr. Saiful Anwar"/>
        <s v="RS Khusus Bedah Al Ishaqiy"/>
        <s v="RS Umum Daerah Ngantang"/>
        <s v="RS Islam Siti Hajar Sidoarjo"/>
        <s v="RS Siloam Jember"/>
        <s v="RS Umum Daerah Dr. Harjono S. Kabupaten Ponorogo"/>
        <s v="RS Umum Daerah Dr. R. Soedarsono Kota Pasuruan"/>
        <s v="RS Wijaya Surabaya"/>
        <s v="RS Ibu dan Anak Metro Hospitals Sidoarjo"/>
        <s v="RS Surya Medika"/>
        <s v="RS Umum Mitra Sehat Kabupaten Situbondo"/>
        <s v="RS Bedah Surya Dharma Husada"/>
        <s v="RS Umum Aisyiyah Bojonegoro"/>
        <s v="RS Bedah Hasta Husada"/>
        <s v="RS Bala Keselamatan Bokor"/>
        <s v="RS Umum Daerah Dr. Soetomo"/>
        <s v="RS Umum Al-Islam H. M. Mawardi"/>
        <s v="RS Umum Wates Husada"/>
        <s v="RS Umum Daerah Kilisuci"/>
        <s v="RS Tk. III Baladhika Husada Jember"/>
        <s v="RS Islam Surabaya"/>
        <s v="RS Umum Aulia Blitar"/>
        <s v="RS Ibu dan Anak Ferina"/>
        <s v="RS Umum Muhammadiyah Lumajang"/>
        <s v="RS Umum Daha Husada"/>
        <s v="RS Umum Bhakti Persada"/>
        <s v="RS Hasyim Asy'ari"/>
        <s v="RS Graha Sehat"/>
        <s v="RS Bhakti Rahayu"/>
        <s v="RS Umum Daerah Kota Malang"/>
        <s v="RS Umum Dian Husada"/>
        <s v="RS Umum Mitra Sehat Mandiri Sidoarjo"/>
        <s v="RS Umum Islam Aisyiyah Malang"/>
        <s v="RS Bhayangkara Lumajang"/>
        <s v="RS Umum dr. Suyudi"/>
        <s v="RS Sukma Wijaya"/>
        <s v="RS Umum Daerah Nganjuk"/>
        <s v="RS Ibu dan Anak Fauziah"/>
        <s v="RS Mawaddah Medika"/>
        <s v="RS Umum Daerah Ngudi Waluyo Wlingi"/>
        <s v="RS Umum TNI AD Tk. IV 05.04.01 Kota Madiun"/>
        <s v="RS Islam Aisyiyah Nganjuk"/>
        <s v="RS Umum Muhammadiyah Bandung"/>
        <s v="RS Universitas Airlangga"/>
        <s v="RS Bantuan 05.08.04 Lawang"/>
        <s v="RS Ibu dan Anak Idaf Husada"/>
        <s v="RS Umum Muhammadiyah Lamongan"/>
        <s v="RS Umum dr. Moedjito Dwidjosiswojo"/>
        <s v="RS Petrokimia Gresik Driyorejo"/>
        <s v="RS Asih Abyakta"/>
        <s v="RS An-Noor Medika Lamongan"/>
        <s v="RS Umum Larasati Pamekasan"/>
        <s v="RS Putra Waspada Tulungagung"/>
        <s v="RS Umum Srikandi IBI Jember"/>
        <s v="RS Islam Fatimah"/>
        <s v="RS Umum Daerah Haji Provinsi Jawa Timur"/>
        <s v="RS Umum Panti Nirmala"/>
        <s v="RS Orthopedi dan Traumatologi Surabaya"/>
        <s v="RS Umum Daerah Sumberglagah"/>
        <s v="RS Ibu dan Anak Bantuan 05.08.05 Surabaya"/>
        <s v="RS Umum Darmayu Ponorogo"/>
        <s v="RS Gatoel"/>
        <s v="RS Umum Bhayangkara Tulungagung"/>
        <s v="RS Bantuan 05.08.03 Sidoarjo"/>
        <s v="RS Fathma Medika"/>
        <s v="RS Umum Daerah Grati"/>
        <s v="RS Umum Daerah Sumberrejo"/>
        <s v="RS Umum Lirboyo"/>
        <s v="RS Umum Daerah Ploso"/>
        <s v="RS Ibu dan Anak Samudra Husada"/>
        <s v="RS Umum Darmayu Madiun"/>
        <s v="RS Umum Karsa Husada Kota Batu"/>
        <s v="RS William Booth Surabaya"/>
        <s v="RS Ibu dan Anak Galeri Candra Malang"/>
        <s v="RS Mata Pasuruan"/>
        <s v="RS Utama Husada Jember"/>
        <s v="RS Marinir Ewa Pangalila Gunungsari"/>
        <s v="RS Islam Lumajang"/>
        <s v="RS Surabaya Medical Service"/>
        <s v="RS Umum Universitas Muhammadiyah Jember"/>
        <s v="RS Muhammadiyah Ahmad Dahlan"/>
        <s v="RS Umum Fatimah Lamongan"/>
        <s v="RS Umum  Wilujeng"/>
        <s v="Mayapada Hospital Surabaya"/>
        <s v="RS Umum Daerah Bangil"/>
        <s v="RS Gigi dan Mulut Nala Husada"/>
        <s v="RS Ibu dan Anak Lombok Dua Dua"/>
        <s v="RS Umum Daerah Asembagus Kabupaten Situbondo"/>
        <s v="RS Al-Rohmah Banyuwangi"/>
        <s v="RS Sumber Sentosa"/>
        <s v="RS Umum Anwar Medika"/>
        <s v="RS Djatiroto"/>
        <s v="RS Lawang Medika"/>
        <s v="RS Grha Husada Gresik"/>
        <s v="RS Umum Abdhi Famili"/>
        <s v="RS Qona'ah"/>
        <s v="RS Umum Daerah Dungus"/>
        <s v="RS Prasetya Husada"/>
        <s v="RS Toeloengredjo"/>
        <s v="RS Umum Islam Siti Aisyah"/>
        <s v="RS Umum Griya Husada Madiun"/>
        <s v="RS Semen Gresik"/>
        <s v="RS Umum Universitas Muhammadiyah Malang"/>
        <s v="RS Islam Garam Kalianget"/>
        <s v="RS Ibu dan Anak Graha Medika"/>
        <s v="RS Umum Wava Husada Kesamben"/>
        <s v="RS Ibu dan Anak Aisyiyah"/>
        <s v="RS Nahdlatul Ulama Banyuwangi"/>
        <s v="RS Husada Utama Surabaya"/>
        <s v="RS Umum Rachmi Dewi"/>
        <s v="RS Umum Citra Medika Lamongan"/>
        <s v="RS Umum Lavalette Malang"/>
        <s v="RS Umum Ibnu Sina Bojonegoro"/>
        <s v="RS Universitas Brawijaya"/>
        <s v="RS Umum PKU Muhammadiyah Mojoagung"/>
        <s v="RS Emma"/>
        <s v="RS Ibu dan Anak Fatimah Kraksaan"/>
        <s v="RS Ibu dan Anak Glamour Husada Kebun"/>
        <s v="RS Griya Waluya"/>
        <s v="RS Islam Hasanah Muhammadiyah"/>
        <s v="RS Umum Islam  Madinah"/>
        <s v="RS Al Huda"/>
        <s v="RS Islam Aminah"/>
        <s v="RS Yasyfin Darussalam Gontor"/>
        <s v="RS Ibu dan Anak Puri Bunda Madura"/>
        <s v="RS Umum Daerah Dr. R. Koesma Tuban"/>
        <s v="RS Umum Arga Husada"/>
        <s v="RS Umum Ratih"/>
        <s v="RS Baptis Batu"/>
        <s v="RS Darmo"/>
        <s v="RS Umum Pelengkap Medical Center"/>
        <s v="RS Mitra Keluarga Pondok Tjandra"/>
        <s v="RS Daerah Kalisat Jember"/>
        <s v="RS Jiwa Menur"/>
        <s v="RS Katolik Budi Rahayu"/>
        <s v="RS Umum  Aura Syifa"/>
        <s v="RS Umum Siti Khodijah Muhammadiyah Cabang Sepanjan"/>
        <s v="RS Onkologi"/>
        <s v="RS Umum Muhammadiyah Babat"/>
        <s v="RS Umum Daerah dr. Mohamad Saleh Kota Probolinggo"/>
        <s v="RS Umum Daerah Bhakti Dharma Husada"/>
        <s v="RS Wiyung Sejahtera"/>
        <s v="RS Umum Daerah dr. Sayidiman Magetan"/>
        <s v="RS Muji Rahayu"/>
        <s v="RS Umum Hermina Tangkubanprahu"/>
        <s v="RS Ibu dan Anak Nur Ummi Numbi"/>
        <s v="RS AU dr. Mohammad Moenir"/>
        <s v="RS Petrokimia Gresik"/>
        <s v="RS Al-Aziz"/>
        <s v="RS Ibu dan Anak Perdana Medica"/>
        <s v="RS Graha Medika"/>
        <s v="RS TK. IV 05.07.02 Kediri"/>
        <s v="RS Abdurrahman Syamsuri (Arsy)"/>
        <s v="RS Mitra Keluarga Kenjeran"/>
        <s v="RS Umum Islam Cahaya Giri Gresik"/>
        <s v="RS Umum Daerah dr. Abdoer Rahem Situbondo"/>
        <s v="RS Umum  Mitra Keluarga Surabaya"/>
        <s v="RS Angkatan Udara dr. Munir Lanud Abdulrachman Saleh"/>
        <s v="RS Kristen Mojowarno"/>
        <s v="RS Mitra Delima"/>
        <s v="RS Umum Budi Asih Trenggalek"/>
        <s v="RS Umum Daerah Raden Achmad Basoeni"/>
        <s v="RS Sido Waras"/>
        <s v="RS Umum Mitra Keluarga Waru"/>
        <s v="RS Ibu dan Anak Pondok Tjandra"/>
        <s v="RS Cahya Medika"/>
        <s v="RS Muhammadiyah Tuban"/>
        <s v="RS Wijaya Kusuma"/>
        <s v="RS Primasatya Husada Citra (PHC) Surabaya"/>
        <s v="RS Bedah Mitra Sehat"/>
        <s v="RS Khusus Bedah Heart and Surgery"/>
        <s v="RS Permata Serdang"/>
        <s v="RS Umum Daerah Dr. Adjidarmo"/>
        <s v="RS Bethsaida"/>
        <s v="RS Columbia Asia BSD"/>
        <s v="RS Sari Asih Karawaci"/>
        <s v="RS Sari Asih Sangiang"/>
        <s v="RS Islam Sari Asih Ar-rahmah"/>
        <s v="RS Siloam Hospitals Kelapa Dua"/>
        <s v="RS Ibu dan Anak Permata Ibunda"/>
        <s v="RS Ibu dan Anak Bunda Ciputat"/>
        <s v="RS Umum Daerah dr. Drajat Prawiranegara"/>
        <s v="RS Umum Bhakti Asih"/>
        <s v="RS Umum Daerah Pakuhaji"/>
        <s v="RS Umum Daerah Serpong Utara"/>
        <s v="RS Umum Daerah Malingping"/>
        <s v="RS Qadr"/>
        <s v="RS Sari Asih Ciputat"/>
        <s v="RS Umum Daerah Banten"/>
        <s v="RS Tiara"/>
        <s v="RS EMC Tangerang"/>
        <s v="RS Ibu dan Anak Bina Medika"/>
        <s v="RS Andalucia"/>
        <s v="RS Umum Daerah Kota Tangerang"/>
        <s v="RS Alinda Husada"/>
        <s v="RS Khusus Bedah Via Medika"/>
        <s v="RS Bunda Sejati"/>
        <s v="RS Umum Keluarga Kita"/>
        <s v="RS Ibu dan Anak Makiyah"/>
        <s v="RS Budiasih"/>
        <s v="Metro Hospitals Cikupa"/>
        <s v="RS Selaras"/>
        <s v="RS SHL"/>
        <s v="RS Umum Daerah Kota Cilegon"/>
        <s v="RS Mitra Keluarga Bintaro"/>
        <s v="RS. Mitra Keluarga Pamulang"/>
        <s v="RS Ichsan Medical Center"/>
        <s v="RS Rumah Indonesia Sehat"/>
        <s v="RS Mayapada"/>
        <s v="RS Ibu dan Anak Permata Sarana Husada"/>
        <s v="RS Ibu dan Anak Karunia Bunda"/>
        <s v="RS Suci Paramita"/>
        <s v="RS Ibu dan Anak PKU Muhammadiyah Cipondoh"/>
        <s v="RS Ibu dan Anak Bunda Sejahtera"/>
        <s v="RS Umum Daerah Kabupaten Tangerang"/>
        <s v="RS Ibu dan Anak Harapan Mulia"/>
        <s v="RS Ibu dan Anak Pratiwi"/>
        <s v="RS Ibu dan Anak Buah Hati Pamulang"/>
        <s v="RS Ibu dan Anak Selaras"/>
        <s v="RS Mentari"/>
        <s v="RS Eka"/>
        <s v="RS Dinda"/>
        <s v="RS Hermina Serpong"/>
        <s v="RS Umum Daerah Pondok Aren"/>
        <s v="RS Hermina Ciruas"/>
        <s v="RS Ibu dan Anak Ilanur"/>
        <s v="RSUP Dr. Sitanala Tangerang"/>
        <s v="RS Umum Daerah Benda"/>
        <s v="RS Insan Permata"/>
        <s v="RS Umum Daerah Kota Serang"/>
        <s v="RS Citra sundari"/>
        <s v="RS UniMedika Sepatan"/>
        <s v="RS Umum Daerah Balaraja"/>
        <s v="RS Murni Teguh Ciledug"/>
        <s v="RS Tonggak Husada"/>
        <s v="RS Mulya"/>
        <s v="RS St. Carolus Summarecon Serpong"/>
        <s v="RS Aqidah"/>
        <s v="RS Mandaya Royal Puri"/>
        <s v="RS Buah Hati Ciputat"/>
        <s v="RS Mata Achmad Wardi BWI-DD"/>
        <s v="RS Sari Asih Serang"/>
        <s v="RS Umum BUN"/>
        <s v="RS Jannah"/>
        <s v="RS Misi Lebak"/>
        <s v="RS Permata Pamulang"/>
        <s v="RS Ibu dan Anak Gebang Medika"/>
        <s v="RS Metro Hospitals M. Toha"/>
        <s v="RS Umum Daerah Kota Tangerang Selatan"/>
        <s v="RS Siloam Hospitals Lippo Village"/>
        <s v="RS Fatimah"/>
        <s v="RS Sari Asih Cipondoh"/>
        <s v="RS Umum Hermina Cilegon"/>
        <s v="RS Tk. IV Kencana Serang"/>
        <s v="RS Kurnia Serang"/>
        <s v="RS Krakatau Medika"/>
        <s v="RS Mitra Keluarga Gading Serpong"/>
        <s v="RS Umum Hermina Tangerang"/>
        <s v="RS Sari Asih Ciledug"/>
        <s v="RS Khusus Jiwa Dharma Graha"/>
        <s v="RS Medika Lestari"/>
        <s v="RS Mitra Husada"/>
        <s v="RS Ibu dan Anak Dhia"/>
        <s v="RS Ibu dan Anak Assyifa"/>
        <s v="RS An-Nisa"/>
        <s v="RS Khusus THT-Bedah KL Proklamasi BSD"/>
        <s v="Brawijaya Hospital Tangerang"/>
        <s v="RS Umum Hermina Bitung"/>
        <s v="RS Permata Hati"/>
        <s v="RS Otika Medika"/>
        <s v="RS Benggala"/>
        <s v="RS Syarif Hidayatullah"/>
        <s v="RS Ibu dan Anak Vitalaya"/>
        <s v="RS Umum Primaya Pasar Kemis"/>
        <s v="RS Ibu dan Anak Tiara"/>
        <s v="RS Kurnia"/>
        <s v="RS Umum Daerah Berkah Pandeglang"/>
        <s v="RS Karang Tengah Medika"/>
        <s v="RS Hermina Ciledug"/>
        <s v="RS Umum Daerah Tigaraksa"/>
        <s v="RS Ibu dan Anak Permata Dalima"/>
        <s v="RS Umum Ibunda"/>
        <s v="RS Bhayangkara Tk. IV Biddokkes Polda Banten"/>
        <s v="RS Premier Bintaro"/>
        <s v="RS Cinta Kasih"/>
        <s v="RS Ibu dan Anak Puri Garcia"/>
        <s v="RS Pondok Indah Bintaro Jaya"/>
        <s v="RS Hermina Periuk Tangerang"/>
        <s v="RS Daan Mogot Kesdam Jaya"/>
        <s v="RS Hermina Ciputat"/>
        <s v="RS Umum Murni Asih"/>
        <s v="RS Citra Arafiq Serang"/>
        <s v="RS EMC Alam Sutera"/>
        <s v="RS Umum Aulia Pandeglang"/>
        <s v="RS Bethsaida Hospital Serang"/>
        <s v="RS Ciputra"/>
        <s v="RS Melati"/>
        <s v="RS Umum Dharma Kerti"/>
        <s v="RS Umum Surya Husadha"/>
        <s v="RS Umum Surya Husadha Nusa Dua"/>
        <s v="RS Umum Kasih Ibu Tabanan"/>
        <s v="RS Umum Payangan"/>
        <s v="RS Umum Kertha Usadha"/>
        <s v="RS Umum Daerah Sanjiwani Gianyar"/>
        <s v="RS Umum Kasih Ibu Saba"/>
        <s v="RS Umum Daerah Singasana"/>
        <s v="RS Umum Dharma Yadnya"/>
        <s v="RS Umum Semara Ratih"/>
        <s v="RS Umum Bhakti Rahayu Tabanan"/>
        <s v="RSUP Prof. Dr. I.G.N.G. Ngoerah"/>
        <s v="RS Umum Balimed Karangasem"/>
        <s v="RS Umum Daerah Bangli"/>
        <s v="RS Umum Daerah Bali Mandara Provinsi Bali"/>
        <s v="RS Umum Famili Husada"/>
        <s v="RS Umum Bhakti Rahayu"/>
        <s v="RS Umum Shanti Graha"/>
        <s v="RS Bali Jimbaran"/>
        <s v="RS Umum Parama Sidhi"/>
        <s v="RS Balimed Buleleng"/>
        <s v="RS Bhayangkara Denpasar"/>
        <s v="RS Khusus Bedah BIMC Nusa Dua"/>
        <s v="RS Ibu dan Anak Puri Bunda Singaraja"/>
        <s v="RS Umum Daerah Giri Emas"/>
        <s v="RS Ibu dan Anak Bali Royal (Bros Ina)"/>
        <s v="RS TK. II Udayana"/>
        <s v="RS Umum Daerah Gema Santi Nusa Penida"/>
        <s v="RS Umum Ganesha"/>
        <s v="RS Umum Daerah Negara"/>
        <s v="RS Umum Grha Bhakti Medika"/>
        <s v="RS Umum Daerah Karangasem"/>
        <s v="RS Gigi dan Mulut Saraswati Denpasar"/>
        <s v="RS Umum Bintang"/>
        <s v="RS Windu Husada"/>
        <s v="RS Umum Bali Royal"/>
        <s v="RS Umum Kasih Ibu Kedonganan"/>
        <s v="RS Khusus Mata Bali Mandara"/>
        <s v="RS Umum Daerah Tabanan"/>
        <s v="RS Umum Bangli Medika Canti"/>
        <s v="RS Umum Ari Canti"/>
        <s v="RS Tk. IV Singaraja"/>
        <s v="RS Kasna Medika"/>
        <s v="RS Umum Balimed"/>
        <s v="RS Umum Murni Teguh Tuban Bali"/>
        <s v="RS Khusus Bedah BIMC"/>
        <s v="RS Umum Bali Holistik"/>
        <s v="RS umum Karya Dharma Husada"/>
        <s v="RS Ibu dan Anak Puri Bunda Tabanan"/>
        <s v="RS Pratama Kubu"/>
        <s v="RS Kenak Medika"/>
        <s v="RS Universitas Udayana"/>
        <s v="RS Ibu dan Anak Bunda Denpasar"/>
        <s v="RS Umum Daerah Klungkung"/>
        <s v="RS Umum Balimed Negara"/>
        <s v="RS Umum Puri Raharja"/>
        <s v="RS Khusus Ibu dan Anak Pucuk Permata Hati"/>
        <s v="RS Daerah Mangusada"/>
        <s v="RS Umum Garba Med"/>
        <s v="RS Umum Daerah Wangaya"/>
        <s v="RS Khusus Mata Ramata"/>
        <s v="RS Jiwa Provinsi Bali"/>
        <s v="RS Umum Premagana"/>
        <s v="RS Umum Siloam Bali"/>
        <s v="RS Umum Daerah Tangguwisia"/>
        <s v="RS Umum Wisma Prashanti"/>
        <s v="RS Umum Manuaba"/>
        <s v="RS Khusus Bedah Dharma Usadha Sidhi"/>
        <s v="RS Umum Kertayasa"/>
        <s v="RS Umum Daerah Kab. Buleleng"/>
        <s v="RS Umum Daerah Lombok Timur"/>
        <s v="RS Umum Kab. Lombok Utara"/>
        <s v="RS Umum Bima"/>
        <s v="RS Metro Medika"/>
        <s v="RS H. L. Manambai Abdulkadir"/>
        <s v="RS Universitas Mataram"/>
        <s v="RS Ibu dan Anak Kuncup Bunga"/>
        <s v="RS Angkatan Darat REM Wira Bhakti Mataram"/>
        <s v="RS Bio Medika"/>
        <s v="RS Mata Nusa Tenggara Barat"/>
        <s v="RS Umum Praya"/>
        <s v="RS Umum Khatolik Saint Antonius  Ampenan"/>
        <s v="RS Umum Daerah Asy-Syifa Sumbawa Barat"/>
        <s v="RS Umum Daerah Dr. R. Soedjono Selong"/>
        <s v="RS Tk. IV Sultan Abdul Kahir II Bima"/>
        <s v="RS Umum Daerah Patuh Karya"/>
        <s v="RS Umum Daerah Kota Bima"/>
        <s v="RS Bhayangkara Mataram"/>
        <s v="RS Abdul Malik Fadjar"/>
        <s v="RS Umum Dompu"/>
        <s v="RS Ibu dan Anak Permata Hati Lombok Timur"/>
        <s v="RS Harapan Keluarga"/>
        <s v="RS Lotim Medical Center"/>
        <s v="RS Umum Daerah Provinsi NTB"/>
        <s v="RS Islam Namira"/>
        <s v="RS Umum Daerah Patut Patuh Patju"/>
        <s v="RS Ibu dan Anak Bhumi Bunda"/>
        <s v="RS Mandalika Provinsi Nusa Tenggara Barat"/>
        <s v="RS Umum Daerah Awet Muda Narmada"/>
        <s v="RS Islam Siti Hajar"/>
        <s v="RS Umum Daerah Sondosia Kab. Bima"/>
        <s v="RS Umum Daerah Selaparang"/>
        <s v="RS Islam S. Anggoro"/>
        <s v="RS dr. Agung"/>
        <s v="RS Islam Yatofa"/>
        <s v="RS Ibu dan Anak Tresna"/>
        <s v="RS Jiwa Mutiara Sukma"/>
        <s v="RS Umum Daerah Kota Mataram"/>
        <s v="Siloam Hospitals Mataram"/>
        <s v="RS Umum Sumbawa"/>
        <s v="RS PKU Muhammadiyah Bima"/>
        <s v="RS Umum Adikarsa"/>
        <s v="RS Umum Daerah Manggelewa"/>
        <s v="RS Risa Sentra Medika"/>
        <s v="RS St Antonius Jopu"/>
        <s v="RS Ibu dan Anak Dedari"/>
        <s v="RS Umum Imanuel Sumba"/>
        <s v="RS Umum Daerah dr. Hendrikus Fernandez Larantuka"/>
        <s v="RS Siloam Kupang"/>
        <s v="RS Karitas Weetabula"/>
        <s v="RS Umum Leona Kupang"/>
        <s v="RS Umum Daerah Ruteng"/>
        <s v="RS Pratama Adonara"/>
        <s v="RS Umum Mamami"/>
        <s v="RS Umum Daerah Reda Bolo"/>
        <s v="RSUD Pratama Raja"/>
        <s v="RS Umum Daerah Kefamenanu"/>
        <s v="RS Damian Lembata"/>
        <s v="RS Umum Leona Noelbakti"/>
        <s v="RS TNI AL Lantamal VII Kupang"/>
        <s v="RS Kristen Lindimara"/>
        <s v="RS Umum Prof. Dr. WZ Johanes"/>
        <s v="RS Jiwa Naimata"/>
        <s v="RS Umum Muder Ignacia"/>
        <s v="RS Umum Daerah Borong"/>
        <s v="RS Katholik Marianum Halilulik"/>
        <s v="RS Umum Dr TC Hillers Maumere"/>
        <s v="RS Umum Pusat dr. Ben Mboi"/>
        <s v="RS Bhayangkara"/>
        <s v="RS Umum Daerah Naibonat"/>
        <s v="RS Pratama Kualin"/>
        <s v="RS Umum Santo Yoseph Labuan bajo"/>
        <s v="RS Umum Daerah S. K. Lerik"/>
        <s v="RS Umum Penyangga Perbatasan Betun"/>
        <s v="RS Ibu dan Anak Mitra Ananda"/>
        <s v="RS Pratama Umbu Hunga Meha Nggongi"/>
        <s v="RS Umum Daerah Ende"/>
        <s v="RS Umum Kelas D Pratama Mola"/>
        <s v="RS Kristen Lende Moripa"/>
        <s v="RS Umum Bajawa"/>
        <s v="RS St. Carolus Borromeus"/>
        <s v="RS Umum Soe"/>
        <s v="RS  Bukit Lewoleba"/>
        <s v="RS Tk. IV 09.07.04 Atambua"/>
        <s v="RS Umum Waikabubak"/>
        <s v="RS  ST Rafael Cancar"/>
        <s v="RS Umum Kartini Kupang"/>
        <s v="RS Umum Daerah MGR Gabriel Manek"/>
        <s v="RS Umum Daerah Lewoleba"/>
        <s v="RS Umum Bunda Pembantu Abadi Naob"/>
        <s v="RS Siloam Labuan Bajo"/>
        <s v="RS Umum Daerah Waingapu"/>
        <s v="RS Umum Leona"/>
        <s v="RS Tk. III Wirasakti Kupang"/>
        <s v="RS Pratama Reo"/>
        <s v="RS Umum St. Gabriel Kewapante Sikka"/>
        <s v="RS Pratama Watunggong"/>
        <s v="RS Umum Hobakalla"/>
        <s v="RS Sito Husada"/>
        <s v="RS St Elizabeth Lela"/>
        <s v="RS Umum Daerah Sabu Raijua"/>
        <s v="RS Umum Daerah Aeramo Kabupaten Nagekeo"/>
        <s v="RS Pratama Raijua"/>
        <s v="RS Umum Daerah Rote Ndao Ba'a"/>
        <s v="RS Umum Daerah Waibakul"/>
        <s v="RS Daerah Kalabahi"/>
        <s v="RS Umum Daerah Drs. Jacobus Luna, M.Si Kabupaten Bengkayang"/>
        <s v="RS Umum Sa'adah"/>
        <s v="RS Pratama Tamongokng Naga Lantai"/>
        <s v="RS Angkatan Udara dr. Mohammad Sutomo"/>
        <s v="RS Umum Daerah Kabupaten Kubu Raya"/>
        <s v="RS Ibu dan Anak Nabasa Pontianak"/>
        <s v="RS Umum Daerah Pemangkat"/>
        <s v="RS Umum Medika Djaya"/>
        <s v="RS Umum Daerah Sekadau"/>
        <s v="RS Mitra Medika Pontianak"/>
        <s v="RS Umum Daerah Dr. Rubini Mempawah"/>
        <s v="RS Ibu dan Anak Permata Bunda"/>
        <s v="RS Umum Daerah Belimbing"/>
        <s v="RS Umum Bethesda Serukam"/>
        <s v="RS Umum Daerah Dr. Soedarso Pontianak"/>
        <s v="RS Umum Sentra Medika Sanggau"/>
        <s v="RS Umum Daerah Pontianak Utara"/>
        <s v="RS Umum Daerah Temenggung Gergaji"/>
        <s v="RS Ibu dan Anak Wempe Singkawang"/>
        <s v="RS Parindu"/>
        <s v="RS Umum Daerah Teluk Keramat"/>
        <s v="RS Umum Kasih Bunda Jaya Nanga Pinoh"/>
        <s v="RS Jiwa Sudiyanto"/>
        <s v="RS Umum Santo Vincentius Singkawang"/>
        <s v="RS Umum St. Antonius Pontianak"/>
        <s v="RS Umum Sayang Ibu Sintang"/>
        <s v="RS Fatima Ketapang"/>
        <s v="RS Ibu dan Anak Anugrah"/>
        <s v="RS Tk. IV 12.07.02 Sintang"/>
        <s v="RS Bersalin Jeumpa"/>
        <s v="RS Santa Elisabeth"/>
        <s v="RS Anugerah Bunda Khatulistiwa"/>
        <s v="RS Umum Daerah Sambas"/>
        <s v="RS Universitas Tanjungpura"/>
        <s v="RS Umum Daerah dr. Achmad Diponegoro Putussibau"/>
        <s v="RS Bhayangkara Pontianak"/>
        <s v="RS Umum Daerah Kabupaten Landak"/>
        <s v="RS Umum Daerah Sultan Syarif  Mohammad Alkadrie"/>
        <s v="RS Tk. IV 12.07.01 Singkawang"/>
        <s v="RS Umum Daerah Kabupaten Melawi"/>
        <s v="RS Umum Citra Husada Nanga Pinoh"/>
        <s v="RS Umum Daerah Badau"/>
        <s v="RS Umum Daerah M. Th. Djaman Sanggau"/>
        <s v="RS Umum Anugrah Bunda Jaya Sintang"/>
        <s v="RS Ibu dan Anak Bujang Dara Sintang"/>
        <s v="RS Jiwa Provinsi Kalimantan Barat"/>
        <s v="RS Tk. II Kartika Husada Kes.Dam XII Tanjungpura"/>
        <s v="RS Umum Daerah Sultan Muhammad Jamaludin I"/>
        <s v="RS Umum Daerah Dr. Agoesdjam Ketapang"/>
        <s v="RS Umum Daerah Semitau"/>
        <s v="RS Umum Daerah Serawai"/>
        <s v="RS Umum Harapan Bersama Singkawang"/>
        <s v="RS Pratama Kabupaten Landak"/>
        <s v="RS Umum Kharitas Bhakti"/>
        <s v="RS Islam Yarsi Pontianak"/>
        <s v="RS Umum Daerah Dr. Abdul Aziz Singkawang"/>
        <s v="RS Pro Medika Pontianak"/>
        <s v="RS Umum Daerah Ade Muhammad Djoen Sintang"/>
        <s v="RS Ibu dan Anak Yasmin Palangka Raya"/>
        <s v="RS Advent Palangkaraya"/>
        <s v="RS Islam PKU Muhammadiyah Palangka Raya"/>
        <s v="RS Umum Daerah Puruk Cahu"/>
        <s v="RS Umum Daerah Dr Murjani Sampit"/>
        <s v="RS Umum Daerah Kabupaten Lamandau"/>
        <s v="RS Umum Daerah Dr. H. Soemarno Sosroaatmojo"/>
        <s v="RS Umum Daerah Pulang Pisau"/>
        <s v="RS Umum Daerah Kutaringin"/>
        <s v="RS Umum Daerah Jaraga Sasameh"/>
        <s v="RS Umum Daerah Palangka Raya"/>
        <s v="RS Jiwa Kalawa Atei"/>
        <s v="RS Tk. IV Palangkaraya"/>
        <s v="RS Umum Harapan Insani"/>
        <s v="RS Umum Daerah Muara Teweh"/>
        <s v="RS Pratama Tumbang Talaken"/>
        <s v="RS Umum Daerah Sultan Imanuddin"/>
        <s v="RS Umum Daerah Sukamara"/>
        <s v="RS Umum Daerah  Mas Amsyar Kasongan"/>
        <s v="RS Bhayangkara Palangka Raya"/>
        <s v="RS Umum Daerah Kuala Pembuang"/>
        <s v="RS Siloam Palangka Raya"/>
        <s v="RS Citra Husada Pangkalan Bun"/>
        <s v="RS Umum Daerah Kuala Kurun"/>
        <s v="RS Kelas D Pratama Parenggean"/>
        <s v="RS Pratama Tumbang Samba"/>
        <s v="RS Umum Daerah Dr. Doris Sylvanus Palangka Raya"/>
        <s v="RS Primaya Betang Pambelum"/>
        <s v="RS Ibu dan Anak Bunda Palangkaraya"/>
        <s v="RS Umum Daerah Hanau"/>
        <s v="RS Umum Daerah Tamiang Layang"/>
        <s v="RS Umum Daerah H. Boejasin Pelaihari"/>
        <s v="RS Umum Daerah Dr. H. Moch. Ansari Saleh"/>
        <s v="RS Borneo Citra Medika"/>
        <s v="RS Umum Pelita Insani"/>
        <s v="RS Umum Aveciena Medika"/>
        <s v="RS Umum Daerah Sengayam"/>
        <s v="RS Umum Daerah H. Badaruddin Kasim"/>
        <s v="RS Umum Daerah Datu Kandang Haji"/>
        <s v="RS Umum Permata Husada Banjarbaru"/>
        <s v="RS Umum Daerah Ratu Zalecha"/>
        <s v="RS Khusus Bedah Banjarmasin Siaga"/>
        <s v="RS Umum Syifa Medika"/>
        <s v="RS Sumber Jaya Sehat"/>
        <s v="RS Umum Daerah KH. Mansyur"/>
        <s v="RS Umum Daerah dr. H. Andi Abdurrahman Noor"/>
        <s v="RS Umum Handayati"/>
        <s v="RS Umum Daerah  H. Abdul Aziz Marabahan"/>
        <s v="RS Bhayangkara Tk. III Banjarmasin"/>
        <s v="RS Tk. IV Guntung Payung"/>
        <s v="RS Umum Suaka Insan"/>
        <s v="RS Mulia Amuntai"/>
        <s v="RS Siloam Banjarmasin"/>
        <s v="RS Umum Daerah Brigjed H. Hasan Basry Kandangan"/>
        <s v="RS Tk. III Dr. R. Soeharsono"/>
        <s v="RS Umum Daerah Pambalah Batung"/>
        <s v="RS Umum Daerah Pangeran Jaya Sumitra"/>
        <s v="RS Umum Sari Mulia"/>
        <s v="RS Umum Ceria"/>
        <s v="RS Umum Pertamina Tanjung"/>
        <s v="RS Jiwa Sambang Lihum"/>
        <s v="RS Marina Permata"/>
        <s v="RS TNI AU Sjamsudin Noor"/>
        <s v="RS Umum Mawar"/>
        <s v="RS Umum Daerah Ulin Banjarmasin"/>
        <s v="RS Islam Sultan Agung Banjarbaru"/>
        <s v="RS Umum Daerah Daha Sejahtera"/>
        <s v="RS Umum Almansyur Medika Banjarbaru"/>
        <s v="RS Umum Daerah Datu Sanggul Rantau"/>
        <s v="RS Umum Daerah Sultan Suriansyah Banjarmasin"/>
        <s v="RS Ibu dan Anak Mahkota Bunda"/>
        <s v="RSD Idaman Kota Banjarbaru"/>
        <s v="RS Umum Ciputra Mitra Hospital"/>
        <s v="RS Islam Banjarmasin"/>
        <s v="RS Ibu dan Anak Paradise"/>
        <s v="RS Umum Daerah  H Damanhuri Barabai"/>
        <s v="RS Khusus Gigi dan Mulut Gusti Hasan Aman"/>
        <s v="RS Umum Daerah Talisayan"/>
        <s v="RS Umum Daerah Dr. Kanujoso Djatiwibowo"/>
        <s v="RS Ibu Anak Cahaya Sangatta"/>
        <s v="RS Medika Utama Manggar"/>
        <s v="RS Ibu dan Anak Jimmy Medika Borneo"/>
        <s v="RS Umum Daerah Aji Batara Agung Dewa Sakti"/>
        <s v="RS Umum Daerah Sepaku Tipe D"/>
        <s v="RS Umum Daerah Muara Bengkal"/>
        <s v="RS Medika Utama Permata"/>
        <s v="RS Jiwa Atma Husada Mahakam"/>
        <s v="RS Tk. II Dr. R. Hardjanto"/>
        <s v="RS Ibu Anak Asy Syifa"/>
        <s v="RS LNG Badak"/>
        <s v="RS Santa Elisabeth Bengalon"/>
        <s v="RS Umum Meloy"/>
        <s v="RS Umum Daerah Kudungga"/>
        <s v="RS Umum Tk. IV  Lanud Balikpapan"/>
        <s v="RS Ibu Anak Asih  Balikpapan"/>
        <s v="RS Umum Haji Darjad"/>
        <s v="RS Bhayangkara Balikpapan"/>
        <s v="RS Umum Daerah Taman Husada Bontang"/>
        <s v="RS Hermina Nusantara"/>
        <s v="RS Pupuk Kaltim Prima Sangata"/>
        <s v="RS Mata Provinsi Kalimantan Timur"/>
        <s v="RS Umum Daerah Panglima Sebaya"/>
        <s v="RS Umum Dirgahayu"/>
        <s v="RS Santa Familia"/>
        <s v="RS Umum Daerah Ratu Aji Putri Botung"/>
        <s v="RS Umum Balikpapan Baru"/>
        <s v="RS Khusus Mata SMEC Balikpapan"/>
        <s v="RS Umum Daerah Harapan Insan Sendawar"/>
        <s v="RS Hermina Samarinda"/>
        <s v="RS Ibu dan Anak  Aisyiyah Samarinda"/>
        <s v="RS Umum Daerah Pratama Sendawar"/>
        <s v="RS Pertamina Balikpapan"/>
        <s v="RS Umum Medika Sangatta"/>
        <s v="RS Umum Bhakti Nugraha"/>
        <s v="RS Pelita Kasih"/>
        <s v="RS Samarinda Medika Citra"/>
        <s v="RS Restu Ibu"/>
        <s v="RS Khusus Ibu dan Anak Qurrata A'yun"/>
        <s v="RS Pupuk Kaltim"/>
        <s v="RS Umum Daerah Dayaku Raja"/>
        <s v="RS Umum Daerah Dr. Abdul Rivai"/>
        <s v="RS Amalia Bontang"/>
        <s v="RS Umum Daerah Inche Abdoel Moeis"/>
        <s v="RS Umum Daerah Abdul Wahab Sjahranie"/>
        <s v="RS Islam Bontang"/>
        <s v="RS Umum Daerah Sangkulirang"/>
        <s v="RS Siaga Al-Munawwarah Samarinda"/>
        <s v="RS Siloam Hospitals Balikpapan"/>
        <s v="RS Gerbang Sehat Mahulu"/>
        <s v="RS Umum Daerah Aji Muhammad Parikesit"/>
        <s v="RS Umum Daerah Beriman"/>
        <s v="RS Umum Daerah KORPRI Provinsi Kalimantan Timur"/>
        <s v="RS Umum Tk. IV Samarinda"/>
        <s v="RS Hermina Balikpapan"/>
        <s v="RS Bhayangkara Tarakan"/>
        <s v="RS Pertamina Tarakan"/>
        <s v="RS Umum Daerah dr.H. Jusuf SK"/>
        <s v="RS Pratama Long Ampung"/>
        <s v="RS Pratama Sebatik"/>
        <s v="RS Pratama Sebuku"/>
        <s v="RS Kelas D Pratama Tanjung Keramat"/>
        <s v="RS Umum Kota Tarakan"/>
        <s v="RS Pratama Langap"/>
        <s v="RST Tk. IV Abdul Rais Fatah Tanjung Selor"/>
        <s v="RS AL Ilyas Tarakan"/>
        <s v="RS Umum Daerah Tanjung Selor"/>
        <s v="RS Umum Daerah Kabupaten Malinau"/>
        <s v="RS Umum Carsa Tarakan"/>
        <s v="RS Pratama Krayan"/>
        <s v="RS Umum Daerah Kabupaten Nunukan"/>
        <s v="RS Umum Daerah Akhmad Berahim"/>
        <s v="RS Umum Noongan"/>
        <s v="RSU Ratatotok Buyat"/>
        <s v="RS Kinapit"/>
        <s v="RS Siloam GMIM Sonder"/>
        <s v="RS Khusus Daerah Gigi dan Mulut Kota Manado"/>
        <s v="Sentra Medika Hospital Minahasa Utara"/>
        <s v="RS Umum Liung Paduli"/>
        <s v="RSAU dr. Charles P. J. Suoth Lanud Sam Ratulangi"/>
        <s v="RS Umum Daerah Lapangan Sawang Kab. Sitaro"/>
        <s v="RS Umum Daerah Bolaang Mongondow Utara"/>
        <s v="RS Umum Daerah Anugerah"/>
        <s v="RS Hermana"/>
        <s v="RS Ibu dan Anak Kirana Manado"/>
        <s v="RS Budi Mulia Bitung"/>
        <s v="RS Umum Daerah Bolaang Mongondow Selatan"/>
        <s v="RSUP Prof. Dr. R. D. Kandou"/>
        <s v="RS Siloam Paal Dua"/>
        <s v="RS Umum Daerah Mitra Sehat"/>
        <s v="RS. Dr. J. H. AWALOEI - MANADO"/>
        <s v="RS Cantia Tompasobaru"/>
        <s v="RS Khusus Infeksi Kita Waya Provinsi Sulawesi Utara"/>
        <s v="RS Mata Provinsi Sulawesi Utara"/>
        <s v="RS Gigi dan Mulut Universitas Sam Ratulangi"/>
        <s v="RS Umum Daerah Manembo-Nembo Bitung"/>
        <s v="RS Dr. J. H. Awaloei"/>
        <s v="RS Umum Daerah Amurang"/>
        <s v="RS Jiwa Prof. Dr. V. L. Ratumbuysang"/>
        <s v="RS Umum Daerah ODSK"/>
        <s v="RS Monompia"/>
        <s v="RS Kalooran"/>
        <s v="RS Bethesda GMIM Tomohon"/>
        <s v="RS Bhayangkara Manado"/>
        <s v="RS Hermina Manado"/>
        <s v="RS Daerah Liun Kendage"/>
        <s v="RS Umum Daerah Tagulandang"/>
        <s v="RS Umum Daerah Bolaang Mongondow Timur"/>
        <s v="RS Umum Daerah Kota Manado"/>
        <s v="RS Umum Daerah Maria Walanda Maramis"/>
        <s v="RS Gunung Maria"/>
        <s v="RS Advent Manado"/>
        <s v="RS Islam Sitti Maryam"/>
        <s v="RS Bergerak Kab.Kep.Talaud"/>
        <s v="RS Umum Daerah Kota Bitung"/>
        <s v="RS Budi Setia"/>
        <s v="Rumkital dr. Wahyu Slamet Bitung"/>
        <s v="RS Umum Daerah Kota Kotamobagu"/>
        <s v="RS Ibu dan Anak Kasih Fatimah Kotamobagu"/>
        <s v="RS Umum Bintauna"/>
        <s v="RS Ibu dan Anak Kasih Ibu"/>
        <s v="RS TK. II R. W. Mongisidi"/>
        <s v="RS Umum Datoe Binangkang"/>
        <s v="RS Tonsea"/>
        <s v="RS Umum Manado Medical Center"/>
        <s v="RS Umum Siloam Hospital Manado"/>
        <s v="RS Pancaran Kasih"/>
        <s v="RS Umum Daerah Talaud"/>
        <s v="RS Umum Daerah Dr. Sam Ratulangi Tondano"/>
        <s v="RS Umum Daerah Trikora Salakan"/>
        <s v="RS Umum Daerah Poso"/>
        <s v="RS Pratama Bilabanggai Buko Selatan"/>
        <s v="RS TK. III. 13.06.01 Dr. Sindhu Trisno"/>
        <s v="RS Umum Daerah Ampana"/>
        <s v="RS Woodward"/>
        <s v="RS Umum Daerah Anuntaloko Parigi"/>
        <s v="RS Umum Daerah Raja Tombolotutu"/>
        <s v="RS Ibu dan Anak Nasana Pura"/>
        <s v="RS Umum Daerah Pendau Tambu Kab Donggala"/>
        <s v="RS Budi Agung Palu"/>
        <s v="RS Umum Daerah Banggai"/>
        <s v="RS Pratama Mayapuria"/>
        <s v="RS Umum  Mokopido Toli-Toli"/>
        <s v="RS Umum Daerah Morowali"/>
        <s v="RS Umum Daerah Pratama Togean"/>
        <s v="RS Ibu dan Anak Defina"/>
        <s v="RS TK 4 Dr. Yanto, Sp.OT"/>
        <s v="RS Umum Daerah Buluye Napoae Moutong"/>
        <s v="RS Umum Daerah Undata Palu"/>
        <s v="RS Umum Daerah Salabangkapaku"/>
        <s v="RS Umum Daerah Kolonodale"/>
        <s v="RS Umum Daerah Tora Belo"/>
        <s v="RS Umum Hj. Zubaeda Bantilan"/>
        <s v="RS Umum Anutapura Palu"/>
        <s v="RS Ibu dan Anak Care She"/>
        <s v="RS GKST Tentena"/>
        <s v="RS Pratama dr. Abdul Chalik Masulili"/>
        <s v="RS Umum Daerah Madani Palu"/>
        <s v="RS Umum  Sis Al Jufri Palu"/>
        <s v="RS Claire Medika"/>
        <s v="RS Umum Daerah Kabelota"/>
        <s v="RS Umum Daerah Kabupaten Banggai"/>
        <s v="RS Samaritan Palu"/>
        <s v="RS Umum Daerah Wakai"/>
        <s v="RS Ibu dan Anak Tinatapura"/>
        <s v="RS Bhayangkara Palu"/>
        <s v="RS Umum Tadulako Palu"/>
        <s v="RS Umum Daerah Mokoyurli Buol"/>
        <s v="RS Umum Daerah Massenrempulu Enrekang"/>
        <s v="RS Ibu dan Anak Sitti Khadijah 1 Muhammadiyah"/>
        <s v="RS Umum Bintang Laut Palopo"/>
        <s v="RS Khusus Daerah Gigi dan Mulut Provinsi Sulawesi"/>
        <s v="RS Umum Daerah Sayang Rakyat"/>
        <s v="RS Umum Daerah H.A. Sulthan Daeng Radja"/>
        <s v="RS Dokter Palemmai Tandi"/>
        <s v="RS Mata Makassar"/>
        <s v="RS Hamuna"/>
        <s v="RS Ibu dan Anak Malebu Husada"/>
        <s v="RS Umum Daerah La Mappapenning"/>
        <s v="RS Tk. II Pelamonia"/>
        <s v="RS Mega Buana Palopo"/>
        <s v="RS Grestelina"/>
        <s v="RS Umum Daerah Batiling"/>
        <s v="RS Pratama Jampea"/>
        <s v="RS Umum Batara Siang"/>
        <s v="RS Umum Inco Sorowako"/>
        <s v="RS Dr. Hasri Ainun Habibie Parepare"/>
        <s v="RS Khusus Daerah Ibu dan Anak Siti Fatimah"/>
        <s v="RS Umum Daerah Galesong Kabupaten Takalar"/>
        <s v="RS Umum Daerah Datu Pancaitana"/>
        <s v="RS Maryam Citra Medika"/>
        <s v="RS Umum Daerah Pratama Takalar"/>
        <s v="RS Politeknik Ilmu Pelayaran (PIP) Makassar"/>
        <s v="RS Umum Daerah Lanto Daeng Pasewang"/>
        <s v="RS Umum Daerah Batara Guru"/>
        <s v="RS Otak &amp; Jantung Pertamina Royal Biringkanaya"/>
        <s v="RS Akademis Jaury"/>
        <s v="RS Fatima Pare-Pare"/>
        <s v="RS Hikmah Sejahtera Sukamaju"/>
        <s v="RS Umum Daerah Latemmamala Soppeng"/>
        <s v="RS AT Medika"/>
        <s v="RS Umum Sayang Bunda"/>
        <s v="RS Umum Pusat Dr. Tadjuddin Chalid Makassar"/>
        <s v="RS Umum Yapika"/>
        <s v="RS Umum Daerah Syehk Yusuf Gowa"/>
        <s v="RS Ibu dan Anak Masyita"/>
        <s v="RS AL Jala Ammari Makassar"/>
        <s v="RS Umum Wisata Universitas Indonesia Timur"/>
        <s v="RS Umum Daerah Andi Makkasau Parepare"/>
        <s v="RS Umum Daerah Nene Mallomo"/>
        <s v="RS Universitas Hasanuddin"/>
        <s v="RS Umum Cahaya Medika Makassar"/>
        <s v="RS Umum Daerah Lakipadada"/>
        <s v="RS Umum Primaya Hertasning"/>
        <s v="RS Umum Aisyiyah St. Khadijah"/>
        <s v="RS Ibnu Sina YW-UMI Makassar"/>
        <s v="RS Ibu dan Anak Budi Mulia"/>
        <s v="RS Umum Daerah Madising"/>
        <s v="RS Umum Sandi Karsa Makassar"/>
        <s v="RS Tk. IV DR. M. Yasin Bone"/>
        <s v="RS Ibu dan Anak Sentosa"/>
        <s v="RS Umum Daerah Pongtiku"/>
        <s v="Rumah Sakit Sinar Kasih Toraja"/>
        <s v="RS Kelas D Pratama Sailus"/>
        <s v="RS Umum Daerah KH. Hayyung Kepulauan Selayar"/>
        <s v="RS Umum Daerah Lasinrang Pinrang"/>
        <s v="RS Umum Daerah Siwa"/>
        <s v="RS Mata JEC ORBITA @Makassar"/>
        <s v="RS Hikmah"/>
        <s v="RS Islam Gigi dan Mulut FKG-UMI"/>
        <s v="RS Umum Daerah Labuang Baji"/>
        <s v="RS Mujaisyah"/>
        <s v="RS Umum Daerah Haji Makassar"/>
        <s v="RS PKU Muhammadiyah Mamajang"/>
        <s v="RS Gigi dan Mulut Ladokgi TNI AL Yos Sudarso"/>
        <s v="RS Umum Daerah dr. La Palaloi"/>
        <s v="RS Umum Thalia Irham"/>
        <s v="RS Hapsah"/>
        <s v="RS Ibu dan Anak Amanat"/>
        <s v="RS Umum Daerah Sawerigading"/>
        <s v="RS Ibu dan Anak Paramount"/>
        <s v="RS Ibu dan Anak Chaterine Booth"/>
        <s v="RS Umum Daerah Prof. Dr. H. Anwar Makkatutu"/>
        <s v="RS Kepolisian Bhayangkara"/>
        <s v="RS Umum Daerah Rumbia"/>
        <s v="RS Umum Daerah Daya Kota Makassar"/>
        <s v="RS Umum Daerah Kelas D Pratama Bulu Paccing Bikeru"/>
        <s v="RS Ibu dan Anak Prof. dr. H. M. Farid"/>
        <s v="RS Prima Husada Sengkang"/>
        <s v="RS Umum Daerah La Patarai"/>
        <s v="RS Umum Daerah Andi Djemma Masamba"/>
        <s v="RS Umum Daerah Banyorang"/>
        <s v="RS Islam Faisal"/>
        <s v="RS Kemenkes Makassar"/>
        <s v="RS Ibu dan Anak Yasira"/>
        <s v="RS Khusus Ibu dan Anak Zainab"/>
        <s v="RS Umum Daerah H. Padjonga Dg. Ngalle Takalar"/>
        <s v="RS Ibu dan Anak Pelangi Medica"/>
        <s v="RS Umum Elim Rantepao"/>
        <s v="RS Stella Maris"/>
        <s v="RS AU dr. Dody Sardjoto"/>
        <s v="RS Tk. IV 07.07.03 Dr. Sumantri"/>
        <s v="RS Hermina Makassar"/>
        <s v="RS Umum Anugrah Pangkajene"/>
        <s v="RS Umum Daerah Lamaddukkelleng Kabupaten Wajo"/>
        <s v="RS Fatima Makale"/>
        <s v="RS Siloam Makassar"/>
        <s v="RSUP Dr. Wahidin Sudirohusodo"/>
        <s v="RS Santa Teresa Marampa Rantepao"/>
        <s v="RS Umum Daerah Kabupaten Sinjai"/>
        <s v="RS Umum Hikmah Masamba"/>
        <s v="RS Khusus Daerah Ibu dan Anak Pertiwi"/>
        <s v="RS Umum Hj. Puang Sabbe"/>
        <s v="RS Khusus Gigi dan Mulut Universitas Hasanuddin"/>
        <s v="RS PKU Muhammadiyah Unismuh Makassar"/>
        <s v="RS Khusus Daerah Dadi"/>
        <s v="RS Umum Bahagia"/>
        <s v="RS Umum Daerah Arifin Numang"/>
        <s v="RS Umum Daerah Kelas D Pratama Tanete"/>
        <s v="RS Umum Daerah I Lagaligo"/>
        <s v="RS Hikmah Sejahtera Belopa"/>
        <s v="RS Umum Luramay"/>
        <s v="RS Umum St. Madyang"/>
        <s v="RS Ibu dan Anak Ananda Trifa"/>
        <s v="RS Umum Daerah Tenriawaru Bone"/>
        <s v="RS Adinda Medical Centre"/>
        <s v="RS Umum Daerah dr. L.M Baharuddin, M. Kes Kab. Muna"/>
        <s v="RS Jantung dan Pembuluh Darah Oputa Yi Koo Sulawesi Tenggara"/>
        <s v="RS Benyamin Guluh Kolaka"/>
        <s v="RS Umum Setia Bunda"/>
        <s v="RS Umum Daerah Konawe"/>
        <s v="RS Umum Tiara Sentosa"/>
        <s v="RS Umum Daerah H.M.Djafar Harun"/>
        <s v="RS Hati Mulia"/>
        <s v="RS Santa Anna"/>
        <s v="RS Umum Dewi Sartika"/>
        <s v="RS Umum Daerah Kabupaten Muna Barat"/>
        <s v="RS Siloam Hospital Buton"/>
        <s v="RS Bhayangkara Kendari"/>
        <s v="RS Umum Daerah Kabupaten Bombana"/>
        <s v="RS Umum Daerah Kabupaten Buton Tengah"/>
        <s v="RS Umum Aliyah III"/>
        <s v="RS PMI Prov. Sultra"/>
        <s v="RS Umum Daerah Kabupaten Buton"/>
        <s v="RS Umum Daerah Konawe Selatan"/>
        <s v="RS Umum Daerah Kab.Konawe Utara"/>
        <s v="RS Umum Daerah Kabupaten Konawe Kepulauan"/>
        <s v="RS Umum Harifa"/>
        <s v="RS Bahteramas Provinsi Sultra"/>
        <s v="RS Umum Daerah Antero Hamra Kota Kendari"/>
        <s v="RS Ibu dan Anak Harapan Kita"/>
        <s v="RS Antam Nikel Pomalaa"/>
        <s v="RS Faga Husada"/>
        <s v="RS Tk. IV Dr. R. Ismoyo Kendari"/>
        <s v="RS Umum Daerah Kabupaten Buton Selatan"/>
        <s v="RS Jiwa Kendari"/>
        <s v="RS Umum Aliyah II"/>
        <s v="RS Umum Aliyah"/>
        <s v="RS Umum Daerah Kota Bau Bau"/>
        <s v="RS Umum Daerah Kabupaten Kolaka Timur"/>
        <s v="RS Ibu dan Anak Budi Medika"/>
        <s v="RS Umum Daerah Kota Kendari"/>
        <s v="RS Umum Daerah Kabupaten Wakatobi"/>
        <s v="RS Umum Daerah Kabupaten Buton Utara"/>
        <s v="RS Umum Daerah Toto Kabila"/>
        <s v="RS Umum Daerah Tombulilato"/>
        <s v="Rumkit Tk.IV dr. Eddy Kounang Gorontalo"/>
        <s v="RS Umum Daerah Otanaha"/>
        <s v="RS Umum Daerah Bumi Panua"/>
        <s v="RS Umum Daerah dr. Zainal Umar Sidiki"/>
        <s v="RS Pratama Kab. Pohuwatu"/>
        <s v="RS Umum Daerah dr. Hasri Ainun Habibie"/>
        <s v="RS Islam"/>
        <s v="RS Umum Daerah Tolinggula Melayani"/>
        <s v="RS Umum Daerah Tani dan Nelayan"/>
        <s v="RS Umum Daerah Prof Dr. H. Aloei Saboe"/>
        <s v="RS Ibu dan Anak Siti Khadidjah"/>
        <s v="RS Umum Daerah dr. M. Mohammad Dunda"/>
        <s v="RS Umum Daerah DR. Ir. Iwan Bokings Kab. Boalemo"/>
        <s v="RS Bhayangkara Gorontalo"/>
        <s v="RS Umum Daerah Boliyohuto"/>
        <s v="RS Multazam"/>
        <s v="RS Umum Daerah Kabupaten Mamuju Tengah"/>
        <s v="RS Ibu dan Anak Mifta"/>
        <s v="RS Umum Daerah Pasangkayu"/>
        <s v="RS Umum Daerah Kabupaten Majene"/>
        <s v="RS Umum Daerah Kondosapata Kab. Mamasa"/>
        <s v="RS Umum Daerah Kabupaten Mamuju"/>
        <s v="RS Umum Mitra Manakarra"/>
        <s v="RS Umum Daerah Wonomulyo"/>
        <s v="RS Banua Mamase"/>
        <s v="RS Pratama Salutambung"/>
        <s v="RS Bhayangkara Tk. IV Polda Sulbar"/>
        <s v="RS Umum Daerah Hajjah Andi Depu"/>
        <s v="RS Umum Daerah Provinsi Sulawesi Barat"/>
        <s v="RS Tk. III Punggawa Malolo"/>
        <s v="RS Ibu dan Anak Mutiara Ibu"/>
        <s v="RS Umum Dr. M. Haulussy Ambon"/>
        <s v="RS Umum Daerah Tiakur"/>
        <s v="RS Fatima Saumlaki"/>
        <s v="RS TNI AL dr. FX. Soehardjo"/>
        <s v="RS Umum Daerah Maren H. Noho Renuat Kota Tual"/>
        <s v="RS Umum Daerah Kab. Buru"/>
        <s v="RS Umum Pusat Dr. Johannes Leimena Ambon"/>
        <s v="RS Hative Passo"/>
        <s v="RS Pratama Raja Latubau Soel Negeri Fogi"/>
        <s v="RS Umum Daerah dr. Ishak Umarella"/>
        <s v="RS Umum Daerah dr. Salim Alkatiri"/>
        <s v="RS Umum Bakti Rahayu"/>
        <s v="RS Umum Daerah Bula"/>
        <s v="RS Hati Kudus Langgur"/>
        <s v="RS Umum Daerah Banda"/>
        <s v="RS Tk. II Prof. dr. J. A. Latumeten"/>
        <s v="RS Umum Saparua"/>
        <s v="RSKD Provinsi Maluku"/>
        <s v="RS Pratama Wasala"/>
        <s v="RS Umum Masohi"/>
        <s v="RS Umum Daerah Dr. P. P. Magretti Saumlaki"/>
        <s v="RS Siloam Ambon"/>
        <s v="RS Sumber Hidup GPM"/>
        <s v="RS Umum Daerah Cendrawasih Dobo"/>
        <s v="RS Bhayangkara Ambon"/>
        <s v="RS Umum Piru"/>
        <s v="RS Al Fatah"/>
        <s v="RS Umum Karel Sadsuitubun"/>
        <s v="RS Umum Daerah Ir. Soekarno Kab. Pulau Morotai"/>
        <s v="RS Umum Dharma Ibu Ternate"/>
        <s v="RS Umum Daerah Jailolo"/>
        <s v="RS Umum Sofifi"/>
        <s v="RS Umum Daerah Sanana"/>
        <s v="RS Pratama Bisui Kab. Halmahera Selatan"/>
        <s v="RS Umum Daerah Maba"/>
        <s v="RS Umum Daerah Weda"/>
        <s v="RS Ibu dan Anak Andina"/>
        <s v="RS Tk. IV 16.07.01 TNI AD Ternate"/>
        <s v="RS Jiwa Sofifi"/>
        <s v="RS Umum Daerah Bobong"/>
        <s v="RS Umum Daerah Tobelo"/>
        <s v="RS Islam PKU Muhammadiyah Maluku Utara"/>
        <s v="RS Umum Daerah Kota Tidore Kepulauan"/>
        <s v="RS Bhayangkara Tk. IV Ternate"/>
        <s v="RS Umum Daerah  Labuha"/>
        <s v="RS Prima Ternate"/>
        <s v="RS Bethesda GMIH Tobelo"/>
        <s v="RS Umum Daerah Dr. H. Chasan Boesoirie Ternate"/>
        <s v="RS Umum Daerah Kota Ternate"/>
        <s v="RS Umum Obi"/>
        <s v="RS Umum Daerah Scholoo Keyen"/>
        <s v="RS Umum Daerah Raja Ampat"/>
        <s v="RS Umum Pratama Type D Kab. Maybrat"/>
        <s v="RS Umum Kelas D Pratama Kab. Tambrauw"/>
        <s v="RS Tk.IV 18.07.02 J. A. Dimara"/>
        <s v="RS Divari Medical Center"/>
        <s v="RS Umum Daerah Kaimana"/>
        <s v="RS Umum Daerah Dr. Alberth H. Torey"/>
        <s v="RS Umum Daerah Kabupaten Sorong"/>
        <s v="RS Angkatan Laut dr. R. Oetojo"/>
        <s v="RS Bhayangkara Lodewijk Mandatjan"/>
        <s v="RS Umum Elia Waran"/>
        <s v="RS Umum Daerah Sele Be Solu"/>
        <s v="RS Tk. IV dr. Aryoko"/>
        <s v="RS Kasih Herlina"/>
        <s v="RS Umum Daerah Fakfak"/>
        <s v="RS Umum Daerah Teluk Bintuni"/>
        <s v="RS Umum Daerah Manokwari"/>
        <s v="RS AL dr. Azhar Zahir Manokwari"/>
        <s v="RS Pratama Warmare"/>
        <s v="RS Umum Daerah Provinsi Papua Barat"/>
        <s v="RS Mutiara"/>
        <s v="RS Pertamina Sorong"/>
        <s v="RS Umum Daerah Serui"/>
        <s v="RS Bhayangkara Dhira Brata Cartenz"/>
        <s v="RS TNI Angkatan Laut dr. Soedibjo Sardadi"/>
        <s v="RS Mitra Masyarakat Timika"/>
        <s v="RS Umum Daerah Kawera"/>
        <s v="RS Jiwa Abepura"/>
        <s v="RS Umum Daerah Rumah Rodo Fabo"/>
        <s v="RS Umum Daerah Pratama Dogiyai"/>
        <s v="RS TNI Angkatan Laut Merauke"/>
        <s v="RS Angkatan Laut dr. R Gandhi AT"/>
        <s v="RS Umum Daerah Pratama Waghete"/>
        <s v="RS Umum Daerah Supiori"/>
        <s v="RS Umum Nabire"/>
        <s v="RS Provita Jayapura"/>
        <s v="RS Bhayangkara Jayapura"/>
        <s v="RS Hendrik Fintay Kabupaten Sarmi"/>
        <s v="RS Umum Daerah Tiom"/>
        <s v="RS Umum Daerah Dekai"/>
        <s v="RS Umum Daerah Paniai"/>
        <s v="RS Umum Jayapura"/>
        <s v="RS Umum Daerah Ramela Muara Tami"/>
        <s v="RS Pratama Elvrida Sara"/>
        <s v="RS Umum Daerah Oksibil"/>
        <s v="RS Umum Daerah Kabupaten Mappi"/>
        <s v="RS Bunda pengharapan Merauke"/>
        <s v="RS Umum Biak"/>
        <s v="RS Umum Daerah Kabupaten Intan Jaya"/>
        <s v="RS Umum Daerah Ilaga"/>
        <s v="RS TNI Angkatan Darat Marthen Indey Jayapura"/>
        <s v="RS Umum Daerah Mulia"/>
        <s v="RS Umum Merauke"/>
        <s v="RS Dian Harapan"/>
        <s v="RS Umum Daerah Kabupaten Mimika"/>
        <s v="RS Bergerak Kab. Boven Digoel"/>
        <s v="RS Umum Daerah Yowari Sentani"/>
        <s v="RS Umum Daerah Karubaga"/>
        <s v="RS Umum Daerah Perpetua J. Safanpo"/>
        <s v="RS Umum Daerah Boven Digoel"/>
        <s v="RS Umum Daerah Kwaingga Kabupaten Keerom"/>
        <s v="RS Umum Daerah Er Dabi"/>
        <s v="RS Umum Daerah Lukas Enembe Kab. Memberamo Tengah"/>
        <s v="RS Tk. IV 17.07.01 Jenderal LB Moerdani"/>
        <s v="RS TNI AD Tk. IV Timika"/>
        <s v="RS Umum Abepura"/>
      </sharedItems>
    </cacheField>
    <cacheField name="propinsi" numFmtId="0">
      <sharedItems>
        <s v="Aceh"/>
        <s v="Sumatera Utara"/>
        <s v="Sumatera Barat"/>
        <s v="Riau"/>
        <s v="Jambi"/>
        <s v="Sumatera Selatan"/>
        <s v="Bengkulu"/>
        <s v="Lampung"/>
        <s v="Kepulauan Bangka Belitung"/>
        <s v="Kepulauan Riau"/>
        <s v="DKI Jakarta"/>
        <s v="Jawa Barat"/>
        <s v="Jawa Tengah"/>
        <s v="Yogyakarta"/>
        <s v="Jawa Timur"/>
        <s v="Banten"/>
        <s v="Bali"/>
        <s v="Nusa Tenggara Barat"/>
        <s v="Nusa Tenggara Timur"/>
        <s v="Kalimantan Barat"/>
        <s v="Kalimantan Tengah"/>
        <s v="Kalimantan Selatan"/>
        <s v="Kalimantan Timur"/>
        <s v="Kalimantan Utara"/>
        <s v="Sulawesi Utara"/>
        <s v="Sulawesi Tengah"/>
        <s v="Sulawesi Selatan"/>
        <s v="Sulawesi Tenggara"/>
        <s v="Gorontalo"/>
        <s v="Sulawesi Barat"/>
        <s v="Maluku"/>
        <s v="Maluku Utara"/>
        <s v="Papua Barat Daya"/>
        <s v="Papua Barat"/>
        <s v="Papua"/>
        <s v="Papua Tengah"/>
        <s v="Papua Selatan"/>
        <s v="Papua Pegunungan"/>
      </sharedItems>
    </cacheField>
    <cacheField name="kab" numFmtId="0">
      <sharedItems>
        <s v="Kota Lhokseumawe"/>
        <s v="Aceh Tengah"/>
        <s v="Kota Banda Aceh"/>
        <s v="Kota Subulussalam"/>
        <s v="Pidie"/>
        <s v="Bener Meriah"/>
        <s v="Aceh Tenggara"/>
        <s v="Aceh Timur"/>
        <s v="Bireuen"/>
        <s v="Aceh Selatan"/>
        <s v="Aceh Besar"/>
        <s v="Simeulue"/>
        <s v="Gayo Lues"/>
        <s v="Aceh Jaya"/>
        <s v="Kota Sabang"/>
        <s v="Kota Langsa"/>
        <s v="Aceh Tamiang"/>
        <s v="Aceh Utara"/>
        <s v="Nagan Raya"/>
        <s v="Aceh Singkil"/>
        <s v="Aceh Barat"/>
        <s v="Aceh Barat Daya"/>
        <s v="Pidie Jaya"/>
        <s v="Kota Padang Sidempuan"/>
        <s v="Langkat"/>
        <s v="Deli Serdang"/>
        <s v="Asahan"/>
        <s v="Kota Pematang Siantar"/>
        <s v="Kota Tanjung Balai"/>
        <s v="Kota Medan"/>
        <s v="Humbang Hasundutan"/>
        <s v="Tapanuli Utara"/>
        <s v="Nias Selatan"/>
        <s v="Labuhan Batu"/>
        <s v="Mandailing Natal"/>
        <s v="Kota Binjai"/>
        <s v="Nias Barat"/>
        <s v="Simalungun"/>
        <s v="Karo"/>
        <s v="Dairi"/>
        <s v="Kota Tebing Tinggi"/>
        <s v="Batu Bara"/>
        <s v="Kota Gunungsitoli"/>
        <s v="Toba Samosir"/>
        <s v="Kota Sibolga"/>
        <s v="Padang Lawas Utara"/>
        <s v="Serdang Bedagai"/>
        <s v="Labuhan Batu Selatan"/>
        <s v="Tapanuli Tengah"/>
        <s v="Nias"/>
        <s v="Labuhan Batu Utara"/>
        <s v="Samosir"/>
        <s v="Pakpak Bharat"/>
        <s v="Tapanuli Selatan"/>
        <s v="Nias Utara"/>
        <s v="Padang Lawas"/>
        <s v="Kota Padang"/>
        <s v="Kota Payakumbuh"/>
        <s v="Kota Pariaman"/>
        <s v="Tanah Datar"/>
        <s v="Kota Bukittinggi"/>
        <s v="Solok Selatan"/>
        <s v="Lima Puluh Kota"/>
        <s v="Kota Solok"/>
        <s v="Pesisir Selatan"/>
        <s v="Pasaman Barat"/>
        <s v="Solok"/>
        <s v="Kota Padang Panjang"/>
        <s v="Pasaman"/>
        <s v="Sijunjung"/>
        <s v="Agam"/>
        <s v="Dharmasraya"/>
        <s v="Kepulauan Mentawai"/>
        <s v="Padang Pariaman"/>
        <s v="Kota Sawah Lunto"/>
        <s v="Pelalawan"/>
        <s v="Kota Pekanbaru"/>
        <s v="Kuantan Singingi"/>
        <s v="Bengkalis"/>
        <s v="Kota Dumai"/>
        <s v="Indragiri Hilir"/>
        <s v="Kampar"/>
        <s v="Rokan Hilir"/>
        <s v="Indragiri Hulu"/>
        <s v="Rokan Hulu"/>
        <s v="Kepulauan Meranti"/>
        <s v="Siak"/>
        <s v="Bungo"/>
        <s v="Muaro Jambi"/>
        <s v="Tanjung Jabung Barat"/>
        <s v="Kota Jambi"/>
        <s v="Tebo"/>
        <s v="Merangin"/>
        <s v="Tanjung Jabung Timur"/>
        <s v="Sarolangun"/>
        <s v="Batang Hari"/>
        <s v="Kota Sungai penuh"/>
        <s v="Kota Palembang"/>
        <s v="Kota Prabumulih"/>
        <s v="Banyuasin"/>
        <s v="Lahat"/>
        <s v="Musi Banyuasin"/>
        <s v="Kota Lubuk Linggau"/>
        <s v="Muara Enim"/>
        <s v="Ogan Komering Ulu"/>
        <s v="Ogan Komering Ulu Selatan"/>
        <s v="Penukal Abab Lematang Ilir"/>
        <s v="Ogan Komering Ulu Timur"/>
        <s v="Ogan Komering Ilir"/>
        <s v="Musi Rawas"/>
        <s v="Ogan Ilir"/>
        <s v="Musi Rawas Utara"/>
        <s v="Empat Lawang"/>
        <s v="Kota Pagar Alam"/>
        <s v="Kota Bengkulu"/>
        <s v="Rejang Lebong"/>
        <s v="Bengkulu Tengah"/>
        <s v="Bengkulu Utara"/>
        <s v="Bengkulu Selatan"/>
        <s v="Seluma"/>
        <s v="Kepahiang"/>
        <s v="Lebong"/>
        <s v="Kaur"/>
        <s v="Muko Muko"/>
        <s v="Pringsewu"/>
        <s v="Lampung Selatan"/>
        <s v="Kota Bandar Lampung"/>
        <s v="Tulang Bawang"/>
        <s v="Lampung Utara"/>
        <s v="Lampung Tengah"/>
        <s v="Lampung Barat"/>
        <s v="Lampung Timur"/>
        <s v="Way Kanan"/>
        <s v="Pesisir Barat"/>
        <s v="Tulang Bawang Barat"/>
        <s v="Kota Metro"/>
        <s v="Pesawaran"/>
        <s v="Tanggamus"/>
        <s v="Mesuji"/>
        <s v="Kota Pangkal Pinang"/>
        <s v="Bangka Tengah"/>
        <s v="Bangka"/>
        <s v="Bangka Selatan"/>
        <s v="Belitung"/>
        <s v="Bangka Barat"/>
        <s v="Belitung Timur"/>
        <s v="Kota Batam"/>
        <s v="Natuna"/>
        <s v="Lingga"/>
        <s v="Karimun"/>
        <s v="Kota Tanjung Pinang"/>
        <s v="Bintan"/>
        <s v="Kepulauan Anambas"/>
        <s v="Kota Jakarta Timur"/>
        <s v="Kota Jakarta Selatan"/>
        <s v="Kota Jakarta Pusat"/>
        <s v="Kota Jakarta Barat"/>
        <s v="Kota Jakarta Utara"/>
        <s v="Kepulauan Seribu"/>
        <s v="Karawang"/>
        <s v="Kuningan"/>
        <s v="Kota Tasikmalaya"/>
        <s v="Bekasi"/>
        <s v="Kota Depok"/>
        <s v="Sukabumi"/>
        <s v="Kota Bandung"/>
        <s v="Bandung"/>
        <s v="Cianjur"/>
        <s v="Bogor"/>
        <s v="Cirebon"/>
        <s v="Kota Bekasi"/>
        <s v="Kota Cirebon"/>
        <s v="Subang"/>
        <s v="Bandung Barat"/>
        <s v="Kota Banjar"/>
        <s v="Ciamis"/>
        <s v="Kota Bogor"/>
        <s v="Purwakarta"/>
        <s v="Indramayu"/>
        <s v="Garut"/>
        <s v="Kota Cimahi"/>
        <s v="Majalengka"/>
        <s v="Pangandaran"/>
        <s v="Sumedang"/>
        <s v="Kota Sukabumi"/>
        <s v="Tasikmalaya"/>
        <s v="Karanganyar"/>
        <s v="Kudus"/>
        <s v="Banyumas"/>
        <s v="Kota Magelang"/>
        <s v="Purworejo"/>
        <s v="Sragen"/>
        <s v="Kota Semarang"/>
        <s v="Blora"/>
        <s v="Kebumen"/>
        <s v="Kota Salatiga"/>
        <s v="Demak"/>
        <s v="Kota Surakarta"/>
        <s v="Kendal"/>
        <s v="Boyolali"/>
        <s v="Batang"/>
        <s v="Wonosobo"/>
        <s v="Kota Pekalongan"/>
        <s v="Klaten"/>
        <s v="Cilacap"/>
        <s v="Brebes"/>
        <s v="Grobogan"/>
        <s v="Sukoharjo"/>
        <s v="Pekalongan"/>
        <s v="Tegal"/>
        <s v="Pati"/>
        <s v="Pemalang"/>
        <s v="Semarang"/>
        <s v="Purbalingga"/>
        <s v="Jepara"/>
        <s v="Magelang"/>
        <s v="Wonogiri"/>
        <s v="Temanggung"/>
        <s v="Banjarnegara"/>
        <s v="Kota Tegal"/>
        <s v="Rembang"/>
        <s v="Kulon Progo"/>
        <s v="Sleman"/>
        <s v="Gunung Kidul"/>
        <s v="Kota Yogyakarta"/>
        <s v="Bantul"/>
        <s v="Bangkalan"/>
        <s v="Nganjuk"/>
        <s v="Ngawi"/>
        <s v="Pamekasan"/>
        <s v="Banyuwangi"/>
        <s v="Kota Surabaya"/>
        <s v="Tulungagung"/>
        <s v="Probolinggo"/>
        <s v="Lamongan"/>
        <s v="Blitar"/>
        <s v="Malang"/>
        <s v="Gresik"/>
        <s v="Sidoarjo"/>
        <s v="Pasuruan"/>
        <s v="Magetan"/>
        <s v="Pacitan"/>
        <s v="Jember"/>
        <s v="Kediri"/>
        <s v="Bojonegoro"/>
        <s v="Kota Madiun"/>
        <s v="Mojokerto"/>
        <s v="Kota Batu"/>
        <s v="Sampang"/>
        <s v="Kota Kediri"/>
        <s v="Kota Malang"/>
        <s v="Jombang"/>
        <s v="Situbondo"/>
        <s v="Tuban"/>
        <s v="Ponorogo"/>
        <s v="Kota Mojokerto"/>
        <s v="Kota Probolinggo"/>
        <s v="Sumenep"/>
        <s v="Bondowoso"/>
        <s v="Lumajang"/>
        <s v="Kota Pasuruan"/>
        <s v="Kota Blitar"/>
        <s v="Madiun"/>
        <s v="Trenggalek"/>
        <s v="Kota Cilegon"/>
        <s v="Serang"/>
        <s v="Lebak"/>
        <s v="Tangerang"/>
        <s v="Kota Tangerang Selatan"/>
        <s v="Kota Tangerang"/>
        <s v="Pandeglang"/>
        <s v="Kota Serang"/>
        <s v="Tabanan"/>
        <s v="Kota Denpasar"/>
        <s v="Badung"/>
        <s v="Gianyar"/>
        <s v="Buleleng"/>
        <s v="Karangasem"/>
        <s v="Bangli"/>
        <s v="Klungkung"/>
        <s v="Jembrana"/>
        <s v="Lombok Timur"/>
        <s v="Lombok Utara"/>
        <s v="Bima"/>
        <s v="Kota Mataram"/>
        <s v="Sumbawa"/>
        <s v="Lombok Tengah"/>
        <s v="Sumbawa Barat"/>
        <s v="Kota Bima"/>
        <s v="Dompu"/>
        <s v="Lombok Barat"/>
        <s v="Ende"/>
        <s v="Kota Kupang"/>
        <s v="Sumba Timur"/>
        <s v="Flores Timur"/>
        <s v="Sumba Barat Daya"/>
        <s v="Manggarai"/>
        <s v="Nagekeo"/>
        <s v="Timor Tengah Utara"/>
        <s v="Lembata"/>
        <s v="Kupang"/>
        <s v="Timor Tengah Selatan"/>
        <s v="Manggarai Timur"/>
        <s v="Belu"/>
        <s v="Sikka"/>
        <s v="Manggarai Barat"/>
        <s v="Malaka"/>
        <s v="Alor"/>
        <s v="Sumba Barat"/>
        <s v="Ngada"/>
        <s v="Sabu Raijua"/>
        <s v="Rote Ndao"/>
        <s v="Sumba Tengah"/>
        <s v="Bengkayang"/>
        <s v="Kota Singkawang"/>
        <s v="Sekadau"/>
        <s v="Kubu Raya"/>
        <s v="Kota Pontianak"/>
        <s v="Sambas"/>
        <s v="Mempawah"/>
        <s v="Ketapang"/>
        <s v="Melawi"/>
        <s v="Sanggau"/>
        <s v="Sintang"/>
        <s v="Kapuas Hulu"/>
        <s v="Landak"/>
        <s v="Kayong Utara"/>
        <s v="Kota Palangka Raya"/>
        <s v="Murung Raya"/>
        <s v="Kotawaringin Timur"/>
        <s v="Lamandau"/>
        <s v="Kapuas"/>
        <s v="Pulang Pisau"/>
        <s v="Kotawaringin Barat"/>
        <s v="Barito Selatan"/>
        <s v="Barito Utara"/>
        <s v="Gunung Mas"/>
        <s v="Sukamara"/>
        <s v="Katingan"/>
        <s v="Seruyan"/>
        <s v="Barito Timur"/>
        <s v="Tanah Laut"/>
        <s v="Kota Banjarmasin"/>
        <s v="Hulu Sungai Selatan"/>
        <s v="Banjar"/>
        <s v="Kota baru"/>
        <s v="Tabalong"/>
        <s v="Balangan"/>
        <s v="Kota Banjar baru"/>
        <s v="Tanah Bumbu"/>
        <s v="Tapin"/>
        <s v="Barito Kuala"/>
        <s v="Hulu Sungai Utara"/>
        <s v="Hulu Sungai Tengah"/>
        <s v="Berau"/>
        <s v="Kota Balikpapan"/>
        <s v="Kutai Timur"/>
        <s v="Kota Samarinda"/>
        <s v="Kutai Kartanegara"/>
        <s v="Penajam Paser Utara"/>
        <s v="Kota Bontang"/>
        <s v="Paser"/>
        <s v="Kutai Barat"/>
        <s v="Mahakam Hulu"/>
        <s v="Kota Tarakan"/>
        <s v="Malinau"/>
        <s v="Nunukan"/>
        <s v="Tana Tidung"/>
        <s v="Bulungan"/>
        <s v="Minahasa"/>
        <s v="Minahasa Tenggara"/>
        <s v="Kota Kotamobagu"/>
        <s v="Kota Manado"/>
        <s v="Minahasa Utara"/>
        <s v="Kepulauan Sangihe"/>
        <s v="Kepulauan Siau Tagulandang Biaro"/>
        <s v="Bolaang Mongondow Utara"/>
        <s v="Kota Tomohon"/>
        <s v="Kota Bitung"/>
        <s v="Bolaang Mongondow Selatan"/>
        <s v="Minahasa Selatan"/>
        <s v="Bolaang Mongondow Timur"/>
        <s v="Kepulauan Talaud"/>
        <s v="Bolaang Mongondow"/>
        <s v="Banggai Kepulauan"/>
        <s v="Poso"/>
        <s v="Kota Palu"/>
        <s v="Tojo Una-Una"/>
        <s v="Parigi Moutong"/>
        <s v="Donggala"/>
        <s v="Banggai Laut"/>
        <s v="Morowali Utara"/>
        <s v="Toli-Toli"/>
        <s v="Morowali"/>
        <s v="Sigi"/>
        <s v="Banggai"/>
        <s v="Buol"/>
        <s v="Enrekang"/>
        <s v="Kota Makassar"/>
        <s v="Kota Palopo"/>
        <s v="Bulukumba"/>
        <s v="Bone"/>
        <s v="Pangkajene Kepulauan"/>
        <s v="Kepulauan Selayar"/>
        <s v="Luwu Timur"/>
        <s v="Kota Pare-pare"/>
        <s v="Takalar"/>
        <s v="Jeneponto"/>
        <s v="Luwu"/>
        <s v="Luwu Utara"/>
        <s v="Soppeng"/>
        <s v="Gowa"/>
        <s v="Sidenreng Rappang"/>
        <s v="Tana Toraja"/>
        <s v="Pinrang"/>
        <s v="Toraja Utara"/>
        <s v="Wajo"/>
        <s v="Maros"/>
        <s v="Bantaeng"/>
        <s v="Sinjai"/>
        <s v="Barru"/>
        <s v="Muna"/>
        <s v="Kota Kendari"/>
        <s v="Kolaka"/>
        <s v="Konawe"/>
        <s v="Kolaka Utara"/>
        <s v="Muna Barat"/>
        <s v="Kota Bau-Bau"/>
        <s v="Bombana"/>
        <s v="Buton Tengah"/>
        <s v="Buton"/>
        <s v="Konawe Selatan"/>
        <s v="Konawe Utara"/>
        <s v="Konawe Kepulauan"/>
        <s v="Buton Selatan"/>
        <s v="Kolaka Timur"/>
        <s v="Wakatobi"/>
        <s v="Buton Utara"/>
        <s v="Bone Bolango"/>
        <s v="Gorontalo"/>
        <s v="Kota Gorontalo"/>
        <s v="Pohuwato"/>
        <s v="Gorontalo Utara"/>
        <s v="Boalemo"/>
        <s v="Mamuju Tengah"/>
        <s v="Polewali Mandar"/>
        <s v="Pasangkayu"/>
        <s v="Majene"/>
        <s v="Mamasa"/>
        <s v="Mamuju"/>
        <s v="Kota Ambon"/>
        <s v="Maluku Barat Daya"/>
        <s v="Kepulauan Tanimbar"/>
        <s v="Kota Tual"/>
        <s v="Buru"/>
        <s v="Buru Selatan"/>
        <s v="Maluku Tengah"/>
        <s v="Seram Bagian Timur"/>
        <s v="Maluku Tenggara"/>
        <s v="Seram Bagian Barat"/>
        <s v="Kepulauan Aru"/>
        <s v="Pulau Morotai"/>
        <s v="Kota Ternate"/>
        <s v="Halmahera Barat"/>
        <s v="Kota Tidore Kepulauan"/>
        <s v="Kepulauan Sula"/>
        <s v="Halmahera Selatan"/>
        <s v="Halmahera Timur"/>
        <s v="Halmahera Tengah"/>
        <s v="Pulau Taliabu"/>
        <s v="Halmahera Utara"/>
        <s v="Sorong Selatan"/>
        <s v="Raja Ampat"/>
        <s v="Maybrat"/>
        <s v="Tambrauw"/>
        <s v="Manokwari"/>
        <s v="Kaimana"/>
        <s v="Teluk Wondama"/>
        <s v="Sorong"/>
        <s v="Kota Sorong"/>
        <s v="Manokwari Selatan"/>
        <s v="Fakfak"/>
        <s v="Teluk Bintuni"/>
        <s v="Kepulauan Yapen"/>
        <s v="Mimika"/>
        <s v="Kota Jayapura"/>
        <s v="Mamberamo Raya"/>
        <s v="Waropen"/>
        <s v="Dogiyai"/>
        <s v="Merauke"/>
        <s v="Biak Numfor"/>
        <s v="Deiyai"/>
        <s v="Supiori"/>
        <s v="Nabire"/>
        <s v="Sarmi"/>
        <s v="Lanny Jaya"/>
        <s v="Yahukimo"/>
        <s v="Paniai"/>
        <s v="Nduga"/>
        <s v="Pegunungan Bintang"/>
        <s v="Mappi"/>
        <s v="Intan Jaya"/>
        <s v="Puncak"/>
        <s v="Puncak Jaya"/>
        <s v="Boven Digoel"/>
        <s v="Jayapura"/>
        <s v="Tolikara"/>
        <s v="Asmat"/>
        <s v="Keerom"/>
        <s v="Yalimo"/>
        <s v="Mamberamo Tengah"/>
      </sharedItems>
    </cacheField>
    <cacheField name="alamat" numFmtId="0">
      <sharedItems>
        <s v="Jl. Plaju Komplek Perumahan PT Arun Batuphat Timur, Kec. Muara Satu"/>
        <s v="Jl. Terminal Simpang Wariji Blangkolak 1 Kec. Bebesen"/>
        <s v="Jl. Soekarno Hatta Km. 2 Desa Mibo Kecamatan Banda Raya"/>
        <s v="Jl. Prof A. Madjid Ibrahim I No. 5 Banda Aceh Kel. Punge Jurong"/>
        <s v="Jl. Hamzah Fansyuri (Subulussalam-Rundeng) Kec. Simpang Kiri Kota Subulussalam Aceh 24782"/>
        <s v="Jl. Rumah Sakit No.153 Kec. Kebayakan"/>
        <s v="JL. PROF. A. MAJID IBRAHIM, NO. 62-66, KEC. KOTA SIGLI KABUPATEN PIDIE, ACEH"/>
        <s v="Jl. Merdeka Barat No. 70 A, Kecamatan Muara Dua, Kota Lhokseumawe , Nanggroe Aceh Darussalam"/>
        <s v="Jl. Simpang Teritit-Pondok Baru, Simpang Empat Kute Kering Redelong Kec. Bukit"/>
        <s v="Jl. Paya Tumpi-Mandale, No. 126  Kec. Kebayakan"/>
        <s v="Jl. Iskandar Muda No. 58 Kutacane"/>
        <s v="Jl. Medan - Banda Aceh Bukit Pala, Idi Rayeuk - Aceh Timur"/>
        <s v="Jl. Mayjen T. Hamzah Bendahara No. 13 Bireuen"/>
        <s v="Jl. Cut Nyak Dhien No. 23, Lamteumen Barat Banda Aceh"/>
        <s v="Jl. T. Ben Mahmud Nomor 86 A Tapaktuan"/>
        <s v="Jl. Banda Aceh-Medan Km. 25 Desa Sinyeu, Kec. Indrapuri"/>
        <s v="Jl. T.  Hamzah Bendahara No. 1, Kel. Kuta Alam, Kec. Kuta Alam, 24415"/>
        <s v="Jl. T. Chik Ditiro Nomor 28 Lancang Garam, Kec. Banda Sakti, Kota Lhokseumawe Propinsi Aceh"/>
        <s v="Jl. Teuku Raja Mahmud Desa Amiria Bahagia,  Kecamatan Simeulue Timur,  Kabupaten Simeulue,  Provinsi Aceh"/>
        <s v="Jl. Antara No. 30 Kp. Jawa Baru Lhokseumawe"/>
        <s v="Jl. Samudra No.53A Kp Jawa Kec. Banda Sakti  Kota Lhokseumawe"/>
        <s v="Jl. B.Aceh - Medan, Km 220 No 102 Dsn.Teratai, Desa Geulanggang Baro, Kecamatan Kota Juang"/>
        <s v="Jl. Blower Kp Pers. Sentang, Desa/Kelurahan Bustanussalam, Kec. Blangkejeren"/>
        <s v="Jln. Ali Gunong, Lr. PMI No. 1, Calang, Kec. Krueng Sabee Kabupaten Aceh Jaya Propinsi Aceh"/>
        <s v="Jl. Teuku Chik Ditiro, Kel. Kota Atas, Kec. Sukakarya"/>
        <s v="Jl. Padang Ketek Gampong Kedai Rundeng Kec. Kluet Selatan"/>
        <s v="Jl. Jend. Ahmad Yani No.1, Gampong Jawa, Kec. Langsa Kota, Kota Langsa, Provinsi Aceh."/>
        <s v="Jl. Banda Aceh-Medan Km. 125,5 Kota Mini  Beureunuen Kec. Mutiara Timur"/>
        <s v="Jl. Cut Nyak Dhien No. 498 Banda Aceh"/>
        <s v="Jl. Banda Aceh-Medan Km 25,5 Kecamatan Indrapuri, Kabupaten Aceh Besar, Provinsi Aceh."/>
        <s v="Jl. Pangur, Desa Pangur, Kecamatan Dabun Gelang"/>
        <s v="Jl. Cepu No 1 Komplek Pertamina Rantau Aceh Tamiang"/>
        <s v="Jl. Medan Banda Aceh Alue Mudem Landing Lhoksukon"/>
        <s v="Jl. Medan-Banda Aceh No. 100 M, Meunasah Blang, Bireuen"/>
        <s v="Jl. Jend. Sudirman 27-29 Banda Aceh"/>
        <s v="Jl. Banda Aceh-Medan Km. 372 Desa Seuneubok Barat Kecamatan Idi Timur"/>
        <s v="Jl. Nasional Meulaboh-Tapak Tuan KM. 28,5 Ujung Patihah Kabupaten Nagan Raya"/>
        <s v="Jln. Laksamana Malahayati/Kuala Raja No.1 Lhok Awe Teungoh, Kecamatan Kota Juang, Kabupaten Bireuen, Provinsi Aceh, 24252"/>
        <s v="Jl. Medan-Banda Aceh, KM 303, Meunasah Reudeup, Kec Lhoksukon"/>
        <s v="Jl. Panglima Raja Lelo, No. 10, Gampong Hilir, Kec. Tapaktuan"/>
        <s v="Jl. Monisa No.1 Desa Lhok Dalam Kecamatan Peureulak Kabupaten Aceh Timur Provinsi Aceh"/>
        <s v="Jl. Merdeka No. 17 Dusun III, Kel. Kuta Blang, Kec. Banda Sakti"/>
        <s v="Jl. Politeknik No 23 Dusun Meunasah Dayah, Lr B, Gp.Beurawe, Kecamatan Kuta Alam, Banda Aceh"/>
        <s v="Jl. Prof. A. Madjid Ibrahim I No. 3 Punge Jurong Kec. Meuraxa"/>
        <s v="Jl. Rimo-Singkil Km. 8 Desa Gunung Lagan Kec. Gunung Meriah"/>
        <s v="Jl. Syiah Kuala No. 88, Bandar Baru, Kec. Kuta Alam, Kota Banda Aceh, Provinsi Aceh"/>
        <s v="Jl. Gajah Mada Meulaboh"/>
        <s v="Jl. Tgk Daud Beureueh, NO. 108 B. Aceh"/>
        <s v="Jl. Pocut Baren Ujung Karang Desa Suak Indrapuri Kec. Johan Pahlawan Meulaboh Aceh Barat"/>
        <s v="Jl Lingkar Keunire no 21-24, Gampong Cot"/>
        <s v="Jl. A. Yani No. 23 Pulo Kemiri Kutacane"/>
        <s v="Jl. Darussalam Nomor 16, Desa/Kel. Lancang Garam, Kec. Banda Sakti"/>
        <s v="Jl. Teuku Umar No. 21 Gampong Kuta Ateuh Kec. Sukakarya"/>
        <s v="Jl. Empun Bayak Kampung Bale Atu  Kec. Bukit"/>
        <s v="Jl. Sisingamangaraja, Dusun III, Desa Gampa, Kecamatan Johan Pahlawan, Kabupaten Aceh Barat. Provinsi Aceh"/>
        <s v="Jl. Kutacane - Blangkejeren Km. 3 Kec. Badar Kabupaten Aceh Tenggara Provinsi Aceh"/>
        <s v="Jl. Prof. A. Majid Ibrahim Sigli"/>
        <s v="Jl. Sekolah No. 5 Gampoeng Ateuk Pahlawan, Kecamatan Baiturahman, Kota Banda Aceh 23241"/>
        <s v="Jl. Dr. T. Syarief Thayeb No.25 Banda Aceh"/>
        <s v="Jl. Prof. A. Majid Ibrahim Kelurahan Lampeudeu Baroh Kecamatan  Pidie. Kabupaten Pidie. Provinsi Aceh."/>
        <s v="Jl. Nasional Padang Meurante Desa Ujung Padang, Kec. Susoh"/>
        <s v="Jl. Samudera, Desa/Kel Kampung Jawa, Kec. Banda Sakti"/>
        <s v="Jl. Cut Meutia No. 55"/>
        <s v="Jl. Garuda No. 1  Kebun Baru, Kec. Paya Bujok Seulemak, Langsa Baro, Kota Langsa, Aceh"/>
        <s v="Bireuen, Aceh"/>
        <s v="Jl. Beringin jaya ,  kel.  seunubok Kec. Johan pahlawan , kabupaten aceh barat,  Aceh 23611"/>
        <s v="Jl. Banda Aceh-Medan Km.6 Buket Rata Lhokseumawe"/>
        <s v="Jl. Teuku Umar No. 181-211, Kel. Setui, Kec. Baiturrahman"/>
        <s v="Jl. Singgalang No. 1 Komplek Perumahan PT. PIM Krueng Geukeuh Kab. Aceh Utara"/>
        <s v="Jl. Pasar. Impres No.2 LK. IV Desa Kuta Blang  Kec. Banda Sakti, Kota Lhokseumawe, Aceh 24352"/>
        <s v="Jl. Banda Aceh - Medan Gp.Dayah Timu  KM. 158 Meureudu"/>
        <s v="Jl. Lingkar Kampus USK, Kopelma Darussalam, Kota Banda Aceh"/>
        <s v="Jl. Kesehatan Kab.Aceh Tamiang"/>
        <s v="Jl. Kembang Ranjong-Teupin Raya, Desa Gampong Sagoe No. 7 Kec. Glumpang Baro"/>
        <s v="Jl. Samudra Baru No.3, Keude Aceh Kec. Banda Sakti"/>
        <s v="Jl. Prof. Majid Ibrahim No.10 A Kelurahan. Gp Sungai Pauh Kecamatan Langsa Barat  Kota Langsa, Aceh"/>
        <s v="Jl. Peutua Banta 7, Gampong Bireuen Meunasah Blang"/>
        <s v="Jl. Soekarno Hatta,  Kec. Ingin Jaya"/>
        <s v="Jl. T.M. Bachrun No.1. Kabupaten Kota Langsa Provinsi Aceh"/>
        <s v="Jl. Sisingamangaraja No.85/87, Kota Padangsidimpuan Provinsi Sumatera Utara"/>
        <s v="JL. STABAT-TANJUNG PURA RT.002/RW.007 DUSUN DONDONG SEJATI DESA JENTERA STABAT KEC. WAMPU KAB. LANGKAT"/>
        <s v="Jl. Medan-Tanjung Morawa Km. 15,5, Kec. Tanjung Morawa, Kab. Deli Serdang, Prov. Sumatera Utara"/>
        <s v="Jl. HOS. Cokroaminoto No. 93 Kel. Kisaran Kota Kec. Kisaran Barat"/>
        <s v="Jl. Medan KM 2.5, Kel. Nagapitu, Kec. Siantar Martoba, Kota Pematang Siantar, Sumatra Utara"/>
        <s v="Jl Jend. Sudirman No. 26 Tanjungbalai Kel. Karya Kec. Tanjungbalai Selatan Kota Tanjungbalai  Provinsi sumatra Utara"/>
        <s v="Jl. Perintis Kemerdekaan No. 60 Desa Bangun Purba Kec.Bangun Purba"/>
        <s v="Jl Bahagia No.85, Kelurahan Teladan Timur, Kecamatan Medan Kota, Provinsi Sumatera Utara"/>
        <s v="Jl Sultan Iskandar Muda No.119, Kec. Medan Petisah,"/>
        <s v="Jl. dr. Ferdinand Lumban Tobing No. 1 Dolok Sanggul"/>
        <s v="Jl. Sisingamangaraja No. 171/173 Siborongborong. Tapanuli Utara"/>
        <s v="Jl. RSUD Lukas No. 1 Hilisimaetano"/>
        <s v="Jl Sei Bahbolon No.40, Kec.Medan Baru, Kota Medan, Sumatera Utara 2015"/>
        <s v="Jl M. H. Thamrin No. 105, Medan"/>
        <s v="Jl. Ahmad Yani No. 221 CDEF Rantau Parapat Kel. Kartini, Kec. Rantau Utara"/>
        <s v="Jl Merdeka No.40, Kayu Jati Panyabungan"/>
        <s v="Jl. Sudirman No.1 Kelurahan : Losung Batu, Kecamatan : Padang Sidempuan."/>
        <s v="Binjai Sumatera Utara"/>
        <s v="Jl. Pabrik Tenun No.51, RW.53,Kel. Sei Putih Tengah, Kec. Medan Petisah, Kota Medan, Sumatera Utara, 20114"/>
        <s v="Jl Robert Wolter Monginsidi No.11 Medan"/>
        <s v="JL. Budi Utomo Desa Onolimbu Kec. Lahomi"/>
        <s v="Jl. Merdeka Nomor 12-18 Kelurahan Perdagangan III Kecamatan Bandar Kabupaten Simalungun"/>
        <s v="Jl. Desa Naga Jaya I Kec. Bandar Huluan Kab.Simalungun"/>
        <s v="Jln. KI Hajar Dewantara, No 09 Dusun V Desa Sei Limbat Kecamatan Selesai Kabupaten Langkat, Provinsi Sumatera Utara"/>
        <s v="Jl Jamin Ginting Simpang Korpri No. 1 Berastagi"/>
        <s v="Jl. Abdi Setia Bakti, Kel. Sei Renggas, Kec. Kota Kisaran Barat, Kab. Asahan, Provinsi Sumatra Utara"/>
        <s v="Jl. Sisingamangaraja No. 91 Sidikalang"/>
        <s v="Jl. Pabrik Tenun No. 103"/>
        <s v="Jl. Dahlan Tanjung Komplek Graha Abadi Permai Tanjung Morawa, Deli Serdang"/>
        <s v="Jl. Arief Rahman Hakim No.168, Sukaramai I, Kec. Medan Area, Kota Medan, Sumatera Utara 20227, Indonesia"/>
        <s v="Jl. Jend. Sudirman No. 299"/>
        <s v="Jl Samanhudi No.20-22, Kel. Jati, Kec. Medan Maimun, Kota Medan"/>
        <s v="Jl. Sisinga Mangaraja 235,Medan"/>
        <s v="Jl. K.L. Yos Sudarso Km 7,5 Tanjung Mulia,Medan"/>
        <s v="Jl. Lintas Sumatera No. 215 Sipare-pare Kec. Air Putih Kab. Batubara"/>
        <s v="Jl Diponegoro No.375 C Desa sifalaete Tabaoloho Kecamatan Gunungsitoli Kota Gunungsitoli"/>
        <s v="Jl. Gereja No.17, Balige"/>
        <s v="Jl Pancasila Dusun X Desa Tanah Tinggi"/>
        <s v="Jl. Kapten Sumarsono No 01 Kelurahan Helvetia Timur Kecamatan Medan Helvetia"/>
        <s v="Jl Dr. F.L. Tobing No. 35 Sibolga"/>
        <s v="Jln. Bromo Gg.Sukri No.18 Kel.Tegal Sari III  Kec.Medan Area Kota Medan Sumatera Utara"/>
        <s v="Jl Jend. TB.Simatupang No.148 Sunggal"/>
        <s v="Jl. Bengkalis  No.1  Kel Belawan 1 Kec. Medan Belawan"/>
        <s v="Jl. Siringo-ringo No. 150 Rantauprapat, Kel. Binaraga, Kec. Rantau Utara, Kab. Labuhan Batu, Provinsi Sumatera Utara"/>
        <s v="Jl Raya gunung Tua - Binangan KM 6 Aek Haruaya"/>
        <s v="Jl. Mesjid No. 3 Kelurahan Tanjung Rejo, Kecamatan Medan Sunggal, Kota Medan, Sumatera Utara Kode Pos 20122"/>
        <s v="Jl. Bangka No. 15 Medan"/>
        <s v="Jl. Medan - Lubuk Pakam N0. 70"/>
        <s v="Jl. Radjadmin Purba, SH. Perdagangan"/>
        <s v="Jl. Negara Km. 58 No. 315, Kecamatan Sei Rampah Kabupaten Serdang Bedagai, Provinsi Sumatera Utara"/>
        <s v="Jl. Sultan Serdang No. 100, Desa Buntu Bedimbar, Kecamatan Tanjung  Morawa, Kabupaten Deli Serdang, Provinsi Sumatera Utara 20362"/>
        <s v="Jl Binjai Km.10,8/Jl. Sama No.71 kec. sunggal"/>
        <s v="Jl Farel Pasaribu No. 21"/>
        <s v="Jl Imam Bonjol No. 6"/>
        <s v="Jl Putri Hijau No. 17, Medan"/>
        <s v="Jl. Rumbia Sena No. 65 Desa Baru"/>
        <s v="Jl Datuk Kubah Batu Bara, Kwala  Gunung Kec. Datuk Lima Puluh Kab. Batu Bara"/>
        <s v="Jalan Karya Bakti No. 20 Kelurahan Ujung Bandar Kecamatan Rantau Selatan Kabupaten Labuhanbatu Sumatera Utara"/>
        <s v="Jl Alumni No.2 Kampus USU Medan"/>
        <s v="Jl. Bilal No. 24, kel.Pulo Brayan Darat I, Kec.Medan Timur, Kode Pos 20239"/>
        <s v="Jl. Lintas Sumatera - Riau KM. 380"/>
        <s v="Jl. Besar Petumbukan No. 29, Kec. Galang"/>
        <s v="Jl Pahlawan No 17"/>
        <s v="Jl Perintis Kemerdekaan No. 21"/>
        <s v="Jl. Sutomo No. 230, Pematangsiantar"/>
        <s v="Jl Sutoyo Siswomiharjo No 34 Sibolga"/>
        <s v="Jl Pangeran Diponegoro No.2-4 Medan"/>
        <s v="Jl. Padang No. 25 Medan"/>
        <s v="Jl. Dr. FL. Tobing No. 05 Pandan"/>
        <s v="Jl. Cemara No. 16"/>
        <s v="Jl Medan km. 25 no. 66 Lubuk Pakam"/>
        <s v="Jl. Kapten Selamat Ketaren  Kabanjahe"/>
        <s v="Jl. Medan - Deli Tua KM. 8.5 No. 55, Suka Makmur, Kec. Deli Tua, Kabupaten. Deli Serdang, Sumatera Utara"/>
        <s v="Jl. Khairil Anwar No. 9-11 Tanjung Pura"/>
        <s v="Jl Limau Manis Pasar XIII No.61, Desa Limau Manis, Kecamatan Tanjung Morawa, Kabupaten Deli Serdang, Provinsi Sumatera Utara"/>
        <s v="Jl. Sisingamangaraja No. 11 Kelurahan Harjosari 1 Kecamatan Medan Amplas"/>
        <s v="Jl Merbabu No.18-20 A Medan"/>
        <s v="Jl Ring Road Setia Budi Kel. Tj. Sari"/>
        <s v="Jl dr. Ciptomangunkusumo No. 15 Gunungsitoli"/>
        <s v="Jl Karya Baru No.1,Medan"/>
        <s v="Jl Bunga Lau No. 17, Medan"/>
        <s v="Jl Menambin No.4, Timbang Galung, Pematangsiantar"/>
        <s v="Jl. Siringo-ringo No. 11-13 ,Kelurahan Siringo-ringo,Kecamatan Rantau Utara,Kabupaten Labuhan Batu,Provinsi Sumatera Utara."/>
        <s v="Jl sech silau lk v, Kel. sei renggas kec, kota kisaran barat"/>
        <s v="Jl. Lintas Sumatera Km. 224 Desa Perkebunan Membang Muda, Kec. Kualuh Hulu, Kab. Labuhanbatu Utara, Prov. Sumatera Utara."/>
        <s v="Jl May.Jend (Purn) H.T. Rizal Nurdin No.10 Perbaungan"/>
        <s v="Jl. Besar Tuntungan No. 142G Desa Tuntungan I Kec. Pancur Batu"/>
        <s v="Jl. Merdeka No.329 Kel. Pahlawan Kec. Siantar Timur Kota Pematang Siantar"/>
        <s v="Jl. Sultan Hasanuddin No. 67, Kel. Kartini, Kec. Binjai Kota, Kota Binjai"/>
        <s v="Jl. Lintas Sumatera Lingkungan II Kelurahan Aek Loba Pekan Kecamatan Aek Kuasan Kabupaten Asahan"/>
        <s v="Jl Jend. T.B.Simatupang No.31,Kampung Lalang, Kec. Medan Sunggal, Medan, Sumatera Utara"/>
        <s v="Jl. Kartini No. 30A Tebing Tinggi"/>
        <s v="Jl. Jenderal Sudirman No. 29 Aek Kanopan  Kec.kualuh Hulu kab.Labuhanbatu utara/Kota. Aek kanopan provinsi Sumatera Utara kode pos 21457."/>
        <s v="Jl .Dr. Hadrianus Sinaga No. 86 Pangururan"/>
        <s v="Jl. Medan - Batang Kuis Dusun XI Emplasmen, Desa Bandar Klippa, Kecamatan Percut Sei Tuan"/>
        <s v="Jl. Thamrin Lubuk Pakam, Desa/Kel. Lubuk Pakam Pekan, Kec. Lubuk Pakam"/>
        <s v="Jl. Lintas Sumatera Desa Sidua-dua Kec. Kualuh Selatan Kab. Labuhan Batu Utara Provinsi Sumatera Utara"/>
        <s v="Jl. Wahidin No. 1 Pangkalan Brandan"/>
        <s v="Jl. Let. Jend. Jamin Ginting No. 362 Binjai, Kec. Binjai Selatan"/>
        <s v="Jl Deli No. 105-115 Perbaungan, Serdang Bedagai"/>
        <s v="JL. ASRAMA KEL. SEI SIKAMBING C II, KEC. MEDAN HELVETIA"/>
        <s v="JL BAKARAN BATU NO. 188 DESA TUMPATAN KECAMATAN BERINGIN"/>
        <s v="Jl Jend Gatot Subroto Km.4, Kel Sei Sikambing D, Kec Medan Petisah, Kota Medan, Provinsi Sumatera Utara"/>
        <s v="Jl Dr. F.L. Tobing No. 10, Kel. Wek. V Kec. Padangsidimpuan Utara Kota Padangsidimpuan"/>
        <s v="Jl. Bandung No.4 Binjai"/>
        <s v="Jl Multatuli Komplek Taman Multatuli Indah No.1 Medan"/>
        <s v="Jl. Baja Raya No. 10 Kelurahan  Petisah Tengah Kecamatan   Medan Petisah  Kota Medan Propinsi  Sumatera Utara"/>
        <s v="Jl. Sei Merah No. 300/21  Desa Dagang Kerawan - Tanjung Morawa, Deli Serdang"/>
        <s v="Desa Balimbingan, Kecamatan Tanah Jawa, Kabupaten Simalungun, Sumatera Utara"/>
        <s v="Jl. Besar No.77, Deli Tua"/>
        <s v="Jl. Setia Budi Pasar II No 84, Kelurahan Tj. Sari, Kecamatan Medan Selayang,  Kota Medan  Provinsi Sumatera Utara"/>
        <s v="Jl. Siantar - Medan KM 4.5 Kel. Nagapita"/>
        <s v="Jl. Harmonika Baru Pasar I Padang Bulan Selayang II"/>
        <s v="Jl SM. Raja No.67 Kisaran"/>
        <s v="Jl Dr. Kumpulan Pane No.226 Kec Kota Tebing Tinggi Kel. Bandar Utama"/>
        <s v="Jl. Marelan Raya No. 17 Rengas Pulau - Medan"/>
        <s v="Jl Merdeka No. 155 Kelurahan Kayu Jati Kecamatan Panyabungan"/>
        <s v="Jl Jend. AH Nasution No.7 Pangkalan Masyhur Medan"/>
        <s v="Jl. Raja Sipakko Napitulu, Ds. Parparean, Kec. Porsea, Kab. Toba Samosir"/>
        <s v="Jl Istana No. 26.  Kelurahan  Kotapinang Kabupaten LabuhanBatu Selatan Provinsi Sumatera Utara"/>
        <s v="Jl. Pasar III No. 151  Kel. Tegal Rejo Kec. Medan Perjuangan"/>
        <s v="Jl. Raja David Desa Boangmanalu Kec. Salak Kabupaten Pakpak Bharat"/>
        <s v="Jl Abdullah Lubis No.67, Medan"/>
        <s v="Hiliana'a, Desa Hiliana'a Kec. Teluk Dalam Kab. Nias Selatan Prov. Sumatera Utara"/>
        <s v="Jl. Kartini Nomor 18 Kelurahan Bantan Kecamatan Siantar Barat"/>
        <s v="Jl Teuku Umar 9-11 Medan"/>
        <s v="Jl. Olahraga No. 1 Kel. Timbang Langkat Kec. Binjai Timur"/>
        <s v="Jl. Rumah Sakit No.1 Banjar Toba, Kel. Bagas Nagodang, Kec. Sipirok"/>
        <s v="Jl. Lotu - Sawo Km.3, Desa Lolofaoso, Kecamatan Lotu"/>
        <s v="Jl. Sisingamangaraja No. 146, Desa Paluh Manis, Kecamatan Gebang, Kabupaten Langkat, Provinsi Sumatera Utara"/>
        <s v="Jl Mistar No. 39-43"/>
        <s v="Komplek Perkantoran SKPD Pemkab Simalungun, Desa/Kelurahan Sondi Raya, Kecamatan Raya"/>
        <s v="Jl. Dr. T. Mansur No. 66 Kampus USU Medan 20154"/>
        <s v="Jl. Prof. H. M. Yamin No. 17 Tanjung Marulak Hilir"/>
        <s v="Jl. Kolonel TPR Sinaga Parapat"/>
        <s v="JL. KL. YOS SUDARSO  KM 13,6 NO. 19 A  MARTUBUNG, KEC. MEDAN LABUHAN, KEL. BESAR, PROV. SUMATERA UTARA 20251"/>
        <s v="Jl. Medan No.17,Lubuk Pakam"/>
        <s v="Jl Jamin Ginting No 1, Berastagi - Desa Raya, Kab. Karo"/>
        <s v="Jl Perintis Kemerdekaan No. 174 KEL. KEBUN LADA KEC. BINJAI UTARA"/>
        <s v="Jl. Sisingamangaraja No. 113 Padang Sidempuan"/>
        <s v="Jl Prof H M Yamin SH No. 47, Medan"/>
        <s v="Jl D.I Panjaitan No. 144 Medan Kel. Sei Sikambing D Kec. Medan Petisah"/>
        <s v="Jl. Marelan Pasar 3 No. 187 Kel. Rengas Pulau Kec. Medan Marelan 20255 Sumut"/>
        <s v="Jl. Mandailing No.KM.18, Kel. Pintu Padang I, Kec. Batang Angkola, Kabupaten Tapanuli Selatan, Sumatera Utara, Indonesia"/>
        <s v="Jl Listrik No.2A Medan"/>
        <s v="Jalan Stasiun No.92, Belawan II, Medan Kota Belawan, Belawan Bahagia, Medan Kota Belawan, Kota Medan, Sumatera Utara 20411"/>
        <s v="Jl. KH. Dewantara 129, Rantau Prapat"/>
        <s v="Jl. Pendeta J. Wismar Saragih No.1  Bane Kec.Siantar Utara"/>
        <s v="Jl. Simalungun No. 7A"/>
        <s v="Jl. Kapten Pala Bangun No. 8 Padang Mas - Sentrum Kabanjahe 22115 JL. Nabung Surbakti  No.07 Padang Mas - Sentrum Kabanjahe 22111 Kab.KARO Provinsi Sumatera Utara"/>
        <s v="Jl. Mayjen Sutoyo No. 39, Kel. Perwira, Kec. Tanjungbalai Selatan"/>
        <s v="Jalan Marelan Raya No. 173A Kelurahan Tanah Enam Ratus Kecamatan Medan Marelan Kota Medan Provinsi Sumatera Utara"/>
        <s v="Jl Medan-Bt Kuis No 377 Pasar X Desa Bandar Klippa"/>
        <s v="Jl. Imam Bonjol No.50,Medan"/>
        <s v="Jl. Datuk Umar Palangki Tanah Merah Kec, Air Putih"/>
        <s v="Jl. KH. Dewantara Sibuhuan Kec. Barumun"/>
        <s v="Jl. Ir. H. Juanda No. 21 Kisaran"/>
        <s v="Jl RS Haji Medan Estate No 47"/>
        <s v="Jl. Letjen S. Parman No. 236 Kel. Petisah Tengah  Kec. Medan Petisah"/>
        <s v="Jl. Lintas Sumatera Medan - Kisaran KM 108, Dusun Kelembis, Desa Sukaraja"/>
        <s v="Jl. Rumah Sakit No 19, Sidikalang"/>
        <s v="Jl. Lintas Sumatera Utara Kampung Pajak Kec NA IX X"/>
        <s v="Jl. Veteran Gg. Utama Psr. V Helvetia"/>
        <s v="Jl Ki Hajar Dewantara Sibuhuan"/>
        <s v="Jl KH Wahid Hasyim No.1, Medan"/>
        <s v="Jl. Desa Lologolu, Kec. Mandrehe"/>
        <s v="Jl Iskandar Muda No.278"/>
        <s v="Jalan Besar No 218 A Desa Pon - Sei Rampah"/>
        <s v="Jl. Jamin Ginting KM. 17,5 Desa Tengah Kec. Pancur Batu"/>
        <s v="Jl Mandala By Pass No.27, Desa/Kelurahan Tegal S Mandala I, Kec. Medan Denai, Kota Medan, Provinsi Sumatera Utara, Kode Pos : 20226"/>
        <s v="Jl KL. Yos Sudarso Km.6 No. 91,Medan"/>
        <s v="Jl Sei Mencirim No. 77 Medan"/>
        <s v="Jl. Sisingamangaraja No. 315 Kisaran Kota, Kec. Kota Kisaran Barat, Kabupaten Asahan Sumatera Utara 21211"/>
        <s v="Jl. Diponegoro No. 6-8 Kota Sibolga"/>
        <s v="Jl. Jawa No. 2 Medan"/>
        <s v="Jl. Mgr. Albertus Soegijapranata Bintang Laut Telukdalam"/>
        <s v="Jl. Medan - Tj. Pura KM.46 No.86 Kec. Wampu Kab. Langkat 20851"/>
        <s v="Jl. Seram Atas No. 5B, Kel. Bantan Kec. Siantar Barat Kota Pematang Siantar, Prov. Sumatera Utara - INDONESIA"/>
        <s v="Jl. Gn Simanuk Manuk No.6. Pematangsiantar"/>
        <s v="Jl Let. Jend. Jamin Ginting S Km. 10/ Jl. Tali Air No. 21 Kel. Mangga Kec. Medan Tuntungan"/>
        <s v="Jl Sei Batang Hari  No. 28 - 30 - 32 - 34 Medan"/>
        <s v="Jl Merdeka No. 23 Kayu Jati - Panyabungan"/>
        <s v="Jl. Besar Namorambe No. 10 -15"/>
        <s v="Jl. Agus Salim No. 1 Tarutung"/>
        <s v="Desa Lau Simomo Kec. Kabanjahe Kab. Karo"/>
        <s v="Jl Lintas Sumatera Bloksongo Desa Sisumut Kecamatan Kotapinang Kabupaten Labuhanbatu Selatan Provinsi Sumatera Utara Kode Pos. 21464"/>
        <s v="Jl Kartini Nomor 209 Kisaran"/>
        <s v="Jl. Besar Batang Serangan Desa/Kelurahan Tanjung Selamat Kecamatan Padang Tualang Kabupaten Langkat Provinsi Sumatera Utara"/>
        <s v="Jl Medan - Tebing Tinggi Km.42,5 No.752B, Dusun I Desa Pasar Bengkel, Kecamatan Perbaungan, Kabupaten Serdang Bedagai, Provinsi Sumatera Utara"/>
        <s v="Jl Tengku Amir Hamzah No. 281a, Binjai Utara - Kota Binjai - Sumatera Utara"/>
        <s v="Jl. Haji Misbah No. 7 Medan"/>
        <s v="Jl. Multatuli No. 72 Kec. Natal Kab. Mandailing Natal"/>
        <s v="JL. K.L. YOS SUDARSO KM. 18,5 KEL. PEKAN LABUHAN KEC. MEDAN LABUHAN KOTA MEDAN PROV. SUMATERA UTARA - 20253"/>
        <s v="Jl Sultan Hasanuddin No. 9 Binjai"/>
        <s v="Jl Ahmad Yani No 23 Kel. Kartini Kec. Binjai Kota"/>
        <s v="Jln. Nibung Raya No.204-212 Kel. Petisah Tengah, Kec.Medan Petisah, Kota Medan, Prov.Sumatera Utara"/>
        <s v="Jl. Merdeka No. 17 Desa Hapesong Baru Kec. Batang Toru"/>
        <s v="Jl Soekarno Hatta Km 18 No 451"/>
        <s v="Jl Sutan Arab No. 35 Dusun 2 Klumpang Kampung"/>
        <s v="Jl. Protokol Sei Dadap-Sumut"/>
        <s v="Jl Pales III Simpang Perumnas Simalingkar/Jl. Let. Jend. Djamin Ginting Km.9"/>
        <s v="DESA KEDAI DAMAR, KEC.TEBING TINGGI,KAB.SERDANG BEDAGAI,SUMATERA UTARA"/>
        <s v="Jl. Purus II No.1, Rw 03 Kota Padang Sumatra Barat 25115 Indonesia"/>
        <s v="Jl. Sultan Hasanudin, Kel. Padangtongah Balainanduo, Kec. Payakumbuh Barat, Kota Payakumbuh"/>
        <s v="Jl. Prof. M.Yamin SH, No.5, Desa/Kelurahan Kampung Baru, Kec. Pariaman Tengah, Kota Pariaman, Provinsi Sumatera Barat, Kode Pos: 25514"/>
        <s v="Jl. Imam Bonjol No.3B, Dobok"/>
        <s v="Jl. Jend. Sudirman 37 Bukittinggi"/>
        <s v="Jl Parak Gadang Raya No 35 A Padang"/>
        <s v="Jl. Lubuk Malako Nagari Lubuk Malako Kec. Sangir Jujuan"/>
        <s v="Jl. Gajah Mada Gunung Pangilun Padang"/>
        <s v="Jl. Aur No.8, Ujung Gurun, Padang Barat"/>
        <s v="Jl. Tan Malaka No.1, Kec.Suliki"/>
        <s v="Jl. Batang Agam, Belakang Balok"/>
        <s v="JL. Proklamasi No. 03 kota Solok"/>
        <s v="Jl. A. Rivai No 1 Painan Kabupaten Pesisir Selatan"/>
        <s v="Jl. Veteran No 14 Payakumbuh"/>
        <s v="Jl. Jati No.I Padang"/>
        <s v="Jl. Simpang Rumbio, kec. lubuk sikarah Solok"/>
        <s v="Jl. Proklamasi No. 37 Padang"/>
        <s v="Jl. Tuanku Imam Bonjol No. 366 Kel. Tanah Garam Kec. Lubuk Sikarah"/>
        <s v="Jl. Soekarno-Hatta Kelurahan Bulakan Balai Kandi Kecamatan Payakumbuh Barat Kota Payakumbuh Provinsi Sumatera Barat"/>
        <s v="Jl M Natsir pasaman baru"/>
        <s v="Jl. Khatib Sulaiman RT 006 RW 007, Kel. Lolong Belanti, Kec. Padang Utara"/>
        <s v="Jl. Raya Solok Padang KM, 20 Arosuka Kode Pos 27364 Provinsi Sumatera Barat Telp/Fax (0755) 31160"/>
        <s v="Jl. Sawahan No.36, Sawahan, Kec. Padang Tim., Kota Padang, Sumatera Barat 25171"/>
        <s v="Jl. Tabek Gadang Kel. Ganting Kec. Padang Panjang Timur"/>
        <s v="Jl. Baringin No. 5 Jorong Baringin Nagari Baringin Kec. Lima Kaum Batusangkar"/>
        <s v="Jl. M. Rasyid No.30 Desa Rambai, Kec. Pariaman Selatan, Kota Pariaman, Sumatera Barat"/>
        <s v="Jl. Lintas Sumatera KM. 8 Jorong Selamat Utara, Nagari Sitombol, Kecamatan Padang Gelugur Kabupaten Pasaman Provinsi Sumatera Barat"/>
        <s v="Jalan Perintis Kemerdekaan, Kel. Sawahan Timur, Kec. Padang Timur, Kota Padang, Sumatera Barat, 25127"/>
        <s v="Jl. Lintas Medan Bukittinggi Kampung Cengkeh No. 86 Panti"/>
        <s v="Jl. Raya Ulu Gadut, Padang"/>
        <s v="Jl. Urip Sumoharjo, Kel. Tarok Dipo, Kec. Guguak Panjang, Kota Bukittinggi, Prov. Sumatera Barat"/>
        <s v="Jl. Lintas Sumatera Jorong Batang Kariang Kec. Kamang Baru"/>
        <s v="Jl. Abdul Muis No. 26, Kelurahan Taratak Kec.Pariaman Tengah, Kota Pariaman, Provinsi Sumatera Barat"/>
        <s v="Jl. Bundo Kanduang no 1 Batusangkar"/>
        <s v="Jl. Bakti Depan SPBU Pertamina Simpang Empat, Jorong Simpang Ampek, Nagari Lingkuang Aua, Kecamatan Pasaman, Kabupaten Pasaman Barat, Provinsi Sumatera Barat"/>
        <s v="Jl. Dr. A. Rivai Kec. Guguak Panjang Bukittingi"/>
        <s v="Jl. Raya by Pass KM.14 Sei Sapih Padang"/>
        <s v="Jl. Nasir Sutan Pamuncak, By Pass Kelurahan KTK, Kecamatan Lubuk Sikarah Kota Solok"/>
        <s v="Kompleks kampus Unand, Limau Manis, Kec. Pauh, PADANG"/>
        <s v="Jalan Situjuh nomor 1 Padang"/>
        <s v="Jl. Rawang Painan Utara, Nagari Painan Kec. IV Jurai, Kab Pesisir Selatan, Provinsi Sumatra Barat"/>
        <s v="Jl. Dr.Sutomo No 94 Padang"/>
        <s v="Jl. S. Parman No. 142 Padang"/>
        <s v="Jl. M.Hatta Padang Baru,Lubuk Basung"/>
        <s v="Jl. Lintas Sumatera Jorong Ujung Koto Nagari Sungai Rumbai Timur Kecamatan Sungai Rumbai Kabupaten"/>
        <s v="Jl. Jend Sudirman Bukittinggi PO. BOX I Bukittinggi"/>
        <s v="JL.Raya by Pass KM 15 Air Pacah Padang"/>
        <s v="Jl. Hamka no. 273  Batusangkar Jorong Simpuruik Nagari Simpuruik Kecamatan Sungai Tarab Kabupaten Tanah Datar Provinsi Sumatera Barat"/>
        <s v="Jl. Nostalgia No. 55, Desa Kampung Gadang Padusunan, Kecamatan Pariaman Timur, Kota Pariaman, Propinsi Sumatera Barat"/>
        <s v="Jalan Raya Tuapejat KM.9. Kecamatan Sipora Utara Kabupaten Kepulauan Mentawai Propinsi Sumatera Barat"/>
        <s v="JL.Ratulangi N0.24 RT.001 RW.008 Kelurahan Kampung Jao"/>
        <s v="Jl. H. Agus Salim No. 6 Padang , Sumatera Barat"/>
        <s v="Jl. Air Paku Sungai Sapih Kecamatan Kuranji Kota Padang Sumatera Barat"/>
        <s v="Jl. Prof. M. Yamin Pandan Ujung No. 76, Kelurahan PPA, Kecamatan Tanjung Harapan, Kota Solok, Sumatera Barat"/>
        <s v="Jl. Lintas Sumatera, Pondok Mahligai Indah, Tanah Badantung, Kecamatan Sijunjung, Kabupaten Sijunjung, Provinsi Sumatera Barat"/>
        <s v="Jl. Gajah Mada No.14 Kelurahan Gunung Pangilun, Kecamatan Padang Utara, Kota Padang"/>
        <s v="Jl. Jendral Sudirman No.33, Kelurahan Pauah, Kecamatan Lubuk Sikaping, Kabupaten Pasaman, Provinsi Sumatera Barat"/>
        <s v="Jl. Terandam No. 5-7 Kel. Sawahan, Kec. Padang Timur, Kota Padang, Prov. Sumatera Barat"/>
        <s v="Jl. AIS Nasution 25,Balai Kaliki Payakumbuh"/>
        <s v="Jl. Raya Km.1 Muara Labuh Padang Aro"/>
        <s v="Jl. Perintis Kemerdekan No.77 Jati Baru"/>
        <s v="Jl. H. Agus Salim No. 11A Padang"/>
        <s v="Jl. M. Djamil No 110 Lubuk Alung"/>
        <s v="Jl. RA. Kartini No.18, Sawah Lunto Desa/Kelurahan Aur Mulio,  Kec.  Lembah Segar,  Kota Sawahlunto,  Provinsi Sumatera Barat,  Kode Pos 27418"/>
        <s v="Jl.Pemuda No 53, Padang"/>
        <s v="Jl. Flores Jorong Kuamang Nagari Ujung Gading Kecamatan Lembah Melintang Kabupaten Pasaman Barat Provinsi Sumatera Barat, Kode Pos (26572)"/>
        <s v="Jl. Jenderal Sudirman, Kec.Luhak Nan Duo,Kab.Pasaman Barat,Provinsi Sumatra Barat"/>
        <s v="Jl.raya Padang bukittingi Km.42 Parit malintang"/>
        <s v="Jln. Gajah Mada No. 435A Lansano. Kec. Lubuk Basung, Kabupaten Agam, Provinsi Sumatera Barat"/>
        <s v="Jalan Basuki Rahmat No. 1 Kelurahan Karan Aur Kecamatan Pariaman Tengah"/>
        <s v="Jalan Tapan - Padang , Kenagarian Bukit Buai Tapan, Kecamatan Basa Ampek Balai Tapan, Kabupaten Pesisir Selatan, Provinsi Sumatera Barat"/>
        <s v="Jl. Lintas Sumatera KM 4, Kenagarian Sungai Kambut, Kec. Pulau Punjung"/>
        <s v="Jl. By Pass KM 7 Kelurahan Pisang Kecamatan Pauh"/>
        <s v="Jl. Soekarno-Hatta No. 17, Kel. Bukit Surungan, Kec. Padang Panjang Barat"/>
        <s v="Jl. Lintas Sumatera Km. 110 Tanah Badantuang"/>
        <s v="Jl Jend Sudirman Sago IV Jurai Painan"/>
        <s v="Jl. dr. Wahidin No. 1, Kel. Ganting Parak Gadang, Kec. Padang Timur"/>
        <s v="Jl. By Pass Kubu Gulai Bancah RT.006  RW.002, Kelurahan Kubu Gulai Bancah, Kecamatan Mandiangin Koto Selayan, Kota Bukittinggi ,Provinsi Sumatera Barat"/>
        <s v="Jl Rumah Sakit No.01 Pkl Kerinci"/>
        <s v="Jl Jenderal Sudirman No.134, Pekanbaru"/>
        <s v="Jl Perintis Kemerdekaan KM 2 Jao Teluk Kuantan"/>
        <s v="Jl Jend. Sudirman 410, Pekanbaru"/>
        <s v="Jl Ronggowarsito I No I Kelurahan Sukamaju Kecamatan Sail Kota Pekanbaru"/>
        <s v="Jl. Bathin Betuah No. 1A, Air Jamban, Mandau, Bengkalis"/>
        <s v="Jl Raya Bukit Datuk,Dumai"/>
        <s v="Jl Tunas Harapan Sungai Guntung Kecamatan Kateman, Kabupaten Indragiri hilir, Provinsi Riau"/>
        <s v="Jl Lingkar Bangkinang-Batu Belah, Kampar, Riau"/>
        <s v="Jl Raya Pasir Putih No. 3A-C Kec. Siak Hulu, Kabupaten Kampar, Riau"/>
        <s v="Jl. Batang Tuaka No. 1, RT/RW 001/002, Kel. Pekan Arba Kec. Tembilahan"/>
        <s v="Jl. Adi Sucipto No. 123 Kelurahan Maharatu Kecamatan Marpoyan Damai Kota Pekanbaru Provinsi Riau"/>
        <s v="Jl. Lintas Riau-Sumatera Utara KM. 1 Desa/Kel. Bagan Batu Kec. Bagan Sinembah"/>
        <s v="Jl Azki Aris Kampung Dagang Rengat"/>
        <s v="Jl. Jendral Sudirman No. 265 Ujungbatu Kab. Rokan Hulu"/>
        <s v="Jl. Raya Pekanbaru – Sungai Pagar, RT.001/RW.001 Dusun I Harapan Makmur, Desa Lubuk Sakat, Kec. Perhentian Raja."/>
        <s v="Jl Kesehatan No 2 Pekanbaru"/>
        <s v="Jl Soekarno Hatta No 236 Pekanbaru"/>
        <s v="Jl. Tuanku Tambusai RT. 03 RW. 02 Kel. Delima Kec. Tampan Kota Pekanbaru"/>
        <s v="Jl Dr. Soetomo No.65 Kota Pekanbaru Provinsi Riau"/>
        <s v="Jl. Lintas-Medan Kepenghuluan Ujung Tanjung Putih"/>
        <s v="Jl Hangtuah No. 93"/>
        <s v="Kompleks Bina Widya KM 12,5 Simpang Baru, Panam"/>
        <s v="Desa Talang danto, Kec. Tapung Hulu, Kab. Kampar, Prov. Riau"/>
        <s v="Jl Dorak"/>
        <s v="Jl Jend. Sudirman No. 37,Kelurahan Gajah Sakti,Kecamatan Mandau,Kabupaten Bengkalis,Duri-RIAU,28784"/>
        <s v="Jl. KH. Ahmad Dahlan No. 163 kelurahan kampung tengah, kecamatan sukajadi, pekanbaru, provinsi riau"/>
        <s v="Jl. Jendral Sudirman No.79 Air Molek, Kel. Sekar Mawar, Kec. Pasir Penyu, Kab. Indragiri Hulu, Prov. Riau"/>
        <s v="Jl. HR Soebrantas No. 63 Kel. Tuah Karya Kec. Tampan Pekanbaru Riau"/>
        <s v="Jl Penunjang Pulau Kijang, Kec.Reteh, Kab. Inhil, Prov Riau"/>
        <s v="JL. MAYOR ALI RASYID NO 17 ABCD BANGKINANG KOTA, KABUPATEN KAMPAR, PROVINSI RIAU"/>
        <s v="Jl Kesehatan No. 1 Sinambek"/>
        <s v="Komplek Merapi Camp PT Pertamina Hulu Rokan Duri, Kelurahan Pematang Pudu, Kecamatan Mandau, Kabupaten Bengkalis, Provinsi Riau"/>
        <s v="Jl Ahmad Yani No. 68 Rt/Rw 001/001 Kel.Pulau Karam Kec. Sukajadi"/>
        <s v="Jl Garuda No.66 Kel.Tangkerang Tengah Kec.Marpoyan Damai"/>
        <s v="Jl. Marlan Jaya, Bukit Datuk, Kec. Dumai Selatan, Kota Dumai"/>
        <s v="Jl Kelapapati Tengah No.90, Bengkalis"/>
        <s v="Jl Ronggowarsito Ujung No.5A Pekanbaru"/>
        <s v="Jl Diponegoro KM 4 Pasir Pengaraian"/>
        <s v="Jl Soekarno Hatta no 228 Pekanbaru"/>
        <s v="Jl. Jenderal Sudirman No. 314"/>
        <s v="Jl. Garuda Sakti Pekanbaru KM 2"/>
        <s v="Jl Veteran No. 52 Tembilahan"/>
        <s v="Jl Soekarno- Hatta Km.6,5"/>
        <s v="Jl HR. Soebrantas No 88 Panam, Kelurahan Sialang Munggu, Kecamatan Tuah Madani, Kota Pekanbaru, Provinsi Riau. Kodepos:  28293"/>
        <s v="Jl Arifin Ahmad No. 92 Kecamatan Marpoyan Damai Kota Pekanbaru"/>
        <s v="Jl H.R. Subrantas Km.12,5 Pekanbaru"/>
        <s v="Jl. Rambutan No. 03 RK Harapan, Ujung Batu"/>
        <s v="Jl Dt. Laksamana Sorek I kec Pkl.Kuras"/>
        <s v="Jl Jenderal Sudirman, KM 02, Kel. Bahtera Makmur Kota, Kec. Bagan Sinembah, Kab. Rokan Hilir, Riau."/>
        <s v="Jl Lintas Timur Pangkalan Kerinci - Pelalawan - Riau"/>
        <s v="Jl Stadion No.10 Duri Bengkalis"/>
        <s v="JL. Raya Pekanbaru-Bangkinang KM 52, Kampar"/>
        <s v="Jl Bima NO.1 T. Tambusai Ujung Kel. Delima Kec. Binawidya, Pekanbaru"/>
        <s v="Jl. Lintas Riau Km 4 Bagan Batu Kelurahan Bahtera Makmur Kota Kecamatan Bagan Sinembah Kabupaten Rokan Hilir Provinsi Riau"/>
        <s v="Jl Tanjung Jati No.4, Buluh Kasap Kecamatan Dumai Timur Kota Dumai . Provinsi Riau"/>
        <s v="Jl Raja Kecik No.1 Kampung dalam,Siak Sri Indrapura"/>
        <s v="Jl. Yos Sudarso Km. 26, Minas, Siak"/>
        <s v="Jl. Samanhudi No. 3-5 Kel. Sago - Kec. Senapelan, Kota Pekanbaru - Riau - 28151"/>
        <s v="Jl. Lintas Timur Belilas Kel. Pangkalan Kasai"/>
        <s v="Jl Diponegoro No. 2, Pekanbaru"/>
        <s v="Jl. Jenderal Sudirman No. 88, RT 013 RW 000, Kel. Bintan, Kec. Dumai Kota"/>
        <s v="Jl. Jenderal Sudirman KM 03 Ujungbatu Timur"/>
        <s v="Jl Soekarno Hatta (Arengka Atas) Pekanbaru"/>
        <s v="Jl Jend. Sudirman No.117, Kelurahan Tangkerang Selatan, Kecamatan Bukit Raya - Riau, Kode Pos 28282"/>
        <s v="Jl. Khayangan No.53, Limbungan Baru, Rumbai Pesisir, Pekanbaru City, Riau 28261"/>
        <s v="Jl Lintas Riau Ujung Tanjung, Kec. Tanah Puth RT 024 RW 009"/>
        <s v="Jl. Dr. Wahidin No. 98 – 99, Kel. Purnama, Kec. Dumai Barat, Kota Dumai Riau"/>
        <s v="Jl Lintas Timur No.1 Pangkalan Kerinci Riau"/>
        <s v="Jl. Raya Perawang Minas Km. 10 Kelurahan Perawang Barat Kecamatan Tualang"/>
        <s v="JL KARTINI NO. 14 PEKANBARU"/>
        <s v="Jln. Jend. A. Yani No. 73"/>
        <s v="Jl Syekh Ismail, Pasir Pengaraian"/>
        <s v="Jl. Tuanku Tambusai No. 55 Pekanbaru Kelurahan Tangkerang Barat / Kecamatan Marpoyan Damai Provinsi Riau"/>
        <s v="Jl Lintas Timur Sumatera Rengat Kec. Rengat Barat Kab. Indragiri Hulu Prov. Riau"/>
        <s v="Jl. Hangtuah No.01 Kel. Buluh Kasap Kec. Dumai Timur"/>
        <s v="Jl Melati No.60 Pekanbaru"/>
        <s v="Jl. Raya Lintas Pekanbaru-Taluk Kuantan Km 62 Desa Lipat Kain Selatan, Kec. Kampar Kiri"/>
        <s v="Jl Prof. M. Yamin, SH Salo, Kec.Salo Kab. Kampar, Riau 28451"/>
        <s v="Jl Pahlawan No.13, Bagansiapiapi"/>
        <s v="Jl Lembaga Pemasyarakatan No.25, Gobah Pekanbaru"/>
        <s v="Jl. RM Thaher RT. 015 RW. 005 Kel. Cadika Kec. Rimbo Tengah"/>
        <s v="Jl. Ketaling KM. 21"/>
        <s v="Jl. Asahan Desa Purwasari Kecamatan Pelepat Ilir"/>
        <s v="Jl. Syarif Hidayatullah, No. 14 Kuala Tungkal"/>
        <s v="Jl. SK. Rd. Syahbuddin Kel. Mayang Mangurai Kec. Alam Barajo Kota Jambi Provinsi Jambi"/>
        <s v="Jl. Kol. Amir Hamzah No. 53 Kel. Selamat Kec. Danau Sipin"/>
        <s v="Jl. Mpu Gandring No.1 Kebun Jeruk"/>
        <s v="Jl. Prof. M. Yamin SH, No. 30 Kel. Lebak Bandung"/>
        <s v="Jl. Teuku Umar 88  Muara Bungo"/>
        <s v="Jl.Lebai Hasan, Rt 06/02, Sungai Pinang, Muara Bungo"/>
        <s v="Jl. Sultan Thaha Saifuddin KM. 04 Muara Tebo"/>
        <s v="Jl Lintas Sumatera Km 1 Bukit Aur Bangko Jambi"/>
        <s v="Jl. Raden Mattaher No. 33,Jambi"/>
        <s v="Jl. Lintas Timur  Kec. Merlung, Kab. Tanjung Jabung Barat"/>
        <s v="Jl. Berlin RT 12 No.21 Kel. Talang Bakung"/>
        <s v="Jl. Lintas Rantau Rasau SK 28 Desa Rantu Jaya Kode Pos 36771"/>
        <s v="Jl. Lintas Sumatera Km.09 Desa Bukit, Sarolangun"/>
        <s v="JL. K.H Hasan Anang No. 33 RT. 08 Kel. Olak Kemang Kec. Danau Teluk, Kota Jambi, Provinsi Jambi"/>
        <s v="Jl. Raden Wijaya RT 35 Kebon Kopi Kec Jambi Selatan"/>
        <s v="Jl. Jenderal Basuki Rahmat No 77 Rt 07, Paal Lima, Kota Baru, Jambi"/>
        <s v="Jl. Dr. Sutomo No.19 Jambi"/>
        <s v="Jl. Lintas Sumatera KM. 02 Simpang MAN Aur Gading Sarolangun"/>
        <s v="Jln. Lintas Timur Komp. Perkantoran Bukit Cinto Kenang. Kelurahan  Sengeti. Kecamatan  Sekernan. Kabupaten Muaro Jambi. Provinsi Jambi"/>
        <s v="Jl. Soekarno - Hatta Paal Merah,Jambi"/>
        <s v="Jl. Soekarno Hatta, Desa Suka Makmur, Kecamatan Sungai Bahar, Kabupaten Muaro Jambi, Provinsi Jambi"/>
        <s v="Jl. Diponegoro RT. 13 RW. 04 Pasir Putih Muara Bungo"/>
        <s v="Jl. WR. Supratman Kel. Parit Culum I Kec. Muara Sabak Barat Kab. Tanjung Jabung Timur Provinsi Jambi"/>
        <s v="Jalan, Kapten  Pattimura RT. 02 No. 58 kelurahan kenali besar,kecamatan Alam Barajo Kota Jambi Provinsi Jambi"/>
        <s v="Jl. Kardinal J Darmojuwono (Jl. Lingkar Selatan), Kel. Kenali Asam Bawah, Kec. Kota Baru"/>
        <s v="Jl. Gajah Mada Kel. Teratai Kec. Muara Bulian"/>
        <s v="Jl. Jenderal Basuki Rahmat, Desa Koto Renah, Kecamatan Pesisir Bukit, Kota Sungai Penuh, Provinsi Jambi"/>
        <s v="Jl. Kabia No.4 RT. 01 Kebun Handil"/>
        <s v="Jl. Lintas Sumatera KM. 03 Lingkungan Mensawang Kelurahan Dusun Bangko Kecamatan Bangko Kabupaten Merangin Kode Pos 37313"/>
        <s v="Jl. Letjen Suprapto no. 31 Telanaipura Jambi"/>
        <s v="Jln. Jendral A. Yani No. 36 ( Rumah Sakit Melati) Sungai Penuh"/>
        <s v="Jln. Kesehatan No. 20 Kelurahan Pematang Kandis Kecamatan Bangko Kabupaten Merangin Provinsi Jambi"/>
        <s v="Jl. Sapta Marga RT. 021 RW. 003 Kel. Pematang Kandis Kec. Bangko"/>
        <s v="Jl. Raden Mathaher No.03 Jambi"/>
        <s v="Jl. Prof. Dr. Sri Soedewi, SH Muara Bulian"/>
        <s v="Jl. Dr. Purwadi KM 9,5 Kelurahan Aur Kenali Kecamatan Telanaipura Jambi 36129"/>
        <s v="Jl. Pahlawan RT. 001 RW. 005 Kelurahan Wirotho Agung Kecamatan Rimbo Bujang Kabupaten Tebo Provinsi Jambi Kode Pos 37553"/>
        <s v="Desa Rantau Ikil Kec. Jujuhan Kab. Bungo"/>
        <s v="Jl. RE. Martadinata No. 6-8 Palembang"/>
        <s v="Jl. Kol. H. Burlian Km 6"/>
        <s v="Jl. Kesehatan No. 100 Komperta Prabumulih"/>
        <s v="Jl. Palembang Betung Km. 14.5 Kelurahan Tanah Mas Kecamatan  Talang kelapa Kabupaten Banyuasin Provinsi Sumatera Selatan kodepos 30961"/>
        <s v="Jl. Letnan Marzuki Ruko 59-59 Simpang Kodim Lama Kel. Pasar Lama Kec. Lahat"/>
        <s v="Jl Raya Palembang-Jambi KM 200 Kec, Bayung Lencir"/>
        <s v="Jl. Letkol Sukirno No.20A Kel.Air Kuti, Kec. Lubuklinggau Timur I Kota Lubuklinggau Provinsi Sumatera Selatan"/>
        <s v="Jl. Demang Lebar Daun No.26"/>
        <s v="JL.KAPTEN ABDULLAH NO.1212 RT.18 RW. 07 KELURAHAN TALANG BUBUK, KECAMATAN PLAJU"/>
        <s v="Jl. Sultan Mahmud Badarudin II No. 49"/>
        <s v="Jl. Sultan Machmud Badaruddin II No. 18 Rt. 17 Rw. 04 Kel. Alang-Alang Lebar KM 11"/>
        <s v="Jl. Pahlawan Kemarung No. 27 Kec. Baturaja Timur, Kab. Ogan Komering Ulu, Prov. Sumatera Selatan"/>
        <s v="Jl. Raya Ranau Bumi Agung Jaya, Kecamatan Buay Rawan, Kabupaten Ogan Komering Ulu Selatan, Provinsi Sumatera Selatan"/>
        <s v="Jl. Sungai Kundur Kelurahan Mariana Kec. Banyuasin I"/>
        <s v="Jl. Garuda No.3 KM.3 Desa Tanjung Baru, Kec. Baturaja Timur"/>
        <s v="Jl. Bupati Oesman Bakar Lingkungan I Kel. Kayuara Kec. Sekayu Kab.Musi Banyuasin"/>
        <s v="Jl Yos Sudarso Rt 11 Kelurahan Taba Jemekeh Kecamatan Lubuklinggau Timur 1"/>
        <s v="Jl. Panca Usaha No.1 Kel. 5 ulu Seb. Ulu I, PALEMBANG"/>
        <s v="Jl. Mayor Tjik Agus Kiemas Lintas Kepur Muara Enim (Kawasan Perkantoran Islamic Center)"/>
        <s v="Jl. Jenderal Sudirman No. 502 Km.4,5, Palembang"/>
        <s v="Jl. Taman Siswa RT. 014 RW. 05 Kel. Pasar Bhayangkara Kec. Talang Ubi"/>
        <s v="Jl. Kolonel. H. Burlian KM. 6 Palembang"/>
        <s v="JL. Pengantingan NO I Komplek Pertamina Plaju, Palembang"/>
        <s v="Jl. DR. M. Hatta No. 877 Kelurahan Kemalaraja Kecamatan Baturaja Timur Kabupaten Ogan Komering Ulu Provinsi Sumatera Selatan"/>
        <s v="Jl. Lingkar Desa Muara Dua Desa Muara Dua Kecamatan Semende Darat Laut Kabupaten Muara Enim Provinsi Sumatera Selatan Kode Pos 31356"/>
        <s v="Jl. Raya Belitang Rasuan No.1 Tulus Ayu Kecamatan Belitang Madang Raya"/>
        <s v="Jl. Yos Sudarso Rt. 006,  Kelurahan Batu Urip, Kecamatan Lubuklinggau Timur 1, Kota Lubuklinggau, Provinsi Sumatera Selatan. Kodepos 31624."/>
        <s v="Jl. A. Yani 13 Ulu, kota Palembang,Sumatera selatan"/>
        <s v="Jl. Sofyan Kenawas Gandus Palembang"/>
        <s v="Jln. Lintas Timur Palembang - Lampung KM. 125 Desa Tugu Jaya, Kecamatan Lempuing, Kabupaten Ogan Komering Ilir Sumatera Selatan 30657"/>
        <s v="Jl. Jendral Sudirman No. 1051 C-D-E KM 3.5 Kecamatan Ilir Timur 1 , Kelurahan 20 Ilir D-I, Palembang, 30126, Provinsi Sumatera Selatan."/>
        <s v="Jl. Letjen harun sohar No.26,Lahat"/>
        <s v="Jl May Zen Kompl Pusri, 2 Ilir Palembang"/>
        <s v="Jl. Cut Nyak Dien No. 631 Kel. Kemalaraja"/>
        <s v="JL. Lingkar Gelumbang Kelurahan Gelumbang Kecamatan Gelumbang, Kabupaten Muara Enim, Provinsi Sumatera Selatan"/>
        <s v="Jl. Lingkar Barat RT. 11 RW. 03, Kelurahan Gunung Ibul, Kecamatan Prabumulih Timur. Kota Prabumulih. Provinsi Sumatera Selatan"/>
        <s v="JL.POM IX (KOMPLEK PS MALL) KELURAHAN LOROK PAKJO"/>
        <s v="Jl. Sultan Agung No. 56 Lingkungan II Kelurahan Makarti Jaya Kecamatan Makarti Jaya Kabupaten Banyuasin Sumatera Selatan"/>
        <s v="Jl. Adiwiyata Simpang Lengot Kota Baru Kecamatan Martapura"/>
        <s v="Jl.Brigjend Hasan Kasim No. 1-2 Kel. Bukit Sangkal Kec. Kalidoni Palembang"/>
        <s v="JL. BASUKI RAHMAT NO 897 RT 897 RT 11 RW 003 PALEMBANG"/>
        <s v="Jl. Lintas Baturaja No. 541 Tanjung Buhuk, Kelurahan Tanjung Enim, Kecamatan Lawang Kidul, Kabupaten Muara Enim, Provinsi Sumatera Selatan"/>
        <s v="Jalan Pangeran Moehamad Amin, Muara Beliti Baru, Kecamatan Muara Beliti, Kabupaten Musi Rawas Kode Pos 31661"/>
        <s v="Jl. Tembus Terminal No. 02, KM. 12 Kecamatan Alang Alang Lebar Kota Palembang"/>
        <s v="Jl. Inspeksi Irigasi Komering, Desa Tanah Merah, Kecamatan Belitang Madang Raya, Kabupaten Ogan Komering Ulu Timur, Provinsi Sumatera Selatan"/>
        <s v="Jl Lintas Timur KM 33  LK I RT 02 Kel. Timbangan Kec. Indralaya Utara Kab. Ogan Ilir, Sumatera Selatan"/>
        <s v="Jl. Raya Bukit Asam no 118 Tanjung Enim"/>
        <s v="Jl. Raya Palembang - Betung Km.48,Pangkalan Balai Kabupaten Banyuasin Provinsi Sumatera Selatan"/>
        <s v="Jl. Demang Lebar Daun No.62 RT.035 RW.010 Kel. Demang Lebar Daun Kec. Ilir Barat I. Palembang Sumatera Selatan"/>
        <s v="Jl. Mayor Memet Sastra Wirya No.1 Boom Baru"/>
        <s v="Jl. RS Tanah Abang Dusun 1 Tanah Abang Jaya, Kecamatan Tanah Abang"/>
        <s v="Jl. Dr. Moh.Hatta No.1,Baturaja"/>
        <s v="Jalan Lembing Blok F No. 15 Kampus POM IX, RT 031, RW 009, Kelurahan Lorok Pakjo, Kecamatan Ilir Barat Satu, Kota Palembang, Provinsi Sumatera Selatan"/>
        <s v="Jl. Gub H A Bastari RT 010 RW 005 Kel. Jakabaring Selatan Kec. Rambutan"/>
        <s v="Jl. Kesehatan No. 1 Desa Lawang Agung Kec. Rupit Kab. Musi Rawas Utara Provinsi Sumatera Selatan"/>
        <s v="Jl. Demang Lebar Daun No 70 Palembang"/>
        <s v="Jl. Noerdin Pandji Km 5, Kelurahan Tanjung Kupang, Kecamatan Tebing Tinggi, Kabupaten Empat Lawang, Provinsi Sumatera Selatan"/>
        <s v="Jl. Soekarno Hatta, Ilir Barat 1, Palembang"/>
        <s v="Jl. Angkatan 45 Kel. Gunung Ibul Barat Kec. Prabumulih Timur Prabumulih, Sumatera Selatan 31121"/>
        <s v="Jl. Jendral Sudirman KM 3,5 Palembang"/>
        <s v="JL. H. M. Saleh No. 02 KM. 7 Kel. Sukarami Kec. Sukarami Palembang"/>
        <s v="Jl. Gubernur H.A. Bastari Jakabaring Desa Sungai Kedukan Kecamatan Rambutan"/>
        <s v="Jl. Soekarno Hatta KM 12.5 Kelurahan. Petanang Ilir Kecamatan. Lubuklinggau Utara 1. Kota Lubuk Linggau. Provinsi Sumatera Selatan"/>
        <s v="Jl. H. Muhammad Shaleh Mualim BK 10 Tegal Rejo Belitang"/>
        <s v="Jl. Palembang-Jambi KM.117 RSUD Sungai Lilin Kecamatan Sungai Lilin"/>
        <s v="Jl. Kol. H. Barlian Km. 7 No. 228 Kota. Palembang"/>
        <s v="Jl.ANWAR ARSYAD NO.12 RT.02 RW.07 KEL SIRING AGUNG"/>
        <s v="Jl. Letjend Harun Sohar  I  No.28 Kelurahan Pasar Baru Kabupaten Lahat Sumatera Selatan"/>
        <s v="Jl. Srijaya Negara No.1 Rt.72 Rw.11 Kel. Bukit Lama"/>
        <s v="Jl. dr AK Gani no I Palembang"/>
        <s v="Jl. Jenderal Sudirman KM. 4.5"/>
        <s v="Jl. Garuda No. 245 RT. 03 Kel. Bandung Kiri Kec. Lubuklinggau Barat I Kota Lubuklinggau, Sumsel"/>
        <s v="Jl. Yos Sudarso No. 2 RT. 03, Watervang, Kec. Lubuklinggau Timur I, Kota Lubuklinggau, Provinsi Sumatera Selatan"/>
        <s v="Jl. Raya Prabumulih- Batu Raja ,Desa Karang Agung, Kecamatan Lubai Ulu, Kabupaten Muara Enim, Provinsi Sumatera Selatan"/>
        <s v="Jl. Letjen Yusuf Sungadekane No. 01, Kel.Jua Jua, Kec.Kayuagung, Sumatera Selatan"/>
        <s v="Jl. Jenderal Sudirman No.01 Kel. Patih Galung Kec. Prabumulih Barat"/>
        <s v="Jl.Syekh Kaliyudin (Kemiling) Rt. 11 Rw. 04 Desa Tanjung Baru Kec. Baturaja Timur Kab. Ogan Komering Ulu Provinsi Sumatera Selatan"/>
        <s v="Jln. Dr. Moh Hatta No 64"/>
        <s v="Komplek Perkantoran Terpadu (KPT) Pemerintah Daerah Kabupaten Ogan Ilir Desa Sejaro Sakti Kecamatan Indralaya Kabupaten Ogan Ilir Provinsi Sumatera Selatan"/>
        <s v="Jl. Kol. H. Burlian KM.6 , Desa/Kelurahan Sukajaya, Kec.Sukarami, Kota Palembang, Prov.Sumatera Selatan , Kode Pos : 30151"/>
        <s v="Jl. Jati Kel. Pendopo Kec. Pendopo"/>
        <s v="Jl. AIS Nasution No.3 Kel. Alun Dua Kec. Pagar Alam Utara Kota Pagar Alam Provinsi Sumatera Selatan"/>
        <s v="JL.RAYA LINTAS TIMUR KM.35,5 KELURAHAN INDRALAYA RAYA KECAMATAN INDRALAYA KABUPATEN OGAN ILIR PROVINSI SUMATERA SELATAN"/>
        <s v="Jl. Sudirman 1054 Palembang"/>
        <s v="Jl. Pangeran Moehammad Amin, Komplek Perkantoran Pemerintah Kabupaten Musi Rawas, Ds. Muara Beliti Baru, Kec. Muara Beliti, Kab. Musi Rawas, Prov. Sumatera Selatan"/>
        <s v="JL.BETAWI RAYA NO 1340 RT 22 RW 06 KELURAHAN LEBONG GAJAH KECAMATAN SEMATANG BORANG PALEMBANG"/>
        <s v="JALAN DOKTOR MUHAMMAD HATTA KELURAHAN KEMALARAJA KECAMATAN BATURAJA TIMUR KABUPATEN OGAN KOMERING ULU PROVINSI SUMATERA SELATAN"/>
        <s v="Jl. Budi Utomo Kel. Beringin Raya"/>
        <s v="Jalan  Jalur Dua Kelurahan Durian Depun  Kecamatan Merigi  Kabupaten  Kepahiang  Provinsi  Bengkulu  Kode  Pos 39371"/>
        <s v="Jl. Raya Bengkulu - Kepahiang  Km.27,5 Desa Durian Demang Kecamatan Karang Tinggi, Kabupaten Bengkulu Tengah, Propinsi Bengkulu 38385"/>
        <s v="Jl. MH. Thamrin No. 04 Kel. Air Rambai, Kec. Curup"/>
        <s v="Jln. Mahoni No.10 Kelurahan Padang Jati Kecamatan Ratu Samban Kota Bengkulu Kode Pos 38227"/>
        <s v="Jl. Siti Khadijah No. 08 Arga Makmur Kabupaten Bengkulu Utara"/>
        <s v="Jl. Gerak Alam RT. 13 Kelurahan Kota Medan Kecamatan Kota Manna"/>
        <s v="Jl. Veteran No.2 Kelurahan Jitra Kota Bengkulu"/>
        <s v="Jl. Raya Bengkulu-Manna Km. 64 Kelurahan Selebar Kecamatan Seluma Timur Kabupaten Seluma, Propinsi Bengkulu"/>
        <s v="Jl. Pusat KTM Lagita Desa Urai Kecamatan Ketahun Kab Bengkulu Utara Provinsi Bengkulu"/>
        <s v="Jln. Hibrida Raya No. 01 RT 23 RW 08"/>
        <s v="Jl. Citandui No. 34 Kel. Lingkar Barat Kec. Gading Cempaka"/>
        <s v="Jl. Lintas Kepahiang-Bengkulu KM 03 Desa Tebat Monok Kepahiang"/>
        <s v="Jl.S.Parman No.61 Kota Bengkulu"/>
        <s v="Jl. Raya Padang Panjang Manna Kabupaten Bengkulu Selatan"/>
        <s v="Jl. Bhakti Husada Lingkar Barat Bengkulu"/>
        <s v="Jln. Muara Aman - Curup, Desa Muning Agung , Kecamatan Lebong Sakti, Kabupaten Lebong , Provinsi Bengkulu"/>
        <s v="Jl. Zainul Arifin RT 05/01 Kel. Padang Nangka Kecamatan Singaran Pati Bengkulu"/>
        <s v="Jl. Lintas Barat Sumatera, Cahaya Bathin, Kec. Semidang Gumay, Kabupaten Kaur, Provinsi Bengkulu"/>
        <s v="Jl. Raya Malakoni KM 3 Kecamatan Enggano Kabupaten Bengkulu Utara"/>
        <s v="Jl. Let. Jend. Basuki Rahmad  Kecamatan Ratu Samban Kota Bengkulu"/>
        <s v="Jl. Ir. Soekarno No.12 Rama Agung Arga Makmur, Bengkulu Utara"/>
        <s v="Jl. Danau Nibung Desa Kota Praja Kecamatan Air Manjunto Kabupaten Mukomuko Provinsi Bengkulu"/>
        <s v="Jl. Pulai Berantai Desa Ujung Padang Kecamatan Kota Mukomuko"/>
        <s v="Jl. Lintas Curup-Lubuk Linggau, Kelurahan Simpang Nangka, Kecamatan Selupu Rejang, Kabupaten Rejang Lebong, Provinsi Bengkulu."/>
        <s v="Jl. Bayangkara Kel. Sido Mulyo Kec. Gading Cempaka Kota Bengkulu"/>
        <s v="Jl. Lintas Barat Pekon Fajar Agung Barat Kec. Pringsewu"/>
        <s v="Jl. Raya Natar No.4 Muara Putih, Lampung Selatan"/>
        <s v="Jl. Teuku Umar No. 48, Kelurahan Surabaya, Kecamatan Kedaton"/>
        <s v="Jl. Kolonel Makmun Rasyid No. 59, Kel Way Urang"/>
        <s v="JL. KESUMA BANGSA NO.128 WAY URANG, KALIANDA, Desa/Kelurahan Way Urang, Kec. Kalianda, Kab. Lampung Selatan, Provinsi Lampung, Kode Pos: 35551"/>
        <s v="Jalan Negara Lintas Timur KM. 112 Tiuh Tohou Ke. Menggala, Kab.T ulang Bawang, Prov. Lampung"/>
        <s v="Jl. Sumber Jaya No. 667 Desa Tanjung Baru Kecamatan Bukit Kemuning Kabupaten Lampung Utara"/>
        <s v="Jl. KARTINI NO. 104 KALIREJO"/>
        <s v="Jl. Raden Intan II, No.36, Kelurahan Way Mengaku, Kecamatan Balik Bukit"/>
        <s v="Jl. Sultan Agung, Komplek Ruko Sentra Niaga No. 12-15 Way Halim Permai, Bandar Lampung"/>
        <s v="Jl. Ethanol Unit 2 Tunggal Warga Kec. Banjar Agung"/>
        <s v="Jl. Letnan Adnan Sanjaya,Lintas Timur,Sukadana,Lampung Timur"/>
        <s v="Jl. Sriwijaya No. 56  Setia Negara Kec. Baradatu Kab. Way Kanan Provinsi Lampung"/>
        <s v="Jl. Sultan Haji Labuan Ratu Bandar Lampung"/>
        <s v="Jl. Gajah Mada No.88,Bandar Lampung"/>
        <s v="Jl. Kh. Hasyim Ashari No.73, Gedong Pakuon, Kec. Telukbetung Selatan, Kota Bandar Lampung, Lampung 35221"/>
        <s v="JL. Airan Raya NO.99 Way Huwi Jati Agung Lampung Selatan"/>
        <s v="Jl. Atar Sedangkek Pekon Way Suluh Kecamatan Krui Selatan Kabupaten Pesisir Barat"/>
        <s v="Jl. Dr. A.Rivai No.7, Bandar Lampung"/>
        <s v="Jl. Raya Lintas Sumatera, Seputih Jaya No.31, Kec. Gunung Sugih, Kab. Lampung Tengah"/>
        <s v="Jl. Lintas Timur RT/RW 017/08 Desa Sido Binangun,Kec.Way Seputih,Kab. Lampung Tengah Propinsi Lampung"/>
        <s v="Jl. Diponegoro Tiyuh Panaragan Kec. Tulang Bawang Tengah Kab. Tulang Bawang Barat Provinsi Lampung"/>
        <s v="Jl. Negara No.99 Km.67 Yukum Jaya Lampung Tengah"/>
        <s v="Jl. Ir. Sutami Km.1 Sribhawono, Lampung Timur"/>
        <s v="Jl. Pramuka No.88 Rajabasa Bandar Lampung"/>
        <s v="Jl. Jend.AH Nasution No.250 kelurahan Yosodadi, kecamatan Metro Timur , Kota Metro Lampung Provinsi Lampung"/>
        <s v="Jln. Pajajaran No 109 Jagabaya II Wayhalim"/>
        <s v="Jl. Abdoel Moeloek No. 119 Tanjung Aman, Kotabumi, Lampung Utara"/>
        <s v="Jl. Sukarno Hatta Way Halim,Bandar Lampung"/>
        <s v="Jln. Raya Kedondong, Sukamarga, Desa Gedong Tataan Kec. Gedong Tataan, kab. Pesawaran"/>
        <s v="Jl. Raya Lintas Pantai Timur Sumatera, Desa Mataram Baru, Kel. Mataram Baru Kec. Mataram Baru"/>
        <s v="Jl. Raya Gisting,Tanggamus"/>
        <s v="Jl. Kartini No. 109 Kalirejo , Kec. Kalirejo,"/>
        <s v="Jl. Lintas Sumatera KM 65 Yukum Jaya Terbanggi Besar Bandar Jaya"/>
        <s v="Jl. Basuki Rachmat No. 73 Teluk Betung Utara, Kota Bandar Lampung"/>
        <s v="Jl. Jenderal Sudirman 156,Kota Metro, Lampung"/>
        <s v="Jl. W. Monginsidi No.235,Bandar Lampung"/>
        <s v="Jl. Lintas Timur No. 1147 Unit II  Kec. Bandar Agung"/>
        <s v="Jl. Jend.A.Yani No.14 Pringsewu,Kab.Pringsewu"/>
        <s v="Jl. Raya Lintas Sumatera, Umpu Semenguk"/>
        <s v="JL. Dr. Susilo, Nomor 54  Enggal, Pahoman, Bandar Lampung, Lampung"/>
        <s v="Jalan Lintas Timur Plangkawati 1, Desa Labuhan Ratu VII Kec. Labuhan Ratu Kab. Lampung Timur, Provinsi Lampung"/>
        <s v="Jl. SULTAN AGUNG NO. 5 BANDAR JAYA - TERBANGGI BESAR"/>
        <s v="Jl. Lettu Rohani No. 14 B, Desa Kedaton, Kecamatan Kalianda, Kabupaten Lampung Selatan, Provinsi Lampung"/>
        <s v="Jl. A. Yani No.51, Pringsewu"/>
        <s v="Jl. Urip Sumoharjo No.200,Bandar Lampung"/>
        <s v="Jl. Raya Way Jepara Plangkawati II Labuhan Ratu Baru Kec. Way Jepara Kab. Lampung Timur"/>
        <s v="Jl. Lintas Timur Sumatera Desa Agung Dalam Rt.003 Rw.002 Kec. Banjar margo Kab. Tulang Bawang Provinsi Lampung"/>
        <s v="Jl. Dr. Rivai 6, Kelurahan Penengahan Kecamatan Tanjungkarang Pusat, Kota Bandar Lampung, Provinsi Lampung  35112"/>
        <s v="Jl. Lintas Sumatera Nomor 4.A, Terbanggi Agung, Gunung Sugih, Lampung Tengah. KodePos 34161"/>
        <s v="Jl. KH. Ahmad Dahlan, Candra Mukti, Tulang BAwang Barat"/>
        <s v="JL. HOS COKROAMINOTO NO. 96 ENGGAL BANDAR LAMPUNG"/>
        <s v="Jln.Ahmad Yani No.36 Desa Taman Sari Kec.Gedong Tataan Kabupaten Pesawaran Lampung"/>
        <s v="Jl. Proklamator Raya No.162-164,Lampung Tengah"/>
        <s v="Jl. Raya Tambahsari No.15 Gading Rejo"/>
        <s v="Jl. Hanafiah No. 64/75 Kel. Imopuro Metro Pusat"/>
        <s v="Jl. Pramuka No.27 Kecamatan Kemiling, Kota Bandar Lampung Provinsi Lampung"/>
        <s v="Jl. Raya Gd.Tataan KM 13 Pesawaran 35366"/>
        <s v="JL.JEND.A.YANI NO.52 IRINGMULYO METRO TIMUR, KOTA METRO,LAMPUNG."/>
        <s v="Jl. Jendral Sudirman, Kel. Simpang Mesuji, Kec. Simpang Pematang"/>
        <s v="Jl. Teuku Umar No. 3, Lampung Barat"/>
        <s v="Jl. Jend.Sudirman No.2 Kelurahan Tanjung Harapan Kecamatan Kotabumi Selatan  - Kabupaten Lampung Utara Provinsi Lampung"/>
        <s v="Jl. AH. Nasution No. 34-36 Kel. Yosorejo Kec. Metro Timur Kota Metro -Lampung"/>
        <s v="Jl. Tulang Bawang No. 21 Kel. Enggal Kec. Enggal"/>
        <s v="Jl. Alamsyah Ratu Perwira Negara No. 47 Kotabumi Selatan"/>
        <s v="Jl.Jend. A.Yani No.13 Kota Metro"/>
        <s v="Jl. Kunang 15 Kauman, Metro"/>
        <s v="Jl.Hasanuddin no.27 Telukbetung"/>
        <s v="Daya Asri RT/RW 002/002 Kecamatan Tumijajar  Kabupaten Tulang Bawang Barat Provinsi Lampung"/>
        <s v="Jl.Bougenvile 1 Rawa Laut Kec.Enggal-Bandar Lampung"/>
        <s v="Jl. Lintas Sumatera No. 12 KelurahanKalibalangan, Kecamatan Abung Selatan , Kabupaten Lampung Utara, Provinsi Lampung"/>
        <s v="Jl. Wisma Rini Nomor 1 Kel. Pringsewu Selatan Kec. Pringsewu Kab. Pringsewu Prov. Lampung"/>
        <s v="Jl. ZA. Pagar Alam Brabasan Kec. Tanjung Raya Kabupaten Mesuji Lampung"/>
        <s v="Jl. Soekarno Hatta Komplek Islamic Center kecamatan Kota Agung Kabupaten Tanggamus Provinsi Lampung Kode Pos 35384"/>
        <s v="Jl. Soekarno - Hatta No.94,Kotabumi lampung Utara"/>
        <s v="Jl. Soekarno Hatta No.42 Mulyojati 16B, Metro Barat"/>
        <s v="Jalan. Raden Intan RT/RW 003/002 LK II, Bandar Jaya Timur , Terbanggi Besar, Lampung tengah"/>
        <s v="Jl. KH. Dewantara No. 1269 Pringsewu - Lampung"/>
        <s v="Kompleks Pemprov Lampung Kota Baru Jati Agung Kabupaten Lampung Selatan 35365"/>
        <s v="Jl. Jenderal Soeprapto No. 4 Kel. Sumbersari Kec. Metro Selatan"/>
        <s v="Jl. Bukit Baru No.1, Kel.Taman Bunga Kec.Gerunggang Kota Pangkal Pinang Prov.Kep.Bangka Belitung"/>
        <s v="Jl. Telaga Biru No. 1 Desa Padang Baru, kecamatan Pangkalan Baru, Kabupaten. Bangka Tengah, Provinsi. Kepulauan Bangka Belitung"/>
        <s v="Jl. Zipur Desa Air Anyir Kec. Merawang"/>
        <s v="Jl. Jend. Sudirman No. 03, Kel. Sungailiat Kec. Sungailiat, Kabupaten Bangka 33211 Provinsi Kepulauan Bangka Belitung"/>
        <s v="Jl. KH. Hasan Basri Sulaiman No. 20 RT. 01 RW. 01 Kel. Gedung Nasional Kec. Taman Sari Pangkalpinang"/>
        <s v="Jl.Jend.Sudirman Pangkalpinang Kepulauan Bangka Belitung"/>
        <s v="Jl. A. Yani No. 155A  Kel. Kejaksaan Kec. Taman Sari"/>
        <s v="Komplek Perkantoran Terpadu Pemerintah Kabupaten Bangka Tengah Jl. Merdeka By Pass Koba"/>
        <s v="Jl. Angkap Seruk Desa Payung Kec. Payung"/>
        <s v="Jl. Raya Gadung Desa Gadung, Kecamatan Toboali, Kabupaten Bangka Selatan, Propinsi Kepulauan Bangka Belitung"/>
        <s v="Jl. Raya Sungailiat - Muntok Desa Puding Besar, Kecamatan Puding Besar Kabupaten Bangka, Provinsi Bangka Belitung"/>
        <s v="Jl. Soekarno Hatta,Kota PangkalPinang"/>
        <s v="Jl. Jend. Sudirman KM. 11 No. 1, Buluh Tumbang, Kec. Tanjung Pandan, Kabupaten Belitung, Kepulauan Bangka Belitung, 33144"/>
        <s v="Jl. Raya Sungkap  Desa Namang Kecamatan Namang  Kabupaten Bangka Tengah Provinsi Kep. Bangka Belitung 33685"/>
        <s v="Jl. Jend Sudirman No. 345 Kel. Parit Padang Kec. Sungai Liat"/>
        <s v="Jl. Depati Hamzah Kelurahan Bacang Kecamatan Bukit Intan"/>
        <s v="Jl. Soekarno Hatta KM. 5 Kelurahan Dul Kecamatan Pangkalanbaru"/>
        <s v="Jl. Raya Komplek Unmet Muntok"/>
        <s v="JL. Solihin GP No.180 Kel. Gajah Mada Kec.Rangkui"/>
        <s v="Jl. Jend. Sudirman Km 5,5 Desa Aik Rayak Tanjungpandan Kabupaten Belitung Provinsi Kepulauan Bangka Belitung"/>
        <s v="JL. RAYA BELINYU DUSUN SIMPANG CANGKUM DESA RIDING PANJANG KECAMATAN BELINYU KABUPATEN BANGKA PROVINSI KEPULAUAN BANGKA BELITUNG"/>
        <s v="Jl. Kadur Dalam, Kelurahan Belo Laut, Kecamatan Mentok, Kabupaten Bangka Barat, Propinsi Kepulauan Bangka Belitung"/>
        <s v="Jl. Raya Air Kenanga Kec. Sungailiat Kab. Bangka Prov. Kepulauan Bangka Belitung"/>
        <s v="Jl. Jenderal Sudirman KM. 3 RT. 019 RW. 008 Kel. Lesung Batang Tanjungpandan"/>
        <s v="Jl. Basuki Rachmad Kel. Batu Intan Kec. Girimaya Pangkal Pinang"/>
        <s v="Jl. Raya Manggar Gantung Desa Padang Kecamatan Manggar"/>
        <s v="Jl. Raya Air Kuang Desa Puput Kecamatan Parittiga, Kabupaten Bangka Barat, Provinsi Bangka Belitung"/>
        <s v="Jl. Jendral Sudirman No.195, Kelurahan Parit Padang Kecamatan Sungailiat Kabupaten Bangka Provinsi Kepulauan Bangka Belitung"/>
        <s v="Jl. Tengku Sulung Odessa Blok C1 No. 12-16 Kelurahan Belian Kecamatan Batam Kota"/>
        <s v="Jl. R. Soeprapto. Blok D 1 - 9 Batu Aji Kota Batam"/>
        <s v="Komp. Mega Indah A-B No.3-4"/>
        <s v="Jl. H.Ali Murtopo,Natuna"/>
        <s v="Jl. Masjid Sultan Lingga No. 46 Kp. Darat Daik Kabupaten Lingga"/>
        <s v="Jl. Diponegoro No. 1 Tanjung Batu Kota Kecamatan Kundur  Kabupaten Karimun Provinsi Kepulauan Riau"/>
        <s v="Jl. Raja Ali Kelana, Belian Batam Kota"/>
        <s v="Jl. Budi Kemuliaan No.1,Batam"/>
        <s v="Komplek Pertokoan Duta Raya No. 05-11 Kel.Belian Kec. Batam Kota"/>
        <s v="Jl. Ciptadi No. 1 Tanjung Pinang"/>
        <s v="Jl. Kesehatan No.1 Kelurahan Kijang Kota - Kecamatan Bintan Timur"/>
        <s v="Jl. Dr. Cipto Mangunkusumo No.1,  Sekupang,Batam"/>
        <s v="Jl. Raden Patah Blok B No. 1-3 Lubuk Baja Kota"/>
        <s v="Jl. Satrad 212, Kelurahan Batu Hitam, Kec Bunguran Timur, Kabupaten Natuna, Provinsi Kepulauan Riau"/>
        <s v="Jl. Batu Aji II Kompleks Griya Pratama Blok JJ"/>
        <s v="Jl. Gajah Mada Kav.I Baloi"/>
        <s v="Jl. Anggrek Blok II Lubuk Baja"/>
        <s v="Jl. Uniba Bl. A09 Kawasan Uniba Batam Center Kelurahan Belian Kecamatan Batam Kota Provinsi Kepulauan Riau"/>
        <s v="Jl. Indun Suri-Simpang Busung No.1, Tanjung Uban Kepulauan Riau"/>
        <s v="Jl. Imam Bonjol No. 61, Kelurahan Tarempa, Kec. Siantan,  Kabupaten Kepualauan Anambas, Provinsi Kepulauan Riau"/>
        <s v="Jalan Datuk Lamin No. 03 rt 9 rw 1 Desa Payalaman Kecamatan Kute Siantan Kabupaten Kepulauan Anambas Provinsi Kepulauan Riau"/>
        <s v="Jl. R.Suprapto Blok D 1-9"/>
        <s v="Jl. Raja Ali Kelana, Desa/Kelurahan Belian, Kec. Batam Kota, Kota Batam"/>
        <s v="Jl. Jend. Sudirman No.  795  Kota Tanjungpinang"/>
        <s v="Jl. Dang Merdu KM 2 Batu Besar Nongsa Kota Batam"/>
        <s v="Jl. Seraya No. 1 Batam"/>
        <s v="JL. W.R Supratman No. 100 Km. 8 Tanjungpinang Kepulauan Riau"/>
        <s v="Jl. Padang Melang Desa Batu Berapit - Kecamatan Jemaja Kabupaten Kepulauan Anambas Provinsi Kepulauan Riau"/>
        <s v="Jl. Sei Binti, Kav. Sungai Lekop, Kel. Sungai Lekop RT01/RW13, Kec. Sagulung"/>
        <s v="Jl. Kesehatan No.1, Dabo Singkep Kabupaten Lingga"/>
        <s v="Jl. Canggai Putri, Kel. Teluk Uma, Kec. Tebing"/>
        <s v="Komp. Ruko Asih Raya No. 6-15 Batu Aji"/>
        <s v="Jl. Hang Kesturi KM 4,5 Kabil Batam"/>
        <s v="Jl. Jend. A. Yani No.8, PanbiL - Kec. Sei Beduk, Kota Batam, Kepulauan Riau"/>
        <s v="Jl. Soekarno - Hatta No. 1, Kelurahan Harjosari, Kecamatan Tebing, Kabupaten Karimun, Provinsi Kepulauan Riau"/>
        <s v="Jl. Taman Mini I RT 004 / RW 02 Kel. Pinangranti Kec. Makasar"/>
        <s v="RSIA Al Fauzan Jl. Pedati No. 3 Kel. Kampung Tengah, Kec. Kramat Jati, Kota Jakarta Timur, DKI Jakarta"/>
        <s v="Jl. RS Fatmawati Raya No. 74, Pondok Labu, Cilandak"/>
        <s v="Jl. Salemba Raya No. 4 Jakarta Pusat"/>
        <s v="Jl. Jend. Sudirman No. 86"/>
        <s v="Jl. Puri Indah Raya,Blok S-2,Kel.Kembangan Selatan,Jakbar"/>
        <s v="Jl. Pulo Mas Timur K No 2 Jakarta Timur"/>
        <s v="Jl. Pahlawan Komarudin no. 05 penggilingan - Cakung"/>
        <s v="Jl. Boulevard Timur Raya Pegangsaan Dua,Kelapa Gading"/>
        <s v="Jln. Raya Inpres No. 48"/>
        <s v="Jalan Madu Rt/Rw 03/03 No.10 Mangga Besar Taman Sari Jakarta Barat 11180"/>
        <s v="Jl. Anggrek No. 2B rt.009/02 Kelapa Dua Kebon Jeruk"/>
        <s v="Jl. Hos Cokroaminoto 31-33 Jakarta Pusat"/>
        <s v="Jl. Warung Silah No. 01 Gudang baru Rt. 08 Rw. 05 Kel. Cipedak Kec. Jagakarsa Jakarta Selatan 12630"/>
        <s v="Jl..Taman Brawijaya No.1 Kel. Cepete Utara Kec. Kebayoran Baru"/>
        <s v="Jl. Perjuangan Raya Kav.8 Jakarta Barat"/>
        <s v="Jl. Teuku Cik Ditiro No. 21 Menteng"/>
        <s v="Jl. Bugis No. 03 Kel. Kebon Bawang Kec. Tanjung Priok"/>
        <s v="Jl. Halimun No.9, Guntur Setiabudi, Desa/Kelurahan Guntur, Kec.Setiabudi, Kota Adm. Jakarta Selatan, Provinsi DKI Jakarta,Kode Pos: 12980"/>
        <s v="Jl. May.Jen Soetoyo No.2 Kel.Cawang,Kec. Kramat jati, Jakarta Timur"/>
        <s v="Jl. RA Kartini No. 8 Cilandak"/>
        <s v="Jl. Danau Sunter Utara, Sunter Paradise I"/>
        <s v="Jl. Farmasi No.1, Bendungan Hilir, Tanah Abang, Jakarta Pusat"/>
        <s v="Jalan Lapangan Tembak Cibubur 1 , Kelurahan Cibubur, Kecamatan Ciracas, Kota Jakarta Timur, Provinsi DKI Jakarta"/>
        <s v="Jl. Diponegoro 71 Jakarta Pusat"/>
        <s v="Jln. Panjang Arteri No. 26 Kedoya Utara, kebon Jeruk"/>
        <s v="Jl. Duren Tiga Raya No. 20, Duren Tiga, Pancoran"/>
        <s v="Jl. Teluk Gong Raya No. 12 Kel. Pejagalan Kec. Penjaringan"/>
        <s v="Jl. Gereja Theresia No. 22 Menteng Jakpus"/>
        <s v="Jl. Warung Sila No. 8, RT.06/RW.04, Gudang Baru Ciganjur, Jagakarsa Jakarta Selatan"/>
        <s v="Jl. Sultan Agung No.67 RT 1/ RW 8, Kelurahan Ps Manggis, Kecamatan Setiabudi, Kota Jakarta Selatan, Daerah Khusus Ibukota Jakarta 12970"/>
        <s v="Jl. Kyai Tapa No.1 Grogol Jakbar"/>
        <s v="Jl. Persahabatan Raya No. 1, Jakarta Timur"/>
        <s v="JL. SALEMBA 1 NO.11-13 RT.06 RW 06 KELURAHAN KENARI , KECAMATAN SENEN, KOTA JAKARTA PUSAT PROV. DKI JAKARTA"/>
        <s v="Jl. Pluit Raya Jakarta Utara No. 02"/>
        <s v="Jl. Bekasi Timur Raya No.6 Km.18, Kel. Jatinegara, Kec. Cakung, Jaktim"/>
        <s v="Jl. Fatmawati No. 80-82, RT 3 RW 10, Kel. Cilandak Barat, Kec. Cilandak, Jakarta Selatan, DKI Jakarta, 12430"/>
        <s v="Jl. RC. Veteran Raya No. 178 RT 09 RW 03 Kelurahan Bintaro Kecamatan Pesanggrahan Jakarta Selatan 12330"/>
        <s v="Jl. Budi Mulia Raya No.2 Pademangan Barat"/>
        <s v="Jl. Letjend Suprapto No.1"/>
        <s v="Jl. Kesehatan No. 9 Jakpus"/>
        <s v="Jl. Dwi Warna Raya No. 6-8"/>
        <s v="Jl. Jeruk Raya No.15 RT.011 RW 01 Kelurahan Jagakarsa, Kecamatan Jagakarsa, Kota Jakarta Selatan, Provinsi DKI Jakarta"/>
        <s v="Jl. Pahlawan Revolusi No. 100 Pondok Bamabu"/>
        <s v="Jl. Kebayoran Lama  No.64 Jakarta Barat"/>
        <s v="Jl. Jatinegara Timur No.85-87,Jaktim"/>
        <s v="Jl. Pantai Indah Utara 3 Pantai Indah Kapuk, Kapuk Muara, Penjaringan"/>
        <s v="Jalan Lebak Bulus I. Kav. 29"/>
        <s v="Jl. Madya Kebantenan Nomor 4, Semper Timur, Cilincing"/>
        <s v="Jl. Bendungan Hilir No.17, RT.4/RW.3, Bendungan. Hilir, Kecamatan Tanah Abang, Kota Jakarta Pusat, Daerah Khusus Ibukota Jakarta 10210"/>
        <s v="Jl. Rawamangun No. 47, Rawasari, Cempaka Putih, Jakarta Pusat"/>
        <s v="Jl. Garnisun No. 2 - 3, RT 003, RW 004, Kel. Karet Semanggi, Kec. Setiabudi, Jakarta Selatan"/>
        <s v="Jl. Jendral Gatot Subroto Kav  59 Kelurahan  Kuningan Timur,  Kecamatan  Setiabudi Jakarta Selatan DKI Jakarta"/>
        <s v="Komp. Bea Cukai Jl. Siak J5/14"/>
        <s v="Jl. Terusan Arjuna Utara No.1, Kedoya Sel., Kec. Kb. Jeruk, Kota Jakarta Barat, Daerah Khusus Ibukota Jakarta 11520"/>
        <s v="Jl. KS Tubun No.79 Slipi Jakbar"/>
        <s v="Jl. Raya Bekasi Timur 170 B, Jaktim"/>
        <s v="Jl. Sunter Permai Raya No. 2, Rt 02/Rw 12, Papanggo, Kec. Tanjung Priok, Jakarta Utara, DKI Jakarta"/>
        <s v="JL. CIPUTAT RAYA NO 40, KELURAHAN  PONDOK PINANG, KECAMATAN KEBAYORAN LAMA"/>
        <s v="Jl. Moh. Kahfi  I No.27A, Kecamatan Jagakarsa Jakarta Selatan"/>
        <s v="Jl. R.A. Kartini No. 99"/>
        <s v="Jl. Pahlawan Revolusi No.47 Pondok Bambu Jaktim"/>
        <s v="Jl. Abdul Majid No 28, Kelurahan Cipete Utara, Kecamatan Kebayoran Baru, Kota Administrasi Jakarta S"/>
        <s v="Jl. Pantai Indah Kapuk Boulevard,  Kel. Kamal Muara,  Kec. Penjaringan"/>
        <s v="Jl. Kyai Maja No.43 Kebayoran Baru,Jakarta Selatan"/>
        <s v="Jl. Raya Bogor KM 19 No. 3A Kramat Jati"/>
        <s v="Jl. Metro Duta Kav. UE Pondok  Indah,Jaksel"/>
        <s v="JL. TEUKU CIKDITIRO NO.41, RT:10, RW:05, KELURAHAN MENTENG, KECAMATAN MENTENG, JAKARTA PUSAT, 10310"/>
        <s v="Pulau Pramuka Rt.001 RW.004, Kelurahan : Pulau Panggang, Kecamatan"/>
        <s v="Jl. Daan mogot KM. 17. Komplek Imperial Business Center Blok A No.1-10 Kel. Kalideres Kec. Kalideres"/>
        <s v="JL. KAMAL RAYA OUTER RING ROAD CENGKARENG"/>
        <s v="Jl. Kayu Putih Raya No. 1 Kel. Kayu Putih Kec. Pulogadung"/>
        <s v="Jl. Balai Pustaka Raya No. 29 - 31, Rawamangun"/>
        <s v="Jl. Ciputat Raya No. 5"/>
        <s v="Jl. Sungai Bambu No.5 Tanjung Priok"/>
        <s v="Jl. Salemba Raya No.41 Jakarta Pusat"/>
        <s v="Jl. Salemba Tengah 24-28, Paseban, Senen, Jakarta Pusat, DKI Jakarta"/>
        <s v="Jl. Bintaro Permai Raya No 3 Jaksel"/>
        <s v="Jl. S Parman Kav.84-86 Slipi Jakarta Barat"/>
        <s v="Jl. Prof. Dr. Soepomo, SH. No. 54, Tebet, Jakarta Selatan"/>
        <s v="Jl. Merpati No. 2 Halim Perdana Kusuma, Jakarta"/>
        <s v="Jl. Taman malaka Selatan No.6 Pondok Kelapa, Jaktim"/>
        <s v="Jl. Boulevard Blok G1 No.1 Citra 5 - CitraGarden City Jakarta Barat"/>
        <s v="Jl. H. Naman No.3 (TRANSITO) Kalimalang Kelurahan Pondok Kelapa Kecamatan Duren Sawit"/>
        <s v="Jl. Danau Agung 2 Sunter Jakarta Utara"/>
        <s v="Jl. Raya Pondok Gede no. 4"/>
        <s v="Jl. Garnisun No. 1, Jl. Jend. Sudirman"/>
        <s v="Jl. Ampera Raya No. 34"/>
        <s v="JL PETA SELATAN NO 1 RT/RW 007/011 KEL KALIDERES KEC KALIDERES JAKARTA BARAT"/>
        <s v="Jl. Serdang Baru I  RT.6/RW.5 Kel. Serdang Kec. Kemayoran Kota Jakarta Pusat DKI Jakarta"/>
        <s v="Jl. HBR Motik Rt 013 Rw 006 Kel. Kebon Kosong Kec. Kemayoran  Jakarta Pusat 10630"/>
        <s v="Jl. Ganggeng Raya No. 9 Kel. Sungai Bambu Tanjung Priok"/>
        <s v="Jl. Duri Raya No. 22 Duri Kepa Jakbar"/>
        <s v="Jl. Arjuna Utara No. 6 Kel. Duri Kepa Kec. Kebon Jeruk"/>
        <s v="Jl. Raya Pondok Kopi Jakarta Timur"/>
        <s v="Jl. HR. Rasuna Said Kav. C 17 Kel. Karet Kuningan Kec. Setiabudi"/>
        <s v="Jl. Birah III No. 4 Kel. Rawa Barat, Kebayoran Baru"/>
        <s v="Jl. Enggano No. 10 Tanjung Priok, Jakarta Utara"/>
        <s v="Jl. Cempaka Putih Tengah I / 1 Jakarta Pusat - Indonesia"/>
        <s v="Jl. Panglima Polim III no.34 Melawai Kebayoran Baru"/>
        <s v="Jl. Basuki Rachmat No. 31 Pondok Bambu, Kota Administrasi Jakarta Timur, Provinsi DKI Jakarta"/>
        <s v="Jl. Proklamasi No. 43, Menteng - Jakarta Pusat"/>
        <s v="Jl. Raya Plumpung Semper No.19 RT.006/RW.015, Jakarta Utara"/>
        <s v="Jl. Jambore Raya No. 1 Kelurahan Cibubur Kecamatan Ciracas 13720"/>
        <s v="Jl. Ciledug Raya No.94-96 Cipulir, Keabayoran Lama"/>
        <s v="Jl. Pantai Indah Selatan I Komp. Elang Laut Boulevard Kav. I No. 1 Penjaringan Jakarta Utara"/>
        <s v="Jl. S. Parman Kav 87, Slipi"/>
        <s v="Jl. Mahoni No. 1 Cijantung II Rt 005/004  Pasar Rebo Jakarta Timur"/>
        <s v="Jl. MT Haryono Kav. 11 Kel. Cawang Kec. Kramat Jati"/>
        <s v="Jl. Tipar Cakung No.5, Kelurahan Sukapura, Kecamatan Cilincing, Kota Jakarta Utara, Provinsi Daerah Khusus Ibukota Jakarta 14140"/>
        <s v="Jalan Cenek I no. 1 Pesanggrahan"/>
        <s v="Jl. Duren Sawit Baru Jakarta Timur"/>
        <s v="Jl. Budi Kemuliaan No.25 Jakarta Pusat"/>
        <s v="Jl. Gandaria Tengah II, No 6 sd 14 Kebayoran Baru, Jakarta Selatan."/>
        <s v="Jl. Pemuda Raya No. 1A, Kelurahan Jatinegara Kaum, Kecamatan Pulo Gadung, Kota Jakarta Timur, Provinsi DKI Jakarta"/>
        <s v="Jl. Tambak No.18, Pegangsaan, Kec. Menteng, Kota Jakarta Pusat, Daerah Khusus Ibukota Jakarta 10320, Indonesia"/>
        <s v="Jl. Gandaria 1 No.20, RT.1/RW.2, Kramat Pela, Kec. Kby. Baru, Kota Jakarta Selatan, Daerah Khusus Ibukota Jakarta 12130"/>
        <s v="Jl. Deli No.4 Tanjung Priok,Jakut"/>
        <s v="Jl. TB Simatupang No.71, RT.11/RW.5, Susukan, Kec. Ciracas"/>
        <s v="Jl. Tarum Barat, Kalimalang"/>
        <s v="Jl. Bedugul Blok NA, RT.008 RW.012, Perumahan Daan Mogot Baru, Kelurahan Kalideres, Kecamatan Kalideres, Kota Jakarta Barat, Provinsi DKI Jakarta Kode Pos: 11840"/>
        <s v="Jl. Lapangan Tembak No 75 Kelurahan Cibubur Kecamatan  Ciracas Jakarta Timur 13720"/>
        <s v="Jl.Rawasari Selatan No1"/>
        <s v="Jl. Selangit Blok B.10 Kav No.4 Kel. Gunung Sahari Selatan Kec. Kemayoran"/>
        <s v="Jl. Kramat Raya No.128,Jakpus"/>
        <s v="Jl. Buncit Raya No.15, Kalibata, Pancoran"/>
        <s v="Jl. Raya Cakung Cilincing RT 002 RW 001 Kel. Sukapura Kec. Cilincing - Jakarta Utara"/>
        <s v="Jl. Cendrawasih No.1, Komplek Kemhan Mabes TNI Slipi, Kel. Palmerah, Kec. Palmerah, Kota Adm. Jakarta Barat, Prov. DKI Jakarta 11480"/>
        <s v="Jl. Raya Hankam No. 60 Ceger Cipayung"/>
        <s v="Jl. KH. Mas Mansyur No. 30 Kel. Kebon Kacang Kec. Tanah Abang, Jakarta Pusat"/>
        <s v="Jl. Mini III RT 004 RW 003 Kelurahan Bambu Apus, Kecamatan Cipayung Kota Jakarta Timur DKI Jakarta"/>
        <s v="Jl. TB Simatupang No.30"/>
        <s v="Jl. Kebon Bawang Raya No. 01 RT. 13 RW. 01 Kelurahan Kebon Bawang Kecamatan Tanjungpriok"/>
        <s v="Jl. Raya Pluit Selatan 2 Jakut"/>
        <s v="Jl. Tanah Tinggi XII,  No.15-23, RT.10/RW.9, Tanah Tinggi, Kec. Johar Baru, Kota Jakarta Pusat, Daerah Khusus Ibukota Jakarta"/>
        <s v="Jl. dr. Abdul  Rahman Saleh No. 24  Senen Jakarta Pusat"/>
        <s v="Jl. Teuku Cik Ditiro No. 28 Menteng"/>
        <s v="Jl. Wijaya I No.45, RW.5, Petogogan, Kec. Kebayoran. Baru, Kota Jakarta Selatan"/>
        <s v="Jl. Siaga Raya Kav.4-8, Pejaten Barat, Pasar Minggu, Jakarta Selatan"/>
        <s v="Jl.Aipda KS Tubun No. 92-94, Desa/Kelurahan Slipi, Kec Palmerah, Kota Adm. Jakarta Barat, Provinsi DKI Jakarta Kode Pos  11410"/>
        <s v="Jl. Dewi Sartika, Cawang III/ 200,Jakarta Timur"/>
        <s v="Jl. Kramat Jaya Tg Priok Jakut"/>
        <s v="Jl. Walang Permai No 39, RT.008 RW.012, Kel. Tugu Utara, Kec. Koja, Kota Administrasi Jakarta Utara, DKI Jakarta"/>
        <s v="Jl. Raya Bogor Km.22 No. 44 Jakarta Timur"/>
        <s v="Jl. Raya Ragunan No. 16 dan 17, Kelurahan Pasar Minggu, Kecamatan Pasar Minggu, Kota Administrasi Jakarta Selatan, Provinsi DKI Jakarta. Kode pos 12520"/>
        <s v="Jl. RS Fatmawati Cilandak,Jaksel"/>
        <s v="Jl. Kyai Tapa No. 260 Grogol Jakarta Barat"/>
        <s v="Jl. Letjen MT Haryono kav 13 Jakarta Selatan"/>
        <s v="Jl. Topaz Raya Blok F 2 No. 3 Rt.15 Rw. 07, Kelurahan Meruya Utara,  Kecamatan Kembangan, Jakarta Barat 11620"/>
        <s v="Jl. Letjen Suprapto Kelurahan Cempaka Putih Timur Kecamatan Cempaka Putih Jakarta Pusat"/>
        <s v="Jl. Teuku Cik Ditiro No.46 Jakarta Pusat"/>
        <s v="Jl.Puntodewo 1 Dirgantara 2, Halim Perdanakusuma"/>
        <s v="Jl. Duren Tiga Raya No.5 Pancoran Jaksel"/>
        <s v="Jl. Mampang Prpt. Raya No.16, RW.5, Duren Tiga, Kec. Pancoran, Kota Jakarta Selatan, Daerah Khusus Ibukota Jakarta 12760"/>
        <s v="Jl. Kintamani Raya No. 2, Komp. Perumahan Daan Mogot Baru"/>
        <s v="Jl. Matraman Raya No. 23, RT 002 RW 001, Jakarta Timur, DKI Jakarta. 13140"/>
        <s v="Jl. Jatayu RT. 001 RW. 012 Kelurahan Kebayoran Lama Selatan Kecamatan Kebayoran Lama Jakarta Selatan"/>
        <s v="Jl. Jatinegara Barat 126, Jakarta Timur"/>
        <s v="Jl. Pluit Mas I Blok A No 2A - 5A Pejagalan Penjaringan Jakarta Utara"/>
        <s v="Jl. Kapten P. Tendean No. 9A Jakarta Selatan"/>
        <s v="Jl. Dr. Saharjo No.199, RT.1/RW.1, Tebet Bar., Kec. Tebet, Kota Jakarta Selatan, Daerah Khusus Ibukota Jakarta 12810"/>
        <s v="Jl. Raya Mangga Besar No.137/139 Jakarta Pusat"/>
        <s v="Jl. A. Yani No. 2 By Pass Jakarta Pusat"/>
        <s v="Jl. Raya Pasar Minggu No.3A Rt 004 Rw 01 Kelurahan Pancoran, Kecamatan Pancoran, Jakarta Selatan"/>
        <s v="JL. TB. SIMATUPANG NO. 1 KELURAHAN RAGUNAN, KECAMATAN PASAR MINGGU - JAKARTA SELATAN"/>
        <s v="Jl. Prof.Dr.Latumeten No. 1 Jakarta Barat"/>
        <s v="Jl. Raya Bogor Km. 20, Kramat Jati, Jakarta Timur"/>
        <s v="Jl. Tawes No.18-20 Tanjung Priuk  Jakarta Utara 14310"/>
        <s v="Jl. Balai Pustaka Baru 19 Rawamangun"/>
        <s v="Jl. Raya Cilandak KKO Cilandak Timur, Pasar Minggu Jakarta Selatan"/>
        <s v="Jl. H R. Rasuna Said Kav C 20 - 21, Karet Kuningan, Setiabudi, Jakarta Selatan"/>
        <s v="Jl. Kalipasir No.9 Kel. Kebon Sirih, Kec. Menteng, Jakarta Pusat"/>
        <s v="RUKO MAQNA UNIT 12 &amp; 15 APARTEMEN MAQNA  RESIDENCE KOMP. BUSINESS PARK KEBON JERUK JL RAYA MERUYA ILIR NO. 88, Desa/Kelurahan Meruya Utara, Kec. Kembangan"/>
        <s v="Jl. Daan Mogot No.34,Jakarta Barat"/>
        <s v="Jl. Pulomas Barat VI No. 20."/>
        <s v="Jl. Bukit Gading Raya Kav.2"/>
        <s v="Jl. Raden Saleh No. 40 Jakpus"/>
        <s v="Jl. Kyai Caringin no. 7 RT 11 / RW 04, Cideng, Kec. Gambir"/>
        <s v="Jl. Sirsak No.21 RT/RW 009/001, Jagakarsa, Jakarta Selatan, DKI JAKARTA, 12620"/>
        <s v="Jl. Ciledug Raya No. 8A-B, Petukangan Selatan, Pesanggrahan"/>
        <s v="Jl. Let.Jend. S Parman Kav. 87 Slipi Jakbar"/>
        <s v="Jl. Kebon kelapa raya no. 29 kel. Utan kayu selatan kec. Matraman"/>
        <s v="Jl. LetJend Suprapto Kav. 13 Cempaka Putih. Jakarta Pusat. DKI Jakarta"/>
        <s v="Jl. Raya Bogor Kramat Jati,Jakarta Timur"/>
        <s v="Jl.Kamal Raya Bumi Cengkareng Indah Cengkareng Timur"/>
        <s v="Jl. Agung Utara Raya No. 1 Jakut"/>
        <s v="Jl. Bunga Rampai X, Perumnas Klender , Malaka Jaya Kecamatan Duren Sawit Kota Administrasi Jakarta Timur, Provinsi DKI Jakarta"/>
        <s v="Jl. Darmawangsa Raya Blok P/ II No.13, Kelurahan Pulo Kecamatan Kebayoran Baru Kotamadya Jakarta Selatan Provinsi DKI Jakarta"/>
        <s v="Jl. Raya Proklamasi KM. 2 Rengasdengklok, Karawang"/>
        <s v="Jl. RE. Martadinata No.108, Desa Ancaran, Kecamatan Kuningan, Kabupaten Kuningan, Provinsi Jawa Barat"/>
        <s v="Jl. Bantar No. 15A Kelurahan Argasari Kecamatan Cihideung Kota Tasikmalaya"/>
        <s v="Jl. Raya Industri No. 36 Cikarang Utara"/>
        <s v="Jl. Raya Keadilan No. 16 Kp. Rawa Denok RT/RW 04/12 Kel. Rangkapan Jaya Baru, Kec. Pancoran Mas"/>
        <s v="Jl. Siliwangi No. 49 Cibadak Sukabumi"/>
        <s v="Jl. Soekarno. Hatta 644 Bandung"/>
        <s v="JL. Terusan Kopo KM. 10 NO. 457, Kelurahan Sulaiman, Kecamatan Margahayu, Kabupaten Bandung"/>
        <s v="Jln. Pramuka No. 15 RT 003 RW 002 Desa Sukamulya Kecamtan Karangtengah Kabupaten Cianjur"/>
        <s v="Jl. MH. Thamrin Kav. 57 Sentul City, Bogor 16810"/>
        <s v="Jl. Cikarang Baru No.31 Cikarang Utara Bekasi"/>
        <s v="Cikangkung Barat II RT.007 RW.002 Desa Rengasdengklok Utara, Kecamatan Rengasdengklok"/>
        <s v="Jl. H. Darham No.35 - Cikopo, Cicalengka Kab. Bandung"/>
        <s v="Jl. Dr. Setia Budi No.8 Desa Pegagan Kecamatan Palimanan, Kabupaten Cirebon, Provinsi Jawa Barat"/>
        <s v="Jln. Ir. H. Juanda No 123 Cikampek Karawang"/>
        <s v="Dusun Rahayu RT.002/001 Desa Cirahayu Kec. Luragung Kab. Kuningan"/>
        <s v="Jl. Tuparev Sukasari Kel. Karawang Wetan Kec. Karawang Timur Karawang"/>
        <s v="Jl. Festival Boulevard Blok J AI No.1 Desa Lambang Sari Kec.Tambun Selatan Kab.Bekasi"/>
        <s v="Jl. By Pass Palimanan - Jakarta KM. 2 No. 1  Arjawinangun"/>
        <s v="Jl. Legenda Raya No. 9 Mustika Jaya, Bekasi"/>
        <s v="Jl. Ciumbuleuit 203 Bandung"/>
        <s v="Jl. Ciremai Raya No 114 Perumnas Cirebon"/>
        <s v="Jl. Raya Sadang - Subang KM 17 ,Desa Wantilan, Kecamatan Cipeundeuy, Kabupaten Subang, Jawa Barat, 41272"/>
        <s v="Jl. Raya Parung No.242 Lebakwangi, Pemagarsari - Bogor"/>
        <s v="Jl. Rajawali No.38  Rt 005 / Rw 010, Kelurahan Maleber, Kecamatan Andir, Kota Bandung 40184"/>
        <s v="Jl. Citanduy Raya L 11 No 1, Simpangan, Cikarang Utara, Kab Bekasi, Jawa Barat"/>
        <s v="Jl. Mekar Sari No. 1 Bekasi"/>
        <s v="Jl. Raya Cibeber - Leuwiliang Bogor"/>
        <s v="Jl. Raya Muchtar No.22 Sawangan"/>
        <s v="Villa Indah Permai Golden City Blok G No. 1 Teluk Pucung Bekasi Utara"/>
        <s v="Jl. Kolonel Masturi KM 7 Cisarua - Bandung Barat"/>
        <s v="Jl. Kesambi No. 56 Cirebon 45134"/>
        <s v="Jl. Sudiro W No.57 Kota Banjar"/>
        <s v="Jl. Siliwangi No.139, Kp. Sekarwangi RT 03/17 Kelurahan Cibadak, Kecamatan Cibadak, Kabupaten Sukabumi"/>
        <s v="Jl. Raya Pengalengan Desa Cikalong, Kec. Cimaung 40374 Kab. Bandung"/>
        <s v="Jl. Raya Sindangbarang-Cidaun KM. 01 Desa Saganten Kec. Sindangbarang"/>
        <s v="Jalan Pekayon Raya No 36, Kelurahan Jaka Setia, Kecamatan Bekasi Selatan, Kota Bekasi, Provinsi Jawa Barat"/>
        <s v="Jl. Raya Jatiwaringin 1 RT 01 RW 11 Kel. Jatiwaringin Kec. Pondok gede"/>
        <s v="Jl. Mr. Iwa Kusumasomantri No.1 Ciamis"/>
        <s v="Jl. R.E. Martadinata No.158, Baregbeg - Ciamis"/>
        <s v="Jl.Raya Depok - Cinere No 09, Rkp. Jaya Baru, Depok"/>
        <s v="Jl. KH. Wahid Hasyim No. 8 Desa Mertapeda Wetan, Kec. Astanajapura Kab. Cirebon 45181 Provinsi Jawa Barat"/>
        <s v="Griya Kenari Mas Blok B2 Cileungsi Bogor"/>
        <s v="Jl. KH. Sholeh Iskandar No,21 Tanah Sareal Kota Bogor"/>
        <s v="Jl. Raya Cipunagara RT. 39 RW. 10 Desa Kamarung Kecamatan Pagaden Kabupaten Subang Provinsi Jawa Barat"/>
        <s v="Jl. Raya Bandung RT. 001/RW. 011, Desa Bojong, Kec. Karangtengah"/>
        <s v="Jl. Pajajaran Indah V No.97, Bogor Timur Kota Bogor"/>
        <s v="JL Baru Kp. Krajan RT 31 RW 09 Desa Maracang  Kec. Babakancikao Kab. Purwakarta  41151"/>
        <s v="Jl. Brigjen Katamso No. 37  Subang"/>
        <s v="Jl. M. Hasibuan No.78, Bekasi Timur"/>
        <s v="Jl. Raya Terusan No. 01, Kel. Terusan, Kec. Sindang, Kab. Indramayu, Prov. Jawa Barat"/>
        <s v="Jl. Jend. Ahmad Yani No.27, Cikampek, Kab. Karawang"/>
        <s v="Jl. Raya Imam Bonjol No 7 Cikarang Barat"/>
        <s v="Jl. Raya Cigugur Lingkungan Manis RT. 030 RW. 011 Kecamatan Cigugur"/>
        <s v="Jl. Cibarusah No.1 Jampang Kulon, Kab.Sukabumi"/>
        <s v="Jl. Raya Dayeuhkolot No.325, Desa Citeureup, Kec. Dayeuhkolot, Kab. Bandung"/>
        <s v="JL Raya Serang Cibarusah No.5 Desa Sindangmulya Kecamatan Cibarusah Kab. Bekasi - 17340"/>
        <s v="Jl. Letnan Joni 1231, Desa Jatibarang Baru, Kecamatan Jatibarang, Kabupaten Indramayu, Provinsi Jawa Barat"/>
        <s v="Jl. MH Thamrin Kav.105 Bekasi"/>
        <s v="Jl. Raya Kalimulya No. 68, RT 6 RW 7, Kel. Kalimulya Kec. Cilodong"/>
        <s v="Jl. Brigjen Katamso No. 4 Subang  41212 Kp. Sukawening RT. 62 RW. 20 Kelurahan Cigadung Kecamatan Subang Kabupaten Subang Provinsi Jawa Barat"/>
        <s v="Jl. Al-Huda, Cikarang Jati NO 61, RT.02 RW.02 Desa Sukajaya"/>
        <s v="Jl. Bratayuda No. 101 Kelurahan Kota Kulon Kecamatan Garut Kota Kabupaten Garut Provinsi Jawa Barat"/>
        <s v="Jl. Mahar Martanegara No.166 Kel. Baros Kec. Cimahi Tengah"/>
        <s v="Jl. KH. Agus Salim Blok Ketipa Desa Kedungbunder"/>
        <s v="Jl. Raya Pajajaran No. 80 Bogor"/>
        <s v="Jl. Margonda Raya, Pancoran Mas, Depok, Jawa Barat"/>
        <s v="Jl. Buah Batu No.147 Kel. Turangga Kec. Lengkong Kota Bandung 40265 -6.9377070, 107.6238201"/>
        <s v="Jl. Kesehatan No.77 Majalengka"/>
        <s v="Jl. Raya Mangunjaya No.07 Kp.Rukem,Tambun - Bekasi"/>
        <s v="Jl. Raya Pabuaran No. 52 Bogor"/>
        <s v="Jl. Jendral Sudirman No. 6 RT. 05 RW. 05 Desa Suci Kecamatan Karangpawitan Kabupaten Garut Provinsi Jawa Barat Indonesia"/>
        <s v="Jl. Suherman Nomor 72 Desa Tarogong Kec. Tarogong Kidul Kabupaten Garut 44151 Provinsi Jawa Barat"/>
        <s v="Jl. Pahlawan No. 48  Kel. Neglasari  Kec. Cibeunying Kaler Kota Bandung Propinsi Jawa Barat 40124"/>
        <s v="Jl. Haji Wasid No. 1 RT. 008 RW. 007 Kel. Lebak Gede Kec. Coblong"/>
        <s v="Jl. Raya Sawangan No. 2A Depok"/>
        <s v="Jl. Kopo 161 Bandung"/>
        <s v="Jl. Kalitanjung No.51, Kec. Harjamukti, Kel. Harjamukti, Kota Cirebon, Jawa Barat"/>
        <s v="Jl.Raya Sadang - Subang RT 17/04 Desa Ciwangi Kec. Bungursari Kab. Purwakarta"/>
        <s v="Jl. Raya Narogong Km 21 Cileungsi Bogor"/>
        <s v="Jl. L. L. R.E. Martadinata No.09, Kel.Citarum, Kec. Bandung Wetan, Kota Bandung, Jawa Barat 40115"/>
        <s v="Jl. Evakuasi No. 116 Cirebon Kelurahan Karyamulya, Kecamatan Kesambi, Kota Cirebon, Provinsi Jawa Barat"/>
        <s v="Jl. R. E. Martadinata (By Pass) Cikarang - Bekasi"/>
        <s v="Jl. Ki Astramanggala Bale Endah Kab. Bandung"/>
        <s v="Jl. Pulasaren No.07 Cirebon 45114"/>
        <s v="Jl. Melong 170 RT 04 RW 05 Kelurahan Melong, Kecamatan Cimahi Selatan, Kota Cimahi, JAWA BARAT"/>
        <s v="Jalan Pondok Timur Indah No.Km.1 No.27 Jatimulya Kec. Tambun Sel. Kabupaten Bekasi, Jawa Barat 17157, Indonesia"/>
        <s v="Jl Raya Pilar Sukatani No 9 Desa Karangsentosa, kec. Karang Bahagia, Kab. Bekasi, Jawa Barat"/>
        <s v="Jl. Pajajaran No. 27 Bogor Tengah, Kota Bogor"/>
        <s v="Jl. Merdeka Desa Pananjung Kecamatan Pangandaran Kabupaten Pangandaran Kode Pos 46396"/>
        <s v="Jl.Raya Harapan Indah Kawasan Sentra Niaga No. 3-5 Harapan Indah Pejuang, Medan Satria Kota Bekasi"/>
        <s v="Jl. RE Martadinata No. 172 Kab. Kuningan"/>
        <s v="Jl. Raya Pantura Km.73-75 Losarang - Indramayu"/>
        <s v="Jl. Raya Tajur No. 75 Bogor Timur Kota Bogor"/>
        <s v="Jl. Charil Anwar Blu Plaza No 27, RT. 004 RW. 09 Kelurahan Margahayu Kecamatan Bekasi Timur"/>
        <s v="Jl. Raya Majalengka-Cikijing, Blok Cipeucang I Desa Talaga Wetan, Kecamatan Talaga"/>
        <s v="Jl. Raya Mandalaherang No. 225 Desa Mandalaherang"/>
        <s v="Jl. Rumah Sakit No. 1 Kota Sukabumi"/>
        <s v="Jl. Raya Bungur Sari No. 36 Purwakarta"/>
        <s v="Jl. Raya Baru No. 10 Desa/Kel. Kalijati Barat Kec. Kalijati Kab. Subang"/>
        <s v="Jl. Cibaligo No.76, Kel. Cigugur Tengah Kec. Cimahi Tengah"/>
        <s v="Jl. Raya Cibarusah No. 5 Kebon Kopi Cibarusah Kelurahan Cibarusah Jaya, Kecamatan Cibarusah, Kabupaten Bekasi, Jawa Barat"/>
        <s v="Jl. Panatayuda I No.35, Karawang"/>
        <s v="Jl. M.H Thamrin Kav. 129 Lippo Cikarang, Desa Cibatu, Kecamatan Cikarang Selatan, Kabupaten Bekasi"/>
        <s v="Jl. Raya Serang-Cibarusah 001/001 Ds. Serang  Kec. CIkarang Kab. Bekasi"/>
        <s v="Jl. Rumah Sakit No.1 Cianjur"/>
        <s v="Jl. Sekeloa Selatan I Bandung"/>
        <s v="JL Komjen Pol. M Yasin, Kelapadua, Cimanggis"/>
        <s v="Perumahan Acropolis RT. 006 RW. 018 Blok MF Kel. Karadenan Kec. Cibinong Kab. Bogor 16913"/>
        <s v="Jl. Dasa Darma Kav 20-23, Kelurahan Bojong Rawa Lumbu, Kecamatan Rawa Lumbu, Kota Bekasi, Provinsi Jawa Barat"/>
        <s v="Jl. Kalimantan Blok CB No.1 Kawasan Industri MM2100, Gandasari, Cikarang Barat"/>
        <s v="Jl. Tamansari No 228 Kelurahan Mulyasari Kecamatan Tamansari"/>
        <s v="Jl. Raya Galuh Mas RT/RW 002/005, Desa Sukaharja, Kecamatan Teluk Jambe Timur"/>
        <s v="Jl. Raya Dramaga KM. 7 Bogor"/>
        <s v="Jl. Raya Wanaraja No. 500 RT. 004 RW. 008 Desa Cinunuk Kecamatan Wanaraja Kabupaten Garut Provinsi Jawa Barat 44183"/>
        <s v="Jl. H. Dimun Raya RT.001 RW.024 Sukamaju Kec. Cilodong"/>
        <s v="Jl. Sardjio No. 1  Kel. Atang Senjaya Kec. Kemang"/>
        <s v="Jl. Raya Siliwangi Panyingkiran Km.7 No.84 Kel. Karyamukti Kec. Panyingkiran Kab. Majalengka Prov. Jawa Barat"/>
        <s v="Jl. Raya Bogor Km.51 Ciluar, Bogor"/>
        <s v="Jl. Raya Kemang No. 18 Desa Pondok Udik Kec. Kemang Kab. Bogor"/>
        <s v="Jl. Raya Puncak 479 Ciawi Bogor"/>
        <s v="Jl. Ir. H. Juanda  No.100"/>
        <s v="Jl. Urip Sumoharjo No.5 Ciwaringin, Kab. Cirebon"/>
        <s v="Jl. Margonda Raya No.28 RT002 RW003 Kelurahan Pondok Cina Kecamatan Beji , Depok - Jawa Barat"/>
        <s v="Jl. Bukit Jarian No. 40 Bandung"/>
        <s v="Jl. Pahlawan No. 25 Lingk. Babakan Kel. Muktisari Kec. Langensari"/>
        <s v="Jl. Jend. Ahmad Yani - Kayuringin Jaya, Bekasi"/>
        <s v="Jl. Raya Jatisari No. 3 Jatisari Karawang"/>
        <s v="Jl. Raya Lembang KM.11,4 No.11 Desa Gudang Kahuripan Kec. Lembang, Kabupaten Bandung Barat, Provinsi Jawa Barat"/>
        <s v="Jl. Raya Jatisari Desa Jatisari Kec. Jatisari Kab. Karawang"/>
        <s v="Jl. Raya Narogong 202 KM.5,Kemang Pratama,Kel. BojongRawa Lumbu, Kec. Rawa Lumbu, Kota Bekasi."/>
        <s v="Jl. Raya Siliwangi No.186B, Cicurug - Sukabumi"/>
        <s v="Jl. Prabu Kiansantang No. 4 Waled, Cirebon"/>
        <s v="Jl. Arif Rahman Hakim No. 1 A Karawang"/>
        <s v="Jl. Industri Raya 100, Lemah Abang"/>
        <s v="Jl. Tuparev No.117 Cirebon"/>
        <s v="Jl. Kapten Muslihat No. 18 Paledang Bogor Tengah Kota Bogor"/>
        <s v="Jl. Jend Sudirman No. 3 Kel. Gunungpuyuh Kec. Gunungpuyuh Kota Sukabumi"/>
        <s v="Jl. Galuh Mas Raya No.1, Sukaharja, Teluk Jambe, Karawang"/>
        <s v="jl. Gardenia Raya Blok BA I No.11 Grand Galaxy City Bekasi"/>
        <s v="Jl. Raya Cikajang RT 005 RW 001, Kel. Girijaya, Kec. Cikajang"/>
        <s v="Jl. Berlian Raya Ciselang, Cikampek Utara, Kec. Kota Baru, Karawang, Jawa Barat 41374"/>
        <s v="Jl. Interchange Tol Karawang Barat No.3 Karawang Jawa barat"/>
        <s v="Blok C1 Jl. Gramapuri I No.8-10 Wanasari Cibitung Bekasi Regency 17520"/>
        <s v="Jl. Raya Cipaku No.87 Majalaya Kabupaten Bandung"/>
        <s v="Jl. Raya Cileunyi No.1, Cileunyi Wetan, Cileunyi, Bandung, Jawa Barat 40622"/>
        <s v="Jl. Mayor Oking Jaya Atmaja No.9 Bogor"/>
        <s v="Jl.RSU No 56-58 Kel. Kahuripan Kec. Tawang Kota Tasikmalaya Provinsi Jawa Barat"/>
        <s v="Jl. Pelabuhan 2 KM 6 Lembursitu, Kecamatan Lembursitu, Kota Sukabumi Provinsi Jawa Barat"/>
        <s v="Jl. Prof. Dr. Bahder Djohan, Kampus Universitas Indonesia Depok"/>
        <s v="Jl. Raya Baros No.E46 RT. 01 RW. 15, Kelurahan Baros, Kecamatan Cimahi Tengah, Kota Cimahi 40521, Provinsi Jawa Barat"/>
        <s v="Jl. Rancawangi Desa Tegalluar Kec. Bojongsoang"/>
        <s v="Jl. Ir. H .Juanda No. 141, Bekasi"/>
        <s v="Jl.Pilar-Sukatani Desa Sukaraya Warung Pojok RT. 05 RW. 06 Kec. Karangbahagia, Kab. Bekasi, Jawa Barat 17530"/>
        <s v="Jl. Ir. H. Juanda No.1 RT03/RW03, Kelurahan Panyingkiran, Kecamatan Indihiang, Kota Tasikmalaya, Provinsi Jawa Barat, 46411"/>
        <s v="JL. Raya Perum Jatimulya No. 1 RT/RW 008/007 Kel. Jatimulya Kec. Tambun Selatan Kab. Bekasi Prov. Jawa Barat"/>
        <s v="Jl. Raya Pajajaran No. 98, Bantarjati - Bogor Utara, Kota Bogor"/>
        <s v="Jl. Raya Pajajaran No.219, Bogor Utara Kota Bogor"/>
        <s v="Jl. Raya Cileungsi - Jonggol KM. 10 Cipeucang, Kecamatan Cileungsi"/>
        <s v="Jl. Prof. drg. Suria Sumantri, MPH. No.65 Bandung"/>
        <s v="Jl. Raden Dewi Sartika No. 17 Kel. Regol Wetan Kec. Sumedang Selatan Kab. Sumedang Prov. Jabar"/>
        <s v="Jl. Jenderal Ahmad Yani No.18A, Kota Sukabumi"/>
        <s v="Jl. Raya Perjuangan No.45, RT.003/RW.003, Harapan Baru, Kec. Bekasi Utara, Kota Bekasi, Jawa Barat (17123)"/>
        <s v="Jl. Soekarno Hatta No. 550 Kel. Sekejati Kec. Buahbatu"/>
        <s v="Jl. Boulevard Grand Wisata, Kel. Lambangsari"/>
        <s v="Jl. Maribaya No.1 Puri Cinere,Kelurahan Pangkalan Jati, Kecamatan Cinere, Kota Depok, Provinsi Jawa Barat"/>
        <s v="Jl. Gatot Soebroto No. 517 Kel. Sukapura Kec. Kiaracondong"/>
        <s v="Jl. Raya Bogor Km.36 , Kel. Sukamaju, Kec. Cilodong, Depok 16414, Jawa Barat"/>
        <s v="Jl. Raya Seroja No. 101 Harapan Jaya"/>
        <s v="Jl. Perdana Raya No.22, Tanah Sareal, Kota Bogor"/>
        <s v="Jalan Rumah Sakit No. 22, Kelurahan Pakemitan, Kec. Cinambo"/>
        <s v="Jl. Rancabolang No. 21 Kel. Manjahlega Kec. Rancasari Kota Bandung"/>
        <s v="Jl. Raya Sadang-Subang KM 5 RT 01/01 Cikumpay Campaka Purwakarta"/>
        <s v="Jl Raya Cipacing - Rancaekek KM 20 Jatinangor Sumedang"/>
        <s v="Jl. Kemang Dalam RT 003 RW 004 Kel. Duren Seribu Kec. Bojongsari Kota Depok"/>
        <s v="Jl. Raya laswi RT. 02 RW. 12 Desa Ciheulang Kec. Ciparay"/>
        <s v="Jl. Kemakmuran No.39 Margajaya Bekasi"/>
        <s v="Jl. Kasuari Raya Kav. IA &amp; 1B Cikarang Baru - Jababeka, Bekasi 17550"/>
        <s v="Jl. Raya Dramaga Km.7,3 Margajaya-Bogor Barat-Kota Bogor"/>
        <s v="Jl. RE. Martadinata No. 200 B Cipedes Kota Tasikmalaya"/>
        <s v="Jl. Raya Leuwiliang Cibeber 1 Kab Bogor 16640"/>
        <s v="Jl. Raya Kali Abang Tengah RT. 003/031 Kelurahan Pejuang, Kec. Medan Satria"/>
        <s v="Jl. Bintara Raya No. 05 Rt 002 Rw 005 Kel. Bintara Kec. Bekasi Barat Kota Bekasi Provinsi Jawa Barat Kode Pos 17134"/>
        <s v="Jl. Raya Pagaden Rt 15/04 Desa Sukamulya Kec.Pagaden Subang"/>
        <s v="Jl. Pramuka No. 12 Rt. 004 Rw. 002 Kel. Sepanjang Jaya Kec. Rawalumbu Bekasi"/>
        <s v="Jl.Raya Jonggol No. 1A, Sukamanah, Kecamatan Jonggol Kabupaten Bogor Jawa Barat"/>
        <s v="Jl. Letkol GA Manulang No. 46 Padalarang Bandung Barat"/>
        <s v="Jl. Soekarno Hatta No. 581 Bandung 42075"/>
        <s v="Jl. Pangeran Kejaksan PO.BOX 4 Desa Sidawangi, Kecamatan Sumber Kab. Cirebon"/>
        <s v="Jl. Pahlawan No. 60, Duren Jaya Bekasi"/>
        <s v="Jl. Raya Bogor KM.30 Kel. Mekarsari Kec. Cimanggis"/>
        <s v="Jl. Kp. Bojong RT 004/RW 001 Desa Jayalaksana Kecamatan Cabangbungin Kabupaten Bekasi"/>
        <s v="Jl. Moch. Toha No. 369 Bandung"/>
        <s v="Jl. Jend. A.Yani No.98 Cikampek Karawang"/>
        <s v="Jl. Raya Burangkeng Desa Burangkeng Rt. 001 Rw.06 Kec. Setu"/>
        <s v="Jl. Raya Jatimekar Kel. Jatimekar Kec. Jatiasih Kota Bekasi"/>
        <s v="Jl. Raya Siliwangi No. 50 Pancoran Mas Depok"/>
        <s v="Jl. Veteran No. 6 Bandung"/>
        <s v="Jl. Ipik Gandamanah RT 35 / 03 Munjul Jaya Kab. Purwakarta"/>
        <s v="JL.Raya Pagelaran No 18 Desa Pagelaran Kec. Pagelaran Kab. Cianjur 43266"/>
        <s v="Jl. Pramuka No. 55 Bekasi"/>
        <s v="Jl. L.L.R.E Martadinata 45 Bandung"/>
        <s v="Jl. Villa Mutiara Cikarang 1, Ruko Pasadena Blok RA No 3, 5 &amp; 6 Ciantra Kec. Cikarang Selatan Kab. Bekasi Provinsi Jawa Barat"/>
        <s v="Jl. RE. Martadinata Nomor 333-335 Baregbeg, Ciamis"/>
        <s v="Jl. Terusan Buah Batu No.5, Batununggal, Kec. Bandung Kidul, Kota Bandung"/>
        <s v="Jl. dr. Dustira No.1 Kel. Baros Kec. Cimahi Tengah"/>
        <s v="Jl. Dr. Djundjunan No.107 Kota Bandung"/>
        <s v="Jl. Terusan Kapten Halim KM.09 Salamulya, Pondoksalam, Purwakarta"/>
        <s v="Jl. Raya Krangkeng KM.28 Indramayu Provinsi Jawa Barat Kode Pos 45284"/>
        <s v="Jl. Raya Timur III No.875, Dawuan, Kec. Dawuan, Kabupaten Majalengka, Jawa Barat 45453"/>
        <s v="Jl. Sultan Agung No. 173, Kec. Medan Satria - Kota Bekasi."/>
        <s v="Jln. Jenderal Sudirman No 208 Desa Suci Kaler Kecamatan Karangpawitan Kab. Garut"/>
        <s v="Jl. Raya Pasar Kranggan No. 26 RT 01 RW 04 Kelurahan Jatisampurna Kecamatan Jatisampurna Kota Bekasi Provinsi Jawa Barat 17433"/>
        <s v="Jl. Rumah Sakit No. 5 Kota Banjar"/>
        <s v="Jl. Raya Cisaat No.595 RT 025 RW 06 Desa Cibatu Kecamatan Cisaat Kabupaten Sukabumi Provinsi Jawa Barat 43152"/>
        <s v="Jl.R.E. Martadinata No. 1 Kertawangunan Kec. Sindangagung Kab. Kuningan"/>
        <s v="Jl. Cililin Kp. Cinta Karya Desa Cililin Kecamatan Cililin Kabupaten Bandung Barat Provinsi Jawa Barat 40562"/>
        <s v="Jl. Rd. Dewi Sartika No. 15 Kel. Tukmudal, Kecamatan Sumber, Kabupaten Cirebon, Provinsi Jawa Barat"/>
        <s v="Jl. Raya Padalarang-Purwakarta No. 290 Km. 11, Desa/Kelurahan Ciptagumati, Kec. Cikalongwetan, Kab. Bandung Barat, Provinsi Jawa Barat"/>
        <s v="Jl. Suroso Nomor. 21,  Kel. Pamoyanan, Kec. Cianjur, Kab. Cianjur, Prov. Jawa Barat."/>
        <s v="Jl. Kampung Gadog, RT. 001 RW. 003, Desa Pandansari, Kec. Ciawi"/>
        <s v="Jl. Ring Road I Kav. 23,25,27 Perum Taman Yasmin Bogor"/>
        <s v="JL. Siliwangi No. 11, Kel. Sukasari, Kec. Bogor Timur Kota Bogor"/>
        <s v="Jl. Kartini No. 2 RT. 001 RW. 009 Kelurahan Depok Kecamatan Pancoran Mas"/>
        <s v="Jl. Raya Patrol Km. 46 Patrol Kab. Indramayu"/>
        <s v="Jl. Kelurahan Jati Makmur No.40, Pondok Gede Kota Bekasi"/>
        <s v="Jl.Anggrek I B2/2 RT 01/11 Kec Mekar Mukti"/>
        <s v="Jl. Raya Bantar Gebang Setu No 119 Kel Padurenan Kec Mustika Jaya"/>
        <s v="Jl. Pangkal Perjuangan KM.2, Karawang"/>
        <s v="Jl. Raden Gilap No 8 Palimanan, Kabupaten Cirebon"/>
        <s v="Jl. Raya KarangSatria No:4-5 RT/RW :002/006 Tambun Utara 17511 Kabupaten Bekasi. Jawa Barat"/>
        <s v="Jl. Ki Ageng Tepak Desa Semplo Kecamatan Palimanan"/>
        <s v="Jl. Ahmad Yani No.2 Palabuhanratu"/>
        <s v="Jl. LL RE Martadinata No. 28 Kota Bandung"/>
        <s v="Jl. Raya Narogong km. 11 Pangkalan 1A, Bantar Gebang Bekasi"/>
        <s v="Jalan Raya Tarumajaya No. 1B RT 05 RW 01 , Desa Pantai Makmur, Kecamatan Tarumajaya, Kabupaten Bekasi, Provinsi Jawa Barat 17212"/>
        <s v="Jl. Raya Rancaekek KM. 27 NO. 612 Desa Nanjungmekar Kec. Rancaekek"/>
        <s v="Jl. Macem Sumur Batu RT.004 RW.001 Kel. Cikiwul Kec. Bantar Gebang-Kota Bekasi"/>
        <s v="Jl. Naripan No. 89 RT. 001 RW. 004 Kel. Kebon Pisang Kec. Sumur Bandung"/>
        <s v="Jl. R.A. Kartini No. 11 Bekasi"/>
        <s v="Jln. Sukalaya 1 No 22 Kel. Argasari Kec. Cihideung Kota Tasikmalaya 46122,  Jawa Barat"/>
        <s v="Jl. Rumah Sakit No.12 RT 001 RW 001 Desa Sukakarya, Kecamatan Tarogong Kidul Kabupaten Garut, Provinsi Jawa Barat"/>
        <s v="Jln. Raya Serang No. 83 Desa Serang Kecamatan Cikarang Selatan Kabupaten Bekasi"/>
        <s v="Jl. Kaliabang Tengah No. 2 RT 004 / RW 023 Kel. Pejuang Kec. Medan Satria - kota bekasi 17131"/>
        <s v="Jl. A. Yani No 16, Dusun: Sentul, Desa: Cikampek Selatan, Kecamatan: Cikampek, Kabupaten: Karawang, Provinsi: Jawa Barat"/>
        <s v="Jl. Arteri Galuh Mas Kav. Komersial Galuh Mas Blok 10, Desa Puseurjaya Kec. Telukjambe Timur"/>
        <s v="Jl. RA Kosasih No. 45 Kel. Sukaraja Kec. Sukaraja"/>
        <s v="Jl. Alternatif Cibubur - Cileungsi No. 6A, Kec. Jati Sampurna, Bekasi"/>
        <s v="Jl. Raya Barat Pasar Prapatan No. 109  Desa Panjalin Kidul Kec. Sumberjaya , Kab. Majalengka 45455"/>
        <s v="Jl. Raya Tegar Beriman Kp. Pondok Manggis RT. 01 RW. 04 Kel. Bojong Baru Kec. Bojong Gede Kab Bogor"/>
        <s v="Perum Kota Wisata Kav. V2, Desa Nagrak, Kec. Gunung Putri Kab. Bogor"/>
        <s v="Jl. Raya Plumbon Km.11 Cirebon"/>
        <s v="Jl. Industri Tegal Gede No.09, Cikarang Selatan Bekasi"/>
        <s v="Jl. Raya Patrol Blok Ranca Ketileng Desa  Patrol Baru"/>
        <s v="Jalan Cibeuti Kelurahan Talagasari Kecamatan Kawalu Tasikmalaya"/>
        <s v="Jl. Raya Puncak KM. 83 Kotak Pos 28, Cisarua - Bogor 16750"/>
        <s v="Jl. Kebonjati No. 152  Kel. Kebon Jeruk Kec. Andir kota Bandung"/>
        <s v="Jl. Siliwangi No.135 Cirebon"/>
        <s v="Jl. Sutisna Senjaya No.130, Cikalang, Kec. Tawang, Kota. Tasikmalaya, Jawa Barat 46113"/>
        <s v="Jl. Veteran No. 15"/>
        <s v="Jl. Bumi Patra No. 1 Komplek Perum Pertamina Indramayu."/>
        <s v="Jl. Raya Bojongsoang No. 156 RT. 003 RW. 002 Desa Lengkong Kec. Bojongsoang"/>
        <s v="Jl. Raya Bogor Km.31 No.23 Cimanggis Kota Depok"/>
        <s v="Jl. LLRE. Martadinata No. 39 Kota Bandung"/>
        <s v="Jl. Pulo Ribung RT. 001 RW. 021 Kelurahan Pekayon Jaya Kecamatan Bekasi Selatan Kota Bekasi"/>
        <s v="Jl. Raya Hankam No. 17 Pondok Melati Kota Bekasi"/>
        <s v="Jl. Rancamaya Singaparna, kabupaten Tasikmalaya, Jawa Barat"/>
        <s v="Jl. Sawojajar No, 9 Bogor Tengah Kota Bogor"/>
        <s v="Jl. Taman Kopo Indah III Blok H No. 1, Desa MekarRahayu, Kecamatan MargaAsih, Kabupaten Bandung"/>
        <s v="Jl. Raya Babelan KM. 9.6 RT/RW 002/001 Kelurahan Kebalen Kecamatan Babelan"/>
        <s v="Jl. Jend.Amir Machmud No.341 Kel. Cigugur Tengah Kec. Cimahi Tengah Kota Cimahi"/>
        <s v="Jl. Kesambi No. 237 Cirebon"/>
        <s v="Jl. Stadion Patroman Kav. III No. 3 Kota Banjar"/>
        <s v="Jl. Raya Kertasari-Pacet, Desa Sukapura, Kecamatan Kertasari 40386 Kab. Bandung"/>
        <s v="Kp. Pasirnangka RT. 002/015, Desa Batulayang, Kec. Cililin"/>
        <s v="Jl. Teuku Umar Cibitung,Bekasi"/>
        <s v="Jl. Raya Siliwangi KM 10 Rt 04 Rw 04 Kel. Bantar Gebang Kota Bekasi"/>
        <s v="Jl. Jendral Sudirman No. 68 Kuningan"/>
        <s v="Jl. Ir. H. Juanda No.207, Purwawinangun, Kec. Kuningan, Kabupaten Kuningan, Jawa Barat 45511"/>
        <s v="Jl. KH. Noer Alie Kav. 17-18 (Kalimalang), Kel. Kayuringin Jaya, Kec. Bekasi Selatan"/>
        <s v="Jl. Raya Jakarta Bogor Km.43, Kelurahan Pabuaran, Kecamatan Cibinong -  Kabupaten Bogor, Provinsi Jawa Barat"/>
        <s v="Jl. Alternatif  Transyogi, Cibubur"/>
        <s v="Jl Raya Cileungsi Jonggol Km 1 Cileungsi Kab Bogor"/>
        <s v="Jalan Kelapa Dua no 110 RT 07 RW 08 Kelurahan Padurenan Kecamatan Mustikajaya Kota Bekasi"/>
        <s v="Jl. Otto Iskandardinata No.1 Kab. Subang"/>
        <s v="Jl. Raya Bogor KM. 33 Cisalak, Sukmajaya, Depok"/>
        <s v="JL. Pengasinan, Rawa Semut, Margahayu Bekasi Timur"/>
        <s v="Jl. Paseh No. 10 Tuguraja Cihideung Kota Tasikmalaya"/>
        <s v="Kampung Kebon RT. 002 RW. 01 Desa Jejalen Kec. Tambun Utara"/>
        <s v="Jl. Lingkar Utara RT 002 RW 006 Kelurahan Teluk Pucung Kecamatan Bekasi Utara Kota Bekasi Provinsi Jawa Barat"/>
        <s v="Jl. Wirasaba No.54, Johar - Karawang"/>
        <s v="Jl. A.H. Nasution No. 50 Antapani Kota Bandung"/>
        <s v="Jl. K.H. Wahid Hasyim (Kopo) No. 461-463 Bandung"/>
        <s v="Jl. Achmad Sobana No. 105 Kelurahan Tegal Gundil Kecamatan Bogor Utara Kota Bogor"/>
        <s v="Kp. Cigadog RT. 025 RW. 006 Desa Sagaranten Kec. Sagaranten"/>
        <s v="Jl. Raya Sukaraja, Kabupaten Sukabumi"/>
        <s v="Jl. Tubagus Ismail No. 46 Kota Bandung"/>
        <s v="Jl. Parahyangan KM. 3 - Kota Baru Parahyangan Kec. Padalarang KBB"/>
        <s v="Jl. Deltamas Boulevard, Ds. Hegarmukti, Kecamatan Cikarang Pusat, Kabupaten Bekasi"/>
        <s v="Jl. Raya Industri Pasirgombong Cikarang"/>
        <s v="Jl. Imam Bonjol No. 80A Desa Sukadanau, Kecamatan Cikarang Barat, Kabupaten Bekasi"/>
        <s v="Jl. Raya Parung KM 42 Bogor"/>
        <s v="Jl. By Pass Jalan Baru Desa Ujungaris Kec. Widasari Kab. Indramayu"/>
        <s v="Jl Raya Malangbong - Ciawi Kp Cinagka RT 01 RW 07 Desa Sukamanah Kec Malangbong Garut"/>
        <s v="Jl. Rumah Sakit 33 Tasikmalaya, Kel. Empangsari, Kec. Tawang, Kota Tasikmalaya, Provinsi Jawa Barat."/>
        <s v="Jl. Merak No.3 Tanah Sareal Kota Bogor"/>
        <s v="Jl. Raya Jatiwangi Ds. Cikedokan  001/001 Cikarang Barat, Kab. Bekasi Jawa Barat"/>
        <s v="Jl. Jend Sudirman No. 8 Kota Bogor"/>
        <s v="Jl. Harapan Indah Boulevard Sektor V Desa/Kelurahan Pusaka Rakyat Kec. Tarumajaya"/>
        <s v="Jl. Raya Cideres  - Kadipaten No. 180 Desa Bojong Cideres Kecamatan Dawuan Kabupaten Majalengka 45453"/>
        <s v="Jl. Sultan Hasanuddin No.63 Kec. Tambun Selatan"/>
        <s v="Jl. Raya Kosambi - Telagasari KM 03 Klari Karawang"/>
        <s v="Jl. Pondok Ungu Permai Sektor V A1 No 22-26"/>
        <s v="Jl. Raya Tajur No. 168 Muarasari Bogor"/>
        <s v="JL. KSR Dadi Kusmayadi No. 27 Cibinong Bogor"/>
        <s v="Jl. Cikutra No. 7 Kota Bandung"/>
        <s v="Jl. Dr. Wahidin Sudirohusodo No.79 Cirebon"/>
        <s v="Jln. Raya Bandorasa Wetan - Cilimus No.36 Kec.Cilimus  Kab. Kuningan"/>
        <s v="Jl. Alternatif Cibubur KM. 1, Kel. Harjamukti, Cimanggis, Kota Depok"/>
        <s v="Jl. Cicendo No.4 Bandung"/>
        <s v="Jl. Raya Cibarusah Rt 004/003 Desa Sukaresmi  Kec. Cikarang Selatan"/>
        <s v="Jl. Perindustrian Raya No.53 Baktijaya Sukmajaya"/>
        <s v="Jl. Pemuda No. 36 RT 001 RW 007 Desa Pengasinan Kecamatan Gunung Sindur Kabupaten Bogor Provinsi Jawa Barat."/>
        <s v="JL. Raya Seroja No. 19 Harapan Jaya, Bekasi Utara, Kota Bekasi, Jawa Barat, 17124"/>
        <s v="Jl. HR. Wasita Kusumah No. 1 Indihiang Kota Tasikmalaya"/>
        <s v="Jl. Raya Karawang - Bekasi km.30 Ds. Bojongsari, Kec. Kedungwaringin, Kab.Bekasi, Prov.Jawa Barat"/>
        <s v="Kp. Kamurang RT 002 RW 006 Kelurahan Puspanegara Kec. Citeureup"/>
        <s v="Jl. Raya Gading Tutuka, Kp. Cingcin Kolot, RT 01 RW 17, Desa Cingcin, Kec. Soreang, Kab. Bandung, Provinsi Jawa Barat"/>
        <s v="Jl. Sisingamangaraja No.45 Cirebon 45112"/>
        <s v="Jl. H. Bosih No.117 Cibitung Kabupaten Bekasi"/>
        <s v="Villa Mutiara Cikarang 2 Blok. E3 No.16-20 Sukasejati Kec. Cikarang Selatan Kab. Bekasi"/>
        <s v="Jl. Rawa Dolar RT. 003 RW. 007 Kel. Jatiraden Kec. Jatisampurna"/>
        <s v="Jl. Terusan Jakarta No. 15-17 Kec. Kiaracondong kota Bandung"/>
        <s v="Jl. Cut Nyak Dien RT. 007 RW. 002, kelurahan Cijoho, Kecamatan Kuningan, Kabupaten Kuningan,  Provinsi Jawa - Barat. 45513"/>
        <s v="Jl. Rumah Sakit No. 28 Kec.  Cigugur Kab. Kuningan"/>
        <s v="Jl. Bungursari No.1, Purwakarta"/>
        <s v="Jl. Empang II No. 2 Bogor Selatan Kota Bogor"/>
        <s v="Jl. Raya Jatiasih No.72 Jatiasih-Bekasi"/>
        <s v="Jl. Ir H. Juanda No. 7A RT. 03 RW. 14 Kel. Cipedes Kec Cipedes 46133"/>
        <s v="Jl. Gudang No. 24 Sukabumi"/>
        <s v="Kota Harapan Indah Blok i2-9 No. 9"/>
        <s v="Jl. Veteran No. 39 Purwakarta"/>
        <s v="Jl. Raya Rancasari KM 4,35  Rt 10/Rw 04 Ds.Rancasari Kec.Pamanukan Kab.Subang"/>
        <s v="Jl. Raya Kosambi -Telaga Sari Km.3 Klari, Karawang"/>
        <s v="Jl. Raya Babelan No. 73 Desa Kebalen Kec. Babelan Kab. Bekasi"/>
        <s v="Jl. Raya Singaparna KM 11 Cikunir Singaparna"/>
        <s v="Jl. Parahyangan Raya No.Kav. 11, Kota Baru, Kec. Padalarang, Kab. Bandung Barat"/>
        <s v="Jl. Raya Cimacan No.17, Cianjur"/>
        <s v="Jl. Kebon Jati No.38,Bandung"/>
        <s v="Jl. K.H.Z. Mustofa No. 310 Kel. Tuguraja Kec. Cihideung"/>
        <s v="Jl. BIIE Utama no. 1, Lippo Cikarang, Kelurahan Cibatu, Kecamatan Cikarang Selatan, Kabupaten Bekasi Jawa Barat"/>
        <s v="Jl.Raya Cikalongsari No.42. Jatisari. Kab.Karawang"/>
        <s v="Jalan Otto Iskandardinata No. 15 Kel. Empangsari Kec. Tawang"/>
        <s v="Perumahan Metland Cibitung"/>
        <s v="Jl. dr. Sumeru No.114 Kota Bogor"/>
        <s v="Jl. Aminta Azmali No. 59A Kota Sukabumi"/>
        <s v="Jl. Prabu Geusan Ulun No 41 Jl. Palasari No. 80 Kabupaten Sumedang"/>
        <s v="Jl. Pahlawan No.91, Kota Bogor"/>
        <s v="Jl. Cikunir Raya dh/H. Napiah No.8, RT 006/RW 003 Jakamulya, Kec. Bekasi Selatan. Kota Bekasi Jawa Barat 17146"/>
        <s v="Jl. DR. Cipto Mangunkusumo Blok A Nomor  1 A Medical City Kota Jababeka"/>
        <s v="Jl. Raya Bogor Km 29 Cimanggis - Depok"/>
        <s v="Jl. Cihampelas No. 161 Bandung"/>
        <s v="Jl. Raya Muchtar No. 99 Sawangan"/>
        <s v="Jln. Taman Harapan Baru Raya, Blok R1, No. 20"/>
        <s v="Jl. Raya Buahaseum  Desa Karya Mukti  Kec. Lemahabang Wadas Kab. Karawang"/>
        <s v="Jln. Raya Langut No. 100 Desa Langut Kecamatan Lohbener"/>
        <s v="Jl. Grand Hotel No. 66  RT. 005 RW. 006 Desa Lembang Kec. Lembang Kab. Bandung Barat"/>
        <s v="JL. CARACAS-MANDIRANCAN NO. 144 RT/RW 012/003 DESA CARACAS, KECAMATAN CILIMUS, KABUPATEN KUNINGAN, PROVINSI JAWA BARAT"/>
        <s v="Jl. Raya Narogong Km.16, Limus Nunggal Cileungsi, Bogor"/>
        <s v="Jl. KH. Wahid Hasyim No. 311 Bandung"/>
        <s v="Jl. Encep Kartawiria no. 88 Kel. Citeureup Kec. Cimahi Utara"/>
        <s v="Jl. Ir. Soekarno KM. 21, Desa Cikeruh, Kecamatan Jatinangor"/>
        <s v="Jl. Imam Bonjol No. 9B Kalijaya Cikarang Barat, Ka. Bekasi 17530"/>
        <s v="Jl. KH. M. Usman No 168 Kukusan Depok"/>
        <s v="Jl. Raya Perjuangan No. 8 Cirebon"/>
        <s v="Jl. HM. Joyomartono RT 003 RW 021 Kelurahan Margahayu Kecamatan Bekasi Timur Kota Bekasi."/>
        <s v="Jl. Raya Padalarang Ruko Padalarang Point No. 527"/>
        <s v="Jl. Raya Galuh Mas Blok VI A No. 1"/>
        <s v="Jl. R.A. Kartini No.66,Bekasi"/>
        <s v="Komplek Oasis Kav. 1, Jl. Raya Cikarang Cibarusah, Kelurahan Sukaresmi, Kecamatan Cikarang Selatan."/>
        <s v="Jl. Patra Raya Klayan No 1 Cirebon"/>
        <s v="Jl. Syech Quro No.14, Palumbonsari - Lamaran, Karawang"/>
        <s v="Jl. Raya Cimareme No. 235 RT. 03 RW. 01 Kec.Ngamprah"/>
        <s v="Jl. KH Abdullah Bin Nuh No. 2"/>
        <s v="Jl. Raya Tapos, RT 005 RW 004, Kel. Cimpaeun, Kec. Tapos"/>
        <s v="Jl. Dr. Cipto No. 11,  RT 004 RW 002 Kel. Pasirkaliki Kec. Cicendo"/>
        <s v="Jl. Pasteur No. 38 Bandung"/>
        <s v="Jl. Kertabumi No.44 Karawang"/>
        <s v="Jl. KH. Fudholi No. 78 Cikarang Utara"/>
        <s v="Jl. Pluto Raya Blok C Margahayu Raya, Buah Batu, Kota Bandung"/>
        <s v="Jl. Arteri Tol Karawang  Barat Teluk jambe Karawang"/>
        <s v="JL. TEUKU UMAR NO. 25 CIKARANG BARAT"/>
        <s v="Jl. Raya Pagaden Subang Ds. jabong, Kec. Pagaden, Kab. Subang, Jawa Barat"/>
        <s v="Jl. Jend. H. Amir Machmud No. 140 Kel. Cibabat Kec. Cimahi Utara"/>
        <s v="Jl. Pajajaran No.46 Kel Pasirkaliki, Kec. Cicendo, Kota Bandung"/>
        <s v="Jl. Raya Cibogo Hilir, Kp. Sukasari, RT/RW 004/002 Ds. Cibogohilir, Kec. Plered, Kab. Purwakarta, Provinsi Jawa Barat, 41162."/>
        <s v="Jl. Raya Bogor KM 46,7 Nanggewer Mekar Cibinong Bogor"/>
        <s v="Jl. Mayor Oking Jaya Atmaja No. 92A, Ds. Karang Asem Barat, Kec. Citeureup"/>
        <s v="Jl. Raya Banjaran Barat No. 596 Desa Batukarut Kec. Arjasari"/>
        <s v="Jl. IR. H. Juanda No. 326, Bekasi Timur"/>
        <s v="Jl. Raya Parung Ciputat RT 002 RW 002 Bojongsari  Baru, Bojongsari, Kota Depok, Jawa Barat 16516"/>
        <s v="Jl. Raya Pangalengan No. 340 , Pangalengan Kab. Bandung Jawa Barat"/>
        <s v="Jl. Rumah Sakit No.76 Ciamis"/>
        <s v="Jl. Raya setu No.99 Desa Lubang Buaya Kec. Setu"/>
        <s v="Jl. Cinere Raya No.19"/>
        <s v="Jl. DR. Sumeru No.120, Kota Bogor, Jawa Barat"/>
        <s v="Jl. Raya Ciamis Banjar KM 7 No. 341 RT 16 RW 06 Desa Cijeungjing Kec Cijeungjing"/>
        <s v="Jl. Terusan Al Fathu No.9A, Sarilamping, Soreang, Kec. Soreang, Kabupaten Bandung, Jawa Barat 40911"/>
        <s v="Jl. Murah Nara No. 7 Sindang Indramayu"/>
        <s v="Jl. Raya Jatiwaringin No.133, Pd Gede Bekasi"/>
        <s v="JL. Raya Karanggan No. 02 Puspasari, Citeureup Bogor"/>
        <s v="Jl. Awibitung No. 29-31 Kelurahan Cicadas Kecamatan Cibeunying Kidul"/>
        <s v="Jl. Jendral Sudirman No. 240 Cipancuh Kec.Haurgeulis  - Indramayu"/>
        <s v="Jl. Raya Kawali Cirebon Nomor 37, Desa Winduraja, Kec. Kawali"/>
        <s v="Jl. Moch. Hatta, Kp. Kalangsari RT.001/RW.020, Desa/Kelurahan Sukamanah, Kec. Cipedes"/>
        <s v="Jl. Mayor Oking Jaya Atmaja KM1 No.101 Cibinong - Bogor"/>
        <s v="Jl. K.H. Ahmad Dahlan No.53 Bandung"/>
        <s v="Jl. Raden Saleh No.42 (Studio Alam TVRI) Depok"/>
        <s v="Jl. Raya Miramareu No 99 Desa Sirnabakti Kec. Pameungpeuk"/>
        <s v="Jl. Let.Jend Soeprapto No. 292 Indramayu"/>
        <s v="Jl. Dr. Cipto No.1 Bandung"/>
        <s v="Jl. Tentara Pelajar - Colomadu, Karanganyar"/>
        <s v="Jl. Ahmad Yani 58 Kelurahan Panjunan Kecamatan Kota, Kabupaten Kudus, Provinsi Jawa Tengah"/>
        <s v="Jl. Prof.Dr. HR Bunyamin Purwokerto Kel. Bancarkembar Kec. Purwokerto Utara Kab. Banyumas"/>
        <s v="Jl. Senopati No.11,Magelang"/>
        <s v="Jl. Mayjend Sutoyo No.75 RW. V Sindurjan, Kec. Purworejo, Kabupaten Purworejo, Jawa Tengah 54113"/>
        <s v="Jl. Raya Tangen Gesi, Dukuh Brakbunder, Katelan, Tangen"/>
        <s v="Jl. RM Hadi Soebeno No. 146-148"/>
        <s v="Jl. Dr. Sutomo No. 45, Blora"/>
        <s v="Jl. Lawu Papahan, Tasikmadu Karanganyar"/>
        <s v="Jl. Kudus - Pati Km.10 Jekulo, Kudus"/>
        <s v="Jl. Yos Sudarso Timur Desa Kedungpuji Gombong"/>
        <s v="Jl. Hasanudin No.806,Salatiga"/>
        <s v="Jl. Jogoloyo No.9, Kec. Wonosalam, Demak"/>
        <s v="Jalan Kolonel Sutarto No. 16 Jebres Solo"/>
        <s v="Dusun Balak RT 001 RW 006 Desa Ngabean Kec. Boja Kab. Kendal"/>
        <s v="Jl. Raya Karanggede - Gemolong Km. 13 Andong Kab.Boyolali"/>
        <s v="Jl. Kalisari Baru No.7,Semarang"/>
        <s v="Jl. Urip Sumoharjo, Sambong"/>
        <s v="Jl. Magelang km.2 Purworejo"/>
        <s v="Jl. A. Yani / T. Jogonegoro No. 2A RT. 02 RW. 07, Jaraksari Kec. Wonosobo"/>
        <s v="Jl. Sriwijaya No. 2 Pekalongan"/>
        <s v="Jl. Raya Delanggu Utara No. 19 Desa/Kel. Gatak Kec. Delanggu Kab. Klaten"/>
        <s v="Jl. Kedungmundu Raya No. 22 Semarang"/>
        <s v="Jl. Raya Blora-Purwodadi No. 103, Desa Jagong, Kec. Kunduran"/>
        <s v="Jl. Dr. Setiabudi No.1 Tegal Kamulyan, Cilacap Selatan, Cilacap"/>
        <s v="Jl. Ahmad Yani No.57,Brebes"/>
        <s v="Jl. Mayjend Sutoyo No.19 Desa Pangenjurutengah Kec. Purworejo"/>
        <s v="Jl. Sultan Agung No.8A  Kel. Teluk Kec. Purwokerto Selatan"/>
        <s v="Jl. Hayam Wuruk No. 24, Purwodadi, Grobogan, Propinsi Jawa Tengah"/>
        <s v="Jl. Pramuka No. 55 Desa Sudagaran, Kec. Banyumas"/>
        <s v="Jl. Ronggowarsito 130, Surakarta Propinsi Jawa Tengah"/>
        <s v="JL. INDRAKILA NO.17, KEBUMEN, KEBUMEN, JAWA TENGAH"/>
        <s v="Jl. Ahmad Yani Mendungan Pabelan Kartasura Sukoharjo"/>
        <s v="Jl. Nisemito No.28,Kudus"/>
        <s v="Jl. Pasukan Ronggolawe No.24, Wonosobo"/>
        <s v="Jl. Wonodri No. 22 Semarang"/>
        <s v="JL. BANDUNGSARI III A NO 77, KEL. TAMBANGAN, KEC. MIJEN, KOTA SEMARANG, PROVINSI JAWA TENGAH"/>
        <s v="Jl. Ar Rahmah No.17, Desa/Kelurahan Ngasinan, Kec  Weleri, Kab. Kendal, Provinsi Jawa Tengah"/>
        <s v="JL. Dr. SOETOMO NO.9 PURWODADI GROBOGAN"/>
        <s v="Jl. Raya Solo Sukoharjo KM. 09 Sukoharjo 57527"/>
        <s v="Jl. Gajah Mada Barat No.124,Pekalongan"/>
        <s v="Jl. Pantura Rembun No. 1, Kec. Siwalan, Kab. Pekalongan, 51137"/>
        <s v="Jl. Raya Sukowati No.534, Sragen"/>
        <s v="Jl. Gatot Subroto, Slawi, Kabupaten Tegal"/>
        <s v="Jl. Gajah Mada RT. 002 RW. 015"/>
        <s v="Jl. H. Masyuri Rejasari No 39 Purwokerto, Rejasari, Purwokerto Barat"/>
        <s v="Jl. Kol Sutarto 132,Surakarta"/>
        <s v="Jl. Raya Blora-Cepu Km 3 Desa Seso Kec. Jepon"/>
        <s v="Jl. Dr Soesanto  No. 114 Pati"/>
        <s v="Jl. Dr. Sutomo No.63 Desa Slawi Kulon Kecamatan Slawi"/>
        <s v="Jl. RE Martadinata"/>
        <s v="Jl. Gelatik No.1 Panjer, Kebumen"/>
        <s v="Jl. Sudirman No. 169 Salatiga"/>
        <s v="Jl. Merdeka No 191 Banjarharjo - Kabupaten Brebes"/>
        <s v="Jl. Raya Purwodadi Blora KM. 5 RT. 01 RW. 03, Dusun Plosonambangan, Desa Rejosari, Kecamatan Grobogan, Kabupaten Grobogan, Provinsi Jawa Tengah 58152"/>
        <s v="Jl. Diponegoro 125,Ungaran"/>
        <s v="Jl. KRT. Suraji Tirtonegoro No.1, Klaten"/>
        <s v="Jl. Gunung Sawo No.21,Semarang"/>
        <s v="Jalan Jenderal Ahmad Yani Cantel Wetan No.100, Kutorejo, Sragen Tengah, Kec. Sragen, Kabupaten Sragen, Jawa Tengah 57211"/>
        <s v="Jl. Pemuda No. 24 Pemalang"/>
        <s v="Jl. KH. Ahmad Dahlan KM. 1 Bumiayu"/>
        <s v="Kragilan, Mojosongo, Boyolali"/>
        <s v="Jl. Dr. Soetomo No. 17A Limpung 51271"/>
        <s v="Jl. Dr. Soetomo No. 54 Majenang"/>
        <s v="Jl. Tidar No.30 A, Kota Magelang"/>
        <s v="Jln. Sekopek No. 15  Tepimulyo Plantaran Kaliwungu Selatan Kendal Jawa Tengah"/>
        <s v="Jl. Urip Sumoharjo No. 15, Kelurahan Wates, Kecamatan Magelang Utara, Kota Magelang, Provinsi Jawa Tengah"/>
        <s v="Jl. Mas Sirin No. 79 Kudus-Margoyoso Km. 2 Desa/Kelurahan Purwosari, Kec. Kota Kudus"/>
        <s v="Banjarasem RT 05 RW 02 Desa Tahunan Kec. Gabus Kab.Grobogan"/>
        <s v="Jalan Raya Klapagading Kulon Rt 01 Rw 14 Kec Wangon - Banyumas"/>
        <s v="Jl. Pala Raya 11A Mejasem Barat Tegal Kec.Kramat"/>
        <s v="Jl. Soekarno-Hatta No.79, Kesugihan"/>
        <s v="Jl. Letnan Yusup Babakan, Kalimanah Purbalingga"/>
        <s v="Jl. Slamet Riyadi 404,Surakarta"/>
        <s v="Jl. K.H. Wahid Hasyim Jepara"/>
        <s v="Jl. Magelang - Purworejo Km. 15, Salaman, Magelang."/>
        <s v="Jl. Kolonel R. W. Sugiarto KM. 16 RT.05 RW.01, Kel. Cepoko, Kec. Gunungpati"/>
        <s v="Jl. Kartini No.13 Muntilan Kabupaten Magelang Provinsi Jawa Tengah Kode Pos 56411"/>
        <s v="Jl. Brigjen Sudiarto No. 347, Pedurungan, Kota Semarang"/>
        <s v="Jl. Raya Ambokembang No.42-44 Kedungwuni Pekalongan Jawa Tengah"/>
        <s v="Jl. Jend A Yani No. 40,Giriwono, Wonogiri, Jateng"/>
        <s v="Jl. Pala Raya No.54 Tegal"/>
        <s v="Jl. Pedan-Cawas KM. 01 Sobayan Pedan Klaten"/>
        <s v="Jl. Kompol Maksum No.296 Peterongan, Kec. Semarang Selatan, Kota Semarang, Jawa Tengah 50242"/>
        <s v="Jl. Raya Boyolali Klaten Kemiri Mojosongo"/>
        <s v="Jl. Veteran No. 41-43,Sragen"/>
        <s v="Jl.Raya Jatinom-Klaten KM 01, Gedaren, Jatinom, Klaten"/>
        <s v="Jl. Pramuka No. 249 Kelurahan Purwokerto Kidul Kecamatan Purwokerto Selatan Kabupaten Banyumas Provinsi Jawa Tengah"/>
        <s v="Jl. Slamet Riyadi 321,Laweyan ,Surakarta"/>
        <s v="Semanggi RT 002 RW 009, Pasar Kliwon, Surakarta"/>
        <s v="Jl. Kol.Sugiyono No.75,Pati"/>
        <s v="Jl. Raya Sruweng No.5 Sruweng Kebumen"/>
        <s v="Jl. Kawi No.1,Semarang"/>
        <s v="Jl. Raya Tayu - Pati Km. 3 No. 99A Pakis Tayu Pati"/>
        <s v="Jl. Gajahmada 1A"/>
        <s v="Jl. Mayor Sunaryo No. 37, Kelurahan Sukoharjo, Kecamatan Sukoharjo, Kabupaten Sukoharjo, Provinsi Jawa Tengah"/>
        <s v="Jl. Adi Sucipto No. 2 Kel. Manahan Kec. Banjarsari"/>
        <s v="Ds.Trangkil RT. 01 RW. 01 Kec. Trangkil Kab. Pati"/>
        <s v="Jl. KH. Hasyim Azhari, Mojayan, Klaten Tengah, Jawa Tengah, Indonesia"/>
        <s v="Jl. Fatmawati No.1 Semarang"/>
        <s v="Jl. Raya Tugu - Cawas, Kelurahan Tugu, Kecamatan Cawas, Kabupaten Klaten, Provinsi Jawa Tengah. 57463"/>
        <s v="Jl. Kolonel Soegiono NO. 13 Taman"/>
        <s v="Jl. Palem Raya Langenharjo Sukoharjo"/>
        <s v="Jl. Yos Sudarso RT 003 RW 001 Karanglewas Lor Kec.Purwokerto Barat, Kab. Banyumas"/>
        <s v="Jl. Brigjen Katamso  No 18 Panggang Jepara"/>
        <s v="Jl. Pangeran Puger (Jl. Raya Purwodadi-Pati Km. 6) Kec. Grobogan Kab. Grobogan"/>
        <s v="Jl. Jend. Gatot Subroto 95 Cilacap"/>
        <s v="Jl. Jenderal Ahmad Yani 169 Magelang"/>
        <s v="Jl. Ronggolawe No. 50,Cepu"/>
        <s v="Jl. Jatiwinangun No. 16 Purwokerto Kab.Banyumas"/>
        <s v="Jl. Raya Bangak-Simo Km 7, Sambi, Boyolali"/>
        <s v="Jl. Raya Kajen RT 001 RW 005, Desa Kajen, Kec. Lebaksiu, Kab. Tegal"/>
        <s v="Jl. Jend. Sudirman No.42, Kutabanjarnegara, Kec. Banjarnegara, Kab. Banjarnegara, Jawa Tengah 53415"/>
        <s v="Jl. Lettu Sumarto No. 1 Kel. Kadipiro Kec. Banjarsari"/>
        <s v="Jl. Merak No. 8 Mangunsari Sidomukti"/>
        <s v="Jl. Jepara-Bangsri KM.3, Desa Kuwasen Kota Jepara Propinsi Jawa Tengah"/>
        <s v="Jl. Ahmad Yani 200 Makamhaji Kartasura Sukoharjo"/>
        <s v="Jl. Raya Kaligawe Km. 4"/>
        <s v="Jl. Comal Baru Ujunggede Ampelgading"/>
        <s v="Jl. Pasar Sapi Baru, Desa/Kelurahan Karanggeneng, Kecamatan Boyolali, Kabupaten Boyolali, Provinsi Jawa Tengah"/>
        <s v="Jl. Pandanaran No.24 Semarang"/>
        <s v="JL. DAENDELS KM 1, Desa/Kelurahan Munggu, Kec. Petanahan, Kab.Kebumen, Provinsi Jawa Tengah,Kode Pos: 54382"/>
        <s v="Jl. Raya Maos-Sampang Desa Karangtengah Kec. Sampang"/>
        <s v="Jl. Raya Wonogiri-Ngadirojo KM 5 Wonogiri"/>
        <s v="Jl. Ababil No.42,Tegal"/>
        <s v="Jl Raya Bawang KM 8 Banjarnegara"/>
        <s v="Jl. Raya Sragen-Solo Km. 8, Masaran, Sragen"/>
        <s v="Jl. Gatot Subroto KM.1,5 Kulon Palang Gemolong"/>
        <s v="Jl. Slamet Riyadi No. 06, Kelurahan Kartasura, Kec. Kartasura, Kab. Sukoharjo, Jawa Tengah"/>
        <s v="Jl. Raya Jatibarang-Brebes, Janegara, Jatibarang"/>
        <s v="Jl. Pati-Tayu KM 27, Tayu Pati"/>
        <s v="Jl. Martadireja II Purwokerto"/>
        <s v="Jl. K.H. Dewantoro 80, Jebres, Surakarta"/>
        <s v="Jl. Raya Tegal-Pemalang KM.12"/>
        <s v="JL. Brigjend Katamso, Kaliancar, Selogiri."/>
        <s v="Jl. Dr. Lukmonohadi No.19,Kudus"/>
        <s v="Jl. Bajo No. 7 Juwana"/>
        <s v="Jl. Pabrik Gula Banjaratma No. 2, RT 03 RW 05, Pule, Sigentong, Kec. Wanasari"/>
        <s v="Jl. Ahmad Yani No. 21 Purworejo"/>
        <s v="Jl. KH. Ahmad Dahlan Semarang"/>
        <s v="Jl. Gatot Subroto Km. 2, Manding Temanggung"/>
        <s v="JL RAYA SOEKARNO HATTA KM 12 KECAMATAN GEMUH KABUPATEN KENDAL PROVINSI JAWA TENGAH"/>
        <s v="Jl. Jend. Sudirman Timur Kecamatan Randudongkal"/>
        <s v="Jl. Mayjend. Soengkono No. 9, Kel. Selabaya, Kec. Kalimanah"/>
        <s v="Jl. Soekarno Hatta Rt.004 Rw.002 Desa Tlahab Kecamatan Gemuh Kabupaten Kendal Provinsi Jawa Tengah"/>
        <s v="Gg. Kabayan RT. 06 RW. 01 Kel. Randublatung"/>
        <s v="Jl. Merbabu No. 7 Klaten"/>
        <s v="Jl. Veteran 31,Pekalongan"/>
        <s v="Jl. Jepara KM. 6 Desa Mijen Kec. Kaliwungu"/>
        <s v="Jl. Jend.Sudirman No.181 Brebes Jawa Tengah 52212"/>
        <s v="Jl. Dr Gumbreg No. 1 Purwokerto"/>
        <s v="Jl. Kenanga No.4-6,Magelang"/>
        <s v="Jl. Gatot Subroto, Sudungdewo, Kec. Kertek, Kab. Wonosobo, Prov. Jawa Tengah 56371"/>
        <s v="Jl. Raya Semarang Purwodadi KM. 21 No. 107 Karangawen Demak"/>
        <s v="Jl. Ronggolawe No.137,Cepu"/>
        <s v="Jl. Amarta 8-10 Ngabeyan Kartasura, Sukoharjo - Jawa Tengah"/>
        <s v="Jl. Raya Rembang - Lasem Km.5 Tritunggal, Rembang"/>
        <s v="Jl. Kebumen Raya - Muktisari Kebumen"/>
        <s v="Jl. Dr Muwardi No. 50 Salatiga"/>
        <s v="Jl. Sultan Fatah No. 669/50,Demak"/>
        <s v="Jl. Raya Pati-Tayu Km. 03 Tambaharjo, Pati"/>
        <s v="Jl. Lingkar Bumiayu Perempatan Negaradaha Kec. Bumiayu Kab. Brebes"/>
        <s v="Jl. Raya Karanggede - Solo KM.1, Boyolali"/>
        <s v="Jl. Dr. Cipto 50, Bugangan, Semarang Timur"/>
        <s v="Jl. Raya Ajibarang WetanAjibarang Banyumas"/>
        <s v="Jl. Laksda Yos Sudarso Karanganyar"/>
        <s v="Jln. Jenderal Polisi Anton Soedjarwo No.195 A, Banyumanik"/>
        <s v="Jl. Gatot Subroto 28 Cilacap RT 04 / RW 05 Kel. Sidanegara Kec. Cilacap Tengah Kab. Cilacap"/>
        <s v="Jl. P. Diponegoro Desa Jatisawit Kecamatan Bumiayu Kabupaten Brebes"/>
        <s v="Munggur RT 09/RW 04, Kelurahan Munggur, Kecamatan Mojogedang, Kabupaten Karanganyar, Provinsi Jawa Tengah"/>
        <s v="JL. Jenderal Sudirman No. 05 Sitanggal Larangan"/>
        <s v="Jl. Letjen S. Parman No. 56 Kedungmenjangan Purbalingga"/>
        <s v="Jl. R Suprapto No.6,Purwodadi"/>
        <s v="Jl. Soepardjo Rustam No. 99 Sokaraja"/>
        <s v="JL.MAJAPAHIT NO.140 SEMARANG"/>
        <s v="jl. dr. Wahidin No. 66A , Muktisari, Sindangsari, Kec. Majenang, Kabupaten Cilacap, Jawa Tengah 53257"/>
        <s v="Jl. Menteri Supeno No. 25, Sokaraja-Banyumas"/>
        <s v="Jl. Jend A Yani No.1-2"/>
        <s v="Jl. Kudus Permai No.1, Kaliwungu, Kudus"/>
        <s v="Jl. Setjonegoro No.1,Wonosobo"/>
        <s v="Jl. Raya Kaligawe Km.4,Semarang"/>
        <s v="Jl. Yos Sudarso No. 1 Karangmangu, Kec. Kroya, Kab. Cilacap, Provinsi Jawa Tengah"/>
        <s v="Jl. Laut No. 21 Kelurahan Patukangan, Kec. Kendal, Kab. Kendal, Provinsi Jawa Tengah"/>
        <s v="Jl. Raya Pracimantoro-Giribelah Km.6  Suci, Kec. Pracimantoro, Kab. Wonogiri, Provinsi Jawa Tengah"/>
        <s v="Jl. Slamet Riyadi No. 14 Tegalrejo, Bawen, Kab. Semarang"/>
        <s v="Jl. RA. Kartini No. 7 Kecamatan Blora  Kabupaten Blora Provinsi Jawa Tengah"/>
        <s v="Jl. Dr. Muwardi 71, Sukoharjo"/>
        <s v="Jl. Bandung No.39-47,Pekalongan"/>
        <s v="Jl. Pemuda KM. 4"/>
        <s v="Jl. RA. Kartini No. 20 Ketanggungan, Desa Ketanggungan, Kecamatan Ketanggungan, Kabupaten Brebes, Provinsi Jawa Tengah"/>
        <s v="Jl. Papahan Tasikmadu Kelurahan Papahan Kecamatan Tasikmadu Kabupaten Karanganyar Propinsi Jawa Tengah"/>
        <s v="Jl. Adi Sucipto 169, Karangasem , Laweyan"/>
        <s v="JL. LETJEN. SUPRAPTO NO 62 SIDOMULYO, UNGARAN TIMUR"/>
        <s v="Jl. dr. Angka No. 40 Purwokerto"/>
        <s v="Jl. Jeruk No.4 A , Sanden, Kota Magelang"/>
        <s v="Jl. Kudus Jepara KM 4 Kudus, Desa/Kel. Garung Lor, Kec. Kaliwungu"/>
        <s v="JL. KHA Dahlan No. 24 Muntilan"/>
        <s v="Jl. Pahlawan No.16 Rembang"/>
        <s v="Jl. P. Sudirman No. 9 Margorejo Pati"/>
        <s v="Jl. Sipelem No.4, Kemandungan, Tegal"/>
        <s v="Jl. Brigjjend Katamso, Klampisan, Selogiri Wonogiri 57652"/>
        <s v="Jl. Sungai Serang 1 RT 03 Rw 03 Kelurahan Mojo Kecamatan Pasar Kliwon"/>
        <s v="Jl. Yos Sudarso 461 Gombong Kebumen"/>
        <s v="Jl. Brigjen Slamet Riyadi No. 366 Surakarta 57141"/>
        <s v="Jl. Kartini No.101, Ambarawa"/>
        <s v="Jl. Yos sudarso No 38  (Komplek Islamic Centre) Kelurahan Pasar Batang Kecamatan Brebes Kabupaten Brebes"/>
        <s v="Jl. Kolonel Sugiri, RT 002 RW 004, Desa/Kelurahan Gandasuli, Kec.Bobotsari, Kab. Purbalingga, Provinsi Jawa Tengah Kode Pos 53353"/>
        <s v="Jl. Simo - Bangak KM. 01, Kebayanan 3, Pelem, Kec. Simo, Kabupaten Boyolali, Jawa Tengah"/>
        <s v="Jl. Brigjen Katamso No. 8, Kelurahan Karangturi, Kecamatan Semarang Timur, Kota Semarang, Provinsi Jawa Tengah, Kode Pos 50124"/>
        <s v="Jl. Dr. Soetomo Gamer Pekalongan"/>
        <s v="Jl. Gatot Subroto No.41,Pemalang"/>
        <s v="Jl. Pegadaian No. 12 Mayong Jepara"/>
        <s v="Jl. Raya Juwana - Tayu Km. 7 Guyangan Trangkil Pati Jawa Tengah"/>
        <s v="Jl. Ir. H. Juanda No. 20, Kab. Cilacap"/>
        <s v="Jl. P. Diponegoro No. 125, Pesantunan Kec. Wanasari Kab. Brebes - Jawa tengah"/>
        <s v="Jl. D I Panjaitan No 40 A Purbalingga Jawa Tengah"/>
        <s v="Jl. Raya Kaibahan Kesesi, Desa Kesesi, Kecamatan Kesesi Kab. Pekalongan, Provinsi JawaTengah, Indonesia. 51162"/>
        <s v="Jl. RE Martadinata No. 9, Arteri Utara, Kel. Tawangsari, Kec. Semarang Barat"/>
        <s v="Jl. Letjen R Soeprapto No.12 Gubug"/>
        <s v="Jl. H.O.S. Cokroaminoto No. 248, Mlatinorowito Kec. Kota Kudus Kab. Kudus Jawa Tengah 59319"/>
        <s v="Jl. Slamet Riyadi No. 321 Pemalang"/>
        <s v="Jl. Pemuda No 12 Kutowinangun"/>
        <s v="Jl. W.R. Supratman No. 183 Cangkrep Lor, Purworejo"/>
        <s v="Jl. Tentara Pelajar Purbalingga No. 22"/>
        <s v="Jl. Kapt. Mulyadi No.249"/>
        <s v="Jl. Brigjen Katamso No. 144A Purworejo 54115"/>
        <s v="Jl. Jend. Sudirman No.64, Kudus"/>
        <s v="Jl. Letjen S. Parman Km.3 Wonosobo"/>
        <s v="Jl. Citarum No 98 Semarang"/>
        <s v="Jl. Raya Waduk Cengklik No. 11, Desa/Kel. Ngargorejo, Kec. Ngemplak"/>
        <s v="Jl. Soekarno Hatta 104 Kota Salatiga"/>
        <s v="Jl. Dr Sutomo No. 42 Batang  Kelurahan Kauman Kecamatan Batang Kabupaten Batang Provinsi Jawa Tengah 51215"/>
        <s v="Jl. Raya Boyolali Solo KM. 02 Mojosongo Boyolali"/>
        <s v="Jl. Siwalan No.37 RT.002 RW.014  Kel. Kerten, Kec. Laweyan, Kab. Kota Surakarta, Jawa Tengah 57143"/>
        <s v="Jl. Raya Pamotan - Lasem Km. 2,5 Pamotan,  Rembang"/>
        <s v="Komplek Perumahan Solo Baru Kec.Grogol Sukoharjo"/>
        <s v="Jl. AIP. KS Tubun No.2 Kelurahan Kejambon Kecamatan Tegal Timur Kota Tegal"/>
        <s v="Jl. Pahlawan, Sucen Juru Tengah, Bayan Purworejo,"/>
        <s v="Jl. Raya Banjarnegara Banyumas KM. 18 Danaraja Purwanegara Banjarnegara"/>
        <s v="Jl. Rokan No. 8 Sragen"/>
        <s v="Jl. Siliwangi No. 143"/>
        <s v="Jl. Raya Pekajangan No. 610"/>
        <s v="Jl. Supriyadi No. 22 Purwokerto"/>
        <s v="Jl. Brigjend Katamso 55,Surakarta"/>
        <s v="jl. kelapa gading raya no. 52 semarang"/>
        <s v="Jalan Ir. Soekarno Km 2 Buntalan Klaten Tengah"/>
        <s v="Jl. Raya Pati-Tayu KM.18Waturoyo Margoyoso Pati"/>
        <s v="Jl. Moch Ichsan No.93 - 97, Ngaliyan Semarang"/>
        <s v="Jl. Raya Bandungrejo Km 11,5, Mranggen Demak"/>
        <s v="Jl.  Ahmad Yani No. 57 Gubug Kec. Gubug"/>
        <s v="Jl. Beringin Raya Perum. Tanjung Elok,  Purwokerto Selatan"/>
        <s v="Jl. Kedungmundu Raya No. 214 Kedungmundu Tembalang"/>
        <s v="Jl. Yos Sudarso Barat No. 1, Desa/Kelurahan Purbowangi, Kec. Buayan, Kab. Kebumen, Provinsi Jawa Tengah, Kode Pos: 54474"/>
        <s v="Jl. Dr. Soetomo No.16,Semarang"/>
        <s v="Jl.RM.Said No.08, Brumbung, Kaliancar, Selogiri,Wonogiri"/>
        <s v="Jl. Naryo Atmajan 27 Ambarawa"/>
        <s v="Jalan Ki Pandanaran Km. 2, Klaten"/>
        <s v="Jl. Bina Remaja Srondol No.61,Semarang"/>
        <s v="Candibaru RT 39 RW 11 Plumbungan Karangmalang Sragen"/>
        <s v="Jl. Raya Moga-Pulosari KM.2 Pemalang"/>
        <s v="Jl. Prof.Moh. Yamin No.77 Slawi"/>
        <s v="Jl.Pelita II Kel. Buaran Kec. Pekalongan Selatan Pekalongan"/>
        <s v="Jl. Jend. Achmad Yani No. 38, Sidakaya, Cilacap Selatan"/>
        <s v="Jl. KH. Ahmad Dahlan Dusun III Dukuhwaluh Kembaran Banyumas 53182"/>
        <s v="Jl. Raya Boja Limbangan, Desa/Kel. Salamsari, Kec. Boja"/>
        <s v="Jl. Gatot Subroto 31 A Cilacap"/>
        <s v="Jl. Urip Soemoharjo No 48 Kelurahan Wates Kec. Magelang Utara"/>
        <s v="Jln. Raya Solo-Purwodadi Km.20, Gemolong"/>
        <s v="Jl. Dr Sutomo No. 42, Blora"/>
        <s v="Jl Raya Kebokura No.37 Kec Sumpiuh Kab Banyumas"/>
        <s v="Jl. Mayjend Soetoyo no 113, Kel. Sindurjan, Kec. Purworejo, Kab. Purworejo, Prop. Jawa Tengah"/>
        <s v="Jl. May.Jend.Soengkono KM.1,Kec. Kalimanah, Purbalingga dan JL. Soekarno Hatta No.02 Kec. Kalimanah"/>
        <s v="Jl. Monginsidi No.82,Surakarta"/>
        <s v="Jl. Soekarno Hatta KM 2 Kelurahan Karang Manyar Kecamatan Kalimanah Kabupaten Purbalingga"/>
        <s v="Jl. Perintis Kemerdekaan No. 1 Beji (Gandulan) Taman"/>
        <s v="Jl. Gajahmada No. 11 Turibang Cepu"/>
        <s v="Jl. Puri Anjasmoro No. G1 / 28, Tawangsari, Kec. Semarang Barat, Kota Semarang"/>
        <s v="Jl. Raya Jepara – Kelet KM.37 Kode Pos  59454 Telepon (0291) 579002 Faksimile (0291) 578161 Laman www.rsrehatta.jatengprov.go.id Surat Elektronik rsrehatta@jatengprov.go.id"/>
        <s v="Jl. Pagergunung KM. 1 Kec. Grabag Kab. Magelang"/>
        <s v="Jl. Kantil No. 14 Pulisen, Boyolali, Jawa Tengah"/>
        <s v="Jl. WALISONGO KM 8,5 NO 137  Semarang"/>
        <s v="Jl. Soekarno Hatta Km 29 Bergas, Ungaran-Kab. Semarang"/>
        <s v="Jl. Raya Magelang-Yogyakarta KM 05 Mungkidan Danurejo Mertoyudan"/>
        <s v="Jl. Raya Guntur KM 4, Pulosari"/>
        <s v="Jl. Raya Karangsari Karanganyar Kab. Pekalongan"/>
        <s v="Jl.  Raya Pedan - Juwiring Km. 1 Kedungan, Pedan, Klaten"/>
        <s v="Jl. Lama Bulak, RT.02, RW.04 Desa Nambangan Selogiri, Wonogiri"/>
        <s v="Jl. Raya Pagongan, Pepedan, Kecamatan Dukuhturi, Kabupaten Tegal"/>
        <s v="Jl. Jatiwinangun No.54, Purwokerto"/>
        <s v="JL. PERINTIS KEMERDEKAAN NO. 30"/>
        <s v="Jl. Raya Batas Kota Klaten Prambanan KM 46, Sanggrahan Prambanan 57454"/>
        <s v="Jl. Veteran No.35, Sragen, Jawa Tengah"/>
        <s v="Jl. Prof. Moeljono S. Trastotenojo, Tembalang, Kec. Tembalang"/>
        <s v="Jl. Pemuda No. 30 Kelurahan Kober, Kecamatan Purwokerto Barat, Banyumas"/>
        <s v="Jl. Dr. Setiabudi No. 106 Surakarta"/>
        <s v="JL. Raya Solo - Sragen KM. 11, Kecamatan Kebakkramat, Kabupaten Karanganyar, Propinsi Jawa Tengah"/>
        <s v="Jln. Pondok Pabelan No. 5 , Desa Pabelan, Kecamatan Mungkid, Kabupaten Magelang Provinsi Jawa Tengah"/>
        <s v="jl. Durian No 28 Sanggrahan, Desa/Kelurahan Giripurwo, Kec. Wonogiri, Kab. Wonogiri, Provinsi Jawa Tengah"/>
        <s v="Jl. Sultan Hadiwijaya No. 18 Mangunjiwan"/>
        <s v="Tegalarum No. 200 RT. 22 RW. 01, Kateguhan, Sawit, Boyolali, Jawa Tengah 57374"/>
        <s v="Jl. Rumah Sakit No.1 Kayen Pati"/>
        <s v="Jl. Jend. Sudirman No.60 Purworejo"/>
        <s v="Jl. LetJen. S. Parman No. 5, Semarang"/>
        <s v="Jl. Pahlawan Parakan,Temanggung, Jawa Tengah"/>
        <s v="Jl. Slamet Riyadi No. 53 Prembun Kebumen"/>
        <s v="Jl. Karangjati RT. 001 RW. 001 Desa/Kel. Karangjati Kec. Tarub"/>
        <s v="Jl. Raya Klaten Solo KM 4,Klaten"/>
        <s v="Jl. Bugangan Raya No.3 - 5,Semarang"/>
        <s v="Jl. Perintis Kemerdekaan no.3"/>
        <s v="Jl. Bhayangkara No. 69 Kecamatan Majenang"/>
        <s v="Jl. Adi Sumarmo, RT. 02/RW. 06, Gawanan, Colomadu, Karanganyar"/>
        <s v="Jl. Raya Singkil Km.0,5 Adiwerna, - Tegal Desa Adiwerna, Kec. Adiwerna, Kab. Tegal, Provinsi Jawa Tengah"/>
        <s v="Jl. Gajah Mada KM. 4 (Jl. Purworejo-Kutoarjo) Candisari, Banyuurip, Purworejo"/>
        <s v="Jl. Rumah Sakit No.1 Banyumas"/>
        <s v="Jl. Sutopo No.5,Magelang"/>
        <s v="Jl. Perintis Kemerdekaan No. 57 Banyumanik"/>
        <s v="Jl. Reksodiputro No. 57, Blora"/>
        <s v="Jl. Puring Km.8, Kalipurwo Kuwarasan Kebumen"/>
        <s v="BENDUNGAN, PILANGSARI, NGRAMPAL, SRAGEN"/>
        <s v="Jl. Ahmad Yani RT. 05 RW. 01 Kel. Procot Kec. Slawi"/>
        <s v="Jl. Raya Banyumas - Banjarnegara No.12 Dusun Sidodadi, Desa/ Kelurahan Purwareja, Kecamatan Purwareja Klampok, Kabupaten Banjarnegara , Provinsi Jawa Tengah 53474"/>
        <s v="Jl. Osamaliki No.19, Salatiga"/>
        <s v="Jl. Pangeran Diponegoro No. 609 Jatisawit, Kec. Bumiayu Kab. Brebes"/>
        <s v="Jl Magelang Kopeng Km. 8 Dusun Nuren Desa Purwosari Kec. Tegalrejo"/>
        <s v="Jl. Pemuda 17 Lingkar Utara Menduran Kec. Brati"/>
        <s v="Jl. MH. Thamrin No. 14 Kelurahan Panggang, Kec.Jepara Kab.Jepara Provinsi Jawa Tengah"/>
        <s v="Jl. R Ngt Tjitrosantjoko 10 Gemolong Gemolong Sragen"/>
        <s v="Jl.Prof.DR.Soeharso No.6 Tegal Rejo,Boyolali"/>
        <s v="Jl. Sultan Agung No. 131 Candi Baru Komplek AKPOL"/>
        <s v="Jl. Raya Jatibarang Timur, Jatibarang Lor , Kec. Jatibarang, Kab Brebes, Jawa Tengah"/>
        <s v="Jl. Ngerjopuro RT.02/RW.03,Slogohimo Wonogiri"/>
        <s v="Jl. Sultan Agung 32,Tegal"/>
        <s v="Jl. Teratai No. 15 Pulisen Boyolali"/>
        <s v="Jl. Jenderal Sudirman No. 1 Sidamulya Kecamatan Sidareja"/>
        <s v="Jl. Soekarno Hatta, Boro Kulon, Kec. Banyuurip"/>
        <s v="Jl. D.I Panjaitan 36,Purwodadi - Grobogan 58111"/>
        <s v="Jl. Raya Pancasan No.1,Ajibarang Banyumas"/>
        <s v="Jl. Jenderal Ahmad Yani Pabelan, Surakarta 57162"/>
        <s v="Jl. Raya Pantura Cenderawasih kecamatan Tanjung kabupaten Brebes"/>
        <s v="Jl. Pamularsih Raya No. 112 Gisikdrono Kec. Semarang Barat"/>
        <s v="Jl. AKBP R Agil  Kusumadya 110,Kudus"/>
        <s v="Jl. Raya Buntu-Gombong KM 1 RT.03 RW.03 Pageralang Kecamatan Kemranjen-Banyumas."/>
        <s v="Jl. Letnan Sudani Karangsentul Kecamatan Padamara Kabupaten Purbalingga"/>
        <s v="Jl. Adi Sucipto No 118 Jajar Laweyan"/>
        <s v="Jl. Marditomo No.17, Kutoarjo, Kab.Purworejo"/>
        <s v="Jl. Dr. Sutomo No.17. Semarang"/>
        <s v="Jl. Jendral Sudirman 16A Kota Pekalongan"/>
        <s v="JL. RAYA KEDU KM 2 KALISAT CAMPURSARI BULU TEMANGGUNG"/>
        <s v="Jl. Raya Solo - Tawangmangu KM 10,3 Jati, Jaten, Karanganyar, Jawa Tengah"/>
        <s v="Jl. Jatayu RT. 03 RW. 02 Taman Agung, Nglorog"/>
        <s v="Jl. Diponegoro No. 21 Klaten"/>
        <s v="Jl. Barito No. 5 Pekalongan"/>
        <s v="Jl. Pasar Wage, Desa Kalierang Kecamatan  Bumiayu,  Kabupaten Brebes"/>
        <s v="Jl. Dr. Soeparno Kelurahan Grendeng Kecamatan Purwokerto Utara Kabupaten Banyumas Provinsi Jawa Tengah Kode Pos 53122"/>
        <s v="Jl. Profesor DR. Soeharso No.28, Jajar, Kec. Laweyan"/>
        <s v="Boro RT. 01 / RW.01, Banjarasri, Kalibawang, Kulon Progo"/>
        <s v="Jl Wates-Purworejo Km.10, Kalidengen, Temon, KP"/>
        <s v="Jl. Kabupaten (Lingkar Utara), Kronggahan, Trihanggo, Gamping, Sleman, D.I. Yogyakarta"/>
        <s v="Jl Nyi Tjondroloekito No. 60, Sinduadi, Mlati, Sleman"/>
        <s v="Klaci 1 Margoluwih Seyegan Sleman"/>
        <s v="Jl Raya Semanu Km.3 Sambirejo Semanu Gunungkidul DIY 55893"/>
        <s v="Jl. Karangmojo-Wonosari Km.2,3 Selang III Selang Wonosari Gunung Kidul"/>
        <s v="Jl Raya Ngemplak Kemasan Widodomartani"/>
        <s v="JL Bhayangkara No 48 Triharjo Sleman"/>
        <s v="Jl Mataram RT 05 RW 50, Gondangan, Ringinsari, Maguwoharjo, Depok, Kab. Sleman, Yogyakarta"/>
        <s v="Jl Cik Di Tiro No. 5 Yogyakarta"/>
        <s v="Jl. Palagan Tentara Pelajar No.67 Km.11 Rejodani Ngaglik Sleman"/>
        <s v="Jl. Raya Brosot Bangeran Bumirejo Lendah Kulon Progo Daerah Istimewa Yogyakarta"/>
        <s v="Jl. KH. Wachid Hasyim No. 47 Notoprajan Ngampilan Yogyakarta 55262"/>
        <s v="Jl Dr. Wahidin Sudiro Husodo Bantul"/>
        <s v="Jl Veteran No.184 Pandeyan Umbulharjo Yogyakarta"/>
        <s v="Jalan Lingkar Utara Kemorosari II, Piyaman Wonosari Gunungkidul DIY"/>
        <s v="Jl Ring Road Utara no. 160 Condongcatur Depok"/>
        <s v="Jl. Wates KM 5,5 Gamping Sleman"/>
        <s v="Klepu Sendangmulyo Minggir"/>
        <s v="Jl. Paker-Dawetan Selo Sidomulyo Bambanglipuro Bantul"/>
        <s v="Jl Wiratama 4 Tegalrejo, Yogyakarta"/>
        <s v="Jl. H.O.S Cokroaminoto No. 17 B Pakuncen, Wirobrajan, Kota Yogyakarta, Daerah Istimewa Yogyakarta"/>
        <s v="Jl. Pramuka RT 004/RW 001 Ngipak Karangmojo Gunungkidul"/>
        <s v="Jl Cindelaras Raya - Karangsari, Wedomartani, Ngemplak"/>
        <s v="Jl Jenderal Sudirman 124 Bantul"/>
        <s v="Jl K.H. Ahmad Dahlan No. 20 Ngupasan Gondomanan Yogyakarta"/>
        <s v="Jl. Khudori No.34, Wates, Kulon Progo"/>
        <s v="Jl Raya Besi Jangkang No. 10, Sardonoharjo, Ngaglik"/>
        <s v="Jl. HOS Cokroaminoto 17, Wirobrajan, Kota Yogyakarta"/>
        <s v="Jl Solo Km 12,5 Krajan Tirtomartani Kalasan Sleman Yogyakarta"/>
        <s v="Jl Hayam Wuruk No.6 Yogyakarta"/>
        <s v="Jl Sentolo - Muntilan KM 0,3 Banguncipto, Sentolo, Kab. Kulon Progo, Prop. DIY"/>
        <s v="Jl Kemasan No. 43 Purbayan Kotagede Yogyakarta"/>
        <s v="Jl Imogiri Timur Km. 11,5 Trimulyo Jetis Bantul"/>
        <s v="Jl Jend. Sudirman No. 70 Kotabaru Yogyakarta"/>
        <s v="Jl Pleret Km.2,5, Banjardadap Potorono Banguntapan Bantul"/>
        <s v="Jl. Wates KM 9 Balecatur, Gamping"/>
        <s v="Jl. Lili Kembang Nomor 17 Maguwoharjo Depok"/>
        <s v="Ngemplak, Kembang, Nanggulan, Kulon Progo, Yogyakarta"/>
        <s v="Jl Solo Km 12,5 Kalasan Sleman Yogyakarta"/>
        <s v="Jl Ipda Tut Harsono No.53 Timoho Yogyakarta"/>
        <s v="Jl Tentara Pelajar Km.1 No.5 Wates Kulon Progo"/>
        <s v="Jl Wonosari - Yogya Km. 7, Bandung, Playen, Gunungkidul"/>
        <s v="Jl Jayaningprangan No. 13 Gunungketur Pakualaman Yogyakarta"/>
        <s v="Jl Manggis No.6, Gempol, Condong Catur, Depok, Sleman"/>
        <s v="jl. Parangtritis KM 4.5 gang Wijayakusuma No 212 Yogyakarta"/>
        <s v="Jl Wonosari-Ponjong Km 7 Kelor Karangmojo Gunungkidul"/>
        <s v="Jl. Srandakan KM 5,5 Wijirejo Pandak Bantul"/>
        <s v="Jl raya Brosot - Wates Km.5 Jogahan Bumirejo Lendah Kulon Progo"/>
        <s v="Jl Kesehatan No.1 Sekip Yogyakarta"/>
        <s v="Jl Kol. Sugiyono No.98 RT 069 RW 019 Brontokusuman, Mergangsan, Yogyakarta"/>
        <s v="Jl. Magelang KM 10,5 Pandowoharjo, Kec. Sleman"/>
        <s v="Babarsari TB 16/13-B Caturtunggal Depok Sleman"/>
        <s v="Jl. Kaliurang Km. 17 Pakem Sleman DIY"/>
        <s v="Jl Tinosidin No 390 Cebongan Ngestiharjo Kasihan Bantul"/>
        <s v="Jl. Karangmojo - Wonosari km 2, Selang III, Selang, Kec. Wonosari, Kabupaten Gunungkidul, Daerah Istimewa Yogyakarta 55891"/>
        <s v="Jl Panembahan Senopati No 4, Palbapang, Bantul, Yogyakarta"/>
        <s v="Jl Wirosaban No. 1 Yogyakarta"/>
        <s v="Jl Prambanan Piyungan Km.7, Delegan, Sumberharjo, Prambanan, Sleman"/>
        <s v="Ganjuran Sumbermulyo Bambanglipuro"/>
        <s v="Jl. Juadi No.19, Kotabaru, Kec. Gondokusuman, Kota Yogyakarta, Daerah Istimewa Yogyakarta 55224"/>
        <s v="JL Monumen TNI AU No 1 Tamanan Banguntapan Bantul"/>
        <s v="Jl Jogya - Solo KM. 14 Glondong Tirtomartani Kalasan Sleman Yogyakarta"/>
        <s v="Jl. Colombo No. 14-16 Sleman Yogyakarta"/>
        <s v="Jl. Ngeksigondo No. 56 Yogyakarta"/>
        <s v="Jl Pemuda Ds Gandekan Bantul"/>
        <s v="Jl. Cik Di Tiro 30 Yogyakarta"/>
        <s v="Jl Parangtritis Km.16 Gerselo Patalan Jetis Bantul"/>
        <s v="Karang Jetis Saptosari Gunungkidul"/>
        <s v="Glugo Panggungharjo Sewon Bantul Yogyakarta"/>
        <s v="Jl. Kaliurang  Km.17 Pakem,Sleman"/>
        <s v="Jl. Sekip Utara Yogyakarta"/>
        <s v="Jl Raya Pleret KM 4, Kauman, Pleret, Bantul, Daerah Istimewa Yogyakarta"/>
        <s v="Jl Taman Bhakti No. 06 Wonosari"/>
        <s v="Jl. Laksda Adisucipto Nomor 32 34 Yogyakarta 55221"/>
        <s v="Jl Raya Yogya Wates KM. 21 Sukoreno, Sentolo, Kabupaten Kulon Progo , Provinsi D. I Yogyakarta 55664"/>
        <s v="Jl. Raya Janti Blok O Banguntapan Bantul Yogyakarta"/>
        <s v="Jl Siliwangi (RingRoad Barat) No 118, Mlangi, Nogotirto, Gamping, Sleman, Yogyakarta"/>
        <s v="Jl. Raya Tajem - Pasar Stan RT 04 RW 44 Maguwoharjo, Depok, Sleman, DI. Yogyakarta"/>
        <s v="Jl. Pemuda Kaffa No. 9 Bangkalan"/>
        <s v="Jl. Abdul Rahman Saleh 56, Kauman, Kabupaten Nganjuk"/>
        <s v="Jl. Yos Sudarso 8 Ngawi"/>
        <s v="Jl. Kabupaten No. 68 Pamekasan"/>
        <s v="Jl. Letkol Istiqlah No. 49 Banyuwangi"/>
        <s v="Jl. Dupak No. 15A Surabaya, kelurahan gundih, kecamatan bubutan kota surabaya provinsi jawa timur"/>
        <s v="Jl. Raya Pulosari No. 15 Ngunut Tulungagung"/>
        <s v="Jl. Raya Dringu No 118 Desa Kedungdalem Kec. Dringu, Kab. Probolinggo"/>
        <s v="Jl. KH. Ahmad Dahlan No. 14 Babat, Lamongan"/>
        <s v="Jl. Suparyono Timur No. 1, Bajang Talun Blitar"/>
        <s v="Perum Banjararum Selatan No.3-7, RT 003 RW 012 Desa Banjararum Kec. Singosari, Kab. Malang"/>
        <s v="Jl. Pelita III Ds. Mriyunan Kec. Sidayu"/>
        <s v="Jl. Raya Babat-Lamongan KM 4, Desa/Kel. Gembong, Kec. Babat"/>
        <s v="Jl. Pahlawan No. 09 Sidoarjo"/>
        <s v="Jl. Dr. Ir. Soekarno No. 2, Kalijudan, Mulyorejo, Surabaya, Jawa Timur, Indonesia"/>
        <s v="Jl. Raya Surabaya Malang KM 50 Desa Suwayuwo Kecamatan Sukorejo"/>
        <s v="Jl. Ahmad Yani No. 90 Magetan"/>
        <s v="Jl. Ahmad Yani 51 Pacitan"/>
        <s v="Jl. Raya Tongas No. 229 Kec. Tongas Kab. Probolinggo"/>
        <s v="Jl. Lontar No. 206 (lama Jl. Raya Lontar No. 109) Surabaya"/>
        <s v="Jl. Raya Saimbang No. 277 RT. 10 RW. 03 Desa Kebonagung Kecamatan Sukodono"/>
        <s v="Jl. Teratai No. 22 , Kelurahan Gebang, Kecamatan Patrang, Kabupaten Jember , Provinsi Jawa Timur"/>
        <s v="Jl. Soekarno Hatta, Kutoanyar"/>
        <s v="Jl. Galuh Candra Kirana Desa Tugurejo Kecamatan Ngasem Kabupaten Kediri"/>
        <s v="Jl. Veteran No 36, Bojonegoro"/>
        <s v="Jl. Raya Sidoarjo 14, Kebonagung, Sukodono"/>
        <s v="Jl. Raya Ngawi - Mantingan, Desa Jatimulyo, Kec. Mantingan"/>
        <s v="Jl. Pahlawan No. 25A Pare Kediri"/>
        <s v="Jl. Campursari No.12B Madiun"/>
        <s v="Jl. Gajah Mada No.1 Kec. Mojosari, Kab. Mojokerto"/>
        <s v="Jl. Mandilaras No. 88-90, Kec. Pamekasan, Kab. Pamekasan, Provinsi Jawa Timur"/>
        <s v="Jl. Raya-Jombang Km. 2 Kelurahan Babat, Kecamatan Babat, Kabupaten Lamongan, Provinsi Jawa Timur"/>
        <s v="Jl. Bedadung No.2"/>
        <s v="Jl. Kapasari No. 97-101 Surabaya"/>
        <s v="JL. KH MAS MANSYUR 180-182, KELURAHAN NYAMPLUNGAN, KECAMATAN PABEAN CANTIAN, KOTA SURABAYA, PROVINSI JAWA TIMUR"/>
        <s v="Jl. Kenanga No. 300 Bulukerto Kecamatan Bumiaji Kota Batu"/>
        <s v="Jl. Syamsul Arifin 87 Sampang"/>
        <s v="Jl. Raya Pasuruan-Probolinggo KM 5 Desa Sambirejo Kec. Rejoso"/>
        <s v="Jl. Brigjen Pol IBH Pranoto No. 1-7 Kota Kediri"/>
        <s v="JL BALOWERTI GG II NO.59 KELURAHAN BALOWERTI KECAMATAN KOTA - KOTA KEDIRI JAWA TIMUR-64121"/>
        <s v="JL. Rungkut Industri I/1 Surabaya"/>
        <s v="Jl. Panjang Jiwo Permai No. 89, Kecamatan Tenggilis Mejoyo"/>
        <s v="Jl. Pahlawan Trip A10 Malang"/>
        <s v="Jl. Dr. Soetomo No. 1 Kec. Kraksaan Kab. Probolinggo"/>
        <s v="Jl. Medokan Semampir Indah No. 97 Surabaya"/>
        <s v="Jl. Raya Balongpanggang - Mojokerto Km 4 Kec. Balongpanggang"/>
        <s v="JL. Tegalsari No.59 Surabaya"/>
        <s v="Jl. Raya Surabaya Malang KM 54 Lemahbang Kecamatan Sukorejo"/>
        <s v="Jl. Hayam Wuruk 66, Gondang Legi Wetan, Kab. Malang"/>
        <s v="Jl. Sajid No 44 Pesanggrahan"/>
        <s v="Jl. Bonorogo No. 3 Pamekasan"/>
        <s v="Jl. Brigjen Kretarto 22 A Jombang"/>
        <s v="Jl. Urip Sumoharjo 189, Kelurahan Ngronggo Kecamatan Kota - Kota Kediri Provinsi Jawa Timur Kode Pos 64129"/>
        <s v="Jl. KH. R. Abdul Fatah Batangsaren Kec. Kauman Kab. Tulungagung"/>
        <s v="Jl. Biliton No. 15  Kel.Madiun Lor, Kec.Mangunharjo, Kota Madiun"/>
        <s v="Jl. Jeruk 117 Wage,Taman Sidoarjo"/>
        <s v="Jl. Raya Kota Timur No. 26B, Besuki, Situbondo, Situbondo, Jawa Timur 68356"/>
        <s v="Jl. Merpati No.62, Lamongan"/>
        <s v="Jl. Simpang Sulfat Utara No. 60 A Malang"/>
        <s v="Jl. Airlangga, No. 50 C Jelakombo  Kecamatan Jombang Kabupaten Jombang Provinsi Jawa Timur"/>
        <s v="Jl. Sawo No. 2 Dungus Sukodono"/>
        <s v="Jl. Raya Kediri Nomor 48, Ds. Darungan, Kec Pare Kab Kediri"/>
        <s v="Jl. Pekulo-Sukomukti No.09, Kebaman, Srono, Banyuwangi  Jawa Timur"/>
        <s v="Jl. Imam Bonjol, Lajo Lor, Kecamatan Singgahan, Kabupaten Tuban, Jawa Timur"/>
        <s v="Perum Pondok Jati Blok AK No 11-13, Pagerwojo, Buduran, Sidoarjo - Jawa Timur"/>
        <s v="Jl. Raya Panglegur No.4, Pamekasan"/>
        <s v="Jln. Panglima Sudirman 99a Kepanjen Malang"/>
        <s v="Jl. Raya Kemantren Wetan No.49, Desa Terusan, Kecamatan Gedeg, Kab. Mojokerto"/>
        <s v="Jl. Raya Ngawi-Solo, Km. 04,  Krajan Selatan, Watualang, Kec. Ngawi, Kab. Ngawi, Jawa Timur"/>
        <s v="Jl. Raya Tambakboyo No. 02, Desa. Tambakrigadung, Kecamatan Tikung"/>
        <s v="Jl. Hasanudin No.98, Genteng, Banyuwangi - Jawa Timur"/>
        <s v="Jl. KHM.Mansyur No. 210 - 214 dan 191 Surabaya"/>
        <s v="Jalan P. Diponegoro Nomor 20 Rogojampi, Kab. Banyuwangi"/>
        <s v="Jl. Yos Sudarso 108-112 Manguharjo, Kel. Madiun Lor, Kec. Manguharjo, Kota Madiun"/>
        <s v="Jl. Raya Ngawi-Madiun KM 09 Kelurahan Tambakromo, Kec. Geneng, Kab. Ngawi"/>
        <s v="Jl. Soedanco Supriyadi No. 22 Kota Malang"/>
        <s v="JL. Dr. Soetomo 322 Sukorejo Kec. Gurah Kab. Kediri"/>
        <s v="Jl Hasyim Ashari No 211 Jombang"/>
        <s v="Jl. Diponegoro No. 4 Desa Sumoroto Kec. Kauman Kab. Ponorogo"/>
        <s v="Jl. Samanhudi No.85 A Sidoarjo"/>
        <s v="Jl. Dr Sutomo 18 - 24, Ponorogo"/>
        <s v="Jl. Raya Surodinawan 170 Kel. Surodinawan, Kec. Prajurit Kulon, Kota Mojokerto"/>
        <s v="Jl. Arief Rahman Hakim No. 130 Surabaya"/>
        <s v="jl.Sunandar priyo sudarmo 154 sidoarjo"/>
        <s v="Jl. Raya Utara Pasar Blawi, Blawi, Karangbinangun"/>
        <s v="Jl. Raya Jatikerto No. 305 Kecamatan Kromengan Kabupaten Malang"/>
        <s v="Jl. Raya Timur No. 131 Jatirogo Tuban"/>
        <s v="Jl. Raya Sumberrejo 1193 Bojonegoro"/>
        <s v="Jl. Soekarno Hatta No. 75 Malang"/>
        <s v="Jl. A. Yani, Lawang, Malang, Jawa Timur"/>
        <s v="Jl. Gadung No. 1 Surabaya"/>
        <s v="Jl. Empunala No.351, Kel. Kedundung, Kec. Magersari, Kota Mojokerto"/>
        <s v="Jl. Nusa Indah No. 28 Jember"/>
        <s v="Jl. Kesatrian No.17 Surabaya"/>
        <s v="Jln dr Moh. Saleh No. 43 Kota Probolinggo"/>
        <s v="JL Kundi No 70 Kepuh Kiriman Waru Sidoarjo"/>
        <s v="JL Lettu Suyitno No 2 Desa Campurejo Kecamatan Bojonegoro Kabupaten Bojonegoro"/>
        <s v="Jl. KH. Wachid Hasyim No. 65"/>
        <s v="Jl. RE Martadinata No. 10 Mlajah Bangkalan"/>
        <s v="Dusun Kalikapas Rt.001 Rw.002 kelurahan Sidomukti Kecamatan Lamongan Kabupaten Lamongan  Provinsi Jawa Timur"/>
        <s v="Jl. Jaksa Agung Suprapto No. 5 Kediri"/>
        <s v="Jl. Airlangga 137 Kecamatan Mojosari Kab. Mojokerto"/>
        <s v="Jl. KH. Moh. Toha No. 1A Bangkalan"/>
        <s v="Jl. A. Yani No. 6 Bangil- Kab. Pasuruan"/>
        <s v="Jl. Prof Dr. Moestopo 47 Surabaya"/>
        <s v="Jl. Boulevard Famili Selatan kav. 1, Surabaya"/>
        <s v="JL. RAYA TOGOGAN, Desa/Kelurahan Togogan, Kec. Srengat, Kab. Blitar, Provinsi Jawa Timur, Kode Pos: 66152"/>
        <s v="Jl. Alun-alun Rangkah no. 1-3 kelurahan. Rangkah kecamatan. Tambaksari Kota Surabaya"/>
        <s v="Jl. MT. Haryono No. 139 Malang Kel. Dinoyo Kec. Lowokwaru"/>
        <s v="JL. R.A. Kartini No. 5 Lawang Kab. Malang"/>
        <s v="Jl. Letda Sucipto No. 211 Tuban"/>
        <s v="Jl.Dr Cipto no 38. Kolor Kab. Sumenep"/>
        <s v="JL. Mayor Sujadi No. 38 Jepun Tulungagung"/>
        <s v="Jl. Raya Ketapang Sampang No 7, Desa/Kelurahan Ketapang Barat, Kec. Ketapang, Kab. Sampang, Provinsi Jawa Timur, Kode Pos: 69261"/>
        <s v="Jl. Panglima Sudirman No.16 Kertosono."/>
        <s v="Jl. Taman Slamet No.20, Malang"/>
        <s v="Jln. Raya Deandles No. 21 Kelurahan Desa Sekapuk  RT 01 RW 01 Kecamatan Ujungpangkah  Kabupaten Gresik Propinsi Jawa Timur 61154"/>
        <s v="Jl. Pahlawan Kusuma Bangsa No. 1 Pare"/>
        <s v="Jl. Marsma TNI Anumerta R.Iswahjudi, Kelurahan Maospati, Kecamatan Maospati, Kab. Magetan"/>
        <s v="Jl. Raya Ngelom No.87 Taman, Sidoarjo"/>
        <s v="Raya Kalijaten 11-15 Taman Sidoarjo"/>
        <s v="Jl. KH. Moch Kholil no. 36A Bangkalan Kab Bangkalan Provinsi Jawa Timur Kode Pos 69115"/>
        <s v="JL. Ketintang Baru Selatan I No. 1 Surabaya"/>
        <s v="Jl. Dr. Wahidin Sudirohusodo No. 243B Gresik"/>
        <s v="Jl. Raya Ngadiluwih - Wates km. 10, Ds. Ngletih, Kec. Kandat, Kab, Kediri, Prov. Jawa Timur"/>
        <s v="Jl. Dr. Soetomo No.15 Jombang, Jawa Timur"/>
        <s v="Jl. Letjen Wahono No. 77-79 Juanda Sedati"/>
        <s v="Jl. Dr Cipto No. 42 Desa Kolor Kab. Sumenep"/>
        <s v="Jl. Gubernur Suryo No. 46-48 RT 07 RW 01, Desa Baron, Kecamatan Magetan, Kabupaten Magetan, Provinsi Jawa Timur"/>
        <s v="Jalan Pahlawan No.216 RT.03/RW.02, Dusun Ketanon, Ketanon, Kec. Kedungwaru, Kabupaten Tulungagung, Jawa Timur 66226"/>
        <s v="Jl. Raya No. 181, Plosowahyu, Kec. Lamongan, Kab. Lamongan"/>
        <s v="Jl. Letkol Istiqlah Nomor 80-84 Banyuwangi"/>
        <s v="Jl. Nginden Intan Barat B"/>
        <s v="Jl. Jend. A. Yani 155, Ponorogo"/>
        <s v="Jl. Indrapura No. 17 Kemayoran"/>
        <s v="Jl. Nusakambangan No.56 Kota Malang"/>
        <s v="JL. Jend. Pol. Sucipto Judodiharjo No. 12, Kec.  Bondowoso, Kab. Bondowoso"/>
        <s v="Jl Raya By Pass No. 06"/>
        <s v="Jl. Raya Pasirian No. 225A. Kec. Pasirian"/>
        <s v="Jl. Hayam Wuruk  No 25 Mojosari Kab Mojokerto"/>
        <s v="Jl. Kauman No.23, Malang"/>
        <s v="Jl. Brawijaya No. 46-47, Dsn. Krajan RT 01, RW 14, Ds Kedungrejo, Kec. Muncar, Kab. Banyuwangi, Jawa Timur"/>
        <s v="Jalan Diponegoro No. 50, Kelurahan Mangkujayan, Kecamatan Ponorogo, Kabupaten Ponorogo, Provinsi Jawa Timur, Kode Pos 63413"/>
        <s v="Jl. Mojopahit 422, Kel. Miji, Kec. Prajurit Kulon, Kota Mojokerto"/>
        <s v="Ds. Balesono, Kec. Ngunut Kab. Tulungagung"/>
        <s v="Jl. Dr. Soetomo No. 2 Padangan, Bojonegoro"/>
        <s v="Jl. Raya Babat-Jombang No.227 Sendangrejo Kec. Ngimbang Kab. Lamongan"/>
        <s v="Jl. Arya Wiraraja No. 99 Lingkar Timur Desa Kolor Kec. Kota"/>
        <s v="Jl. Ahmad Yani No.15, Kel.Karang Ketug, Kec. Gading Rejo,  Kota Pasuruan, Propinsi Jawa Timur, Indonesia, 67135"/>
        <s v="Jl. PB. Sudirman No 05 RT. 02 RW. 02, Kab. Situbondo"/>
        <s v="Jl. Panji No. 100 Kepanjen, Kab. Malang"/>
        <s v="Jl. Diponegoro 51 Surabaya"/>
        <s v="Jl. Kanigoro No. 13 Ngingas, Kecamatan Campurdarat, Kabupaten Tulungagung, Provinsi Jawa Timur"/>
        <s v="Jl. Bibis Bunder, Kelurahan Tambak Kemerakan, Kecamatan Krian, Kabupaten Sidoarjo, Provinsi Jawa Timur"/>
        <s v="Jl. Kalimantan No. 37 Jember, Kecamatan Sumbersari, Kabupaten Jember,  68121"/>
        <s v="Jl.Serayu No. 17 Surabaya"/>
        <s v="JL. Raya Kenongo. no 14. Kel. Kenongo, Kec. Tulangan, Kab. Sidoarjo, Provinsi Jawa Timur"/>
        <s v="JL. Bonorogo 17 Pamekasan Madura"/>
        <s v="Jl. Kusuma Bangsa No. 1 Kanigoro Blitar 66171"/>
        <s v="Jl. Kalimantan 113, Kota Blitar"/>
        <s v="Jl. W.R. Supratman No.1, RW.3, Rampal Celaket, Kec. Klojen, Kota Malang, Jawa Timur 65111"/>
        <s v="Jl. Mahakam No. 147-149 Kel. Tanjungsari Kec. Sukorejo"/>
        <s v="Jl. Mojopahit No. 667 Kelurahan Celep, Kecamatan Sidoarjo, Kabupaten Sidoarjo, Jawa Timur 61215"/>
        <s v="Jl. Raya Benowo No.5,Surabaya"/>
        <s v="Jl. Raya Dolopo No. 117, Dolopo, Madiun"/>
        <s v="Jl.Raya Surabaya Mojokerto KM.44 Kramat Temenggung Tarik Sidoarjo"/>
        <s v="Jalur Lintas Selatan,Suruhan Desa Sirnoboyo, Kecamatan Pacitan, Kabupaten Pacitan, Provinsi Jawa Timur"/>
        <s v="Jl. Raya Sukosari No.32, Sukosari, Kasembon, Kabupaten  Malang"/>
        <s v="Jl. Raya Peterongan Jogoroto Km.0.5, Jombang"/>
        <s v="Jl. Karang Tembok No. 39 Surabaya"/>
        <s v="Jl. Raya Kalijaten No. 40"/>
        <s v="Jl. KH. Agus Salim No. 35,Kel. Sisir, Kec. Batu, Kota Batu, Jawa Timur"/>
        <s v="JL. Prof Hamka KM 3.5 Kel. Kareng Lor Kec. Kedopok Kota Probolinggo"/>
        <s v="Jl. A. Yani KM 2 Caruban Madiun"/>
        <s v="Jl. dr. Wahidin No.101, RT 002 RW. 001, Kel. Kalirejo, Kec. Lawang, Kab.Malang"/>
        <s v="Jl. KH Abdul Karim 76-78 Gresik"/>
        <s v="Jl. Olah Raga No 55 Besuki Kabupaten Situbondo Provinsi Jawa Timur"/>
        <s v="Jl. Raya Waru Pasean, Kec. Waru, Kab. Pamekasan, Provinsi Jawa Timur"/>
        <s v="JL. KAPTEN PIERRE TENDEAN NO. 16 KOTA KEDIRI"/>
        <s v="Jl. Manyar No.9, Surabaya"/>
        <s v="Jl. Piere Tendean No. 3 Bondowoso"/>
        <s v="Jl. Tambakrejo No. 45-47 Surabaya"/>
        <s v="Jl. Raya Surabaya - Situbondo KM 135 desa Sumberejo Kec. Paiton Kab. Probolinggo"/>
        <s v="Jl. Raya Bamban No. 28 Desa Asrikaton Kec. Pakis"/>
        <s v="Jl. Musi No. 9-9B Desa Sumberejo, Kecamatan Sukodono, Kab. Lumajang"/>
        <s v="Jl. Raya Mondoroko Km. 09, Dusun Magersari, RT.03 RW.06, Desa Purwoasri, Kec. Singosari, Kabupaten Malang - 65153"/>
        <s v="Jl. Untung Suropati, Desa Watutulis, Kec Prambon Sidoarjo"/>
        <s v="Jl. KH. Wahid Hasyim No.52, Jombang"/>
        <s v="Jl. Dr. Soetomo 39A RT.01 RW.01 Kelurahan Ngantru, Kec. Trenggalek, Kab. Trenggalek, Provinsi Jawa Timur"/>
        <s v="Jl. dr. Soetomo No. 02 Kelurahan Tamanan, Kecamatan Trenggalek, Kabupaten Trenggalek, Provinsi Jawa Timur"/>
        <s v="Jl. RA Basuni No.12, Desa Jampirogo, Kecamatan Sooko, Kabupaten Mojokerto, Provinsi Jawa Timur"/>
        <s v="Jl. Pahlawan Trip No.2 Malang, Jawa Timur"/>
        <s v="Jl. Sasuit Tubun NO.25-Lingk. Bleber Kel. Sidoharjo Kec. Pacitan Kab. Pacitan"/>
        <s v="Jl. Diah Pitaloka Nomor 4 Jember"/>
        <s v="Jl. Mojopahit 699 Tuban"/>
        <s v="Jl. Veteran No. 39 Kel. Kepanjen Kidul"/>
        <s v="Jl. Panglima Sudirman No 168-169 Bojonegoro"/>
        <s v="Jl. Basuki Rahmat No.5, Lumajang"/>
        <s v="Jl. Undaan Wetan No. 40-44, Surabaya"/>
        <s v="Jl. Ciujung No. 19 Malang"/>
        <s v="Jl. Panglima Sudirman D9A"/>
        <s v="Jalan Rambipuji, No 19, Desa Balung Lor, Kecamatan Balung, Kabupaten Jember, Provinsi Jawa Timur"/>
        <s v="Jl. Undaan Kulon 17-19 Surabaya"/>
        <s v="Jl. Letjen Suprapto No. 03, Kepuh Kiriman Waru"/>
        <s v="Jl. Raya Kidangbang RT. 16 RW. 05 Desa Kidangbang Kec. Wajak Kab. Malang 65173"/>
        <s v="Jl. Tanjung No.158 Pakunden Kota Blitar"/>
        <s v="JL. RAYA PORONG NO. 1 SIDOARJO"/>
        <s v="Jl. A. Yani No. 116, Surabaya"/>
        <s v="Kompleks Araya Business Center Kav.II-IV Jl. Panji Suroso Malang"/>
        <s v="Jl. Mayjend Panjaitan No. 176"/>
        <s v="Jl. Sido Makmur Ring Road Barat Kel. Manguharjo"/>
        <s v="Jl. Sukarno Hatta No. 10 Kota Probolinggo"/>
        <s v="Jl. Jemursari No 51-57, Surabaya"/>
        <s v="Jl. Jambangan Kebon Agung No.8, Kec. Jambangan, Surabaya, Jawa Timur"/>
        <s v="Jl. Dr. Wahidin no. 27"/>
        <s v="Jl. Danau Toba E VI No.16 - 17 Sawojajar"/>
        <s v="Jl. Raya Bungah Dukun No. 1D, Desa/Kelurahan Masangan, Kec. Bungah, Kab. Gresik, Provinsi Jawa Timur, Kode Pos 61152"/>
        <s v="Jl. HOS Cokroaminoto nomer 98 Kab. Bondowoso"/>
        <s v="Jl. Raya Pantai Celgung Desa Sambakati Kec. Arjasa Kabupaten Sumenep Provinsi Jawa Timur"/>
        <s v="Jl. Dr. Wahidin Sudirohusodo No.736"/>
        <s v="JL.RAYA WATUKOSEK - GEMPOL PASURUAN"/>
        <s v="JL. RAYA DANDONG RT 002 RW 003 KEL. DANDONG, KEC. SRENGAT,KAB. BLITAR"/>
        <s v="Jl. Pasir Putih No.07 RT. 002 RW. 001 Kelurahan Bletok Kecamatan Bungatan"/>
        <s v="Jl. Dr. Soebandi No.124, Jember"/>
        <s v="Jl. Laksda M.Nazir No.56 Surabaya"/>
        <s v="Jl. Mayjend Sungkono No. 9, Kel. Tlogowaru, Kec. Kedungkandang"/>
        <s v="JL Raya Gelam No. 39 Sidoarjo"/>
        <s v="Jl. Kombes Pol Duryat 17 Kediri"/>
        <s v="Jl. Panglima Sudirman No. 65"/>
        <s v="Dsn. Telapak RT. 02 RW. 01 Ds. Randegansari Kec. Driyorejo"/>
        <s v="Jl. Suropati No. 12 Malang"/>
        <s v="Jl. WR Supratman Nomor 2A Situbondo"/>
        <s v="JL. PUCANG ADI NO.12-14"/>
        <s v="Jl. Raya Kendangsari No. 38 Surabaya"/>
        <s v="Jl. KH. Wahid Hasyim NO. 26, 30 Malang"/>
        <s v="Jl. Ahmad Yani No. 10A Bojonegoro"/>
        <s v="Jl. Pendidikan No. 2 Desa Sawahmulya Kecamatan Sangkapura Kabupaten Gresik Provinsi Jawa Timur Indonesia"/>
        <s v="Jl. Panglima Sudirman No. 5 Besuki Situbondo"/>
        <s v="Jl. Raya Panggul No. 21 Desa Wonocoyo Kec. Panggul Kab. Trenggalek"/>
        <s v="Jl. Kelud No. 5 RT. 12 RW. 05 Desa Sukorejo, Kec. Pagelaran"/>
        <s v="Jl. Urip Sumohardjo No 34 Jombang"/>
        <s v="JL.KH.KHOLIL 88 , KELURAHAN KROMAN  ,KECAMATAN GRESIK, KABUPATEN GRESIK,PROVINSI JAWA TIMUR KODE POS  61115"/>
        <s v="Jl. KH. Amin Jakfar V/5-7, Kel. Gladak Anyar Kec. Pamekasan Kab. Pamekasan Prov. Jawa Timur 69317"/>
        <s v="Jl. Dr. Wahidin Sudiro Husodo Tulungagung"/>
        <s v="Jl. Dr. Soetomo 59, Madiun"/>
        <s v="Jl. Jaya Wijaya No.1, Kec. Pare Kab. Kediri"/>
        <s v="Jl. Jayanegara 7 Kaliwates Jember"/>
        <s v="JL.Raya Kendalpayak No.17, RT. 004, RW 007, Desa Kendalpayak, Kec. Pakisaji, Kab, Malang"/>
        <s v="Jl. Petro No. 20 Plaosan Kecamatan Babat Kabupaten Lamongan Provinsi Jawa Timur"/>
        <s v="Jl. Raya Kepohbaru-Gunungsari No. 472 Kec. Kepohbaru Kab. Bojonegoro Jawa Timur"/>
        <s v="Jl. Kusuma Bangsa No. 7 Lamongan"/>
        <s v="Jl.Raya Kalitidu Cepu No. 266"/>
        <s v="Jl. Rajawali No. 10, Sampang"/>
        <s v="Jl. Raya Kandangan 23-24 Surabaya"/>
        <s v="Jl. Sri Rejeki No. 91B, kel. Sukosari, Kec. Kartoharjo, Kota Madiun , Jawa Timur"/>
        <s v="Jl. Raya Ngoro 192. Ngoro. Mojokerto"/>
        <s v="Jl. Krikilan-Glenmore Dusun Krajan, Tegalharjo"/>
        <s v="Jl. Gubeng Raya 70 Surabaya"/>
        <s v="Jl Kartini No 1 Kel. Ngaglik Kec. Batu, Kota Batu"/>
        <s v="Jl. Jaksa Agung Suprapto No. 2 Malang"/>
        <s v="Jl. RE Martadinata No. 34 Bangkalan Provinsi Jawa Timur"/>
        <s v="Jl. Raya Kaumrejo No 47 RT 20 RW 004 Desa Kaumrejo Kec. Ngantang, Kab. Malang, provinsi Jawa timur, Kodepos 65392"/>
        <s v="Jl. Raden Patah No. 70-72 Sidoarjo"/>
        <s v="Jl. Gajah Mada 104 Kelurahan Jember Kidul Kecamatan Kaliwates"/>
        <s v="Jl. Raya Ponorogo-Pacitan Kel. Pakunden Kab. Ponorogo"/>
        <s v="Jl. Dr Wahidin Sudirohusodo No. 1-4 Kota Pasuruan"/>
        <s v="Jl. Raya Menganti No.398 Wiyung Surabaya"/>
        <s v="Jl. Raya Seruni No. 159 Desa Sruni Kecamatan Gedangan Kabupaten Sidoarjo Provinsi Jawa Timur"/>
        <s v="Jl. Laban Kulon 58 Menganti"/>
        <s v="Desa Curah Jeru Kecamatan Panji RT 02/RW 011 Kabupaten Situbondo"/>
        <s v="Jl. KH. Hasyim Asyari No. 123 Jombang Jawa Timur"/>
        <s v="Jl. Hasyim Asyari 17 Bojonegoro"/>
        <s v="Jl. Mastrip No. 14 Srengat Kab. Blitar"/>
        <s v="Jl. Bromo 98-100 RT 011 RW 005, Kel. Kepanjen, Kec. Kepanjen, Kab. Malang"/>
        <s v="Jl. A.Yani  No.91 Turen , Kab.Malang"/>
        <s v="Jl. Mayjend. Prof. Dr. Moestopo No. 6 - 8 Surabaya, Jawa Timur"/>
        <s v="Jl. Kyai Mojo No.12A Jeruk Gamping Krian Sidoarjo"/>
        <s v="Jl Raya Wates Utara Kec. Balongpanggang Kab. Gresik"/>
        <s v="Jl. KH. Wakhid Hasyim 64 Kota Kediri"/>
        <s v="Jl. PB Sudirman No. 45 Jember"/>
        <s v="Jl. Jend A Yani 2-4 Surabaya"/>
        <s v="Jl. Raya Utara No. 3 Kembangarum, Sutojayan, Kab. Blitar"/>
        <s v="Jl. Irian Barat No. 7-11 Surabaya"/>
        <s v="JL. Letkol Selamet Wardoyo NO.103 , Kel. Labruk Lor, Kec. Lumajang, Kab. Lumajang, Prov. Jawa Timur"/>
        <s v="Jl. Veteran No. 48 Kota Kediri"/>
        <s v="Jl. Pasar Legi No. 145 Kel. Mangge Kec. Barat Magetan"/>
        <s v="Jl. Cukir-Parkir Makam Gus Dur, Desa Kwaron, Kecamatan Diwek"/>
        <s v="Jl. Raya Panglima Sudirman No.2 B Kraksaan"/>
        <s v="Jl. Ketintang Madya I/16 Surabaya"/>
        <s v="JL. RAJASA NO. 27 MALANG"/>
        <s v="Jl. Raya Gemekan No. 77 Desa Gemekan Kec. Sooko Kab. Mojokerto"/>
        <s v="Jl. Raya Krian- Mojosari KM 3 Tropodo Krian Sidoarjo"/>
        <s v="Jl. Sulawesi No 16 Malang"/>
        <s v="Jl. Kyai Ilyas Nomor 7, kabupaten Lumajang"/>
        <s v="Jl. Deandles Paciran,Kecamatan Paciran, Kab. Lamongan"/>
        <s v="Jl. H. Agus Salim No. 19, Kel. Banyuanyar, Kec. Sampang"/>
        <s v="Jl. Dr. Sutomo 62, Nganjuk"/>
        <s v="Jl. Dr. Sutomo 47 Tulungagung"/>
        <s v="Jl. Raya Ngijingan RT 001 RW 001, Desa Purwojati Kec. Ngoro, Kab. Mojokerto"/>
        <s v="Jl. Dr. Sucipto No. 5 Wlingi Kabupaten Blitar"/>
        <s v="Jl. Pahlawan No. 79 Kartoharjo Madiun"/>
        <s v="Jl. Imam Bonjol No. 20 Kelurahan Payaman, Kecamatan Nganjuk, Kabupaten Nganjuk, Provinsi Jawa Timur"/>
        <s v="Jl. Panglima Sudirman No. 42, RT/RW 001/001 Dusun Bakah, Desa Mergayu, Kecamatan Bandung, Kabupaten Tulungagung, Propinsi Jawatimur"/>
        <s v="Jl. Dharmahusada Permai, Desa/Kelurahan Mulyorejo, Kec. Mulyorejo, Kota Surabaya, Provinsi Jawa Timur"/>
        <s v="Jl. Sumber Waras No. 32 RT. 005 RW. 015"/>
        <s v="Jl. KO Wisata Bukit Mas II Blok RF no. 11, Blok F no. 10 - 11,  Lidah Wetan, Lakarsantri"/>
        <s v="Jl. Jaksa Agung Suprapto No 76 Lamongan"/>
        <s v="Jl. Hayam Wuruk No. 9"/>
        <s v="Jl. Legundi Km. 0,5 Krikilan Driyorejo Gresik"/>
        <s v="Jl Raya Surabaya Malang Km.42 No,88 Kepulungan Gempol Kabupaten Pasuruan"/>
        <s v="Jl. Andansari No 1 Sukorejo, Kec. Lamongan"/>
        <s v="Jl. Mandilaras No.74-80 Pamekasan"/>
        <s v="Jl. Jayeng Kusuma No 66 RT.002, RW.006, Kel. Ngujang, Kec. Kedungwaru, Kab. Tulungagung"/>
        <s v="Jl. KH Agus Salim No. 20 Kelurahan Tegal Besar Kecamatan Kaliwates Kabupaten Jember, Provinsi Jawa Timur"/>
        <s v="Jl. Jember nomor 25, Kelurahan Kalirejo, Kab. Banyuwangi, Provinsi Jawa Timur"/>
        <s v="Jl. Manyar Kertoadi  Surabaya"/>
        <s v="Jl. Kebalen Wetan N0.2-8 Kedung Kandang, Kota Malang"/>
        <s v="EMERALD MANSION TX 10 CITRALAND, SURABAYA"/>
        <s v="Dsn. Sumberglagah Ds. Tanjungkenongo Kec. Pacet Mojokerto"/>
        <s v="Gubeng Pojok No.21 Surabaya"/>
        <s v="Jl. Dr. Sutomo No. 44-50 Ponorogo"/>
        <s v="Jl. Raden Wijaya No. 56 Kel. Kranggan Kec. Prajurit Kulon"/>
        <s v="Jl. I Gusti Ngurah Rai 25 - 27, Tulungagung"/>
        <s v="JL DR SOETOMO NO 2 SIDOARJO"/>
        <s v="JL. PENDOPO NO. 45, SEMBAYAT, MANYAR"/>
        <s v="Jl. Raya Grati No. 199 Ranu Klindungan Grati Pasuruan"/>
        <s v="Jl. Raya No. 231 Sumberrejo, Bojonegoro"/>
        <s v="Jl. Dr.Saharjo, Campurejo, Mojoroto, Kota Kediri"/>
        <s v="Jl. Darmo Sugondo No.83 Rejoagung-Ploso"/>
        <s v="Jl. Samudra No. 30, Kel. Bulukerto, Kec. Magetan Kab. Magetan"/>
        <s v="Jl. Kapten Tendean No. 47, Kel. Demangan Kec. Taman"/>
        <s v="Jl. A.Yani No.10-13 Kota Batu"/>
        <s v="Jl. Diponegoro 34, Surabaya"/>
        <s v="JL. ANDONG NO. 3 MALANG"/>
        <s v="Jl. Ngopak No. 56 Dusun Krawan Desa Kedawung Wetan Kec. Grati Kab. Pasuruan"/>
        <s v="Jl. Manggar No.134 Tegalsari, Ambulu Jember"/>
        <s v="Jl. Golf 1  No. 1 Surabaya"/>
        <s v="Jl. Kyai Muksin nomor 19 Kelurahan Tompokersan Kec. Lumajang Kab. Lumajang"/>
        <s v="Jl. Kapuas No. 2 Kelurahan Keputran Kecamatan Tegalsari Kota Surabaya Propinsi Jawa Timur"/>
        <s v="Jl. Wolter Monginsidi Nomor 91 Lingkungan Sumber Salak RT. 001 RW. 005 Kel. Kranjingan Kec. Sumbersari"/>
        <s v="Jl. Gatot Subroto No. 84 Ngampel Mojoroto Kediri"/>
        <s v="Jl. Pahlawan Selatan No. 18"/>
        <s v="Jl. Joyoboyo No.4 Padangan Kec Kayen Kidul, Kab. Kediri"/>
        <s v="Jl. Mayjend Sungkono No. 16-20"/>
        <s v="Jl. Raya Raci - Bangil Kab. Pasuruan"/>
        <s v="JL ARIEF RAHMAN HAKIM NO 150 SURABAYA"/>
        <s v="Jl. Flores No. 12 Surabaya"/>
        <s v="Jl.Raya Asembagus No. 207 RT 002 RW 008 Dusun Wringin Desa Wringinanom Kecamatan Asembagus Kabupaten Situbondo 68373"/>
        <s v="Jl. A. Yani No. 37 Jajag Gambiran, Banyuwangi"/>
        <s v="Jl. Kebonsari No. 221 Malang, RT 003, RW 002 Desa Tumpang, Kec. Tumpang, Kab. Malang"/>
        <s v="Jl. Raya By Pass Krian KM 33  Balong Bendo Sidoarjo"/>
        <s v="Jl. PB. Sudirman 81  RT 03 RW 01, Dsn. Krajan Desa Kaliboto Lor Kec. Jatiroto, Kab. Lumajang"/>
        <s v="Jl. Dr. Cipto No.8 Bedali, Lawang, Kab. Malang"/>
        <s v="Komplek Perum PT Petrokimia Gresik, Jalan Padi No.3, Tlogopojok, Kroman, Kec. Gresik, Kabupaten Gresik, Jawa Timur 61118"/>
        <s v="Jl. KH. Moh. Ikrom RT 002 / RW 001 Wringinrejo, Gambiran-Banyuwangi"/>
        <s v="Jl. Diponegoro No. 7 Kel Banyuanyar Kec. Sampang"/>
        <s v="Jl. Raya Dungus - Wungu Madiun"/>
        <s v="Jl. Raya Ngijo No.25, RT 05 RW 05 Desa Ngijo Kec. Ngijo,  Kab. Malang"/>
        <s v="Jl. A Yani No. 25, Pare,  Kec. Pare, Kediri, Jawa Timur 64212"/>
        <s v="Jl. Mayjen Sungkono No. 38-40 Kel. Nambangan Lor, kec. Manguharjo, Kota Madiun"/>
        <s v="Jl. Mayjen DI Panjaitan No. 22 Kel. Banjarejo, Kec. Taman Kota Madiun - Jawa Timur"/>
        <s v="Jl. R A Kartini No. 280 Kel. Tlogopatut Kec. Gresik, Kab. Gresik"/>
        <s v="JL. RAYA TLOGOMAS NO 45 MALANG"/>
        <s v="Jl. Raya Kalianget No.1 Kalianget, Kab Sumenep"/>
        <s v="Graha Sampurna Indah E-3,6,8,10,12,14,16,18,20,22 Surabaya"/>
        <s v="Jl. Raya Kesamben Jugo No 1 RT 04 RW 07 Desa Kesamben, Kecamatan Kesamben, Kabupaten Blitar"/>
        <s v="Jl. Letnan Ramli No. 21, Rw. 02, Desa/Kelurahan Kraton, Kec. Bangkalan, Kab. Bangkalan, Provinsi Jawa Timur"/>
        <s v="Jl. Raya Mangir No. 9, Kec. Rogojampi, Banyuwangi"/>
        <s v="Jl. Prof. Dr. Moestopo 31-33-35 Surabaya"/>
        <s v="Jl. Jawa No. 79 - 81, Gresik Kota Baru, Kec. Manyar, Kab. Gresik, Provinsi Jawa Timur 61151"/>
        <s v="Jl. Lamongrejo No. 28 Lamongan"/>
        <s v="Jl. WR. Supratman No.10 Kota Malang"/>
        <s v="Jl. Lisman No.7 Campurejo"/>
        <s v="Jl. Soekarno Hatta Malang"/>
        <s v="Jl. Raya Sumobito No 3 Terusan Gambiran Betek, Desa mancilan, Kecamatan Mojoagung, Kabupaten Jombang"/>
        <s v="Jl. Raya Ijen No.67 Kel. Wates, Kec. Magersari, Kota Mojokerto"/>
        <s v="Jl. Letjend Suprapto No. 55, Desa Bulu, Kec. Kraksaan Kab. Probolinggo"/>
        <s v="Dusun Labang Laok RT 001 RW 001 Desa Kebun Kec. Kamal"/>
        <s v="Jl. Sultan Agung Nomor 68 Ponorogo"/>
        <s v="Jl. HOS Cokroaminoto No. 26-28, Kelurahan Jagalan, Kecamatan Kranggan, Kota Mojokerto"/>
        <s v="Jl. Jatiwayang  Lk 02 Ngunut, Tulungagung"/>
        <s v="Jl. Raya Gambiran No. 225, Desa Gambiran, Kec. Gambiran, Kab. Banyuwangi"/>
        <s v="Jl. Kenari No. 54 Blitar"/>
        <s v="Dukuh Gontor 2, RT. 002 RW. 002, Desa Gontor, Kecamatan Mlarak, Kabupaten Ponorogo"/>
        <s v="Jl. Kabupaten No. 99  Kel. Bugih  Kec. Pamekasan"/>
        <s v="Jl. dr. Wahidin Sudiro Husodo No. 800"/>
        <s v="Jl Raya Branggahan Dsn krajan Ds. Branggahan Kec. Ngadiluwih"/>
        <s v="Jl. Penanggungan No.32, Mojoroto, Kota Kediri, Jawa Timur"/>
        <s v="Jln. Raya Panglima Sudirman No. 33 Desa Tlekung, Kecamatan Junrejo, Kota Batu, Jawa Timur"/>
        <s v="Jl. Raya Darmo 90,Surabaya"/>
        <s v="Jl. Ir. Juanda Nomor 03, Jombang, Provinsi Jawa Timur"/>
        <s v="Jl. Raya Taman Asri Kav DD. 1-8, Tambaksumur, Waru"/>
        <s v="Jl. M.H.Thamrin No.31 Kalisat ,Desa Ajung, Kecamatan Kalisat, Kabupaten Jember, Provinsi Jawa Timur"/>
        <s v="Jl. Raya Menur No.120, Kertajaya, Kec. Gubeng, Surabaya, Jawa Timur 60282"/>
        <s v="Jl.  A. Yani 18 Kota Blitar"/>
        <s v="Jl. Joyoboyo 42 Dsn. Dlopo Desa Karangrejo Kecamatan Ngasem"/>
        <s v="Jl. Raya Bebekan RT. 02 RW. 01, Kel. Bebekan, Kec. Taman"/>
        <s v="Jl. Arief Rahman Hakim No. 184 (Araya Galaxi Bumi Permai Blok A2 no. 5,6,7)"/>
        <s v="Jl. Raya Babat-Surabaya KM. 4 Babat Lamongan"/>
        <s v="Jl. Mayjend Panjaitan No.65 Kota Probolinggo"/>
        <s v="Jl. Raya Kendung No.115-117, Surabaya"/>
        <s v="Jl. Karangan PDAM 1-3 Wiyung Surabaya"/>
        <s v="Jl. Pahlawan No.2 Magetan Propinsi Jawa Timur"/>
        <s v="JL.RAYA MANUKAN WETAN 68-68 A Surabaya"/>
        <s v="Jl. Tangkubanprahu No. 31-33 Malang"/>
        <s v="Jl. Manukan Tengah 51 J/ 4-6"/>
        <s v="Jl. Rogonoto Timur RT 003 RW 005 Desa Taman Harjo Kec. Singosari"/>
        <s v="Jl. Jend. A. Yani No. 69 Kel. Ngipik, Kec. Ngipik, Kab. Gresik"/>
        <s v="Jl Raya Tembelang, Kec. Tembelang Kab. Jombang"/>
        <s v="JL Kutisari No. 6 Surabaya"/>
        <s v="Jl. Raya Genteng, Dusun Sidorejo Wetan RT 001 RW 001 Desa Yosomulyo, Kecamatan Gambiran, Kabupaten Banyuwangi"/>
        <s v="Jl. Mayjen Sungkono No. 44, Kota Kediri"/>
        <s v="Jl. Raya Deandles km-74 Paciran Kab. Lamongan"/>
        <s v="Jl. Kenjeran No. 506 Surabaya"/>
        <s v="Jl Raya Bringkang no 90-94 , Desa/Kelurahan Bringkang, Kec. Menganti, Kab. Gresik, Provinsi Jawa Timur, Kode Pos: 61174"/>
        <s v="Jl. Anggrek No. 68, Kelurahan. Patokan Kecamatan. Situbondo, Kabupaten. Situbondo Jawa Timur"/>
        <s v="Jl. Satelit Indah II darmo satelit"/>
        <s v="Jl. Dr. M. Munir No.18 Lanud Abd. Saleh, Desa Saptorenggo Kec. Pakis Kab, Malang"/>
        <s v="Jl. Merdeka No.59 Mojowarno, Jombang"/>
        <s v="Jl. Raya Bulupayung No. 1B, RT 007, RW 031, Desa Krebet, Kec. Bululawang, Kab. Malang"/>
        <s v="Jl. Mayjend Sungkono Nomor 80 Dusun Cengkong Desa Tamanan, Kecamatan Trenggalek Kabupaten Trenggalek, Provinsi Jawa Timur"/>
        <s v="Jl. Raya Gedeg No.17, Kec. Gedeg, Kab.Mojokerto"/>
        <s v="Jl. Raya Pasar Sawahan km.10, Kec.Bangsal, Kab.Mojokerto"/>
        <s v="Jl. Jend. S. Parman No. 8 Waru"/>
        <s v="Jl. Mangga I E Nomor 225, Perumahan Pondok Tjandra Indah, Kelurahan Tambaksumur, Kecamatan. Waru, Kabupaten Sidoarjo, Jawa Timur 61256"/>
        <s v="Jl. Raya Pakisan No.24 RT.19/RW.07, Desa Bataan, Kecamatan Tenggarang, Kabupaten Bondowoso, Jawa Timur"/>
        <s v="Jl. Diponegoro No.1 Tuban"/>
        <s v="Jl. A. Yani No.149 Lumajang"/>
        <s v="Jl. Prapat Kurung Selatan no 1 Tanjung Perak Surabaya"/>
        <s v="Jl. Raya Lamongan - Babat KM 5 Desa Karanglangit, Kec, Lamongan, Kab. Lamongan"/>
        <s v="Jl. Semeru No.1 RT. 04 RW. 20 Kel. Turen Kec. Turen"/>
        <s v="Jl. Sukarno-Hatta 34A Bangkalan"/>
        <s v="Jl. S.A.Tirtayasa Ruko Maisonnete Blok B1-8 Simpang Tiga, Ramanuju, Purwakarta, Cilegon, Banten"/>
        <s v="Jl. Raya Waringin Kurung RT 001/ RW 003, Desa Serdang, Kecamatan Kramatwatu, Kabupaten Serang, Provinsi Banten"/>
        <s v="Jl. Iko Jatmiko No. 1 Rangkasbitung"/>
        <s v="Jl. Boulevard Raya Gading Serpong Kav. 29, Tangerang"/>
        <s v="Jl. Letnan Soetopo Kav Kom. III A No.7, BSD Tangerang  Selatan, Banten"/>
        <s v="Jl. Imam Bonjol No. 38 Karawaci Sukajadi Kota Tangerang"/>
        <s v="Jl. Moh. Toha KM 3,5 (Simpang Tiga Sangiang) Kota Tangerang"/>
        <s v="Jl. K.S Tubun No. 44 Kelurahan Koang Jaya, Kecamatan Karawaci - Kota Tangerang, Banten"/>
        <s v="Jl. Kelapa Dua Raya No.1001 Kel. Kelapa Dua Kec. Kelapa Dua Tangerang"/>
        <s v="Jl. Stadion Badak No 20 Saruni Majasari Pandeglang"/>
        <s v="Jl.RE Martadinata No.30 Kec.Ciputat Kel. Ciputat Kota.Tangerang Selatan"/>
        <s v="Jl. Rumah Sakit No. 1 Serang"/>
        <s v="Jl. Raden saleh No.10 Karang Tengah, Tangerang"/>
        <s v="Jl. KH. Sa'adullah No. 88 Kelurahan Pakuhaji Kabupaten Tangerang"/>
        <s v="Jl. Raya Serpong Kel. Pakulonan Kec. Serpong Utara Kota Tangerang Selatan"/>
        <s v="Jl. Raya Saketi Km.01, Malingping Kab.Lebak"/>
        <s v="Jl. M.H. Thamrin No. 3 Kebon Nanas, Cikokol, Kota Tangerang 15117"/>
        <s v="Komp Islamic Village, Kelapa Dua, Tangerang"/>
        <s v="Jl. Otista Raya Sasak Tinggi No. 3 , RT 004/ RW 011,  Kelurahan Ciputat, Kecamatan Ciputat, Kota Tangerang Selatan, Banten, 15411"/>
        <s v="JL Syeh Nawawi Al-Bantani Kelurahan Banjarsari Kecamatan Cipocok Jaya Kota Serang, Propinsi Banten"/>
        <s v="Jln Beringin Raya No.3-5 Kel.Nusajaya, Kec.Karawaci, Kota Tangerang, Provinsi Banten"/>
        <s v="Jl. KH. Hasyim Ashari No. 24 Kel. Buaran Indah, Kec. Tangerang, Kota Tangerang, Prov. Banten 15119"/>
        <s v="Jl. Rasuna Said Kav B7/A5-08 Sektor 7 CBD Bintaro Jaya"/>
        <s v="Jl. Raya Serang-Pandeglang KM.05 Kelurahan Tembong, Kec. Cipocok Jaya"/>
        <s v="Jl Pulau Puteri Raya Perumahan Modernland, Kel. Kelapa Indah Kec. Tangerang"/>
        <s v="Jl. Raya Tanjung Lesung KM. 1 Panimbang Kp. Neglasari Ds. Panmbangjaya Kec. Panimbang Kab. Pandeglang Prov. Banten"/>
        <s v="Jl. WR Supratman, RT/RW 005/006, Kel. Cempaka Putih, Kec. Ciputat Timur"/>
        <s v="Jl. Prabu Siliwangi No. 11 Jatiuwung Tangerang"/>
        <s v="Jl. Raya PLP Curug KM. 4 No. 8 Curug"/>
        <s v="Jl. KH. Kuding RT. 005 RW. 006, Kelurahan Belendung, Kecamatan Benda, Kota Tangerang, Provinsi Banten"/>
        <s v="Jl. KH. Sohari No.39 Serang 42118"/>
        <s v="JL. Raya Serang Km. 16,8 Cikupa"/>
        <s v="JL. RAYA LAPAN DESA SURADITA RT 007 RW 001 CISAUK KAB.TANGERANG, Desa/Kelurahan Suradita, Kec. Cisauk, Kab. Tangerang, Provinsi Banten,"/>
        <s v="Jl. Amd Lintas Timur No. 17 Ciputri, Kec. Kadu Hejo, Kab. Pandeglang, Prov. Banten"/>
        <s v="Jl. Kapten P. Tendean Km. 3 Cilegon"/>
        <s v="Jl. Raya Bintaro Utama Sektor III A"/>
        <s v="Jl. Moch Toha RT/RW 002/017"/>
        <s v="Jl. Raya Jombang No. 56 , Kelurahan Jombang,  Kecamatan Ciputat, Kota Tangerang Selatan, Banten"/>
        <s v="Jl. Lengkong Gudang Timur Raya No. 777 BSD - Tangerang Selatan"/>
        <s v="Jl. Honoris Raya Kav. 6 , Kota Modern, Tangerang"/>
        <s v="Jl. Pamulang Permai Blok D3 No. 1-3"/>
        <s v="Jl. Aria Santika No. 28, Kel. Margasari, Kec. Karawaci, Kota Tangerang, Provinsi Banten, 15113"/>
        <s v="Jl. Raya Serang Km. 28,5 Kawasan Industri CCM Kav. F 1 - 8 Cangkudu, Balaraja"/>
        <s v="Jl. Maulana Hasanudin No. 63, Kelurahan Cipondoh, Kecamatan Cipondoh, Kota Tangerang, Provinsi Banten"/>
        <s v="Jl.Puri Agung No.3 Pondok Makmur Kel.Kuta Baru Kec.Pasar kemis"/>
        <s v="Jl. A Yani No. 9 Tangerang Kota Tangerang"/>
        <s v="Jl. Raya Pemda Tigaraksa RT 001/RW 001 Kel/Desa Matagara Kecamatan Tigaraksa Kabupaten Tangerang Provinsi Banten"/>
        <s v="Jl. RHM Noeradji Kel. Sumur Pacing Kec. Karawaci"/>
        <s v="Jl. Sunan Kalijaga No. 325, Blok Papanggo, Cijoro Pasir, Rangkasbitung, Lebak, Banten"/>
        <s v="Jl Raya Siliwangi No 189 Kelurahan Benda Baru, Kecamatan Pamulang"/>
        <s v="Jl. Raya Serang KM. 18,5 Desa Bojong Kec. Cikupa"/>
        <s v="Jl. Raya Legok KM 4 Bojong Nangka, Kelapa Dua, Tangerang"/>
        <s v="Central Business Distric Lot IX, BSD City."/>
        <s v="Jl. Galuh No. 2 Jatiuwung, Cibodas - Tangerang"/>
        <s v="Jl. Raya Puspitek No.km 1 No 99, Buaran, Kec. Serpong, Kota Tangerang Selatan, Banten 15310"/>
        <s v="Jalan Raya Pondok Betung, Kelurahan Pondok Betung, Kecamatan Pondok Aren, Kota Tangerang Selatan, Provinsi Banten"/>
        <s v="Jl.Raya Serang-Jakarta Km.9 Ds.Ranjeng Rt 01/01 Kec.Ciruas"/>
        <s v="Jl. Raya Serang KM 24 No.1 Balaraja, Kab. Tangerang, Banten"/>
        <s v="Jl. Dr Sitanala No. 99 Kota Tangerang"/>
        <s v="Jl. Halim Perdanakusuma, Desa/Kel. Jurumudi Baru Kec. Benda"/>
        <s v="Jl. Bhayangkara 1 No.68 Kel. Pakujaya Kec. Serpong Utara Tangerang Selatan"/>
        <s v="Jl. Raya Jakarta KM. 04 Lingk Kp. Turus Rt. 02 Rw. 11 Kelurahan Penancangan Kecamatan Cipocok Jaya"/>
        <s v="Jl. Temu Putih No. 100 Kel. Jombang Wetan Kec. Jombang, Kota Cilegon, Provinsi Banten"/>
        <s v="Jl. Raya Pakuhaji No. 3 RT. 002 RW. 001 Kel. Sepatan Kab. Tangerang"/>
        <s v="Jl.Rumah Sakit NO. 88 Desa Tobat Kec. Balaraja"/>
        <s v="Jl. HOS Cokroaminoto (Ciledug Raya) No. 4A Kreo Selatan Larangan Tangerang 15156"/>
        <s v="Jl. Raya Bojonegara No 8 Kp. Tunggak Rt. 002 Rw. 002 Ds. Kertasana Kec. Bojonegara Kab. Serang Prov. Banten"/>
        <s v="Jl.KH. Hasyim Ashari No. 18 Sudimara Pinang Pinang"/>
        <s v="Jl Gading Golf Boulevard Kav. 08 Desa Cihuni Kec. Pagedangan"/>
        <s v="Jl. Raden Fatah No.40"/>
        <s v="Jl. Metland Boulevard Lot C3 Metland Cyber City RT. 001 RW. 002 Pondok Bahar"/>
        <s v="Jl Aria Putra No 399 Serua Indah"/>
        <s v="Jl. Raya Taktakan KM 01"/>
        <s v="Jl.Raya Jenderal Sudirman No.38, Kel.Penancangan, Kec.Cipocok, Kota Serang"/>
        <s v="Jl. Raya Kosambi Timur no.2 RT. 011/004, Kosambi  Timur, Kosambi"/>
        <s v="Jl. KH. Abdul Hadi No. 20 RT.003/014 Kebon Jahe, Cipare"/>
        <s v="Jl. Multatuli No. 41 Muara Ciujung Barat, Rangkasbitung, Banten."/>
        <s v="Jl Raya Siliwangi No 1A Pondok Benda"/>
        <s v="Jl Prabu Kian Santang No. 30 Rt. 001 Rw. 001 Kel. Gebang Raya Kec. Periuk Kota Tangerang Provinsi Banten"/>
        <s v="Jl. Raya Mohammad Toha Km. 2  No. 1 Kel. Nambo Jaya Kecamatan Karawaci 15112"/>
        <s v="Jl. Pajajaran No.101, Kec.Pamulang, Kota Tangerang Selatan"/>
        <s v="Jl. Siloam No. 6  Lippo Village Tangerang"/>
        <s v="Jl. Raya Serang Cilegon KM 3,5 Kelurahan Drangong Kec. Taktakan, Kota Serang, Banten 42162"/>
        <s v="Jl. Maulana Hasanudin No. 108 Kel. Cipondoh Makmur Kec. Cipondoh Kota Tangerang Provinsi Banten Kode Pos: 15148"/>
        <s v="Kawasan PT. Bonauli Real Estate Jl. Terusan Bonakarta Rt 01/01"/>
        <s v="Jl. A. Yani No. 21-23 Serang"/>
        <s v="Jl. Raya Cilegon KM 8 Kramatwatu"/>
        <s v="Jl. Semang Raya No. 01"/>
        <s v="Jl. Kp. Anggris, Kelurahan Medang, Kecamatan Pagedangan, Kabupaten Tangerang"/>
        <s v="Jl. KS, Tubun No.10 Kel. Pasar Baru Kec. Karawaci Kota Tangerang"/>
        <s v="JL. HOS Cokroaminoto No 38 Ciledug, Desa/Kelurahan Sudimara Timur, Kec. Ciledug, Kota Tangerang, Provinsi Banten, Kode Pos: 15151"/>
        <s v="Jl. Raya Astek No. 17 Lengkong Gudang Timur Serpong"/>
        <s v="Jl. HOS Cokroaminoto Perum Pondok Lestari Blok C1 No.1-2 Ciledug, Kota Tangerang - Banten"/>
        <s v="Jl. Kp. Melayu Barat No. 11A Teluk Naga - Tangerang -  Banten"/>
        <s v="Jl. Cendrawasih No. 90 Sawah Lama, Ciputat, Tangerang Selatan, Banten 15413"/>
        <s v="Jl. Paus Raya No.1, RT.002/RW.004, Karawaci Baru, Kec. Karawaci, Kota Tangerang, Banten 15116"/>
        <s v="Jl. Gatot Subroto No. 96 Km. 3 Kel. Uwung Jaya Kec. Cibodas Tangerang"/>
        <s v="Commercial Park Central Business of District BSD Kav.7 Tangerang Selatan"/>
        <s v="Jl. KH. Mas Mansyur No. 2 Kunciran Tangerang"/>
        <s v="JL. RAYA SERANG KM 10 POS BITUNG KEC. CURUG KAB. TANGERANG - BANTEN"/>
        <s v="Jl. Raya Serang KM. 12,5 Kp. Cirewed, Kel.Sukadamai Kec.Cikupa"/>
        <s v="Jl. Raya Serang Pandeglang KM. 11 Kampung Pertanian RT.003/RW.001 Desa Baros, Kecamatan Baros, Kabupaten Serang, Provinsi Banten."/>
        <s v="Jl. Yusuf Martadilaga No. 56 . RT 03 / RW 09. Kel Cipare. Kec Serang. Banten. 42117"/>
        <s v="Jl. Ir. H. Juanda No. 95, Ciputat Timur"/>
        <s v="Jl. Raya Siliwangi No. 50  Pondok Benda, Pamulang, Tangerang Selatan 15416"/>
        <s v="Jl. Raya Pasar  RT. 004 RW. 002 Kel. Kutajaya Kec. Pasar Kemis"/>
        <s v="Jl. Raya serang KM 14.5 No.1 Pasir Gadung"/>
        <s v="Jl. Jombang Masjid No.4 Cilegon"/>
        <s v="Jl. Raya Labuan KM. 5, Desa/Kelurahan Paluruhan, Kec Kaduhejo, Kab.Pandeglang, Provinsi Banten, Kode Pos 42253"/>
        <s v="Jl. Karyawan IV Kec Karang Tengah Ciledug"/>
        <s v="Jl. Dr. Cipto Mangunkusumo No. 3 Kec. Ciledug"/>
        <s v="Jl. Tigaraksa-Adiyasa, Kel/Desa Kadu Agung, Kec. Tigaraksa, Kab. Tangerang, Prov Banten, Kode Pos: 15720"/>
        <s v="Bumi Serpong Damai Sektor 1-2 Blok K/5-UA/26-27,Tangerang"/>
        <s v="Jl. Ki Uju No. 1 Kaujon Masjid Kuno Kel. Serang Kec. Serang"/>
        <s v="Jl. Raya Serang Pandeglang KM. 2 Sempu Cipare Serang"/>
        <s v="Jl. MH. Thamrin No. 1 Sektor 7 Bintaro Jaya Tangerang"/>
        <s v="Jl.Ciputat Baru Raya No.10, Ciputat"/>
        <s v="Jl. Griya Purnama No. 99, Drangong, Kecamatan Taktakan, Kota Serang, Provinsi Banten"/>
        <s v="CBD Emerald Blok CE/C No. 01, Boulevard Bintaro Jaya"/>
        <s v="Jl. Moh. Toha Kp. Nagrak RT.004/006 Kel.Periuk, Kec. Periuk"/>
        <s v="Jl. Daan Mogot No. 59 Kota Tangerang"/>
        <s v="Jl Ciputat Raya No 2 Kertamukti Ciputat"/>
        <s v="Jl. Raya Legok No.86, Rt 2/Rw 1 Kelurahan Medang, Kecamatan Pagedangan, Kabupaten Tangerang -15810 Banten"/>
        <s v="Jl. Raya Serang-Pandeglang, Tembong, Cipocok Jaya"/>
        <s v="Jl. Alam Sutera Boulevard Kav. 25 Tangerang"/>
        <s v="Jl. Raya Labuan-Pandeglang KM. 12 Menes Pandeglang 42262. Kp Soreang Desa Menes Kecamatan Menes. Desa Menes, Kecamatan Menes, Kabupaten Pandeglang, Provinsi Banten."/>
        <s v="Jl. Lingkar Selatan Cilegon Km. 1,8 , Kel/Desa Harjatani, Kec. Kramatwatu"/>
        <s v="Jl. Citra Raya Boulevard Blok V.00/08, Tangerang"/>
        <s v="Jl. Merdeka No. 92, Kelurahan Gerendeng, Kecamatan Karawaci, Kota Tangerang, Provinsi Banten."/>
        <s v="Jl. Teratai No. 16 Dauh Pala"/>
        <s v="Jl. Pulau Serangan No. 7 Denpasar"/>
        <s v="Jl. Siligita Blok I No 14, Nusa Dua, Kuta Selatan"/>
        <s v="Jl. Flamboyan No.9 kampung Kodok. Tegal Belodan, Tabanan"/>
        <s v="Jl. Giri Kesuma, Br. Melinggih, Kecamatan Payangan, Kabupaten Gianyar, Provinsi Bali"/>
        <s v="Jl. Cendrawasih No. 5-7 Singaraja"/>
        <s v="Jl. Gatot Subroto VI No. 19 Denpasar"/>
        <s v="Jl. Ciung Wenara No. 2 Gianyar"/>
        <s v="Jl. Raya Pantai Saba No. 9, Saba, Blahbatuh, Gianyar (80581)"/>
        <s v="Banjar Tegal Antugan, Desa Nyitdah, Kec. Kediri , Kab.Tabanan, Prov.Bali, 82121."/>
        <s v="Jl. WR. Supratman 256 Denpasar"/>
        <s v="Jalan Raya Denpasar - Singaraja, Banjar Luwus, Desa Luwus, Kecamatan Baturiti, Kabupaten Tabanan, Provinsi Bali"/>
        <s v="Jl. Batukaru No.2 Tuakilang Tabanan"/>
        <s v="Jl. Diponegoro Denpasar Bali"/>
        <s v="Jl. Nenas, Kecicang, Karangasem"/>
        <s v="Jl. Brigjen Ngurah Rai No. 99X Bangli"/>
        <s v="Jl. By Pass Ngurah Rai No 548 Denpasar"/>
        <s v="Jl. Astina Timur No. 8A Samplangan, Kecamatan Gianyar, Kabupaten Gianyar"/>
        <s v="Jl. Gatot Subroto II /11 Denpasar"/>
        <s v="Desa Sulanyah, Kecamatan Seririt, Singaraja"/>
        <s v="Jl. Raya Kampus Unud No.52, Jimbaran, Kec. Kuta Sel., Kabupaten Badung, Bali"/>
        <s v="Jl. Ahmad Yani No.171 A Baktiseraga, Singaraja"/>
        <s v="Jl. Gunung Lempuyang, Singaraja, Banjar Tegal"/>
        <s v="Jl. Trijata no.32 Denpasar"/>
        <s v="Kawasan ITDC Blok D, Nusa Dua, Badung"/>
        <s v="Jl. Pulau Komodo No. 6 Banyuning"/>
        <s v="Jl. Raya Sangsit, Desa Giri Emas Kecamatan Sawan Kabupaten Buleleng"/>
        <s v="Jl. Tantular Barat, Desa/Kelurahan Dangin Puri Kelod"/>
        <s v="Jl. PB. Sudirman No. 1 Denpasar"/>
        <s v="Banjar Nyuh, Desa Ped, Kecamatan Nusa Penida"/>
        <s v="Jl Raya Celuk Sukawati"/>
        <s v="Jl. Wijaya Kusuma No. 17 Kel. Baler Bale Agung Kec. Negara"/>
        <s v="Jl. By Pass Prof. Dr. Ida Bagus Mantra Desa Negari Kec. Banjarangkan"/>
        <s v="Jl. Ngurah Rai No. 58 Amlapura"/>
        <s v="Jl. Kamboja No. 11 A Denpasar"/>
        <s v="Jl. Ngurah Rai No. 10"/>
        <s v="Jl. Raya Mambal-Ubud, Mekar Bhuwana, Kec. Abiansemal"/>
        <s v="JL. Letda Tantular No. 6 Denpasar"/>
        <s v="Jl. Uluwatu No. 69 Kedonganan, Kuta, Badung"/>
        <s v="Jl. Angsoka No. 8 Denpasar"/>
        <s v="Jl. Pahlawan No. 14 Tabanan Bali"/>
        <s v="Jl. Tirta Giri Kutri, LC Subak Aya, Bebalang"/>
        <s v="Jl. Raya Mas Ubud, Kab.Gianyar"/>
        <s v="Jl. Ngurah Rai No. 70 Singaraja"/>
        <s v="Jl. Raya Singaraja Amlapura, Desa Tianyar Barat, Kec. Kubu"/>
        <s v="Jl.Mahendradatta No.57,Denpasar Bali"/>
        <s v="Jl. Raya Tuban N0.1A/45, Tuban Kuta Kab. Badung"/>
        <s v="Jl. By Pass Ngurah Rai No. 100X Kuta Badung"/>
        <s v="Jl. Teuku Umar 120 Denpasar"/>
        <s v="Jl. Raya Umabian Desa Belayu, Kec. Marga Kab. Tabanan, Bali"/>
        <s v="Jl. Yudistra No. 7 Singaraja"/>
        <s v="Jl. By Pass Ir. Soekarno Kediri"/>
        <s v="Dusun Labuan Sari, Desa Tianyar Barat, Kecamatan Kubu, Kabupaten Karangasem, Provinsi Bali"/>
        <s v="Banjar Batanancak Jl. Raya Mas Ubud Gianyar"/>
        <s v="Jl. Rumah Sakit Universitas Udayana No. 1, Lingk. Perarudan Kel. Jimbaran Kec. Kuta Selatan"/>
        <s v="Jl. Gatot Subroto Barat 455X"/>
        <s v="Jl. Flamboyan No. 40 Semarapura, Kecamatan Klungkung, Kabupaten Klungkung - Bali"/>
        <s v="Jl. Hayam Wuruk No. 23 Negara, Dangintukadaya, Kecamatan Jembrana, 82218"/>
        <s v="Jl. WR. Supratman 14  dan 19 Denpasar"/>
        <s v="Jalan Teuku Umar Barat NO. 71 xx, Kelurahan Padang Sambian Kelod, Kecamatan Denpasar Barat, Denpasar - Bali"/>
        <s v="Jl. Raya Kapal Mengwi, Badung, Bali"/>
        <s v="Jl. Raya Kerobokan No. 53 Lingkungan Jambe Kerobokan Kuta Utara"/>
        <s v="Jl. Kartini No. 133 Denpasar"/>
        <s v="Jl. Gatot Subroto Barat No. 429"/>
        <s v="Jl.Kusuma Yudha No. 29 Bangli"/>
        <s v="Jalan Hyang Sangsi No.2 Komplek Perumahan Chandra Ayu, Banjar Tubuh, Batubulan Sukawati"/>
        <s v="Jl. Ir. Soekarno Nomor 88X Gerokgak Gede Tabanan"/>
        <s v="Jl. Tukad Unda No. 1 , Banjar Sembung Sari, Desa Sumerta Kelod, Kecamatan Denpasar Timur, Kota Denpasar, Propinsi Bali."/>
        <s v="Jl. Kecubung No. 22 Samarapura"/>
        <s v="Jl. Sunset Road No. 818 Kel. Kuta, Kec Kuta"/>
        <s v="Jl. Singaraja-Seriri, Desa Tangguwisia, Kecamatan Seririt, Kabupaten Buleleng, Provinsi Bali"/>
        <s v="Jl. Yeh Gangga No. 9"/>
        <s v="Jl. Cokroaminoto 28 Denpasar"/>
        <s v="Jl. Serma Kawi No 13-17 Denpasar"/>
        <s v="Jl. Ngurah Rai 143 Negara"/>
        <s v="Jl. Ngurah Rai 30 Singaraja"/>
        <s v="Jl. Raya Sesetan No.10 Kota Denpasar"/>
        <s v="Jl. Rajawali No. 36, Kelurahan Pendem, Kecamatan Jembrana"/>
        <s v="Jl. Cokroaminoto No. 356 Denpasar"/>
        <s v="Jl. HOS Cokroaminoto No. 31 Desa Labuhan Haji Kecamatan Labuhan Haji Lombok Timur"/>
        <s v="Jl. Raya Tioq Tata Tunaq, Tanjung Lombok Utara"/>
        <s v="Jl. Langsat No. 1 Kel. Rabangodu Selatan, Kec. Raba"/>
        <s v="JL. Jenderal Sudirman No. 18A Rembiga, Selaparang, Mataram, NTB"/>
        <s v="Jl. Lintas Sumbawa-Bima KM. 5 Sumbawa Besar"/>
        <s v="Jl. Majapahit No. 62 Mataram"/>
        <s v="Jl. DR. Cipto MangunKusumo No. 16 Kel. Majdi Kec. Selong, Prov. Nusa Tenggara Barat"/>
        <s v="Jl. HOS Cokroaminoto 7 Mataram"/>
        <s v="Jl. Bung Karno No. 143 Pagutan Barat, Kecamatan Mataram, Mataram, NTB"/>
        <s v="Jl. Harimau No 1 kelurahan Pejanggik, Kecamatan Mataram, Kota mataram, Provinsi Nusa Tenggara Barat"/>
        <s v="Jalan Haji Lalu Hasyim, Kelurahan Tiwu Galih, Kecamatan  Praya. Kabupaten Lombok Tengah, Provinsi Nusa Tenggara Barat. Kode Pos: 83518"/>
        <s v="Jl. Koperasi no 61 Ampenan Utara, Kecamatan Ampenan, Kota Mataram, Propinsi Nusa Tenggara Barat Kode Pos 83111"/>
        <s v="JL. MAJAPAHIT NO. 10C MATARAM"/>
        <s v="Jln Lang Sesat Taliwang"/>
        <s v="Jl. Prof M. Yamin, SH. No. 55 Selong, 83612"/>
        <s v="Jl. Jendral Sudirman No. 27 Kel. Rabangodu Utara Kec. Raba Kota Bima NTB"/>
        <s v="Jl. Arjanjang, Selebung Ketangga, Kecamatan Keruak Kabupaten Lombok Timur NTB"/>
        <s v="Jl. Datuk Dibanta Kelurahan Jatiwangi Kecamatan Asakota, Kota Bima Provinsi Nusa Tenggara Barat"/>
        <s v="Jl. Langko No.64,Mataram"/>
        <s v="Jl. Hasanuddin No. 33, RT 003 RW 003, Kelurahan Bugis, Kecamatan Sumbawa, Kabupaten Sumbawa, Provinsi Nusa Tenggara Barat"/>
        <s v="Jl. Kesehatan No. 1 Kel.Bada Kec.Dompu Kab.Dompu Provinsi Nusa Tenggara Barat"/>
        <s v="Jl. Raya Masbagik Selong Dusun Tanak Malit Selatan Kel. Masbagik Selatan Kab. Lombok Timur"/>
        <s v="Jl. Ahmad Yani No. 9 Selagalas, Kec. Sandubaya, Mataram"/>
        <s v="Jl. Pejanggik No. 78A Kelurahan Rakam, Kecamatan Selong, Kab. Lombok Timur. Provinsi NTB"/>
        <s v="Jl. Prabu Rangkasari Dasan Cermen"/>
        <s v="Jl. K.H. Akhmad Dahlan No 17 Pancor"/>
        <s v="Jl. H. Lalu Anggrat BA No. 2 Gerung"/>
        <s v="Jl.Basuki Rahmat No.90 Ketejer, Gerunung, Praya Kab. Lombok Tengah Provinsi NTB"/>
        <s v="Jl. Kuta Lombok, Sengkol, Kec. Pujut"/>
        <s v="Jl. Ahmad Yani No. 69 Telaga Ngembeng Narmada Lombok Barat"/>
        <s v="Jl. Catur Warga Mataram, Kelurahan Mataram Timur, Kecamatan Mataram, Kota Mataram 83126"/>
        <s v="Jl. Lintas Sumbawa Desa Sondosia Kec. Bolo Kab. Bima, NTB"/>
        <s v="Jl. Gajah Mada, Keluarahan Leneng, Kecamatan Praya"/>
        <s v="Jl. Wisata Gunung Rinjani Desa Suela Kec. Suela Kab. Lombok Timur"/>
        <s v="Jl. Raya Terara Desa Terara Kecamatan Terara Kabupaten Lombok Timur Provinsi Nusa Tenggara Barat"/>
        <s v="Jln. Ir. Sutami No. 1 Kelurahan Rabadompu Barat, Kecamatan Raba, Kota Bima, Provinsi NTB."/>
        <s v="Jalan Raya Praya - Mantang. Km.7. Desa Montong Terep, Kecamatan Praya, Kabupaten Lombok Tengah, Provinsi Nusa Tenggara Barat"/>
        <s v="Jl. Bung Karno No. 28 Mataram , Kelurahan Mataram Timur,  Kecamatan Mataram, Kota Mataram,  Nusa Tenggara Barat"/>
        <s v="Jalan Ahmad Yani No. 1 Kelurahan Selagalas Kecamatan Sandubaya Kota Mataram 83125"/>
        <s v="Jl. Bung Karno No.3 Pagesangan Timur, Mataram"/>
        <s v="JL.MAJAPAHIT NO.10 MATARAM"/>
        <s v="Jl. Sultan Kaharuddin Desa/Kel. Kerato Kec. Unteriwis Kab. Sumbawa"/>
        <s v="JL.Gajah Mada, No.6, Desa/Kelurahan Monggonao,kec. Mpunda, Kota Bima, Provinsi Nusa Tenggara Barat"/>
        <s v="Jl. Basuki Rahmat 110, Praya, Lombok Tengah, Nusa Tenggara Barat"/>
        <s v="Jl. Lintas Calabai Desa Doromelo Kecamatan Manggelewa Kabupaten Dompu Provinsi Nusa Tenggara Barat"/>
        <s v="Jl. Pejanggik No.115 Cakranegara Mataram"/>
        <s v="JLN. WOLOWARU-NGGELA RT 018/RW 009, DESA JOPU, KEC. WOLOWARU"/>
        <s v="Jl. Rantai Damai No. 69 D, Kel. Tuak Daun Merah."/>
        <s v="Jl. Nangka No.4,Waingapu-Sumba Timur"/>
        <s v="Jl. Jend. Sudirman No. 33 Kelurahan Sarotari Tengah, Kecamatan Larantuka, Kabupaten Flores Timur, Provinsi Nusa Tenggara Timur"/>
        <s v="Jl. R. W. Monginsidi Kelurahan Fatululi Kecamatan Oebobo"/>
        <s v="Jl. Bulgur No 1 - Weetebula"/>
        <s v="Jl. Soeverdi No. 20 Oebufu"/>
        <s v="Jl. Dr. Soetomo No. 1 Ruteng, Kab. Manggarai"/>
        <s v="Desa Saosina, Kec. Adonara Timur"/>
        <s v="Jl. R. W. Monginsidi I No 3, Kota Kupang Kel. Pasir Panjang, Kec. Kota Lama"/>
        <s v="Jl. Welonda, Desa Watu Kawula, Kec. Kota Tambolaka, Kab. Sumba Barat Daya"/>
        <s v="DESA RAJA TIMUR KECAMATAN BOAWAE KABUPATEN NAGEKEO"/>
        <s v="Jl. Letjen Suprapto Kefamenanu"/>
        <s v="jalan Trans Nagawutung"/>
        <s v="Jl. Timor Raya Km. 17 Noelbaki Kab. Kupang"/>
        <s v="Jl. Yos Sudarso No. 5 Osmok, Kel Namosain Kec.Alak, Kupang"/>
        <s v="Jl. Prof.DR WZ. Johannes No.6,Waingapu"/>
        <s v="Jl. Dr Moch Hatta No. 19 Kupang, Kel. Oetete. Kec. Oebobo"/>
        <s v="Jl. Taebenu RT. 007 RW. 003 Kel. Naimata Kec. Maulafa"/>
        <s v="Jalan Kakatua No. 38 Kelurahan Nunumeu Kecamatan Kota Soe"/>
        <s v="Lehong, Desa Gurung Liwut, Kecamatan Borong"/>
        <s v="Jl. Raya Halilulik - Betun, Dusun Halibaurenes"/>
        <s v="Jl. Wairklau, Kel. Kota Uneng, Kec. Alok, Kabupaten Sikka, Nusa Tenggara Timur"/>
        <s v="Jl. Viquam RT.15/RW.5 Kel. Manulai II Kec. Alak, Kota Kupang Provinsi Nusa Tenggara Timur 85238 Indonesia"/>
        <s v="Jl. Nangka No. 84 Kupang"/>
        <s v="Jl. Timor Raya KM.37 Oelamasi, Kupang"/>
        <s v="Jl. Lintas Selatan, Desa Tuafanu No. 1, Kec. Kualin"/>
        <s v="Jl. Eduardus Sangsung Kel. Wae Kelambu Kec. Komodo"/>
        <s v="Jl. Timor Raya  No. 134 Kelurahan Pasir Panjang Kecamatan Kota Lama Kota Kupang Nusa Tenggara Timur (85227)"/>
        <s v="Jl. Sukabihanawa No. 02 Desa Kamanasa Kec.Malaka Tengah,Kabupaten Malaka,Propinsi NTT"/>
        <s v="Jl. Ahmad Yani No. 29, Waingapu, Sumba Timur, NTT"/>
        <s v="Jl. Lintas Waingapu-Nggongi, Desa Nggongi Kec. Karera"/>
        <s v="Jl. Prof Dr. WZ.Johanes Ende"/>
        <s v="Jl. Masang, RT. 08 RW. 04 Kel. Welai Timur, Kec. Teluk Mutiara"/>
        <s v="Jl. El Tari No.2 Waikabubak"/>
        <s v="Jl. Diponegoro No. 5, Bajawa"/>
        <s v="Jl. H.R. Koroh, km. 08, Kel. Bello, Kec. Maulafa, Kota Kupang, NTT"/>
        <s v="Jl. Boegenville No.7 Soe - Timor Tengah Selatan"/>
        <s v="Jl. Trans Atadei Kel. Lewoleba Barat"/>
        <s v="Jl. Piere Tendean, Gerbades, Kota Atambua"/>
        <s v="Jl. Adhyaksa, Km.3, Kel. Diratana, Kec. Loli, Waikabubak"/>
        <s v="Jl.Ruteng-Labuan Bajo, Kel. Wae Belang"/>
        <s v="Jl. Frans Seda No. 17 RT.34 RW.09 Kelurhan Tuak Daun Merah, Kecamatan Oebobo, Kota kUpang-NTT"/>
        <s v="Jl. Dr Sutomo No. 2 Atambua"/>
        <s v="Jl.Trans Lembata No.1 Lewoleba Lembata"/>
        <s v="Desa Naob Kecamatan Noemuti Timur"/>
        <s v="Jl. Gabriel GampurKecamatan Komodo - Labuan BajoKab. Manggarai Barat"/>
        <s v="Jl. Adam Malik No.54 Kel. Kambajawa - Kecamatan Kota Waingapu"/>
        <s v="Jl. Eltari Kelurahan Maubeli, Kec. Kota Kefamenanu"/>
        <s v="Jln. Moch Hatta No.9-11 ,Kupang"/>
        <s v="Jl. Pelabuhan Reo Wangkung. Kec. Reok"/>
        <s v="Kewapante Kabupaten Sikka"/>
        <s v="Desa Satar Nawang Kec. Congkar Kab. Manggarai Timur"/>
        <s v="Desa Patiala Bawa Kec. Lamboya"/>
        <s v="Jl. KH.Dewantara, No.15 Bardao - Atambua Belu"/>
        <s v="Lela Maumere,Kab.Sikka"/>
        <s v="Jl. El-Tari Seba, Menia"/>
        <s v="Desa Aeramo, Kecamatan Aesesa Kabupaten Nagekeo"/>
        <s v="Kelurahan Ledeunu Kecamatan Raijua, Kabupaten Sabu Raijua"/>
        <s v="Jl. Prof. Adrianus Mooy, Kel. Mokdale, Kec. Lobalain, Kab. Rote Ndao"/>
        <s v="Jl. Lintas Waihibur Desa Umbu Mamijuk Kecamatan Umbu Ratu Nggay Barat Kabupaten Sumba Tengah"/>
        <s v="Jl. Dr Soetomo No 08 Kelurahan Kalabahi Kota Kec. Teluk Mutiara  Kab. Alor"/>
        <s v="Jl. Sanggau Ledo No. 20, Desa/Kelurahan Sebalo, Kec. Bengkayang, Kab. Bengkayang"/>
        <s v="Jl. Gunung Merapi No.03 RT 030 RW 012, Pasiran, Singkawang Barat"/>
        <s v="Jl. Raya Landau Apin - Tembaga, Desa Landau Apin Kec. Nanga Mahap"/>
        <s v="Jl. Raya Kuala Dua No. 2 Kab. Kubu Raya"/>
        <s v="Jl. Jenderal Sudirman Kec. Rasau Jaya Kubu Raya 78381"/>
        <s v="Jl. Sungai Raya Dalam No. 65, Bangka Belitung Darat, Pontianak Tenggara, Kota Pontianak, Provinsi Kalimantan Barat"/>
        <s v="Jalan. Abdul Kadir Kasim No. 20 Pemangkat"/>
        <s v="Jl. Parit H. Husin 1 Blok MD No. 1, Kec. Pontianak Tenggara, Kota Pontianak, Provinsi Kalimantan Barat"/>
        <s v="Jalan Merdeka Timur KM.6 Desa Mungguk, Kecamatan Sekadau Hilir, Kabupaten Sekadau, Provinsi Kalimantan Barat. Kode Pos. 79582"/>
        <s v="Jl. Sultan Abdurrahman No. 25 Kel. Sungai Bangkong Kec. Pontianak Kota"/>
        <s v="Jalan Dr. Rubini, Desa/Kelurahan Kuala Secapah, Kec. Mempawah Hilir, Kab. Mempawah, Provinsi Kalimantan Barat, Kode Pos : 78914"/>
        <s v="Jl. Brigjen Katamso No 7 Sukaharja Kec. Delta Pawan Ketapang"/>
        <s v="Jl. PMKS PT. SDK 1,Desa Batu Buil Kecamatan Belimbing Kabupaten Melawi Provinsi Kalimantan Barat"/>
        <s v="Jl. Raya Bengkayang Km.48, Desa Pasti Jaya, Kec. Samalantan"/>
        <s v="Jl. dr. Soedarso No.1, Kel.Bangka Belitung Kec. Pontianak Tenggara, Kota Pontianak, Kalimantan Barat"/>
        <s v="JL. Cempaka Kelurahan Ilir Kota RT 014/RW 003 Kecamatan Kapuas Kab. Sanggau"/>
        <s v="Jl. Khatulistiwa No. 151 Kel. Siantan Hilir, Kec. Pontianak Utara"/>
        <s v="Jl. Lintas Sekayam Desa Kenaman Kecamatan Sekayam Kabupaten Sanggau"/>
        <s v="Jln. Gunung Sari No. 10 Kelurahan Pasiran, Kecamatan Singkawang Barat, Kota Singkawang"/>
        <s v="Jl Raya Desa Binjai Kec.Tayan Hulu Kab. Sanggau Kalimantan Barat 78562"/>
        <s v="Dusun Tambangan RT. 001 RW. 002 Desa Puringan Kecamatan Teluk Keramat Kabupaten Sambas Kalimantan Barat"/>
        <s v="Jl. Juang Km. 2 Dusun Tanah Tinggi Desa Tanjung Niaga Kecamatan Nanga Pinoh Kabupaten Melawi Provinsi Kalimantan Barat"/>
        <s v="Jl. Adi Sucipto No. 41, RT. 3 RW. 1, Kel. Tanjung Puri, Kec. Sintang"/>
        <s v="Jl. P. Diponegoro No. 5 Singkawang"/>
        <s v="Jl. KH. Wahid Hasyim No. 249 Pontianak"/>
        <s v="Jl. Lintas Melawi No. 32 Sintang"/>
        <s v="Jl. Jend. Sudirman No.27 Ketapang"/>
        <s v="Jl. Sungai Raya No. 43, Kecamatan Sungai Raya"/>
        <s v="Jl. MT Haryono KM.3 RT 16 RW 5 Kelurahan Kapuas Kanan Hulu Kec. Sintang Kab. Sintang"/>
        <s v="Jl. Sultan Syarif Abdurrahman No. 54, Akcaya, Kec. Pontianak Selatan"/>
        <s v="Jl. Gusti Hamzah RT 007 RW 004, Desa/Kelurahan Durian, Kec. Sambas, Kab. Sambas, Provinsi Kalimantan Barat, Kode Pos : 79462"/>
        <s v="Jl. Ahmad Yani Pontianak Tenggara"/>
        <s v="Jl. Pendidikan no 300 Kecamatan Sambas Kabupaten Sambas Propinsi Kalimantan Barat"/>
        <s v="Jl. Profesor Dokter H. Hadari Nawawi, Bansir Laut, Kec. Pontianak Tenggara, Kota Pontianak, Kalimantan Barat 78115"/>
        <s v="Jl.Kom Yos Sudarso No. 42 Putussibau Kabupaten Kapuas Hulu Provinsi Kalimantan Barat"/>
        <s v="Jl. K. S. Tubun 14 Pontianak"/>
        <s v="Jl. Raya Ngabang Sanggau No.109 Kecamatan Ngabang Kabupaten Landak"/>
        <s v="Jl. Komodor Yos Sudarso Pontianak"/>
        <s v="Jl. Perwira No. H15 Singkawang"/>
        <s v="Jl. Kelakik KM. 4 Nanga Pinoh Kabupaten Melawi"/>
        <s v="Jln. Dharma Bakti No. 45 C Nanga Pinoh"/>
        <s v="Jl. Lintas Badau Na.Kantuk Dusun Perumbang Desa Kekurak, Kec. Badau"/>
        <s v="Jl. Jend Sudirman Sanggau, Kecamatan Kapuas, Kabupaten Sanggau, Provinsi Kalimantan Barat"/>
        <s v="Jl. MT. Haryono RT 11 RW 03 Kelurahan Kapuas Kanan Hulu Sintang"/>
        <s v="Jln. Muhammad Saad RT 003 RW 004  Kelurahan Tanjung Puri Sintang"/>
        <s v="Jl. Raya Singkawang Bengkayang KM 15 Singkawang"/>
        <s v="Jl. Adi Sucipto KM 6.5 Sei Raya Kubu Raya"/>
        <s v="Jl. Provinsi Sukadana, Teluk Batang, Dusun Senebing RT. 03/ RW.1 Desa Harapan Mulia Kecamatan Su"/>
        <s v="Jl. Panjaitan No.51 Ketapang"/>
        <s v="Jl. Suhaid Semitau"/>
        <s v="Jl. H. Baijoeri Desa Mekar Sari Kec. Serawai"/>
        <s v="Jl. P. Belitung No. 61 Singkawang"/>
        <s v="Jl. Jurusan Anjungan Bengkayang Desa Tunang Kec. Mempawah Hulu"/>
        <s v="JL. Siam No.153 Pontianak"/>
        <s v="Jl. Tanjung Raya II Kel. Tambelan Sampit, Kec. Pontianak Timur, Kota Pontianak, Kalimantan Barat"/>
        <s v="Jl. Dr Soetomo No. 28, Singkawang"/>
        <s v="Jl. Gusti Sulung Lelanang Blok EA No. 2-5 Kota Pontianak"/>
        <s v="Jl. Y.C. Oevang Oeray, No. 1  Desa Sungai Ana, Kec. Sintang, Kab. Sintang Kec. Sintang"/>
        <s v="Jl. Tjilik Riwut Km. 1,5 No. 04 RT. 004 RW. 004 Kelurahan Palangka, Kecamatan Jekan Raya, Kota Palangka Raya, Provinsi Kalimantan Tengah 73112"/>
        <s v="Jl. Diponegoro No. 24/26 Kel. Langkai Kec. Pahandut Kota Palangkaraya"/>
        <s v="Jl. RTA. Milono KM. 2,5, Desa/Kelurahan Menteng, Kec. Jekan Raya, Kota Palangka Raya, Provinsi Kalimantan Tengah, Kode Pos : 73112"/>
        <s v="Jl. A. Yani No. 01, Puruk Cahu"/>
        <s v="Jl. H M Arsyad No. 65 Sampit"/>
        <s v="Jl. Trans Kalimantan KM.04, Desa Kujan, Kec. Bulik"/>
        <s v="Jl. Tambun Bungai  No. 16 Kuala Kapuas"/>
        <s v="Jl. W.A.D Duha Komplek Perkantoran Kab. Pulang Pisau  Provinsi Kalimantan Tengah"/>
        <s v="Jl. Danau Gatal, Diung, RT 007, Kel. Kotawaringin Hulu"/>
        <s v="Jl. Patianom Nomor 6 Buntok Kode Pos.737112 Kalimantan Tengah Telepon (0525) 21261 Faksimile (0525)"/>
        <s v="Jl. Mahir Mahar Km. 18.5 Kel. Kalampangan, Kec. Sebangau, Kota Palangka Raya,  Provinsi Kalimantan Tengah"/>
        <s v="Jl. Trans P. Raya - Kuala Kurun KM. 16 Desa Bukit Rawi"/>
        <s v="Jl. Diponegoro No.55 Palangkaraya Kalteng"/>
        <s v="Jl. Beliang No.21 RT 001 RW 022 Kelurahan Palangka Kecamatan Jekan Raya Kota Palangka Raya Provinsi Kalimantan Tengah 73112"/>
        <s v="Jl. Iskandar No. 88 RT. 07 Kelurahan Madurejo Kecamatan Arut Selatan Kabupaten Kotawaringin Barat Provinsi Kalimantan Tengah"/>
        <s v="Jl. Yetro Sinseng Muara Teweh No. 2 Muara Teweh, Kelurahan Lanjas, Kecamatan Teweh Tengah, Kabupaten Barito Utara, Provinsi Kalimantan Tengah"/>
        <s v="Jl. L. I. Nuhan. Tumbang Talaken, Kelurahan Tumbang Talaken, Kecamatan Manuhing, Kabupaten Gunung Mas, Provinsi Kalimantan Tengah Kode pos 74562"/>
        <s v="Jl. Sutan Syahrir No 17  Kelurahan Madurejo, Kecamatan Arut Selatan"/>
        <s v="Jl. Tjilik Riwut Km 5,5 Nomor 35 Sukamara"/>
        <s v="Jl. Tjilik Riwut No.1,Kasongan, Kelurahan Kasongan Lama, Kecamatan Katingan Hilir, Kabupaten Katingan, Provinsi Kalimantan Tengah"/>
        <s v="Jl. Ahmad Yani No. 22"/>
        <s v="Jl. A. Yani No.30 Kelurahan Kuala Pembuang Satu, Kecamatan Seruyan Hilir, Kabupaten Seruyan, Provinsi Kalimantan Tengah"/>
        <s v="Jl. RTA Milono KM. 4 No. 425"/>
        <s v="Jl. Malijo No.RT.14, Madurejo, Kec. Arut Sel., Kabupaten Kotawaringin Barat, Kalimantan Tengah 74181"/>
        <s v="Jl. Jend. A. Yani No. 43 Kuala Kurun Kab. Gunung Mas"/>
        <s v="Jl. Lesa  No. 39 RT 001 / RW 001, Desa Bajarau, Kecamatan Parenggean Kabupaten Kotawaringin Timur Kalimantan Tengah"/>
        <s v="Jl. Tumbang Samba Pundu KM. 2.5 Katingan Tengah"/>
        <s v="Jl. Tambun Bungai No.4 Palangkaraya"/>
        <s v="Jl. Tjilik Riwut Km 6.5 RT. 002 RW. 011"/>
        <s v="Jl. George Obos No. 29 RT. 004 RW.002 Kelurahan Menteng Kecamatan Jekan Raya Kota Palangka Raya Provinsi Kalimantan Tengah"/>
        <s v="Jl. Sampit Pangkalan Bun Km.142 Pembuang Hulu kec. Hanau Kab. Seruyan Provinsi Kalimantan Tengah"/>
        <s v="Jl. Nansarunai Tamiang Layang No. 62 Kecamatan Dusun Timur  Kabupaten Barito Timur Provinsi Kalimantan Tengah"/>
        <s v="Jl. A. Yani Km 68 Rt.006 Rw.003 Kel. Sarang Harang Kec. Pelaihari"/>
        <s v="Jl Brigjend H. Hasan Basry No.1, Banjarmasin"/>
        <s v="Jl A. Yani RT 7B RW 03 Kel. Angsau Kec. Pelaihari"/>
        <s v="Jl. Jend. A. Yani No. 28 A Tumpang Talu Kelurahan Kandangan Barat Kecamatan Kandangan Kabupaten Hulu Sungai Selatan Provinsi Kalimantan Selatan Kode Pos 71213"/>
        <s v="Jl. Sekumpul No. 66 Kelurahan Jawa, Kecamatan Martapura, Kabupaten Banjar, Provinsi Kalimantan Selatan"/>
        <s v="Jl. A. Yani Km.38, Kawasan Komersial Sekumpul, Kelurahan Jawa, Kecamatan Martapura, Kabupaten Banjar, Provinsi Kalimantan Selatan, 70614"/>
        <s v="Jl. Jenderal Sudirman KM. 425  Sengayam, Pamukan Barat, Kotabaru Kalimantan Selatan  72184"/>
        <s v="Jl. Tanjung Baru Desa Maburai Kecamatan Murung Pudak Kabupaten Tabalong Kode Pos 71571 Kalimantan Selatan"/>
        <s v="Jl Jafri Zamzam No 56 RT  33 Banjarmasin"/>
        <s v="Jl. Lingkar Timur Km.1,7, Kelurahan Paringin Kota, Kecamatan Paringin, Kabupaten Balangan, Kalimantan Selatan"/>
        <s v="Jl. Ir. Pangeran M. Noor No. 50A RT/RW. 004/005, Kel. Sungai Ulin Kec. Banjarbaru Utara, Kota Banjarbaru, Provinsi Kalimantan Selatan"/>
        <s v="Jl Menteri Empat Martapura Kabupaten Banjar Kalimantan Selatan"/>
        <s v="Jl.Jend. Ahmad Yani KM.4,5 No.73 , Kel. Kebun Bunga, Kec. Banjarmasin Timur, Kota Banjarmasin, Provinsi Kalimantan Selatan, Kode Pos: 70235"/>
        <s v="Jl. R.O Ulin No. 93 Kel. Loktabat Selatan, Kec. Banjarbaru Selatan Kota Banjarbaru Kalimantan Selatan"/>
        <s v="Jl. Pahlawan No. 15 Kel. Kandangan Utara Kab. Hulu Sungai Selatan Prop. Kalimantan Selatan"/>
        <s v="JL. Pusaka RT. 01 RW. 01 - Desa Kintap Kec. Kintap Kabupaten Tanah Laut https://maps.app.goo.gl/xHgNMASPwKjwBE2KA"/>
        <s v="Jl. HM. Amin KM. 10 RT. 03, Desa Sepunggur, Kec. Kusan Tengah, Kab.Tanah Bumbu, Kal.Sel."/>
        <s v="Jl. H. Isbat RT 09 Kel. Kupang Kec. Tapin Utara"/>
        <s v="Jl. Jend Sudirman No.10, RT. 13 RW. 001, Kelurahan Ulu Benteng, Kecamatan Marabahan, Kabupaten Barito Kuala, Provinsi Kalimantan Selatan, 70513"/>
        <s v="Jl. A. Yani Km.3,5 Banjarmasin"/>
        <s v="Jl. A. Yani, Km 31 Guntung manggis, Kec. Landasan Ulin, Kota Banjar Baru, Kalimantan Selatan 70721"/>
        <s v="Jl. Zafri Zam-Zam No.60 Kelurahan Belitung Selatan Kecamatan Banjarmasin Barat Kota Banjarmasin"/>
        <s v="Jl. Norman Umar RT. 07 Kelurahan Kebun Sari Kecamatan Amuntai Tengah Kabupaten Hulu Sungai Utara Provinsi Kalimantan Selatan"/>
        <s v="Jl. Ahmad Yani Km. 2 RT. 014 RW. 02, Sungai Baru Banjarmasin Tengah"/>
        <s v="Jalan Jenderal  Sudirman No.26A RT.01 RK.I Hamalau, Sungai Raya, Kab. Hulu Sungai Selatan"/>
        <s v="Jl. A. Syairani RT 04 RW 2 Kel. Sarang Halang Kec. Pelaihari Kabupaten Tanah Laut"/>
        <s v="Jl. Mayjen Soetoyo S No. 408  Banjarmasin"/>
        <s v="Jl. Brigjen Hasan Basri,Desa/Kelurahan Muara Tapus, RT.03 No.127, Kecamatan Amuntai Tengah Kabupaten Hulu Sungai Utara, Provinsi Kalimantan Selatan  kode pos. 71419"/>
        <s v="Jl. Brigjend. H. Hasan Basri No.57 Kelurahan  Semayap, Kecamatan Pulau Laut Utara,Kabupaten Kotabaru, Provinsi Kalimantan Selatan"/>
        <s v="Jl. Pangeran Antasari No 139 Banjarmasin"/>
        <s v="Jl. Jend. Sudirman No. 10 Hamalau  Hulu Sungai Selatan"/>
        <s v="Jl. Gas No. 1, Komperta Murung Pudak, Tanjung"/>
        <s v="Jl Gubernur Syarkawi KM.3,9 Kec.Gambut Kab. Banjar"/>
        <s v="Jl.Kodeco KM 4, Desa Sarigadung Kec. Simpang Empat Kab. Tanah Bumbu."/>
        <s v="Jl. Hercules No. 17 Landasan Ulin Kota Banjarbaru Provinsi Kalimantan Selatan Kode Pos 70724"/>
        <s v="Jl. Panglima Batur Timur No. 52, Kel. Banjarbaru Utara, Kec. Komet"/>
        <s v="Jl. Jen A Yani No.43, Banjarmasin Kalimantan Selatan"/>
        <s v="Jl. Achmad Yani Km. 17,5 RT. 15 RW. 03 Kel. Landasan Ulin Barat Kec. Liang Anggang"/>
        <s v="Jl Pihanin Raya, Desa Pihanin Kecamatan Daha Selatan Kabupaten Hulu Sungai Selatan"/>
        <s v="Jl. Ahmad Yani KM 36, Rt. 003, Rw.001, Kel. Sungai Ulin Kec. Banjarbaru Utara, Kota Banjarbaru, Kalimantan Selatan."/>
        <s v="Jl. Tarantang RT 13 RW 04 Kel. Bitahan Kec. Lokpaikat Rantau Kalimantan Selatan 71154"/>
        <s v="Jl. Rantauan Darat RT. 04 RW. 01 Kel. Kelayan Selatan, Kec. Banjarmasin Selatan"/>
        <s v="Jl. Aes Nasution, No.102, Seberang Mesjid, kec. Banjarmasin Tengah, Kota Banjarmasin"/>
        <s v="JL. TRIKORA NO. 115 RT 09 RW 01 KELURAHAN GUNTUNG MANGGIS, KECAMATAN LANDASAN ULIN, KOTA BANJARBARU, PROVINSI KALIMANTAN SELATAN"/>
        <s v="Jl. A. Yani Km 7,8 Komplek Perumahan Citra Land Banjarmasin"/>
        <s v="JL. S PARMAN GG PURNAMA NO. 01, Desa/Kelurahan Pasar Lama, Kec. Banjarmasin Tengah, Kota Banjarmasin, Provinsi Kalimantan Selatan, Kode Pos: 70115"/>
        <s v="RSIA Paradise Jl. Ins-Gub No. 267 RT. 006 RW.002 Kel Kampung Baru, Kec Simpang Empat, Kabupaten Tanah Bumbu, Provinsi Kalimantan Selatan, Kode pos 72212"/>
        <s v="Jl. Murakata No. 4, Kecamatan Barabai, Kab. Hulu Sungai Tengah"/>
        <s v="Jl. Taisir No. 2 Kelurahan Jawa, Kec. Sungai Sipai, Martapura Kota"/>
        <s v="Jl. Simpang Ulin No.28, Kelurahan Sungai Baru, Kecamatan Banjarmasin Tengah, Kota Banjarmasin, Provinsi Kalimantan Selatan"/>
        <s v="Jl. Sultan Hasanuddin Poros Talisayan Kode Pos 77321, Kecamatan Talisayan, Kabupaten Berau"/>
        <s v="Jl. MT Haryono No.656, Batu Ampar, Kec. Balikpapan Utara, Kota Balikpapan, Kalimantan Timur 76115"/>
        <s v="Jl. Yos Sudarso III No. 77 Teluk Lingga Sangatta"/>
        <s v="Jl. Mulawarman No. 24 RT. 51 Manggar Baru Balikpapan Timur"/>
        <s v="Jl. Pangeran Hidayatullah No. 11 kelurahan Pelabuhan, Kecamatan Samarinda Kota, Kota Samarinda"/>
        <s v="Jl Balikpapan - Handil II, RT 01 Kelurahan Sungai Seluang , Kecamatan Samboja, Kabupaten Kutai Kartanegara, Provinsi Kalimantan Timur 75271"/>
        <s v="Jl. Negara KM.38 Desa Sukaraja Kec. Sepaku 76148"/>
        <s v="Jl. Poros Muara Bengkal RT. 16 Desa Benua Baru Kec. Muara Bengkal  Kab. Kutai Timur"/>
        <s v="Jl. Imam Bonjol no. 01, Balikpapan"/>
        <s v="Jl. Kakap No.23 Samarinda"/>
        <s v="Jl. Tanjungpura I Balikpapan"/>
        <s v="Jl. Yos Sudarso II No. 82 - 83 Sangatta Kec.Sangatta UtaraKab.Kutai timur Kalimantan Timur"/>
        <s v="Jl. Raya Kutai Komplek PT BADAK NGL NO: 1 RT: 10 Kelurahan Satimpo Kecamatan Bontang Selatan. Kota Bontang, Provinsi Kalimantan Timur,  Kode pos 75324"/>
        <s v="Jl. Mulawarman RT. 23 Desa Sepaso Kec. Bengalon Kab. Kutai Timur"/>
        <s v="Jl. Yos Sudarso II, No.101, Sangatta Kabupaten Kutai Timur Kalimantan Timur"/>
        <s v="Jl. Soekarno Hatta No.1, Kecamatan : Sangatta Utara Kabupaten Kutai Timur, Provinsi Kalimatan Timur"/>
        <s v="Jl. Mulawarman No.RT. 31, Sepinggan, Kecamatan Balikpapan Selatan, Kota Balikpapan, Kalimantan Timur 76115"/>
        <s v="Jl. Sepinggan Baru No. 104 Kel. Sepinggan Kec. Balikpapan Selatan."/>
        <s v="J.l Dahlia No.4,Samarinda"/>
        <s v="Jl. Jend Sudirman No. 14 Kel Prapatan, Kec Balikpapan Kota, kota Balikpapan, Provinsi Kalimantan Timur"/>
        <s v="Jl. Wain No.33 Kebun Sayur Kel.Baru Ilir Kec.Balikpapan Barat Kota Balikpapan Provinsi Kalimantan Timur Kode Pos 76131"/>
        <s v="Jl. Let. Jend. S. Parman No.1 RT.49 Kel. Belimbing Kec. Bontang Barat Kota Bontang Prov. Kalimantan Timur Kode Pos 75313"/>
        <s v="Kawasan Inti Pusat Pemerintahan, Kelurahan Sepaku, Sepaku, Nusantara"/>
        <s v="Jl. Yos Sudarso I No.01"/>
        <s v="Jalan Muhammad Yamin No. 04 RT. 019, Kelurahan Gunung Kelua Kecamatan Samarinda Ulu, Kota Samarinda Kalimantan Timur"/>
        <s v="Jl. Kusuma Bangsa KM.5 Tanah Grogot"/>
        <s v="Jl. Gn. Merbabu No.62 Samarinda"/>
        <s v="Jl. Senopati RT. XIV Busur, Kel. Barong Tongkok, KEc. Barong"/>
        <s v="Jl Propinsi KM 9 Kab. Penajam Paser Utara"/>
        <s v="Jl. MT.Haryono Komplek Perumahan Balikpapan Baru Blok A.3A No.7-9"/>
        <s v="Ruko Sentra Eropa Blok AA-2B No. 16, Kelurahan Damai Baru, Kecamatan Balikpapan Selatan"/>
        <s v="Jl. Hasanudin N0.100, Sekolaq Joleq, Kecamatan Sekolaq Darat, Kabupaten Kutai Barat, Kalimantan Timur 75777"/>
        <s v="Jl.Teuku Umar Kelurahan Karang Asam Kecamatan Sungai Kunjang"/>
        <s v="Jl. P. Hidayatullah No. 64 Kel. Pelabuhan Kec. Samarinda Kota, Kota Samarinda, Provinsi Kalimantan Timur"/>
        <s v="Jl. Sengkereaq Ingkih RT. 002, Kampung Linggang Bigung, Kec. Linggang Bigung"/>
        <s v="Jl. Jend Sudirman Balikpapan No.1"/>
        <s v="Jl. Yos Sudarso IV No. 1, Sangatta"/>
        <s v="Jl. Basuki Rachmat No. 50,  kel. Bugis, kec. Samarinda kota, Kota Samarinda, Kalimantan Timur, Indonesia 75111"/>
        <s v="Jl. Yos Sudarso IV No. 9 Sangatta"/>
        <s v="Jl. Kadrie Oening No 85  RT 35 Samarinda 751234"/>
        <s v="Jl. Jend A.Yani No. 12 Balikpapan Kalimantan Timur"/>
        <s v="Jl. DI Panjaitan No.77, Mugirejo, Kec. Sungai Pinang, Kota Samarinda, Kalimantan Timur 75117"/>
        <s v="Jl. Oksigen No.01 Komplek PT Kalimantan Timur Kelurahan Guntung Kecamatan Bontang Utara"/>
        <s v="Jl. Poros Kota Bangun - Tenggarong KM.5 RT. 001 No. 69 Desa Liang, Kec. Kota Bangun, Kab. Kutai Kartanegara, Provinsi Kalimantan Timur Kode Pos 75561"/>
        <s v="Jl. Pulau Panjang No.276 Tanjung Redeb"/>
        <s v="Jl. R. Soeprapto No. 22 Bontang - Kalimantan Timur"/>
        <s v="Jl. H.A.M.M Rifaddin No. 1 , Kelurahan Harapan Baru, Kecamatan Loa Janan Ilir, Kota Samarinda, Provinsi Kalimantan Timur"/>
        <s v="Jalan Palang Merah Indonesia Nomor 1, Sidodadi, Samarinda Ulu"/>
        <s v="Jl. Brigjen Katamso No.40"/>
        <s v="Jl. Wana Bhakti, Desa Benua Baru Ulu, Kec. Sangkulirang, Kab. Kutai Timur"/>
        <s v="Jl.  Ramania No. 3 - Kelurahan Sidodadi - Samarinda Ulu - Kota Samarinda - Kalimantan Timur"/>
        <s v="JL. MT. Haryono Dalam No. 23"/>
        <s v="Ujoh Bilang Kec. Long Bagun Kab. Mahakam Ulu"/>
        <s v="Jl. Ratu Agung No. 1 Kecamatan Tenggarong Seberang  Kabupaten Kutai Kartanegara Propinsi Kalimantan Timur"/>
        <s v="Jalan Mayjend Sutoyo No. 30 RT. 01 Kel. Gunung Sari Ulu, Kec. Balikpapan Tengah, Kota Balikpapan, Provinsi Kalimantan Timur"/>
        <s v="Jl. Kesuma Bangsa No. 1B RT 18, Sungai Pinang Luar,Kec .Samarinda Kota,Kota Samarinda, Kalimantan Timur 75242"/>
        <s v="Jl. Jend. Sudirman no.52 Samarinda"/>
        <s v="Jl. MT Haryono No 45 Kelurahan Sepinggan Baru, Kecamatan Balikpapan Selatan, Kota Balikpapan"/>
        <s v="Jl. Karya Bersama RT 18 Kel. Juata Laut Kec. Tarakan Utara"/>
        <s v="Jl. Mulawarman No. 99 RT. 18 Kel. Karang Anyar Pantai Kec. Tarakan Barat"/>
        <s v="Jl P. Irian No. 01 Skip Tarakan"/>
        <s v="Jl. Batu Aloq Desa Long Ampung  RT 3, Kecamatan Kayan Selatan"/>
        <s v="Jl. Padaelo RT. 08 Desa Tanjung Karang Kecamatan Sebatik kabupaten Nunukan Propinsi Kalimantan Utara Kode Pos 77483"/>
        <s v="Jl. Trans Lumbis Desa Pembeliangan RT. 3 Kec. Sebuku Kab. Nunukan"/>
        <s v="Jl. Poros  Rt.001 Desa Sambungan Selatan Kecamatan Tana Lia, Kabupaten .Tana Tidung, Provinsi Kalimantan Utara"/>
        <s v="Jl. Aki Babu RT 01 Kelurahan Karang Harapan Kecamatan Tarakan Barat Kota Tarakan Provinsi Kalimantan"/>
        <s v="Desa Langap Rt. 006 Kec. Malinau Selatan Kab. Malinau Provinsi Kalimantan Utara"/>
        <s v="Jl. Semangka RT 022/RW 008, Kel. Tanjung Selor Hilir, Kec. Tanjung Selor"/>
        <s v="Jl RE. Martadinata No. 29 Kel. Pamusian kec. Tarakan Tengah.Tarakan"/>
        <s v="Jl. Cenderawasih No. 3 Tanjung Harapan, Kel. Tanjung Selor Hilir Kec. Tanjung Selor"/>
        <s v="Jl. Respen Tubu Sembuak Warod Kec. Malinau Utara  Kab. Malinau Kode Pos (77554), Provinsi Kalimantan Utara Telp/Fax (0553) 2022220 - 2022215"/>
        <s v="Jl. Tiram No. 3 Kel. Sebengkok Tarakan"/>
        <s v="Desa Pa' Mering"/>
        <s v="Jl. Ujang Fatimah RT.04 Nunukan Barat"/>
        <s v="Jl. Padat Karya RT.01 RW.01, Desa Tideng Pale Timur Kecamatan Sesayap Kabupaten Tana Tidung Provinsi Kalimantan Utara 77152"/>
        <s v="Jl.Raya Noongan Langowan Barat"/>
        <s v="JL. J.W. Lasut Ratatotok II Kecamatan Ratatotok, Minahasa Tenggara, Sulawesi Utara"/>
        <s v="Jl. S. Parman No.201"/>
        <s v="Kolongan Atas, Sonder"/>
        <s v="Jl. Lingkar Ringroad, Kelurahan Tingkulu, Kecamatan Wanea, Kota Manado, Provinsi Sulawesi Utara, Kode Pos 95117."/>
        <s v="Jl. Ir. Soekarno Desa Maumbi Kec. Kalawat"/>
        <s v="Jl. Pingkan Matindas, Dendengan dalam,Manado"/>
        <s v="Kampung Naha Kecamatan Tabukan Utara"/>
        <s v="Jl. A.A. Maramis, Kelurahan Lapangan, Kecamatan Mapanget, Kota Manado, Provinsi Sulawesi Utara"/>
        <s v="Kampung Binalu, Kec : Siau Timur Selatan"/>
        <s v="Jl. Talaga Tomoagu Bolangitang"/>
        <s v="Jl. Pinaras, Kelurahan Tumatangtang Satu Kecamatan Tomohon Selatan"/>
        <s v="Jl. A. Mononutu Desa Lembean Kec. Kauditan Kab. Minahasa Utara"/>
        <s v="Jl. Jend Sudirman No.78, Kelurahan Lawangirung, Kecamatan Wenang, Kota Manado, Provinsi Sulawesi Utara."/>
        <s v="Jl. Sam Ratulangi X/9A Bitung"/>
        <s v="Jl. Trans Sulawesi desa Molibagu Kecamatan Bolaang Uki, Kabupaten Bolaang Mongondow selatan, Provinsi Sulawesi Utara Kode Pos 95770"/>
        <s v="Jl. Raya Tanawangko No.56, Manado"/>
        <s v="Jl. Yos Sudarso No.38-40, Kec. Paal Dua"/>
        <s v="Jl. Raya Ratahan - Liwutung Desa Towuntu Timur Kec. Pasan Kabupaten Minahasa Tenggara"/>
        <s v="Jl. Pingkan Matindas, Kelurahan Dendengan Dalam"/>
        <s v="Jaga II (dua) desa Pinaesaan, Kecamatan Tompasobaru, Kabupaten Minahasa Selatan"/>
        <s v="Jl. Raya Manado-Bitung Kel. Kairagi Satu Kec. Mapanget Kota Manado"/>
        <s v="Jl. W. Z. Johanis No.I Kota Manado"/>
        <s v="Jl. Dr. Soetomo No. 3"/>
        <s v="Jl. S. H. Sarundajang Kel. Manembo-nembo Tengah Kec. Matuari"/>
        <s v="Jl. Raya Manado-Tateli Desa Tateli Satu Kec. Mandolang"/>
        <s v="Desa Teeptrans Jl. Trans Sulawesi Kecamatan Amurang Barat"/>
        <s v="Desa Kalasey Dua Kec. Mandolang Kab. Minahasa"/>
        <s v="Jl. Bethesda No. 77 Manado"/>
        <s v="Jl. A. Yani No.720, Kotamobagu Utara"/>
        <s v="Lingkungan V Kelurahan Buyungon, Kecamatan Amurang, Kabupaten Minahasa Selatan, Provinsi Sulawesi Utara, Kode Pos 95954"/>
        <s v="Jln. Raya Tomohon, Kelurahan Talete Satu, Kecamatan Tomohon Tengah, Kota Tomohon, Provinsi Sulawesi Utara"/>
        <s v="Jl. Sam Ratulangi 326 Manado"/>
        <s v="Jl. Ring Road 2 Lingkungan 1 Kel. Paniki Bawah Kec. Mapanget"/>
        <s v="Jalan Tatehe Kelurahan Apengsembeka Kecamatan Tahuna"/>
        <s v="Kelurahan Bahoi Jln Batuline Tagulandang - Kab.Sitaro"/>
        <s v="Jl. Amurang Kotamobagu Desa Sumber Rejo Kecamatan Modayag Kabupaten Bolaang Mongondow Timur"/>
        <s v="Jl. Raya Ringroad I Kelurahan Tingkulu Lingkungan V, Kecamatan Wanea, Kota Manado, Prov. Sulawesi Utara"/>
        <s v="Jl. Arnold Mononutu - Kel.Sarongsong II - Airmadidi"/>
        <s v="Jl. Sejahtera No. 282 Tomohon"/>
        <s v="Jl. 14 Februari No. 1 Teling Atas Kelurahan Teling Atas, Kecamatan Wanea Kota Manado Provinsi Sulawesi Utara 95119"/>
        <s v="Jl. Pogidon Raya No.110 Tuminting Manado"/>
        <s v="Jl Raya Taturan - Gemeh Kecamatan Gemeh Kabupaten Kepulauan Talaud"/>
        <s v="Kel. Bitung Tengah Kec. Maesa"/>
        <s v="Kayowas Jaga I Langowan Barat Minahasa"/>
        <s v="Jl. Yos Sudarso No. 26 ,Kel.Bitung Barat Dua, Kec. Maesa, Kota Bitung, Sulawesi Utara"/>
        <s v="Kelurahan Pobundayan Kecamatan Kotamobagu Selatan"/>
        <s v="Jl. Kolonel Soegiono No. 101 Kelurahan Kotabangon Kecamatan Kotamobagu Timur"/>
        <s v="Jl. Vongkuru Desa Pimpi Kecamatan Bintauna"/>
        <s v="Jl. R. W. Mongisidi No.1 Kompleks Bahu Mall Blok C.23 Kelurahan Bahu Kecamatan Malalayang Kota Manado 95115"/>
        <s v="Jl. 14 Februari Telling Atas Manado"/>
        <s v="Jl. Desa Lolak II Kec. Lolak Kabupaten Bolaang Mongondow"/>
        <s v="Jl. Arnold Mononutu No.176 Sarongsong 1, Kec. Airmadidi, Kab. Minahasa Utara, Sulawesi Utara"/>
        <s v="Jln. Rajawali No. 8 - Kec. Paal 2 - Kel. Paal 2 - Kota Manado - 95129"/>
        <s v="JL.Sam Ratulangi No.22 Boulevard Center"/>
        <s v="Jl. Dr. Sam Ratulangi XIII Kelurahan Titiwungen Kecamatan Sario Kota Manado Provinsi Sulawesi Utara"/>
        <s v="Jl. Raya Mala Kec. Melonguane"/>
        <s v="Jl. R. Suprapto, Luaan, Kec. Tondano Utara, Kabupaten Minahasa, Sulawesi Utara"/>
        <s v="Desa Tompudau, Kec. Tinangkung, Kab. Banggai Kepulauan, Provinsi Sulawesi Tengah"/>
        <s v="Jl. Jenderal Sudirman No.33  Kel Kasintuwu Poso"/>
        <s v="Desa Apal Kecamatan Buko Selatan"/>
        <s v="Jl. Sisinga Mangaraja No.4, Palu"/>
        <s v="Jl. St Hasanudin No. 32, Kel. Labiabae, Kec. Ampana Kota, Kabupaten Tojo Una-Una, Provinsi Sulawesi Tengah"/>
        <s v="Jl. L.H. Woodward No.1 Palu"/>
        <s v="Jl. Sis Al Jufri No.214 Parigi Moutong"/>
        <s v="Jl. Trans Sulawesi Dsn II Tinombo"/>
        <s v="Jl. Jend. H. M. Soeharto no. 10, Kel. Petobo, Kec. Palu Selatan, Kota Palu, Provinsi Sulawesi Tengah"/>
        <s v="Jl. Samudra No 1 Desa Mapane Tambu Kec. Balaesang Kab. Donggala"/>
        <s v="Jl. Maluku No. 44 Palu"/>
        <s v="Jl. KM. 07 Desa Adean Kecamatan Banggai Tengah Kabupaten Banggai Laut Provinsi Sulawesi Tengah"/>
        <s v="Desa Baturube Kode Pos 94972"/>
        <s v="Jl. Lanoni No.37 Kel Baru Kec Baolan kab Toli-Toli, Sulteng"/>
        <s v="Jl. Trans Sulawesi , Desa Bahomohoni, Kec. Bungku Tengah, Kab. Morowali, Provinsi Sulawesi Tengah"/>
        <s v="Desa Wakai Kec. Una-una Kab. Tojo Una-una"/>
        <s v="Jln.Trans Sulawesi no.7 Kampal Parigi"/>
        <s v="jl Tadulako No 20 Kel. Bonesompe Kec. Poso Kota Utara Kabupaten Poso"/>
        <s v="Jl. H. Samsurizal Tombolotutu No.1 Salumpengut Kec. Moutong"/>
        <s v="JL. RE. Martadinata, Desa/Kelurahan Talise, Kec. Mantikulore, Kota Palu, Provinsi Sulawesi Tengah"/>
        <s v="Desa Lakombulo Kec. Bungku Selatan Kab. Morowali, Provinsi Sulawesi Tengah"/>
        <s v="Jl. dr. Aziz Maralla No. 12 Kolonodale Kec. Petasia Kab. Morowali Utara"/>
        <s v="JL. TRANS PALU - PALOLO KM. 15 DESA/KELURAHAN, SIDERA KEC. SIGI BIROMARU KAB. SIGI PROVINSI SULAWESI TENGAH."/>
        <s v="Jl. Kesehatan No. 6 Desa Malala Kec. Dondo  Kab. Tolitoli, Sulawesi Tengah"/>
        <s v="Jl. Kangkung No.1, Desa/Kelurahan Donggala Kodi, Kec. Ulujadi, Kota Palu, Provinsi Sulawesi Tengah, Kode Pos : 94226"/>
        <s v="Jl. MT Haryono 24 Palu"/>
        <s v="Jl. Setia Budi No.98. Tentena Kec. Pamona Puselemba"/>
        <s v="Jl. Trans Sulawesi Luwuk Palu Desa Tongkonunuk Kec. Pagimana"/>
        <s v="Jl. Thalua Kontji No. 11  Mamboro Barat Kecamatan Palu Utara"/>
        <s v="Jl.SIS ALJUFRI No 72, PALU"/>
        <s v="Jl. Sungai Musi No. 17 Kelurahan Soho Kecamatan Luwuk"/>
        <s v="Jl. Poros  Palu - Donggala Desa/Kelurahan Kabonga Besar, Kecamatan Banawa ,Kabupaten Donggala ,Provinsi Sulawesi Tengah"/>
        <s v="Jl. Imam Bonjol KM 3 No. 14 Luwuk"/>
        <s v="JL. Towua No 77 Palu"/>
        <s v="Desa Tanimpo, Kec. Una Una"/>
        <s v="Jl. Raden Saleh 31 Palu"/>
        <s v="Jl. DR. Suharso Lrg III No. 2 Palu"/>
        <s v="JL Soekarno Hatta Kilometer 9 Kampus Bumi Tadulako"/>
        <s v="Jln. DR. Wahidin Sudirohusodo No.12 Kel. Leok II  Kec. Biau Kabupaten Buol Provinsi Sulawesi Tengah"/>
        <s v="Jl. Jend Sudirman, Kelurahan Galonta, Kecamatan Enrekang, Kabupaten Enrekang, Provinsi Sulawesi Selatan"/>
        <s v="Jalan RA Kartini No. 15 - 17 Makassar"/>
        <s v="Jl. KH. M. Kasim No. 5 Palopo"/>
        <s v="Jl. Lanto Dg. Pasewang, Kec. Mamajang, Kel. Maricaya Selatan, Kota Makassar, Provinsi Sulawesi Selatan"/>
        <s v="Jl. Pahlawan No. 1000 Kec. Biringkanaya"/>
        <s v="Jl. Serikaya No. 17 Bulukumba"/>
        <s v="Jl. Samiun No. 2 Kota Palopo"/>
        <s v="Jl. Lingkar Barat Tallasa City Tamalanrea, Desa/Kel. Tamalanrea, Kec. Tamalanrea"/>
        <s v="Jl. Poros Bone Sinjai Desa Gona Kec. Kajuara Kab. Bone"/>
        <s v="JL.Goa Ria Blok A1 No 7 Kelurahan Bakung Kecamatan Biringkanaya Kota Makassar Provinsi Sulawesi Selatan"/>
        <s v="Jl. HM. Yusuf, Desa/Kel. Mappesangka, Kec. Ponre"/>
        <s v="Jl. Jend Sudirman No.27,Makassar"/>
        <s v="Jl. Tamalanrea raya (Poros BTP) Blok 10M No.9-10"/>
        <s v="Jl. Andi Djemma No. 138 Kel. Binturu Kec. Wara Selatan Kota Palopo Prov. Sulawesi Selatan"/>
        <s v="Jl. Hertasning Raya No.51 Makassar"/>
        <s v="Jl.poros Batiling, Desa Batara, Kec.Labakkang kab. Pangkep"/>
        <s v="Dusun Lembongan Desa Bontobaru Kec. Pasimasunggu Timur Kab. Kepulauan Selayar Prov. Sulawesi Selatan"/>
        <s v="Jl. Sultan Hasanudin 7 Pangkajene"/>
        <s v="Jl. Diponegoro No. 1 Sorowako, Kec. Nuha Kab.Luwu Timur"/>
        <s v="Jl. Latasakka, Tonrangeng 1 No.46 C, RT1/RW2, Kel: Lumpue, Kec: Bacukiki Barat, Kota Parepare Parepare, Prov.Sulawesi Selatan"/>
        <s v="Jl. Gunung Merapi No. 75  Makassar Kelurahan Lajangiru Kecamatan UjungPandang Provinsi Sulawesi Selatan"/>
        <s v="Jl. Poros Galesong Utara, Kec. Galesong Utara, Kab. Takalar"/>
        <s v="Jl. Gatot Subroto Kel. Biru Kec. Tanete Riattang"/>
        <s v="Jl Poros Takalar-Makassar KM, Kelurahan Bajeng, Kecamatan Pattallassang, Kabupaten Takalar"/>
        <s v="Jalan Zubair Dg Tutu No.1 Kelurahan Palleko Kecamatan Polongbangkeng Utara Kab. Takalar"/>
        <s v="Jl. Tentara Pelajar No. 173/Jl. Yos Sudarso Kel. Malimongan Tua Kec. Wajo Kota Makassar Provinsi Sulawesi Selatan"/>
        <s v="JL ISHAK ISKANDAR, KEL. EMPOANG SELATAN, KEC. BINAMU"/>
        <s v="Jl. Sawerigading, Desa Lebani, Kec. Belopa Utara Kab.Luwu Prov.Sulawesi Selatan"/>
        <s v="Jl. Pajjaiang Sudiang Raya"/>
        <s v="Jl. Jend. M. Jusuf No. 57 A, RT 004 RW 001 Kelurahan Pattunuang Kecamatan Wajo Kota Makassar Provinsi Sulawesi Selatan"/>
        <s v="Jl. Urip Sumohardjo No. 43"/>
        <s v="Jl. Ilham No.5 Pare-Pare"/>
        <s v="Jl. Trans Sulawesi Desa Kaluku Kecamatan Sukamaju"/>
        <s v="Jl. Malaka Raya Kec. Lalabata, Kab. Soppeng"/>
        <s v="Jl. Andi Djemma No. 6 Palopo"/>
        <s v="Jl. Letjen Hertasning No.52, Kel. Tidung, Kec. Rappocini, Kota Makassar, Sulawesi Selatan 90222"/>
        <s v="Jl. Paccerakkang No.67 / Pajjaiang  No.67  Daya  Makassar,90241 Propinsi Sulawesi Selatan"/>
        <s v="Jl. Abdul Kadir Dg. Suro No.140 Kel. Samata Kec. Somba Opu, Kab. Gowa, Prov. Sulawesi Selatan"/>
        <s v="Jl. Dr. Wahidin Sudirohusodo No.48, Kelurahan Batangkaluku, Kecamatan Somba Opu, Kabupaten Gowa, Provinsi Sulawesi Selatan"/>
        <s v="Jl. Camba Jawayya No.24 Tello Baru, Makasar"/>
        <s v="Jl. Satando  No 27 Kel Tamalabba Kec Ujung Tanah"/>
        <s v="Jl. Abdul Kadir No.70"/>
        <s v="Jl. Nurussamawati No.9 Kota Parepare"/>
        <s v="Jl. Wolter Monginsidi Pangkajene, Kab. Sidenreng Rappang"/>
        <s v="Jl. Perintis Kemerdekaan KM.11 Kel. Tamalanrea Indah, Kec. Tamalanrea, Kota Makassar, Sulawesi Selatan 90245"/>
        <s v="Jl. Perintis Kemerdekaan KM 8 NO 27-28 Kelurahan Tamalanrea Indah, Kecamatan Tamalanrea, Kota Makassar, Sulawesi Selatan Kode Pos 90245"/>
        <s v="Jl. Pongtiku No.486, Kel. Tambunan, Kecamatan Makale Utara, Kabupaten Tana Toraja, Prov. Sulawesi Selatan"/>
        <s v="Jl. Aroepala No.  99 C Kel. Karunrung, Kec. Rappocini"/>
        <s v="Jl. A. Abdullah No. 1-3, Kabupaten Pinrang, Provinsi Sulawesi Selatan"/>
        <s v="Jl. Urip Sumohardjo Km. 05 No. 264, Kelurahan Karampuang, Kecamatan panakkukang, Kota Makassar, Provinsi Sulawesi Selatan, Kode Pos 90232"/>
        <s v="JL. Nikel Blok. A. 21"/>
        <s v="JALAN R.A KARTINI NO. 1A KEC. UJUNG PANDANG, KEL. BARU"/>
        <s v="Jalan Poros Pinrang - Polman. KM.33 Desa Bungi Kecamatan Duampanua Kab Pinrang  Propinsi Sulawesi Selatan 91253"/>
        <s v="Jl. Abdullah Daeng Sirua No. 16A"/>
        <s v="Jl. Jend Sudirman Watampone"/>
        <s v="Jl. Jend. Sudirman No.52, Kel. Sawerigading, Kec. Ujung Pandang, Kota Makassar, Sulawesi Selatan 90114"/>
        <s v="Buntu Mapaken, Kel/Desa. Buntu Tallunglipu, Kecamatan Tallunglipu, Kab.Toraja Utara, Provinsi Sulawesi Selatan"/>
        <s v="Jl. Buntu Pantan No 8 A Kecamatan Makale, Kabupaten Tana Toraja"/>
        <s v="Pulau Sailus Desa Sailus Kec. Liukang Tangaya Keb. Pangkajene dan kepulauan"/>
        <s v="Jl. KH. Abdul Kadir Kasim Kepulauan Selayar Sulawesi Selatan"/>
        <s v="Jl. Macan No. 22 Pinrang"/>
        <s v="Jl. Andi Djaja No.1 Kec. Pitumpanua, Siwa, Kab. Wajo"/>
        <s v="Jl. Masjid Raya No. 75, Timungan Lompoa, Kec. Bontoala"/>
        <s v="Jl. Yosef Latumahina No. 1, Makassar Losari, Kec. Ujung Pandang, Sulawesi Selatan."/>
        <s v="Jl. Padjonga Daeng Ngalle No. 27 Makassar"/>
        <s v="Jl. Dr. Ratulangi No. 81 Makassar"/>
        <s v="Jl. DR. Ratulangi KM.05 Poros Balandai, Kelurahan Temmalebba, Kecamatan Bara, Kota Palopo, Provinsi Sulawesi Selatan"/>
        <s v="Jl. Dg. Ngeppe No. 14 Kecamatan Tamalate,Kelurahan Parang Tambung,Kota Makassar,Provinsi Sulawesi Selatan,Kode Pos 90224"/>
        <s v="Jl. Veteran Selatan No. 201 Makassar Sulawesi Selatan"/>
        <s v="Jl. Satando No. 25 Makassar"/>
        <s v="Jl. Poros Maros-Makassar KM 3 Maros"/>
        <s v="Jl. Poros Limbung Km.15, Panciro"/>
        <s v="JL. Urip Sumoharjo No 10, Kelurahan Mattirowalie, Kecamatan Tanete Riattang Barat, Kabupaten Bone, Provinsi Sulawesi-Selatan"/>
        <s v="Jl. Haji Bau No. 11D Makassar"/>
        <s v="Jl. Dr. Ratulangi KM.7 Rampoang, Kel.To'bulung, Kec.Bara, Kota Palopo, Provinsi Sulawesi Selatan, Kode Pos 91914"/>
        <s v="Jl. Andi Pangeran Pettarani No 82 Makassar"/>
        <s v="Jl. Arief Rate No.15 Makassar"/>
        <s v="Jl. Teratai No. 20 Kel. Pallantikang, Kec. Bantaeng"/>
        <s v="Jl. Letjen Pol. A Mappaoudang No. 63 Makassar"/>
        <s v="Jl. Desa Lebang Manai Kec. Rumbia"/>
        <s v="Jl. Perintis Kemerdekaan KM. 14, Daya Kec. Biringkanayya Kota Makassar Provinsi Sulawesi Selatan"/>
        <s v="Jl. Poros Bulu Paccing Desa Alenangka Kec. Sinjai Selatan Kab. Sinjai"/>
        <s v="Jl. Dr. Wahidin Sudirohusodo No. 230 Makassar 90173,  Desa/Kelurahan Melayu Barau, Kecamtan Wajo, Kota Makassar, Provinsi Sulawesi Selatan"/>
        <s v="Jl. Jend. Ahmad Yani No. 29 Sengkang"/>
        <s v="Jl. Lasawedi Kel.Coppo Kec.Barru Kab.Barru"/>
        <s v="Jl. Sultan Hasanuddin No.23 Masamba"/>
        <s v="Jl. Pendidikan No. 33, Kelurahan Banyorang, Kecamatan Tompobulu, Kabupaten Bantaeng, Provinsi Sulawesi Selatan"/>
        <s v="Jl. Andi Pangeran Pettarani, kelurahan Banta-bantaeng, Kecamatan Rappocini, Kota Makassar, Provinsi Sulawesi Selatan"/>
        <s v="Jl. Andi Djemma No 57, Kelurahan Banta - Bantaeng, Kecamatan Rappocini, Kota Makassar, Provinsi Sulawesi Selatan"/>
        <s v="Jalan Metro Tanjung Bunga, Kawasan Center Point Indonesia, Maccini Sombala, Tamalate"/>
        <s v="Jl. Kusuma Bangsa No. 3"/>
        <s v="Jl. Bauru Daeng Gau No. 45 Kel. Bontolebang Kec. Galesong Utara"/>
        <s v="Jl. H. Ince Husain Dg Parani No 1, Kab Takalar"/>
        <s v="Jl. Lingkar Bisampole Kab. Bantaeng"/>
        <s v="Jl. A.Yani No. 68 Rantepao"/>
        <s v="Jl. Somba Opu No.273 Makassar"/>
        <s v="Jl. By Pass Bandar Udara Internasional Sultan Hasanuddin"/>
        <s v="Jl. Karaeng Burane No.24 Kec Ujung Bulu Kel Ujung Kota Parepare"/>
        <s v="Jl. Toddopuli Raya Timur, Kel. Borong, Kec. Manggala, Makassar"/>
        <s v="Jl. Lanto Dg. Pasewang No. 60, Kelurahan Pangkajene, Kecamatan Maritengngae, Kabupaten Sidenreng Rappang, Provinsi Sulawesi selatan"/>
        <s v="Jl. Kartika Chandra Kirana No. 9 Sengkang"/>
        <s v="Jl. Nusantara No.18 Makale Tator"/>
        <s v="Jl. Metro Tanjung Bunga Kav. 9"/>
        <s v="Jl. Perintis Kemerdekaan Km.11, Tamalanrea, Makassar, Sulawesi Selatan"/>
        <s v="JL. ANDI MAPPANYUKI NO.73, RT. 01, RW. 01"/>
        <s v="Jl. Gunung Merapi No. 220"/>
        <s v="Jl. Jend Sudirman No. 47 Sinjai, Sulawesi Selatan"/>
        <s v="Jln. Ir. Soekarno, Kelurahan  Kappuna Kecamatan Masamba Kabupaten Luwu Utara Provinsi Sulawesi Selatan"/>
        <s v="Jl. Jend.Sudirman No.14, Makasar"/>
        <s v="Jl. H. Andi Liu no. 01 Kelurahan Lakawan, Kecamatan Anggeraja, Kabupaten Enrekang, Propinsi Sulawesi Selatan"/>
        <s v="JL. Kandea No. 5, Kota Makassar Provinsi Sulawesi Selatan"/>
        <s v="Jl. Tun Abdul Razak RT. 01 RW.  05 Kelurahan Romang Polong Kec. Somba Opu Kab. Gowa"/>
        <s v="Jl. Lanto Dg. Pasewang No. 34 Makassar"/>
        <s v="Jl.Minasa upa Raya blok H 7 No 9 .Kelurahan Minasa Upa .Kec Rappoccini .Kab Makassar .Provinsi Sulawesi-Selatan"/>
        <s v="Jl.Jend.  Achmad Yani No. 1 Rappang"/>
        <s v="Jl. Poros Bulukumba–Tanete Kel. Tanete Kec. Bulukumpa"/>
        <s v="Jl. Sangkuruwira,No. 1 Ds. Aroalipu Kec.Wotu Kab.Luwu Timur"/>
        <s v="Jl. Topoka No. 22 B, Kelurahan Tampumia Radda. Kec. Belopa. Kab. Luwu. Provinsi. Sulawesi Selatan"/>
        <s v="Jl. A.P. Pettarani Blok E19/11 Makassar"/>
        <s v="JL. Andi Kambo No.87 Kelurahan Salekoe Kecamatan Wara Timur Kota Palopo Provinsi Sulawesi Selatan"/>
        <s v="Jl. H. Agussalim No. 218 Kelurahan Labukkang Kecamatan Ujung Kota Parepare Provinsi Sulawesi Selatan"/>
        <s v="Jl. DR. Wahidin Sudirohusodo Watampone"/>
        <s v="Jl. Hos Cokroaminoto Kel. Maccorawalie Kec. Panca Rijang"/>
        <s v="Jalan Jendral Achmad Yani Nomor 10 Raha Kelurahan Butung-butung Kecamatan Katobu Kabupaten Muna"/>
        <s v="Jl. Dr. Sam Ratulangi No. 151"/>
        <s v="Jl. Mekongga Indah By Pass Kolaka-Pomalaa Kel. Tahoa Kec.  Kolaka"/>
        <s v="Jl. Jenderal Sudirman No.698, Kel. Ambekairi Kec. Unaaha Kab. Konawe Prov. Sulawesi Tenggara"/>
        <s v="Jl. Pangeran Diponegoro No.301, Konawe"/>
        <s v="Jl. R. Suprapto No. 23 Mandonga, Kel. Mandonga , Kec. Mandonga, Kota Kendari Provinsi Sulawesi Tenggara"/>
        <s v="Jl. Trans Sulawesi, Lasusua, Kolaka Utara, Sulawesi Tenggara"/>
        <s v="JL D.I. PANJAITAN NO 243"/>
        <s v="Jl. DR. Moh.Hatta 65A Kendari"/>
        <s v="Jl. Kapten Piere Tendean No. 118 Kelurahan Watubangga Kecamatan Baruga Kota Kendari Provinsi Sulawesi Tenggara"/>
        <s v="Bumi Praja Laworo, Desa Lombu Jaya, Kec. Sawerigadi, Kab. Muna Barat, Prov. Sulawesi Tenggara"/>
        <s v="Jl. Sultan Hasanuddin No. 58 Kelurahan Batulo Kecamatan Wolio"/>
        <s v="Jl. Gunung Meluhu No. 7 Kota Kendari"/>
        <s v="Jl.Poros Kasipute-Kendari Desa Lantouwa Kecamatan Rarowatu Utara Kebupaten Bombana Provinsi Sulawesi Tenggara"/>
        <s v="Jalan Gersamata, Kelurahan Bombonawulu, Kecamatan Gu, Kabupaten Buton Tengah, Provinsi Sulawesi Tenggara"/>
        <s v="Jl. Christina Martha Tiahahu Kec. Baruga Kota Kendari Provinsi Sulawesi Tenggara"/>
        <s v="Jl. S . Parman, No. 35, Kel. Watu - watu, Kec. Kendari Barat"/>
        <s v="Jl. Protokol Laburunce  Kec. Pasarwajo Kab. Buton Sulawesi Tenggara"/>
        <s v="Jl. Poros Andoolo No. 1 Kompleks Perkantoran Pemda Kel.Potoro Kec.Andoolo, Kab.Konawe Selatan, Prov. Sulawesi Tenggara"/>
        <s v="Jl. Poros Kendari-Asera, Desa Lahimbua, Kecamatan  Andowia, Kabupaten  Konawe Utara, Provinsi Sulawesi Tenggara"/>
        <s v="Desa Pasir Putih Kecamatan Wawonii Barat Kabupaten Konawe Kepulauan Provinsi Sulawesi Tenggara"/>
        <s v="Jl. Alam Mekongga No.12 Kel. Laloeha, Kolaka 93511"/>
        <s v="Jl. Kapten Piere Tendean No 50 Kec Baruga"/>
        <s v="Jl. Chairil Anwar No. 23 Kel. Puuwatu Kec. Puuwatu Kota Kendari - Sulawesi Tenggara"/>
        <s v="Jl. Gatot Subroto No. 16"/>
        <s v="Jl. R.Suprapto Pomalaa Kab.Kolaka"/>
        <s v="Jl. Betoambari No. 182 Kel. Katobengke Kec. Betoambari, Provinsi Sulawesi Tenggara"/>
        <s v="Jl. Laute No 1 Kel. Mandonga Kec. Mandonga Kota Kendari Provinsi Sulawesi Tenggara Kode Pos : 93111"/>
        <s v="Jl. Gajah Mada, kel. Bandar Batauga kec. Batauga kab. Buton Selatan Propinsi Sulawesi Tenggara Telp/Fax.(0402)"/>
        <s v="Jl. DR.Sutomo No.29"/>
        <s v="Jl. Buburanda Korumba - Mandonga Kendari Sulawesi Tenggara"/>
        <s v="Jl. Bunggasi Poros Anduonohu Kel. Rahandouna Kec. Poasia, Kota Kendari, Provinsi Sulawesi Tenggara"/>
        <s v="Jl. Drs. H. La Ode Manarfa, Kelurahan Baadia, Kecamatan Murhum, Kota Baubau, Propinsi Sulawesi Tenggara"/>
        <s v="Jl. Drs. H. Abd. Silondae No. 35 Kelurahan Welala, Kecamatan Ladongi, Kabupaten Kolaka Timur, Sulawesi Tenggara, 93573"/>
        <s v="Jl. Pramuka No. 113, Kel. Lamokato, Kec. Kolaka"/>
        <s v="Jl. Z.A. Sugianto No. 39 Kendari"/>
        <s v="Jl. Utudae Samad Kel. Mandati III, Kec. Wangi - Wangi Selatan Kab.Wakatobi, Provinsi Sulawesi Tenggara"/>
        <s v="Jl. Poros Ereke - Waode Buri, Desa Kalibu, Kecamatan Kulisusu, Kabupaten Buton Utara, Provinsi Sulawesi Tenggara"/>
        <s v="Jl. Kesehatan No.25,  Desa Permata, Kec. Tilongkabila,  Kab. Bone Bolango Provinsi Gorontalo 96554"/>
        <s v="Jln.Trans Sulawesi Pantai selatan Km. 70 Desa Inomata Kec.Bone Raya Kab.Bone Bolango.Gorontalo"/>
        <s v="Jl. Batu Doa Desa Tabongo Barat, Kec. Tabongo, Kab. Gorontalo"/>
        <s v="Jl. Rambutan No. 413 Kel. Buladu Kec. Kota Barat Kota Gorontalo Provinsi Gorontalo"/>
        <s v="Jl. dr. Herizal Umar Desa Botubilotahu Kecamatan Marisa, Kabupaten Pohuwato, Provinsi Gorontalo"/>
        <s v="Jl. Cimelati Desa Bulalo Kecamatan Kwandang, Kabupaten Gorontalo Utara, Provinsi Gorontalo"/>
        <s v="Desa Lomuli Kecamatan Lemito"/>
        <s v="Jl. Ahmad A. Wahab, Kel. Dutulanaa, Kec. Limboto"/>
        <s v="Jl. Prof. HB. Jassin No.457, Gorontalo"/>
        <s v="Jl. Trans Sulawesi Desa Tolinggula Pantai"/>
        <s v="Jln. Prof. Dr.Hi.Aloei Saboe, Desa Lamu, Kec.Tilamuta, Kab.Boalemo Provinsi Gorontalo"/>
        <s v="Jl. H.B. Jassin No. 269, Kel. Wumialo, Kec. Kota Tengah, Provinsi Gorontalo."/>
        <s v="Jl. Prof. Dr. H. Aloei Saboe, Kel. Wongkaditi, Kec. Kota Utara, Kota Gorontalo Provinsi Gorontalo"/>
        <s v="Jl. Nani Wartabone No. 101, Kel. Heledulaa Selatan, Kec. Kota Timur, Kota Gorontalo, Provinsi Gorontalo"/>
        <s v="Jl. Achmad A. Wahab (eks Ahmad Yani No. 53) Limboto Gorontalo"/>
        <s v="Jl. Trans Sulawesi, Desa Tangkobu, Kecamatan Paguyaman, Kabupaten Boalemo, Provinsi Gorontalo"/>
        <s v="Jl. Runi S. Kabli No.10 Kel.Hutuo Kec.Limboto Kab.Gorontalo, Provinsi Gorontalo"/>
        <s v="Jl. Trans Sulawesi Kel/Desa Parungi Kec. Boliyohuto,Kabupaten Gorontalo.Provinsi Gorontalo"/>
        <s v="Jl. Gelatik No. 158 Kel. Heledulaa Utara, Kec. Kota Timur, Kota Gorontalo, Provinsi Gorontalo"/>
        <s v="Jl.Tammauni Pue Ballung No.2 Tobadak Kab. Mamuju Tengah Prov. Sulawesi Barat"/>
        <s v="Jl. Jend. Ahmad Yani No. 100  Desa/Kelurahan Polewali, Kec.Polewali, Kabupaten Polewali Mandar, Provinsi Sulawesi Barat"/>
        <s v="Jl. Bukit Husada - No. 10 Ako Pasangakayu"/>
        <s v="Jl. Poros Majene-Mamuju, Kelurahan Baru, Kecamatan Banggae, Kabupaten Majene, Provinsi Sulawesi Barat"/>
        <s v="Jl. Poros Mamasa-Polewali Desa  Balla Kecamatan Balla,Kabupaten Mamasa, Provinsi Sulawesi Barat"/>
        <s v="Jl. Kurungan Bassi No 1 Kabupaten Mamuju, Sulawesi Barat"/>
        <s v="Jl. Pongtiku No. 2 , Kelurahan Rimuku, Kecamatan Mamuju, Kabupaten Mamuju, Provinsi Sulawesi Barat"/>
        <s v="Jl. Jenderal Sudirman No. 62, Kelurahan Sidodadi, Kecamatan Wonomulyo, Kabupaten Polewali Mandar , Provinsi Sulawesi Barat (91352)"/>
        <s v="Jl. Kampung Baru, Desa Buntubuda, Kecamatan Mamasa, Kabupaten Mamasa, Propinsi Sulawesi Barat"/>
        <s v="Jl. Poros Majene-Mamuju KM 78 Desa Salutambung"/>
        <s v="Jl. Arteri, Kel. Simboro, Kec. Simboro, Kab. Mamuju"/>
        <s v="Jl. Dr Ratulangi No. 50 Polewali"/>
        <s v="Jl. RE Martadinata, Kelurahan Simboro, Kecamatan Simboro Dan Kepulauan, Kabupaten Mamuju, Sulawesi Barat"/>
        <s v="Jl. Ahmad Yani, Kel. Binanga, Kec. Mamuju"/>
        <s v="Jl. Pababari No. 44 Mamuju, Kelurahan Rimuku, Kecamatan Mamuju, Kabupaten Mamuju, Provinsi Sulawesi Barat"/>
        <s v="Jl. dr. Kayadoe, Kelurahan Benteng, Kecamatan Nusaniwe. Ambon 97117."/>
        <s v="Depan kantor BKPSDM Kab.MBD , Kelurahan Tiakur  , Kec.Moa , Kab.Maluku  Barat Daya"/>
        <s v="Jl.  Suster Makaria Olilit Kecamatan Tanimbar Selatan"/>
        <s v="Komplek Lantamal IX Halong Ambon"/>
        <s v="Jl.  Raya BTN Ngadi Tamedan, Desa Fiditan, Kec. Pulau Dullah Utara - Kota Tual"/>
        <s v="Jl. Butung Leong No. 1 Desa Lala Kab.Buru"/>
        <s v="Jl. Mr. CHR Soplanit, Negeri Rumahtiga, Kec. Teluk Ambon, Kota Ambon, Provinsi Maluku"/>
        <s v="Jl. Laskdya Leo Wattimena, Kelurahan Passo, Kecamatan Baguala, Kota Ambon, Provinsi Maluku,  97232"/>
        <s v="Jl. Ibrahim Soel Desa Fogi, RT 000/ RW 000, Kelurahan/ Desa : Fogi, Kecamatan : Kepala Madan, Kabupaten : Buru Selatan, Provinsi : Maluku"/>
        <s v="Jl. Pahlawan No. 36 Tulehu, Desa/Kelurahan Tulehu, Kecamatan Salahutu, Kabupaten Maluku Tengah, Provinsi Maluku."/>
        <s v="Jl. dr. J. Leimena No.01, Desa Labuang, Kec. Namrole"/>
        <s v="Jl. Ahmad Yani (Belakang RRI) Ambon"/>
        <s v="Jl. Wailola No. 11-12 Bula, Kabupaten Seram Bagian Timur, Propinsi Maluku"/>
        <s v="Jl. Jenderal Sudirman Langgur"/>
        <s v="JL.KUJALI no.163A Desa Nusantara, Kecamatan Banda, Kabupaten Maluku Tengah, Provinsi Maluku Kode Pos 97593"/>
        <s v="Jl. Dr. Tamaela No. 2 Ambon"/>
        <s v="Jl. Rumah Sakit Porto-Haria,Kec. Saparua, Kab. Maluku Tengah, Prov. Maluku"/>
        <s v="Jl. Laksdya Leo Wattimena Ambon"/>
        <s v="Jl. Trans Seram, Desa Waesala, Kec. Huamual Belakang"/>
        <s v="Jl. dr. G. A. Siwabessy Masohi  Kelurahan Namaelo Kecamatan Kota Masohi Kabupaten Maluku Tengah Provinsi Maluku"/>
        <s v="Jl. Mr. Latuharhari - Saumlaki, Kec. Tanimbar Selatan, Kab. Kepulauan Tanimbar, Prov. Maluku"/>
        <s v="Jl. Sultan Hasanuddin RT. 005 RW. 005 Kel. Hative kecil Kec. Sirimau"/>
        <s v="Jl. Anthonie Rhebok No. 11, Kelurahan : Honipopu, Kecamatan : Sirimau, Kota Ambon, Propinsi Maluku, Kode Pos : 97126"/>
        <s v="Jl. Cendrawasih Km.6 RT 001 RW 006 Kelurahan Siwalima, Kecamatan Pulau Pulau, Kabupaten Kepulauan Aru, Provinsi Maluku"/>
        <s v="Jl. Sultan Hasanuddin - Tantui, Ambon"/>
        <s v="Jl. Arteri Piru, Desa Piru, Kecamatan Seram Barat, Kabupaten Seram Bagian Barat, Provinsi Maluku"/>
        <s v="Jl. Sultan Babullah 2 Ambon"/>
        <s v="Jl. Merdeka Raya No. 3 Ohoijang Langgur"/>
        <s v="Jln. Nakamura Desa Dehegila, Kecamatan Morotai Selatan, Kab. Pulau Morotai, Provinsi Maluku Utara"/>
        <s v="Jl. Arnold Mononutu No. 125"/>
        <s v="Jl.Ir. Soekarno Ds. Acango-Jailolo,Halmahera Barat"/>
        <s v="Jl. Raya 40, Kel. Guraping, Kec. Oba Utara, Kota Tidore Kepulauan, Provinsi Maluku Utara"/>
        <s v="Jl. Dr. Sibarani - Desa Falahu RW/RT : 001/008- Kecamatan Sanana Kabupaten Kep. Sula. Provinsi Maluku Utara"/>
        <s v="Jl. Desa Bisui Kec. Gane Timur Tengah Kab. Halmahera Selatan"/>
        <s v="JL. TRANS HALMAHERA, DESA SOAGIMALAHA, KECAMATAN KOTA MABA, KABUPATEN HALMAHERA TIMUR, PROVINSI MALUKU UTARA"/>
        <s v="JL. Raya Weda, Desa Wedana kec Weda Kabupaten Halmahera Tengah Provinsi Maluku Utara"/>
        <s v="Jl. Sultan Khairun Kel. Soa Sio Kecamatan Ternate Utara Kota Ternate Provinsi Maluku Utara kode pos 97723"/>
        <s v="Jl. Ais Nasution No.2, Ternate"/>
        <s v="Jl. Lintas Halmahera Desa Garojou, Kec. Oba Utara. Kota Tidore Kepulauan Provinsi Maluku Utara"/>
        <s v="Jl. Lintas Selatan, Desa Ratahaya, Kecamatan Taliabu Barat , kabupaten Pulau Taliabu, provinsi Maluku utara"/>
        <s v="Jl. Landbouw. Desa Gamsungi. Kota Tobelo. Kabupaten Halmahera Utara. Propinsi Maluku Utara"/>
        <s v="Jl. Pemuda No.131, Kel. Toboleu, Kec. Ternate Utara Kota Ternate Prov. Maluku Utara"/>
        <s v="Jl. Sultan mansyur No 11 Indonesiana Tidore Maluku Utara"/>
        <s v="Jl. Hasan Esa No. 1, Kel. Takoma Kec. Ternate Tengah, Kota Ternate, Prov. Maluku Utara"/>
        <s v="Jl.  Raya Labuha-Babang"/>
        <s v="Jl. Raya Mangga Dua Ling Mangga Dua Tengah RT. 013 RW. 06 Mangga Dua Utara Ternate Selatan"/>
        <s v="JL. Kemakmuran  Tobelo, Keluran Desa Gamsungi, Kecamatan Tobelo, Kabupaten Halmahera Utara, Provinsi Maluku Utara"/>
        <s v="Jl. Cempaka Kel. Tanah Tinggi Kota Ternate"/>
        <s v="Jl. Saleh Efendi No. 2 Kel. Stadion, Kec. Ternate Tengah"/>
        <s v="Jalan Cabang Kuning,Desa Buton,Kec.Obi,Kab.Halmahera Selatan,Prov.Maluku Utara,Kode Pos 97792"/>
        <s v="Jl. Teminabuan - Ayamaru Kampung Keyen - Teminabuan"/>
        <s v="Jl. Jendral Basuki Rahmat, Kelurahan Warmasen, Distrik Waisai Kota, Kabupaten Raja Ampat, Provinsi Papua Barat Daya"/>
        <s v="Jl. Susumuk-Kumurkek Sonere Aifat Maybrat Papua Barat Daya"/>
        <s v="Jl. Irawiam Distrik Fef Kab. Tambrauw"/>
        <s v="Jl. Brawijaya No.30, Kel. Manokwari Timur, Distrik Manokwari Barat, Kab. Manokwari, Papua Barat. 98312"/>
        <s v="Jl. Drs. Esau Sesa RT. 001 RW. 008 Kel. Wosi Kec. Manokwari Barat"/>
        <s v="Jl. Perempatan Kaimana-Tanggaromi, Km 01, Distrik Kaimana, Kabupaten Kaimana, Provinsi Papua Barat 98654"/>
        <s v="Jl. Raya Manggurai - Rasiei"/>
        <s v="Jl. Sorong Klamono KM. 22 Kel. Klafma Distrik Aimas"/>
        <s v="Jl. Jend. Ahmad Yani Klademak IIIC"/>
        <s v="Jl. Trikora Maripi KM 21"/>
        <s v="Jl. Otawar, Distrik Oransbari, Kabupaten Manokwari Selatan, Provinsi Papua Barat"/>
        <s v="Jl Selebesolu II No. 1 Km 12 Klawalu Kota Sorong"/>
        <s v="Jl. Basuki Rahmat KM. 10, Klawalu Distrik Sorong Timur, Papua Barat Daya"/>
        <s v="Jl. Selat Makassar No. 7 Kel. Remu Selatan"/>
        <s v="Jalan Jend. Sudirman – Kel. Wagom Distrik Pariwari Fakfak Papua Barat Kode Pos 98613"/>
        <s v="Jl. Raya Sibena Km.7, Kampung Wesiri, Kelurahan Bintuni Barat, Kecamatan Bintuni, Kabupaten Teluk Bintuni, Provinsi Papua Barat"/>
        <s v="Jl. Bhayangkara No. 1 Kelurahan Manokwari Timur, Kecamatan Manokwari Barat, Kabupaten Manokwari, Propinsi Papua Barat. Kode Pos 98312"/>
        <s v="Jl. Serma Suwandi No. 01 Manokwari"/>
        <s v="Jln. Poros Prafi, Kampung Indisey, Distrik Prafi, Manokwari, Papua Barat (98316)"/>
        <s v="Jl. Angkasa Mulyono Kompleks Irman Jaya Manokwari Papua Barat 98312"/>
        <s v="JL. MALEO NO 2A HBM, Desa/Kelurahan Remu Utara, Kec. Sorong, Kota Sorong, Provinsi Papua Barat,"/>
        <s v="Jl. Ahmad Yani No.13 Sorong"/>
        <s v="Jl. Pertanian Wainakawini - Distrik Anotaurei,Kelurahan Anotaurei, Serui - Papua"/>
        <s v="Jl. Agimuga Mile 32 Asrama Polres Mimika"/>
        <s v="Jl. Amphibi No.1 Hamadi Jayapura"/>
        <s v="Jl. Charitas No. 1- Papua Tengah"/>
        <s v="Jln. Demianus Kyeuw-kyeuw, SH"/>
        <s v="Jl. Kesehatan II Abepura. Kelurahan Awiyo. Kecamatan Abepura. Kota Jayapura, Papua. 99351."/>
        <s v="Jl. HKBP Roberth Suweni No.1, Batu Zaman, Ware"/>
        <s v="Kampung Ekimani Distrik Kamu Utara Kabupaten Dogiyai"/>
        <s v="JL. Trikora No.7 Merauke"/>
        <s v="Komplek TNI AL Lanal Biak Jalan Jenderal Sudirman Kelurahan Waupnor Kecamatan Biak Kota Kabupaten Biak Numfor Provinsi Papua (98515)"/>
        <s v="Jl. Poros Waghete"/>
        <s v="Jl. Raya Korido Marsram, Desa/kelurahan Masram, Distrik/Kecamatan Supiori Timur, Kabupaten  Supiori, Kota Sorendiweri, 98573 Provinsi Papua."/>
        <s v="Jl. R.E Martadinata Nabire, Siriwini, Papua Tengah"/>
        <s v="Jl. Sam Ratulangi No. 39 APO Jayapura Utara"/>
        <s v="Jl. Jeruk Nipis Furia Kotaraja,Jayapura"/>
        <s v="Jl Trans Jayapura-Sarmi Kampung Dabe Distrik Pantai Timur Bagian Barat Kabupaten Sarmi Provinsi Papua"/>
        <s v="Jl. Abua - Tiom, Distrik Tiom, Kab. Lanny Jaya"/>
        <s v="Jl.  Jendral Sudirman, Distrik Dekai , Papua Pegunungan"/>
        <s v="Jl. Raya Madi KM.7, Paniai Timur, Paniai, Papua Tengah"/>
        <s v="Jl. Kesehatan I No. 01 Dok II Jayapura, Kel. Bhayangkara Kec. Jayapura Utara Kota Jayapura Provinsi Papua"/>
        <s v="Jl. Protokol Koya Barat, Kel. Koya Barat, Distrik Muara Tami, Kota Jayapura, Provinsi Papua"/>
        <s v="Jl. A. Yani No. 37"/>
        <s v="Jl. Kompleks Rumah Sakit Distrik Kenyam"/>
        <s v="jl. Poros Kabiding No. 2 Oksibil"/>
        <s v="Jl. Poros Agham Km.6, Kelurahan Kepi, Distrik Obaa, Kabupaten Mappi Provinsi Papua Selatan"/>
        <s v="Jl. Tujuh Wali-Wali, RT 020, RW 004, Kelurahan Kamundu, Kecamatan Merauke, Kabupaten Merauke, Papua"/>
        <s v="Jl. Sriwijaya Ridge I Biak, Kecamatan Samofa, Kabupaten Biak Numfor, Propinsi Papua"/>
        <s v="Jln. Kali Wabu Wandoga, Yokatapa, Distrik Sugapa"/>
        <s v="Kampung Kibogolome Distrik Ilaga"/>
        <s v="Jln. Diponegoro No. 57 Kelurahan Gurabesi"/>
        <s v="Jl. Papua, Pruleme, Distrik Mulia Kabupaten Puncak Jaya"/>
        <s v="Jl. Soekarjo Wiryopranoto No. 1 Merauke"/>
        <s v="Jl. Teruna Bakti Waena Jayapura"/>
        <s v="Jl. Yos Sudarso KM 4. Nomor 00, Kelurahan Mawokauw Jaya, Kecamatan Wania, Kabupaten  Mimika, Propinsi Papua Tengah"/>
        <s v="Jl. Trans Papua Kampung Osso - Distrik Mindiptana"/>
        <s v="Jl. Raya Sentani - Depapre,Doyo Baru"/>
        <s v="Jl.Igari, Kompleks Perkantoran Pemerintah Daerah Tolikara, Desa Igari Distrik Wenam  Kab.Tolikara Prov. Papua Pegunungan Kode Pos 99562"/>
        <s v="Jl. Zegward, Bis Agats, Kab. Asmat"/>
        <s v="Jl. Trans Papua KM 4, Kel. Persatuan, Kec. Mandobo"/>
        <s v="JLN. BHAYANGKARA ARSO SWAKARSA"/>
        <s v="Jl. Trans Wamena Jayapura KM. 123 Heahobak Distrik Abenaho Kab. Yalimo"/>
        <s v="Jln. Poros Gimbis Nomor 1, Distrik Kobakma, Kab. Mamberamo Tengah"/>
        <s v="Jl. Poros L.B. Moerdani, Kel. Kamangi, Kec. Tanah Miring, Kab. Merauke, Prov. Papua Selatan"/>
        <s v="Jl. Agimuga Mile 32 Desa Karang Senang Distrik Kuala Kencana"/>
        <s v="Jl. Kesehatan No. I Abepura, jayapura"/>
      </sharedItems>
    </cacheField>
    <cacheField name="jenis" numFmtId="0">
      <sharedItems>
        <s v="Rumah Sakit Umum"/>
        <s v="Rumah Sakit Khusus Gigi dan Mulut"/>
        <s v="Rumah Sakit Khusus Ibu dan Anak"/>
        <s v="Rumah Sakit Khusus Jiwa"/>
        <s v="Rumah Sakit Khusus Bedah"/>
        <s v="Rumah Sakit Khusus Mata"/>
        <s v="Rumah Sakit Khusus Paru"/>
        <s v="Rumah Sakit Khusus Ginjal"/>
        <s v="Rumah Sakit Khusus Stroke"/>
        <s v="Rumah Sakit Khusus THT-KL"/>
        <s v="Rumah Sakit Khusus Kanker"/>
        <s v="Rumah Sakit Khusus Infeksi"/>
        <s v="Rumah Sakit Khusus Jantung"/>
        <s v="Rumah Sakit Khusus Otak"/>
        <s v="Rumah Sakit Ketergantungan Obat"/>
        <s v="Rumah Sakit Khusus Orthopedi"/>
        <s v="RS Kapal/Bergerak"/>
      </sharedItems>
    </cacheField>
    <cacheField name="kelas" numFmtId="0">
      <sharedItems>
        <s v="C"/>
        <s v="D"/>
        <s v="B"/>
        <s v="D PRATAMA"/>
        <s v="A"/>
        <s v="Belum Ditetapkan"/>
        <s v="Rumah Sakit Umum"/>
        <s v="Rumah Sakit Khusus Jiwa"/>
      </sharedItems>
    </cacheField>
    <cacheField name="status_blu" numFmtId="0">
      <sharedItems>
        <s v="Non BLU/BLUD"/>
        <s v="BLUD"/>
        <s v="BLU"/>
        <s v="D"/>
        <s v="A"/>
        <s v="C"/>
        <s v="D PRATAMA"/>
      </sharedItems>
    </cacheField>
    <cacheField name="kepemilikan" numFmtId="0">
      <sharedItems>
        <s v="SWASTA/LAINNYA"/>
        <s v="Pemkot"/>
        <s v="Kementerian Lain"/>
        <s v="Pemkab"/>
        <s v="Perusahaan"/>
        <s v="Organisasi Sosial"/>
        <s v="POLRI"/>
        <s v="TNI AD"/>
        <s v="TNI AL"/>
        <s v="BUMN"/>
        <s v="Pemprop"/>
        <s v="Perorangan"/>
        <s v="Organisasi Katholik"/>
        <s v="Organisasi Protestan"/>
        <s v="Kemkes"/>
        <s v="TNI AU"/>
        <s v="Organisasi Islam"/>
        <s v="Organisasi Budha"/>
        <s v="BLUD"/>
        <s v="BLU"/>
        <s v="Non BLU/BLUD"/>
        <s v="Organisasi Hindu"/>
      </sharedItems>
    </cacheField>
    <cacheField name="total_tempat" numFmtId="0">
      <sharedItems containsSemiMixedTypes="0" containsString="0" containsNumber="1" containsInteger="1">
        <n v="218.0"/>
        <n v="45.0"/>
        <n v="310.0"/>
        <n v="11.0"/>
        <n v="189.0"/>
        <n v="376.0"/>
        <n v="102.0"/>
        <n v="88.0"/>
        <n v="176.0"/>
        <n v="60.0"/>
        <n v="80.0"/>
        <n v="163.0"/>
        <n v="251.0"/>
        <n v="182.0"/>
        <n v="359.0"/>
        <n v="101.0"/>
        <n v="273.0"/>
        <n v="66.0"/>
        <n v="120.0"/>
        <n v="68.0"/>
        <n v="171.0"/>
        <n v="104.0"/>
        <n v="54.0"/>
        <n v="107.0"/>
        <n v="52.0"/>
        <n v="361.0"/>
        <n v="200.0"/>
        <n v="42.0"/>
        <n v="63.0"/>
        <n v="159.0"/>
        <n v="50.0"/>
        <n v="28.0"/>
        <n v="74.0"/>
        <n v="113.0"/>
        <n v="246.0"/>
        <n v="215.0"/>
        <n v="56.0"/>
        <n v="71.0"/>
        <n v="170.0"/>
        <n v="116.0"/>
        <n v="135.0"/>
        <n v="108.0"/>
        <n v="46.0"/>
        <n v="267.0"/>
        <n v="833.0"/>
        <n v="72.0"/>
        <n v="123.0"/>
        <n v="51.0"/>
        <n v="180.0"/>
        <n v="294.0"/>
        <n v="151.0"/>
        <n v="354.0"/>
        <n v="89.0"/>
        <n v="256.0"/>
        <n v="73.0"/>
        <n v="75.0"/>
        <n v="275.0"/>
        <n v="154.0"/>
        <n v="70.0"/>
        <n v="250.0"/>
        <n v="287.0"/>
        <n v="58.0"/>
        <n v="367.0"/>
        <n v="105.0"/>
        <n v="55.0"/>
        <n v="112.0"/>
        <n v="27.0"/>
        <n v="106.0"/>
        <n v="17.0"/>
        <n v="53.0"/>
        <n v="143.0"/>
        <n v="16.0"/>
        <n v="100.0"/>
        <n v="31.0"/>
        <n v="93.0"/>
        <n v="98.0"/>
        <n v="114.0"/>
        <n v="193.0"/>
        <n v="82.0"/>
        <n v="10.0"/>
        <n v="144.0"/>
        <n v="167.0"/>
        <n v="76.0"/>
        <n v="115.0"/>
        <n v="47.0"/>
        <n v="162.0"/>
        <n v="30.0"/>
        <n v="196.0"/>
        <n v="327.0"/>
        <n v="57.0"/>
        <n v="148.0"/>
        <n v="37.0"/>
        <n v="127.0"/>
        <n v="255.0"/>
        <n v="12.0"/>
        <n v="224.0"/>
        <n v="137.0"/>
        <n v="132.0"/>
        <n v="130.0"/>
        <n v="36.0"/>
        <n v="124.0"/>
        <n v="403.0"/>
        <n v="110.0"/>
        <n v="349.0"/>
        <n v="109.0"/>
        <n v="758.0"/>
        <n v="33.0"/>
        <n v="62.0"/>
        <n v="65.0"/>
        <n v="237.0"/>
        <n v="179.0"/>
        <n v="231.0"/>
        <n v="211.0"/>
        <n v="172.0"/>
        <n v="178.0"/>
        <n v="125.0"/>
        <n v="121.0"/>
        <n v="402.0"/>
        <n v="111.0"/>
        <n v="202.0"/>
        <n v="223.0"/>
        <n v="261.0"/>
        <n v="133.0"/>
        <n v="38.0"/>
        <n v="79.0"/>
        <n v="230.0"/>
        <n v="103.0"/>
        <n v="210.0"/>
        <n v="164.0"/>
        <n v="199.0"/>
        <n v="268.0"/>
        <n v="69.0"/>
        <n v="117.0"/>
        <n v="227.0"/>
        <n v="220.0"/>
        <n v="183.0"/>
        <n v="175.0"/>
        <n v="118.0"/>
        <n v="95.0"/>
        <n v="87.0"/>
        <n v="260.0"/>
        <n v="152.0"/>
        <n v="254.0"/>
        <n v="150.0"/>
        <n v="205.0"/>
        <n v="84.0"/>
        <n v="156.0"/>
        <n v="339.0"/>
        <n v="44.0"/>
        <n v="177.0"/>
        <n v="450.0"/>
        <n v="269.0"/>
        <n v="204.0"/>
        <n v="92.0"/>
        <n v="77.0"/>
        <n v="23.0"/>
        <n v="43.0"/>
        <n v="206.0"/>
        <n v="61.0"/>
        <n v="29.0"/>
        <n v="131.0"/>
        <n v="97.0"/>
        <n v="186.0"/>
        <n v="126.0"/>
        <n v="139.0"/>
        <n v="32.0"/>
        <n v="800.0"/>
        <n v="67.0"/>
        <n v="26.0"/>
        <n v="311.0"/>
        <n v="59.0"/>
        <n v="25.0"/>
        <n v="184.0"/>
        <n v="14.0"/>
        <n v="181.0"/>
        <n v="40.0"/>
        <n v="166.0"/>
        <n v="64.0"/>
        <n v="85.0"/>
        <n v="119.0"/>
        <n v="24.0"/>
        <n v="187.0"/>
        <n v="39.0"/>
        <n v="208.0"/>
        <n v="145.0"/>
        <n v="265.0"/>
        <n v="284.0"/>
        <n v="301.0"/>
        <n v="539.0"/>
        <n v="371.0"/>
        <n v="201.0"/>
        <n v="96.0"/>
        <n v="90.0"/>
        <n v="134.0"/>
        <n v="194.0"/>
        <n v="393.0"/>
        <n v="141.0"/>
        <n v="160.0"/>
        <n v="240.0"/>
        <n v="20.0"/>
        <n v="306.0"/>
        <n v="264.0"/>
        <n v="321.0"/>
        <n v="253.0"/>
        <n v="21.0"/>
        <n v="34.0"/>
        <n v="140.0"/>
        <n v="153.0"/>
        <n v="926.0"/>
        <n v="192.0"/>
        <n v="185.0"/>
        <n v="280.0"/>
        <n v="216.0"/>
        <n v="99.0"/>
        <n v="122.0"/>
        <n v="188.0"/>
        <n v="138.0"/>
        <n v="165.0"/>
        <n v="41.0"/>
        <n v="158.0"/>
        <n v="49.0"/>
        <n v="15.0"/>
        <n v="207.0"/>
        <n v="78.0"/>
        <n v="155.0"/>
        <n v="35.0"/>
        <n v="574.0"/>
        <n v="625.0"/>
        <n v="136.0"/>
        <n v="191.0"/>
        <n v="190.0"/>
        <n v="212.0"/>
        <n v="149.0"/>
        <n v="209.0"/>
        <n v="219.0"/>
        <n v="257.0"/>
        <n v="229.0"/>
        <n v="232.0"/>
        <n v="18.0"/>
        <n v="168.0"/>
        <n v="86.0"/>
        <n v="1542.0"/>
        <n v="514.0"/>
        <n v="19.0"/>
        <n v="214.0"/>
        <n v="217.0"/>
        <n v="146.0"/>
        <n v="4.0"/>
        <n v="228.0"/>
        <n v="1966.0"/>
        <n v="3.0"/>
        <n v="350.0"/>
        <n v="203.0"/>
        <n v="534.0"/>
        <n v="818.0"/>
        <n v="222.0"/>
        <n v="295.0"/>
        <n v="568.0"/>
        <n v="600.0"/>
        <n v="299.0"/>
        <n v="854.0"/>
        <n v="81.0"/>
        <n v="277.0"/>
        <n v="236.0"/>
        <n v="401.0"/>
        <n v="198.0"/>
        <n v="437.0"/>
        <n v="128.0"/>
        <n v="258.0"/>
        <n v="766.0"/>
        <n v="410.0"/>
        <n v="326.0"/>
        <n v="129.0"/>
        <n v="380.0"/>
        <n v="418.0"/>
        <n v="336.0"/>
        <n v="320.0"/>
        <n v="617.0"/>
        <n v="247.0"/>
        <n v="538.0"/>
        <n v="467.0"/>
        <n v="13.0"/>
        <n v="157.0"/>
        <n v="421.0"/>
        <n v="7.0"/>
        <n v="173.0"/>
        <n v="195.0"/>
        <n v="174.0"/>
        <n v="374.0"/>
        <n v="383.0"/>
        <n v="225.0"/>
        <n v="300.0"/>
        <n v="161.0"/>
        <n v="213.0"/>
        <n v="606.0"/>
        <n v="453.0"/>
        <n v="142.0"/>
        <n v="221.0"/>
        <n v="244.0"/>
        <n v="432.0"/>
        <n v="740.0"/>
        <n v="292.0"/>
        <n v="263.0"/>
        <n v="83.0"/>
        <n v="270.0"/>
        <n v="169.0"/>
        <n v="552.0"/>
        <n v="465.0"/>
        <n v="259.0"/>
        <n v="515.0"/>
        <n v="500.0"/>
        <n v="94.0"/>
        <n v="507.0"/>
        <n v="508.0"/>
        <n v="348.0"/>
        <n v="147.0"/>
        <n v="303.0"/>
        <n v="290.0"/>
        <n v="535.0"/>
        <n v="48.0"/>
        <n v="297.0"/>
        <n v="8.0"/>
        <n v="953.0"/>
        <n v="289.0"/>
        <n v="417.0"/>
        <n v="30343.0"/>
        <n v="345.0"/>
        <n v="381.0"/>
        <n v="343.0"/>
        <n v="279.0"/>
        <n v="318.0"/>
        <n v="6.0"/>
        <n v="530.0"/>
        <n v="456.0"/>
        <n v="305.0"/>
        <n v="197.0"/>
        <n v="406.0"/>
        <n v="385.0"/>
        <n v="249.0"/>
        <n v="340.0"/>
        <n v="700.0"/>
        <n v="293.0"/>
        <n v="389.0"/>
        <n v="233.0"/>
        <n v="302.0"/>
        <n v="235.0"/>
        <n v="242.0"/>
        <n v="1181.0"/>
        <n v="357.0"/>
        <n v="288.0"/>
        <n v="272.0"/>
        <n v="412.0"/>
        <n v="262.0"/>
        <n v="241.0"/>
        <n v="1296.0"/>
        <n v="729.0"/>
        <n v="285.0"/>
        <n v="372.0"/>
        <n v="314.0"/>
        <n v="91.0"/>
        <n v="759.0"/>
        <n v="298.0"/>
        <n v="323.0"/>
        <n v="396.0"/>
        <n v="501.0"/>
        <n v="356.0"/>
        <n v="296.0"/>
        <n v="331.0"/>
        <n v="355.0"/>
        <n v="935.0"/>
        <n v="400.0"/>
        <n v="1311.0"/>
        <n v="399.0"/>
        <n v="397.0"/>
        <n v="243.0"/>
        <n v="408.0"/>
        <n v="390.0"/>
        <n v="226.0"/>
        <n v="464.0"/>
        <n v="234.0"/>
        <n v="329.0"/>
        <n v="731.0"/>
        <n v="238.0"/>
        <n v="330.0"/>
        <n v="283.0"/>
        <n v="763.0"/>
        <n v="22.0"/>
        <n v="344.0"/>
        <n v="584.0"/>
        <n v="365.0"/>
        <n v="649.0"/>
        <n v="334.0"/>
        <n v="281.0"/>
        <n v="572.0"/>
        <n v="245.0"/>
        <n v="291.0"/>
        <n v="2.0"/>
        <n v="319.0"/>
        <n v="271.0"/>
        <n v="847.0"/>
        <n v="404.0"/>
        <n v="576.0"/>
        <n v="304.0"/>
        <n v="1220.0"/>
      </sharedItems>
    </cacheField>
    <cacheField name="total_layanan" numFmtId="0">
      <sharedItems containsSemiMixedTypes="0" containsString="0" containsNumber="1" containsInteger="1">
        <n v="36.0"/>
        <n v="15.0"/>
        <n v="77.0"/>
        <n v="24.0"/>
        <n v="34.0"/>
        <n v="80.0"/>
        <n v="64.0"/>
        <n v="38.0"/>
        <n v="35.0"/>
        <n v="56.0"/>
        <n v="28.0"/>
        <n v="26.0"/>
        <n v="84.0"/>
        <n v="23.0"/>
        <n v="68.0"/>
        <n v="82.0"/>
        <n v="30.0"/>
        <n v="33.0"/>
        <n v="22.0"/>
        <n v="60.0"/>
        <n v="17.0"/>
        <n v="3.0"/>
        <n v="65.0"/>
        <n v="25.0"/>
        <n v="13.0"/>
        <n v="21.0"/>
        <n v="39.0"/>
        <n v="47.0"/>
        <n v="44.0"/>
        <n v="11.0"/>
        <n v="20.0"/>
        <n v="96.0"/>
        <n v="29.0"/>
        <n v="32.0"/>
        <n v="18.0"/>
        <n v="16.0"/>
        <n v="141.0"/>
        <n v="31.0"/>
        <n v="54.0"/>
        <n v="75.0"/>
        <n v="14.0"/>
        <n v="27.0"/>
        <n v="106.0"/>
        <n v="12.0"/>
        <n v="5.0"/>
        <n v="61.0"/>
        <n v="4.0"/>
        <n v="57.0"/>
        <n v="53.0"/>
        <n v="42.0"/>
        <n v="10.0"/>
        <n v="55.0"/>
        <n v="81.0"/>
        <n v="8.0"/>
        <n v="101.0"/>
        <n v="19.0"/>
        <n v="58.0"/>
        <n v="134.0"/>
        <n v="98.0"/>
        <n v="66.0"/>
        <n v="67.0"/>
        <n v="158.0"/>
        <n v="136.0"/>
        <n v="78.0"/>
        <n v="72.0"/>
        <n v="46.0"/>
        <n v="9.0"/>
        <n v="40.0"/>
        <n v="73.0"/>
        <n v="37.0"/>
        <n v="90.0"/>
        <n v="6.0"/>
        <n v="48.0"/>
        <n v="49.0"/>
        <n v="95.0"/>
        <n v="97.0"/>
        <n v="41.0"/>
        <n v="138.0"/>
        <n v="74.0"/>
        <n v="121.0"/>
        <n v="91.0"/>
        <n v="79.0"/>
        <n v="87.0"/>
        <n v="63.0"/>
        <n v="99.0"/>
        <n v="112.0"/>
        <n v="93.0"/>
        <n v="43.0"/>
        <n v="107.0"/>
        <n v="45.0"/>
        <n v="71.0"/>
        <n v="51.0"/>
        <n v="115.0"/>
        <n v="52.0"/>
        <n v="108.0"/>
        <n v="111.0"/>
        <n v="110.0"/>
        <n v="146.0"/>
        <n v="100.0"/>
        <n v="7.0"/>
        <n v="92.0"/>
        <n v="59.0"/>
        <n v="1.0"/>
        <n v="85.0"/>
        <n v="105.0"/>
        <n v="124.0"/>
        <n v="50.0"/>
        <n v="155.0"/>
        <n v="69.0"/>
        <n v="94.0"/>
        <n v="83.0"/>
        <n v="2.0"/>
        <n v="70.0"/>
        <n v="62.0"/>
        <n v="102.0"/>
        <n v="109.0"/>
        <n v="128.0"/>
        <n v="114.0"/>
        <n v="123.0"/>
        <n v="118.0"/>
        <n v="131.0"/>
        <n v="76.0"/>
        <n v="89.0"/>
        <n v="113.0"/>
        <n v="119.0"/>
        <n v="189.0"/>
        <n v="122.0"/>
        <n v="117.0"/>
        <n v="160.0"/>
        <n v="125.0"/>
        <n v="133.0"/>
        <n v="132.0"/>
        <n v="120.0"/>
        <n v="139.0"/>
        <n v="104.0"/>
        <n v="135.0"/>
        <n v="129.0"/>
        <n v="140.0"/>
        <n v="147.0"/>
        <n v="103.0"/>
        <n v="127.0"/>
        <n v="218.0"/>
        <n v="88.0"/>
        <n v="153.0"/>
        <n v="419.0"/>
        <n v="277.0"/>
        <n v="149.0"/>
        <n v="86.0"/>
        <n v="234.0"/>
        <n v="280.0"/>
        <n v="116.0"/>
        <n v="148.0"/>
        <n v="130.0"/>
        <n v="157.0"/>
        <n v="161.0"/>
        <n v="170.0"/>
        <n v="174.0"/>
        <n v="126.0"/>
        <n v="137.0"/>
        <n v="163.0"/>
      </sharedItems>
    </cacheField>
    <cacheField name="total_tenaga" numFmtId="0">
      <sharedItems containsSemiMixedTypes="0" containsString="0" containsNumber="1" containsInteger="1">
        <n v="328.0"/>
        <n v="45.0"/>
        <n v="487.0"/>
        <n v="182.0"/>
        <n v="537.0"/>
        <n v="470.0"/>
        <n v="208.0"/>
        <n v="128.0"/>
        <n v="199.0"/>
        <n v="3.0"/>
        <n v="315.0"/>
        <n v="1178.0"/>
        <n v="147.0"/>
        <n v="515.0"/>
        <n v="262.0"/>
        <n v="442.0"/>
        <n v="91.0"/>
        <n v="533.0"/>
        <n v="119.0"/>
        <n v="303.0"/>
        <n v="151.0"/>
        <n v="406.0"/>
        <n v="20.0"/>
        <n v="1169.0"/>
        <n v="801.0"/>
        <n v="18.0"/>
        <n v="67.0"/>
        <n v="640.0"/>
        <n v="49.0"/>
        <n v="123.0"/>
        <n v="148.0"/>
        <n v="636.0"/>
        <n v="577.0"/>
        <n v="101.0"/>
        <n v="480.0"/>
        <n v="80.0"/>
        <n v="453.0"/>
        <n v="566.0"/>
        <n v="66.0"/>
        <n v="812.0"/>
        <n v="2039.0"/>
        <n v="196.0"/>
        <n v="167.0"/>
        <n v="261.0"/>
        <n v="289.0"/>
        <n v="13.0"/>
        <n v="53.0"/>
        <n v="493.0"/>
        <n v="1949.0"/>
        <n v="243.0"/>
        <n v="541.0"/>
        <n v="159.0"/>
        <n v="1100.0"/>
        <n v="60.0"/>
        <n v="63.0"/>
        <n v="36.0"/>
        <n v="221.0"/>
        <n v="55.0"/>
        <n v="1352.0"/>
        <n v="379.0"/>
        <n v="44.0"/>
        <n v="19.0"/>
        <n v="235.0"/>
        <n v="118.0"/>
        <n v="398.0"/>
        <n v="156.0"/>
        <n v="46.0"/>
        <n v="186.0"/>
        <n v="79.0"/>
        <n v="94.0"/>
        <n v="721.0"/>
        <n v="211.0"/>
        <n v="39.0"/>
        <n v="275.0"/>
        <n v="98.0"/>
        <n v="244.0"/>
        <n v="335.0"/>
        <n v="59.0"/>
        <n v="104.0"/>
        <n v="358.0"/>
        <n v="16.0"/>
        <n v="35.0"/>
        <n v="75.0"/>
        <n v="5.0"/>
        <n v="112.0"/>
        <n v="215.0"/>
        <n v="202.0"/>
        <n v="76.0"/>
        <n v="33.0"/>
        <n v="95.0"/>
        <n v="285.0"/>
        <n v="263.0"/>
        <n v="170.0"/>
        <n v="432.0"/>
        <n v="88.0"/>
        <n v="283.0"/>
        <n v="89.0"/>
        <n v="127.0"/>
        <n v="472.0"/>
        <n v="32.0"/>
        <n v="158.0"/>
        <n v="78.0"/>
        <n v="9.0"/>
        <n v="479.0"/>
        <n v="25.0"/>
        <n v="38.0"/>
        <n v="317.0"/>
        <n v="26.0"/>
        <n v="29.0"/>
        <n v="350.0"/>
        <n v="141.0"/>
        <n v="476.0"/>
        <n v="344.0"/>
        <n v="93.0"/>
        <n v="65.0"/>
        <n v="458.0"/>
        <n v="85.0"/>
        <n v="354.0"/>
        <n v="209.0"/>
        <n v="357.0"/>
        <n v="389.0"/>
        <n v="516.0"/>
        <n v="360.0"/>
        <n v="146.0"/>
        <n v="255.0"/>
        <n v="859.0"/>
        <n v="153.0"/>
        <n v="2489.0"/>
        <n v="40.0"/>
        <n v="11.0"/>
        <n v="562.0"/>
        <n v="37.0"/>
        <n v="41.0"/>
        <n v="252.0"/>
        <n v="233.0"/>
        <n v="668.0"/>
        <n v="272.0"/>
        <n v="212.0"/>
        <n v="129.0"/>
        <n v="230.0"/>
        <n v="227.0"/>
        <n v="477.0"/>
        <n v="203.0"/>
        <n v="178.0"/>
        <n v="152.0"/>
        <n v="555.0"/>
        <n v="137.0"/>
        <n v="62.0"/>
        <n v="157.0"/>
        <n v="530.0"/>
        <n v="97.0"/>
        <n v="100.0"/>
        <n v="448.0"/>
        <n v="181.0"/>
        <n v="205.0"/>
        <n v="42.0"/>
        <n v="145.0"/>
        <n v="187.0"/>
        <n v="34.0"/>
        <n v="226.0"/>
        <n v="683.0"/>
        <n v="110.0"/>
        <n v="117.0"/>
        <n v="348.0"/>
        <n v="352.0"/>
        <n v="114.0"/>
        <n v="1404.0"/>
        <n v="184.0"/>
        <n v="856.0"/>
        <n v="135.0"/>
        <n v="590.0"/>
        <n v="6.0"/>
        <n v="257.0"/>
        <n v="177.0"/>
        <n v="52.0"/>
        <n v="400.0"/>
        <n v="641.0"/>
        <n v="431.0"/>
        <n v="113.0"/>
        <n v="96.0"/>
        <n v="72.0"/>
        <n v="169.0"/>
        <n v="1.0"/>
        <n v="81.0"/>
        <n v="403.0"/>
        <n v="51.0"/>
        <n v="826.0"/>
        <n v="21.0"/>
        <n v="47.0"/>
        <n v="366.0"/>
        <n v="441.0"/>
        <n v="710.0"/>
        <n v="10.0"/>
        <n v="738.0"/>
        <n v="31.0"/>
        <n v="160.0"/>
        <n v="61.0"/>
        <n v="54.0"/>
        <n v="561.0"/>
        <n v="292.0"/>
        <n v="421.0"/>
        <n v="106.0"/>
        <n v="30.0"/>
        <n v="190.0"/>
        <n v="600.0"/>
        <n v="74.0"/>
        <n v="73.0"/>
        <n v="273.0"/>
        <n v="165.0"/>
        <n v="482.0"/>
        <n v="90.0"/>
        <n v="223.0"/>
        <n v="197.0"/>
        <n v="513.0"/>
        <n v="310.0"/>
        <n v="48.0"/>
        <n v="265.0"/>
        <n v="359.0"/>
        <n v="494.0"/>
        <n v="2152.0"/>
        <n v="87.0"/>
        <n v="321.0"/>
        <n v="229.0"/>
        <n v="450.0"/>
        <n v="583.0"/>
        <n v="390.0"/>
        <n v="459.0"/>
        <n v="136.0"/>
        <n v="371.0"/>
        <n v="660.0"/>
        <n v="353.0"/>
        <n v="71.0"/>
        <n v="176.0"/>
        <n v="70.0"/>
        <n v="134.0"/>
        <n v="144.0"/>
        <n v="372.0"/>
        <n v="322.0"/>
        <n v="126.0"/>
        <n v="596.0"/>
        <n v="86.0"/>
        <n v="116.0"/>
        <n v="488.0"/>
        <n v="394.0"/>
        <n v="269.0"/>
        <n v="247.0"/>
        <n v="535.0"/>
        <n v="384.0"/>
        <n v="258.0"/>
        <n v="568.0"/>
        <n v="436.0"/>
        <n v="483.0"/>
        <n v="132.0"/>
        <n v="103.0"/>
        <n v="378.0"/>
        <n v="387.0"/>
        <n v="546.0"/>
        <n v="43.0"/>
        <n v="787.0"/>
        <n v="69.0"/>
        <n v="164.0"/>
        <n v="130.0"/>
        <n v="416.0"/>
        <n v="210.0"/>
        <n v="585.0"/>
        <n v="474.0"/>
        <n v="105.0"/>
        <n v="306.0"/>
        <n v="27.0"/>
        <n v="1154.0"/>
        <n v="864.0"/>
        <n v="99.0"/>
        <n v="1487.0"/>
        <n v="77.0"/>
        <n v="1255.0"/>
        <n v="82.0"/>
        <n v="125.0"/>
        <n v="163.0"/>
        <n v="417.0"/>
        <n v="544.0"/>
        <n v="575.0"/>
        <n v="236.0"/>
        <n v="260.0"/>
        <n v="150.0"/>
        <n v="455.0"/>
        <n v="652.0"/>
        <n v="201.0"/>
        <n v="423.0"/>
        <n v="239.0"/>
        <n v="817.0"/>
        <n v="571.0"/>
        <n v="392.0"/>
        <n v="68.0"/>
        <n v="155.0"/>
        <n v="462.0"/>
        <n v="238.0"/>
        <n v="363.0"/>
        <n v="225.0"/>
        <n v="22.0"/>
        <n v="174.0"/>
        <n v="278.0"/>
        <n v="584.0"/>
        <n v="2.0"/>
        <n v="595.0"/>
        <n v="12.0"/>
        <n v="498.0"/>
        <n v="437.0"/>
        <n v="399.0"/>
        <n v="519.0"/>
        <n v="188.0"/>
        <n v="8.0"/>
        <n v="139.0"/>
        <n v="620.0"/>
        <n v="509.0"/>
        <n v="219.0"/>
        <n v="943.0"/>
        <n v="780.0"/>
        <n v="407.0"/>
        <n v="143.0"/>
        <n v="438.0"/>
        <n v="331.0"/>
        <n v="548.0"/>
        <n v="58.0"/>
        <n v="418.0"/>
        <n v="598.0"/>
        <n v="454.0"/>
        <n v="240.0"/>
        <n v="679.0"/>
        <n v="347.0"/>
        <n v="313.0"/>
        <n v="3030.0"/>
        <n v="336.0"/>
        <n v="122.0"/>
        <n v="276.0"/>
        <n v="385.0"/>
        <n v="345.0"/>
        <n v="206.0"/>
        <n v="168.0"/>
        <n v="468.0"/>
        <n v="267.0"/>
        <n v="193.0"/>
        <n v="841.0"/>
        <n v="142.0"/>
        <n v="528.0"/>
        <n v="266.0"/>
        <n v="564.0"/>
        <n v="298.0"/>
        <n v="326.0"/>
        <n v="369.0"/>
        <n v="356.0"/>
        <n v="237.0"/>
        <n v="339.0"/>
        <n v="17.0"/>
        <n v="491.0"/>
        <n v="699.0"/>
        <n v="545.0"/>
        <n v="179.0"/>
        <n v="411.0"/>
        <n v="115.0"/>
        <n v="518.0"/>
        <n v="217.0"/>
        <n v="401.0"/>
        <n v="120.0"/>
        <n v="256.0"/>
        <n v="370.0"/>
        <n v="111.0"/>
        <n v="161.0"/>
        <n v="183.0"/>
        <n v="50.0"/>
        <n v="759.0"/>
        <n v="192.0"/>
        <n v="281.0"/>
        <n v="293.0"/>
        <n v="496.0"/>
        <n v="325.0"/>
        <n v="446.0"/>
        <n v="200.0"/>
        <n v="1050.0"/>
        <n v="107.0"/>
        <n v="525.0"/>
        <n v="149.0"/>
        <n v="320.0"/>
        <n v="973.0"/>
        <n v="15.0"/>
        <n v="481.0"/>
        <n v="124.0"/>
        <n v="500.0"/>
        <n v="767.0"/>
        <n v="412.0"/>
        <n v="663.0"/>
        <n v="28.0"/>
        <n v="617.0"/>
        <n v="154.0"/>
        <n v="532.0"/>
        <n v="645.0"/>
        <n v="485.0"/>
        <n v="556.0"/>
        <n v="414.0"/>
        <n v="83.0"/>
        <n v="457.0"/>
        <n v="828.0"/>
        <n v="108.0"/>
        <n v="316.0"/>
        <n v="396.0"/>
        <n v="194.0"/>
        <n v="543.0"/>
        <n v="435.0"/>
        <n v="56.0"/>
        <n v="428.0"/>
        <n v="268.0"/>
        <n v="282.0"/>
        <n v="957.0"/>
        <n v="180.0"/>
        <n v="433.0"/>
        <n v="452.0"/>
        <n v="553.0"/>
        <n v="264.0"/>
        <n v="6325.0"/>
        <n v="324.0"/>
        <n v="627.0"/>
        <n v="2216.0"/>
        <n v="259.0"/>
        <n v="867.0"/>
        <n v="860.0"/>
        <n v="1158.0"/>
        <n v="959.0"/>
        <n v="705.0"/>
        <n v="242.0"/>
        <n v="743.0"/>
        <n v="248.0"/>
        <n v="92.0"/>
        <n v="962.0"/>
        <n v="626.0"/>
        <n v="960.0"/>
        <n v="24.0"/>
        <n v="213.0"/>
        <n v="300.0"/>
        <n v="138.0"/>
        <n v="304.0"/>
        <n v="198.0"/>
        <n v="1268.0"/>
        <n v="725.0"/>
        <n v="245.0"/>
        <n v="241.0"/>
        <n v="810.0"/>
        <n v="520.0"/>
        <n v="445.0"/>
        <n v="465.0"/>
        <n v="723.0"/>
        <n v="312.0"/>
        <n v="1054.0"/>
        <n v="2458.0"/>
        <n v="1673.0"/>
        <n v="669.0"/>
        <n v="422.0"/>
        <n v="478.0"/>
        <n v="349.0"/>
        <n v="220.0"/>
        <n v="1773.0"/>
        <n v="327.0"/>
        <n v="2392.0"/>
        <n v="323.0"/>
        <n v="719.0"/>
        <n v="2933.0"/>
        <n v="463.0"/>
        <n v="1335.0"/>
        <n v="3736.0"/>
        <n v="234.0"/>
        <n v="800.0"/>
        <n v="745.0"/>
        <n v="674.0"/>
        <n v="869.0"/>
        <n v="766.0"/>
        <n v="954.0"/>
        <n v="678.0"/>
        <n v="1065.0"/>
        <n v="355.0"/>
        <n v="131.0"/>
        <n v="1418.0"/>
        <n v="195.0"/>
        <n v="2696.0"/>
        <n v="1086.0"/>
        <n v="102.0"/>
        <n v="460.0"/>
        <n v="57.0"/>
        <n v="466.0"/>
        <n v="975.0"/>
        <n v="382.0"/>
        <n v="526.0"/>
        <n v="332.0"/>
        <n v="140.0"/>
        <n v="133.0"/>
        <n v="592.0"/>
        <n v="405.0"/>
        <n v="733.0"/>
        <n v="439.0"/>
        <n v="1232.0"/>
        <n v="172.0"/>
        <n v="218.0"/>
        <n v="503.0"/>
        <n v="551.0"/>
        <n v="185.0"/>
        <n v="340.0"/>
        <n v="1248.0"/>
        <n v="251.0"/>
        <n v="249.0"/>
        <n v="246.0"/>
        <n v="514.0"/>
        <n v="1254.0"/>
        <n v="330.0"/>
        <n v="228.0"/>
        <n v="997.0"/>
        <n v="64.0"/>
        <n v="467.0"/>
        <n v="287.0"/>
        <n v="189.0"/>
        <n v="1509.0"/>
        <n v="605.0"/>
        <n v="1431.0"/>
        <n v="121.0"/>
        <n v="813.0"/>
        <n v="1656.0"/>
        <n v="712.0"/>
        <n v="173.0"/>
        <n v="486.0"/>
        <n v="1417.0"/>
        <n v="549.0"/>
        <n v="690.0"/>
        <n v="846.0"/>
        <n v="863.0"/>
        <n v="277.0"/>
        <n v="296.0"/>
        <n v="901.0"/>
        <n v="1037.0"/>
        <n v="318.0"/>
        <n v="231.0"/>
        <n v="216.0"/>
        <n v="877.0"/>
        <n v="1597.0"/>
        <n v="1422.0"/>
        <n v="449.0"/>
        <n v="651.0"/>
        <n v="253.0"/>
        <n v="609.0"/>
        <n v="162.0"/>
        <n v="443.0"/>
        <n v="464.0"/>
        <n v="171.0"/>
        <n v="1095.0"/>
        <n v="540.0"/>
        <n v="1282.0"/>
        <n v="222.0"/>
        <n v="475.0"/>
        <n v="291.0"/>
        <n v="506.0"/>
        <n v="855.0"/>
        <n v="647.0"/>
        <n v="861.0"/>
        <n v="4.0"/>
        <n v="558.0"/>
        <n v="542.0"/>
        <n v="628.0"/>
        <n v="408.0"/>
        <n v="426.0"/>
        <n v="588.0"/>
        <n v="333.0"/>
        <n v="166.0"/>
        <n v="375.0"/>
        <n v="619.0"/>
        <n v="795.0"/>
        <n v="581.0"/>
        <n v="109.0"/>
        <n v="538.0"/>
        <n v="14.0"/>
        <n v="343.0"/>
        <n v="752.0"/>
        <n v="490.0"/>
        <n v="1573.0"/>
        <n v="84.0"/>
        <n v="624.0"/>
        <n v="912.0"/>
        <n v="388.0"/>
        <n v="1147.0"/>
        <n v="638.0"/>
        <n v="753.0"/>
        <n v="383.0"/>
        <n v="204.0"/>
        <n v="2979.0"/>
        <n v="191.0"/>
        <n v="1039.0"/>
        <n v="1605.0"/>
        <n v="505.0"/>
        <n v="586.0"/>
        <n v="495.0"/>
        <n v="207.0"/>
        <n v="484.0"/>
        <n v="550.0"/>
        <n v="279.0"/>
        <n v="23.0"/>
        <n v="319.0"/>
        <n v="779.0"/>
        <n v="309.0"/>
        <n v="769.0"/>
        <n v="853.0"/>
        <n v="3128.0"/>
        <n v="1213.0"/>
        <n v="986.0"/>
        <n v="286.0"/>
        <n v="1174.0"/>
        <n v="1071.0"/>
        <n v="591.0"/>
        <n v="696.0"/>
        <n v="250.0"/>
        <n v="393.0"/>
        <n v="311.0"/>
        <n v="377.0"/>
        <n v="837.0"/>
        <n v="1434.0"/>
        <n v="1075.0"/>
        <n v="948.0"/>
        <n v="342.0"/>
        <n v="956.0"/>
        <n v="499.0"/>
        <n v="427.0"/>
        <n v="965.0"/>
        <n v="1343.0"/>
        <n v="694.0"/>
        <n v="803.0"/>
        <n v="1823.0"/>
        <n v="891.0"/>
        <n v="294.0"/>
        <n v="381.0"/>
        <n v="707.0"/>
        <n v="686.0"/>
        <n v="796.0"/>
        <n v="1666.0"/>
        <n v="731.0"/>
        <n v="254.0"/>
        <n v="380.0"/>
        <n v="691.0"/>
        <n v="625.0"/>
        <n v="922.0"/>
        <n v="639.0"/>
        <n v="677.0"/>
        <n v="781.0"/>
        <n v="1175.0"/>
        <n v="560.0"/>
        <n v="295.0"/>
        <n v="873.0"/>
        <n v="444.0"/>
        <n v="3871.0"/>
        <n v="504.0"/>
        <n v="698.0"/>
        <n v="689.0"/>
        <n v="1193.0"/>
        <n v="911.0"/>
        <n v="391.0"/>
        <n v="413.0"/>
        <n v="742.0"/>
        <n v="1146.0"/>
        <n v="720.0"/>
        <n v="938.0"/>
        <n v="654.0"/>
        <n v="1384.0"/>
        <n v="297.0"/>
        <n v="896.0"/>
        <n v="302.0"/>
        <n v="271.0"/>
        <n v="3454.0"/>
        <n v="395.0"/>
        <n v="1508.0"/>
        <n v="1101.0"/>
        <n v="711.0"/>
        <n v="635.0"/>
        <n v="341.0"/>
        <n v="425.0"/>
        <n v="362.0"/>
        <n v="1076.0"/>
        <n v="827.0"/>
        <n v="409.0"/>
        <n v="1022.0"/>
        <n v="308.0"/>
        <n v="280.0"/>
        <n v="402.0"/>
        <n v="885.0"/>
        <n v="270.0"/>
        <n v="534.0"/>
        <n v="771.0"/>
        <n v="507.0"/>
        <n v="659.0"/>
        <n v="1206.0"/>
        <n v="1771.0"/>
        <n v="621.0"/>
        <n v="1415.0"/>
        <n v="703.0"/>
        <n v="1247.0"/>
        <n v="1621.0"/>
        <n v="903.0"/>
        <n v="447.0"/>
        <n v="825.0"/>
        <n v="818.0"/>
        <n v="910.0"/>
        <n v="1196.0"/>
        <n v="175.0"/>
        <n v="693.0"/>
        <n v="797.0"/>
        <n v="792.0"/>
        <n v="508.0"/>
        <n v="2983.0"/>
        <n v="814.0"/>
        <n v="307.0"/>
        <n v="7939.0"/>
        <n v="667.0"/>
        <n v="784.0"/>
        <n v="1176.0"/>
        <n v="763.0"/>
        <n v="523.0"/>
        <n v="713.0"/>
        <n v="740.0"/>
        <n v="410.0"/>
        <n v="650.0"/>
        <n v="1115.0"/>
        <n v="1010.0"/>
        <n v="497.0"/>
        <n v="633.0"/>
        <n v="724.0"/>
        <n v="274.0"/>
        <n v="791.0"/>
        <n v="346.0"/>
        <n v="730.0"/>
        <n v="301.0"/>
        <n v="489.0"/>
        <n v="1344.0"/>
        <n v="875.0"/>
        <n v="606.0"/>
        <n v="299.0"/>
        <n v="502.0"/>
        <n v="1784.0"/>
        <n v="578.0"/>
        <n v="805.0"/>
        <n v="3149.0"/>
        <n v="612.0"/>
        <n v="552.0"/>
        <n v="524.0"/>
        <n v="589.0"/>
        <n v="1049.0"/>
        <n v="768.0"/>
        <n v="773.0"/>
        <n v="675.0"/>
        <n v="760.0"/>
        <n v="1280.0"/>
        <n v="1274.0"/>
        <n v="329.0"/>
        <n v="1070.0"/>
        <n v="373.0"/>
        <n v="473.0"/>
        <n v="367.0"/>
        <n v="7.0"/>
        <n v="1241.0"/>
        <n v="1138.0"/>
        <n v="440.0"/>
        <n v="527.0"/>
        <n v="305.0"/>
        <n v="716.0"/>
        <n v="419.0"/>
        <n v="657.0"/>
        <n v="695.0"/>
        <n v="334.0"/>
        <n v="337.0"/>
        <n v="1372.0"/>
        <n v="607.0"/>
        <n v="833.0"/>
        <n v="671.0"/>
        <n v="2170.0"/>
        <n v="935.0"/>
        <n v="1273.0"/>
        <n v="662.0"/>
        <n v="604.0"/>
        <n v="2285.0"/>
        <n v="397.0"/>
        <n v="966.0"/>
        <n v="1199.0"/>
        <n v="284.0"/>
        <n v="2278.0"/>
        <n v="756.0"/>
        <n v="368.0"/>
        <n v="572.0"/>
        <n v="510.0"/>
        <n v="610.0"/>
        <n v="579.0"/>
        <n v="761.0"/>
        <n v="1014.0"/>
        <n v="1439.0"/>
        <n v="214.0"/>
        <n v="567.0"/>
        <n v="365.0"/>
        <n v="1036.0"/>
        <n v="1246.0"/>
        <n v="623.0"/>
        <n v="666.0"/>
        <n v="688.0"/>
        <n v="732.0"/>
        <n v="290.0"/>
        <n v="2490.0"/>
        <n v="840.0"/>
        <n v="512.0"/>
        <n v="1079.0"/>
        <n v="593.0"/>
        <n v="1009.0"/>
        <n v="932.0"/>
        <n v="420.0"/>
        <n v="522.0"/>
        <n v="376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40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t="default"/>
      </items>
    </pivotField>
    <pivotField name="n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t="default"/>
      </items>
    </pivotField>
    <pivotField name="propinsi" axis="axisRow" compact="0" outline="0" multipleItemSelectionAllowed="1" showAll="0" sortType="ascending">
      <items>
        <item x="0"/>
        <item x="16"/>
        <item x="15"/>
        <item x="6"/>
        <item x="10"/>
        <item x="28"/>
        <item x="4"/>
        <item x="11"/>
        <item x="12"/>
        <item x="14"/>
        <item x="19"/>
        <item x="21"/>
        <item x="20"/>
        <item x="22"/>
        <item x="23"/>
        <item x="8"/>
        <item x="9"/>
        <item x="7"/>
        <item x="30"/>
        <item x="31"/>
        <item x="17"/>
        <item x="18"/>
        <item x="34"/>
        <item x="33"/>
        <item x="32"/>
        <item x="37"/>
        <item x="36"/>
        <item x="35"/>
        <item x="3"/>
        <item x="29"/>
        <item x="26"/>
        <item x="25"/>
        <item x="27"/>
        <item x="24"/>
        <item x="2"/>
        <item x="5"/>
        <item x="1"/>
        <item x="13"/>
        <item t="default"/>
      </items>
    </pivotField>
    <pivotField name="ka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t="default"/>
      </items>
    </pivotField>
    <pivotField name="alam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t="default"/>
      </items>
    </pivotField>
    <pivotField name="jen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kela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tus_blu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pemilik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_temp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t="default"/>
      </items>
    </pivotField>
    <pivotField name="total_layan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total_tenag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2"/>
  </rowFields>
  <dataFields>
    <dataField name="SUM of total_tenaga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1110053.0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218.0</v>
      </c>
      <c r="K2" s="1">
        <v>36.0</v>
      </c>
      <c r="L2" s="1">
        <v>328.0</v>
      </c>
    </row>
    <row r="3">
      <c r="A3" s="1">
        <v>1106014.0</v>
      </c>
      <c r="B3" s="1" t="s">
        <v>20</v>
      </c>
      <c r="C3" s="1" t="s">
        <v>13</v>
      </c>
      <c r="D3" s="1" t="s">
        <v>21</v>
      </c>
      <c r="E3" s="1" t="s">
        <v>22</v>
      </c>
      <c r="F3" s="1" t="s">
        <v>16</v>
      </c>
      <c r="G3" s="1" t="s">
        <v>23</v>
      </c>
      <c r="H3" s="1" t="s">
        <v>18</v>
      </c>
      <c r="I3" s="1" t="s">
        <v>19</v>
      </c>
      <c r="J3" s="1">
        <v>45.0</v>
      </c>
      <c r="K3" s="1">
        <v>15.0</v>
      </c>
      <c r="L3" s="1">
        <v>45.0</v>
      </c>
    </row>
    <row r="4">
      <c r="A4" s="1">
        <v>1171110.0</v>
      </c>
      <c r="B4" s="1" t="s">
        <v>24</v>
      </c>
      <c r="C4" s="1" t="s">
        <v>13</v>
      </c>
      <c r="D4" s="1" t="s">
        <v>25</v>
      </c>
      <c r="E4" s="1" t="s">
        <v>26</v>
      </c>
      <c r="F4" s="1" t="s">
        <v>16</v>
      </c>
      <c r="G4" s="1" t="s">
        <v>27</v>
      </c>
      <c r="H4" s="1" t="s">
        <v>28</v>
      </c>
      <c r="I4" s="1" t="s">
        <v>29</v>
      </c>
      <c r="J4" s="1">
        <v>310.0</v>
      </c>
      <c r="K4" s="1">
        <v>77.0</v>
      </c>
      <c r="L4" s="1">
        <v>487.0</v>
      </c>
    </row>
    <row r="5">
      <c r="A5" s="1">
        <v>1171163.0</v>
      </c>
      <c r="B5" s="1" t="s">
        <v>30</v>
      </c>
      <c r="C5" s="1" t="s">
        <v>13</v>
      </c>
      <c r="D5" s="1" t="s">
        <v>25</v>
      </c>
      <c r="E5" s="1" t="s">
        <v>31</v>
      </c>
      <c r="F5" s="1" t="s">
        <v>32</v>
      </c>
      <c r="G5" s="1" t="s">
        <v>27</v>
      </c>
      <c r="H5" s="1" t="s">
        <v>33</v>
      </c>
      <c r="I5" s="1" t="s">
        <v>34</v>
      </c>
      <c r="J5" s="1">
        <v>11.0</v>
      </c>
      <c r="K5" s="1">
        <v>24.0</v>
      </c>
      <c r="L5" s="1">
        <v>0.0</v>
      </c>
    </row>
    <row r="6">
      <c r="A6" s="1">
        <v>1102027.0</v>
      </c>
      <c r="B6" s="1" t="s">
        <v>35</v>
      </c>
      <c r="C6" s="1" t="s">
        <v>13</v>
      </c>
      <c r="D6" s="1" t="s">
        <v>36</v>
      </c>
      <c r="E6" s="1" t="s">
        <v>37</v>
      </c>
      <c r="F6" s="1" t="s">
        <v>16</v>
      </c>
      <c r="G6" s="1" t="s">
        <v>17</v>
      </c>
      <c r="H6" s="1" t="s">
        <v>28</v>
      </c>
      <c r="I6" s="1" t="s">
        <v>29</v>
      </c>
      <c r="J6" s="1">
        <v>189.0</v>
      </c>
      <c r="K6" s="1">
        <v>34.0</v>
      </c>
      <c r="L6" s="1">
        <v>537.0</v>
      </c>
    </row>
    <row r="7">
      <c r="A7" s="1">
        <v>1106013.0</v>
      </c>
      <c r="B7" s="1" t="s">
        <v>38</v>
      </c>
      <c r="C7" s="1" t="s">
        <v>13</v>
      </c>
      <c r="D7" s="1" t="s">
        <v>21</v>
      </c>
      <c r="E7" s="1" t="s">
        <v>39</v>
      </c>
      <c r="F7" s="1" t="s">
        <v>16</v>
      </c>
      <c r="G7" s="1" t="s">
        <v>27</v>
      </c>
      <c r="H7" s="1" t="s">
        <v>28</v>
      </c>
      <c r="I7" s="1" t="s">
        <v>40</v>
      </c>
      <c r="J7" s="1">
        <v>376.0</v>
      </c>
      <c r="K7" s="1">
        <v>80.0</v>
      </c>
      <c r="L7" s="1">
        <v>470.0</v>
      </c>
    </row>
    <row r="8">
      <c r="A8" s="1">
        <v>1109028.0</v>
      </c>
      <c r="B8" s="1" t="s">
        <v>41</v>
      </c>
      <c r="C8" s="1" t="s">
        <v>13</v>
      </c>
      <c r="D8" s="1" t="s">
        <v>42</v>
      </c>
      <c r="E8" s="1" t="s">
        <v>43</v>
      </c>
      <c r="F8" s="1" t="s">
        <v>16</v>
      </c>
      <c r="G8" s="1" t="s">
        <v>23</v>
      </c>
      <c r="H8" s="1" t="s">
        <v>18</v>
      </c>
      <c r="I8" s="1" t="s">
        <v>44</v>
      </c>
      <c r="J8" s="1">
        <v>102.0</v>
      </c>
      <c r="K8" s="1">
        <v>64.0</v>
      </c>
      <c r="L8" s="1">
        <v>208.0</v>
      </c>
    </row>
    <row r="9">
      <c r="A9" s="1">
        <v>1174022.0</v>
      </c>
      <c r="B9" s="1" t="s">
        <v>45</v>
      </c>
      <c r="C9" s="1" t="s">
        <v>13</v>
      </c>
      <c r="D9" s="1" t="s">
        <v>14</v>
      </c>
      <c r="E9" s="1" t="s">
        <v>46</v>
      </c>
      <c r="F9" s="1" t="s">
        <v>16</v>
      </c>
      <c r="G9" s="1" t="s">
        <v>23</v>
      </c>
      <c r="H9" s="1" t="s">
        <v>18</v>
      </c>
      <c r="I9" s="1" t="s">
        <v>19</v>
      </c>
      <c r="J9" s="1">
        <v>88.0</v>
      </c>
      <c r="K9" s="1">
        <v>38.0</v>
      </c>
      <c r="L9" s="1">
        <v>128.0</v>
      </c>
    </row>
    <row r="10">
      <c r="A10" s="1">
        <v>1117025.0</v>
      </c>
      <c r="B10" s="1" t="s">
        <v>47</v>
      </c>
      <c r="C10" s="1" t="s">
        <v>13</v>
      </c>
      <c r="D10" s="1" t="s">
        <v>48</v>
      </c>
      <c r="E10" s="1" t="s">
        <v>49</v>
      </c>
      <c r="F10" s="1" t="s">
        <v>16</v>
      </c>
      <c r="G10" s="1" t="s">
        <v>17</v>
      </c>
      <c r="H10" s="1" t="s">
        <v>28</v>
      </c>
      <c r="I10" s="1" t="s">
        <v>40</v>
      </c>
      <c r="J10" s="1">
        <v>176.0</v>
      </c>
      <c r="K10" s="1">
        <v>35.0</v>
      </c>
      <c r="L10" s="1">
        <v>199.0</v>
      </c>
    </row>
    <row r="11">
      <c r="A11" s="1">
        <v>1106025.0</v>
      </c>
      <c r="B11" s="1" t="s">
        <v>50</v>
      </c>
      <c r="C11" s="1" t="s">
        <v>13</v>
      </c>
      <c r="D11" s="1" t="s">
        <v>21</v>
      </c>
      <c r="E11" s="1" t="s">
        <v>51</v>
      </c>
      <c r="F11" s="1" t="s">
        <v>16</v>
      </c>
      <c r="G11" s="1" t="s">
        <v>23</v>
      </c>
      <c r="H11" s="1" t="s">
        <v>18</v>
      </c>
      <c r="I11" s="1" t="s">
        <v>19</v>
      </c>
      <c r="J11" s="1">
        <v>60.0</v>
      </c>
      <c r="K11" s="1">
        <v>56.0</v>
      </c>
      <c r="L11" s="1">
        <v>0.0</v>
      </c>
    </row>
    <row r="12">
      <c r="A12" s="1">
        <v>1104013.0</v>
      </c>
      <c r="B12" s="1" t="s">
        <v>52</v>
      </c>
      <c r="C12" s="1" t="s">
        <v>13</v>
      </c>
      <c r="D12" s="1" t="s">
        <v>53</v>
      </c>
      <c r="E12" s="1" t="s">
        <v>54</v>
      </c>
      <c r="F12" s="1" t="s">
        <v>55</v>
      </c>
      <c r="G12" s="1" t="s">
        <v>17</v>
      </c>
      <c r="H12" s="1" t="s">
        <v>18</v>
      </c>
      <c r="I12" s="1" t="s">
        <v>19</v>
      </c>
      <c r="J12" s="1">
        <v>80.0</v>
      </c>
      <c r="K12" s="1">
        <v>28.0</v>
      </c>
      <c r="L12" s="1">
        <v>3.0</v>
      </c>
    </row>
    <row r="13">
      <c r="A13" s="1">
        <v>1105078.0</v>
      </c>
      <c r="B13" s="1" t="s">
        <v>56</v>
      </c>
      <c r="C13" s="1" t="s">
        <v>13</v>
      </c>
      <c r="D13" s="1" t="s">
        <v>57</v>
      </c>
      <c r="E13" s="1" t="s">
        <v>58</v>
      </c>
      <c r="F13" s="1" t="s">
        <v>16</v>
      </c>
      <c r="G13" s="1" t="s">
        <v>17</v>
      </c>
      <c r="H13" s="1" t="s">
        <v>18</v>
      </c>
      <c r="I13" s="1" t="s">
        <v>59</v>
      </c>
      <c r="J13" s="1">
        <v>163.0</v>
      </c>
      <c r="K13" s="1">
        <v>26.0</v>
      </c>
      <c r="L13" s="1">
        <v>315.0</v>
      </c>
    </row>
    <row r="14">
      <c r="A14" s="1">
        <v>1110075.0</v>
      </c>
      <c r="B14" s="1" t="s">
        <v>60</v>
      </c>
      <c r="C14" s="1" t="s">
        <v>13</v>
      </c>
      <c r="D14" s="1" t="s">
        <v>61</v>
      </c>
      <c r="E14" s="1" t="s">
        <v>62</v>
      </c>
      <c r="F14" s="1" t="s">
        <v>16</v>
      </c>
      <c r="G14" s="1" t="s">
        <v>27</v>
      </c>
      <c r="H14" s="1" t="s">
        <v>28</v>
      </c>
      <c r="I14" s="1" t="s">
        <v>40</v>
      </c>
      <c r="J14" s="1">
        <v>251.0</v>
      </c>
      <c r="K14" s="1">
        <v>84.0</v>
      </c>
      <c r="L14" s="1">
        <v>1178.0</v>
      </c>
    </row>
    <row r="15">
      <c r="A15" s="1">
        <v>1171143.0</v>
      </c>
      <c r="B15" s="1" t="s">
        <v>63</v>
      </c>
      <c r="C15" s="1" t="s">
        <v>13</v>
      </c>
      <c r="D15" s="1" t="s">
        <v>25</v>
      </c>
      <c r="E15" s="1" t="s">
        <v>64</v>
      </c>
      <c r="F15" s="1" t="s">
        <v>16</v>
      </c>
      <c r="G15" s="1" t="s">
        <v>17</v>
      </c>
      <c r="H15" s="1" t="s">
        <v>33</v>
      </c>
      <c r="I15" s="1" t="s">
        <v>65</v>
      </c>
      <c r="J15" s="1">
        <v>182.0</v>
      </c>
      <c r="K15" s="1">
        <v>23.0</v>
      </c>
      <c r="L15" s="1">
        <v>147.0</v>
      </c>
    </row>
    <row r="16">
      <c r="A16" s="1">
        <v>1103010.0</v>
      </c>
      <c r="B16" s="1" t="s">
        <v>66</v>
      </c>
      <c r="C16" s="1" t="s">
        <v>13</v>
      </c>
      <c r="D16" s="1" t="s">
        <v>67</v>
      </c>
      <c r="E16" s="1" t="s">
        <v>68</v>
      </c>
      <c r="F16" s="1" t="s">
        <v>16</v>
      </c>
      <c r="G16" s="1" t="s">
        <v>27</v>
      </c>
      <c r="H16" s="1" t="s">
        <v>28</v>
      </c>
      <c r="I16" s="1" t="s">
        <v>40</v>
      </c>
      <c r="J16" s="1">
        <v>359.0</v>
      </c>
      <c r="K16" s="1">
        <v>68.0</v>
      </c>
      <c r="L16" s="1">
        <v>515.0</v>
      </c>
    </row>
    <row r="17">
      <c r="A17" s="1">
        <v>1108015.0</v>
      </c>
      <c r="B17" s="1" t="s">
        <v>69</v>
      </c>
      <c r="C17" s="1" t="s">
        <v>13</v>
      </c>
      <c r="D17" s="1" t="s">
        <v>70</v>
      </c>
      <c r="E17" s="1" t="s">
        <v>71</v>
      </c>
      <c r="F17" s="1" t="s">
        <v>16</v>
      </c>
      <c r="G17" s="1" t="s">
        <v>17</v>
      </c>
      <c r="H17" s="1" t="s">
        <v>18</v>
      </c>
      <c r="I17" s="1" t="s">
        <v>40</v>
      </c>
      <c r="J17" s="1">
        <v>101.0</v>
      </c>
      <c r="K17" s="1">
        <v>23.0</v>
      </c>
      <c r="L17" s="1">
        <v>262.0</v>
      </c>
    </row>
    <row r="18">
      <c r="A18" s="1">
        <v>1171026.0</v>
      </c>
      <c r="B18" s="1" t="s">
        <v>72</v>
      </c>
      <c r="C18" s="1" t="s">
        <v>13</v>
      </c>
      <c r="D18" s="1" t="s">
        <v>25</v>
      </c>
      <c r="E18" s="1" t="s">
        <v>73</v>
      </c>
      <c r="F18" s="1" t="s">
        <v>16</v>
      </c>
      <c r="G18" s="1" t="s">
        <v>27</v>
      </c>
      <c r="H18" s="1" t="s">
        <v>33</v>
      </c>
      <c r="I18" s="1" t="s">
        <v>74</v>
      </c>
      <c r="J18" s="1">
        <v>273.0</v>
      </c>
      <c r="K18" s="1">
        <v>82.0</v>
      </c>
      <c r="L18" s="1">
        <v>442.0</v>
      </c>
    </row>
    <row r="19">
      <c r="A19" s="1">
        <v>1174023.0</v>
      </c>
      <c r="B19" s="1" t="s">
        <v>75</v>
      </c>
      <c r="C19" s="1" t="s">
        <v>13</v>
      </c>
      <c r="D19" s="1" t="s">
        <v>14</v>
      </c>
      <c r="E19" s="1" t="s">
        <v>76</v>
      </c>
      <c r="F19" s="1" t="s">
        <v>55</v>
      </c>
      <c r="G19" s="1" t="s">
        <v>17</v>
      </c>
      <c r="H19" s="1" t="s">
        <v>18</v>
      </c>
      <c r="I19" s="1" t="s">
        <v>19</v>
      </c>
      <c r="J19" s="1">
        <v>66.0</v>
      </c>
      <c r="K19" s="1">
        <v>30.0</v>
      </c>
      <c r="L19" s="1">
        <v>91.0</v>
      </c>
    </row>
    <row r="20">
      <c r="A20" s="1">
        <v>1101015.0</v>
      </c>
      <c r="B20" s="1" t="s">
        <v>77</v>
      </c>
      <c r="C20" s="1" t="s">
        <v>13</v>
      </c>
      <c r="D20" s="1" t="s">
        <v>78</v>
      </c>
      <c r="E20" s="1" t="s">
        <v>79</v>
      </c>
      <c r="F20" s="1" t="s">
        <v>16</v>
      </c>
      <c r="G20" s="1" t="s">
        <v>17</v>
      </c>
      <c r="H20" s="1" t="s">
        <v>28</v>
      </c>
      <c r="I20" s="1" t="s">
        <v>40</v>
      </c>
      <c r="J20" s="1">
        <v>120.0</v>
      </c>
      <c r="K20" s="1">
        <v>33.0</v>
      </c>
      <c r="L20" s="1">
        <v>533.0</v>
      </c>
    </row>
    <row r="21">
      <c r="A21" s="1">
        <v>1174021.0</v>
      </c>
      <c r="B21" s="1" t="s">
        <v>80</v>
      </c>
      <c r="C21" s="1" t="s">
        <v>13</v>
      </c>
      <c r="D21" s="1" t="s">
        <v>14</v>
      </c>
      <c r="E21" s="1" t="s">
        <v>81</v>
      </c>
      <c r="F21" s="1" t="s">
        <v>16</v>
      </c>
      <c r="G21" s="1" t="s">
        <v>23</v>
      </c>
      <c r="H21" s="1" t="s">
        <v>18</v>
      </c>
      <c r="I21" s="1" t="s">
        <v>19</v>
      </c>
      <c r="J21" s="1">
        <v>68.0</v>
      </c>
      <c r="K21" s="1">
        <v>22.0</v>
      </c>
      <c r="L21" s="1">
        <v>119.0</v>
      </c>
    </row>
    <row r="22">
      <c r="A22" s="1">
        <v>1174100.0</v>
      </c>
      <c r="B22" s="1" t="s">
        <v>82</v>
      </c>
      <c r="C22" s="1" t="s">
        <v>13</v>
      </c>
      <c r="D22" s="1" t="s">
        <v>14</v>
      </c>
      <c r="E22" s="1" t="s">
        <v>83</v>
      </c>
      <c r="F22" s="1" t="s">
        <v>16</v>
      </c>
      <c r="G22" s="1" t="s">
        <v>17</v>
      </c>
      <c r="H22" s="1" t="s">
        <v>18</v>
      </c>
      <c r="I22" s="1" t="s">
        <v>74</v>
      </c>
      <c r="J22" s="1">
        <v>171.0</v>
      </c>
      <c r="K22" s="1">
        <v>60.0</v>
      </c>
      <c r="L22" s="1">
        <v>303.0</v>
      </c>
    </row>
    <row r="23">
      <c r="A23" s="1">
        <v>1110104.0</v>
      </c>
      <c r="B23" s="1" t="s">
        <v>84</v>
      </c>
      <c r="C23" s="1" t="s">
        <v>13</v>
      </c>
      <c r="D23" s="1" t="s">
        <v>61</v>
      </c>
      <c r="E23" s="1" t="s">
        <v>85</v>
      </c>
      <c r="F23" s="1" t="s">
        <v>16</v>
      </c>
      <c r="G23" s="1" t="s">
        <v>17</v>
      </c>
      <c r="H23" s="1" t="s">
        <v>18</v>
      </c>
      <c r="I23" s="1" t="s">
        <v>19</v>
      </c>
      <c r="J23" s="1">
        <v>104.0</v>
      </c>
      <c r="K23" s="1">
        <v>28.0</v>
      </c>
      <c r="L23" s="1">
        <v>151.0</v>
      </c>
    </row>
    <row r="24">
      <c r="A24" s="1">
        <v>1113023.0</v>
      </c>
      <c r="B24" s="1" t="s">
        <v>86</v>
      </c>
      <c r="C24" s="1" t="s">
        <v>13</v>
      </c>
      <c r="D24" s="1" t="s">
        <v>87</v>
      </c>
      <c r="E24" s="1" t="s">
        <v>88</v>
      </c>
      <c r="F24" s="1" t="s">
        <v>16</v>
      </c>
      <c r="G24" s="1" t="s">
        <v>23</v>
      </c>
      <c r="H24" s="1" t="s">
        <v>18</v>
      </c>
      <c r="I24" s="1" t="s">
        <v>34</v>
      </c>
      <c r="J24" s="1">
        <v>54.0</v>
      </c>
      <c r="K24" s="1">
        <v>22.0</v>
      </c>
      <c r="L24" s="1">
        <v>0.0</v>
      </c>
    </row>
    <row r="25">
      <c r="A25" s="1">
        <v>1116011.0</v>
      </c>
      <c r="B25" s="1" t="s">
        <v>89</v>
      </c>
      <c r="C25" s="1" t="s">
        <v>13</v>
      </c>
      <c r="D25" s="1" t="s">
        <v>90</v>
      </c>
      <c r="E25" s="1" t="s">
        <v>91</v>
      </c>
      <c r="F25" s="1" t="s">
        <v>16</v>
      </c>
      <c r="G25" s="1" t="s">
        <v>17</v>
      </c>
      <c r="H25" s="1" t="s">
        <v>28</v>
      </c>
      <c r="I25" s="1" t="s">
        <v>40</v>
      </c>
      <c r="J25" s="1">
        <v>107.0</v>
      </c>
      <c r="K25" s="1">
        <v>23.0</v>
      </c>
      <c r="L25" s="1">
        <v>406.0</v>
      </c>
    </row>
    <row r="26">
      <c r="A26" s="1">
        <v>1172031.0</v>
      </c>
      <c r="B26" s="1" t="s">
        <v>92</v>
      </c>
      <c r="C26" s="1" t="s">
        <v>13</v>
      </c>
      <c r="D26" s="1" t="s">
        <v>93</v>
      </c>
      <c r="E26" s="1" t="s">
        <v>94</v>
      </c>
      <c r="F26" s="1" t="s">
        <v>16</v>
      </c>
      <c r="G26" s="1" t="s">
        <v>23</v>
      </c>
      <c r="H26" s="1" t="s">
        <v>18</v>
      </c>
      <c r="I26" s="1" t="s">
        <v>95</v>
      </c>
      <c r="J26" s="1">
        <v>52.0</v>
      </c>
      <c r="K26" s="1">
        <v>17.0</v>
      </c>
      <c r="L26" s="1">
        <v>20.0</v>
      </c>
    </row>
    <row r="27">
      <c r="A27" s="1">
        <v>1103022.0</v>
      </c>
      <c r="B27" s="1" t="s">
        <v>96</v>
      </c>
      <c r="C27" s="1" t="s">
        <v>13</v>
      </c>
      <c r="D27" s="1" t="s">
        <v>67</v>
      </c>
      <c r="E27" s="1" t="s">
        <v>97</v>
      </c>
      <c r="F27" s="1" t="s">
        <v>16</v>
      </c>
      <c r="G27" s="1" t="s">
        <v>98</v>
      </c>
      <c r="H27" s="1" t="s">
        <v>18</v>
      </c>
      <c r="I27" s="1" t="s">
        <v>40</v>
      </c>
      <c r="J27" s="1">
        <v>0.0</v>
      </c>
      <c r="K27" s="1">
        <v>3.0</v>
      </c>
      <c r="L27" s="1">
        <v>0.0</v>
      </c>
    </row>
    <row r="28">
      <c r="A28" s="1">
        <v>1173012.0</v>
      </c>
      <c r="B28" s="1" t="s">
        <v>99</v>
      </c>
      <c r="C28" s="1" t="s">
        <v>13</v>
      </c>
      <c r="D28" s="1" t="s">
        <v>100</v>
      </c>
      <c r="E28" s="1" t="s">
        <v>101</v>
      </c>
      <c r="F28" s="1" t="s">
        <v>16</v>
      </c>
      <c r="G28" s="1" t="s">
        <v>27</v>
      </c>
      <c r="H28" s="1" t="s">
        <v>28</v>
      </c>
      <c r="I28" s="1" t="s">
        <v>29</v>
      </c>
      <c r="J28" s="1">
        <v>361.0</v>
      </c>
      <c r="K28" s="1">
        <v>65.0</v>
      </c>
      <c r="L28" s="1">
        <v>1169.0</v>
      </c>
    </row>
    <row r="29">
      <c r="A29" s="1">
        <v>1109027.0</v>
      </c>
      <c r="B29" s="1" t="s">
        <v>102</v>
      </c>
      <c r="C29" s="1" t="s">
        <v>13</v>
      </c>
      <c r="D29" s="1" t="s">
        <v>42</v>
      </c>
      <c r="E29" s="1" t="s">
        <v>103</v>
      </c>
      <c r="F29" s="1" t="s">
        <v>16</v>
      </c>
      <c r="G29" s="1" t="s">
        <v>17</v>
      </c>
      <c r="H29" s="1" t="s">
        <v>28</v>
      </c>
      <c r="I29" s="1" t="s">
        <v>40</v>
      </c>
      <c r="J29" s="1">
        <v>200.0</v>
      </c>
      <c r="K29" s="1">
        <v>25.0</v>
      </c>
      <c r="L29" s="1">
        <v>801.0</v>
      </c>
    </row>
    <row r="30">
      <c r="A30" s="1">
        <v>1171085.0</v>
      </c>
      <c r="B30" s="1" t="s">
        <v>104</v>
      </c>
      <c r="C30" s="1" t="s">
        <v>13</v>
      </c>
      <c r="D30" s="1" t="s">
        <v>25</v>
      </c>
      <c r="E30" s="1" t="s">
        <v>105</v>
      </c>
      <c r="F30" s="1" t="s">
        <v>16</v>
      </c>
      <c r="G30" s="1" t="s">
        <v>23</v>
      </c>
      <c r="H30" s="1" t="s">
        <v>18</v>
      </c>
      <c r="I30" s="1" t="s">
        <v>59</v>
      </c>
      <c r="J30" s="1">
        <v>42.0</v>
      </c>
      <c r="K30" s="1">
        <v>13.0</v>
      </c>
      <c r="L30" s="1">
        <v>18.0</v>
      </c>
    </row>
    <row r="31">
      <c r="A31" s="1">
        <v>1108017.0</v>
      </c>
      <c r="B31" s="1" t="s">
        <v>106</v>
      </c>
      <c r="C31" s="1" t="s">
        <v>13</v>
      </c>
      <c r="D31" s="1" t="s">
        <v>70</v>
      </c>
      <c r="E31" s="1" t="s">
        <v>107</v>
      </c>
      <c r="F31" s="1" t="s">
        <v>16</v>
      </c>
      <c r="G31" s="1" t="s">
        <v>23</v>
      </c>
      <c r="H31" s="1" t="s">
        <v>18</v>
      </c>
      <c r="I31" s="1" t="s">
        <v>19</v>
      </c>
      <c r="J31" s="1">
        <v>63.0</v>
      </c>
      <c r="K31" s="1">
        <v>33.0</v>
      </c>
      <c r="L31" s="1">
        <v>67.0</v>
      </c>
    </row>
    <row r="32">
      <c r="A32" s="1">
        <v>1113012.0</v>
      </c>
      <c r="B32" s="1" t="s">
        <v>108</v>
      </c>
      <c r="C32" s="1" t="s">
        <v>13</v>
      </c>
      <c r="D32" s="1" t="s">
        <v>87</v>
      </c>
      <c r="E32" s="1" t="s">
        <v>109</v>
      </c>
      <c r="F32" s="1" t="s">
        <v>16</v>
      </c>
      <c r="G32" s="1" t="s">
        <v>17</v>
      </c>
      <c r="H32" s="1" t="s">
        <v>28</v>
      </c>
      <c r="I32" s="1" t="s">
        <v>40</v>
      </c>
      <c r="J32" s="1">
        <v>159.0</v>
      </c>
      <c r="K32" s="1">
        <v>24.0</v>
      </c>
      <c r="L32" s="1">
        <v>640.0</v>
      </c>
    </row>
    <row r="33">
      <c r="A33" s="1">
        <v>1105034.0</v>
      </c>
      <c r="B33" s="1" t="s">
        <v>110</v>
      </c>
      <c r="C33" s="1" t="s">
        <v>13</v>
      </c>
      <c r="D33" s="1" t="s">
        <v>111</v>
      </c>
      <c r="E33" s="1" t="s">
        <v>112</v>
      </c>
      <c r="F33" s="1" t="s">
        <v>16</v>
      </c>
      <c r="G33" s="1" t="s">
        <v>23</v>
      </c>
      <c r="H33" s="1" t="s">
        <v>18</v>
      </c>
      <c r="I33" s="1" t="s">
        <v>113</v>
      </c>
      <c r="J33" s="1">
        <v>50.0</v>
      </c>
      <c r="K33" s="1">
        <v>21.0</v>
      </c>
      <c r="L33" s="1">
        <v>49.0</v>
      </c>
    </row>
    <row r="34">
      <c r="A34" s="1">
        <v>1111006.0</v>
      </c>
      <c r="B34" s="1" t="s">
        <v>114</v>
      </c>
      <c r="C34" s="1" t="s">
        <v>13</v>
      </c>
      <c r="D34" s="1" t="s">
        <v>115</v>
      </c>
      <c r="E34" s="1" t="s">
        <v>116</v>
      </c>
      <c r="F34" s="1" t="s">
        <v>16</v>
      </c>
      <c r="G34" s="1" t="s">
        <v>98</v>
      </c>
      <c r="H34" s="1" t="s">
        <v>18</v>
      </c>
      <c r="I34" s="1" t="s">
        <v>40</v>
      </c>
      <c r="J34" s="1">
        <v>28.0</v>
      </c>
      <c r="K34" s="1">
        <v>13.0</v>
      </c>
      <c r="L34" s="1">
        <v>0.0</v>
      </c>
    </row>
    <row r="35">
      <c r="A35" s="1">
        <v>1110027.0</v>
      </c>
      <c r="B35" s="1" t="s">
        <v>104</v>
      </c>
      <c r="C35" s="1" t="s">
        <v>13</v>
      </c>
      <c r="D35" s="1" t="s">
        <v>61</v>
      </c>
      <c r="E35" s="1" t="s">
        <v>117</v>
      </c>
      <c r="F35" s="1" t="s">
        <v>16</v>
      </c>
      <c r="G35" s="1" t="s">
        <v>23</v>
      </c>
      <c r="H35" s="1" t="s">
        <v>18</v>
      </c>
      <c r="I35" s="1" t="s">
        <v>59</v>
      </c>
      <c r="J35" s="1">
        <v>74.0</v>
      </c>
      <c r="K35" s="1">
        <v>35.0</v>
      </c>
      <c r="L35" s="1">
        <v>123.0</v>
      </c>
    </row>
    <row r="36">
      <c r="A36" s="1">
        <v>1171106.0</v>
      </c>
      <c r="B36" s="1" t="s">
        <v>118</v>
      </c>
      <c r="C36" s="1" t="s">
        <v>13</v>
      </c>
      <c r="D36" s="1" t="s">
        <v>25</v>
      </c>
      <c r="E36" s="1" t="s">
        <v>119</v>
      </c>
      <c r="F36" s="1" t="s">
        <v>16</v>
      </c>
      <c r="G36" s="1" t="s">
        <v>17</v>
      </c>
      <c r="H36" s="1" t="s">
        <v>18</v>
      </c>
      <c r="I36" s="1" t="s">
        <v>59</v>
      </c>
      <c r="J36" s="1">
        <v>113.0</v>
      </c>
      <c r="K36" s="1">
        <v>39.0</v>
      </c>
      <c r="L36" s="1">
        <v>148.0</v>
      </c>
    </row>
    <row r="37">
      <c r="A37" s="1">
        <v>1105056.0</v>
      </c>
      <c r="B37" s="1" t="s">
        <v>120</v>
      </c>
      <c r="C37" s="1" t="s">
        <v>13</v>
      </c>
      <c r="D37" s="1" t="s">
        <v>57</v>
      </c>
      <c r="E37" s="1" t="s">
        <v>121</v>
      </c>
      <c r="F37" s="1" t="s">
        <v>16</v>
      </c>
      <c r="G37" s="1" t="s">
        <v>27</v>
      </c>
      <c r="H37" s="1" t="s">
        <v>28</v>
      </c>
      <c r="I37" s="1" t="s">
        <v>40</v>
      </c>
      <c r="J37" s="1">
        <v>246.0</v>
      </c>
      <c r="K37" s="1">
        <v>47.0</v>
      </c>
      <c r="L37" s="1">
        <v>636.0</v>
      </c>
    </row>
    <row r="38">
      <c r="A38" s="1">
        <v>1115012.0</v>
      </c>
      <c r="B38" s="1" t="s">
        <v>122</v>
      </c>
      <c r="C38" s="1" t="s">
        <v>13</v>
      </c>
      <c r="D38" s="1" t="s">
        <v>123</v>
      </c>
      <c r="E38" s="1" t="s">
        <v>124</v>
      </c>
      <c r="F38" s="1" t="s">
        <v>16</v>
      </c>
      <c r="G38" s="1" t="s">
        <v>17</v>
      </c>
      <c r="H38" s="1" t="s">
        <v>28</v>
      </c>
      <c r="I38" s="1" t="s">
        <v>40</v>
      </c>
      <c r="J38" s="1">
        <v>215.0</v>
      </c>
      <c r="K38" s="1">
        <v>44.0</v>
      </c>
      <c r="L38" s="1">
        <v>577.0</v>
      </c>
    </row>
    <row r="39">
      <c r="A39" s="1">
        <v>1110103.0</v>
      </c>
      <c r="B39" s="1" t="s">
        <v>125</v>
      </c>
      <c r="C39" s="1" t="s">
        <v>13</v>
      </c>
      <c r="D39" s="1" t="s">
        <v>61</v>
      </c>
      <c r="E39" s="1" t="s">
        <v>126</v>
      </c>
      <c r="F39" s="1" t="s">
        <v>16</v>
      </c>
      <c r="G39" s="1" t="s">
        <v>23</v>
      </c>
      <c r="H39" s="1" t="s">
        <v>18</v>
      </c>
      <c r="I39" s="1" t="s">
        <v>19</v>
      </c>
      <c r="J39" s="1">
        <v>50.0</v>
      </c>
      <c r="K39" s="1">
        <v>17.0</v>
      </c>
      <c r="L39" s="1">
        <v>101.0</v>
      </c>
    </row>
    <row r="40">
      <c r="A40" s="1">
        <v>1111029.0</v>
      </c>
      <c r="B40" s="1" t="s">
        <v>127</v>
      </c>
      <c r="C40" s="1" t="s">
        <v>13</v>
      </c>
      <c r="D40" s="1" t="s">
        <v>115</v>
      </c>
      <c r="E40" s="1" t="s">
        <v>128</v>
      </c>
      <c r="F40" s="1" t="s">
        <v>16</v>
      </c>
      <c r="G40" s="1" t="s">
        <v>23</v>
      </c>
      <c r="H40" s="1" t="s">
        <v>18</v>
      </c>
      <c r="I40" s="1" t="s">
        <v>19</v>
      </c>
      <c r="J40" s="1">
        <v>56.0</v>
      </c>
      <c r="K40" s="1">
        <v>11.0</v>
      </c>
      <c r="L40" s="1">
        <v>0.0</v>
      </c>
    </row>
    <row r="41">
      <c r="A41" s="1">
        <v>1103021.0</v>
      </c>
      <c r="B41" s="1" t="s">
        <v>129</v>
      </c>
      <c r="C41" s="1" t="s">
        <v>13</v>
      </c>
      <c r="D41" s="1" t="s">
        <v>67</v>
      </c>
      <c r="E41" s="1" t="s">
        <v>130</v>
      </c>
      <c r="F41" s="1" t="s">
        <v>16</v>
      </c>
      <c r="G41" s="1" t="s">
        <v>23</v>
      </c>
      <c r="H41" s="1" t="s">
        <v>18</v>
      </c>
      <c r="I41" s="1" t="s">
        <v>34</v>
      </c>
      <c r="J41" s="1">
        <v>71.0</v>
      </c>
      <c r="K41" s="1">
        <v>20.0</v>
      </c>
      <c r="L41" s="1">
        <v>0.0</v>
      </c>
    </row>
    <row r="42">
      <c r="A42" s="1">
        <v>1105067.0</v>
      </c>
      <c r="B42" s="1" t="s">
        <v>131</v>
      </c>
      <c r="C42" s="1" t="s">
        <v>13</v>
      </c>
      <c r="D42" s="1" t="s">
        <v>57</v>
      </c>
      <c r="E42" s="1" t="s">
        <v>132</v>
      </c>
      <c r="F42" s="1" t="s">
        <v>16</v>
      </c>
      <c r="G42" s="1" t="s">
        <v>17</v>
      </c>
      <c r="H42" s="1" t="s">
        <v>28</v>
      </c>
      <c r="I42" s="1" t="s">
        <v>40</v>
      </c>
      <c r="J42" s="1">
        <v>170.0</v>
      </c>
      <c r="K42" s="1">
        <v>34.0</v>
      </c>
      <c r="L42" s="1">
        <v>480.0</v>
      </c>
    </row>
    <row r="43">
      <c r="A43" s="1">
        <v>1174064.0</v>
      </c>
      <c r="B43" s="1" t="s">
        <v>133</v>
      </c>
      <c r="C43" s="1" t="s">
        <v>13</v>
      </c>
      <c r="D43" s="1" t="s">
        <v>14</v>
      </c>
      <c r="E43" s="1" t="s">
        <v>134</v>
      </c>
      <c r="F43" s="1" t="s">
        <v>16</v>
      </c>
      <c r="G43" s="1" t="s">
        <v>17</v>
      </c>
      <c r="H43" s="1" t="s">
        <v>18</v>
      </c>
      <c r="I43" s="1" t="s">
        <v>59</v>
      </c>
      <c r="J43" s="1">
        <v>116.0</v>
      </c>
      <c r="K43" s="1">
        <v>26.0</v>
      </c>
      <c r="L43" s="1">
        <v>80.0</v>
      </c>
    </row>
    <row r="44">
      <c r="A44" s="1">
        <v>1171161.0</v>
      </c>
      <c r="B44" s="1" t="s">
        <v>135</v>
      </c>
      <c r="C44" s="1" t="s">
        <v>13</v>
      </c>
      <c r="D44" s="1" t="s">
        <v>25</v>
      </c>
      <c r="E44" s="1" t="s">
        <v>136</v>
      </c>
      <c r="F44" s="1" t="s">
        <v>16</v>
      </c>
      <c r="G44" s="1" t="s">
        <v>17</v>
      </c>
      <c r="H44" s="1" t="s">
        <v>18</v>
      </c>
      <c r="I44" s="1" t="s">
        <v>44</v>
      </c>
      <c r="J44" s="1">
        <v>135.0</v>
      </c>
      <c r="K44" s="1">
        <v>96.0</v>
      </c>
      <c r="L44" s="1">
        <v>0.0</v>
      </c>
    </row>
    <row r="45">
      <c r="A45" s="1">
        <v>1171121.0</v>
      </c>
      <c r="B45" s="1" t="s">
        <v>137</v>
      </c>
      <c r="C45" s="1" t="s">
        <v>13</v>
      </c>
      <c r="D45" s="1" t="s">
        <v>25</v>
      </c>
      <c r="E45" s="1" t="s">
        <v>138</v>
      </c>
      <c r="F45" s="1" t="s">
        <v>55</v>
      </c>
      <c r="G45" s="1" t="s">
        <v>27</v>
      </c>
      <c r="H45" s="1" t="s">
        <v>28</v>
      </c>
      <c r="I45" s="1" t="s">
        <v>139</v>
      </c>
      <c r="J45" s="1">
        <v>108.0</v>
      </c>
      <c r="K45" s="1">
        <v>29.0</v>
      </c>
      <c r="L45" s="1">
        <v>453.0</v>
      </c>
    </row>
    <row r="46">
      <c r="A46" s="1">
        <v>1102016.0</v>
      </c>
      <c r="B46" s="1" t="s">
        <v>140</v>
      </c>
      <c r="C46" s="1" t="s">
        <v>13</v>
      </c>
      <c r="D46" s="1" t="s">
        <v>141</v>
      </c>
      <c r="E46" s="1" t="s">
        <v>142</v>
      </c>
      <c r="F46" s="1" t="s">
        <v>16</v>
      </c>
      <c r="G46" s="1" t="s">
        <v>17</v>
      </c>
      <c r="H46" s="1" t="s">
        <v>28</v>
      </c>
      <c r="I46" s="1" t="s">
        <v>40</v>
      </c>
      <c r="J46" s="1">
        <v>101.0</v>
      </c>
      <c r="K46" s="1">
        <v>32.0</v>
      </c>
      <c r="L46" s="1">
        <v>566.0</v>
      </c>
    </row>
    <row r="47">
      <c r="A47" s="1">
        <v>1171146.0</v>
      </c>
      <c r="B47" s="1" t="s">
        <v>143</v>
      </c>
      <c r="C47" s="1" t="s">
        <v>13</v>
      </c>
      <c r="D47" s="1" t="s">
        <v>25</v>
      </c>
      <c r="E47" s="1" t="s">
        <v>144</v>
      </c>
      <c r="F47" s="1" t="s">
        <v>55</v>
      </c>
      <c r="G47" s="1" t="s">
        <v>17</v>
      </c>
      <c r="H47" s="1" t="s">
        <v>18</v>
      </c>
      <c r="I47" s="1" t="s">
        <v>44</v>
      </c>
      <c r="J47" s="1">
        <v>46.0</v>
      </c>
      <c r="K47" s="1">
        <v>18.0</v>
      </c>
      <c r="L47" s="1">
        <v>66.0</v>
      </c>
    </row>
    <row r="48">
      <c r="A48" s="1">
        <v>1107014.0</v>
      </c>
      <c r="B48" s="1" t="s">
        <v>145</v>
      </c>
      <c r="C48" s="1" t="s">
        <v>13</v>
      </c>
      <c r="D48" s="1" t="s">
        <v>146</v>
      </c>
      <c r="E48" s="1" t="s">
        <v>147</v>
      </c>
      <c r="F48" s="1" t="s">
        <v>16</v>
      </c>
      <c r="G48" s="1" t="s">
        <v>27</v>
      </c>
      <c r="H48" s="1" t="s">
        <v>28</v>
      </c>
      <c r="I48" s="1" t="s">
        <v>40</v>
      </c>
      <c r="J48" s="1">
        <v>267.0</v>
      </c>
      <c r="K48" s="1">
        <v>16.0</v>
      </c>
      <c r="L48" s="1">
        <v>812.0</v>
      </c>
    </row>
    <row r="49">
      <c r="A49" s="1">
        <v>1171015.0</v>
      </c>
      <c r="B49" s="1" t="s">
        <v>148</v>
      </c>
      <c r="C49" s="1" t="s">
        <v>13</v>
      </c>
      <c r="D49" s="1" t="s">
        <v>25</v>
      </c>
      <c r="E49" s="1" t="s">
        <v>149</v>
      </c>
      <c r="F49" s="1" t="s">
        <v>16</v>
      </c>
      <c r="G49" s="1" t="s">
        <v>150</v>
      </c>
      <c r="H49" s="1" t="s">
        <v>28</v>
      </c>
      <c r="I49" s="1" t="s">
        <v>139</v>
      </c>
      <c r="J49" s="1">
        <v>833.0</v>
      </c>
      <c r="K49" s="1">
        <v>141.0</v>
      </c>
      <c r="L49" s="1">
        <v>2039.0</v>
      </c>
    </row>
    <row r="50">
      <c r="A50" s="1">
        <v>1107017.0</v>
      </c>
      <c r="B50" s="1" t="s">
        <v>151</v>
      </c>
      <c r="C50" s="1" t="s">
        <v>13</v>
      </c>
      <c r="D50" s="1" t="s">
        <v>146</v>
      </c>
      <c r="E50" s="1" t="s">
        <v>152</v>
      </c>
      <c r="F50" s="1" t="s">
        <v>16</v>
      </c>
      <c r="G50" s="1" t="s">
        <v>23</v>
      </c>
      <c r="H50" s="1" t="s">
        <v>18</v>
      </c>
      <c r="I50" s="1" t="s">
        <v>74</v>
      </c>
      <c r="J50" s="1">
        <v>56.0</v>
      </c>
      <c r="K50" s="1">
        <v>23.0</v>
      </c>
      <c r="L50" s="1">
        <v>20.0</v>
      </c>
    </row>
    <row r="51">
      <c r="A51" s="1">
        <v>1109031.0</v>
      </c>
      <c r="B51" s="1" t="s">
        <v>153</v>
      </c>
      <c r="C51" s="1" t="s">
        <v>13</v>
      </c>
      <c r="D51" s="1" t="s">
        <v>42</v>
      </c>
      <c r="E51" s="1" t="s">
        <v>154</v>
      </c>
      <c r="F51" s="1" t="s">
        <v>16</v>
      </c>
      <c r="G51" s="1" t="s">
        <v>23</v>
      </c>
      <c r="H51" s="1" t="s">
        <v>18</v>
      </c>
      <c r="I51" s="1" t="s">
        <v>19</v>
      </c>
      <c r="J51" s="1">
        <v>72.0</v>
      </c>
      <c r="K51" s="1">
        <v>31.0</v>
      </c>
      <c r="L51" s="1">
        <v>196.0</v>
      </c>
    </row>
    <row r="52">
      <c r="A52" s="1">
        <v>1104012.0</v>
      </c>
      <c r="B52" s="1" t="s">
        <v>155</v>
      </c>
      <c r="C52" s="1" t="s">
        <v>13</v>
      </c>
      <c r="D52" s="1" t="s">
        <v>53</v>
      </c>
      <c r="E52" s="1" t="s">
        <v>156</v>
      </c>
      <c r="F52" s="1" t="s">
        <v>16</v>
      </c>
      <c r="G52" s="1" t="s">
        <v>17</v>
      </c>
      <c r="H52" s="1" t="s">
        <v>18</v>
      </c>
      <c r="I52" s="1" t="s">
        <v>19</v>
      </c>
      <c r="J52" s="1">
        <v>123.0</v>
      </c>
      <c r="K52" s="1">
        <v>26.0</v>
      </c>
      <c r="L52" s="1">
        <v>167.0</v>
      </c>
    </row>
    <row r="53">
      <c r="A53" s="1">
        <v>1110086.0</v>
      </c>
      <c r="B53" s="1" t="s">
        <v>157</v>
      </c>
      <c r="C53" s="1" t="s">
        <v>13</v>
      </c>
      <c r="D53" s="1" t="s">
        <v>14</v>
      </c>
      <c r="E53" s="1" t="s">
        <v>158</v>
      </c>
      <c r="F53" s="1" t="s">
        <v>16</v>
      </c>
      <c r="G53" s="1" t="s">
        <v>17</v>
      </c>
      <c r="H53" s="1" t="s">
        <v>18</v>
      </c>
      <c r="I53" s="1" t="s">
        <v>59</v>
      </c>
      <c r="J53" s="1">
        <v>101.0</v>
      </c>
      <c r="K53" s="1">
        <v>33.0</v>
      </c>
      <c r="L53" s="1">
        <v>261.0</v>
      </c>
    </row>
    <row r="54">
      <c r="A54" s="1">
        <v>1172016.0</v>
      </c>
      <c r="B54" s="1" t="s">
        <v>159</v>
      </c>
      <c r="C54" s="1" t="s">
        <v>13</v>
      </c>
      <c r="D54" s="1" t="s">
        <v>93</v>
      </c>
      <c r="E54" s="1" t="s">
        <v>160</v>
      </c>
      <c r="F54" s="1" t="s">
        <v>16</v>
      </c>
      <c r="G54" s="1" t="s">
        <v>17</v>
      </c>
      <c r="H54" s="1" t="s">
        <v>18</v>
      </c>
      <c r="I54" s="1" t="s">
        <v>29</v>
      </c>
      <c r="J54" s="1">
        <v>104.0</v>
      </c>
      <c r="K54" s="1">
        <v>29.0</v>
      </c>
      <c r="L54" s="1">
        <v>289.0</v>
      </c>
    </row>
    <row r="55">
      <c r="A55" s="1">
        <v>1117027.0</v>
      </c>
      <c r="B55" s="1" t="s">
        <v>161</v>
      </c>
      <c r="C55" s="1" t="s">
        <v>13</v>
      </c>
      <c r="D55" s="1" t="s">
        <v>48</v>
      </c>
      <c r="E55" s="1" t="s">
        <v>162</v>
      </c>
      <c r="F55" s="1" t="s">
        <v>55</v>
      </c>
      <c r="G55" s="1" t="s">
        <v>17</v>
      </c>
      <c r="H55" s="1" t="s">
        <v>18</v>
      </c>
      <c r="I55" s="1" t="s">
        <v>163</v>
      </c>
      <c r="J55" s="1">
        <v>60.0</v>
      </c>
      <c r="K55" s="1">
        <v>16.0</v>
      </c>
      <c r="L55" s="1">
        <v>13.0</v>
      </c>
    </row>
    <row r="56">
      <c r="A56" s="1">
        <v>1107016.0</v>
      </c>
      <c r="B56" s="1" t="s">
        <v>164</v>
      </c>
      <c r="C56" s="1" t="s">
        <v>13</v>
      </c>
      <c r="D56" s="1" t="s">
        <v>146</v>
      </c>
      <c r="E56" s="1" t="s">
        <v>165</v>
      </c>
      <c r="F56" s="1" t="s">
        <v>16</v>
      </c>
      <c r="G56" s="1" t="s">
        <v>23</v>
      </c>
      <c r="H56" s="1" t="s">
        <v>18</v>
      </c>
      <c r="I56" s="1" t="s">
        <v>19</v>
      </c>
      <c r="J56" s="1">
        <v>51.0</v>
      </c>
      <c r="K56" s="1">
        <v>25.0</v>
      </c>
      <c r="L56" s="1">
        <v>53.0</v>
      </c>
    </row>
    <row r="57">
      <c r="A57" s="1">
        <v>1104011.0</v>
      </c>
      <c r="B57" s="1" t="s">
        <v>166</v>
      </c>
      <c r="C57" s="1" t="s">
        <v>13</v>
      </c>
      <c r="D57" s="1" t="s">
        <v>53</v>
      </c>
      <c r="E57" s="1" t="s">
        <v>167</v>
      </c>
      <c r="F57" s="1" t="s">
        <v>16</v>
      </c>
      <c r="G57" s="1" t="s">
        <v>17</v>
      </c>
      <c r="H57" s="1" t="s">
        <v>28</v>
      </c>
      <c r="I57" s="1" t="s">
        <v>40</v>
      </c>
      <c r="J57" s="1">
        <v>180.0</v>
      </c>
      <c r="K57" s="1">
        <v>32.0</v>
      </c>
      <c r="L57" s="1">
        <v>493.0</v>
      </c>
    </row>
    <row r="58">
      <c r="A58" s="1">
        <v>1109016.0</v>
      </c>
      <c r="B58" s="1" t="s">
        <v>168</v>
      </c>
      <c r="C58" s="1" t="s">
        <v>13</v>
      </c>
      <c r="D58" s="1" t="s">
        <v>42</v>
      </c>
      <c r="E58" s="1" t="s">
        <v>169</v>
      </c>
      <c r="F58" s="1" t="s">
        <v>16</v>
      </c>
      <c r="G58" s="1" t="s">
        <v>27</v>
      </c>
      <c r="H58" s="1" t="s">
        <v>28</v>
      </c>
      <c r="I58" s="1" t="s">
        <v>40</v>
      </c>
      <c r="J58" s="1">
        <v>294.0</v>
      </c>
      <c r="K58" s="1">
        <v>31.0</v>
      </c>
      <c r="L58" s="1">
        <v>1949.0</v>
      </c>
    </row>
    <row r="59">
      <c r="A59" s="1">
        <v>1171150.0</v>
      </c>
      <c r="B59" s="1" t="s">
        <v>170</v>
      </c>
      <c r="C59" s="1" t="s">
        <v>13</v>
      </c>
      <c r="D59" s="1" t="s">
        <v>25</v>
      </c>
      <c r="E59" s="1" t="s">
        <v>171</v>
      </c>
      <c r="F59" s="1" t="s">
        <v>16</v>
      </c>
      <c r="G59" s="1" t="s">
        <v>17</v>
      </c>
      <c r="H59" s="1" t="s">
        <v>18</v>
      </c>
      <c r="I59" s="1" t="s">
        <v>44</v>
      </c>
      <c r="J59" s="1">
        <v>151.0</v>
      </c>
      <c r="K59" s="1">
        <v>54.0</v>
      </c>
      <c r="L59" s="1">
        <v>243.0</v>
      </c>
    </row>
    <row r="60">
      <c r="A60" s="1">
        <v>1171041.0</v>
      </c>
      <c r="B60" s="1" t="s">
        <v>172</v>
      </c>
      <c r="C60" s="1" t="s">
        <v>13</v>
      </c>
      <c r="D60" s="1" t="s">
        <v>25</v>
      </c>
      <c r="E60" s="1" t="s">
        <v>173</v>
      </c>
      <c r="F60" s="1" t="s">
        <v>174</v>
      </c>
      <c r="G60" s="1" t="s">
        <v>150</v>
      </c>
      <c r="H60" s="1" t="s">
        <v>28</v>
      </c>
      <c r="I60" s="1" t="s">
        <v>139</v>
      </c>
      <c r="J60" s="1">
        <v>354.0</v>
      </c>
      <c r="K60" s="1">
        <v>29.0</v>
      </c>
      <c r="L60" s="1">
        <v>541.0</v>
      </c>
    </row>
    <row r="61">
      <c r="A61" s="1">
        <v>1109029.0</v>
      </c>
      <c r="B61" s="1" t="s">
        <v>175</v>
      </c>
      <c r="C61" s="1" t="s">
        <v>13</v>
      </c>
      <c r="D61" s="1" t="s">
        <v>42</v>
      </c>
      <c r="E61" s="1" t="s">
        <v>176</v>
      </c>
      <c r="F61" s="1" t="s">
        <v>16</v>
      </c>
      <c r="G61" s="1" t="s">
        <v>23</v>
      </c>
      <c r="H61" s="1" t="s">
        <v>18</v>
      </c>
      <c r="I61" s="1" t="s">
        <v>44</v>
      </c>
      <c r="J61" s="1">
        <v>89.0</v>
      </c>
      <c r="K61" s="1">
        <v>75.0</v>
      </c>
      <c r="L61" s="1">
        <v>159.0</v>
      </c>
    </row>
    <row r="62">
      <c r="A62" s="1">
        <v>1112011.0</v>
      </c>
      <c r="B62" s="1" t="s">
        <v>177</v>
      </c>
      <c r="C62" s="1" t="s">
        <v>13</v>
      </c>
      <c r="D62" s="1" t="s">
        <v>178</v>
      </c>
      <c r="E62" s="1" t="s">
        <v>179</v>
      </c>
      <c r="F62" s="1" t="s">
        <v>16</v>
      </c>
      <c r="G62" s="1" t="s">
        <v>17</v>
      </c>
      <c r="H62" s="1" t="s">
        <v>28</v>
      </c>
      <c r="I62" s="1" t="s">
        <v>40</v>
      </c>
      <c r="J62" s="1">
        <v>256.0</v>
      </c>
      <c r="K62" s="1">
        <v>96.0</v>
      </c>
      <c r="L62" s="1">
        <v>1100.0</v>
      </c>
    </row>
    <row r="63">
      <c r="A63" s="1">
        <v>1111018.0</v>
      </c>
      <c r="B63" s="1" t="s">
        <v>180</v>
      </c>
      <c r="C63" s="1" t="s">
        <v>13</v>
      </c>
      <c r="D63" s="1" t="s">
        <v>14</v>
      </c>
      <c r="E63" s="1" t="s">
        <v>181</v>
      </c>
      <c r="F63" s="1" t="s">
        <v>16</v>
      </c>
      <c r="G63" s="1" t="s">
        <v>23</v>
      </c>
      <c r="H63" s="1" t="s">
        <v>18</v>
      </c>
      <c r="I63" s="1" t="s">
        <v>59</v>
      </c>
      <c r="J63" s="1">
        <v>73.0</v>
      </c>
      <c r="K63" s="1">
        <v>15.0</v>
      </c>
      <c r="L63" s="1">
        <v>60.0</v>
      </c>
    </row>
    <row r="64">
      <c r="A64" s="1">
        <v>1171145.0</v>
      </c>
      <c r="B64" s="1" t="s">
        <v>182</v>
      </c>
      <c r="C64" s="1" t="s">
        <v>13</v>
      </c>
      <c r="D64" s="1" t="s">
        <v>25</v>
      </c>
      <c r="E64" s="1" t="s">
        <v>183</v>
      </c>
      <c r="F64" s="1" t="s">
        <v>16</v>
      </c>
      <c r="G64" s="1" t="s">
        <v>23</v>
      </c>
      <c r="H64" s="1" t="s">
        <v>18</v>
      </c>
      <c r="I64" s="1" t="s">
        <v>19</v>
      </c>
      <c r="J64" s="1">
        <v>51.0</v>
      </c>
      <c r="K64" s="1">
        <v>14.0</v>
      </c>
      <c r="L64" s="1">
        <v>63.0</v>
      </c>
    </row>
    <row r="65">
      <c r="A65" s="1">
        <v>1173023.0</v>
      </c>
      <c r="B65" s="1" t="s">
        <v>184</v>
      </c>
      <c r="C65" s="1" t="s">
        <v>13</v>
      </c>
      <c r="D65" s="1" t="s">
        <v>100</v>
      </c>
      <c r="E65" s="1" t="s">
        <v>185</v>
      </c>
      <c r="F65" s="1" t="s">
        <v>16</v>
      </c>
      <c r="G65" s="1" t="s">
        <v>17</v>
      </c>
      <c r="H65" s="1" t="s">
        <v>18</v>
      </c>
      <c r="I65" s="1" t="s">
        <v>113</v>
      </c>
      <c r="J65" s="1">
        <v>113.0</v>
      </c>
      <c r="K65" s="1">
        <v>18.0</v>
      </c>
      <c r="L65" s="1">
        <v>36.0</v>
      </c>
    </row>
    <row r="66">
      <c r="A66" s="1">
        <v>1110101.0</v>
      </c>
      <c r="B66" s="1" t="s">
        <v>186</v>
      </c>
      <c r="C66" s="1" t="s">
        <v>13</v>
      </c>
      <c r="D66" s="1" t="s">
        <v>61</v>
      </c>
      <c r="E66" s="1" t="s">
        <v>187</v>
      </c>
      <c r="F66" s="1" t="s">
        <v>16</v>
      </c>
      <c r="G66" s="1" t="s">
        <v>23</v>
      </c>
      <c r="H66" s="1" t="s">
        <v>18</v>
      </c>
      <c r="I66" s="1" t="s">
        <v>59</v>
      </c>
      <c r="J66" s="1">
        <v>75.0</v>
      </c>
      <c r="K66" s="1">
        <v>27.0</v>
      </c>
      <c r="L66" s="1">
        <v>221.0</v>
      </c>
    </row>
    <row r="67">
      <c r="A67" s="1">
        <v>1107015.0</v>
      </c>
      <c r="B67" s="1" t="s">
        <v>188</v>
      </c>
      <c r="C67" s="1" t="s">
        <v>13</v>
      </c>
      <c r="D67" s="1" t="s">
        <v>146</v>
      </c>
      <c r="E67" s="1" t="s">
        <v>189</v>
      </c>
      <c r="F67" s="1" t="s">
        <v>16</v>
      </c>
      <c r="G67" s="1" t="s">
        <v>23</v>
      </c>
      <c r="H67" s="1" t="s">
        <v>18</v>
      </c>
      <c r="I67" s="1" t="s">
        <v>19</v>
      </c>
      <c r="J67" s="1">
        <v>51.0</v>
      </c>
      <c r="K67" s="1">
        <v>16.0</v>
      </c>
      <c r="L67" s="1">
        <v>55.0</v>
      </c>
    </row>
    <row r="68">
      <c r="A68" s="1">
        <v>1174016.0</v>
      </c>
      <c r="B68" s="1" t="s">
        <v>190</v>
      </c>
      <c r="C68" s="1" t="s">
        <v>13</v>
      </c>
      <c r="D68" s="1" t="s">
        <v>14</v>
      </c>
      <c r="E68" s="1" t="s">
        <v>191</v>
      </c>
      <c r="F68" s="1" t="s">
        <v>16</v>
      </c>
      <c r="G68" s="1" t="s">
        <v>27</v>
      </c>
      <c r="H68" s="1" t="s">
        <v>28</v>
      </c>
      <c r="I68" s="1" t="s">
        <v>40</v>
      </c>
      <c r="J68" s="1">
        <v>275.0</v>
      </c>
      <c r="K68" s="1">
        <v>106.0</v>
      </c>
      <c r="L68" s="1">
        <v>1352.0</v>
      </c>
    </row>
    <row r="69">
      <c r="A69" s="1">
        <v>1171096.0</v>
      </c>
      <c r="B69" s="1" t="s">
        <v>192</v>
      </c>
      <c r="C69" s="1" t="s">
        <v>13</v>
      </c>
      <c r="D69" s="1" t="s">
        <v>25</v>
      </c>
      <c r="E69" s="1" t="s">
        <v>193</v>
      </c>
      <c r="F69" s="1" t="s">
        <v>16</v>
      </c>
      <c r="G69" s="1" t="s">
        <v>17</v>
      </c>
      <c r="H69" s="1" t="s">
        <v>18</v>
      </c>
      <c r="I69" s="1" t="s">
        <v>59</v>
      </c>
      <c r="J69" s="1">
        <v>154.0</v>
      </c>
      <c r="K69" s="1">
        <v>32.0</v>
      </c>
      <c r="L69" s="1">
        <v>379.0</v>
      </c>
    </row>
    <row r="70">
      <c r="A70" s="1">
        <v>1111005.0</v>
      </c>
      <c r="B70" s="1" t="s">
        <v>194</v>
      </c>
      <c r="C70" s="1" t="s">
        <v>13</v>
      </c>
      <c r="D70" s="1" t="s">
        <v>115</v>
      </c>
      <c r="E70" s="1" t="s">
        <v>195</v>
      </c>
      <c r="F70" s="1" t="s">
        <v>16</v>
      </c>
      <c r="G70" s="1" t="s">
        <v>23</v>
      </c>
      <c r="H70" s="1" t="s">
        <v>18</v>
      </c>
      <c r="I70" s="1" t="s">
        <v>44</v>
      </c>
      <c r="J70" s="1">
        <v>70.0</v>
      </c>
      <c r="K70" s="1">
        <v>29.0</v>
      </c>
      <c r="L70" s="1">
        <v>44.0</v>
      </c>
    </row>
    <row r="71">
      <c r="A71" s="1">
        <v>1174024.0</v>
      </c>
      <c r="B71" s="1" t="s">
        <v>196</v>
      </c>
      <c r="C71" s="1" t="s">
        <v>13</v>
      </c>
      <c r="D71" s="1" t="s">
        <v>14</v>
      </c>
      <c r="E71" s="1" t="s">
        <v>197</v>
      </c>
      <c r="F71" s="1" t="s">
        <v>16</v>
      </c>
      <c r="G71" s="1" t="s">
        <v>23</v>
      </c>
      <c r="H71" s="1" t="s">
        <v>18</v>
      </c>
      <c r="I71" s="1" t="s">
        <v>44</v>
      </c>
      <c r="J71" s="1">
        <v>51.0</v>
      </c>
      <c r="K71" s="1">
        <v>29.0</v>
      </c>
      <c r="L71" s="1">
        <v>19.0</v>
      </c>
    </row>
    <row r="72">
      <c r="A72" s="1">
        <v>1118012.0</v>
      </c>
      <c r="B72" s="1" t="s">
        <v>198</v>
      </c>
      <c r="C72" s="1" t="s">
        <v>13</v>
      </c>
      <c r="D72" s="1" t="s">
        <v>199</v>
      </c>
      <c r="E72" s="1" t="s">
        <v>200</v>
      </c>
      <c r="F72" s="1" t="s">
        <v>16</v>
      </c>
      <c r="G72" s="1" t="s">
        <v>27</v>
      </c>
      <c r="H72" s="1" t="s">
        <v>28</v>
      </c>
      <c r="I72" s="1" t="s">
        <v>40</v>
      </c>
      <c r="J72" s="1">
        <v>250.0</v>
      </c>
      <c r="K72" s="1">
        <v>16.0</v>
      </c>
      <c r="L72" s="1">
        <v>235.0</v>
      </c>
    </row>
    <row r="73">
      <c r="A73" s="1">
        <v>1171147.0</v>
      </c>
      <c r="B73" s="1" t="s">
        <v>201</v>
      </c>
      <c r="C73" s="1" t="s">
        <v>13</v>
      </c>
      <c r="D73" s="1" t="s">
        <v>25</v>
      </c>
      <c r="E73" s="1" t="s">
        <v>202</v>
      </c>
      <c r="F73" s="1" t="s">
        <v>16</v>
      </c>
      <c r="G73" s="1" t="s">
        <v>23</v>
      </c>
      <c r="H73" s="1" t="s">
        <v>18</v>
      </c>
      <c r="I73" s="1" t="s">
        <v>34</v>
      </c>
      <c r="J73" s="1">
        <v>50.0</v>
      </c>
      <c r="K73" s="1">
        <v>28.0</v>
      </c>
      <c r="L73" s="1">
        <v>118.0</v>
      </c>
    </row>
    <row r="74">
      <c r="A74" s="1">
        <v>1114011.0</v>
      </c>
      <c r="B74" s="1" t="s">
        <v>203</v>
      </c>
      <c r="C74" s="1" t="s">
        <v>13</v>
      </c>
      <c r="D74" s="1" t="s">
        <v>111</v>
      </c>
      <c r="E74" s="1" t="s">
        <v>204</v>
      </c>
      <c r="F74" s="1" t="s">
        <v>16</v>
      </c>
      <c r="G74" s="1" t="s">
        <v>17</v>
      </c>
      <c r="H74" s="1" t="s">
        <v>28</v>
      </c>
      <c r="I74" s="1" t="s">
        <v>40</v>
      </c>
      <c r="J74" s="1">
        <v>287.0</v>
      </c>
      <c r="K74" s="1">
        <v>31.0</v>
      </c>
      <c r="L74" s="1">
        <v>398.0</v>
      </c>
    </row>
    <row r="75">
      <c r="A75" s="1">
        <v>1109042.0</v>
      </c>
      <c r="B75" s="1" t="s">
        <v>205</v>
      </c>
      <c r="C75" s="1" t="s">
        <v>13</v>
      </c>
      <c r="D75" s="1" t="s">
        <v>42</v>
      </c>
      <c r="E75" s="1" t="s">
        <v>206</v>
      </c>
      <c r="F75" s="1" t="s">
        <v>16</v>
      </c>
      <c r="G75" s="1" t="s">
        <v>23</v>
      </c>
      <c r="H75" s="1" t="s">
        <v>18</v>
      </c>
      <c r="I75" s="1" t="s">
        <v>19</v>
      </c>
      <c r="J75" s="1">
        <v>58.0</v>
      </c>
      <c r="K75" s="1">
        <v>24.0</v>
      </c>
      <c r="L75" s="1">
        <v>0.0</v>
      </c>
    </row>
    <row r="76">
      <c r="A76" s="1">
        <v>1174019.0</v>
      </c>
      <c r="B76" s="1" t="s">
        <v>207</v>
      </c>
      <c r="C76" s="1" t="s">
        <v>13</v>
      </c>
      <c r="D76" s="1" t="s">
        <v>14</v>
      </c>
      <c r="E76" s="1" t="s">
        <v>208</v>
      </c>
      <c r="F76" s="1" t="s">
        <v>16</v>
      </c>
      <c r="G76" s="1" t="s">
        <v>23</v>
      </c>
      <c r="H76" s="1" t="s">
        <v>18</v>
      </c>
      <c r="I76" s="1" t="s">
        <v>163</v>
      </c>
      <c r="J76" s="1">
        <v>116.0</v>
      </c>
      <c r="K76" s="1">
        <v>21.0</v>
      </c>
      <c r="L76" s="1">
        <v>156.0</v>
      </c>
    </row>
    <row r="77">
      <c r="A77" s="1">
        <v>1173003.0</v>
      </c>
      <c r="B77" s="1" t="s">
        <v>209</v>
      </c>
      <c r="C77" s="1" t="s">
        <v>13</v>
      </c>
      <c r="D77" s="1" t="s">
        <v>100</v>
      </c>
      <c r="E77" s="1" t="s">
        <v>210</v>
      </c>
      <c r="F77" s="1" t="s">
        <v>16</v>
      </c>
      <c r="G77" s="1" t="s">
        <v>23</v>
      </c>
      <c r="H77" s="1" t="s">
        <v>18</v>
      </c>
      <c r="I77" s="1" t="s">
        <v>19</v>
      </c>
      <c r="J77" s="1">
        <v>54.0</v>
      </c>
      <c r="K77" s="1">
        <v>20.0</v>
      </c>
      <c r="L77" s="1">
        <v>46.0</v>
      </c>
    </row>
    <row r="78">
      <c r="A78" s="1">
        <v>1110102.0</v>
      </c>
      <c r="B78" s="1" t="s">
        <v>211</v>
      </c>
      <c r="C78" s="1" t="s">
        <v>13</v>
      </c>
      <c r="D78" s="1" t="s">
        <v>61</v>
      </c>
      <c r="E78" s="1" t="s">
        <v>212</v>
      </c>
      <c r="F78" s="1" t="s">
        <v>16</v>
      </c>
      <c r="G78" s="1" t="s">
        <v>23</v>
      </c>
      <c r="H78" s="1" t="s">
        <v>18</v>
      </c>
      <c r="I78" s="1" t="s">
        <v>59</v>
      </c>
      <c r="J78" s="1">
        <v>50.0</v>
      </c>
      <c r="K78" s="1">
        <v>39.0</v>
      </c>
      <c r="L78" s="1">
        <v>186.0</v>
      </c>
    </row>
    <row r="79">
      <c r="A79" s="1">
        <v>1108028.0</v>
      </c>
      <c r="B79" s="1" t="s">
        <v>213</v>
      </c>
      <c r="C79" s="1" t="s">
        <v>13</v>
      </c>
      <c r="D79" s="1" t="s">
        <v>70</v>
      </c>
      <c r="E79" s="1" t="s">
        <v>214</v>
      </c>
      <c r="F79" s="1" t="s">
        <v>16</v>
      </c>
      <c r="G79" s="1" t="s">
        <v>23</v>
      </c>
      <c r="H79" s="1" t="s">
        <v>18</v>
      </c>
      <c r="I79" s="1" t="s">
        <v>19</v>
      </c>
      <c r="J79" s="1">
        <v>63.0</v>
      </c>
      <c r="K79" s="1">
        <v>22.0</v>
      </c>
      <c r="L79" s="1">
        <v>0.0</v>
      </c>
    </row>
    <row r="80">
      <c r="A80" s="1">
        <v>1173045.0</v>
      </c>
      <c r="B80" s="1" t="s">
        <v>215</v>
      </c>
      <c r="C80" s="1" t="s">
        <v>13</v>
      </c>
      <c r="D80" s="1" t="s">
        <v>100</v>
      </c>
      <c r="E80" s="1" t="s">
        <v>216</v>
      </c>
      <c r="F80" s="1" t="s">
        <v>16</v>
      </c>
      <c r="G80" s="1" t="s">
        <v>23</v>
      </c>
      <c r="H80" s="1" t="s">
        <v>18</v>
      </c>
      <c r="I80" s="1" t="s">
        <v>59</v>
      </c>
      <c r="J80" s="1">
        <v>68.0</v>
      </c>
      <c r="K80" s="1">
        <v>16.0</v>
      </c>
      <c r="L80" s="1">
        <v>79.0</v>
      </c>
    </row>
    <row r="81">
      <c r="A81" s="1">
        <v>1277026.0</v>
      </c>
      <c r="B81" s="1" t="s">
        <v>217</v>
      </c>
      <c r="C81" s="1" t="s">
        <v>218</v>
      </c>
      <c r="D81" s="1" t="s">
        <v>219</v>
      </c>
      <c r="E81" s="1" t="s">
        <v>220</v>
      </c>
      <c r="F81" s="1" t="s">
        <v>16</v>
      </c>
      <c r="G81" s="1" t="s">
        <v>17</v>
      </c>
      <c r="H81" s="1" t="s">
        <v>18</v>
      </c>
      <c r="I81" s="1" t="s">
        <v>59</v>
      </c>
      <c r="J81" s="1">
        <v>101.0</v>
      </c>
      <c r="K81" s="1">
        <v>31.0</v>
      </c>
      <c r="L81" s="1">
        <v>94.0</v>
      </c>
    </row>
    <row r="82">
      <c r="A82" s="1">
        <v>1213059.0</v>
      </c>
      <c r="B82" s="1" t="s">
        <v>221</v>
      </c>
      <c r="C82" s="1" t="s">
        <v>218</v>
      </c>
      <c r="D82" s="1" t="s">
        <v>222</v>
      </c>
      <c r="E82" s="1" t="s">
        <v>223</v>
      </c>
      <c r="F82" s="1" t="s">
        <v>16</v>
      </c>
      <c r="G82" s="1" t="s">
        <v>27</v>
      </c>
      <c r="H82" s="1" t="s">
        <v>18</v>
      </c>
      <c r="I82" s="1" t="s">
        <v>19</v>
      </c>
      <c r="J82" s="1">
        <v>367.0</v>
      </c>
      <c r="K82" s="1">
        <v>44.0</v>
      </c>
      <c r="L82" s="1">
        <v>721.0</v>
      </c>
    </row>
    <row r="83">
      <c r="A83" s="1">
        <v>1212023.0</v>
      </c>
      <c r="B83" s="1" t="s">
        <v>224</v>
      </c>
      <c r="C83" s="1" t="s">
        <v>218</v>
      </c>
      <c r="D83" s="1" t="s">
        <v>225</v>
      </c>
      <c r="E83" s="1" t="s">
        <v>226</v>
      </c>
      <c r="F83" s="1" t="s">
        <v>16</v>
      </c>
      <c r="G83" s="1" t="s">
        <v>17</v>
      </c>
      <c r="H83" s="1" t="s">
        <v>18</v>
      </c>
      <c r="I83" s="1" t="s">
        <v>19</v>
      </c>
      <c r="J83" s="1">
        <v>101.0</v>
      </c>
      <c r="K83" s="1">
        <v>14.0</v>
      </c>
      <c r="L83" s="1">
        <v>211.0</v>
      </c>
    </row>
    <row r="84">
      <c r="A84" s="1">
        <v>1208066.0</v>
      </c>
      <c r="B84" s="1" t="s">
        <v>227</v>
      </c>
      <c r="C84" s="1" t="s">
        <v>218</v>
      </c>
      <c r="D84" s="1" t="s">
        <v>228</v>
      </c>
      <c r="E84" s="1" t="s">
        <v>229</v>
      </c>
      <c r="F84" s="1" t="s">
        <v>16</v>
      </c>
      <c r="G84" s="1" t="s">
        <v>23</v>
      </c>
      <c r="H84" s="1" t="s">
        <v>18</v>
      </c>
      <c r="I84" s="1" t="s">
        <v>19</v>
      </c>
      <c r="J84" s="1">
        <v>60.0</v>
      </c>
      <c r="K84" s="1">
        <v>12.0</v>
      </c>
      <c r="L84" s="1">
        <v>39.0</v>
      </c>
    </row>
    <row r="85">
      <c r="A85" s="1">
        <v>1273102.0</v>
      </c>
      <c r="B85" s="1" t="s">
        <v>230</v>
      </c>
      <c r="C85" s="1" t="s">
        <v>218</v>
      </c>
      <c r="D85" s="1" t="s">
        <v>231</v>
      </c>
      <c r="E85" s="1" t="s">
        <v>232</v>
      </c>
      <c r="F85" s="1" t="s">
        <v>16</v>
      </c>
      <c r="G85" s="1" t="s">
        <v>17</v>
      </c>
      <c r="H85" s="1" t="s">
        <v>18</v>
      </c>
      <c r="I85" s="1" t="s">
        <v>44</v>
      </c>
      <c r="J85" s="1">
        <v>105.0</v>
      </c>
      <c r="K85" s="1">
        <v>35.0</v>
      </c>
      <c r="L85" s="1">
        <v>275.0</v>
      </c>
    </row>
    <row r="86">
      <c r="A86" s="1">
        <v>1272033.0</v>
      </c>
      <c r="B86" s="1" t="s">
        <v>233</v>
      </c>
      <c r="C86" s="1" t="s">
        <v>218</v>
      </c>
      <c r="D86" s="1" t="s">
        <v>234</v>
      </c>
      <c r="E86" s="1" t="s">
        <v>235</v>
      </c>
      <c r="F86" s="1" t="s">
        <v>16</v>
      </c>
      <c r="G86" s="1" t="s">
        <v>23</v>
      </c>
      <c r="H86" s="1" t="s">
        <v>18</v>
      </c>
      <c r="I86" s="1" t="s">
        <v>44</v>
      </c>
      <c r="J86" s="1">
        <v>74.0</v>
      </c>
      <c r="K86" s="1">
        <v>22.0</v>
      </c>
      <c r="L86" s="1">
        <v>98.0</v>
      </c>
    </row>
    <row r="87">
      <c r="A87" s="1">
        <v>1212198.0</v>
      </c>
      <c r="B87" s="1" t="s">
        <v>236</v>
      </c>
      <c r="C87" s="1" t="s">
        <v>218</v>
      </c>
      <c r="D87" s="1" t="s">
        <v>225</v>
      </c>
      <c r="E87" s="1" t="s">
        <v>237</v>
      </c>
      <c r="F87" s="1" t="s">
        <v>16</v>
      </c>
      <c r="G87" s="1" t="s">
        <v>23</v>
      </c>
      <c r="H87" s="1" t="s">
        <v>28</v>
      </c>
      <c r="I87" s="1" t="s">
        <v>40</v>
      </c>
      <c r="J87" s="1">
        <v>55.0</v>
      </c>
      <c r="K87" s="1">
        <v>13.0</v>
      </c>
      <c r="L87" s="1">
        <v>0.0</v>
      </c>
    </row>
    <row r="88">
      <c r="A88" s="1">
        <v>1275826.0</v>
      </c>
      <c r="B88" s="1" t="s">
        <v>238</v>
      </c>
      <c r="C88" s="1" t="s">
        <v>218</v>
      </c>
      <c r="D88" s="1" t="s">
        <v>239</v>
      </c>
      <c r="E88" s="1" t="s">
        <v>240</v>
      </c>
      <c r="F88" s="1" t="s">
        <v>16</v>
      </c>
      <c r="G88" s="1" t="s">
        <v>23</v>
      </c>
      <c r="H88" s="1" t="s">
        <v>18</v>
      </c>
      <c r="I88" s="1" t="s">
        <v>19</v>
      </c>
      <c r="J88" s="1">
        <v>45.0</v>
      </c>
      <c r="K88" s="1">
        <v>5.0</v>
      </c>
      <c r="L88" s="1">
        <v>19.0</v>
      </c>
    </row>
    <row r="89">
      <c r="A89" s="1">
        <v>1275276.0</v>
      </c>
      <c r="B89" s="1" t="s">
        <v>241</v>
      </c>
      <c r="C89" s="1" t="s">
        <v>218</v>
      </c>
      <c r="D89" s="1" t="s">
        <v>239</v>
      </c>
      <c r="E89" s="1" t="s">
        <v>242</v>
      </c>
      <c r="F89" s="1" t="s">
        <v>16</v>
      </c>
      <c r="G89" s="1" t="s">
        <v>17</v>
      </c>
      <c r="H89" s="1" t="s">
        <v>18</v>
      </c>
      <c r="I89" s="1" t="s">
        <v>59</v>
      </c>
      <c r="J89" s="1">
        <v>112.0</v>
      </c>
      <c r="K89" s="1">
        <v>56.0</v>
      </c>
      <c r="L89" s="1">
        <v>244.0</v>
      </c>
    </row>
    <row r="90">
      <c r="A90" s="1">
        <v>1205035.0</v>
      </c>
      <c r="B90" s="1" t="s">
        <v>243</v>
      </c>
      <c r="C90" s="1" t="s">
        <v>218</v>
      </c>
      <c r="D90" s="1" t="s">
        <v>244</v>
      </c>
      <c r="E90" s="1" t="s">
        <v>245</v>
      </c>
      <c r="F90" s="1" t="s">
        <v>16</v>
      </c>
      <c r="G90" s="1" t="s">
        <v>17</v>
      </c>
      <c r="H90" s="1" t="s">
        <v>28</v>
      </c>
      <c r="I90" s="1" t="s">
        <v>40</v>
      </c>
      <c r="J90" s="1">
        <v>107.0</v>
      </c>
      <c r="K90" s="1">
        <v>61.0</v>
      </c>
      <c r="L90" s="1">
        <v>335.0</v>
      </c>
    </row>
    <row r="91">
      <c r="A91" s="1">
        <v>1205142.0</v>
      </c>
      <c r="B91" s="1" t="s">
        <v>246</v>
      </c>
      <c r="C91" s="1" t="s">
        <v>218</v>
      </c>
      <c r="D91" s="1" t="s">
        <v>247</v>
      </c>
      <c r="E91" s="1" t="s">
        <v>248</v>
      </c>
      <c r="F91" s="1" t="s">
        <v>16</v>
      </c>
      <c r="G91" s="1" t="s">
        <v>23</v>
      </c>
      <c r="H91" s="1" t="s">
        <v>18</v>
      </c>
      <c r="I91" s="1" t="s">
        <v>249</v>
      </c>
      <c r="J91" s="1">
        <v>60.0</v>
      </c>
      <c r="K91" s="1">
        <v>20.0</v>
      </c>
      <c r="L91" s="1">
        <v>59.0</v>
      </c>
    </row>
    <row r="92">
      <c r="A92" s="1">
        <v>1214010.0</v>
      </c>
      <c r="B92" s="1" t="s">
        <v>250</v>
      </c>
      <c r="C92" s="1" t="s">
        <v>218</v>
      </c>
      <c r="D92" s="1" t="s">
        <v>251</v>
      </c>
      <c r="E92" s="1" t="s">
        <v>252</v>
      </c>
      <c r="F92" s="1" t="s">
        <v>16</v>
      </c>
      <c r="G92" s="1" t="s">
        <v>23</v>
      </c>
      <c r="H92" s="1" t="s">
        <v>18</v>
      </c>
      <c r="I92" s="1" t="s">
        <v>40</v>
      </c>
      <c r="J92" s="1">
        <v>50.0</v>
      </c>
      <c r="K92" s="1">
        <v>4.0</v>
      </c>
      <c r="L92" s="1">
        <v>0.0</v>
      </c>
    </row>
    <row r="93">
      <c r="A93" s="1">
        <v>1275232.0</v>
      </c>
      <c r="B93" s="1" t="s">
        <v>253</v>
      </c>
      <c r="C93" s="1" t="s">
        <v>218</v>
      </c>
      <c r="D93" s="1" t="s">
        <v>239</v>
      </c>
      <c r="E93" s="1" t="s">
        <v>254</v>
      </c>
      <c r="F93" s="1" t="s">
        <v>255</v>
      </c>
      <c r="G93" s="1" t="s">
        <v>17</v>
      </c>
      <c r="H93" s="1" t="s">
        <v>18</v>
      </c>
      <c r="I93" s="1" t="s">
        <v>59</v>
      </c>
      <c r="J93" s="1">
        <v>27.0</v>
      </c>
      <c r="K93" s="1">
        <v>14.0</v>
      </c>
      <c r="L93" s="1">
        <v>18.0</v>
      </c>
    </row>
    <row r="94">
      <c r="A94" s="1">
        <v>1275126.0</v>
      </c>
      <c r="B94" s="1" t="s">
        <v>256</v>
      </c>
      <c r="C94" s="1" t="s">
        <v>218</v>
      </c>
      <c r="D94" s="1" t="s">
        <v>239</v>
      </c>
      <c r="E94" s="1" t="s">
        <v>257</v>
      </c>
      <c r="F94" s="1" t="s">
        <v>16</v>
      </c>
      <c r="G94" s="1" t="s">
        <v>17</v>
      </c>
      <c r="H94" s="1" t="s">
        <v>18</v>
      </c>
      <c r="I94" s="1" t="s">
        <v>258</v>
      </c>
      <c r="J94" s="1">
        <v>106.0</v>
      </c>
      <c r="K94" s="1">
        <v>57.0</v>
      </c>
      <c r="L94" s="1">
        <v>104.0</v>
      </c>
    </row>
    <row r="95">
      <c r="A95" s="1">
        <v>1207073.0</v>
      </c>
      <c r="B95" s="1" t="s">
        <v>259</v>
      </c>
      <c r="C95" s="1" t="s">
        <v>218</v>
      </c>
      <c r="D95" s="1" t="s">
        <v>260</v>
      </c>
      <c r="E95" s="1" t="s">
        <v>261</v>
      </c>
      <c r="F95" s="1" t="s">
        <v>16</v>
      </c>
      <c r="G95" s="1" t="s">
        <v>23</v>
      </c>
      <c r="H95" s="1" t="s">
        <v>18</v>
      </c>
      <c r="I95" s="1" t="s">
        <v>19</v>
      </c>
      <c r="J95" s="1">
        <v>17.0</v>
      </c>
      <c r="K95" s="1">
        <v>3.0</v>
      </c>
      <c r="L95" s="1">
        <v>0.0</v>
      </c>
    </row>
    <row r="96">
      <c r="A96" s="1">
        <v>1203022.0</v>
      </c>
      <c r="B96" s="1" t="s">
        <v>262</v>
      </c>
      <c r="C96" s="1" t="s">
        <v>218</v>
      </c>
      <c r="D96" s="1" t="s">
        <v>263</v>
      </c>
      <c r="E96" s="1" t="s">
        <v>264</v>
      </c>
      <c r="F96" s="1" t="s">
        <v>16</v>
      </c>
      <c r="G96" s="1" t="s">
        <v>17</v>
      </c>
      <c r="H96" s="1" t="s">
        <v>28</v>
      </c>
      <c r="I96" s="1" t="s">
        <v>40</v>
      </c>
      <c r="J96" s="1">
        <v>123.0</v>
      </c>
      <c r="K96" s="1">
        <v>53.0</v>
      </c>
      <c r="L96" s="1">
        <v>358.0</v>
      </c>
    </row>
    <row r="97">
      <c r="A97" s="1">
        <v>1277015.0</v>
      </c>
      <c r="B97" s="1" t="s">
        <v>265</v>
      </c>
      <c r="C97" s="1" t="s">
        <v>218</v>
      </c>
      <c r="D97" s="1" t="s">
        <v>219</v>
      </c>
      <c r="E97" s="1" t="s">
        <v>266</v>
      </c>
      <c r="F97" s="1" t="s">
        <v>16</v>
      </c>
      <c r="G97" s="1" t="s">
        <v>23</v>
      </c>
      <c r="H97" s="1" t="s">
        <v>18</v>
      </c>
      <c r="I97" s="1" t="s">
        <v>74</v>
      </c>
      <c r="J97" s="1">
        <v>53.0</v>
      </c>
      <c r="K97" s="1">
        <v>23.0</v>
      </c>
      <c r="L97" s="1">
        <v>16.0</v>
      </c>
    </row>
    <row r="98">
      <c r="A98" s="1">
        <v>1276036.0</v>
      </c>
      <c r="B98" s="1" t="s">
        <v>267</v>
      </c>
      <c r="C98" s="1" t="s">
        <v>218</v>
      </c>
      <c r="D98" s="1" t="s">
        <v>268</v>
      </c>
      <c r="E98" s="1" t="s">
        <v>269</v>
      </c>
      <c r="F98" s="1" t="s">
        <v>16</v>
      </c>
      <c r="G98" s="1" t="s">
        <v>17</v>
      </c>
      <c r="H98" s="1" t="s">
        <v>18</v>
      </c>
      <c r="I98" s="1" t="s">
        <v>59</v>
      </c>
      <c r="J98" s="1">
        <v>143.0</v>
      </c>
      <c r="K98" s="1">
        <v>34.0</v>
      </c>
      <c r="L98" s="1">
        <v>196.0</v>
      </c>
    </row>
    <row r="99">
      <c r="A99" s="1">
        <v>1275928.0</v>
      </c>
      <c r="B99" s="1" t="s">
        <v>270</v>
      </c>
      <c r="C99" s="1" t="s">
        <v>218</v>
      </c>
      <c r="D99" s="1" t="s">
        <v>239</v>
      </c>
      <c r="E99" s="1" t="s">
        <v>271</v>
      </c>
      <c r="F99" s="1" t="s">
        <v>272</v>
      </c>
      <c r="G99" s="1" t="s">
        <v>17</v>
      </c>
      <c r="H99" s="1" t="s">
        <v>18</v>
      </c>
      <c r="I99" s="1" t="s">
        <v>44</v>
      </c>
      <c r="J99" s="1">
        <v>16.0</v>
      </c>
      <c r="K99" s="1">
        <v>5.0</v>
      </c>
      <c r="L99" s="1">
        <v>35.0</v>
      </c>
    </row>
    <row r="100">
      <c r="A100" s="1">
        <v>1275750.0</v>
      </c>
      <c r="B100" s="1" t="s">
        <v>273</v>
      </c>
      <c r="C100" s="1" t="s">
        <v>218</v>
      </c>
      <c r="D100" s="1" t="s">
        <v>239</v>
      </c>
      <c r="E100" s="1" t="s">
        <v>274</v>
      </c>
      <c r="F100" s="1" t="s">
        <v>16</v>
      </c>
      <c r="G100" s="1" t="s">
        <v>17</v>
      </c>
      <c r="H100" s="1" t="s">
        <v>18</v>
      </c>
      <c r="I100" s="1" t="s">
        <v>59</v>
      </c>
      <c r="J100" s="1">
        <v>100.0</v>
      </c>
      <c r="K100" s="1">
        <v>27.0</v>
      </c>
      <c r="L100" s="1">
        <v>75.0</v>
      </c>
    </row>
    <row r="101">
      <c r="A101" s="1">
        <v>1225002.0</v>
      </c>
      <c r="B101" s="1" t="s">
        <v>275</v>
      </c>
      <c r="C101" s="1" t="s">
        <v>218</v>
      </c>
      <c r="D101" s="1" t="s">
        <v>276</v>
      </c>
      <c r="E101" s="1" t="s">
        <v>277</v>
      </c>
      <c r="F101" s="1" t="s">
        <v>16</v>
      </c>
      <c r="G101" s="1" t="s">
        <v>98</v>
      </c>
      <c r="H101" s="1" t="s">
        <v>18</v>
      </c>
      <c r="I101" s="1" t="s">
        <v>40</v>
      </c>
      <c r="J101" s="1">
        <v>31.0</v>
      </c>
      <c r="K101" s="1">
        <v>20.0</v>
      </c>
      <c r="L101" s="1">
        <v>5.0</v>
      </c>
    </row>
    <row r="102">
      <c r="A102" s="1">
        <v>1209081.0</v>
      </c>
      <c r="B102" s="1" t="s">
        <v>278</v>
      </c>
      <c r="C102" s="1" t="s">
        <v>218</v>
      </c>
      <c r="D102" s="1" t="s">
        <v>279</v>
      </c>
      <c r="E102" s="1" t="s">
        <v>280</v>
      </c>
      <c r="F102" s="1" t="s">
        <v>16</v>
      </c>
      <c r="G102" s="1" t="s">
        <v>23</v>
      </c>
      <c r="H102" s="1" t="s">
        <v>18</v>
      </c>
      <c r="I102" s="1" t="s">
        <v>19</v>
      </c>
      <c r="J102" s="1">
        <v>93.0</v>
      </c>
      <c r="K102" s="1">
        <v>23.0</v>
      </c>
      <c r="L102" s="1">
        <v>94.0</v>
      </c>
    </row>
    <row r="103">
      <c r="A103" s="1">
        <v>1209021.0</v>
      </c>
      <c r="B103" s="1" t="s">
        <v>281</v>
      </c>
      <c r="C103" s="1" t="s">
        <v>218</v>
      </c>
      <c r="D103" s="1" t="s">
        <v>279</v>
      </c>
      <c r="E103" s="1" t="s">
        <v>282</v>
      </c>
      <c r="F103" s="1" t="s">
        <v>16</v>
      </c>
      <c r="G103" s="1" t="s">
        <v>17</v>
      </c>
      <c r="H103" s="1" t="s">
        <v>18</v>
      </c>
      <c r="I103" s="1" t="s">
        <v>113</v>
      </c>
      <c r="J103" s="1">
        <v>98.0</v>
      </c>
      <c r="K103" s="1">
        <v>42.0</v>
      </c>
      <c r="L103" s="1">
        <v>112.0</v>
      </c>
    </row>
    <row r="104">
      <c r="A104" s="1">
        <v>1213057.0</v>
      </c>
      <c r="B104" s="1" t="s">
        <v>283</v>
      </c>
      <c r="C104" s="1" t="s">
        <v>218</v>
      </c>
      <c r="D104" s="1" t="s">
        <v>222</v>
      </c>
      <c r="E104" s="1" t="s">
        <v>284</v>
      </c>
      <c r="F104" s="1" t="s">
        <v>16</v>
      </c>
      <c r="G104" s="1" t="s">
        <v>17</v>
      </c>
      <c r="H104" s="1" t="s">
        <v>18</v>
      </c>
      <c r="I104" s="1" t="s">
        <v>59</v>
      </c>
      <c r="J104" s="1">
        <v>114.0</v>
      </c>
      <c r="K104" s="1">
        <v>32.0</v>
      </c>
      <c r="L104" s="1">
        <v>215.0</v>
      </c>
    </row>
    <row r="105">
      <c r="A105" s="1">
        <v>1211126.0</v>
      </c>
      <c r="B105" s="1" t="s">
        <v>285</v>
      </c>
      <c r="C105" s="1" t="s">
        <v>218</v>
      </c>
      <c r="D105" s="1" t="s">
        <v>286</v>
      </c>
      <c r="E105" s="1" t="s">
        <v>287</v>
      </c>
      <c r="F105" s="1" t="s">
        <v>16</v>
      </c>
      <c r="G105" s="1" t="s">
        <v>17</v>
      </c>
      <c r="H105" s="1" t="s">
        <v>18</v>
      </c>
      <c r="I105" s="1" t="s">
        <v>44</v>
      </c>
      <c r="J105" s="1">
        <v>193.0</v>
      </c>
      <c r="K105" s="1">
        <v>32.0</v>
      </c>
      <c r="L105" s="1">
        <v>202.0</v>
      </c>
    </row>
    <row r="106">
      <c r="A106" s="1">
        <v>1208059.0</v>
      </c>
      <c r="B106" s="1" t="s">
        <v>288</v>
      </c>
      <c r="C106" s="1" t="s">
        <v>218</v>
      </c>
      <c r="D106" s="1" t="s">
        <v>228</v>
      </c>
      <c r="E106" s="1" t="s">
        <v>289</v>
      </c>
      <c r="F106" s="1" t="s">
        <v>16</v>
      </c>
      <c r="G106" s="1" t="s">
        <v>23</v>
      </c>
      <c r="H106" s="1" t="s">
        <v>18</v>
      </c>
      <c r="I106" s="1" t="s">
        <v>163</v>
      </c>
      <c r="J106" s="1">
        <v>82.0</v>
      </c>
      <c r="K106" s="1">
        <v>26.0</v>
      </c>
      <c r="L106" s="1">
        <v>76.0</v>
      </c>
    </row>
    <row r="107">
      <c r="A107" s="1">
        <v>1210021.0</v>
      </c>
      <c r="B107" s="1" t="s">
        <v>290</v>
      </c>
      <c r="C107" s="1" t="s">
        <v>218</v>
      </c>
      <c r="D107" s="1" t="s">
        <v>291</v>
      </c>
      <c r="E107" s="1" t="s">
        <v>292</v>
      </c>
      <c r="F107" s="1" t="s">
        <v>16</v>
      </c>
      <c r="G107" s="1" t="s">
        <v>23</v>
      </c>
      <c r="H107" s="1" t="s">
        <v>18</v>
      </c>
      <c r="I107" s="1" t="s">
        <v>44</v>
      </c>
      <c r="J107" s="1">
        <v>53.0</v>
      </c>
      <c r="K107" s="1">
        <v>20.0</v>
      </c>
      <c r="L107" s="1">
        <v>0.0</v>
      </c>
    </row>
    <row r="108">
      <c r="A108" s="1">
        <v>1275932.0</v>
      </c>
      <c r="B108" s="1" t="s">
        <v>293</v>
      </c>
      <c r="C108" s="1" t="s">
        <v>218</v>
      </c>
      <c r="D108" s="1" t="s">
        <v>239</v>
      </c>
      <c r="E108" s="1" t="s">
        <v>294</v>
      </c>
      <c r="F108" s="1" t="s">
        <v>32</v>
      </c>
      <c r="G108" s="1" t="s">
        <v>17</v>
      </c>
      <c r="H108" s="1" t="s">
        <v>18</v>
      </c>
      <c r="I108" s="1" t="s">
        <v>19</v>
      </c>
      <c r="J108" s="1">
        <v>10.0</v>
      </c>
      <c r="K108" s="1">
        <v>13.0</v>
      </c>
      <c r="L108" s="1">
        <v>33.0</v>
      </c>
    </row>
    <row r="109">
      <c r="A109" s="1">
        <v>1212201.0</v>
      </c>
      <c r="B109" s="1" t="s">
        <v>295</v>
      </c>
      <c r="C109" s="1" t="s">
        <v>218</v>
      </c>
      <c r="D109" s="1" t="s">
        <v>225</v>
      </c>
      <c r="E109" s="1" t="s">
        <v>296</v>
      </c>
      <c r="F109" s="1" t="s">
        <v>16</v>
      </c>
      <c r="G109" s="1" t="s">
        <v>23</v>
      </c>
      <c r="H109" s="1" t="s">
        <v>18</v>
      </c>
      <c r="I109" s="1" t="s">
        <v>19</v>
      </c>
      <c r="J109" s="1">
        <v>53.0</v>
      </c>
      <c r="K109" s="1">
        <v>10.0</v>
      </c>
      <c r="L109" s="1">
        <v>0.0</v>
      </c>
    </row>
    <row r="110">
      <c r="A110" s="1">
        <v>1275909.0</v>
      </c>
      <c r="B110" s="1" t="s">
        <v>297</v>
      </c>
      <c r="C110" s="1" t="s">
        <v>218</v>
      </c>
      <c r="D110" s="1" t="s">
        <v>239</v>
      </c>
      <c r="E110" s="1" t="s">
        <v>298</v>
      </c>
      <c r="F110" s="1" t="s">
        <v>16</v>
      </c>
      <c r="G110" s="1" t="s">
        <v>17</v>
      </c>
      <c r="H110" s="1" t="s">
        <v>18</v>
      </c>
      <c r="I110" s="1" t="s">
        <v>44</v>
      </c>
      <c r="J110" s="1">
        <v>144.0</v>
      </c>
      <c r="K110" s="1">
        <v>30.0</v>
      </c>
      <c r="L110" s="1">
        <v>95.0</v>
      </c>
    </row>
    <row r="111">
      <c r="A111" s="1">
        <v>1274034.0</v>
      </c>
      <c r="B111" s="1" t="s">
        <v>299</v>
      </c>
      <c r="C111" s="1" t="s">
        <v>218</v>
      </c>
      <c r="D111" s="1" t="s">
        <v>300</v>
      </c>
      <c r="E111" s="1" t="s">
        <v>301</v>
      </c>
      <c r="F111" s="1" t="s">
        <v>16</v>
      </c>
      <c r="G111" s="1" t="s">
        <v>17</v>
      </c>
      <c r="H111" s="1" t="s">
        <v>18</v>
      </c>
      <c r="I111" s="1" t="s">
        <v>113</v>
      </c>
      <c r="J111" s="1">
        <v>167.0</v>
      </c>
      <c r="K111" s="1">
        <v>55.0</v>
      </c>
      <c r="L111" s="1">
        <v>285.0</v>
      </c>
    </row>
    <row r="112">
      <c r="A112" s="1">
        <v>1275998.0</v>
      </c>
      <c r="B112" s="1" t="s">
        <v>302</v>
      </c>
      <c r="C112" s="1" t="s">
        <v>218</v>
      </c>
      <c r="D112" s="1" t="s">
        <v>239</v>
      </c>
      <c r="E112" s="1" t="s">
        <v>303</v>
      </c>
      <c r="F112" s="1" t="s">
        <v>55</v>
      </c>
      <c r="G112" s="1" t="s">
        <v>17</v>
      </c>
      <c r="H112" s="1" t="s">
        <v>18</v>
      </c>
      <c r="I112" s="1" t="s">
        <v>44</v>
      </c>
      <c r="J112" s="1">
        <v>76.0</v>
      </c>
      <c r="K112" s="1">
        <v>32.0</v>
      </c>
      <c r="L112" s="1">
        <v>263.0</v>
      </c>
    </row>
    <row r="113">
      <c r="A113" s="1">
        <v>1275841.0</v>
      </c>
      <c r="B113" s="1" t="s">
        <v>304</v>
      </c>
      <c r="C113" s="1" t="s">
        <v>218</v>
      </c>
      <c r="D113" s="1" t="s">
        <v>239</v>
      </c>
      <c r="E113" s="1" t="s">
        <v>305</v>
      </c>
      <c r="F113" s="1" t="s">
        <v>16</v>
      </c>
      <c r="G113" s="1" t="s">
        <v>17</v>
      </c>
      <c r="H113" s="1" t="s">
        <v>18</v>
      </c>
      <c r="I113" s="1" t="s">
        <v>44</v>
      </c>
      <c r="J113" s="1">
        <v>115.0</v>
      </c>
      <c r="K113" s="1">
        <v>28.0</v>
      </c>
      <c r="L113" s="1">
        <v>170.0</v>
      </c>
    </row>
    <row r="114">
      <c r="A114" s="1">
        <v>1275516.0</v>
      </c>
      <c r="B114" s="1" t="s">
        <v>306</v>
      </c>
      <c r="C114" s="1" t="s">
        <v>218</v>
      </c>
      <c r="D114" s="1" t="s">
        <v>239</v>
      </c>
      <c r="E114" s="1" t="s">
        <v>307</v>
      </c>
      <c r="F114" s="1" t="s">
        <v>16</v>
      </c>
      <c r="G114" s="1" t="s">
        <v>17</v>
      </c>
      <c r="H114" s="1" t="s">
        <v>18</v>
      </c>
      <c r="I114" s="1" t="s">
        <v>59</v>
      </c>
      <c r="J114" s="1">
        <v>163.0</v>
      </c>
      <c r="K114" s="1">
        <v>81.0</v>
      </c>
      <c r="L114" s="1">
        <v>432.0</v>
      </c>
    </row>
    <row r="115">
      <c r="A115" s="1">
        <v>1219016.0</v>
      </c>
      <c r="B115" s="1" t="s">
        <v>308</v>
      </c>
      <c r="C115" s="1" t="s">
        <v>218</v>
      </c>
      <c r="D115" s="1" t="s">
        <v>309</v>
      </c>
      <c r="E115" s="1" t="s">
        <v>310</v>
      </c>
      <c r="F115" s="1" t="s">
        <v>16</v>
      </c>
      <c r="G115" s="1" t="s">
        <v>23</v>
      </c>
      <c r="H115" s="1" t="s">
        <v>18</v>
      </c>
      <c r="I115" s="1" t="s">
        <v>163</v>
      </c>
      <c r="J115" s="1">
        <v>47.0</v>
      </c>
      <c r="K115" s="1">
        <v>8.0</v>
      </c>
      <c r="L115" s="1">
        <v>0.0</v>
      </c>
    </row>
    <row r="116">
      <c r="A116" s="1">
        <v>1278002.0</v>
      </c>
      <c r="B116" s="1" t="s">
        <v>311</v>
      </c>
      <c r="C116" s="1" t="s">
        <v>218</v>
      </c>
      <c r="D116" s="1" t="s">
        <v>312</v>
      </c>
      <c r="E116" s="1" t="s">
        <v>313</v>
      </c>
      <c r="F116" s="1" t="s">
        <v>16</v>
      </c>
      <c r="G116" s="1" t="s">
        <v>17</v>
      </c>
      <c r="H116" s="1" t="s">
        <v>18</v>
      </c>
      <c r="I116" s="1" t="s">
        <v>59</v>
      </c>
      <c r="J116" s="1">
        <v>107.0</v>
      </c>
      <c r="K116" s="1">
        <v>33.0</v>
      </c>
      <c r="L116" s="1">
        <v>88.0</v>
      </c>
    </row>
    <row r="117">
      <c r="A117" s="1">
        <v>1205061.0</v>
      </c>
      <c r="B117" s="1" t="s">
        <v>314</v>
      </c>
      <c r="C117" s="1" t="s">
        <v>218</v>
      </c>
      <c r="D117" s="1" t="s">
        <v>315</v>
      </c>
      <c r="E117" s="1" t="s">
        <v>316</v>
      </c>
      <c r="F117" s="1" t="s">
        <v>16</v>
      </c>
      <c r="G117" s="1" t="s">
        <v>17</v>
      </c>
      <c r="H117" s="1" t="s">
        <v>33</v>
      </c>
      <c r="I117" s="1" t="s">
        <v>258</v>
      </c>
      <c r="J117" s="1">
        <v>162.0</v>
      </c>
      <c r="K117" s="1">
        <v>26.0</v>
      </c>
      <c r="L117" s="1">
        <v>283.0</v>
      </c>
    </row>
    <row r="118">
      <c r="A118" s="1">
        <v>1219002.0</v>
      </c>
      <c r="B118" s="1" t="s">
        <v>317</v>
      </c>
      <c r="C118" s="1" t="s">
        <v>218</v>
      </c>
      <c r="D118" s="1" t="s">
        <v>309</v>
      </c>
      <c r="E118" s="1" t="s">
        <v>318</v>
      </c>
      <c r="F118" s="1" t="s">
        <v>16</v>
      </c>
      <c r="G118" s="1" t="s">
        <v>23</v>
      </c>
      <c r="H118" s="1" t="s">
        <v>18</v>
      </c>
      <c r="I118" s="1" t="s">
        <v>59</v>
      </c>
      <c r="J118" s="1">
        <v>54.0</v>
      </c>
      <c r="K118" s="1">
        <v>10.0</v>
      </c>
      <c r="L118" s="1">
        <v>89.0</v>
      </c>
    </row>
    <row r="119">
      <c r="A119" s="1">
        <v>1275922.0</v>
      </c>
      <c r="B119" s="1" t="s">
        <v>319</v>
      </c>
      <c r="C119" s="1" t="s">
        <v>218</v>
      </c>
      <c r="D119" s="1" t="s">
        <v>239</v>
      </c>
      <c r="E119" s="1" t="s">
        <v>320</v>
      </c>
      <c r="F119" s="1" t="s">
        <v>272</v>
      </c>
      <c r="G119" s="1" t="s">
        <v>27</v>
      </c>
      <c r="H119" s="1" t="s">
        <v>28</v>
      </c>
      <c r="I119" s="1" t="s">
        <v>139</v>
      </c>
      <c r="J119" s="1">
        <v>30.0</v>
      </c>
      <c r="K119" s="1">
        <v>11.0</v>
      </c>
      <c r="L119" s="1">
        <v>127.0</v>
      </c>
    </row>
    <row r="120">
      <c r="A120" s="1">
        <v>1271016.0</v>
      </c>
      <c r="B120" s="1" t="s">
        <v>321</v>
      </c>
      <c r="C120" s="1" t="s">
        <v>218</v>
      </c>
      <c r="D120" s="1" t="s">
        <v>322</v>
      </c>
      <c r="E120" s="1" t="s">
        <v>323</v>
      </c>
      <c r="F120" s="1" t="s">
        <v>16</v>
      </c>
      <c r="G120" s="1" t="s">
        <v>27</v>
      </c>
      <c r="H120" s="1" t="s">
        <v>28</v>
      </c>
      <c r="I120" s="1" t="s">
        <v>29</v>
      </c>
      <c r="J120" s="1">
        <v>196.0</v>
      </c>
      <c r="K120" s="1">
        <v>101.0</v>
      </c>
      <c r="L120" s="1">
        <v>472.0</v>
      </c>
    </row>
    <row r="121">
      <c r="A121" s="1">
        <v>1275804.0</v>
      </c>
      <c r="B121" s="1" t="s">
        <v>324</v>
      </c>
      <c r="C121" s="1" t="s">
        <v>218</v>
      </c>
      <c r="D121" s="1" t="s">
        <v>239</v>
      </c>
      <c r="E121" s="1" t="s">
        <v>325</v>
      </c>
      <c r="F121" s="1" t="s">
        <v>55</v>
      </c>
      <c r="G121" s="1" t="s">
        <v>17</v>
      </c>
      <c r="H121" s="1" t="s">
        <v>18</v>
      </c>
      <c r="I121" s="1" t="s">
        <v>44</v>
      </c>
      <c r="J121" s="1">
        <v>55.0</v>
      </c>
      <c r="K121" s="1">
        <v>8.0</v>
      </c>
      <c r="L121" s="1">
        <v>32.0</v>
      </c>
    </row>
    <row r="122">
      <c r="A122" s="1">
        <v>1275997.0</v>
      </c>
      <c r="B122" s="1" t="s">
        <v>326</v>
      </c>
      <c r="C122" s="1" t="s">
        <v>218</v>
      </c>
      <c r="D122" s="1" t="s">
        <v>239</v>
      </c>
      <c r="E122" s="1" t="s">
        <v>327</v>
      </c>
      <c r="F122" s="1" t="s">
        <v>16</v>
      </c>
      <c r="G122" s="1" t="s">
        <v>27</v>
      </c>
      <c r="H122" s="1" t="s">
        <v>18</v>
      </c>
      <c r="I122" s="1" t="s">
        <v>59</v>
      </c>
      <c r="J122" s="1">
        <v>327.0</v>
      </c>
      <c r="K122" s="1">
        <v>84.0</v>
      </c>
      <c r="L122" s="1">
        <v>158.0</v>
      </c>
    </row>
    <row r="123">
      <c r="A123" s="1">
        <v>1275141.0</v>
      </c>
      <c r="B123" s="1" t="s">
        <v>328</v>
      </c>
      <c r="C123" s="1" t="s">
        <v>218</v>
      </c>
      <c r="D123" s="1" t="s">
        <v>239</v>
      </c>
      <c r="E123" s="1" t="s">
        <v>329</v>
      </c>
      <c r="F123" s="1" t="s">
        <v>16</v>
      </c>
      <c r="G123" s="1" t="s">
        <v>17</v>
      </c>
      <c r="H123" s="1" t="s">
        <v>18</v>
      </c>
      <c r="I123" s="1" t="s">
        <v>95</v>
      </c>
      <c r="J123" s="1">
        <v>100.0</v>
      </c>
      <c r="K123" s="1">
        <v>28.0</v>
      </c>
      <c r="L123" s="1">
        <v>78.0</v>
      </c>
    </row>
    <row r="124">
      <c r="A124" s="1">
        <v>1207068.0</v>
      </c>
      <c r="B124" s="1" t="s">
        <v>330</v>
      </c>
      <c r="C124" s="1" t="s">
        <v>218</v>
      </c>
      <c r="D124" s="1" t="s">
        <v>260</v>
      </c>
      <c r="E124" s="1" t="s">
        <v>331</v>
      </c>
      <c r="F124" s="1" t="s">
        <v>16</v>
      </c>
      <c r="G124" s="1" t="s">
        <v>23</v>
      </c>
      <c r="H124" s="1" t="s">
        <v>18</v>
      </c>
      <c r="I124" s="1" t="s">
        <v>19</v>
      </c>
      <c r="J124" s="1">
        <v>50.0</v>
      </c>
      <c r="K124" s="1">
        <v>19.0</v>
      </c>
      <c r="L124" s="1">
        <v>9.0</v>
      </c>
    </row>
    <row r="125">
      <c r="A125" s="1">
        <v>1203044.0</v>
      </c>
      <c r="B125" s="1" t="s">
        <v>332</v>
      </c>
      <c r="C125" s="1" t="s">
        <v>218</v>
      </c>
      <c r="D125" s="1" t="s">
        <v>333</v>
      </c>
      <c r="E125" s="1" t="s">
        <v>334</v>
      </c>
      <c r="F125" s="1" t="s">
        <v>16</v>
      </c>
      <c r="G125" s="1" t="s">
        <v>17</v>
      </c>
      <c r="H125" s="1" t="s">
        <v>18</v>
      </c>
      <c r="I125" s="1" t="s">
        <v>40</v>
      </c>
      <c r="J125" s="1">
        <v>104.0</v>
      </c>
      <c r="K125" s="1">
        <v>58.0</v>
      </c>
      <c r="L125" s="1">
        <v>479.0</v>
      </c>
    </row>
    <row r="126">
      <c r="A126" s="1">
        <v>1275921.0</v>
      </c>
      <c r="B126" s="1" t="s">
        <v>335</v>
      </c>
      <c r="C126" s="1" t="s">
        <v>218</v>
      </c>
      <c r="D126" s="1" t="s">
        <v>239</v>
      </c>
      <c r="E126" s="1" t="s">
        <v>336</v>
      </c>
      <c r="F126" s="1" t="s">
        <v>255</v>
      </c>
      <c r="G126" s="1" t="s">
        <v>17</v>
      </c>
      <c r="H126" s="1" t="s">
        <v>18</v>
      </c>
      <c r="I126" s="1" t="s">
        <v>44</v>
      </c>
      <c r="J126" s="1">
        <v>28.0</v>
      </c>
      <c r="K126" s="1">
        <v>35.0</v>
      </c>
      <c r="L126" s="1">
        <v>91.0</v>
      </c>
    </row>
    <row r="127">
      <c r="A127" s="1">
        <v>1275783.0</v>
      </c>
      <c r="B127" s="1" t="s">
        <v>337</v>
      </c>
      <c r="C127" s="1" t="s">
        <v>218</v>
      </c>
      <c r="D127" s="1" t="s">
        <v>239</v>
      </c>
      <c r="E127" s="1" t="s">
        <v>338</v>
      </c>
      <c r="F127" s="1" t="s">
        <v>55</v>
      </c>
      <c r="G127" s="1" t="s">
        <v>17</v>
      </c>
      <c r="H127" s="1" t="s">
        <v>18</v>
      </c>
      <c r="I127" s="1" t="s">
        <v>44</v>
      </c>
      <c r="J127" s="1">
        <v>57.0</v>
      </c>
      <c r="K127" s="1">
        <v>18.0</v>
      </c>
      <c r="L127" s="1">
        <v>25.0</v>
      </c>
    </row>
    <row r="128">
      <c r="A128" s="1">
        <v>1212177.0</v>
      </c>
      <c r="B128" s="1" t="s">
        <v>339</v>
      </c>
      <c r="C128" s="1" t="s">
        <v>218</v>
      </c>
      <c r="D128" s="1" t="s">
        <v>225</v>
      </c>
      <c r="E128" s="1" t="s">
        <v>340</v>
      </c>
      <c r="F128" s="1" t="s">
        <v>16</v>
      </c>
      <c r="G128" s="1" t="s">
        <v>17</v>
      </c>
      <c r="H128" s="1" t="s">
        <v>18</v>
      </c>
      <c r="I128" s="1" t="s">
        <v>44</v>
      </c>
      <c r="J128" s="1">
        <v>100.0</v>
      </c>
      <c r="K128" s="1">
        <v>36.0</v>
      </c>
      <c r="L128" s="1">
        <v>38.0</v>
      </c>
    </row>
    <row r="129">
      <c r="A129" s="1">
        <v>1209076.0</v>
      </c>
      <c r="B129" s="1" t="s">
        <v>341</v>
      </c>
      <c r="C129" s="1" t="s">
        <v>218</v>
      </c>
      <c r="D129" s="1" t="s">
        <v>279</v>
      </c>
      <c r="E129" s="1" t="s">
        <v>342</v>
      </c>
      <c r="F129" s="1" t="s">
        <v>16</v>
      </c>
      <c r="G129" s="1" t="s">
        <v>17</v>
      </c>
      <c r="H129" s="1" t="s">
        <v>28</v>
      </c>
      <c r="I129" s="1" t="s">
        <v>40</v>
      </c>
      <c r="J129" s="1">
        <v>105.0</v>
      </c>
      <c r="K129" s="1">
        <v>30.0</v>
      </c>
      <c r="L129" s="1">
        <v>186.0</v>
      </c>
    </row>
    <row r="130">
      <c r="A130" s="1">
        <v>1218125.0</v>
      </c>
      <c r="B130" s="1" t="s">
        <v>343</v>
      </c>
      <c r="C130" s="1" t="s">
        <v>218</v>
      </c>
      <c r="D130" s="1" t="s">
        <v>344</v>
      </c>
      <c r="E130" s="1" t="s">
        <v>345</v>
      </c>
      <c r="F130" s="1" t="s">
        <v>16</v>
      </c>
      <c r="G130" s="1" t="s">
        <v>17</v>
      </c>
      <c r="H130" s="1" t="s">
        <v>28</v>
      </c>
      <c r="I130" s="1" t="s">
        <v>40</v>
      </c>
      <c r="J130" s="1">
        <v>148.0</v>
      </c>
      <c r="K130" s="1">
        <v>36.0</v>
      </c>
      <c r="L130" s="1">
        <v>317.0</v>
      </c>
    </row>
    <row r="131">
      <c r="A131" s="1">
        <v>1212186.0</v>
      </c>
      <c r="B131" s="1" t="s">
        <v>346</v>
      </c>
      <c r="C131" s="1" t="s">
        <v>218</v>
      </c>
      <c r="D131" s="1" t="s">
        <v>225</v>
      </c>
      <c r="E131" s="1" t="s">
        <v>347</v>
      </c>
      <c r="F131" s="1" t="s">
        <v>55</v>
      </c>
      <c r="G131" s="1" t="s">
        <v>17</v>
      </c>
      <c r="H131" s="1" t="s">
        <v>18</v>
      </c>
      <c r="I131" s="1" t="s">
        <v>44</v>
      </c>
      <c r="J131" s="1">
        <v>37.0</v>
      </c>
      <c r="K131" s="1">
        <v>21.0</v>
      </c>
      <c r="L131" s="1">
        <v>26.0</v>
      </c>
    </row>
    <row r="132">
      <c r="A132" s="1">
        <v>1275147.0</v>
      </c>
      <c r="B132" s="1" t="s">
        <v>348</v>
      </c>
      <c r="C132" s="1" t="s">
        <v>218</v>
      </c>
      <c r="D132" s="1" t="s">
        <v>225</v>
      </c>
      <c r="E132" s="1" t="s">
        <v>349</v>
      </c>
      <c r="F132" s="1" t="s">
        <v>16</v>
      </c>
      <c r="G132" s="1" t="s">
        <v>17</v>
      </c>
      <c r="H132" s="1" t="s">
        <v>18</v>
      </c>
      <c r="I132" s="1" t="s">
        <v>59</v>
      </c>
      <c r="J132" s="1">
        <v>127.0</v>
      </c>
      <c r="K132" s="1">
        <v>25.0</v>
      </c>
      <c r="L132" s="1">
        <v>29.0</v>
      </c>
    </row>
    <row r="133">
      <c r="A133" s="1">
        <v>1273033.0</v>
      </c>
      <c r="B133" s="1" t="s">
        <v>350</v>
      </c>
      <c r="C133" s="1" t="s">
        <v>218</v>
      </c>
      <c r="D133" s="1" t="s">
        <v>231</v>
      </c>
      <c r="E133" s="1" t="s">
        <v>351</v>
      </c>
      <c r="F133" s="1" t="s">
        <v>16</v>
      </c>
      <c r="G133" s="1" t="s">
        <v>17</v>
      </c>
      <c r="H133" s="1" t="s">
        <v>18</v>
      </c>
      <c r="I133" s="1" t="s">
        <v>249</v>
      </c>
      <c r="J133" s="1">
        <v>123.0</v>
      </c>
      <c r="K133" s="1">
        <v>30.0</v>
      </c>
      <c r="L133" s="1">
        <v>350.0</v>
      </c>
    </row>
    <row r="134">
      <c r="A134" s="1">
        <v>1275911.0</v>
      </c>
      <c r="B134" s="1" t="s">
        <v>352</v>
      </c>
      <c r="C134" s="1" t="s">
        <v>218</v>
      </c>
      <c r="D134" s="1" t="s">
        <v>239</v>
      </c>
      <c r="E134" s="1" t="s">
        <v>353</v>
      </c>
      <c r="F134" s="1" t="s">
        <v>16</v>
      </c>
      <c r="G134" s="1" t="s">
        <v>27</v>
      </c>
      <c r="H134" s="1" t="s">
        <v>18</v>
      </c>
      <c r="I134" s="1" t="s">
        <v>44</v>
      </c>
      <c r="J134" s="1">
        <v>255.0</v>
      </c>
      <c r="K134" s="1">
        <v>134.0</v>
      </c>
      <c r="L134" s="1">
        <v>141.0</v>
      </c>
    </row>
    <row r="135">
      <c r="A135" s="1">
        <v>1275035.0</v>
      </c>
      <c r="B135" s="1" t="s">
        <v>354</v>
      </c>
      <c r="C135" s="1" t="s">
        <v>218</v>
      </c>
      <c r="D135" s="1" t="s">
        <v>239</v>
      </c>
      <c r="E135" s="1" t="s">
        <v>355</v>
      </c>
      <c r="F135" s="1" t="s">
        <v>16</v>
      </c>
      <c r="G135" s="1" t="s">
        <v>27</v>
      </c>
      <c r="H135" s="1" t="s">
        <v>33</v>
      </c>
      <c r="I135" s="1" t="s">
        <v>74</v>
      </c>
      <c r="J135" s="1">
        <v>200.0</v>
      </c>
      <c r="K135" s="1">
        <v>61.0</v>
      </c>
      <c r="L135" s="1">
        <v>476.0</v>
      </c>
    </row>
    <row r="136">
      <c r="A136" s="1">
        <v>1212197.0</v>
      </c>
      <c r="B136" s="1" t="s">
        <v>356</v>
      </c>
      <c r="C136" s="1" t="s">
        <v>218</v>
      </c>
      <c r="D136" s="1" t="s">
        <v>225</v>
      </c>
      <c r="E136" s="1" t="s">
        <v>357</v>
      </c>
      <c r="F136" s="1" t="s">
        <v>55</v>
      </c>
      <c r="G136" s="1" t="s">
        <v>17</v>
      </c>
      <c r="H136" s="1" t="s">
        <v>18</v>
      </c>
      <c r="I136" s="1" t="s">
        <v>19</v>
      </c>
      <c r="J136" s="1">
        <v>30.0</v>
      </c>
      <c r="K136" s="1">
        <v>16.0</v>
      </c>
      <c r="L136" s="1">
        <v>0.0</v>
      </c>
    </row>
    <row r="137">
      <c r="A137" s="1">
        <v>1219003.0</v>
      </c>
      <c r="B137" s="1" t="s">
        <v>358</v>
      </c>
      <c r="C137" s="1" t="s">
        <v>218</v>
      </c>
      <c r="D137" s="1" t="s">
        <v>309</v>
      </c>
      <c r="E137" s="1" t="s">
        <v>359</v>
      </c>
      <c r="F137" s="1" t="s">
        <v>16</v>
      </c>
      <c r="G137" s="1" t="s">
        <v>17</v>
      </c>
      <c r="H137" s="1" t="s">
        <v>28</v>
      </c>
      <c r="I137" s="1" t="s">
        <v>40</v>
      </c>
      <c r="J137" s="1">
        <v>104.0</v>
      </c>
      <c r="K137" s="1">
        <v>24.0</v>
      </c>
      <c r="L137" s="1">
        <v>344.0</v>
      </c>
    </row>
    <row r="138">
      <c r="A138" s="1">
        <v>1207067.0</v>
      </c>
      <c r="B138" s="1" t="s">
        <v>360</v>
      </c>
      <c r="C138" s="1" t="s">
        <v>218</v>
      </c>
      <c r="D138" s="1" t="s">
        <v>260</v>
      </c>
      <c r="E138" s="1" t="s">
        <v>361</v>
      </c>
      <c r="F138" s="1" t="s">
        <v>16</v>
      </c>
      <c r="G138" s="1" t="s">
        <v>17</v>
      </c>
      <c r="H138" s="1" t="s">
        <v>18</v>
      </c>
      <c r="I138" s="1" t="s">
        <v>44</v>
      </c>
      <c r="J138" s="1">
        <v>100.0</v>
      </c>
      <c r="K138" s="1">
        <v>23.0</v>
      </c>
      <c r="L138" s="1">
        <v>93.0</v>
      </c>
    </row>
    <row r="139">
      <c r="A139" s="1">
        <v>1275874.0</v>
      </c>
      <c r="B139" s="1" t="s">
        <v>362</v>
      </c>
      <c r="C139" s="1" t="s">
        <v>218</v>
      </c>
      <c r="D139" s="1" t="s">
        <v>239</v>
      </c>
      <c r="E139" s="1" t="s">
        <v>363</v>
      </c>
      <c r="F139" s="1" t="s">
        <v>32</v>
      </c>
      <c r="G139" s="1" t="s">
        <v>27</v>
      </c>
      <c r="H139" s="1" t="s">
        <v>18</v>
      </c>
      <c r="I139" s="1" t="s">
        <v>34</v>
      </c>
      <c r="J139" s="1">
        <v>12.0</v>
      </c>
      <c r="K139" s="1">
        <v>16.0</v>
      </c>
      <c r="L139" s="1">
        <v>65.0</v>
      </c>
    </row>
    <row r="140">
      <c r="A140" s="1">
        <v>1275622.0</v>
      </c>
      <c r="B140" s="1" t="s">
        <v>364</v>
      </c>
      <c r="C140" s="1" t="s">
        <v>218</v>
      </c>
      <c r="D140" s="1" t="s">
        <v>239</v>
      </c>
      <c r="E140" s="1" t="s">
        <v>365</v>
      </c>
      <c r="F140" s="1" t="s">
        <v>16</v>
      </c>
      <c r="G140" s="1" t="s">
        <v>27</v>
      </c>
      <c r="H140" s="1" t="s">
        <v>18</v>
      </c>
      <c r="I140" s="1" t="s">
        <v>44</v>
      </c>
      <c r="J140" s="1">
        <v>224.0</v>
      </c>
      <c r="K140" s="1">
        <v>98.0</v>
      </c>
      <c r="L140" s="1">
        <v>458.0</v>
      </c>
    </row>
    <row r="141">
      <c r="A141" s="1">
        <v>1207052.0</v>
      </c>
      <c r="B141" s="1" t="s">
        <v>366</v>
      </c>
      <c r="C141" s="1" t="s">
        <v>218</v>
      </c>
      <c r="D141" s="1" t="s">
        <v>367</v>
      </c>
      <c r="E141" s="1" t="s">
        <v>368</v>
      </c>
      <c r="F141" s="1" t="s">
        <v>16</v>
      </c>
      <c r="G141" s="1" t="s">
        <v>23</v>
      </c>
      <c r="H141" s="1" t="s">
        <v>18</v>
      </c>
      <c r="I141" s="1" t="s">
        <v>113</v>
      </c>
      <c r="J141" s="1">
        <v>58.0</v>
      </c>
      <c r="K141" s="1">
        <v>24.0</v>
      </c>
      <c r="L141" s="1">
        <v>85.0</v>
      </c>
    </row>
    <row r="142">
      <c r="A142" s="1">
        <v>1212200.0</v>
      </c>
      <c r="B142" s="1" t="s">
        <v>369</v>
      </c>
      <c r="C142" s="1" t="s">
        <v>218</v>
      </c>
      <c r="D142" s="1" t="s">
        <v>225</v>
      </c>
      <c r="E142" s="1" t="s">
        <v>370</v>
      </c>
      <c r="F142" s="1" t="s">
        <v>16</v>
      </c>
      <c r="G142" s="1" t="s">
        <v>23</v>
      </c>
      <c r="H142" s="1" t="s">
        <v>18</v>
      </c>
      <c r="I142" s="1" t="s">
        <v>163</v>
      </c>
      <c r="J142" s="1">
        <v>60.0</v>
      </c>
      <c r="K142" s="1">
        <v>14.0</v>
      </c>
      <c r="L142" s="1">
        <v>0.0</v>
      </c>
    </row>
    <row r="143">
      <c r="A143" s="1">
        <v>1274058.0</v>
      </c>
      <c r="B143" s="1" t="s">
        <v>371</v>
      </c>
      <c r="C143" s="1" t="s">
        <v>218</v>
      </c>
      <c r="D143" s="1" t="s">
        <v>300</v>
      </c>
      <c r="E143" s="1" t="s">
        <v>372</v>
      </c>
      <c r="F143" s="1" t="s">
        <v>16</v>
      </c>
      <c r="G143" s="1" t="s">
        <v>17</v>
      </c>
      <c r="H143" s="1" t="s">
        <v>33</v>
      </c>
      <c r="I143" s="1" t="s">
        <v>65</v>
      </c>
      <c r="J143" s="1">
        <v>137.0</v>
      </c>
      <c r="K143" s="1">
        <v>36.0</v>
      </c>
      <c r="L143" s="1">
        <v>354.0</v>
      </c>
    </row>
    <row r="144">
      <c r="A144" s="1">
        <v>1276077.0</v>
      </c>
      <c r="B144" s="1" t="s">
        <v>373</v>
      </c>
      <c r="C144" s="1" t="s">
        <v>218</v>
      </c>
      <c r="D144" s="1" t="s">
        <v>268</v>
      </c>
      <c r="E144" s="1" t="s">
        <v>374</v>
      </c>
      <c r="F144" s="1" t="s">
        <v>16</v>
      </c>
      <c r="G144" s="1" t="s">
        <v>17</v>
      </c>
      <c r="H144" s="1" t="s">
        <v>18</v>
      </c>
      <c r="I144" s="1" t="s">
        <v>44</v>
      </c>
      <c r="J144" s="1">
        <v>132.0</v>
      </c>
      <c r="K144" s="1">
        <v>29.0</v>
      </c>
      <c r="L144" s="1">
        <v>209.0</v>
      </c>
    </row>
    <row r="145">
      <c r="A145" s="1">
        <v>1273011.0</v>
      </c>
      <c r="B145" s="1" t="s">
        <v>375</v>
      </c>
      <c r="C145" s="1" t="s">
        <v>218</v>
      </c>
      <c r="D145" s="1" t="s">
        <v>231</v>
      </c>
      <c r="E145" s="1" t="s">
        <v>376</v>
      </c>
      <c r="F145" s="1" t="s">
        <v>16</v>
      </c>
      <c r="G145" s="1" t="s">
        <v>27</v>
      </c>
      <c r="H145" s="1" t="s">
        <v>28</v>
      </c>
      <c r="I145" s="1" t="s">
        <v>29</v>
      </c>
      <c r="J145" s="1">
        <v>130.0</v>
      </c>
      <c r="K145" s="1">
        <v>55.0</v>
      </c>
      <c r="L145" s="1">
        <v>357.0</v>
      </c>
    </row>
    <row r="146">
      <c r="A146" s="1">
        <v>1271032.0</v>
      </c>
      <c r="B146" s="1" t="s">
        <v>377</v>
      </c>
      <c r="C146" s="1" t="s">
        <v>218</v>
      </c>
      <c r="D146" s="1" t="s">
        <v>322</v>
      </c>
      <c r="E146" s="1" t="s">
        <v>378</v>
      </c>
      <c r="F146" s="1" t="s">
        <v>16</v>
      </c>
      <c r="G146" s="1" t="s">
        <v>17</v>
      </c>
      <c r="H146" s="1" t="s">
        <v>18</v>
      </c>
      <c r="I146" s="1" t="s">
        <v>44</v>
      </c>
      <c r="J146" s="1">
        <v>112.0</v>
      </c>
      <c r="K146" s="1">
        <v>66.0</v>
      </c>
      <c r="L146" s="1">
        <v>215.0</v>
      </c>
    </row>
    <row r="147">
      <c r="A147" s="1">
        <v>1275163.0</v>
      </c>
      <c r="B147" s="1" t="s">
        <v>379</v>
      </c>
      <c r="C147" s="1" t="s">
        <v>218</v>
      </c>
      <c r="D147" s="1" t="s">
        <v>239</v>
      </c>
      <c r="E147" s="1" t="s">
        <v>380</v>
      </c>
      <c r="F147" s="1" t="s">
        <v>16</v>
      </c>
      <c r="G147" s="1" t="s">
        <v>17</v>
      </c>
      <c r="H147" s="1" t="s">
        <v>18</v>
      </c>
      <c r="I147" s="1" t="s">
        <v>59</v>
      </c>
      <c r="J147" s="1">
        <v>102.0</v>
      </c>
      <c r="K147" s="1">
        <v>64.0</v>
      </c>
      <c r="L147" s="1">
        <v>354.0</v>
      </c>
    </row>
    <row r="148">
      <c r="A148" s="1">
        <v>1275010.0</v>
      </c>
      <c r="B148" s="1" t="s">
        <v>381</v>
      </c>
      <c r="C148" s="1" t="s">
        <v>218</v>
      </c>
      <c r="D148" s="1" t="s">
        <v>239</v>
      </c>
      <c r="E148" s="1" t="s">
        <v>382</v>
      </c>
      <c r="F148" s="1" t="s">
        <v>16</v>
      </c>
      <c r="G148" s="1" t="s">
        <v>23</v>
      </c>
      <c r="H148" s="1" t="s">
        <v>18</v>
      </c>
      <c r="I148" s="1" t="s">
        <v>19</v>
      </c>
      <c r="J148" s="1">
        <v>36.0</v>
      </c>
      <c r="K148" s="1">
        <v>13.0</v>
      </c>
      <c r="L148" s="1">
        <v>0.0</v>
      </c>
    </row>
    <row r="149">
      <c r="A149" s="1">
        <v>1204056.0</v>
      </c>
      <c r="B149" s="1" t="s">
        <v>383</v>
      </c>
      <c r="C149" s="1" t="s">
        <v>218</v>
      </c>
      <c r="D149" s="1" t="s">
        <v>384</v>
      </c>
      <c r="E149" s="1" t="s">
        <v>385</v>
      </c>
      <c r="F149" s="1" t="s">
        <v>16</v>
      </c>
      <c r="G149" s="1" t="s">
        <v>17</v>
      </c>
      <c r="H149" s="1" t="s">
        <v>28</v>
      </c>
      <c r="I149" s="1" t="s">
        <v>40</v>
      </c>
      <c r="J149" s="1">
        <v>124.0</v>
      </c>
      <c r="K149" s="1">
        <v>38.0</v>
      </c>
      <c r="L149" s="1">
        <v>389.0</v>
      </c>
    </row>
    <row r="150">
      <c r="A150" s="1">
        <v>1212199.0</v>
      </c>
      <c r="B150" s="1" t="s">
        <v>386</v>
      </c>
      <c r="C150" s="1" t="s">
        <v>218</v>
      </c>
      <c r="D150" s="1" t="s">
        <v>225</v>
      </c>
      <c r="E150" s="1" t="s">
        <v>387</v>
      </c>
      <c r="F150" s="1" t="s">
        <v>16</v>
      </c>
      <c r="G150" s="1" t="s">
        <v>17</v>
      </c>
      <c r="H150" s="1" t="s">
        <v>18</v>
      </c>
      <c r="I150" s="1" t="s">
        <v>44</v>
      </c>
      <c r="J150" s="1">
        <v>101.0</v>
      </c>
      <c r="K150" s="1">
        <v>27.0</v>
      </c>
      <c r="L150" s="1">
        <v>0.0</v>
      </c>
    </row>
    <row r="151">
      <c r="A151" s="1">
        <v>1218158.0</v>
      </c>
      <c r="B151" s="1" t="s">
        <v>388</v>
      </c>
      <c r="C151" s="1" t="s">
        <v>218</v>
      </c>
      <c r="D151" s="1" t="s">
        <v>225</v>
      </c>
      <c r="E151" s="1" t="s">
        <v>389</v>
      </c>
      <c r="F151" s="1" t="s">
        <v>16</v>
      </c>
      <c r="G151" s="1" t="s">
        <v>27</v>
      </c>
      <c r="H151" s="1" t="s">
        <v>18</v>
      </c>
      <c r="I151" s="1" t="s">
        <v>59</v>
      </c>
      <c r="J151" s="1">
        <v>403.0</v>
      </c>
      <c r="K151" s="1">
        <v>67.0</v>
      </c>
      <c r="L151" s="1">
        <v>516.0</v>
      </c>
    </row>
    <row r="152">
      <c r="A152" s="1">
        <v>1211011.0</v>
      </c>
      <c r="B152" s="1" t="s">
        <v>390</v>
      </c>
      <c r="C152" s="1" t="s">
        <v>218</v>
      </c>
      <c r="D152" s="1" t="s">
        <v>286</v>
      </c>
      <c r="E152" s="1" t="s">
        <v>391</v>
      </c>
      <c r="F152" s="1" t="s">
        <v>16</v>
      </c>
      <c r="G152" s="1" t="s">
        <v>17</v>
      </c>
      <c r="H152" s="1" t="s">
        <v>28</v>
      </c>
      <c r="I152" s="1" t="s">
        <v>40</v>
      </c>
      <c r="J152" s="1">
        <v>110.0</v>
      </c>
      <c r="K152" s="1">
        <v>31.0</v>
      </c>
      <c r="L152" s="1">
        <v>360.0</v>
      </c>
    </row>
    <row r="153">
      <c r="A153" s="1">
        <v>1212067.0</v>
      </c>
      <c r="B153" s="1" t="s">
        <v>392</v>
      </c>
      <c r="C153" s="1" t="s">
        <v>218</v>
      </c>
      <c r="D153" s="1" t="s">
        <v>225</v>
      </c>
      <c r="E153" s="1" t="s">
        <v>393</v>
      </c>
      <c r="F153" s="1" t="s">
        <v>16</v>
      </c>
      <c r="G153" s="1" t="s">
        <v>23</v>
      </c>
      <c r="H153" s="1" t="s">
        <v>18</v>
      </c>
      <c r="I153" s="1" t="s">
        <v>59</v>
      </c>
      <c r="J153" s="1">
        <v>58.0</v>
      </c>
      <c r="K153" s="1">
        <v>18.0</v>
      </c>
      <c r="L153" s="1">
        <v>39.0</v>
      </c>
    </row>
    <row r="154">
      <c r="A154" s="1">
        <v>1213013.0</v>
      </c>
      <c r="B154" s="1" t="s">
        <v>394</v>
      </c>
      <c r="C154" s="1" t="s">
        <v>218</v>
      </c>
      <c r="D154" s="1" t="s">
        <v>222</v>
      </c>
      <c r="E154" s="1" t="s">
        <v>395</v>
      </c>
      <c r="F154" s="1" t="s">
        <v>16</v>
      </c>
      <c r="G154" s="1" t="s">
        <v>17</v>
      </c>
      <c r="H154" s="1" t="s">
        <v>28</v>
      </c>
      <c r="I154" s="1" t="s">
        <v>40</v>
      </c>
      <c r="J154" s="1">
        <v>120.0</v>
      </c>
      <c r="K154" s="1">
        <v>33.0</v>
      </c>
      <c r="L154" s="1">
        <v>261.0</v>
      </c>
    </row>
    <row r="155">
      <c r="A155" s="1">
        <v>1212171.0</v>
      </c>
      <c r="B155" s="1" t="s">
        <v>396</v>
      </c>
      <c r="C155" s="1" t="s">
        <v>218</v>
      </c>
      <c r="D155" s="1" t="s">
        <v>225</v>
      </c>
      <c r="E155" s="1" t="s">
        <v>397</v>
      </c>
      <c r="F155" s="1" t="s">
        <v>16</v>
      </c>
      <c r="G155" s="1" t="s">
        <v>17</v>
      </c>
      <c r="H155" s="1" t="s">
        <v>33</v>
      </c>
      <c r="I155" s="1" t="s">
        <v>59</v>
      </c>
      <c r="J155" s="1">
        <v>107.0</v>
      </c>
      <c r="K155" s="1">
        <v>22.0</v>
      </c>
      <c r="L155" s="1">
        <v>29.0</v>
      </c>
    </row>
    <row r="156">
      <c r="A156" s="1">
        <v>1275923.0</v>
      </c>
      <c r="B156" s="1" t="s">
        <v>398</v>
      </c>
      <c r="C156" s="1" t="s">
        <v>218</v>
      </c>
      <c r="D156" s="1" t="s">
        <v>239</v>
      </c>
      <c r="E156" s="1" t="s">
        <v>399</v>
      </c>
      <c r="F156" s="1" t="s">
        <v>16</v>
      </c>
      <c r="G156" s="1" t="s">
        <v>17</v>
      </c>
      <c r="H156" s="1" t="s">
        <v>18</v>
      </c>
      <c r="I156" s="1" t="s">
        <v>19</v>
      </c>
      <c r="J156" s="1">
        <v>200.0</v>
      </c>
      <c r="K156" s="1">
        <v>28.0</v>
      </c>
      <c r="L156" s="1">
        <v>146.0</v>
      </c>
    </row>
    <row r="157">
      <c r="A157" s="1">
        <v>1275050.0</v>
      </c>
      <c r="B157" s="1" t="s">
        <v>400</v>
      </c>
      <c r="C157" s="1" t="s">
        <v>218</v>
      </c>
      <c r="D157" s="1" t="s">
        <v>239</v>
      </c>
      <c r="E157" s="1" t="s">
        <v>401</v>
      </c>
      <c r="F157" s="1" t="s">
        <v>16</v>
      </c>
      <c r="G157" s="1" t="s">
        <v>23</v>
      </c>
      <c r="H157" s="1" t="s">
        <v>18</v>
      </c>
      <c r="I157" s="1" t="s">
        <v>59</v>
      </c>
      <c r="J157" s="1">
        <v>68.0</v>
      </c>
      <c r="K157" s="1">
        <v>34.0</v>
      </c>
      <c r="L157" s="1">
        <v>255.0</v>
      </c>
    </row>
    <row r="158">
      <c r="A158" s="1">
        <v>1275899.0</v>
      </c>
      <c r="B158" s="1" t="s">
        <v>402</v>
      </c>
      <c r="C158" s="1" t="s">
        <v>218</v>
      </c>
      <c r="D158" s="1" t="s">
        <v>239</v>
      </c>
      <c r="E158" s="1" t="s">
        <v>403</v>
      </c>
      <c r="F158" s="1" t="s">
        <v>16</v>
      </c>
      <c r="G158" s="1" t="s">
        <v>17</v>
      </c>
      <c r="H158" s="1" t="s">
        <v>18</v>
      </c>
      <c r="I158" s="1" t="s">
        <v>59</v>
      </c>
      <c r="J158" s="1">
        <v>106.0</v>
      </c>
      <c r="K158" s="1">
        <v>27.0</v>
      </c>
      <c r="L158" s="1">
        <v>39.0</v>
      </c>
    </row>
    <row r="159">
      <c r="A159" s="1">
        <v>1201016.0</v>
      </c>
      <c r="B159" s="1" t="s">
        <v>404</v>
      </c>
      <c r="C159" s="1" t="s">
        <v>218</v>
      </c>
      <c r="D159" s="1" t="s">
        <v>405</v>
      </c>
      <c r="E159" s="1" t="s">
        <v>406</v>
      </c>
      <c r="F159" s="1" t="s">
        <v>16</v>
      </c>
      <c r="G159" s="1" t="s">
        <v>17</v>
      </c>
      <c r="H159" s="1" t="s">
        <v>28</v>
      </c>
      <c r="I159" s="1" t="s">
        <v>40</v>
      </c>
      <c r="J159" s="1">
        <v>349.0</v>
      </c>
      <c r="K159" s="1">
        <v>42.0</v>
      </c>
      <c r="L159" s="1">
        <v>859.0</v>
      </c>
    </row>
    <row r="160">
      <c r="A160" s="1">
        <v>1275996.0</v>
      </c>
      <c r="B160" s="1" t="s">
        <v>407</v>
      </c>
      <c r="C160" s="1" t="s">
        <v>218</v>
      </c>
      <c r="D160" s="1" t="s">
        <v>239</v>
      </c>
      <c r="E160" s="1" t="s">
        <v>408</v>
      </c>
      <c r="F160" s="1" t="s">
        <v>16</v>
      </c>
      <c r="G160" s="1" t="s">
        <v>17</v>
      </c>
      <c r="H160" s="1" t="s">
        <v>18</v>
      </c>
      <c r="I160" s="1" t="s">
        <v>59</v>
      </c>
      <c r="J160" s="1">
        <v>109.0</v>
      </c>
      <c r="K160" s="1">
        <v>35.0</v>
      </c>
      <c r="L160" s="1">
        <v>153.0</v>
      </c>
    </row>
    <row r="161">
      <c r="A161" s="1">
        <v>1275655.0</v>
      </c>
      <c r="B161" s="1" t="s">
        <v>409</v>
      </c>
      <c r="C161" s="1" t="s">
        <v>218</v>
      </c>
      <c r="D161" s="1" t="s">
        <v>239</v>
      </c>
      <c r="E161" s="1" t="s">
        <v>410</v>
      </c>
      <c r="F161" s="1" t="s">
        <v>16</v>
      </c>
      <c r="G161" s="1" t="s">
        <v>150</v>
      </c>
      <c r="H161" s="1" t="s">
        <v>33</v>
      </c>
      <c r="I161" s="1" t="s">
        <v>411</v>
      </c>
      <c r="J161" s="1">
        <v>758.0</v>
      </c>
      <c r="K161" s="1">
        <v>158.0</v>
      </c>
      <c r="L161" s="1">
        <v>2489.0</v>
      </c>
    </row>
    <row r="162">
      <c r="A162" s="1">
        <v>1273106.0</v>
      </c>
      <c r="B162" s="1" t="s">
        <v>412</v>
      </c>
      <c r="C162" s="1" t="s">
        <v>218</v>
      </c>
      <c r="D162" s="1" t="s">
        <v>231</v>
      </c>
      <c r="E162" s="1" t="s">
        <v>413</v>
      </c>
      <c r="F162" s="1" t="s">
        <v>16</v>
      </c>
      <c r="G162" s="1" t="s">
        <v>17</v>
      </c>
      <c r="H162" s="1" t="s">
        <v>18</v>
      </c>
      <c r="I162" s="1" t="s">
        <v>163</v>
      </c>
      <c r="J162" s="1">
        <v>101.0</v>
      </c>
      <c r="K162" s="1">
        <v>20.0</v>
      </c>
      <c r="L162" s="1">
        <v>151.0</v>
      </c>
    </row>
    <row r="163">
      <c r="A163" s="1">
        <v>1207069.0</v>
      </c>
      <c r="B163" s="1" t="s">
        <v>414</v>
      </c>
      <c r="C163" s="1" t="s">
        <v>218</v>
      </c>
      <c r="D163" s="1" t="s">
        <v>260</v>
      </c>
      <c r="E163" s="1" t="s">
        <v>415</v>
      </c>
      <c r="F163" s="1" t="s">
        <v>16</v>
      </c>
      <c r="G163" s="1" t="s">
        <v>23</v>
      </c>
      <c r="H163" s="1" t="s">
        <v>18</v>
      </c>
      <c r="I163" s="1" t="s">
        <v>44</v>
      </c>
      <c r="J163" s="1">
        <v>33.0</v>
      </c>
      <c r="K163" s="1">
        <v>12.0</v>
      </c>
      <c r="L163" s="1">
        <v>3.0</v>
      </c>
    </row>
    <row r="164">
      <c r="A164" s="1">
        <v>1208020.0</v>
      </c>
      <c r="B164" s="1" t="s">
        <v>416</v>
      </c>
      <c r="C164" s="1" t="s">
        <v>218</v>
      </c>
      <c r="D164" s="1" t="s">
        <v>228</v>
      </c>
      <c r="E164" s="1" t="s">
        <v>417</v>
      </c>
      <c r="F164" s="1" t="s">
        <v>16</v>
      </c>
      <c r="G164" s="1" t="s">
        <v>23</v>
      </c>
      <c r="H164" s="1" t="s">
        <v>18</v>
      </c>
      <c r="I164" s="1" t="s">
        <v>19</v>
      </c>
      <c r="J164" s="1">
        <v>62.0</v>
      </c>
      <c r="K164" s="1">
        <v>14.0</v>
      </c>
      <c r="L164" s="1">
        <v>40.0</v>
      </c>
    </row>
    <row r="165">
      <c r="A165" s="1">
        <v>1223018.0</v>
      </c>
      <c r="B165" s="1" t="s">
        <v>418</v>
      </c>
      <c r="C165" s="1" t="s">
        <v>218</v>
      </c>
      <c r="D165" s="1" t="s">
        <v>419</v>
      </c>
      <c r="E165" s="1" t="s">
        <v>420</v>
      </c>
      <c r="F165" s="1" t="s">
        <v>16</v>
      </c>
      <c r="G165" s="1" t="s">
        <v>23</v>
      </c>
      <c r="H165" s="1" t="s">
        <v>18</v>
      </c>
      <c r="I165" s="1" t="s">
        <v>19</v>
      </c>
      <c r="J165" s="1">
        <v>56.0</v>
      </c>
      <c r="K165" s="1">
        <v>22.0</v>
      </c>
      <c r="L165" s="1">
        <v>0.0</v>
      </c>
    </row>
    <row r="166">
      <c r="A166" s="1">
        <v>1218025.0</v>
      </c>
      <c r="B166" s="1" t="s">
        <v>421</v>
      </c>
      <c r="C166" s="1" t="s">
        <v>218</v>
      </c>
      <c r="D166" s="1" t="s">
        <v>344</v>
      </c>
      <c r="E166" s="1" t="s">
        <v>422</v>
      </c>
      <c r="F166" s="1" t="s">
        <v>16</v>
      </c>
      <c r="G166" s="1" t="s">
        <v>23</v>
      </c>
      <c r="H166" s="1" t="s">
        <v>18</v>
      </c>
      <c r="I166" s="1" t="s">
        <v>44</v>
      </c>
      <c r="J166" s="1">
        <v>50.0</v>
      </c>
      <c r="K166" s="1">
        <v>12.0</v>
      </c>
      <c r="L166" s="1">
        <v>11.0</v>
      </c>
    </row>
    <row r="167">
      <c r="A167" s="1">
        <v>1212184.0</v>
      </c>
      <c r="B167" s="1" t="s">
        <v>423</v>
      </c>
      <c r="C167" s="1" t="s">
        <v>218</v>
      </c>
      <c r="D167" s="1" t="s">
        <v>225</v>
      </c>
      <c r="E167" s="1" t="s">
        <v>424</v>
      </c>
      <c r="F167" s="1" t="s">
        <v>174</v>
      </c>
      <c r="G167" s="1" t="s">
        <v>17</v>
      </c>
      <c r="H167" s="1" t="s">
        <v>18</v>
      </c>
      <c r="I167" s="1" t="s">
        <v>19</v>
      </c>
      <c r="J167" s="1">
        <v>65.0</v>
      </c>
      <c r="K167" s="1">
        <v>15.0</v>
      </c>
      <c r="L167" s="1">
        <v>35.0</v>
      </c>
    </row>
    <row r="168">
      <c r="A168" s="1">
        <v>1273055.0</v>
      </c>
      <c r="B168" s="1" t="s">
        <v>425</v>
      </c>
      <c r="C168" s="1" t="s">
        <v>218</v>
      </c>
      <c r="D168" s="1" t="s">
        <v>231</v>
      </c>
      <c r="E168" s="1" t="s">
        <v>426</v>
      </c>
      <c r="F168" s="1" t="s">
        <v>16</v>
      </c>
      <c r="G168" s="1" t="s">
        <v>27</v>
      </c>
      <c r="H168" s="1" t="s">
        <v>18</v>
      </c>
      <c r="I168" s="1" t="s">
        <v>44</v>
      </c>
      <c r="J168" s="1">
        <v>237.0</v>
      </c>
      <c r="K168" s="1">
        <v>44.0</v>
      </c>
      <c r="L168" s="1">
        <v>562.0</v>
      </c>
    </row>
    <row r="169">
      <c r="A169" s="1">
        <v>1276092.0</v>
      </c>
      <c r="B169" s="1" t="s">
        <v>427</v>
      </c>
      <c r="C169" s="1" t="s">
        <v>218</v>
      </c>
      <c r="D169" s="1" t="s">
        <v>268</v>
      </c>
      <c r="E169" s="1" t="s">
        <v>428</v>
      </c>
      <c r="F169" s="1" t="s">
        <v>55</v>
      </c>
      <c r="G169" s="1" t="s">
        <v>17</v>
      </c>
      <c r="H169" s="1" t="s">
        <v>18</v>
      </c>
      <c r="I169" s="1" t="s">
        <v>19</v>
      </c>
      <c r="J169" s="1">
        <v>30.0</v>
      </c>
      <c r="K169" s="1">
        <v>16.0</v>
      </c>
      <c r="L169" s="1">
        <v>0.0</v>
      </c>
    </row>
    <row r="170">
      <c r="A170" s="1">
        <v>1208060.0</v>
      </c>
      <c r="B170" s="1" t="s">
        <v>429</v>
      </c>
      <c r="C170" s="1" t="s">
        <v>218</v>
      </c>
      <c r="D170" s="1" t="s">
        <v>228</v>
      </c>
      <c r="E170" s="1" t="s">
        <v>430</v>
      </c>
      <c r="F170" s="1" t="s">
        <v>16</v>
      </c>
      <c r="G170" s="1" t="s">
        <v>23</v>
      </c>
      <c r="H170" s="1" t="s">
        <v>18</v>
      </c>
      <c r="I170" s="1" t="s">
        <v>163</v>
      </c>
      <c r="J170" s="1">
        <v>50.0</v>
      </c>
      <c r="K170" s="1">
        <v>18.0</v>
      </c>
      <c r="L170" s="1">
        <v>37.0</v>
      </c>
    </row>
    <row r="171">
      <c r="A171" s="1">
        <v>1275265.0</v>
      </c>
      <c r="B171" s="1" t="s">
        <v>431</v>
      </c>
      <c r="C171" s="1" t="s">
        <v>218</v>
      </c>
      <c r="D171" s="1" t="s">
        <v>239</v>
      </c>
      <c r="E171" s="1" t="s">
        <v>432</v>
      </c>
      <c r="F171" s="1" t="s">
        <v>16</v>
      </c>
      <c r="G171" s="1" t="s">
        <v>17</v>
      </c>
      <c r="H171" s="1" t="s">
        <v>18</v>
      </c>
      <c r="I171" s="1" t="s">
        <v>59</v>
      </c>
      <c r="J171" s="1">
        <v>179.0</v>
      </c>
      <c r="K171" s="1">
        <v>47.0</v>
      </c>
      <c r="L171" s="1">
        <v>235.0</v>
      </c>
    </row>
    <row r="172">
      <c r="A172" s="1">
        <v>1274061.0</v>
      </c>
      <c r="B172" s="1" t="s">
        <v>433</v>
      </c>
      <c r="C172" s="1" t="s">
        <v>218</v>
      </c>
      <c r="D172" s="1" t="s">
        <v>300</v>
      </c>
      <c r="E172" s="1" t="s">
        <v>434</v>
      </c>
      <c r="F172" s="1" t="s">
        <v>16</v>
      </c>
      <c r="G172" s="1" t="s">
        <v>23</v>
      </c>
      <c r="H172" s="1" t="s">
        <v>18</v>
      </c>
      <c r="I172" s="1" t="s">
        <v>44</v>
      </c>
      <c r="J172" s="1">
        <v>50.0</v>
      </c>
      <c r="K172" s="1">
        <v>15.0</v>
      </c>
      <c r="L172" s="1">
        <v>41.0</v>
      </c>
    </row>
    <row r="173">
      <c r="A173" s="1">
        <v>1223006.0</v>
      </c>
      <c r="B173" s="1" t="s">
        <v>435</v>
      </c>
      <c r="C173" s="1" t="s">
        <v>218</v>
      </c>
      <c r="D173" s="1" t="s">
        <v>419</v>
      </c>
      <c r="E173" s="1" t="s">
        <v>436</v>
      </c>
      <c r="F173" s="1" t="s">
        <v>16</v>
      </c>
      <c r="G173" s="1" t="s">
        <v>23</v>
      </c>
      <c r="H173" s="1" t="s">
        <v>18</v>
      </c>
      <c r="I173" s="1" t="s">
        <v>44</v>
      </c>
      <c r="J173" s="1">
        <v>31.0</v>
      </c>
      <c r="K173" s="1">
        <v>12.0</v>
      </c>
      <c r="L173" s="1">
        <v>0.0</v>
      </c>
    </row>
    <row r="174">
      <c r="A174" s="1">
        <v>1205024.0</v>
      </c>
      <c r="B174" s="1" t="s">
        <v>437</v>
      </c>
      <c r="C174" s="1" t="s">
        <v>218</v>
      </c>
      <c r="D174" s="1" t="s">
        <v>438</v>
      </c>
      <c r="E174" s="1" t="s">
        <v>439</v>
      </c>
      <c r="F174" s="1" t="s">
        <v>16</v>
      </c>
      <c r="G174" s="1" t="s">
        <v>17</v>
      </c>
      <c r="H174" s="1" t="s">
        <v>28</v>
      </c>
      <c r="I174" s="1" t="s">
        <v>40</v>
      </c>
      <c r="J174" s="1">
        <v>108.0</v>
      </c>
      <c r="K174" s="1">
        <v>33.0</v>
      </c>
      <c r="L174" s="1">
        <v>252.0</v>
      </c>
    </row>
    <row r="175">
      <c r="A175" s="1">
        <v>1212181.0</v>
      </c>
      <c r="B175" s="1" t="s">
        <v>306</v>
      </c>
      <c r="C175" s="1" t="s">
        <v>218</v>
      </c>
      <c r="D175" s="1" t="s">
        <v>225</v>
      </c>
      <c r="E175" s="1" t="s">
        <v>440</v>
      </c>
      <c r="F175" s="1" t="s">
        <v>16</v>
      </c>
      <c r="G175" s="1" t="s">
        <v>17</v>
      </c>
      <c r="H175" s="1" t="s">
        <v>18</v>
      </c>
      <c r="I175" s="1" t="s">
        <v>19</v>
      </c>
      <c r="J175" s="1">
        <v>231.0</v>
      </c>
      <c r="K175" s="1">
        <v>28.0</v>
      </c>
      <c r="L175" s="1">
        <v>233.0</v>
      </c>
    </row>
    <row r="176">
      <c r="A176" s="1">
        <v>1212012.0</v>
      </c>
      <c r="B176" s="1" t="s">
        <v>441</v>
      </c>
      <c r="C176" s="1" t="s">
        <v>218</v>
      </c>
      <c r="D176" s="1" t="s">
        <v>225</v>
      </c>
      <c r="E176" s="1" t="s">
        <v>442</v>
      </c>
      <c r="F176" s="1" t="s">
        <v>16</v>
      </c>
      <c r="G176" s="1" t="s">
        <v>27</v>
      </c>
      <c r="H176" s="1" t="s">
        <v>28</v>
      </c>
      <c r="I176" s="1" t="s">
        <v>40</v>
      </c>
      <c r="J176" s="1">
        <v>211.0</v>
      </c>
      <c r="K176" s="1">
        <v>136.0</v>
      </c>
      <c r="L176" s="1">
        <v>668.0</v>
      </c>
    </row>
    <row r="177">
      <c r="A177" s="1">
        <v>1223002.0</v>
      </c>
      <c r="B177" s="1" t="s">
        <v>443</v>
      </c>
      <c r="C177" s="1" t="s">
        <v>218</v>
      </c>
      <c r="D177" s="1" t="s">
        <v>419</v>
      </c>
      <c r="E177" s="1" t="s">
        <v>444</v>
      </c>
      <c r="F177" s="1" t="s">
        <v>16</v>
      </c>
      <c r="G177" s="1" t="s">
        <v>17</v>
      </c>
      <c r="H177" s="1" t="s">
        <v>18</v>
      </c>
      <c r="I177" s="1" t="s">
        <v>40</v>
      </c>
      <c r="J177" s="1">
        <v>120.0</v>
      </c>
      <c r="K177" s="1">
        <v>26.0</v>
      </c>
      <c r="L177" s="1">
        <v>272.0</v>
      </c>
    </row>
    <row r="178">
      <c r="A178" s="1">
        <v>1213035.0</v>
      </c>
      <c r="B178" s="1" t="s">
        <v>445</v>
      </c>
      <c r="C178" s="1" t="s">
        <v>218</v>
      </c>
      <c r="D178" s="1" t="s">
        <v>222</v>
      </c>
      <c r="E178" s="1" t="s">
        <v>446</v>
      </c>
      <c r="F178" s="1" t="s">
        <v>16</v>
      </c>
      <c r="G178" s="1" t="s">
        <v>17</v>
      </c>
      <c r="H178" s="1" t="s">
        <v>18</v>
      </c>
      <c r="I178" s="1" t="s">
        <v>113</v>
      </c>
      <c r="J178" s="1">
        <v>102.0</v>
      </c>
      <c r="K178" s="1">
        <v>78.0</v>
      </c>
      <c r="L178" s="1">
        <v>212.0</v>
      </c>
    </row>
    <row r="179">
      <c r="A179" s="1">
        <v>1276090.0</v>
      </c>
      <c r="B179" s="1" t="s">
        <v>447</v>
      </c>
      <c r="C179" s="1" t="s">
        <v>218</v>
      </c>
      <c r="D179" s="1" t="s">
        <v>268</v>
      </c>
      <c r="E179" s="1" t="s">
        <v>448</v>
      </c>
      <c r="F179" s="1" t="s">
        <v>16</v>
      </c>
      <c r="G179" s="1" t="s">
        <v>23</v>
      </c>
      <c r="H179" s="1" t="s">
        <v>33</v>
      </c>
      <c r="I179" s="1" t="s">
        <v>19</v>
      </c>
      <c r="J179" s="1">
        <v>47.0</v>
      </c>
      <c r="K179" s="1">
        <v>15.0</v>
      </c>
      <c r="L179" s="1">
        <v>0.0</v>
      </c>
    </row>
    <row r="180">
      <c r="A180" s="1">
        <v>1218024.0</v>
      </c>
      <c r="B180" s="1" t="s">
        <v>449</v>
      </c>
      <c r="C180" s="1" t="s">
        <v>218</v>
      </c>
      <c r="D180" s="1" t="s">
        <v>344</v>
      </c>
      <c r="E180" s="1" t="s">
        <v>450</v>
      </c>
      <c r="F180" s="1" t="s">
        <v>16</v>
      </c>
      <c r="G180" s="1" t="s">
        <v>17</v>
      </c>
      <c r="H180" s="1" t="s">
        <v>18</v>
      </c>
      <c r="I180" s="1" t="s">
        <v>59</v>
      </c>
      <c r="J180" s="1">
        <v>172.0</v>
      </c>
      <c r="K180" s="1">
        <v>28.0</v>
      </c>
      <c r="L180" s="1">
        <v>129.0</v>
      </c>
    </row>
    <row r="181">
      <c r="A181" s="1">
        <v>1275930.0</v>
      </c>
      <c r="B181" s="1" t="s">
        <v>451</v>
      </c>
      <c r="C181" s="1" t="s">
        <v>218</v>
      </c>
      <c r="D181" s="1" t="s">
        <v>239</v>
      </c>
      <c r="E181" s="1" t="s">
        <v>452</v>
      </c>
      <c r="F181" s="1" t="s">
        <v>16</v>
      </c>
      <c r="G181" s="1" t="s">
        <v>17</v>
      </c>
      <c r="H181" s="1" t="s">
        <v>18</v>
      </c>
      <c r="I181" s="1" t="s">
        <v>19</v>
      </c>
      <c r="J181" s="1">
        <v>135.0</v>
      </c>
      <c r="K181" s="1">
        <v>72.0</v>
      </c>
      <c r="L181" s="1">
        <v>230.0</v>
      </c>
    </row>
    <row r="182">
      <c r="A182" s="1">
        <v>1212172.0</v>
      </c>
      <c r="B182" s="1" t="s">
        <v>453</v>
      </c>
      <c r="C182" s="1" t="s">
        <v>218</v>
      </c>
      <c r="D182" s="1" t="s">
        <v>225</v>
      </c>
      <c r="E182" s="1" t="s">
        <v>454</v>
      </c>
      <c r="F182" s="1" t="s">
        <v>16</v>
      </c>
      <c r="G182" s="1" t="s">
        <v>17</v>
      </c>
      <c r="H182" s="1" t="s">
        <v>18</v>
      </c>
      <c r="I182" s="1" t="s">
        <v>44</v>
      </c>
      <c r="J182" s="1">
        <v>100.0</v>
      </c>
      <c r="K182" s="1">
        <v>47.0</v>
      </c>
      <c r="L182" s="1">
        <v>208.0</v>
      </c>
    </row>
    <row r="183">
      <c r="A183" s="1">
        <v>1275094.0</v>
      </c>
      <c r="B183" s="1" t="s">
        <v>455</v>
      </c>
      <c r="C183" s="1" t="s">
        <v>218</v>
      </c>
      <c r="D183" s="1" t="s">
        <v>239</v>
      </c>
      <c r="E183" s="1" t="s">
        <v>456</v>
      </c>
      <c r="F183" s="1" t="s">
        <v>16</v>
      </c>
      <c r="G183" s="1" t="s">
        <v>17</v>
      </c>
      <c r="H183" s="1" t="s">
        <v>18</v>
      </c>
      <c r="I183" s="1" t="s">
        <v>59</v>
      </c>
      <c r="J183" s="1">
        <v>178.0</v>
      </c>
      <c r="K183" s="1">
        <v>55.0</v>
      </c>
      <c r="L183" s="1">
        <v>227.0</v>
      </c>
    </row>
    <row r="184">
      <c r="A184" s="1">
        <v>1277011.0</v>
      </c>
      <c r="B184" s="1" t="s">
        <v>457</v>
      </c>
      <c r="C184" s="1" t="s">
        <v>218</v>
      </c>
      <c r="D184" s="1" t="s">
        <v>219</v>
      </c>
      <c r="E184" s="1" t="s">
        <v>458</v>
      </c>
      <c r="F184" s="1" t="s">
        <v>16</v>
      </c>
      <c r="G184" s="1" t="s">
        <v>17</v>
      </c>
      <c r="H184" s="1" t="s">
        <v>28</v>
      </c>
      <c r="I184" s="1" t="s">
        <v>29</v>
      </c>
      <c r="J184" s="1">
        <v>151.0</v>
      </c>
      <c r="K184" s="1">
        <v>28.0</v>
      </c>
      <c r="L184" s="1">
        <v>477.0</v>
      </c>
    </row>
    <row r="185">
      <c r="A185" s="1">
        <v>1276040.0</v>
      </c>
      <c r="B185" s="1" t="s">
        <v>459</v>
      </c>
      <c r="C185" s="1" t="s">
        <v>218</v>
      </c>
      <c r="D185" s="1" t="s">
        <v>268</v>
      </c>
      <c r="E185" s="1" t="s">
        <v>460</v>
      </c>
      <c r="F185" s="1" t="s">
        <v>16</v>
      </c>
      <c r="G185" s="1" t="s">
        <v>17</v>
      </c>
      <c r="H185" s="1" t="s">
        <v>18</v>
      </c>
      <c r="I185" s="1" t="s">
        <v>74</v>
      </c>
      <c r="J185" s="1">
        <v>125.0</v>
      </c>
      <c r="K185" s="1">
        <v>27.0</v>
      </c>
      <c r="L185" s="1">
        <v>119.0</v>
      </c>
    </row>
    <row r="186">
      <c r="A186" s="1">
        <v>1275888.0</v>
      </c>
      <c r="B186" s="1" t="s">
        <v>461</v>
      </c>
      <c r="C186" s="1" t="s">
        <v>218</v>
      </c>
      <c r="D186" s="1" t="s">
        <v>239</v>
      </c>
      <c r="E186" s="1" t="s">
        <v>462</v>
      </c>
      <c r="F186" s="1" t="s">
        <v>16</v>
      </c>
      <c r="G186" s="1" t="s">
        <v>17</v>
      </c>
      <c r="H186" s="1" t="s">
        <v>18</v>
      </c>
      <c r="I186" s="1" t="s">
        <v>44</v>
      </c>
      <c r="J186" s="1">
        <v>130.0</v>
      </c>
      <c r="K186" s="1">
        <v>98.0</v>
      </c>
      <c r="L186" s="1">
        <v>203.0</v>
      </c>
    </row>
    <row r="187">
      <c r="A187" s="1">
        <v>1275724.0</v>
      </c>
      <c r="B187" s="1" t="s">
        <v>463</v>
      </c>
      <c r="C187" s="1" t="s">
        <v>218</v>
      </c>
      <c r="D187" s="1" t="s">
        <v>239</v>
      </c>
      <c r="E187" s="1" t="s">
        <v>464</v>
      </c>
      <c r="F187" s="1" t="s">
        <v>16</v>
      </c>
      <c r="G187" s="1" t="s">
        <v>23</v>
      </c>
      <c r="H187" s="1" t="s">
        <v>18</v>
      </c>
      <c r="I187" s="1" t="s">
        <v>44</v>
      </c>
      <c r="J187" s="1">
        <v>65.0</v>
      </c>
      <c r="K187" s="1">
        <v>33.0</v>
      </c>
      <c r="L187" s="1">
        <v>178.0</v>
      </c>
    </row>
    <row r="188">
      <c r="A188" s="1">
        <v>1212175.0</v>
      </c>
      <c r="B188" s="1" t="s">
        <v>465</v>
      </c>
      <c r="C188" s="1" t="s">
        <v>218</v>
      </c>
      <c r="D188" s="1" t="s">
        <v>225</v>
      </c>
      <c r="E188" s="1" t="s">
        <v>466</v>
      </c>
      <c r="F188" s="1" t="s">
        <v>16</v>
      </c>
      <c r="G188" s="1" t="s">
        <v>23</v>
      </c>
      <c r="H188" s="1" t="s">
        <v>18</v>
      </c>
      <c r="I188" s="1" t="s">
        <v>59</v>
      </c>
      <c r="J188" s="1">
        <v>110.0</v>
      </c>
      <c r="K188" s="1">
        <v>16.0</v>
      </c>
      <c r="L188" s="1">
        <v>20.0</v>
      </c>
    </row>
    <row r="189">
      <c r="A189" s="1">
        <v>1209010.0</v>
      </c>
      <c r="B189" s="1" t="s">
        <v>467</v>
      </c>
      <c r="C189" s="1" t="s">
        <v>218</v>
      </c>
      <c r="D189" s="1" t="s">
        <v>279</v>
      </c>
      <c r="E189" s="1" t="s">
        <v>468</v>
      </c>
      <c r="F189" s="1" t="s">
        <v>16</v>
      </c>
      <c r="G189" s="1" t="s">
        <v>17</v>
      </c>
      <c r="H189" s="1" t="s">
        <v>18</v>
      </c>
      <c r="I189" s="1" t="s">
        <v>113</v>
      </c>
      <c r="J189" s="1">
        <v>121.0</v>
      </c>
      <c r="K189" s="1">
        <v>19.0</v>
      </c>
      <c r="L189" s="1">
        <v>152.0</v>
      </c>
    </row>
    <row r="190">
      <c r="A190" s="1">
        <v>1212045.0</v>
      </c>
      <c r="B190" s="1" t="s">
        <v>469</v>
      </c>
      <c r="C190" s="1" t="s">
        <v>218</v>
      </c>
      <c r="D190" s="1" t="s">
        <v>225</v>
      </c>
      <c r="E190" s="1" t="s">
        <v>470</v>
      </c>
      <c r="F190" s="1" t="s">
        <v>16</v>
      </c>
      <c r="G190" s="1" t="s">
        <v>27</v>
      </c>
      <c r="H190" s="1" t="s">
        <v>18</v>
      </c>
      <c r="I190" s="1" t="s">
        <v>59</v>
      </c>
      <c r="J190" s="1">
        <v>402.0</v>
      </c>
      <c r="K190" s="1">
        <v>46.0</v>
      </c>
      <c r="L190" s="1">
        <v>555.0</v>
      </c>
    </row>
    <row r="191">
      <c r="A191" s="1">
        <v>1275933.0</v>
      </c>
      <c r="B191" s="1" t="s">
        <v>471</v>
      </c>
      <c r="C191" s="1" t="s">
        <v>218</v>
      </c>
      <c r="D191" s="1" t="s">
        <v>239</v>
      </c>
      <c r="E191" s="1" t="s">
        <v>472</v>
      </c>
      <c r="F191" s="1" t="s">
        <v>473</v>
      </c>
      <c r="G191" s="1" t="s">
        <v>27</v>
      </c>
      <c r="H191" s="1" t="s">
        <v>18</v>
      </c>
      <c r="I191" s="1" t="s">
        <v>139</v>
      </c>
      <c r="J191" s="1">
        <v>50.0</v>
      </c>
      <c r="K191" s="1">
        <v>20.0</v>
      </c>
      <c r="L191" s="1">
        <v>137.0</v>
      </c>
    </row>
    <row r="192">
      <c r="A192" s="1">
        <v>1273120.0</v>
      </c>
      <c r="B192" s="1" t="s">
        <v>474</v>
      </c>
      <c r="C192" s="1" t="s">
        <v>218</v>
      </c>
      <c r="D192" s="1" t="s">
        <v>231</v>
      </c>
      <c r="E192" s="1" t="s">
        <v>475</v>
      </c>
      <c r="F192" s="1" t="s">
        <v>16</v>
      </c>
      <c r="G192" s="1" t="s">
        <v>23</v>
      </c>
      <c r="H192" s="1" t="s">
        <v>18</v>
      </c>
      <c r="I192" s="1" t="s">
        <v>44</v>
      </c>
      <c r="J192" s="1">
        <v>51.0</v>
      </c>
      <c r="K192" s="1">
        <v>9.0</v>
      </c>
      <c r="L192" s="1">
        <v>0.0</v>
      </c>
    </row>
    <row r="193">
      <c r="A193" s="1">
        <v>1275100.0</v>
      </c>
      <c r="B193" s="1" t="s">
        <v>476</v>
      </c>
      <c r="C193" s="1" t="s">
        <v>218</v>
      </c>
      <c r="D193" s="1" t="s">
        <v>239</v>
      </c>
      <c r="E193" s="1" t="s">
        <v>477</v>
      </c>
      <c r="F193" s="1" t="s">
        <v>16</v>
      </c>
      <c r="G193" s="1" t="s">
        <v>17</v>
      </c>
      <c r="H193" s="1" t="s">
        <v>18</v>
      </c>
      <c r="I193" s="1" t="s">
        <v>59</v>
      </c>
      <c r="J193" s="1">
        <v>100.0</v>
      </c>
      <c r="K193" s="1">
        <v>40.0</v>
      </c>
      <c r="L193" s="1">
        <v>62.0</v>
      </c>
    </row>
    <row r="194">
      <c r="A194" s="1">
        <v>1208056.0</v>
      </c>
      <c r="B194" s="1" t="s">
        <v>478</v>
      </c>
      <c r="C194" s="1" t="s">
        <v>218</v>
      </c>
      <c r="D194" s="1" t="s">
        <v>228</v>
      </c>
      <c r="E194" s="1" t="s">
        <v>479</v>
      </c>
      <c r="F194" s="1" t="s">
        <v>16</v>
      </c>
      <c r="G194" s="1" t="s">
        <v>17</v>
      </c>
      <c r="H194" s="1" t="s">
        <v>18</v>
      </c>
      <c r="I194" s="1" t="s">
        <v>19</v>
      </c>
      <c r="J194" s="1">
        <v>111.0</v>
      </c>
      <c r="K194" s="1">
        <v>22.0</v>
      </c>
      <c r="L194" s="1">
        <v>157.0</v>
      </c>
    </row>
    <row r="195">
      <c r="A195" s="1">
        <v>1274012.0</v>
      </c>
      <c r="B195" s="1" t="s">
        <v>480</v>
      </c>
      <c r="C195" s="1" t="s">
        <v>218</v>
      </c>
      <c r="D195" s="1" t="s">
        <v>300</v>
      </c>
      <c r="E195" s="1" t="s">
        <v>481</v>
      </c>
      <c r="F195" s="1" t="s">
        <v>16</v>
      </c>
      <c r="G195" s="1" t="s">
        <v>27</v>
      </c>
      <c r="H195" s="1" t="s">
        <v>28</v>
      </c>
      <c r="I195" s="1" t="s">
        <v>29</v>
      </c>
      <c r="J195" s="1">
        <v>202.0</v>
      </c>
      <c r="K195" s="1">
        <v>73.0</v>
      </c>
      <c r="L195" s="1">
        <v>530.0</v>
      </c>
    </row>
    <row r="196">
      <c r="A196" s="1">
        <v>1275830.0</v>
      </c>
      <c r="B196" s="1" t="s">
        <v>482</v>
      </c>
      <c r="C196" s="1" t="s">
        <v>218</v>
      </c>
      <c r="D196" s="1" t="s">
        <v>239</v>
      </c>
      <c r="E196" s="1" t="s">
        <v>483</v>
      </c>
      <c r="F196" s="1" t="s">
        <v>16</v>
      </c>
      <c r="G196" s="1" t="s">
        <v>17</v>
      </c>
      <c r="H196" s="1" t="s">
        <v>18</v>
      </c>
      <c r="I196" s="1" t="s">
        <v>44</v>
      </c>
      <c r="J196" s="1">
        <v>223.0</v>
      </c>
      <c r="K196" s="1">
        <v>12.0</v>
      </c>
      <c r="L196" s="1">
        <v>97.0</v>
      </c>
    </row>
    <row r="197">
      <c r="A197" s="1">
        <v>1202028.0</v>
      </c>
      <c r="B197" s="1" t="s">
        <v>484</v>
      </c>
      <c r="C197" s="1" t="s">
        <v>218</v>
      </c>
      <c r="D197" s="1" t="s">
        <v>263</v>
      </c>
      <c r="E197" s="1" t="s">
        <v>485</v>
      </c>
      <c r="F197" s="1" t="s">
        <v>16</v>
      </c>
      <c r="G197" s="1" t="s">
        <v>17</v>
      </c>
      <c r="H197" s="1" t="s">
        <v>18</v>
      </c>
      <c r="I197" s="1" t="s">
        <v>59</v>
      </c>
      <c r="J197" s="1">
        <v>108.0</v>
      </c>
      <c r="K197" s="1">
        <v>37.0</v>
      </c>
      <c r="L197" s="1">
        <v>100.0</v>
      </c>
    </row>
    <row r="198">
      <c r="A198" s="1">
        <v>1275298.0</v>
      </c>
      <c r="B198" s="1" t="s">
        <v>486</v>
      </c>
      <c r="C198" s="1" t="s">
        <v>218</v>
      </c>
      <c r="D198" s="1" t="s">
        <v>239</v>
      </c>
      <c r="E198" s="1" t="s">
        <v>487</v>
      </c>
      <c r="F198" s="1" t="s">
        <v>16</v>
      </c>
      <c r="G198" s="1" t="s">
        <v>27</v>
      </c>
      <c r="H198" s="1" t="s">
        <v>18</v>
      </c>
      <c r="I198" s="1" t="s">
        <v>44</v>
      </c>
      <c r="J198" s="1">
        <v>261.0</v>
      </c>
      <c r="K198" s="1">
        <v>78.0</v>
      </c>
      <c r="L198" s="1">
        <v>448.0</v>
      </c>
    </row>
    <row r="199">
      <c r="A199" s="1">
        <v>1205046.0</v>
      </c>
      <c r="B199" s="1" t="s">
        <v>488</v>
      </c>
      <c r="C199" s="1" t="s">
        <v>218</v>
      </c>
      <c r="D199" s="1" t="s">
        <v>315</v>
      </c>
      <c r="E199" s="1" t="s">
        <v>489</v>
      </c>
      <c r="F199" s="1" t="s">
        <v>16</v>
      </c>
      <c r="G199" s="1" t="s">
        <v>17</v>
      </c>
      <c r="H199" s="1" t="s">
        <v>28</v>
      </c>
      <c r="I199" s="1" t="s">
        <v>40</v>
      </c>
      <c r="J199" s="1">
        <v>107.0</v>
      </c>
      <c r="K199" s="1">
        <v>90.0</v>
      </c>
      <c r="L199" s="1">
        <v>181.0</v>
      </c>
    </row>
    <row r="200">
      <c r="A200" s="1">
        <v>1222002.0</v>
      </c>
      <c r="B200" s="1" t="s">
        <v>490</v>
      </c>
      <c r="C200" s="1" t="s">
        <v>218</v>
      </c>
      <c r="D200" s="1" t="s">
        <v>367</v>
      </c>
      <c r="E200" s="1" t="s">
        <v>491</v>
      </c>
      <c r="F200" s="1" t="s">
        <v>16</v>
      </c>
      <c r="G200" s="1" t="s">
        <v>17</v>
      </c>
      <c r="H200" s="1" t="s">
        <v>28</v>
      </c>
      <c r="I200" s="1" t="s">
        <v>40</v>
      </c>
      <c r="J200" s="1">
        <v>133.0</v>
      </c>
      <c r="K200" s="1">
        <v>32.0</v>
      </c>
      <c r="L200" s="1">
        <v>205.0</v>
      </c>
    </row>
    <row r="201">
      <c r="A201" s="1">
        <v>1275929.0</v>
      </c>
      <c r="B201" s="1" t="s">
        <v>492</v>
      </c>
      <c r="C201" s="1" t="s">
        <v>218</v>
      </c>
      <c r="D201" s="1" t="s">
        <v>239</v>
      </c>
      <c r="E201" s="1" t="s">
        <v>493</v>
      </c>
      <c r="F201" s="1" t="s">
        <v>55</v>
      </c>
      <c r="G201" s="1" t="s">
        <v>17</v>
      </c>
      <c r="H201" s="1" t="s">
        <v>18</v>
      </c>
      <c r="I201" s="1" t="s">
        <v>44</v>
      </c>
      <c r="J201" s="1">
        <v>45.0</v>
      </c>
      <c r="K201" s="1">
        <v>20.0</v>
      </c>
      <c r="L201" s="1">
        <v>42.0</v>
      </c>
    </row>
    <row r="202">
      <c r="A202" s="1">
        <v>1216011.0</v>
      </c>
      <c r="B202" s="1" t="s">
        <v>494</v>
      </c>
      <c r="C202" s="1" t="s">
        <v>218</v>
      </c>
      <c r="D202" s="1" t="s">
        <v>495</v>
      </c>
      <c r="E202" s="1" t="s">
        <v>496</v>
      </c>
      <c r="F202" s="1" t="s">
        <v>16</v>
      </c>
      <c r="G202" s="1" t="s">
        <v>17</v>
      </c>
      <c r="H202" s="1" t="s">
        <v>28</v>
      </c>
      <c r="I202" s="1" t="s">
        <v>40</v>
      </c>
      <c r="J202" s="1">
        <v>100.0</v>
      </c>
      <c r="K202" s="1">
        <v>24.0</v>
      </c>
      <c r="L202" s="1">
        <v>145.0</v>
      </c>
    </row>
    <row r="203">
      <c r="A203" s="1">
        <v>1275309.0</v>
      </c>
      <c r="B203" s="1" t="s">
        <v>497</v>
      </c>
      <c r="C203" s="1" t="s">
        <v>218</v>
      </c>
      <c r="D203" s="1" t="s">
        <v>239</v>
      </c>
      <c r="E203" s="1" t="s">
        <v>498</v>
      </c>
      <c r="F203" s="1" t="s">
        <v>272</v>
      </c>
      <c r="G203" s="1" t="s">
        <v>17</v>
      </c>
      <c r="H203" s="1" t="s">
        <v>18</v>
      </c>
      <c r="I203" s="1" t="s">
        <v>59</v>
      </c>
      <c r="J203" s="1">
        <v>17.0</v>
      </c>
      <c r="K203" s="1">
        <v>6.0</v>
      </c>
      <c r="L203" s="1">
        <v>32.0</v>
      </c>
    </row>
    <row r="204">
      <c r="A204" s="1">
        <v>1214022.0</v>
      </c>
      <c r="B204" s="1" t="s">
        <v>499</v>
      </c>
      <c r="C204" s="1" t="s">
        <v>218</v>
      </c>
      <c r="D204" s="1" t="s">
        <v>251</v>
      </c>
      <c r="E204" s="1" t="s">
        <v>500</v>
      </c>
      <c r="F204" s="1" t="s">
        <v>16</v>
      </c>
      <c r="G204" s="1" t="s">
        <v>23</v>
      </c>
      <c r="H204" s="1" t="s">
        <v>18</v>
      </c>
      <c r="I204" s="1" t="s">
        <v>40</v>
      </c>
      <c r="J204" s="1">
        <v>38.0</v>
      </c>
      <c r="K204" s="1">
        <v>10.0</v>
      </c>
      <c r="L204" s="1">
        <v>0.0</v>
      </c>
    </row>
    <row r="205">
      <c r="A205" s="1">
        <v>1273107.0</v>
      </c>
      <c r="B205" s="1" t="s">
        <v>501</v>
      </c>
      <c r="C205" s="1" t="s">
        <v>218</v>
      </c>
      <c r="D205" s="1" t="s">
        <v>231</v>
      </c>
      <c r="E205" s="1" t="s">
        <v>502</v>
      </c>
      <c r="F205" s="1" t="s">
        <v>272</v>
      </c>
      <c r="G205" s="1" t="s">
        <v>17</v>
      </c>
      <c r="H205" s="1" t="s">
        <v>18</v>
      </c>
      <c r="I205" s="1" t="s">
        <v>19</v>
      </c>
      <c r="J205" s="1">
        <v>16.0</v>
      </c>
      <c r="K205" s="1">
        <v>3.0</v>
      </c>
      <c r="L205" s="1">
        <v>38.0</v>
      </c>
    </row>
    <row r="206">
      <c r="A206" s="1">
        <v>1275130.0</v>
      </c>
      <c r="B206" s="1" t="s">
        <v>503</v>
      </c>
      <c r="C206" s="1" t="s">
        <v>218</v>
      </c>
      <c r="D206" s="1" t="s">
        <v>239</v>
      </c>
      <c r="E206" s="1" t="s">
        <v>504</v>
      </c>
      <c r="F206" s="1" t="s">
        <v>16</v>
      </c>
      <c r="G206" s="1" t="s">
        <v>23</v>
      </c>
      <c r="H206" s="1" t="s">
        <v>18</v>
      </c>
      <c r="I206" s="1" t="s">
        <v>59</v>
      </c>
      <c r="J206" s="1">
        <v>60.0</v>
      </c>
      <c r="K206" s="1">
        <v>17.0</v>
      </c>
      <c r="L206" s="1">
        <v>187.0</v>
      </c>
    </row>
    <row r="207">
      <c r="A207" s="1">
        <v>1276079.0</v>
      </c>
      <c r="B207" s="1" t="s">
        <v>505</v>
      </c>
      <c r="C207" s="1" t="s">
        <v>218</v>
      </c>
      <c r="D207" s="1" t="s">
        <v>268</v>
      </c>
      <c r="E207" s="1" t="s">
        <v>506</v>
      </c>
      <c r="F207" s="1" t="s">
        <v>16</v>
      </c>
      <c r="G207" s="1" t="s">
        <v>23</v>
      </c>
      <c r="H207" s="1" t="s">
        <v>18</v>
      </c>
      <c r="I207" s="1" t="s">
        <v>44</v>
      </c>
      <c r="J207" s="1">
        <v>79.0</v>
      </c>
      <c r="K207" s="1">
        <v>23.0</v>
      </c>
      <c r="L207" s="1">
        <v>34.0</v>
      </c>
    </row>
    <row r="208">
      <c r="A208" s="1">
        <v>1203033.0</v>
      </c>
      <c r="B208" s="1" t="s">
        <v>507</v>
      </c>
      <c r="C208" s="1" t="s">
        <v>218</v>
      </c>
      <c r="D208" s="1" t="s">
        <v>508</v>
      </c>
      <c r="E208" s="1" t="s">
        <v>509</v>
      </c>
      <c r="F208" s="1" t="s">
        <v>16</v>
      </c>
      <c r="G208" s="1" t="s">
        <v>17</v>
      </c>
      <c r="H208" s="1" t="s">
        <v>18</v>
      </c>
      <c r="I208" s="1" t="s">
        <v>40</v>
      </c>
      <c r="J208" s="1">
        <v>110.0</v>
      </c>
      <c r="K208" s="1">
        <v>29.0</v>
      </c>
      <c r="L208" s="1">
        <v>226.0</v>
      </c>
    </row>
    <row r="209">
      <c r="A209" s="1">
        <v>1224002.0</v>
      </c>
      <c r="B209" s="1" t="s">
        <v>510</v>
      </c>
      <c r="C209" s="1" t="s">
        <v>218</v>
      </c>
      <c r="D209" s="1" t="s">
        <v>511</v>
      </c>
      <c r="E209" s="1" t="s">
        <v>512</v>
      </c>
      <c r="F209" s="1" t="s">
        <v>16</v>
      </c>
      <c r="G209" s="1" t="s">
        <v>23</v>
      </c>
      <c r="H209" s="1" t="s">
        <v>28</v>
      </c>
      <c r="I209" s="1" t="s">
        <v>40</v>
      </c>
      <c r="J209" s="1">
        <v>58.0</v>
      </c>
      <c r="K209" s="1">
        <v>27.0</v>
      </c>
      <c r="L209" s="1">
        <v>95.0</v>
      </c>
    </row>
    <row r="210">
      <c r="A210" s="1">
        <v>1213062.0</v>
      </c>
      <c r="B210" s="1" t="s">
        <v>513</v>
      </c>
      <c r="C210" s="1" t="s">
        <v>218</v>
      </c>
      <c r="D210" s="1" t="s">
        <v>222</v>
      </c>
      <c r="E210" s="1" t="s">
        <v>514</v>
      </c>
      <c r="F210" s="1" t="s">
        <v>16</v>
      </c>
      <c r="G210" s="1" t="s">
        <v>17</v>
      </c>
      <c r="H210" s="1" t="s">
        <v>18</v>
      </c>
      <c r="I210" s="1" t="s">
        <v>44</v>
      </c>
      <c r="J210" s="1">
        <v>230.0</v>
      </c>
      <c r="K210" s="1">
        <v>36.0</v>
      </c>
      <c r="L210" s="1">
        <v>0.0</v>
      </c>
    </row>
    <row r="211">
      <c r="A211" s="1">
        <v>1275772.0</v>
      </c>
      <c r="B211" s="1" t="s">
        <v>515</v>
      </c>
      <c r="C211" s="1" t="s">
        <v>218</v>
      </c>
      <c r="D211" s="1" t="s">
        <v>239</v>
      </c>
      <c r="E211" s="1" t="s">
        <v>516</v>
      </c>
      <c r="F211" s="1" t="s">
        <v>16</v>
      </c>
      <c r="G211" s="1" t="s">
        <v>17</v>
      </c>
      <c r="H211" s="1" t="s">
        <v>18</v>
      </c>
      <c r="I211" s="1" t="s">
        <v>59</v>
      </c>
      <c r="J211" s="1">
        <v>112.0</v>
      </c>
      <c r="K211" s="1">
        <v>35.0</v>
      </c>
      <c r="L211" s="1">
        <v>36.0</v>
      </c>
    </row>
    <row r="212">
      <c r="A212" s="1">
        <v>1209077.0</v>
      </c>
      <c r="B212" s="1" t="s">
        <v>517</v>
      </c>
      <c r="C212" s="1" t="s">
        <v>218</v>
      </c>
      <c r="D212" s="1" t="s">
        <v>279</v>
      </c>
      <c r="E212" s="1" t="s">
        <v>518</v>
      </c>
      <c r="F212" s="1" t="s">
        <v>16</v>
      </c>
      <c r="G212" s="1" t="s">
        <v>17</v>
      </c>
      <c r="H212" s="1" t="s">
        <v>28</v>
      </c>
      <c r="I212" s="1" t="s">
        <v>40</v>
      </c>
      <c r="J212" s="1">
        <v>103.0</v>
      </c>
      <c r="K212" s="1">
        <v>48.0</v>
      </c>
      <c r="L212" s="1">
        <v>186.0</v>
      </c>
    </row>
    <row r="213">
      <c r="A213" s="1">
        <v>1275913.0</v>
      </c>
      <c r="B213" s="1" t="s">
        <v>519</v>
      </c>
      <c r="C213" s="1" t="s">
        <v>218</v>
      </c>
      <c r="D213" s="1" t="s">
        <v>239</v>
      </c>
      <c r="E213" s="1" t="s">
        <v>520</v>
      </c>
      <c r="F213" s="1" t="s">
        <v>16</v>
      </c>
      <c r="G213" s="1" t="s">
        <v>17</v>
      </c>
      <c r="H213" s="1" t="s">
        <v>18</v>
      </c>
      <c r="I213" s="1" t="s">
        <v>34</v>
      </c>
      <c r="J213" s="1">
        <v>210.0</v>
      </c>
      <c r="K213" s="1">
        <v>55.0</v>
      </c>
      <c r="L213" s="1">
        <v>683.0</v>
      </c>
    </row>
    <row r="214">
      <c r="A214" s="1">
        <v>1274063.0</v>
      </c>
      <c r="B214" s="1" t="s">
        <v>521</v>
      </c>
      <c r="C214" s="1" t="s">
        <v>218</v>
      </c>
      <c r="D214" s="1" t="s">
        <v>300</v>
      </c>
      <c r="E214" s="1" t="s">
        <v>522</v>
      </c>
      <c r="F214" s="1" t="s">
        <v>16</v>
      </c>
      <c r="G214" s="1" t="s">
        <v>17</v>
      </c>
      <c r="H214" s="1" t="s">
        <v>18</v>
      </c>
      <c r="I214" s="1" t="s">
        <v>44</v>
      </c>
      <c r="J214" s="1">
        <v>133.0</v>
      </c>
      <c r="K214" s="1">
        <v>37.0</v>
      </c>
      <c r="L214" s="1">
        <v>159.0</v>
      </c>
    </row>
    <row r="215">
      <c r="A215" s="1">
        <v>1209065.0</v>
      </c>
      <c r="B215" s="1" t="s">
        <v>523</v>
      </c>
      <c r="C215" s="1" t="s">
        <v>218</v>
      </c>
      <c r="D215" s="1" t="s">
        <v>279</v>
      </c>
      <c r="E215" s="1" t="s">
        <v>524</v>
      </c>
      <c r="F215" s="1" t="s">
        <v>16</v>
      </c>
      <c r="G215" s="1" t="s">
        <v>23</v>
      </c>
      <c r="H215" s="1" t="s">
        <v>28</v>
      </c>
      <c r="I215" s="1" t="s">
        <v>40</v>
      </c>
      <c r="J215" s="1">
        <v>54.0</v>
      </c>
      <c r="K215" s="1">
        <v>13.0</v>
      </c>
      <c r="L215" s="1">
        <v>110.0</v>
      </c>
    </row>
    <row r="216">
      <c r="A216" s="1">
        <v>1275061.0</v>
      </c>
      <c r="B216" s="1" t="s">
        <v>525</v>
      </c>
      <c r="C216" s="1" t="s">
        <v>218</v>
      </c>
      <c r="D216" s="1" t="s">
        <v>239</v>
      </c>
      <c r="E216" s="1" t="s">
        <v>526</v>
      </c>
      <c r="F216" s="1" t="s">
        <v>16</v>
      </c>
      <c r="G216" s="1" t="s">
        <v>17</v>
      </c>
      <c r="H216" s="1" t="s">
        <v>18</v>
      </c>
      <c r="I216" s="1" t="s">
        <v>59</v>
      </c>
      <c r="J216" s="1">
        <v>100.0</v>
      </c>
      <c r="K216" s="1">
        <v>22.0</v>
      </c>
      <c r="L216" s="1">
        <v>117.0</v>
      </c>
    </row>
    <row r="217">
      <c r="A217" s="1">
        <v>1212093.0</v>
      </c>
      <c r="B217" s="1" t="s">
        <v>527</v>
      </c>
      <c r="C217" s="1" t="s">
        <v>218</v>
      </c>
      <c r="D217" s="1" t="s">
        <v>225</v>
      </c>
      <c r="E217" s="1" t="s">
        <v>528</v>
      </c>
      <c r="F217" s="1" t="s">
        <v>16</v>
      </c>
      <c r="G217" s="1" t="s">
        <v>17</v>
      </c>
      <c r="H217" s="1" t="s">
        <v>18</v>
      </c>
      <c r="I217" s="1" t="s">
        <v>59</v>
      </c>
      <c r="J217" s="1">
        <v>104.0</v>
      </c>
      <c r="K217" s="1">
        <v>33.0</v>
      </c>
      <c r="L217" s="1">
        <v>148.0</v>
      </c>
    </row>
    <row r="218">
      <c r="A218" s="1">
        <v>1211124.0</v>
      </c>
      <c r="B218" s="1" t="s">
        <v>529</v>
      </c>
      <c r="C218" s="1" t="s">
        <v>218</v>
      </c>
      <c r="D218" s="1" t="s">
        <v>286</v>
      </c>
      <c r="E218" s="1" t="s">
        <v>530</v>
      </c>
      <c r="F218" s="1" t="s">
        <v>16</v>
      </c>
      <c r="G218" s="1" t="s">
        <v>17</v>
      </c>
      <c r="H218" s="1" t="s">
        <v>18</v>
      </c>
      <c r="I218" s="1" t="s">
        <v>19</v>
      </c>
      <c r="J218" s="1">
        <v>164.0</v>
      </c>
      <c r="K218" s="1">
        <v>56.0</v>
      </c>
      <c r="L218" s="1">
        <v>348.0</v>
      </c>
    </row>
    <row r="219">
      <c r="A219" s="1">
        <v>1276075.0</v>
      </c>
      <c r="B219" s="1" t="s">
        <v>531</v>
      </c>
      <c r="C219" s="1" t="s">
        <v>218</v>
      </c>
      <c r="D219" s="1" t="s">
        <v>268</v>
      </c>
      <c r="E219" s="1" t="s">
        <v>532</v>
      </c>
      <c r="F219" s="1" t="s">
        <v>16</v>
      </c>
      <c r="G219" s="1" t="s">
        <v>17</v>
      </c>
      <c r="H219" s="1" t="s">
        <v>18</v>
      </c>
      <c r="I219" s="1" t="s">
        <v>44</v>
      </c>
      <c r="J219" s="1">
        <v>199.0</v>
      </c>
      <c r="K219" s="1">
        <v>49.0</v>
      </c>
      <c r="L219" s="1">
        <v>352.0</v>
      </c>
    </row>
    <row r="220">
      <c r="A220" s="1">
        <v>1277027.0</v>
      </c>
      <c r="B220" s="1" t="s">
        <v>533</v>
      </c>
      <c r="C220" s="1" t="s">
        <v>218</v>
      </c>
      <c r="D220" s="1" t="s">
        <v>219</v>
      </c>
      <c r="E220" s="1" t="s">
        <v>534</v>
      </c>
      <c r="F220" s="1" t="s">
        <v>16</v>
      </c>
      <c r="G220" s="1" t="s">
        <v>17</v>
      </c>
      <c r="H220" s="1" t="s">
        <v>18</v>
      </c>
      <c r="I220" s="1" t="s">
        <v>44</v>
      </c>
      <c r="J220" s="1">
        <v>111.0</v>
      </c>
      <c r="K220" s="1">
        <v>57.0</v>
      </c>
      <c r="L220" s="1">
        <v>114.0</v>
      </c>
    </row>
    <row r="221">
      <c r="A221" s="1">
        <v>1275013.0</v>
      </c>
      <c r="B221" s="1" t="s">
        <v>535</v>
      </c>
      <c r="C221" s="1" t="s">
        <v>218</v>
      </c>
      <c r="D221" s="1" t="s">
        <v>239</v>
      </c>
      <c r="E221" s="1" t="s">
        <v>536</v>
      </c>
      <c r="F221" s="1" t="s">
        <v>16</v>
      </c>
      <c r="G221" s="1" t="s">
        <v>27</v>
      </c>
      <c r="H221" s="1" t="s">
        <v>28</v>
      </c>
      <c r="I221" s="1" t="s">
        <v>29</v>
      </c>
      <c r="J221" s="1">
        <v>268.0</v>
      </c>
      <c r="K221" s="1">
        <v>95.0</v>
      </c>
      <c r="L221" s="1">
        <v>1404.0</v>
      </c>
    </row>
    <row r="222">
      <c r="A222" s="1">
        <v>1275918.0</v>
      </c>
      <c r="B222" s="1" t="s">
        <v>537</v>
      </c>
      <c r="C222" s="1" t="s">
        <v>218</v>
      </c>
      <c r="D222" s="1" t="s">
        <v>239</v>
      </c>
      <c r="E222" s="1" t="s">
        <v>538</v>
      </c>
      <c r="F222" s="1" t="s">
        <v>539</v>
      </c>
      <c r="G222" s="1" t="s">
        <v>17</v>
      </c>
      <c r="H222" s="1" t="s">
        <v>18</v>
      </c>
      <c r="I222" s="1" t="s">
        <v>44</v>
      </c>
      <c r="J222" s="1">
        <v>69.0</v>
      </c>
      <c r="K222" s="1">
        <v>22.0</v>
      </c>
      <c r="L222" s="1">
        <v>184.0</v>
      </c>
    </row>
    <row r="223">
      <c r="A223" s="1">
        <v>1275936.0</v>
      </c>
      <c r="B223" s="1" t="s">
        <v>540</v>
      </c>
      <c r="C223" s="1" t="s">
        <v>218</v>
      </c>
      <c r="D223" s="1" t="s">
        <v>239</v>
      </c>
      <c r="E223" s="1" t="s">
        <v>541</v>
      </c>
      <c r="F223" s="1" t="s">
        <v>16</v>
      </c>
      <c r="G223" s="1" t="s">
        <v>17</v>
      </c>
      <c r="H223" s="1" t="s">
        <v>18</v>
      </c>
      <c r="I223" s="1" t="s">
        <v>19</v>
      </c>
      <c r="J223" s="1">
        <v>117.0</v>
      </c>
      <c r="K223" s="1">
        <v>23.0</v>
      </c>
      <c r="L223" s="1">
        <v>13.0</v>
      </c>
    </row>
    <row r="224">
      <c r="A224" s="1">
        <v>1203066.0</v>
      </c>
      <c r="B224" s="1" t="s">
        <v>542</v>
      </c>
      <c r="C224" s="1" t="s">
        <v>218</v>
      </c>
      <c r="D224" s="1" t="s">
        <v>508</v>
      </c>
      <c r="E224" s="1" t="s">
        <v>543</v>
      </c>
      <c r="F224" s="1" t="s">
        <v>16</v>
      </c>
      <c r="G224" s="1" t="s">
        <v>23</v>
      </c>
      <c r="H224" s="1" t="s">
        <v>18</v>
      </c>
      <c r="I224" s="1" t="s">
        <v>40</v>
      </c>
      <c r="J224" s="1">
        <v>51.0</v>
      </c>
      <c r="K224" s="1">
        <v>5.0</v>
      </c>
      <c r="L224" s="1">
        <v>0.0</v>
      </c>
    </row>
    <row r="225">
      <c r="A225" s="1">
        <v>1275852.0</v>
      </c>
      <c r="B225" s="1" t="s">
        <v>544</v>
      </c>
      <c r="C225" s="1" t="s">
        <v>218</v>
      </c>
      <c r="D225" s="1" t="s">
        <v>239</v>
      </c>
      <c r="E225" s="1" t="s">
        <v>545</v>
      </c>
      <c r="F225" s="1" t="s">
        <v>16</v>
      </c>
      <c r="G225" s="1" t="s">
        <v>27</v>
      </c>
      <c r="H225" s="1" t="s">
        <v>18</v>
      </c>
      <c r="I225" s="1" t="s">
        <v>19</v>
      </c>
      <c r="J225" s="1">
        <v>227.0</v>
      </c>
      <c r="K225" s="1">
        <v>136.0</v>
      </c>
      <c r="L225" s="1">
        <v>856.0</v>
      </c>
    </row>
    <row r="226">
      <c r="A226" s="1">
        <v>1275600.0</v>
      </c>
      <c r="B226" s="1" t="s">
        <v>546</v>
      </c>
      <c r="C226" s="1" t="s">
        <v>218</v>
      </c>
      <c r="D226" s="1" t="s">
        <v>239</v>
      </c>
      <c r="E226" s="1" t="s">
        <v>547</v>
      </c>
      <c r="F226" s="1" t="s">
        <v>16</v>
      </c>
      <c r="G226" s="1" t="s">
        <v>17</v>
      </c>
      <c r="H226" s="1" t="s">
        <v>18</v>
      </c>
      <c r="I226" s="1" t="s">
        <v>44</v>
      </c>
      <c r="J226" s="1">
        <v>116.0</v>
      </c>
      <c r="K226" s="1">
        <v>34.0</v>
      </c>
      <c r="L226" s="1">
        <v>135.0</v>
      </c>
    </row>
    <row r="227">
      <c r="A227" s="1">
        <v>1207015.0</v>
      </c>
      <c r="B227" s="1" t="s">
        <v>548</v>
      </c>
      <c r="C227" s="1" t="s">
        <v>218</v>
      </c>
      <c r="D227" s="1" t="s">
        <v>260</v>
      </c>
      <c r="E227" s="1" t="s">
        <v>549</v>
      </c>
      <c r="F227" s="1" t="s">
        <v>16</v>
      </c>
      <c r="G227" s="1" t="s">
        <v>27</v>
      </c>
      <c r="H227" s="1" t="s">
        <v>28</v>
      </c>
      <c r="I227" s="1" t="s">
        <v>40</v>
      </c>
      <c r="J227" s="1">
        <v>220.0</v>
      </c>
      <c r="K227" s="1">
        <v>97.0</v>
      </c>
      <c r="L227" s="1">
        <v>590.0</v>
      </c>
    </row>
    <row r="228">
      <c r="A228" s="1">
        <v>1273119.0</v>
      </c>
      <c r="B228" s="1" t="s">
        <v>550</v>
      </c>
      <c r="C228" s="1" t="s">
        <v>218</v>
      </c>
      <c r="D228" s="1" t="s">
        <v>231</v>
      </c>
      <c r="E228" s="1" t="s">
        <v>551</v>
      </c>
      <c r="F228" s="1" t="s">
        <v>16</v>
      </c>
      <c r="G228" s="1" t="s">
        <v>17</v>
      </c>
      <c r="H228" s="1" t="s">
        <v>18</v>
      </c>
      <c r="I228" s="1" t="s">
        <v>19</v>
      </c>
      <c r="J228" s="1">
        <v>183.0</v>
      </c>
      <c r="K228" s="1">
        <v>33.0</v>
      </c>
      <c r="L228" s="1">
        <v>0.0</v>
      </c>
    </row>
    <row r="229">
      <c r="A229" s="1">
        <v>1274062.0</v>
      </c>
      <c r="B229" s="1" t="s">
        <v>552</v>
      </c>
      <c r="C229" s="1" t="s">
        <v>218</v>
      </c>
      <c r="D229" s="1" t="s">
        <v>300</v>
      </c>
      <c r="E229" s="1" t="s">
        <v>553</v>
      </c>
      <c r="F229" s="1" t="s">
        <v>16</v>
      </c>
      <c r="G229" s="1" t="s">
        <v>23</v>
      </c>
      <c r="H229" s="1" t="s">
        <v>18</v>
      </c>
      <c r="I229" s="1" t="s">
        <v>59</v>
      </c>
      <c r="J229" s="1">
        <v>54.0</v>
      </c>
      <c r="K229" s="1">
        <v>9.0</v>
      </c>
      <c r="L229" s="1">
        <v>6.0</v>
      </c>
    </row>
    <row r="230">
      <c r="A230" s="1">
        <v>1211127.0</v>
      </c>
      <c r="B230" s="1" t="s">
        <v>554</v>
      </c>
      <c r="C230" s="1" t="s">
        <v>218</v>
      </c>
      <c r="D230" s="1" t="s">
        <v>286</v>
      </c>
      <c r="E230" s="1" t="s">
        <v>555</v>
      </c>
      <c r="F230" s="1" t="s">
        <v>55</v>
      </c>
      <c r="G230" s="1" t="s">
        <v>17</v>
      </c>
      <c r="H230" s="1" t="s">
        <v>18</v>
      </c>
      <c r="I230" s="1" t="s">
        <v>19</v>
      </c>
      <c r="J230" s="1">
        <v>28.0</v>
      </c>
      <c r="K230" s="1">
        <v>15.0</v>
      </c>
      <c r="L230" s="1">
        <v>33.0</v>
      </c>
    </row>
    <row r="231">
      <c r="A231" s="1">
        <v>1272010.0</v>
      </c>
      <c r="B231" s="1" t="s">
        <v>556</v>
      </c>
      <c r="C231" s="1" t="s">
        <v>218</v>
      </c>
      <c r="D231" s="1" t="s">
        <v>234</v>
      </c>
      <c r="E231" s="1" t="s">
        <v>557</v>
      </c>
      <c r="F231" s="1" t="s">
        <v>16</v>
      </c>
      <c r="G231" s="1" t="s">
        <v>17</v>
      </c>
      <c r="H231" s="1" t="s">
        <v>28</v>
      </c>
      <c r="I231" s="1" t="s">
        <v>29</v>
      </c>
      <c r="J231" s="1">
        <v>117.0</v>
      </c>
      <c r="K231" s="1">
        <v>33.0</v>
      </c>
      <c r="L231" s="1">
        <v>257.0</v>
      </c>
    </row>
    <row r="232">
      <c r="A232" s="1">
        <v>1275931.0</v>
      </c>
      <c r="B232" s="1" t="s">
        <v>558</v>
      </c>
      <c r="C232" s="1" t="s">
        <v>218</v>
      </c>
      <c r="D232" s="1" t="s">
        <v>239</v>
      </c>
      <c r="E232" s="1" t="s">
        <v>559</v>
      </c>
      <c r="F232" s="1" t="s">
        <v>16</v>
      </c>
      <c r="G232" s="1" t="s">
        <v>17</v>
      </c>
      <c r="H232" s="1" t="s">
        <v>18</v>
      </c>
      <c r="I232" s="1" t="s">
        <v>44</v>
      </c>
      <c r="J232" s="1">
        <v>175.0</v>
      </c>
      <c r="K232" s="1">
        <v>75.0</v>
      </c>
      <c r="L232" s="1">
        <v>118.0</v>
      </c>
    </row>
    <row r="233">
      <c r="A233" s="1">
        <v>1212179.0</v>
      </c>
      <c r="B233" s="1" t="s">
        <v>259</v>
      </c>
      <c r="C233" s="1" t="s">
        <v>218</v>
      </c>
      <c r="D233" s="1" t="s">
        <v>225</v>
      </c>
      <c r="E233" s="1" t="s">
        <v>560</v>
      </c>
      <c r="F233" s="1" t="s">
        <v>16</v>
      </c>
      <c r="G233" s="1" t="s">
        <v>17</v>
      </c>
      <c r="H233" s="1" t="s">
        <v>18</v>
      </c>
      <c r="I233" s="1" t="s">
        <v>44</v>
      </c>
      <c r="J233" s="1">
        <v>118.0</v>
      </c>
      <c r="K233" s="1">
        <v>22.0</v>
      </c>
      <c r="L233" s="1">
        <v>177.0</v>
      </c>
    </row>
    <row r="234">
      <c r="A234" s="1">
        <v>1275152.0</v>
      </c>
      <c r="B234" s="1" t="s">
        <v>561</v>
      </c>
      <c r="C234" s="1" t="s">
        <v>218</v>
      </c>
      <c r="D234" s="1" t="s">
        <v>239</v>
      </c>
      <c r="E234" s="1" t="s">
        <v>562</v>
      </c>
      <c r="F234" s="1" t="s">
        <v>16</v>
      </c>
      <c r="G234" s="1" t="s">
        <v>23</v>
      </c>
      <c r="H234" s="1" t="s">
        <v>18</v>
      </c>
      <c r="I234" s="1" t="s">
        <v>563</v>
      </c>
      <c r="J234" s="1">
        <v>50.0</v>
      </c>
      <c r="K234" s="1">
        <v>15.0</v>
      </c>
      <c r="L234" s="1">
        <v>52.0</v>
      </c>
    </row>
    <row r="235">
      <c r="A235" s="1">
        <v>1219015.0</v>
      </c>
      <c r="B235" s="1" t="s">
        <v>564</v>
      </c>
      <c r="C235" s="1" t="s">
        <v>218</v>
      </c>
      <c r="D235" s="1" t="s">
        <v>309</v>
      </c>
      <c r="E235" s="1" t="s">
        <v>565</v>
      </c>
      <c r="F235" s="1" t="s">
        <v>16</v>
      </c>
      <c r="G235" s="1" t="s">
        <v>23</v>
      </c>
      <c r="H235" s="1" t="s">
        <v>18</v>
      </c>
      <c r="I235" s="1" t="s">
        <v>19</v>
      </c>
      <c r="J235" s="1">
        <v>95.0</v>
      </c>
      <c r="K235" s="1">
        <v>11.0</v>
      </c>
      <c r="L235" s="1">
        <v>0.0</v>
      </c>
    </row>
    <row r="236">
      <c r="A236" s="1">
        <v>1203055.0</v>
      </c>
      <c r="B236" s="1" t="s">
        <v>566</v>
      </c>
      <c r="C236" s="1" t="s">
        <v>218</v>
      </c>
      <c r="D236" s="1" t="s">
        <v>567</v>
      </c>
      <c r="E236" s="1" t="s">
        <v>568</v>
      </c>
      <c r="F236" s="1" t="s">
        <v>16</v>
      </c>
      <c r="G236" s="1" t="s">
        <v>17</v>
      </c>
      <c r="H236" s="1" t="s">
        <v>28</v>
      </c>
      <c r="I236" s="1" t="s">
        <v>40</v>
      </c>
      <c r="J236" s="1">
        <v>106.0</v>
      </c>
      <c r="K236" s="1">
        <v>41.0</v>
      </c>
      <c r="L236" s="1">
        <v>400.0</v>
      </c>
    </row>
    <row r="237">
      <c r="A237" s="1">
        <v>1208064.0</v>
      </c>
      <c r="B237" s="1" t="s">
        <v>569</v>
      </c>
      <c r="C237" s="1" t="s">
        <v>218</v>
      </c>
      <c r="D237" s="1" t="s">
        <v>228</v>
      </c>
      <c r="E237" s="1" t="s">
        <v>570</v>
      </c>
      <c r="F237" s="1" t="s">
        <v>16</v>
      </c>
      <c r="G237" s="1" t="s">
        <v>23</v>
      </c>
      <c r="H237" s="1" t="s">
        <v>18</v>
      </c>
      <c r="I237" s="1" t="s">
        <v>44</v>
      </c>
      <c r="J237" s="1">
        <v>87.0</v>
      </c>
      <c r="K237" s="1">
        <v>23.0</v>
      </c>
      <c r="L237" s="1">
        <v>25.0</v>
      </c>
    </row>
    <row r="238">
      <c r="A238" s="1">
        <v>1275794.0</v>
      </c>
      <c r="B238" s="1" t="s">
        <v>571</v>
      </c>
      <c r="C238" s="1" t="s">
        <v>218</v>
      </c>
      <c r="D238" s="1" t="s">
        <v>225</v>
      </c>
      <c r="E238" s="1" t="s">
        <v>572</v>
      </c>
      <c r="F238" s="1" t="s">
        <v>16</v>
      </c>
      <c r="G238" s="1" t="s">
        <v>27</v>
      </c>
      <c r="H238" s="1" t="s">
        <v>28</v>
      </c>
      <c r="I238" s="1" t="s">
        <v>139</v>
      </c>
      <c r="J238" s="1">
        <v>260.0</v>
      </c>
      <c r="K238" s="1">
        <v>138.0</v>
      </c>
      <c r="L238" s="1">
        <v>641.0</v>
      </c>
    </row>
    <row r="239">
      <c r="A239" s="1">
        <v>1275011.0</v>
      </c>
      <c r="B239" s="1" t="s">
        <v>573</v>
      </c>
      <c r="C239" s="1" t="s">
        <v>218</v>
      </c>
      <c r="D239" s="1" t="s">
        <v>239</v>
      </c>
      <c r="E239" s="1" t="s">
        <v>574</v>
      </c>
      <c r="F239" s="1" t="s">
        <v>16</v>
      </c>
      <c r="G239" s="1" t="s">
        <v>17</v>
      </c>
      <c r="H239" s="1" t="s">
        <v>18</v>
      </c>
      <c r="I239" s="1" t="s">
        <v>19</v>
      </c>
      <c r="J239" s="1">
        <v>152.0</v>
      </c>
      <c r="K239" s="1">
        <v>60.0</v>
      </c>
      <c r="L239" s="1">
        <v>0.0</v>
      </c>
    </row>
    <row r="240">
      <c r="A240" s="1">
        <v>1219017.0</v>
      </c>
      <c r="B240" s="1" t="s">
        <v>575</v>
      </c>
      <c r="C240" s="1" t="s">
        <v>218</v>
      </c>
      <c r="D240" s="1" t="s">
        <v>309</v>
      </c>
      <c r="E240" s="1" t="s">
        <v>576</v>
      </c>
      <c r="F240" s="1" t="s">
        <v>16</v>
      </c>
      <c r="G240" s="1" t="s">
        <v>27</v>
      </c>
      <c r="H240" s="1" t="s">
        <v>18</v>
      </c>
      <c r="I240" s="1" t="s">
        <v>44</v>
      </c>
      <c r="J240" s="1">
        <v>254.0</v>
      </c>
      <c r="K240" s="1">
        <v>38.0</v>
      </c>
      <c r="L240" s="1">
        <v>0.0</v>
      </c>
    </row>
    <row r="241">
      <c r="A241" s="1">
        <v>1210010.0</v>
      </c>
      <c r="B241" s="1" t="s">
        <v>577</v>
      </c>
      <c r="C241" s="1" t="s">
        <v>218</v>
      </c>
      <c r="D241" s="1" t="s">
        <v>291</v>
      </c>
      <c r="E241" s="1" t="s">
        <v>578</v>
      </c>
      <c r="F241" s="1" t="s">
        <v>16</v>
      </c>
      <c r="G241" s="1" t="s">
        <v>17</v>
      </c>
      <c r="H241" s="1" t="s">
        <v>28</v>
      </c>
      <c r="I241" s="1" t="s">
        <v>40</v>
      </c>
      <c r="J241" s="1">
        <v>150.0</v>
      </c>
      <c r="K241" s="1">
        <v>26.0</v>
      </c>
      <c r="L241" s="1">
        <v>431.0</v>
      </c>
    </row>
    <row r="242">
      <c r="A242" s="1">
        <v>1223005.0</v>
      </c>
      <c r="B242" s="1" t="s">
        <v>579</v>
      </c>
      <c r="C242" s="1" t="s">
        <v>218</v>
      </c>
      <c r="D242" s="1" t="s">
        <v>419</v>
      </c>
      <c r="E242" s="1" t="s">
        <v>580</v>
      </c>
      <c r="F242" s="1" t="s">
        <v>16</v>
      </c>
      <c r="G242" s="1" t="s">
        <v>23</v>
      </c>
      <c r="H242" s="1" t="s">
        <v>33</v>
      </c>
      <c r="I242" s="1" t="s">
        <v>163</v>
      </c>
      <c r="J242" s="1">
        <v>70.0</v>
      </c>
      <c r="K242" s="1">
        <v>17.0</v>
      </c>
      <c r="L242" s="1">
        <v>32.0</v>
      </c>
    </row>
    <row r="243">
      <c r="A243" s="1">
        <v>1212136.0</v>
      </c>
      <c r="B243" s="1" t="s">
        <v>581</v>
      </c>
      <c r="C243" s="1" t="s">
        <v>218</v>
      </c>
      <c r="D243" s="1" t="s">
        <v>225</v>
      </c>
      <c r="E243" s="1" t="s">
        <v>582</v>
      </c>
      <c r="F243" s="1" t="s">
        <v>16</v>
      </c>
      <c r="G243" s="1" t="s">
        <v>17</v>
      </c>
      <c r="H243" s="1" t="s">
        <v>18</v>
      </c>
      <c r="I243" s="1" t="s">
        <v>59</v>
      </c>
      <c r="J243" s="1">
        <v>110.0</v>
      </c>
      <c r="K243" s="1">
        <v>40.0</v>
      </c>
      <c r="L243" s="1">
        <v>113.0</v>
      </c>
    </row>
    <row r="244">
      <c r="A244" s="1">
        <v>1221002.0</v>
      </c>
      <c r="B244" s="1" t="s">
        <v>583</v>
      </c>
      <c r="C244" s="1" t="s">
        <v>218</v>
      </c>
      <c r="D244" s="1" t="s">
        <v>567</v>
      </c>
      <c r="E244" s="1" t="s">
        <v>584</v>
      </c>
      <c r="F244" s="1" t="s">
        <v>16</v>
      </c>
      <c r="G244" s="1" t="s">
        <v>23</v>
      </c>
      <c r="H244" s="1" t="s">
        <v>18</v>
      </c>
      <c r="I244" s="1" t="s">
        <v>19</v>
      </c>
      <c r="J244" s="1">
        <v>62.0</v>
      </c>
      <c r="K244" s="1">
        <v>20.0</v>
      </c>
      <c r="L244" s="1">
        <v>96.0</v>
      </c>
    </row>
    <row r="245">
      <c r="A245" s="1">
        <v>1275046.0</v>
      </c>
      <c r="B245" s="1" t="s">
        <v>585</v>
      </c>
      <c r="C245" s="1" t="s">
        <v>218</v>
      </c>
      <c r="D245" s="1" t="s">
        <v>239</v>
      </c>
      <c r="E245" s="1" t="s">
        <v>586</v>
      </c>
      <c r="F245" s="1" t="s">
        <v>16</v>
      </c>
      <c r="G245" s="1" t="s">
        <v>27</v>
      </c>
      <c r="H245" s="1" t="s">
        <v>33</v>
      </c>
      <c r="I245" s="1" t="s">
        <v>65</v>
      </c>
      <c r="J245" s="1">
        <v>205.0</v>
      </c>
      <c r="K245" s="1">
        <v>55.0</v>
      </c>
      <c r="L245" s="1">
        <v>72.0</v>
      </c>
    </row>
    <row r="246">
      <c r="A246" s="1">
        <v>1225013.0</v>
      </c>
      <c r="B246" s="1" t="s">
        <v>587</v>
      </c>
      <c r="C246" s="1" t="s">
        <v>218</v>
      </c>
      <c r="D246" s="1" t="s">
        <v>276</v>
      </c>
      <c r="E246" s="1" t="s">
        <v>588</v>
      </c>
      <c r="F246" s="1" t="s">
        <v>16</v>
      </c>
      <c r="G246" s="1" t="s">
        <v>98</v>
      </c>
      <c r="H246" s="1" t="s">
        <v>18</v>
      </c>
      <c r="I246" s="1" t="s">
        <v>40</v>
      </c>
      <c r="J246" s="1">
        <v>84.0</v>
      </c>
      <c r="K246" s="1">
        <v>14.0</v>
      </c>
      <c r="L246" s="1">
        <v>0.0</v>
      </c>
    </row>
    <row r="247">
      <c r="A247" s="1">
        <v>1275898.0</v>
      </c>
      <c r="B247" s="1" t="s">
        <v>589</v>
      </c>
      <c r="C247" s="1" t="s">
        <v>218</v>
      </c>
      <c r="D247" s="1" t="s">
        <v>239</v>
      </c>
      <c r="E247" s="1" t="s">
        <v>590</v>
      </c>
      <c r="F247" s="1" t="s">
        <v>272</v>
      </c>
      <c r="G247" s="1" t="s">
        <v>17</v>
      </c>
      <c r="H247" s="1" t="s">
        <v>18</v>
      </c>
      <c r="I247" s="1" t="s">
        <v>44</v>
      </c>
      <c r="J247" s="1">
        <v>16.0</v>
      </c>
      <c r="K247" s="1">
        <v>19.0</v>
      </c>
      <c r="L247" s="1">
        <v>169.0</v>
      </c>
    </row>
    <row r="248">
      <c r="A248" s="1">
        <v>1218029.0</v>
      </c>
      <c r="B248" s="1" t="s">
        <v>591</v>
      </c>
      <c r="C248" s="1" t="s">
        <v>218</v>
      </c>
      <c r="D248" s="1" t="s">
        <v>344</v>
      </c>
      <c r="E248" s="1" t="s">
        <v>592</v>
      </c>
      <c r="F248" s="1" t="s">
        <v>16</v>
      </c>
      <c r="G248" s="1" t="s">
        <v>23</v>
      </c>
      <c r="H248" s="1" t="s">
        <v>18</v>
      </c>
      <c r="I248" s="1" t="s">
        <v>19</v>
      </c>
      <c r="J248" s="1">
        <v>47.0</v>
      </c>
      <c r="K248" s="1">
        <v>28.0</v>
      </c>
      <c r="L248" s="1">
        <v>1.0</v>
      </c>
    </row>
    <row r="249">
      <c r="A249" s="1">
        <v>1212185.0</v>
      </c>
      <c r="B249" s="1" t="s">
        <v>593</v>
      </c>
      <c r="C249" s="1" t="s">
        <v>218</v>
      </c>
      <c r="D249" s="1" t="s">
        <v>225</v>
      </c>
      <c r="E249" s="1" t="s">
        <v>594</v>
      </c>
      <c r="F249" s="1" t="s">
        <v>16</v>
      </c>
      <c r="G249" s="1" t="s">
        <v>17</v>
      </c>
      <c r="H249" s="1" t="s">
        <v>28</v>
      </c>
      <c r="I249" s="1" t="s">
        <v>40</v>
      </c>
      <c r="J249" s="1">
        <v>110.0</v>
      </c>
      <c r="K249" s="1">
        <v>21.0</v>
      </c>
      <c r="L249" s="1">
        <v>72.0</v>
      </c>
    </row>
    <row r="250">
      <c r="A250" s="1">
        <v>1275885.0</v>
      </c>
      <c r="B250" s="1" t="s">
        <v>595</v>
      </c>
      <c r="C250" s="1" t="s">
        <v>218</v>
      </c>
      <c r="D250" s="1" t="s">
        <v>239</v>
      </c>
      <c r="E250" s="1" t="s">
        <v>596</v>
      </c>
      <c r="F250" s="1" t="s">
        <v>16</v>
      </c>
      <c r="G250" s="1" t="s">
        <v>23</v>
      </c>
      <c r="H250" s="1" t="s">
        <v>18</v>
      </c>
      <c r="I250" s="1" t="s">
        <v>59</v>
      </c>
      <c r="J250" s="1">
        <v>62.0</v>
      </c>
      <c r="K250" s="1">
        <v>28.0</v>
      </c>
      <c r="L250" s="1">
        <v>81.0</v>
      </c>
    </row>
    <row r="251">
      <c r="A251" s="1">
        <v>1275633.0</v>
      </c>
      <c r="B251" s="1" t="s">
        <v>597</v>
      </c>
      <c r="C251" s="1" t="s">
        <v>218</v>
      </c>
      <c r="D251" s="1" t="s">
        <v>239</v>
      </c>
      <c r="E251" s="1" t="s">
        <v>598</v>
      </c>
      <c r="F251" s="1" t="s">
        <v>16</v>
      </c>
      <c r="G251" s="1" t="s">
        <v>17</v>
      </c>
      <c r="H251" s="1" t="s">
        <v>18</v>
      </c>
      <c r="I251" s="1" t="s">
        <v>44</v>
      </c>
      <c r="J251" s="1">
        <v>156.0</v>
      </c>
      <c r="K251" s="1">
        <v>66.0</v>
      </c>
      <c r="L251" s="1">
        <v>403.0</v>
      </c>
    </row>
    <row r="252">
      <c r="A252" s="1">
        <v>1275914.0</v>
      </c>
      <c r="B252" s="1" t="s">
        <v>599</v>
      </c>
      <c r="C252" s="1" t="s">
        <v>218</v>
      </c>
      <c r="D252" s="1" t="s">
        <v>239</v>
      </c>
      <c r="E252" s="1" t="s">
        <v>600</v>
      </c>
      <c r="F252" s="1" t="s">
        <v>272</v>
      </c>
      <c r="G252" s="1" t="s">
        <v>17</v>
      </c>
      <c r="H252" s="1" t="s">
        <v>18</v>
      </c>
      <c r="I252" s="1" t="s">
        <v>19</v>
      </c>
      <c r="J252" s="1">
        <v>16.0</v>
      </c>
      <c r="K252" s="1">
        <v>17.0</v>
      </c>
      <c r="L252" s="1">
        <v>51.0</v>
      </c>
    </row>
    <row r="253">
      <c r="A253" s="1">
        <v>1208016.0</v>
      </c>
      <c r="B253" s="1" t="s">
        <v>601</v>
      </c>
      <c r="C253" s="1" t="s">
        <v>218</v>
      </c>
      <c r="D253" s="1" t="s">
        <v>228</v>
      </c>
      <c r="E253" s="1" t="s">
        <v>602</v>
      </c>
      <c r="F253" s="1" t="s">
        <v>16</v>
      </c>
      <c r="G253" s="1" t="s">
        <v>17</v>
      </c>
      <c r="H253" s="1" t="s">
        <v>28</v>
      </c>
      <c r="I253" s="1" t="s">
        <v>40</v>
      </c>
      <c r="J253" s="1">
        <v>121.0</v>
      </c>
      <c r="K253" s="1">
        <v>42.0</v>
      </c>
      <c r="L253" s="1">
        <v>119.0</v>
      </c>
    </row>
    <row r="254">
      <c r="A254" s="1">
        <v>1271033.0</v>
      </c>
      <c r="B254" s="1" t="s">
        <v>603</v>
      </c>
      <c r="C254" s="1" t="s">
        <v>218</v>
      </c>
      <c r="D254" s="1" t="s">
        <v>322</v>
      </c>
      <c r="E254" s="1" t="s">
        <v>604</v>
      </c>
      <c r="F254" s="1" t="s">
        <v>16</v>
      </c>
      <c r="G254" s="1" t="s">
        <v>17</v>
      </c>
      <c r="H254" s="1" t="s">
        <v>18</v>
      </c>
      <c r="I254" s="1" t="s">
        <v>19</v>
      </c>
      <c r="J254" s="1">
        <v>110.0</v>
      </c>
      <c r="K254" s="1">
        <v>74.0</v>
      </c>
      <c r="L254" s="1">
        <v>157.0</v>
      </c>
    </row>
    <row r="255">
      <c r="A255" s="1">
        <v>1275889.0</v>
      </c>
      <c r="B255" s="1" t="s">
        <v>605</v>
      </c>
      <c r="C255" s="1" t="s">
        <v>218</v>
      </c>
      <c r="D255" s="1" t="s">
        <v>239</v>
      </c>
      <c r="E255" s="1" t="s">
        <v>606</v>
      </c>
      <c r="F255" s="1" t="s">
        <v>16</v>
      </c>
      <c r="G255" s="1" t="s">
        <v>150</v>
      </c>
      <c r="H255" s="1" t="s">
        <v>18</v>
      </c>
      <c r="I255" s="1" t="s">
        <v>44</v>
      </c>
      <c r="J255" s="1">
        <v>339.0</v>
      </c>
      <c r="K255" s="1">
        <v>121.0</v>
      </c>
      <c r="L255" s="1">
        <v>826.0</v>
      </c>
    </row>
    <row r="256">
      <c r="A256" s="1">
        <v>1214011.0</v>
      </c>
      <c r="B256" s="1" t="s">
        <v>607</v>
      </c>
      <c r="C256" s="1" t="s">
        <v>218</v>
      </c>
      <c r="D256" s="1" t="s">
        <v>251</v>
      </c>
      <c r="E256" s="1" t="s">
        <v>608</v>
      </c>
      <c r="F256" s="1" t="s">
        <v>16</v>
      </c>
      <c r="G256" s="1" t="s">
        <v>23</v>
      </c>
      <c r="H256" s="1" t="s">
        <v>18</v>
      </c>
      <c r="I256" s="1" t="s">
        <v>249</v>
      </c>
      <c r="J256" s="1">
        <v>50.0</v>
      </c>
      <c r="K256" s="1">
        <v>21.0</v>
      </c>
      <c r="L256" s="1">
        <v>21.0</v>
      </c>
    </row>
    <row r="257">
      <c r="A257" s="1">
        <v>1213058.0</v>
      </c>
      <c r="B257" s="1" t="s">
        <v>609</v>
      </c>
      <c r="C257" s="1" t="s">
        <v>218</v>
      </c>
      <c r="D257" s="1" t="s">
        <v>222</v>
      </c>
      <c r="E257" s="1" t="s">
        <v>610</v>
      </c>
      <c r="F257" s="1" t="s">
        <v>16</v>
      </c>
      <c r="G257" s="1" t="s">
        <v>23</v>
      </c>
      <c r="H257" s="1" t="s">
        <v>18</v>
      </c>
      <c r="I257" s="1" t="s">
        <v>44</v>
      </c>
      <c r="J257" s="1">
        <v>66.0</v>
      </c>
      <c r="K257" s="1">
        <v>19.0</v>
      </c>
      <c r="L257" s="1">
        <v>34.0</v>
      </c>
    </row>
    <row r="258">
      <c r="A258" s="1">
        <v>1273108.0</v>
      </c>
      <c r="B258" s="1" t="s">
        <v>611</v>
      </c>
      <c r="C258" s="1" t="s">
        <v>218</v>
      </c>
      <c r="D258" s="1" t="s">
        <v>231</v>
      </c>
      <c r="E258" s="1" t="s">
        <v>612</v>
      </c>
      <c r="F258" s="1" t="s">
        <v>16</v>
      </c>
      <c r="G258" s="1" t="s">
        <v>23</v>
      </c>
      <c r="H258" s="1" t="s">
        <v>18</v>
      </c>
      <c r="I258" s="1" t="s">
        <v>19</v>
      </c>
      <c r="J258" s="1">
        <v>44.0</v>
      </c>
      <c r="K258" s="1">
        <v>14.0</v>
      </c>
      <c r="L258" s="1">
        <v>47.0</v>
      </c>
    </row>
    <row r="259">
      <c r="A259" s="1">
        <v>1273022.0</v>
      </c>
      <c r="B259" s="1" t="s">
        <v>613</v>
      </c>
      <c r="C259" s="1" t="s">
        <v>218</v>
      </c>
      <c r="D259" s="1" t="s">
        <v>231</v>
      </c>
      <c r="E259" s="1" t="s">
        <v>614</v>
      </c>
      <c r="F259" s="1" t="s">
        <v>16</v>
      </c>
      <c r="G259" s="1" t="s">
        <v>17</v>
      </c>
      <c r="H259" s="1" t="s">
        <v>18</v>
      </c>
      <c r="I259" s="1" t="s">
        <v>74</v>
      </c>
      <c r="J259" s="1">
        <v>177.0</v>
      </c>
      <c r="K259" s="1">
        <v>31.0</v>
      </c>
      <c r="L259" s="1">
        <v>366.0</v>
      </c>
    </row>
    <row r="260">
      <c r="A260" s="1">
        <v>1275221.0</v>
      </c>
      <c r="B260" s="1" t="s">
        <v>615</v>
      </c>
      <c r="C260" s="1" t="s">
        <v>218</v>
      </c>
      <c r="D260" s="1" t="s">
        <v>239</v>
      </c>
      <c r="E260" s="1" t="s">
        <v>616</v>
      </c>
      <c r="F260" s="1" t="s">
        <v>174</v>
      </c>
      <c r="G260" s="1" t="s">
        <v>150</v>
      </c>
      <c r="H260" s="1" t="s">
        <v>18</v>
      </c>
      <c r="I260" s="1" t="s">
        <v>139</v>
      </c>
      <c r="J260" s="1">
        <v>450.0</v>
      </c>
      <c r="K260" s="1">
        <v>30.0</v>
      </c>
      <c r="L260" s="1">
        <v>441.0</v>
      </c>
    </row>
    <row r="261">
      <c r="A261" s="1">
        <v>1275890.0</v>
      </c>
      <c r="B261" s="1" t="s">
        <v>617</v>
      </c>
      <c r="C261" s="1" t="s">
        <v>218</v>
      </c>
      <c r="D261" s="1" t="s">
        <v>239</v>
      </c>
      <c r="E261" s="1" t="s">
        <v>618</v>
      </c>
      <c r="F261" s="1" t="s">
        <v>16</v>
      </c>
      <c r="G261" s="1" t="s">
        <v>17</v>
      </c>
      <c r="H261" s="1" t="s">
        <v>18</v>
      </c>
      <c r="I261" s="1" t="s">
        <v>44</v>
      </c>
      <c r="J261" s="1">
        <v>269.0</v>
      </c>
      <c r="K261" s="1">
        <v>91.0</v>
      </c>
      <c r="L261" s="1">
        <v>710.0</v>
      </c>
    </row>
    <row r="262">
      <c r="A262" s="1">
        <v>1202029.0</v>
      </c>
      <c r="B262" s="1" t="s">
        <v>619</v>
      </c>
      <c r="C262" s="1" t="s">
        <v>218</v>
      </c>
      <c r="D262" s="1" t="s">
        <v>263</v>
      </c>
      <c r="E262" s="1" t="s">
        <v>620</v>
      </c>
      <c r="F262" s="1" t="s">
        <v>16</v>
      </c>
      <c r="G262" s="1" t="s">
        <v>17</v>
      </c>
      <c r="H262" s="1" t="s">
        <v>18</v>
      </c>
      <c r="I262" s="1" t="s">
        <v>59</v>
      </c>
      <c r="J262" s="1">
        <v>102.0</v>
      </c>
      <c r="K262" s="1">
        <v>26.0</v>
      </c>
      <c r="L262" s="1">
        <v>0.0</v>
      </c>
    </row>
    <row r="263">
      <c r="A263" s="1">
        <v>1212183.0</v>
      </c>
      <c r="B263" s="1" t="s">
        <v>621</v>
      </c>
      <c r="C263" s="1" t="s">
        <v>218</v>
      </c>
      <c r="D263" s="1" t="s">
        <v>225</v>
      </c>
      <c r="E263" s="1" t="s">
        <v>622</v>
      </c>
      <c r="F263" s="1" t="s">
        <v>16</v>
      </c>
      <c r="G263" s="1" t="s">
        <v>17</v>
      </c>
      <c r="H263" s="1" t="s">
        <v>18</v>
      </c>
      <c r="I263" s="1" t="s">
        <v>44</v>
      </c>
      <c r="J263" s="1">
        <v>100.0</v>
      </c>
      <c r="K263" s="1">
        <v>30.0</v>
      </c>
      <c r="L263" s="1">
        <v>10.0</v>
      </c>
    </row>
    <row r="264">
      <c r="A264" s="1">
        <v>1205013.0</v>
      </c>
      <c r="B264" s="1" t="s">
        <v>623</v>
      </c>
      <c r="C264" s="1" t="s">
        <v>218</v>
      </c>
      <c r="D264" s="1" t="s">
        <v>247</v>
      </c>
      <c r="E264" s="1" t="s">
        <v>624</v>
      </c>
      <c r="F264" s="1" t="s">
        <v>16</v>
      </c>
      <c r="G264" s="1" t="s">
        <v>27</v>
      </c>
      <c r="H264" s="1" t="s">
        <v>28</v>
      </c>
      <c r="I264" s="1" t="s">
        <v>40</v>
      </c>
      <c r="J264" s="1">
        <v>204.0</v>
      </c>
      <c r="K264" s="1">
        <v>106.0</v>
      </c>
      <c r="L264" s="1">
        <v>738.0</v>
      </c>
    </row>
    <row r="265">
      <c r="A265" s="1">
        <v>1211033.0</v>
      </c>
      <c r="B265" s="1" t="s">
        <v>625</v>
      </c>
      <c r="C265" s="1" t="s">
        <v>218</v>
      </c>
      <c r="D265" s="1" t="s">
        <v>286</v>
      </c>
      <c r="E265" s="1" t="s">
        <v>626</v>
      </c>
      <c r="F265" s="1" t="s">
        <v>16</v>
      </c>
      <c r="G265" s="1" t="s">
        <v>17</v>
      </c>
      <c r="H265" s="1" t="s">
        <v>18</v>
      </c>
      <c r="I265" s="1" t="s">
        <v>139</v>
      </c>
      <c r="J265" s="1">
        <v>51.0</v>
      </c>
      <c r="K265" s="1">
        <v>17.0</v>
      </c>
      <c r="L265" s="1">
        <v>31.0</v>
      </c>
    </row>
    <row r="266">
      <c r="A266" s="1">
        <v>1206063.0</v>
      </c>
      <c r="B266" s="1" t="s">
        <v>627</v>
      </c>
      <c r="C266" s="1" t="s">
        <v>218</v>
      </c>
      <c r="D266" s="1" t="s">
        <v>367</v>
      </c>
      <c r="E266" s="1" t="s">
        <v>628</v>
      </c>
      <c r="F266" s="1" t="s">
        <v>16</v>
      </c>
      <c r="G266" s="1" t="s">
        <v>23</v>
      </c>
      <c r="H266" s="1" t="s">
        <v>18</v>
      </c>
      <c r="I266" s="1" t="s">
        <v>44</v>
      </c>
      <c r="J266" s="1">
        <v>108.0</v>
      </c>
      <c r="K266" s="1">
        <v>25.0</v>
      </c>
      <c r="L266" s="1">
        <v>151.0</v>
      </c>
    </row>
    <row r="267">
      <c r="A267" s="1">
        <v>1208057.0</v>
      </c>
      <c r="B267" s="1" t="s">
        <v>629</v>
      </c>
      <c r="C267" s="1" t="s">
        <v>218</v>
      </c>
      <c r="D267" s="1" t="s">
        <v>228</v>
      </c>
      <c r="E267" s="1" t="s">
        <v>630</v>
      </c>
      <c r="F267" s="1" t="s">
        <v>16</v>
      </c>
      <c r="G267" s="1" t="s">
        <v>23</v>
      </c>
      <c r="H267" s="1" t="s">
        <v>18</v>
      </c>
      <c r="I267" s="1" t="s">
        <v>19</v>
      </c>
      <c r="J267" s="1">
        <v>92.0</v>
      </c>
      <c r="K267" s="1">
        <v>25.0</v>
      </c>
      <c r="L267" s="1">
        <v>119.0</v>
      </c>
    </row>
    <row r="268">
      <c r="A268" s="1">
        <v>1213024.0</v>
      </c>
      <c r="B268" s="1" t="s">
        <v>631</v>
      </c>
      <c r="C268" s="1" t="s">
        <v>218</v>
      </c>
      <c r="D268" s="1" t="s">
        <v>222</v>
      </c>
      <c r="E268" s="1" t="s">
        <v>632</v>
      </c>
      <c r="F268" s="1" t="s">
        <v>16</v>
      </c>
      <c r="G268" s="1" t="s">
        <v>17</v>
      </c>
      <c r="H268" s="1" t="s">
        <v>18</v>
      </c>
      <c r="I268" s="1" t="s">
        <v>113</v>
      </c>
      <c r="J268" s="1">
        <v>106.0</v>
      </c>
      <c r="K268" s="1">
        <v>17.0</v>
      </c>
      <c r="L268" s="1">
        <v>160.0</v>
      </c>
    </row>
    <row r="269">
      <c r="A269" s="1">
        <v>1218013.0</v>
      </c>
      <c r="B269" s="1" t="s">
        <v>633</v>
      </c>
      <c r="C269" s="1" t="s">
        <v>218</v>
      </c>
      <c r="D269" s="1" t="s">
        <v>344</v>
      </c>
      <c r="E269" s="1" t="s">
        <v>634</v>
      </c>
      <c r="F269" s="1" t="s">
        <v>16</v>
      </c>
      <c r="G269" s="1" t="s">
        <v>23</v>
      </c>
      <c r="H269" s="1" t="s">
        <v>18</v>
      </c>
      <c r="I269" s="1" t="s">
        <v>59</v>
      </c>
      <c r="J269" s="1">
        <v>68.0</v>
      </c>
      <c r="K269" s="1">
        <v>23.0</v>
      </c>
      <c r="L269" s="1">
        <v>61.0</v>
      </c>
    </row>
    <row r="270">
      <c r="A270" s="1">
        <v>1276076.0</v>
      </c>
      <c r="B270" s="1" t="s">
        <v>635</v>
      </c>
      <c r="C270" s="1" t="s">
        <v>218</v>
      </c>
      <c r="D270" s="1" t="s">
        <v>268</v>
      </c>
      <c r="E270" s="1" t="s">
        <v>636</v>
      </c>
      <c r="F270" s="1" t="s">
        <v>16</v>
      </c>
      <c r="G270" s="1" t="s">
        <v>23</v>
      </c>
      <c r="H270" s="1" t="s">
        <v>18</v>
      </c>
      <c r="I270" s="1" t="s">
        <v>44</v>
      </c>
      <c r="J270" s="1">
        <v>68.0</v>
      </c>
      <c r="K270" s="1">
        <v>79.0</v>
      </c>
      <c r="L270" s="1">
        <v>54.0</v>
      </c>
    </row>
    <row r="271">
      <c r="A271" s="1">
        <v>1275072.0</v>
      </c>
      <c r="B271" s="1" t="s">
        <v>637</v>
      </c>
      <c r="C271" s="1" t="s">
        <v>218</v>
      </c>
      <c r="D271" s="1" t="s">
        <v>239</v>
      </c>
      <c r="E271" s="1" t="s">
        <v>638</v>
      </c>
      <c r="F271" s="1" t="s">
        <v>16</v>
      </c>
      <c r="G271" s="1" t="s">
        <v>27</v>
      </c>
      <c r="H271" s="1" t="s">
        <v>18</v>
      </c>
      <c r="I271" s="1" t="s">
        <v>249</v>
      </c>
      <c r="J271" s="1">
        <v>210.0</v>
      </c>
      <c r="K271" s="1">
        <v>73.0</v>
      </c>
      <c r="L271" s="1">
        <v>561.0</v>
      </c>
    </row>
    <row r="272">
      <c r="A272" s="1">
        <v>1202017.0</v>
      </c>
      <c r="B272" s="1" t="s">
        <v>639</v>
      </c>
      <c r="C272" s="1" t="s">
        <v>218</v>
      </c>
      <c r="D272" s="1" t="s">
        <v>263</v>
      </c>
      <c r="E272" s="1" t="s">
        <v>640</v>
      </c>
      <c r="F272" s="1" t="s">
        <v>16</v>
      </c>
      <c r="G272" s="1" t="s">
        <v>23</v>
      </c>
      <c r="H272" s="1" t="s">
        <v>28</v>
      </c>
      <c r="I272" s="1" t="s">
        <v>40</v>
      </c>
      <c r="J272" s="1">
        <v>28.0</v>
      </c>
      <c r="K272" s="1">
        <v>15.0</v>
      </c>
      <c r="L272" s="1">
        <v>292.0</v>
      </c>
    </row>
    <row r="273">
      <c r="A273" s="1">
        <v>1275012.0</v>
      </c>
      <c r="B273" s="1" t="s">
        <v>641</v>
      </c>
      <c r="C273" s="1" t="s">
        <v>218</v>
      </c>
      <c r="D273" s="1" t="s">
        <v>239</v>
      </c>
      <c r="E273" s="1" t="s">
        <v>642</v>
      </c>
      <c r="F273" s="1" t="s">
        <v>16</v>
      </c>
      <c r="G273" s="1" t="s">
        <v>17</v>
      </c>
      <c r="H273" s="1" t="s">
        <v>18</v>
      </c>
      <c r="I273" s="1" t="s">
        <v>29</v>
      </c>
      <c r="J273" s="1">
        <v>100.0</v>
      </c>
      <c r="K273" s="1">
        <v>25.0</v>
      </c>
      <c r="L273" s="1">
        <v>0.0</v>
      </c>
    </row>
    <row r="274">
      <c r="A274" s="1">
        <v>1276014.0</v>
      </c>
      <c r="B274" s="1" t="s">
        <v>643</v>
      </c>
      <c r="C274" s="1" t="s">
        <v>218</v>
      </c>
      <c r="D274" s="1" t="s">
        <v>268</v>
      </c>
      <c r="E274" s="1" t="s">
        <v>644</v>
      </c>
      <c r="F274" s="1" t="s">
        <v>16</v>
      </c>
      <c r="G274" s="1" t="s">
        <v>27</v>
      </c>
      <c r="H274" s="1" t="s">
        <v>28</v>
      </c>
      <c r="I274" s="1" t="s">
        <v>29</v>
      </c>
      <c r="J274" s="1">
        <v>205.0</v>
      </c>
      <c r="K274" s="1">
        <v>40.0</v>
      </c>
      <c r="L274" s="1">
        <v>421.0</v>
      </c>
    </row>
    <row r="275">
      <c r="A275" s="1">
        <v>1276078.0</v>
      </c>
      <c r="B275" s="1" t="s">
        <v>645</v>
      </c>
      <c r="C275" s="1" t="s">
        <v>218</v>
      </c>
      <c r="D275" s="1" t="s">
        <v>268</v>
      </c>
      <c r="E275" s="1" t="s">
        <v>646</v>
      </c>
      <c r="F275" s="1" t="s">
        <v>16</v>
      </c>
      <c r="G275" s="1" t="s">
        <v>17</v>
      </c>
      <c r="H275" s="1" t="s">
        <v>18</v>
      </c>
      <c r="I275" s="1" t="s">
        <v>59</v>
      </c>
      <c r="J275" s="1">
        <v>124.0</v>
      </c>
      <c r="K275" s="1">
        <v>31.0</v>
      </c>
      <c r="L275" s="1">
        <v>106.0</v>
      </c>
    </row>
    <row r="276">
      <c r="A276" s="1">
        <v>1275702.0</v>
      </c>
      <c r="B276" s="1" t="s">
        <v>647</v>
      </c>
      <c r="C276" s="1" t="s">
        <v>218</v>
      </c>
      <c r="D276" s="1" t="s">
        <v>239</v>
      </c>
      <c r="E276" s="1" t="s">
        <v>648</v>
      </c>
      <c r="F276" s="1" t="s">
        <v>16</v>
      </c>
      <c r="G276" s="1" t="s">
        <v>23</v>
      </c>
      <c r="H276" s="1" t="s">
        <v>18</v>
      </c>
      <c r="I276" s="1" t="s">
        <v>59</v>
      </c>
      <c r="J276" s="1">
        <v>77.0</v>
      </c>
      <c r="K276" s="1">
        <v>15.0</v>
      </c>
      <c r="L276" s="1">
        <v>47.0</v>
      </c>
    </row>
    <row r="277">
      <c r="A277" s="1">
        <v>1203067.0</v>
      </c>
      <c r="B277" s="1" t="s">
        <v>649</v>
      </c>
      <c r="C277" s="1" t="s">
        <v>218</v>
      </c>
      <c r="D277" s="1" t="s">
        <v>508</v>
      </c>
      <c r="E277" s="1" t="s">
        <v>650</v>
      </c>
      <c r="F277" s="1" t="s">
        <v>16</v>
      </c>
      <c r="G277" s="1" t="s">
        <v>23</v>
      </c>
      <c r="H277" s="1" t="s">
        <v>18</v>
      </c>
      <c r="I277" s="1" t="s">
        <v>65</v>
      </c>
      <c r="J277" s="1">
        <v>23.0</v>
      </c>
      <c r="K277" s="1">
        <v>9.0</v>
      </c>
      <c r="L277" s="1">
        <v>0.0</v>
      </c>
    </row>
    <row r="278">
      <c r="A278" s="1">
        <v>1276074.0</v>
      </c>
      <c r="B278" s="1" t="s">
        <v>651</v>
      </c>
      <c r="C278" s="1" t="s">
        <v>218</v>
      </c>
      <c r="D278" s="1" t="s">
        <v>268</v>
      </c>
      <c r="E278" s="1" t="s">
        <v>652</v>
      </c>
      <c r="F278" s="1" t="s">
        <v>16</v>
      </c>
      <c r="G278" s="1" t="s">
        <v>17</v>
      </c>
      <c r="H278" s="1" t="s">
        <v>18</v>
      </c>
      <c r="I278" s="1" t="s">
        <v>44</v>
      </c>
      <c r="J278" s="1">
        <v>118.0</v>
      </c>
      <c r="K278" s="1">
        <v>53.0</v>
      </c>
      <c r="L278" s="1">
        <v>117.0</v>
      </c>
    </row>
    <row r="279">
      <c r="A279" s="1">
        <v>1212174.0</v>
      </c>
      <c r="B279" s="1" t="s">
        <v>653</v>
      </c>
      <c r="C279" s="1" t="s">
        <v>218</v>
      </c>
      <c r="D279" s="1" t="s">
        <v>225</v>
      </c>
      <c r="E279" s="1" t="s">
        <v>654</v>
      </c>
      <c r="F279" s="1" t="s">
        <v>16</v>
      </c>
      <c r="G279" s="1" t="s">
        <v>23</v>
      </c>
      <c r="H279" s="1" t="s">
        <v>18</v>
      </c>
      <c r="I279" s="1" t="s">
        <v>59</v>
      </c>
      <c r="J279" s="1">
        <v>50.0</v>
      </c>
      <c r="K279" s="1">
        <v>15.0</v>
      </c>
      <c r="L279" s="1">
        <v>36.0</v>
      </c>
    </row>
    <row r="280">
      <c r="A280" s="1">
        <v>1208053.0</v>
      </c>
      <c r="B280" s="1" t="s">
        <v>655</v>
      </c>
      <c r="C280" s="1" t="s">
        <v>218</v>
      </c>
      <c r="D280" s="1" t="s">
        <v>228</v>
      </c>
      <c r="E280" s="1" t="s">
        <v>656</v>
      </c>
      <c r="F280" s="1" t="s">
        <v>16</v>
      </c>
      <c r="G280" s="1" t="s">
        <v>23</v>
      </c>
      <c r="H280" s="1" t="s">
        <v>18</v>
      </c>
      <c r="I280" s="1" t="s">
        <v>44</v>
      </c>
      <c r="J280" s="1">
        <v>65.0</v>
      </c>
      <c r="K280" s="1">
        <v>17.0</v>
      </c>
      <c r="L280" s="1">
        <v>46.0</v>
      </c>
    </row>
    <row r="281">
      <c r="A281" s="1">
        <v>1275999.0</v>
      </c>
      <c r="B281" s="1" t="s">
        <v>657</v>
      </c>
      <c r="C281" s="1" t="s">
        <v>218</v>
      </c>
      <c r="D281" s="1" t="s">
        <v>239</v>
      </c>
      <c r="E281" s="1" t="s">
        <v>658</v>
      </c>
      <c r="F281" s="1" t="s">
        <v>174</v>
      </c>
      <c r="G281" s="1" t="s">
        <v>17</v>
      </c>
      <c r="H281" s="1" t="s">
        <v>18</v>
      </c>
      <c r="I281" s="1" t="s">
        <v>59</v>
      </c>
      <c r="J281" s="1">
        <v>36.0</v>
      </c>
      <c r="K281" s="1">
        <v>19.0</v>
      </c>
      <c r="L281" s="1">
        <v>30.0</v>
      </c>
    </row>
    <row r="282">
      <c r="A282" s="1">
        <v>1218026.0</v>
      </c>
      <c r="B282" s="1" t="s">
        <v>659</v>
      </c>
      <c r="C282" s="1" t="s">
        <v>218</v>
      </c>
      <c r="D282" s="1" t="s">
        <v>344</v>
      </c>
      <c r="E282" s="1" t="s">
        <v>660</v>
      </c>
      <c r="F282" s="1" t="s">
        <v>16</v>
      </c>
      <c r="G282" s="1" t="s">
        <v>17</v>
      </c>
      <c r="H282" s="1" t="s">
        <v>18</v>
      </c>
      <c r="I282" s="1" t="s">
        <v>113</v>
      </c>
      <c r="J282" s="1">
        <v>100.0</v>
      </c>
      <c r="K282" s="1">
        <v>30.0</v>
      </c>
      <c r="L282" s="1">
        <v>190.0</v>
      </c>
    </row>
    <row r="283">
      <c r="A283" s="1">
        <v>1371400.0</v>
      </c>
      <c r="B283" s="1" t="s">
        <v>661</v>
      </c>
      <c r="C283" s="1" t="s">
        <v>662</v>
      </c>
      <c r="D283" s="1" t="s">
        <v>663</v>
      </c>
      <c r="E283" s="1" t="s">
        <v>664</v>
      </c>
      <c r="F283" s="1" t="s">
        <v>55</v>
      </c>
      <c r="G283" s="1" t="s">
        <v>17</v>
      </c>
      <c r="H283" s="1" t="s">
        <v>33</v>
      </c>
      <c r="I283" s="1" t="s">
        <v>59</v>
      </c>
      <c r="J283" s="1">
        <v>28.0</v>
      </c>
      <c r="K283" s="1">
        <v>12.0</v>
      </c>
      <c r="L283" s="1">
        <v>31.0</v>
      </c>
    </row>
    <row r="284">
      <c r="A284" s="1">
        <v>1376017.0</v>
      </c>
      <c r="B284" s="1" t="s">
        <v>665</v>
      </c>
      <c r="C284" s="1" t="s">
        <v>662</v>
      </c>
      <c r="D284" s="1" t="s">
        <v>666</v>
      </c>
      <c r="E284" s="1" t="s">
        <v>667</v>
      </c>
      <c r="F284" s="1" t="s">
        <v>55</v>
      </c>
      <c r="G284" s="1" t="s">
        <v>17</v>
      </c>
      <c r="H284" s="1" t="s">
        <v>18</v>
      </c>
      <c r="I284" s="1" t="s">
        <v>163</v>
      </c>
      <c r="J284" s="1">
        <v>43.0</v>
      </c>
      <c r="K284" s="1">
        <v>23.0</v>
      </c>
      <c r="L284" s="1">
        <v>97.0</v>
      </c>
    </row>
    <row r="285">
      <c r="A285" s="1">
        <v>1306015.0</v>
      </c>
      <c r="B285" s="1" t="s">
        <v>668</v>
      </c>
      <c r="C285" s="1" t="s">
        <v>662</v>
      </c>
      <c r="D285" s="1" t="s">
        <v>669</v>
      </c>
      <c r="E285" s="1" t="s">
        <v>670</v>
      </c>
      <c r="F285" s="1" t="s">
        <v>16</v>
      </c>
      <c r="G285" s="1" t="s">
        <v>27</v>
      </c>
      <c r="H285" s="1" t="s">
        <v>33</v>
      </c>
      <c r="I285" s="1" t="s">
        <v>139</v>
      </c>
      <c r="J285" s="1">
        <v>206.0</v>
      </c>
      <c r="K285" s="1">
        <v>81.0</v>
      </c>
      <c r="L285" s="1">
        <v>600.0</v>
      </c>
    </row>
    <row r="286">
      <c r="A286" s="1">
        <v>1305017.0</v>
      </c>
      <c r="B286" s="1" t="s">
        <v>671</v>
      </c>
      <c r="C286" s="1" t="s">
        <v>662</v>
      </c>
      <c r="D286" s="1" t="s">
        <v>672</v>
      </c>
      <c r="E286" s="1" t="s">
        <v>673</v>
      </c>
      <c r="F286" s="1" t="s">
        <v>16</v>
      </c>
      <c r="G286" s="1" t="s">
        <v>23</v>
      </c>
      <c r="H286" s="1" t="s">
        <v>18</v>
      </c>
      <c r="I286" s="1" t="s">
        <v>19</v>
      </c>
      <c r="J286" s="1">
        <v>51.0</v>
      </c>
      <c r="K286" s="1">
        <v>20.0</v>
      </c>
      <c r="L286" s="1">
        <v>74.0</v>
      </c>
    </row>
    <row r="287">
      <c r="A287" s="1">
        <v>1375025.0</v>
      </c>
      <c r="B287" s="1" t="s">
        <v>674</v>
      </c>
      <c r="C287" s="1" t="s">
        <v>662</v>
      </c>
      <c r="D287" s="1" t="s">
        <v>675</v>
      </c>
      <c r="E287" s="1" t="s">
        <v>676</v>
      </c>
      <c r="F287" s="1" t="s">
        <v>16</v>
      </c>
      <c r="G287" s="1" t="s">
        <v>23</v>
      </c>
      <c r="H287" s="1" t="s">
        <v>18</v>
      </c>
      <c r="I287" s="1" t="s">
        <v>74</v>
      </c>
      <c r="J287" s="1">
        <v>61.0</v>
      </c>
      <c r="K287" s="1">
        <v>32.0</v>
      </c>
      <c r="L287" s="1">
        <v>73.0</v>
      </c>
    </row>
    <row r="288">
      <c r="A288" s="1">
        <v>1371455.0</v>
      </c>
      <c r="B288" s="1" t="s">
        <v>677</v>
      </c>
      <c r="C288" s="1" t="s">
        <v>662</v>
      </c>
      <c r="D288" s="1" t="s">
        <v>663</v>
      </c>
      <c r="E288" s="1" t="s">
        <v>678</v>
      </c>
      <c r="F288" s="1" t="s">
        <v>55</v>
      </c>
      <c r="G288" s="1" t="s">
        <v>17</v>
      </c>
      <c r="H288" s="1" t="s">
        <v>18</v>
      </c>
      <c r="I288" s="1" t="s">
        <v>163</v>
      </c>
      <c r="J288" s="1">
        <v>45.0</v>
      </c>
      <c r="K288" s="1">
        <v>16.0</v>
      </c>
      <c r="L288" s="1">
        <v>73.0</v>
      </c>
    </row>
    <row r="289">
      <c r="A289" s="1">
        <v>1310011.0</v>
      </c>
      <c r="B289" s="1" t="s">
        <v>679</v>
      </c>
      <c r="C289" s="1" t="s">
        <v>662</v>
      </c>
      <c r="D289" s="1" t="s">
        <v>680</v>
      </c>
      <c r="E289" s="1" t="s">
        <v>681</v>
      </c>
      <c r="F289" s="1" t="s">
        <v>16</v>
      </c>
      <c r="G289" s="1" t="s">
        <v>23</v>
      </c>
      <c r="H289" s="1" t="s">
        <v>28</v>
      </c>
      <c r="I289" s="1" t="s">
        <v>40</v>
      </c>
      <c r="J289" s="1">
        <v>55.0</v>
      </c>
      <c r="K289" s="1">
        <v>46.0</v>
      </c>
      <c r="L289" s="1">
        <v>0.0</v>
      </c>
    </row>
    <row r="290">
      <c r="A290" s="1">
        <v>1371091.0</v>
      </c>
      <c r="B290" s="1" t="s">
        <v>682</v>
      </c>
      <c r="C290" s="1" t="s">
        <v>662</v>
      </c>
      <c r="D290" s="1" t="s">
        <v>663</v>
      </c>
      <c r="E290" s="1" t="s">
        <v>683</v>
      </c>
      <c r="F290" s="1" t="s">
        <v>16</v>
      </c>
      <c r="G290" s="1" t="s">
        <v>17</v>
      </c>
      <c r="H290" s="1" t="s">
        <v>18</v>
      </c>
      <c r="I290" s="1" t="s">
        <v>684</v>
      </c>
      <c r="J290" s="1">
        <v>100.0</v>
      </c>
      <c r="K290" s="1">
        <v>87.0</v>
      </c>
      <c r="L290" s="1">
        <v>273.0</v>
      </c>
    </row>
    <row r="291">
      <c r="A291" s="1">
        <v>1371422.0</v>
      </c>
      <c r="B291" s="1" t="s">
        <v>685</v>
      </c>
      <c r="C291" s="1" t="s">
        <v>662</v>
      </c>
      <c r="D291" s="1" t="s">
        <v>663</v>
      </c>
      <c r="E291" s="1" t="s">
        <v>686</v>
      </c>
      <c r="F291" s="1" t="s">
        <v>255</v>
      </c>
      <c r="G291" s="1" t="s">
        <v>17</v>
      </c>
      <c r="H291" s="1" t="s">
        <v>18</v>
      </c>
      <c r="I291" s="1" t="s">
        <v>59</v>
      </c>
      <c r="J291" s="1">
        <v>29.0</v>
      </c>
      <c r="K291" s="1">
        <v>26.0</v>
      </c>
      <c r="L291" s="1">
        <v>165.0</v>
      </c>
    </row>
    <row r="292">
      <c r="A292" s="1">
        <v>1308010.0</v>
      </c>
      <c r="B292" s="1" t="s">
        <v>687</v>
      </c>
      <c r="C292" s="1" t="s">
        <v>662</v>
      </c>
      <c r="D292" s="1" t="s">
        <v>688</v>
      </c>
      <c r="E292" s="1" t="s">
        <v>689</v>
      </c>
      <c r="F292" s="1" t="s">
        <v>16</v>
      </c>
      <c r="G292" s="1" t="s">
        <v>17</v>
      </c>
      <c r="H292" s="1" t="s">
        <v>28</v>
      </c>
      <c r="I292" s="1" t="s">
        <v>40</v>
      </c>
      <c r="J292" s="1">
        <v>100.0</v>
      </c>
      <c r="K292" s="1">
        <v>39.0</v>
      </c>
      <c r="L292" s="1">
        <v>366.0</v>
      </c>
    </row>
    <row r="293">
      <c r="A293" s="1">
        <v>1375040.0</v>
      </c>
      <c r="B293" s="1" t="s">
        <v>690</v>
      </c>
      <c r="C293" s="1" t="s">
        <v>662</v>
      </c>
      <c r="D293" s="1" t="s">
        <v>675</v>
      </c>
      <c r="E293" s="1" t="s">
        <v>691</v>
      </c>
      <c r="F293" s="1" t="s">
        <v>16</v>
      </c>
      <c r="G293" s="1" t="s">
        <v>17</v>
      </c>
      <c r="H293" s="1" t="s">
        <v>18</v>
      </c>
      <c r="I293" s="1" t="s">
        <v>684</v>
      </c>
      <c r="J293" s="1">
        <v>131.0</v>
      </c>
      <c r="K293" s="1">
        <v>57.0</v>
      </c>
      <c r="L293" s="1">
        <v>482.0</v>
      </c>
    </row>
    <row r="294">
      <c r="A294" s="1">
        <v>1372012.0</v>
      </c>
      <c r="B294" s="1" t="s">
        <v>692</v>
      </c>
      <c r="C294" s="1" t="s">
        <v>662</v>
      </c>
      <c r="D294" s="1" t="s">
        <v>693</v>
      </c>
      <c r="E294" s="1" t="s">
        <v>694</v>
      </c>
      <c r="F294" s="1" t="s">
        <v>16</v>
      </c>
      <c r="G294" s="1" t="s">
        <v>23</v>
      </c>
      <c r="H294" s="1" t="s">
        <v>18</v>
      </c>
      <c r="I294" s="1" t="s">
        <v>74</v>
      </c>
      <c r="J294" s="1">
        <v>97.0</v>
      </c>
      <c r="K294" s="1">
        <v>28.0</v>
      </c>
      <c r="L294" s="1">
        <v>165.0</v>
      </c>
    </row>
    <row r="295">
      <c r="A295" s="1">
        <v>1302011.0</v>
      </c>
      <c r="B295" s="1" t="s">
        <v>695</v>
      </c>
      <c r="C295" s="1" t="s">
        <v>662</v>
      </c>
      <c r="D295" s="1" t="s">
        <v>696</v>
      </c>
      <c r="E295" s="1" t="s">
        <v>697</v>
      </c>
      <c r="F295" s="1" t="s">
        <v>16</v>
      </c>
      <c r="G295" s="1" t="s">
        <v>17</v>
      </c>
      <c r="H295" s="1" t="s">
        <v>28</v>
      </c>
      <c r="I295" s="1" t="s">
        <v>40</v>
      </c>
      <c r="J295" s="1">
        <v>186.0</v>
      </c>
      <c r="K295" s="1">
        <v>63.0</v>
      </c>
      <c r="L295" s="1">
        <v>90.0</v>
      </c>
    </row>
    <row r="296">
      <c r="A296" s="1">
        <v>1376011.0</v>
      </c>
      <c r="B296" s="1" t="s">
        <v>698</v>
      </c>
      <c r="C296" s="1" t="s">
        <v>662</v>
      </c>
      <c r="D296" s="1" t="s">
        <v>666</v>
      </c>
      <c r="E296" s="1" t="s">
        <v>699</v>
      </c>
      <c r="F296" s="1" t="s">
        <v>16</v>
      </c>
      <c r="G296" s="1" t="s">
        <v>17</v>
      </c>
      <c r="H296" s="1" t="s">
        <v>18</v>
      </c>
      <c r="I296" s="1" t="s">
        <v>684</v>
      </c>
      <c r="J296" s="1">
        <v>100.0</v>
      </c>
      <c r="K296" s="1">
        <v>29.0</v>
      </c>
      <c r="L296" s="1">
        <v>223.0</v>
      </c>
    </row>
    <row r="297">
      <c r="A297" s="1">
        <v>1371123.0</v>
      </c>
      <c r="B297" s="1" t="s">
        <v>700</v>
      </c>
      <c r="C297" s="1" t="s">
        <v>662</v>
      </c>
      <c r="D297" s="1" t="s">
        <v>663</v>
      </c>
      <c r="E297" s="1" t="s">
        <v>701</v>
      </c>
      <c r="F297" s="1" t="s">
        <v>16</v>
      </c>
      <c r="G297" s="1" t="s">
        <v>17</v>
      </c>
      <c r="H297" s="1" t="s">
        <v>33</v>
      </c>
      <c r="I297" s="1" t="s">
        <v>65</v>
      </c>
      <c r="J297" s="1">
        <v>102.0</v>
      </c>
      <c r="K297" s="1">
        <v>32.0</v>
      </c>
      <c r="L297" s="1">
        <v>197.0</v>
      </c>
    </row>
    <row r="298">
      <c r="A298" s="1">
        <v>1372011.0</v>
      </c>
      <c r="B298" s="1" t="s">
        <v>702</v>
      </c>
      <c r="C298" s="1" t="s">
        <v>662</v>
      </c>
      <c r="D298" s="1" t="s">
        <v>693</v>
      </c>
      <c r="E298" s="1" t="s">
        <v>703</v>
      </c>
      <c r="F298" s="1" t="s">
        <v>16</v>
      </c>
      <c r="G298" s="1" t="s">
        <v>27</v>
      </c>
      <c r="H298" s="1" t="s">
        <v>28</v>
      </c>
      <c r="I298" s="1" t="s">
        <v>139</v>
      </c>
      <c r="J298" s="1">
        <v>251.0</v>
      </c>
      <c r="K298" s="1">
        <v>99.0</v>
      </c>
      <c r="L298" s="1">
        <v>513.0</v>
      </c>
    </row>
    <row r="299">
      <c r="A299" s="1">
        <v>1371446.0</v>
      </c>
      <c r="B299" s="1" t="s">
        <v>704</v>
      </c>
      <c r="C299" s="1" t="s">
        <v>662</v>
      </c>
      <c r="D299" s="1" t="s">
        <v>663</v>
      </c>
      <c r="E299" s="1" t="s">
        <v>705</v>
      </c>
      <c r="F299" s="1" t="s">
        <v>16</v>
      </c>
      <c r="G299" s="1" t="s">
        <v>17</v>
      </c>
      <c r="H299" s="1" t="s">
        <v>18</v>
      </c>
      <c r="I299" s="1" t="s">
        <v>163</v>
      </c>
      <c r="J299" s="1">
        <v>126.0</v>
      </c>
      <c r="K299" s="1">
        <v>112.0</v>
      </c>
      <c r="L299" s="1">
        <v>310.0</v>
      </c>
    </row>
    <row r="300">
      <c r="A300" s="1">
        <v>1372016.0</v>
      </c>
      <c r="B300" s="1" t="s">
        <v>706</v>
      </c>
      <c r="C300" s="1" t="s">
        <v>662</v>
      </c>
      <c r="D300" s="1" t="s">
        <v>693</v>
      </c>
      <c r="E300" s="1" t="s">
        <v>707</v>
      </c>
      <c r="F300" s="1" t="s">
        <v>16</v>
      </c>
      <c r="G300" s="1" t="s">
        <v>17</v>
      </c>
      <c r="H300" s="1" t="s">
        <v>18</v>
      </c>
      <c r="I300" s="1" t="s">
        <v>29</v>
      </c>
      <c r="J300" s="1">
        <v>139.0</v>
      </c>
      <c r="K300" s="1">
        <v>18.0</v>
      </c>
      <c r="L300" s="1">
        <v>30.0</v>
      </c>
    </row>
    <row r="301">
      <c r="A301" s="1">
        <v>1376016.0</v>
      </c>
      <c r="B301" s="1" t="s">
        <v>708</v>
      </c>
      <c r="C301" s="1" t="s">
        <v>662</v>
      </c>
      <c r="D301" s="1" t="s">
        <v>666</v>
      </c>
      <c r="E301" s="1" t="s">
        <v>709</v>
      </c>
      <c r="F301" s="1" t="s">
        <v>55</v>
      </c>
      <c r="G301" s="1" t="s">
        <v>17</v>
      </c>
      <c r="H301" s="1" t="s">
        <v>18</v>
      </c>
      <c r="I301" s="1" t="s">
        <v>44</v>
      </c>
      <c r="J301" s="1">
        <v>38.0</v>
      </c>
      <c r="K301" s="1">
        <v>15.0</v>
      </c>
      <c r="L301" s="1">
        <v>48.0</v>
      </c>
    </row>
    <row r="302">
      <c r="A302" s="1">
        <v>1309022.0</v>
      </c>
      <c r="B302" s="1" t="s">
        <v>682</v>
      </c>
      <c r="C302" s="1" t="s">
        <v>662</v>
      </c>
      <c r="D302" s="1" t="s">
        <v>710</v>
      </c>
      <c r="E302" s="1" t="s">
        <v>711</v>
      </c>
      <c r="F302" s="1" t="s">
        <v>16</v>
      </c>
      <c r="G302" s="1" t="s">
        <v>17</v>
      </c>
      <c r="H302" s="1" t="s">
        <v>18</v>
      </c>
      <c r="I302" s="1" t="s">
        <v>684</v>
      </c>
      <c r="J302" s="1">
        <v>110.0</v>
      </c>
      <c r="K302" s="1">
        <v>27.0</v>
      </c>
      <c r="L302" s="1">
        <v>265.0</v>
      </c>
    </row>
    <row r="303">
      <c r="A303" s="1">
        <v>1371466.0</v>
      </c>
      <c r="B303" s="1" t="s">
        <v>712</v>
      </c>
      <c r="C303" s="1" t="s">
        <v>662</v>
      </c>
      <c r="D303" s="1" t="s">
        <v>663</v>
      </c>
      <c r="E303" s="1" t="s">
        <v>713</v>
      </c>
      <c r="F303" s="1" t="s">
        <v>16</v>
      </c>
      <c r="G303" s="1" t="s">
        <v>17</v>
      </c>
      <c r="H303" s="1" t="s">
        <v>18</v>
      </c>
      <c r="I303" s="1" t="s">
        <v>19</v>
      </c>
      <c r="J303" s="1">
        <v>116.0</v>
      </c>
      <c r="K303" s="1">
        <v>81.0</v>
      </c>
      <c r="L303" s="1">
        <v>244.0</v>
      </c>
    </row>
    <row r="304">
      <c r="A304" s="1">
        <v>1303023.0</v>
      </c>
      <c r="B304" s="1" t="s">
        <v>714</v>
      </c>
      <c r="C304" s="1" t="s">
        <v>662</v>
      </c>
      <c r="D304" s="1" t="s">
        <v>715</v>
      </c>
      <c r="E304" s="1" t="s">
        <v>716</v>
      </c>
      <c r="F304" s="1" t="s">
        <v>16</v>
      </c>
      <c r="G304" s="1" t="s">
        <v>17</v>
      </c>
      <c r="H304" s="1" t="s">
        <v>18</v>
      </c>
      <c r="I304" s="1" t="s">
        <v>40</v>
      </c>
      <c r="J304" s="1">
        <v>101.0</v>
      </c>
      <c r="K304" s="1">
        <v>31.0</v>
      </c>
      <c r="L304" s="1">
        <v>359.0</v>
      </c>
    </row>
    <row r="305">
      <c r="A305" s="1">
        <v>1371251.0</v>
      </c>
      <c r="B305" s="1" t="s">
        <v>717</v>
      </c>
      <c r="C305" s="1" t="s">
        <v>662</v>
      </c>
      <c r="D305" s="1" t="s">
        <v>663</v>
      </c>
      <c r="E305" s="1" t="s">
        <v>718</v>
      </c>
      <c r="F305" s="1" t="s">
        <v>174</v>
      </c>
      <c r="G305" s="1" t="s">
        <v>17</v>
      </c>
      <c r="H305" s="1" t="s">
        <v>18</v>
      </c>
      <c r="I305" s="1" t="s">
        <v>59</v>
      </c>
      <c r="J305" s="1">
        <v>37.0</v>
      </c>
      <c r="K305" s="1">
        <v>24.0</v>
      </c>
      <c r="L305" s="1">
        <v>42.0</v>
      </c>
    </row>
    <row r="306">
      <c r="A306" s="1">
        <v>1374013.0</v>
      </c>
      <c r="B306" s="1" t="s">
        <v>719</v>
      </c>
      <c r="C306" s="1" t="s">
        <v>662</v>
      </c>
      <c r="D306" s="1" t="s">
        <v>720</v>
      </c>
      <c r="E306" s="1" t="s">
        <v>721</v>
      </c>
      <c r="F306" s="1" t="s">
        <v>16</v>
      </c>
      <c r="G306" s="1" t="s">
        <v>17</v>
      </c>
      <c r="H306" s="1" t="s">
        <v>28</v>
      </c>
      <c r="I306" s="1" t="s">
        <v>29</v>
      </c>
      <c r="J306" s="1">
        <v>162.0</v>
      </c>
      <c r="K306" s="1">
        <v>93.0</v>
      </c>
      <c r="L306" s="1">
        <v>494.0</v>
      </c>
    </row>
    <row r="307">
      <c r="A307" s="1">
        <v>1305016.0</v>
      </c>
      <c r="B307" s="1" t="s">
        <v>722</v>
      </c>
      <c r="C307" s="1" t="s">
        <v>662</v>
      </c>
      <c r="D307" s="1" t="s">
        <v>672</v>
      </c>
      <c r="E307" s="1" t="s">
        <v>723</v>
      </c>
      <c r="F307" s="1" t="s">
        <v>55</v>
      </c>
      <c r="G307" s="1" t="s">
        <v>17</v>
      </c>
      <c r="H307" s="1" t="s">
        <v>18</v>
      </c>
      <c r="I307" s="1" t="s">
        <v>44</v>
      </c>
      <c r="J307" s="1">
        <v>62.0</v>
      </c>
      <c r="K307" s="1">
        <v>19.0</v>
      </c>
      <c r="L307" s="1">
        <v>55.0</v>
      </c>
    </row>
    <row r="308">
      <c r="A308" s="1">
        <v>1377008.0</v>
      </c>
      <c r="B308" s="1" t="s">
        <v>724</v>
      </c>
      <c r="C308" s="1" t="s">
        <v>662</v>
      </c>
      <c r="D308" s="1" t="s">
        <v>669</v>
      </c>
      <c r="E308" s="1" t="s">
        <v>725</v>
      </c>
      <c r="F308" s="1" t="s">
        <v>55</v>
      </c>
      <c r="G308" s="1" t="s">
        <v>17</v>
      </c>
      <c r="H308" s="1" t="s">
        <v>18</v>
      </c>
      <c r="I308" s="1" t="s">
        <v>19</v>
      </c>
      <c r="J308" s="1">
        <v>32.0</v>
      </c>
      <c r="K308" s="1">
        <v>16.0</v>
      </c>
      <c r="L308" s="1">
        <v>37.0</v>
      </c>
    </row>
    <row r="309">
      <c r="A309" s="1">
        <v>1309024.0</v>
      </c>
      <c r="B309" s="1" t="s">
        <v>726</v>
      </c>
      <c r="C309" s="1" t="s">
        <v>662</v>
      </c>
      <c r="D309" s="1" t="s">
        <v>727</v>
      </c>
      <c r="E309" s="1" t="s">
        <v>728</v>
      </c>
      <c r="F309" s="1" t="s">
        <v>16</v>
      </c>
      <c r="G309" s="1" t="s">
        <v>23</v>
      </c>
      <c r="H309" s="1" t="s">
        <v>28</v>
      </c>
      <c r="I309" s="1" t="s">
        <v>40</v>
      </c>
      <c r="J309" s="1">
        <v>55.0</v>
      </c>
      <c r="K309" s="1">
        <v>28.0</v>
      </c>
      <c r="L309" s="1">
        <v>42.0</v>
      </c>
    </row>
    <row r="310">
      <c r="A310" s="1">
        <v>1371010.0</v>
      </c>
      <c r="B310" s="1" t="s">
        <v>729</v>
      </c>
      <c r="C310" s="1" t="s">
        <v>662</v>
      </c>
      <c r="D310" s="1" t="s">
        <v>663</v>
      </c>
      <c r="E310" s="1" t="s">
        <v>730</v>
      </c>
      <c r="F310" s="1" t="s">
        <v>16</v>
      </c>
      <c r="G310" s="1" t="s">
        <v>150</v>
      </c>
      <c r="H310" s="1" t="s">
        <v>33</v>
      </c>
      <c r="I310" s="1" t="s">
        <v>411</v>
      </c>
      <c r="J310" s="1">
        <v>800.0</v>
      </c>
      <c r="K310" s="1">
        <v>81.0</v>
      </c>
      <c r="L310" s="1">
        <v>2152.0</v>
      </c>
    </row>
    <row r="311">
      <c r="A311" s="1">
        <v>1309023.0</v>
      </c>
      <c r="B311" s="1" t="s">
        <v>731</v>
      </c>
      <c r="C311" s="1" t="s">
        <v>662</v>
      </c>
      <c r="D311" s="1" t="s">
        <v>727</v>
      </c>
      <c r="E311" s="1" t="s">
        <v>732</v>
      </c>
      <c r="F311" s="1" t="s">
        <v>16</v>
      </c>
      <c r="G311" s="1" t="s">
        <v>23</v>
      </c>
      <c r="H311" s="1" t="s">
        <v>18</v>
      </c>
      <c r="I311" s="1" t="s">
        <v>19</v>
      </c>
      <c r="J311" s="1">
        <v>67.0</v>
      </c>
      <c r="K311" s="1">
        <v>28.0</v>
      </c>
      <c r="L311" s="1">
        <v>87.0</v>
      </c>
    </row>
    <row r="312">
      <c r="A312" s="1">
        <v>1371316.0</v>
      </c>
      <c r="B312" s="1" t="s">
        <v>733</v>
      </c>
      <c r="C312" s="1" t="s">
        <v>662</v>
      </c>
      <c r="D312" s="1" t="s">
        <v>663</v>
      </c>
      <c r="E312" s="1" t="s">
        <v>734</v>
      </c>
      <c r="F312" s="1" t="s">
        <v>174</v>
      </c>
      <c r="G312" s="1" t="s">
        <v>150</v>
      </c>
      <c r="H312" s="1" t="s">
        <v>28</v>
      </c>
      <c r="I312" s="1" t="s">
        <v>139</v>
      </c>
      <c r="J312" s="1">
        <v>268.0</v>
      </c>
      <c r="K312" s="1">
        <v>43.0</v>
      </c>
      <c r="L312" s="1">
        <v>321.0</v>
      </c>
    </row>
    <row r="313">
      <c r="A313" s="1">
        <v>1375051.0</v>
      </c>
      <c r="B313" s="1" t="s">
        <v>735</v>
      </c>
      <c r="C313" s="1" t="s">
        <v>662</v>
      </c>
      <c r="D313" s="1" t="s">
        <v>675</v>
      </c>
      <c r="E313" s="1" t="s">
        <v>736</v>
      </c>
      <c r="F313" s="1" t="s">
        <v>16</v>
      </c>
      <c r="G313" s="1" t="s">
        <v>23</v>
      </c>
      <c r="H313" s="1" t="s">
        <v>18</v>
      </c>
      <c r="I313" s="1" t="s">
        <v>684</v>
      </c>
      <c r="J313" s="1">
        <v>61.0</v>
      </c>
      <c r="K313" s="1">
        <v>27.0</v>
      </c>
      <c r="L313" s="1">
        <v>229.0</v>
      </c>
    </row>
    <row r="314">
      <c r="A314" s="1">
        <v>1304031.0</v>
      </c>
      <c r="B314" s="1" t="s">
        <v>737</v>
      </c>
      <c r="C314" s="1" t="s">
        <v>662</v>
      </c>
      <c r="D314" s="1" t="s">
        <v>738</v>
      </c>
      <c r="E314" s="1" t="s">
        <v>739</v>
      </c>
      <c r="F314" s="1" t="s">
        <v>16</v>
      </c>
      <c r="G314" s="1" t="s">
        <v>98</v>
      </c>
      <c r="H314" s="1" t="s">
        <v>28</v>
      </c>
      <c r="I314" s="1" t="s">
        <v>40</v>
      </c>
      <c r="J314" s="1">
        <v>50.0</v>
      </c>
      <c r="K314" s="1">
        <v>19.0</v>
      </c>
      <c r="L314" s="1">
        <v>0.0</v>
      </c>
    </row>
    <row r="315">
      <c r="A315" s="1">
        <v>1377003.0</v>
      </c>
      <c r="B315" s="1" t="s">
        <v>740</v>
      </c>
      <c r="C315" s="1" t="s">
        <v>662</v>
      </c>
      <c r="D315" s="1" t="s">
        <v>669</v>
      </c>
      <c r="E315" s="1" t="s">
        <v>741</v>
      </c>
      <c r="F315" s="1" t="s">
        <v>16</v>
      </c>
      <c r="G315" s="1" t="s">
        <v>23</v>
      </c>
      <c r="H315" s="1" t="s">
        <v>18</v>
      </c>
      <c r="I315" s="1" t="s">
        <v>59</v>
      </c>
      <c r="J315" s="1">
        <v>100.0</v>
      </c>
      <c r="K315" s="1">
        <v>27.0</v>
      </c>
      <c r="L315" s="1">
        <v>128.0</v>
      </c>
    </row>
    <row r="316">
      <c r="A316" s="1">
        <v>1305014.0</v>
      </c>
      <c r="B316" s="1" t="s">
        <v>742</v>
      </c>
      <c r="C316" s="1" t="s">
        <v>662</v>
      </c>
      <c r="D316" s="1" t="s">
        <v>672</v>
      </c>
      <c r="E316" s="1" t="s">
        <v>743</v>
      </c>
      <c r="F316" s="1" t="s">
        <v>16</v>
      </c>
      <c r="G316" s="1" t="s">
        <v>17</v>
      </c>
      <c r="H316" s="1" t="s">
        <v>28</v>
      </c>
      <c r="I316" s="1" t="s">
        <v>40</v>
      </c>
      <c r="J316" s="1">
        <v>176.0</v>
      </c>
      <c r="K316" s="1">
        <v>39.0</v>
      </c>
      <c r="L316" s="1">
        <v>450.0</v>
      </c>
    </row>
    <row r="317">
      <c r="A317" s="1">
        <v>1312025.0</v>
      </c>
      <c r="B317" s="1" t="s">
        <v>744</v>
      </c>
      <c r="C317" s="1" t="s">
        <v>662</v>
      </c>
      <c r="D317" s="1" t="s">
        <v>710</v>
      </c>
      <c r="E317" s="1" t="s">
        <v>745</v>
      </c>
      <c r="F317" s="1" t="s">
        <v>55</v>
      </c>
      <c r="G317" s="1" t="s">
        <v>17</v>
      </c>
      <c r="H317" s="1" t="s">
        <v>18</v>
      </c>
      <c r="I317" s="1" t="s">
        <v>163</v>
      </c>
      <c r="J317" s="1">
        <v>26.0</v>
      </c>
      <c r="K317" s="1">
        <v>21.0</v>
      </c>
      <c r="L317" s="1">
        <v>45.0</v>
      </c>
    </row>
    <row r="318">
      <c r="A318" s="1">
        <v>1375014.0</v>
      </c>
      <c r="B318" s="1" t="s">
        <v>746</v>
      </c>
      <c r="C318" s="1" t="s">
        <v>662</v>
      </c>
      <c r="D318" s="1" t="s">
        <v>675</v>
      </c>
      <c r="E318" s="1" t="s">
        <v>747</v>
      </c>
      <c r="F318" s="1" t="s">
        <v>16</v>
      </c>
      <c r="G318" s="1" t="s">
        <v>27</v>
      </c>
      <c r="H318" s="1" t="s">
        <v>28</v>
      </c>
      <c r="I318" s="1" t="s">
        <v>139</v>
      </c>
      <c r="J318" s="1">
        <v>311.0</v>
      </c>
      <c r="K318" s="1">
        <v>107.0</v>
      </c>
      <c r="L318" s="1">
        <v>583.0</v>
      </c>
    </row>
    <row r="319">
      <c r="A319" s="1">
        <v>1371454.0</v>
      </c>
      <c r="B319" s="1" t="s">
        <v>748</v>
      </c>
      <c r="C319" s="1" t="s">
        <v>662</v>
      </c>
      <c r="D319" s="1" t="s">
        <v>663</v>
      </c>
      <c r="E319" s="1" t="s">
        <v>749</v>
      </c>
      <c r="F319" s="1" t="s">
        <v>32</v>
      </c>
      <c r="G319" s="1" t="s">
        <v>27</v>
      </c>
      <c r="H319" s="1" t="s">
        <v>18</v>
      </c>
      <c r="I319" s="1" t="s">
        <v>684</v>
      </c>
      <c r="J319" s="1">
        <v>12.0</v>
      </c>
      <c r="K319" s="1">
        <v>9.0</v>
      </c>
      <c r="L319" s="1">
        <v>37.0</v>
      </c>
    </row>
    <row r="320">
      <c r="A320" s="1">
        <v>1372013.0</v>
      </c>
      <c r="B320" s="1" t="s">
        <v>750</v>
      </c>
      <c r="C320" s="1" t="s">
        <v>662</v>
      </c>
      <c r="D320" s="1" t="s">
        <v>693</v>
      </c>
      <c r="E320" s="1" t="s">
        <v>751</v>
      </c>
      <c r="F320" s="1" t="s">
        <v>55</v>
      </c>
      <c r="G320" s="1" t="s">
        <v>17</v>
      </c>
      <c r="H320" s="1" t="s">
        <v>18</v>
      </c>
      <c r="I320" s="1" t="s">
        <v>44</v>
      </c>
      <c r="J320" s="1">
        <v>59.0</v>
      </c>
      <c r="K320" s="1">
        <v>20.0</v>
      </c>
      <c r="L320" s="1">
        <v>85.0</v>
      </c>
    </row>
    <row r="321">
      <c r="A321" s="1">
        <v>1371464.0</v>
      </c>
      <c r="B321" s="1" t="s">
        <v>752</v>
      </c>
      <c r="C321" s="1" t="s">
        <v>662</v>
      </c>
      <c r="D321" s="1" t="s">
        <v>663</v>
      </c>
      <c r="E321" s="1" t="s">
        <v>753</v>
      </c>
      <c r="F321" s="1" t="s">
        <v>16</v>
      </c>
      <c r="G321" s="1" t="s">
        <v>27</v>
      </c>
      <c r="H321" s="1" t="s">
        <v>18</v>
      </c>
      <c r="I321" s="1" t="s">
        <v>34</v>
      </c>
      <c r="J321" s="1">
        <v>202.0</v>
      </c>
      <c r="K321" s="1">
        <v>63.0</v>
      </c>
      <c r="L321" s="1">
        <v>390.0</v>
      </c>
    </row>
    <row r="322">
      <c r="A322" s="1">
        <v>1371032.0</v>
      </c>
      <c r="B322" s="1" t="s">
        <v>754</v>
      </c>
      <c r="C322" s="1" t="s">
        <v>662</v>
      </c>
      <c r="D322" s="1" t="s">
        <v>663</v>
      </c>
      <c r="E322" s="1" t="s">
        <v>755</v>
      </c>
      <c r="F322" s="1" t="s">
        <v>16</v>
      </c>
      <c r="G322" s="1" t="s">
        <v>17</v>
      </c>
      <c r="H322" s="1" t="s">
        <v>18</v>
      </c>
      <c r="I322" s="1" t="s">
        <v>249</v>
      </c>
      <c r="J322" s="1">
        <v>151.0</v>
      </c>
      <c r="K322" s="1">
        <v>47.0</v>
      </c>
      <c r="L322" s="1">
        <v>459.0</v>
      </c>
    </row>
    <row r="323">
      <c r="A323" s="1">
        <v>1302015.0</v>
      </c>
      <c r="B323" s="1" t="s">
        <v>756</v>
      </c>
      <c r="C323" s="1" t="s">
        <v>662</v>
      </c>
      <c r="D323" s="1" t="s">
        <v>696</v>
      </c>
      <c r="E323" s="1" t="s">
        <v>757</v>
      </c>
      <c r="F323" s="1" t="s">
        <v>55</v>
      </c>
      <c r="G323" s="1" t="s">
        <v>17</v>
      </c>
      <c r="H323" s="1" t="s">
        <v>18</v>
      </c>
      <c r="I323" s="1" t="s">
        <v>19</v>
      </c>
      <c r="J323" s="1">
        <v>30.0</v>
      </c>
      <c r="K323" s="1">
        <v>20.0</v>
      </c>
      <c r="L323" s="1">
        <v>1.0</v>
      </c>
    </row>
    <row r="324">
      <c r="A324" s="1">
        <v>1371451.0</v>
      </c>
      <c r="B324" s="1" t="s">
        <v>758</v>
      </c>
      <c r="C324" s="1" t="s">
        <v>662</v>
      </c>
      <c r="D324" s="1" t="s">
        <v>663</v>
      </c>
      <c r="E324" s="1" t="s">
        <v>759</v>
      </c>
      <c r="F324" s="1" t="s">
        <v>55</v>
      </c>
      <c r="G324" s="1" t="s">
        <v>17</v>
      </c>
      <c r="H324" s="1" t="s">
        <v>18</v>
      </c>
      <c r="I324" s="1" t="s">
        <v>19</v>
      </c>
      <c r="J324" s="1">
        <v>32.0</v>
      </c>
      <c r="K324" s="1">
        <v>26.0</v>
      </c>
      <c r="L324" s="1">
        <v>136.0</v>
      </c>
    </row>
    <row r="325">
      <c r="A325" s="1">
        <v>1371460.0</v>
      </c>
      <c r="B325" s="1" t="s">
        <v>760</v>
      </c>
      <c r="C325" s="1" t="s">
        <v>662</v>
      </c>
      <c r="D325" s="1" t="s">
        <v>663</v>
      </c>
      <c r="E325" s="1" t="s">
        <v>761</v>
      </c>
      <c r="F325" s="1" t="s">
        <v>55</v>
      </c>
      <c r="G325" s="1" t="s">
        <v>17</v>
      </c>
      <c r="H325" s="1" t="s">
        <v>18</v>
      </c>
      <c r="I325" s="1" t="s">
        <v>44</v>
      </c>
      <c r="J325" s="1">
        <v>27.0</v>
      </c>
      <c r="K325" s="1">
        <v>14.0</v>
      </c>
      <c r="L325" s="1">
        <v>40.0</v>
      </c>
    </row>
    <row r="326">
      <c r="A326" s="1">
        <v>1308016.0</v>
      </c>
      <c r="B326" s="1" t="s">
        <v>762</v>
      </c>
      <c r="C326" s="1" t="s">
        <v>662</v>
      </c>
      <c r="D326" s="1" t="s">
        <v>763</v>
      </c>
      <c r="E326" s="1" t="s">
        <v>764</v>
      </c>
      <c r="F326" s="1" t="s">
        <v>16</v>
      </c>
      <c r="G326" s="1" t="s">
        <v>17</v>
      </c>
      <c r="H326" s="1" t="s">
        <v>28</v>
      </c>
      <c r="I326" s="1" t="s">
        <v>40</v>
      </c>
      <c r="J326" s="1">
        <v>144.0</v>
      </c>
      <c r="K326" s="1">
        <v>45.0</v>
      </c>
      <c r="L326" s="1">
        <v>371.0</v>
      </c>
    </row>
    <row r="327">
      <c r="A327" s="1">
        <v>1311002.0</v>
      </c>
      <c r="B327" s="1" t="s">
        <v>765</v>
      </c>
      <c r="C327" s="1" t="s">
        <v>662</v>
      </c>
      <c r="D327" s="1" t="s">
        <v>766</v>
      </c>
      <c r="E327" s="1" t="s">
        <v>767</v>
      </c>
      <c r="F327" s="1" t="s">
        <v>16</v>
      </c>
      <c r="G327" s="1" t="s">
        <v>23</v>
      </c>
      <c r="H327" s="1" t="s">
        <v>28</v>
      </c>
      <c r="I327" s="1" t="s">
        <v>40</v>
      </c>
      <c r="J327" s="1">
        <v>63.0</v>
      </c>
      <c r="K327" s="1">
        <v>12.0</v>
      </c>
      <c r="L327" s="1">
        <v>96.0</v>
      </c>
    </row>
    <row r="328">
      <c r="A328" s="1">
        <v>1375036.0</v>
      </c>
      <c r="B328" s="1" t="s">
        <v>768</v>
      </c>
      <c r="C328" s="1" t="s">
        <v>662</v>
      </c>
      <c r="D328" s="1" t="s">
        <v>675</v>
      </c>
      <c r="E328" s="1" t="s">
        <v>769</v>
      </c>
      <c r="F328" s="1" t="s">
        <v>770</v>
      </c>
      <c r="G328" s="1" t="s">
        <v>150</v>
      </c>
      <c r="H328" s="1" t="s">
        <v>33</v>
      </c>
      <c r="I328" s="1" t="s">
        <v>411</v>
      </c>
      <c r="J328" s="1">
        <v>151.0</v>
      </c>
      <c r="K328" s="1">
        <v>27.0</v>
      </c>
      <c r="L328" s="1">
        <v>660.0</v>
      </c>
    </row>
    <row r="329">
      <c r="A329" s="1">
        <v>1371456.0</v>
      </c>
      <c r="B329" s="1" t="s">
        <v>771</v>
      </c>
      <c r="C329" s="1" t="s">
        <v>662</v>
      </c>
      <c r="D329" s="1" t="s">
        <v>663</v>
      </c>
      <c r="E329" s="1" t="s">
        <v>772</v>
      </c>
      <c r="F329" s="1" t="s">
        <v>16</v>
      </c>
      <c r="G329" s="1" t="s">
        <v>17</v>
      </c>
      <c r="H329" s="1" t="s">
        <v>18</v>
      </c>
      <c r="I329" s="1" t="s">
        <v>684</v>
      </c>
      <c r="J329" s="1">
        <v>133.0</v>
      </c>
      <c r="K329" s="1">
        <v>61.0</v>
      </c>
      <c r="L329" s="1">
        <v>353.0</v>
      </c>
    </row>
    <row r="330">
      <c r="A330" s="1">
        <v>1305015.0</v>
      </c>
      <c r="B330" s="1" t="s">
        <v>773</v>
      </c>
      <c r="C330" s="1" t="s">
        <v>662</v>
      </c>
      <c r="D330" s="1" t="s">
        <v>672</v>
      </c>
      <c r="E330" s="1" t="s">
        <v>774</v>
      </c>
      <c r="F330" s="1" t="s">
        <v>55</v>
      </c>
      <c r="G330" s="1" t="s">
        <v>17</v>
      </c>
      <c r="H330" s="1" t="s">
        <v>18</v>
      </c>
      <c r="I330" s="1" t="s">
        <v>19</v>
      </c>
      <c r="J330" s="1">
        <v>32.0</v>
      </c>
      <c r="K330" s="1">
        <v>19.0</v>
      </c>
      <c r="L330" s="1">
        <v>71.0</v>
      </c>
    </row>
    <row r="331">
      <c r="A331" s="1">
        <v>1377007.0</v>
      </c>
      <c r="B331" s="1" t="s">
        <v>775</v>
      </c>
      <c r="C331" s="1" t="s">
        <v>662</v>
      </c>
      <c r="D331" s="1" t="s">
        <v>669</v>
      </c>
      <c r="E331" s="1" t="s">
        <v>776</v>
      </c>
      <c r="F331" s="1" t="s">
        <v>16</v>
      </c>
      <c r="G331" s="1" t="s">
        <v>23</v>
      </c>
      <c r="H331" s="1" t="s">
        <v>28</v>
      </c>
      <c r="I331" s="1" t="s">
        <v>29</v>
      </c>
      <c r="J331" s="1">
        <v>74.0</v>
      </c>
      <c r="K331" s="1">
        <v>25.0</v>
      </c>
      <c r="L331" s="1">
        <v>176.0</v>
      </c>
    </row>
    <row r="332">
      <c r="A332" s="1">
        <v>1301010.0</v>
      </c>
      <c r="B332" s="1" t="s">
        <v>777</v>
      </c>
      <c r="C332" s="1" t="s">
        <v>662</v>
      </c>
      <c r="D332" s="1" t="s">
        <v>778</v>
      </c>
      <c r="E332" s="1" t="s">
        <v>779</v>
      </c>
      <c r="F332" s="1" t="s">
        <v>16</v>
      </c>
      <c r="G332" s="1" t="s">
        <v>23</v>
      </c>
      <c r="H332" s="1" t="s">
        <v>18</v>
      </c>
      <c r="I332" s="1" t="s">
        <v>40</v>
      </c>
      <c r="J332" s="1">
        <v>51.0</v>
      </c>
      <c r="K332" s="1">
        <v>28.0</v>
      </c>
      <c r="L332" s="1">
        <v>70.0</v>
      </c>
    </row>
    <row r="333">
      <c r="A333" s="1">
        <v>1371462.0</v>
      </c>
      <c r="B333" s="1" t="s">
        <v>780</v>
      </c>
      <c r="C333" s="1" t="s">
        <v>662</v>
      </c>
      <c r="D333" s="1" t="s">
        <v>663</v>
      </c>
      <c r="E333" s="1" t="s">
        <v>781</v>
      </c>
      <c r="F333" s="1" t="s">
        <v>16</v>
      </c>
      <c r="G333" s="1" t="s">
        <v>17</v>
      </c>
      <c r="H333" s="1" t="s">
        <v>18</v>
      </c>
      <c r="I333" s="1" t="s">
        <v>19</v>
      </c>
      <c r="J333" s="1">
        <v>100.0</v>
      </c>
      <c r="K333" s="1">
        <v>39.0</v>
      </c>
      <c r="L333" s="1">
        <v>134.0</v>
      </c>
    </row>
    <row r="334">
      <c r="A334" s="1">
        <v>1371112.0</v>
      </c>
      <c r="B334" s="1" t="s">
        <v>782</v>
      </c>
      <c r="C334" s="1" t="s">
        <v>662</v>
      </c>
      <c r="D334" s="1" t="s">
        <v>663</v>
      </c>
      <c r="E334" s="1" t="s">
        <v>783</v>
      </c>
      <c r="F334" s="1" t="s">
        <v>16</v>
      </c>
      <c r="G334" s="1" t="s">
        <v>17</v>
      </c>
      <c r="H334" s="1" t="s">
        <v>18</v>
      </c>
      <c r="I334" s="1" t="s">
        <v>59</v>
      </c>
      <c r="J334" s="1">
        <v>100.0</v>
      </c>
      <c r="K334" s="1">
        <v>34.0</v>
      </c>
      <c r="L334" s="1">
        <v>144.0</v>
      </c>
    </row>
    <row r="335">
      <c r="A335" s="1">
        <v>1371444.0</v>
      </c>
      <c r="B335" s="1" t="s">
        <v>784</v>
      </c>
      <c r="C335" s="1" t="s">
        <v>662</v>
      </c>
      <c r="D335" s="1" t="s">
        <v>663</v>
      </c>
      <c r="E335" s="1" t="s">
        <v>785</v>
      </c>
      <c r="F335" s="1" t="s">
        <v>16</v>
      </c>
      <c r="G335" s="1" t="s">
        <v>17</v>
      </c>
      <c r="H335" s="1" t="s">
        <v>28</v>
      </c>
      <c r="I335" s="1" t="s">
        <v>29</v>
      </c>
      <c r="J335" s="1">
        <v>111.0</v>
      </c>
      <c r="K335" s="1">
        <v>4.0</v>
      </c>
      <c r="L335" s="1">
        <v>372.0</v>
      </c>
    </row>
    <row r="336">
      <c r="A336" s="1">
        <v>1372014.0</v>
      </c>
      <c r="B336" s="1" t="s">
        <v>786</v>
      </c>
      <c r="C336" s="1" t="s">
        <v>662</v>
      </c>
      <c r="D336" s="1" t="s">
        <v>693</v>
      </c>
      <c r="E336" s="1" t="s">
        <v>787</v>
      </c>
      <c r="F336" s="1" t="s">
        <v>55</v>
      </c>
      <c r="G336" s="1" t="s">
        <v>17</v>
      </c>
      <c r="H336" s="1" t="s">
        <v>18</v>
      </c>
      <c r="I336" s="1" t="s">
        <v>19</v>
      </c>
      <c r="J336" s="1">
        <v>42.0</v>
      </c>
      <c r="K336" s="1">
        <v>13.0</v>
      </c>
      <c r="L336" s="1">
        <v>0.0</v>
      </c>
    </row>
    <row r="337">
      <c r="A337" s="1">
        <v>1304017.0</v>
      </c>
      <c r="B337" s="1" t="s">
        <v>788</v>
      </c>
      <c r="C337" s="1" t="s">
        <v>662</v>
      </c>
      <c r="D337" s="1" t="s">
        <v>738</v>
      </c>
      <c r="E337" s="1" t="s">
        <v>789</v>
      </c>
      <c r="F337" s="1" t="s">
        <v>55</v>
      </c>
      <c r="G337" s="1" t="s">
        <v>17</v>
      </c>
      <c r="H337" s="1" t="s">
        <v>18</v>
      </c>
      <c r="I337" s="1" t="s">
        <v>163</v>
      </c>
      <c r="J337" s="1">
        <v>27.0</v>
      </c>
      <c r="K337" s="1">
        <v>8.0</v>
      </c>
      <c r="L337" s="1">
        <v>40.0</v>
      </c>
    </row>
    <row r="338">
      <c r="A338" s="1">
        <v>1371463.0</v>
      </c>
      <c r="B338" s="1" t="s">
        <v>790</v>
      </c>
      <c r="C338" s="1" t="s">
        <v>662</v>
      </c>
      <c r="D338" s="1" t="s">
        <v>663</v>
      </c>
      <c r="E338" s="1" t="s">
        <v>791</v>
      </c>
      <c r="F338" s="1" t="s">
        <v>255</v>
      </c>
      <c r="G338" s="1" t="s">
        <v>17</v>
      </c>
      <c r="H338" s="1" t="s">
        <v>18</v>
      </c>
      <c r="I338" s="1" t="s">
        <v>19</v>
      </c>
      <c r="J338" s="1">
        <v>25.0</v>
      </c>
      <c r="K338" s="1">
        <v>16.0</v>
      </c>
      <c r="L338" s="1">
        <v>53.0</v>
      </c>
    </row>
    <row r="339">
      <c r="A339" s="1">
        <v>1309011.0</v>
      </c>
      <c r="B339" s="1" t="s">
        <v>792</v>
      </c>
      <c r="C339" s="1" t="s">
        <v>662</v>
      </c>
      <c r="D339" s="1" t="s">
        <v>727</v>
      </c>
      <c r="E339" s="1" t="s">
        <v>793</v>
      </c>
      <c r="F339" s="1" t="s">
        <v>16</v>
      </c>
      <c r="G339" s="1" t="s">
        <v>17</v>
      </c>
      <c r="H339" s="1" t="s">
        <v>28</v>
      </c>
      <c r="I339" s="1" t="s">
        <v>40</v>
      </c>
      <c r="J339" s="1">
        <v>184.0</v>
      </c>
      <c r="K339" s="1">
        <v>101.0</v>
      </c>
      <c r="L339" s="1">
        <v>322.0</v>
      </c>
    </row>
    <row r="340">
      <c r="A340" s="1">
        <v>1371465.0</v>
      </c>
      <c r="B340" s="1" t="s">
        <v>794</v>
      </c>
      <c r="C340" s="1" t="s">
        <v>662</v>
      </c>
      <c r="D340" s="1" t="s">
        <v>663</v>
      </c>
      <c r="E340" s="1" t="s">
        <v>795</v>
      </c>
      <c r="F340" s="1" t="s">
        <v>55</v>
      </c>
      <c r="G340" s="1" t="s">
        <v>17</v>
      </c>
      <c r="H340" s="1" t="s">
        <v>18</v>
      </c>
      <c r="I340" s="1" t="s">
        <v>19</v>
      </c>
      <c r="J340" s="1">
        <v>29.0</v>
      </c>
      <c r="K340" s="1">
        <v>15.0</v>
      </c>
      <c r="L340" s="1">
        <v>126.0</v>
      </c>
    </row>
    <row r="341">
      <c r="A341" s="1">
        <v>1376015.0</v>
      </c>
      <c r="B341" s="1" t="s">
        <v>796</v>
      </c>
      <c r="C341" s="1" t="s">
        <v>662</v>
      </c>
      <c r="D341" s="1" t="s">
        <v>666</v>
      </c>
      <c r="E341" s="1" t="s">
        <v>797</v>
      </c>
      <c r="F341" s="1" t="s">
        <v>16</v>
      </c>
      <c r="G341" s="1" t="s">
        <v>17</v>
      </c>
      <c r="H341" s="1" t="s">
        <v>28</v>
      </c>
      <c r="I341" s="1" t="s">
        <v>29</v>
      </c>
      <c r="J341" s="1">
        <v>179.0</v>
      </c>
      <c r="K341" s="1">
        <v>71.0</v>
      </c>
      <c r="L341" s="1">
        <v>596.0</v>
      </c>
    </row>
    <row r="342">
      <c r="A342" s="1">
        <v>1303012.0</v>
      </c>
      <c r="B342" s="1" t="s">
        <v>798</v>
      </c>
      <c r="C342" s="1" t="s">
        <v>662</v>
      </c>
      <c r="D342" s="1" t="s">
        <v>680</v>
      </c>
      <c r="E342" s="1" t="s">
        <v>799</v>
      </c>
      <c r="F342" s="1" t="s">
        <v>16</v>
      </c>
      <c r="G342" s="1" t="s">
        <v>17</v>
      </c>
      <c r="H342" s="1" t="s">
        <v>28</v>
      </c>
      <c r="I342" s="1" t="s">
        <v>40</v>
      </c>
      <c r="J342" s="1">
        <v>112.0</v>
      </c>
      <c r="K342" s="1">
        <v>44.0</v>
      </c>
      <c r="L342" s="1">
        <v>275.0</v>
      </c>
    </row>
    <row r="343">
      <c r="A343" s="1">
        <v>1371478.0</v>
      </c>
      <c r="B343" s="1" t="s">
        <v>800</v>
      </c>
      <c r="C343" s="1" t="s">
        <v>662</v>
      </c>
      <c r="D343" s="1" t="s">
        <v>663</v>
      </c>
      <c r="E343" s="1" t="s">
        <v>801</v>
      </c>
      <c r="F343" s="1" t="s">
        <v>32</v>
      </c>
      <c r="G343" s="1" t="s">
        <v>27</v>
      </c>
      <c r="H343" s="1" t="s">
        <v>18</v>
      </c>
      <c r="I343" s="1" t="s">
        <v>34</v>
      </c>
      <c r="J343" s="1">
        <v>14.0</v>
      </c>
      <c r="K343" s="1">
        <v>21.0</v>
      </c>
      <c r="L343" s="1">
        <v>0.0</v>
      </c>
    </row>
    <row r="344">
      <c r="A344" s="1">
        <v>1371459.0</v>
      </c>
      <c r="B344" s="1" t="s">
        <v>802</v>
      </c>
      <c r="C344" s="1" t="s">
        <v>662</v>
      </c>
      <c r="D344" s="1" t="s">
        <v>663</v>
      </c>
      <c r="E344" s="1" t="s">
        <v>803</v>
      </c>
      <c r="F344" s="1" t="s">
        <v>272</v>
      </c>
      <c r="G344" s="1" t="s">
        <v>17</v>
      </c>
      <c r="H344" s="1" t="s">
        <v>18</v>
      </c>
      <c r="I344" s="1" t="s">
        <v>44</v>
      </c>
      <c r="J344" s="1">
        <v>16.0</v>
      </c>
      <c r="K344" s="1">
        <v>16.0</v>
      </c>
      <c r="L344" s="1">
        <v>86.0</v>
      </c>
    </row>
    <row r="345">
      <c r="A345" s="1">
        <v>1306057.0</v>
      </c>
      <c r="B345" s="1" t="s">
        <v>804</v>
      </c>
      <c r="C345" s="1" t="s">
        <v>662</v>
      </c>
      <c r="D345" s="1" t="s">
        <v>805</v>
      </c>
      <c r="E345" s="1" t="s">
        <v>806</v>
      </c>
      <c r="F345" s="1" t="s">
        <v>473</v>
      </c>
      <c r="G345" s="1" t="s">
        <v>27</v>
      </c>
      <c r="H345" s="1" t="s">
        <v>18</v>
      </c>
      <c r="I345" s="1" t="s">
        <v>139</v>
      </c>
      <c r="J345" s="1">
        <v>76.0</v>
      </c>
      <c r="K345" s="1">
        <v>51.0</v>
      </c>
      <c r="L345" s="1">
        <v>116.0</v>
      </c>
    </row>
    <row r="346">
      <c r="A346" s="1">
        <v>1373012.0</v>
      </c>
      <c r="B346" s="1" t="s">
        <v>807</v>
      </c>
      <c r="C346" s="1" t="s">
        <v>662</v>
      </c>
      <c r="D346" s="1" t="s">
        <v>808</v>
      </c>
      <c r="E346" s="1" t="s">
        <v>809</v>
      </c>
      <c r="F346" s="1" t="s">
        <v>16</v>
      </c>
      <c r="G346" s="1" t="s">
        <v>17</v>
      </c>
      <c r="H346" s="1" t="s">
        <v>28</v>
      </c>
      <c r="I346" s="1" t="s">
        <v>29</v>
      </c>
      <c r="J346" s="1">
        <v>104.0</v>
      </c>
      <c r="K346" s="1">
        <v>33.0</v>
      </c>
      <c r="L346" s="1">
        <v>488.0</v>
      </c>
    </row>
    <row r="347">
      <c r="A347" s="1">
        <v>1371457.0</v>
      </c>
      <c r="B347" s="1" t="s">
        <v>810</v>
      </c>
      <c r="C347" s="1" t="s">
        <v>662</v>
      </c>
      <c r="D347" s="1" t="s">
        <v>663</v>
      </c>
      <c r="E347" s="1" t="s">
        <v>811</v>
      </c>
      <c r="F347" s="1" t="s">
        <v>272</v>
      </c>
      <c r="G347" s="1" t="s">
        <v>17</v>
      </c>
      <c r="H347" s="1" t="s">
        <v>18</v>
      </c>
      <c r="I347" s="1" t="s">
        <v>19</v>
      </c>
      <c r="J347" s="1">
        <v>23.0</v>
      </c>
      <c r="K347" s="1">
        <v>15.0</v>
      </c>
      <c r="L347" s="1">
        <v>110.0</v>
      </c>
    </row>
    <row r="348">
      <c r="A348" s="1">
        <v>1312036.0</v>
      </c>
      <c r="B348" s="1" t="s">
        <v>812</v>
      </c>
      <c r="C348" s="1" t="s">
        <v>662</v>
      </c>
      <c r="D348" s="1" t="s">
        <v>710</v>
      </c>
      <c r="E348" s="1" t="s">
        <v>813</v>
      </c>
      <c r="F348" s="1" t="s">
        <v>16</v>
      </c>
      <c r="G348" s="1" t="s">
        <v>98</v>
      </c>
      <c r="H348" s="1" t="s">
        <v>18</v>
      </c>
      <c r="I348" s="1" t="s">
        <v>40</v>
      </c>
      <c r="J348" s="1">
        <v>16.0</v>
      </c>
      <c r="K348" s="1">
        <v>10.0</v>
      </c>
      <c r="L348" s="1">
        <v>0.0</v>
      </c>
    </row>
    <row r="349">
      <c r="A349" s="1">
        <v>1312024.0</v>
      </c>
      <c r="B349" s="1" t="s">
        <v>814</v>
      </c>
      <c r="C349" s="1" t="s">
        <v>662</v>
      </c>
      <c r="D349" s="1" t="s">
        <v>710</v>
      </c>
      <c r="E349" s="1" t="s">
        <v>815</v>
      </c>
      <c r="F349" s="1" t="s">
        <v>16</v>
      </c>
      <c r="G349" s="1" t="s">
        <v>17</v>
      </c>
      <c r="H349" s="1" t="s">
        <v>28</v>
      </c>
      <c r="I349" s="1" t="s">
        <v>40</v>
      </c>
      <c r="J349" s="1">
        <v>156.0</v>
      </c>
      <c r="K349" s="1">
        <v>75.0</v>
      </c>
      <c r="L349" s="1">
        <v>394.0</v>
      </c>
    </row>
    <row r="350">
      <c r="A350" s="1">
        <v>1306056.0</v>
      </c>
      <c r="B350" s="1" t="s">
        <v>816</v>
      </c>
      <c r="C350" s="1" t="s">
        <v>662</v>
      </c>
      <c r="D350" s="1" t="s">
        <v>805</v>
      </c>
      <c r="E350" s="1" t="s">
        <v>817</v>
      </c>
      <c r="F350" s="1" t="s">
        <v>16</v>
      </c>
      <c r="G350" s="1" t="s">
        <v>17</v>
      </c>
      <c r="H350" s="1" t="s">
        <v>28</v>
      </c>
      <c r="I350" s="1" t="s">
        <v>40</v>
      </c>
      <c r="J350" s="1">
        <v>181.0</v>
      </c>
      <c r="K350" s="1">
        <v>42.0</v>
      </c>
      <c r="L350" s="1">
        <v>269.0</v>
      </c>
    </row>
    <row r="351">
      <c r="A351" s="1">
        <v>1307017.0</v>
      </c>
      <c r="B351" s="1" t="s">
        <v>818</v>
      </c>
      <c r="C351" s="1" t="s">
        <v>662</v>
      </c>
      <c r="D351" s="1" t="s">
        <v>763</v>
      </c>
      <c r="E351" s="1" t="s">
        <v>819</v>
      </c>
      <c r="F351" s="1" t="s">
        <v>55</v>
      </c>
      <c r="G351" s="1" t="s">
        <v>17</v>
      </c>
      <c r="H351" s="1" t="s">
        <v>18</v>
      </c>
      <c r="I351" s="1" t="s">
        <v>163</v>
      </c>
      <c r="J351" s="1">
        <v>40.0</v>
      </c>
      <c r="K351" s="1">
        <v>21.0</v>
      </c>
      <c r="L351" s="1">
        <v>110.0</v>
      </c>
    </row>
    <row r="352">
      <c r="A352" s="1">
        <v>1377005.0</v>
      </c>
      <c r="B352" s="1" t="s">
        <v>820</v>
      </c>
      <c r="C352" s="1" t="s">
        <v>662</v>
      </c>
      <c r="D352" s="1" t="s">
        <v>669</v>
      </c>
      <c r="E352" s="1" t="s">
        <v>821</v>
      </c>
      <c r="F352" s="1" t="s">
        <v>16</v>
      </c>
      <c r="G352" s="1" t="s">
        <v>23</v>
      </c>
      <c r="H352" s="1" t="s">
        <v>18</v>
      </c>
      <c r="I352" s="1" t="s">
        <v>19</v>
      </c>
      <c r="J352" s="1">
        <v>68.0</v>
      </c>
      <c r="K352" s="1">
        <v>26.0</v>
      </c>
      <c r="L352" s="1">
        <v>101.0</v>
      </c>
    </row>
    <row r="353">
      <c r="A353" s="1">
        <v>1302013.0</v>
      </c>
      <c r="B353" s="1" t="s">
        <v>822</v>
      </c>
      <c r="C353" s="1" t="s">
        <v>662</v>
      </c>
      <c r="D353" s="1" t="s">
        <v>696</v>
      </c>
      <c r="E353" s="1" t="s">
        <v>823</v>
      </c>
      <c r="F353" s="1" t="s">
        <v>16</v>
      </c>
      <c r="G353" s="1" t="s">
        <v>23</v>
      </c>
      <c r="H353" s="1" t="s">
        <v>18</v>
      </c>
      <c r="I353" s="1" t="s">
        <v>40</v>
      </c>
      <c r="J353" s="1">
        <v>62.0</v>
      </c>
      <c r="K353" s="1">
        <v>18.0</v>
      </c>
      <c r="L353" s="1">
        <v>247.0</v>
      </c>
    </row>
    <row r="354">
      <c r="A354" s="1">
        <v>1311013.0</v>
      </c>
      <c r="B354" s="1" t="s">
        <v>824</v>
      </c>
      <c r="C354" s="1" t="s">
        <v>662</v>
      </c>
      <c r="D354" s="1" t="s">
        <v>766</v>
      </c>
      <c r="E354" s="1" t="s">
        <v>825</v>
      </c>
      <c r="F354" s="1" t="s">
        <v>16</v>
      </c>
      <c r="G354" s="1" t="s">
        <v>17</v>
      </c>
      <c r="H354" s="1" t="s">
        <v>28</v>
      </c>
      <c r="I354" s="1" t="s">
        <v>40</v>
      </c>
      <c r="J354" s="1">
        <v>166.0</v>
      </c>
      <c r="K354" s="1">
        <v>72.0</v>
      </c>
      <c r="L354" s="1">
        <v>541.0</v>
      </c>
    </row>
    <row r="355">
      <c r="A355" s="1">
        <v>1371305.0</v>
      </c>
      <c r="B355" s="1" t="s">
        <v>826</v>
      </c>
      <c r="C355" s="1" t="s">
        <v>662</v>
      </c>
      <c r="D355" s="1" t="s">
        <v>663</v>
      </c>
      <c r="E355" s="1" t="s">
        <v>827</v>
      </c>
      <c r="F355" s="1" t="s">
        <v>16</v>
      </c>
      <c r="G355" s="1" t="s">
        <v>17</v>
      </c>
      <c r="H355" s="1" t="s">
        <v>18</v>
      </c>
      <c r="I355" s="1" t="s">
        <v>19</v>
      </c>
      <c r="J355" s="1">
        <v>144.0</v>
      </c>
      <c r="K355" s="1">
        <v>115.0</v>
      </c>
      <c r="L355" s="1">
        <v>535.0</v>
      </c>
    </row>
    <row r="356">
      <c r="A356" s="1">
        <v>1374024.0</v>
      </c>
      <c r="B356" s="1" t="s">
        <v>828</v>
      </c>
      <c r="C356" s="1" t="s">
        <v>662</v>
      </c>
      <c r="D356" s="1" t="s">
        <v>720</v>
      </c>
      <c r="E356" s="1" t="s">
        <v>829</v>
      </c>
      <c r="F356" s="1" t="s">
        <v>16</v>
      </c>
      <c r="G356" s="1" t="s">
        <v>23</v>
      </c>
      <c r="H356" s="1" t="s">
        <v>18</v>
      </c>
      <c r="I356" s="1" t="s">
        <v>684</v>
      </c>
      <c r="J356" s="1">
        <v>50.0</v>
      </c>
      <c r="K356" s="1">
        <v>31.0</v>
      </c>
      <c r="L356" s="1">
        <v>153.0</v>
      </c>
    </row>
    <row r="357">
      <c r="A357" s="1">
        <v>1304014.0</v>
      </c>
      <c r="B357" s="1" t="s">
        <v>830</v>
      </c>
      <c r="C357" s="1" t="s">
        <v>662</v>
      </c>
      <c r="D357" s="1" t="s">
        <v>738</v>
      </c>
      <c r="E357" s="1" t="s">
        <v>831</v>
      </c>
      <c r="F357" s="1" t="s">
        <v>16</v>
      </c>
      <c r="G357" s="1" t="s">
        <v>17</v>
      </c>
      <c r="H357" s="1" t="s">
        <v>28</v>
      </c>
      <c r="I357" s="1" t="s">
        <v>40</v>
      </c>
      <c r="J357" s="1">
        <v>130.0</v>
      </c>
      <c r="K357" s="1">
        <v>35.0</v>
      </c>
      <c r="L357" s="1">
        <v>384.0</v>
      </c>
    </row>
    <row r="358">
      <c r="A358" s="1">
        <v>1302012.0</v>
      </c>
      <c r="B358" s="1" t="s">
        <v>832</v>
      </c>
      <c r="C358" s="1" t="s">
        <v>662</v>
      </c>
      <c r="D358" s="1" t="s">
        <v>696</v>
      </c>
      <c r="E358" s="1" t="s">
        <v>833</v>
      </c>
      <c r="F358" s="1" t="s">
        <v>16</v>
      </c>
      <c r="G358" s="1" t="s">
        <v>17</v>
      </c>
      <c r="H358" s="1" t="s">
        <v>18</v>
      </c>
      <c r="I358" s="1" t="s">
        <v>44</v>
      </c>
      <c r="J358" s="1">
        <v>130.0</v>
      </c>
      <c r="K358" s="1">
        <v>30.0</v>
      </c>
      <c r="L358" s="1">
        <v>258.0</v>
      </c>
    </row>
    <row r="359">
      <c r="A359" s="1">
        <v>1371021.0</v>
      </c>
      <c r="B359" s="1" t="s">
        <v>834</v>
      </c>
      <c r="C359" s="1" t="s">
        <v>662</v>
      </c>
      <c r="D359" s="1" t="s">
        <v>663</v>
      </c>
      <c r="E359" s="1" t="s">
        <v>835</v>
      </c>
      <c r="F359" s="1" t="s">
        <v>16</v>
      </c>
      <c r="G359" s="1" t="s">
        <v>17</v>
      </c>
      <c r="H359" s="1" t="s">
        <v>18</v>
      </c>
      <c r="I359" s="1" t="s">
        <v>74</v>
      </c>
      <c r="J359" s="1">
        <v>251.0</v>
      </c>
      <c r="K359" s="1">
        <v>52.0</v>
      </c>
      <c r="L359" s="1">
        <v>568.0</v>
      </c>
    </row>
    <row r="360">
      <c r="A360" s="1">
        <v>1375053.0</v>
      </c>
      <c r="B360" s="1" t="s">
        <v>836</v>
      </c>
      <c r="C360" s="1" t="s">
        <v>662</v>
      </c>
      <c r="D360" s="1" t="s">
        <v>675</v>
      </c>
      <c r="E360" s="1" t="s">
        <v>837</v>
      </c>
      <c r="F360" s="1" t="s">
        <v>16</v>
      </c>
      <c r="G360" s="1" t="s">
        <v>17</v>
      </c>
      <c r="H360" s="1" t="s">
        <v>28</v>
      </c>
      <c r="I360" s="1" t="s">
        <v>29</v>
      </c>
      <c r="J360" s="1">
        <v>100.0</v>
      </c>
      <c r="K360" s="1">
        <v>82.0</v>
      </c>
      <c r="L360" s="1">
        <v>215.0</v>
      </c>
    </row>
    <row r="361">
      <c r="A361" s="1">
        <v>1404014.0</v>
      </c>
      <c r="B361" s="1" t="s">
        <v>838</v>
      </c>
      <c r="C361" s="1" t="s">
        <v>839</v>
      </c>
      <c r="D361" s="1" t="s">
        <v>840</v>
      </c>
      <c r="E361" s="1" t="s">
        <v>841</v>
      </c>
      <c r="F361" s="1" t="s">
        <v>16</v>
      </c>
      <c r="G361" s="1" t="s">
        <v>17</v>
      </c>
      <c r="H361" s="1" t="s">
        <v>28</v>
      </c>
      <c r="I361" s="1" t="s">
        <v>40</v>
      </c>
      <c r="J361" s="1">
        <v>130.0</v>
      </c>
      <c r="K361" s="1">
        <v>33.0</v>
      </c>
      <c r="L361" s="1">
        <v>436.0</v>
      </c>
    </row>
    <row r="362">
      <c r="A362" s="1">
        <v>1471079.0</v>
      </c>
      <c r="B362" s="1" t="s">
        <v>842</v>
      </c>
      <c r="C362" s="1" t="s">
        <v>839</v>
      </c>
      <c r="D362" s="1" t="s">
        <v>843</v>
      </c>
      <c r="E362" s="1" t="s">
        <v>844</v>
      </c>
      <c r="F362" s="1" t="s">
        <v>16</v>
      </c>
      <c r="G362" s="1" t="s">
        <v>17</v>
      </c>
      <c r="H362" s="1" t="s">
        <v>18</v>
      </c>
      <c r="I362" s="1" t="s">
        <v>19</v>
      </c>
      <c r="J362" s="1">
        <v>180.0</v>
      </c>
      <c r="K362" s="1">
        <v>95.0</v>
      </c>
      <c r="L362" s="1">
        <v>483.0</v>
      </c>
    </row>
    <row r="363">
      <c r="A363" s="1">
        <v>1401012.0</v>
      </c>
      <c r="B363" s="1" t="s">
        <v>845</v>
      </c>
      <c r="C363" s="1" t="s">
        <v>839</v>
      </c>
      <c r="D363" s="1" t="s">
        <v>846</v>
      </c>
      <c r="E363" s="1" t="s">
        <v>847</v>
      </c>
      <c r="F363" s="1" t="s">
        <v>55</v>
      </c>
      <c r="G363" s="1" t="s">
        <v>17</v>
      </c>
      <c r="H363" s="1" t="s">
        <v>18</v>
      </c>
      <c r="I363" s="1" t="s">
        <v>19</v>
      </c>
      <c r="J363" s="1">
        <v>64.0</v>
      </c>
      <c r="K363" s="1">
        <v>26.0</v>
      </c>
      <c r="L363" s="1">
        <v>55.0</v>
      </c>
    </row>
    <row r="364">
      <c r="A364" s="1">
        <v>1471150.0</v>
      </c>
      <c r="B364" s="1" t="s">
        <v>848</v>
      </c>
      <c r="C364" s="1" t="s">
        <v>839</v>
      </c>
      <c r="D364" s="1" t="s">
        <v>843</v>
      </c>
      <c r="E364" s="1" t="s">
        <v>849</v>
      </c>
      <c r="F364" s="1" t="s">
        <v>16</v>
      </c>
      <c r="G364" s="1" t="s">
        <v>17</v>
      </c>
      <c r="H364" s="1" t="s">
        <v>18</v>
      </c>
      <c r="I364" s="1" t="s">
        <v>59</v>
      </c>
      <c r="J364" s="1">
        <v>123.0</v>
      </c>
      <c r="K364" s="1">
        <v>54.0</v>
      </c>
      <c r="L364" s="1">
        <v>197.0</v>
      </c>
    </row>
    <row r="365">
      <c r="A365" s="1">
        <v>1471387.0</v>
      </c>
      <c r="B365" s="1" t="s">
        <v>850</v>
      </c>
      <c r="C365" s="1" t="s">
        <v>839</v>
      </c>
      <c r="D365" s="1" t="s">
        <v>843</v>
      </c>
      <c r="E365" s="1" t="s">
        <v>851</v>
      </c>
      <c r="F365" s="1" t="s">
        <v>55</v>
      </c>
      <c r="G365" s="1" t="s">
        <v>17</v>
      </c>
      <c r="H365" s="1" t="s">
        <v>18</v>
      </c>
      <c r="I365" s="1" t="s">
        <v>44</v>
      </c>
      <c r="J365" s="1">
        <v>74.0</v>
      </c>
      <c r="K365" s="1">
        <v>23.0</v>
      </c>
      <c r="L365" s="1">
        <v>205.0</v>
      </c>
    </row>
    <row r="366">
      <c r="A366" s="1">
        <v>1408055.0</v>
      </c>
      <c r="B366" s="1" t="s">
        <v>852</v>
      </c>
      <c r="C366" s="1" t="s">
        <v>839</v>
      </c>
      <c r="D366" s="1" t="s">
        <v>853</v>
      </c>
      <c r="E366" s="1" t="s">
        <v>854</v>
      </c>
      <c r="F366" s="1" t="s">
        <v>16</v>
      </c>
      <c r="G366" s="1" t="s">
        <v>23</v>
      </c>
      <c r="H366" s="1" t="s">
        <v>18</v>
      </c>
      <c r="I366" s="1" t="s">
        <v>19</v>
      </c>
      <c r="J366" s="1">
        <v>85.0</v>
      </c>
      <c r="K366" s="1">
        <v>34.0</v>
      </c>
      <c r="L366" s="1">
        <v>132.0</v>
      </c>
    </row>
    <row r="367">
      <c r="A367" s="1">
        <v>1473024.0</v>
      </c>
      <c r="B367" s="1" t="s">
        <v>855</v>
      </c>
      <c r="C367" s="1" t="s">
        <v>839</v>
      </c>
      <c r="D367" s="1" t="s">
        <v>856</v>
      </c>
      <c r="E367" s="1" t="s">
        <v>857</v>
      </c>
      <c r="F367" s="1" t="s">
        <v>16</v>
      </c>
      <c r="G367" s="1" t="s">
        <v>23</v>
      </c>
      <c r="H367" s="1" t="s">
        <v>18</v>
      </c>
      <c r="I367" s="1" t="s">
        <v>113</v>
      </c>
      <c r="J367" s="1">
        <v>77.0</v>
      </c>
      <c r="K367" s="1">
        <v>15.0</v>
      </c>
      <c r="L367" s="1">
        <v>79.0</v>
      </c>
    </row>
    <row r="368">
      <c r="A368" s="1">
        <v>1403024.0</v>
      </c>
      <c r="B368" s="1" t="s">
        <v>858</v>
      </c>
      <c r="C368" s="1" t="s">
        <v>839</v>
      </c>
      <c r="D368" s="1" t="s">
        <v>859</v>
      </c>
      <c r="E368" s="1" t="s">
        <v>860</v>
      </c>
      <c r="F368" s="1" t="s">
        <v>16</v>
      </c>
      <c r="G368" s="1" t="s">
        <v>23</v>
      </c>
      <c r="H368" s="1" t="s">
        <v>28</v>
      </c>
      <c r="I368" s="1" t="s">
        <v>40</v>
      </c>
      <c r="J368" s="1">
        <v>50.0</v>
      </c>
      <c r="K368" s="1">
        <v>22.0</v>
      </c>
      <c r="L368" s="1">
        <v>176.0</v>
      </c>
    </row>
    <row r="369">
      <c r="A369" s="1">
        <v>1406016.0</v>
      </c>
      <c r="B369" s="1" t="s">
        <v>861</v>
      </c>
      <c r="C369" s="1" t="s">
        <v>839</v>
      </c>
      <c r="D369" s="1" t="s">
        <v>862</v>
      </c>
      <c r="E369" s="1" t="s">
        <v>863</v>
      </c>
      <c r="F369" s="1" t="s">
        <v>16</v>
      </c>
      <c r="G369" s="1" t="s">
        <v>17</v>
      </c>
      <c r="H369" s="1" t="s">
        <v>28</v>
      </c>
      <c r="I369" s="1" t="s">
        <v>40</v>
      </c>
      <c r="J369" s="1">
        <v>119.0</v>
      </c>
      <c r="K369" s="1">
        <v>47.0</v>
      </c>
      <c r="L369" s="1">
        <v>292.0</v>
      </c>
    </row>
    <row r="370">
      <c r="A370" s="1">
        <v>1406043.0</v>
      </c>
      <c r="B370" s="1" t="s">
        <v>864</v>
      </c>
      <c r="C370" s="1" t="s">
        <v>839</v>
      </c>
      <c r="D370" s="1" t="s">
        <v>862</v>
      </c>
      <c r="E370" s="1" t="s">
        <v>865</v>
      </c>
      <c r="F370" s="1" t="s">
        <v>16</v>
      </c>
      <c r="G370" s="1" t="s">
        <v>23</v>
      </c>
      <c r="H370" s="1" t="s">
        <v>18</v>
      </c>
      <c r="I370" s="1" t="s">
        <v>44</v>
      </c>
      <c r="J370" s="1">
        <v>79.0</v>
      </c>
      <c r="K370" s="1">
        <v>21.0</v>
      </c>
      <c r="L370" s="1">
        <v>78.0</v>
      </c>
    </row>
    <row r="371">
      <c r="A371" s="1">
        <v>1403048.0</v>
      </c>
      <c r="B371" s="1" t="s">
        <v>866</v>
      </c>
      <c r="C371" s="1" t="s">
        <v>839</v>
      </c>
      <c r="D371" s="1" t="s">
        <v>859</v>
      </c>
      <c r="E371" s="1" t="s">
        <v>867</v>
      </c>
      <c r="F371" s="1" t="s">
        <v>55</v>
      </c>
      <c r="G371" s="1" t="s">
        <v>17</v>
      </c>
      <c r="H371" s="1" t="s">
        <v>18</v>
      </c>
      <c r="I371" s="1" t="s">
        <v>19</v>
      </c>
      <c r="J371" s="1">
        <v>12.0</v>
      </c>
      <c r="K371" s="1">
        <v>16.0</v>
      </c>
      <c r="L371" s="1">
        <v>0.0</v>
      </c>
    </row>
    <row r="372">
      <c r="A372" s="1">
        <v>1471215.0</v>
      </c>
      <c r="B372" s="1" t="s">
        <v>868</v>
      </c>
      <c r="C372" s="1" t="s">
        <v>839</v>
      </c>
      <c r="D372" s="1" t="s">
        <v>843</v>
      </c>
      <c r="E372" s="1" t="s">
        <v>869</v>
      </c>
      <c r="F372" s="1" t="s">
        <v>16</v>
      </c>
      <c r="G372" s="1" t="s">
        <v>17</v>
      </c>
      <c r="H372" s="1" t="s">
        <v>18</v>
      </c>
      <c r="I372" s="1" t="s">
        <v>563</v>
      </c>
      <c r="J372" s="1">
        <v>50.0</v>
      </c>
      <c r="K372" s="1">
        <v>21.0</v>
      </c>
      <c r="L372" s="1">
        <v>76.0</v>
      </c>
    </row>
    <row r="373">
      <c r="A373" s="1">
        <v>1409033.0</v>
      </c>
      <c r="B373" s="1" t="s">
        <v>870</v>
      </c>
      <c r="C373" s="1" t="s">
        <v>839</v>
      </c>
      <c r="D373" s="1" t="s">
        <v>871</v>
      </c>
      <c r="E373" s="1" t="s">
        <v>872</v>
      </c>
      <c r="F373" s="1" t="s">
        <v>16</v>
      </c>
      <c r="G373" s="1" t="s">
        <v>17</v>
      </c>
      <c r="H373" s="1" t="s">
        <v>18</v>
      </c>
      <c r="I373" s="1" t="s">
        <v>19</v>
      </c>
      <c r="J373" s="1">
        <v>119.0</v>
      </c>
      <c r="K373" s="1">
        <v>27.0</v>
      </c>
      <c r="L373" s="1">
        <v>0.0</v>
      </c>
    </row>
    <row r="374">
      <c r="A374" s="1">
        <v>1402013.0</v>
      </c>
      <c r="B374" s="1" t="s">
        <v>873</v>
      </c>
      <c r="C374" s="1" t="s">
        <v>839</v>
      </c>
      <c r="D374" s="1" t="s">
        <v>874</v>
      </c>
      <c r="E374" s="1" t="s">
        <v>875</v>
      </c>
      <c r="F374" s="1" t="s">
        <v>16</v>
      </c>
      <c r="G374" s="1" t="s">
        <v>23</v>
      </c>
      <c r="H374" s="1" t="s">
        <v>18</v>
      </c>
      <c r="I374" s="1" t="s">
        <v>44</v>
      </c>
      <c r="J374" s="1">
        <v>64.0</v>
      </c>
      <c r="K374" s="1">
        <v>23.0</v>
      </c>
      <c r="L374" s="1">
        <v>85.0</v>
      </c>
    </row>
    <row r="375">
      <c r="A375" s="1">
        <v>1407016.0</v>
      </c>
      <c r="B375" s="1" t="s">
        <v>876</v>
      </c>
      <c r="C375" s="1" t="s">
        <v>839</v>
      </c>
      <c r="D375" s="1" t="s">
        <v>877</v>
      </c>
      <c r="E375" s="1" t="s">
        <v>878</v>
      </c>
      <c r="F375" s="1" t="s">
        <v>55</v>
      </c>
      <c r="G375" s="1" t="s">
        <v>17</v>
      </c>
      <c r="H375" s="1" t="s">
        <v>18</v>
      </c>
      <c r="I375" s="1" t="s">
        <v>163</v>
      </c>
      <c r="J375" s="1">
        <v>24.0</v>
      </c>
      <c r="K375" s="1">
        <v>20.0</v>
      </c>
      <c r="L375" s="1">
        <v>103.0</v>
      </c>
    </row>
    <row r="376">
      <c r="A376" s="1">
        <v>1406057.0</v>
      </c>
      <c r="B376" s="1" t="s">
        <v>879</v>
      </c>
      <c r="C376" s="1" t="s">
        <v>839</v>
      </c>
      <c r="D376" s="1" t="s">
        <v>862</v>
      </c>
      <c r="E376" s="1" t="s">
        <v>880</v>
      </c>
      <c r="F376" s="1" t="s">
        <v>16</v>
      </c>
      <c r="G376" s="1" t="s">
        <v>17</v>
      </c>
      <c r="H376" s="1" t="s">
        <v>18</v>
      </c>
      <c r="I376" s="1" t="s">
        <v>19</v>
      </c>
      <c r="J376" s="1">
        <v>100.0</v>
      </c>
      <c r="K376" s="1">
        <v>24.0</v>
      </c>
      <c r="L376" s="1">
        <v>0.0</v>
      </c>
    </row>
    <row r="377">
      <c r="A377" s="1">
        <v>1471022.0</v>
      </c>
      <c r="B377" s="1" t="s">
        <v>881</v>
      </c>
      <c r="C377" s="1" t="s">
        <v>839</v>
      </c>
      <c r="D377" s="1" t="s">
        <v>843</v>
      </c>
      <c r="E377" s="1" t="s">
        <v>882</v>
      </c>
      <c r="F377" s="1" t="s">
        <v>16</v>
      </c>
      <c r="G377" s="1" t="s">
        <v>23</v>
      </c>
      <c r="H377" s="1" t="s">
        <v>18</v>
      </c>
      <c r="I377" s="1" t="s">
        <v>74</v>
      </c>
      <c r="J377" s="1">
        <v>57.0</v>
      </c>
      <c r="K377" s="1">
        <v>30.0</v>
      </c>
      <c r="L377" s="1">
        <v>54.0</v>
      </c>
    </row>
    <row r="378">
      <c r="A378" s="1">
        <v>1471391.0</v>
      </c>
      <c r="B378" s="1" t="s">
        <v>883</v>
      </c>
      <c r="C378" s="1" t="s">
        <v>839</v>
      </c>
      <c r="D378" s="1" t="s">
        <v>843</v>
      </c>
      <c r="E378" s="1" t="s">
        <v>884</v>
      </c>
      <c r="F378" s="1" t="s">
        <v>272</v>
      </c>
      <c r="G378" s="1" t="s">
        <v>17</v>
      </c>
      <c r="H378" s="1" t="s">
        <v>18</v>
      </c>
      <c r="I378" s="1" t="s">
        <v>44</v>
      </c>
      <c r="J378" s="1">
        <v>16.0</v>
      </c>
      <c r="K378" s="1">
        <v>17.0</v>
      </c>
      <c r="L378" s="1">
        <v>63.0</v>
      </c>
    </row>
    <row r="379">
      <c r="A379" s="1">
        <v>1471399.0</v>
      </c>
      <c r="B379" s="1" t="s">
        <v>885</v>
      </c>
      <c r="C379" s="1" t="s">
        <v>839</v>
      </c>
      <c r="D379" s="1" t="s">
        <v>843</v>
      </c>
      <c r="E379" s="1" t="s">
        <v>886</v>
      </c>
      <c r="F379" s="1" t="s">
        <v>16</v>
      </c>
      <c r="G379" s="1" t="s">
        <v>17</v>
      </c>
      <c r="H379" s="1" t="s">
        <v>18</v>
      </c>
      <c r="I379" s="1" t="s">
        <v>19</v>
      </c>
      <c r="J379" s="1">
        <v>100.0</v>
      </c>
      <c r="K379" s="1">
        <v>28.0</v>
      </c>
      <c r="L379" s="1">
        <v>75.0</v>
      </c>
    </row>
    <row r="380">
      <c r="A380" s="1">
        <v>1471091.0</v>
      </c>
      <c r="B380" s="1" t="s">
        <v>887</v>
      </c>
      <c r="C380" s="1" t="s">
        <v>839</v>
      </c>
      <c r="D380" s="1" t="s">
        <v>843</v>
      </c>
      <c r="E380" s="1" t="s">
        <v>888</v>
      </c>
      <c r="F380" s="1" t="s">
        <v>16</v>
      </c>
      <c r="G380" s="1" t="s">
        <v>17</v>
      </c>
      <c r="H380" s="1" t="s">
        <v>28</v>
      </c>
      <c r="I380" s="1" t="s">
        <v>139</v>
      </c>
      <c r="J380" s="1">
        <v>100.0</v>
      </c>
      <c r="K380" s="1">
        <v>33.0</v>
      </c>
      <c r="L380" s="1">
        <v>378.0</v>
      </c>
    </row>
    <row r="381">
      <c r="A381" s="1">
        <v>1409019.0</v>
      </c>
      <c r="B381" s="1" t="s">
        <v>889</v>
      </c>
      <c r="C381" s="1" t="s">
        <v>839</v>
      </c>
      <c r="D381" s="1" t="s">
        <v>871</v>
      </c>
      <c r="E381" s="1" t="s">
        <v>890</v>
      </c>
      <c r="F381" s="1" t="s">
        <v>55</v>
      </c>
      <c r="G381" s="1" t="s">
        <v>17</v>
      </c>
      <c r="H381" s="1" t="s">
        <v>18</v>
      </c>
      <c r="I381" s="1" t="s">
        <v>44</v>
      </c>
      <c r="J381" s="1">
        <v>54.0</v>
      </c>
      <c r="K381" s="1">
        <v>17.0</v>
      </c>
      <c r="L381" s="1">
        <v>37.0</v>
      </c>
    </row>
    <row r="382">
      <c r="A382" s="1">
        <v>1408079.0</v>
      </c>
      <c r="B382" s="1" t="s">
        <v>891</v>
      </c>
      <c r="C382" s="1" t="s">
        <v>839</v>
      </c>
      <c r="D382" s="1" t="s">
        <v>853</v>
      </c>
      <c r="E382" s="1" t="s">
        <v>892</v>
      </c>
      <c r="F382" s="1" t="s">
        <v>16</v>
      </c>
      <c r="G382" s="1" t="s">
        <v>23</v>
      </c>
      <c r="H382" s="1" t="s">
        <v>18</v>
      </c>
      <c r="I382" s="1" t="s">
        <v>19</v>
      </c>
      <c r="J382" s="1">
        <v>54.0</v>
      </c>
      <c r="K382" s="1">
        <v>25.0</v>
      </c>
      <c r="L382" s="1">
        <v>35.0</v>
      </c>
    </row>
    <row r="383">
      <c r="A383" s="1">
        <v>1471392.0</v>
      </c>
      <c r="B383" s="1" t="s">
        <v>893</v>
      </c>
      <c r="C383" s="1" t="s">
        <v>839</v>
      </c>
      <c r="D383" s="1" t="s">
        <v>843</v>
      </c>
      <c r="E383" s="1" t="s">
        <v>894</v>
      </c>
      <c r="F383" s="1" t="s">
        <v>16</v>
      </c>
      <c r="G383" s="1" t="s">
        <v>23</v>
      </c>
      <c r="H383" s="1" t="s">
        <v>18</v>
      </c>
      <c r="I383" s="1" t="s">
        <v>34</v>
      </c>
      <c r="J383" s="1">
        <v>54.0</v>
      </c>
      <c r="K383" s="1">
        <v>23.0</v>
      </c>
      <c r="L383" s="1">
        <v>110.0</v>
      </c>
    </row>
    <row r="384">
      <c r="A384" s="1">
        <v>1406031.0</v>
      </c>
      <c r="B384" s="1" t="s">
        <v>895</v>
      </c>
      <c r="C384" s="1" t="s">
        <v>839</v>
      </c>
      <c r="D384" s="1" t="s">
        <v>862</v>
      </c>
      <c r="E384" s="1" t="s">
        <v>896</v>
      </c>
      <c r="F384" s="1" t="s">
        <v>16</v>
      </c>
      <c r="G384" s="1" t="s">
        <v>23</v>
      </c>
      <c r="H384" s="1" t="s">
        <v>18</v>
      </c>
      <c r="I384" s="1" t="s">
        <v>113</v>
      </c>
      <c r="J384" s="1">
        <v>50.0</v>
      </c>
      <c r="K384" s="1">
        <v>13.0</v>
      </c>
      <c r="L384" s="1">
        <v>100.0</v>
      </c>
    </row>
    <row r="385">
      <c r="A385" s="1">
        <v>1410043.0</v>
      </c>
      <c r="B385" s="1" t="s">
        <v>897</v>
      </c>
      <c r="C385" s="1" t="s">
        <v>839</v>
      </c>
      <c r="D385" s="1" t="s">
        <v>898</v>
      </c>
      <c r="E385" s="1" t="s">
        <v>899</v>
      </c>
      <c r="F385" s="1" t="s">
        <v>16</v>
      </c>
      <c r="G385" s="1" t="s">
        <v>17</v>
      </c>
      <c r="H385" s="1" t="s">
        <v>28</v>
      </c>
      <c r="I385" s="1" t="s">
        <v>40</v>
      </c>
      <c r="J385" s="1">
        <v>187.0</v>
      </c>
      <c r="K385" s="1">
        <v>28.0</v>
      </c>
      <c r="L385" s="1">
        <v>257.0</v>
      </c>
    </row>
    <row r="386">
      <c r="A386" s="1">
        <v>1408080.0</v>
      </c>
      <c r="B386" s="1" t="s">
        <v>900</v>
      </c>
      <c r="C386" s="1" t="s">
        <v>839</v>
      </c>
      <c r="D386" s="1" t="s">
        <v>853</v>
      </c>
      <c r="E386" s="1" t="s">
        <v>901</v>
      </c>
      <c r="F386" s="1" t="s">
        <v>16</v>
      </c>
      <c r="G386" s="1" t="s">
        <v>17</v>
      </c>
      <c r="H386" s="1" t="s">
        <v>18</v>
      </c>
      <c r="I386" s="1" t="s">
        <v>44</v>
      </c>
      <c r="J386" s="1">
        <v>127.0</v>
      </c>
      <c r="K386" s="1">
        <v>17.0</v>
      </c>
      <c r="L386" s="1">
        <v>146.0</v>
      </c>
    </row>
    <row r="387">
      <c r="A387" s="1">
        <v>1471237.0</v>
      </c>
      <c r="B387" s="1" t="s">
        <v>902</v>
      </c>
      <c r="C387" s="1" t="s">
        <v>839</v>
      </c>
      <c r="D387" s="1" t="s">
        <v>843</v>
      </c>
      <c r="E387" s="1" t="s">
        <v>903</v>
      </c>
      <c r="F387" s="1" t="s">
        <v>16</v>
      </c>
      <c r="G387" s="1" t="s">
        <v>17</v>
      </c>
      <c r="H387" s="1" t="s">
        <v>18</v>
      </c>
      <c r="I387" s="1" t="s">
        <v>19</v>
      </c>
      <c r="J387" s="1">
        <v>100.0</v>
      </c>
      <c r="K387" s="1">
        <v>24.0</v>
      </c>
      <c r="L387" s="1">
        <v>100.0</v>
      </c>
    </row>
    <row r="388">
      <c r="A388" s="1">
        <v>1402014.0</v>
      </c>
      <c r="B388" s="1" t="s">
        <v>904</v>
      </c>
      <c r="C388" s="1" t="s">
        <v>839</v>
      </c>
      <c r="D388" s="1" t="s">
        <v>874</v>
      </c>
      <c r="E388" s="1" t="s">
        <v>905</v>
      </c>
      <c r="F388" s="1" t="s">
        <v>55</v>
      </c>
      <c r="G388" s="1" t="s">
        <v>17</v>
      </c>
      <c r="H388" s="1" t="s">
        <v>18</v>
      </c>
      <c r="I388" s="1" t="s">
        <v>44</v>
      </c>
      <c r="J388" s="1">
        <v>39.0</v>
      </c>
      <c r="K388" s="1">
        <v>13.0</v>
      </c>
      <c r="L388" s="1">
        <v>62.0</v>
      </c>
    </row>
    <row r="389">
      <c r="A389" s="1">
        <v>1471396.0</v>
      </c>
      <c r="B389" s="1" t="s">
        <v>906</v>
      </c>
      <c r="C389" s="1" t="s">
        <v>839</v>
      </c>
      <c r="D389" s="1" t="s">
        <v>843</v>
      </c>
      <c r="E389" s="1" t="s">
        <v>907</v>
      </c>
      <c r="F389" s="1" t="s">
        <v>16</v>
      </c>
      <c r="G389" s="1" t="s">
        <v>17</v>
      </c>
      <c r="H389" s="1" t="s">
        <v>18</v>
      </c>
      <c r="I389" s="1" t="s">
        <v>44</v>
      </c>
      <c r="J389" s="1">
        <v>123.0</v>
      </c>
      <c r="K389" s="1">
        <v>57.0</v>
      </c>
      <c r="L389" s="1">
        <v>387.0</v>
      </c>
    </row>
    <row r="390">
      <c r="A390" s="1">
        <v>1403035.0</v>
      </c>
      <c r="B390" s="1" t="s">
        <v>908</v>
      </c>
      <c r="C390" s="1" t="s">
        <v>839</v>
      </c>
      <c r="D390" s="1" t="s">
        <v>859</v>
      </c>
      <c r="E390" s="1" t="s">
        <v>909</v>
      </c>
      <c r="F390" s="1" t="s">
        <v>16</v>
      </c>
      <c r="G390" s="1" t="s">
        <v>23</v>
      </c>
      <c r="H390" s="1" t="s">
        <v>28</v>
      </c>
      <c r="I390" s="1" t="s">
        <v>40</v>
      </c>
      <c r="J390" s="1">
        <v>60.0</v>
      </c>
      <c r="K390" s="1">
        <v>20.0</v>
      </c>
      <c r="L390" s="1">
        <v>158.0</v>
      </c>
    </row>
    <row r="391">
      <c r="A391" s="1">
        <v>1406046.0</v>
      </c>
      <c r="B391" s="1" t="s">
        <v>910</v>
      </c>
      <c r="C391" s="1" t="s">
        <v>839</v>
      </c>
      <c r="D391" s="1" t="s">
        <v>862</v>
      </c>
      <c r="E391" s="1" t="s">
        <v>911</v>
      </c>
      <c r="F391" s="1" t="s">
        <v>55</v>
      </c>
      <c r="G391" s="1" t="s">
        <v>17</v>
      </c>
      <c r="H391" s="1" t="s">
        <v>18</v>
      </c>
      <c r="I391" s="1" t="s">
        <v>19</v>
      </c>
      <c r="J391" s="1">
        <v>42.0</v>
      </c>
      <c r="K391" s="1">
        <v>16.0</v>
      </c>
      <c r="L391" s="1">
        <v>93.0</v>
      </c>
    </row>
    <row r="392">
      <c r="A392" s="1">
        <v>1401011.0</v>
      </c>
      <c r="B392" s="1" t="s">
        <v>912</v>
      </c>
      <c r="C392" s="1" t="s">
        <v>839</v>
      </c>
      <c r="D392" s="1" t="s">
        <v>846</v>
      </c>
      <c r="E392" s="1" t="s">
        <v>913</v>
      </c>
      <c r="F392" s="1" t="s">
        <v>16</v>
      </c>
      <c r="G392" s="1" t="s">
        <v>17</v>
      </c>
      <c r="H392" s="1" t="s">
        <v>28</v>
      </c>
      <c r="I392" s="1" t="s">
        <v>40</v>
      </c>
      <c r="J392" s="1">
        <v>113.0</v>
      </c>
      <c r="K392" s="1">
        <v>63.0</v>
      </c>
      <c r="L392" s="1">
        <v>199.0</v>
      </c>
    </row>
    <row r="393">
      <c r="A393" s="1">
        <v>1408067.0</v>
      </c>
      <c r="B393" s="1" t="s">
        <v>914</v>
      </c>
      <c r="C393" s="1" t="s">
        <v>839</v>
      </c>
      <c r="D393" s="1" t="s">
        <v>853</v>
      </c>
      <c r="E393" s="1" t="s">
        <v>915</v>
      </c>
      <c r="F393" s="1" t="s">
        <v>16</v>
      </c>
      <c r="G393" s="1" t="s">
        <v>23</v>
      </c>
      <c r="H393" s="1" t="s">
        <v>18</v>
      </c>
      <c r="I393" s="1" t="s">
        <v>44</v>
      </c>
      <c r="J393" s="1">
        <v>79.0</v>
      </c>
      <c r="K393" s="1">
        <v>21.0</v>
      </c>
      <c r="L393" s="1">
        <v>95.0</v>
      </c>
    </row>
    <row r="394">
      <c r="A394" s="1">
        <v>1471055.0</v>
      </c>
      <c r="B394" s="1" t="s">
        <v>916</v>
      </c>
      <c r="C394" s="1" t="s">
        <v>839</v>
      </c>
      <c r="D394" s="1" t="s">
        <v>843</v>
      </c>
      <c r="E394" s="1" t="s">
        <v>917</v>
      </c>
      <c r="F394" s="1" t="s">
        <v>16</v>
      </c>
      <c r="G394" s="1" t="s">
        <v>27</v>
      </c>
      <c r="H394" s="1" t="s">
        <v>18</v>
      </c>
      <c r="I394" s="1" t="s">
        <v>59</v>
      </c>
      <c r="J394" s="1">
        <v>200.0</v>
      </c>
      <c r="K394" s="1">
        <v>108.0</v>
      </c>
      <c r="L394" s="1">
        <v>546.0</v>
      </c>
    </row>
    <row r="395">
      <c r="A395" s="1">
        <v>1471386.0</v>
      </c>
      <c r="B395" s="1" t="s">
        <v>918</v>
      </c>
      <c r="C395" s="1" t="s">
        <v>839</v>
      </c>
      <c r="D395" s="1" t="s">
        <v>843</v>
      </c>
      <c r="E395" s="1" t="s">
        <v>919</v>
      </c>
      <c r="F395" s="1" t="s">
        <v>55</v>
      </c>
      <c r="G395" s="1" t="s">
        <v>17</v>
      </c>
      <c r="H395" s="1" t="s">
        <v>18</v>
      </c>
      <c r="I395" s="1" t="s">
        <v>44</v>
      </c>
      <c r="J395" s="1">
        <v>27.0</v>
      </c>
      <c r="K395" s="1">
        <v>14.0</v>
      </c>
      <c r="L395" s="1">
        <v>43.0</v>
      </c>
    </row>
    <row r="396">
      <c r="A396" s="1">
        <v>1473079.0</v>
      </c>
      <c r="B396" s="1" t="s">
        <v>920</v>
      </c>
      <c r="C396" s="1" t="s">
        <v>839</v>
      </c>
      <c r="D396" s="1" t="s">
        <v>856</v>
      </c>
      <c r="E396" s="1" t="s">
        <v>921</v>
      </c>
      <c r="F396" s="1" t="s">
        <v>16</v>
      </c>
      <c r="G396" s="1" t="s">
        <v>23</v>
      </c>
      <c r="H396" s="1" t="s">
        <v>18</v>
      </c>
      <c r="I396" s="1" t="s">
        <v>19</v>
      </c>
      <c r="J396" s="1">
        <v>52.0</v>
      </c>
      <c r="K396" s="1">
        <v>24.0</v>
      </c>
      <c r="L396" s="1">
        <v>0.0</v>
      </c>
    </row>
    <row r="397">
      <c r="A397" s="1">
        <v>1408011.0</v>
      </c>
      <c r="B397" s="1" t="s">
        <v>922</v>
      </c>
      <c r="C397" s="1" t="s">
        <v>839</v>
      </c>
      <c r="D397" s="1" t="s">
        <v>853</v>
      </c>
      <c r="E397" s="1" t="s">
        <v>923</v>
      </c>
      <c r="F397" s="1" t="s">
        <v>16</v>
      </c>
      <c r="G397" s="1" t="s">
        <v>27</v>
      </c>
      <c r="H397" s="1" t="s">
        <v>28</v>
      </c>
      <c r="I397" s="1" t="s">
        <v>40</v>
      </c>
      <c r="J397" s="1">
        <v>208.0</v>
      </c>
      <c r="K397" s="1">
        <v>73.0</v>
      </c>
      <c r="L397" s="1">
        <v>787.0</v>
      </c>
    </row>
    <row r="398">
      <c r="A398" s="1">
        <v>1471371.0</v>
      </c>
      <c r="B398" s="1" t="s">
        <v>924</v>
      </c>
      <c r="C398" s="1" t="s">
        <v>839</v>
      </c>
      <c r="D398" s="1" t="s">
        <v>843</v>
      </c>
      <c r="E398" s="1" t="s">
        <v>925</v>
      </c>
      <c r="F398" s="1" t="s">
        <v>16</v>
      </c>
      <c r="G398" s="1" t="s">
        <v>17</v>
      </c>
      <c r="H398" s="1" t="s">
        <v>18</v>
      </c>
      <c r="I398" s="1" t="s">
        <v>19</v>
      </c>
      <c r="J398" s="1">
        <v>102.0</v>
      </c>
      <c r="K398" s="1">
        <v>23.0</v>
      </c>
      <c r="L398" s="1">
        <v>69.0</v>
      </c>
    </row>
    <row r="399">
      <c r="A399" s="1">
        <v>1407014.0</v>
      </c>
      <c r="B399" s="1" t="s">
        <v>926</v>
      </c>
      <c r="C399" s="1" t="s">
        <v>839</v>
      </c>
      <c r="D399" s="1" t="s">
        <v>877</v>
      </c>
      <c r="E399" s="1" t="s">
        <v>927</v>
      </c>
      <c r="F399" s="1" t="s">
        <v>16</v>
      </c>
      <c r="G399" s="1" t="s">
        <v>17</v>
      </c>
      <c r="H399" s="1" t="s">
        <v>18</v>
      </c>
      <c r="I399" s="1" t="s">
        <v>44</v>
      </c>
      <c r="J399" s="1">
        <v>102.0</v>
      </c>
      <c r="K399" s="1">
        <v>38.0</v>
      </c>
      <c r="L399" s="1">
        <v>164.0</v>
      </c>
    </row>
    <row r="400">
      <c r="A400" s="1">
        <v>1471395.0</v>
      </c>
      <c r="B400" s="1" t="s">
        <v>928</v>
      </c>
      <c r="C400" s="1" t="s">
        <v>839</v>
      </c>
      <c r="D400" s="1" t="s">
        <v>843</v>
      </c>
      <c r="E400" s="1" t="s">
        <v>929</v>
      </c>
      <c r="F400" s="1" t="s">
        <v>55</v>
      </c>
      <c r="G400" s="1" t="s">
        <v>17</v>
      </c>
      <c r="H400" s="1" t="s">
        <v>18</v>
      </c>
      <c r="I400" s="1" t="s">
        <v>44</v>
      </c>
      <c r="J400" s="1">
        <v>50.0</v>
      </c>
      <c r="K400" s="1">
        <v>23.0</v>
      </c>
      <c r="L400" s="1">
        <v>130.0</v>
      </c>
    </row>
    <row r="401">
      <c r="A401" s="1">
        <v>1407012.0</v>
      </c>
      <c r="B401" s="1" t="s">
        <v>930</v>
      </c>
      <c r="C401" s="1" t="s">
        <v>839</v>
      </c>
      <c r="D401" s="1" t="s">
        <v>877</v>
      </c>
      <c r="E401" s="1" t="s">
        <v>931</v>
      </c>
      <c r="F401" s="1" t="s">
        <v>16</v>
      </c>
      <c r="G401" s="1" t="s">
        <v>17</v>
      </c>
      <c r="H401" s="1" t="s">
        <v>18</v>
      </c>
      <c r="I401" s="1" t="s">
        <v>44</v>
      </c>
      <c r="J401" s="1">
        <v>145.0</v>
      </c>
      <c r="K401" s="1">
        <v>84.0</v>
      </c>
      <c r="L401" s="1">
        <v>169.0</v>
      </c>
    </row>
    <row r="402">
      <c r="A402" s="1">
        <v>1471398.0</v>
      </c>
      <c r="B402" s="1" t="s">
        <v>932</v>
      </c>
      <c r="C402" s="1" t="s">
        <v>839</v>
      </c>
      <c r="D402" s="1" t="s">
        <v>843</v>
      </c>
      <c r="E402" s="1" t="s">
        <v>933</v>
      </c>
      <c r="F402" s="1" t="s">
        <v>16</v>
      </c>
      <c r="G402" s="1" t="s">
        <v>17</v>
      </c>
      <c r="H402" s="1" t="s">
        <v>28</v>
      </c>
      <c r="I402" s="1" t="s">
        <v>29</v>
      </c>
      <c r="J402" s="1">
        <v>102.0</v>
      </c>
      <c r="K402" s="1">
        <v>37.0</v>
      </c>
      <c r="L402" s="1">
        <v>416.0</v>
      </c>
    </row>
    <row r="403">
      <c r="A403" s="1">
        <v>1403013.0</v>
      </c>
      <c r="B403" s="1" t="s">
        <v>934</v>
      </c>
      <c r="C403" s="1" t="s">
        <v>839</v>
      </c>
      <c r="D403" s="1" t="s">
        <v>859</v>
      </c>
      <c r="E403" s="1" t="s">
        <v>935</v>
      </c>
      <c r="F403" s="1" t="s">
        <v>16</v>
      </c>
      <c r="G403" s="1" t="s">
        <v>17</v>
      </c>
      <c r="H403" s="1" t="s">
        <v>28</v>
      </c>
      <c r="I403" s="1" t="s">
        <v>40</v>
      </c>
      <c r="J403" s="1">
        <v>265.0</v>
      </c>
      <c r="K403" s="1">
        <v>37.0</v>
      </c>
      <c r="L403" s="1">
        <v>210.0</v>
      </c>
    </row>
    <row r="404">
      <c r="A404" s="1">
        <v>1471067.0</v>
      </c>
      <c r="B404" s="1" t="s">
        <v>936</v>
      </c>
      <c r="C404" s="1" t="s">
        <v>839</v>
      </c>
      <c r="D404" s="1" t="s">
        <v>843</v>
      </c>
      <c r="E404" s="1" t="s">
        <v>937</v>
      </c>
      <c r="F404" s="1" t="s">
        <v>16</v>
      </c>
      <c r="G404" s="1" t="s">
        <v>27</v>
      </c>
      <c r="H404" s="1" t="s">
        <v>18</v>
      </c>
      <c r="I404" s="1" t="s">
        <v>19</v>
      </c>
      <c r="J404" s="1">
        <v>200.0</v>
      </c>
      <c r="K404" s="1">
        <v>111.0</v>
      </c>
      <c r="L404" s="1">
        <v>585.0</v>
      </c>
    </row>
    <row r="405">
      <c r="A405" s="1">
        <v>1471390.0</v>
      </c>
      <c r="B405" s="1" t="s">
        <v>938</v>
      </c>
      <c r="C405" s="1" t="s">
        <v>839</v>
      </c>
      <c r="D405" s="1" t="s">
        <v>843</v>
      </c>
      <c r="E405" s="1" t="s">
        <v>939</v>
      </c>
      <c r="F405" s="1" t="s">
        <v>16</v>
      </c>
      <c r="G405" s="1" t="s">
        <v>27</v>
      </c>
      <c r="H405" s="1" t="s">
        <v>18</v>
      </c>
      <c r="I405" s="1" t="s">
        <v>44</v>
      </c>
      <c r="J405" s="1">
        <v>261.0</v>
      </c>
      <c r="K405" s="1">
        <v>96.0</v>
      </c>
      <c r="L405" s="1">
        <v>474.0</v>
      </c>
    </row>
    <row r="406">
      <c r="A406" s="1">
        <v>1471394.0</v>
      </c>
      <c r="B406" s="1" t="s">
        <v>940</v>
      </c>
      <c r="C406" s="1" t="s">
        <v>839</v>
      </c>
      <c r="D406" s="1" t="s">
        <v>843</v>
      </c>
      <c r="E406" s="1" t="s">
        <v>941</v>
      </c>
      <c r="F406" s="1" t="s">
        <v>272</v>
      </c>
      <c r="G406" s="1" t="s">
        <v>17</v>
      </c>
      <c r="H406" s="1" t="s">
        <v>18</v>
      </c>
      <c r="I406" s="1" t="s">
        <v>44</v>
      </c>
      <c r="J406" s="1">
        <v>16.0</v>
      </c>
      <c r="K406" s="1">
        <v>24.0</v>
      </c>
      <c r="L406" s="1">
        <v>70.0</v>
      </c>
    </row>
    <row r="407">
      <c r="A407" s="1">
        <v>1471146.0</v>
      </c>
      <c r="B407" s="1" t="s">
        <v>942</v>
      </c>
      <c r="C407" s="1" t="s">
        <v>839</v>
      </c>
      <c r="D407" s="1" t="s">
        <v>843</v>
      </c>
      <c r="E407" s="1" t="s">
        <v>943</v>
      </c>
      <c r="F407" s="1" t="s">
        <v>174</v>
      </c>
      <c r="G407" s="1" t="s">
        <v>150</v>
      </c>
      <c r="H407" s="1" t="s">
        <v>28</v>
      </c>
      <c r="I407" s="1" t="s">
        <v>139</v>
      </c>
      <c r="J407" s="1">
        <v>284.0</v>
      </c>
      <c r="K407" s="1">
        <v>29.0</v>
      </c>
      <c r="L407" s="1">
        <v>441.0</v>
      </c>
    </row>
    <row r="408">
      <c r="A408" s="1">
        <v>1407013.0</v>
      </c>
      <c r="B408" s="1" t="s">
        <v>944</v>
      </c>
      <c r="C408" s="1" t="s">
        <v>839</v>
      </c>
      <c r="D408" s="1" t="s">
        <v>877</v>
      </c>
      <c r="E408" s="1" t="s">
        <v>945</v>
      </c>
      <c r="F408" s="1" t="s">
        <v>16</v>
      </c>
      <c r="G408" s="1" t="s">
        <v>23</v>
      </c>
      <c r="H408" s="1" t="s">
        <v>18</v>
      </c>
      <c r="I408" s="1" t="s">
        <v>19</v>
      </c>
      <c r="J408" s="1">
        <v>53.0</v>
      </c>
      <c r="K408" s="1">
        <v>24.0</v>
      </c>
      <c r="L408" s="1">
        <v>75.0</v>
      </c>
    </row>
    <row r="409">
      <c r="A409" s="1">
        <v>1404026.0</v>
      </c>
      <c r="B409" s="1" t="s">
        <v>946</v>
      </c>
      <c r="C409" s="1" t="s">
        <v>839</v>
      </c>
      <c r="D409" s="1" t="s">
        <v>840</v>
      </c>
      <c r="E409" s="1" t="s">
        <v>947</v>
      </c>
      <c r="F409" s="1" t="s">
        <v>16</v>
      </c>
      <c r="G409" s="1" t="s">
        <v>23</v>
      </c>
      <c r="H409" s="1" t="s">
        <v>18</v>
      </c>
      <c r="I409" s="1" t="s">
        <v>19</v>
      </c>
      <c r="J409" s="1">
        <v>65.0</v>
      </c>
      <c r="K409" s="1">
        <v>20.0</v>
      </c>
      <c r="L409" s="1">
        <v>100.0</v>
      </c>
    </row>
    <row r="410">
      <c r="A410" s="1">
        <v>1409013.0</v>
      </c>
      <c r="B410" s="1" t="s">
        <v>948</v>
      </c>
      <c r="C410" s="1" t="s">
        <v>839</v>
      </c>
      <c r="D410" s="1" t="s">
        <v>871</v>
      </c>
      <c r="E410" s="1" t="s">
        <v>949</v>
      </c>
      <c r="F410" s="1" t="s">
        <v>16</v>
      </c>
      <c r="G410" s="1" t="s">
        <v>23</v>
      </c>
      <c r="H410" s="1" t="s">
        <v>33</v>
      </c>
      <c r="I410" s="1" t="s">
        <v>44</v>
      </c>
      <c r="J410" s="1">
        <v>60.0</v>
      </c>
      <c r="K410" s="1">
        <v>29.0</v>
      </c>
      <c r="L410" s="1">
        <v>105.0</v>
      </c>
    </row>
    <row r="411">
      <c r="A411" s="1">
        <v>1404027.0</v>
      </c>
      <c r="B411" s="1" t="s">
        <v>950</v>
      </c>
      <c r="C411" s="1" t="s">
        <v>839</v>
      </c>
      <c r="D411" s="1" t="s">
        <v>840</v>
      </c>
      <c r="E411" s="1" t="s">
        <v>951</v>
      </c>
      <c r="F411" s="1" t="s">
        <v>16</v>
      </c>
      <c r="G411" s="1" t="s">
        <v>23</v>
      </c>
      <c r="H411" s="1" t="s">
        <v>18</v>
      </c>
      <c r="I411" s="1" t="s">
        <v>44</v>
      </c>
      <c r="J411" s="1">
        <v>70.0</v>
      </c>
      <c r="K411" s="1">
        <v>21.0</v>
      </c>
      <c r="L411" s="1">
        <v>85.0</v>
      </c>
    </row>
    <row r="412">
      <c r="A412" s="1">
        <v>1408032.0</v>
      </c>
      <c r="B412" s="1" t="s">
        <v>952</v>
      </c>
      <c r="C412" s="1" t="s">
        <v>839</v>
      </c>
      <c r="D412" s="1" t="s">
        <v>853</v>
      </c>
      <c r="E412" s="1" t="s">
        <v>953</v>
      </c>
      <c r="F412" s="1" t="s">
        <v>16</v>
      </c>
      <c r="G412" s="1" t="s">
        <v>17</v>
      </c>
      <c r="H412" s="1" t="s">
        <v>28</v>
      </c>
      <c r="I412" s="1" t="s">
        <v>40</v>
      </c>
      <c r="J412" s="1">
        <v>218.0</v>
      </c>
      <c r="K412" s="1">
        <v>63.0</v>
      </c>
      <c r="L412" s="1">
        <v>306.0</v>
      </c>
    </row>
    <row r="413">
      <c r="A413" s="1">
        <v>1406045.0</v>
      </c>
      <c r="B413" s="1" t="s">
        <v>954</v>
      </c>
      <c r="C413" s="1" t="s">
        <v>839</v>
      </c>
      <c r="D413" s="1" t="s">
        <v>862</v>
      </c>
      <c r="E413" s="1" t="s">
        <v>955</v>
      </c>
      <c r="F413" s="1" t="s">
        <v>55</v>
      </c>
      <c r="G413" s="1" t="s">
        <v>17</v>
      </c>
      <c r="H413" s="1" t="s">
        <v>18</v>
      </c>
      <c r="I413" s="1" t="s">
        <v>163</v>
      </c>
      <c r="J413" s="1">
        <v>37.0</v>
      </c>
      <c r="K413" s="1">
        <v>11.0</v>
      </c>
      <c r="L413" s="1">
        <v>21.0</v>
      </c>
    </row>
    <row r="414">
      <c r="A414" s="1">
        <v>1471397.0</v>
      </c>
      <c r="B414" s="1" t="s">
        <v>956</v>
      </c>
      <c r="C414" s="1" t="s">
        <v>839</v>
      </c>
      <c r="D414" s="1" t="s">
        <v>843</v>
      </c>
      <c r="E414" s="1" t="s">
        <v>957</v>
      </c>
      <c r="F414" s="1" t="s">
        <v>16</v>
      </c>
      <c r="G414" s="1" t="s">
        <v>17</v>
      </c>
      <c r="H414" s="1" t="s">
        <v>18</v>
      </c>
      <c r="I414" s="1" t="s">
        <v>44</v>
      </c>
      <c r="J414" s="1">
        <v>189.0</v>
      </c>
      <c r="K414" s="1">
        <v>110.0</v>
      </c>
      <c r="L414" s="1">
        <v>432.0</v>
      </c>
    </row>
    <row r="415">
      <c r="A415" s="1">
        <v>1409018.0</v>
      </c>
      <c r="B415" s="1" t="s">
        <v>958</v>
      </c>
      <c r="C415" s="1" t="s">
        <v>839</v>
      </c>
      <c r="D415" s="1" t="s">
        <v>871</v>
      </c>
      <c r="E415" s="1" t="s">
        <v>959</v>
      </c>
      <c r="F415" s="1" t="s">
        <v>16</v>
      </c>
      <c r="G415" s="1" t="s">
        <v>23</v>
      </c>
      <c r="H415" s="1" t="s">
        <v>18</v>
      </c>
      <c r="I415" s="1" t="s">
        <v>19</v>
      </c>
      <c r="J415" s="1">
        <v>62.0</v>
      </c>
      <c r="K415" s="1">
        <v>15.0</v>
      </c>
      <c r="L415" s="1">
        <v>27.0</v>
      </c>
    </row>
    <row r="416">
      <c r="A416" s="1">
        <v>1473013.0</v>
      </c>
      <c r="B416" s="1" t="s">
        <v>960</v>
      </c>
      <c r="C416" s="1" t="s">
        <v>839</v>
      </c>
      <c r="D416" s="1" t="s">
        <v>856</v>
      </c>
      <c r="E416" s="1" t="s">
        <v>961</v>
      </c>
      <c r="F416" s="1" t="s">
        <v>16</v>
      </c>
      <c r="G416" s="1" t="s">
        <v>27</v>
      </c>
      <c r="H416" s="1" t="s">
        <v>28</v>
      </c>
      <c r="I416" s="1" t="s">
        <v>29</v>
      </c>
      <c r="J416" s="1">
        <v>301.0</v>
      </c>
      <c r="K416" s="1">
        <v>61.0</v>
      </c>
      <c r="L416" s="1">
        <v>1154.0</v>
      </c>
    </row>
    <row r="417">
      <c r="A417" s="1">
        <v>1405015.0</v>
      </c>
      <c r="B417" s="1" t="s">
        <v>962</v>
      </c>
      <c r="C417" s="1" t="s">
        <v>839</v>
      </c>
      <c r="D417" s="1" t="s">
        <v>963</v>
      </c>
      <c r="E417" s="1" t="s">
        <v>964</v>
      </c>
      <c r="F417" s="1" t="s">
        <v>16</v>
      </c>
      <c r="G417" s="1" t="s">
        <v>17</v>
      </c>
      <c r="H417" s="1" t="s">
        <v>28</v>
      </c>
      <c r="I417" s="1" t="s">
        <v>40</v>
      </c>
      <c r="J417" s="1">
        <v>170.0</v>
      </c>
      <c r="K417" s="1">
        <v>41.0</v>
      </c>
      <c r="L417" s="1">
        <v>864.0</v>
      </c>
    </row>
    <row r="418">
      <c r="A418" s="1">
        <v>1405032.0</v>
      </c>
      <c r="B418" s="1" t="s">
        <v>965</v>
      </c>
      <c r="C418" s="1" t="s">
        <v>839</v>
      </c>
      <c r="D418" s="1" t="s">
        <v>963</v>
      </c>
      <c r="E418" s="1" t="s">
        <v>966</v>
      </c>
      <c r="F418" s="1" t="s">
        <v>16</v>
      </c>
      <c r="G418" s="1" t="s">
        <v>23</v>
      </c>
      <c r="H418" s="1" t="s">
        <v>18</v>
      </c>
      <c r="I418" s="1" t="s">
        <v>40</v>
      </c>
      <c r="J418" s="1">
        <v>50.0</v>
      </c>
      <c r="K418" s="1">
        <v>11.0</v>
      </c>
      <c r="L418" s="1">
        <v>0.0</v>
      </c>
    </row>
    <row r="419">
      <c r="A419" s="1">
        <v>1471161.0</v>
      </c>
      <c r="B419" s="1" t="s">
        <v>967</v>
      </c>
      <c r="C419" s="1" t="s">
        <v>839</v>
      </c>
      <c r="D419" s="1" t="s">
        <v>843</v>
      </c>
      <c r="E419" s="1" t="s">
        <v>968</v>
      </c>
      <c r="F419" s="1" t="s">
        <v>16</v>
      </c>
      <c r="G419" s="1" t="s">
        <v>23</v>
      </c>
      <c r="H419" s="1" t="s">
        <v>18</v>
      </c>
      <c r="I419" s="1" t="s">
        <v>44</v>
      </c>
      <c r="J419" s="1">
        <v>56.0</v>
      </c>
      <c r="K419" s="1">
        <v>20.0</v>
      </c>
      <c r="L419" s="1">
        <v>99.0</v>
      </c>
    </row>
    <row r="420">
      <c r="A420" s="1">
        <v>1402015.0</v>
      </c>
      <c r="B420" s="1" t="s">
        <v>969</v>
      </c>
      <c r="C420" s="1" t="s">
        <v>839</v>
      </c>
      <c r="D420" s="1" t="s">
        <v>874</v>
      </c>
      <c r="E420" s="1" t="s">
        <v>970</v>
      </c>
      <c r="F420" s="1" t="s">
        <v>16</v>
      </c>
      <c r="G420" s="1" t="s">
        <v>23</v>
      </c>
      <c r="H420" s="1" t="s">
        <v>18</v>
      </c>
      <c r="I420" s="1" t="s">
        <v>44</v>
      </c>
      <c r="J420" s="1">
        <v>56.0</v>
      </c>
      <c r="K420" s="1">
        <v>22.0</v>
      </c>
      <c r="L420" s="1">
        <v>45.0</v>
      </c>
    </row>
    <row r="421">
      <c r="A421" s="1">
        <v>1471011.0</v>
      </c>
      <c r="B421" s="1" t="s">
        <v>971</v>
      </c>
      <c r="C421" s="1" t="s">
        <v>839</v>
      </c>
      <c r="D421" s="1" t="s">
        <v>843</v>
      </c>
      <c r="E421" s="1" t="s">
        <v>972</v>
      </c>
      <c r="F421" s="1" t="s">
        <v>16</v>
      </c>
      <c r="G421" s="1" t="s">
        <v>27</v>
      </c>
      <c r="H421" s="1" t="s">
        <v>28</v>
      </c>
      <c r="I421" s="1" t="s">
        <v>139</v>
      </c>
      <c r="J421" s="1">
        <v>539.0</v>
      </c>
      <c r="K421" s="1">
        <v>146.0</v>
      </c>
      <c r="L421" s="1">
        <v>1487.0</v>
      </c>
    </row>
    <row r="422">
      <c r="A422" s="1">
        <v>1472080.0</v>
      </c>
      <c r="B422" s="1" t="s">
        <v>973</v>
      </c>
      <c r="C422" s="1" t="s">
        <v>839</v>
      </c>
      <c r="D422" s="1" t="s">
        <v>856</v>
      </c>
      <c r="E422" s="1" t="s">
        <v>974</v>
      </c>
      <c r="F422" s="1" t="s">
        <v>16</v>
      </c>
      <c r="G422" s="1" t="s">
        <v>17</v>
      </c>
      <c r="H422" s="1" t="s">
        <v>18</v>
      </c>
      <c r="I422" s="1" t="s">
        <v>44</v>
      </c>
      <c r="J422" s="1">
        <v>145.0</v>
      </c>
      <c r="K422" s="1">
        <v>41.0</v>
      </c>
      <c r="L422" s="1">
        <v>0.0</v>
      </c>
    </row>
    <row r="423">
      <c r="A423" s="1">
        <v>1407017.0</v>
      </c>
      <c r="B423" s="1" t="s">
        <v>975</v>
      </c>
      <c r="C423" s="1" t="s">
        <v>839</v>
      </c>
      <c r="D423" s="1" t="s">
        <v>877</v>
      </c>
      <c r="E423" s="1" t="s">
        <v>976</v>
      </c>
      <c r="F423" s="1" t="s">
        <v>16</v>
      </c>
      <c r="G423" s="1" t="s">
        <v>23</v>
      </c>
      <c r="H423" s="1" t="s">
        <v>33</v>
      </c>
      <c r="I423" s="1" t="s">
        <v>19</v>
      </c>
      <c r="J423" s="1">
        <v>32.0</v>
      </c>
      <c r="K423" s="1">
        <v>9.0</v>
      </c>
      <c r="L423" s="1">
        <v>18.0</v>
      </c>
    </row>
    <row r="424">
      <c r="A424" s="1">
        <v>1471383.0</v>
      </c>
      <c r="B424" s="1" t="s">
        <v>977</v>
      </c>
      <c r="C424" s="1" t="s">
        <v>839</v>
      </c>
      <c r="D424" s="1" t="s">
        <v>843</v>
      </c>
      <c r="E424" s="1" t="s">
        <v>978</v>
      </c>
      <c r="F424" s="1" t="s">
        <v>16</v>
      </c>
      <c r="G424" s="1" t="s">
        <v>17</v>
      </c>
      <c r="H424" s="1" t="s">
        <v>18</v>
      </c>
      <c r="I424" s="1" t="s">
        <v>19</v>
      </c>
      <c r="J424" s="1">
        <v>152.0</v>
      </c>
      <c r="K424" s="1">
        <v>40.0</v>
      </c>
      <c r="L424" s="1">
        <v>77.0</v>
      </c>
    </row>
    <row r="425">
      <c r="A425" s="1">
        <v>1471226.0</v>
      </c>
      <c r="B425" s="1" t="s">
        <v>979</v>
      </c>
      <c r="C425" s="1" t="s">
        <v>839</v>
      </c>
      <c r="D425" s="1" t="s">
        <v>843</v>
      </c>
      <c r="E425" s="1" t="s">
        <v>980</v>
      </c>
      <c r="F425" s="1" t="s">
        <v>16</v>
      </c>
      <c r="G425" s="1" t="s">
        <v>150</v>
      </c>
      <c r="H425" s="1" t="s">
        <v>18</v>
      </c>
      <c r="I425" s="1" t="s">
        <v>19</v>
      </c>
      <c r="J425" s="1">
        <v>371.0</v>
      </c>
      <c r="K425" s="1">
        <v>134.0</v>
      </c>
      <c r="L425" s="1">
        <v>1255.0</v>
      </c>
    </row>
    <row r="426">
      <c r="A426" s="1">
        <v>1471389.0</v>
      </c>
      <c r="B426" s="1" t="s">
        <v>981</v>
      </c>
      <c r="C426" s="1" t="s">
        <v>839</v>
      </c>
      <c r="D426" s="1" t="s">
        <v>843</v>
      </c>
      <c r="E426" s="1" t="s">
        <v>982</v>
      </c>
      <c r="F426" s="1" t="s">
        <v>55</v>
      </c>
      <c r="G426" s="1" t="s">
        <v>17</v>
      </c>
      <c r="H426" s="1" t="s">
        <v>18</v>
      </c>
      <c r="I426" s="1" t="s">
        <v>44</v>
      </c>
      <c r="J426" s="1">
        <v>25.0</v>
      </c>
      <c r="K426" s="1">
        <v>14.0</v>
      </c>
      <c r="L426" s="1">
        <v>19.0</v>
      </c>
    </row>
    <row r="427">
      <c r="A427" s="1">
        <v>1409014.0</v>
      </c>
      <c r="B427" s="1" t="s">
        <v>983</v>
      </c>
      <c r="C427" s="1" t="s">
        <v>839</v>
      </c>
      <c r="D427" s="1" t="s">
        <v>871</v>
      </c>
      <c r="E427" s="1" t="s">
        <v>984</v>
      </c>
      <c r="F427" s="1" t="s">
        <v>16</v>
      </c>
      <c r="G427" s="1" t="s">
        <v>23</v>
      </c>
      <c r="H427" s="1" t="s">
        <v>18</v>
      </c>
      <c r="I427" s="1" t="s">
        <v>19</v>
      </c>
      <c r="J427" s="1">
        <v>58.0</v>
      </c>
      <c r="K427" s="1">
        <v>30.0</v>
      </c>
      <c r="L427" s="1">
        <v>82.0</v>
      </c>
    </row>
    <row r="428">
      <c r="A428" s="1">
        <v>1473081.0</v>
      </c>
      <c r="B428" s="1" t="s">
        <v>985</v>
      </c>
      <c r="C428" s="1" t="s">
        <v>839</v>
      </c>
      <c r="D428" s="1" t="s">
        <v>856</v>
      </c>
      <c r="E428" s="1" t="s">
        <v>986</v>
      </c>
      <c r="F428" s="1" t="s">
        <v>16</v>
      </c>
      <c r="G428" s="1" t="s">
        <v>17</v>
      </c>
      <c r="H428" s="1" t="s">
        <v>18</v>
      </c>
      <c r="I428" s="1" t="s">
        <v>44</v>
      </c>
      <c r="J428" s="1">
        <v>108.0</v>
      </c>
      <c r="K428" s="1">
        <v>22.0</v>
      </c>
      <c r="L428" s="1">
        <v>0.0</v>
      </c>
    </row>
    <row r="429">
      <c r="A429" s="1">
        <v>1404025.0</v>
      </c>
      <c r="B429" s="1" t="s">
        <v>987</v>
      </c>
      <c r="C429" s="1" t="s">
        <v>839</v>
      </c>
      <c r="D429" s="1" t="s">
        <v>840</v>
      </c>
      <c r="E429" s="1" t="s">
        <v>988</v>
      </c>
      <c r="F429" s="1" t="s">
        <v>16</v>
      </c>
      <c r="G429" s="1" t="s">
        <v>17</v>
      </c>
      <c r="H429" s="1" t="s">
        <v>18</v>
      </c>
      <c r="I429" s="1" t="s">
        <v>19</v>
      </c>
      <c r="J429" s="1">
        <v>201.0</v>
      </c>
      <c r="K429" s="1">
        <v>35.0</v>
      </c>
      <c r="L429" s="1">
        <v>196.0</v>
      </c>
    </row>
    <row r="430">
      <c r="A430" s="1">
        <v>1405017.0</v>
      </c>
      <c r="B430" s="1" t="s">
        <v>989</v>
      </c>
      <c r="C430" s="1" t="s">
        <v>839</v>
      </c>
      <c r="D430" s="1" t="s">
        <v>963</v>
      </c>
      <c r="E430" s="1" t="s">
        <v>990</v>
      </c>
      <c r="F430" s="1" t="s">
        <v>16</v>
      </c>
      <c r="G430" s="1" t="s">
        <v>23</v>
      </c>
      <c r="H430" s="1" t="s">
        <v>28</v>
      </c>
      <c r="I430" s="1" t="s">
        <v>40</v>
      </c>
      <c r="J430" s="1">
        <v>60.0</v>
      </c>
      <c r="K430" s="1">
        <v>36.0</v>
      </c>
      <c r="L430" s="1">
        <v>125.0</v>
      </c>
    </row>
    <row r="431">
      <c r="A431" s="1">
        <v>1471033.0</v>
      </c>
      <c r="B431" s="1" t="s">
        <v>991</v>
      </c>
      <c r="C431" s="1" t="s">
        <v>839</v>
      </c>
      <c r="D431" s="1" t="s">
        <v>843</v>
      </c>
      <c r="E431" s="1" t="s">
        <v>992</v>
      </c>
      <c r="F431" s="1" t="s">
        <v>16</v>
      </c>
      <c r="G431" s="1" t="s">
        <v>17</v>
      </c>
      <c r="H431" s="1" t="s">
        <v>33</v>
      </c>
      <c r="I431" s="1" t="s">
        <v>65</v>
      </c>
      <c r="J431" s="1">
        <v>100.0</v>
      </c>
      <c r="K431" s="1">
        <v>28.0</v>
      </c>
      <c r="L431" s="1">
        <v>163.0</v>
      </c>
    </row>
    <row r="432">
      <c r="A432" s="1">
        <v>1471384.0</v>
      </c>
      <c r="B432" s="1" t="s">
        <v>993</v>
      </c>
      <c r="C432" s="1" t="s">
        <v>839</v>
      </c>
      <c r="D432" s="1" t="s">
        <v>843</v>
      </c>
      <c r="E432" s="1" t="s">
        <v>994</v>
      </c>
      <c r="F432" s="1" t="s">
        <v>16</v>
      </c>
      <c r="G432" s="1" t="s">
        <v>17</v>
      </c>
      <c r="H432" s="1" t="s">
        <v>18</v>
      </c>
      <c r="I432" s="1" t="s">
        <v>44</v>
      </c>
      <c r="J432" s="1">
        <v>201.0</v>
      </c>
      <c r="K432" s="1">
        <v>100.0</v>
      </c>
      <c r="L432" s="1">
        <v>417.0</v>
      </c>
    </row>
    <row r="433">
      <c r="A433" s="1">
        <v>1407011.0</v>
      </c>
      <c r="B433" s="1" t="s">
        <v>995</v>
      </c>
      <c r="C433" s="1" t="s">
        <v>839</v>
      </c>
      <c r="D433" s="1" t="s">
        <v>877</v>
      </c>
      <c r="E433" s="1" t="s">
        <v>996</v>
      </c>
      <c r="F433" s="1" t="s">
        <v>16</v>
      </c>
      <c r="G433" s="1" t="s">
        <v>17</v>
      </c>
      <c r="H433" s="1" t="s">
        <v>28</v>
      </c>
      <c r="I433" s="1" t="s">
        <v>40</v>
      </c>
      <c r="J433" s="1">
        <v>96.0</v>
      </c>
      <c r="K433" s="1">
        <v>60.0</v>
      </c>
      <c r="L433" s="1">
        <v>544.0</v>
      </c>
    </row>
    <row r="434">
      <c r="A434" s="1">
        <v>1471259.0</v>
      </c>
      <c r="B434" s="1" t="s">
        <v>997</v>
      </c>
      <c r="C434" s="1" t="s">
        <v>839</v>
      </c>
      <c r="D434" s="1" t="s">
        <v>843</v>
      </c>
      <c r="E434" s="1" t="s">
        <v>998</v>
      </c>
      <c r="F434" s="1" t="s">
        <v>55</v>
      </c>
      <c r="G434" s="1" t="s">
        <v>17</v>
      </c>
      <c r="H434" s="1" t="s">
        <v>18</v>
      </c>
      <c r="I434" s="1" t="s">
        <v>19</v>
      </c>
      <c r="J434" s="1">
        <v>28.0</v>
      </c>
      <c r="K434" s="1">
        <v>21.0</v>
      </c>
      <c r="L434" s="1">
        <v>89.0</v>
      </c>
    </row>
    <row r="435">
      <c r="A435" s="1">
        <v>1402012.0</v>
      </c>
      <c r="B435" s="1" t="s">
        <v>999</v>
      </c>
      <c r="C435" s="1" t="s">
        <v>839</v>
      </c>
      <c r="D435" s="1" t="s">
        <v>874</v>
      </c>
      <c r="E435" s="1" t="s">
        <v>1000</v>
      </c>
      <c r="F435" s="1" t="s">
        <v>16</v>
      </c>
      <c r="G435" s="1" t="s">
        <v>17</v>
      </c>
      <c r="H435" s="1" t="s">
        <v>28</v>
      </c>
      <c r="I435" s="1" t="s">
        <v>40</v>
      </c>
      <c r="J435" s="1">
        <v>144.0</v>
      </c>
      <c r="K435" s="1">
        <v>52.0</v>
      </c>
      <c r="L435" s="1">
        <v>458.0</v>
      </c>
    </row>
    <row r="436">
      <c r="A436" s="1">
        <v>1473078.0</v>
      </c>
      <c r="B436" s="1" t="s">
        <v>1001</v>
      </c>
      <c r="C436" s="1" t="s">
        <v>839</v>
      </c>
      <c r="D436" s="1" t="s">
        <v>856</v>
      </c>
      <c r="E436" s="1" t="s">
        <v>1002</v>
      </c>
      <c r="F436" s="1" t="s">
        <v>16</v>
      </c>
      <c r="G436" s="1" t="s">
        <v>23</v>
      </c>
      <c r="H436" s="1" t="s">
        <v>18</v>
      </c>
      <c r="I436" s="1" t="s">
        <v>65</v>
      </c>
      <c r="J436" s="1">
        <v>53.0</v>
      </c>
      <c r="K436" s="1">
        <v>7.0</v>
      </c>
      <c r="L436" s="1">
        <v>20.0</v>
      </c>
    </row>
    <row r="437">
      <c r="A437" s="1">
        <v>1471135.0</v>
      </c>
      <c r="B437" s="1" t="s">
        <v>1003</v>
      </c>
      <c r="C437" s="1" t="s">
        <v>839</v>
      </c>
      <c r="D437" s="1" t="s">
        <v>843</v>
      </c>
      <c r="E437" s="1" t="s">
        <v>1004</v>
      </c>
      <c r="F437" s="1" t="s">
        <v>16</v>
      </c>
      <c r="G437" s="1" t="s">
        <v>17</v>
      </c>
      <c r="H437" s="1" t="s">
        <v>18</v>
      </c>
      <c r="I437" s="1" t="s">
        <v>684</v>
      </c>
      <c r="J437" s="1">
        <v>124.0</v>
      </c>
      <c r="K437" s="1">
        <v>92.0</v>
      </c>
      <c r="L437" s="1">
        <v>575.0</v>
      </c>
    </row>
    <row r="438">
      <c r="A438" s="1">
        <v>1406058.0</v>
      </c>
      <c r="B438" s="1" t="s">
        <v>1005</v>
      </c>
      <c r="C438" s="1" t="s">
        <v>839</v>
      </c>
      <c r="D438" s="1" t="s">
        <v>862</v>
      </c>
      <c r="E438" s="1" t="s">
        <v>1006</v>
      </c>
      <c r="F438" s="1" t="s">
        <v>16</v>
      </c>
      <c r="G438" s="1" t="s">
        <v>23</v>
      </c>
      <c r="H438" s="1" t="s">
        <v>18</v>
      </c>
      <c r="I438" s="1" t="s">
        <v>19</v>
      </c>
      <c r="J438" s="1">
        <v>50.0</v>
      </c>
      <c r="K438" s="1">
        <v>14.0</v>
      </c>
      <c r="L438" s="1">
        <v>0.0</v>
      </c>
    </row>
    <row r="439">
      <c r="A439" s="1">
        <v>1406044.0</v>
      </c>
      <c r="B439" s="1" t="s">
        <v>1007</v>
      </c>
      <c r="C439" s="1" t="s">
        <v>839</v>
      </c>
      <c r="D439" s="1" t="s">
        <v>862</v>
      </c>
      <c r="E439" s="1" t="s">
        <v>1008</v>
      </c>
      <c r="F439" s="1" t="s">
        <v>55</v>
      </c>
      <c r="G439" s="1" t="s">
        <v>17</v>
      </c>
      <c r="H439" s="1" t="s">
        <v>18</v>
      </c>
      <c r="I439" s="1" t="s">
        <v>163</v>
      </c>
      <c r="J439" s="1">
        <v>38.0</v>
      </c>
      <c r="K439" s="1">
        <v>17.0</v>
      </c>
      <c r="L439" s="1">
        <v>51.0</v>
      </c>
    </row>
    <row r="440">
      <c r="A440" s="1">
        <v>1409022.0</v>
      </c>
      <c r="B440" s="1" t="s">
        <v>1009</v>
      </c>
      <c r="C440" s="1" t="s">
        <v>839</v>
      </c>
      <c r="D440" s="1" t="s">
        <v>871</v>
      </c>
      <c r="E440" s="1" t="s">
        <v>1010</v>
      </c>
      <c r="F440" s="1" t="s">
        <v>16</v>
      </c>
      <c r="G440" s="1" t="s">
        <v>17</v>
      </c>
      <c r="H440" s="1" t="s">
        <v>28</v>
      </c>
      <c r="I440" s="1" t="s">
        <v>40</v>
      </c>
      <c r="J440" s="1">
        <v>121.0</v>
      </c>
      <c r="K440" s="1">
        <v>24.0</v>
      </c>
      <c r="L440" s="1">
        <v>236.0</v>
      </c>
    </row>
    <row r="441">
      <c r="A441" s="1">
        <v>1471382.0</v>
      </c>
      <c r="B441" s="1" t="s">
        <v>1011</v>
      </c>
      <c r="C441" s="1" t="s">
        <v>839</v>
      </c>
      <c r="D441" s="1" t="s">
        <v>843</v>
      </c>
      <c r="E441" s="1" t="s">
        <v>1012</v>
      </c>
      <c r="F441" s="1" t="s">
        <v>16</v>
      </c>
      <c r="G441" s="1" t="s">
        <v>17</v>
      </c>
      <c r="H441" s="1" t="s">
        <v>18</v>
      </c>
      <c r="I441" s="1" t="s">
        <v>19</v>
      </c>
      <c r="J441" s="1">
        <v>100.0</v>
      </c>
      <c r="K441" s="1">
        <v>87.0</v>
      </c>
      <c r="L441" s="1">
        <v>260.0</v>
      </c>
    </row>
    <row r="442">
      <c r="A442" s="1">
        <v>1509031.0</v>
      </c>
      <c r="B442" s="1" t="s">
        <v>1013</v>
      </c>
      <c r="C442" s="1" t="s">
        <v>1014</v>
      </c>
      <c r="D442" s="1" t="s">
        <v>1015</v>
      </c>
      <c r="E442" s="1" t="s">
        <v>1016</v>
      </c>
      <c r="F442" s="1" t="s">
        <v>16</v>
      </c>
      <c r="G442" s="1" t="s">
        <v>23</v>
      </c>
      <c r="H442" s="1" t="s">
        <v>18</v>
      </c>
      <c r="I442" s="1" t="s">
        <v>19</v>
      </c>
      <c r="J442" s="1">
        <v>90.0</v>
      </c>
      <c r="K442" s="1">
        <v>22.0</v>
      </c>
      <c r="L442" s="1">
        <v>71.0</v>
      </c>
    </row>
    <row r="443">
      <c r="A443" s="1">
        <v>1505028.0</v>
      </c>
      <c r="B443" s="1" t="s">
        <v>1017</v>
      </c>
      <c r="C443" s="1" t="s">
        <v>1014</v>
      </c>
      <c r="D443" s="1" t="s">
        <v>1018</v>
      </c>
      <c r="E443" s="1" t="s">
        <v>1019</v>
      </c>
      <c r="F443" s="1" t="s">
        <v>16</v>
      </c>
      <c r="G443" s="1" t="s">
        <v>23</v>
      </c>
      <c r="H443" s="1" t="s">
        <v>28</v>
      </c>
      <c r="I443" s="1" t="s">
        <v>40</v>
      </c>
      <c r="J443" s="1">
        <v>54.0</v>
      </c>
      <c r="K443" s="1">
        <v>25.0</v>
      </c>
      <c r="L443" s="1">
        <v>150.0</v>
      </c>
    </row>
    <row r="444">
      <c r="A444" s="1">
        <v>1509043.0</v>
      </c>
      <c r="B444" s="1" t="s">
        <v>1020</v>
      </c>
      <c r="C444" s="1" t="s">
        <v>1014</v>
      </c>
      <c r="D444" s="1" t="s">
        <v>1015</v>
      </c>
      <c r="E444" s="1" t="s">
        <v>1021</v>
      </c>
      <c r="F444" s="1" t="s">
        <v>16</v>
      </c>
      <c r="G444" s="1" t="s">
        <v>1022</v>
      </c>
      <c r="H444" s="1" t="s">
        <v>18</v>
      </c>
      <c r="I444" s="1" t="s">
        <v>40</v>
      </c>
      <c r="J444" s="1">
        <v>14.0</v>
      </c>
      <c r="K444" s="1">
        <v>8.0</v>
      </c>
      <c r="L444" s="1">
        <v>0.0</v>
      </c>
    </row>
    <row r="445">
      <c r="A445" s="1">
        <v>1507010.0</v>
      </c>
      <c r="B445" s="1" t="s">
        <v>1023</v>
      </c>
      <c r="C445" s="1" t="s">
        <v>1014</v>
      </c>
      <c r="D445" s="1" t="s">
        <v>1024</v>
      </c>
      <c r="E445" s="1" t="s">
        <v>1025</v>
      </c>
      <c r="F445" s="1" t="s">
        <v>16</v>
      </c>
      <c r="G445" s="1" t="s">
        <v>17</v>
      </c>
      <c r="H445" s="1" t="s">
        <v>28</v>
      </c>
      <c r="I445" s="1" t="s">
        <v>40</v>
      </c>
      <c r="J445" s="1">
        <v>134.0</v>
      </c>
      <c r="K445" s="1">
        <v>28.0</v>
      </c>
      <c r="L445" s="1">
        <v>455.0</v>
      </c>
    </row>
    <row r="446">
      <c r="A446" s="1">
        <v>1571158.0</v>
      </c>
      <c r="B446" s="1" t="s">
        <v>1026</v>
      </c>
      <c r="C446" s="1" t="s">
        <v>1014</v>
      </c>
      <c r="D446" s="1" t="s">
        <v>1027</v>
      </c>
      <c r="E446" s="1" t="s">
        <v>1028</v>
      </c>
      <c r="F446" s="1" t="s">
        <v>16</v>
      </c>
      <c r="G446" s="1" t="s">
        <v>17</v>
      </c>
      <c r="H446" s="1" t="s">
        <v>28</v>
      </c>
      <c r="I446" s="1" t="s">
        <v>29</v>
      </c>
      <c r="J446" s="1">
        <v>180.0</v>
      </c>
      <c r="K446" s="1">
        <v>72.0</v>
      </c>
      <c r="L446" s="1">
        <v>652.0</v>
      </c>
    </row>
    <row r="447">
      <c r="A447" s="1">
        <v>1571162.0</v>
      </c>
      <c r="B447" s="1" t="s">
        <v>1029</v>
      </c>
      <c r="C447" s="1" t="s">
        <v>1014</v>
      </c>
      <c r="D447" s="1" t="s">
        <v>1027</v>
      </c>
      <c r="E447" s="1" t="s">
        <v>1030</v>
      </c>
      <c r="F447" s="1" t="s">
        <v>16</v>
      </c>
      <c r="G447" s="1" t="s">
        <v>17</v>
      </c>
      <c r="H447" s="1" t="s">
        <v>18</v>
      </c>
      <c r="I447" s="1" t="s">
        <v>44</v>
      </c>
      <c r="J447" s="1">
        <v>106.0</v>
      </c>
      <c r="K447" s="1">
        <v>59.0</v>
      </c>
      <c r="L447" s="1">
        <v>201.0</v>
      </c>
    </row>
    <row r="448">
      <c r="A448" s="1">
        <v>1571159.0</v>
      </c>
      <c r="B448" s="1" t="s">
        <v>1031</v>
      </c>
      <c r="C448" s="1" t="s">
        <v>1014</v>
      </c>
      <c r="D448" s="1" t="s">
        <v>1027</v>
      </c>
      <c r="E448" s="1" t="s">
        <v>1032</v>
      </c>
      <c r="F448" s="1" t="s">
        <v>16</v>
      </c>
      <c r="G448" s="1" t="s">
        <v>17</v>
      </c>
      <c r="H448" s="1" t="s">
        <v>18</v>
      </c>
      <c r="I448" s="1" t="s">
        <v>44</v>
      </c>
      <c r="J448" s="1">
        <v>108.0</v>
      </c>
      <c r="K448" s="1">
        <v>26.0</v>
      </c>
      <c r="L448" s="1">
        <v>423.0</v>
      </c>
    </row>
    <row r="449">
      <c r="A449" s="1">
        <v>1571163.0</v>
      </c>
      <c r="B449" s="1" t="s">
        <v>1033</v>
      </c>
      <c r="C449" s="1" t="s">
        <v>1014</v>
      </c>
      <c r="D449" s="1" t="s">
        <v>1027</v>
      </c>
      <c r="E449" s="1" t="s">
        <v>1034</v>
      </c>
      <c r="F449" s="1" t="s">
        <v>16</v>
      </c>
      <c r="G449" s="1" t="s">
        <v>17</v>
      </c>
      <c r="H449" s="1" t="s">
        <v>18</v>
      </c>
      <c r="I449" s="1" t="s">
        <v>19</v>
      </c>
      <c r="J449" s="1">
        <v>100.0</v>
      </c>
      <c r="K449" s="1">
        <v>47.0</v>
      </c>
      <c r="L449" s="1">
        <v>239.0</v>
      </c>
    </row>
    <row r="450">
      <c r="A450" s="1">
        <v>1509013.0</v>
      </c>
      <c r="B450" s="1" t="s">
        <v>1035</v>
      </c>
      <c r="C450" s="1" t="s">
        <v>1014</v>
      </c>
      <c r="D450" s="1" t="s">
        <v>1015</v>
      </c>
      <c r="E450" s="1" t="s">
        <v>1036</v>
      </c>
      <c r="F450" s="1" t="s">
        <v>16</v>
      </c>
      <c r="G450" s="1" t="s">
        <v>27</v>
      </c>
      <c r="H450" s="1" t="s">
        <v>28</v>
      </c>
      <c r="I450" s="1" t="s">
        <v>40</v>
      </c>
      <c r="J450" s="1">
        <v>220.0</v>
      </c>
      <c r="K450" s="1">
        <v>95.0</v>
      </c>
      <c r="L450" s="1">
        <v>817.0</v>
      </c>
    </row>
    <row r="451">
      <c r="A451" s="1">
        <v>1509028.0</v>
      </c>
      <c r="B451" s="1" t="s">
        <v>569</v>
      </c>
      <c r="C451" s="1" t="s">
        <v>1014</v>
      </c>
      <c r="D451" s="1" t="s">
        <v>1015</v>
      </c>
      <c r="E451" s="1" t="s">
        <v>1037</v>
      </c>
      <c r="F451" s="1" t="s">
        <v>16</v>
      </c>
      <c r="G451" s="1" t="s">
        <v>17</v>
      </c>
      <c r="H451" s="1" t="s">
        <v>18</v>
      </c>
      <c r="I451" s="1" t="s">
        <v>44</v>
      </c>
      <c r="J451" s="1">
        <v>116.0</v>
      </c>
      <c r="K451" s="1">
        <v>32.0</v>
      </c>
      <c r="L451" s="1">
        <v>144.0</v>
      </c>
    </row>
    <row r="452">
      <c r="A452" s="1">
        <v>1508013.0</v>
      </c>
      <c r="B452" s="1" t="s">
        <v>1038</v>
      </c>
      <c r="C452" s="1" t="s">
        <v>1014</v>
      </c>
      <c r="D452" s="1" t="s">
        <v>1039</v>
      </c>
      <c r="E452" s="1" t="s">
        <v>1040</v>
      </c>
      <c r="F452" s="1" t="s">
        <v>16</v>
      </c>
      <c r="G452" s="1" t="s">
        <v>17</v>
      </c>
      <c r="H452" s="1" t="s">
        <v>28</v>
      </c>
      <c r="I452" s="1" t="s">
        <v>40</v>
      </c>
      <c r="J452" s="1">
        <v>130.0</v>
      </c>
      <c r="K452" s="1">
        <v>67.0</v>
      </c>
      <c r="L452" s="1">
        <v>157.0</v>
      </c>
    </row>
    <row r="453">
      <c r="A453" s="1">
        <v>1502015.0</v>
      </c>
      <c r="B453" s="1" t="s">
        <v>1041</v>
      </c>
      <c r="C453" s="1" t="s">
        <v>1014</v>
      </c>
      <c r="D453" s="1" t="s">
        <v>1042</v>
      </c>
      <c r="E453" s="1" t="s">
        <v>1043</v>
      </c>
      <c r="F453" s="1" t="s">
        <v>16</v>
      </c>
      <c r="G453" s="1" t="s">
        <v>17</v>
      </c>
      <c r="H453" s="1" t="s">
        <v>18</v>
      </c>
      <c r="I453" s="1" t="s">
        <v>19</v>
      </c>
      <c r="J453" s="1">
        <v>100.0</v>
      </c>
      <c r="K453" s="1">
        <v>26.0</v>
      </c>
      <c r="L453" s="1">
        <v>106.0</v>
      </c>
    </row>
    <row r="454">
      <c r="A454" s="1">
        <v>1571023.0</v>
      </c>
      <c r="B454" s="1" t="s">
        <v>1044</v>
      </c>
      <c r="C454" s="1" t="s">
        <v>1014</v>
      </c>
      <c r="D454" s="1" t="s">
        <v>1027</v>
      </c>
      <c r="E454" s="1" t="s">
        <v>1045</v>
      </c>
      <c r="F454" s="1" t="s">
        <v>16</v>
      </c>
      <c r="G454" s="1" t="s">
        <v>17</v>
      </c>
      <c r="H454" s="1" t="s">
        <v>33</v>
      </c>
      <c r="I454" s="1" t="s">
        <v>74</v>
      </c>
      <c r="J454" s="1">
        <v>194.0</v>
      </c>
      <c r="K454" s="1">
        <v>47.0</v>
      </c>
      <c r="L454" s="1">
        <v>571.0</v>
      </c>
    </row>
    <row r="455">
      <c r="A455" s="1">
        <v>1507013.0</v>
      </c>
      <c r="B455" s="1" t="s">
        <v>1046</v>
      </c>
      <c r="C455" s="1" t="s">
        <v>1014</v>
      </c>
      <c r="D455" s="1" t="s">
        <v>1024</v>
      </c>
      <c r="E455" s="1" t="s">
        <v>1047</v>
      </c>
      <c r="F455" s="1" t="s">
        <v>16</v>
      </c>
      <c r="G455" s="1" t="s">
        <v>23</v>
      </c>
      <c r="H455" s="1" t="s">
        <v>28</v>
      </c>
      <c r="I455" s="1" t="s">
        <v>40</v>
      </c>
      <c r="J455" s="1">
        <v>58.0</v>
      </c>
      <c r="K455" s="1">
        <v>17.0</v>
      </c>
      <c r="L455" s="1">
        <v>181.0</v>
      </c>
    </row>
    <row r="456">
      <c r="A456" s="1">
        <v>1571165.0</v>
      </c>
      <c r="B456" s="1" t="s">
        <v>1048</v>
      </c>
      <c r="C456" s="1" t="s">
        <v>1014</v>
      </c>
      <c r="D456" s="1" t="s">
        <v>1027</v>
      </c>
      <c r="E456" s="1" t="s">
        <v>1049</v>
      </c>
      <c r="F456" s="1" t="s">
        <v>16</v>
      </c>
      <c r="G456" s="1" t="s">
        <v>23</v>
      </c>
      <c r="H456" s="1" t="s">
        <v>18</v>
      </c>
      <c r="I456" s="1" t="s">
        <v>19</v>
      </c>
      <c r="J456" s="1">
        <v>55.0</v>
      </c>
      <c r="K456" s="1">
        <v>19.0</v>
      </c>
      <c r="L456" s="1">
        <v>78.0</v>
      </c>
    </row>
    <row r="457">
      <c r="A457" s="1">
        <v>1506022.0</v>
      </c>
      <c r="B457" s="1" t="s">
        <v>1050</v>
      </c>
      <c r="C457" s="1" t="s">
        <v>1014</v>
      </c>
      <c r="D457" s="1" t="s">
        <v>1051</v>
      </c>
      <c r="E457" s="1" t="s">
        <v>1052</v>
      </c>
      <c r="F457" s="1" t="s">
        <v>16</v>
      </c>
      <c r="G457" s="1" t="s">
        <v>98</v>
      </c>
      <c r="H457" s="1" t="s">
        <v>18</v>
      </c>
      <c r="I457" s="1" t="s">
        <v>40</v>
      </c>
      <c r="J457" s="1">
        <v>0.0</v>
      </c>
      <c r="K457" s="1">
        <v>1.0</v>
      </c>
      <c r="L457" s="1">
        <v>0.0</v>
      </c>
    </row>
    <row r="458">
      <c r="A458" s="1">
        <v>1503036.0</v>
      </c>
      <c r="B458" s="1" t="s">
        <v>1053</v>
      </c>
      <c r="C458" s="1" t="s">
        <v>1014</v>
      </c>
      <c r="D458" s="1" t="s">
        <v>1054</v>
      </c>
      <c r="E458" s="1" t="s">
        <v>1055</v>
      </c>
      <c r="F458" s="1" t="s">
        <v>16</v>
      </c>
      <c r="G458" s="1" t="s">
        <v>17</v>
      </c>
      <c r="H458" s="1" t="s">
        <v>28</v>
      </c>
      <c r="I458" s="1" t="s">
        <v>40</v>
      </c>
      <c r="J458" s="1">
        <v>137.0</v>
      </c>
      <c r="K458" s="1">
        <v>27.0</v>
      </c>
      <c r="L458" s="1">
        <v>392.0</v>
      </c>
    </row>
    <row r="459">
      <c r="A459" s="1">
        <v>1571169.0</v>
      </c>
      <c r="B459" s="1" t="s">
        <v>1056</v>
      </c>
      <c r="C459" s="1" t="s">
        <v>1014</v>
      </c>
      <c r="D459" s="1" t="s">
        <v>1027</v>
      </c>
      <c r="E459" s="1" t="s">
        <v>1057</v>
      </c>
      <c r="F459" s="1" t="s">
        <v>16</v>
      </c>
      <c r="G459" s="1" t="s">
        <v>23</v>
      </c>
      <c r="H459" s="1" t="s">
        <v>18</v>
      </c>
      <c r="I459" s="1" t="s">
        <v>29</v>
      </c>
      <c r="J459" s="1">
        <v>50.0</v>
      </c>
      <c r="K459" s="1">
        <v>25.0</v>
      </c>
      <c r="L459" s="1">
        <v>68.0</v>
      </c>
    </row>
    <row r="460">
      <c r="A460" s="1">
        <v>1504017.0</v>
      </c>
      <c r="B460" s="1" t="s">
        <v>1058</v>
      </c>
      <c r="C460" s="1" t="s">
        <v>1014</v>
      </c>
      <c r="D460" s="1" t="s">
        <v>1027</v>
      </c>
      <c r="E460" s="1" t="s">
        <v>1059</v>
      </c>
      <c r="F460" s="1" t="s">
        <v>16</v>
      </c>
      <c r="G460" s="1" t="s">
        <v>17</v>
      </c>
      <c r="H460" s="1" t="s">
        <v>18</v>
      </c>
      <c r="I460" s="1" t="s">
        <v>163</v>
      </c>
      <c r="J460" s="1">
        <v>154.0</v>
      </c>
      <c r="K460" s="1">
        <v>85.0</v>
      </c>
      <c r="L460" s="1">
        <v>170.0</v>
      </c>
    </row>
    <row r="461">
      <c r="A461" s="1">
        <v>1571168.0</v>
      </c>
      <c r="B461" s="1" t="s">
        <v>1060</v>
      </c>
      <c r="C461" s="1" t="s">
        <v>1014</v>
      </c>
      <c r="D461" s="1" t="s">
        <v>1027</v>
      </c>
      <c r="E461" s="1" t="s">
        <v>1061</v>
      </c>
      <c r="F461" s="1" t="s">
        <v>16</v>
      </c>
      <c r="G461" s="1" t="s">
        <v>17</v>
      </c>
      <c r="H461" s="1" t="s">
        <v>18</v>
      </c>
      <c r="I461" s="1" t="s">
        <v>19</v>
      </c>
      <c r="J461" s="1">
        <v>100.0</v>
      </c>
      <c r="K461" s="1">
        <v>35.0</v>
      </c>
      <c r="L461" s="1">
        <v>155.0</v>
      </c>
    </row>
    <row r="462">
      <c r="A462" s="1">
        <v>1571045.0</v>
      </c>
      <c r="B462" s="1" t="s">
        <v>1062</v>
      </c>
      <c r="C462" s="1" t="s">
        <v>1014</v>
      </c>
      <c r="D462" s="1" t="s">
        <v>1027</v>
      </c>
      <c r="E462" s="1" t="s">
        <v>1063</v>
      </c>
      <c r="F462" s="1" t="s">
        <v>16</v>
      </c>
      <c r="G462" s="1" t="s">
        <v>17</v>
      </c>
      <c r="H462" s="1" t="s">
        <v>18</v>
      </c>
      <c r="I462" s="1" t="s">
        <v>19</v>
      </c>
      <c r="J462" s="1">
        <v>100.0</v>
      </c>
      <c r="K462" s="1">
        <v>39.0</v>
      </c>
      <c r="L462" s="1">
        <v>462.0</v>
      </c>
    </row>
    <row r="463">
      <c r="A463" s="1">
        <v>1503039.0</v>
      </c>
      <c r="B463" s="1" t="s">
        <v>1064</v>
      </c>
      <c r="C463" s="1" t="s">
        <v>1014</v>
      </c>
      <c r="D463" s="1" t="s">
        <v>1054</v>
      </c>
      <c r="E463" s="1" t="s">
        <v>1065</v>
      </c>
      <c r="F463" s="1" t="s">
        <v>16</v>
      </c>
      <c r="G463" s="1" t="s">
        <v>17</v>
      </c>
      <c r="H463" s="1" t="s">
        <v>18</v>
      </c>
      <c r="I463" s="1" t="s">
        <v>19</v>
      </c>
      <c r="J463" s="1">
        <v>101.0</v>
      </c>
      <c r="K463" s="1">
        <v>24.0</v>
      </c>
      <c r="L463" s="1">
        <v>205.0</v>
      </c>
    </row>
    <row r="464">
      <c r="A464" s="1">
        <v>1505016.0</v>
      </c>
      <c r="B464" s="1" t="s">
        <v>1066</v>
      </c>
      <c r="C464" s="1" t="s">
        <v>1014</v>
      </c>
      <c r="D464" s="1" t="s">
        <v>1018</v>
      </c>
      <c r="E464" s="1" t="s">
        <v>1067</v>
      </c>
      <c r="F464" s="1" t="s">
        <v>16</v>
      </c>
      <c r="G464" s="1" t="s">
        <v>17</v>
      </c>
      <c r="H464" s="1" t="s">
        <v>28</v>
      </c>
      <c r="I464" s="1" t="s">
        <v>40</v>
      </c>
      <c r="J464" s="1">
        <v>114.0</v>
      </c>
      <c r="K464" s="1">
        <v>29.0</v>
      </c>
      <c r="L464" s="1">
        <v>238.0</v>
      </c>
    </row>
    <row r="465">
      <c r="A465" s="1">
        <v>1571147.0</v>
      </c>
      <c r="B465" s="1" t="s">
        <v>1068</v>
      </c>
      <c r="C465" s="1" t="s">
        <v>1014</v>
      </c>
      <c r="D465" s="1" t="s">
        <v>1027</v>
      </c>
      <c r="E465" s="1" t="s">
        <v>1069</v>
      </c>
      <c r="F465" s="1" t="s">
        <v>16</v>
      </c>
      <c r="G465" s="1" t="s">
        <v>27</v>
      </c>
      <c r="H465" s="1" t="s">
        <v>18</v>
      </c>
      <c r="I465" s="1" t="s">
        <v>19</v>
      </c>
      <c r="J465" s="1">
        <v>108.0</v>
      </c>
      <c r="K465" s="1">
        <v>80.0</v>
      </c>
      <c r="L465" s="1">
        <v>363.0</v>
      </c>
    </row>
    <row r="466">
      <c r="A466" s="1">
        <v>1505027.0</v>
      </c>
      <c r="B466" s="1" t="s">
        <v>1070</v>
      </c>
      <c r="C466" s="1" t="s">
        <v>1014</v>
      </c>
      <c r="D466" s="1" t="s">
        <v>1018</v>
      </c>
      <c r="E466" s="1" t="s">
        <v>1071</v>
      </c>
      <c r="F466" s="1" t="s">
        <v>16</v>
      </c>
      <c r="G466" s="1" t="s">
        <v>23</v>
      </c>
      <c r="H466" s="1" t="s">
        <v>28</v>
      </c>
      <c r="I466" s="1" t="s">
        <v>40</v>
      </c>
      <c r="J466" s="1">
        <v>51.0</v>
      </c>
      <c r="K466" s="1">
        <v>15.0</v>
      </c>
      <c r="L466" s="1">
        <v>152.0</v>
      </c>
    </row>
    <row r="467">
      <c r="A467" s="1">
        <v>1509029.0</v>
      </c>
      <c r="B467" s="1" t="s">
        <v>1072</v>
      </c>
      <c r="C467" s="1" t="s">
        <v>1014</v>
      </c>
      <c r="D467" s="1" t="s">
        <v>1015</v>
      </c>
      <c r="E467" s="1" t="s">
        <v>1073</v>
      </c>
      <c r="F467" s="1" t="s">
        <v>55</v>
      </c>
      <c r="G467" s="1" t="s">
        <v>17</v>
      </c>
      <c r="H467" s="1" t="s">
        <v>18</v>
      </c>
      <c r="I467" s="1" t="s">
        <v>163</v>
      </c>
      <c r="J467" s="1">
        <v>47.0</v>
      </c>
      <c r="K467" s="1">
        <v>27.0</v>
      </c>
      <c r="L467" s="1">
        <v>18.0</v>
      </c>
    </row>
    <row r="468">
      <c r="A468" s="1">
        <v>1506011.0</v>
      </c>
      <c r="B468" s="1" t="s">
        <v>1074</v>
      </c>
      <c r="C468" s="1" t="s">
        <v>1014</v>
      </c>
      <c r="D468" s="1" t="s">
        <v>1051</v>
      </c>
      <c r="E468" s="1" t="s">
        <v>1075</v>
      </c>
      <c r="F468" s="1" t="s">
        <v>16</v>
      </c>
      <c r="G468" s="1" t="s">
        <v>17</v>
      </c>
      <c r="H468" s="1" t="s">
        <v>28</v>
      </c>
      <c r="I468" s="1" t="s">
        <v>40</v>
      </c>
      <c r="J468" s="1">
        <v>103.0</v>
      </c>
      <c r="K468" s="1">
        <v>31.0</v>
      </c>
      <c r="L468" s="1">
        <v>225.0</v>
      </c>
    </row>
    <row r="469">
      <c r="A469" s="1">
        <v>1571164.0</v>
      </c>
      <c r="B469" s="1" t="s">
        <v>1076</v>
      </c>
      <c r="C469" s="1" t="s">
        <v>1014</v>
      </c>
      <c r="D469" s="1" t="s">
        <v>1027</v>
      </c>
      <c r="E469" s="1" t="s">
        <v>1077</v>
      </c>
      <c r="F469" s="1" t="s">
        <v>16</v>
      </c>
      <c r="G469" s="1" t="s">
        <v>23</v>
      </c>
      <c r="H469" s="1" t="s">
        <v>18</v>
      </c>
      <c r="I469" s="1" t="s">
        <v>59</v>
      </c>
      <c r="J469" s="1">
        <v>36.0</v>
      </c>
      <c r="K469" s="1">
        <v>17.0</v>
      </c>
      <c r="L469" s="1">
        <v>22.0</v>
      </c>
    </row>
    <row r="470">
      <c r="A470" s="1">
        <v>1571180.0</v>
      </c>
      <c r="B470" s="1" t="s">
        <v>1078</v>
      </c>
      <c r="C470" s="1" t="s">
        <v>1014</v>
      </c>
      <c r="D470" s="1" t="s">
        <v>1027</v>
      </c>
      <c r="E470" s="1" t="s">
        <v>1079</v>
      </c>
      <c r="F470" s="1" t="s">
        <v>16</v>
      </c>
      <c r="G470" s="1" t="s">
        <v>17</v>
      </c>
      <c r="H470" s="1" t="s">
        <v>18</v>
      </c>
      <c r="I470" s="1" t="s">
        <v>19</v>
      </c>
      <c r="J470" s="1">
        <v>100.0</v>
      </c>
      <c r="K470" s="1">
        <v>28.0</v>
      </c>
      <c r="L470" s="1">
        <v>0.0</v>
      </c>
    </row>
    <row r="471">
      <c r="A471" s="1">
        <v>1504018.0</v>
      </c>
      <c r="B471" s="1" t="s">
        <v>1080</v>
      </c>
      <c r="C471" s="1" t="s">
        <v>1014</v>
      </c>
      <c r="D471" s="1" t="s">
        <v>1081</v>
      </c>
      <c r="E471" s="1" t="s">
        <v>1082</v>
      </c>
      <c r="F471" s="1" t="s">
        <v>16</v>
      </c>
      <c r="G471" s="1" t="s">
        <v>17</v>
      </c>
      <c r="H471" s="1" t="s">
        <v>18</v>
      </c>
      <c r="I471" s="1" t="s">
        <v>19</v>
      </c>
      <c r="J471" s="1">
        <v>116.0</v>
      </c>
      <c r="K471" s="1">
        <v>23.0</v>
      </c>
      <c r="L471" s="1">
        <v>174.0</v>
      </c>
    </row>
    <row r="472">
      <c r="A472" s="1">
        <v>1501012.0</v>
      </c>
      <c r="B472" s="1" t="s">
        <v>1083</v>
      </c>
      <c r="C472" s="1" t="s">
        <v>1014</v>
      </c>
      <c r="D472" s="1" t="s">
        <v>1084</v>
      </c>
      <c r="E472" s="1" t="s">
        <v>1085</v>
      </c>
      <c r="F472" s="1" t="s">
        <v>16</v>
      </c>
      <c r="G472" s="1" t="s">
        <v>17</v>
      </c>
      <c r="H472" s="1" t="s">
        <v>28</v>
      </c>
      <c r="I472" s="1" t="s">
        <v>29</v>
      </c>
      <c r="J472" s="1">
        <v>145.0</v>
      </c>
      <c r="K472" s="1">
        <v>21.0</v>
      </c>
      <c r="L472" s="1">
        <v>278.0</v>
      </c>
    </row>
    <row r="473">
      <c r="A473" s="1">
        <v>1571161.0</v>
      </c>
      <c r="B473" s="1" t="s">
        <v>918</v>
      </c>
      <c r="C473" s="1" t="s">
        <v>1014</v>
      </c>
      <c r="D473" s="1" t="s">
        <v>1027</v>
      </c>
      <c r="E473" s="1" t="s">
        <v>1086</v>
      </c>
      <c r="F473" s="1" t="s">
        <v>55</v>
      </c>
      <c r="G473" s="1" t="s">
        <v>17</v>
      </c>
      <c r="H473" s="1" t="s">
        <v>18</v>
      </c>
      <c r="I473" s="1" t="s">
        <v>44</v>
      </c>
      <c r="J473" s="1">
        <v>73.0</v>
      </c>
      <c r="K473" s="1">
        <v>26.0</v>
      </c>
      <c r="L473" s="1">
        <v>117.0</v>
      </c>
    </row>
    <row r="474">
      <c r="A474" s="1">
        <v>1502019.0</v>
      </c>
      <c r="B474" s="1" t="s">
        <v>1087</v>
      </c>
      <c r="C474" s="1" t="s">
        <v>1014</v>
      </c>
      <c r="D474" s="1" t="s">
        <v>1042</v>
      </c>
      <c r="E474" s="1" t="s">
        <v>1088</v>
      </c>
      <c r="F474" s="1" t="s">
        <v>16</v>
      </c>
      <c r="G474" s="1" t="s">
        <v>23</v>
      </c>
      <c r="H474" s="1" t="s">
        <v>33</v>
      </c>
      <c r="I474" s="1" t="s">
        <v>19</v>
      </c>
      <c r="J474" s="1">
        <v>72.0</v>
      </c>
      <c r="K474" s="1">
        <v>28.0</v>
      </c>
      <c r="L474" s="1">
        <v>35.0</v>
      </c>
    </row>
    <row r="475">
      <c r="A475" s="1">
        <v>1571012.0</v>
      </c>
      <c r="B475" s="1" t="s">
        <v>1089</v>
      </c>
      <c r="C475" s="1" t="s">
        <v>1014</v>
      </c>
      <c r="D475" s="1" t="s">
        <v>1027</v>
      </c>
      <c r="E475" s="1" t="s">
        <v>1090</v>
      </c>
      <c r="F475" s="1" t="s">
        <v>16</v>
      </c>
      <c r="G475" s="1" t="s">
        <v>27</v>
      </c>
      <c r="H475" s="1" t="s">
        <v>28</v>
      </c>
      <c r="I475" s="1" t="s">
        <v>139</v>
      </c>
      <c r="J475" s="1">
        <v>393.0</v>
      </c>
      <c r="K475" s="1">
        <v>44.0</v>
      </c>
      <c r="L475" s="1">
        <v>584.0</v>
      </c>
    </row>
    <row r="476">
      <c r="A476" s="1">
        <v>1572003.0</v>
      </c>
      <c r="B476" s="1" t="s">
        <v>449</v>
      </c>
      <c r="C476" s="1" t="s">
        <v>1014</v>
      </c>
      <c r="D476" s="1" t="s">
        <v>1084</v>
      </c>
      <c r="E476" s="1" t="s">
        <v>1091</v>
      </c>
      <c r="F476" s="1" t="s">
        <v>16</v>
      </c>
      <c r="G476" s="1" t="s">
        <v>23</v>
      </c>
      <c r="H476" s="1" t="s">
        <v>18</v>
      </c>
      <c r="I476" s="1" t="s">
        <v>44</v>
      </c>
      <c r="J476" s="1">
        <v>53.0</v>
      </c>
      <c r="K476" s="1">
        <v>12.0</v>
      </c>
      <c r="L476" s="1">
        <v>2.0</v>
      </c>
    </row>
    <row r="477">
      <c r="A477" s="1">
        <v>1502014.0</v>
      </c>
      <c r="B477" s="1" t="s">
        <v>1092</v>
      </c>
      <c r="C477" s="1" t="s">
        <v>1014</v>
      </c>
      <c r="D477" s="1" t="s">
        <v>1042</v>
      </c>
      <c r="E477" s="1" t="s">
        <v>1093</v>
      </c>
      <c r="F477" s="1" t="s">
        <v>16</v>
      </c>
      <c r="G477" s="1" t="s">
        <v>17</v>
      </c>
      <c r="H477" s="1" t="s">
        <v>28</v>
      </c>
      <c r="I477" s="1" t="s">
        <v>40</v>
      </c>
      <c r="J477" s="1">
        <v>141.0</v>
      </c>
      <c r="K477" s="1">
        <v>32.0</v>
      </c>
      <c r="L477" s="1">
        <v>595.0</v>
      </c>
    </row>
    <row r="478">
      <c r="A478" s="1">
        <v>1502018.0</v>
      </c>
      <c r="B478" s="1" t="s">
        <v>1094</v>
      </c>
      <c r="C478" s="1" t="s">
        <v>1014</v>
      </c>
      <c r="D478" s="1" t="s">
        <v>1042</v>
      </c>
      <c r="E478" s="1" t="s">
        <v>1095</v>
      </c>
      <c r="F478" s="1" t="s">
        <v>16</v>
      </c>
      <c r="G478" s="1" t="s">
        <v>23</v>
      </c>
      <c r="H478" s="1" t="s">
        <v>18</v>
      </c>
      <c r="I478" s="1" t="s">
        <v>19</v>
      </c>
      <c r="J478" s="1">
        <v>62.0</v>
      </c>
      <c r="K478" s="1">
        <v>21.0</v>
      </c>
      <c r="L478" s="1">
        <v>12.0</v>
      </c>
    </row>
    <row r="479">
      <c r="A479" s="1">
        <v>1571034.0</v>
      </c>
      <c r="B479" s="1" t="s">
        <v>1096</v>
      </c>
      <c r="C479" s="1" t="s">
        <v>1014</v>
      </c>
      <c r="D479" s="1" t="s">
        <v>1027</v>
      </c>
      <c r="E479" s="1" t="s">
        <v>1097</v>
      </c>
      <c r="F479" s="1" t="s">
        <v>16</v>
      </c>
      <c r="G479" s="1" t="s">
        <v>17</v>
      </c>
      <c r="H479" s="1" t="s">
        <v>18</v>
      </c>
      <c r="I479" s="1" t="s">
        <v>65</v>
      </c>
      <c r="J479" s="1">
        <v>199.0</v>
      </c>
      <c r="K479" s="1">
        <v>40.0</v>
      </c>
      <c r="L479" s="1">
        <v>498.0</v>
      </c>
    </row>
    <row r="480">
      <c r="A480" s="1">
        <v>1504015.0</v>
      </c>
      <c r="B480" s="1" t="s">
        <v>1098</v>
      </c>
      <c r="C480" s="1" t="s">
        <v>1014</v>
      </c>
      <c r="D480" s="1" t="s">
        <v>1081</v>
      </c>
      <c r="E480" s="1" t="s">
        <v>1099</v>
      </c>
      <c r="F480" s="1" t="s">
        <v>16</v>
      </c>
      <c r="G480" s="1" t="s">
        <v>17</v>
      </c>
      <c r="H480" s="1" t="s">
        <v>28</v>
      </c>
      <c r="I480" s="1" t="s">
        <v>40</v>
      </c>
      <c r="J480" s="1">
        <v>160.0</v>
      </c>
      <c r="K480" s="1">
        <v>42.0</v>
      </c>
      <c r="L480" s="1">
        <v>437.0</v>
      </c>
    </row>
    <row r="481">
      <c r="A481" s="1">
        <v>1571136.0</v>
      </c>
      <c r="B481" s="1" t="s">
        <v>1100</v>
      </c>
      <c r="C481" s="1" t="s">
        <v>1014</v>
      </c>
      <c r="D481" s="1" t="s">
        <v>1027</v>
      </c>
      <c r="E481" s="1" t="s">
        <v>1101</v>
      </c>
      <c r="F481" s="1" t="s">
        <v>174</v>
      </c>
      <c r="G481" s="1" t="s">
        <v>27</v>
      </c>
      <c r="H481" s="1" t="s">
        <v>28</v>
      </c>
      <c r="I481" s="1" t="s">
        <v>139</v>
      </c>
      <c r="J481" s="1">
        <v>240.0</v>
      </c>
      <c r="K481" s="1">
        <v>28.0</v>
      </c>
      <c r="L481" s="1">
        <v>399.0</v>
      </c>
    </row>
    <row r="482">
      <c r="A482" s="1">
        <v>1508002.0</v>
      </c>
      <c r="B482" s="1" t="s">
        <v>1102</v>
      </c>
      <c r="C482" s="1" t="s">
        <v>1014</v>
      </c>
      <c r="D482" s="1" t="s">
        <v>1039</v>
      </c>
      <c r="E482" s="1" t="s">
        <v>1103</v>
      </c>
      <c r="F482" s="1" t="s">
        <v>16</v>
      </c>
      <c r="G482" s="1" t="s">
        <v>23</v>
      </c>
      <c r="H482" s="1" t="s">
        <v>18</v>
      </c>
      <c r="I482" s="1" t="s">
        <v>44</v>
      </c>
      <c r="J482" s="1">
        <v>51.0</v>
      </c>
      <c r="K482" s="1">
        <v>8.0</v>
      </c>
      <c r="L482" s="1">
        <v>21.0</v>
      </c>
    </row>
    <row r="483">
      <c r="A483" s="1">
        <v>1509042.0</v>
      </c>
      <c r="B483" s="1" t="s">
        <v>1104</v>
      </c>
      <c r="C483" s="1" t="s">
        <v>1014</v>
      </c>
      <c r="D483" s="1" t="s">
        <v>1015</v>
      </c>
      <c r="E483" s="1" t="s">
        <v>1105</v>
      </c>
      <c r="F483" s="1" t="s">
        <v>16</v>
      </c>
      <c r="G483" s="1" t="s">
        <v>23</v>
      </c>
      <c r="H483" s="1" t="s">
        <v>18</v>
      </c>
      <c r="I483" s="1" t="s">
        <v>40</v>
      </c>
      <c r="J483" s="1">
        <v>20.0</v>
      </c>
      <c r="K483" s="1">
        <v>8.0</v>
      </c>
      <c r="L483" s="1">
        <v>0.0</v>
      </c>
    </row>
    <row r="484">
      <c r="A484" s="1">
        <v>1671337.0</v>
      </c>
      <c r="B484" s="1" t="s">
        <v>1106</v>
      </c>
      <c r="C484" s="1" t="s">
        <v>1107</v>
      </c>
      <c r="D484" s="1" t="s">
        <v>1108</v>
      </c>
      <c r="E484" s="1" t="s">
        <v>1109</v>
      </c>
      <c r="F484" s="1" t="s">
        <v>55</v>
      </c>
      <c r="G484" s="1" t="s">
        <v>17</v>
      </c>
      <c r="H484" s="1" t="s">
        <v>18</v>
      </c>
      <c r="I484" s="1" t="s">
        <v>19</v>
      </c>
      <c r="J484" s="1">
        <v>25.0</v>
      </c>
      <c r="K484" s="1">
        <v>9.0</v>
      </c>
      <c r="L484" s="1">
        <v>25.0</v>
      </c>
    </row>
    <row r="485">
      <c r="A485" s="1">
        <v>1671347.0</v>
      </c>
      <c r="B485" s="1" t="s">
        <v>1110</v>
      </c>
      <c r="C485" s="1" t="s">
        <v>1107</v>
      </c>
      <c r="D485" s="1" t="s">
        <v>1108</v>
      </c>
      <c r="E485" s="1" t="s">
        <v>1111</v>
      </c>
      <c r="F485" s="1" t="s">
        <v>16</v>
      </c>
      <c r="G485" s="1" t="s">
        <v>27</v>
      </c>
      <c r="H485" s="1" t="s">
        <v>28</v>
      </c>
      <c r="I485" s="1" t="s">
        <v>139</v>
      </c>
      <c r="J485" s="1">
        <v>306.0</v>
      </c>
      <c r="K485" s="1">
        <v>81.0</v>
      </c>
      <c r="L485" s="1">
        <v>519.0</v>
      </c>
    </row>
    <row r="486">
      <c r="A486" s="1">
        <v>1672026.0</v>
      </c>
      <c r="B486" s="1" t="s">
        <v>1112</v>
      </c>
      <c r="C486" s="1" t="s">
        <v>1107</v>
      </c>
      <c r="D486" s="1" t="s">
        <v>1113</v>
      </c>
      <c r="E486" s="1" t="s">
        <v>1114</v>
      </c>
      <c r="F486" s="1" t="s">
        <v>16</v>
      </c>
      <c r="G486" s="1" t="s">
        <v>17</v>
      </c>
      <c r="H486" s="1" t="s">
        <v>18</v>
      </c>
      <c r="I486" s="1" t="s">
        <v>113</v>
      </c>
      <c r="J486" s="1">
        <v>100.0</v>
      </c>
      <c r="K486" s="1">
        <v>28.0</v>
      </c>
      <c r="L486" s="1">
        <v>188.0</v>
      </c>
    </row>
    <row r="487">
      <c r="A487" s="1">
        <v>1607016.0</v>
      </c>
      <c r="B487" s="1" t="s">
        <v>1115</v>
      </c>
      <c r="C487" s="1" t="s">
        <v>1107</v>
      </c>
      <c r="D487" s="1" t="s">
        <v>1116</v>
      </c>
      <c r="E487" s="1" t="s">
        <v>1117</v>
      </c>
      <c r="F487" s="1" t="s">
        <v>16</v>
      </c>
      <c r="G487" s="1" t="s">
        <v>23</v>
      </c>
      <c r="H487" s="1" t="s">
        <v>28</v>
      </c>
      <c r="I487" s="1" t="s">
        <v>40</v>
      </c>
      <c r="J487" s="1">
        <v>50.0</v>
      </c>
      <c r="K487" s="1">
        <v>20.0</v>
      </c>
      <c r="L487" s="1">
        <v>8.0</v>
      </c>
    </row>
    <row r="488">
      <c r="A488" s="1">
        <v>1604032.0</v>
      </c>
      <c r="B488" s="1" t="s">
        <v>1118</v>
      </c>
      <c r="C488" s="1" t="s">
        <v>1107</v>
      </c>
      <c r="D488" s="1" t="s">
        <v>1119</v>
      </c>
      <c r="E488" s="1" t="s">
        <v>1120</v>
      </c>
      <c r="F488" s="1" t="s">
        <v>55</v>
      </c>
      <c r="G488" s="1" t="s">
        <v>17</v>
      </c>
      <c r="H488" s="1" t="s">
        <v>18</v>
      </c>
      <c r="I488" s="1" t="s">
        <v>19</v>
      </c>
      <c r="J488" s="1">
        <v>30.0</v>
      </c>
      <c r="K488" s="1">
        <v>11.0</v>
      </c>
      <c r="L488" s="1">
        <v>0.0</v>
      </c>
    </row>
    <row r="489">
      <c r="A489" s="1">
        <v>1606032.0</v>
      </c>
      <c r="B489" s="1" t="s">
        <v>1121</v>
      </c>
      <c r="C489" s="1" t="s">
        <v>1107</v>
      </c>
      <c r="D489" s="1" t="s">
        <v>1122</v>
      </c>
      <c r="E489" s="1" t="s">
        <v>1123</v>
      </c>
      <c r="F489" s="1" t="s">
        <v>16</v>
      </c>
      <c r="G489" s="1" t="s">
        <v>17</v>
      </c>
      <c r="H489" s="1" t="s">
        <v>28</v>
      </c>
      <c r="I489" s="1" t="s">
        <v>40</v>
      </c>
      <c r="J489" s="1">
        <v>104.0</v>
      </c>
      <c r="K489" s="1">
        <v>26.0</v>
      </c>
      <c r="L489" s="1">
        <v>139.0</v>
      </c>
    </row>
    <row r="490">
      <c r="A490" s="1">
        <v>1674032.0</v>
      </c>
      <c r="B490" s="1" t="s">
        <v>1124</v>
      </c>
      <c r="C490" s="1" t="s">
        <v>1107</v>
      </c>
      <c r="D490" s="1" t="s">
        <v>1125</v>
      </c>
      <c r="E490" s="1" t="s">
        <v>1126</v>
      </c>
      <c r="F490" s="1" t="s">
        <v>16</v>
      </c>
      <c r="G490" s="1" t="s">
        <v>17</v>
      </c>
      <c r="H490" s="1" t="s">
        <v>28</v>
      </c>
      <c r="I490" s="1" t="s">
        <v>29</v>
      </c>
      <c r="J490" s="1">
        <v>121.0</v>
      </c>
      <c r="K490" s="1">
        <v>24.0</v>
      </c>
      <c r="L490" s="1">
        <v>348.0</v>
      </c>
    </row>
    <row r="491">
      <c r="A491" s="1">
        <v>1671083.0</v>
      </c>
      <c r="B491" s="1" t="s">
        <v>1127</v>
      </c>
      <c r="C491" s="1" t="s">
        <v>1107</v>
      </c>
      <c r="D491" s="1" t="s">
        <v>1108</v>
      </c>
      <c r="E491" s="1" t="s">
        <v>1128</v>
      </c>
      <c r="F491" s="1" t="s">
        <v>16</v>
      </c>
      <c r="G491" s="1" t="s">
        <v>27</v>
      </c>
      <c r="H491" s="1" t="s">
        <v>18</v>
      </c>
      <c r="I491" s="1" t="s">
        <v>59</v>
      </c>
      <c r="J491" s="1">
        <v>200.0</v>
      </c>
      <c r="K491" s="1">
        <v>97.0</v>
      </c>
      <c r="L491" s="1">
        <v>620.0</v>
      </c>
    </row>
    <row r="492">
      <c r="A492" s="1">
        <v>1671341.0</v>
      </c>
      <c r="B492" s="1" t="s">
        <v>1129</v>
      </c>
      <c r="C492" s="1" t="s">
        <v>1107</v>
      </c>
      <c r="D492" s="1" t="s">
        <v>1108</v>
      </c>
      <c r="E492" s="1" t="s">
        <v>1130</v>
      </c>
      <c r="F492" s="1" t="s">
        <v>55</v>
      </c>
      <c r="G492" s="1" t="s">
        <v>17</v>
      </c>
      <c r="H492" s="1" t="s">
        <v>18</v>
      </c>
      <c r="I492" s="1" t="s">
        <v>59</v>
      </c>
      <c r="J492" s="1">
        <v>25.0</v>
      </c>
      <c r="K492" s="1">
        <v>13.0</v>
      </c>
      <c r="L492" s="1">
        <v>29.0</v>
      </c>
    </row>
    <row r="493">
      <c r="A493" s="1">
        <v>1603063.0</v>
      </c>
      <c r="B493" s="1" t="s">
        <v>1131</v>
      </c>
      <c r="C493" s="1" t="s">
        <v>1107</v>
      </c>
      <c r="D493" s="1" t="s">
        <v>1132</v>
      </c>
      <c r="E493" s="1" t="s">
        <v>1133</v>
      </c>
      <c r="F493" s="1" t="s">
        <v>16</v>
      </c>
      <c r="G493" s="1" t="s">
        <v>27</v>
      </c>
      <c r="H493" s="1" t="s">
        <v>28</v>
      </c>
      <c r="I493" s="1" t="s">
        <v>40</v>
      </c>
      <c r="J493" s="1">
        <v>264.0</v>
      </c>
      <c r="K493" s="1">
        <v>47.0</v>
      </c>
      <c r="L493" s="1">
        <v>509.0</v>
      </c>
    </row>
    <row r="494">
      <c r="A494" s="1">
        <v>1671324.0</v>
      </c>
      <c r="B494" s="1" t="s">
        <v>1134</v>
      </c>
      <c r="C494" s="1" t="s">
        <v>1107</v>
      </c>
      <c r="D494" s="1" t="s">
        <v>1108</v>
      </c>
      <c r="E494" s="1" t="s">
        <v>1135</v>
      </c>
      <c r="F494" s="1" t="s">
        <v>55</v>
      </c>
      <c r="G494" s="1" t="s">
        <v>17</v>
      </c>
      <c r="H494" s="1" t="s">
        <v>18</v>
      </c>
      <c r="I494" s="1" t="s">
        <v>59</v>
      </c>
      <c r="J494" s="1">
        <v>43.0</v>
      </c>
      <c r="K494" s="1">
        <v>18.0</v>
      </c>
      <c r="L494" s="1">
        <v>152.0</v>
      </c>
    </row>
    <row r="495">
      <c r="A495" s="1">
        <v>1601089.0</v>
      </c>
      <c r="B495" s="1" t="s">
        <v>1136</v>
      </c>
      <c r="C495" s="1" t="s">
        <v>1107</v>
      </c>
      <c r="D495" s="1" t="s">
        <v>1137</v>
      </c>
      <c r="E495" s="1" t="s">
        <v>1138</v>
      </c>
      <c r="F495" s="1" t="s">
        <v>55</v>
      </c>
      <c r="G495" s="1" t="s">
        <v>17</v>
      </c>
      <c r="H495" s="1" t="s">
        <v>18</v>
      </c>
      <c r="I495" s="1" t="s">
        <v>44</v>
      </c>
      <c r="J495" s="1">
        <v>31.0</v>
      </c>
      <c r="K495" s="1">
        <v>27.0</v>
      </c>
      <c r="L495" s="1">
        <v>29.0</v>
      </c>
    </row>
    <row r="496">
      <c r="A496" s="1">
        <v>1608051.0</v>
      </c>
      <c r="B496" s="1" t="s">
        <v>1139</v>
      </c>
      <c r="C496" s="1" t="s">
        <v>1107</v>
      </c>
      <c r="D496" s="1" t="s">
        <v>1140</v>
      </c>
      <c r="E496" s="1" t="s">
        <v>1141</v>
      </c>
      <c r="F496" s="1" t="s">
        <v>16</v>
      </c>
      <c r="G496" s="1" t="s">
        <v>23</v>
      </c>
      <c r="H496" s="1" t="s">
        <v>28</v>
      </c>
      <c r="I496" s="1" t="s">
        <v>40</v>
      </c>
      <c r="J496" s="1">
        <v>105.0</v>
      </c>
      <c r="K496" s="1">
        <v>26.0</v>
      </c>
      <c r="L496" s="1">
        <v>431.0</v>
      </c>
    </row>
    <row r="497">
      <c r="A497" s="1">
        <v>1671072.0</v>
      </c>
      <c r="B497" s="1" t="s">
        <v>1142</v>
      </c>
      <c r="C497" s="1" t="s">
        <v>1107</v>
      </c>
      <c r="D497" s="1" t="s">
        <v>1116</v>
      </c>
      <c r="E497" s="1" t="s">
        <v>1143</v>
      </c>
      <c r="F497" s="1" t="s">
        <v>16</v>
      </c>
      <c r="G497" s="1" t="s">
        <v>17</v>
      </c>
      <c r="H497" s="1" t="s">
        <v>33</v>
      </c>
      <c r="I497" s="1" t="s">
        <v>411</v>
      </c>
      <c r="J497" s="1">
        <v>103.0</v>
      </c>
      <c r="K497" s="1">
        <v>48.0</v>
      </c>
      <c r="L497" s="1">
        <v>219.0</v>
      </c>
    </row>
    <row r="498">
      <c r="A498" s="1">
        <v>1601035.0</v>
      </c>
      <c r="B498" s="1" t="s">
        <v>1144</v>
      </c>
      <c r="C498" s="1" t="s">
        <v>1107</v>
      </c>
      <c r="D498" s="1" t="s">
        <v>1137</v>
      </c>
      <c r="E498" s="1" t="s">
        <v>1145</v>
      </c>
      <c r="F498" s="1" t="s">
        <v>16</v>
      </c>
      <c r="G498" s="1" t="s">
        <v>17</v>
      </c>
      <c r="H498" s="1" t="s">
        <v>18</v>
      </c>
      <c r="I498" s="1" t="s">
        <v>249</v>
      </c>
      <c r="J498" s="1">
        <v>120.0</v>
      </c>
      <c r="K498" s="1">
        <v>28.0</v>
      </c>
      <c r="L498" s="1">
        <v>100.0</v>
      </c>
    </row>
    <row r="499">
      <c r="A499" s="1">
        <v>1606011.0</v>
      </c>
      <c r="B499" s="1" t="s">
        <v>1146</v>
      </c>
      <c r="C499" s="1" t="s">
        <v>1107</v>
      </c>
      <c r="D499" s="1" t="s">
        <v>1122</v>
      </c>
      <c r="E499" s="1" t="s">
        <v>1147</v>
      </c>
      <c r="F499" s="1" t="s">
        <v>16</v>
      </c>
      <c r="G499" s="1" t="s">
        <v>27</v>
      </c>
      <c r="H499" s="1" t="s">
        <v>28</v>
      </c>
      <c r="I499" s="1" t="s">
        <v>40</v>
      </c>
      <c r="J499" s="1">
        <v>321.0</v>
      </c>
      <c r="K499" s="1">
        <v>101.0</v>
      </c>
      <c r="L499" s="1">
        <v>943.0</v>
      </c>
    </row>
    <row r="500">
      <c r="A500" s="1">
        <v>1674003.0</v>
      </c>
      <c r="B500" s="1" t="s">
        <v>1148</v>
      </c>
      <c r="C500" s="1" t="s">
        <v>1107</v>
      </c>
      <c r="D500" s="1" t="s">
        <v>1125</v>
      </c>
      <c r="E500" s="1" t="s">
        <v>1149</v>
      </c>
      <c r="F500" s="1" t="s">
        <v>16</v>
      </c>
      <c r="G500" s="1" t="s">
        <v>17</v>
      </c>
      <c r="H500" s="1" t="s">
        <v>18</v>
      </c>
      <c r="I500" s="1" t="s">
        <v>19</v>
      </c>
      <c r="J500" s="1">
        <v>100.0</v>
      </c>
      <c r="K500" s="1">
        <v>25.0</v>
      </c>
      <c r="L500" s="1">
        <v>170.0</v>
      </c>
    </row>
    <row r="501">
      <c r="A501" s="1">
        <v>1671265.0</v>
      </c>
      <c r="B501" s="1" t="s">
        <v>1150</v>
      </c>
      <c r="C501" s="1" t="s">
        <v>1107</v>
      </c>
      <c r="D501" s="1" t="s">
        <v>1108</v>
      </c>
      <c r="E501" s="1" t="s">
        <v>1151</v>
      </c>
      <c r="F501" s="1" t="s">
        <v>16</v>
      </c>
      <c r="G501" s="1" t="s">
        <v>27</v>
      </c>
      <c r="H501" s="1" t="s">
        <v>28</v>
      </c>
      <c r="I501" s="1" t="s">
        <v>29</v>
      </c>
      <c r="J501" s="1">
        <v>253.0</v>
      </c>
      <c r="K501" s="1">
        <v>92.0</v>
      </c>
      <c r="L501" s="1">
        <v>780.0</v>
      </c>
    </row>
    <row r="502">
      <c r="A502" s="1">
        <v>1603090.0</v>
      </c>
      <c r="B502" s="1" t="s">
        <v>1152</v>
      </c>
      <c r="C502" s="1" t="s">
        <v>1107</v>
      </c>
      <c r="D502" s="1" t="s">
        <v>1132</v>
      </c>
      <c r="E502" s="1" t="s">
        <v>1153</v>
      </c>
      <c r="F502" s="1" t="s">
        <v>55</v>
      </c>
      <c r="G502" s="1" t="s">
        <v>17</v>
      </c>
      <c r="H502" s="1" t="s">
        <v>18</v>
      </c>
      <c r="I502" s="1" t="s">
        <v>163</v>
      </c>
      <c r="J502" s="1">
        <v>54.0</v>
      </c>
      <c r="K502" s="1">
        <v>32.0</v>
      </c>
      <c r="L502" s="1">
        <v>46.0</v>
      </c>
    </row>
    <row r="503">
      <c r="A503" s="1">
        <v>1671094.0</v>
      </c>
      <c r="B503" s="1" t="s">
        <v>1154</v>
      </c>
      <c r="C503" s="1" t="s">
        <v>1107</v>
      </c>
      <c r="D503" s="1" t="s">
        <v>1108</v>
      </c>
      <c r="E503" s="1" t="s">
        <v>1155</v>
      </c>
      <c r="F503" s="1" t="s">
        <v>16</v>
      </c>
      <c r="G503" s="1" t="s">
        <v>17</v>
      </c>
      <c r="H503" s="1" t="s">
        <v>18</v>
      </c>
      <c r="I503" s="1" t="s">
        <v>44</v>
      </c>
      <c r="J503" s="1">
        <v>103.0</v>
      </c>
      <c r="K503" s="1">
        <v>34.0</v>
      </c>
      <c r="L503" s="1">
        <v>60.0</v>
      </c>
    </row>
    <row r="504">
      <c r="A504" s="1">
        <v>1603085.0</v>
      </c>
      <c r="B504" s="1" t="s">
        <v>1156</v>
      </c>
      <c r="C504" s="1" t="s">
        <v>1107</v>
      </c>
      <c r="D504" s="1" t="s">
        <v>1157</v>
      </c>
      <c r="E504" s="1" t="s">
        <v>1158</v>
      </c>
      <c r="F504" s="1" t="s">
        <v>16</v>
      </c>
      <c r="G504" s="1" t="s">
        <v>23</v>
      </c>
      <c r="H504" s="1" t="s">
        <v>28</v>
      </c>
      <c r="I504" s="1" t="s">
        <v>40</v>
      </c>
      <c r="J504" s="1">
        <v>90.0</v>
      </c>
      <c r="K504" s="1">
        <v>21.0</v>
      </c>
      <c r="L504" s="1">
        <v>407.0</v>
      </c>
    </row>
    <row r="505">
      <c r="A505" s="1">
        <v>1671328.0</v>
      </c>
      <c r="B505" s="1" t="s">
        <v>1159</v>
      </c>
      <c r="C505" s="1" t="s">
        <v>1107</v>
      </c>
      <c r="D505" s="1" t="s">
        <v>1108</v>
      </c>
      <c r="E505" s="1" t="s">
        <v>1160</v>
      </c>
      <c r="F505" s="1" t="s">
        <v>32</v>
      </c>
      <c r="G505" s="1" t="s">
        <v>17</v>
      </c>
      <c r="H505" s="1" t="s">
        <v>28</v>
      </c>
      <c r="I505" s="1" t="s">
        <v>139</v>
      </c>
      <c r="J505" s="1">
        <v>21.0</v>
      </c>
      <c r="K505" s="1">
        <v>17.0</v>
      </c>
      <c r="L505" s="1">
        <v>141.0</v>
      </c>
    </row>
    <row r="506">
      <c r="A506" s="1">
        <v>1671024.0</v>
      </c>
      <c r="B506" s="1" t="s">
        <v>1161</v>
      </c>
      <c r="C506" s="1" t="s">
        <v>1107</v>
      </c>
      <c r="D506" s="1" t="s">
        <v>1108</v>
      </c>
      <c r="E506" s="1" t="s">
        <v>1162</v>
      </c>
      <c r="F506" s="1" t="s">
        <v>16</v>
      </c>
      <c r="G506" s="1" t="s">
        <v>17</v>
      </c>
      <c r="H506" s="1" t="s">
        <v>18</v>
      </c>
      <c r="I506" s="1" t="s">
        <v>113</v>
      </c>
      <c r="J506" s="1">
        <v>100.0</v>
      </c>
      <c r="K506" s="1">
        <v>36.0</v>
      </c>
      <c r="L506" s="1">
        <v>143.0</v>
      </c>
    </row>
    <row r="507">
      <c r="A507" s="1">
        <v>1601086.0</v>
      </c>
      <c r="B507" s="1" t="s">
        <v>1163</v>
      </c>
      <c r="C507" s="1" t="s">
        <v>1107</v>
      </c>
      <c r="D507" s="1" t="s">
        <v>1137</v>
      </c>
      <c r="E507" s="1" t="s">
        <v>1164</v>
      </c>
      <c r="F507" s="1" t="s">
        <v>55</v>
      </c>
      <c r="G507" s="1" t="s">
        <v>17</v>
      </c>
      <c r="H507" s="1" t="s">
        <v>18</v>
      </c>
      <c r="I507" s="1" t="s">
        <v>19</v>
      </c>
      <c r="J507" s="1">
        <v>31.0</v>
      </c>
      <c r="K507" s="1">
        <v>13.0</v>
      </c>
      <c r="L507" s="1">
        <v>43.0</v>
      </c>
    </row>
    <row r="508">
      <c r="A508" s="1">
        <v>1603087.0</v>
      </c>
      <c r="B508" s="1" t="s">
        <v>1165</v>
      </c>
      <c r="C508" s="1" t="s">
        <v>1107</v>
      </c>
      <c r="D508" s="1" t="s">
        <v>1132</v>
      </c>
      <c r="E508" s="1" t="s">
        <v>1166</v>
      </c>
      <c r="F508" s="1" t="s">
        <v>16</v>
      </c>
      <c r="G508" s="1" t="s">
        <v>23</v>
      </c>
      <c r="H508" s="1" t="s">
        <v>18</v>
      </c>
      <c r="I508" s="1" t="s">
        <v>40</v>
      </c>
      <c r="J508" s="1">
        <v>50.0</v>
      </c>
      <c r="K508" s="1">
        <v>11.0</v>
      </c>
      <c r="L508" s="1">
        <v>62.0</v>
      </c>
    </row>
    <row r="509">
      <c r="A509" s="1">
        <v>1609083.0</v>
      </c>
      <c r="B509" s="1" t="s">
        <v>1167</v>
      </c>
      <c r="C509" s="1" t="s">
        <v>1107</v>
      </c>
      <c r="D509" s="1" t="s">
        <v>1168</v>
      </c>
      <c r="E509" s="1" t="s">
        <v>1169</v>
      </c>
      <c r="F509" s="1" t="s">
        <v>16</v>
      </c>
      <c r="G509" s="1" t="s">
        <v>17</v>
      </c>
      <c r="H509" s="1" t="s">
        <v>28</v>
      </c>
      <c r="I509" s="1" t="s">
        <v>40</v>
      </c>
      <c r="J509" s="1">
        <v>132.0</v>
      </c>
      <c r="K509" s="1">
        <v>29.0</v>
      </c>
      <c r="L509" s="1">
        <v>470.0</v>
      </c>
    </row>
    <row r="510">
      <c r="A510" s="1">
        <v>1674007.0</v>
      </c>
      <c r="B510" s="1" t="s">
        <v>1170</v>
      </c>
      <c r="C510" s="1" t="s">
        <v>1107</v>
      </c>
      <c r="D510" s="1" t="s">
        <v>1125</v>
      </c>
      <c r="E510" s="1" t="s">
        <v>1171</v>
      </c>
      <c r="F510" s="1" t="s">
        <v>55</v>
      </c>
      <c r="G510" s="1" t="s">
        <v>17</v>
      </c>
      <c r="H510" s="1" t="s">
        <v>18</v>
      </c>
      <c r="I510" s="1" t="s">
        <v>163</v>
      </c>
      <c r="J510" s="1">
        <v>34.0</v>
      </c>
      <c r="K510" s="1">
        <v>15.0</v>
      </c>
      <c r="L510" s="1">
        <v>45.0</v>
      </c>
    </row>
    <row r="511">
      <c r="A511" s="1">
        <v>1671301.0</v>
      </c>
      <c r="B511" s="1" t="s">
        <v>1172</v>
      </c>
      <c r="C511" s="1" t="s">
        <v>1107</v>
      </c>
      <c r="D511" s="1" t="s">
        <v>1108</v>
      </c>
      <c r="E511" s="1" t="s">
        <v>1173</v>
      </c>
      <c r="F511" s="1" t="s">
        <v>16</v>
      </c>
      <c r="G511" s="1" t="s">
        <v>17</v>
      </c>
      <c r="H511" s="1" t="s">
        <v>18</v>
      </c>
      <c r="I511" s="1" t="s">
        <v>684</v>
      </c>
      <c r="J511" s="1">
        <v>120.0</v>
      </c>
      <c r="K511" s="1">
        <v>46.0</v>
      </c>
      <c r="L511" s="1">
        <v>438.0</v>
      </c>
    </row>
    <row r="512">
      <c r="A512" s="1">
        <v>1671350.0</v>
      </c>
      <c r="B512" s="1" t="s">
        <v>1174</v>
      </c>
      <c r="C512" s="1" t="s">
        <v>1107</v>
      </c>
      <c r="D512" s="1" t="s">
        <v>1108</v>
      </c>
      <c r="E512" s="1" t="s">
        <v>1175</v>
      </c>
      <c r="F512" s="1" t="s">
        <v>16</v>
      </c>
      <c r="G512" s="1" t="s">
        <v>23</v>
      </c>
      <c r="H512" s="1" t="s">
        <v>28</v>
      </c>
      <c r="I512" s="1" t="s">
        <v>29</v>
      </c>
      <c r="J512" s="1">
        <v>50.0</v>
      </c>
      <c r="K512" s="1">
        <v>21.0</v>
      </c>
      <c r="L512" s="1">
        <v>129.0</v>
      </c>
    </row>
    <row r="513">
      <c r="A513" s="1">
        <v>1602015.0</v>
      </c>
      <c r="B513" s="1" t="s">
        <v>1176</v>
      </c>
      <c r="C513" s="1" t="s">
        <v>1107</v>
      </c>
      <c r="D513" s="1" t="s">
        <v>1177</v>
      </c>
      <c r="E513" s="1" t="s">
        <v>1178</v>
      </c>
      <c r="F513" s="1" t="s">
        <v>16</v>
      </c>
      <c r="G513" s="1" t="s">
        <v>23</v>
      </c>
      <c r="H513" s="1" t="s">
        <v>28</v>
      </c>
      <c r="I513" s="1" t="s">
        <v>40</v>
      </c>
      <c r="J513" s="1">
        <v>60.0</v>
      </c>
      <c r="K513" s="1">
        <v>23.0</v>
      </c>
      <c r="L513" s="1">
        <v>0.0</v>
      </c>
    </row>
    <row r="514">
      <c r="A514" s="1">
        <v>1671332.0</v>
      </c>
      <c r="B514" s="1" t="s">
        <v>1179</v>
      </c>
      <c r="C514" s="1" t="s">
        <v>1107</v>
      </c>
      <c r="D514" s="1" t="s">
        <v>1108</v>
      </c>
      <c r="E514" s="1" t="s">
        <v>1180</v>
      </c>
      <c r="F514" s="1" t="s">
        <v>16</v>
      </c>
      <c r="G514" s="1" t="s">
        <v>17</v>
      </c>
      <c r="H514" s="1" t="s">
        <v>18</v>
      </c>
      <c r="I514" s="1" t="s">
        <v>163</v>
      </c>
      <c r="J514" s="1">
        <v>103.0</v>
      </c>
      <c r="K514" s="1">
        <v>63.0</v>
      </c>
      <c r="L514" s="1">
        <v>110.0</v>
      </c>
    </row>
    <row r="515">
      <c r="A515" s="1">
        <v>1604020.0</v>
      </c>
      <c r="B515" s="1" t="s">
        <v>1181</v>
      </c>
      <c r="C515" s="1" t="s">
        <v>1107</v>
      </c>
      <c r="D515" s="1" t="s">
        <v>1119</v>
      </c>
      <c r="E515" s="1" t="s">
        <v>1182</v>
      </c>
      <c r="F515" s="1" t="s">
        <v>16</v>
      </c>
      <c r="G515" s="1" t="s">
        <v>23</v>
      </c>
      <c r="H515" s="1" t="s">
        <v>18</v>
      </c>
      <c r="I515" s="1" t="s">
        <v>74</v>
      </c>
      <c r="J515" s="1">
        <v>69.0</v>
      </c>
      <c r="K515" s="1">
        <v>27.0</v>
      </c>
      <c r="L515" s="1">
        <v>144.0</v>
      </c>
    </row>
    <row r="516">
      <c r="A516" s="1">
        <v>1671046.0</v>
      </c>
      <c r="B516" s="1" t="s">
        <v>1183</v>
      </c>
      <c r="C516" s="1" t="s">
        <v>1107</v>
      </c>
      <c r="D516" s="1" t="s">
        <v>1108</v>
      </c>
      <c r="E516" s="1" t="s">
        <v>1184</v>
      </c>
      <c r="F516" s="1" t="s">
        <v>16</v>
      </c>
      <c r="G516" s="1" t="s">
        <v>17</v>
      </c>
      <c r="H516" s="1" t="s">
        <v>18</v>
      </c>
      <c r="I516" s="1" t="s">
        <v>44</v>
      </c>
      <c r="J516" s="1">
        <v>101.0</v>
      </c>
      <c r="K516" s="1">
        <v>49.0</v>
      </c>
      <c r="L516" s="1">
        <v>331.0</v>
      </c>
    </row>
    <row r="517">
      <c r="A517" s="1">
        <v>1601100.0</v>
      </c>
      <c r="B517" s="1" t="s">
        <v>1185</v>
      </c>
      <c r="C517" s="1" t="s">
        <v>1107</v>
      </c>
      <c r="D517" s="1" t="s">
        <v>1137</v>
      </c>
      <c r="E517" s="1" t="s">
        <v>1186</v>
      </c>
      <c r="F517" s="1" t="s">
        <v>55</v>
      </c>
      <c r="G517" s="1" t="s">
        <v>17</v>
      </c>
      <c r="H517" s="1" t="s">
        <v>18</v>
      </c>
      <c r="I517" s="1" t="s">
        <v>19</v>
      </c>
      <c r="J517" s="1">
        <v>29.0</v>
      </c>
      <c r="K517" s="1">
        <v>7.0</v>
      </c>
      <c r="L517" s="1">
        <v>0.0</v>
      </c>
    </row>
    <row r="518">
      <c r="A518" s="1">
        <v>1603089.0</v>
      </c>
      <c r="B518" s="1" t="s">
        <v>1187</v>
      </c>
      <c r="C518" s="1" t="s">
        <v>1107</v>
      </c>
      <c r="D518" s="1" t="s">
        <v>1132</v>
      </c>
      <c r="E518" s="1" t="s">
        <v>1188</v>
      </c>
      <c r="F518" s="1" t="s">
        <v>16</v>
      </c>
      <c r="G518" s="1" t="s">
        <v>23</v>
      </c>
      <c r="H518" s="1" t="s">
        <v>18</v>
      </c>
      <c r="I518" s="1" t="s">
        <v>40</v>
      </c>
      <c r="J518" s="1">
        <v>52.0</v>
      </c>
      <c r="K518" s="1">
        <v>16.0</v>
      </c>
      <c r="L518" s="1">
        <v>135.0</v>
      </c>
    </row>
    <row r="519">
      <c r="A519" s="1">
        <v>1672015.0</v>
      </c>
      <c r="B519" s="1" t="s">
        <v>1189</v>
      </c>
      <c r="C519" s="1" t="s">
        <v>1107</v>
      </c>
      <c r="D519" s="1" t="s">
        <v>1113</v>
      </c>
      <c r="E519" s="1" t="s">
        <v>1190</v>
      </c>
      <c r="F519" s="1" t="s">
        <v>16</v>
      </c>
      <c r="G519" s="1" t="s">
        <v>17</v>
      </c>
      <c r="H519" s="1" t="s">
        <v>28</v>
      </c>
      <c r="I519" s="1" t="s">
        <v>29</v>
      </c>
      <c r="J519" s="1">
        <v>163.0</v>
      </c>
      <c r="K519" s="1">
        <v>34.0</v>
      </c>
      <c r="L519" s="1">
        <v>652.0</v>
      </c>
    </row>
    <row r="520">
      <c r="A520" s="1">
        <v>1671335.0</v>
      </c>
      <c r="B520" s="1" t="s">
        <v>1191</v>
      </c>
      <c r="C520" s="1" t="s">
        <v>1107</v>
      </c>
      <c r="D520" s="1" t="s">
        <v>1108</v>
      </c>
      <c r="E520" s="1" t="s">
        <v>1192</v>
      </c>
      <c r="F520" s="1" t="s">
        <v>16</v>
      </c>
      <c r="G520" s="1" t="s">
        <v>17</v>
      </c>
      <c r="H520" s="1" t="s">
        <v>18</v>
      </c>
      <c r="I520" s="1" t="s">
        <v>44</v>
      </c>
      <c r="J520" s="1">
        <v>112.0</v>
      </c>
      <c r="K520" s="1">
        <v>100.0</v>
      </c>
      <c r="L520" s="1">
        <v>548.0</v>
      </c>
    </row>
    <row r="521">
      <c r="A521" s="1">
        <v>1607015.0</v>
      </c>
      <c r="B521" s="1" t="s">
        <v>1193</v>
      </c>
      <c r="C521" s="1" t="s">
        <v>1107</v>
      </c>
      <c r="D521" s="1" t="s">
        <v>1116</v>
      </c>
      <c r="E521" s="1" t="s">
        <v>1194</v>
      </c>
      <c r="F521" s="1" t="s">
        <v>16</v>
      </c>
      <c r="G521" s="1" t="s">
        <v>98</v>
      </c>
      <c r="H521" s="1" t="s">
        <v>18</v>
      </c>
      <c r="I521" s="1" t="s">
        <v>40</v>
      </c>
      <c r="J521" s="1">
        <v>30.0</v>
      </c>
      <c r="K521" s="1">
        <v>13.0</v>
      </c>
      <c r="L521" s="1">
        <v>58.0</v>
      </c>
    </row>
    <row r="522">
      <c r="A522" s="1">
        <v>1609011.0</v>
      </c>
      <c r="B522" s="1" t="s">
        <v>1195</v>
      </c>
      <c r="C522" s="1" t="s">
        <v>1107</v>
      </c>
      <c r="D522" s="1" t="s">
        <v>1168</v>
      </c>
      <c r="E522" s="1" t="s">
        <v>1196</v>
      </c>
      <c r="F522" s="1" t="s">
        <v>16</v>
      </c>
      <c r="G522" s="1" t="s">
        <v>23</v>
      </c>
      <c r="H522" s="1" t="s">
        <v>28</v>
      </c>
      <c r="I522" s="1" t="s">
        <v>40</v>
      </c>
      <c r="J522" s="1">
        <v>60.0</v>
      </c>
      <c r="K522" s="1">
        <v>26.0</v>
      </c>
      <c r="L522" s="1">
        <v>418.0</v>
      </c>
    </row>
    <row r="523">
      <c r="A523" s="1">
        <v>1671340.0</v>
      </c>
      <c r="B523" s="1" t="s">
        <v>1197</v>
      </c>
      <c r="C523" s="1" t="s">
        <v>1107</v>
      </c>
      <c r="D523" s="1" t="s">
        <v>1108</v>
      </c>
      <c r="E523" s="1" t="s">
        <v>1198</v>
      </c>
      <c r="F523" s="1" t="s">
        <v>55</v>
      </c>
      <c r="G523" s="1" t="s">
        <v>17</v>
      </c>
      <c r="H523" s="1" t="s">
        <v>18</v>
      </c>
      <c r="I523" s="1" t="s">
        <v>59</v>
      </c>
      <c r="J523" s="1">
        <v>34.0</v>
      </c>
      <c r="K523" s="1">
        <v>20.0</v>
      </c>
      <c r="L523" s="1">
        <v>114.0</v>
      </c>
    </row>
    <row r="524">
      <c r="A524" s="1">
        <v>1671325.0</v>
      </c>
      <c r="B524" s="1" t="s">
        <v>1199</v>
      </c>
      <c r="C524" s="1" t="s">
        <v>1107</v>
      </c>
      <c r="D524" s="1" t="s">
        <v>1108</v>
      </c>
      <c r="E524" s="1" t="s">
        <v>1200</v>
      </c>
      <c r="F524" s="1" t="s">
        <v>16</v>
      </c>
      <c r="G524" s="1" t="s">
        <v>17</v>
      </c>
      <c r="H524" s="1" t="s">
        <v>18</v>
      </c>
      <c r="I524" s="1" t="s">
        <v>44</v>
      </c>
      <c r="J524" s="1">
        <v>250.0</v>
      </c>
      <c r="K524" s="1">
        <v>105.0</v>
      </c>
      <c r="L524" s="1">
        <v>421.0</v>
      </c>
    </row>
    <row r="525">
      <c r="A525" s="1">
        <v>1603101.0</v>
      </c>
      <c r="B525" s="1" t="s">
        <v>1201</v>
      </c>
      <c r="C525" s="1" t="s">
        <v>1107</v>
      </c>
      <c r="D525" s="1" t="s">
        <v>1132</v>
      </c>
      <c r="E525" s="1" t="s">
        <v>1202</v>
      </c>
      <c r="F525" s="1" t="s">
        <v>16</v>
      </c>
      <c r="G525" s="1" t="s">
        <v>23</v>
      </c>
      <c r="H525" s="1" t="s">
        <v>18</v>
      </c>
      <c r="I525" s="1" t="s">
        <v>44</v>
      </c>
      <c r="J525" s="1">
        <v>52.0</v>
      </c>
      <c r="K525" s="1">
        <v>26.0</v>
      </c>
      <c r="L525" s="1">
        <v>0.0</v>
      </c>
    </row>
    <row r="526">
      <c r="A526" s="1">
        <v>1674010.0</v>
      </c>
      <c r="B526" s="1" t="s">
        <v>1203</v>
      </c>
      <c r="C526" s="1" t="s">
        <v>1107</v>
      </c>
      <c r="D526" s="1" t="s">
        <v>1204</v>
      </c>
      <c r="E526" s="1" t="s">
        <v>1205</v>
      </c>
      <c r="F526" s="1" t="s">
        <v>16</v>
      </c>
      <c r="G526" s="1" t="s">
        <v>17</v>
      </c>
      <c r="H526" s="1" t="s">
        <v>28</v>
      </c>
      <c r="I526" s="1" t="s">
        <v>40</v>
      </c>
      <c r="J526" s="1">
        <v>111.0</v>
      </c>
      <c r="K526" s="1">
        <v>64.0</v>
      </c>
      <c r="L526" s="1">
        <v>598.0</v>
      </c>
    </row>
    <row r="527">
      <c r="A527" s="1">
        <v>1671061.0</v>
      </c>
      <c r="B527" s="1" t="s">
        <v>1206</v>
      </c>
      <c r="C527" s="1" t="s">
        <v>1107</v>
      </c>
      <c r="D527" s="1" t="s">
        <v>1108</v>
      </c>
      <c r="E527" s="1" t="s">
        <v>1207</v>
      </c>
      <c r="F527" s="1" t="s">
        <v>174</v>
      </c>
      <c r="G527" s="1" t="s">
        <v>150</v>
      </c>
      <c r="H527" s="1" t="s">
        <v>28</v>
      </c>
      <c r="I527" s="1" t="s">
        <v>139</v>
      </c>
      <c r="J527" s="1">
        <v>182.0</v>
      </c>
      <c r="K527" s="1">
        <v>35.0</v>
      </c>
      <c r="L527" s="1">
        <v>421.0</v>
      </c>
    </row>
    <row r="528">
      <c r="A528" s="1">
        <v>1609012.0</v>
      </c>
      <c r="B528" s="1" t="s">
        <v>1208</v>
      </c>
      <c r="C528" s="1" t="s">
        <v>1107</v>
      </c>
      <c r="D528" s="1" t="s">
        <v>1168</v>
      </c>
      <c r="E528" s="1" t="s">
        <v>1209</v>
      </c>
      <c r="F528" s="1" t="s">
        <v>16</v>
      </c>
      <c r="G528" s="1" t="s">
        <v>17</v>
      </c>
      <c r="H528" s="1" t="s">
        <v>18</v>
      </c>
      <c r="I528" s="1" t="s">
        <v>19</v>
      </c>
      <c r="J528" s="1">
        <v>175.0</v>
      </c>
      <c r="K528" s="1">
        <v>21.0</v>
      </c>
      <c r="L528" s="1">
        <v>454.0</v>
      </c>
    </row>
    <row r="529">
      <c r="A529" s="1">
        <v>1610005.0</v>
      </c>
      <c r="B529" s="1" t="s">
        <v>1210</v>
      </c>
      <c r="C529" s="1" t="s">
        <v>1107</v>
      </c>
      <c r="D529" s="1" t="s">
        <v>1211</v>
      </c>
      <c r="E529" s="1" t="s">
        <v>1212</v>
      </c>
      <c r="F529" s="1" t="s">
        <v>16</v>
      </c>
      <c r="G529" s="1" t="s">
        <v>23</v>
      </c>
      <c r="H529" s="1" t="s">
        <v>18</v>
      </c>
      <c r="I529" s="1" t="s">
        <v>19</v>
      </c>
      <c r="J529" s="1">
        <v>100.0</v>
      </c>
      <c r="K529" s="1">
        <v>26.0</v>
      </c>
      <c r="L529" s="1">
        <v>34.0</v>
      </c>
    </row>
    <row r="530">
      <c r="A530" s="1">
        <v>1603030.0</v>
      </c>
      <c r="B530" s="1" t="s">
        <v>1213</v>
      </c>
      <c r="C530" s="1" t="s">
        <v>1107</v>
      </c>
      <c r="D530" s="1" t="s">
        <v>1132</v>
      </c>
      <c r="E530" s="1" t="s">
        <v>1214</v>
      </c>
      <c r="F530" s="1" t="s">
        <v>16</v>
      </c>
      <c r="G530" s="1" t="s">
        <v>17</v>
      </c>
      <c r="H530" s="1" t="s">
        <v>18</v>
      </c>
      <c r="I530" s="1" t="s">
        <v>113</v>
      </c>
      <c r="J530" s="1">
        <v>100.0</v>
      </c>
      <c r="K530" s="1">
        <v>31.0</v>
      </c>
      <c r="L530" s="1">
        <v>240.0</v>
      </c>
    </row>
    <row r="531">
      <c r="A531" s="1">
        <v>1607012.0</v>
      </c>
      <c r="B531" s="1" t="s">
        <v>1215</v>
      </c>
      <c r="C531" s="1" t="s">
        <v>1107</v>
      </c>
      <c r="D531" s="1" t="s">
        <v>1116</v>
      </c>
      <c r="E531" s="1" t="s">
        <v>1216</v>
      </c>
      <c r="F531" s="1" t="s">
        <v>16</v>
      </c>
      <c r="G531" s="1" t="s">
        <v>17</v>
      </c>
      <c r="H531" s="1" t="s">
        <v>28</v>
      </c>
      <c r="I531" s="1" t="s">
        <v>40</v>
      </c>
      <c r="J531" s="1">
        <v>119.0</v>
      </c>
      <c r="K531" s="1">
        <v>60.0</v>
      </c>
      <c r="L531" s="1">
        <v>177.0</v>
      </c>
    </row>
    <row r="532">
      <c r="A532" s="1">
        <v>1671342.0</v>
      </c>
      <c r="B532" s="1" t="s">
        <v>1217</v>
      </c>
      <c r="C532" s="1" t="s">
        <v>1107</v>
      </c>
      <c r="D532" s="1" t="s">
        <v>1108</v>
      </c>
      <c r="E532" s="1" t="s">
        <v>1218</v>
      </c>
      <c r="F532" s="1" t="s">
        <v>16</v>
      </c>
      <c r="G532" s="1" t="s">
        <v>17</v>
      </c>
      <c r="H532" s="1" t="s">
        <v>18</v>
      </c>
      <c r="I532" s="1" t="s">
        <v>44</v>
      </c>
      <c r="J532" s="1">
        <v>107.0</v>
      </c>
      <c r="K532" s="1">
        <v>25.0</v>
      </c>
      <c r="L532" s="1">
        <v>119.0</v>
      </c>
    </row>
    <row r="533">
      <c r="A533" s="1">
        <v>1671333.0</v>
      </c>
      <c r="B533" s="1" t="s">
        <v>1219</v>
      </c>
      <c r="C533" s="1" t="s">
        <v>1107</v>
      </c>
      <c r="D533" s="1" t="s">
        <v>1108</v>
      </c>
      <c r="E533" s="1" t="s">
        <v>1220</v>
      </c>
      <c r="F533" s="1" t="s">
        <v>16</v>
      </c>
      <c r="G533" s="1" t="s">
        <v>17</v>
      </c>
      <c r="H533" s="1" t="s">
        <v>18</v>
      </c>
      <c r="I533" s="1" t="s">
        <v>44</v>
      </c>
      <c r="J533" s="1">
        <v>140.0</v>
      </c>
      <c r="K533" s="1">
        <v>29.0</v>
      </c>
      <c r="L533" s="1">
        <v>212.0</v>
      </c>
    </row>
    <row r="534">
      <c r="A534" s="1">
        <v>1612011.0</v>
      </c>
      <c r="B534" s="1" t="s">
        <v>1221</v>
      </c>
      <c r="C534" s="1" t="s">
        <v>1107</v>
      </c>
      <c r="D534" s="1" t="s">
        <v>1157</v>
      </c>
      <c r="E534" s="1" t="s">
        <v>1222</v>
      </c>
      <c r="F534" s="1" t="s">
        <v>16</v>
      </c>
      <c r="G534" s="1" t="s">
        <v>98</v>
      </c>
      <c r="H534" s="1" t="s">
        <v>18</v>
      </c>
      <c r="I534" s="1" t="s">
        <v>40</v>
      </c>
      <c r="J534" s="1">
        <v>30.0</v>
      </c>
      <c r="K534" s="1">
        <v>8.0</v>
      </c>
      <c r="L534" s="1">
        <v>0.0</v>
      </c>
    </row>
    <row r="535">
      <c r="A535" s="1">
        <v>1601013.0</v>
      </c>
      <c r="B535" s="1" t="s">
        <v>1223</v>
      </c>
      <c r="C535" s="1" t="s">
        <v>1107</v>
      </c>
      <c r="D535" s="1" t="s">
        <v>1137</v>
      </c>
      <c r="E535" s="1" t="s">
        <v>1224</v>
      </c>
      <c r="F535" s="1" t="s">
        <v>16</v>
      </c>
      <c r="G535" s="1" t="s">
        <v>17</v>
      </c>
      <c r="H535" s="1" t="s">
        <v>28</v>
      </c>
      <c r="I535" s="1" t="s">
        <v>40</v>
      </c>
      <c r="J535" s="1">
        <v>170.0</v>
      </c>
      <c r="K535" s="1">
        <v>90.0</v>
      </c>
      <c r="L535" s="1">
        <v>679.0</v>
      </c>
    </row>
    <row r="536">
      <c r="A536" s="1">
        <v>1671348.0</v>
      </c>
      <c r="B536" s="1" t="s">
        <v>1225</v>
      </c>
      <c r="C536" s="1" t="s">
        <v>1107</v>
      </c>
      <c r="D536" s="1" t="s">
        <v>1108</v>
      </c>
      <c r="E536" s="1" t="s">
        <v>1226</v>
      </c>
      <c r="F536" s="1" t="s">
        <v>55</v>
      </c>
      <c r="G536" s="1" t="s">
        <v>17</v>
      </c>
      <c r="H536" s="1" t="s">
        <v>18</v>
      </c>
      <c r="I536" s="1" t="s">
        <v>44</v>
      </c>
      <c r="J536" s="1">
        <v>25.0</v>
      </c>
      <c r="K536" s="1">
        <v>8.0</v>
      </c>
      <c r="L536" s="1">
        <v>46.0</v>
      </c>
    </row>
    <row r="537">
      <c r="A537" s="1">
        <v>1607014.0</v>
      </c>
      <c r="B537" s="1" t="s">
        <v>1227</v>
      </c>
      <c r="C537" s="1" t="s">
        <v>1107</v>
      </c>
      <c r="D537" s="1" t="s">
        <v>1116</v>
      </c>
      <c r="E537" s="1" t="s">
        <v>1228</v>
      </c>
      <c r="F537" s="1" t="s">
        <v>16</v>
      </c>
      <c r="G537" s="1" t="s">
        <v>17</v>
      </c>
      <c r="H537" s="1" t="s">
        <v>18</v>
      </c>
      <c r="I537" s="1" t="s">
        <v>44</v>
      </c>
      <c r="J537" s="1">
        <v>153.0</v>
      </c>
      <c r="K537" s="1">
        <v>124.0</v>
      </c>
      <c r="L537" s="1">
        <v>210.0</v>
      </c>
    </row>
    <row r="538">
      <c r="A538" s="1">
        <v>1605043.0</v>
      </c>
      <c r="B538" s="1" t="s">
        <v>1229</v>
      </c>
      <c r="C538" s="1" t="s">
        <v>1107</v>
      </c>
      <c r="D538" s="1" t="s">
        <v>1230</v>
      </c>
      <c r="E538" s="1" t="s">
        <v>1231</v>
      </c>
      <c r="F538" s="1" t="s">
        <v>16</v>
      </c>
      <c r="G538" s="1" t="s">
        <v>23</v>
      </c>
      <c r="H538" s="1" t="s">
        <v>28</v>
      </c>
      <c r="I538" s="1" t="s">
        <v>40</v>
      </c>
      <c r="J538" s="1">
        <v>88.0</v>
      </c>
      <c r="K538" s="1">
        <v>35.0</v>
      </c>
      <c r="L538" s="1">
        <v>347.0</v>
      </c>
    </row>
    <row r="539">
      <c r="A539" s="1">
        <v>1671243.0</v>
      </c>
      <c r="B539" s="1" t="s">
        <v>1232</v>
      </c>
      <c r="C539" s="1" t="s">
        <v>1107</v>
      </c>
      <c r="D539" s="1" t="s">
        <v>1108</v>
      </c>
      <c r="E539" s="1" t="s">
        <v>1233</v>
      </c>
      <c r="F539" s="1" t="s">
        <v>16</v>
      </c>
      <c r="G539" s="1" t="s">
        <v>17</v>
      </c>
      <c r="H539" s="1" t="s">
        <v>18</v>
      </c>
      <c r="I539" s="1" t="s">
        <v>59</v>
      </c>
      <c r="J539" s="1">
        <v>181.0</v>
      </c>
      <c r="K539" s="1">
        <v>50.0</v>
      </c>
      <c r="L539" s="1">
        <v>247.0</v>
      </c>
    </row>
    <row r="540">
      <c r="A540" s="1">
        <v>1611042.0</v>
      </c>
      <c r="B540" s="1" t="s">
        <v>1234</v>
      </c>
      <c r="C540" s="1" t="s">
        <v>1107</v>
      </c>
      <c r="D540" s="1" t="s">
        <v>1235</v>
      </c>
      <c r="E540" s="1" t="s">
        <v>1236</v>
      </c>
      <c r="F540" s="1" t="s">
        <v>16</v>
      </c>
      <c r="G540" s="1" t="s">
        <v>17</v>
      </c>
      <c r="H540" s="1" t="s">
        <v>28</v>
      </c>
      <c r="I540" s="1" t="s">
        <v>40</v>
      </c>
      <c r="J540" s="1">
        <v>123.0</v>
      </c>
      <c r="K540" s="1">
        <v>53.0</v>
      </c>
      <c r="L540" s="1">
        <v>313.0</v>
      </c>
    </row>
    <row r="541">
      <c r="A541" s="1">
        <v>1671361.0</v>
      </c>
      <c r="B541" s="1" t="s">
        <v>1237</v>
      </c>
      <c r="C541" s="1" t="s">
        <v>1107</v>
      </c>
      <c r="D541" s="1" t="s">
        <v>1108</v>
      </c>
      <c r="E541" s="1" t="s">
        <v>1238</v>
      </c>
      <c r="F541" s="1" t="s">
        <v>16</v>
      </c>
      <c r="G541" s="1" t="s">
        <v>17</v>
      </c>
      <c r="H541" s="1" t="s">
        <v>18</v>
      </c>
      <c r="I541" s="1" t="s">
        <v>44</v>
      </c>
      <c r="J541" s="1">
        <v>130.0</v>
      </c>
      <c r="K541" s="1">
        <v>32.0</v>
      </c>
      <c r="L541" s="1">
        <v>0.0</v>
      </c>
    </row>
    <row r="542">
      <c r="A542" s="1">
        <v>1672074.0</v>
      </c>
      <c r="B542" s="1" t="s">
        <v>1239</v>
      </c>
      <c r="C542" s="1" t="s">
        <v>1107</v>
      </c>
      <c r="D542" s="1" t="s">
        <v>1113</v>
      </c>
      <c r="E542" s="1" t="s">
        <v>1240</v>
      </c>
      <c r="F542" s="1" t="s">
        <v>16</v>
      </c>
      <c r="G542" s="1" t="s">
        <v>17</v>
      </c>
      <c r="H542" s="1" t="s">
        <v>18</v>
      </c>
      <c r="I542" s="1" t="s">
        <v>44</v>
      </c>
      <c r="J542" s="1">
        <v>210.0</v>
      </c>
      <c r="K542" s="1">
        <v>31.0</v>
      </c>
      <c r="L542" s="1">
        <v>479.0</v>
      </c>
    </row>
    <row r="543">
      <c r="A543" s="1">
        <v>1671013.0</v>
      </c>
      <c r="B543" s="1" t="s">
        <v>1241</v>
      </c>
      <c r="C543" s="1" t="s">
        <v>1107</v>
      </c>
      <c r="D543" s="1" t="s">
        <v>1108</v>
      </c>
      <c r="E543" s="1" t="s">
        <v>1242</v>
      </c>
      <c r="F543" s="1" t="s">
        <v>16</v>
      </c>
      <c r="G543" s="1" t="s">
        <v>150</v>
      </c>
      <c r="H543" s="1" t="s">
        <v>33</v>
      </c>
      <c r="I543" s="1" t="s">
        <v>411</v>
      </c>
      <c r="J543" s="1">
        <v>926.0</v>
      </c>
      <c r="K543" s="1">
        <v>155.0</v>
      </c>
      <c r="L543" s="1">
        <v>3030.0</v>
      </c>
    </row>
    <row r="544">
      <c r="A544" s="1">
        <v>1671343.0</v>
      </c>
      <c r="B544" s="1" t="s">
        <v>1243</v>
      </c>
      <c r="C544" s="1" t="s">
        <v>1107</v>
      </c>
      <c r="D544" s="1" t="s">
        <v>1108</v>
      </c>
      <c r="E544" s="1" t="s">
        <v>1244</v>
      </c>
      <c r="F544" s="1" t="s">
        <v>16</v>
      </c>
      <c r="G544" s="1" t="s">
        <v>17</v>
      </c>
      <c r="H544" s="1" t="s">
        <v>18</v>
      </c>
      <c r="I544" s="1" t="s">
        <v>19</v>
      </c>
      <c r="J544" s="1">
        <v>100.0</v>
      </c>
      <c r="K544" s="1">
        <v>29.0</v>
      </c>
      <c r="L544" s="1">
        <v>336.0</v>
      </c>
    </row>
    <row r="545">
      <c r="A545" s="1">
        <v>1607017.0</v>
      </c>
      <c r="B545" s="1" t="s">
        <v>1245</v>
      </c>
      <c r="C545" s="1" t="s">
        <v>1107</v>
      </c>
      <c r="D545" s="1" t="s">
        <v>1116</v>
      </c>
      <c r="E545" s="1" t="s">
        <v>1246</v>
      </c>
      <c r="F545" s="1" t="s">
        <v>16</v>
      </c>
      <c r="G545" s="1" t="s">
        <v>17</v>
      </c>
      <c r="H545" s="1" t="s">
        <v>18</v>
      </c>
      <c r="I545" s="1" t="s">
        <v>44</v>
      </c>
      <c r="J545" s="1">
        <v>164.0</v>
      </c>
      <c r="K545" s="1">
        <v>25.0</v>
      </c>
      <c r="L545" s="1">
        <v>55.0</v>
      </c>
    </row>
    <row r="546">
      <c r="A546" s="1">
        <v>1674008.0</v>
      </c>
      <c r="B546" s="1" t="s">
        <v>1247</v>
      </c>
      <c r="C546" s="1" t="s">
        <v>1107</v>
      </c>
      <c r="D546" s="1" t="s">
        <v>1125</v>
      </c>
      <c r="E546" s="1" t="s">
        <v>1248</v>
      </c>
      <c r="F546" s="1" t="s">
        <v>16</v>
      </c>
      <c r="G546" s="1" t="s">
        <v>23</v>
      </c>
      <c r="H546" s="1" t="s">
        <v>28</v>
      </c>
      <c r="I546" s="1" t="s">
        <v>29</v>
      </c>
      <c r="J546" s="1">
        <v>50.0</v>
      </c>
      <c r="K546" s="1">
        <v>14.0</v>
      </c>
      <c r="L546" s="1">
        <v>30.0</v>
      </c>
    </row>
    <row r="547">
      <c r="A547" s="1">
        <v>1609046.0</v>
      </c>
      <c r="B547" s="1" t="s">
        <v>1249</v>
      </c>
      <c r="C547" s="1" t="s">
        <v>1107</v>
      </c>
      <c r="D547" s="1" t="s">
        <v>1168</v>
      </c>
      <c r="E547" s="1" t="s">
        <v>1250</v>
      </c>
      <c r="F547" s="1" t="s">
        <v>16</v>
      </c>
      <c r="G547" s="1" t="s">
        <v>23</v>
      </c>
      <c r="H547" s="1" t="s">
        <v>18</v>
      </c>
      <c r="I547" s="1" t="s">
        <v>59</v>
      </c>
      <c r="J547" s="1">
        <v>119.0</v>
      </c>
      <c r="K547" s="1">
        <v>30.0</v>
      </c>
      <c r="L547" s="1">
        <v>122.0</v>
      </c>
    </row>
    <row r="548">
      <c r="A548" s="1">
        <v>1606022.0</v>
      </c>
      <c r="B548" s="1" t="s">
        <v>1251</v>
      </c>
      <c r="C548" s="1" t="s">
        <v>1107</v>
      </c>
      <c r="D548" s="1" t="s">
        <v>1122</v>
      </c>
      <c r="E548" s="1" t="s">
        <v>1252</v>
      </c>
      <c r="F548" s="1" t="s">
        <v>16</v>
      </c>
      <c r="G548" s="1" t="s">
        <v>17</v>
      </c>
      <c r="H548" s="1" t="s">
        <v>28</v>
      </c>
      <c r="I548" s="1" t="s">
        <v>40</v>
      </c>
      <c r="J548" s="1">
        <v>112.0</v>
      </c>
      <c r="K548" s="1">
        <v>34.0</v>
      </c>
      <c r="L548" s="1">
        <v>276.0</v>
      </c>
    </row>
    <row r="549">
      <c r="A549" s="1">
        <v>1671276.0</v>
      </c>
      <c r="B549" s="1" t="s">
        <v>1253</v>
      </c>
      <c r="C549" s="1" t="s">
        <v>1107</v>
      </c>
      <c r="D549" s="1" t="s">
        <v>1108</v>
      </c>
      <c r="E549" s="1" t="s">
        <v>1254</v>
      </c>
      <c r="F549" s="1" t="s">
        <v>16</v>
      </c>
      <c r="G549" s="1" t="s">
        <v>17</v>
      </c>
      <c r="H549" s="1" t="s">
        <v>18</v>
      </c>
      <c r="I549" s="1" t="s">
        <v>249</v>
      </c>
      <c r="J549" s="1">
        <v>103.0</v>
      </c>
      <c r="K549" s="1">
        <v>37.0</v>
      </c>
      <c r="L549" s="1">
        <v>421.0</v>
      </c>
    </row>
    <row r="550">
      <c r="A550" s="1">
        <v>1671336.0</v>
      </c>
      <c r="B550" s="1" t="s">
        <v>1255</v>
      </c>
      <c r="C550" s="1" t="s">
        <v>1107</v>
      </c>
      <c r="D550" s="1" t="s">
        <v>1108</v>
      </c>
      <c r="E550" s="1" t="s">
        <v>1256</v>
      </c>
      <c r="F550" s="1" t="s">
        <v>16</v>
      </c>
      <c r="G550" s="1" t="s">
        <v>23</v>
      </c>
      <c r="H550" s="1" t="s">
        <v>18</v>
      </c>
      <c r="I550" s="1" t="s">
        <v>44</v>
      </c>
      <c r="J550" s="1">
        <v>104.0</v>
      </c>
      <c r="K550" s="1">
        <v>43.0</v>
      </c>
      <c r="L550" s="1">
        <v>75.0</v>
      </c>
    </row>
    <row r="551">
      <c r="A551" s="1">
        <v>1604016.0</v>
      </c>
      <c r="B551" s="1" t="s">
        <v>1257</v>
      </c>
      <c r="C551" s="1" t="s">
        <v>1107</v>
      </c>
      <c r="D551" s="1" t="s">
        <v>1119</v>
      </c>
      <c r="E551" s="1" t="s">
        <v>1258</v>
      </c>
      <c r="F551" s="1" t="s">
        <v>16</v>
      </c>
      <c r="G551" s="1" t="s">
        <v>17</v>
      </c>
      <c r="H551" s="1" t="s">
        <v>28</v>
      </c>
      <c r="I551" s="1" t="s">
        <v>40</v>
      </c>
      <c r="J551" s="1">
        <v>204.0</v>
      </c>
      <c r="K551" s="1">
        <v>30.0</v>
      </c>
      <c r="L551" s="1">
        <v>385.0</v>
      </c>
    </row>
    <row r="552">
      <c r="A552" s="1">
        <v>1671339.0</v>
      </c>
      <c r="B552" s="1" t="s">
        <v>1259</v>
      </c>
      <c r="C552" s="1" t="s">
        <v>1107</v>
      </c>
      <c r="D552" s="1" t="s">
        <v>1108</v>
      </c>
      <c r="E552" s="1" t="s">
        <v>1260</v>
      </c>
      <c r="F552" s="1" t="s">
        <v>55</v>
      </c>
      <c r="G552" s="1" t="s">
        <v>17</v>
      </c>
      <c r="H552" s="1" t="s">
        <v>18</v>
      </c>
      <c r="I552" s="1" t="s">
        <v>44</v>
      </c>
      <c r="J552" s="1">
        <v>25.0</v>
      </c>
      <c r="K552" s="1">
        <v>17.0</v>
      </c>
      <c r="L552" s="1">
        <v>46.0</v>
      </c>
    </row>
    <row r="553">
      <c r="A553" s="1">
        <v>1671035.0</v>
      </c>
      <c r="B553" s="1" t="s">
        <v>1261</v>
      </c>
      <c r="C553" s="1" t="s">
        <v>1107</v>
      </c>
      <c r="D553" s="1" t="s">
        <v>1108</v>
      </c>
      <c r="E553" s="1" t="s">
        <v>1262</v>
      </c>
      <c r="F553" s="1" t="s">
        <v>16</v>
      </c>
      <c r="G553" s="1" t="s">
        <v>17</v>
      </c>
      <c r="H553" s="1" t="s">
        <v>33</v>
      </c>
      <c r="I553" s="1" t="s">
        <v>74</v>
      </c>
      <c r="J553" s="1">
        <v>192.0</v>
      </c>
      <c r="K553" s="1">
        <v>69.0</v>
      </c>
      <c r="L553" s="1">
        <v>548.0</v>
      </c>
    </row>
    <row r="554">
      <c r="A554" s="1">
        <v>1671331.0</v>
      </c>
      <c r="B554" s="1" t="s">
        <v>1263</v>
      </c>
      <c r="C554" s="1" t="s">
        <v>1107</v>
      </c>
      <c r="D554" s="1" t="s">
        <v>1108</v>
      </c>
      <c r="E554" s="1" t="s">
        <v>1264</v>
      </c>
      <c r="F554" s="1" t="s">
        <v>16</v>
      </c>
      <c r="G554" s="1" t="s">
        <v>17</v>
      </c>
      <c r="H554" s="1" t="s">
        <v>33</v>
      </c>
      <c r="I554" s="1" t="s">
        <v>65</v>
      </c>
      <c r="J554" s="1">
        <v>185.0</v>
      </c>
      <c r="K554" s="1">
        <v>43.0</v>
      </c>
      <c r="L554" s="1">
        <v>345.0</v>
      </c>
    </row>
    <row r="555">
      <c r="A555" s="1">
        <v>1674002.0</v>
      </c>
      <c r="B555" s="1" t="s">
        <v>1265</v>
      </c>
      <c r="C555" s="1" t="s">
        <v>1107</v>
      </c>
      <c r="D555" s="1" t="s">
        <v>1125</v>
      </c>
      <c r="E555" s="1" t="s">
        <v>1266</v>
      </c>
      <c r="F555" s="1" t="s">
        <v>16</v>
      </c>
      <c r="G555" s="1" t="s">
        <v>17</v>
      </c>
      <c r="H555" s="1" t="s">
        <v>18</v>
      </c>
      <c r="I555" s="1" t="s">
        <v>19</v>
      </c>
      <c r="J555" s="1">
        <v>280.0</v>
      </c>
      <c r="K555" s="1">
        <v>34.0</v>
      </c>
      <c r="L555" s="1">
        <v>206.0</v>
      </c>
    </row>
    <row r="556">
      <c r="A556" s="1">
        <v>1674005.0</v>
      </c>
      <c r="B556" s="1" t="s">
        <v>1267</v>
      </c>
      <c r="C556" s="1" t="s">
        <v>1107</v>
      </c>
      <c r="D556" s="1" t="s">
        <v>1125</v>
      </c>
      <c r="E556" s="1" t="s">
        <v>1268</v>
      </c>
      <c r="F556" s="1" t="s">
        <v>55</v>
      </c>
      <c r="G556" s="1" t="s">
        <v>17</v>
      </c>
      <c r="H556" s="1" t="s">
        <v>18</v>
      </c>
      <c r="I556" s="1" t="s">
        <v>163</v>
      </c>
      <c r="J556" s="1">
        <v>93.0</v>
      </c>
      <c r="K556" s="1">
        <v>16.0</v>
      </c>
      <c r="L556" s="1">
        <v>129.0</v>
      </c>
    </row>
    <row r="557">
      <c r="A557" s="1">
        <v>1603088.0</v>
      </c>
      <c r="B557" s="1" t="s">
        <v>1269</v>
      </c>
      <c r="C557" s="1" t="s">
        <v>1107</v>
      </c>
      <c r="D557" s="1" t="s">
        <v>1132</v>
      </c>
      <c r="E557" s="1" t="s">
        <v>1270</v>
      </c>
      <c r="F557" s="1" t="s">
        <v>16</v>
      </c>
      <c r="G557" s="1" t="s">
        <v>23</v>
      </c>
      <c r="H557" s="1" t="s">
        <v>18</v>
      </c>
      <c r="I557" s="1" t="s">
        <v>40</v>
      </c>
      <c r="J557" s="1">
        <v>50.0</v>
      </c>
      <c r="K557" s="1">
        <v>14.0</v>
      </c>
      <c r="L557" s="1">
        <v>168.0</v>
      </c>
    </row>
    <row r="558">
      <c r="A558" s="1">
        <v>1602014.0</v>
      </c>
      <c r="B558" s="1" t="s">
        <v>1271</v>
      </c>
      <c r="C558" s="1" t="s">
        <v>1107</v>
      </c>
      <c r="D558" s="1" t="s">
        <v>1177</v>
      </c>
      <c r="E558" s="1" t="s">
        <v>1272</v>
      </c>
      <c r="F558" s="1" t="s">
        <v>16</v>
      </c>
      <c r="G558" s="1" t="s">
        <v>17</v>
      </c>
      <c r="H558" s="1" t="s">
        <v>28</v>
      </c>
      <c r="I558" s="1" t="s">
        <v>40</v>
      </c>
      <c r="J558" s="1">
        <v>216.0</v>
      </c>
      <c r="K558" s="1">
        <v>31.0</v>
      </c>
      <c r="L558" s="1">
        <v>468.0</v>
      </c>
    </row>
    <row r="559">
      <c r="A559" s="1">
        <v>1672002.0</v>
      </c>
      <c r="B559" s="1" t="s">
        <v>1273</v>
      </c>
      <c r="C559" s="1" t="s">
        <v>1107</v>
      </c>
      <c r="D559" s="1" t="s">
        <v>1113</v>
      </c>
      <c r="E559" s="1" t="s">
        <v>1274</v>
      </c>
      <c r="F559" s="1" t="s">
        <v>16</v>
      </c>
      <c r="G559" s="1" t="s">
        <v>23</v>
      </c>
      <c r="H559" s="1" t="s">
        <v>18</v>
      </c>
      <c r="I559" s="1" t="s">
        <v>44</v>
      </c>
      <c r="J559" s="1">
        <v>121.0</v>
      </c>
      <c r="K559" s="1">
        <v>26.0</v>
      </c>
      <c r="L559" s="1">
        <v>110.0</v>
      </c>
    </row>
    <row r="560">
      <c r="A560" s="1">
        <v>1601088.0</v>
      </c>
      <c r="B560" s="1" t="s">
        <v>1275</v>
      </c>
      <c r="C560" s="1" t="s">
        <v>1107</v>
      </c>
      <c r="D560" s="1" t="s">
        <v>1137</v>
      </c>
      <c r="E560" s="1" t="s">
        <v>1276</v>
      </c>
      <c r="F560" s="1" t="s">
        <v>55</v>
      </c>
      <c r="G560" s="1" t="s">
        <v>17</v>
      </c>
      <c r="H560" s="1" t="s">
        <v>18</v>
      </c>
      <c r="I560" s="1" t="s">
        <v>19</v>
      </c>
      <c r="J560" s="1">
        <v>26.0</v>
      </c>
      <c r="K560" s="1">
        <v>8.0</v>
      </c>
      <c r="L560" s="1">
        <v>21.0</v>
      </c>
    </row>
    <row r="561">
      <c r="A561" s="1">
        <v>1601002.0</v>
      </c>
      <c r="B561" s="1" t="s">
        <v>1277</v>
      </c>
      <c r="C561" s="1" t="s">
        <v>1107</v>
      </c>
      <c r="D561" s="1" t="s">
        <v>1137</v>
      </c>
      <c r="E561" s="1" t="s">
        <v>1278</v>
      </c>
      <c r="F561" s="1" t="s">
        <v>16</v>
      </c>
      <c r="G561" s="1" t="s">
        <v>17</v>
      </c>
      <c r="H561" s="1" t="s">
        <v>18</v>
      </c>
      <c r="I561" s="1" t="s">
        <v>74</v>
      </c>
      <c r="J561" s="1">
        <v>99.0</v>
      </c>
      <c r="K561" s="1">
        <v>26.0</v>
      </c>
      <c r="L561" s="1">
        <v>267.0</v>
      </c>
    </row>
    <row r="562">
      <c r="A562" s="1">
        <v>1610003.0</v>
      </c>
      <c r="B562" s="1" t="s">
        <v>1279</v>
      </c>
      <c r="C562" s="1" t="s">
        <v>1107</v>
      </c>
      <c r="D562" s="1" t="s">
        <v>1211</v>
      </c>
      <c r="E562" s="1" t="s">
        <v>1280</v>
      </c>
      <c r="F562" s="1" t="s">
        <v>16</v>
      </c>
      <c r="G562" s="1" t="s">
        <v>17</v>
      </c>
      <c r="H562" s="1" t="s">
        <v>28</v>
      </c>
      <c r="I562" s="1" t="s">
        <v>40</v>
      </c>
      <c r="J562" s="1">
        <v>100.0</v>
      </c>
      <c r="K562" s="1">
        <v>33.0</v>
      </c>
      <c r="L562" s="1">
        <v>336.0</v>
      </c>
    </row>
    <row r="563">
      <c r="A563" s="1">
        <v>1671323.0</v>
      </c>
      <c r="B563" s="1" t="s">
        <v>1281</v>
      </c>
      <c r="C563" s="1" t="s">
        <v>1107</v>
      </c>
      <c r="D563" s="1" t="s">
        <v>1108</v>
      </c>
      <c r="E563" s="1" t="s">
        <v>1282</v>
      </c>
      <c r="F563" s="1" t="s">
        <v>272</v>
      </c>
      <c r="G563" s="1" t="s">
        <v>27</v>
      </c>
      <c r="H563" s="1" t="s">
        <v>28</v>
      </c>
      <c r="I563" s="1" t="s">
        <v>139</v>
      </c>
      <c r="J563" s="1">
        <v>37.0</v>
      </c>
      <c r="K563" s="1">
        <v>23.0</v>
      </c>
      <c r="L563" s="1">
        <v>193.0</v>
      </c>
    </row>
    <row r="564">
      <c r="A564" s="1">
        <v>1611002.0</v>
      </c>
      <c r="B564" s="1" t="s">
        <v>1283</v>
      </c>
      <c r="C564" s="1" t="s">
        <v>1107</v>
      </c>
      <c r="D564" s="1" t="s">
        <v>1235</v>
      </c>
      <c r="E564" s="1" t="s">
        <v>1284</v>
      </c>
      <c r="F564" s="1" t="s">
        <v>16</v>
      </c>
      <c r="G564" s="1" t="s">
        <v>98</v>
      </c>
      <c r="H564" s="1" t="s">
        <v>18</v>
      </c>
      <c r="I564" s="1" t="s">
        <v>40</v>
      </c>
      <c r="J564" s="1">
        <v>58.0</v>
      </c>
      <c r="K564" s="1">
        <v>12.0</v>
      </c>
      <c r="L564" s="1">
        <v>116.0</v>
      </c>
    </row>
    <row r="565">
      <c r="A565" s="1">
        <v>1673031.0</v>
      </c>
      <c r="B565" s="1" t="s">
        <v>1285</v>
      </c>
      <c r="C565" s="1" t="s">
        <v>1107</v>
      </c>
      <c r="D565" s="1" t="s">
        <v>1286</v>
      </c>
      <c r="E565" s="1" t="s">
        <v>1287</v>
      </c>
      <c r="F565" s="1" t="s">
        <v>16</v>
      </c>
      <c r="G565" s="1" t="s">
        <v>17</v>
      </c>
      <c r="H565" s="1" t="s">
        <v>28</v>
      </c>
      <c r="I565" s="1" t="s">
        <v>29</v>
      </c>
      <c r="J565" s="1">
        <v>170.0</v>
      </c>
      <c r="K565" s="1">
        <v>27.0</v>
      </c>
      <c r="L565" s="1">
        <v>399.0</v>
      </c>
    </row>
    <row r="566">
      <c r="A566" s="1">
        <v>1610004.0</v>
      </c>
      <c r="B566" s="1" t="s">
        <v>1288</v>
      </c>
      <c r="C566" s="1" t="s">
        <v>1107</v>
      </c>
      <c r="D566" s="1" t="s">
        <v>1211</v>
      </c>
      <c r="E566" s="1" t="s">
        <v>1289</v>
      </c>
      <c r="F566" s="1" t="s">
        <v>16</v>
      </c>
      <c r="G566" s="1" t="s">
        <v>23</v>
      </c>
      <c r="H566" s="1" t="s">
        <v>18</v>
      </c>
      <c r="I566" s="1" t="s">
        <v>19</v>
      </c>
      <c r="J566" s="1">
        <v>50.0</v>
      </c>
      <c r="K566" s="1">
        <v>18.0</v>
      </c>
      <c r="L566" s="1">
        <v>62.0</v>
      </c>
    </row>
    <row r="567">
      <c r="A567" s="1">
        <v>1671050.0</v>
      </c>
      <c r="B567" s="1" t="s">
        <v>1290</v>
      </c>
      <c r="C567" s="1" t="s">
        <v>1107</v>
      </c>
      <c r="D567" s="1" t="s">
        <v>1108</v>
      </c>
      <c r="E567" s="1" t="s">
        <v>1291</v>
      </c>
      <c r="F567" s="1" t="s">
        <v>16</v>
      </c>
      <c r="G567" s="1" t="s">
        <v>27</v>
      </c>
      <c r="H567" s="1" t="s">
        <v>18</v>
      </c>
      <c r="I567" s="1" t="s">
        <v>59</v>
      </c>
      <c r="J567" s="1">
        <v>311.0</v>
      </c>
      <c r="K567" s="1">
        <v>61.0</v>
      </c>
      <c r="L567" s="1">
        <v>841.0</v>
      </c>
    </row>
    <row r="568">
      <c r="A568" s="1">
        <v>1605044.0</v>
      </c>
      <c r="B568" s="1" t="s">
        <v>1292</v>
      </c>
      <c r="C568" s="1" t="s">
        <v>1107</v>
      </c>
      <c r="D568" s="1" t="s">
        <v>1204</v>
      </c>
      <c r="E568" s="1" t="s">
        <v>1293</v>
      </c>
      <c r="F568" s="1" t="s">
        <v>16</v>
      </c>
      <c r="G568" s="1" t="s">
        <v>23</v>
      </c>
      <c r="H568" s="1" t="s">
        <v>28</v>
      </c>
      <c r="I568" s="1" t="s">
        <v>40</v>
      </c>
      <c r="J568" s="1">
        <v>52.0</v>
      </c>
      <c r="K568" s="1">
        <v>16.0</v>
      </c>
      <c r="L568" s="1">
        <v>142.0</v>
      </c>
    </row>
    <row r="569">
      <c r="A569" s="1">
        <v>1671327.0</v>
      </c>
      <c r="B569" s="1" t="s">
        <v>1294</v>
      </c>
      <c r="C569" s="1" t="s">
        <v>1107</v>
      </c>
      <c r="D569" s="1" t="s">
        <v>1108</v>
      </c>
      <c r="E569" s="1" t="s">
        <v>1295</v>
      </c>
      <c r="F569" s="1" t="s">
        <v>16</v>
      </c>
      <c r="G569" s="1" t="s">
        <v>23</v>
      </c>
      <c r="H569" s="1" t="s">
        <v>18</v>
      </c>
      <c r="I569" s="1" t="s">
        <v>59</v>
      </c>
      <c r="J569" s="1">
        <v>50.0</v>
      </c>
      <c r="K569" s="1">
        <v>38.0</v>
      </c>
      <c r="L569" s="1">
        <v>82.0</v>
      </c>
    </row>
    <row r="570">
      <c r="A570" s="1">
        <v>1601084.0</v>
      </c>
      <c r="B570" s="1" t="s">
        <v>1296</v>
      </c>
      <c r="C570" s="1" t="s">
        <v>1107</v>
      </c>
      <c r="D570" s="1" t="s">
        <v>1137</v>
      </c>
      <c r="E570" s="1" t="s">
        <v>1297</v>
      </c>
      <c r="F570" s="1" t="s">
        <v>255</v>
      </c>
      <c r="G570" s="1" t="s">
        <v>17</v>
      </c>
      <c r="H570" s="1" t="s">
        <v>18</v>
      </c>
      <c r="I570" s="1" t="s">
        <v>44</v>
      </c>
      <c r="J570" s="1">
        <v>24.0</v>
      </c>
      <c r="K570" s="1">
        <v>15.0</v>
      </c>
      <c r="L570" s="1">
        <v>22.0</v>
      </c>
    </row>
    <row r="571">
      <c r="A571" s="1">
        <v>1771073.0</v>
      </c>
      <c r="B571" s="1" t="s">
        <v>1298</v>
      </c>
      <c r="C571" s="1" t="s">
        <v>1299</v>
      </c>
      <c r="D571" s="1" t="s">
        <v>1300</v>
      </c>
      <c r="E571" s="1" t="s">
        <v>1301</v>
      </c>
      <c r="F571" s="1" t="s">
        <v>55</v>
      </c>
      <c r="G571" s="1" t="s">
        <v>17</v>
      </c>
      <c r="H571" s="1" t="s">
        <v>18</v>
      </c>
      <c r="I571" s="1" t="s">
        <v>29</v>
      </c>
      <c r="J571" s="1">
        <v>36.0</v>
      </c>
      <c r="K571" s="1">
        <v>20.0</v>
      </c>
      <c r="L571" s="1">
        <v>0.0</v>
      </c>
    </row>
    <row r="572">
      <c r="A572" s="1">
        <v>1702015.0</v>
      </c>
      <c r="B572" s="1" t="s">
        <v>1302</v>
      </c>
      <c r="C572" s="1" t="s">
        <v>1299</v>
      </c>
      <c r="D572" s="1" t="s">
        <v>1303</v>
      </c>
      <c r="E572" s="1" t="s">
        <v>1304</v>
      </c>
      <c r="F572" s="1" t="s">
        <v>16</v>
      </c>
      <c r="G572" s="1" t="s">
        <v>17</v>
      </c>
      <c r="H572" s="1" t="s">
        <v>28</v>
      </c>
      <c r="I572" s="1" t="s">
        <v>40</v>
      </c>
      <c r="J572" s="1">
        <v>122.0</v>
      </c>
      <c r="K572" s="1">
        <v>47.0</v>
      </c>
      <c r="L572" s="1">
        <v>528.0</v>
      </c>
    </row>
    <row r="573">
      <c r="A573" s="1">
        <v>1709038.0</v>
      </c>
      <c r="B573" s="1" t="s">
        <v>1305</v>
      </c>
      <c r="C573" s="1" t="s">
        <v>1299</v>
      </c>
      <c r="D573" s="1" t="s">
        <v>1306</v>
      </c>
      <c r="E573" s="1" t="s">
        <v>1307</v>
      </c>
      <c r="F573" s="1" t="s">
        <v>16</v>
      </c>
      <c r="G573" s="1" t="s">
        <v>23</v>
      </c>
      <c r="H573" s="1" t="s">
        <v>28</v>
      </c>
      <c r="I573" s="1" t="s">
        <v>40</v>
      </c>
      <c r="J573" s="1">
        <v>64.0</v>
      </c>
      <c r="K573" s="1">
        <v>31.0</v>
      </c>
      <c r="L573" s="1">
        <v>269.0</v>
      </c>
    </row>
    <row r="574">
      <c r="A574" s="1">
        <v>1702047.0</v>
      </c>
      <c r="B574" s="1" t="s">
        <v>1308</v>
      </c>
      <c r="C574" s="1" t="s">
        <v>1299</v>
      </c>
      <c r="D574" s="1" t="s">
        <v>1303</v>
      </c>
      <c r="E574" s="1" t="s">
        <v>1309</v>
      </c>
      <c r="F574" s="1" t="s">
        <v>16</v>
      </c>
      <c r="G574" s="1" t="s">
        <v>23</v>
      </c>
      <c r="H574" s="1" t="s">
        <v>18</v>
      </c>
      <c r="I574" s="1" t="s">
        <v>19</v>
      </c>
      <c r="J574" s="1">
        <v>67.0</v>
      </c>
      <c r="K574" s="1">
        <v>4.0</v>
      </c>
      <c r="L574" s="1">
        <v>0.0</v>
      </c>
    </row>
    <row r="575">
      <c r="A575" s="1">
        <v>1771036.0</v>
      </c>
      <c r="B575" s="1" t="s">
        <v>1310</v>
      </c>
      <c r="C575" s="1" t="s">
        <v>1299</v>
      </c>
      <c r="D575" s="1" t="s">
        <v>1300</v>
      </c>
      <c r="E575" s="1" t="s">
        <v>1311</v>
      </c>
      <c r="F575" s="1" t="s">
        <v>16</v>
      </c>
      <c r="G575" s="1" t="s">
        <v>17</v>
      </c>
      <c r="H575" s="1" t="s">
        <v>18</v>
      </c>
      <c r="I575" s="1" t="s">
        <v>59</v>
      </c>
      <c r="J575" s="1">
        <v>100.0</v>
      </c>
      <c r="K575" s="1">
        <v>33.0</v>
      </c>
      <c r="L575" s="1">
        <v>266.0</v>
      </c>
    </row>
    <row r="576">
      <c r="A576" s="1">
        <v>1703016.0</v>
      </c>
      <c r="B576" s="1" t="s">
        <v>1312</v>
      </c>
      <c r="C576" s="1" t="s">
        <v>1299</v>
      </c>
      <c r="D576" s="1" t="s">
        <v>1313</v>
      </c>
      <c r="E576" s="1" t="s">
        <v>1314</v>
      </c>
      <c r="F576" s="1" t="s">
        <v>16</v>
      </c>
      <c r="G576" s="1" t="s">
        <v>17</v>
      </c>
      <c r="H576" s="1" t="s">
        <v>18</v>
      </c>
      <c r="I576" s="1" t="s">
        <v>40</v>
      </c>
      <c r="J576" s="1">
        <v>121.0</v>
      </c>
      <c r="K576" s="1">
        <v>22.0</v>
      </c>
      <c r="L576" s="1">
        <v>564.0</v>
      </c>
    </row>
    <row r="577">
      <c r="A577" s="1">
        <v>1701016.0</v>
      </c>
      <c r="B577" s="1" t="s">
        <v>1315</v>
      </c>
      <c r="C577" s="1" t="s">
        <v>1299</v>
      </c>
      <c r="D577" s="1" t="s">
        <v>1316</v>
      </c>
      <c r="E577" s="1" t="s">
        <v>1317</v>
      </c>
      <c r="F577" s="1" t="s">
        <v>16</v>
      </c>
      <c r="G577" s="1" t="s">
        <v>23</v>
      </c>
      <c r="H577" s="1" t="s">
        <v>18</v>
      </c>
      <c r="I577" s="1" t="s">
        <v>19</v>
      </c>
      <c r="J577" s="1">
        <v>90.0</v>
      </c>
      <c r="K577" s="1">
        <v>36.0</v>
      </c>
      <c r="L577" s="1">
        <v>135.0</v>
      </c>
    </row>
    <row r="578">
      <c r="A578" s="1">
        <v>1771051.0</v>
      </c>
      <c r="B578" s="1" t="s">
        <v>1318</v>
      </c>
      <c r="C578" s="1" t="s">
        <v>1299</v>
      </c>
      <c r="D578" s="1" t="s">
        <v>1300</v>
      </c>
      <c r="E578" s="1" t="s">
        <v>1319</v>
      </c>
      <c r="F578" s="1" t="s">
        <v>16</v>
      </c>
      <c r="G578" s="1" t="s">
        <v>17</v>
      </c>
      <c r="H578" s="1" t="s">
        <v>33</v>
      </c>
      <c r="I578" s="1" t="s">
        <v>65</v>
      </c>
      <c r="J578" s="1">
        <v>100.0</v>
      </c>
      <c r="K578" s="1">
        <v>47.0</v>
      </c>
      <c r="L578" s="1">
        <v>458.0</v>
      </c>
    </row>
    <row r="579">
      <c r="A579" s="1">
        <v>1705018.0</v>
      </c>
      <c r="B579" s="1" t="s">
        <v>1320</v>
      </c>
      <c r="C579" s="1" t="s">
        <v>1299</v>
      </c>
      <c r="D579" s="1" t="s">
        <v>1321</v>
      </c>
      <c r="E579" s="1" t="s">
        <v>1322</v>
      </c>
      <c r="F579" s="1" t="s">
        <v>16</v>
      </c>
      <c r="G579" s="1" t="s">
        <v>17</v>
      </c>
      <c r="H579" s="1" t="s">
        <v>28</v>
      </c>
      <c r="I579" s="1" t="s">
        <v>40</v>
      </c>
      <c r="J579" s="1">
        <v>100.0</v>
      </c>
      <c r="K579" s="1">
        <v>23.0</v>
      </c>
      <c r="L579" s="1">
        <v>298.0</v>
      </c>
    </row>
    <row r="580">
      <c r="A580" s="1">
        <v>1703046.0</v>
      </c>
      <c r="B580" s="1" t="s">
        <v>1323</v>
      </c>
      <c r="C580" s="1" t="s">
        <v>1299</v>
      </c>
      <c r="D580" s="1" t="s">
        <v>1313</v>
      </c>
      <c r="E580" s="1" t="s">
        <v>1324</v>
      </c>
      <c r="F580" s="1" t="s">
        <v>16</v>
      </c>
      <c r="G580" s="1" t="s">
        <v>23</v>
      </c>
      <c r="H580" s="1" t="s">
        <v>28</v>
      </c>
      <c r="I580" s="1" t="s">
        <v>40</v>
      </c>
      <c r="J580" s="1">
        <v>50.0</v>
      </c>
      <c r="K580" s="1">
        <v>33.0</v>
      </c>
      <c r="L580" s="1">
        <v>141.0</v>
      </c>
    </row>
    <row r="581">
      <c r="A581" s="1">
        <v>1771007.0</v>
      </c>
      <c r="B581" s="1" t="s">
        <v>1325</v>
      </c>
      <c r="C581" s="1" t="s">
        <v>1299</v>
      </c>
      <c r="D581" s="1" t="s">
        <v>1300</v>
      </c>
      <c r="E581" s="1" t="s">
        <v>1326</v>
      </c>
      <c r="F581" s="1" t="s">
        <v>16</v>
      </c>
      <c r="G581" s="1" t="s">
        <v>17</v>
      </c>
      <c r="H581" s="1" t="s">
        <v>18</v>
      </c>
      <c r="I581" s="1" t="s">
        <v>19</v>
      </c>
      <c r="J581" s="1">
        <v>119.0</v>
      </c>
      <c r="K581" s="1">
        <v>38.0</v>
      </c>
      <c r="L581" s="1">
        <v>267.0</v>
      </c>
    </row>
    <row r="582">
      <c r="A582" s="1">
        <v>1771009.0</v>
      </c>
      <c r="B582" s="1" t="s">
        <v>1327</v>
      </c>
      <c r="C582" s="1" t="s">
        <v>1299</v>
      </c>
      <c r="D582" s="1" t="s">
        <v>1300</v>
      </c>
      <c r="E582" s="1" t="s">
        <v>1328</v>
      </c>
      <c r="F582" s="1" t="s">
        <v>16</v>
      </c>
      <c r="G582" s="1" t="s">
        <v>17</v>
      </c>
      <c r="H582" s="1" t="s">
        <v>18</v>
      </c>
      <c r="I582" s="1" t="s">
        <v>19</v>
      </c>
      <c r="J582" s="1">
        <v>115.0</v>
      </c>
      <c r="K582" s="1">
        <v>75.0</v>
      </c>
      <c r="L582" s="1">
        <v>104.0</v>
      </c>
    </row>
    <row r="583">
      <c r="A583" s="1">
        <v>1708010.0</v>
      </c>
      <c r="B583" s="1" t="s">
        <v>1329</v>
      </c>
      <c r="C583" s="1" t="s">
        <v>1299</v>
      </c>
      <c r="D583" s="1" t="s">
        <v>1330</v>
      </c>
      <c r="E583" s="1" t="s">
        <v>1331</v>
      </c>
      <c r="F583" s="1" t="s">
        <v>16</v>
      </c>
      <c r="G583" s="1" t="s">
        <v>17</v>
      </c>
      <c r="H583" s="1" t="s">
        <v>28</v>
      </c>
      <c r="I583" s="1" t="s">
        <v>40</v>
      </c>
      <c r="J583" s="1">
        <v>137.0</v>
      </c>
      <c r="K583" s="1">
        <v>35.0</v>
      </c>
      <c r="L583" s="1">
        <v>353.0</v>
      </c>
    </row>
    <row r="584">
      <c r="A584" s="1">
        <v>1771062.0</v>
      </c>
      <c r="B584" s="1" t="s">
        <v>1332</v>
      </c>
      <c r="C584" s="1" t="s">
        <v>1299</v>
      </c>
      <c r="D584" s="1" t="s">
        <v>1300</v>
      </c>
      <c r="E584" s="1" t="s">
        <v>1333</v>
      </c>
      <c r="F584" s="1" t="s">
        <v>16</v>
      </c>
      <c r="G584" s="1" t="s">
        <v>17</v>
      </c>
      <c r="H584" s="1" t="s">
        <v>18</v>
      </c>
      <c r="I584" s="1" t="s">
        <v>44</v>
      </c>
      <c r="J584" s="1">
        <v>135.0</v>
      </c>
      <c r="K584" s="1">
        <v>34.0</v>
      </c>
      <c r="L584" s="1">
        <v>326.0</v>
      </c>
    </row>
    <row r="585">
      <c r="A585" s="1">
        <v>1701014.0</v>
      </c>
      <c r="B585" s="1" t="s">
        <v>1334</v>
      </c>
      <c r="C585" s="1" t="s">
        <v>1299</v>
      </c>
      <c r="D585" s="1" t="s">
        <v>1316</v>
      </c>
      <c r="E585" s="1" t="s">
        <v>1335</v>
      </c>
      <c r="F585" s="1" t="s">
        <v>16</v>
      </c>
      <c r="G585" s="1" t="s">
        <v>17</v>
      </c>
      <c r="H585" s="1" t="s">
        <v>28</v>
      </c>
      <c r="I585" s="1" t="s">
        <v>40</v>
      </c>
      <c r="J585" s="1">
        <v>188.0</v>
      </c>
      <c r="K585" s="1">
        <v>28.0</v>
      </c>
      <c r="L585" s="1">
        <v>369.0</v>
      </c>
    </row>
    <row r="586">
      <c r="A586" s="1">
        <v>1771025.0</v>
      </c>
      <c r="B586" s="1" t="s">
        <v>1336</v>
      </c>
      <c r="C586" s="1" t="s">
        <v>1299</v>
      </c>
      <c r="D586" s="1" t="s">
        <v>1300</v>
      </c>
      <c r="E586" s="1" t="s">
        <v>1337</v>
      </c>
      <c r="F586" s="1" t="s">
        <v>174</v>
      </c>
      <c r="G586" s="1" t="s">
        <v>27</v>
      </c>
      <c r="H586" s="1" t="s">
        <v>28</v>
      </c>
      <c r="I586" s="1" t="s">
        <v>139</v>
      </c>
      <c r="J586" s="1">
        <v>194.0</v>
      </c>
      <c r="K586" s="1">
        <v>33.0</v>
      </c>
      <c r="L586" s="1">
        <v>356.0</v>
      </c>
    </row>
    <row r="587">
      <c r="A587" s="1">
        <v>1707026.0</v>
      </c>
      <c r="B587" s="1" t="s">
        <v>1338</v>
      </c>
      <c r="C587" s="1" t="s">
        <v>1299</v>
      </c>
      <c r="D587" s="1" t="s">
        <v>1339</v>
      </c>
      <c r="E587" s="1" t="s">
        <v>1340</v>
      </c>
      <c r="F587" s="1" t="s">
        <v>16</v>
      </c>
      <c r="G587" s="1" t="s">
        <v>17</v>
      </c>
      <c r="H587" s="1" t="s">
        <v>28</v>
      </c>
      <c r="I587" s="1" t="s">
        <v>40</v>
      </c>
      <c r="J587" s="1">
        <v>102.0</v>
      </c>
      <c r="K587" s="1">
        <v>28.0</v>
      </c>
      <c r="L587" s="1">
        <v>158.0</v>
      </c>
    </row>
    <row r="588">
      <c r="A588" s="1">
        <v>1771040.0</v>
      </c>
      <c r="B588" s="1" t="s">
        <v>1341</v>
      </c>
      <c r="C588" s="1" t="s">
        <v>1299</v>
      </c>
      <c r="D588" s="1" t="s">
        <v>1300</v>
      </c>
      <c r="E588" s="1" t="s">
        <v>1342</v>
      </c>
      <c r="F588" s="1" t="s">
        <v>16</v>
      </c>
      <c r="G588" s="1" t="s">
        <v>23</v>
      </c>
      <c r="H588" s="1" t="s">
        <v>18</v>
      </c>
      <c r="I588" s="1" t="s">
        <v>74</v>
      </c>
      <c r="J588" s="1">
        <v>53.0</v>
      </c>
      <c r="K588" s="1">
        <v>44.0</v>
      </c>
      <c r="L588" s="1">
        <v>237.0</v>
      </c>
    </row>
    <row r="589">
      <c r="A589" s="1">
        <v>1704028.0</v>
      </c>
      <c r="B589" s="1" t="s">
        <v>1343</v>
      </c>
      <c r="C589" s="1" t="s">
        <v>1299</v>
      </c>
      <c r="D589" s="1" t="s">
        <v>1344</v>
      </c>
      <c r="E589" s="1" t="s">
        <v>1345</v>
      </c>
      <c r="F589" s="1" t="s">
        <v>16</v>
      </c>
      <c r="G589" s="1" t="s">
        <v>17</v>
      </c>
      <c r="H589" s="1" t="s">
        <v>28</v>
      </c>
      <c r="I589" s="1" t="s">
        <v>40</v>
      </c>
      <c r="J589" s="1">
        <v>111.0</v>
      </c>
      <c r="K589" s="1">
        <v>20.0</v>
      </c>
      <c r="L589" s="1">
        <v>339.0</v>
      </c>
    </row>
    <row r="590">
      <c r="A590" s="1">
        <v>1703027.0</v>
      </c>
      <c r="B590" s="1" t="s">
        <v>1346</v>
      </c>
      <c r="C590" s="1" t="s">
        <v>1299</v>
      </c>
      <c r="D590" s="1" t="s">
        <v>1313</v>
      </c>
      <c r="E590" s="1" t="s">
        <v>1347</v>
      </c>
      <c r="F590" s="1" t="s">
        <v>16</v>
      </c>
      <c r="G590" s="1" t="s">
        <v>23</v>
      </c>
      <c r="H590" s="1" t="s">
        <v>18</v>
      </c>
      <c r="I590" s="1" t="s">
        <v>40</v>
      </c>
      <c r="J590" s="1">
        <v>16.0</v>
      </c>
      <c r="K590" s="1">
        <v>22.0</v>
      </c>
      <c r="L590" s="1">
        <v>17.0</v>
      </c>
    </row>
    <row r="591">
      <c r="A591" s="1">
        <v>1771002.0</v>
      </c>
      <c r="B591" s="1" t="s">
        <v>1348</v>
      </c>
      <c r="C591" s="1" t="s">
        <v>1299</v>
      </c>
      <c r="D591" s="1" t="s">
        <v>1300</v>
      </c>
      <c r="E591" s="1" t="s">
        <v>1349</v>
      </c>
      <c r="F591" s="1" t="s">
        <v>16</v>
      </c>
      <c r="G591" s="1" t="s">
        <v>17</v>
      </c>
      <c r="H591" s="1" t="s">
        <v>28</v>
      </c>
      <c r="I591" s="1" t="s">
        <v>29</v>
      </c>
      <c r="J591" s="1">
        <v>138.0</v>
      </c>
      <c r="K591" s="1">
        <v>42.0</v>
      </c>
      <c r="L591" s="1">
        <v>335.0</v>
      </c>
    </row>
    <row r="592">
      <c r="A592" s="1">
        <v>1703045.0</v>
      </c>
      <c r="B592" s="1" t="s">
        <v>1350</v>
      </c>
      <c r="C592" s="1" t="s">
        <v>1299</v>
      </c>
      <c r="D592" s="1" t="s">
        <v>1313</v>
      </c>
      <c r="E592" s="1" t="s">
        <v>1351</v>
      </c>
      <c r="F592" s="1" t="s">
        <v>16</v>
      </c>
      <c r="G592" s="1" t="s">
        <v>23</v>
      </c>
      <c r="H592" s="1" t="s">
        <v>18</v>
      </c>
      <c r="I592" s="1" t="s">
        <v>249</v>
      </c>
      <c r="J592" s="1">
        <v>55.0</v>
      </c>
      <c r="K592" s="1">
        <v>26.0</v>
      </c>
      <c r="L592" s="1">
        <v>116.0</v>
      </c>
    </row>
    <row r="593">
      <c r="A593" s="1">
        <v>1706019.0</v>
      </c>
      <c r="B593" s="1" t="s">
        <v>1352</v>
      </c>
      <c r="C593" s="1" t="s">
        <v>1299</v>
      </c>
      <c r="D593" s="1" t="s">
        <v>1353</v>
      </c>
      <c r="E593" s="1" t="s">
        <v>1354</v>
      </c>
      <c r="F593" s="1" t="s">
        <v>16</v>
      </c>
      <c r="G593" s="1" t="s">
        <v>17</v>
      </c>
      <c r="H593" s="1" t="s">
        <v>28</v>
      </c>
      <c r="I593" s="1" t="s">
        <v>40</v>
      </c>
      <c r="J593" s="1">
        <v>165.0</v>
      </c>
      <c r="K593" s="1">
        <v>45.0</v>
      </c>
      <c r="L593" s="1">
        <v>491.0</v>
      </c>
    </row>
    <row r="594">
      <c r="A594" s="1">
        <v>1706020.0</v>
      </c>
      <c r="B594" s="1" t="s">
        <v>1355</v>
      </c>
      <c r="C594" s="1" t="s">
        <v>1299</v>
      </c>
      <c r="D594" s="1" t="s">
        <v>1353</v>
      </c>
      <c r="E594" s="1" t="s">
        <v>1356</v>
      </c>
      <c r="F594" s="1" t="s">
        <v>55</v>
      </c>
      <c r="G594" s="1" t="s">
        <v>17</v>
      </c>
      <c r="H594" s="1" t="s">
        <v>18</v>
      </c>
      <c r="I594" s="1" t="s">
        <v>19</v>
      </c>
      <c r="J594" s="1">
        <v>28.0</v>
      </c>
      <c r="K594" s="1">
        <v>21.0</v>
      </c>
      <c r="L594" s="1">
        <v>48.0</v>
      </c>
    </row>
    <row r="595">
      <c r="A595" s="1">
        <v>1702035.0</v>
      </c>
      <c r="B595" s="1" t="s">
        <v>1357</v>
      </c>
      <c r="C595" s="1" t="s">
        <v>1299</v>
      </c>
      <c r="D595" s="1" t="s">
        <v>1303</v>
      </c>
      <c r="E595" s="1" t="s">
        <v>1358</v>
      </c>
      <c r="F595" s="1" t="s">
        <v>16</v>
      </c>
      <c r="G595" s="1" t="s">
        <v>23</v>
      </c>
      <c r="H595" s="1" t="s">
        <v>18</v>
      </c>
      <c r="I595" s="1" t="s">
        <v>19</v>
      </c>
      <c r="J595" s="1">
        <v>89.0</v>
      </c>
      <c r="K595" s="1">
        <v>13.0</v>
      </c>
      <c r="L595" s="1">
        <v>123.0</v>
      </c>
    </row>
    <row r="596">
      <c r="A596" s="1">
        <v>1771014.0</v>
      </c>
      <c r="B596" s="1" t="s">
        <v>1359</v>
      </c>
      <c r="C596" s="1" t="s">
        <v>1299</v>
      </c>
      <c r="D596" s="1" t="s">
        <v>1300</v>
      </c>
      <c r="E596" s="1" t="s">
        <v>1360</v>
      </c>
      <c r="F596" s="1" t="s">
        <v>16</v>
      </c>
      <c r="G596" s="1" t="s">
        <v>27</v>
      </c>
      <c r="H596" s="1" t="s">
        <v>28</v>
      </c>
      <c r="I596" s="1" t="s">
        <v>139</v>
      </c>
      <c r="J596" s="1">
        <v>240.0</v>
      </c>
      <c r="K596" s="1">
        <v>52.0</v>
      </c>
      <c r="L596" s="1">
        <v>699.0</v>
      </c>
    </row>
    <row r="597">
      <c r="A597" s="1">
        <v>1803010.0</v>
      </c>
      <c r="B597" s="1" t="s">
        <v>1361</v>
      </c>
      <c r="C597" s="1" t="s">
        <v>1362</v>
      </c>
      <c r="D597" s="1" t="s">
        <v>1363</v>
      </c>
      <c r="E597" s="1" t="s">
        <v>1364</v>
      </c>
      <c r="F597" s="1" t="s">
        <v>16</v>
      </c>
      <c r="G597" s="1" t="s">
        <v>17</v>
      </c>
      <c r="H597" s="1" t="s">
        <v>28</v>
      </c>
      <c r="I597" s="1" t="s">
        <v>40</v>
      </c>
      <c r="J597" s="1">
        <v>154.0</v>
      </c>
      <c r="K597" s="1">
        <v>38.0</v>
      </c>
      <c r="L597" s="1">
        <v>545.0</v>
      </c>
    </row>
    <row r="598">
      <c r="A598" s="1">
        <v>1803033.0</v>
      </c>
      <c r="B598" s="1" t="s">
        <v>1365</v>
      </c>
      <c r="C598" s="1" t="s">
        <v>1362</v>
      </c>
      <c r="D598" s="1" t="s">
        <v>1366</v>
      </c>
      <c r="E598" s="1" t="s">
        <v>1367</v>
      </c>
      <c r="F598" s="1" t="s">
        <v>16</v>
      </c>
      <c r="G598" s="1" t="s">
        <v>17</v>
      </c>
      <c r="H598" s="1" t="s">
        <v>18</v>
      </c>
      <c r="I598" s="1" t="s">
        <v>44</v>
      </c>
      <c r="J598" s="1">
        <v>100.0</v>
      </c>
      <c r="K598" s="1">
        <v>58.0</v>
      </c>
      <c r="L598" s="1">
        <v>179.0</v>
      </c>
    </row>
    <row r="599">
      <c r="A599" s="1">
        <v>1871282.0</v>
      </c>
      <c r="B599" s="1" t="s">
        <v>1368</v>
      </c>
      <c r="C599" s="1" t="s">
        <v>1362</v>
      </c>
      <c r="D599" s="1" t="s">
        <v>1369</v>
      </c>
      <c r="E599" s="1" t="s">
        <v>1370</v>
      </c>
      <c r="F599" s="1" t="s">
        <v>16</v>
      </c>
      <c r="G599" s="1" t="s">
        <v>17</v>
      </c>
      <c r="H599" s="1" t="s">
        <v>18</v>
      </c>
      <c r="I599" s="1" t="s">
        <v>59</v>
      </c>
      <c r="J599" s="1">
        <v>175.0</v>
      </c>
      <c r="K599" s="1">
        <v>48.0</v>
      </c>
      <c r="L599" s="1">
        <v>600.0</v>
      </c>
    </row>
    <row r="600">
      <c r="A600" s="1">
        <v>1803048.0</v>
      </c>
      <c r="B600" s="1" t="s">
        <v>1371</v>
      </c>
      <c r="C600" s="1" t="s">
        <v>1362</v>
      </c>
      <c r="D600" s="1" t="s">
        <v>1366</v>
      </c>
      <c r="E600" s="1" t="s">
        <v>1372</v>
      </c>
      <c r="F600" s="1" t="s">
        <v>16</v>
      </c>
      <c r="G600" s="1" t="s">
        <v>23</v>
      </c>
      <c r="H600" s="1" t="s">
        <v>18</v>
      </c>
      <c r="I600" s="1" t="s">
        <v>44</v>
      </c>
      <c r="J600" s="1">
        <v>40.0</v>
      </c>
      <c r="K600" s="1">
        <v>17.0</v>
      </c>
      <c r="L600" s="1">
        <v>0.0</v>
      </c>
    </row>
    <row r="601">
      <c r="A601" s="1">
        <v>1803034.0</v>
      </c>
      <c r="B601" s="1" t="s">
        <v>1373</v>
      </c>
      <c r="C601" s="1" t="s">
        <v>1362</v>
      </c>
      <c r="D601" s="1" t="s">
        <v>1366</v>
      </c>
      <c r="E601" s="1" t="s">
        <v>1374</v>
      </c>
      <c r="F601" s="1" t="s">
        <v>55</v>
      </c>
      <c r="G601" s="1" t="s">
        <v>17</v>
      </c>
      <c r="H601" s="1" t="s">
        <v>18</v>
      </c>
      <c r="I601" s="1" t="s">
        <v>19</v>
      </c>
      <c r="J601" s="1">
        <v>41.0</v>
      </c>
      <c r="K601" s="1">
        <v>19.0</v>
      </c>
      <c r="L601" s="1">
        <v>48.0</v>
      </c>
    </row>
    <row r="602">
      <c r="A602" s="1">
        <v>1808015.0</v>
      </c>
      <c r="B602" s="1" t="s">
        <v>1375</v>
      </c>
      <c r="C602" s="1" t="s">
        <v>1362</v>
      </c>
      <c r="D602" s="1" t="s">
        <v>1376</v>
      </c>
      <c r="E602" s="1" t="s">
        <v>1377</v>
      </c>
      <c r="F602" s="1" t="s">
        <v>16</v>
      </c>
      <c r="G602" s="1" t="s">
        <v>27</v>
      </c>
      <c r="H602" s="1" t="s">
        <v>28</v>
      </c>
      <c r="I602" s="1" t="s">
        <v>40</v>
      </c>
      <c r="J602" s="1">
        <v>158.0</v>
      </c>
      <c r="K602" s="1">
        <v>72.0</v>
      </c>
      <c r="L602" s="1">
        <v>411.0</v>
      </c>
    </row>
    <row r="603">
      <c r="A603" s="1">
        <v>1806039.0</v>
      </c>
      <c r="B603" s="1" t="s">
        <v>1378</v>
      </c>
      <c r="C603" s="1" t="s">
        <v>1362</v>
      </c>
      <c r="D603" s="1" t="s">
        <v>1379</v>
      </c>
      <c r="E603" s="1" t="s">
        <v>1380</v>
      </c>
      <c r="F603" s="1" t="s">
        <v>16</v>
      </c>
      <c r="G603" s="1" t="s">
        <v>17</v>
      </c>
      <c r="H603" s="1" t="s">
        <v>33</v>
      </c>
      <c r="I603" s="1" t="s">
        <v>19</v>
      </c>
      <c r="J603" s="1">
        <v>107.0</v>
      </c>
      <c r="K603" s="1">
        <v>25.0</v>
      </c>
      <c r="L603" s="1">
        <v>115.0</v>
      </c>
    </row>
    <row r="604">
      <c r="A604" s="1">
        <v>1805046.0</v>
      </c>
      <c r="B604" s="1" t="s">
        <v>1381</v>
      </c>
      <c r="C604" s="1" t="s">
        <v>1362</v>
      </c>
      <c r="D604" s="1" t="s">
        <v>1382</v>
      </c>
      <c r="E604" s="1" t="s">
        <v>1383</v>
      </c>
      <c r="F604" s="1" t="s">
        <v>16</v>
      </c>
      <c r="G604" s="1" t="s">
        <v>17</v>
      </c>
      <c r="H604" s="1" t="s">
        <v>18</v>
      </c>
      <c r="I604" s="1" t="s">
        <v>19</v>
      </c>
      <c r="J604" s="1">
        <v>113.0</v>
      </c>
      <c r="K604" s="1">
        <v>24.0</v>
      </c>
      <c r="L604" s="1">
        <v>117.0</v>
      </c>
    </row>
    <row r="605">
      <c r="A605" s="1">
        <v>1801016.0</v>
      </c>
      <c r="B605" s="1" t="s">
        <v>1384</v>
      </c>
      <c r="C605" s="1" t="s">
        <v>1362</v>
      </c>
      <c r="D605" s="1" t="s">
        <v>1385</v>
      </c>
      <c r="E605" s="1" t="s">
        <v>1386</v>
      </c>
      <c r="F605" s="1" t="s">
        <v>55</v>
      </c>
      <c r="G605" s="1" t="s">
        <v>17</v>
      </c>
      <c r="H605" s="1" t="s">
        <v>18</v>
      </c>
      <c r="I605" s="1" t="s">
        <v>44</v>
      </c>
      <c r="J605" s="1">
        <v>49.0</v>
      </c>
      <c r="K605" s="1">
        <v>18.0</v>
      </c>
      <c r="L605" s="1">
        <v>86.0</v>
      </c>
    </row>
    <row r="606">
      <c r="A606" s="1">
        <v>1871448.0</v>
      </c>
      <c r="B606" s="1" t="s">
        <v>1387</v>
      </c>
      <c r="C606" s="1" t="s">
        <v>1362</v>
      </c>
      <c r="D606" s="1" t="s">
        <v>1369</v>
      </c>
      <c r="E606" s="1" t="s">
        <v>1388</v>
      </c>
      <c r="F606" s="1" t="s">
        <v>272</v>
      </c>
      <c r="G606" s="1" t="s">
        <v>17</v>
      </c>
      <c r="H606" s="1" t="s">
        <v>18</v>
      </c>
      <c r="I606" s="1" t="s">
        <v>19</v>
      </c>
      <c r="J606" s="1">
        <v>15.0</v>
      </c>
      <c r="K606" s="1">
        <v>21.0</v>
      </c>
      <c r="L606" s="1">
        <v>49.0</v>
      </c>
    </row>
    <row r="607">
      <c r="A607" s="1">
        <v>1808018.0</v>
      </c>
      <c r="B607" s="1" t="s">
        <v>1389</v>
      </c>
      <c r="C607" s="1" t="s">
        <v>1362</v>
      </c>
      <c r="D607" s="1" t="s">
        <v>1376</v>
      </c>
      <c r="E607" s="1" t="s">
        <v>1390</v>
      </c>
      <c r="F607" s="1" t="s">
        <v>16</v>
      </c>
      <c r="G607" s="1" t="s">
        <v>23</v>
      </c>
      <c r="H607" s="1" t="s">
        <v>18</v>
      </c>
      <c r="I607" s="1" t="s">
        <v>44</v>
      </c>
      <c r="J607" s="1">
        <v>56.0</v>
      </c>
      <c r="K607" s="1">
        <v>21.0</v>
      </c>
      <c r="L607" s="1">
        <v>35.0</v>
      </c>
    </row>
    <row r="608">
      <c r="A608" s="1">
        <v>1804011.0</v>
      </c>
      <c r="B608" s="1" t="s">
        <v>1391</v>
      </c>
      <c r="C608" s="1" t="s">
        <v>1362</v>
      </c>
      <c r="D608" s="1" t="s">
        <v>1392</v>
      </c>
      <c r="E608" s="1" t="s">
        <v>1393</v>
      </c>
      <c r="F608" s="1" t="s">
        <v>16</v>
      </c>
      <c r="G608" s="1" t="s">
        <v>17</v>
      </c>
      <c r="H608" s="1" t="s">
        <v>28</v>
      </c>
      <c r="I608" s="1" t="s">
        <v>40</v>
      </c>
      <c r="J608" s="1">
        <v>112.0</v>
      </c>
      <c r="K608" s="1">
        <v>95.0</v>
      </c>
      <c r="L608" s="1">
        <v>518.0</v>
      </c>
    </row>
    <row r="609">
      <c r="A609" s="1">
        <v>1807016.0</v>
      </c>
      <c r="B609" s="1" t="s">
        <v>1394</v>
      </c>
      <c r="C609" s="1" t="s">
        <v>1362</v>
      </c>
      <c r="D609" s="1" t="s">
        <v>1395</v>
      </c>
      <c r="E609" s="1" t="s">
        <v>1396</v>
      </c>
      <c r="F609" s="1" t="s">
        <v>16</v>
      </c>
      <c r="G609" s="1" t="s">
        <v>17</v>
      </c>
      <c r="H609" s="1" t="s">
        <v>18</v>
      </c>
      <c r="I609" s="1" t="s">
        <v>59</v>
      </c>
      <c r="J609" s="1">
        <v>107.0</v>
      </c>
      <c r="K609" s="1">
        <v>28.0</v>
      </c>
      <c r="L609" s="1">
        <v>217.0</v>
      </c>
    </row>
    <row r="610">
      <c r="A610" s="1">
        <v>1871447.0</v>
      </c>
      <c r="B610" s="1" t="s">
        <v>1397</v>
      </c>
      <c r="C610" s="1" t="s">
        <v>1362</v>
      </c>
      <c r="D610" s="1" t="s">
        <v>1369</v>
      </c>
      <c r="E610" s="1" t="s">
        <v>1398</v>
      </c>
      <c r="F610" s="1" t="s">
        <v>16</v>
      </c>
      <c r="G610" s="1" t="s">
        <v>17</v>
      </c>
      <c r="H610" s="1" t="s">
        <v>18</v>
      </c>
      <c r="I610" s="1" t="s">
        <v>44</v>
      </c>
      <c r="J610" s="1">
        <v>105.0</v>
      </c>
      <c r="K610" s="1">
        <v>24.0</v>
      </c>
      <c r="L610" s="1">
        <v>230.0</v>
      </c>
    </row>
    <row r="611">
      <c r="A611" s="1">
        <v>1871416.0</v>
      </c>
      <c r="B611" s="1" t="s">
        <v>1399</v>
      </c>
      <c r="C611" s="1" t="s">
        <v>1362</v>
      </c>
      <c r="D611" s="1" t="s">
        <v>1369</v>
      </c>
      <c r="E611" s="1" t="s">
        <v>1400</v>
      </c>
      <c r="F611" s="1" t="s">
        <v>16</v>
      </c>
      <c r="G611" s="1" t="s">
        <v>17</v>
      </c>
      <c r="H611" s="1" t="s">
        <v>18</v>
      </c>
      <c r="I611" s="1" t="s">
        <v>44</v>
      </c>
      <c r="J611" s="1">
        <v>172.0</v>
      </c>
      <c r="K611" s="1">
        <v>34.0</v>
      </c>
      <c r="L611" s="1">
        <v>401.0</v>
      </c>
    </row>
    <row r="612">
      <c r="A612" s="1">
        <v>1871439.0</v>
      </c>
      <c r="B612" s="1" t="s">
        <v>1401</v>
      </c>
      <c r="C612" s="1" t="s">
        <v>1362</v>
      </c>
      <c r="D612" s="1" t="s">
        <v>1369</v>
      </c>
      <c r="E612" s="1" t="s">
        <v>1402</v>
      </c>
      <c r="F612" s="1" t="s">
        <v>55</v>
      </c>
      <c r="G612" s="1" t="s">
        <v>17</v>
      </c>
      <c r="H612" s="1" t="s">
        <v>18</v>
      </c>
      <c r="I612" s="1" t="s">
        <v>44</v>
      </c>
      <c r="J612" s="1">
        <v>41.0</v>
      </c>
      <c r="K612" s="1">
        <v>17.0</v>
      </c>
      <c r="L612" s="1">
        <v>104.0</v>
      </c>
    </row>
    <row r="613">
      <c r="A613" s="1">
        <v>1803036.0</v>
      </c>
      <c r="B613" s="1" t="s">
        <v>1403</v>
      </c>
      <c r="C613" s="1" t="s">
        <v>1362</v>
      </c>
      <c r="D613" s="1" t="s">
        <v>1366</v>
      </c>
      <c r="E613" s="1" t="s">
        <v>1404</v>
      </c>
      <c r="F613" s="1" t="s">
        <v>16</v>
      </c>
      <c r="G613" s="1" t="s">
        <v>17</v>
      </c>
      <c r="H613" s="1" t="s">
        <v>18</v>
      </c>
      <c r="I613" s="1" t="s">
        <v>19</v>
      </c>
      <c r="J613" s="1">
        <v>160.0</v>
      </c>
      <c r="K613" s="1">
        <v>59.0</v>
      </c>
      <c r="L613" s="1">
        <v>227.0</v>
      </c>
    </row>
    <row r="614">
      <c r="A614" s="1">
        <v>1813001.0</v>
      </c>
      <c r="B614" s="1" t="s">
        <v>1405</v>
      </c>
      <c r="C614" s="1" t="s">
        <v>1362</v>
      </c>
      <c r="D614" s="1" t="s">
        <v>1406</v>
      </c>
      <c r="E614" s="1" t="s">
        <v>1407</v>
      </c>
      <c r="F614" s="1" t="s">
        <v>16</v>
      </c>
      <c r="G614" s="1" t="s">
        <v>23</v>
      </c>
      <c r="H614" s="1" t="s">
        <v>18</v>
      </c>
      <c r="I614" s="1" t="s">
        <v>40</v>
      </c>
      <c r="J614" s="1">
        <v>27.0</v>
      </c>
      <c r="K614" s="1">
        <v>16.0</v>
      </c>
      <c r="L614" s="1">
        <v>120.0</v>
      </c>
    </row>
    <row r="615">
      <c r="A615" s="1">
        <v>1871026.0</v>
      </c>
      <c r="B615" s="1" t="s">
        <v>1408</v>
      </c>
      <c r="C615" s="1" t="s">
        <v>1362</v>
      </c>
      <c r="D615" s="1" t="s">
        <v>1369</v>
      </c>
      <c r="E615" s="1" t="s">
        <v>1409</v>
      </c>
      <c r="F615" s="1" t="s">
        <v>16</v>
      </c>
      <c r="G615" s="1" t="s">
        <v>17</v>
      </c>
      <c r="H615" s="1" t="s">
        <v>18</v>
      </c>
      <c r="I615" s="1" t="s">
        <v>74</v>
      </c>
      <c r="J615" s="1">
        <v>113.0</v>
      </c>
      <c r="K615" s="1">
        <v>22.0</v>
      </c>
      <c r="L615" s="1">
        <v>256.0</v>
      </c>
    </row>
    <row r="616">
      <c r="A616" s="1">
        <v>1805045.0</v>
      </c>
      <c r="B616" s="1" t="s">
        <v>1410</v>
      </c>
      <c r="C616" s="1" t="s">
        <v>1362</v>
      </c>
      <c r="D616" s="1" t="s">
        <v>1382</v>
      </c>
      <c r="E616" s="1" t="s">
        <v>1411</v>
      </c>
      <c r="F616" s="1" t="s">
        <v>16</v>
      </c>
      <c r="G616" s="1" t="s">
        <v>17</v>
      </c>
      <c r="H616" s="1" t="s">
        <v>18</v>
      </c>
      <c r="I616" s="1" t="s">
        <v>44</v>
      </c>
      <c r="J616" s="1">
        <v>167.0</v>
      </c>
      <c r="K616" s="1">
        <v>78.0</v>
      </c>
      <c r="L616" s="1">
        <v>313.0</v>
      </c>
    </row>
    <row r="617">
      <c r="A617" s="1">
        <v>1805060.0</v>
      </c>
      <c r="B617" s="1" t="s">
        <v>1412</v>
      </c>
      <c r="C617" s="1" t="s">
        <v>1362</v>
      </c>
      <c r="D617" s="1" t="s">
        <v>1382</v>
      </c>
      <c r="E617" s="1" t="s">
        <v>1413</v>
      </c>
      <c r="F617" s="1" t="s">
        <v>16</v>
      </c>
      <c r="G617" s="1" t="s">
        <v>23</v>
      </c>
      <c r="H617" s="1" t="s">
        <v>18</v>
      </c>
      <c r="I617" s="1" t="s">
        <v>44</v>
      </c>
      <c r="J617" s="1">
        <v>50.0</v>
      </c>
      <c r="K617" s="1">
        <v>16.0</v>
      </c>
      <c r="L617" s="1">
        <v>0.0</v>
      </c>
    </row>
    <row r="618">
      <c r="A618" s="1">
        <v>1812003.0</v>
      </c>
      <c r="B618" s="1" t="s">
        <v>1414</v>
      </c>
      <c r="C618" s="1" t="s">
        <v>1362</v>
      </c>
      <c r="D618" s="1" t="s">
        <v>1415</v>
      </c>
      <c r="E618" s="1" t="s">
        <v>1416</v>
      </c>
      <c r="F618" s="1" t="s">
        <v>16</v>
      </c>
      <c r="G618" s="1" t="s">
        <v>23</v>
      </c>
      <c r="H618" s="1" t="s">
        <v>28</v>
      </c>
      <c r="I618" s="1" t="s">
        <v>40</v>
      </c>
      <c r="J618" s="1">
        <v>50.0</v>
      </c>
      <c r="K618" s="1">
        <v>20.0</v>
      </c>
      <c r="L618" s="1">
        <v>105.0</v>
      </c>
    </row>
    <row r="619">
      <c r="A619" s="1">
        <v>1805023.0</v>
      </c>
      <c r="B619" s="1" t="s">
        <v>1417</v>
      </c>
      <c r="C619" s="1" t="s">
        <v>1362</v>
      </c>
      <c r="D619" s="1" t="s">
        <v>1382</v>
      </c>
      <c r="E619" s="1" t="s">
        <v>1418</v>
      </c>
      <c r="F619" s="1" t="s">
        <v>16</v>
      </c>
      <c r="G619" s="1" t="s">
        <v>27</v>
      </c>
      <c r="H619" s="1" t="s">
        <v>18</v>
      </c>
      <c r="I619" s="1" t="s">
        <v>19</v>
      </c>
      <c r="J619" s="1">
        <v>207.0</v>
      </c>
      <c r="K619" s="1">
        <v>38.0</v>
      </c>
      <c r="L619" s="1">
        <v>370.0</v>
      </c>
    </row>
    <row r="620">
      <c r="A620" s="1">
        <v>1804012.0</v>
      </c>
      <c r="B620" s="1" t="s">
        <v>1419</v>
      </c>
      <c r="C620" s="1" t="s">
        <v>1362</v>
      </c>
      <c r="D620" s="1" t="s">
        <v>1392</v>
      </c>
      <c r="E620" s="1" t="s">
        <v>1420</v>
      </c>
      <c r="F620" s="1" t="s">
        <v>16</v>
      </c>
      <c r="G620" s="1" t="s">
        <v>17</v>
      </c>
      <c r="H620" s="1" t="s">
        <v>18</v>
      </c>
      <c r="I620" s="1" t="s">
        <v>163</v>
      </c>
      <c r="J620" s="1">
        <v>130.0</v>
      </c>
      <c r="K620" s="1">
        <v>26.0</v>
      </c>
      <c r="L620" s="1">
        <v>111.0</v>
      </c>
    </row>
    <row r="621">
      <c r="A621" s="1">
        <v>1871438.0</v>
      </c>
      <c r="B621" s="1" t="s">
        <v>1421</v>
      </c>
      <c r="C621" s="1" t="s">
        <v>1362</v>
      </c>
      <c r="D621" s="1" t="s">
        <v>1369</v>
      </c>
      <c r="E621" s="1" t="s">
        <v>1422</v>
      </c>
      <c r="F621" s="1" t="s">
        <v>16</v>
      </c>
      <c r="G621" s="1" t="s">
        <v>17</v>
      </c>
      <c r="H621" s="1" t="s">
        <v>33</v>
      </c>
      <c r="I621" s="1" t="s">
        <v>65</v>
      </c>
      <c r="J621" s="1">
        <v>122.0</v>
      </c>
      <c r="K621" s="1">
        <v>35.0</v>
      </c>
      <c r="L621" s="1">
        <v>161.0</v>
      </c>
    </row>
    <row r="622">
      <c r="A622" s="1">
        <v>1872031.0</v>
      </c>
      <c r="B622" s="1" t="s">
        <v>1423</v>
      </c>
      <c r="C622" s="1" t="s">
        <v>1362</v>
      </c>
      <c r="D622" s="1" t="s">
        <v>1424</v>
      </c>
      <c r="E622" s="1" t="s">
        <v>1425</v>
      </c>
      <c r="F622" s="1" t="s">
        <v>16</v>
      </c>
      <c r="G622" s="1" t="s">
        <v>23</v>
      </c>
      <c r="H622" s="1" t="s">
        <v>18</v>
      </c>
      <c r="I622" s="1" t="s">
        <v>59</v>
      </c>
      <c r="J622" s="1">
        <v>78.0</v>
      </c>
      <c r="K622" s="1">
        <v>26.0</v>
      </c>
      <c r="L622" s="1">
        <v>183.0</v>
      </c>
    </row>
    <row r="623">
      <c r="A623" s="1">
        <v>1871442.0</v>
      </c>
      <c r="B623" s="1" t="s">
        <v>1426</v>
      </c>
      <c r="C623" s="1" t="s">
        <v>1362</v>
      </c>
      <c r="D623" s="1" t="s">
        <v>1369</v>
      </c>
      <c r="E623" s="1" t="s">
        <v>1427</v>
      </c>
      <c r="F623" s="1" t="s">
        <v>55</v>
      </c>
      <c r="G623" s="1" t="s">
        <v>17</v>
      </c>
      <c r="H623" s="1" t="s">
        <v>18</v>
      </c>
      <c r="I623" s="1" t="s">
        <v>44</v>
      </c>
      <c r="J623" s="1">
        <v>73.0</v>
      </c>
      <c r="K623" s="1">
        <v>8.0</v>
      </c>
      <c r="L623" s="1">
        <v>145.0</v>
      </c>
    </row>
    <row r="624">
      <c r="A624" s="1">
        <v>1806037.0</v>
      </c>
      <c r="B624" s="1" t="s">
        <v>1428</v>
      </c>
      <c r="C624" s="1" t="s">
        <v>1362</v>
      </c>
      <c r="D624" s="1" t="s">
        <v>1379</v>
      </c>
      <c r="E624" s="1" t="s">
        <v>1429</v>
      </c>
      <c r="F624" s="1" t="s">
        <v>16</v>
      </c>
      <c r="G624" s="1" t="s">
        <v>23</v>
      </c>
      <c r="H624" s="1" t="s">
        <v>18</v>
      </c>
      <c r="I624" s="1" t="s">
        <v>249</v>
      </c>
      <c r="J624" s="1">
        <v>63.0</v>
      </c>
      <c r="K624" s="1">
        <v>44.0</v>
      </c>
      <c r="L624" s="1">
        <v>50.0</v>
      </c>
    </row>
    <row r="625">
      <c r="A625" s="1">
        <v>1871180.0</v>
      </c>
      <c r="B625" s="1" t="s">
        <v>1430</v>
      </c>
      <c r="C625" s="1" t="s">
        <v>1362</v>
      </c>
      <c r="D625" s="1" t="s">
        <v>1369</v>
      </c>
      <c r="E625" s="1" t="s">
        <v>1431</v>
      </c>
      <c r="F625" s="1" t="s">
        <v>16</v>
      </c>
      <c r="G625" s="1" t="s">
        <v>27</v>
      </c>
      <c r="H625" s="1" t="s">
        <v>18</v>
      </c>
      <c r="I625" s="1" t="s">
        <v>258</v>
      </c>
      <c r="J625" s="1">
        <v>200.0</v>
      </c>
      <c r="K625" s="1">
        <v>94.0</v>
      </c>
      <c r="L625" s="1">
        <v>759.0</v>
      </c>
    </row>
    <row r="626">
      <c r="A626" s="1">
        <v>1809002.0</v>
      </c>
      <c r="B626" s="1" t="s">
        <v>1432</v>
      </c>
      <c r="C626" s="1" t="s">
        <v>1362</v>
      </c>
      <c r="D626" s="1" t="s">
        <v>1433</v>
      </c>
      <c r="E626" s="1" t="s">
        <v>1434</v>
      </c>
      <c r="F626" s="1" t="s">
        <v>16</v>
      </c>
      <c r="G626" s="1" t="s">
        <v>17</v>
      </c>
      <c r="H626" s="1" t="s">
        <v>28</v>
      </c>
      <c r="I626" s="1" t="s">
        <v>40</v>
      </c>
      <c r="J626" s="1">
        <v>107.0</v>
      </c>
      <c r="K626" s="1">
        <v>26.0</v>
      </c>
      <c r="L626" s="1">
        <v>115.0</v>
      </c>
    </row>
    <row r="627">
      <c r="A627" s="1">
        <v>1804014.0</v>
      </c>
      <c r="B627" s="1" t="s">
        <v>1435</v>
      </c>
      <c r="C627" s="1" t="s">
        <v>1362</v>
      </c>
      <c r="D627" s="1" t="s">
        <v>1392</v>
      </c>
      <c r="E627" s="1" t="s">
        <v>1436</v>
      </c>
      <c r="F627" s="1" t="s">
        <v>55</v>
      </c>
      <c r="G627" s="1" t="s">
        <v>17</v>
      </c>
      <c r="H627" s="1" t="s">
        <v>18</v>
      </c>
      <c r="I627" s="1" t="s">
        <v>59</v>
      </c>
      <c r="J627" s="1">
        <v>75.0</v>
      </c>
      <c r="K627" s="1">
        <v>14.0</v>
      </c>
      <c r="L627" s="1">
        <v>21.0</v>
      </c>
    </row>
    <row r="628">
      <c r="A628" s="1">
        <v>1802016.0</v>
      </c>
      <c r="B628" s="1" t="s">
        <v>1437</v>
      </c>
      <c r="C628" s="1" t="s">
        <v>1362</v>
      </c>
      <c r="D628" s="1" t="s">
        <v>1438</v>
      </c>
      <c r="E628" s="1" t="s">
        <v>1439</v>
      </c>
      <c r="F628" s="1" t="s">
        <v>16</v>
      </c>
      <c r="G628" s="1" t="s">
        <v>23</v>
      </c>
      <c r="H628" s="1" t="s">
        <v>18</v>
      </c>
      <c r="I628" s="1" t="s">
        <v>59</v>
      </c>
      <c r="J628" s="1">
        <v>77.0</v>
      </c>
      <c r="K628" s="1">
        <v>33.0</v>
      </c>
      <c r="L628" s="1">
        <v>192.0</v>
      </c>
    </row>
    <row r="629">
      <c r="A629" s="1">
        <v>1805048.0</v>
      </c>
      <c r="B629" s="1" t="s">
        <v>1440</v>
      </c>
      <c r="C629" s="1" t="s">
        <v>1362</v>
      </c>
      <c r="D629" s="1" t="s">
        <v>1382</v>
      </c>
      <c r="E629" s="1" t="s">
        <v>1441</v>
      </c>
      <c r="F629" s="1" t="s">
        <v>16</v>
      </c>
      <c r="G629" s="1" t="s">
        <v>17</v>
      </c>
      <c r="H629" s="1" t="s">
        <v>18</v>
      </c>
      <c r="I629" s="1" t="s">
        <v>44</v>
      </c>
      <c r="J629" s="1">
        <v>117.0</v>
      </c>
      <c r="K629" s="1">
        <v>33.0</v>
      </c>
      <c r="L629" s="1">
        <v>156.0</v>
      </c>
    </row>
    <row r="630">
      <c r="A630" s="1">
        <v>1805024.0</v>
      </c>
      <c r="B630" s="1" t="s">
        <v>1442</v>
      </c>
      <c r="C630" s="1" t="s">
        <v>1362</v>
      </c>
      <c r="D630" s="1" t="s">
        <v>1382</v>
      </c>
      <c r="E630" s="1" t="s">
        <v>1443</v>
      </c>
      <c r="F630" s="1" t="s">
        <v>16</v>
      </c>
      <c r="G630" s="1" t="s">
        <v>17</v>
      </c>
      <c r="H630" s="1" t="s">
        <v>18</v>
      </c>
      <c r="I630" s="1" t="s">
        <v>44</v>
      </c>
      <c r="J630" s="1">
        <v>135.0</v>
      </c>
      <c r="K630" s="1">
        <v>29.0</v>
      </c>
      <c r="L630" s="1">
        <v>275.0</v>
      </c>
    </row>
    <row r="631">
      <c r="A631" s="1">
        <v>1871048.0</v>
      </c>
      <c r="B631" s="1" t="s">
        <v>1444</v>
      </c>
      <c r="C631" s="1" t="s">
        <v>1362</v>
      </c>
      <c r="D631" s="1" t="s">
        <v>1369</v>
      </c>
      <c r="E631" s="1" t="s">
        <v>1445</v>
      </c>
      <c r="F631" s="1" t="s">
        <v>16</v>
      </c>
      <c r="G631" s="1" t="s">
        <v>17</v>
      </c>
      <c r="H631" s="1" t="s">
        <v>28</v>
      </c>
      <c r="I631" s="1" t="s">
        <v>29</v>
      </c>
      <c r="J631" s="1">
        <v>100.0</v>
      </c>
      <c r="K631" s="1">
        <v>52.0</v>
      </c>
      <c r="L631" s="1">
        <v>281.0</v>
      </c>
    </row>
    <row r="632">
      <c r="A632" s="1">
        <v>1871020.0</v>
      </c>
      <c r="B632" s="1" t="s">
        <v>1446</v>
      </c>
      <c r="C632" s="1" t="s">
        <v>1362</v>
      </c>
      <c r="D632" s="1" t="s">
        <v>1424</v>
      </c>
      <c r="E632" s="1" t="s">
        <v>1447</v>
      </c>
      <c r="F632" s="1" t="s">
        <v>16</v>
      </c>
      <c r="G632" s="1" t="s">
        <v>17</v>
      </c>
      <c r="H632" s="1" t="s">
        <v>18</v>
      </c>
      <c r="I632" s="1" t="s">
        <v>59</v>
      </c>
      <c r="J632" s="1">
        <v>199.0</v>
      </c>
      <c r="K632" s="1">
        <v>31.0</v>
      </c>
      <c r="L632" s="1">
        <v>293.0</v>
      </c>
    </row>
    <row r="633">
      <c r="A633" s="1">
        <v>1871234.0</v>
      </c>
      <c r="B633" s="1" t="s">
        <v>1448</v>
      </c>
      <c r="C633" s="1" t="s">
        <v>1362</v>
      </c>
      <c r="D633" s="1" t="s">
        <v>1369</v>
      </c>
      <c r="E633" s="1" t="s">
        <v>1449</v>
      </c>
      <c r="F633" s="1" t="s">
        <v>16</v>
      </c>
      <c r="G633" s="1" t="s">
        <v>17</v>
      </c>
      <c r="H633" s="1" t="s">
        <v>18</v>
      </c>
      <c r="I633" s="1" t="s">
        <v>59</v>
      </c>
      <c r="J633" s="1">
        <v>155.0</v>
      </c>
      <c r="K633" s="1">
        <v>23.0</v>
      </c>
      <c r="L633" s="1">
        <v>265.0</v>
      </c>
    </row>
    <row r="634">
      <c r="A634" s="1">
        <v>1808016.0</v>
      </c>
      <c r="B634" s="1" t="s">
        <v>1450</v>
      </c>
      <c r="C634" s="1" t="s">
        <v>1362</v>
      </c>
      <c r="D634" s="1" t="s">
        <v>1376</v>
      </c>
      <c r="E634" s="1" t="s">
        <v>1451</v>
      </c>
      <c r="F634" s="1" t="s">
        <v>16</v>
      </c>
      <c r="G634" s="1" t="s">
        <v>23</v>
      </c>
      <c r="H634" s="1" t="s">
        <v>18</v>
      </c>
      <c r="I634" s="1" t="s">
        <v>19</v>
      </c>
      <c r="J634" s="1">
        <v>99.0</v>
      </c>
      <c r="K634" s="1">
        <v>28.0</v>
      </c>
      <c r="L634" s="1">
        <v>134.0</v>
      </c>
    </row>
    <row r="635">
      <c r="A635" s="1">
        <v>1802038.0</v>
      </c>
      <c r="B635" s="1" t="s">
        <v>1452</v>
      </c>
      <c r="C635" s="1" t="s">
        <v>1362</v>
      </c>
      <c r="D635" s="1" t="s">
        <v>1363</v>
      </c>
      <c r="E635" s="1" t="s">
        <v>1453</v>
      </c>
      <c r="F635" s="1" t="s">
        <v>16</v>
      </c>
      <c r="G635" s="1" t="s">
        <v>17</v>
      </c>
      <c r="H635" s="1" t="s">
        <v>18</v>
      </c>
      <c r="I635" s="1" t="s">
        <v>19</v>
      </c>
      <c r="J635" s="1">
        <v>202.0</v>
      </c>
      <c r="K635" s="1">
        <v>60.0</v>
      </c>
      <c r="L635" s="1">
        <v>496.0</v>
      </c>
    </row>
    <row r="636">
      <c r="A636" s="1">
        <v>1807014.0</v>
      </c>
      <c r="B636" s="1" t="s">
        <v>1454</v>
      </c>
      <c r="C636" s="1" t="s">
        <v>1362</v>
      </c>
      <c r="D636" s="1" t="s">
        <v>1395</v>
      </c>
      <c r="E636" s="1" t="s">
        <v>1455</v>
      </c>
      <c r="F636" s="1" t="s">
        <v>16</v>
      </c>
      <c r="G636" s="1" t="s">
        <v>17</v>
      </c>
      <c r="H636" s="1" t="s">
        <v>28</v>
      </c>
      <c r="I636" s="1" t="s">
        <v>40</v>
      </c>
      <c r="J636" s="1">
        <v>106.0</v>
      </c>
      <c r="K636" s="1">
        <v>38.0</v>
      </c>
      <c r="L636" s="1">
        <v>325.0</v>
      </c>
    </row>
    <row r="637">
      <c r="A637" s="1">
        <v>1871446.0</v>
      </c>
      <c r="B637" s="1" t="s">
        <v>1456</v>
      </c>
      <c r="C637" s="1" t="s">
        <v>1362</v>
      </c>
      <c r="D637" s="1" t="s">
        <v>1369</v>
      </c>
      <c r="E637" s="1" t="s">
        <v>1457</v>
      </c>
      <c r="F637" s="1" t="s">
        <v>55</v>
      </c>
      <c r="G637" s="1" t="s">
        <v>17</v>
      </c>
      <c r="H637" s="1" t="s">
        <v>18</v>
      </c>
      <c r="I637" s="1" t="s">
        <v>44</v>
      </c>
      <c r="J637" s="1">
        <v>35.0</v>
      </c>
      <c r="K637" s="1">
        <v>16.0</v>
      </c>
      <c r="L637" s="1">
        <v>79.0</v>
      </c>
    </row>
    <row r="638">
      <c r="A638" s="1">
        <v>1804013.0</v>
      </c>
      <c r="B638" s="1" t="s">
        <v>1458</v>
      </c>
      <c r="C638" s="1" t="s">
        <v>1362</v>
      </c>
      <c r="D638" s="1" t="s">
        <v>1392</v>
      </c>
      <c r="E638" s="1" t="s">
        <v>1459</v>
      </c>
      <c r="F638" s="1" t="s">
        <v>55</v>
      </c>
      <c r="G638" s="1" t="s">
        <v>17</v>
      </c>
      <c r="H638" s="1" t="s">
        <v>18</v>
      </c>
      <c r="I638" s="1" t="s">
        <v>19</v>
      </c>
      <c r="J638" s="1">
        <v>29.0</v>
      </c>
      <c r="K638" s="1">
        <v>16.0</v>
      </c>
      <c r="L638" s="1">
        <v>44.0</v>
      </c>
    </row>
    <row r="639">
      <c r="A639" s="1">
        <v>1805047.0</v>
      </c>
      <c r="B639" s="1" t="s">
        <v>1460</v>
      </c>
      <c r="C639" s="1" t="s">
        <v>1362</v>
      </c>
      <c r="D639" s="1" t="s">
        <v>1382</v>
      </c>
      <c r="E639" s="1" t="s">
        <v>1461</v>
      </c>
      <c r="F639" s="1" t="s">
        <v>55</v>
      </c>
      <c r="G639" s="1" t="s">
        <v>17</v>
      </c>
      <c r="H639" s="1" t="s">
        <v>18</v>
      </c>
      <c r="I639" s="1" t="s">
        <v>44</v>
      </c>
      <c r="J639" s="1">
        <v>59.0</v>
      </c>
      <c r="K639" s="1">
        <v>15.0</v>
      </c>
      <c r="L639" s="1">
        <v>98.0</v>
      </c>
    </row>
    <row r="640">
      <c r="A640" s="1">
        <v>1803021.0</v>
      </c>
      <c r="B640" s="1" t="s">
        <v>1462</v>
      </c>
      <c r="C640" s="1" t="s">
        <v>1362</v>
      </c>
      <c r="D640" s="1" t="s">
        <v>1366</v>
      </c>
      <c r="E640" s="1" t="s">
        <v>1463</v>
      </c>
      <c r="F640" s="1" t="s">
        <v>16</v>
      </c>
      <c r="G640" s="1" t="s">
        <v>17</v>
      </c>
      <c r="H640" s="1" t="s">
        <v>28</v>
      </c>
      <c r="I640" s="1" t="s">
        <v>40</v>
      </c>
      <c r="J640" s="1">
        <v>166.0</v>
      </c>
      <c r="K640" s="1">
        <v>38.0</v>
      </c>
      <c r="L640" s="1">
        <v>446.0</v>
      </c>
    </row>
    <row r="641">
      <c r="A641" s="1">
        <v>1810003.0</v>
      </c>
      <c r="B641" s="1" t="s">
        <v>1464</v>
      </c>
      <c r="C641" s="1" t="s">
        <v>1362</v>
      </c>
      <c r="D641" s="1" t="s">
        <v>1363</v>
      </c>
      <c r="E641" s="1" t="s">
        <v>1465</v>
      </c>
      <c r="F641" s="1" t="s">
        <v>16</v>
      </c>
      <c r="G641" s="1" t="s">
        <v>23</v>
      </c>
      <c r="H641" s="1" t="s">
        <v>18</v>
      </c>
      <c r="I641" s="1" t="s">
        <v>163</v>
      </c>
      <c r="J641" s="1">
        <v>135.0</v>
      </c>
      <c r="K641" s="1">
        <v>40.0</v>
      </c>
      <c r="L641" s="1">
        <v>200.0</v>
      </c>
    </row>
    <row r="642">
      <c r="A642" s="1">
        <v>1871405.0</v>
      </c>
      <c r="B642" s="1" t="s">
        <v>1466</v>
      </c>
      <c r="C642" s="1" t="s">
        <v>1362</v>
      </c>
      <c r="D642" s="1" t="s">
        <v>1369</v>
      </c>
      <c r="E642" s="1" t="s">
        <v>1467</v>
      </c>
      <c r="F642" s="1" t="s">
        <v>16</v>
      </c>
      <c r="G642" s="1" t="s">
        <v>150</v>
      </c>
      <c r="H642" s="1" t="s">
        <v>18</v>
      </c>
      <c r="I642" s="1" t="s">
        <v>44</v>
      </c>
      <c r="J642" s="1">
        <v>574.0</v>
      </c>
      <c r="K642" s="1">
        <v>54.0</v>
      </c>
      <c r="L642" s="1">
        <v>1050.0</v>
      </c>
    </row>
    <row r="643">
      <c r="A643" s="1">
        <v>1804015.0</v>
      </c>
      <c r="B643" s="1" t="s">
        <v>569</v>
      </c>
      <c r="C643" s="1" t="s">
        <v>1362</v>
      </c>
      <c r="D643" s="1" t="s">
        <v>1392</v>
      </c>
      <c r="E643" s="1" t="s">
        <v>1468</v>
      </c>
      <c r="F643" s="1" t="s">
        <v>16</v>
      </c>
      <c r="G643" s="1" t="s">
        <v>17</v>
      </c>
      <c r="H643" s="1" t="s">
        <v>18</v>
      </c>
      <c r="I643" s="1" t="s">
        <v>19</v>
      </c>
      <c r="J643" s="1">
        <v>103.0</v>
      </c>
      <c r="K643" s="1">
        <v>25.0</v>
      </c>
      <c r="L643" s="1">
        <v>120.0</v>
      </c>
    </row>
    <row r="644">
      <c r="A644" s="1">
        <v>1808017.0</v>
      </c>
      <c r="B644" s="1" t="s">
        <v>1469</v>
      </c>
      <c r="C644" s="1" t="s">
        <v>1362</v>
      </c>
      <c r="D644" s="1" t="s">
        <v>1376</v>
      </c>
      <c r="E644" s="1" t="s">
        <v>1470</v>
      </c>
      <c r="F644" s="1" t="s">
        <v>16</v>
      </c>
      <c r="G644" s="1" t="s">
        <v>23</v>
      </c>
      <c r="H644" s="1" t="s">
        <v>18</v>
      </c>
      <c r="I644" s="1" t="s">
        <v>44</v>
      </c>
      <c r="J644" s="1">
        <v>60.0</v>
      </c>
      <c r="K644" s="1">
        <v>24.0</v>
      </c>
      <c r="L644" s="1">
        <v>107.0</v>
      </c>
    </row>
    <row r="645">
      <c r="A645" s="1">
        <v>1801017.0</v>
      </c>
      <c r="B645" s="1" t="s">
        <v>1471</v>
      </c>
      <c r="C645" s="1" t="s">
        <v>1362</v>
      </c>
      <c r="D645" s="1" t="s">
        <v>1369</v>
      </c>
      <c r="E645" s="1" t="s">
        <v>1472</v>
      </c>
      <c r="F645" s="1" t="s">
        <v>16</v>
      </c>
      <c r="G645" s="1" t="s">
        <v>150</v>
      </c>
      <c r="H645" s="1" t="s">
        <v>28</v>
      </c>
      <c r="I645" s="1" t="s">
        <v>139</v>
      </c>
      <c r="J645" s="1">
        <v>625.0</v>
      </c>
      <c r="K645" s="1">
        <v>52.0</v>
      </c>
      <c r="L645" s="1">
        <v>1352.0</v>
      </c>
    </row>
    <row r="646">
      <c r="A646" s="1">
        <v>1805034.0</v>
      </c>
      <c r="B646" s="1" t="s">
        <v>1473</v>
      </c>
      <c r="C646" s="1" t="s">
        <v>1362</v>
      </c>
      <c r="D646" s="1" t="s">
        <v>1382</v>
      </c>
      <c r="E646" s="1" t="s">
        <v>1474</v>
      </c>
      <c r="F646" s="1" t="s">
        <v>16</v>
      </c>
      <c r="G646" s="1" t="s">
        <v>17</v>
      </c>
      <c r="H646" s="1" t="s">
        <v>28</v>
      </c>
      <c r="I646" s="1" t="s">
        <v>40</v>
      </c>
      <c r="J646" s="1">
        <v>92.0</v>
      </c>
      <c r="K646" s="1">
        <v>27.0</v>
      </c>
      <c r="L646" s="1">
        <v>525.0</v>
      </c>
    </row>
    <row r="647">
      <c r="A647" s="1">
        <v>1812014.0</v>
      </c>
      <c r="B647" s="1" t="s">
        <v>1475</v>
      </c>
      <c r="C647" s="1" t="s">
        <v>1362</v>
      </c>
      <c r="D647" s="1" t="s">
        <v>1415</v>
      </c>
      <c r="E647" s="1" t="s">
        <v>1476</v>
      </c>
      <c r="F647" s="1" t="s">
        <v>55</v>
      </c>
      <c r="G647" s="1" t="s">
        <v>17</v>
      </c>
      <c r="H647" s="1" t="s">
        <v>18</v>
      </c>
      <c r="I647" s="1" t="s">
        <v>19</v>
      </c>
      <c r="J647" s="1">
        <v>62.0</v>
      </c>
      <c r="K647" s="1">
        <v>14.0</v>
      </c>
      <c r="L647" s="1">
        <v>0.0</v>
      </c>
    </row>
    <row r="648">
      <c r="A648" s="1">
        <v>1871440.0</v>
      </c>
      <c r="B648" s="1" t="s">
        <v>1477</v>
      </c>
      <c r="C648" s="1" t="s">
        <v>1362</v>
      </c>
      <c r="D648" s="1" t="s">
        <v>1369</v>
      </c>
      <c r="E648" s="1" t="s">
        <v>1478</v>
      </c>
      <c r="F648" s="1" t="s">
        <v>55</v>
      </c>
      <c r="G648" s="1" t="s">
        <v>17</v>
      </c>
      <c r="H648" s="1" t="s">
        <v>18</v>
      </c>
      <c r="I648" s="1" t="s">
        <v>44</v>
      </c>
      <c r="J648" s="1">
        <v>52.0</v>
      </c>
      <c r="K648" s="1">
        <v>14.0</v>
      </c>
      <c r="L648" s="1">
        <v>82.0</v>
      </c>
    </row>
    <row r="649">
      <c r="A649" s="1">
        <v>1809003.0</v>
      </c>
      <c r="B649" s="1" t="s">
        <v>1479</v>
      </c>
      <c r="C649" s="1" t="s">
        <v>1362</v>
      </c>
      <c r="D649" s="1" t="s">
        <v>1433</v>
      </c>
      <c r="E649" s="1" t="s">
        <v>1480</v>
      </c>
      <c r="F649" s="1" t="s">
        <v>16</v>
      </c>
      <c r="G649" s="1" t="s">
        <v>17</v>
      </c>
      <c r="H649" s="1" t="s">
        <v>18</v>
      </c>
      <c r="I649" s="1" t="s">
        <v>19</v>
      </c>
      <c r="J649" s="1">
        <v>100.0</v>
      </c>
      <c r="K649" s="1">
        <v>33.0</v>
      </c>
      <c r="L649" s="1">
        <v>120.0</v>
      </c>
    </row>
    <row r="650">
      <c r="A650" s="1">
        <v>1805012.0</v>
      </c>
      <c r="B650" s="1" t="s">
        <v>1481</v>
      </c>
      <c r="C650" s="1" t="s">
        <v>1362</v>
      </c>
      <c r="D650" s="1" t="s">
        <v>1382</v>
      </c>
      <c r="E650" s="1" t="s">
        <v>1482</v>
      </c>
      <c r="F650" s="1" t="s">
        <v>16</v>
      </c>
      <c r="G650" s="1" t="s">
        <v>17</v>
      </c>
      <c r="H650" s="1" t="s">
        <v>18</v>
      </c>
      <c r="I650" s="1" t="s">
        <v>19</v>
      </c>
      <c r="J650" s="1">
        <v>136.0</v>
      </c>
      <c r="K650" s="1">
        <v>37.0</v>
      </c>
      <c r="L650" s="1">
        <v>149.0</v>
      </c>
    </row>
    <row r="651">
      <c r="A651" s="1">
        <v>1810004.0</v>
      </c>
      <c r="B651" s="1" t="s">
        <v>1483</v>
      </c>
      <c r="C651" s="1" t="s">
        <v>1362</v>
      </c>
      <c r="D651" s="1" t="s">
        <v>1363</v>
      </c>
      <c r="E651" s="1" t="s">
        <v>1484</v>
      </c>
      <c r="F651" s="1" t="s">
        <v>55</v>
      </c>
      <c r="G651" s="1" t="s">
        <v>17</v>
      </c>
      <c r="H651" s="1" t="s">
        <v>18</v>
      </c>
      <c r="I651" s="1" t="s">
        <v>44</v>
      </c>
      <c r="J651" s="1">
        <v>30.0</v>
      </c>
      <c r="K651" s="1">
        <v>26.0</v>
      </c>
      <c r="L651" s="1">
        <v>31.0</v>
      </c>
    </row>
    <row r="652">
      <c r="A652" s="1">
        <v>1872066.0</v>
      </c>
      <c r="B652" s="1" t="s">
        <v>1485</v>
      </c>
      <c r="C652" s="1" t="s">
        <v>1362</v>
      </c>
      <c r="D652" s="1" t="s">
        <v>1424</v>
      </c>
      <c r="E652" s="1" t="s">
        <v>1486</v>
      </c>
      <c r="F652" s="1" t="s">
        <v>16</v>
      </c>
      <c r="G652" s="1" t="s">
        <v>23</v>
      </c>
      <c r="H652" s="1" t="s">
        <v>18</v>
      </c>
      <c r="I652" s="1" t="s">
        <v>44</v>
      </c>
      <c r="J652" s="1">
        <v>71.0</v>
      </c>
      <c r="K652" s="1">
        <v>20.0</v>
      </c>
      <c r="L652" s="1">
        <v>0.0</v>
      </c>
    </row>
    <row r="653">
      <c r="A653" s="1">
        <v>1871427.0</v>
      </c>
      <c r="B653" s="1" t="s">
        <v>1487</v>
      </c>
      <c r="C653" s="1" t="s">
        <v>1362</v>
      </c>
      <c r="D653" s="1" t="s">
        <v>1369</v>
      </c>
      <c r="E653" s="1" t="s">
        <v>1488</v>
      </c>
      <c r="F653" s="1" t="s">
        <v>16</v>
      </c>
      <c r="G653" s="1" t="s">
        <v>17</v>
      </c>
      <c r="H653" s="1" t="s">
        <v>18</v>
      </c>
      <c r="I653" s="1" t="s">
        <v>44</v>
      </c>
      <c r="J653" s="1">
        <v>191.0</v>
      </c>
      <c r="K653" s="1">
        <v>39.0</v>
      </c>
      <c r="L653" s="1">
        <v>320.0</v>
      </c>
    </row>
    <row r="654">
      <c r="A654" s="1">
        <v>1871176.0</v>
      </c>
      <c r="B654" s="1" t="s">
        <v>1489</v>
      </c>
      <c r="C654" s="1" t="s">
        <v>1362</v>
      </c>
      <c r="D654" s="1" t="s">
        <v>1433</v>
      </c>
      <c r="E654" s="1" t="s">
        <v>1490</v>
      </c>
      <c r="F654" s="1" t="s">
        <v>174</v>
      </c>
      <c r="G654" s="1" t="s">
        <v>27</v>
      </c>
      <c r="H654" s="1" t="s">
        <v>28</v>
      </c>
      <c r="I654" s="1" t="s">
        <v>139</v>
      </c>
      <c r="J654" s="1">
        <v>162.0</v>
      </c>
      <c r="K654" s="1">
        <v>46.0</v>
      </c>
      <c r="L654" s="1">
        <v>293.0</v>
      </c>
    </row>
    <row r="655">
      <c r="A655" s="1">
        <v>1872065.0</v>
      </c>
      <c r="B655" s="1" t="s">
        <v>1491</v>
      </c>
      <c r="C655" s="1" t="s">
        <v>1362</v>
      </c>
      <c r="D655" s="1" t="s">
        <v>1424</v>
      </c>
      <c r="E655" s="1" t="s">
        <v>1492</v>
      </c>
      <c r="F655" s="1" t="s">
        <v>55</v>
      </c>
      <c r="G655" s="1" t="s">
        <v>17</v>
      </c>
      <c r="H655" s="1" t="s">
        <v>18</v>
      </c>
      <c r="I655" s="1" t="s">
        <v>59</v>
      </c>
      <c r="J655" s="1">
        <v>27.0</v>
      </c>
      <c r="K655" s="1">
        <v>13.0</v>
      </c>
      <c r="L655" s="1">
        <v>70.0</v>
      </c>
    </row>
    <row r="656">
      <c r="A656" s="1">
        <v>1811013.0</v>
      </c>
      <c r="B656" s="1" t="s">
        <v>1493</v>
      </c>
      <c r="C656" s="1" t="s">
        <v>1362</v>
      </c>
      <c r="D656" s="1" t="s">
        <v>1494</v>
      </c>
      <c r="E656" s="1" t="s">
        <v>1495</v>
      </c>
      <c r="F656" s="1" t="s">
        <v>16</v>
      </c>
      <c r="G656" s="1" t="s">
        <v>23</v>
      </c>
      <c r="H656" s="1" t="s">
        <v>18</v>
      </c>
      <c r="I656" s="1" t="s">
        <v>19</v>
      </c>
      <c r="J656" s="1">
        <v>60.0</v>
      </c>
      <c r="K656" s="1">
        <v>21.0</v>
      </c>
      <c r="L656" s="1">
        <v>0.0</v>
      </c>
    </row>
    <row r="657">
      <c r="A657" s="1">
        <v>1801015.0</v>
      </c>
      <c r="B657" s="1" t="s">
        <v>1496</v>
      </c>
      <c r="C657" s="1" t="s">
        <v>1362</v>
      </c>
      <c r="D657" s="1" t="s">
        <v>1385</v>
      </c>
      <c r="E657" s="1" t="s">
        <v>1497</v>
      </c>
      <c r="F657" s="1" t="s">
        <v>16</v>
      </c>
      <c r="G657" s="1" t="s">
        <v>17</v>
      </c>
      <c r="H657" s="1" t="s">
        <v>28</v>
      </c>
      <c r="I657" s="1" t="s">
        <v>40</v>
      </c>
      <c r="J657" s="1">
        <v>136.0</v>
      </c>
      <c r="K657" s="1">
        <v>26.0</v>
      </c>
      <c r="L657" s="1">
        <v>335.0</v>
      </c>
    </row>
    <row r="658">
      <c r="A658" s="1">
        <v>1806013.0</v>
      </c>
      <c r="B658" s="1" t="s">
        <v>1498</v>
      </c>
      <c r="C658" s="1" t="s">
        <v>1362</v>
      </c>
      <c r="D658" s="1" t="s">
        <v>1379</v>
      </c>
      <c r="E658" s="1" t="s">
        <v>1499</v>
      </c>
      <c r="F658" s="1" t="s">
        <v>16</v>
      </c>
      <c r="G658" s="1" t="s">
        <v>17</v>
      </c>
      <c r="H658" s="1" t="s">
        <v>28</v>
      </c>
      <c r="I658" s="1" t="s">
        <v>40</v>
      </c>
      <c r="J658" s="1">
        <v>127.0</v>
      </c>
      <c r="K658" s="1">
        <v>29.0</v>
      </c>
      <c r="L658" s="1">
        <v>199.0</v>
      </c>
    </row>
    <row r="659">
      <c r="A659" s="1">
        <v>1872064.0</v>
      </c>
      <c r="B659" s="1" t="s">
        <v>1500</v>
      </c>
      <c r="C659" s="1" t="s">
        <v>1362</v>
      </c>
      <c r="D659" s="1" t="s">
        <v>1424</v>
      </c>
      <c r="E659" s="1" t="s">
        <v>1501</v>
      </c>
      <c r="F659" s="1" t="s">
        <v>16</v>
      </c>
      <c r="G659" s="1" t="s">
        <v>17</v>
      </c>
      <c r="H659" s="1" t="s">
        <v>18</v>
      </c>
      <c r="I659" s="1" t="s">
        <v>59</v>
      </c>
      <c r="J659" s="1">
        <v>103.0</v>
      </c>
      <c r="K659" s="1">
        <v>26.0</v>
      </c>
      <c r="L659" s="1">
        <v>62.0</v>
      </c>
    </row>
    <row r="660">
      <c r="A660" s="1">
        <v>1871449.0</v>
      </c>
      <c r="B660" s="1" t="s">
        <v>1502</v>
      </c>
      <c r="C660" s="1" t="s">
        <v>1362</v>
      </c>
      <c r="D660" s="1" t="s">
        <v>1369</v>
      </c>
      <c r="E660" s="1" t="s">
        <v>1503</v>
      </c>
      <c r="F660" s="1" t="s">
        <v>16</v>
      </c>
      <c r="G660" s="1" t="s">
        <v>17</v>
      </c>
      <c r="H660" s="1" t="s">
        <v>18</v>
      </c>
      <c r="I660" s="1" t="s">
        <v>19</v>
      </c>
      <c r="J660" s="1">
        <v>144.0</v>
      </c>
      <c r="K660" s="1">
        <v>78.0</v>
      </c>
      <c r="L660" s="1">
        <v>10.0</v>
      </c>
    </row>
    <row r="661">
      <c r="A661" s="1">
        <v>1806038.0</v>
      </c>
      <c r="B661" s="1" t="s">
        <v>1504</v>
      </c>
      <c r="C661" s="1" t="s">
        <v>1362</v>
      </c>
      <c r="D661" s="1" t="s">
        <v>1379</v>
      </c>
      <c r="E661" s="1" t="s">
        <v>1505</v>
      </c>
      <c r="F661" s="1" t="s">
        <v>16</v>
      </c>
      <c r="G661" s="1" t="s">
        <v>23</v>
      </c>
      <c r="H661" s="1" t="s">
        <v>18</v>
      </c>
      <c r="I661" s="1" t="s">
        <v>19</v>
      </c>
      <c r="J661" s="1">
        <v>58.0</v>
      </c>
      <c r="K661" s="1">
        <v>33.0</v>
      </c>
      <c r="L661" s="1">
        <v>95.0</v>
      </c>
    </row>
    <row r="662">
      <c r="A662" s="1">
        <v>1872016.0</v>
      </c>
      <c r="B662" s="1" t="s">
        <v>1506</v>
      </c>
      <c r="C662" s="1" t="s">
        <v>1362</v>
      </c>
      <c r="D662" s="1" t="s">
        <v>1424</v>
      </c>
      <c r="E662" s="1" t="s">
        <v>1507</v>
      </c>
      <c r="F662" s="1" t="s">
        <v>16</v>
      </c>
      <c r="G662" s="1" t="s">
        <v>27</v>
      </c>
      <c r="H662" s="1" t="s">
        <v>28</v>
      </c>
      <c r="I662" s="1" t="s">
        <v>29</v>
      </c>
      <c r="J662" s="1">
        <v>280.0</v>
      </c>
      <c r="K662" s="1">
        <v>95.0</v>
      </c>
      <c r="L662" s="1">
        <v>973.0</v>
      </c>
    </row>
    <row r="663">
      <c r="A663" s="1">
        <v>1872053.0</v>
      </c>
      <c r="B663" s="1" t="s">
        <v>1508</v>
      </c>
      <c r="C663" s="1" t="s">
        <v>1362</v>
      </c>
      <c r="D663" s="1" t="s">
        <v>1424</v>
      </c>
      <c r="E663" s="1" t="s">
        <v>1509</v>
      </c>
      <c r="F663" s="1" t="s">
        <v>55</v>
      </c>
      <c r="G663" s="1" t="s">
        <v>17</v>
      </c>
      <c r="H663" s="1" t="s">
        <v>18</v>
      </c>
      <c r="I663" s="1" t="s">
        <v>59</v>
      </c>
      <c r="J663" s="1">
        <v>60.0</v>
      </c>
      <c r="K663" s="1">
        <v>24.0</v>
      </c>
      <c r="L663" s="1">
        <v>81.0</v>
      </c>
    </row>
    <row r="664">
      <c r="A664" s="1">
        <v>1871443.0</v>
      </c>
      <c r="B664" s="1" t="s">
        <v>1510</v>
      </c>
      <c r="C664" s="1" t="s">
        <v>1362</v>
      </c>
      <c r="D664" s="1" t="s">
        <v>1369</v>
      </c>
      <c r="E664" s="1" t="s">
        <v>1511</v>
      </c>
      <c r="F664" s="1" t="s">
        <v>55</v>
      </c>
      <c r="G664" s="1" t="s">
        <v>17</v>
      </c>
      <c r="H664" s="1" t="s">
        <v>18</v>
      </c>
      <c r="I664" s="1" t="s">
        <v>19</v>
      </c>
      <c r="J664" s="1">
        <v>39.0</v>
      </c>
      <c r="K664" s="1">
        <v>25.0</v>
      </c>
      <c r="L664" s="1">
        <v>106.0</v>
      </c>
    </row>
    <row r="665">
      <c r="A665" s="1">
        <v>1812002.0</v>
      </c>
      <c r="B665" s="1" t="s">
        <v>1512</v>
      </c>
      <c r="C665" s="1" t="s">
        <v>1362</v>
      </c>
      <c r="D665" s="1" t="s">
        <v>1415</v>
      </c>
      <c r="E665" s="1" t="s">
        <v>1513</v>
      </c>
      <c r="F665" s="1" t="s">
        <v>16</v>
      </c>
      <c r="G665" s="1" t="s">
        <v>23</v>
      </c>
      <c r="H665" s="1" t="s">
        <v>18</v>
      </c>
      <c r="I665" s="1" t="s">
        <v>44</v>
      </c>
      <c r="J665" s="1">
        <v>60.0</v>
      </c>
      <c r="K665" s="1">
        <v>20.0</v>
      </c>
      <c r="L665" s="1">
        <v>112.0</v>
      </c>
    </row>
    <row r="666">
      <c r="A666" s="1">
        <v>1871223.0</v>
      </c>
      <c r="B666" s="1" t="s">
        <v>1514</v>
      </c>
      <c r="C666" s="1" t="s">
        <v>1362</v>
      </c>
      <c r="D666" s="1" t="s">
        <v>1369</v>
      </c>
      <c r="E666" s="1" t="s">
        <v>1515</v>
      </c>
      <c r="F666" s="1" t="s">
        <v>272</v>
      </c>
      <c r="G666" s="1" t="s">
        <v>17</v>
      </c>
      <c r="H666" s="1" t="s">
        <v>18</v>
      </c>
      <c r="I666" s="1" t="s">
        <v>59</v>
      </c>
      <c r="J666" s="1">
        <v>20.0</v>
      </c>
      <c r="K666" s="1">
        <v>16.0</v>
      </c>
      <c r="L666" s="1">
        <v>15.0</v>
      </c>
    </row>
    <row r="667">
      <c r="A667" s="1">
        <v>1806036.0</v>
      </c>
      <c r="B667" s="1" t="s">
        <v>1516</v>
      </c>
      <c r="C667" s="1" t="s">
        <v>1362</v>
      </c>
      <c r="D667" s="1" t="s">
        <v>1379</v>
      </c>
      <c r="E667" s="1" t="s">
        <v>1517</v>
      </c>
      <c r="F667" s="1" t="s">
        <v>16</v>
      </c>
      <c r="G667" s="1" t="s">
        <v>23</v>
      </c>
      <c r="H667" s="1" t="s">
        <v>18</v>
      </c>
      <c r="I667" s="1" t="s">
        <v>44</v>
      </c>
      <c r="J667" s="1">
        <v>59.0</v>
      </c>
      <c r="K667" s="1">
        <v>24.0</v>
      </c>
      <c r="L667" s="1">
        <v>54.0</v>
      </c>
    </row>
    <row r="668">
      <c r="A668" s="1">
        <v>1871002.0</v>
      </c>
      <c r="B668" s="1" t="s">
        <v>1518</v>
      </c>
      <c r="C668" s="1" t="s">
        <v>1362</v>
      </c>
      <c r="D668" s="1" t="s">
        <v>1363</v>
      </c>
      <c r="E668" s="1" t="s">
        <v>1519</v>
      </c>
      <c r="F668" s="1" t="s">
        <v>16</v>
      </c>
      <c r="G668" s="1" t="s">
        <v>23</v>
      </c>
      <c r="H668" s="1" t="s">
        <v>18</v>
      </c>
      <c r="I668" s="1" t="s">
        <v>163</v>
      </c>
      <c r="J668" s="1">
        <v>68.0</v>
      </c>
      <c r="K668" s="1">
        <v>34.0</v>
      </c>
      <c r="L668" s="1">
        <v>145.0</v>
      </c>
    </row>
    <row r="669">
      <c r="A669" s="1">
        <v>1811002.0</v>
      </c>
      <c r="B669" s="1" t="s">
        <v>1520</v>
      </c>
      <c r="C669" s="1" t="s">
        <v>1362</v>
      </c>
      <c r="D669" s="1" t="s">
        <v>1494</v>
      </c>
      <c r="E669" s="1" t="s">
        <v>1521</v>
      </c>
      <c r="F669" s="1" t="s">
        <v>16</v>
      </c>
      <c r="G669" s="1" t="s">
        <v>17</v>
      </c>
      <c r="H669" s="1" t="s">
        <v>28</v>
      </c>
      <c r="I669" s="1" t="s">
        <v>40</v>
      </c>
      <c r="J669" s="1">
        <v>100.0</v>
      </c>
      <c r="K669" s="1">
        <v>22.0</v>
      </c>
      <c r="L669" s="1">
        <v>236.0</v>
      </c>
    </row>
    <row r="670">
      <c r="A670" s="1">
        <v>1802027.0</v>
      </c>
      <c r="B670" s="1" t="s">
        <v>1522</v>
      </c>
      <c r="C670" s="1" t="s">
        <v>1362</v>
      </c>
      <c r="D670" s="1" t="s">
        <v>1438</v>
      </c>
      <c r="E670" s="1" t="s">
        <v>1523</v>
      </c>
      <c r="F670" s="1" t="s">
        <v>16</v>
      </c>
      <c r="G670" s="1" t="s">
        <v>17</v>
      </c>
      <c r="H670" s="1" t="s">
        <v>28</v>
      </c>
      <c r="I670" s="1" t="s">
        <v>40</v>
      </c>
      <c r="J670" s="1">
        <v>114.0</v>
      </c>
      <c r="K670" s="1">
        <v>36.0</v>
      </c>
      <c r="L670" s="1">
        <v>350.0</v>
      </c>
    </row>
    <row r="671">
      <c r="A671" s="1">
        <v>1806035.0</v>
      </c>
      <c r="B671" s="1" t="s">
        <v>1524</v>
      </c>
      <c r="C671" s="1" t="s">
        <v>1362</v>
      </c>
      <c r="D671" s="1" t="s">
        <v>1379</v>
      </c>
      <c r="E671" s="1" t="s">
        <v>1525</v>
      </c>
      <c r="F671" s="1" t="s">
        <v>16</v>
      </c>
      <c r="G671" s="1" t="s">
        <v>17</v>
      </c>
      <c r="H671" s="1" t="s">
        <v>18</v>
      </c>
      <c r="I671" s="1" t="s">
        <v>44</v>
      </c>
      <c r="J671" s="1">
        <v>184.0</v>
      </c>
      <c r="K671" s="1">
        <v>80.0</v>
      </c>
      <c r="L671" s="1">
        <v>336.0</v>
      </c>
    </row>
    <row r="672">
      <c r="A672" s="1">
        <v>1872042.0</v>
      </c>
      <c r="B672" s="1" t="s">
        <v>1526</v>
      </c>
      <c r="C672" s="1" t="s">
        <v>1362</v>
      </c>
      <c r="D672" s="1" t="s">
        <v>1424</v>
      </c>
      <c r="E672" s="1" t="s">
        <v>1527</v>
      </c>
      <c r="F672" s="1" t="s">
        <v>16</v>
      </c>
      <c r="G672" s="1" t="s">
        <v>17</v>
      </c>
      <c r="H672" s="1" t="s">
        <v>18</v>
      </c>
      <c r="I672" s="1" t="s">
        <v>59</v>
      </c>
      <c r="J672" s="1">
        <v>201.0</v>
      </c>
      <c r="K672" s="1">
        <v>42.0</v>
      </c>
      <c r="L672" s="1">
        <v>481.0</v>
      </c>
    </row>
    <row r="673">
      <c r="A673" s="1">
        <v>1805049.0</v>
      </c>
      <c r="B673" s="1" t="s">
        <v>1528</v>
      </c>
      <c r="C673" s="1" t="s">
        <v>1362</v>
      </c>
      <c r="D673" s="1" t="s">
        <v>1382</v>
      </c>
      <c r="E673" s="1" t="s">
        <v>1529</v>
      </c>
      <c r="F673" s="1" t="s">
        <v>55</v>
      </c>
      <c r="G673" s="1" t="s">
        <v>17</v>
      </c>
      <c r="H673" s="1" t="s">
        <v>18</v>
      </c>
      <c r="I673" s="1" t="s">
        <v>19</v>
      </c>
      <c r="J673" s="1">
        <v>57.0</v>
      </c>
      <c r="K673" s="1">
        <v>13.0</v>
      </c>
      <c r="L673" s="1">
        <v>124.0</v>
      </c>
    </row>
    <row r="674">
      <c r="A674" s="1">
        <v>1810005.0</v>
      </c>
      <c r="B674" s="1" t="s">
        <v>1530</v>
      </c>
      <c r="C674" s="1" t="s">
        <v>1362</v>
      </c>
      <c r="D674" s="1" t="s">
        <v>1363</v>
      </c>
      <c r="E674" s="1" t="s">
        <v>1531</v>
      </c>
      <c r="F674" s="1" t="s">
        <v>55</v>
      </c>
      <c r="G674" s="1" t="s">
        <v>17</v>
      </c>
      <c r="H674" s="1" t="s">
        <v>18</v>
      </c>
      <c r="I674" s="1" t="s">
        <v>19</v>
      </c>
      <c r="J674" s="1">
        <v>28.0</v>
      </c>
      <c r="K674" s="1">
        <v>15.0</v>
      </c>
      <c r="L674" s="1">
        <v>81.0</v>
      </c>
    </row>
    <row r="675">
      <c r="A675" s="1">
        <v>1803035.0</v>
      </c>
      <c r="B675" s="1" t="s">
        <v>1532</v>
      </c>
      <c r="C675" s="1" t="s">
        <v>1362</v>
      </c>
      <c r="D675" s="1" t="s">
        <v>1366</v>
      </c>
      <c r="E675" s="1" t="s">
        <v>1533</v>
      </c>
      <c r="F675" s="1" t="s">
        <v>16</v>
      </c>
      <c r="G675" s="1" t="s">
        <v>17</v>
      </c>
      <c r="H675" s="1" t="s">
        <v>18</v>
      </c>
      <c r="I675" s="1" t="s">
        <v>139</v>
      </c>
      <c r="J675" s="1">
        <v>100.0</v>
      </c>
      <c r="K675" s="1">
        <v>22.0</v>
      </c>
      <c r="L675" s="1">
        <v>225.0</v>
      </c>
    </row>
    <row r="676">
      <c r="A676" s="1">
        <v>1872067.0</v>
      </c>
      <c r="B676" s="1" t="s">
        <v>1534</v>
      </c>
      <c r="C676" s="1" t="s">
        <v>1362</v>
      </c>
      <c r="D676" s="1" t="s">
        <v>1424</v>
      </c>
      <c r="E676" s="1" t="s">
        <v>1535</v>
      </c>
      <c r="F676" s="1" t="s">
        <v>16</v>
      </c>
      <c r="G676" s="1" t="s">
        <v>23</v>
      </c>
      <c r="H676" s="1" t="s">
        <v>28</v>
      </c>
      <c r="I676" s="1" t="s">
        <v>29</v>
      </c>
      <c r="J676" s="1">
        <v>52.0</v>
      </c>
      <c r="K676" s="1">
        <v>7.0</v>
      </c>
      <c r="L676" s="1">
        <v>60.0</v>
      </c>
    </row>
    <row r="677">
      <c r="A677" s="1">
        <v>1971043.0</v>
      </c>
      <c r="B677" s="1" t="s">
        <v>1536</v>
      </c>
      <c r="C677" s="1" t="s">
        <v>1537</v>
      </c>
      <c r="D677" s="1" t="s">
        <v>1538</v>
      </c>
      <c r="E677" s="1" t="s">
        <v>1539</v>
      </c>
      <c r="F677" s="1" t="s">
        <v>16</v>
      </c>
      <c r="G677" s="1" t="s">
        <v>17</v>
      </c>
      <c r="H677" s="1" t="s">
        <v>18</v>
      </c>
      <c r="I677" s="1" t="s">
        <v>44</v>
      </c>
      <c r="J677" s="1">
        <v>190.0</v>
      </c>
      <c r="K677" s="1">
        <v>83.0</v>
      </c>
      <c r="L677" s="1">
        <v>500.0</v>
      </c>
    </row>
    <row r="678">
      <c r="A678" s="1">
        <v>1904016.0</v>
      </c>
      <c r="B678" s="1" t="s">
        <v>1540</v>
      </c>
      <c r="C678" s="1" t="s">
        <v>1537</v>
      </c>
      <c r="D678" s="1" t="s">
        <v>1541</v>
      </c>
      <c r="E678" s="1" t="s">
        <v>1542</v>
      </c>
      <c r="F678" s="1" t="s">
        <v>16</v>
      </c>
      <c r="G678" s="1" t="s">
        <v>23</v>
      </c>
      <c r="H678" s="1" t="s">
        <v>18</v>
      </c>
      <c r="I678" s="1" t="s">
        <v>65</v>
      </c>
      <c r="J678" s="1">
        <v>72.0</v>
      </c>
      <c r="K678" s="1">
        <v>20.0</v>
      </c>
      <c r="L678" s="1">
        <v>6.0</v>
      </c>
    </row>
    <row r="679">
      <c r="A679" s="1">
        <v>1901043.0</v>
      </c>
      <c r="B679" s="1" t="s">
        <v>1543</v>
      </c>
      <c r="C679" s="1" t="s">
        <v>1537</v>
      </c>
      <c r="D679" s="1" t="s">
        <v>1544</v>
      </c>
      <c r="E679" s="1" t="s">
        <v>1545</v>
      </c>
      <c r="F679" s="1" t="s">
        <v>16</v>
      </c>
      <c r="G679" s="1" t="s">
        <v>27</v>
      </c>
      <c r="H679" s="1" t="s">
        <v>28</v>
      </c>
      <c r="I679" s="1" t="s">
        <v>139</v>
      </c>
      <c r="J679" s="1">
        <v>212.0</v>
      </c>
      <c r="K679" s="1">
        <v>74.0</v>
      </c>
      <c r="L679" s="1">
        <v>767.0</v>
      </c>
    </row>
    <row r="680">
      <c r="A680" s="1">
        <v>1901031.0</v>
      </c>
      <c r="B680" s="1" t="s">
        <v>1546</v>
      </c>
      <c r="C680" s="1" t="s">
        <v>1537</v>
      </c>
      <c r="D680" s="1" t="s">
        <v>1544</v>
      </c>
      <c r="E680" s="1" t="s">
        <v>1547</v>
      </c>
      <c r="F680" s="1" t="s">
        <v>16</v>
      </c>
      <c r="G680" s="1" t="s">
        <v>17</v>
      </c>
      <c r="H680" s="1" t="s">
        <v>18</v>
      </c>
      <c r="I680" s="1" t="s">
        <v>44</v>
      </c>
      <c r="J680" s="1">
        <v>110.0</v>
      </c>
      <c r="K680" s="1">
        <v>54.0</v>
      </c>
      <c r="L680" s="1">
        <v>331.0</v>
      </c>
    </row>
    <row r="681">
      <c r="A681" s="1">
        <v>1971006.0</v>
      </c>
      <c r="B681" s="1" t="s">
        <v>1548</v>
      </c>
      <c r="C681" s="1" t="s">
        <v>1537</v>
      </c>
      <c r="D681" s="1" t="s">
        <v>1538</v>
      </c>
      <c r="E681" s="1" t="s">
        <v>1549</v>
      </c>
      <c r="F681" s="1" t="s">
        <v>55</v>
      </c>
      <c r="G681" s="1" t="s">
        <v>17</v>
      </c>
      <c r="H681" s="1" t="s">
        <v>18</v>
      </c>
      <c r="I681" s="1" t="s">
        <v>19</v>
      </c>
      <c r="J681" s="1">
        <v>24.0</v>
      </c>
      <c r="K681" s="1">
        <v>15.0</v>
      </c>
      <c r="L681" s="1">
        <v>48.0</v>
      </c>
    </row>
    <row r="682">
      <c r="A682" s="1">
        <v>1971003.0</v>
      </c>
      <c r="B682" s="1" t="s">
        <v>1550</v>
      </c>
      <c r="C682" s="1" t="s">
        <v>1537</v>
      </c>
      <c r="D682" s="1" t="s">
        <v>1538</v>
      </c>
      <c r="E682" s="1" t="s">
        <v>1551</v>
      </c>
      <c r="F682" s="1" t="s">
        <v>55</v>
      </c>
      <c r="G682" s="1" t="s">
        <v>17</v>
      </c>
      <c r="H682" s="1" t="s">
        <v>18</v>
      </c>
      <c r="I682" s="1" t="s">
        <v>44</v>
      </c>
      <c r="J682" s="1">
        <v>55.0</v>
      </c>
      <c r="K682" s="1">
        <v>14.0</v>
      </c>
      <c r="L682" s="1">
        <v>72.0</v>
      </c>
    </row>
    <row r="683">
      <c r="A683" s="1">
        <v>1971054.0</v>
      </c>
      <c r="B683" s="1" t="s">
        <v>1552</v>
      </c>
      <c r="C683" s="1" t="s">
        <v>1537</v>
      </c>
      <c r="D683" s="1" t="s">
        <v>1538</v>
      </c>
      <c r="E683" s="1" t="s">
        <v>1553</v>
      </c>
      <c r="F683" s="1" t="s">
        <v>16</v>
      </c>
      <c r="G683" s="1" t="s">
        <v>23</v>
      </c>
      <c r="H683" s="1" t="s">
        <v>18</v>
      </c>
      <c r="I683" s="1" t="s">
        <v>74</v>
      </c>
      <c r="J683" s="1">
        <v>57.0</v>
      </c>
      <c r="K683" s="1">
        <v>2.0</v>
      </c>
      <c r="L683" s="1">
        <v>0.0</v>
      </c>
    </row>
    <row r="684">
      <c r="A684" s="1">
        <v>1904013.0</v>
      </c>
      <c r="B684" s="1" t="s">
        <v>1554</v>
      </c>
      <c r="C684" s="1" t="s">
        <v>1537</v>
      </c>
      <c r="D684" s="1" t="s">
        <v>1541</v>
      </c>
      <c r="E684" s="1" t="s">
        <v>1555</v>
      </c>
      <c r="F684" s="1" t="s">
        <v>16</v>
      </c>
      <c r="G684" s="1" t="s">
        <v>17</v>
      </c>
      <c r="H684" s="1" t="s">
        <v>28</v>
      </c>
      <c r="I684" s="1" t="s">
        <v>40</v>
      </c>
      <c r="J684" s="1">
        <v>101.0</v>
      </c>
      <c r="K684" s="1">
        <v>83.0</v>
      </c>
      <c r="L684" s="1">
        <v>412.0</v>
      </c>
    </row>
    <row r="685">
      <c r="A685" s="1">
        <v>1905026.0</v>
      </c>
      <c r="B685" s="1" t="s">
        <v>1556</v>
      </c>
      <c r="C685" s="1" t="s">
        <v>1537</v>
      </c>
      <c r="D685" s="1" t="s">
        <v>1557</v>
      </c>
      <c r="E685" s="1" t="s">
        <v>1558</v>
      </c>
      <c r="F685" s="1" t="s">
        <v>16</v>
      </c>
      <c r="G685" s="1" t="s">
        <v>23</v>
      </c>
      <c r="H685" s="1" t="s">
        <v>28</v>
      </c>
      <c r="I685" s="1" t="s">
        <v>40</v>
      </c>
      <c r="J685" s="1">
        <v>53.0</v>
      </c>
      <c r="K685" s="1">
        <v>21.0</v>
      </c>
      <c r="L685" s="1">
        <v>135.0</v>
      </c>
    </row>
    <row r="686">
      <c r="A686" s="1">
        <v>1905024.0</v>
      </c>
      <c r="B686" s="1" t="s">
        <v>1559</v>
      </c>
      <c r="C686" s="1" t="s">
        <v>1537</v>
      </c>
      <c r="D686" s="1" t="s">
        <v>1557</v>
      </c>
      <c r="E686" s="1" t="s">
        <v>1560</v>
      </c>
      <c r="F686" s="1" t="s">
        <v>16</v>
      </c>
      <c r="G686" s="1" t="s">
        <v>17</v>
      </c>
      <c r="H686" s="1" t="s">
        <v>28</v>
      </c>
      <c r="I686" s="1" t="s">
        <v>40</v>
      </c>
      <c r="J686" s="1">
        <v>103.0</v>
      </c>
      <c r="K686" s="1">
        <v>27.0</v>
      </c>
      <c r="L686" s="1">
        <v>384.0</v>
      </c>
    </row>
    <row r="687">
      <c r="A687" s="1">
        <v>1901046.0</v>
      </c>
      <c r="B687" s="1" t="s">
        <v>1561</v>
      </c>
      <c r="C687" s="1" t="s">
        <v>1537</v>
      </c>
      <c r="D687" s="1" t="s">
        <v>1544</v>
      </c>
      <c r="E687" s="1" t="s">
        <v>1562</v>
      </c>
      <c r="F687" s="1" t="s">
        <v>16</v>
      </c>
      <c r="G687" s="1" t="s">
        <v>98</v>
      </c>
      <c r="H687" s="1" t="s">
        <v>28</v>
      </c>
      <c r="I687" s="1" t="s">
        <v>40</v>
      </c>
      <c r="J687" s="1">
        <v>32.0</v>
      </c>
      <c r="K687" s="1">
        <v>27.0</v>
      </c>
      <c r="L687" s="1">
        <v>73.0</v>
      </c>
    </row>
    <row r="688">
      <c r="A688" s="1">
        <v>1971021.0</v>
      </c>
      <c r="B688" s="1" t="s">
        <v>1563</v>
      </c>
      <c r="C688" s="1" t="s">
        <v>1537</v>
      </c>
      <c r="D688" s="1" t="s">
        <v>1538</v>
      </c>
      <c r="E688" s="1" t="s">
        <v>1564</v>
      </c>
      <c r="F688" s="1" t="s">
        <v>16</v>
      </c>
      <c r="G688" s="1" t="s">
        <v>17</v>
      </c>
      <c r="H688" s="1" t="s">
        <v>28</v>
      </c>
      <c r="I688" s="1" t="s">
        <v>29</v>
      </c>
      <c r="J688" s="1">
        <v>111.0</v>
      </c>
      <c r="K688" s="1">
        <v>98.0</v>
      </c>
      <c r="L688" s="1">
        <v>663.0</v>
      </c>
    </row>
    <row r="689">
      <c r="A689" s="1">
        <v>1902011.0</v>
      </c>
      <c r="B689" s="1" t="s">
        <v>1565</v>
      </c>
      <c r="C689" s="1" t="s">
        <v>1537</v>
      </c>
      <c r="D689" s="1" t="s">
        <v>1566</v>
      </c>
      <c r="E689" s="1" t="s">
        <v>1567</v>
      </c>
      <c r="F689" s="1" t="s">
        <v>16</v>
      </c>
      <c r="G689" s="1" t="s">
        <v>23</v>
      </c>
      <c r="H689" s="1" t="s">
        <v>18</v>
      </c>
      <c r="I689" s="1" t="s">
        <v>19</v>
      </c>
      <c r="J689" s="1">
        <v>50.0</v>
      </c>
      <c r="K689" s="1">
        <v>21.0</v>
      </c>
      <c r="L689" s="1">
        <v>34.0</v>
      </c>
    </row>
    <row r="690">
      <c r="A690" s="1">
        <v>1904015.0</v>
      </c>
      <c r="B690" s="1" t="s">
        <v>1568</v>
      </c>
      <c r="C690" s="1" t="s">
        <v>1537</v>
      </c>
      <c r="D690" s="1" t="s">
        <v>1541</v>
      </c>
      <c r="E690" s="1" t="s">
        <v>1569</v>
      </c>
      <c r="F690" s="1" t="s">
        <v>16</v>
      </c>
      <c r="G690" s="1" t="s">
        <v>98</v>
      </c>
      <c r="H690" s="1" t="s">
        <v>28</v>
      </c>
      <c r="I690" s="1" t="s">
        <v>40</v>
      </c>
      <c r="J690" s="1">
        <v>28.0</v>
      </c>
      <c r="K690" s="1">
        <v>23.0</v>
      </c>
      <c r="L690" s="1">
        <v>0.0</v>
      </c>
    </row>
    <row r="691">
      <c r="A691" s="1">
        <v>1901020.0</v>
      </c>
      <c r="B691" s="1" t="s">
        <v>1570</v>
      </c>
      <c r="C691" s="1" t="s">
        <v>1537</v>
      </c>
      <c r="D691" s="1" t="s">
        <v>1544</v>
      </c>
      <c r="E691" s="1" t="s">
        <v>1571</v>
      </c>
      <c r="F691" s="1" t="s">
        <v>174</v>
      </c>
      <c r="G691" s="1" t="s">
        <v>27</v>
      </c>
      <c r="H691" s="1" t="s">
        <v>28</v>
      </c>
      <c r="I691" s="1" t="s">
        <v>139</v>
      </c>
      <c r="J691" s="1">
        <v>149.0</v>
      </c>
      <c r="K691" s="1">
        <v>21.0</v>
      </c>
      <c r="L691" s="1">
        <v>0.0</v>
      </c>
    </row>
    <row r="692">
      <c r="A692" s="1">
        <v>1971005.0</v>
      </c>
      <c r="B692" s="1" t="s">
        <v>1572</v>
      </c>
      <c r="C692" s="1" t="s">
        <v>1537</v>
      </c>
      <c r="D692" s="1" t="s">
        <v>1538</v>
      </c>
      <c r="E692" s="1" t="s">
        <v>1573</v>
      </c>
      <c r="F692" s="1" t="s">
        <v>55</v>
      </c>
      <c r="G692" s="1" t="s">
        <v>17</v>
      </c>
      <c r="H692" s="1" t="s">
        <v>18</v>
      </c>
      <c r="I692" s="1" t="s">
        <v>44</v>
      </c>
      <c r="J692" s="1">
        <v>32.0</v>
      </c>
      <c r="K692" s="1">
        <v>12.0</v>
      </c>
      <c r="L692" s="1">
        <v>28.0</v>
      </c>
    </row>
    <row r="693">
      <c r="A693" s="1">
        <v>1904014.0</v>
      </c>
      <c r="B693" s="1" t="s">
        <v>1574</v>
      </c>
      <c r="C693" s="1" t="s">
        <v>1537</v>
      </c>
      <c r="D693" s="1" t="s">
        <v>1541</v>
      </c>
      <c r="E693" s="1" t="s">
        <v>1575</v>
      </c>
      <c r="F693" s="1" t="s">
        <v>16</v>
      </c>
      <c r="G693" s="1" t="s">
        <v>17</v>
      </c>
      <c r="H693" s="1" t="s">
        <v>18</v>
      </c>
      <c r="I693" s="1" t="s">
        <v>44</v>
      </c>
      <c r="J693" s="1">
        <v>107.0</v>
      </c>
      <c r="K693" s="1">
        <v>73.0</v>
      </c>
      <c r="L693" s="1">
        <v>187.0</v>
      </c>
    </row>
    <row r="694">
      <c r="A694" s="1">
        <v>1903002.0</v>
      </c>
      <c r="B694" s="1" t="s">
        <v>1576</v>
      </c>
      <c r="C694" s="1" t="s">
        <v>1537</v>
      </c>
      <c r="D694" s="1" t="s">
        <v>1577</v>
      </c>
      <c r="E694" s="1" t="s">
        <v>1578</v>
      </c>
      <c r="F694" s="1" t="s">
        <v>16</v>
      </c>
      <c r="G694" s="1" t="s">
        <v>23</v>
      </c>
      <c r="H694" s="1" t="s">
        <v>18</v>
      </c>
      <c r="I694" s="1" t="s">
        <v>44</v>
      </c>
      <c r="J694" s="1">
        <v>50.0</v>
      </c>
      <c r="K694" s="1">
        <v>22.0</v>
      </c>
      <c r="L694" s="1">
        <v>71.0</v>
      </c>
    </row>
    <row r="695">
      <c r="A695" s="1">
        <v>1971002.0</v>
      </c>
      <c r="B695" s="1" t="s">
        <v>1579</v>
      </c>
      <c r="C695" s="1" t="s">
        <v>1537</v>
      </c>
      <c r="D695" s="1" t="s">
        <v>1538</v>
      </c>
      <c r="E695" s="1" t="s">
        <v>1580</v>
      </c>
      <c r="F695" s="1" t="s">
        <v>16</v>
      </c>
      <c r="G695" s="1" t="s">
        <v>17</v>
      </c>
      <c r="H695" s="1" t="s">
        <v>18</v>
      </c>
      <c r="I695" s="1" t="s">
        <v>44</v>
      </c>
      <c r="J695" s="1">
        <v>106.0</v>
      </c>
      <c r="K695" s="1">
        <v>39.0</v>
      </c>
      <c r="L695" s="1">
        <v>93.0</v>
      </c>
    </row>
    <row r="696">
      <c r="A696" s="1">
        <v>1902010.0</v>
      </c>
      <c r="B696" s="1" t="s">
        <v>1581</v>
      </c>
      <c r="C696" s="1" t="s">
        <v>1537</v>
      </c>
      <c r="D696" s="1" t="s">
        <v>1566</v>
      </c>
      <c r="E696" s="1" t="s">
        <v>1582</v>
      </c>
      <c r="F696" s="1" t="s">
        <v>16</v>
      </c>
      <c r="G696" s="1" t="s">
        <v>17</v>
      </c>
      <c r="H696" s="1" t="s">
        <v>28</v>
      </c>
      <c r="I696" s="1" t="s">
        <v>40</v>
      </c>
      <c r="J696" s="1">
        <v>177.0</v>
      </c>
      <c r="K696" s="1">
        <v>70.0</v>
      </c>
      <c r="L696" s="1">
        <v>617.0</v>
      </c>
    </row>
    <row r="697">
      <c r="A697" s="1">
        <v>1901044.0</v>
      </c>
      <c r="B697" s="1" t="s">
        <v>1583</v>
      </c>
      <c r="C697" s="1" t="s">
        <v>1537</v>
      </c>
      <c r="D697" s="1" t="s">
        <v>1544</v>
      </c>
      <c r="E697" s="1" t="s">
        <v>1584</v>
      </c>
      <c r="F697" s="1" t="s">
        <v>16</v>
      </c>
      <c r="G697" s="1" t="s">
        <v>23</v>
      </c>
      <c r="H697" s="1" t="s">
        <v>18</v>
      </c>
      <c r="I697" s="1" t="s">
        <v>40</v>
      </c>
      <c r="J697" s="1">
        <v>50.0</v>
      </c>
      <c r="K697" s="1">
        <v>26.0</v>
      </c>
      <c r="L697" s="1">
        <v>154.0</v>
      </c>
    </row>
    <row r="698">
      <c r="A698" s="1">
        <v>1903013.0</v>
      </c>
      <c r="B698" s="1" t="s">
        <v>1585</v>
      </c>
      <c r="C698" s="1" t="s">
        <v>1537</v>
      </c>
      <c r="D698" s="1" t="s">
        <v>1577</v>
      </c>
      <c r="E698" s="1" t="s">
        <v>1586</v>
      </c>
      <c r="F698" s="1" t="s">
        <v>16</v>
      </c>
      <c r="G698" s="1" t="s">
        <v>17</v>
      </c>
      <c r="H698" s="1" t="s">
        <v>28</v>
      </c>
      <c r="I698" s="1" t="s">
        <v>40</v>
      </c>
      <c r="J698" s="1">
        <v>130.0</v>
      </c>
      <c r="K698" s="1">
        <v>30.0</v>
      </c>
      <c r="L698" s="1">
        <v>532.0</v>
      </c>
    </row>
    <row r="699">
      <c r="A699" s="1">
        <v>1902042.0</v>
      </c>
      <c r="B699" s="1" t="s">
        <v>1587</v>
      </c>
      <c r="C699" s="1" t="s">
        <v>1537</v>
      </c>
      <c r="D699" s="1" t="s">
        <v>1544</v>
      </c>
      <c r="E699" s="1" t="s">
        <v>1588</v>
      </c>
      <c r="F699" s="1" t="s">
        <v>16</v>
      </c>
      <c r="G699" s="1" t="s">
        <v>17</v>
      </c>
      <c r="H699" s="1" t="s">
        <v>18</v>
      </c>
      <c r="I699" s="1" t="s">
        <v>19</v>
      </c>
      <c r="J699" s="1">
        <v>105.0</v>
      </c>
      <c r="K699" s="1">
        <v>35.0</v>
      </c>
      <c r="L699" s="1">
        <v>79.0</v>
      </c>
    </row>
    <row r="700">
      <c r="A700" s="1">
        <v>1902012.0</v>
      </c>
      <c r="B700" s="1" t="s">
        <v>1589</v>
      </c>
      <c r="C700" s="1" t="s">
        <v>1537</v>
      </c>
      <c r="D700" s="1" t="s">
        <v>1566</v>
      </c>
      <c r="E700" s="1" t="s">
        <v>1590</v>
      </c>
      <c r="F700" s="1" t="s">
        <v>16</v>
      </c>
      <c r="G700" s="1" t="s">
        <v>23</v>
      </c>
      <c r="H700" s="1" t="s">
        <v>18</v>
      </c>
      <c r="I700" s="1" t="s">
        <v>163</v>
      </c>
      <c r="J700" s="1">
        <v>66.0</v>
      </c>
      <c r="K700" s="1">
        <v>23.0</v>
      </c>
      <c r="L700" s="1">
        <v>145.0</v>
      </c>
    </row>
    <row r="701">
      <c r="A701" s="1">
        <v>1971004.0</v>
      </c>
      <c r="B701" s="1" t="s">
        <v>1591</v>
      </c>
      <c r="C701" s="1" t="s">
        <v>1537</v>
      </c>
      <c r="D701" s="1" t="s">
        <v>1538</v>
      </c>
      <c r="E701" s="1" t="s">
        <v>1592</v>
      </c>
      <c r="F701" s="1" t="s">
        <v>16</v>
      </c>
      <c r="G701" s="1" t="s">
        <v>17</v>
      </c>
      <c r="H701" s="1" t="s">
        <v>18</v>
      </c>
      <c r="I701" s="1" t="s">
        <v>44</v>
      </c>
      <c r="J701" s="1">
        <v>101.0</v>
      </c>
      <c r="K701" s="1">
        <v>44.0</v>
      </c>
      <c r="L701" s="1">
        <v>58.0</v>
      </c>
    </row>
    <row r="702">
      <c r="A702" s="1">
        <v>1906014.0</v>
      </c>
      <c r="B702" s="1" t="s">
        <v>1593</v>
      </c>
      <c r="C702" s="1" t="s">
        <v>1537</v>
      </c>
      <c r="D702" s="1" t="s">
        <v>1594</v>
      </c>
      <c r="E702" s="1" t="s">
        <v>1595</v>
      </c>
      <c r="F702" s="1" t="s">
        <v>16</v>
      </c>
      <c r="G702" s="1" t="s">
        <v>17</v>
      </c>
      <c r="H702" s="1" t="s">
        <v>28</v>
      </c>
      <c r="I702" s="1" t="s">
        <v>40</v>
      </c>
      <c r="J702" s="1">
        <v>104.0</v>
      </c>
      <c r="K702" s="1">
        <v>35.0</v>
      </c>
      <c r="L702" s="1">
        <v>472.0</v>
      </c>
    </row>
    <row r="703">
      <c r="A703" s="1">
        <v>1903005.0</v>
      </c>
      <c r="B703" s="1" t="s">
        <v>1596</v>
      </c>
      <c r="C703" s="1" t="s">
        <v>1537</v>
      </c>
      <c r="D703" s="1" t="s">
        <v>1577</v>
      </c>
      <c r="E703" s="1" t="s">
        <v>1597</v>
      </c>
      <c r="F703" s="1" t="s">
        <v>16</v>
      </c>
      <c r="G703" s="1" t="s">
        <v>23</v>
      </c>
      <c r="H703" s="1" t="s">
        <v>18</v>
      </c>
      <c r="I703" s="1" t="s">
        <v>44</v>
      </c>
      <c r="J703" s="1">
        <v>67.0</v>
      </c>
      <c r="K703" s="1">
        <v>6.0</v>
      </c>
      <c r="L703" s="1">
        <v>13.0</v>
      </c>
    </row>
    <row r="704">
      <c r="A704" s="1">
        <v>1901016.0</v>
      </c>
      <c r="B704" s="1" t="s">
        <v>1598</v>
      </c>
      <c r="C704" s="1" t="s">
        <v>1537</v>
      </c>
      <c r="D704" s="1" t="s">
        <v>1544</v>
      </c>
      <c r="E704" s="1" t="s">
        <v>1599</v>
      </c>
      <c r="F704" s="1" t="s">
        <v>16</v>
      </c>
      <c r="G704" s="1" t="s">
        <v>17</v>
      </c>
      <c r="H704" s="1" t="s">
        <v>28</v>
      </c>
      <c r="I704" s="1" t="s">
        <v>40</v>
      </c>
      <c r="J704" s="1">
        <v>163.0</v>
      </c>
      <c r="K704" s="1">
        <v>56.0</v>
      </c>
      <c r="L704" s="1">
        <v>645.0</v>
      </c>
    </row>
    <row r="705">
      <c r="A705" s="1">
        <v>2171062.0</v>
      </c>
      <c r="B705" s="1" t="s">
        <v>1600</v>
      </c>
      <c r="C705" s="1" t="s">
        <v>1601</v>
      </c>
      <c r="D705" s="1" t="s">
        <v>1602</v>
      </c>
      <c r="E705" s="1" t="s">
        <v>1603</v>
      </c>
      <c r="F705" s="1" t="s">
        <v>16</v>
      </c>
      <c r="G705" s="1" t="s">
        <v>17</v>
      </c>
      <c r="H705" s="1" t="s">
        <v>18</v>
      </c>
      <c r="I705" s="1" t="s">
        <v>44</v>
      </c>
      <c r="J705" s="1">
        <v>127.0</v>
      </c>
      <c r="K705" s="1">
        <v>33.0</v>
      </c>
      <c r="L705" s="1">
        <v>42.0</v>
      </c>
    </row>
    <row r="706">
      <c r="A706" s="1">
        <v>2071114.0</v>
      </c>
      <c r="B706" s="1" t="s">
        <v>1604</v>
      </c>
      <c r="C706" s="1" t="s">
        <v>1601</v>
      </c>
      <c r="D706" s="1" t="s">
        <v>1602</v>
      </c>
      <c r="E706" s="1" t="s">
        <v>1605</v>
      </c>
      <c r="F706" s="1" t="s">
        <v>16</v>
      </c>
      <c r="G706" s="1" t="s">
        <v>27</v>
      </c>
      <c r="H706" s="1" t="s">
        <v>28</v>
      </c>
      <c r="I706" s="1" t="s">
        <v>29</v>
      </c>
      <c r="J706" s="1">
        <v>227.0</v>
      </c>
      <c r="K706" s="1">
        <v>60.0</v>
      </c>
      <c r="L706" s="1">
        <v>485.0</v>
      </c>
    </row>
    <row r="707">
      <c r="A707" s="1">
        <v>2071054.0</v>
      </c>
      <c r="B707" s="1" t="s">
        <v>1606</v>
      </c>
      <c r="C707" s="1" t="s">
        <v>1601</v>
      </c>
      <c r="D707" s="1" t="s">
        <v>1602</v>
      </c>
      <c r="E707" s="1" t="s">
        <v>1607</v>
      </c>
      <c r="F707" s="1" t="s">
        <v>55</v>
      </c>
      <c r="G707" s="1" t="s">
        <v>17</v>
      </c>
      <c r="H707" s="1" t="s">
        <v>18</v>
      </c>
      <c r="I707" s="1" t="s">
        <v>44</v>
      </c>
      <c r="J707" s="1">
        <v>29.0</v>
      </c>
      <c r="K707" s="1">
        <v>18.0</v>
      </c>
      <c r="L707" s="1">
        <v>40.0</v>
      </c>
    </row>
    <row r="708">
      <c r="A708" s="1">
        <v>2003011.0</v>
      </c>
      <c r="B708" s="1" t="s">
        <v>1608</v>
      </c>
      <c r="C708" s="1" t="s">
        <v>1601</v>
      </c>
      <c r="D708" s="1" t="s">
        <v>1609</v>
      </c>
      <c r="E708" s="1" t="s">
        <v>1610</v>
      </c>
      <c r="F708" s="1" t="s">
        <v>16</v>
      </c>
      <c r="G708" s="1" t="s">
        <v>17</v>
      </c>
      <c r="H708" s="1" t="s">
        <v>28</v>
      </c>
      <c r="I708" s="1" t="s">
        <v>40</v>
      </c>
      <c r="J708" s="1">
        <v>140.0</v>
      </c>
      <c r="K708" s="1">
        <v>41.0</v>
      </c>
      <c r="L708" s="1">
        <v>360.0</v>
      </c>
    </row>
    <row r="709">
      <c r="A709" s="1">
        <v>2004136.0</v>
      </c>
      <c r="B709" s="1" t="s">
        <v>1611</v>
      </c>
      <c r="C709" s="1" t="s">
        <v>1601</v>
      </c>
      <c r="D709" s="1" t="s">
        <v>1612</v>
      </c>
      <c r="E709" s="1" t="s">
        <v>1613</v>
      </c>
      <c r="F709" s="1" t="s">
        <v>16</v>
      </c>
      <c r="G709" s="1" t="s">
        <v>23</v>
      </c>
      <c r="H709" s="1" t="s">
        <v>28</v>
      </c>
      <c r="I709" s="1" t="s">
        <v>40</v>
      </c>
      <c r="J709" s="1">
        <v>58.0</v>
      </c>
      <c r="K709" s="1">
        <v>11.0</v>
      </c>
      <c r="L709" s="1">
        <v>155.0</v>
      </c>
    </row>
    <row r="710">
      <c r="A710" s="1">
        <v>2101003.0</v>
      </c>
      <c r="B710" s="1" t="s">
        <v>1614</v>
      </c>
      <c r="C710" s="1" t="s">
        <v>1601</v>
      </c>
      <c r="D710" s="1" t="s">
        <v>1615</v>
      </c>
      <c r="E710" s="1" t="s">
        <v>1616</v>
      </c>
      <c r="F710" s="1" t="s">
        <v>16</v>
      </c>
      <c r="G710" s="1" t="s">
        <v>98</v>
      </c>
      <c r="H710" s="1" t="s">
        <v>28</v>
      </c>
      <c r="I710" s="1" t="s">
        <v>40</v>
      </c>
      <c r="J710" s="1">
        <v>25.0</v>
      </c>
      <c r="K710" s="1">
        <v>21.0</v>
      </c>
      <c r="L710" s="1">
        <v>31.0</v>
      </c>
    </row>
    <row r="711">
      <c r="A711" s="1">
        <v>2071053.0</v>
      </c>
      <c r="B711" s="1" t="s">
        <v>1617</v>
      </c>
      <c r="C711" s="1" t="s">
        <v>1601</v>
      </c>
      <c r="D711" s="1" t="s">
        <v>1602</v>
      </c>
      <c r="E711" s="1" t="s">
        <v>1618</v>
      </c>
      <c r="F711" s="1" t="s">
        <v>16</v>
      </c>
      <c r="G711" s="1" t="s">
        <v>17</v>
      </c>
      <c r="H711" s="1" t="s">
        <v>18</v>
      </c>
      <c r="I711" s="1" t="s">
        <v>44</v>
      </c>
      <c r="J711" s="1">
        <v>125.0</v>
      </c>
      <c r="K711" s="1">
        <v>35.0</v>
      </c>
      <c r="L711" s="1">
        <v>200.0</v>
      </c>
    </row>
    <row r="712">
      <c r="A712" s="1">
        <v>2071012.0</v>
      </c>
      <c r="B712" s="1" t="s">
        <v>1619</v>
      </c>
      <c r="C712" s="1" t="s">
        <v>1601</v>
      </c>
      <c r="D712" s="1" t="s">
        <v>1602</v>
      </c>
      <c r="E712" s="1" t="s">
        <v>1620</v>
      </c>
      <c r="F712" s="1" t="s">
        <v>16</v>
      </c>
      <c r="G712" s="1" t="s">
        <v>27</v>
      </c>
      <c r="H712" s="1" t="s">
        <v>18</v>
      </c>
      <c r="I712" s="1" t="s">
        <v>59</v>
      </c>
      <c r="J712" s="1">
        <v>200.0</v>
      </c>
      <c r="K712" s="1">
        <v>100.0</v>
      </c>
      <c r="L712" s="1">
        <v>556.0</v>
      </c>
    </row>
    <row r="713">
      <c r="A713" s="1">
        <v>2171077.0</v>
      </c>
      <c r="B713" s="1" t="s">
        <v>1621</v>
      </c>
      <c r="C713" s="1" t="s">
        <v>1601</v>
      </c>
      <c r="D713" s="1" t="s">
        <v>1602</v>
      </c>
      <c r="E713" s="1" t="s">
        <v>1622</v>
      </c>
      <c r="F713" s="1" t="s">
        <v>16</v>
      </c>
      <c r="G713" s="1" t="s">
        <v>23</v>
      </c>
      <c r="H713" s="1" t="s">
        <v>18</v>
      </c>
      <c r="I713" s="1" t="s">
        <v>19</v>
      </c>
      <c r="J713" s="1">
        <v>50.0</v>
      </c>
      <c r="K713" s="1">
        <v>16.0</v>
      </c>
      <c r="L713" s="1">
        <v>18.0</v>
      </c>
    </row>
    <row r="714">
      <c r="A714" s="1">
        <v>2072023.0</v>
      </c>
      <c r="B714" s="1" t="s">
        <v>1623</v>
      </c>
      <c r="C714" s="1" t="s">
        <v>1601</v>
      </c>
      <c r="D714" s="1" t="s">
        <v>1624</v>
      </c>
      <c r="E714" s="1" t="s">
        <v>1625</v>
      </c>
      <c r="F714" s="1" t="s">
        <v>16</v>
      </c>
      <c r="G714" s="1" t="s">
        <v>27</v>
      </c>
      <c r="H714" s="1" t="s">
        <v>18</v>
      </c>
      <c r="I714" s="1" t="s">
        <v>95</v>
      </c>
      <c r="J714" s="1">
        <v>209.0</v>
      </c>
      <c r="K714" s="1">
        <v>77.0</v>
      </c>
      <c r="L714" s="1">
        <v>414.0</v>
      </c>
    </row>
    <row r="715">
      <c r="A715" s="1">
        <v>2002002.0</v>
      </c>
      <c r="B715" s="1" t="s">
        <v>1626</v>
      </c>
      <c r="C715" s="1" t="s">
        <v>1601</v>
      </c>
      <c r="D715" s="1" t="s">
        <v>1627</v>
      </c>
      <c r="E715" s="1" t="s">
        <v>1628</v>
      </c>
      <c r="F715" s="1" t="s">
        <v>16</v>
      </c>
      <c r="G715" s="1" t="s">
        <v>17</v>
      </c>
      <c r="H715" s="1" t="s">
        <v>28</v>
      </c>
      <c r="I715" s="1" t="s">
        <v>40</v>
      </c>
      <c r="J715" s="1">
        <v>139.0</v>
      </c>
      <c r="K715" s="1">
        <v>31.0</v>
      </c>
      <c r="L715" s="1">
        <v>159.0</v>
      </c>
    </row>
    <row r="716">
      <c r="A716" s="1">
        <v>2071034.0</v>
      </c>
      <c r="B716" s="1" t="s">
        <v>1629</v>
      </c>
      <c r="C716" s="1" t="s">
        <v>1601</v>
      </c>
      <c r="D716" s="1" t="s">
        <v>1602</v>
      </c>
      <c r="E716" s="1" t="s">
        <v>1630</v>
      </c>
      <c r="F716" s="1" t="s">
        <v>16</v>
      </c>
      <c r="G716" s="1" t="s">
        <v>27</v>
      </c>
      <c r="H716" s="1" t="s">
        <v>18</v>
      </c>
      <c r="I716" s="1" t="s">
        <v>34</v>
      </c>
      <c r="J716" s="1">
        <v>219.0</v>
      </c>
      <c r="K716" s="1">
        <v>101.0</v>
      </c>
      <c r="L716" s="1">
        <v>417.0</v>
      </c>
    </row>
    <row r="717">
      <c r="A717" s="1">
        <v>2071057.0</v>
      </c>
      <c r="B717" s="1" t="s">
        <v>1631</v>
      </c>
      <c r="C717" s="1" t="s">
        <v>1601</v>
      </c>
      <c r="D717" s="1" t="s">
        <v>1602</v>
      </c>
      <c r="E717" s="1" t="s">
        <v>1632</v>
      </c>
      <c r="F717" s="1" t="s">
        <v>55</v>
      </c>
      <c r="G717" s="1" t="s">
        <v>17</v>
      </c>
      <c r="H717" s="1" t="s">
        <v>18</v>
      </c>
      <c r="I717" s="1" t="s">
        <v>44</v>
      </c>
      <c r="J717" s="1">
        <v>36.0</v>
      </c>
      <c r="K717" s="1">
        <v>19.0</v>
      </c>
      <c r="L717" s="1">
        <v>61.0</v>
      </c>
    </row>
    <row r="718">
      <c r="A718" s="1">
        <v>2003056.0</v>
      </c>
      <c r="B718" s="1" t="s">
        <v>1633</v>
      </c>
      <c r="C718" s="1" t="s">
        <v>1601</v>
      </c>
      <c r="D718" s="1" t="s">
        <v>1609</v>
      </c>
      <c r="E718" s="1" t="s">
        <v>1634</v>
      </c>
      <c r="F718" s="1" t="s">
        <v>16</v>
      </c>
      <c r="G718" s="1" t="s">
        <v>23</v>
      </c>
      <c r="H718" s="1" t="s">
        <v>18</v>
      </c>
      <c r="I718" s="1" t="s">
        <v>563</v>
      </c>
      <c r="J718" s="1">
        <v>53.0</v>
      </c>
      <c r="K718" s="1">
        <v>15.0</v>
      </c>
      <c r="L718" s="1">
        <v>26.0</v>
      </c>
    </row>
    <row r="719">
      <c r="A719" s="1">
        <v>2171083.0</v>
      </c>
      <c r="B719" s="1" t="s">
        <v>1635</v>
      </c>
      <c r="C719" s="1" t="s">
        <v>1601</v>
      </c>
      <c r="D719" s="1" t="s">
        <v>1602</v>
      </c>
      <c r="E719" s="1" t="s">
        <v>1636</v>
      </c>
      <c r="F719" s="1" t="s">
        <v>16</v>
      </c>
      <c r="G719" s="1" t="s">
        <v>17</v>
      </c>
      <c r="H719" s="1" t="s">
        <v>18</v>
      </c>
      <c r="I719" s="1" t="s">
        <v>19</v>
      </c>
      <c r="J719" s="1">
        <v>125.0</v>
      </c>
      <c r="K719" s="1">
        <v>35.0</v>
      </c>
      <c r="L719" s="1">
        <v>0.0</v>
      </c>
    </row>
    <row r="720">
      <c r="A720" s="1">
        <v>2071103.0</v>
      </c>
      <c r="B720" s="1" t="s">
        <v>1637</v>
      </c>
      <c r="C720" s="1" t="s">
        <v>1601</v>
      </c>
      <c r="D720" s="1" t="s">
        <v>1602</v>
      </c>
      <c r="E720" s="1" t="s">
        <v>1638</v>
      </c>
      <c r="F720" s="1" t="s">
        <v>16</v>
      </c>
      <c r="G720" s="1" t="s">
        <v>27</v>
      </c>
      <c r="H720" s="1" t="s">
        <v>18</v>
      </c>
      <c r="I720" s="1" t="s">
        <v>44</v>
      </c>
      <c r="J720" s="1">
        <v>257.0</v>
      </c>
      <c r="K720" s="1">
        <v>112.0</v>
      </c>
      <c r="L720" s="1">
        <v>617.0</v>
      </c>
    </row>
    <row r="721">
      <c r="A721" s="1">
        <v>2071015.0</v>
      </c>
      <c r="B721" s="1" t="s">
        <v>1639</v>
      </c>
      <c r="C721" s="1" t="s">
        <v>1601</v>
      </c>
      <c r="D721" s="1" t="s">
        <v>1602</v>
      </c>
      <c r="E721" s="1" t="s">
        <v>1640</v>
      </c>
      <c r="F721" s="1" t="s">
        <v>16</v>
      </c>
      <c r="G721" s="1" t="s">
        <v>17</v>
      </c>
      <c r="H721" s="1" t="s">
        <v>18</v>
      </c>
      <c r="I721" s="1" t="s">
        <v>249</v>
      </c>
      <c r="J721" s="1">
        <v>107.0</v>
      </c>
      <c r="K721" s="1">
        <v>62.0</v>
      </c>
      <c r="L721" s="1">
        <v>283.0</v>
      </c>
    </row>
    <row r="722">
      <c r="A722" s="1">
        <v>2171065.0</v>
      </c>
      <c r="B722" s="1" t="s">
        <v>1641</v>
      </c>
      <c r="C722" s="1" t="s">
        <v>1601</v>
      </c>
      <c r="D722" s="1" t="s">
        <v>1602</v>
      </c>
      <c r="E722" s="1" t="s">
        <v>1642</v>
      </c>
      <c r="F722" s="1" t="s">
        <v>16</v>
      </c>
      <c r="G722" s="1" t="s">
        <v>27</v>
      </c>
      <c r="H722" s="1" t="s">
        <v>18</v>
      </c>
      <c r="I722" s="1" t="s">
        <v>19</v>
      </c>
      <c r="J722" s="1">
        <v>229.0</v>
      </c>
      <c r="K722" s="1">
        <v>22.0</v>
      </c>
      <c r="L722" s="1">
        <v>53.0</v>
      </c>
    </row>
    <row r="723">
      <c r="A723" s="1">
        <v>2002010.0</v>
      </c>
      <c r="B723" s="1" t="s">
        <v>1643</v>
      </c>
      <c r="C723" s="1" t="s">
        <v>1601</v>
      </c>
      <c r="D723" s="1" t="s">
        <v>1627</v>
      </c>
      <c r="E723" s="1" t="s">
        <v>1644</v>
      </c>
      <c r="F723" s="1" t="s">
        <v>174</v>
      </c>
      <c r="G723" s="1" t="s">
        <v>27</v>
      </c>
      <c r="H723" s="1" t="s">
        <v>28</v>
      </c>
      <c r="I723" s="1" t="s">
        <v>139</v>
      </c>
      <c r="J723" s="1">
        <v>119.0</v>
      </c>
      <c r="K723" s="1">
        <v>46.0</v>
      </c>
      <c r="L723" s="1">
        <v>168.0</v>
      </c>
    </row>
    <row r="724">
      <c r="A724" s="1">
        <v>2105005.0</v>
      </c>
      <c r="B724" s="1" t="s">
        <v>1645</v>
      </c>
      <c r="C724" s="1" t="s">
        <v>1601</v>
      </c>
      <c r="D724" s="1" t="s">
        <v>1646</v>
      </c>
      <c r="E724" s="1" t="s">
        <v>1647</v>
      </c>
      <c r="F724" s="1" t="s">
        <v>16</v>
      </c>
      <c r="G724" s="1" t="s">
        <v>23</v>
      </c>
      <c r="H724" s="1" t="s">
        <v>18</v>
      </c>
      <c r="I724" s="1" t="s">
        <v>40</v>
      </c>
      <c r="J724" s="1">
        <v>65.0</v>
      </c>
      <c r="K724" s="1">
        <v>18.0</v>
      </c>
      <c r="L724" s="1">
        <v>68.0</v>
      </c>
    </row>
    <row r="725">
      <c r="A725" s="1">
        <v>2003125.0</v>
      </c>
      <c r="B725" s="1" t="s">
        <v>1648</v>
      </c>
      <c r="C725" s="1" t="s">
        <v>1601</v>
      </c>
      <c r="D725" s="1" t="s">
        <v>1646</v>
      </c>
      <c r="E725" s="1" t="s">
        <v>1649</v>
      </c>
      <c r="F725" s="1" t="s">
        <v>16</v>
      </c>
      <c r="G725" s="1" t="s">
        <v>23</v>
      </c>
      <c r="H725" s="1" t="s">
        <v>28</v>
      </c>
      <c r="I725" s="1" t="s">
        <v>40</v>
      </c>
      <c r="J725" s="1">
        <v>50.0</v>
      </c>
      <c r="K725" s="1">
        <v>21.0</v>
      </c>
      <c r="L725" s="1">
        <v>122.0</v>
      </c>
    </row>
    <row r="726">
      <c r="A726" s="1">
        <v>2071037.0</v>
      </c>
      <c r="B726" s="1" t="s">
        <v>1650</v>
      </c>
      <c r="C726" s="1" t="s">
        <v>1601</v>
      </c>
      <c r="D726" s="1" t="s">
        <v>1602</v>
      </c>
      <c r="E726" s="1" t="s">
        <v>1651</v>
      </c>
      <c r="F726" s="1" t="s">
        <v>16</v>
      </c>
      <c r="G726" s="1" t="s">
        <v>17</v>
      </c>
      <c r="H726" s="1" t="s">
        <v>18</v>
      </c>
      <c r="I726" s="1" t="s">
        <v>19</v>
      </c>
      <c r="J726" s="1">
        <v>127.0</v>
      </c>
      <c r="K726" s="1">
        <v>20.0</v>
      </c>
      <c r="L726" s="1">
        <v>83.0</v>
      </c>
    </row>
    <row r="727">
      <c r="A727" s="1">
        <v>2171078.0</v>
      </c>
      <c r="B727" s="1" t="s">
        <v>1652</v>
      </c>
      <c r="C727" s="1" t="s">
        <v>1601</v>
      </c>
      <c r="D727" s="1" t="s">
        <v>1602</v>
      </c>
      <c r="E727" s="1" t="s">
        <v>1653</v>
      </c>
      <c r="F727" s="1" t="s">
        <v>16</v>
      </c>
      <c r="G727" s="1" t="s">
        <v>17</v>
      </c>
      <c r="H727" s="1" t="s">
        <v>18</v>
      </c>
      <c r="I727" s="1" t="s">
        <v>19</v>
      </c>
      <c r="J727" s="1">
        <v>118.0</v>
      </c>
      <c r="K727" s="1">
        <v>39.0</v>
      </c>
      <c r="L727" s="1">
        <v>0.0</v>
      </c>
    </row>
    <row r="728">
      <c r="A728" s="1">
        <v>2072012.0</v>
      </c>
      <c r="B728" s="1" t="s">
        <v>1654</v>
      </c>
      <c r="C728" s="1" t="s">
        <v>1601</v>
      </c>
      <c r="D728" s="1" t="s">
        <v>1624</v>
      </c>
      <c r="E728" s="1" t="s">
        <v>1655</v>
      </c>
      <c r="F728" s="1" t="s">
        <v>16</v>
      </c>
      <c r="G728" s="1" t="s">
        <v>17</v>
      </c>
      <c r="H728" s="1" t="s">
        <v>28</v>
      </c>
      <c r="I728" s="1" t="s">
        <v>29</v>
      </c>
      <c r="J728" s="1">
        <v>134.0</v>
      </c>
      <c r="K728" s="1">
        <v>42.0</v>
      </c>
      <c r="L728" s="1">
        <v>457.0</v>
      </c>
    </row>
    <row r="729">
      <c r="A729" s="1">
        <v>2171061.0</v>
      </c>
      <c r="B729" s="1" t="s">
        <v>1656</v>
      </c>
      <c r="C729" s="1" t="s">
        <v>1601</v>
      </c>
      <c r="D729" s="1" t="s">
        <v>1602</v>
      </c>
      <c r="E729" s="1" t="s">
        <v>1657</v>
      </c>
      <c r="F729" s="1" t="s">
        <v>16</v>
      </c>
      <c r="G729" s="1" t="s">
        <v>23</v>
      </c>
      <c r="H729" s="1" t="s">
        <v>33</v>
      </c>
      <c r="I729" s="1" t="s">
        <v>65</v>
      </c>
      <c r="J729" s="1">
        <v>82.0</v>
      </c>
      <c r="K729" s="1">
        <v>22.0</v>
      </c>
      <c r="L729" s="1">
        <v>53.0</v>
      </c>
    </row>
    <row r="730">
      <c r="A730" s="1">
        <v>2071023.0</v>
      </c>
      <c r="B730" s="1" t="s">
        <v>1658</v>
      </c>
      <c r="C730" s="1" t="s">
        <v>1601</v>
      </c>
      <c r="D730" s="1" t="s">
        <v>1602</v>
      </c>
      <c r="E730" s="1" t="s">
        <v>1659</v>
      </c>
      <c r="F730" s="1" t="s">
        <v>16</v>
      </c>
      <c r="G730" s="1" t="s">
        <v>17</v>
      </c>
      <c r="H730" s="1" t="s">
        <v>18</v>
      </c>
      <c r="I730" s="1" t="s">
        <v>59</v>
      </c>
      <c r="J730" s="1">
        <v>122.0</v>
      </c>
      <c r="K730" s="1">
        <v>63.0</v>
      </c>
      <c r="L730" s="1">
        <v>370.0</v>
      </c>
    </row>
    <row r="731">
      <c r="A731" s="1">
        <v>2072002.0</v>
      </c>
      <c r="B731" s="1" t="s">
        <v>1660</v>
      </c>
      <c r="C731" s="1" t="s">
        <v>1601</v>
      </c>
      <c r="D731" s="1" t="s">
        <v>1624</v>
      </c>
      <c r="E731" s="1" t="s">
        <v>1661</v>
      </c>
      <c r="F731" s="1" t="s">
        <v>16</v>
      </c>
      <c r="G731" s="1" t="s">
        <v>27</v>
      </c>
      <c r="H731" s="1" t="s">
        <v>28</v>
      </c>
      <c r="I731" s="1" t="s">
        <v>139</v>
      </c>
      <c r="J731" s="1">
        <v>232.0</v>
      </c>
      <c r="K731" s="1">
        <v>95.0</v>
      </c>
      <c r="L731" s="1">
        <v>828.0</v>
      </c>
    </row>
    <row r="732">
      <c r="A732" s="1">
        <v>2005002.0</v>
      </c>
      <c r="B732" s="1" t="s">
        <v>1662</v>
      </c>
      <c r="C732" s="1" t="s">
        <v>1601</v>
      </c>
      <c r="D732" s="1" t="s">
        <v>1646</v>
      </c>
      <c r="E732" s="1" t="s">
        <v>1663</v>
      </c>
      <c r="F732" s="1" t="s">
        <v>16</v>
      </c>
      <c r="G732" s="1" t="s">
        <v>23</v>
      </c>
      <c r="H732" s="1" t="s">
        <v>28</v>
      </c>
      <c r="I732" s="1" t="s">
        <v>40</v>
      </c>
      <c r="J732" s="1">
        <v>18.0</v>
      </c>
      <c r="K732" s="1">
        <v>14.0</v>
      </c>
      <c r="L732" s="1">
        <v>85.0</v>
      </c>
    </row>
    <row r="733">
      <c r="A733" s="1">
        <v>2171064.0</v>
      </c>
      <c r="B733" s="1" t="s">
        <v>1664</v>
      </c>
      <c r="C733" s="1" t="s">
        <v>1601</v>
      </c>
      <c r="D733" s="1" t="s">
        <v>1602</v>
      </c>
      <c r="E733" s="1" t="s">
        <v>1665</v>
      </c>
      <c r="F733" s="1" t="s">
        <v>16</v>
      </c>
      <c r="G733" s="1" t="s">
        <v>23</v>
      </c>
      <c r="H733" s="1" t="s">
        <v>18</v>
      </c>
      <c r="I733" s="1" t="s">
        <v>44</v>
      </c>
      <c r="J733" s="1">
        <v>52.0</v>
      </c>
      <c r="K733" s="1">
        <v>24.0</v>
      </c>
      <c r="L733" s="1">
        <v>86.0</v>
      </c>
    </row>
    <row r="734">
      <c r="A734" s="1">
        <v>2004012.0</v>
      </c>
      <c r="B734" s="1" t="s">
        <v>1666</v>
      </c>
      <c r="C734" s="1" t="s">
        <v>1601</v>
      </c>
      <c r="D734" s="1" t="s">
        <v>1612</v>
      </c>
      <c r="E734" s="1" t="s">
        <v>1667</v>
      </c>
      <c r="F734" s="1" t="s">
        <v>16</v>
      </c>
      <c r="G734" s="1" t="s">
        <v>17</v>
      </c>
      <c r="H734" s="1" t="s">
        <v>28</v>
      </c>
      <c r="I734" s="1" t="s">
        <v>40</v>
      </c>
      <c r="J734" s="1">
        <v>100.0</v>
      </c>
      <c r="K734" s="1">
        <v>23.0</v>
      </c>
      <c r="L734" s="1">
        <v>108.0</v>
      </c>
    </row>
    <row r="735">
      <c r="A735" s="1">
        <v>2001045.0</v>
      </c>
      <c r="B735" s="1" t="s">
        <v>1668</v>
      </c>
      <c r="C735" s="1" t="s">
        <v>1601</v>
      </c>
      <c r="D735" s="1" t="s">
        <v>1615</v>
      </c>
      <c r="E735" s="1" t="s">
        <v>1669</v>
      </c>
      <c r="F735" s="1" t="s">
        <v>16</v>
      </c>
      <c r="G735" s="1" t="s">
        <v>17</v>
      </c>
      <c r="H735" s="1" t="s">
        <v>18</v>
      </c>
      <c r="I735" s="1" t="s">
        <v>44</v>
      </c>
      <c r="J735" s="1">
        <v>100.0</v>
      </c>
      <c r="K735" s="1">
        <v>47.0</v>
      </c>
      <c r="L735" s="1">
        <v>316.0</v>
      </c>
    </row>
    <row r="736">
      <c r="A736" s="1">
        <v>2071050.0</v>
      </c>
      <c r="B736" s="1" t="s">
        <v>1670</v>
      </c>
      <c r="C736" s="1" t="s">
        <v>1601</v>
      </c>
      <c r="D736" s="1" t="s">
        <v>1602</v>
      </c>
      <c r="E736" s="1" t="s">
        <v>1671</v>
      </c>
      <c r="F736" s="1" t="s">
        <v>16</v>
      </c>
      <c r="G736" s="1" t="s">
        <v>17</v>
      </c>
      <c r="H736" s="1" t="s">
        <v>18</v>
      </c>
      <c r="I736" s="1" t="s">
        <v>44</v>
      </c>
      <c r="J736" s="1">
        <v>168.0</v>
      </c>
      <c r="K736" s="1">
        <v>40.0</v>
      </c>
      <c r="L736" s="1">
        <v>396.0</v>
      </c>
    </row>
    <row r="737">
      <c r="A737" s="1">
        <v>2071059.0</v>
      </c>
      <c r="B737" s="1" t="s">
        <v>1672</v>
      </c>
      <c r="C737" s="1" t="s">
        <v>1601</v>
      </c>
      <c r="D737" s="1" t="s">
        <v>1602</v>
      </c>
      <c r="E737" s="1" t="s">
        <v>1673</v>
      </c>
      <c r="F737" s="1" t="s">
        <v>16</v>
      </c>
      <c r="G737" s="1" t="s">
        <v>17</v>
      </c>
      <c r="H737" s="1" t="s">
        <v>18</v>
      </c>
      <c r="I737" s="1" t="s">
        <v>59</v>
      </c>
      <c r="J737" s="1">
        <v>111.0</v>
      </c>
      <c r="K737" s="1">
        <v>24.0</v>
      </c>
      <c r="L737" s="1">
        <v>182.0</v>
      </c>
    </row>
    <row r="738">
      <c r="A738" s="1">
        <v>2071056.0</v>
      </c>
      <c r="B738" s="1" t="s">
        <v>1674</v>
      </c>
      <c r="C738" s="1" t="s">
        <v>1601</v>
      </c>
      <c r="D738" s="1" t="s">
        <v>1602</v>
      </c>
      <c r="E738" s="1" t="s">
        <v>1675</v>
      </c>
      <c r="F738" s="1" t="s">
        <v>16</v>
      </c>
      <c r="G738" s="1" t="s">
        <v>17</v>
      </c>
      <c r="H738" s="1" t="s">
        <v>18</v>
      </c>
      <c r="I738" s="1" t="s">
        <v>44</v>
      </c>
      <c r="J738" s="1">
        <v>121.0</v>
      </c>
      <c r="K738" s="1">
        <v>40.0</v>
      </c>
      <c r="L738" s="1">
        <v>194.0</v>
      </c>
    </row>
    <row r="739">
      <c r="A739" s="1">
        <v>2001013.0</v>
      </c>
      <c r="B739" s="1" t="s">
        <v>1676</v>
      </c>
      <c r="C739" s="1" t="s">
        <v>1601</v>
      </c>
      <c r="D739" s="1" t="s">
        <v>1615</v>
      </c>
      <c r="E739" s="1" t="s">
        <v>1677</v>
      </c>
      <c r="F739" s="1" t="s">
        <v>16</v>
      </c>
      <c r="G739" s="1" t="s">
        <v>17</v>
      </c>
      <c r="H739" s="1" t="s">
        <v>28</v>
      </c>
      <c r="I739" s="1" t="s">
        <v>40</v>
      </c>
      <c r="J739" s="1">
        <v>210.0</v>
      </c>
      <c r="K739" s="1">
        <v>70.0</v>
      </c>
      <c r="L739" s="1">
        <v>543.0</v>
      </c>
    </row>
    <row r="740">
      <c r="A740" s="1">
        <v>3173084.0</v>
      </c>
      <c r="B740" s="1" t="s">
        <v>1678</v>
      </c>
      <c r="C740" s="1" t="s">
        <v>1679</v>
      </c>
      <c r="D740" s="1" t="s">
        <v>1680</v>
      </c>
      <c r="E740" s="1" t="s">
        <v>1681</v>
      </c>
      <c r="F740" s="1" t="s">
        <v>16</v>
      </c>
      <c r="G740" s="1" t="s">
        <v>27</v>
      </c>
      <c r="H740" s="1" t="s">
        <v>33</v>
      </c>
      <c r="I740" s="1" t="s">
        <v>74</v>
      </c>
      <c r="J740" s="1">
        <v>251.0</v>
      </c>
      <c r="K740" s="1">
        <v>34.0</v>
      </c>
      <c r="L740" s="1">
        <v>435.0</v>
      </c>
    </row>
    <row r="741">
      <c r="A741" s="1">
        <v>3172765.0</v>
      </c>
      <c r="B741" s="1" t="s">
        <v>1682</v>
      </c>
      <c r="C741" s="1" t="s">
        <v>1679</v>
      </c>
      <c r="D741" s="1" t="s">
        <v>1680</v>
      </c>
      <c r="E741" s="1" t="s">
        <v>1683</v>
      </c>
      <c r="F741" s="1" t="s">
        <v>55</v>
      </c>
      <c r="G741" s="1" t="s">
        <v>17</v>
      </c>
      <c r="H741" s="1" t="s">
        <v>18</v>
      </c>
      <c r="I741" s="1" t="s">
        <v>19</v>
      </c>
      <c r="J741" s="1">
        <v>41.0</v>
      </c>
      <c r="K741" s="1">
        <v>23.0</v>
      </c>
      <c r="L741" s="1">
        <v>13.0</v>
      </c>
    </row>
    <row r="742">
      <c r="A742" s="1">
        <v>3171574.0</v>
      </c>
      <c r="B742" s="1" t="s">
        <v>1684</v>
      </c>
      <c r="C742" s="1" t="s">
        <v>1679</v>
      </c>
      <c r="D742" s="1" t="s">
        <v>1685</v>
      </c>
      <c r="E742" s="1" t="s">
        <v>1686</v>
      </c>
      <c r="F742" s="1" t="s">
        <v>16</v>
      </c>
      <c r="G742" s="1" t="s">
        <v>17</v>
      </c>
      <c r="H742" s="1" t="s">
        <v>18</v>
      </c>
      <c r="I742" s="1" t="s">
        <v>59</v>
      </c>
      <c r="J742" s="1">
        <v>111.0</v>
      </c>
      <c r="K742" s="1">
        <v>72.0</v>
      </c>
      <c r="L742" s="1">
        <v>221.0</v>
      </c>
    </row>
    <row r="743">
      <c r="A743" s="1">
        <v>3173671.0</v>
      </c>
      <c r="B743" s="1" t="s">
        <v>1687</v>
      </c>
      <c r="C743" s="1" t="s">
        <v>1679</v>
      </c>
      <c r="D743" s="1" t="s">
        <v>1688</v>
      </c>
      <c r="E743" s="1" t="s">
        <v>1689</v>
      </c>
      <c r="F743" s="1" t="s">
        <v>32</v>
      </c>
      <c r="G743" s="1" t="s">
        <v>150</v>
      </c>
      <c r="H743" s="1" t="s">
        <v>18</v>
      </c>
      <c r="I743" s="1" t="s">
        <v>34</v>
      </c>
      <c r="J743" s="1">
        <v>15.0</v>
      </c>
      <c r="K743" s="1">
        <v>22.0</v>
      </c>
      <c r="L743" s="1">
        <v>600.0</v>
      </c>
    </row>
    <row r="744">
      <c r="A744" s="1">
        <v>3171768.0</v>
      </c>
      <c r="B744" s="1" t="s">
        <v>1690</v>
      </c>
      <c r="C744" s="1" t="s">
        <v>1679</v>
      </c>
      <c r="D744" s="1" t="s">
        <v>1688</v>
      </c>
      <c r="E744" s="1" t="s">
        <v>1691</v>
      </c>
      <c r="F744" s="1" t="s">
        <v>16</v>
      </c>
      <c r="G744" s="1" t="s">
        <v>17</v>
      </c>
      <c r="H744" s="1" t="s">
        <v>18</v>
      </c>
      <c r="I744" s="1" t="s">
        <v>19</v>
      </c>
      <c r="J744" s="1">
        <v>114.0</v>
      </c>
      <c r="K744" s="1">
        <v>79.0</v>
      </c>
      <c r="L744" s="1">
        <v>205.0</v>
      </c>
    </row>
    <row r="745">
      <c r="A745" s="1">
        <v>3174508.0</v>
      </c>
      <c r="B745" s="1" t="s">
        <v>1692</v>
      </c>
      <c r="C745" s="1" t="s">
        <v>1679</v>
      </c>
      <c r="D745" s="1" t="s">
        <v>1693</v>
      </c>
      <c r="E745" s="1" t="s">
        <v>1694</v>
      </c>
      <c r="F745" s="1" t="s">
        <v>16</v>
      </c>
      <c r="G745" s="1" t="s">
        <v>27</v>
      </c>
      <c r="H745" s="1" t="s">
        <v>18</v>
      </c>
      <c r="I745" s="1" t="s">
        <v>19</v>
      </c>
      <c r="J745" s="1">
        <v>200.0</v>
      </c>
      <c r="K745" s="1">
        <v>102.0</v>
      </c>
      <c r="L745" s="1">
        <v>247.0</v>
      </c>
    </row>
    <row r="746">
      <c r="A746" s="1">
        <v>3172516.0</v>
      </c>
      <c r="B746" s="1" t="s">
        <v>1695</v>
      </c>
      <c r="C746" s="1" t="s">
        <v>1679</v>
      </c>
      <c r="D746" s="1" t="s">
        <v>1680</v>
      </c>
      <c r="E746" s="1" t="s">
        <v>1696</v>
      </c>
      <c r="F746" s="1" t="s">
        <v>16</v>
      </c>
      <c r="G746" s="1" t="s">
        <v>17</v>
      </c>
      <c r="H746" s="1" t="s">
        <v>18</v>
      </c>
      <c r="I746" s="1" t="s">
        <v>59</v>
      </c>
      <c r="J746" s="1">
        <v>140.0</v>
      </c>
      <c r="K746" s="1">
        <v>53.0</v>
      </c>
      <c r="L746" s="1">
        <v>272.0</v>
      </c>
    </row>
    <row r="747">
      <c r="A747" s="1">
        <v>3172750.0</v>
      </c>
      <c r="B747" s="1" t="s">
        <v>1697</v>
      </c>
      <c r="C747" s="1" t="s">
        <v>1679</v>
      </c>
      <c r="D747" s="1" t="s">
        <v>1680</v>
      </c>
      <c r="E747" s="1" t="s">
        <v>1698</v>
      </c>
      <c r="F747" s="1" t="s">
        <v>55</v>
      </c>
      <c r="G747" s="1" t="s">
        <v>17</v>
      </c>
      <c r="H747" s="1" t="s">
        <v>18</v>
      </c>
      <c r="I747" s="1" t="s">
        <v>44</v>
      </c>
      <c r="J747" s="1">
        <v>75.0</v>
      </c>
      <c r="K747" s="1">
        <v>18.0</v>
      </c>
      <c r="L747" s="1">
        <v>56.0</v>
      </c>
    </row>
    <row r="748">
      <c r="A748" s="1">
        <v>3175407.0</v>
      </c>
      <c r="B748" s="1" t="s">
        <v>1699</v>
      </c>
      <c r="C748" s="1" t="s">
        <v>1679</v>
      </c>
      <c r="D748" s="1" t="s">
        <v>1700</v>
      </c>
      <c r="E748" s="1" t="s">
        <v>1701</v>
      </c>
      <c r="F748" s="1" t="s">
        <v>16</v>
      </c>
      <c r="G748" s="1" t="s">
        <v>27</v>
      </c>
      <c r="H748" s="1" t="s">
        <v>18</v>
      </c>
      <c r="I748" s="1" t="s">
        <v>19</v>
      </c>
      <c r="J748" s="1">
        <v>194.0</v>
      </c>
      <c r="K748" s="1">
        <v>109.0</v>
      </c>
      <c r="L748" s="1">
        <v>428.0</v>
      </c>
    </row>
    <row r="749">
      <c r="A749" s="1">
        <v>3172761.0</v>
      </c>
      <c r="B749" s="1" t="s">
        <v>1702</v>
      </c>
      <c r="C749" s="1" t="s">
        <v>1679</v>
      </c>
      <c r="D749" s="1" t="s">
        <v>1680</v>
      </c>
      <c r="E749" s="1" t="s">
        <v>1703</v>
      </c>
      <c r="F749" s="1" t="s">
        <v>16</v>
      </c>
      <c r="G749" s="1" t="s">
        <v>17</v>
      </c>
      <c r="H749" s="1" t="s">
        <v>28</v>
      </c>
      <c r="I749" s="1" t="s">
        <v>139</v>
      </c>
      <c r="J749" s="1">
        <v>86.0</v>
      </c>
      <c r="K749" s="1">
        <v>21.0</v>
      </c>
      <c r="L749" s="1">
        <v>194.0</v>
      </c>
    </row>
    <row r="750">
      <c r="A750" s="1">
        <v>3174525.0</v>
      </c>
      <c r="B750" s="1" t="s">
        <v>1704</v>
      </c>
      <c r="C750" s="1" t="s">
        <v>1679</v>
      </c>
      <c r="D750" s="1" t="s">
        <v>1693</v>
      </c>
      <c r="E750" s="1" t="s">
        <v>1705</v>
      </c>
      <c r="F750" s="1" t="s">
        <v>16</v>
      </c>
      <c r="G750" s="1" t="s">
        <v>23</v>
      </c>
      <c r="H750" s="1" t="s">
        <v>28</v>
      </c>
      <c r="I750" s="1" t="s">
        <v>139</v>
      </c>
      <c r="J750" s="1">
        <v>54.0</v>
      </c>
      <c r="K750" s="1">
        <v>23.0</v>
      </c>
      <c r="L750" s="1">
        <v>268.0</v>
      </c>
    </row>
    <row r="751">
      <c r="A751" s="1">
        <v>3174510.0</v>
      </c>
      <c r="B751" s="1" t="s">
        <v>1706</v>
      </c>
      <c r="C751" s="1" t="s">
        <v>1679</v>
      </c>
      <c r="D751" s="1" t="s">
        <v>1693</v>
      </c>
      <c r="E751" s="1" t="s">
        <v>1707</v>
      </c>
      <c r="F751" s="1" t="s">
        <v>16</v>
      </c>
      <c r="G751" s="1" t="s">
        <v>23</v>
      </c>
      <c r="H751" s="1" t="s">
        <v>18</v>
      </c>
      <c r="I751" s="1" t="s">
        <v>19</v>
      </c>
      <c r="J751" s="1">
        <v>50.0</v>
      </c>
      <c r="K751" s="1">
        <v>33.0</v>
      </c>
      <c r="L751" s="1">
        <v>126.0</v>
      </c>
    </row>
    <row r="752">
      <c r="A752" s="1">
        <v>3173543.0</v>
      </c>
      <c r="B752" s="1" t="s">
        <v>1708</v>
      </c>
      <c r="C752" s="1" t="s">
        <v>1679</v>
      </c>
      <c r="D752" s="1" t="s">
        <v>1688</v>
      </c>
      <c r="E752" s="1" t="s">
        <v>1709</v>
      </c>
      <c r="F752" s="1" t="s">
        <v>16</v>
      </c>
      <c r="G752" s="1" t="s">
        <v>27</v>
      </c>
      <c r="H752" s="1" t="s">
        <v>18</v>
      </c>
      <c r="I752" s="1" t="s">
        <v>59</v>
      </c>
      <c r="J752" s="1">
        <v>109.0</v>
      </c>
      <c r="K752" s="1">
        <v>75.0</v>
      </c>
      <c r="L752" s="1">
        <v>58.0</v>
      </c>
    </row>
    <row r="753">
      <c r="A753" s="1">
        <v>3171798.0</v>
      </c>
      <c r="B753" s="1" t="s">
        <v>1710</v>
      </c>
      <c r="C753" s="1" t="s">
        <v>1679</v>
      </c>
      <c r="D753" s="1" t="s">
        <v>1685</v>
      </c>
      <c r="E753" s="1" t="s">
        <v>1711</v>
      </c>
      <c r="F753" s="1" t="s">
        <v>16</v>
      </c>
      <c r="G753" s="1" t="s">
        <v>17</v>
      </c>
      <c r="H753" s="1" t="s">
        <v>18</v>
      </c>
      <c r="I753" s="1" t="s">
        <v>163</v>
      </c>
      <c r="J753" s="1">
        <v>103.0</v>
      </c>
      <c r="K753" s="1">
        <v>34.0</v>
      </c>
      <c r="L753" s="1">
        <v>98.0</v>
      </c>
    </row>
    <row r="754">
      <c r="A754" s="1">
        <v>3171724.0</v>
      </c>
      <c r="B754" s="1" t="s">
        <v>1712</v>
      </c>
      <c r="C754" s="1" t="s">
        <v>1679</v>
      </c>
      <c r="D754" s="1" t="s">
        <v>1685</v>
      </c>
      <c r="E754" s="1" t="s">
        <v>1713</v>
      </c>
      <c r="F754" s="1" t="s">
        <v>55</v>
      </c>
      <c r="G754" s="1" t="s">
        <v>27</v>
      </c>
      <c r="H754" s="1" t="s">
        <v>18</v>
      </c>
      <c r="I754" s="1" t="s">
        <v>19</v>
      </c>
      <c r="J754" s="1">
        <v>75.0</v>
      </c>
      <c r="K754" s="1">
        <v>44.0</v>
      </c>
      <c r="L754" s="1">
        <v>282.0</v>
      </c>
    </row>
    <row r="755">
      <c r="A755" s="1">
        <v>3174351.0</v>
      </c>
      <c r="B755" s="1" t="s">
        <v>1714</v>
      </c>
      <c r="C755" s="1" t="s">
        <v>1679</v>
      </c>
      <c r="D755" s="1" t="s">
        <v>1693</v>
      </c>
      <c r="E755" s="1" t="s">
        <v>1715</v>
      </c>
      <c r="F755" s="1" t="s">
        <v>16</v>
      </c>
      <c r="G755" s="1" t="s">
        <v>27</v>
      </c>
      <c r="H755" s="1" t="s">
        <v>18</v>
      </c>
      <c r="I755" s="1" t="s">
        <v>19</v>
      </c>
      <c r="J755" s="1">
        <v>183.0</v>
      </c>
      <c r="K755" s="1">
        <v>99.0</v>
      </c>
      <c r="L755" s="1">
        <v>957.0</v>
      </c>
    </row>
    <row r="756">
      <c r="A756" s="1">
        <v>3173696.0</v>
      </c>
      <c r="B756" s="1" t="s">
        <v>1716</v>
      </c>
      <c r="C756" s="1" t="s">
        <v>1679</v>
      </c>
      <c r="D756" s="1" t="s">
        <v>1688</v>
      </c>
      <c r="E756" s="1" t="s">
        <v>1717</v>
      </c>
      <c r="F756" s="1" t="s">
        <v>16</v>
      </c>
      <c r="G756" s="1" t="s">
        <v>17</v>
      </c>
      <c r="H756" s="1" t="s">
        <v>18</v>
      </c>
      <c r="I756" s="1" t="s">
        <v>44</v>
      </c>
      <c r="J756" s="1">
        <v>101.0</v>
      </c>
      <c r="K756" s="1">
        <v>65.0</v>
      </c>
      <c r="L756" s="1">
        <v>180.0</v>
      </c>
    </row>
    <row r="757">
      <c r="A757" s="1">
        <v>3175416.0</v>
      </c>
      <c r="B757" s="1" t="s">
        <v>1718</v>
      </c>
      <c r="C757" s="1" t="s">
        <v>1679</v>
      </c>
      <c r="D757" s="1" t="s">
        <v>1700</v>
      </c>
      <c r="E757" s="1" t="s">
        <v>1719</v>
      </c>
      <c r="F757" s="1" t="s">
        <v>16</v>
      </c>
      <c r="G757" s="1" t="s">
        <v>23</v>
      </c>
      <c r="H757" s="1" t="s">
        <v>28</v>
      </c>
      <c r="I757" s="1" t="s">
        <v>139</v>
      </c>
      <c r="J757" s="1">
        <v>57.0</v>
      </c>
      <c r="K757" s="1">
        <v>22.0</v>
      </c>
      <c r="L757" s="1">
        <v>95.0</v>
      </c>
    </row>
    <row r="758">
      <c r="A758" s="1">
        <v>3171802.0</v>
      </c>
      <c r="B758" s="1" t="s">
        <v>1720</v>
      </c>
      <c r="C758" s="1" t="s">
        <v>1679</v>
      </c>
      <c r="D758" s="1" t="s">
        <v>1685</v>
      </c>
      <c r="E758" s="1" t="s">
        <v>1721</v>
      </c>
      <c r="F758" s="1" t="s">
        <v>255</v>
      </c>
      <c r="G758" s="1" t="s">
        <v>17</v>
      </c>
      <c r="H758" s="1" t="s">
        <v>18</v>
      </c>
      <c r="I758" s="1" t="s">
        <v>44</v>
      </c>
      <c r="J758" s="1">
        <v>28.0</v>
      </c>
      <c r="K758" s="1">
        <v>21.0</v>
      </c>
      <c r="L758" s="1">
        <v>43.0</v>
      </c>
    </row>
    <row r="759">
      <c r="A759" s="1">
        <v>3172094.0</v>
      </c>
      <c r="B759" s="1" t="s">
        <v>1722</v>
      </c>
      <c r="C759" s="1" t="s">
        <v>1679</v>
      </c>
      <c r="D759" s="1" t="s">
        <v>1680</v>
      </c>
      <c r="E759" s="1" t="s">
        <v>1723</v>
      </c>
      <c r="F759" s="1" t="s">
        <v>16</v>
      </c>
      <c r="G759" s="1" t="s">
        <v>27</v>
      </c>
      <c r="H759" s="1" t="s">
        <v>18</v>
      </c>
      <c r="I759" s="1" t="s">
        <v>258</v>
      </c>
      <c r="J759" s="1">
        <v>201.0</v>
      </c>
      <c r="K759" s="1">
        <v>128.0</v>
      </c>
      <c r="L759" s="1">
        <v>433.0</v>
      </c>
    </row>
    <row r="760">
      <c r="A760" s="1">
        <v>3171789.0</v>
      </c>
      <c r="B760" s="1" t="s">
        <v>1724</v>
      </c>
      <c r="C760" s="1" t="s">
        <v>1679</v>
      </c>
      <c r="D760" s="1" t="s">
        <v>1685</v>
      </c>
      <c r="E760" s="1" t="s">
        <v>1725</v>
      </c>
      <c r="F760" s="1" t="s">
        <v>16</v>
      </c>
      <c r="G760" s="1" t="s">
        <v>27</v>
      </c>
      <c r="H760" s="1" t="s">
        <v>18</v>
      </c>
      <c r="I760" s="1" t="s">
        <v>44</v>
      </c>
      <c r="J760" s="1">
        <v>206.0</v>
      </c>
      <c r="K760" s="1">
        <v>114.0</v>
      </c>
      <c r="L760" s="1">
        <v>452.0</v>
      </c>
    </row>
    <row r="761">
      <c r="A761" s="1">
        <v>3175330.0</v>
      </c>
      <c r="B761" s="1" t="s">
        <v>1726</v>
      </c>
      <c r="C761" s="1" t="s">
        <v>1679</v>
      </c>
      <c r="D761" s="1" t="s">
        <v>1700</v>
      </c>
      <c r="E761" s="1" t="s">
        <v>1727</v>
      </c>
      <c r="F761" s="1" t="s">
        <v>16</v>
      </c>
      <c r="G761" s="1" t="s">
        <v>27</v>
      </c>
      <c r="H761" s="1" t="s">
        <v>18</v>
      </c>
      <c r="I761" s="1" t="s">
        <v>59</v>
      </c>
      <c r="J761" s="1">
        <v>200.0</v>
      </c>
      <c r="K761" s="1">
        <v>121.0</v>
      </c>
      <c r="L761" s="1">
        <v>553.0</v>
      </c>
    </row>
    <row r="762">
      <c r="A762" s="1">
        <v>3173697.0</v>
      </c>
      <c r="B762" s="1" t="s">
        <v>1728</v>
      </c>
      <c r="C762" s="1" t="s">
        <v>1679</v>
      </c>
      <c r="D762" s="1" t="s">
        <v>1688</v>
      </c>
      <c r="E762" s="1" t="s">
        <v>1729</v>
      </c>
      <c r="F762" s="1" t="s">
        <v>32</v>
      </c>
      <c r="G762" s="1" t="s">
        <v>27</v>
      </c>
      <c r="H762" s="1" t="s">
        <v>18</v>
      </c>
      <c r="I762" s="1" t="s">
        <v>95</v>
      </c>
      <c r="J762" s="1">
        <v>12.0</v>
      </c>
      <c r="K762" s="1">
        <v>20.0</v>
      </c>
      <c r="L762" s="1">
        <v>43.0</v>
      </c>
    </row>
    <row r="763">
      <c r="A763" s="1">
        <v>3172762.0</v>
      </c>
      <c r="B763" s="1" t="s">
        <v>1730</v>
      </c>
      <c r="C763" s="1" t="s">
        <v>1679</v>
      </c>
      <c r="D763" s="1" t="s">
        <v>1680</v>
      </c>
      <c r="E763" s="1" t="s">
        <v>1731</v>
      </c>
      <c r="F763" s="1" t="s">
        <v>16</v>
      </c>
      <c r="G763" s="1" t="s">
        <v>23</v>
      </c>
      <c r="H763" s="1" t="s">
        <v>18</v>
      </c>
      <c r="I763" s="1" t="s">
        <v>139</v>
      </c>
      <c r="J763" s="1">
        <v>54.0</v>
      </c>
      <c r="K763" s="1">
        <v>23.0</v>
      </c>
      <c r="L763" s="1">
        <v>264.0</v>
      </c>
    </row>
    <row r="764">
      <c r="A764" s="1">
        <v>3173014.0</v>
      </c>
      <c r="B764" s="1" t="s">
        <v>1732</v>
      </c>
      <c r="C764" s="1" t="s">
        <v>1679</v>
      </c>
      <c r="D764" s="1" t="s">
        <v>1688</v>
      </c>
      <c r="E764" s="1" t="s">
        <v>1733</v>
      </c>
      <c r="F764" s="1" t="s">
        <v>16</v>
      </c>
      <c r="G764" s="1" t="s">
        <v>150</v>
      </c>
      <c r="H764" s="1" t="s">
        <v>33</v>
      </c>
      <c r="I764" s="1" t="s">
        <v>411</v>
      </c>
      <c r="J764" s="1">
        <v>1542.0</v>
      </c>
      <c r="K764" s="1">
        <v>81.0</v>
      </c>
      <c r="L764" s="1">
        <v>6325.0</v>
      </c>
    </row>
    <row r="765">
      <c r="A765" s="1">
        <v>3174052.0</v>
      </c>
      <c r="B765" s="1" t="s">
        <v>1734</v>
      </c>
      <c r="C765" s="1" t="s">
        <v>1679</v>
      </c>
      <c r="D765" s="1" t="s">
        <v>1693</v>
      </c>
      <c r="E765" s="1" t="s">
        <v>1735</v>
      </c>
      <c r="F765" s="1" t="s">
        <v>16</v>
      </c>
      <c r="G765" s="1" t="s">
        <v>27</v>
      </c>
      <c r="H765" s="1" t="s">
        <v>18</v>
      </c>
      <c r="I765" s="1" t="s">
        <v>44</v>
      </c>
      <c r="J765" s="1">
        <v>224.0</v>
      </c>
      <c r="K765" s="1">
        <v>123.0</v>
      </c>
      <c r="L765" s="1">
        <v>801.0</v>
      </c>
    </row>
    <row r="766">
      <c r="A766" s="1">
        <v>3171511.0</v>
      </c>
      <c r="B766" s="1" t="s">
        <v>1736</v>
      </c>
      <c r="C766" s="1" t="s">
        <v>1679</v>
      </c>
      <c r="D766" s="1" t="s">
        <v>1685</v>
      </c>
      <c r="E766" s="1" t="s">
        <v>1737</v>
      </c>
      <c r="F766" s="1" t="s">
        <v>255</v>
      </c>
      <c r="G766" s="1" t="s">
        <v>27</v>
      </c>
      <c r="H766" s="1" t="s">
        <v>18</v>
      </c>
      <c r="I766" s="1" t="s">
        <v>44</v>
      </c>
      <c r="J766" s="1">
        <v>79.0</v>
      </c>
      <c r="K766" s="1">
        <v>56.0</v>
      </c>
      <c r="L766" s="1">
        <v>324.0</v>
      </c>
    </row>
    <row r="767">
      <c r="A767" s="1">
        <v>3175411.0</v>
      </c>
      <c r="B767" s="1" t="s">
        <v>1738</v>
      </c>
      <c r="C767" s="1" t="s">
        <v>1679</v>
      </c>
      <c r="D767" s="1" t="s">
        <v>1700</v>
      </c>
      <c r="E767" s="1" t="s">
        <v>1739</v>
      </c>
      <c r="F767" s="1" t="s">
        <v>16</v>
      </c>
      <c r="G767" s="1" t="s">
        <v>17</v>
      </c>
      <c r="H767" s="1" t="s">
        <v>18</v>
      </c>
      <c r="I767" s="1" t="s">
        <v>19</v>
      </c>
      <c r="J767" s="1">
        <v>107.0</v>
      </c>
      <c r="K767" s="1">
        <v>34.0</v>
      </c>
      <c r="L767" s="1">
        <v>244.0</v>
      </c>
    </row>
    <row r="768">
      <c r="A768" s="1">
        <v>3173116.0</v>
      </c>
      <c r="B768" s="1" t="s">
        <v>1740</v>
      </c>
      <c r="C768" s="1" t="s">
        <v>1679</v>
      </c>
      <c r="D768" s="1" t="s">
        <v>1688</v>
      </c>
      <c r="E768" s="1" t="s">
        <v>1741</v>
      </c>
      <c r="F768" s="1" t="s">
        <v>16</v>
      </c>
      <c r="G768" s="1" t="s">
        <v>23</v>
      </c>
      <c r="H768" s="1" t="s">
        <v>18</v>
      </c>
      <c r="I768" s="1" t="s">
        <v>59</v>
      </c>
      <c r="J768" s="1">
        <v>51.0</v>
      </c>
      <c r="K768" s="1">
        <v>40.0</v>
      </c>
      <c r="L768" s="1">
        <v>212.0</v>
      </c>
    </row>
    <row r="769">
      <c r="A769" s="1">
        <v>3171782.0</v>
      </c>
      <c r="B769" s="1" t="s">
        <v>1742</v>
      </c>
      <c r="C769" s="1" t="s">
        <v>1679</v>
      </c>
      <c r="D769" s="1" t="s">
        <v>1685</v>
      </c>
      <c r="E769" s="1" t="s">
        <v>1743</v>
      </c>
      <c r="F769" s="1" t="s">
        <v>16</v>
      </c>
      <c r="G769" s="1" t="s">
        <v>17</v>
      </c>
      <c r="H769" s="1" t="s">
        <v>18</v>
      </c>
      <c r="I769" s="1" t="s">
        <v>59</v>
      </c>
      <c r="J769" s="1">
        <v>114.0</v>
      </c>
      <c r="K769" s="1">
        <v>32.0</v>
      </c>
      <c r="L769" s="1">
        <v>132.0</v>
      </c>
    </row>
    <row r="770">
      <c r="A770" s="1">
        <v>3171632.0</v>
      </c>
      <c r="B770" s="1" t="s">
        <v>1744</v>
      </c>
      <c r="C770" s="1" t="s">
        <v>1679</v>
      </c>
      <c r="D770" s="1" t="s">
        <v>1685</v>
      </c>
      <c r="E770" s="1" t="s">
        <v>1745</v>
      </c>
      <c r="F770" s="1" t="s">
        <v>16</v>
      </c>
      <c r="G770" s="1" t="s">
        <v>17</v>
      </c>
      <c r="H770" s="1" t="s">
        <v>18</v>
      </c>
      <c r="I770" s="1" t="s">
        <v>59</v>
      </c>
      <c r="J770" s="1">
        <v>113.0</v>
      </c>
      <c r="K770" s="1">
        <v>34.0</v>
      </c>
      <c r="L770" s="1">
        <v>33.0</v>
      </c>
    </row>
    <row r="771">
      <c r="A771" s="1">
        <v>3174015.0</v>
      </c>
      <c r="B771" s="1" t="s">
        <v>1746</v>
      </c>
      <c r="C771" s="1" t="s">
        <v>1679</v>
      </c>
      <c r="D771" s="1" t="s">
        <v>1693</v>
      </c>
      <c r="E771" s="1" t="s">
        <v>1747</v>
      </c>
      <c r="F771" s="1" t="s">
        <v>16</v>
      </c>
      <c r="G771" s="1" t="s">
        <v>27</v>
      </c>
      <c r="H771" s="1" t="s">
        <v>18</v>
      </c>
      <c r="I771" s="1" t="s">
        <v>59</v>
      </c>
      <c r="J771" s="1">
        <v>206.0</v>
      </c>
      <c r="K771" s="1">
        <v>118.0</v>
      </c>
      <c r="L771" s="1">
        <v>627.0</v>
      </c>
    </row>
    <row r="772">
      <c r="A772" s="1">
        <v>3172013.0</v>
      </c>
      <c r="B772" s="1" t="s">
        <v>1748</v>
      </c>
      <c r="C772" s="1" t="s">
        <v>1679</v>
      </c>
      <c r="D772" s="1" t="s">
        <v>1680</v>
      </c>
      <c r="E772" s="1" t="s">
        <v>1749</v>
      </c>
      <c r="F772" s="1" t="s">
        <v>16</v>
      </c>
      <c r="G772" s="1" t="s">
        <v>150</v>
      </c>
      <c r="H772" s="1" t="s">
        <v>33</v>
      </c>
      <c r="I772" s="1" t="s">
        <v>411</v>
      </c>
      <c r="J772" s="1">
        <v>514.0</v>
      </c>
      <c r="K772" s="1">
        <v>131.0</v>
      </c>
      <c r="L772" s="1">
        <v>2216.0</v>
      </c>
    </row>
    <row r="773">
      <c r="A773" s="1">
        <v>3173704.0</v>
      </c>
      <c r="B773" s="1" t="s">
        <v>1750</v>
      </c>
      <c r="C773" s="1" t="s">
        <v>1679</v>
      </c>
      <c r="D773" s="1" t="s">
        <v>1688</v>
      </c>
      <c r="E773" s="1" t="s">
        <v>1751</v>
      </c>
      <c r="F773" s="1" t="s">
        <v>1752</v>
      </c>
      <c r="G773" s="1" t="s">
        <v>17</v>
      </c>
      <c r="H773" s="1" t="s">
        <v>18</v>
      </c>
      <c r="I773" s="1" t="s">
        <v>19</v>
      </c>
      <c r="J773" s="1">
        <v>19.0</v>
      </c>
      <c r="K773" s="1">
        <v>23.0</v>
      </c>
      <c r="L773" s="1">
        <v>25.0</v>
      </c>
    </row>
    <row r="774">
      <c r="A774" s="1">
        <v>3175031.0</v>
      </c>
      <c r="B774" s="1" t="s">
        <v>1753</v>
      </c>
      <c r="C774" s="1" t="s">
        <v>1679</v>
      </c>
      <c r="D774" s="1" t="s">
        <v>1700</v>
      </c>
      <c r="E774" s="1" t="s">
        <v>1754</v>
      </c>
      <c r="F774" s="1" t="s">
        <v>16</v>
      </c>
      <c r="G774" s="1" t="s">
        <v>27</v>
      </c>
      <c r="H774" s="1" t="s">
        <v>18</v>
      </c>
      <c r="I774" s="1" t="s">
        <v>249</v>
      </c>
      <c r="J774" s="1">
        <v>202.0</v>
      </c>
      <c r="K774" s="1">
        <v>48.0</v>
      </c>
      <c r="L774" s="1">
        <v>259.0</v>
      </c>
    </row>
    <row r="775">
      <c r="A775" s="1">
        <v>3172531.0</v>
      </c>
      <c r="B775" s="1" t="s">
        <v>1755</v>
      </c>
      <c r="C775" s="1" t="s">
        <v>1679</v>
      </c>
      <c r="D775" s="1" t="s">
        <v>1680</v>
      </c>
      <c r="E775" s="1" t="s">
        <v>1756</v>
      </c>
      <c r="F775" s="1" t="s">
        <v>16</v>
      </c>
      <c r="G775" s="1" t="s">
        <v>17</v>
      </c>
      <c r="H775" s="1" t="s">
        <v>18</v>
      </c>
      <c r="I775" s="1" t="s">
        <v>59</v>
      </c>
      <c r="J775" s="1">
        <v>100.0</v>
      </c>
      <c r="K775" s="1">
        <v>21.0</v>
      </c>
      <c r="L775" s="1">
        <v>221.0</v>
      </c>
    </row>
    <row r="776">
      <c r="A776" s="1">
        <v>3171450.0</v>
      </c>
      <c r="B776" s="1" t="s">
        <v>1757</v>
      </c>
      <c r="C776" s="1" t="s">
        <v>1679</v>
      </c>
      <c r="D776" s="1" t="s">
        <v>1685</v>
      </c>
      <c r="E776" s="1" t="s">
        <v>1758</v>
      </c>
      <c r="F776" s="1" t="s">
        <v>16</v>
      </c>
      <c r="G776" s="1" t="s">
        <v>17</v>
      </c>
      <c r="H776" s="1" t="s">
        <v>18</v>
      </c>
      <c r="I776" s="1" t="s">
        <v>59</v>
      </c>
      <c r="J776" s="1">
        <v>105.0</v>
      </c>
      <c r="K776" s="1">
        <v>75.0</v>
      </c>
      <c r="L776" s="1">
        <v>260.0</v>
      </c>
    </row>
    <row r="777">
      <c r="A777" s="1">
        <v>3171072.0</v>
      </c>
      <c r="B777" s="1" t="s">
        <v>1759</v>
      </c>
      <c r="C777" s="1" t="s">
        <v>1679</v>
      </c>
      <c r="D777" s="1" t="s">
        <v>1685</v>
      </c>
      <c r="E777" s="1" t="s">
        <v>1760</v>
      </c>
      <c r="F777" s="1" t="s">
        <v>16</v>
      </c>
      <c r="G777" s="1" t="s">
        <v>150</v>
      </c>
      <c r="H777" s="1" t="s">
        <v>33</v>
      </c>
      <c r="I777" s="1" t="s">
        <v>34</v>
      </c>
      <c r="J777" s="1">
        <v>267.0</v>
      </c>
      <c r="K777" s="1">
        <v>69.0</v>
      </c>
      <c r="L777" s="1">
        <v>867.0</v>
      </c>
    </row>
    <row r="778">
      <c r="A778" s="1">
        <v>3175413.0</v>
      </c>
      <c r="B778" s="1" t="s">
        <v>1761</v>
      </c>
      <c r="C778" s="1" t="s">
        <v>1679</v>
      </c>
      <c r="D778" s="1" t="s">
        <v>1700</v>
      </c>
      <c r="E778" s="1" t="s">
        <v>1762</v>
      </c>
      <c r="F778" s="1" t="s">
        <v>16</v>
      </c>
      <c r="G778" s="1" t="s">
        <v>23</v>
      </c>
      <c r="H778" s="1" t="s">
        <v>28</v>
      </c>
      <c r="I778" s="1" t="s">
        <v>139</v>
      </c>
      <c r="J778" s="1">
        <v>50.0</v>
      </c>
      <c r="K778" s="1">
        <v>42.0</v>
      </c>
      <c r="L778" s="1">
        <v>137.0</v>
      </c>
    </row>
    <row r="779">
      <c r="A779" s="1">
        <v>3173723.0</v>
      </c>
      <c r="B779" s="1" t="s">
        <v>1763</v>
      </c>
      <c r="C779" s="1" t="s">
        <v>1679</v>
      </c>
      <c r="D779" s="1" t="s">
        <v>1688</v>
      </c>
      <c r="E779" s="1" t="s">
        <v>1764</v>
      </c>
      <c r="F779" s="1" t="s">
        <v>16</v>
      </c>
      <c r="G779" s="1" t="s">
        <v>17</v>
      </c>
      <c r="H779" s="1" t="s">
        <v>18</v>
      </c>
      <c r="I779" s="1" t="s">
        <v>19</v>
      </c>
      <c r="J779" s="1">
        <v>100.0</v>
      </c>
      <c r="K779" s="1">
        <v>84.0</v>
      </c>
      <c r="L779" s="1">
        <v>0.0</v>
      </c>
    </row>
    <row r="780">
      <c r="A780" s="1">
        <v>3173612.0</v>
      </c>
      <c r="B780" s="1" t="s">
        <v>1765</v>
      </c>
      <c r="C780" s="1" t="s">
        <v>1679</v>
      </c>
      <c r="D780" s="1" t="s">
        <v>1688</v>
      </c>
      <c r="E780" s="1" t="s">
        <v>1766</v>
      </c>
      <c r="F780" s="1" t="s">
        <v>1752</v>
      </c>
      <c r="G780" s="1" t="s">
        <v>17</v>
      </c>
      <c r="H780" s="1" t="s">
        <v>18</v>
      </c>
      <c r="I780" s="1" t="s">
        <v>19</v>
      </c>
      <c r="J780" s="1">
        <v>15.0</v>
      </c>
      <c r="K780" s="1">
        <v>13.0</v>
      </c>
      <c r="L780" s="1">
        <v>44.0</v>
      </c>
    </row>
    <row r="781">
      <c r="A781" s="1">
        <v>3173698.0</v>
      </c>
      <c r="B781" s="1" t="s">
        <v>1767</v>
      </c>
      <c r="C781" s="1" t="s">
        <v>1679</v>
      </c>
      <c r="D781" s="1" t="s">
        <v>1688</v>
      </c>
      <c r="E781" s="1" t="s">
        <v>1768</v>
      </c>
      <c r="F781" s="1" t="s">
        <v>16</v>
      </c>
      <c r="G781" s="1" t="s">
        <v>23</v>
      </c>
      <c r="H781" s="1" t="s">
        <v>28</v>
      </c>
      <c r="I781" s="1" t="s">
        <v>139</v>
      </c>
      <c r="J781" s="1">
        <v>60.0</v>
      </c>
      <c r="K781" s="1">
        <v>26.0</v>
      </c>
      <c r="L781" s="1">
        <v>210.0</v>
      </c>
    </row>
    <row r="782">
      <c r="A782" s="1">
        <v>3171746.0</v>
      </c>
      <c r="B782" s="1" t="s">
        <v>1769</v>
      </c>
      <c r="C782" s="1" t="s">
        <v>1679</v>
      </c>
      <c r="D782" s="1" t="s">
        <v>1685</v>
      </c>
      <c r="E782" s="1" t="s">
        <v>1770</v>
      </c>
      <c r="F782" s="1" t="s">
        <v>16</v>
      </c>
      <c r="G782" s="1" t="s">
        <v>17</v>
      </c>
      <c r="H782" s="1" t="s">
        <v>18</v>
      </c>
      <c r="I782" s="1" t="s">
        <v>19</v>
      </c>
      <c r="J782" s="1">
        <v>101.0</v>
      </c>
      <c r="K782" s="1">
        <v>24.0</v>
      </c>
      <c r="L782" s="1">
        <v>122.0</v>
      </c>
    </row>
    <row r="783">
      <c r="A783" s="1">
        <v>3172748.0</v>
      </c>
      <c r="B783" s="1" t="s">
        <v>1771</v>
      </c>
      <c r="C783" s="1" t="s">
        <v>1679</v>
      </c>
      <c r="D783" s="1" t="s">
        <v>1680</v>
      </c>
      <c r="E783" s="1" t="s">
        <v>1772</v>
      </c>
      <c r="F783" s="1" t="s">
        <v>16</v>
      </c>
      <c r="G783" s="1" t="s">
        <v>17</v>
      </c>
      <c r="H783" s="1" t="s">
        <v>18</v>
      </c>
      <c r="I783" s="1" t="s">
        <v>44</v>
      </c>
      <c r="J783" s="1">
        <v>100.0</v>
      </c>
      <c r="K783" s="1">
        <v>40.0</v>
      </c>
      <c r="L783" s="1">
        <v>326.0</v>
      </c>
    </row>
    <row r="784">
      <c r="A784" s="1">
        <v>3174420.0</v>
      </c>
      <c r="B784" s="1" t="s">
        <v>1773</v>
      </c>
      <c r="C784" s="1" t="s">
        <v>1679</v>
      </c>
      <c r="D784" s="1" t="s">
        <v>1693</v>
      </c>
      <c r="E784" s="1" t="s">
        <v>1774</v>
      </c>
      <c r="F784" s="1" t="s">
        <v>16</v>
      </c>
      <c r="G784" s="1" t="s">
        <v>17</v>
      </c>
      <c r="H784" s="1" t="s">
        <v>18</v>
      </c>
      <c r="I784" s="1" t="s">
        <v>19</v>
      </c>
      <c r="J784" s="1">
        <v>102.0</v>
      </c>
      <c r="K784" s="1">
        <v>101.0</v>
      </c>
      <c r="L784" s="1">
        <v>212.0</v>
      </c>
    </row>
    <row r="785">
      <c r="A785" s="1">
        <v>3172206.0</v>
      </c>
      <c r="B785" s="1" t="s">
        <v>1775</v>
      </c>
      <c r="C785" s="1" t="s">
        <v>1679</v>
      </c>
      <c r="D785" s="1" t="s">
        <v>1680</v>
      </c>
      <c r="E785" s="1" t="s">
        <v>1776</v>
      </c>
      <c r="F785" s="1" t="s">
        <v>16</v>
      </c>
      <c r="G785" s="1" t="s">
        <v>27</v>
      </c>
      <c r="H785" s="1" t="s">
        <v>18</v>
      </c>
      <c r="I785" s="1" t="s">
        <v>19</v>
      </c>
      <c r="J785" s="1">
        <v>214.0</v>
      </c>
      <c r="K785" s="1">
        <v>81.0</v>
      </c>
      <c r="L785" s="1">
        <v>860.0</v>
      </c>
    </row>
    <row r="786">
      <c r="A786" s="1">
        <v>3175352.0</v>
      </c>
      <c r="B786" s="1" t="s">
        <v>1777</v>
      </c>
      <c r="C786" s="1" t="s">
        <v>1679</v>
      </c>
      <c r="D786" s="1" t="s">
        <v>1700</v>
      </c>
      <c r="E786" s="1" t="s">
        <v>1778</v>
      </c>
      <c r="F786" s="1" t="s">
        <v>16</v>
      </c>
      <c r="G786" s="1" t="s">
        <v>27</v>
      </c>
      <c r="H786" s="1" t="s">
        <v>18</v>
      </c>
      <c r="I786" s="1" t="s">
        <v>19</v>
      </c>
      <c r="J786" s="1">
        <v>200.0</v>
      </c>
      <c r="K786" s="1">
        <v>98.0</v>
      </c>
      <c r="L786" s="1">
        <v>1158.0</v>
      </c>
    </row>
    <row r="787">
      <c r="A787" s="1">
        <v>3171786.0</v>
      </c>
      <c r="B787" s="1" t="s">
        <v>1779</v>
      </c>
      <c r="C787" s="1" t="s">
        <v>1679</v>
      </c>
      <c r="D787" s="1" t="s">
        <v>1685</v>
      </c>
      <c r="E787" s="1" t="s">
        <v>1780</v>
      </c>
      <c r="F787" s="1" t="s">
        <v>16</v>
      </c>
      <c r="G787" s="1" t="s">
        <v>27</v>
      </c>
      <c r="H787" s="1" t="s">
        <v>18</v>
      </c>
      <c r="I787" s="1" t="s">
        <v>44</v>
      </c>
      <c r="J787" s="1">
        <v>260.0</v>
      </c>
      <c r="K787" s="1">
        <v>41.0</v>
      </c>
      <c r="L787" s="1">
        <v>959.0</v>
      </c>
    </row>
    <row r="788">
      <c r="A788" s="1">
        <v>3175414.0</v>
      </c>
      <c r="B788" s="1" t="s">
        <v>1781</v>
      </c>
      <c r="C788" s="1" t="s">
        <v>1679</v>
      </c>
      <c r="D788" s="1" t="s">
        <v>1700</v>
      </c>
      <c r="E788" s="1" t="s">
        <v>1782</v>
      </c>
      <c r="F788" s="1" t="s">
        <v>16</v>
      </c>
      <c r="G788" s="1" t="s">
        <v>17</v>
      </c>
      <c r="H788" s="1" t="s">
        <v>28</v>
      </c>
      <c r="I788" s="1" t="s">
        <v>139</v>
      </c>
      <c r="J788" s="1">
        <v>102.0</v>
      </c>
      <c r="K788" s="1">
        <v>51.0</v>
      </c>
      <c r="L788" s="1">
        <v>233.0</v>
      </c>
    </row>
    <row r="789">
      <c r="A789" s="1">
        <v>3173036.0</v>
      </c>
      <c r="B789" s="1" t="s">
        <v>1783</v>
      </c>
      <c r="C789" s="1" t="s">
        <v>1679</v>
      </c>
      <c r="D789" s="1" t="s">
        <v>1688</v>
      </c>
      <c r="E789" s="1" t="s">
        <v>1784</v>
      </c>
      <c r="F789" s="1" t="s">
        <v>16</v>
      </c>
      <c r="G789" s="1" t="s">
        <v>27</v>
      </c>
      <c r="H789" s="1" t="s">
        <v>33</v>
      </c>
      <c r="I789" s="1" t="s">
        <v>95</v>
      </c>
      <c r="J789" s="1">
        <v>217.0</v>
      </c>
      <c r="K789" s="1">
        <v>91.0</v>
      </c>
      <c r="L789" s="1">
        <v>705.0</v>
      </c>
    </row>
    <row r="790">
      <c r="A790" s="1">
        <v>3173441.0</v>
      </c>
      <c r="B790" s="1" t="s">
        <v>1785</v>
      </c>
      <c r="C790" s="1" t="s">
        <v>1679</v>
      </c>
      <c r="D790" s="1" t="s">
        <v>1688</v>
      </c>
      <c r="E790" s="1" t="s">
        <v>1786</v>
      </c>
      <c r="F790" s="1" t="s">
        <v>16</v>
      </c>
      <c r="G790" s="1" t="s">
        <v>17</v>
      </c>
      <c r="H790" s="1" t="s">
        <v>18</v>
      </c>
      <c r="I790" s="1" t="s">
        <v>59</v>
      </c>
      <c r="J790" s="1">
        <v>102.0</v>
      </c>
      <c r="K790" s="1">
        <v>76.0</v>
      </c>
      <c r="L790" s="1">
        <v>518.0</v>
      </c>
    </row>
    <row r="791">
      <c r="A791" s="1">
        <v>3171056.0</v>
      </c>
      <c r="B791" s="1" t="s">
        <v>1787</v>
      </c>
      <c r="C791" s="1" t="s">
        <v>1679</v>
      </c>
      <c r="D791" s="1" t="s">
        <v>1685</v>
      </c>
      <c r="E791" s="1" t="s">
        <v>1788</v>
      </c>
      <c r="F791" s="1" t="s">
        <v>1789</v>
      </c>
      <c r="G791" s="1" t="s">
        <v>150</v>
      </c>
      <c r="H791" s="1" t="s">
        <v>18</v>
      </c>
      <c r="I791" s="1" t="s">
        <v>44</v>
      </c>
      <c r="J791" s="1">
        <v>186.0</v>
      </c>
      <c r="K791" s="1">
        <v>89.0</v>
      </c>
      <c r="L791" s="1">
        <v>260.0</v>
      </c>
    </row>
    <row r="792">
      <c r="A792" s="1">
        <v>3171665.0</v>
      </c>
      <c r="B792" s="1" t="s">
        <v>1790</v>
      </c>
      <c r="C792" s="1" t="s">
        <v>1679</v>
      </c>
      <c r="D792" s="1" t="s">
        <v>1685</v>
      </c>
      <c r="E792" s="1" t="s">
        <v>1791</v>
      </c>
      <c r="F792" s="1" t="s">
        <v>16</v>
      </c>
      <c r="G792" s="1" t="s">
        <v>27</v>
      </c>
      <c r="H792" s="1" t="s">
        <v>18</v>
      </c>
      <c r="I792" s="1" t="s">
        <v>19</v>
      </c>
      <c r="J792" s="1">
        <v>215.0</v>
      </c>
      <c r="K792" s="1">
        <v>113.0</v>
      </c>
      <c r="L792" s="1">
        <v>437.0</v>
      </c>
    </row>
    <row r="793">
      <c r="A793" s="1">
        <v>3175408.0</v>
      </c>
      <c r="B793" s="1" t="s">
        <v>1792</v>
      </c>
      <c r="C793" s="1" t="s">
        <v>1679</v>
      </c>
      <c r="D793" s="1" t="s">
        <v>1700</v>
      </c>
      <c r="E793" s="1" t="s">
        <v>1793</v>
      </c>
      <c r="F793" s="1" t="s">
        <v>16</v>
      </c>
      <c r="G793" s="1" t="s">
        <v>17</v>
      </c>
      <c r="H793" s="1" t="s">
        <v>18</v>
      </c>
      <c r="I793" s="1" t="s">
        <v>44</v>
      </c>
      <c r="J793" s="1">
        <v>137.0</v>
      </c>
      <c r="K793" s="1">
        <v>35.0</v>
      </c>
      <c r="L793" s="1">
        <v>176.0</v>
      </c>
    </row>
    <row r="794">
      <c r="A794" s="1">
        <v>3174515.0</v>
      </c>
      <c r="B794" s="1" t="s">
        <v>1794</v>
      </c>
      <c r="C794" s="1" t="s">
        <v>1679</v>
      </c>
      <c r="D794" s="1" t="s">
        <v>1693</v>
      </c>
      <c r="E794" s="1" t="s">
        <v>1795</v>
      </c>
      <c r="F794" s="1" t="s">
        <v>272</v>
      </c>
      <c r="G794" s="1" t="s">
        <v>150</v>
      </c>
      <c r="H794" s="1" t="s">
        <v>18</v>
      </c>
      <c r="I794" s="1" t="s">
        <v>44</v>
      </c>
      <c r="J794" s="1">
        <v>25.0</v>
      </c>
      <c r="K794" s="1">
        <v>31.0</v>
      </c>
      <c r="L794" s="1">
        <v>242.0</v>
      </c>
    </row>
    <row r="795">
      <c r="A795" s="1">
        <v>3174030.0</v>
      </c>
      <c r="B795" s="1" t="s">
        <v>1796</v>
      </c>
      <c r="C795" s="1" t="s">
        <v>1679</v>
      </c>
      <c r="D795" s="1" t="s">
        <v>1693</v>
      </c>
      <c r="E795" s="1" t="s">
        <v>1797</v>
      </c>
      <c r="F795" s="1" t="s">
        <v>16</v>
      </c>
      <c r="G795" s="1" t="s">
        <v>17</v>
      </c>
      <c r="H795" s="1" t="s">
        <v>18</v>
      </c>
      <c r="I795" s="1" t="s">
        <v>59</v>
      </c>
      <c r="J795" s="1">
        <v>206.0</v>
      </c>
      <c r="K795" s="1">
        <v>34.0</v>
      </c>
      <c r="L795" s="1">
        <v>200.0</v>
      </c>
    </row>
    <row r="796">
      <c r="A796" s="1">
        <v>3172035.0</v>
      </c>
      <c r="B796" s="1" t="s">
        <v>1798</v>
      </c>
      <c r="C796" s="1" t="s">
        <v>1679</v>
      </c>
      <c r="D796" s="1" t="s">
        <v>1680</v>
      </c>
      <c r="E796" s="1" t="s">
        <v>1799</v>
      </c>
      <c r="F796" s="1" t="s">
        <v>16</v>
      </c>
      <c r="G796" s="1" t="s">
        <v>23</v>
      </c>
      <c r="H796" s="1" t="s">
        <v>18</v>
      </c>
      <c r="I796" s="1" t="s">
        <v>34</v>
      </c>
      <c r="J796" s="1">
        <v>154.0</v>
      </c>
      <c r="K796" s="1">
        <v>26.0</v>
      </c>
      <c r="L796" s="1">
        <v>144.0</v>
      </c>
    </row>
    <row r="797">
      <c r="A797" s="1">
        <v>3175064.0</v>
      </c>
      <c r="B797" s="1" t="s">
        <v>1800</v>
      </c>
      <c r="C797" s="1" t="s">
        <v>1679</v>
      </c>
      <c r="D797" s="1" t="s">
        <v>1700</v>
      </c>
      <c r="E797" s="1" t="s">
        <v>1801</v>
      </c>
      <c r="F797" s="1" t="s">
        <v>1802</v>
      </c>
      <c r="G797" s="1" t="s">
        <v>150</v>
      </c>
      <c r="H797" s="1" t="s">
        <v>33</v>
      </c>
      <c r="I797" s="1" t="s">
        <v>411</v>
      </c>
      <c r="J797" s="1">
        <v>146.0</v>
      </c>
      <c r="K797" s="1">
        <v>37.0</v>
      </c>
      <c r="L797" s="1">
        <v>743.0</v>
      </c>
    </row>
    <row r="798">
      <c r="A798" s="1">
        <v>3171785.0</v>
      </c>
      <c r="B798" s="1" t="s">
        <v>1803</v>
      </c>
      <c r="C798" s="1" t="s">
        <v>1679</v>
      </c>
      <c r="D798" s="1" t="s">
        <v>1685</v>
      </c>
      <c r="E798" s="1" t="s">
        <v>1804</v>
      </c>
      <c r="F798" s="1" t="s">
        <v>16</v>
      </c>
      <c r="G798" s="1" t="s">
        <v>17</v>
      </c>
      <c r="H798" s="1" t="s">
        <v>33</v>
      </c>
      <c r="I798" s="1" t="s">
        <v>65</v>
      </c>
      <c r="J798" s="1">
        <v>4.0</v>
      </c>
      <c r="K798" s="1">
        <v>55.0</v>
      </c>
      <c r="L798" s="1">
        <v>248.0</v>
      </c>
    </row>
    <row r="799">
      <c r="A799" s="1">
        <v>3171792.0</v>
      </c>
      <c r="B799" s="1" t="s">
        <v>1805</v>
      </c>
      <c r="C799" s="1" t="s">
        <v>1679</v>
      </c>
      <c r="D799" s="1" t="s">
        <v>1685</v>
      </c>
      <c r="E799" s="1" t="s">
        <v>1806</v>
      </c>
      <c r="F799" s="1" t="s">
        <v>16</v>
      </c>
      <c r="G799" s="1" t="s">
        <v>23</v>
      </c>
      <c r="H799" s="1" t="s">
        <v>28</v>
      </c>
      <c r="I799" s="1" t="s">
        <v>139</v>
      </c>
      <c r="J799" s="1">
        <v>50.0</v>
      </c>
      <c r="K799" s="1">
        <v>47.0</v>
      </c>
      <c r="L799" s="1">
        <v>87.0</v>
      </c>
    </row>
    <row r="800">
      <c r="A800" s="1">
        <v>3171804.0</v>
      </c>
      <c r="B800" s="1" t="s">
        <v>1807</v>
      </c>
      <c r="C800" s="1" t="s">
        <v>1679</v>
      </c>
      <c r="D800" s="1" t="s">
        <v>1685</v>
      </c>
      <c r="E800" s="1" t="s">
        <v>1808</v>
      </c>
      <c r="F800" s="1" t="s">
        <v>272</v>
      </c>
      <c r="G800" s="1" t="s">
        <v>17</v>
      </c>
      <c r="H800" s="1" t="s">
        <v>18</v>
      </c>
      <c r="I800" s="1" t="s">
        <v>19</v>
      </c>
      <c r="J800" s="1">
        <v>25.0</v>
      </c>
      <c r="K800" s="1">
        <v>27.0</v>
      </c>
      <c r="L800" s="1">
        <v>92.0</v>
      </c>
    </row>
    <row r="801">
      <c r="A801" s="1">
        <v>3172590.0</v>
      </c>
      <c r="B801" s="1" t="s">
        <v>1809</v>
      </c>
      <c r="C801" s="1" t="s">
        <v>1679</v>
      </c>
      <c r="D801" s="1" t="s">
        <v>1680</v>
      </c>
      <c r="E801" s="1" t="s">
        <v>1810</v>
      </c>
      <c r="F801" s="1" t="s">
        <v>16</v>
      </c>
      <c r="G801" s="1" t="s">
        <v>17</v>
      </c>
      <c r="H801" s="1" t="s">
        <v>18</v>
      </c>
      <c r="I801" s="1" t="s">
        <v>59</v>
      </c>
      <c r="J801" s="1">
        <v>100.0</v>
      </c>
      <c r="K801" s="1">
        <v>31.0</v>
      </c>
      <c r="L801" s="1">
        <v>177.0</v>
      </c>
    </row>
    <row r="802">
      <c r="A802" s="1">
        <v>3171801.0</v>
      </c>
      <c r="B802" s="1" t="s">
        <v>1811</v>
      </c>
      <c r="C802" s="1" t="s">
        <v>1679</v>
      </c>
      <c r="D802" s="1" t="s">
        <v>1685</v>
      </c>
      <c r="E802" s="1" t="s">
        <v>1812</v>
      </c>
      <c r="F802" s="1" t="s">
        <v>16</v>
      </c>
      <c r="G802" s="1" t="s">
        <v>23</v>
      </c>
      <c r="H802" s="1" t="s">
        <v>28</v>
      </c>
      <c r="I802" s="1" t="s">
        <v>139</v>
      </c>
      <c r="J802" s="1">
        <v>58.0</v>
      </c>
      <c r="K802" s="1">
        <v>16.0</v>
      </c>
      <c r="L802" s="1">
        <v>215.0</v>
      </c>
    </row>
    <row r="803">
      <c r="A803" s="1">
        <v>3175418.0</v>
      </c>
      <c r="B803" s="1" t="s">
        <v>1813</v>
      </c>
      <c r="C803" s="1" t="s">
        <v>1679</v>
      </c>
      <c r="D803" s="1" t="s">
        <v>1700</v>
      </c>
      <c r="E803" s="1" t="s">
        <v>1814</v>
      </c>
      <c r="F803" s="1" t="s">
        <v>16</v>
      </c>
      <c r="G803" s="1" t="s">
        <v>27</v>
      </c>
      <c r="H803" s="1" t="s">
        <v>18</v>
      </c>
      <c r="I803" s="1" t="s">
        <v>1815</v>
      </c>
      <c r="J803" s="1">
        <v>136.0</v>
      </c>
      <c r="K803" s="1">
        <v>36.0</v>
      </c>
      <c r="L803" s="1">
        <v>1.0</v>
      </c>
    </row>
    <row r="804">
      <c r="A804" s="1">
        <v>3171023.0</v>
      </c>
      <c r="B804" s="1" t="s">
        <v>1816</v>
      </c>
      <c r="C804" s="1" t="s">
        <v>1679</v>
      </c>
      <c r="D804" s="1" t="s">
        <v>1685</v>
      </c>
      <c r="E804" s="1" t="s">
        <v>1817</v>
      </c>
      <c r="F804" s="1" t="s">
        <v>16</v>
      </c>
      <c r="G804" s="1" t="s">
        <v>27</v>
      </c>
      <c r="H804" s="1" t="s">
        <v>18</v>
      </c>
      <c r="I804" s="1" t="s">
        <v>113</v>
      </c>
      <c r="J804" s="1">
        <v>228.0</v>
      </c>
      <c r="K804" s="1">
        <v>65.0</v>
      </c>
      <c r="L804" s="1">
        <v>962.0</v>
      </c>
    </row>
    <row r="805">
      <c r="A805" s="1">
        <v>3172759.0</v>
      </c>
      <c r="B805" s="1" t="s">
        <v>1818</v>
      </c>
      <c r="C805" s="1" t="s">
        <v>1679</v>
      </c>
      <c r="D805" s="1" t="s">
        <v>1680</v>
      </c>
      <c r="E805" s="1" t="s">
        <v>1819</v>
      </c>
      <c r="F805" s="1" t="s">
        <v>16</v>
      </c>
      <c r="G805" s="1" t="s">
        <v>17</v>
      </c>
      <c r="H805" s="1" t="s">
        <v>18</v>
      </c>
      <c r="I805" s="1" t="s">
        <v>19</v>
      </c>
      <c r="J805" s="1">
        <v>119.0</v>
      </c>
      <c r="K805" s="1">
        <v>41.0</v>
      </c>
      <c r="L805" s="1">
        <v>626.0</v>
      </c>
    </row>
    <row r="806">
      <c r="A806" s="1">
        <v>3171504.0</v>
      </c>
      <c r="B806" s="1" t="s">
        <v>1820</v>
      </c>
      <c r="C806" s="1" t="s">
        <v>1679</v>
      </c>
      <c r="D806" s="1" t="s">
        <v>1685</v>
      </c>
      <c r="E806" s="1" t="s">
        <v>1821</v>
      </c>
      <c r="F806" s="1" t="s">
        <v>16</v>
      </c>
      <c r="G806" s="1" t="s">
        <v>27</v>
      </c>
      <c r="H806" s="1" t="s">
        <v>18</v>
      </c>
      <c r="I806" s="1" t="s">
        <v>19</v>
      </c>
      <c r="J806" s="1">
        <v>230.0</v>
      </c>
      <c r="K806" s="1">
        <v>138.0</v>
      </c>
      <c r="L806" s="1">
        <v>960.0</v>
      </c>
    </row>
    <row r="807">
      <c r="A807" s="1">
        <v>3173634.0</v>
      </c>
      <c r="B807" s="1" t="s">
        <v>1822</v>
      </c>
      <c r="C807" s="1" t="s">
        <v>1679</v>
      </c>
      <c r="D807" s="1" t="s">
        <v>1688</v>
      </c>
      <c r="E807" s="1" t="s">
        <v>1823</v>
      </c>
      <c r="F807" s="1" t="s">
        <v>255</v>
      </c>
      <c r="G807" s="1" t="s">
        <v>17</v>
      </c>
      <c r="H807" s="1" t="s">
        <v>18</v>
      </c>
      <c r="I807" s="1" t="s">
        <v>59</v>
      </c>
      <c r="J807" s="1">
        <v>25.0</v>
      </c>
      <c r="K807" s="1">
        <v>16.0</v>
      </c>
      <c r="L807" s="1">
        <v>27.0</v>
      </c>
    </row>
    <row r="808">
      <c r="A808" s="1">
        <v>3101002.0</v>
      </c>
      <c r="B808" s="1" t="s">
        <v>1824</v>
      </c>
      <c r="C808" s="1" t="s">
        <v>1679</v>
      </c>
      <c r="D808" s="1" t="s">
        <v>1825</v>
      </c>
      <c r="E808" s="1" t="s">
        <v>1826</v>
      </c>
      <c r="F808" s="1" t="s">
        <v>1827</v>
      </c>
      <c r="G808" s="1" t="s">
        <v>16</v>
      </c>
      <c r="H808" s="1" t="s">
        <v>23</v>
      </c>
      <c r="I808" s="1" t="s">
        <v>28</v>
      </c>
      <c r="J808" s="1">
        <v>1966.0</v>
      </c>
      <c r="K808" s="1">
        <v>50.0</v>
      </c>
      <c r="L808" s="1">
        <v>24.0</v>
      </c>
    </row>
    <row r="809">
      <c r="A809" s="1">
        <v>3174542.0</v>
      </c>
      <c r="B809" s="1" t="s">
        <v>1828</v>
      </c>
      <c r="C809" s="1" t="s">
        <v>1679</v>
      </c>
      <c r="D809" s="1" t="s">
        <v>1693</v>
      </c>
      <c r="E809" s="1" t="s">
        <v>1829</v>
      </c>
      <c r="F809" s="1" t="s">
        <v>16</v>
      </c>
      <c r="G809" s="1" t="s">
        <v>23</v>
      </c>
      <c r="H809" s="1" t="s">
        <v>18</v>
      </c>
      <c r="I809" s="1" t="s">
        <v>19</v>
      </c>
      <c r="J809" s="1">
        <v>59.0</v>
      </c>
      <c r="K809" s="1">
        <v>69.0</v>
      </c>
      <c r="L809" s="1">
        <v>0.0</v>
      </c>
    </row>
    <row r="810">
      <c r="A810" s="1">
        <v>3174453.0</v>
      </c>
      <c r="B810" s="1" t="s">
        <v>1830</v>
      </c>
      <c r="C810" s="1" t="s">
        <v>1679</v>
      </c>
      <c r="D810" s="1" t="s">
        <v>1693</v>
      </c>
      <c r="E810" s="1" t="s">
        <v>1831</v>
      </c>
      <c r="F810" s="1" t="s">
        <v>16</v>
      </c>
      <c r="G810" s="1" t="s">
        <v>17</v>
      </c>
      <c r="H810" s="1" t="s">
        <v>18</v>
      </c>
      <c r="I810" s="1" t="s">
        <v>59</v>
      </c>
      <c r="J810" s="1">
        <v>145.0</v>
      </c>
      <c r="K810" s="1">
        <v>36.0</v>
      </c>
      <c r="L810" s="1">
        <v>213.0</v>
      </c>
    </row>
    <row r="811">
      <c r="A811" s="1">
        <v>3172758.0</v>
      </c>
      <c r="B811" s="1" t="s">
        <v>1832</v>
      </c>
      <c r="C811" s="1" t="s">
        <v>1679</v>
      </c>
      <c r="D811" s="1" t="s">
        <v>1680</v>
      </c>
      <c r="E811" s="1" t="s">
        <v>1833</v>
      </c>
      <c r="F811" s="1" t="s">
        <v>255</v>
      </c>
      <c r="G811" s="1" t="s">
        <v>150</v>
      </c>
      <c r="H811" s="1" t="s">
        <v>18</v>
      </c>
      <c r="I811" s="1" t="s">
        <v>44</v>
      </c>
      <c r="J811" s="1">
        <v>154.0</v>
      </c>
      <c r="K811" s="1">
        <v>79.0</v>
      </c>
      <c r="L811" s="1">
        <v>300.0</v>
      </c>
    </row>
    <row r="812">
      <c r="A812" s="1">
        <v>3172301.0</v>
      </c>
      <c r="B812" s="1" t="s">
        <v>1834</v>
      </c>
      <c r="C812" s="1" t="s">
        <v>1679</v>
      </c>
      <c r="D812" s="1" t="s">
        <v>1680</v>
      </c>
      <c r="E812" s="1" t="s">
        <v>1835</v>
      </c>
      <c r="F812" s="1" t="s">
        <v>255</v>
      </c>
      <c r="G812" s="1" t="s">
        <v>17</v>
      </c>
      <c r="H812" s="1" t="s">
        <v>18</v>
      </c>
      <c r="I812" s="1" t="s">
        <v>59</v>
      </c>
      <c r="J812" s="1">
        <v>35.0</v>
      </c>
      <c r="K812" s="1">
        <v>21.0</v>
      </c>
      <c r="L812" s="1">
        <v>81.0</v>
      </c>
    </row>
    <row r="813">
      <c r="A813" s="1">
        <v>3171784.0</v>
      </c>
      <c r="B813" s="1" t="s">
        <v>1836</v>
      </c>
      <c r="C813" s="1" t="s">
        <v>1679</v>
      </c>
      <c r="D813" s="1" t="s">
        <v>1685</v>
      </c>
      <c r="E813" s="1" t="s">
        <v>1837</v>
      </c>
      <c r="F813" s="1" t="s">
        <v>16</v>
      </c>
      <c r="G813" s="1" t="s">
        <v>17</v>
      </c>
      <c r="H813" s="1" t="s">
        <v>18</v>
      </c>
      <c r="I813" s="1" t="s">
        <v>44</v>
      </c>
      <c r="J813" s="1">
        <v>101.0</v>
      </c>
      <c r="K813" s="1">
        <v>27.0</v>
      </c>
      <c r="L813" s="1">
        <v>138.0</v>
      </c>
    </row>
    <row r="814">
      <c r="A814" s="1">
        <v>3175374.0</v>
      </c>
      <c r="B814" s="1" t="s">
        <v>1838</v>
      </c>
      <c r="C814" s="1" t="s">
        <v>1679</v>
      </c>
      <c r="D814" s="1" t="s">
        <v>1700</v>
      </c>
      <c r="E814" s="1" t="s">
        <v>1839</v>
      </c>
      <c r="F814" s="1" t="s">
        <v>16</v>
      </c>
      <c r="G814" s="1" t="s">
        <v>17</v>
      </c>
      <c r="H814" s="1" t="s">
        <v>18</v>
      </c>
      <c r="I814" s="1" t="s">
        <v>19</v>
      </c>
      <c r="J814" s="1">
        <v>104.0</v>
      </c>
      <c r="K814" s="1">
        <v>69.0</v>
      </c>
      <c r="L814" s="1">
        <v>142.0</v>
      </c>
    </row>
    <row r="815">
      <c r="A815" s="1">
        <v>3173051.0</v>
      </c>
      <c r="B815" s="1" t="s">
        <v>1840</v>
      </c>
      <c r="C815" s="1" t="s">
        <v>1679</v>
      </c>
      <c r="D815" s="1" t="s">
        <v>1688</v>
      </c>
      <c r="E815" s="1" t="s">
        <v>1841</v>
      </c>
      <c r="F815" s="1" t="s">
        <v>16</v>
      </c>
      <c r="G815" s="1" t="s">
        <v>27</v>
      </c>
      <c r="H815" s="1" t="s">
        <v>18</v>
      </c>
      <c r="I815" s="1" t="s">
        <v>249</v>
      </c>
      <c r="J815" s="1">
        <v>250.0</v>
      </c>
      <c r="K815" s="1">
        <v>119.0</v>
      </c>
      <c r="L815" s="1">
        <v>304.0</v>
      </c>
    </row>
    <row r="816">
      <c r="A816" s="1">
        <v>3173506.0</v>
      </c>
      <c r="B816" s="1" t="s">
        <v>1842</v>
      </c>
      <c r="C816" s="1" t="s">
        <v>1679</v>
      </c>
      <c r="D816" s="1" t="s">
        <v>1688</v>
      </c>
      <c r="E816" s="1" t="s">
        <v>1843</v>
      </c>
      <c r="F816" s="1" t="s">
        <v>16</v>
      </c>
      <c r="G816" s="1" t="s">
        <v>27</v>
      </c>
      <c r="H816" s="1" t="s">
        <v>18</v>
      </c>
      <c r="I816" s="1" t="s">
        <v>59</v>
      </c>
      <c r="J816" s="1">
        <v>204.0</v>
      </c>
      <c r="K816" s="1">
        <v>189.0</v>
      </c>
      <c r="L816" s="1">
        <v>198.0</v>
      </c>
    </row>
    <row r="817">
      <c r="A817" s="1">
        <v>3171691.0</v>
      </c>
      <c r="B817" s="1" t="s">
        <v>1844</v>
      </c>
      <c r="C817" s="1" t="s">
        <v>1679</v>
      </c>
      <c r="D817" s="1" t="s">
        <v>1685</v>
      </c>
      <c r="E817" s="1" t="s">
        <v>1845</v>
      </c>
      <c r="F817" s="1" t="s">
        <v>32</v>
      </c>
      <c r="G817" s="1" t="s">
        <v>27</v>
      </c>
      <c r="H817" s="1" t="s">
        <v>18</v>
      </c>
      <c r="I817" s="1" t="s">
        <v>59</v>
      </c>
      <c r="J817" s="1">
        <v>3.0</v>
      </c>
      <c r="K817" s="1">
        <v>20.0</v>
      </c>
      <c r="L817" s="1">
        <v>75.0</v>
      </c>
    </row>
    <row r="818">
      <c r="A818" s="1">
        <v>3174063.0</v>
      </c>
      <c r="B818" s="1" t="s">
        <v>1846</v>
      </c>
      <c r="C818" s="1" t="s">
        <v>1679</v>
      </c>
      <c r="D818" s="1" t="s">
        <v>1693</v>
      </c>
      <c r="E818" s="1" t="s">
        <v>1847</v>
      </c>
      <c r="F818" s="1" t="s">
        <v>1789</v>
      </c>
      <c r="G818" s="1" t="s">
        <v>150</v>
      </c>
      <c r="H818" s="1" t="s">
        <v>33</v>
      </c>
      <c r="I818" s="1" t="s">
        <v>411</v>
      </c>
      <c r="J818" s="1">
        <v>350.0</v>
      </c>
      <c r="K818" s="1">
        <v>96.0</v>
      </c>
      <c r="L818" s="1">
        <v>1268.0</v>
      </c>
    </row>
    <row r="819">
      <c r="A819" s="1">
        <v>3171790.0</v>
      </c>
      <c r="B819" s="1" t="s">
        <v>1848</v>
      </c>
      <c r="C819" s="1" t="s">
        <v>1679</v>
      </c>
      <c r="D819" s="1" t="s">
        <v>1685</v>
      </c>
      <c r="E819" s="1" t="s">
        <v>1849</v>
      </c>
      <c r="F819" s="1" t="s">
        <v>16</v>
      </c>
      <c r="G819" s="1" t="s">
        <v>17</v>
      </c>
      <c r="H819" s="1" t="s">
        <v>28</v>
      </c>
      <c r="I819" s="1" t="s">
        <v>139</v>
      </c>
      <c r="J819" s="1">
        <v>100.0</v>
      </c>
      <c r="K819" s="1">
        <v>26.0</v>
      </c>
      <c r="L819" s="1">
        <v>262.0</v>
      </c>
    </row>
    <row r="820">
      <c r="A820" s="1">
        <v>3172061.0</v>
      </c>
      <c r="B820" s="1" t="s">
        <v>1850</v>
      </c>
      <c r="C820" s="1" t="s">
        <v>1679</v>
      </c>
      <c r="D820" s="1" t="s">
        <v>1680</v>
      </c>
      <c r="E820" s="1" t="s">
        <v>1851</v>
      </c>
      <c r="F820" s="1" t="s">
        <v>16</v>
      </c>
      <c r="G820" s="1" t="s">
        <v>27</v>
      </c>
      <c r="H820" s="1" t="s">
        <v>33</v>
      </c>
      <c r="I820" s="1" t="s">
        <v>563</v>
      </c>
      <c r="J820" s="1">
        <v>203.0</v>
      </c>
      <c r="K820" s="1">
        <v>122.0</v>
      </c>
      <c r="L820" s="1">
        <v>725.0</v>
      </c>
    </row>
    <row r="821">
      <c r="A821" s="1">
        <v>3172137.0</v>
      </c>
      <c r="B821" s="1" t="s">
        <v>1852</v>
      </c>
      <c r="C821" s="1" t="s">
        <v>1679</v>
      </c>
      <c r="D821" s="1" t="s">
        <v>1680</v>
      </c>
      <c r="E821" s="1" t="s">
        <v>1853</v>
      </c>
      <c r="F821" s="1" t="s">
        <v>55</v>
      </c>
      <c r="G821" s="1" t="s">
        <v>17</v>
      </c>
      <c r="H821" s="1" t="s">
        <v>18</v>
      </c>
      <c r="I821" s="1" t="s">
        <v>19</v>
      </c>
      <c r="J821" s="1">
        <v>40.0</v>
      </c>
      <c r="K821" s="1">
        <v>26.0</v>
      </c>
      <c r="L821" s="1">
        <v>49.0</v>
      </c>
    </row>
    <row r="822">
      <c r="A822" s="1">
        <v>3174522.0</v>
      </c>
      <c r="B822" s="1" t="s">
        <v>1854</v>
      </c>
      <c r="C822" s="1" t="s">
        <v>1679</v>
      </c>
      <c r="D822" s="1" t="s">
        <v>1693</v>
      </c>
      <c r="E822" s="1" t="s">
        <v>1855</v>
      </c>
      <c r="F822" s="1" t="s">
        <v>16</v>
      </c>
      <c r="G822" s="1" t="s">
        <v>27</v>
      </c>
      <c r="H822" s="1" t="s">
        <v>18</v>
      </c>
      <c r="I822" s="1" t="s">
        <v>19</v>
      </c>
      <c r="J822" s="1">
        <v>200.0</v>
      </c>
      <c r="K822" s="1">
        <v>94.0</v>
      </c>
      <c r="L822" s="1">
        <v>245.0</v>
      </c>
    </row>
    <row r="823">
      <c r="A823" s="1">
        <v>3172769.0</v>
      </c>
      <c r="B823" s="1" t="s">
        <v>1856</v>
      </c>
      <c r="C823" s="1" t="s">
        <v>1679</v>
      </c>
      <c r="D823" s="1" t="s">
        <v>1680</v>
      </c>
      <c r="E823" s="1" t="s">
        <v>1857</v>
      </c>
      <c r="F823" s="1" t="s">
        <v>16</v>
      </c>
      <c r="G823" s="1" t="s">
        <v>17</v>
      </c>
      <c r="H823" s="1" t="s">
        <v>18</v>
      </c>
      <c r="I823" s="1" t="s">
        <v>44</v>
      </c>
      <c r="J823" s="1">
        <v>95.0</v>
      </c>
      <c r="K823" s="1">
        <v>25.0</v>
      </c>
      <c r="L823" s="1">
        <v>31.0</v>
      </c>
    </row>
    <row r="824">
      <c r="A824" s="1">
        <v>3175304.0</v>
      </c>
      <c r="B824" s="1" t="s">
        <v>1858</v>
      </c>
      <c r="C824" s="1" t="s">
        <v>1679</v>
      </c>
      <c r="D824" s="1" t="s">
        <v>1700</v>
      </c>
      <c r="E824" s="1" t="s">
        <v>1859</v>
      </c>
      <c r="F824" s="1" t="s">
        <v>16</v>
      </c>
      <c r="G824" s="1" t="s">
        <v>17</v>
      </c>
      <c r="H824" s="1" t="s">
        <v>18</v>
      </c>
      <c r="I824" s="1" t="s">
        <v>19</v>
      </c>
      <c r="J824" s="1">
        <v>104.0</v>
      </c>
      <c r="K824" s="1">
        <v>114.0</v>
      </c>
      <c r="L824" s="1">
        <v>241.0</v>
      </c>
    </row>
    <row r="825">
      <c r="A825" s="1">
        <v>3172724.0</v>
      </c>
      <c r="B825" s="1" t="s">
        <v>1860</v>
      </c>
      <c r="C825" s="1" t="s">
        <v>1679</v>
      </c>
      <c r="D825" s="1" t="s">
        <v>1680</v>
      </c>
      <c r="E825" s="1" t="s">
        <v>1861</v>
      </c>
      <c r="F825" s="1" t="s">
        <v>16</v>
      </c>
      <c r="G825" s="1" t="s">
        <v>27</v>
      </c>
      <c r="H825" s="1" t="s">
        <v>33</v>
      </c>
      <c r="I825" s="1" t="s">
        <v>44</v>
      </c>
      <c r="J825" s="1">
        <v>230.0</v>
      </c>
      <c r="K825" s="1">
        <v>82.0</v>
      </c>
      <c r="L825" s="1">
        <v>810.0</v>
      </c>
    </row>
    <row r="826">
      <c r="A826" s="1">
        <v>3171045.0</v>
      </c>
      <c r="B826" s="1" t="s">
        <v>1862</v>
      </c>
      <c r="C826" s="1" t="s">
        <v>1679</v>
      </c>
      <c r="D826" s="1" t="s">
        <v>1685</v>
      </c>
      <c r="E826" s="1" t="s">
        <v>1863</v>
      </c>
      <c r="F826" s="1" t="s">
        <v>16</v>
      </c>
      <c r="G826" s="1" t="s">
        <v>17</v>
      </c>
      <c r="H826" s="1" t="s">
        <v>18</v>
      </c>
      <c r="I826" s="1" t="s">
        <v>59</v>
      </c>
      <c r="J826" s="1">
        <v>132.0</v>
      </c>
      <c r="K826" s="1">
        <v>97.0</v>
      </c>
      <c r="L826" s="1">
        <v>520.0</v>
      </c>
    </row>
    <row r="827">
      <c r="A827" s="1">
        <v>3171783.0</v>
      </c>
      <c r="B827" s="1" t="s">
        <v>1864</v>
      </c>
      <c r="C827" s="1" t="s">
        <v>1679</v>
      </c>
      <c r="D827" s="1" t="s">
        <v>1685</v>
      </c>
      <c r="E827" s="1" t="s">
        <v>1865</v>
      </c>
      <c r="F827" s="1" t="s">
        <v>55</v>
      </c>
      <c r="G827" s="1" t="s">
        <v>27</v>
      </c>
      <c r="H827" s="1" t="s">
        <v>18</v>
      </c>
      <c r="I827" s="1" t="s">
        <v>44</v>
      </c>
      <c r="J827" s="1">
        <v>72.0</v>
      </c>
      <c r="K827" s="1">
        <v>42.0</v>
      </c>
      <c r="L827" s="1">
        <v>445.0</v>
      </c>
    </row>
    <row r="828">
      <c r="A828" s="1">
        <v>3174519.0</v>
      </c>
      <c r="B828" s="1" t="s">
        <v>1866</v>
      </c>
      <c r="C828" s="1" t="s">
        <v>1679</v>
      </c>
      <c r="D828" s="1" t="s">
        <v>1693</v>
      </c>
      <c r="E828" s="1" t="s">
        <v>1867</v>
      </c>
      <c r="F828" s="1" t="s">
        <v>16</v>
      </c>
      <c r="G828" s="1" t="s">
        <v>17</v>
      </c>
      <c r="H828" s="1" t="s">
        <v>18</v>
      </c>
      <c r="I828" s="1" t="s">
        <v>44</v>
      </c>
      <c r="J828" s="1">
        <v>92.0</v>
      </c>
      <c r="K828" s="1">
        <v>75.0</v>
      </c>
      <c r="L828" s="1">
        <v>465.0</v>
      </c>
    </row>
    <row r="829">
      <c r="A829" s="1">
        <v>3173699.0</v>
      </c>
      <c r="B829" s="1" t="s">
        <v>1868</v>
      </c>
      <c r="C829" s="1" t="s">
        <v>1679</v>
      </c>
      <c r="D829" s="1" t="s">
        <v>1688</v>
      </c>
      <c r="E829" s="1" t="s">
        <v>1869</v>
      </c>
      <c r="F829" s="1" t="s">
        <v>16</v>
      </c>
      <c r="G829" s="1" t="s">
        <v>23</v>
      </c>
      <c r="H829" s="1" t="s">
        <v>28</v>
      </c>
      <c r="I829" s="1" t="s">
        <v>139</v>
      </c>
      <c r="J829" s="1">
        <v>50.0</v>
      </c>
      <c r="K829" s="1">
        <v>26.0</v>
      </c>
      <c r="L829" s="1">
        <v>153.0</v>
      </c>
    </row>
    <row r="830">
      <c r="A830" s="1">
        <v>3173656.0</v>
      </c>
      <c r="B830" s="1" t="s">
        <v>1870</v>
      </c>
      <c r="C830" s="1" t="s">
        <v>1679</v>
      </c>
      <c r="D830" s="1" t="s">
        <v>1688</v>
      </c>
      <c r="E830" s="1" t="s">
        <v>1871</v>
      </c>
      <c r="F830" s="1" t="s">
        <v>16</v>
      </c>
      <c r="G830" s="1" t="s">
        <v>27</v>
      </c>
      <c r="H830" s="1" t="s">
        <v>18</v>
      </c>
      <c r="I830" s="1" t="s">
        <v>19</v>
      </c>
      <c r="J830" s="1">
        <v>139.0</v>
      </c>
      <c r="K830" s="1">
        <v>74.0</v>
      </c>
      <c r="L830" s="1">
        <v>723.0</v>
      </c>
    </row>
    <row r="831">
      <c r="A831" s="1">
        <v>3174509.0</v>
      </c>
      <c r="B831" s="1" t="s">
        <v>1872</v>
      </c>
      <c r="C831" s="1" t="s">
        <v>1679</v>
      </c>
      <c r="D831" s="1" t="s">
        <v>1700</v>
      </c>
      <c r="E831" s="1" t="s">
        <v>1873</v>
      </c>
      <c r="F831" s="1" t="s">
        <v>55</v>
      </c>
      <c r="G831" s="1" t="s">
        <v>17</v>
      </c>
      <c r="H831" s="1" t="s">
        <v>18</v>
      </c>
      <c r="I831" s="1" t="s">
        <v>249</v>
      </c>
      <c r="J831" s="1">
        <v>41.0</v>
      </c>
      <c r="K831" s="1">
        <v>14.0</v>
      </c>
      <c r="L831" s="1">
        <v>129.0</v>
      </c>
    </row>
    <row r="832">
      <c r="A832" s="1">
        <v>3174497.0</v>
      </c>
      <c r="B832" s="1" t="s">
        <v>1874</v>
      </c>
      <c r="C832" s="1" t="s">
        <v>1679</v>
      </c>
      <c r="D832" s="1" t="s">
        <v>1693</v>
      </c>
      <c r="E832" s="1" t="s">
        <v>1875</v>
      </c>
      <c r="F832" s="1" t="s">
        <v>55</v>
      </c>
      <c r="G832" s="1" t="s">
        <v>17</v>
      </c>
      <c r="H832" s="1" t="s">
        <v>18</v>
      </c>
      <c r="I832" s="1" t="s">
        <v>19</v>
      </c>
      <c r="J832" s="1">
        <v>34.0</v>
      </c>
      <c r="K832" s="1">
        <v>19.0</v>
      </c>
      <c r="L832" s="1">
        <v>36.0</v>
      </c>
    </row>
    <row r="833">
      <c r="A833" s="1">
        <v>3174531.0</v>
      </c>
      <c r="B833" s="1" t="s">
        <v>1876</v>
      </c>
      <c r="C833" s="1" t="s">
        <v>1679</v>
      </c>
      <c r="D833" s="1" t="s">
        <v>1693</v>
      </c>
      <c r="E833" s="1" t="s">
        <v>1877</v>
      </c>
      <c r="F833" s="1" t="s">
        <v>16</v>
      </c>
      <c r="G833" s="1" t="s">
        <v>17</v>
      </c>
      <c r="H833" s="1" t="s">
        <v>18</v>
      </c>
      <c r="I833" s="1" t="s">
        <v>44</v>
      </c>
      <c r="J833" s="1">
        <v>108.0</v>
      </c>
      <c r="K833" s="1">
        <v>32.0</v>
      </c>
      <c r="L833" s="1">
        <v>0.0</v>
      </c>
    </row>
    <row r="834">
      <c r="A834" s="1">
        <v>3172505.0</v>
      </c>
      <c r="B834" s="1" t="s">
        <v>1878</v>
      </c>
      <c r="C834" s="1" t="s">
        <v>1679</v>
      </c>
      <c r="D834" s="1" t="s">
        <v>1680</v>
      </c>
      <c r="E834" s="1" t="s">
        <v>1879</v>
      </c>
      <c r="F834" s="1" t="s">
        <v>16</v>
      </c>
      <c r="G834" s="1" t="s">
        <v>27</v>
      </c>
      <c r="H834" s="1" t="s">
        <v>18</v>
      </c>
      <c r="I834" s="1" t="s">
        <v>684</v>
      </c>
      <c r="J834" s="1">
        <v>202.0</v>
      </c>
      <c r="K834" s="1">
        <v>115.0</v>
      </c>
      <c r="L834" s="1">
        <v>446.0</v>
      </c>
    </row>
    <row r="835">
      <c r="A835" s="1">
        <v>3171806.0</v>
      </c>
      <c r="B835" s="1" t="s">
        <v>1880</v>
      </c>
      <c r="C835" s="1" t="s">
        <v>1679</v>
      </c>
      <c r="D835" s="1" t="s">
        <v>1685</v>
      </c>
      <c r="E835" s="1" t="s">
        <v>1881</v>
      </c>
      <c r="F835" s="1" t="s">
        <v>16</v>
      </c>
      <c r="G835" s="1" t="s">
        <v>23</v>
      </c>
      <c r="H835" s="1" t="s">
        <v>18</v>
      </c>
      <c r="I835" s="1" t="s">
        <v>19</v>
      </c>
      <c r="J835" s="1">
        <v>103.0</v>
      </c>
      <c r="K835" s="1">
        <v>128.0</v>
      </c>
      <c r="L835" s="1">
        <v>312.0</v>
      </c>
    </row>
    <row r="836">
      <c r="A836" s="1">
        <v>3171912.0</v>
      </c>
      <c r="B836" s="1" t="s">
        <v>1882</v>
      </c>
      <c r="C836" s="1" t="s">
        <v>1679</v>
      </c>
      <c r="D836" s="1" t="s">
        <v>1685</v>
      </c>
      <c r="E836" s="1" t="s">
        <v>1883</v>
      </c>
      <c r="F836" s="1" t="s">
        <v>1884</v>
      </c>
      <c r="G836" s="1" t="s">
        <v>17</v>
      </c>
      <c r="H836" s="1" t="s">
        <v>18</v>
      </c>
      <c r="I836" s="1" t="s">
        <v>19</v>
      </c>
      <c r="J836" s="1">
        <v>31.0</v>
      </c>
      <c r="K836" s="1">
        <v>33.0</v>
      </c>
      <c r="L836" s="1">
        <v>0.0</v>
      </c>
    </row>
    <row r="837">
      <c r="A837" s="1">
        <v>3175396.0</v>
      </c>
      <c r="B837" s="1" t="s">
        <v>1885</v>
      </c>
      <c r="C837" s="1" t="s">
        <v>1679</v>
      </c>
      <c r="D837" s="1" t="s">
        <v>1700</v>
      </c>
      <c r="E837" s="1" t="s">
        <v>1886</v>
      </c>
      <c r="F837" s="1" t="s">
        <v>16</v>
      </c>
      <c r="G837" s="1" t="s">
        <v>23</v>
      </c>
      <c r="H837" s="1" t="s">
        <v>18</v>
      </c>
      <c r="I837" s="1" t="s">
        <v>19</v>
      </c>
      <c r="J837" s="1">
        <v>54.0</v>
      </c>
      <c r="K837" s="1">
        <v>30.0</v>
      </c>
      <c r="L837" s="1">
        <v>153.0</v>
      </c>
    </row>
    <row r="838">
      <c r="A838" s="1">
        <v>3173073.0</v>
      </c>
      <c r="B838" s="1" t="s">
        <v>1887</v>
      </c>
      <c r="C838" s="1" t="s">
        <v>1679</v>
      </c>
      <c r="D838" s="1" t="s">
        <v>1688</v>
      </c>
      <c r="E838" s="1" t="s">
        <v>1888</v>
      </c>
      <c r="F838" s="1" t="s">
        <v>16</v>
      </c>
      <c r="G838" s="1" t="s">
        <v>27</v>
      </c>
      <c r="H838" s="1" t="s">
        <v>18</v>
      </c>
      <c r="I838" s="1" t="s">
        <v>684</v>
      </c>
      <c r="J838" s="1">
        <v>367.0</v>
      </c>
      <c r="K838" s="1">
        <v>114.0</v>
      </c>
      <c r="L838" s="1">
        <v>1054.0</v>
      </c>
    </row>
    <row r="839">
      <c r="A839" s="1">
        <v>3171413.0</v>
      </c>
      <c r="B839" s="1" t="s">
        <v>1889</v>
      </c>
      <c r="C839" s="1" t="s">
        <v>1679</v>
      </c>
      <c r="D839" s="1" t="s">
        <v>1685</v>
      </c>
      <c r="E839" s="1" t="s">
        <v>1890</v>
      </c>
      <c r="F839" s="1" t="s">
        <v>55</v>
      </c>
      <c r="G839" s="1" t="s">
        <v>17</v>
      </c>
      <c r="H839" s="1" t="s">
        <v>18</v>
      </c>
      <c r="I839" s="1" t="s">
        <v>44</v>
      </c>
      <c r="J839" s="1">
        <v>37.0</v>
      </c>
      <c r="K839" s="1">
        <v>31.0</v>
      </c>
      <c r="L839" s="1">
        <v>42.0</v>
      </c>
    </row>
    <row r="840">
      <c r="A840" s="1">
        <v>3172756.0</v>
      </c>
      <c r="B840" s="1" t="s">
        <v>1891</v>
      </c>
      <c r="C840" s="1" t="s">
        <v>1679</v>
      </c>
      <c r="D840" s="1" t="s">
        <v>1680</v>
      </c>
      <c r="E840" s="1" t="s">
        <v>1892</v>
      </c>
      <c r="F840" s="1" t="s">
        <v>55</v>
      </c>
      <c r="G840" s="1" t="s">
        <v>17</v>
      </c>
      <c r="H840" s="1" t="s">
        <v>18</v>
      </c>
      <c r="I840" s="1" t="s">
        <v>44</v>
      </c>
      <c r="J840" s="1">
        <v>20.0</v>
      </c>
      <c r="K840" s="1">
        <v>27.0</v>
      </c>
      <c r="L840" s="1">
        <v>56.0</v>
      </c>
    </row>
    <row r="841">
      <c r="A841" s="1">
        <v>3173532.0</v>
      </c>
      <c r="B841" s="1" t="s">
        <v>1893</v>
      </c>
      <c r="C841" s="1" t="s">
        <v>1679</v>
      </c>
      <c r="D841" s="1" t="s">
        <v>1688</v>
      </c>
      <c r="E841" s="1" t="s">
        <v>1894</v>
      </c>
      <c r="F841" s="1" t="s">
        <v>1752</v>
      </c>
      <c r="G841" s="1" t="s">
        <v>27</v>
      </c>
      <c r="H841" s="1" t="s">
        <v>18</v>
      </c>
      <c r="I841" s="1" t="s">
        <v>19</v>
      </c>
      <c r="J841" s="1">
        <v>25.0</v>
      </c>
      <c r="K841" s="1">
        <v>30.0</v>
      </c>
      <c r="L841" s="1">
        <v>181.0</v>
      </c>
    </row>
    <row r="842">
      <c r="A842" s="1">
        <v>3175075.0</v>
      </c>
      <c r="B842" s="1" t="s">
        <v>1895</v>
      </c>
      <c r="C842" s="1" t="s">
        <v>1679</v>
      </c>
      <c r="D842" s="1" t="s">
        <v>1700</v>
      </c>
      <c r="E842" s="1" t="s">
        <v>1896</v>
      </c>
      <c r="F842" s="1" t="s">
        <v>16</v>
      </c>
      <c r="G842" s="1" t="s">
        <v>17</v>
      </c>
      <c r="H842" s="1" t="s">
        <v>18</v>
      </c>
      <c r="I842" s="1" t="s">
        <v>19</v>
      </c>
      <c r="J842" s="1">
        <v>116.0</v>
      </c>
      <c r="K842" s="1">
        <v>52.0</v>
      </c>
      <c r="L842" s="1">
        <v>142.0</v>
      </c>
    </row>
    <row r="843">
      <c r="A843" s="1">
        <v>3172766.0</v>
      </c>
      <c r="B843" s="1" t="s">
        <v>1897</v>
      </c>
      <c r="C843" s="1" t="s">
        <v>1679</v>
      </c>
      <c r="D843" s="1" t="s">
        <v>1680</v>
      </c>
      <c r="E843" s="1" t="s">
        <v>1898</v>
      </c>
      <c r="F843" s="1" t="s">
        <v>16</v>
      </c>
      <c r="G843" s="1" t="s">
        <v>23</v>
      </c>
      <c r="H843" s="1" t="s">
        <v>18</v>
      </c>
      <c r="I843" s="1" t="s">
        <v>34</v>
      </c>
      <c r="J843" s="1">
        <v>50.0</v>
      </c>
      <c r="K843" s="1">
        <v>26.0</v>
      </c>
      <c r="L843" s="1">
        <v>130.0</v>
      </c>
    </row>
    <row r="844">
      <c r="A844" s="1">
        <v>3171713.0</v>
      </c>
      <c r="B844" s="1" t="s">
        <v>1381</v>
      </c>
      <c r="C844" s="1" t="s">
        <v>1679</v>
      </c>
      <c r="D844" s="1" t="s">
        <v>1685</v>
      </c>
      <c r="E844" s="1" t="s">
        <v>1899</v>
      </c>
      <c r="F844" s="1" t="s">
        <v>16</v>
      </c>
      <c r="G844" s="1" t="s">
        <v>17</v>
      </c>
      <c r="H844" s="1" t="s">
        <v>18</v>
      </c>
      <c r="I844" s="1" t="s">
        <v>19</v>
      </c>
      <c r="J844" s="1">
        <v>111.0</v>
      </c>
      <c r="K844" s="1">
        <v>23.0</v>
      </c>
      <c r="L844" s="1">
        <v>243.0</v>
      </c>
    </row>
    <row r="845">
      <c r="A845" s="1">
        <v>3175409.0</v>
      </c>
      <c r="B845" s="1" t="s">
        <v>1900</v>
      </c>
      <c r="C845" s="1" t="s">
        <v>1679</v>
      </c>
      <c r="D845" s="1" t="s">
        <v>1700</v>
      </c>
      <c r="E845" s="1" t="s">
        <v>1901</v>
      </c>
      <c r="F845" s="1" t="s">
        <v>55</v>
      </c>
      <c r="G845" s="1" t="s">
        <v>17</v>
      </c>
      <c r="H845" s="1" t="s">
        <v>18</v>
      </c>
      <c r="I845" s="1" t="s">
        <v>44</v>
      </c>
      <c r="J845" s="1">
        <v>66.0</v>
      </c>
      <c r="K845" s="1">
        <v>21.0</v>
      </c>
      <c r="L845" s="1">
        <v>179.0</v>
      </c>
    </row>
    <row r="846">
      <c r="A846" s="1">
        <v>3174282.0</v>
      </c>
      <c r="B846" s="1" t="s">
        <v>1902</v>
      </c>
      <c r="C846" s="1" t="s">
        <v>1679</v>
      </c>
      <c r="D846" s="1" t="s">
        <v>1693</v>
      </c>
      <c r="E846" s="1" t="s">
        <v>1903</v>
      </c>
      <c r="F846" s="1" t="s">
        <v>1884</v>
      </c>
      <c r="G846" s="1" t="s">
        <v>150</v>
      </c>
      <c r="H846" s="1" t="s">
        <v>33</v>
      </c>
      <c r="I846" s="1" t="s">
        <v>411</v>
      </c>
      <c r="J846" s="1">
        <v>403.0</v>
      </c>
      <c r="K846" s="1">
        <v>52.0</v>
      </c>
      <c r="L846" s="1">
        <v>2458.0</v>
      </c>
    </row>
    <row r="847">
      <c r="A847" s="1">
        <v>3172083.0</v>
      </c>
      <c r="B847" s="1" t="s">
        <v>1904</v>
      </c>
      <c r="C847" s="1" t="s">
        <v>1679</v>
      </c>
      <c r="D847" s="1" t="s">
        <v>1680</v>
      </c>
      <c r="E847" s="1" t="s">
        <v>1905</v>
      </c>
      <c r="F847" s="1" t="s">
        <v>16</v>
      </c>
      <c r="G847" s="1" t="s">
        <v>17</v>
      </c>
      <c r="H847" s="1" t="s">
        <v>18</v>
      </c>
      <c r="I847" s="1" t="s">
        <v>74</v>
      </c>
      <c r="J847" s="1">
        <v>100.0</v>
      </c>
      <c r="K847" s="1">
        <v>27.0</v>
      </c>
      <c r="L847" s="1">
        <v>88.0</v>
      </c>
    </row>
    <row r="848">
      <c r="A848" s="1">
        <v>3172749.0</v>
      </c>
      <c r="B848" s="1" t="s">
        <v>1906</v>
      </c>
      <c r="C848" s="1" t="s">
        <v>1679</v>
      </c>
      <c r="D848" s="1" t="s">
        <v>1680</v>
      </c>
      <c r="E848" s="1" t="s">
        <v>1907</v>
      </c>
      <c r="F848" s="1" t="s">
        <v>1908</v>
      </c>
      <c r="G848" s="1" t="s">
        <v>150</v>
      </c>
      <c r="H848" s="1" t="s">
        <v>33</v>
      </c>
      <c r="I848" s="1" t="s">
        <v>411</v>
      </c>
      <c r="J848" s="1">
        <v>287.0</v>
      </c>
      <c r="K848" s="1">
        <v>61.0</v>
      </c>
      <c r="L848" s="1">
        <v>1673.0</v>
      </c>
    </row>
    <row r="849">
      <c r="A849" s="1">
        <v>3175326.0</v>
      </c>
      <c r="B849" s="1" t="s">
        <v>1909</v>
      </c>
      <c r="C849" s="1" t="s">
        <v>1679</v>
      </c>
      <c r="D849" s="1" t="s">
        <v>1700</v>
      </c>
      <c r="E849" s="1" t="s">
        <v>1910</v>
      </c>
      <c r="F849" s="1" t="s">
        <v>16</v>
      </c>
      <c r="G849" s="1" t="s">
        <v>17</v>
      </c>
      <c r="H849" s="1" t="s">
        <v>18</v>
      </c>
      <c r="I849" s="1" t="s">
        <v>59</v>
      </c>
      <c r="J849" s="1">
        <v>188.0</v>
      </c>
      <c r="K849" s="1">
        <v>66.0</v>
      </c>
      <c r="L849" s="1">
        <v>669.0</v>
      </c>
    </row>
    <row r="850">
      <c r="A850" s="1">
        <v>3171791.0</v>
      </c>
      <c r="B850" s="1" t="s">
        <v>1911</v>
      </c>
      <c r="C850" s="1" t="s">
        <v>1679</v>
      </c>
      <c r="D850" s="1" t="s">
        <v>1685</v>
      </c>
      <c r="E850" s="1" t="s">
        <v>1912</v>
      </c>
      <c r="F850" s="1" t="s">
        <v>16</v>
      </c>
      <c r="G850" s="1" t="s">
        <v>17</v>
      </c>
      <c r="H850" s="1" t="s">
        <v>28</v>
      </c>
      <c r="I850" s="1" t="s">
        <v>139</v>
      </c>
      <c r="J850" s="1">
        <v>100.0</v>
      </c>
      <c r="K850" s="1">
        <v>37.0</v>
      </c>
      <c r="L850" s="1">
        <v>192.0</v>
      </c>
    </row>
    <row r="851">
      <c r="A851" s="1">
        <v>3172746.0</v>
      </c>
      <c r="B851" s="1" t="s">
        <v>1913</v>
      </c>
      <c r="C851" s="1" t="s">
        <v>1679</v>
      </c>
      <c r="D851" s="1" t="s">
        <v>1680</v>
      </c>
      <c r="E851" s="1" t="s">
        <v>1914</v>
      </c>
      <c r="F851" s="1" t="s">
        <v>174</v>
      </c>
      <c r="G851" s="1" t="s">
        <v>150</v>
      </c>
      <c r="H851" s="1" t="s">
        <v>28</v>
      </c>
      <c r="I851" s="1" t="s">
        <v>139</v>
      </c>
      <c r="J851" s="1">
        <v>534.0</v>
      </c>
      <c r="K851" s="1">
        <v>53.0</v>
      </c>
      <c r="L851" s="1">
        <v>422.0</v>
      </c>
    </row>
    <row r="852">
      <c r="A852" s="1">
        <v>3173105.0</v>
      </c>
      <c r="B852" s="1" t="s">
        <v>1915</v>
      </c>
      <c r="C852" s="1" t="s">
        <v>1679</v>
      </c>
      <c r="D852" s="1" t="s">
        <v>1688</v>
      </c>
      <c r="E852" s="1" t="s">
        <v>1916</v>
      </c>
      <c r="F852" s="1" t="s">
        <v>16</v>
      </c>
      <c r="G852" s="1" t="s">
        <v>17</v>
      </c>
      <c r="H852" s="1" t="s">
        <v>18</v>
      </c>
      <c r="I852" s="1" t="s">
        <v>59</v>
      </c>
      <c r="J852" s="1">
        <v>109.0</v>
      </c>
      <c r="K852" s="1">
        <v>40.0</v>
      </c>
      <c r="L852" s="1">
        <v>478.0</v>
      </c>
    </row>
    <row r="853">
      <c r="A853" s="1">
        <v>3171621.0</v>
      </c>
      <c r="B853" s="1" t="s">
        <v>1917</v>
      </c>
      <c r="C853" s="1" t="s">
        <v>1679</v>
      </c>
      <c r="D853" s="1" t="s">
        <v>1685</v>
      </c>
      <c r="E853" s="1" t="s">
        <v>1918</v>
      </c>
      <c r="F853" s="1" t="s">
        <v>16</v>
      </c>
      <c r="G853" s="1" t="s">
        <v>23</v>
      </c>
      <c r="H853" s="1" t="s">
        <v>18</v>
      </c>
      <c r="I853" s="1" t="s">
        <v>19</v>
      </c>
      <c r="J853" s="1">
        <v>58.0</v>
      </c>
      <c r="K853" s="1">
        <v>35.0</v>
      </c>
      <c r="L853" s="1">
        <v>213.0</v>
      </c>
    </row>
    <row r="854">
      <c r="A854" s="1">
        <v>3172753.0</v>
      </c>
      <c r="B854" s="1" t="s">
        <v>1919</v>
      </c>
      <c r="C854" s="1" t="s">
        <v>1679</v>
      </c>
      <c r="D854" s="1" t="s">
        <v>1680</v>
      </c>
      <c r="E854" s="1" t="s">
        <v>1920</v>
      </c>
      <c r="F854" s="1" t="s">
        <v>16</v>
      </c>
      <c r="G854" s="1" t="s">
        <v>17</v>
      </c>
      <c r="H854" s="1" t="s">
        <v>18</v>
      </c>
      <c r="I854" s="1" t="s">
        <v>19</v>
      </c>
      <c r="J854" s="1">
        <v>110.0</v>
      </c>
      <c r="K854" s="1">
        <v>91.0</v>
      </c>
      <c r="L854" s="1">
        <v>349.0</v>
      </c>
    </row>
    <row r="855">
      <c r="A855" s="1">
        <v>3173695.0</v>
      </c>
      <c r="B855" s="1" t="s">
        <v>1921</v>
      </c>
      <c r="C855" s="1" t="s">
        <v>1679</v>
      </c>
      <c r="D855" s="1" t="s">
        <v>1688</v>
      </c>
      <c r="E855" s="1" t="s">
        <v>1922</v>
      </c>
      <c r="F855" s="1" t="s">
        <v>55</v>
      </c>
      <c r="G855" s="1" t="s">
        <v>17</v>
      </c>
      <c r="H855" s="1" t="s">
        <v>18</v>
      </c>
      <c r="I855" s="1" t="s">
        <v>19</v>
      </c>
      <c r="J855" s="1">
        <v>34.0</v>
      </c>
      <c r="K855" s="1">
        <v>30.0</v>
      </c>
      <c r="L855" s="1">
        <v>220.0</v>
      </c>
    </row>
    <row r="856">
      <c r="A856" s="1">
        <v>3171781.0</v>
      </c>
      <c r="B856" s="1" t="s">
        <v>1923</v>
      </c>
      <c r="C856" s="1" t="s">
        <v>1679</v>
      </c>
      <c r="D856" s="1" t="s">
        <v>1685</v>
      </c>
      <c r="E856" s="1" t="s">
        <v>1924</v>
      </c>
      <c r="F856" s="1" t="s">
        <v>16</v>
      </c>
      <c r="G856" s="1" t="s">
        <v>17</v>
      </c>
      <c r="H856" s="1" t="s">
        <v>18</v>
      </c>
      <c r="I856" s="1" t="s">
        <v>684</v>
      </c>
      <c r="J856" s="1">
        <v>111.0</v>
      </c>
      <c r="K856" s="1">
        <v>33.0</v>
      </c>
      <c r="L856" s="1">
        <v>21.0</v>
      </c>
    </row>
    <row r="857">
      <c r="A857" s="1">
        <v>3175016.0</v>
      </c>
      <c r="B857" s="1" t="s">
        <v>1925</v>
      </c>
      <c r="C857" s="1" t="s">
        <v>1679</v>
      </c>
      <c r="D857" s="1" t="s">
        <v>1700</v>
      </c>
      <c r="E857" s="1" t="s">
        <v>1926</v>
      </c>
      <c r="F857" s="1" t="s">
        <v>16</v>
      </c>
      <c r="G857" s="1" t="s">
        <v>27</v>
      </c>
      <c r="H857" s="1" t="s">
        <v>18</v>
      </c>
      <c r="I857" s="1" t="s">
        <v>139</v>
      </c>
      <c r="J857" s="1">
        <v>818.0</v>
      </c>
      <c r="K857" s="1">
        <v>85.0</v>
      </c>
      <c r="L857" s="1">
        <v>1773.0</v>
      </c>
    </row>
    <row r="858">
      <c r="A858" s="1">
        <v>3172752.0</v>
      </c>
      <c r="B858" s="1" t="s">
        <v>1927</v>
      </c>
      <c r="C858" s="1" t="s">
        <v>1679</v>
      </c>
      <c r="D858" s="1" t="s">
        <v>1680</v>
      </c>
      <c r="E858" s="1" t="s">
        <v>1928</v>
      </c>
      <c r="F858" s="1" t="s">
        <v>1884</v>
      </c>
      <c r="G858" s="1" t="s">
        <v>17</v>
      </c>
      <c r="H858" s="1" t="s">
        <v>18</v>
      </c>
      <c r="I858" s="1" t="s">
        <v>44</v>
      </c>
      <c r="J858" s="1">
        <v>21.0</v>
      </c>
      <c r="K858" s="1">
        <v>42.0</v>
      </c>
      <c r="L858" s="1">
        <v>82.0</v>
      </c>
    </row>
    <row r="859">
      <c r="A859" s="1">
        <v>3172520.0</v>
      </c>
      <c r="B859" s="1" t="s">
        <v>1929</v>
      </c>
      <c r="C859" s="1" t="s">
        <v>1679</v>
      </c>
      <c r="D859" s="1" t="s">
        <v>1680</v>
      </c>
      <c r="E859" s="1" t="s">
        <v>1930</v>
      </c>
      <c r="F859" s="1" t="s">
        <v>16</v>
      </c>
      <c r="G859" s="1" t="s">
        <v>17</v>
      </c>
      <c r="H859" s="1" t="s">
        <v>18</v>
      </c>
      <c r="I859" s="1" t="s">
        <v>59</v>
      </c>
      <c r="J859" s="1">
        <v>100.0</v>
      </c>
      <c r="K859" s="1">
        <v>31.0</v>
      </c>
      <c r="L859" s="1">
        <v>125.0</v>
      </c>
    </row>
    <row r="860">
      <c r="A860" s="1">
        <v>3174518.0</v>
      </c>
      <c r="B860" s="1" t="s">
        <v>1931</v>
      </c>
      <c r="C860" s="1" t="s">
        <v>1679</v>
      </c>
      <c r="D860" s="1" t="s">
        <v>1693</v>
      </c>
      <c r="E860" s="1" t="s">
        <v>1932</v>
      </c>
      <c r="F860" s="1" t="s">
        <v>16</v>
      </c>
      <c r="G860" s="1" t="s">
        <v>17</v>
      </c>
      <c r="H860" s="1" t="s">
        <v>28</v>
      </c>
      <c r="I860" s="1" t="s">
        <v>139</v>
      </c>
      <c r="J860" s="1">
        <v>116.0</v>
      </c>
      <c r="K860" s="1">
        <v>34.0</v>
      </c>
      <c r="L860" s="1">
        <v>258.0</v>
      </c>
    </row>
    <row r="861">
      <c r="A861" s="1">
        <v>3171435.0</v>
      </c>
      <c r="B861" s="1" t="s">
        <v>1933</v>
      </c>
      <c r="C861" s="1" t="s">
        <v>1679</v>
      </c>
      <c r="D861" s="1" t="s">
        <v>1680</v>
      </c>
      <c r="E861" s="1" t="s">
        <v>1934</v>
      </c>
      <c r="F861" s="1" t="s">
        <v>1935</v>
      </c>
      <c r="G861" s="1" t="s">
        <v>27</v>
      </c>
      <c r="H861" s="1" t="s">
        <v>33</v>
      </c>
      <c r="I861" s="1" t="s">
        <v>411</v>
      </c>
      <c r="J861" s="1">
        <v>185.0</v>
      </c>
      <c r="K861" s="1">
        <v>25.0</v>
      </c>
      <c r="L861" s="1">
        <v>327.0</v>
      </c>
    </row>
    <row r="862">
      <c r="A862" s="1">
        <v>3173700.0</v>
      </c>
      <c r="B862" s="1" t="s">
        <v>1936</v>
      </c>
      <c r="C862" s="1" t="s">
        <v>1679</v>
      </c>
      <c r="D862" s="1" t="s">
        <v>1688</v>
      </c>
      <c r="E862" s="1" t="s">
        <v>1937</v>
      </c>
      <c r="F862" s="1" t="s">
        <v>16</v>
      </c>
      <c r="G862" s="1" t="s">
        <v>23</v>
      </c>
      <c r="H862" s="1" t="s">
        <v>28</v>
      </c>
      <c r="I862" s="1" t="s">
        <v>139</v>
      </c>
      <c r="J862" s="1">
        <v>50.0</v>
      </c>
      <c r="K862" s="1">
        <v>28.0</v>
      </c>
      <c r="L862" s="1">
        <v>179.0</v>
      </c>
    </row>
    <row r="863">
      <c r="A863" s="1">
        <v>3173706.0</v>
      </c>
      <c r="B863" s="1" t="s">
        <v>1938</v>
      </c>
      <c r="C863" s="1" t="s">
        <v>1679</v>
      </c>
      <c r="D863" s="1" t="s">
        <v>1688</v>
      </c>
      <c r="E863" s="1" t="s">
        <v>1939</v>
      </c>
      <c r="F863" s="1" t="s">
        <v>16</v>
      </c>
      <c r="G863" s="1" t="s">
        <v>27</v>
      </c>
      <c r="H863" s="1" t="s">
        <v>18</v>
      </c>
      <c r="I863" s="1" t="s">
        <v>19</v>
      </c>
      <c r="J863" s="1">
        <v>145.0</v>
      </c>
      <c r="K863" s="1">
        <v>122.0</v>
      </c>
      <c r="L863" s="1">
        <v>2392.0</v>
      </c>
    </row>
    <row r="864">
      <c r="A864" s="1">
        <v>3173580.0</v>
      </c>
      <c r="B864" s="1" t="s">
        <v>1940</v>
      </c>
      <c r="C864" s="1" t="s">
        <v>1679</v>
      </c>
      <c r="D864" s="1" t="s">
        <v>1688</v>
      </c>
      <c r="E864" s="1" t="s">
        <v>1941</v>
      </c>
      <c r="F864" s="1" t="s">
        <v>16</v>
      </c>
      <c r="G864" s="1" t="s">
        <v>17</v>
      </c>
      <c r="H864" s="1" t="s">
        <v>18</v>
      </c>
      <c r="I864" s="1" t="s">
        <v>59</v>
      </c>
      <c r="J864" s="1">
        <v>120.0</v>
      </c>
      <c r="K864" s="1">
        <v>98.0</v>
      </c>
      <c r="L864" s="1">
        <v>323.0</v>
      </c>
    </row>
    <row r="865">
      <c r="A865" s="1">
        <v>3171735.0</v>
      </c>
      <c r="B865" s="1" t="s">
        <v>1942</v>
      </c>
      <c r="C865" s="1" t="s">
        <v>1679</v>
      </c>
      <c r="D865" s="1" t="s">
        <v>1685</v>
      </c>
      <c r="E865" s="1" t="s">
        <v>1943</v>
      </c>
      <c r="F865" s="1" t="s">
        <v>16</v>
      </c>
      <c r="G865" s="1" t="s">
        <v>17</v>
      </c>
      <c r="H865" s="1" t="s">
        <v>18</v>
      </c>
      <c r="I865" s="1" t="s">
        <v>19</v>
      </c>
      <c r="J865" s="1">
        <v>51.0</v>
      </c>
      <c r="K865" s="1">
        <v>46.0</v>
      </c>
      <c r="L865" s="1">
        <v>348.0</v>
      </c>
    </row>
    <row r="866">
      <c r="A866" s="1">
        <v>3175410.0</v>
      </c>
      <c r="B866" s="1" t="s">
        <v>1944</v>
      </c>
      <c r="C866" s="1" t="s">
        <v>1679</v>
      </c>
      <c r="D866" s="1" t="s">
        <v>1700</v>
      </c>
      <c r="E866" s="1" t="s">
        <v>1945</v>
      </c>
      <c r="F866" s="1" t="s">
        <v>16</v>
      </c>
      <c r="G866" s="1" t="s">
        <v>17</v>
      </c>
      <c r="H866" s="1" t="s">
        <v>18</v>
      </c>
      <c r="I866" s="1" t="s">
        <v>19</v>
      </c>
      <c r="J866" s="1">
        <v>172.0</v>
      </c>
      <c r="K866" s="1">
        <v>48.0</v>
      </c>
      <c r="L866" s="1">
        <v>107.0</v>
      </c>
    </row>
    <row r="867">
      <c r="A867" s="1">
        <v>3174416.0</v>
      </c>
      <c r="B867" s="1" t="s">
        <v>1946</v>
      </c>
      <c r="C867" s="1" t="s">
        <v>1679</v>
      </c>
      <c r="D867" s="1" t="s">
        <v>1693</v>
      </c>
      <c r="E867" s="1" t="s">
        <v>1947</v>
      </c>
      <c r="F867" s="1" t="s">
        <v>16</v>
      </c>
      <c r="G867" s="1" t="s">
        <v>17</v>
      </c>
      <c r="H867" s="1" t="s">
        <v>18</v>
      </c>
      <c r="I867" s="1" t="s">
        <v>59</v>
      </c>
      <c r="J867" s="1">
        <v>100.0</v>
      </c>
      <c r="K867" s="1">
        <v>62.0</v>
      </c>
      <c r="L867" s="1">
        <v>54.0</v>
      </c>
    </row>
    <row r="868">
      <c r="A868" s="1">
        <v>3172757.0</v>
      </c>
      <c r="B868" s="1" t="s">
        <v>1948</v>
      </c>
      <c r="C868" s="1" t="s">
        <v>1679</v>
      </c>
      <c r="D868" s="1" t="s">
        <v>1680</v>
      </c>
      <c r="E868" s="1" t="s">
        <v>1949</v>
      </c>
      <c r="F868" s="1" t="s">
        <v>16</v>
      </c>
      <c r="G868" s="1" t="s">
        <v>27</v>
      </c>
      <c r="H868" s="1" t="s">
        <v>33</v>
      </c>
      <c r="I868" s="1" t="s">
        <v>34</v>
      </c>
      <c r="J868" s="1">
        <v>222.0</v>
      </c>
      <c r="K868" s="1">
        <v>62.0</v>
      </c>
      <c r="L868" s="1">
        <v>269.0</v>
      </c>
    </row>
    <row r="869">
      <c r="A869" s="1">
        <v>3173705.0</v>
      </c>
      <c r="B869" s="1" t="s">
        <v>1950</v>
      </c>
      <c r="C869" s="1" t="s">
        <v>1679</v>
      </c>
      <c r="D869" s="1" t="s">
        <v>1688</v>
      </c>
      <c r="E869" s="1" t="s">
        <v>1951</v>
      </c>
      <c r="F869" s="1" t="s">
        <v>16</v>
      </c>
      <c r="G869" s="1" t="s">
        <v>23</v>
      </c>
      <c r="H869" s="1" t="s">
        <v>18</v>
      </c>
      <c r="I869" s="1" t="s">
        <v>139</v>
      </c>
      <c r="J869" s="1">
        <v>51.0</v>
      </c>
      <c r="K869" s="1">
        <v>27.0</v>
      </c>
      <c r="L869" s="1">
        <v>227.0</v>
      </c>
    </row>
    <row r="870">
      <c r="A870" s="1">
        <v>3172771.0</v>
      </c>
      <c r="B870" s="1" t="s">
        <v>1952</v>
      </c>
      <c r="C870" s="1" t="s">
        <v>1679</v>
      </c>
      <c r="D870" s="1" t="s">
        <v>1680</v>
      </c>
      <c r="E870" s="1" t="s">
        <v>1953</v>
      </c>
      <c r="F870" s="1" t="s">
        <v>16</v>
      </c>
      <c r="G870" s="1" t="s">
        <v>23</v>
      </c>
      <c r="H870" s="1" t="s">
        <v>28</v>
      </c>
      <c r="I870" s="1" t="s">
        <v>139</v>
      </c>
      <c r="J870" s="1">
        <v>56.0</v>
      </c>
      <c r="K870" s="1">
        <v>25.0</v>
      </c>
      <c r="L870" s="1">
        <v>237.0</v>
      </c>
    </row>
    <row r="871">
      <c r="A871" s="1">
        <v>3172126.0</v>
      </c>
      <c r="B871" s="1" t="s">
        <v>1954</v>
      </c>
      <c r="C871" s="1" t="s">
        <v>1679</v>
      </c>
      <c r="D871" s="1" t="s">
        <v>1680</v>
      </c>
      <c r="E871" s="1" t="s">
        <v>1955</v>
      </c>
      <c r="F871" s="1" t="s">
        <v>16</v>
      </c>
      <c r="G871" s="1" t="s">
        <v>27</v>
      </c>
      <c r="H871" s="1" t="s">
        <v>28</v>
      </c>
      <c r="I871" s="1" t="s">
        <v>139</v>
      </c>
      <c r="J871" s="1">
        <v>295.0</v>
      </c>
      <c r="K871" s="1">
        <v>55.0</v>
      </c>
      <c r="L871" s="1">
        <v>387.0</v>
      </c>
    </row>
    <row r="872">
      <c r="A872" s="1">
        <v>3175417.0</v>
      </c>
      <c r="B872" s="1" t="s">
        <v>1956</v>
      </c>
      <c r="C872" s="1" t="s">
        <v>1679</v>
      </c>
      <c r="D872" s="1" t="s">
        <v>1700</v>
      </c>
      <c r="E872" s="1" t="s">
        <v>1957</v>
      </c>
      <c r="F872" s="1" t="s">
        <v>272</v>
      </c>
      <c r="G872" s="1" t="s">
        <v>17</v>
      </c>
      <c r="H872" s="1" t="s">
        <v>18</v>
      </c>
      <c r="I872" s="1" t="s">
        <v>163</v>
      </c>
      <c r="J872" s="1">
        <v>24.0</v>
      </c>
      <c r="K872" s="1">
        <v>18.0</v>
      </c>
      <c r="L872" s="1">
        <v>63.0</v>
      </c>
    </row>
    <row r="873">
      <c r="A873" s="1">
        <v>3175341.0</v>
      </c>
      <c r="B873" s="1" t="s">
        <v>1958</v>
      </c>
      <c r="C873" s="1" t="s">
        <v>1679</v>
      </c>
      <c r="D873" s="1" t="s">
        <v>1700</v>
      </c>
      <c r="E873" s="1" t="s">
        <v>1959</v>
      </c>
      <c r="F873" s="1" t="s">
        <v>16</v>
      </c>
      <c r="G873" s="1" t="s">
        <v>27</v>
      </c>
      <c r="H873" s="1" t="s">
        <v>18</v>
      </c>
      <c r="I873" s="1" t="s">
        <v>19</v>
      </c>
      <c r="J873" s="1">
        <v>206.0</v>
      </c>
      <c r="K873" s="1">
        <v>61.0</v>
      </c>
      <c r="L873" s="1">
        <v>719.0</v>
      </c>
    </row>
    <row r="874">
      <c r="A874" s="1">
        <v>3173701.0</v>
      </c>
      <c r="B874" s="1" t="s">
        <v>1960</v>
      </c>
      <c r="C874" s="1" t="s">
        <v>1679</v>
      </c>
      <c r="D874" s="1" t="s">
        <v>1688</v>
      </c>
      <c r="E874" s="1" t="s">
        <v>1961</v>
      </c>
      <c r="F874" s="1" t="s">
        <v>16</v>
      </c>
      <c r="G874" s="1" t="s">
        <v>23</v>
      </c>
      <c r="H874" s="1" t="s">
        <v>28</v>
      </c>
      <c r="I874" s="1" t="s">
        <v>139</v>
      </c>
      <c r="J874" s="1">
        <v>50.0</v>
      </c>
      <c r="K874" s="1">
        <v>12.0</v>
      </c>
      <c r="L874" s="1">
        <v>113.0</v>
      </c>
    </row>
    <row r="875">
      <c r="A875" s="1">
        <v>3173025.0</v>
      </c>
      <c r="B875" s="1" t="s">
        <v>1962</v>
      </c>
      <c r="C875" s="1" t="s">
        <v>1679</v>
      </c>
      <c r="D875" s="1" t="s">
        <v>1688</v>
      </c>
      <c r="E875" s="1" t="s">
        <v>1963</v>
      </c>
      <c r="F875" s="1" t="s">
        <v>16</v>
      </c>
      <c r="G875" s="1" t="s">
        <v>150</v>
      </c>
      <c r="H875" s="1" t="s">
        <v>33</v>
      </c>
      <c r="I875" s="1" t="s">
        <v>74</v>
      </c>
      <c r="J875" s="1">
        <v>568.0</v>
      </c>
      <c r="K875" s="1">
        <v>58.0</v>
      </c>
      <c r="L875" s="1">
        <v>2933.0</v>
      </c>
    </row>
    <row r="876">
      <c r="A876" s="1">
        <v>3173120.0</v>
      </c>
      <c r="B876" s="1" t="s">
        <v>1964</v>
      </c>
      <c r="C876" s="1" t="s">
        <v>1679</v>
      </c>
      <c r="D876" s="1" t="s">
        <v>1688</v>
      </c>
      <c r="E876" s="1" t="s">
        <v>1965</v>
      </c>
      <c r="F876" s="1" t="s">
        <v>55</v>
      </c>
      <c r="G876" s="1" t="s">
        <v>27</v>
      </c>
      <c r="H876" s="1" t="s">
        <v>18</v>
      </c>
      <c r="I876" s="1" t="s">
        <v>44</v>
      </c>
      <c r="J876" s="1">
        <v>61.0</v>
      </c>
      <c r="K876" s="1">
        <v>60.0</v>
      </c>
      <c r="L876" s="1">
        <v>463.0</v>
      </c>
    </row>
    <row r="877">
      <c r="A877" s="1">
        <v>3171911.0</v>
      </c>
      <c r="B877" s="1" t="s">
        <v>1966</v>
      </c>
      <c r="C877" s="1" t="s">
        <v>1679</v>
      </c>
      <c r="D877" s="1" t="s">
        <v>1685</v>
      </c>
      <c r="E877" s="1" t="s">
        <v>1967</v>
      </c>
      <c r="F877" s="1" t="s">
        <v>55</v>
      </c>
      <c r="G877" s="1" t="s">
        <v>17</v>
      </c>
      <c r="H877" s="1" t="s">
        <v>18</v>
      </c>
      <c r="I877" s="1" t="s">
        <v>19</v>
      </c>
      <c r="J877" s="1">
        <v>23.0</v>
      </c>
      <c r="K877" s="1">
        <v>29.0</v>
      </c>
      <c r="L877" s="1">
        <v>0.0</v>
      </c>
    </row>
    <row r="878">
      <c r="A878" s="1">
        <v>3171643.0</v>
      </c>
      <c r="B878" s="1" t="s">
        <v>1968</v>
      </c>
      <c r="C878" s="1" t="s">
        <v>1679</v>
      </c>
      <c r="D878" s="1" t="s">
        <v>1685</v>
      </c>
      <c r="E878" s="1" t="s">
        <v>1969</v>
      </c>
      <c r="F878" s="1" t="s">
        <v>1970</v>
      </c>
      <c r="G878" s="1" t="s">
        <v>17</v>
      </c>
      <c r="H878" s="1" t="s">
        <v>18</v>
      </c>
      <c r="I878" s="1" t="s">
        <v>59</v>
      </c>
      <c r="J878" s="1">
        <v>34.0</v>
      </c>
      <c r="K878" s="1">
        <v>45.0</v>
      </c>
      <c r="L878" s="1">
        <v>206.0</v>
      </c>
    </row>
    <row r="879">
      <c r="A879" s="1">
        <v>3174026.0</v>
      </c>
      <c r="B879" s="1" t="s">
        <v>1971</v>
      </c>
      <c r="C879" s="1" t="s">
        <v>1679</v>
      </c>
      <c r="D879" s="1" t="s">
        <v>1693</v>
      </c>
      <c r="E879" s="1" t="s">
        <v>1972</v>
      </c>
      <c r="F879" s="1" t="s">
        <v>16</v>
      </c>
      <c r="G879" s="1" t="s">
        <v>27</v>
      </c>
      <c r="H879" s="1" t="s">
        <v>18</v>
      </c>
      <c r="I879" s="1" t="s">
        <v>113</v>
      </c>
      <c r="J879" s="1">
        <v>600.0</v>
      </c>
      <c r="K879" s="1">
        <v>117.0</v>
      </c>
      <c r="L879" s="1">
        <v>1335.0</v>
      </c>
    </row>
    <row r="880">
      <c r="A880" s="1">
        <v>3172024.0</v>
      </c>
      <c r="B880" s="1" t="s">
        <v>1973</v>
      </c>
      <c r="C880" s="1" t="s">
        <v>1679</v>
      </c>
      <c r="D880" s="1" t="s">
        <v>1680</v>
      </c>
      <c r="E880" s="1" t="s">
        <v>1974</v>
      </c>
      <c r="F880" s="1" t="s">
        <v>16</v>
      </c>
      <c r="G880" s="1" t="s">
        <v>27</v>
      </c>
      <c r="H880" s="1" t="s">
        <v>28</v>
      </c>
      <c r="I880" s="1" t="s">
        <v>139</v>
      </c>
      <c r="J880" s="1">
        <v>299.0</v>
      </c>
      <c r="K880" s="1">
        <v>78.0</v>
      </c>
      <c r="L880" s="1">
        <v>315.0</v>
      </c>
    </row>
    <row r="881">
      <c r="A881" s="1">
        <v>3175042.0</v>
      </c>
      <c r="B881" s="1" t="s">
        <v>1975</v>
      </c>
      <c r="C881" s="1" t="s">
        <v>1679</v>
      </c>
      <c r="D881" s="1" t="s">
        <v>1700</v>
      </c>
      <c r="E881" s="1" t="s">
        <v>1976</v>
      </c>
      <c r="F881" s="1" t="s">
        <v>16</v>
      </c>
      <c r="G881" s="1" t="s">
        <v>17</v>
      </c>
      <c r="H881" s="1" t="s">
        <v>18</v>
      </c>
      <c r="I881" s="1" t="s">
        <v>113</v>
      </c>
      <c r="J881" s="1">
        <v>184.0</v>
      </c>
      <c r="K881" s="1">
        <v>93.0</v>
      </c>
      <c r="L881" s="1">
        <v>412.0</v>
      </c>
    </row>
    <row r="882">
      <c r="A882" s="1">
        <v>3175412.0</v>
      </c>
      <c r="B882" s="1" t="s">
        <v>1977</v>
      </c>
      <c r="C882" s="1" t="s">
        <v>1679</v>
      </c>
      <c r="D882" s="1" t="s">
        <v>1700</v>
      </c>
      <c r="E882" s="1" t="s">
        <v>1978</v>
      </c>
      <c r="F882" s="1" t="s">
        <v>16</v>
      </c>
      <c r="G882" s="1" t="s">
        <v>17</v>
      </c>
      <c r="H882" s="1" t="s">
        <v>28</v>
      </c>
      <c r="I882" s="1" t="s">
        <v>139</v>
      </c>
      <c r="J882" s="1">
        <v>117.0</v>
      </c>
      <c r="K882" s="1">
        <v>40.0</v>
      </c>
      <c r="L882" s="1">
        <v>500.0</v>
      </c>
    </row>
    <row r="883">
      <c r="A883" s="1">
        <v>3172553.0</v>
      </c>
      <c r="B883" s="1" t="s">
        <v>1410</v>
      </c>
      <c r="C883" s="1" t="s">
        <v>1679</v>
      </c>
      <c r="D883" s="1" t="s">
        <v>1680</v>
      </c>
      <c r="E883" s="1" t="s">
        <v>1979</v>
      </c>
      <c r="F883" s="1" t="s">
        <v>16</v>
      </c>
      <c r="G883" s="1" t="s">
        <v>27</v>
      </c>
      <c r="H883" s="1" t="s">
        <v>18</v>
      </c>
      <c r="I883" s="1" t="s">
        <v>19</v>
      </c>
      <c r="J883" s="1">
        <v>200.0</v>
      </c>
      <c r="K883" s="1">
        <v>106.0</v>
      </c>
      <c r="L883" s="1">
        <v>107.0</v>
      </c>
    </row>
    <row r="884">
      <c r="A884" s="1">
        <v>3171800.0</v>
      </c>
      <c r="B884" s="1" t="s">
        <v>1980</v>
      </c>
      <c r="C884" s="1" t="s">
        <v>1679</v>
      </c>
      <c r="D884" s="1" t="s">
        <v>1685</v>
      </c>
      <c r="E884" s="1" t="s">
        <v>1981</v>
      </c>
      <c r="F884" s="1" t="s">
        <v>16</v>
      </c>
      <c r="G884" s="1" t="s">
        <v>23</v>
      </c>
      <c r="H884" s="1" t="s">
        <v>18</v>
      </c>
      <c r="I884" s="1" t="s">
        <v>139</v>
      </c>
      <c r="J884" s="1">
        <v>70.0</v>
      </c>
      <c r="K884" s="1">
        <v>25.0</v>
      </c>
      <c r="L884" s="1">
        <v>137.0</v>
      </c>
    </row>
    <row r="885">
      <c r="A885" s="1">
        <v>3171012.0</v>
      </c>
      <c r="B885" s="1" t="s">
        <v>1982</v>
      </c>
      <c r="C885" s="1" t="s">
        <v>1679</v>
      </c>
      <c r="D885" s="1" t="s">
        <v>1685</v>
      </c>
      <c r="E885" s="1" t="s">
        <v>1983</v>
      </c>
      <c r="F885" s="1" t="s">
        <v>16</v>
      </c>
      <c r="G885" s="1" t="s">
        <v>150</v>
      </c>
      <c r="H885" s="1" t="s">
        <v>33</v>
      </c>
      <c r="I885" s="1" t="s">
        <v>411</v>
      </c>
      <c r="J885" s="1">
        <v>854.0</v>
      </c>
      <c r="K885" s="1">
        <v>87.0</v>
      </c>
      <c r="L885" s="1">
        <v>3736.0</v>
      </c>
    </row>
    <row r="886">
      <c r="A886" s="1">
        <v>3174527.0</v>
      </c>
      <c r="B886" s="1" t="s">
        <v>1984</v>
      </c>
      <c r="C886" s="1" t="s">
        <v>1679</v>
      </c>
      <c r="D886" s="1" t="s">
        <v>1693</v>
      </c>
      <c r="E886" s="1" t="s">
        <v>1985</v>
      </c>
      <c r="F886" s="1" t="s">
        <v>32</v>
      </c>
      <c r="G886" s="1" t="s">
        <v>150</v>
      </c>
      <c r="H886" s="1" t="s">
        <v>18</v>
      </c>
      <c r="I886" s="1" t="s">
        <v>44</v>
      </c>
      <c r="J886" s="1">
        <v>14.0</v>
      </c>
      <c r="K886" s="1">
        <v>15.0</v>
      </c>
      <c r="L886" s="1">
        <v>234.0</v>
      </c>
    </row>
    <row r="887">
      <c r="A887" s="1">
        <v>3171461.0</v>
      </c>
      <c r="B887" s="1" t="s">
        <v>1986</v>
      </c>
      <c r="C887" s="1" t="s">
        <v>1679</v>
      </c>
      <c r="D887" s="1" t="s">
        <v>1685</v>
      </c>
      <c r="E887" s="1" t="s">
        <v>1987</v>
      </c>
      <c r="F887" s="1" t="s">
        <v>16</v>
      </c>
      <c r="G887" s="1" t="s">
        <v>27</v>
      </c>
      <c r="H887" s="1" t="s">
        <v>18</v>
      </c>
      <c r="I887" s="1" t="s">
        <v>59</v>
      </c>
      <c r="J887" s="1">
        <v>203.0</v>
      </c>
      <c r="K887" s="1">
        <v>66.0</v>
      </c>
      <c r="L887" s="1">
        <v>142.0</v>
      </c>
    </row>
    <row r="888">
      <c r="A888" s="1">
        <v>3174517.0</v>
      </c>
      <c r="B888" s="1" t="s">
        <v>1988</v>
      </c>
      <c r="C888" s="1" t="s">
        <v>1679</v>
      </c>
      <c r="D888" s="1" t="s">
        <v>1693</v>
      </c>
      <c r="E888" s="1" t="s">
        <v>1989</v>
      </c>
      <c r="F888" s="1" t="s">
        <v>16</v>
      </c>
      <c r="G888" s="1" t="s">
        <v>17</v>
      </c>
      <c r="H888" s="1" t="s">
        <v>18</v>
      </c>
      <c r="I888" s="1" t="s">
        <v>139</v>
      </c>
      <c r="J888" s="1">
        <v>98.0</v>
      </c>
      <c r="K888" s="1">
        <v>28.0</v>
      </c>
      <c r="L888" s="1">
        <v>147.0</v>
      </c>
    </row>
    <row r="889">
      <c r="A889" s="1">
        <v>3173712.0</v>
      </c>
      <c r="B889" s="1" t="s">
        <v>1990</v>
      </c>
      <c r="C889" s="1" t="s">
        <v>1679</v>
      </c>
      <c r="D889" s="1" t="s">
        <v>1688</v>
      </c>
      <c r="E889" s="1" t="s">
        <v>1991</v>
      </c>
      <c r="F889" s="1" t="s">
        <v>16</v>
      </c>
      <c r="G889" s="1" t="s">
        <v>27</v>
      </c>
      <c r="H889" s="1" t="s">
        <v>18</v>
      </c>
      <c r="I889" s="1" t="s">
        <v>44</v>
      </c>
      <c r="J889" s="1">
        <v>211.0</v>
      </c>
      <c r="K889" s="1">
        <v>160.0</v>
      </c>
      <c r="L889" s="1">
        <v>219.0</v>
      </c>
    </row>
    <row r="890">
      <c r="A890" s="1">
        <v>3173623.0</v>
      </c>
      <c r="B890" s="1" t="s">
        <v>1992</v>
      </c>
      <c r="C890" s="1" t="s">
        <v>1679</v>
      </c>
      <c r="D890" s="1" t="s">
        <v>1688</v>
      </c>
      <c r="E890" s="1" t="s">
        <v>1993</v>
      </c>
      <c r="F890" s="1" t="s">
        <v>272</v>
      </c>
      <c r="G890" s="1" t="s">
        <v>27</v>
      </c>
      <c r="H890" s="1" t="s">
        <v>18</v>
      </c>
      <c r="I890" s="1" t="s">
        <v>19</v>
      </c>
      <c r="J890" s="1">
        <v>18.0</v>
      </c>
      <c r="K890" s="1">
        <v>33.0</v>
      </c>
      <c r="L890" s="1">
        <v>263.0</v>
      </c>
    </row>
    <row r="891">
      <c r="A891" s="1">
        <v>3172751.0</v>
      </c>
      <c r="B891" s="1" t="s">
        <v>1994</v>
      </c>
      <c r="C891" s="1" t="s">
        <v>1679</v>
      </c>
      <c r="D891" s="1" t="s">
        <v>1680</v>
      </c>
      <c r="E891" s="1" t="s">
        <v>1995</v>
      </c>
      <c r="F891" s="1" t="s">
        <v>32</v>
      </c>
      <c r="G891" s="1" t="s">
        <v>27</v>
      </c>
      <c r="H891" s="1" t="s">
        <v>18</v>
      </c>
      <c r="I891" s="1" t="s">
        <v>563</v>
      </c>
      <c r="J891" s="1">
        <v>12.0</v>
      </c>
      <c r="K891" s="1">
        <v>18.0</v>
      </c>
      <c r="L891" s="1">
        <v>85.0</v>
      </c>
    </row>
    <row r="892">
      <c r="A892" s="1">
        <v>3171757.0</v>
      </c>
      <c r="B892" s="1" t="s">
        <v>1996</v>
      </c>
      <c r="C892" s="1" t="s">
        <v>1679</v>
      </c>
      <c r="D892" s="1" t="s">
        <v>1685</v>
      </c>
      <c r="E892" s="1" t="s">
        <v>1997</v>
      </c>
      <c r="F892" s="1" t="s">
        <v>55</v>
      </c>
      <c r="G892" s="1" t="s">
        <v>17</v>
      </c>
      <c r="H892" s="1" t="s">
        <v>18</v>
      </c>
      <c r="I892" s="1" t="s">
        <v>19</v>
      </c>
      <c r="J892" s="1">
        <v>27.0</v>
      </c>
      <c r="K892" s="1">
        <v>33.0</v>
      </c>
      <c r="L892" s="1">
        <v>144.0</v>
      </c>
    </row>
    <row r="893">
      <c r="A893" s="1">
        <v>3171805.0</v>
      </c>
      <c r="B893" s="1" t="s">
        <v>1998</v>
      </c>
      <c r="C893" s="1" t="s">
        <v>1679</v>
      </c>
      <c r="D893" s="1" t="s">
        <v>1685</v>
      </c>
      <c r="E893" s="1" t="s">
        <v>1999</v>
      </c>
      <c r="F893" s="1" t="s">
        <v>16</v>
      </c>
      <c r="G893" s="1" t="s">
        <v>17</v>
      </c>
      <c r="H893" s="1" t="s">
        <v>18</v>
      </c>
      <c r="I893" s="1" t="s">
        <v>44</v>
      </c>
      <c r="J893" s="1">
        <v>108.0</v>
      </c>
      <c r="K893" s="1">
        <v>59.0</v>
      </c>
      <c r="L893" s="1">
        <v>0.0</v>
      </c>
    </row>
    <row r="894">
      <c r="A894" s="1">
        <v>3174431.0</v>
      </c>
      <c r="B894" s="1" t="s">
        <v>2000</v>
      </c>
      <c r="C894" s="1" t="s">
        <v>1679</v>
      </c>
      <c r="D894" s="1" t="s">
        <v>1693</v>
      </c>
      <c r="E894" s="1" t="s">
        <v>2001</v>
      </c>
      <c r="F894" s="1" t="s">
        <v>16</v>
      </c>
      <c r="G894" s="1" t="s">
        <v>27</v>
      </c>
      <c r="H894" s="1" t="s">
        <v>18</v>
      </c>
      <c r="I894" s="1" t="s">
        <v>19</v>
      </c>
      <c r="J894" s="1">
        <v>311.0</v>
      </c>
      <c r="K894" s="1">
        <v>95.0</v>
      </c>
      <c r="L894" s="1">
        <v>800.0</v>
      </c>
    </row>
    <row r="895">
      <c r="A895" s="1">
        <v>3172755.0</v>
      </c>
      <c r="B895" s="1" t="s">
        <v>2002</v>
      </c>
      <c r="C895" s="1" t="s">
        <v>1679</v>
      </c>
      <c r="D895" s="1" t="s">
        <v>1680</v>
      </c>
      <c r="E895" s="1" t="s">
        <v>2003</v>
      </c>
      <c r="F895" s="1" t="s">
        <v>1884</v>
      </c>
      <c r="G895" s="1" t="s">
        <v>27</v>
      </c>
      <c r="H895" s="1" t="s">
        <v>18</v>
      </c>
      <c r="I895" s="1" t="s">
        <v>44</v>
      </c>
      <c r="J895" s="1">
        <v>81.0</v>
      </c>
      <c r="K895" s="1">
        <v>50.0</v>
      </c>
      <c r="L895" s="1">
        <v>233.0</v>
      </c>
    </row>
    <row r="896">
      <c r="A896" s="1">
        <v>3171803.0</v>
      </c>
      <c r="B896" s="1" t="s">
        <v>2004</v>
      </c>
      <c r="C896" s="1" t="s">
        <v>1679</v>
      </c>
      <c r="D896" s="1" t="s">
        <v>1685</v>
      </c>
      <c r="E896" s="1" t="s">
        <v>2005</v>
      </c>
      <c r="F896" s="1" t="s">
        <v>16</v>
      </c>
      <c r="G896" s="1" t="s">
        <v>23</v>
      </c>
      <c r="H896" s="1" t="s">
        <v>28</v>
      </c>
      <c r="I896" s="1" t="s">
        <v>139</v>
      </c>
      <c r="J896" s="1">
        <v>62.0</v>
      </c>
      <c r="K896" s="1">
        <v>29.0</v>
      </c>
      <c r="L896" s="1">
        <v>210.0</v>
      </c>
    </row>
    <row r="897">
      <c r="A897" s="1">
        <v>3172243.0</v>
      </c>
      <c r="B897" s="1" t="s">
        <v>2006</v>
      </c>
      <c r="C897" s="1" t="s">
        <v>1679</v>
      </c>
      <c r="D897" s="1" t="s">
        <v>1680</v>
      </c>
      <c r="E897" s="1" t="s">
        <v>2007</v>
      </c>
      <c r="F897" s="1" t="s">
        <v>16</v>
      </c>
      <c r="G897" s="1" t="s">
        <v>27</v>
      </c>
      <c r="H897" s="1" t="s">
        <v>18</v>
      </c>
      <c r="I897" s="1" t="s">
        <v>19</v>
      </c>
      <c r="J897" s="1">
        <v>277.0</v>
      </c>
      <c r="K897" s="1">
        <v>110.0</v>
      </c>
      <c r="L897" s="1">
        <v>745.0</v>
      </c>
    </row>
    <row r="898">
      <c r="A898" s="1">
        <v>3175363.0</v>
      </c>
      <c r="B898" s="1" t="s">
        <v>2008</v>
      </c>
      <c r="C898" s="1" t="s">
        <v>1679</v>
      </c>
      <c r="D898" s="1" t="s">
        <v>1700</v>
      </c>
      <c r="E898" s="1" t="s">
        <v>2009</v>
      </c>
      <c r="F898" s="1" t="s">
        <v>55</v>
      </c>
      <c r="G898" s="1" t="s">
        <v>17</v>
      </c>
      <c r="H898" s="1" t="s">
        <v>18</v>
      </c>
      <c r="I898" s="1" t="s">
        <v>19</v>
      </c>
      <c r="J898" s="1">
        <v>59.0</v>
      </c>
      <c r="K898" s="1">
        <v>24.0</v>
      </c>
      <c r="L898" s="1">
        <v>44.0</v>
      </c>
    </row>
    <row r="899">
      <c r="A899" s="1">
        <v>3171793.0</v>
      </c>
      <c r="B899" s="1" t="s">
        <v>2010</v>
      </c>
      <c r="C899" s="1" t="s">
        <v>1679</v>
      </c>
      <c r="D899" s="1" t="s">
        <v>1685</v>
      </c>
      <c r="E899" s="1" t="s">
        <v>2011</v>
      </c>
      <c r="F899" s="1" t="s">
        <v>16</v>
      </c>
      <c r="G899" s="1" t="s">
        <v>23</v>
      </c>
      <c r="H899" s="1" t="s">
        <v>28</v>
      </c>
      <c r="I899" s="1" t="s">
        <v>139</v>
      </c>
      <c r="J899" s="1">
        <v>57.0</v>
      </c>
      <c r="K899" s="1">
        <v>38.0</v>
      </c>
      <c r="L899" s="1">
        <v>196.0</v>
      </c>
    </row>
    <row r="900">
      <c r="A900" s="1">
        <v>3171807.0</v>
      </c>
      <c r="B900" s="1" t="s">
        <v>2012</v>
      </c>
      <c r="C900" s="1" t="s">
        <v>1679</v>
      </c>
      <c r="D900" s="1" t="s">
        <v>1685</v>
      </c>
      <c r="E900" s="1" t="s">
        <v>2013</v>
      </c>
      <c r="F900" s="1" t="s">
        <v>16</v>
      </c>
      <c r="G900" s="1" t="s">
        <v>17</v>
      </c>
      <c r="H900" s="1" t="s">
        <v>18</v>
      </c>
      <c r="I900" s="1" t="s">
        <v>19</v>
      </c>
      <c r="J900" s="1">
        <v>101.0</v>
      </c>
      <c r="K900" s="1">
        <v>43.0</v>
      </c>
      <c r="L900" s="1">
        <v>0.0</v>
      </c>
    </row>
    <row r="901">
      <c r="A901" s="1">
        <v>3173040.0</v>
      </c>
      <c r="B901" s="1" t="s">
        <v>2014</v>
      </c>
      <c r="C901" s="1" t="s">
        <v>1679</v>
      </c>
      <c r="D901" s="1" t="s">
        <v>1688</v>
      </c>
      <c r="E901" s="1" t="s">
        <v>2015</v>
      </c>
      <c r="F901" s="1" t="s">
        <v>16</v>
      </c>
      <c r="G901" s="1" t="s">
        <v>27</v>
      </c>
      <c r="H901" s="1" t="s">
        <v>18</v>
      </c>
      <c r="I901" s="1" t="s">
        <v>19</v>
      </c>
      <c r="J901" s="1">
        <v>236.0</v>
      </c>
      <c r="K901" s="1">
        <v>125.0</v>
      </c>
      <c r="L901" s="1">
        <v>674.0</v>
      </c>
    </row>
    <row r="902">
      <c r="A902" s="1">
        <v>3173474.0</v>
      </c>
      <c r="B902" s="1" t="s">
        <v>2016</v>
      </c>
      <c r="C902" s="1" t="s">
        <v>1679</v>
      </c>
      <c r="D902" s="1" t="s">
        <v>1688</v>
      </c>
      <c r="E902" s="1" t="s">
        <v>2017</v>
      </c>
      <c r="F902" s="1" t="s">
        <v>16</v>
      </c>
      <c r="G902" s="1" t="s">
        <v>17</v>
      </c>
      <c r="H902" s="1" t="s">
        <v>18</v>
      </c>
      <c r="I902" s="1" t="s">
        <v>113</v>
      </c>
      <c r="J902" s="1">
        <v>100.0</v>
      </c>
      <c r="K902" s="1">
        <v>41.0</v>
      </c>
      <c r="L902" s="1">
        <v>268.0</v>
      </c>
    </row>
    <row r="903">
      <c r="A903" s="1">
        <v>3171680.0</v>
      </c>
      <c r="B903" s="1" t="s">
        <v>2018</v>
      </c>
      <c r="C903" s="1" t="s">
        <v>1679</v>
      </c>
      <c r="D903" s="1" t="s">
        <v>1685</v>
      </c>
      <c r="E903" s="1" t="s">
        <v>2019</v>
      </c>
      <c r="F903" s="1" t="s">
        <v>16</v>
      </c>
      <c r="G903" s="1" t="s">
        <v>17</v>
      </c>
      <c r="H903" s="1" t="s">
        <v>18</v>
      </c>
      <c r="I903" s="1" t="s">
        <v>19</v>
      </c>
      <c r="J903" s="1">
        <v>38.0</v>
      </c>
      <c r="K903" s="1">
        <v>34.0</v>
      </c>
      <c r="L903" s="1">
        <v>212.0</v>
      </c>
    </row>
    <row r="904">
      <c r="A904" s="1">
        <v>3171795.0</v>
      </c>
      <c r="B904" s="1" t="s">
        <v>2020</v>
      </c>
      <c r="C904" s="1" t="s">
        <v>1679</v>
      </c>
      <c r="D904" s="1" t="s">
        <v>1685</v>
      </c>
      <c r="E904" s="1" t="s">
        <v>2021</v>
      </c>
      <c r="F904" s="1" t="s">
        <v>16</v>
      </c>
      <c r="G904" s="1" t="s">
        <v>27</v>
      </c>
      <c r="H904" s="1" t="s">
        <v>28</v>
      </c>
      <c r="I904" s="1" t="s">
        <v>139</v>
      </c>
      <c r="J904" s="1">
        <v>401.0</v>
      </c>
      <c r="K904" s="1">
        <v>94.0</v>
      </c>
      <c r="L904" s="1">
        <v>869.0</v>
      </c>
    </row>
    <row r="905">
      <c r="A905" s="1">
        <v>3174041.0</v>
      </c>
      <c r="B905" s="1" t="s">
        <v>2022</v>
      </c>
      <c r="C905" s="1" t="s">
        <v>1679</v>
      </c>
      <c r="D905" s="1" t="s">
        <v>1693</v>
      </c>
      <c r="E905" s="1" t="s">
        <v>2023</v>
      </c>
      <c r="F905" s="1" t="s">
        <v>174</v>
      </c>
      <c r="G905" s="1" t="s">
        <v>150</v>
      </c>
      <c r="H905" s="1" t="s">
        <v>33</v>
      </c>
      <c r="I905" s="1" t="s">
        <v>411</v>
      </c>
      <c r="J905" s="1">
        <v>3.0</v>
      </c>
      <c r="K905" s="1">
        <v>26.0</v>
      </c>
      <c r="L905" s="1">
        <v>398.0</v>
      </c>
    </row>
    <row r="906">
      <c r="A906" s="1">
        <v>3172050.0</v>
      </c>
      <c r="B906" s="1" t="s">
        <v>2024</v>
      </c>
      <c r="C906" s="1" t="s">
        <v>1679</v>
      </c>
      <c r="D906" s="1" t="s">
        <v>1680</v>
      </c>
      <c r="E906" s="1" t="s">
        <v>2025</v>
      </c>
      <c r="F906" s="1" t="s">
        <v>16</v>
      </c>
      <c r="G906" s="1" t="s">
        <v>17</v>
      </c>
      <c r="H906" s="1" t="s">
        <v>18</v>
      </c>
      <c r="I906" s="1" t="s">
        <v>74</v>
      </c>
      <c r="J906" s="1">
        <v>126.0</v>
      </c>
      <c r="K906" s="1">
        <v>33.0</v>
      </c>
      <c r="L906" s="1">
        <v>198.0</v>
      </c>
    </row>
    <row r="907">
      <c r="A907" s="1">
        <v>3175181.0</v>
      </c>
      <c r="B907" s="1" t="s">
        <v>2026</v>
      </c>
      <c r="C907" s="1" t="s">
        <v>1679</v>
      </c>
      <c r="D907" s="1" t="s">
        <v>1700</v>
      </c>
      <c r="E907" s="1" t="s">
        <v>2027</v>
      </c>
      <c r="F907" s="1" t="s">
        <v>16</v>
      </c>
      <c r="G907" s="1" t="s">
        <v>17</v>
      </c>
      <c r="H907" s="1" t="s">
        <v>18</v>
      </c>
      <c r="I907" s="1" t="s">
        <v>19</v>
      </c>
      <c r="J907" s="1">
        <v>105.0</v>
      </c>
      <c r="K907" s="1">
        <v>46.0</v>
      </c>
      <c r="L907" s="1">
        <v>168.0</v>
      </c>
    </row>
    <row r="908">
      <c r="A908" s="1">
        <v>3172702.0</v>
      </c>
      <c r="B908" s="1" t="s">
        <v>2028</v>
      </c>
      <c r="C908" s="1" t="s">
        <v>1679</v>
      </c>
      <c r="D908" s="1" t="s">
        <v>1680</v>
      </c>
      <c r="E908" s="1" t="s">
        <v>2029</v>
      </c>
      <c r="F908" s="1" t="s">
        <v>16</v>
      </c>
      <c r="G908" s="1" t="s">
        <v>17</v>
      </c>
      <c r="H908" s="1" t="s">
        <v>18</v>
      </c>
      <c r="I908" s="1" t="s">
        <v>19</v>
      </c>
      <c r="J908" s="1">
        <v>101.0</v>
      </c>
      <c r="K908" s="1">
        <v>43.0</v>
      </c>
      <c r="L908" s="1">
        <v>72.0</v>
      </c>
    </row>
    <row r="909">
      <c r="A909" s="1">
        <v>3171034.0</v>
      </c>
      <c r="B909" s="1" t="s">
        <v>2030</v>
      </c>
      <c r="C909" s="1" t="s">
        <v>1679</v>
      </c>
      <c r="D909" s="1" t="s">
        <v>1685</v>
      </c>
      <c r="E909" s="1" t="s">
        <v>2031</v>
      </c>
      <c r="F909" s="1" t="s">
        <v>16</v>
      </c>
      <c r="G909" s="1" t="s">
        <v>27</v>
      </c>
      <c r="H909" s="1" t="s">
        <v>33</v>
      </c>
      <c r="I909" s="1" t="s">
        <v>95</v>
      </c>
      <c r="J909" s="1">
        <v>198.0</v>
      </c>
      <c r="K909" s="1">
        <v>93.0</v>
      </c>
      <c r="L909" s="1">
        <v>766.0</v>
      </c>
    </row>
    <row r="910">
      <c r="A910" s="1">
        <v>3171515.0</v>
      </c>
      <c r="B910" s="1" t="s">
        <v>2032</v>
      </c>
      <c r="C910" s="1" t="s">
        <v>1679</v>
      </c>
      <c r="D910" s="1" t="s">
        <v>1685</v>
      </c>
      <c r="E910" s="1" t="s">
        <v>2033</v>
      </c>
      <c r="F910" s="1" t="s">
        <v>16</v>
      </c>
      <c r="G910" s="1" t="s">
        <v>27</v>
      </c>
      <c r="H910" s="1" t="s">
        <v>18</v>
      </c>
      <c r="I910" s="1" t="s">
        <v>19</v>
      </c>
      <c r="J910" s="1">
        <v>203.0</v>
      </c>
      <c r="K910" s="1">
        <v>122.0</v>
      </c>
      <c r="L910" s="1">
        <v>0.0</v>
      </c>
    </row>
    <row r="911">
      <c r="A911" s="1">
        <v>3173645.0</v>
      </c>
      <c r="B911" s="1" t="s">
        <v>2034</v>
      </c>
      <c r="C911" s="1" t="s">
        <v>1679</v>
      </c>
      <c r="D911" s="1" t="s">
        <v>1688</v>
      </c>
      <c r="E911" s="1" t="s">
        <v>2035</v>
      </c>
      <c r="F911" s="1" t="s">
        <v>16</v>
      </c>
      <c r="G911" s="1" t="s">
        <v>17</v>
      </c>
      <c r="H911" s="1" t="s">
        <v>18</v>
      </c>
      <c r="I911" s="1" t="s">
        <v>19</v>
      </c>
      <c r="J911" s="1">
        <v>99.0</v>
      </c>
      <c r="K911" s="1">
        <v>30.0</v>
      </c>
      <c r="L911" s="1">
        <v>164.0</v>
      </c>
    </row>
    <row r="912">
      <c r="A912" s="1">
        <v>3174544.0</v>
      </c>
      <c r="B912" s="1" t="s">
        <v>2036</v>
      </c>
      <c r="C912" s="1" t="s">
        <v>1679</v>
      </c>
      <c r="D912" s="1" t="s">
        <v>1693</v>
      </c>
      <c r="E912" s="1" t="s">
        <v>2037</v>
      </c>
      <c r="F912" s="1" t="s">
        <v>2038</v>
      </c>
      <c r="G912" s="1" t="s">
        <v>17</v>
      </c>
      <c r="H912" s="1" t="s">
        <v>18</v>
      </c>
      <c r="I912" s="1" t="s">
        <v>34</v>
      </c>
      <c r="J912" s="1">
        <v>26.0</v>
      </c>
      <c r="K912" s="1">
        <v>28.0</v>
      </c>
      <c r="L912" s="1">
        <v>0.0</v>
      </c>
    </row>
    <row r="913">
      <c r="A913" s="1">
        <v>3174486.0</v>
      </c>
      <c r="B913" s="1" t="s">
        <v>2039</v>
      </c>
      <c r="C913" s="1" t="s">
        <v>1679</v>
      </c>
      <c r="D913" s="1" t="s">
        <v>1693</v>
      </c>
      <c r="E913" s="1" t="s">
        <v>2040</v>
      </c>
      <c r="F913" s="1" t="s">
        <v>16</v>
      </c>
      <c r="G913" s="1" t="s">
        <v>27</v>
      </c>
      <c r="H913" s="1" t="s">
        <v>18</v>
      </c>
      <c r="I913" s="1" t="s">
        <v>19</v>
      </c>
      <c r="J913" s="1">
        <v>220.0</v>
      </c>
      <c r="K913" s="1">
        <v>111.0</v>
      </c>
      <c r="L913" s="1">
        <v>571.0</v>
      </c>
    </row>
    <row r="914">
      <c r="A914" s="1">
        <v>3172495.0</v>
      </c>
      <c r="B914" s="1" t="s">
        <v>2041</v>
      </c>
      <c r="C914" s="1" t="s">
        <v>1679</v>
      </c>
      <c r="D914" s="1" t="s">
        <v>1680</v>
      </c>
      <c r="E914" s="1" t="s">
        <v>2042</v>
      </c>
      <c r="F914" s="1" t="s">
        <v>16</v>
      </c>
      <c r="G914" s="1" t="s">
        <v>27</v>
      </c>
      <c r="H914" s="1" t="s">
        <v>18</v>
      </c>
      <c r="I914" s="1" t="s">
        <v>19</v>
      </c>
      <c r="J914" s="1">
        <v>200.0</v>
      </c>
      <c r="K914" s="1">
        <v>133.0</v>
      </c>
      <c r="L914" s="1">
        <v>533.0</v>
      </c>
    </row>
    <row r="915">
      <c r="A915" s="1">
        <v>3175385.0</v>
      </c>
      <c r="B915" s="1" t="s">
        <v>2043</v>
      </c>
      <c r="C915" s="1" t="s">
        <v>1679</v>
      </c>
      <c r="D915" s="1" t="s">
        <v>1700</v>
      </c>
      <c r="E915" s="1" t="s">
        <v>2044</v>
      </c>
      <c r="F915" s="1" t="s">
        <v>16</v>
      </c>
      <c r="G915" s="1" t="s">
        <v>27</v>
      </c>
      <c r="H915" s="1" t="s">
        <v>18</v>
      </c>
      <c r="I915" s="1" t="s">
        <v>19</v>
      </c>
      <c r="J915" s="1">
        <v>151.0</v>
      </c>
      <c r="K915" s="1">
        <v>121.0</v>
      </c>
      <c r="L915" s="1">
        <v>954.0</v>
      </c>
    </row>
    <row r="916">
      <c r="A916" s="1">
        <v>3173062.0</v>
      </c>
      <c r="B916" s="1" t="s">
        <v>2045</v>
      </c>
      <c r="C916" s="1" t="s">
        <v>1679</v>
      </c>
      <c r="D916" s="1" t="s">
        <v>1688</v>
      </c>
      <c r="E916" s="1" t="s">
        <v>2046</v>
      </c>
      <c r="F916" s="1" t="s">
        <v>16</v>
      </c>
      <c r="G916" s="1" t="s">
        <v>27</v>
      </c>
      <c r="H916" s="1" t="s">
        <v>18</v>
      </c>
      <c r="I916" s="1" t="s">
        <v>258</v>
      </c>
      <c r="J916" s="1">
        <v>206.0</v>
      </c>
      <c r="K916" s="1">
        <v>79.0</v>
      </c>
      <c r="L916" s="1">
        <v>678.0</v>
      </c>
    </row>
    <row r="917">
      <c r="A917" s="1">
        <v>3173521.0</v>
      </c>
      <c r="B917" s="1" t="s">
        <v>2047</v>
      </c>
      <c r="C917" s="1" t="s">
        <v>1679</v>
      </c>
      <c r="D917" s="1" t="s">
        <v>1688</v>
      </c>
      <c r="E917" s="1" t="s">
        <v>2048</v>
      </c>
      <c r="F917" s="1" t="s">
        <v>16</v>
      </c>
      <c r="G917" s="1" t="s">
        <v>150</v>
      </c>
      <c r="H917" s="1" t="s">
        <v>28</v>
      </c>
      <c r="I917" s="1" t="s">
        <v>139</v>
      </c>
      <c r="J917" s="1">
        <v>437.0</v>
      </c>
      <c r="K917" s="1">
        <v>125.0</v>
      </c>
      <c r="L917" s="1">
        <v>1065.0</v>
      </c>
    </row>
    <row r="918">
      <c r="A918" s="1">
        <v>3171702.0</v>
      </c>
      <c r="B918" s="1" t="s">
        <v>2049</v>
      </c>
      <c r="C918" s="1" t="s">
        <v>1679</v>
      </c>
      <c r="D918" s="1" t="s">
        <v>1685</v>
      </c>
      <c r="E918" s="1" t="s">
        <v>2050</v>
      </c>
      <c r="F918" s="1" t="s">
        <v>16</v>
      </c>
      <c r="G918" s="1" t="s">
        <v>17</v>
      </c>
      <c r="H918" s="1" t="s">
        <v>18</v>
      </c>
      <c r="I918" s="1" t="s">
        <v>19</v>
      </c>
      <c r="J918" s="1">
        <v>128.0</v>
      </c>
      <c r="K918" s="1">
        <v>71.0</v>
      </c>
      <c r="L918" s="1">
        <v>355.0</v>
      </c>
    </row>
    <row r="919">
      <c r="A919" s="1">
        <v>3171796.0</v>
      </c>
      <c r="B919" s="1" t="s">
        <v>2051</v>
      </c>
      <c r="C919" s="1" t="s">
        <v>1679</v>
      </c>
      <c r="D919" s="1" t="s">
        <v>1685</v>
      </c>
      <c r="E919" s="1" t="s">
        <v>2052</v>
      </c>
      <c r="F919" s="1" t="s">
        <v>16</v>
      </c>
      <c r="G919" s="1" t="s">
        <v>23</v>
      </c>
      <c r="H919" s="1" t="s">
        <v>18</v>
      </c>
      <c r="I919" s="1" t="s">
        <v>19</v>
      </c>
      <c r="J919" s="1">
        <v>50.0</v>
      </c>
      <c r="K919" s="1">
        <v>23.0</v>
      </c>
      <c r="L919" s="1">
        <v>131.0</v>
      </c>
    </row>
    <row r="920">
      <c r="A920" s="1">
        <v>3174260.0</v>
      </c>
      <c r="B920" s="1" t="s">
        <v>2053</v>
      </c>
      <c r="C920" s="1" t="s">
        <v>1679</v>
      </c>
      <c r="D920" s="1" t="s">
        <v>1693</v>
      </c>
      <c r="E920" s="1" t="s">
        <v>2054</v>
      </c>
      <c r="F920" s="1" t="s">
        <v>55</v>
      </c>
      <c r="G920" s="1" t="s">
        <v>150</v>
      </c>
      <c r="H920" s="1" t="s">
        <v>33</v>
      </c>
      <c r="I920" s="1" t="s">
        <v>411</v>
      </c>
      <c r="J920" s="1">
        <v>258.0</v>
      </c>
      <c r="K920" s="1">
        <v>52.0</v>
      </c>
      <c r="L920" s="1">
        <v>1418.0</v>
      </c>
    </row>
    <row r="921">
      <c r="A921" s="1">
        <v>3174523.0</v>
      </c>
      <c r="B921" s="1" t="s">
        <v>2055</v>
      </c>
      <c r="C921" s="1" t="s">
        <v>1679</v>
      </c>
      <c r="D921" s="1" t="s">
        <v>1680</v>
      </c>
      <c r="E921" s="1" t="s">
        <v>2056</v>
      </c>
      <c r="F921" s="1" t="s">
        <v>16</v>
      </c>
      <c r="G921" s="1" t="s">
        <v>23</v>
      </c>
      <c r="H921" s="1" t="s">
        <v>18</v>
      </c>
      <c r="I921" s="1" t="s">
        <v>139</v>
      </c>
      <c r="J921" s="1">
        <v>50.0</v>
      </c>
      <c r="K921" s="1">
        <v>26.0</v>
      </c>
      <c r="L921" s="1">
        <v>195.0</v>
      </c>
    </row>
    <row r="922">
      <c r="A922" s="1">
        <v>3173707.0</v>
      </c>
      <c r="B922" s="1" t="s">
        <v>2057</v>
      </c>
      <c r="C922" s="1" t="s">
        <v>1679</v>
      </c>
      <c r="D922" s="1" t="s">
        <v>1688</v>
      </c>
      <c r="E922" s="1" t="s">
        <v>2058</v>
      </c>
      <c r="F922" s="1" t="s">
        <v>32</v>
      </c>
      <c r="G922" s="1" t="s">
        <v>27</v>
      </c>
      <c r="H922" s="1" t="s">
        <v>18</v>
      </c>
      <c r="I922" s="1" t="s">
        <v>19</v>
      </c>
      <c r="J922" s="1">
        <v>12.0</v>
      </c>
      <c r="K922" s="1">
        <v>19.0</v>
      </c>
      <c r="L922" s="1">
        <v>74.0</v>
      </c>
    </row>
    <row r="923">
      <c r="A923" s="1">
        <v>3172072.0</v>
      </c>
      <c r="B923" s="1" t="s">
        <v>2059</v>
      </c>
      <c r="C923" s="1" t="s">
        <v>1679</v>
      </c>
      <c r="D923" s="1" t="s">
        <v>1680</v>
      </c>
      <c r="E923" s="1" t="s">
        <v>2060</v>
      </c>
      <c r="F923" s="1" t="s">
        <v>16</v>
      </c>
      <c r="G923" s="1" t="s">
        <v>150</v>
      </c>
      <c r="H923" s="1" t="s">
        <v>33</v>
      </c>
      <c r="I923" s="1" t="s">
        <v>65</v>
      </c>
      <c r="J923" s="1">
        <v>766.0</v>
      </c>
      <c r="K923" s="1">
        <v>132.0</v>
      </c>
      <c r="L923" s="1">
        <v>2696.0</v>
      </c>
    </row>
    <row r="924">
      <c r="A924" s="1">
        <v>3174074.0</v>
      </c>
      <c r="B924" s="1" t="s">
        <v>2061</v>
      </c>
      <c r="C924" s="1" t="s">
        <v>1679</v>
      </c>
      <c r="D924" s="1" t="s">
        <v>1693</v>
      </c>
      <c r="E924" s="1" t="s">
        <v>2062</v>
      </c>
      <c r="F924" s="1" t="s">
        <v>16</v>
      </c>
      <c r="G924" s="1" t="s">
        <v>27</v>
      </c>
      <c r="H924" s="1" t="s">
        <v>28</v>
      </c>
      <c r="I924" s="1" t="s">
        <v>139</v>
      </c>
      <c r="J924" s="1">
        <v>410.0</v>
      </c>
      <c r="K924" s="1">
        <v>110.0</v>
      </c>
      <c r="L924" s="1">
        <v>1086.0</v>
      </c>
    </row>
    <row r="925">
      <c r="A925" s="1">
        <v>3175315.0</v>
      </c>
      <c r="B925" s="1" t="s">
        <v>2063</v>
      </c>
      <c r="C925" s="1" t="s">
        <v>1679</v>
      </c>
      <c r="D925" s="1" t="s">
        <v>1700</v>
      </c>
      <c r="E925" s="1" t="s">
        <v>2064</v>
      </c>
      <c r="F925" s="1" t="s">
        <v>16</v>
      </c>
      <c r="G925" s="1" t="s">
        <v>17</v>
      </c>
      <c r="H925" s="1" t="s">
        <v>18</v>
      </c>
      <c r="I925" s="1" t="s">
        <v>59</v>
      </c>
      <c r="J925" s="1">
        <v>138.0</v>
      </c>
      <c r="K925" s="1">
        <v>47.0</v>
      </c>
      <c r="L925" s="1">
        <v>102.0</v>
      </c>
    </row>
    <row r="926">
      <c r="A926" s="1">
        <v>3172735.0</v>
      </c>
      <c r="B926" s="1" t="s">
        <v>2065</v>
      </c>
      <c r="C926" s="1" t="s">
        <v>1679</v>
      </c>
      <c r="D926" s="1" t="s">
        <v>1680</v>
      </c>
      <c r="E926" s="1" t="s">
        <v>2066</v>
      </c>
      <c r="F926" s="1" t="s">
        <v>174</v>
      </c>
      <c r="G926" s="1" t="s">
        <v>17</v>
      </c>
      <c r="H926" s="1" t="s">
        <v>18</v>
      </c>
      <c r="I926" s="1" t="s">
        <v>684</v>
      </c>
      <c r="J926" s="1">
        <v>37.0</v>
      </c>
      <c r="K926" s="1">
        <v>19.0</v>
      </c>
      <c r="L926" s="1">
        <v>11.0</v>
      </c>
    </row>
    <row r="927">
      <c r="A927" s="1">
        <v>3171060.0</v>
      </c>
      <c r="B927" s="1" t="s">
        <v>2067</v>
      </c>
      <c r="C927" s="1" t="s">
        <v>1679</v>
      </c>
      <c r="D927" s="1" t="s">
        <v>1685</v>
      </c>
      <c r="E927" s="1" t="s">
        <v>2068</v>
      </c>
      <c r="F927" s="1" t="s">
        <v>174</v>
      </c>
      <c r="G927" s="1" t="s">
        <v>17</v>
      </c>
      <c r="H927" s="1" t="s">
        <v>18</v>
      </c>
      <c r="I927" s="1" t="s">
        <v>59</v>
      </c>
      <c r="J927" s="1">
        <v>30.0</v>
      </c>
      <c r="K927" s="1">
        <v>13.0</v>
      </c>
      <c r="L927" s="1">
        <v>90.0</v>
      </c>
    </row>
    <row r="928">
      <c r="A928" s="1">
        <v>3215067.0</v>
      </c>
      <c r="B928" s="1" t="s">
        <v>2069</v>
      </c>
      <c r="C928" s="1" t="s">
        <v>2070</v>
      </c>
      <c r="D928" s="1" t="s">
        <v>2071</v>
      </c>
      <c r="E928" s="1" t="s">
        <v>2072</v>
      </c>
      <c r="F928" s="1" t="s">
        <v>16</v>
      </c>
      <c r="G928" s="1" t="s">
        <v>17</v>
      </c>
      <c r="H928" s="1" t="s">
        <v>18</v>
      </c>
      <c r="I928" s="1" t="s">
        <v>19</v>
      </c>
      <c r="J928" s="1">
        <v>115.0</v>
      </c>
      <c r="K928" s="1">
        <v>52.0</v>
      </c>
      <c r="L928" s="1">
        <v>460.0</v>
      </c>
    </row>
    <row r="929">
      <c r="A929" s="1">
        <v>3208057.0</v>
      </c>
      <c r="B929" s="1" t="s">
        <v>2073</v>
      </c>
      <c r="C929" s="1" t="s">
        <v>2070</v>
      </c>
      <c r="D929" s="1" t="s">
        <v>2074</v>
      </c>
      <c r="E929" s="1" t="s">
        <v>2075</v>
      </c>
      <c r="F929" s="1" t="s">
        <v>16</v>
      </c>
      <c r="G929" s="1" t="s">
        <v>23</v>
      </c>
      <c r="H929" s="1" t="s">
        <v>18</v>
      </c>
      <c r="I929" s="1" t="s">
        <v>44</v>
      </c>
      <c r="J929" s="1">
        <v>61.0</v>
      </c>
      <c r="K929" s="1">
        <v>23.0</v>
      </c>
      <c r="L929" s="1">
        <v>57.0</v>
      </c>
    </row>
    <row r="930">
      <c r="A930" s="1">
        <v>3278018.0</v>
      </c>
      <c r="B930" s="1" t="s">
        <v>2076</v>
      </c>
      <c r="C930" s="1" t="s">
        <v>2070</v>
      </c>
      <c r="D930" s="1" t="s">
        <v>2077</v>
      </c>
      <c r="E930" s="1" t="s">
        <v>2078</v>
      </c>
      <c r="F930" s="1" t="s">
        <v>16</v>
      </c>
      <c r="G930" s="1" t="s">
        <v>23</v>
      </c>
      <c r="H930" s="1" t="s">
        <v>18</v>
      </c>
      <c r="I930" s="1" t="s">
        <v>19</v>
      </c>
      <c r="J930" s="1">
        <v>50.0</v>
      </c>
      <c r="K930" s="1">
        <v>27.0</v>
      </c>
      <c r="L930" s="1">
        <v>125.0</v>
      </c>
    </row>
    <row r="931">
      <c r="A931" s="1">
        <v>3216414.0</v>
      </c>
      <c r="B931" s="1" t="s">
        <v>285</v>
      </c>
      <c r="C931" s="1" t="s">
        <v>2070</v>
      </c>
      <c r="D931" s="1" t="s">
        <v>2079</v>
      </c>
      <c r="E931" s="1" t="s">
        <v>2080</v>
      </c>
      <c r="F931" s="1" t="s">
        <v>16</v>
      </c>
      <c r="G931" s="1" t="s">
        <v>17</v>
      </c>
      <c r="H931" s="1" t="s">
        <v>18</v>
      </c>
      <c r="I931" s="1" t="s">
        <v>44</v>
      </c>
      <c r="J931" s="1">
        <v>102.0</v>
      </c>
      <c r="K931" s="1">
        <v>28.0</v>
      </c>
      <c r="L931" s="1">
        <v>164.0</v>
      </c>
    </row>
    <row r="932">
      <c r="A932" s="1">
        <v>3276169.0</v>
      </c>
      <c r="B932" s="1" t="s">
        <v>2081</v>
      </c>
      <c r="C932" s="1" t="s">
        <v>2070</v>
      </c>
      <c r="D932" s="1" t="s">
        <v>2082</v>
      </c>
      <c r="E932" s="1" t="s">
        <v>2083</v>
      </c>
      <c r="F932" s="1" t="s">
        <v>16</v>
      </c>
      <c r="G932" s="1" t="s">
        <v>17</v>
      </c>
      <c r="H932" s="1" t="s">
        <v>18</v>
      </c>
      <c r="I932" s="1" t="s">
        <v>44</v>
      </c>
      <c r="J932" s="1">
        <v>96.0</v>
      </c>
      <c r="K932" s="1">
        <v>28.0</v>
      </c>
      <c r="L932" s="1">
        <v>0.0</v>
      </c>
    </row>
    <row r="933">
      <c r="A933" s="1">
        <v>3202014.0</v>
      </c>
      <c r="B933" s="1" t="s">
        <v>2084</v>
      </c>
      <c r="C933" s="1" t="s">
        <v>2070</v>
      </c>
      <c r="D933" s="1" t="s">
        <v>2085</v>
      </c>
      <c r="E933" s="1" t="s">
        <v>2086</v>
      </c>
      <c r="F933" s="1" t="s">
        <v>16</v>
      </c>
      <c r="G933" s="1" t="s">
        <v>27</v>
      </c>
      <c r="H933" s="1" t="s">
        <v>28</v>
      </c>
      <c r="I933" s="1" t="s">
        <v>40</v>
      </c>
      <c r="J933" s="1">
        <v>326.0</v>
      </c>
      <c r="K933" s="1">
        <v>120.0</v>
      </c>
      <c r="L933" s="1">
        <v>466.0</v>
      </c>
    </row>
    <row r="934">
      <c r="A934" s="1">
        <v>3273420.0</v>
      </c>
      <c r="B934" s="1" t="s">
        <v>2087</v>
      </c>
      <c r="C934" s="1" t="s">
        <v>2070</v>
      </c>
      <c r="D934" s="1" t="s">
        <v>2088</v>
      </c>
      <c r="E934" s="1" t="s">
        <v>2089</v>
      </c>
      <c r="F934" s="1" t="s">
        <v>16</v>
      </c>
      <c r="G934" s="1" t="s">
        <v>27</v>
      </c>
      <c r="H934" s="1" t="s">
        <v>18</v>
      </c>
      <c r="I934" s="1" t="s">
        <v>19</v>
      </c>
      <c r="J934" s="1">
        <v>275.0</v>
      </c>
      <c r="K934" s="1">
        <v>139.0</v>
      </c>
      <c r="L934" s="1">
        <v>975.0</v>
      </c>
    </row>
    <row r="935">
      <c r="A935" s="1">
        <v>3204154.0</v>
      </c>
      <c r="B935" s="1" t="s">
        <v>2090</v>
      </c>
      <c r="C935" s="1" t="s">
        <v>2070</v>
      </c>
      <c r="D935" s="1" t="s">
        <v>2091</v>
      </c>
      <c r="E935" s="1" t="s">
        <v>2092</v>
      </c>
      <c r="F935" s="1" t="s">
        <v>16</v>
      </c>
      <c r="G935" s="1" t="s">
        <v>23</v>
      </c>
      <c r="H935" s="1" t="s">
        <v>18</v>
      </c>
      <c r="I935" s="1" t="s">
        <v>563</v>
      </c>
      <c r="J935" s="1">
        <v>52.0</v>
      </c>
      <c r="K935" s="1">
        <v>25.0</v>
      </c>
      <c r="L935" s="1">
        <v>136.0</v>
      </c>
    </row>
    <row r="936">
      <c r="A936" s="1">
        <v>3203038.0</v>
      </c>
      <c r="B936" s="1" t="s">
        <v>2093</v>
      </c>
      <c r="C936" s="1" t="s">
        <v>2070</v>
      </c>
      <c r="D936" s="1" t="s">
        <v>2094</v>
      </c>
      <c r="E936" s="1" t="s">
        <v>2095</v>
      </c>
      <c r="F936" s="1" t="s">
        <v>16</v>
      </c>
      <c r="G936" s="1" t="s">
        <v>17</v>
      </c>
      <c r="H936" s="1" t="s">
        <v>18</v>
      </c>
      <c r="I936" s="1" t="s">
        <v>163</v>
      </c>
      <c r="J936" s="1">
        <v>202.0</v>
      </c>
      <c r="K936" s="1">
        <v>28.0</v>
      </c>
      <c r="L936" s="1">
        <v>370.0</v>
      </c>
    </row>
    <row r="937">
      <c r="A937" s="1">
        <v>3201247.0</v>
      </c>
      <c r="B937" s="1" t="s">
        <v>2096</v>
      </c>
      <c r="C937" s="1" t="s">
        <v>2070</v>
      </c>
      <c r="D937" s="1" t="s">
        <v>2097</v>
      </c>
      <c r="E937" s="1" t="s">
        <v>2098</v>
      </c>
      <c r="F937" s="1" t="s">
        <v>16</v>
      </c>
      <c r="G937" s="1" t="s">
        <v>27</v>
      </c>
      <c r="H937" s="1" t="s">
        <v>18</v>
      </c>
      <c r="I937" s="1" t="s">
        <v>44</v>
      </c>
      <c r="J937" s="1">
        <v>200.0</v>
      </c>
      <c r="K937" s="1">
        <v>83.0</v>
      </c>
      <c r="L937" s="1">
        <v>382.0</v>
      </c>
    </row>
    <row r="938">
      <c r="A938" s="1">
        <v>3216126.0</v>
      </c>
      <c r="B938" s="1" t="s">
        <v>2099</v>
      </c>
      <c r="C938" s="1" t="s">
        <v>2070</v>
      </c>
      <c r="D938" s="1" t="s">
        <v>2079</v>
      </c>
      <c r="E938" s="1" t="s">
        <v>2100</v>
      </c>
      <c r="F938" s="1" t="s">
        <v>16</v>
      </c>
      <c r="G938" s="1" t="s">
        <v>17</v>
      </c>
      <c r="H938" s="1" t="s">
        <v>18</v>
      </c>
      <c r="I938" s="1" t="s">
        <v>19</v>
      </c>
      <c r="J938" s="1">
        <v>189.0</v>
      </c>
      <c r="K938" s="1">
        <v>80.0</v>
      </c>
      <c r="L938" s="1">
        <v>526.0</v>
      </c>
    </row>
    <row r="939">
      <c r="A939" s="1">
        <v>3215182.0</v>
      </c>
      <c r="B939" s="1" t="s">
        <v>2101</v>
      </c>
      <c r="C939" s="1" t="s">
        <v>2070</v>
      </c>
      <c r="D939" s="1" t="s">
        <v>2071</v>
      </c>
      <c r="E939" s="1" t="s">
        <v>2102</v>
      </c>
      <c r="F939" s="1" t="s">
        <v>16</v>
      </c>
      <c r="G939" s="1" t="s">
        <v>17</v>
      </c>
      <c r="H939" s="1" t="s">
        <v>18</v>
      </c>
      <c r="I939" s="1" t="s">
        <v>19</v>
      </c>
      <c r="J939" s="1">
        <v>175.0</v>
      </c>
      <c r="K939" s="1">
        <v>28.0</v>
      </c>
      <c r="L939" s="1">
        <v>0.0</v>
      </c>
    </row>
    <row r="940">
      <c r="A940" s="1">
        <v>3204101.0</v>
      </c>
      <c r="B940" s="1" t="s">
        <v>2103</v>
      </c>
      <c r="C940" s="1" t="s">
        <v>2070</v>
      </c>
      <c r="D940" s="1" t="s">
        <v>2091</v>
      </c>
      <c r="E940" s="1" t="s">
        <v>2104</v>
      </c>
      <c r="F940" s="1" t="s">
        <v>16</v>
      </c>
      <c r="G940" s="1" t="s">
        <v>17</v>
      </c>
      <c r="H940" s="1" t="s">
        <v>28</v>
      </c>
      <c r="I940" s="1" t="s">
        <v>40</v>
      </c>
      <c r="J940" s="1">
        <v>136.0</v>
      </c>
      <c r="K940" s="1">
        <v>32.0</v>
      </c>
      <c r="L940" s="1">
        <v>332.0</v>
      </c>
    </row>
    <row r="941">
      <c r="A941" s="1">
        <v>3209053.0</v>
      </c>
      <c r="B941" s="1" t="s">
        <v>2105</v>
      </c>
      <c r="C941" s="1" t="s">
        <v>2070</v>
      </c>
      <c r="D941" s="1" t="s">
        <v>2106</v>
      </c>
      <c r="E941" s="1" t="s">
        <v>2107</v>
      </c>
      <c r="F941" s="1" t="s">
        <v>16</v>
      </c>
      <c r="G941" s="1" t="s">
        <v>17</v>
      </c>
      <c r="H941" s="1" t="s">
        <v>18</v>
      </c>
      <c r="I941" s="1" t="s">
        <v>19</v>
      </c>
      <c r="J941" s="1">
        <v>117.0</v>
      </c>
      <c r="K941" s="1">
        <v>28.0</v>
      </c>
      <c r="L941" s="1">
        <v>260.0</v>
      </c>
    </row>
    <row r="942">
      <c r="A942" s="1">
        <v>3215162.0</v>
      </c>
      <c r="B942" s="1" t="s">
        <v>2108</v>
      </c>
      <c r="C942" s="1" t="s">
        <v>2070</v>
      </c>
      <c r="D942" s="1" t="s">
        <v>2071</v>
      </c>
      <c r="E942" s="1" t="s">
        <v>2109</v>
      </c>
      <c r="F942" s="1" t="s">
        <v>16</v>
      </c>
      <c r="G942" s="1" t="s">
        <v>17</v>
      </c>
      <c r="H942" s="1" t="s">
        <v>18</v>
      </c>
      <c r="I942" s="1" t="s">
        <v>44</v>
      </c>
      <c r="J942" s="1">
        <v>100.0</v>
      </c>
      <c r="K942" s="1">
        <v>21.0</v>
      </c>
      <c r="L942" s="1">
        <v>140.0</v>
      </c>
    </row>
    <row r="943">
      <c r="A943" s="1">
        <v>3208060.0</v>
      </c>
      <c r="B943" s="1" t="s">
        <v>2110</v>
      </c>
      <c r="C943" s="1" t="s">
        <v>2070</v>
      </c>
      <c r="D943" s="1" t="s">
        <v>2074</v>
      </c>
      <c r="E943" s="1" t="s">
        <v>2111</v>
      </c>
      <c r="F943" s="1" t="s">
        <v>16</v>
      </c>
      <c r="G943" s="1" t="s">
        <v>17</v>
      </c>
      <c r="H943" s="1" t="s">
        <v>18</v>
      </c>
      <c r="I943" s="1" t="s">
        <v>44</v>
      </c>
      <c r="J943" s="1">
        <v>145.0</v>
      </c>
      <c r="K943" s="1">
        <v>20.0</v>
      </c>
      <c r="L943" s="1">
        <v>133.0</v>
      </c>
    </row>
    <row r="944">
      <c r="A944" s="1">
        <v>3215169.0</v>
      </c>
      <c r="B944" s="1" t="s">
        <v>2112</v>
      </c>
      <c r="C944" s="1" t="s">
        <v>2070</v>
      </c>
      <c r="D944" s="1" t="s">
        <v>2071</v>
      </c>
      <c r="E944" s="1" t="s">
        <v>2113</v>
      </c>
      <c r="F944" s="1" t="s">
        <v>16</v>
      </c>
      <c r="G944" s="1" t="s">
        <v>17</v>
      </c>
      <c r="H944" s="1" t="s">
        <v>18</v>
      </c>
      <c r="I944" s="1" t="s">
        <v>44</v>
      </c>
      <c r="J944" s="1">
        <v>129.0</v>
      </c>
      <c r="K944" s="1">
        <v>32.0</v>
      </c>
      <c r="L944" s="1">
        <v>46.0</v>
      </c>
    </row>
    <row r="945">
      <c r="A945" s="1">
        <v>3216318.0</v>
      </c>
      <c r="B945" s="1" t="s">
        <v>2114</v>
      </c>
      <c r="C945" s="1" t="s">
        <v>2070</v>
      </c>
      <c r="D945" s="1" t="s">
        <v>2079</v>
      </c>
      <c r="E945" s="1" t="s">
        <v>2115</v>
      </c>
      <c r="F945" s="1" t="s">
        <v>16</v>
      </c>
      <c r="G945" s="1" t="s">
        <v>27</v>
      </c>
      <c r="H945" s="1" t="s">
        <v>18</v>
      </c>
      <c r="I945" s="1" t="s">
        <v>19</v>
      </c>
      <c r="J945" s="1">
        <v>250.0</v>
      </c>
      <c r="K945" s="1">
        <v>102.0</v>
      </c>
      <c r="L945" s="1">
        <v>592.0</v>
      </c>
    </row>
    <row r="946">
      <c r="A946" s="1">
        <v>3209040.0</v>
      </c>
      <c r="B946" s="1" t="s">
        <v>2116</v>
      </c>
      <c r="C946" s="1" t="s">
        <v>2070</v>
      </c>
      <c r="D946" s="1" t="s">
        <v>2106</v>
      </c>
      <c r="E946" s="1" t="s">
        <v>2117</v>
      </c>
      <c r="F946" s="1" t="s">
        <v>16</v>
      </c>
      <c r="G946" s="1" t="s">
        <v>27</v>
      </c>
      <c r="H946" s="1" t="s">
        <v>28</v>
      </c>
      <c r="I946" s="1" t="s">
        <v>40</v>
      </c>
      <c r="J946" s="1">
        <v>254.0</v>
      </c>
      <c r="K946" s="1">
        <v>112.0</v>
      </c>
      <c r="L946" s="1">
        <v>766.0</v>
      </c>
    </row>
    <row r="947">
      <c r="A947" s="1">
        <v>3275141.0</v>
      </c>
      <c r="B947" s="1" t="s">
        <v>2118</v>
      </c>
      <c r="C947" s="1" t="s">
        <v>2070</v>
      </c>
      <c r="D947" s="1" t="s">
        <v>2119</v>
      </c>
      <c r="E947" s="1" t="s">
        <v>2120</v>
      </c>
      <c r="F947" s="1" t="s">
        <v>16</v>
      </c>
      <c r="G947" s="1" t="s">
        <v>17</v>
      </c>
      <c r="H947" s="1" t="s">
        <v>18</v>
      </c>
      <c r="I947" s="1" t="s">
        <v>19</v>
      </c>
      <c r="J947" s="1">
        <v>131.0</v>
      </c>
      <c r="K947" s="1">
        <v>42.0</v>
      </c>
      <c r="L947" s="1">
        <v>265.0</v>
      </c>
    </row>
    <row r="948">
      <c r="A948" s="1">
        <v>3273030.0</v>
      </c>
      <c r="B948" s="1" t="s">
        <v>2121</v>
      </c>
      <c r="C948" s="1" t="s">
        <v>2070</v>
      </c>
      <c r="D948" s="1" t="s">
        <v>2088</v>
      </c>
      <c r="E948" s="1" t="s">
        <v>2122</v>
      </c>
      <c r="F948" s="1" t="s">
        <v>16</v>
      </c>
      <c r="G948" s="1" t="s">
        <v>27</v>
      </c>
      <c r="H948" s="1" t="s">
        <v>33</v>
      </c>
      <c r="I948" s="1" t="s">
        <v>563</v>
      </c>
      <c r="J948" s="1">
        <v>200.0</v>
      </c>
      <c r="K948" s="1">
        <v>104.0</v>
      </c>
      <c r="L948" s="1">
        <v>212.0</v>
      </c>
    </row>
    <row r="949">
      <c r="A949" s="1">
        <v>3274064.0</v>
      </c>
      <c r="B949" s="1" t="s">
        <v>2123</v>
      </c>
      <c r="C949" s="1" t="s">
        <v>2070</v>
      </c>
      <c r="D949" s="1" t="s">
        <v>2124</v>
      </c>
      <c r="E949" s="1" t="s">
        <v>2125</v>
      </c>
      <c r="F949" s="1" t="s">
        <v>16</v>
      </c>
      <c r="G949" s="1" t="s">
        <v>17</v>
      </c>
      <c r="H949" s="1" t="s">
        <v>18</v>
      </c>
      <c r="I949" s="1" t="s">
        <v>44</v>
      </c>
      <c r="J949" s="1">
        <v>113.0</v>
      </c>
      <c r="K949" s="1">
        <v>34.0</v>
      </c>
      <c r="L949" s="1">
        <v>160.0</v>
      </c>
    </row>
    <row r="950">
      <c r="A950" s="1">
        <v>3213061.0</v>
      </c>
      <c r="B950" s="1" t="s">
        <v>2126</v>
      </c>
      <c r="C950" s="1" t="s">
        <v>2070</v>
      </c>
      <c r="D950" s="1" t="s">
        <v>2127</v>
      </c>
      <c r="E950" s="1" t="s">
        <v>2128</v>
      </c>
      <c r="F950" s="1" t="s">
        <v>16</v>
      </c>
      <c r="G950" s="1" t="s">
        <v>17</v>
      </c>
      <c r="H950" s="1" t="s">
        <v>18</v>
      </c>
      <c r="I950" s="1" t="s">
        <v>19</v>
      </c>
      <c r="J950" s="1">
        <v>103.0</v>
      </c>
      <c r="K950" s="1">
        <v>23.0</v>
      </c>
      <c r="L950" s="1">
        <v>0.0</v>
      </c>
    </row>
    <row r="951">
      <c r="A951" s="1">
        <v>3201130.0</v>
      </c>
      <c r="B951" s="1" t="s">
        <v>2129</v>
      </c>
      <c r="C951" s="1" t="s">
        <v>2070</v>
      </c>
      <c r="D951" s="1" t="s">
        <v>2097</v>
      </c>
      <c r="E951" s="1" t="s">
        <v>2130</v>
      </c>
      <c r="F951" s="1" t="s">
        <v>55</v>
      </c>
      <c r="G951" s="1" t="s">
        <v>17</v>
      </c>
      <c r="H951" s="1" t="s">
        <v>18</v>
      </c>
      <c r="I951" s="1" t="s">
        <v>19</v>
      </c>
      <c r="J951" s="1">
        <v>57.0</v>
      </c>
      <c r="K951" s="1">
        <v>20.0</v>
      </c>
      <c r="L951" s="1">
        <v>165.0</v>
      </c>
    </row>
    <row r="952">
      <c r="A952" s="1">
        <v>3273121.0</v>
      </c>
      <c r="B952" s="1" t="s">
        <v>2131</v>
      </c>
      <c r="C952" s="1" t="s">
        <v>2070</v>
      </c>
      <c r="D952" s="1" t="s">
        <v>2088</v>
      </c>
      <c r="E952" s="1" t="s">
        <v>2132</v>
      </c>
      <c r="F952" s="1" t="s">
        <v>16</v>
      </c>
      <c r="G952" s="1" t="s">
        <v>17</v>
      </c>
      <c r="H952" s="1" t="s">
        <v>18</v>
      </c>
      <c r="I952" s="1" t="s">
        <v>59</v>
      </c>
      <c r="J952" s="1">
        <v>102.0</v>
      </c>
      <c r="K952" s="1">
        <v>30.0</v>
      </c>
      <c r="L952" s="1">
        <v>405.0</v>
      </c>
    </row>
    <row r="953">
      <c r="A953" s="1">
        <v>3216397.0</v>
      </c>
      <c r="B953" s="1" t="s">
        <v>2133</v>
      </c>
      <c r="C953" s="1" t="s">
        <v>2070</v>
      </c>
      <c r="D953" s="1" t="s">
        <v>2079</v>
      </c>
      <c r="E953" s="1" t="s">
        <v>2134</v>
      </c>
      <c r="F953" s="1" t="s">
        <v>16</v>
      </c>
      <c r="G953" s="1" t="s">
        <v>23</v>
      </c>
      <c r="H953" s="1" t="s">
        <v>18</v>
      </c>
      <c r="I953" s="1" t="s">
        <v>44</v>
      </c>
      <c r="J953" s="1">
        <v>55.0</v>
      </c>
      <c r="K953" s="1">
        <v>20.0</v>
      </c>
      <c r="L953" s="1">
        <v>134.0</v>
      </c>
    </row>
    <row r="954">
      <c r="A954" s="1">
        <v>3275024.0</v>
      </c>
      <c r="B954" s="1" t="s">
        <v>2135</v>
      </c>
      <c r="C954" s="1" t="s">
        <v>2070</v>
      </c>
      <c r="D954" s="1" t="s">
        <v>2119</v>
      </c>
      <c r="E954" s="1" t="s">
        <v>2136</v>
      </c>
      <c r="F954" s="1" t="s">
        <v>16</v>
      </c>
      <c r="G954" s="1" t="s">
        <v>17</v>
      </c>
      <c r="H954" s="1" t="s">
        <v>18</v>
      </c>
      <c r="I954" s="1" t="s">
        <v>59</v>
      </c>
      <c r="J954" s="1">
        <v>106.0</v>
      </c>
      <c r="K954" s="1">
        <v>42.0</v>
      </c>
      <c r="L954" s="1">
        <v>106.0</v>
      </c>
    </row>
    <row r="955">
      <c r="A955" s="1">
        <v>3201083.0</v>
      </c>
      <c r="B955" s="1" t="s">
        <v>2137</v>
      </c>
      <c r="C955" s="1" t="s">
        <v>2070</v>
      </c>
      <c r="D955" s="1" t="s">
        <v>2097</v>
      </c>
      <c r="E955" s="1" t="s">
        <v>2138</v>
      </c>
      <c r="F955" s="1" t="s">
        <v>16</v>
      </c>
      <c r="G955" s="1" t="s">
        <v>27</v>
      </c>
      <c r="H955" s="1" t="s">
        <v>28</v>
      </c>
      <c r="I955" s="1" t="s">
        <v>40</v>
      </c>
      <c r="J955" s="1">
        <v>380.0</v>
      </c>
      <c r="K955" s="1">
        <v>69.0</v>
      </c>
      <c r="L955" s="1">
        <v>733.0</v>
      </c>
    </row>
    <row r="956">
      <c r="A956" s="1">
        <v>3276151.0</v>
      </c>
      <c r="B956" s="1" t="s">
        <v>2139</v>
      </c>
      <c r="C956" s="1" t="s">
        <v>2070</v>
      </c>
      <c r="D956" s="1" t="s">
        <v>2082</v>
      </c>
      <c r="E956" s="1" t="s">
        <v>2140</v>
      </c>
      <c r="F956" s="1" t="s">
        <v>16</v>
      </c>
      <c r="G956" s="1" t="s">
        <v>17</v>
      </c>
      <c r="H956" s="1" t="s">
        <v>18</v>
      </c>
      <c r="I956" s="1" t="s">
        <v>44</v>
      </c>
      <c r="J956" s="1">
        <v>130.0</v>
      </c>
      <c r="K956" s="1">
        <v>102.0</v>
      </c>
      <c r="L956" s="1">
        <v>385.0</v>
      </c>
    </row>
    <row r="957">
      <c r="A957" s="1">
        <v>3275065.0</v>
      </c>
      <c r="B957" s="1" t="s">
        <v>2141</v>
      </c>
      <c r="C957" s="1" t="s">
        <v>2070</v>
      </c>
      <c r="D957" s="1" t="s">
        <v>2119</v>
      </c>
      <c r="E957" s="1" t="s">
        <v>2142</v>
      </c>
      <c r="F957" s="1" t="s">
        <v>16</v>
      </c>
      <c r="G957" s="1" t="s">
        <v>17</v>
      </c>
      <c r="H957" s="1" t="s">
        <v>18</v>
      </c>
      <c r="I957" s="1" t="s">
        <v>44</v>
      </c>
      <c r="J957" s="1">
        <v>107.0</v>
      </c>
      <c r="K957" s="1">
        <v>54.0</v>
      </c>
      <c r="L957" s="1">
        <v>261.0</v>
      </c>
    </row>
    <row r="958">
      <c r="A958" s="1">
        <v>3217042.0</v>
      </c>
      <c r="B958" s="1" t="s">
        <v>2143</v>
      </c>
      <c r="C958" s="1" t="s">
        <v>2070</v>
      </c>
      <c r="D958" s="1" t="s">
        <v>2144</v>
      </c>
      <c r="E958" s="1" t="s">
        <v>2145</v>
      </c>
      <c r="F958" s="1" t="s">
        <v>174</v>
      </c>
      <c r="G958" s="1" t="s">
        <v>150</v>
      </c>
      <c r="H958" s="1" t="s">
        <v>28</v>
      </c>
      <c r="I958" s="1" t="s">
        <v>139</v>
      </c>
      <c r="J958" s="1">
        <v>284.0</v>
      </c>
      <c r="K958" s="1">
        <v>34.0</v>
      </c>
      <c r="L958" s="1">
        <v>439.0</v>
      </c>
    </row>
    <row r="959">
      <c r="A959" s="1">
        <v>3274016.0</v>
      </c>
      <c r="B959" s="1" t="s">
        <v>2146</v>
      </c>
      <c r="C959" s="1" t="s">
        <v>2070</v>
      </c>
      <c r="D959" s="1" t="s">
        <v>2124</v>
      </c>
      <c r="E959" s="1" t="s">
        <v>2147</v>
      </c>
      <c r="F959" s="1" t="s">
        <v>16</v>
      </c>
      <c r="G959" s="1" t="s">
        <v>27</v>
      </c>
      <c r="H959" s="1" t="s">
        <v>28</v>
      </c>
      <c r="I959" s="1" t="s">
        <v>29</v>
      </c>
      <c r="J959" s="1">
        <v>418.0</v>
      </c>
      <c r="K959" s="1">
        <v>114.0</v>
      </c>
      <c r="L959" s="1">
        <v>1232.0</v>
      </c>
    </row>
    <row r="960">
      <c r="A960" s="1">
        <v>3279002.0</v>
      </c>
      <c r="B960" s="1" t="s">
        <v>2148</v>
      </c>
      <c r="C960" s="1" t="s">
        <v>2070</v>
      </c>
      <c r="D960" s="1" t="s">
        <v>2149</v>
      </c>
      <c r="E960" s="1" t="s">
        <v>2150</v>
      </c>
      <c r="F960" s="1" t="s">
        <v>16</v>
      </c>
      <c r="G960" s="1" t="s">
        <v>23</v>
      </c>
      <c r="H960" s="1" t="s">
        <v>18</v>
      </c>
      <c r="I960" s="1" t="s">
        <v>44</v>
      </c>
      <c r="J960" s="1">
        <v>90.0</v>
      </c>
      <c r="K960" s="1">
        <v>38.0</v>
      </c>
      <c r="L960" s="1">
        <v>172.0</v>
      </c>
    </row>
    <row r="961">
      <c r="A961" s="1">
        <v>3202086.0</v>
      </c>
      <c r="B961" s="1" t="s">
        <v>2151</v>
      </c>
      <c r="C961" s="1" t="s">
        <v>2070</v>
      </c>
      <c r="D961" s="1" t="s">
        <v>2085</v>
      </c>
      <c r="E961" s="1" t="s">
        <v>2152</v>
      </c>
      <c r="F961" s="1" t="s">
        <v>16</v>
      </c>
      <c r="G961" s="1" t="s">
        <v>17</v>
      </c>
      <c r="H961" s="1" t="s">
        <v>18</v>
      </c>
      <c r="I961" s="1" t="s">
        <v>19</v>
      </c>
      <c r="J961" s="1">
        <v>164.0</v>
      </c>
      <c r="K961" s="1">
        <v>54.0</v>
      </c>
      <c r="L961" s="1">
        <v>218.0</v>
      </c>
    </row>
    <row r="962">
      <c r="A962" s="1">
        <v>3204170.0</v>
      </c>
      <c r="B962" s="1" t="s">
        <v>2153</v>
      </c>
      <c r="C962" s="1" t="s">
        <v>2070</v>
      </c>
      <c r="D962" s="1" t="s">
        <v>2091</v>
      </c>
      <c r="E962" s="1" t="s">
        <v>2154</v>
      </c>
      <c r="F962" s="1" t="s">
        <v>16</v>
      </c>
      <c r="G962" s="1" t="s">
        <v>23</v>
      </c>
      <c r="H962" s="1" t="s">
        <v>18</v>
      </c>
      <c r="I962" s="1" t="s">
        <v>40</v>
      </c>
      <c r="J962" s="1">
        <v>57.0</v>
      </c>
      <c r="K962" s="1">
        <v>20.0</v>
      </c>
      <c r="L962" s="1">
        <v>0.0</v>
      </c>
    </row>
    <row r="963">
      <c r="A963" s="1">
        <v>3203052.0</v>
      </c>
      <c r="B963" s="1" t="s">
        <v>2155</v>
      </c>
      <c r="C963" s="1" t="s">
        <v>2070</v>
      </c>
      <c r="D963" s="1" t="s">
        <v>2094</v>
      </c>
      <c r="E963" s="1" t="s">
        <v>2156</v>
      </c>
      <c r="F963" s="1" t="s">
        <v>16</v>
      </c>
      <c r="G963" s="1" t="s">
        <v>23</v>
      </c>
      <c r="H963" s="1" t="s">
        <v>18</v>
      </c>
      <c r="I963" s="1" t="s">
        <v>40</v>
      </c>
      <c r="J963" s="1">
        <v>56.0</v>
      </c>
      <c r="K963" s="1">
        <v>10.0</v>
      </c>
      <c r="L963" s="1">
        <v>0.0</v>
      </c>
    </row>
    <row r="964">
      <c r="A964" s="1">
        <v>3275229.0</v>
      </c>
      <c r="B964" s="1" t="s">
        <v>2157</v>
      </c>
      <c r="C964" s="1" t="s">
        <v>2070</v>
      </c>
      <c r="D964" s="1" t="s">
        <v>2119</v>
      </c>
      <c r="E964" s="1" t="s">
        <v>2158</v>
      </c>
      <c r="F964" s="1" t="s">
        <v>16</v>
      </c>
      <c r="G964" s="1" t="s">
        <v>17</v>
      </c>
      <c r="H964" s="1" t="s">
        <v>18</v>
      </c>
      <c r="I964" s="1" t="s">
        <v>19</v>
      </c>
      <c r="J964" s="1">
        <v>107.0</v>
      </c>
      <c r="K964" s="1">
        <v>36.0</v>
      </c>
      <c r="L964" s="1">
        <v>130.0</v>
      </c>
    </row>
    <row r="965">
      <c r="A965" s="1">
        <v>3275067.0</v>
      </c>
      <c r="B965" s="1" t="s">
        <v>2159</v>
      </c>
      <c r="C965" s="1" t="s">
        <v>2070</v>
      </c>
      <c r="D965" s="1" t="s">
        <v>2119</v>
      </c>
      <c r="E965" s="1" t="s">
        <v>2160</v>
      </c>
      <c r="F965" s="1" t="s">
        <v>16</v>
      </c>
      <c r="G965" s="1" t="s">
        <v>23</v>
      </c>
      <c r="H965" s="1" t="s">
        <v>28</v>
      </c>
      <c r="I965" s="1" t="s">
        <v>29</v>
      </c>
      <c r="J965" s="1">
        <v>72.0</v>
      </c>
      <c r="K965" s="1">
        <v>29.0</v>
      </c>
      <c r="L965" s="1">
        <v>26.0</v>
      </c>
    </row>
    <row r="966">
      <c r="A966" s="1">
        <v>3207045.0</v>
      </c>
      <c r="B966" s="1" t="s">
        <v>2161</v>
      </c>
      <c r="C966" s="1" t="s">
        <v>2070</v>
      </c>
      <c r="D966" s="1" t="s">
        <v>2162</v>
      </c>
      <c r="E966" s="1" t="s">
        <v>2163</v>
      </c>
      <c r="F966" s="1" t="s">
        <v>16</v>
      </c>
      <c r="G966" s="1" t="s">
        <v>23</v>
      </c>
      <c r="H966" s="1" t="s">
        <v>18</v>
      </c>
      <c r="I966" s="1" t="s">
        <v>59</v>
      </c>
      <c r="J966" s="1">
        <v>78.0</v>
      </c>
      <c r="K966" s="1">
        <v>26.0</v>
      </c>
      <c r="L966" s="1">
        <v>30.0</v>
      </c>
    </row>
    <row r="967">
      <c r="A967" s="1">
        <v>3207056.0</v>
      </c>
      <c r="B967" s="1" t="s">
        <v>2164</v>
      </c>
      <c r="C967" s="1" t="s">
        <v>2070</v>
      </c>
      <c r="D967" s="1" t="s">
        <v>2162</v>
      </c>
      <c r="E967" s="1" t="s">
        <v>2165</v>
      </c>
      <c r="F967" s="1" t="s">
        <v>16</v>
      </c>
      <c r="G967" s="1" t="s">
        <v>23</v>
      </c>
      <c r="H967" s="1" t="s">
        <v>18</v>
      </c>
      <c r="I967" s="1" t="s">
        <v>59</v>
      </c>
      <c r="J967" s="1">
        <v>92.0</v>
      </c>
      <c r="K967" s="1">
        <v>17.0</v>
      </c>
      <c r="L967" s="1">
        <v>80.0</v>
      </c>
    </row>
    <row r="968">
      <c r="A968" s="1">
        <v>3276147.0</v>
      </c>
      <c r="B968" s="1" t="s">
        <v>2166</v>
      </c>
      <c r="C968" s="1" t="s">
        <v>2070</v>
      </c>
      <c r="D968" s="1" t="s">
        <v>2082</v>
      </c>
      <c r="E968" s="1" t="s">
        <v>2167</v>
      </c>
      <c r="F968" s="1" t="s">
        <v>55</v>
      </c>
      <c r="G968" s="1" t="s">
        <v>17</v>
      </c>
      <c r="H968" s="1" t="s">
        <v>18</v>
      </c>
      <c r="I968" s="1" t="s">
        <v>44</v>
      </c>
      <c r="J968" s="1">
        <v>30.0</v>
      </c>
      <c r="K968" s="1">
        <v>24.0</v>
      </c>
      <c r="L968" s="1">
        <v>28.0</v>
      </c>
    </row>
    <row r="969">
      <c r="A969" s="1">
        <v>3209052.0</v>
      </c>
      <c r="B969" s="1" t="s">
        <v>2168</v>
      </c>
      <c r="C969" s="1" t="s">
        <v>2070</v>
      </c>
      <c r="D969" s="1" t="s">
        <v>2106</v>
      </c>
      <c r="E969" s="1" t="s">
        <v>2169</v>
      </c>
      <c r="F969" s="1" t="s">
        <v>16</v>
      </c>
      <c r="G969" s="1" t="s">
        <v>17</v>
      </c>
      <c r="H969" s="1" t="s">
        <v>18</v>
      </c>
      <c r="I969" s="1" t="s">
        <v>684</v>
      </c>
      <c r="J969" s="1">
        <v>113.0</v>
      </c>
      <c r="K969" s="1">
        <v>22.0</v>
      </c>
      <c r="L969" s="1">
        <v>188.0</v>
      </c>
    </row>
    <row r="970">
      <c r="A970" s="1">
        <v>3201242.0</v>
      </c>
      <c r="B970" s="1" t="s">
        <v>2170</v>
      </c>
      <c r="C970" s="1" t="s">
        <v>2070</v>
      </c>
      <c r="D970" s="1" t="s">
        <v>2097</v>
      </c>
      <c r="E970" s="1" t="s">
        <v>2171</v>
      </c>
      <c r="F970" s="1" t="s">
        <v>55</v>
      </c>
      <c r="G970" s="1" t="s">
        <v>17</v>
      </c>
      <c r="H970" s="1" t="s">
        <v>18</v>
      </c>
      <c r="I970" s="1" t="s">
        <v>19</v>
      </c>
      <c r="J970" s="1">
        <v>54.0</v>
      </c>
      <c r="K970" s="1">
        <v>23.0</v>
      </c>
      <c r="L970" s="1">
        <v>160.0</v>
      </c>
    </row>
    <row r="971">
      <c r="A971" s="1">
        <v>3201246.0</v>
      </c>
      <c r="B971" s="1" t="s">
        <v>2172</v>
      </c>
      <c r="C971" s="1" t="s">
        <v>2070</v>
      </c>
      <c r="D971" s="1" t="s">
        <v>2173</v>
      </c>
      <c r="E971" s="1" t="s">
        <v>2174</v>
      </c>
      <c r="F971" s="1" t="s">
        <v>55</v>
      </c>
      <c r="G971" s="1" t="s">
        <v>17</v>
      </c>
      <c r="H971" s="1" t="s">
        <v>18</v>
      </c>
      <c r="I971" s="1" t="s">
        <v>19</v>
      </c>
      <c r="J971" s="1">
        <v>34.0</v>
      </c>
      <c r="K971" s="1">
        <v>20.0</v>
      </c>
      <c r="L971" s="1">
        <v>52.0</v>
      </c>
    </row>
    <row r="972">
      <c r="A972" s="1">
        <v>3213047.0</v>
      </c>
      <c r="B972" s="1" t="s">
        <v>2175</v>
      </c>
      <c r="C972" s="1" t="s">
        <v>2070</v>
      </c>
      <c r="D972" s="1" t="s">
        <v>2127</v>
      </c>
      <c r="E972" s="1" t="s">
        <v>2176</v>
      </c>
      <c r="F972" s="1" t="s">
        <v>16</v>
      </c>
      <c r="G972" s="1" t="s">
        <v>23</v>
      </c>
      <c r="H972" s="1" t="s">
        <v>18</v>
      </c>
      <c r="I972" s="1" t="s">
        <v>19</v>
      </c>
      <c r="J972" s="1">
        <v>55.0</v>
      </c>
      <c r="K972" s="1">
        <v>24.0</v>
      </c>
      <c r="L972" s="1">
        <v>42.0</v>
      </c>
    </row>
    <row r="973">
      <c r="A973" s="1">
        <v>3203053.0</v>
      </c>
      <c r="B973" s="1" t="s">
        <v>2177</v>
      </c>
      <c r="C973" s="1" t="s">
        <v>2070</v>
      </c>
      <c r="D973" s="1" t="s">
        <v>2094</v>
      </c>
      <c r="E973" s="1" t="s">
        <v>2178</v>
      </c>
      <c r="F973" s="1" t="s">
        <v>16</v>
      </c>
      <c r="G973" s="1" t="s">
        <v>17</v>
      </c>
      <c r="H973" s="1" t="s">
        <v>18</v>
      </c>
      <c r="I973" s="1" t="s">
        <v>44</v>
      </c>
      <c r="J973" s="1">
        <v>84.0</v>
      </c>
      <c r="K973" s="1">
        <v>34.0</v>
      </c>
      <c r="L973" s="1">
        <v>0.0</v>
      </c>
    </row>
    <row r="974">
      <c r="A974" s="1">
        <v>3271126.0</v>
      </c>
      <c r="B974" s="1" t="s">
        <v>2179</v>
      </c>
      <c r="C974" s="1" t="s">
        <v>2070</v>
      </c>
      <c r="D974" s="1" t="s">
        <v>2173</v>
      </c>
      <c r="E974" s="1" t="s">
        <v>2180</v>
      </c>
      <c r="F974" s="1" t="s">
        <v>16</v>
      </c>
      <c r="G974" s="1" t="s">
        <v>17</v>
      </c>
      <c r="H974" s="1" t="s">
        <v>18</v>
      </c>
      <c r="I974" s="1" t="s">
        <v>44</v>
      </c>
      <c r="J974" s="1">
        <v>104.0</v>
      </c>
      <c r="K974" s="1">
        <v>63.0</v>
      </c>
      <c r="L974" s="1">
        <v>503.0</v>
      </c>
    </row>
    <row r="975">
      <c r="A975" s="1">
        <v>3214040.0</v>
      </c>
      <c r="B975" s="1" t="s">
        <v>2181</v>
      </c>
      <c r="C975" s="1" t="s">
        <v>2070</v>
      </c>
      <c r="D975" s="1" t="s">
        <v>2182</v>
      </c>
      <c r="E975" s="1" t="s">
        <v>2183</v>
      </c>
      <c r="F975" s="1" t="s">
        <v>16</v>
      </c>
      <c r="G975" s="1" t="s">
        <v>23</v>
      </c>
      <c r="H975" s="1" t="s">
        <v>18</v>
      </c>
      <c r="I975" s="1" t="s">
        <v>44</v>
      </c>
      <c r="J975" s="1">
        <v>75.0</v>
      </c>
      <c r="K975" s="1">
        <v>21.0</v>
      </c>
      <c r="L975" s="1">
        <v>133.0</v>
      </c>
    </row>
    <row r="976">
      <c r="A976" s="1">
        <v>3213010.0</v>
      </c>
      <c r="B976" s="1" t="s">
        <v>2184</v>
      </c>
      <c r="C976" s="1" t="s">
        <v>2070</v>
      </c>
      <c r="D976" s="1" t="s">
        <v>2127</v>
      </c>
      <c r="E976" s="1" t="s">
        <v>2185</v>
      </c>
      <c r="F976" s="1" t="s">
        <v>16</v>
      </c>
      <c r="G976" s="1" t="s">
        <v>27</v>
      </c>
      <c r="H976" s="1" t="s">
        <v>28</v>
      </c>
      <c r="I976" s="1" t="s">
        <v>40</v>
      </c>
      <c r="J976" s="1">
        <v>250.0</v>
      </c>
      <c r="K976" s="1">
        <v>101.0</v>
      </c>
      <c r="L976" s="1">
        <v>551.0</v>
      </c>
    </row>
    <row r="977">
      <c r="A977" s="1">
        <v>3275052.0</v>
      </c>
      <c r="B977" s="1" t="s">
        <v>2186</v>
      </c>
      <c r="C977" s="1" t="s">
        <v>2070</v>
      </c>
      <c r="D977" s="1" t="s">
        <v>2119</v>
      </c>
      <c r="E977" s="1" t="s">
        <v>2187</v>
      </c>
      <c r="F977" s="1" t="s">
        <v>16</v>
      </c>
      <c r="G977" s="1" t="s">
        <v>17</v>
      </c>
      <c r="H977" s="1" t="s">
        <v>18</v>
      </c>
      <c r="I977" s="1" t="s">
        <v>19</v>
      </c>
      <c r="J977" s="1">
        <v>100.0</v>
      </c>
      <c r="K977" s="1">
        <v>30.0</v>
      </c>
      <c r="L977" s="1">
        <v>110.0</v>
      </c>
    </row>
    <row r="978">
      <c r="A978" s="1">
        <v>3212058.0</v>
      </c>
      <c r="B978" s="1" t="s">
        <v>2188</v>
      </c>
      <c r="C978" s="1" t="s">
        <v>2070</v>
      </c>
      <c r="D978" s="1" t="s">
        <v>2189</v>
      </c>
      <c r="E978" s="1" t="s">
        <v>2190</v>
      </c>
      <c r="F978" s="1" t="s">
        <v>55</v>
      </c>
      <c r="G978" s="1" t="s">
        <v>17</v>
      </c>
      <c r="H978" s="1" t="s">
        <v>18</v>
      </c>
      <c r="I978" s="1" t="s">
        <v>19</v>
      </c>
      <c r="J978" s="1">
        <v>33.0</v>
      </c>
      <c r="K978" s="1">
        <v>15.0</v>
      </c>
      <c r="L978" s="1">
        <v>30.0</v>
      </c>
    </row>
    <row r="979">
      <c r="A979" s="1">
        <v>3215089.0</v>
      </c>
      <c r="B979" s="1" t="s">
        <v>2191</v>
      </c>
      <c r="C979" s="1" t="s">
        <v>2070</v>
      </c>
      <c r="D979" s="1" t="s">
        <v>2071</v>
      </c>
      <c r="E979" s="1" t="s">
        <v>2192</v>
      </c>
      <c r="F979" s="1" t="s">
        <v>16</v>
      </c>
      <c r="G979" s="1" t="s">
        <v>23</v>
      </c>
      <c r="H979" s="1" t="s">
        <v>18</v>
      </c>
      <c r="I979" s="1" t="s">
        <v>19</v>
      </c>
      <c r="J979" s="1">
        <v>61.0</v>
      </c>
      <c r="K979" s="1">
        <v>21.0</v>
      </c>
      <c r="L979" s="1">
        <v>65.0</v>
      </c>
    </row>
    <row r="980">
      <c r="A980" s="1">
        <v>3216415.0</v>
      </c>
      <c r="B980" s="1" t="s">
        <v>2193</v>
      </c>
      <c r="C980" s="1" t="s">
        <v>2070</v>
      </c>
      <c r="D980" s="1" t="s">
        <v>2079</v>
      </c>
      <c r="E980" s="1" t="s">
        <v>2194</v>
      </c>
      <c r="F980" s="1" t="s">
        <v>16</v>
      </c>
      <c r="G980" s="1" t="s">
        <v>17</v>
      </c>
      <c r="H980" s="1" t="s">
        <v>18</v>
      </c>
      <c r="I980" s="1" t="s">
        <v>19</v>
      </c>
      <c r="J980" s="1">
        <v>100.0</v>
      </c>
      <c r="K980" s="1">
        <v>32.0</v>
      </c>
      <c r="L980" s="1">
        <v>130.0</v>
      </c>
    </row>
    <row r="981">
      <c r="A981" s="1">
        <v>3208061.0</v>
      </c>
      <c r="B981" s="1" t="s">
        <v>2195</v>
      </c>
      <c r="C981" s="1" t="s">
        <v>2070</v>
      </c>
      <c r="D981" s="1" t="s">
        <v>2074</v>
      </c>
      <c r="E981" s="1" t="s">
        <v>2196</v>
      </c>
      <c r="F981" s="1" t="s">
        <v>1884</v>
      </c>
      <c r="G981" s="1" t="s">
        <v>27</v>
      </c>
      <c r="H981" s="1" t="s">
        <v>18</v>
      </c>
      <c r="I981" s="1" t="s">
        <v>44</v>
      </c>
      <c r="J981" s="1">
        <v>75.0</v>
      </c>
      <c r="K981" s="1">
        <v>33.0</v>
      </c>
      <c r="L981" s="1">
        <v>134.0</v>
      </c>
    </row>
    <row r="982">
      <c r="A982" s="1">
        <v>3202051.0</v>
      </c>
      <c r="B982" s="1" t="s">
        <v>2197</v>
      </c>
      <c r="C982" s="1" t="s">
        <v>2070</v>
      </c>
      <c r="D982" s="1" t="s">
        <v>2085</v>
      </c>
      <c r="E982" s="1" t="s">
        <v>2198</v>
      </c>
      <c r="F982" s="1" t="s">
        <v>16</v>
      </c>
      <c r="G982" s="1" t="s">
        <v>17</v>
      </c>
      <c r="H982" s="1" t="s">
        <v>28</v>
      </c>
      <c r="I982" s="1" t="s">
        <v>139</v>
      </c>
      <c r="J982" s="1">
        <v>180.0</v>
      </c>
      <c r="K982" s="1">
        <v>31.0</v>
      </c>
      <c r="L982" s="1">
        <v>183.0</v>
      </c>
    </row>
    <row r="983">
      <c r="A983" s="1">
        <v>3273442.0</v>
      </c>
      <c r="B983" s="1" t="s">
        <v>2199</v>
      </c>
      <c r="C983" s="1" t="s">
        <v>2070</v>
      </c>
      <c r="D983" s="1" t="s">
        <v>2091</v>
      </c>
      <c r="E983" s="1" t="s">
        <v>2200</v>
      </c>
      <c r="F983" s="1" t="s">
        <v>16</v>
      </c>
      <c r="G983" s="1" t="s">
        <v>23</v>
      </c>
      <c r="H983" s="1" t="s">
        <v>18</v>
      </c>
      <c r="I983" s="1" t="s">
        <v>19</v>
      </c>
      <c r="J983" s="1">
        <v>51.0</v>
      </c>
      <c r="K983" s="1">
        <v>48.0</v>
      </c>
      <c r="L983" s="1">
        <v>236.0</v>
      </c>
    </row>
    <row r="984">
      <c r="A984" s="1">
        <v>3216420.0</v>
      </c>
      <c r="B984" s="1" t="s">
        <v>2201</v>
      </c>
      <c r="C984" s="1" t="s">
        <v>2070</v>
      </c>
      <c r="D984" s="1" t="s">
        <v>2079</v>
      </c>
      <c r="E984" s="1" t="s">
        <v>2202</v>
      </c>
      <c r="F984" s="1" t="s">
        <v>16</v>
      </c>
      <c r="G984" s="1" t="s">
        <v>17</v>
      </c>
      <c r="H984" s="1" t="s">
        <v>18</v>
      </c>
      <c r="I984" s="1" t="s">
        <v>44</v>
      </c>
      <c r="J984" s="1">
        <v>116.0</v>
      </c>
      <c r="K984" s="1">
        <v>53.0</v>
      </c>
      <c r="L984" s="1">
        <v>185.0</v>
      </c>
    </row>
    <row r="985">
      <c r="A985" s="1">
        <v>3212071.0</v>
      </c>
      <c r="B985" s="1" t="s">
        <v>2203</v>
      </c>
      <c r="C985" s="1" t="s">
        <v>2070</v>
      </c>
      <c r="D985" s="1" t="s">
        <v>2189</v>
      </c>
      <c r="E985" s="1" t="s">
        <v>2204</v>
      </c>
      <c r="F985" s="1" t="s">
        <v>16</v>
      </c>
      <c r="G985" s="1" t="s">
        <v>23</v>
      </c>
      <c r="H985" s="1" t="s">
        <v>18</v>
      </c>
      <c r="I985" s="1" t="s">
        <v>684</v>
      </c>
      <c r="J985" s="1">
        <v>53.0</v>
      </c>
      <c r="K985" s="1">
        <v>19.0</v>
      </c>
      <c r="L985" s="1">
        <v>0.0</v>
      </c>
    </row>
    <row r="986">
      <c r="A986" s="1">
        <v>3216152.0</v>
      </c>
      <c r="B986" s="1" t="s">
        <v>2205</v>
      </c>
      <c r="C986" s="1" t="s">
        <v>2070</v>
      </c>
      <c r="D986" s="1" t="s">
        <v>2079</v>
      </c>
      <c r="E986" s="1" t="s">
        <v>2206</v>
      </c>
      <c r="F986" s="1" t="s">
        <v>16</v>
      </c>
      <c r="G986" s="1" t="s">
        <v>27</v>
      </c>
      <c r="H986" s="1" t="s">
        <v>18</v>
      </c>
      <c r="I986" s="1" t="s">
        <v>19</v>
      </c>
      <c r="J986" s="1">
        <v>216.0</v>
      </c>
      <c r="K986" s="1">
        <v>67.0</v>
      </c>
      <c r="L986" s="1">
        <v>400.0</v>
      </c>
    </row>
    <row r="987">
      <c r="A987" s="1">
        <v>3276152.0</v>
      </c>
      <c r="B987" s="1" t="s">
        <v>2207</v>
      </c>
      <c r="C987" s="1" t="s">
        <v>2070</v>
      </c>
      <c r="D987" s="1" t="s">
        <v>2082</v>
      </c>
      <c r="E987" s="1" t="s">
        <v>2208</v>
      </c>
      <c r="F987" s="1" t="s">
        <v>16</v>
      </c>
      <c r="G987" s="1" t="s">
        <v>17</v>
      </c>
      <c r="H987" s="1" t="s">
        <v>18</v>
      </c>
      <c r="I987" s="1" t="s">
        <v>19</v>
      </c>
      <c r="J987" s="1">
        <v>101.0</v>
      </c>
      <c r="K987" s="1">
        <v>29.0</v>
      </c>
      <c r="L987" s="1">
        <v>122.0</v>
      </c>
    </row>
    <row r="988">
      <c r="A988" s="1">
        <v>3213049.0</v>
      </c>
      <c r="B988" s="1" t="s">
        <v>2209</v>
      </c>
      <c r="C988" s="1" t="s">
        <v>2070</v>
      </c>
      <c r="D988" s="1" t="s">
        <v>2127</v>
      </c>
      <c r="E988" s="1" t="s">
        <v>2210</v>
      </c>
      <c r="F988" s="1" t="s">
        <v>55</v>
      </c>
      <c r="G988" s="1" t="s">
        <v>17</v>
      </c>
      <c r="H988" s="1" t="s">
        <v>18</v>
      </c>
      <c r="I988" s="1" t="s">
        <v>44</v>
      </c>
      <c r="J988" s="1">
        <v>33.0</v>
      </c>
      <c r="K988" s="1">
        <v>11.0</v>
      </c>
      <c r="L988" s="1">
        <v>44.0</v>
      </c>
    </row>
    <row r="989">
      <c r="A989" s="1">
        <v>3216462.0</v>
      </c>
      <c r="B989" s="1" t="s">
        <v>2211</v>
      </c>
      <c r="C989" s="1" t="s">
        <v>2070</v>
      </c>
      <c r="D989" s="1" t="s">
        <v>2079</v>
      </c>
      <c r="E989" s="1" t="s">
        <v>2212</v>
      </c>
      <c r="F989" s="1" t="s">
        <v>16</v>
      </c>
      <c r="G989" s="1" t="s">
        <v>23</v>
      </c>
      <c r="H989" s="1" t="s">
        <v>18</v>
      </c>
      <c r="I989" s="1" t="s">
        <v>44</v>
      </c>
      <c r="J989" s="1">
        <v>50.0</v>
      </c>
      <c r="K989" s="1">
        <v>18.0</v>
      </c>
      <c r="L989" s="1">
        <v>0.0</v>
      </c>
    </row>
    <row r="990">
      <c r="A990" s="1">
        <v>3205021.0</v>
      </c>
      <c r="B990" s="1" t="s">
        <v>2213</v>
      </c>
      <c r="C990" s="1" t="s">
        <v>2070</v>
      </c>
      <c r="D990" s="1" t="s">
        <v>2214</v>
      </c>
      <c r="E990" s="1" t="s">
        <v>2215</v>
      </c>
      <c r="F990" s="1" t="s">
        <v>16</v>
      </c>
      <c r="G990" s="1" t="s">
        <v>17</v>
      </c>
      <c r="H990" s="1" t="s">
        <v>33</v>
      </c>
      <c r="I990" s="1" t="s">
        <v>74</v>
      </c>
      <c r="J990" s="1">
        <v>164.0</v>
      </c>
      <c r="K990" s="1">
        <v>46.0</v>
      </c>
      <c r="L990" s="1">
        <v>310.0</v>
      </c>
    </row>
    <row r="991">
      <c r="A991" s="1">
        <v>3277021.0</v>
      </c>
      <c r="B991" s="1" t="s">
        <v>2216</v>
      </c>
      <c r="C991" s="1" t="s">
        <v>2070</v>
      </c>
      <c r="D991" s="1" t="s">
        <v>2217</v>
      </c>
      <c r="E991" s="1" t="s">
        <v>2218</v>
      </c>
      <c r="F991" s="1" t="s">
        <v>16</v>
      </c>
      <c r="G991" s="1" t="s">
        <v>17</v>
      </c>
      <c r="H991" s="1" t="s">
        <v>18</v>
      </c>
      <c r="I991" s="1" t="s">
        <v>44</v>
      </c>
      <c r="J991" s="1">
        <v>190.0</v>
      </c>
      <c r="K991" s="1">
        <v>75.0</v>
      </c>
      <c r="L991" s="1">
        <v>340.0</v>
      </c>
    </row>
    <row r="992">
      <c r="A992" s="1">
        <v>3209144.0</v>
      </c>
      <c r="B992" s="1" t="s">
        <v>2219</v>
      </c>
      <c r="C992" s="1" t="s">
        <v>2070</v>
      </c>
      <c r="D992" s="1" t="s">
        <v>2106</v>
      </c>
      <c r="E992" s="1" t="s">
        <v>2220</v>
      </c>
      <c r="F992" s="1" t="s">
        <v>16</v>
      </c>
      <c r="G992" s="1" t="s">
        <v>17</v>
      </c>
      <c r="H992" s="1" t="s">
        <v>18</v>
      </c>
      <c r="I992" s="1" t="s">
        <v>19</v>
      </c>
      <c r="J992" s="1">
        <v>126.0</v>
      </c>
      <c r="K992" s="1">
        <v>49.0</v>
      </c>
      <c r="L992" s="1">
        <v>0.0</v>
      </c>
    </row>
    <row r="993">
      <c r="A993" s="1">
        <v>3271013.0</v>
      </c>
      <c r="B993" s="1" t="s">
        <v>2221</v>
      </c>
      <c r="C993" s="1" t="s">
        <v>2070</v>
      </c>
      <c r="D993" s="1" t="s">
        <v>2173</v>
      </c>
      <c r="E993" s="1" t="s">
        <v>2222</v>
      </c>
      <c r="F993" s="1" t="s">
        <v>16</v>
      </c>
      <c r="G993" s="1" t="s">
        <v>27</v>
      </c>
      <c r="H993" s="1" t="s">
        <v>18</v>
      </c>
      <c r="I993" s="1" t="s">
        <v>59</v>
      </c>
      <c r="J993" s="1">
        <v>336.0</v>
      </c>
      <c r="K993" s="1">
        <v>135.0</v>
      </c>
      <c r="L993" s="1">
        <v>1248.0</v>
      </c>
    </row>
    <row r="994">
      <c r="A994" s="1">
        <v>3276028.0</v>
      </c>
      <c r="B994" s="1" t="s">
        <v>2223</v>
      </c>
      <c r="C994" s="1" t="s">
        <v>2070</v>
      </c>
      <c r="D994" s="1" t="s">
        <v>2082</v>
      </c>
      <c r="E994" s="1" t="s">
        <v>2224</v>
      </c>
      <c r="F994" s="1" t="s">
        <v>16</v>
      </c>
      <c r="G994" s="1" t="s">
        <v>17</v>
      </c>
      <c r="H994" s="1" t="s">
        <v>18</v>
      </c>
      <c r="I994" s="1" t="s">
        <v>44</v>
      </c>
      <c r="J994" s="1">
        <v>117.0</v>
      </c>
      <c r="K994" s="1">
        <v>62.0</v>
      </c>
      <c r="L994" s="1">
        <v>251.0</v>
      </c>
    </row>
    <row r="995">
      <c r="A995" s="1">
        <v>3204130.0</v>
      </c>
      <c r="B995" s="1" t="s">
        <v>2225</v>
      </c>
      <c r="C995" s="1" t="s">
        <v>2070</v>
      </c>
      <c r="D995" s="1" t="s">
        <v>2088</v>
      </c>
      <c r="E995" s="1" t="s">
        <v>2226</v>
      </c>
      <c r="F995" s="1" t="s">
        <v>272</v>
      </c>
      <c r="G995" s="1" t="s">
        <v>17</v>
      </c>
      <c r="H995" s="1" t="s">
        <v>18</v>
      </c>
      <c r="I995" s="1" t="s">
        <v>19</v>
      </c>
      <c r="J995" s="1">
        <v>16.0</v>
      </c>
      <c r="K995" s="1">
        <v>25.0</v>
      </c>
      <c r="L995" s="1">
        <v>52.0</v>
      </c>
    </row>
    <row r="996">
      <c r="A996" s="1">
        <v>3210014.0</v>
      </c>
      <c r="B996" s="1" t="s">
        <v>2227</v>
      </c>
      <c r="C996" s="1" t="s">
        <v>2070</v>
      </c>
      <c r="D996" s="1" t="s">
        <v>2228</v>
      </c>
      <c r="E996" s="1" t="s">
        <v>2229</v>
      </c>
      <c r="F996" s="1" t="s">
        <v>16</v>
      </c>
      <c r="G996" s="1" t="s">
        <v>17</v>
      </c>
      <c r="H996" s="1" t="s">
        <v>28</v>
      </c>
      <c r="I996" s="1" t="s">
        <v>40</v>
      </c>
      <c r="J996" s="1">
        <v>218.0</v>
      </c>
      <c r="K996" s="1">
        <v>53.0</v>
      </c>
      <c r="L996" s="1">
        <v>417.0</v>
      </c>
    </row>
    <row r="997">
      <c r="A997" s="1">
        <v>3216351.0</v>
      </c>
      <c r="B997" s="1" t="s">
        <v>2230</v>
      </c>
      <c r="C997" s="1" t="s">
        <v>2070</v>
      </c>
      <c r="D997" s="1" t="s">
        <v>2079</v>
      </c>
      <c r="E997" s="1" t="s">
        <v>2231</v>
      </c>
      <c r="F997" s="1" t="s">
        <v>16</v>
      </c>
      <c r="G997" s="1" t="s">
        <v>17</v>
      </c>
      <c r="H997" s="1" t="s">
        <v>18</v>
      </c>
      <c r="I997" s="1" t="s">
        <v>19</v>
      </c>
      <c r="J997" s="1">
        <v>102.0</v>
      </c>
      <c r="K997" s="1">
        <v>28.0</v>
      </c>
      <c r="L997" s="1">
        <v>148.0</v>
      </c>
    </row>
    <row r="998">
      <c r="A998" s="1">
        <v>3201229.0</v>
      </c>
      <c r="B998" s="1" t="s">
        <v>2232</v>
      </c>
      <c r="C998" s="1" t="s">
        <v>2070</v>
      </c>
      <c r="D998" s="1" t="s">
        <v>2097</v>
      </c>
      <c r="E998" s="1" t="s">
        <v>2233</v>
      </c>
      <c r="F998" s="1" t="s">
        <v>16</v>
      </c>
      <c r="G998" s="1" t="s">
        <v>17</v>
      </c>
      <c r="H998" s="1" t="s">
        <v>18</v>
      </c>
      <c r="I998" s="1" t="s">
        <v>19</v>
      </c>
      <c r="J998" s="1">
        <v>115.0</v>
      </c>
      <c r="K998" s="1">
        <v>28.0</v>
      </c>
      <c r="L998" s="1">
        <v>249.0</v>
      </c>
    </row>
    <row r="999">
      <c r="A999" s="1">
        <v>3205023.0</v>
      </c>
      <c r="B999" s="1" t="s">
        <v>2234</v>
      </c>
      <c r="C999" s="1" t="s">
        <v>2070</v>
      </c>
      <c r="D999" s="1" t="s">
        <v>2214</v>
      </c>
      <c r="E999" s="1" t="s">
        <v>2235</v>
      </c>
      <c r="F999" s="1" t="s">
        <v>16</v>
      </c>
      <c r="G999" s="1" t="s">
        <v>23</v>
      </c>
      <c r="H999" s="1" t="s">
        <v>18</v>
      </c>
      <c r="I999" s="1" t="s">
        <v>59</v>
      </c>
      <c r="J999" s="1">
        <v>112.0</v>
      </c>
      <c r="K999" s="1">
        <v>44.0</v>
      </c>
      <c r="L999" s="1">
        <v>88.0</v>
      </c>
    </row>
    <row r="1000">
      <c r="A1000" s="1">
        <v>3205026.0</v>
      </c>
      <c r="B1000" s="1" t="s">
        <v>2236</v>
      </c>
      <c r="C1000" s="1" t="s">
        <v>2070</v>
      </c>
      <c r="D1000" s="1" t="s">
        <v>2214</v>
      </c>
      <c r="E1000" s="1" t="s">
        <v>2237</v>
      </c>
      <c r="F1000" s="1" t="s">
        <v>16</v>
      </c>
      <c r="G1000" s="1" t="s">
        <v>17</v>
      </c>
      <c r="H1000" s="1" t="s">
        <v>18</v>
      </c>
      <c r="I1000" s="1" t="s">
        <v>19</v>
      </c>
      <c r="J1000" s="1">
        <v>99.0</v>
      </c>
      <c r="K1000" s="1">
        <v>35.0</v>
      </c>
      <c r="L1000" s="1">
        <v>246.0</v>
      </c>
    </row>
    <row r="1001">
      <c r="A1001" s="1">
        <v>3204137.0</v>
      </c>
      <c r="B1001" s="1" t="s">
        <v>2238</v>
      </c>
      <c r="C1001" s="1" t="s">
        <v>2070</v>
      </c>
      <c r="D1001" s="1" t="s">
        <v>2088</v>
      </c>
      <c r="E1001" s="1" t="s">
        <v>2239</v>
      </c>
      <c r="F1001" s="1" t="s">
        <v>16</v>
      </c>
      <c r="G1001" s="1" t="s">
        <v>23</v>
      </c>
      <c r="H1001" s="1" t="s">
        <v>18</v>
      </c>
      <c r="I1001" s="1" t="s">
        <v>19</v>
      </c>
      <c r="J1001" s="1">
        <v>63.0</v>
      </c>
      <c r="K1001" s="1">
        <v>72.0</v>
      </c>
      <c r="L1001" s="1">
        <v>0.0</v>
      </c>
    </row>
    <row r="1002">
      <c r="A1002" s="1">
        <v>3273561.0</v>
      </c>
      <c r="B1002" s="1" t="s">
        <v>2240</v>
      </c>
      <c r="C1002" s="1" t="s">
        <v>2070</v>
      </c>
      <c r="D1002" s="1" t="s">
        <v>2088</v>
      </c>
      <c r="E1002" s="1" t="s">
        <v>2241</v>
      </c>
      <c r="F1002" s="1" t="s">
        <v>16</v>
      </c>
      <c r="G1002" s="1" t="s">
        <v>17</v>
      </c>
      <c r="H1002" s="1" t="s">
        <v>18</v>
      </c>
      <c r="I1002" s="1" t="s">
        <v>19</v>
      </c>
      <c r="J1002" s="1">
        <v>99.0</v>
      </c>
      <c r="K1002" s="1">
        <v>37.0</v>
      </c>
      <c r="L1002" s="1">
        <v>0.0</v>
      </c>
    </row>
    <row r="1003">
      <c r="A1003" s="1">
        <v>3201035.0</v>
      </c>
      <c r="B1003" s="1" t="s">
        <v>2242</v>
      </c>
      <c r="C1003" s="1" t="s">
        <v>2070</v>
      </c>
      <c r="D1003" s="1" t="s">
        <v>2082</v>
      </c>
      <c r="E1003" s="1" t="s">
        <v>2243</v>
      </c>
      <c r="F1003" s="1" t="s">
        <v>16</v>
      </c>
      <c r="G1003" s="1" t="s">
        <v>17</v>
      </c>
      <c r="H1003" s="1" t="s">
        <v>18</v>
      </c>
      <c r="I1003" s="1" t="s">
        <v>59</v>
      </c>
      <c r="J1003" s="1">
        <v>118.0</v>
      </c>
      <c r="K1003" s="1">
        <v>52.0</v>
      </c>
      <c r="L1003" s="1">
        <v>514.0</v>
      </c>
    </row>
    <row r="1004">
      <c r="A1004" s="1">
        <v>3273052.0</v>
      </c>
      <c r="B1004" s="1" t="s">
        <v>2244</v>
      </c>
      <c r="C1004" s="1" t="s">
        <v>2070</v>
      </c>
      <c r="D1004" s="1" t="s">
        <v>2088</v>
      </c>
      <c r="E1004" s="1" t="s">
        <v>2245</v>
      </c>
      <c r="F1004" s="1" t="s">
        <v>16</v>
      </c>
      <c r="G1004" s="1" t="s">
        <v>27</v>
      </c>
      <c r="H1004" s="1" t="s">
        <v>18</v>
      </c>
      <c r="I1004" s="1" t="s">
        <v>258</v>
      </c>
      <c r="J1004" s="1">
        <v>320.0</v>
      </c>
      <c r="K1004" s="1">
        <v>58.0</v>
      </c>
      <c r="L1004" s="1">
        <v>1254.0</v>
      </c>
    </row>
    <row r="1005">
      <c r="A1005" s="1">
        <v>3274100.0</v>
      </c>
      <c r="B1005" s="1" t="s">
        <v>2246</v>
      </c>
      <c r="C1005" s="1" t="s">
        <v>2070</v>
      </c>
      <c r="D1005" s="1" t="s">
        <v>2124</v>
      </c>
      <c r="E1005" s="1" t="s">
        <v>2247</v>
      </c>
      <c r="F1005" s="1" t="s">
        <v>16</v>
      </c>
      <c r="G1005" s="1" t="s">
        <v>23</v>
      </c>
      <c r="H1005" s="1" t="s">
        <v>18</v>
      </c>
      <c r="I1005" s="1" t="s">
        <v>59</v>
      </c>
      <c r="J1005" s="1">
        <v>51.0</v>
      </c>
      <c r="K1005" s="1">
        <v>38.0</v>
      </c>
      <c r="L1005" s="1">
        <v>46.0</v>
      </c>
    </row>
    <row r="1006">
      <c r="A1006" s="1">
        <v>3214034.0</v>
      </c>
      <c r="B1006" s="1" t="s">
        <v>2248</v>
      </c>
      <c r="C1006" s="1" t="s">
        <v>2070</v>
      </c>
      <c r="D1006" s="1" t="s">
        <v>2182</v>
      </c>
      <c r="E1006" s="1" t="s">
        <v>2249</v>
      </c>
      <c r="F1006" s="1" t="s">
        <v>16</v>
      </c>
      <c r="G1006" s="1" t="s">
        <v>17</v>
      </c>
      <c r="H1006" s="1" t="s">
        <v>18</v>
      </c>
      <c r="I1006" s="1" t="s">
        <v>44</v>
      </c>
      <c r="J1006" s="1">
        <v>149.0</v>
      </c>
      <c r="K1006" s="1">
        <v>91.0</v>
      </c>
      <c r="L1006" s="1">
        <v>330.0</v>
      </c>
    </row>
    <row r="1007">
      <c r="A1007" s="1">
        <v>3201152.0</v>
      </c>
      <c r="B1007" s="1" t="s">
        <v>2250</v>
      </c>
      <c r="C1007" s="1" t="s">
        <v>2070</v>
      </c>
      <c r="D1007" s="1" t="s">
        <v>2097</v>
      </c>
      <c r="E1007" s="1" t="s">
        <v>2251</v>
      </c>
      <c r="F1007" s="1" t="s">
        <v>16</v>
      </c>
      <c r="G1007" s="1" t="s">
        <v>17</v>
      </c>
      <c r="H1007" s="1" t="s">
        <v>18</v>
      </c>
      <c r="I1007" s="1" t="s">
        <v>19</v>
      </c>
      <c r="J1007" s="1">
        <v>107.0</v>
      </c>
      <c r="K1007" s="1">
        <v>37.0</v>
      </c>
      <c r="L1007" s="1">
        <v>165.0</v>
      </c>
    </row>
    <row r="1008">
      <c r="A1008" s="1">
        <v>3273176.0</v>
      </c>
      <c r="B1008" s="1" t="s">
        <v>2252</v>
      </c>
      <c r="C1008" s="1" t="s">
        <v>2070</v>
      </c>
      <c r="D1008" s="1" t="s">
        <v>2088</v>
      </c>
      <c r="E1008" s="1" t="s">
        <v>2253</v>
      </c>
      <c r="F1008" s="1" t="s">
        <v>16</v>
      </c>
      <c r="G1008" s="1" t="s">
        <v>23</v>
      </c>
      <c r="H1008" s="1" t="s">
        <v>18</v>
      </c>
      <c r="I1008" s="1" t="s">
        <v>74</v>
      </c>
      <c r="J1008" s="1">
        <v>108.0</v>
      </c>
      <c r="K1008" s="1">
        <v>29.0</v>
      </c>
      <c r="L1008" s="1">
        <v>92.0</v>
      </c>
    </row>
    <row r="1009">
      <c r="A1009" s="1">
        <v>3274134.0</v>
      </c>
      <c r="B1009" s="1" t="s">
        <v>2254</v>
      </c>
      <c r="C1009" s="1" t="s">
        <v>2070</v>
      </c>
      <c r="D1009" s="1" t="s">
        <v>2124</v>
      </c>
      <c r="E1009" s="1" t="s">
        <v>2255</v>
      </c>
      <c r="F1009" s="1" t="s">
        <v>16</v>
      </c>
      <c r="G1009" s="1" t="s">
        <v>17</v>
      </c>
      <c r="H1009" s="1" t="s">
        <v>18</v>
      </c>
      <c r="I1009" s="1" t="s">
        <v>19</v>
      </c>
      <c r="J1009" s="1">
        <v>100.0</v>
      </c>
      <c r="K1009" s="1">
        <v>47.0</v>
      </c>
      <c r="L1009" s="1">
        <v>176.0</v>
      </c>
    </row>
    <row r="1010">
      <c r="A1010" s="1">
        <v>3216072.0</v>
      </c>
      <c r="B1010" s="1" t="s">
        <v>2256</v>
      </c>
      <c r="C1010" s="1" t="s">
        <v>2070</v>
      </c>
      <c r="D1010" s="1" t="s">
        <v>2079</v>
      </c>
      <c r="E1010" s="1" t="s">
        <v>2257</v>
      </c>
      <c r="F1010" s="1" t="s">
        <v>16</v>
      </c>
      <c r="G1010" s="1" t="s">
        <v>17</v>
      </c>
      <c r="H1010" s="1" t="s">
        <v>18</v>
      </c>
      <c r="I1010" s="1" t="s">
        <v>59</v>
      </c>
      <c r="J1010" s="1">
        <v>120.0</v>
      </c>
      <c r="K1010" s="1">
        <v>33.0</v>
      </c>
      <c r="L1010" s="1">
        <v>228.0</v>
      </c>
    </row>
    <row r="1011">
      <c r="A1011" s="1">
        <v>3204086.0</v>
      </c>
      <c r="B1011" s="1" t="s">
        <v>2258</v>
      </c>
      <c r="C1011" s="1" t="s">
        <v>2070</v>
      </c>
      <c r="D1011" s="1" t="s">
        <v>2091</v>
      </c>
      <c r="E1011" s="1" t="s">
        <v>2259</v>
      </c>
      <c r="F1011" s="1" t="s">
        <v>16</v>
      </c>
      <c r="G1011" s="1" t="s">
        <v>27</v>
      </c>
      <c r="H1011" s="1" t="s">
        <v>28</v>
      </c>
      <c r="I1011" s="1" t="s">
        <v>139</v>
      </c>
      <c r="J1011" s="1">
        <v>617.0</v>
      </c>
      <c r="K1011" s="1">
        <v>133.0</v>
      </c>
      <c r="L1011" s="1">
        <v>997.0</v>
      </c>
    </row>
    <row r="1012">
      <c r="A1012" s="1">
        <v>3274031.0</v>
      </c>
      <c r="B1012" s="1" t="s">
        <v>2260</v>
      </c>
      <c r="C1012" s="1" t="s">
        <v>2070</v>
      </c>
      <c r="D1012" s="1" t="s">
        <v>2124</v>
      </c>
      <c r="E1012" s="1" t="s">
        <v>2261</v>
      </c>
      <c r="F1012" s="1" t="s">
        <v>16</v>
      </c>
      <c r="G1012" s="1" t="s">
        <v>17</v>
      </c>
      <c r="H1012" s="1" t="s">
        <v>18</v>
      </c>
      <c r="I1012" s="1" t="s">
        <v>19</v>
      </c>
      <c r="J1012" s="1">
        <v>101.0</v>
      </c>
      <c r="K1012" s="1">
        <v>22.0</v>
      </c>
      <c r="L1012" s="1">
        <v>63.0</v>
      </c>
    </row>
    <row r="1013">
      <c r="A1013" s="1">
        <v>3277019.0</v>
      </c>
      <c r="B1013" s="1" t="s">
        <v>2262</v>
      </c>
      <c r="C1013" s="1" t="s">
        <v>2070</v>
      </c>
      <c r="D1013" s="1" t="s">
        <v>2217</v>
      </c>
      <c r="E1013" s="1" t="s">
        <v>2263</v>
      </c>
      <c r="F1013" s="1" t="s">
        <v>16</v>
      </c>
      <c r="G1013" s="1" t="s">
        <v>17</v>
      </c>
      <c r="H1013" s="1" t="s">
        <v>18</v>
      </c>
      <c r="I1013" s="1" t="s">
        <v>44</v>
      </c>
      <c r="J1013" s="1">
        <v>138.0</v>
      </c>
      <c r="K1013" s="1">
        <v>37.0</v>
      </c>
      <c r="L1013" s="1">
        <v>225.0</v>
      </c>
    </row>
    <row r="1014">
      <c r="A1014" s="1">
        <v>3216421.0</v>
      </c>
      <c r="B1014" s="1" t="s">
        <v>2264</v>
      </c>
      <c r="C1014" s="1" t="s">
        <v>2070</v>
      </c>
      <c r="D1014" s="1" t="s">
        <v>2079</v>
      </c>
      <c r="E1014" s="1" t="s">
        <v>2265</v>
      </c>
      <c r="F1014" s="1" t="s">
        <v>16</v>
      </c>
      <c r="G1014" s="1" t="s">
        <v>23</v>
      </c>
      <c r="H1014" s="1" t="s">
        <v>18</v>
      </c>
      <c r="I1014" s="1" t="s">
        <v>19</v>
      </c>
      <c r="J1014" s="1">
        <v>50.0</v>
      </c>
      <c r="K1014" s="1">
        <v>22.0</v>
      </c>
      <c r="L1014" s="1">
        <v>64.0</v>
      </c>
    </row>
    <row r="1015">
      <c r="A1015" s="1">
        <v>3216426.0</v>
      </c>
      <c r="B1015" s="1" t="s">
        <v>2266</v>
      </c>
      <c r="C1015" s="1" t="s">
        <v>2070</v>
      </c>
      <c r="D1015" s="1" t="s">
        <v>2079</v>
      </c>
      <c r="E1015" s="1" t="s">
        <v>2267</v>
      </c>
      <c r="F1015" s="1" t="s">
        <v>16</v>
      </c>
      <c r="G1015" s="1" t="s">
        <v>17</v>
      </c>
      <c r="H1015" s="1" t="s">
        <v>18</v>
      </c>
      <c r="I1015" s="1" t="s">
        <v>44</v>
      </c>
      <c r="J1015" s="1">
        <v>110.0</v>
      </c>
      <c r="K1015" s="1">
        <v>24.0</v>
      </c>
      <c r="L1015" s="1">
        <v>42.0</v>
      </c>
    </row>
    <row r="1016">
      <c r="A1016" s="1">
        <v>3201251.0</v>
      </c>
      <c r="B1016" s="1" t="s">
        <v>2268</v>
      </c>
      <c r="C1016" s="1" t="s">
        <v>2070</v>
      </c>
      <c r="D1016" s="1" t="s">
        <v>2173</v>
      </c>
      <c r="E1016" s="1" t="s">
        <v>2269</v>
      </c>
      <c r="F1016" s="1" t="s">
        <v>16</v>
      </c>
      <c r="G1016" s="1" t="s">
        <v>17</v>
      </c>
      <c r="H1016" s="1" t="s">
        <v>18</v>
      </c>
      <c r="I1016" s="1" t="s">
        <v>44</v>
      </c>
      <c r="J1016" s="1">
        <v>104.0</v>
      </c>
      <c r="K1016" s="1">
        <v>52.0</v>
      </c>
      <c r="L1016" s="1">
        <v>268.0</v>
      </c>
    </row>
    <row r="1017">
      <c r="A1017" s="1">
        <v>3218001.0</v>
      </c>
      <c r="B1017" s="1" t="s">
        <v>2270</v>
      </c>
      <c r="C1017" s="1" t="s">
        <v>2070</v>
      </c>
      <c r="D1017" s="1" t="s">
        <v>2271</v>
      </c>
      <c r="E1017" s="1" t="s">
        <v>2272</v>
      </c>
      <c r="F1017" s="1" t="s">
        <v>16</v>
      </c>
      <c r="G1017" s="1" t="s">
        <v>17</v>
      </c>
      <c r="H1017" s="1" t="s">
        <v>28</v>
      </c>
      <c r="I1017" s="1" t="s">
        <v>40</v>
      </c>
      <c r="J1017" s="1">
        <v>247.0</v>
      </c>
      <c r="K1017" s="1">
        <v>29.0</v>
      </c>
      <c r="L1017" s="1">
        <v>467.0</v>
      </c>
    </row>
    <row r="1018">
      <c r="A1018" s="1">
        <v>3275263.0</v>
      </c>
      <c r="B1018" s="1" t="s">
        <v>2273</v>
      </c>
      <c r="C1018" s="1" t="s">
        <v>2070</v>
      </c>
      <c r="D1018" s="1" t="s">
        <v>2119</v>
      </c>
      <c r="E1018" s="1" t="s">
        <v>2274</v>
      </c>
      <c r="F1018" s="1" t="s">
        <v>16</v>
      </c>
      <c r="G1018" s="1" t="s">
        <v>17</v>
      </c>
      <c r="H1018" s="1" t="s">
        <v>18</v>
      </c>
      <c r="I1018" s="1" t="s">
        <v>19</v>
      </c>
      <c r="J1018" s="1">
        <v>107.0</v>
      </c>
      <c r="K1018" s="1">
        <v>28.0</v>
      </c>
      <c r="L1018" s="1">
        <v>287.0</v>
      </c>
    </row>
    <row r="1019">
      <c r="A1019" s="1">
        <v>3208024.0</v>
      </c>
      <c r="B1019" s="1" t="s">
        <v>2275</v>
      </c>
      <c r="C1019" s="1" t="s">
        <v>2070</v>
      </c>
      <c r="D1019" s="1" t="s">
        <v>2074</v>
      </c>
      <c r="E1019" s="1" t="s">
        <v>2276</v>
      </c>
      <c r="F1019" s="1" t="s">
        <v>16</v>
      </c>
      <c r="G1019" s="1" t="s">
        <v>17</v>
      </c>
      <c r="H1019" s="1" t="s">
        <v>18</v>
      </c>
      <c r="I1019" s="1" t="s">
        <v>59</v>
      </c>
      <c r="J1019" s="1">
        <v>120.0</v>
      </c>
      <c r="K1019" s="1">
        <v>30.0</v>
      </c>
      <c r="L1019" s="1">
        <v>189.0</v>
      </c>
    </row>
    <row r="1020">
      <c r="A1020" s="1">
        <v>3212042.0</v>
      </c>
      <c r="B1020" s="1" t="s">
        <v>2277</v>
      </c>
      <c r="C1020" s="1" t="s">
        <v>2070</v>
      </c>
      <c r="D1020" s="1" t="s">
        <v>2189</v>
      </c>
      <c r="E1020" s="1" t="s">
        <v>2278</v>
      </c>
      <c r="F1020" s="1" t="s">
        <v>16</v>
      </c>
      <c r="G1020" s="1" t="s">
        <v>17</v>
      </c>
      <c r="H1020" s="1" t="s">
        <v>33</v>
      </c>
      <c r="I1020" s="1" t="s">
        <v>65</v>
      </c>
      <c r="J1020" s="1">
        <v>132.0</v>
      </c>
      <c r="K1020" s="1">
        <v>30.0</v>
      </c>
      <c r="L1020" s="1">
        <v>304.0</v>
      </c>
    </row>
    <row r="1021">
      <c r="A1021" s="1">
        <v>3201240.0</v>
      </c>
      <c r="B1021" s="1" t="s">
        <v>2279</v>
      </c>
      <c r="C1021" s="1" t="s">
        <v>2070</v>
      </c>
      <c r="D1021" s="1" t="s">
        <v>2173</v>
      </c>
      <c r="E1021" s="1" t="s">
        <v>2280</v>
      </c>
      <c r="F1021" s="1" t="s">
        <v>16</v>
      </c>
      <c r="G1021" s="1" t="s">
        <v>17</v>
      </c>
      <c r="H1021" s="1" t="s">
        <v>18</v>
      </c>
      <c r="I1021" s="1" t="s">
        <v>19</v>
      </c>
      <c r="J1021" s="1">
        <v>112.0</v>
      </c>
      <c r="K1021" s="1">
        <v>26.0</v>
      </c>
      <c r="L1021" s="1">
        <v>132.0</v>
      </c>
    </row>
    <row r="1022">
      <c r="A1022" s="1">
        <v>3275062.0</v>
      </c>
      <c r="B1022" s="1" t="s">
        <v>2281</v>
      </c>
      <c r="C1022" s="1" t="s">
        <v>2070</v>
      </c>
      <c r="D1022" s="1" t="s">
        <v>2119</v>
      </c>
      <c r="E1022" s="1" t="s">
        <v>2282</v>
      </c>
      <c r="F1022" s="1" t="s">
        <v>16</v>
      </c>
      <c r="G1022" s="1" t="s">
        <v>17</v>
      </c>
      <c r="H1022" s="1" t="s">
        <v>18</v>
      </c>
      <c r="I1022" s="1" t="s">
        <v>19</v>
      </c>
      <c r="J1022" s="1">
        <v>101.0</v>
      </c>
      <c r="K1022" s="1">
        <v>44.0</v>
      </c>
      <c r="L1022" s="1">
        <v>188.0</v>
      </c>
    </row>
    <row r="1023">
      <c r="A1023" s="1">
        <v>3210049.0</v>
      </c>
      <c r="B1023" s="1" t="s">
        <v>2283</v>
      </c>
      <c r="C1023" s="1" t="s">
        <v>2070</v>
      </c>
      <c r="D1023" s="1" t="s">
        <v>2228</v>
      </c>
      <c r="E1023" s="1" t="s">
        <v>2284</v>
      </c>
      <c r="F1023" s="1" t="s">
        <v>16</v>
      </c>
      <c r="G1023" s="1" t="s">
        <v>23</v>
      </c>
      <c r="H1023" s="1" t="s">
        <v>18</v>
      </c>
      <c r="I1023" s="1" t="s">
        <v>40</v>
      </c>
      <c r="J1023" s="1">
        <v>50.0</v>
      </c>
      <c r="K1023" s="1">
        <v>10.0</v>
      </c>
      <c r="L1023" s="1">
        <v>0.0</v>
      </c>
    </row>
    <row r="1024">
      <c r="A1024" s="1">
        <v>3211039.0</v>
      </c>
      <c r="B1024" s="1" t="s">
        <v>2285</v>
      </c>
      <c r="C1024" s="1" t="s">
        <v>2070</v>
      </c>
      <c r="D1024" s="1" t="s">
        <v>2286</v>
      </c>
      <c r="E1024" s="1" t="s">
        <v>2287</v>
      </c>
      <c r="F1024" s="1" t="s">
        <v>16</v>
      </c>
      <c r="G1024" s="1" t="s">
        <v>17</v>
      </c>
      <c r="H1024" s="1" t="s">
        <v>18</v>
      </c>
      <c r="I1024" s="1" t="s">
        <v>19</v>
      </c>
      <c r="J1024" s="1">
        <v>0.0</v>
      </c>
      <c r="K1024" s="1">
        <v>17.0</v>
      </c>
      <c r="L1024" s="1">
        <v>0.0</v>
      </c>
    </row>
    <row r="1025">
      <c r="A1025" s="1">
        <v>3272014.0</v>
      </c>
      <c r="B1025" s="1" t="s">
        <v>2288</v>
      </c>
      <c r="C1025" s="1" t="s">
        <v>2070</v>
      </c>
      <c r="D1025" s="1" t="s">
        <v>2289</v>
      </c>
      <c r="E1025" s="1" t="s">
        <v>2290</v>
      </c>
      <c r="F1025" s="1" t="s">
        <v>16</v>
      </c>
      <c r="G1025" s="1" t="s">
        <v>27</v>
      </c>
      <c r="H1025" s="1" t="s">
        <v>28</v>
      </c>
      <c r="I1025" s="1" t="s">
        <v>29</v>
      </c>
      <c r="J1025" s="1">
        <v>538.0</v>
      </c>
      <c r="K1025" s="1">
        <v>108.0</v>
      </c>
      <c r="L1025" s="1">
        <v>1509.0</v>
      </c>
    </row>
    <row r="1026">
      <c r="A1026" s="1">
        <v>3214032.0</v>
      </c>
      <c r="B1026" s="1" t="s">
        <v>2291</v>
      </c>
      <c r="C1026" s="1" t="s">
        <v>2070</v>
      </c>
      <c r="D1026" s="1" t="s">
        <v>2182</v>
      </c>
      <c r="E1026" s="1" t="s">
        <v>2292</v>
      </c>
      <c r="F1026" s="1" t="s">
        <v>16</v>
      </c>
      <c r="G1026" s="1" t="s">
        <v>27</v>
      </c>
      <c r="H1026" s="1" t="s">
        <v>18</v>
      </c>
      <c r="I1026" s="1" t="s">
        <v>44</v>
      </c>
      <c r="J1026" s="1">
        <v>247.0</v>
      </c>
      <c r="K1026" s="1">
        <v>58.0</v>
      </c>
      <c r="L1026" s="1">
        <v>605.0</v>
      </c>
    </row>
    <row r="1027">
      <c r="A1027" s="1">
        <v>3213032.0</v>
      </c>
      <c r="B1027" s="1" t="s">
        <v>2293</v>
      </c>
      <c r="C1027" s="1" t="s">
        <v>2070</v>
      </c>
      <c r="D1027" s="1" t="s">
        <v>2127</v>
      </c>
      <c r="E1027" s="1" t="s">
        <v>2294</v>
      </c>
      <c r="F1027" s="1" t="s">
        <v>16</v>
      </c>
      <c r="G1027" s="1" t="s">
        <v>23</v>
      </c>
      <c r="H1027" s="1" t="s">
        <v>18</v>
      </c>
      <c r="I1027" s="1" t="s">
        <v>563</v>
      </c>
      <c r="J1027" s="1">
        <v>65.0</v>
      </c>
      <c r="K1027" s="1">
        <v>13.0</v>
      </c>
      <c r="L1027" s="1">
        <v>71.0</v>
      </c>
    </row>
    <row r="1028">
      <c r="A1028" s="1">
        <v>3277018.0</v>
      </c>
      <c r="B1028" s="1" t="s">
        <v>2295</v>
      </c>
      <c r="C1028" s="1" t="s">
        <v>2070</v>
      </c>
      <c r="D1028" s="1" t="s">
        <v>2217</v>
      </c>
      <c r="E1028" s="1" t="s">
        <v>2296</v>
      </c>
      <c r="F1028" s="1" t="s">
        <v>16</v>
      </c>
      <c r="G1028" s="1" t="s">
        <v>17</v>
      </c>
      <c r="H1028" s="1" t="s">
        <v>18</v>
      </c>
      <c r="I1028" s="1" t="s">
        <v>59</v>
      </c>
      <c r="J1028" s="1">
        <v>100.0</v>
      </c>
      <c r="K1028" s="1">
        <v>39.0</v>
      </c>
      <c r="L1028" s="1">
        <v>158.0</v>
      </c>
    </row>
    <row r="1029">
      <c r="A1029" s="1">
        <v>3216408.0</v>
      </c>
      <c r="B1029" s="1" t="s">
        <v>2297</v>
      </c>
      <c r="C1029" s="1" t="s">
        <v>2070</v>
      </c>
      <c r="D1029" s="1" t="s">
        <v>2079</v>
      </c>
      <c r="E1029" s="1" t="s">
        <v>2298</v>
      </c>
      <c r="F1029" s="1" t="s">
        <v>16</v>
      </c>
      <c r="G1029" s="1" t="s">
        <v>17</v>
      </c>
      <c r="H1029" s="1" t="s">
        <v>18</v>
      </c>
      <c r="I1029" s="1" t="s">
        <v>19</v>
      </c>
      <c r="J1029" s="1">
        <v>104.0</v>
      </c>
      <c r="K1029" s="1">
        <v>27.0</v>
      </c>
      <c r="L1029" s="1">
        <v>257.0</v>
      </c>
    </row>
    <row r="1030">
      <c r="A1030" s="1">
        <v>3215112.0</v>
      </c>
      <c r="B1030" s="1" t="s">
        <v>2299</v>
      </c>
      <c r="C1030" s="1" t="s">
        <v>2070</v>
      </c>
      <c r="D1030" s="1" t="s">
        <v>2071</v>
      </c>
      <c r="E1030" s="1" t="s">
        <v>2300</v>
      </c>
      <c r="F1030" s="1" t="s">
        <v>55</v>
      </c>
      <c r="G1030" s="1" t="s">
        <v>17</v>
      </c>
      <c r="H1030" s="1" t="s">
        <v>18</v>
      </c>
      <c r="I1030" s="1" t="s">
        <v>19</v>
      </c>
      <c r="J1030" s="1">
        <v>66.0</v>
      </c>
      <c r="K1030" s="1">
        <v>23.0</v>
      </c>
      <c r="L1030" s="1">
        <v>45.0</v>
      </c>
    </row>
    <row r="1031">
      <c r="A1031" s="1">
        <v>3216416.0</v>
      </c>
      <c r="B1031" s="1" t="s">
        <v>2301</v>
      </c>
      <c r="C1031" s="1" t="s">
        <v>2070</v>
      </c>
      <c r="D1031" s="1" t="s">
        <v>2079</v>
      </c>
      <c r="E1031" s="1" t="s">
        <v>2302</v>
      </c>
      <c r="F1031" s="1" t="s">
        <v>16</v>
      </c>
      <c r="G1031" s="1" t="s">
        <v>17</v>
      </c>
      <c r="H1031" s="1" t="s">
        <v>18</v>
      </c>
      <c r="I1031" s="1" t="s">
        <v>19</v>
      </c>
      <c r="J1031" s="1">
        <v>100.0</v>
      </c>
      <c r="K1031" s="1">
        <v>65.0</v>
      </c>
      <c r="L1031" s="1">
        <v>205.0</v>
      </c>
    </row>
    <row r="1032">
      <c r="A1032" s="1">
        <v>3216434.0</v>
      </c>
      <c r="B1032" s="1" t="s">
        <v>2303</v>
      </c>
      <c r="C1032" s="1" t="s">
        <v>2070</v>
      </c>
      <c r="D1032" s="1" t="s">
        <v>2079</v>
      </c>
      <c r="E1032" s="1" t="s">
        <v>2304</v>
      </c>
      <c r="F1032" s="1" t="s">
        <v>16</v>
      </c>
      <c r="G1032" s="1" t="s">
        <v>23</v>
      </c>
      <c r="H1032" s="1" t="s">
        <v>18</v>
      </c>
      <c r="I1032" s="1" t="s">
        <v>163</v>
      </c>
      <c r="J1032" s="1">
        <v>46.0</v>
      </c>
      <c r="K1032" s="1">
        <v>27.0</v>
      </c>
      <c r="L1032" s="1">
        <v>60.0</v>
      </c>
    </row>
    <row r="1033">
      <c r="A1033" s="1">
        <v>3203015.0</v>
      </c>
      <c r="B1033" s="1" t="s">
        <v>2305</v>
      </c>
      <c r="C1033" s="1" t="s">
        <v>2070</v>
      </c>
      <c r="D1033" s="1" t="s">
        <v>2094</v>
      </c>
      <c r="E1033" s="1" t="s">
        <v>2306</v>
      </c>
      <c r="F1033" s="1" t="s">
        <v>16</v>
      </c>
      <c r="G1033" s="1" t="s">
        <v>27</v>
      </c>
      <c r="H1033" s="1" t="s">
        <v>28</v>
      </c>
      <c r="I1033" s="1" t="s">
        <v>40</v>
      </c>
      <c r="J1033" s="1">
        <v>467.0</v>
      </c>
      <c r="K1033" s="1">
        <v>41.0</v>
      </c>
      <c r="L1033" s="1">
        <v>1431.0</v>
      </c>
    </row>
    <row r="1034">
      <c r="A1034" s="1">
        <v>3273464.0</v>
      </c>
      <c r="B1034" s="1" t="s">
        <v>2307</v>
      </c>
      <c r="C1034" s="1" t="s">
        <v>2070</v>
      </c>
      <c r="D1034" s="1" t="s">
        <v>2088</v>
      </c>
      <c r="E1034" s="1" t="s">
        <v>2308</v>
      </c>
      <c r="F1034" s="1" t="s">
        <v>32</v>
      </c>
      <c r="G1034" s="1" t="s">
        <v>150</v>
      </c>
      <c r="H1034" s="1" t="s">
        <v>18</v>
      </c>
      <c r="I1034" s="1" t="s">
        <v>34</v>
      </c>
      <c r="J1034" s="1">
        <v>13.0</v>
      </c>
      <c r="K1034" s="1">
        <v>20.0</v>
      </c>
      <c r="L1034" s="1">
        <v>142.0</v>
      </c>
    </row>
    <row r="1035">
      <c r="A1035" s="1">
        <v>3276039.0</v>
      </c>
      <c r="B1035" s="1" t="s">
        <v>2309</v>
      </c>
      <c r="C1035" s="1" t="s">
        <v>2070</v>
      </c>
      <c r="D1035" s="1" t="s">
        <v>2082</v>
      </c>
      <c r="E1035" s="1" t="s">
        <v>2310</v>
      </c>
      <c r="F1035" s="1" t="s">
        <v>16</v>
      </c>
      <c r="G1035" s="1" t="s">
        <v>17</v>
      </c>
      <c r="H1035" s="1" t="s">
        <v>33</v>
      </c>
      <c r="I1035" s="1" t="s">
        <v>65</v>
      </c>
      <c r="J1035" s="1">
        <v>157.0</v>
      </c>
      <c r="K1035" s="1">
        <v>67.0</v>
      </c>
      <c r="L1035" s="1">
        <v>164.0</v>
      </c>
    </row>
    <row r="1036">
      <c r="A1036" s="1">
        <v>3201271.0</v>
      </c>
      <c r="B1036" s="1" t="s">
        <v>2311</v>
      </c>
      <c r="C1036" s="1" t="s">
        <v>2070</v>
      </c>
      <c r="D1036" s="1" t="s">
        <v>2097</v>
      </c>
      <c r="E1036" s="1" t="s">
        <v>2312</v>
      </c>
      <c r="F1036" s="1" t="s">
        <v>16</v>
      </c>
      <c r="G1036" s="1" t="s">
        <v>17</v>
      </c>
      <c r="H1036" s="1" t="s">
        <v>18</v>
      </c>
      <c r="I1036" s="1" t="s">
        <v>44</v>
      </c>
      <c r="J1036" s="1">
        <v>126.0</v>
      </c>
      <c r="K1036" s="1">
        <v>29.0</v>
      </c>
      <c r="L1036" s="1">
        <v>0.0</v>
      </c>
    </row>
    <row r="1037">
      <c r="A1037" s="1">
        <v>3216174.0</v>
      </c>
      <c r="B1037" s="1" t="s">
        <v>2313</v>
      </c>
      <c r="C1037" s="1" t="s">
        <v>2070</v>
      </c>
      <c r="D1037" s="1" t="s">
        <v>2119</v>
      </c>
      <c r="E1037" s="1" t="s">
        <v>2314</v>
      </c>
      <c r="F1037" s="1" t="s">
        <v>16</v>
      </c>
      <c r="G1037" s="1" t="s">
        <v>17</v>
      </c>
      <c r="H1037" s="1" t="s">
        <v>18</v>
      </c>
      <c r="I1037" s="1" t="s">
        <v>59</v>
      </c>
      <c r="J1037" s="1">
        <v>119.0</v>
      </c>
      <c r="K1037" s="1">
        <v>48.0</v>
      </c>
      <c r="L1037" s="1">
        <v>129.0</v>
      </c>
    </row>
    <row r="1038">
      <c r="A1038" s="1">
        <v>3216443.0</v>
      </c>
      <c r="B1038" s="1" t="s">
        <v>2315</v>
      </c>
      <c r="C1038" s="1" t="s">
        <v>2070</v>
      </c>
      <c r="D1038" s="1" t="s">
        <v>2079</v>
      </c>
      <c r="E1038" s="1" t="s">
        <v>2316</v>
      </c>
      <c r="F1038" s="1" t="s">
        <v>16</v>
      </c>
      <c r="G1038" s="1" t="s">
        <v>17</v>
      </c>
      <c r="H1038" s="1" t="s">
        <v>18</v>
      </c>
      <c r="I1038" s="1" t="s">
        <v>19</v>
      </c>
      <c r="J1038" s="1">
        <v>100.0</v>
      </c>
      <c r="K1038" s="1">
        <v>40.0</v>
      </c>
      <c r="L1038" s="1">
        <v>127.0</v>
      </c>
    </row>
    <row r="1039">
      <c r="A1039" s="1">
        <v>3206055.0</v>
      </c>
      <c r="B1039" s="1" t="s">
        <v>2317</v>
      </c>
      <c r="C1039" s="1" t="s">
        <v>2070</v>
      </c>
      <c r="D1039" s="1" t="s">
        <v>2077</v>
      </c>
      <c r="E1039" s="1" t="s">
        <v>2318</v>
      </c>
      <c r="F1039" s="1" t="s">
        <v>16</v>
      </c>
      <c r="G1039" s="1" t="s">
        <v>23</v>
      </c>
      <c r="H1039" s="1" t="s">
        <v>18</v>
      </c>
      <c r="I1039" s="1" t="s">
        <v>684</v>
      </c>
      <c r="J1039" s="1">
        <v>70.0</v>
      </c>
      <c r="K1039" s="1">
        <v>29.0</v>
      </c>
      <c r="L1039" s="1">
        <v>41.0</v>
      </c>
    </row>
    <row r="1040">
      <c r="A1040" s="1">
        <v>3215161.0</v>
      </c>
      <c r="B1040" s="1" t="s">
        <v>2319</v>
      </c>
      <c r="C1040" s="1" t="s">
        <v>2070</v>
      </c>
      <c r="D1040" s="1" t="s">
        <v>2071</v>
      </c>
      <c r="E1040" s="1" t="s">
        <v>2320</v>
      </c>
      <c r="F1040" s="1" t="s">
        <v>16</v>
      </c>
      <c r="G1040" s="1" t="s">
        <v>17</v>
      </c>
      <c r="H1040" s="1" t="s">
        <v>18</v>
      </c>
      <c r="I1040" s="1" t="s">
        <v>44</v>
      </c>
      <c r="J1040" s="1">
        <v>111.0</v>
      </c>
      <c r="K1040" s="1">
        <v>30.0</v>
      </c>
      <c r="L1040" s="1">
        <v>193.0</v>
      </c>
    </row>
    <row r="1041">
      <c r="A1041" s="1">
        <v>3201245.0</v>
      </c>
      <c r="B1041" s="1" t="s">
        <v>2321</v>
      </c>
      <c r="C1041" s="1" t="s">
        <v>2070</v>
      </c>
      <c r="D1041" s="1" t="s">
        <v>2097</v>
      </c>
      <c r="E1041" s="1" t="s">
        <v>2322</v>
      </c>
      <c r="F1041" s="1" t="s">
        <v>16</v>
      </c>
      <c r="G1041" s="1" t="s">
        <v>17</v>
      </c>
      <c r="H1041" s="1" t="s">
        <v>18</v>
      </c>
      <c r="I1041" s="1" t="s">
        <v>19</v>
      </c>
      <c r="J1041" s="1">
        <v>128.0</v>
      </c>
      <c r="K1041" s="1">
        <v>129.0</v>
      </c>
      <c r="L1041" s="1">
        <v>121.0</v>
      </c>
    </row>
    <row r="1042">
      <c r="A1042" s="1">
        <v>3205027.0</v>
      </c>
      <c r="B1042" s="1" t="s">
        <v>2323</v>
      </c>
      <c r="C1042" s="1" t="s">
        <v>2070</v>
      </c>
      <c r="D1042" s="1" t="s">
        <v>2214</v>
      </c>
      <c r="E1042" s="1" t="s">
        <v>2324</v>
      </c>
      <c r="F1042" s="1" t="s">
        <v>16</v>
      </c>
      <c r="G1042" s="1" t="s">
        <v>23</v>
      </c>
      <c r="H1042" s="1" t="s">
        <v>18</v>
      </c>
      <c r="I1042" s="1" t="s">
        <v>44</v>
      </c>
      <c r="J1042" s="1">
        <v>90.0</v>
      </c>
      <c r="K1042" s="1">
        <v>28.0</v>
      </c>
      <c r="L1042" s="1">
        <v>75.0</v>
      </c>
    </row>
    <row r="1043">
      <c r="A1043" s="1">
        <v>3276167.0</v>
      </c>
      <c r="B1043" s="1" t="s">
        <v>2325</v>
      </c>
      <c r="C1043" s="1" t="s">
        <v>2070</v>
      </c>
      <c r="D1043" s="1" t="s">
        <v>2082</v>
      </c>
      <c r="E1043" s="1" t="s">
        <v>2326</v>
      </c>
      <c r="F1043" s="1" t="s">
        <v>16</v>
      </c>
      <c r="G1043" s="1" t="s">
        <v>17</v>
      </c>
      <c r="H1043" s="1" t="s">
        <v>18</v>
      </c>
      <c r="I1043" s="1" t="s">
        <v>19</v>
      </c>
      <c r="J1043" s="1">
        <v>111.0</v>
      </c>
      <c r="K1043" s="1">
        <v>45.0</v>
      </c>
      <c r="L1043" s="1">
        <v>0.0</v>
      </c>
    </row>
    <row r="1044">
      <c r="A1044" s="1">
        <v>3271035.0</v>
      </c>
      <c r="B1044" s="1" t="s">
        <v>2327</v>
      </c>
      <c r="C1044" s="1" t="s">
        <v>2070</v>
      </c>
      <c r="D1044" s="1" t="s">
        <v>2097</v>
      </c>
      <c r="E1044" s="1" t="s">
        <v>2328</v>
      </c>
      <c r="F1044" s="1" t="s">
        <v>16</v>
      </c>
      <c r="G1044" s="1" t="s">
        <v>17</v>
      </c>
      <c r="H1044" s="1" t="s">
        <v>18</v>
      </c>
      <c r="I1044" s="1" t="s">
        <v>563</v>
      </c>
      <c r="J1044" s="1">
        <v>143.0</v>
      </c>
      <c r="K1044" s="1">
        <v>32.0</v>
      </c>
      <c r="L1044" s="1">
        <v>327.0</v>
      </c>
    </row>
    <row r="1045">
      <c r="A1045" s="1">
        <v>3210036.0</v>
      </c>
      <c r="B1045" s="1" t="s">
        <v>2329</v>
      </c>
      <c r="C1045" s="1" t="s">
        <v>2070</v>
      </c>
      <c r="D1045" s="1" t="s">
        <v>2228</v>
      </c>
      <c r="E1045" s="1" t="s">
        <v>2330</v>
      </c>
      <c r="F1045" s="1" t="s">
        <v>255</v>
      </c>
      <c r="G1045" s="1" t="s">
        <v>17</v>
      </c>
      <c r="H1045" s="1" t="s">
        <v>18</v>
      </c>
      <c r="I1045" s="1" t="s">
        <v>59</v>
      </c>
      <c r="J1045" s="1">
        <v>25.0</v>
      </c>
      <c r="K1045" s="1">
        <v>21.0</v>
      </c>
      <c r="L1045" s="1">
        <v>68.0</v>
      </c>
    </row>
    <row r="1046">
      <c r="A1046" s="1">
        <v>3201150.0</v>
      </c>
      <c r="B1046" s="1" t="s">
        <v>2331</v>
      </c>
      <c r="C1046" s="1" t="s">
        <v>2070</v>
      </c>
      <c r="D1046" s="1" t="s">
        <v>2097</v>
      </c>
      <c r="E1046" s="1" t="s">
        <v>2332</v>
      </c>
      <c r="F1046" s="1" t="s">
        <v>16</v>
      </c>
      <c r="G1046" s="1" t="s">
        <v>17</v>
      </c>
      <c r="H1046" s="1" t="s">
        <v>18</v>
      </c>
      <c r="I1046" s="1" t="s">
        <v>19</v>
      </c>
      <c r="J1046" s="1">
        <v>105.0</v>
      </c>
      <c r="K1046" s="1">
        <v>43.0</v>
      </c>
      <c r="L1046" s="1">
        <v>344.0</v>
      </c>
    </row>
    <row r="1047">
      <c r="A1047" s="1">
        <v>3201231.0</v>
      </c>
      <c r="B1047" s="1" t="s">
        <v>2333</v>
      </c>
      <c r="C1047" s="1" t="s">
        <v>2070</v>
      </c>
      <c r="D1047" s="1" t="s">
        <v>2097</v>
      </c>
      <c r="E1047" s="1" t="s">
        <v>2334</v>
      </c>
      <c r="F1047" s="1" t="s">
        <v>16</v>
      </c>
      <c r="G1047" s="1" t="s">
        <v>17</v>
      </c>
      <c r="H1047" s="1" t="s">
        <v>18</v>
      </c>
      <c r="I1047" s="1" t="s">
        <v>44</v>
      </c>
      <c r="J1047" s="1">
        <v>108.0</v>
      </c>
      <c r="K1047" s="1">
        <v>42.0</v>
      </c>
      <c r="L1047" s="1">
        <v>282.0</v>
      </c>
    </row>
    <row r="1048">
      <c r="A1048" s="1">
        <v>3201050.0</v>
      </c>
      <c r="B1048" s="1" t="s">
        <v>2335</v>
      </c>
      <c r="C1048" s="1" t="s">
        <v>2070</v>
      </c>
      <c r="D1048" s="1" t="s">
        <v>2097</v>
      </c>
      <c r="E1048" s="1" t="s">
        <v>2336</v>
      </c>
      <c r="F1048" s="1" t="s">
        <v>16</v>
      </c>
      <c r="G1048" s="1" t="s">
        <v>27</v>
      </c>
      <c r="H1048" s="1" t="s">
        <v>28</v>
      </c>
      <c r="I1048" s="1" t="s">
        <v>40</v>
      </c>
      <c r="J1048" s="1">
        <v>421.0</v>
      </c>
      <c r="K1048" s="1">
        <v>81.0</v>
      </c>
      <c r="L1048" s="1">
        <v>813.0</v>
      </c>
    </row>
    <row r="1049">
      <c r="A1049" s="1">
        <v>3273074.0</v>
      </c>
      <c r="B1049" s="1" t="s">
        <v>2337</v>
      </c>
      <c r="C1049" s="1" t="s">
        <v>2070</v>
      </c>
      <c r="D1049" s="1" t="s">
        <v>2088</v>
      </c>
      <c r="E1049" s="1" t="s">
        <v>2338</v>
      </c>
      <c r="F1049" s="1" t="s">
        <v>16</v>
      </c>
      <c r="G1049" s="1" t="s">
        <v>27</v>
      </c>
      <c r="H1049" s="1" t="s">
        <v>18</v>
      </c>
      <c r="I1049" s="1" t="s">
        <v>249</v>
      </c>
      <c r="J1049" s="1">
        <v>350.0</v>
      </c>
      <c r="K1049" s="1">
        <v>140.0</v>
      </c>
      <c r="L1049" s="1">
        <v>1656.0</v>
      </c>
    </row>
    <row r="1050">
      <c r="A1050" s="1">
        <v>3209133.0</v>
      </c>
      <c r="B1050" s="1" t="s">
        <v>1746</v>
      </c>
      <c r="C1050" s="1" t="s">
        <v>2070</v>
      </c>
      <c r="D1050" s="1" t="s">
        <v>2106</v>
      </c>
      <c r="E1050" s="1" t="s">
        <v>2339</v>
      </c>
      <c r="F1050" s="1" t="s">
        <v>16</v>
      </c>
      <c r="G1050" s="1" t="s">
        <v>27</v>
      </c>
      <c r="H1050" s="1" t="s">
        <v>18</v>
      </c>
      <c r="I1050" s="1" t="s">
        <v>19</v>
      </c>
      <c r="J1050" s="1">
        <v>265.0</v>
      </c>
      <c r="K1050" s="1">
        <v>92.0</v>
      </c>
      <c r="L1050" s="1">
        <v>472.0</v>
      </c>
    </row>
    <row r="1051">
      <c r="A1051" s="1">
        <v>3201196.0</v>
      </c>
      <c r="B1051" s="1" t="s">
        <v>2340</v>
      </c>
      <c r="C1051" s="1" t="s">
        <v>2070</v>
      </c>
      <c r="D1051" s="1" t="s">
        <v>2082</v>
      </c>
      <c r="E1051" s="1" t="s">
        <v>2341</v>
      </c>
      <c r="F1051" s="1" t="s">
        <v>16</v>
      </c>
      <c r="G1051" s="1" t="s">
        <v>17</v>
      </c>
      <c r="H1051" s="1" t="s">
        <v>18</v>
      </c>
      <c r="I1051" s="1" t="s">
        <v>19</v>
      </c>
      <c r="J1051" s="1">
        <v>111.0</v>
      </c>
      <c r="K1051" s="1">
        <v>89.0</v>
      </c>
      <c r="L1051" s="1">
        <v>256.0</v>
      </c>
    </row>
    <row r="1052">
      <c r="A1052" s="1">
        <v>3273201.0</v>
      </c>
      <c r="B1052" s="1" t="s">
        <v>2342</v>
      </c>
      <c r="C1052" s="1" t="s">
        <v>2070</v>
      </c>
      <c r="D1052" s="1" t="s">
        <v>2088</v>
      </c>
      <c r="E1052" s="1" t="s">
        <v>2343</v>
      </c>
      <c r="F1052" s="1" t="s">
        <v>473</v>
      </c>
      <c r="G1052" s="1" t="s">
        <v>150</v>
      </c>
      <c r="H1052" s="1" t="s">
        <v>33</v>
      </c>
      <c r="I1052" s="1" t="s">
        <v>411</v>
      </c>
      <c r="J1052" s="1">
        <v>7.0</v>
      </c>
      <c r="K1052" s="1">
        <v>37.0</v>
      </c>
      <c r="L1052" s="1">
        <v>369.0</v>
      </c>
    </row>
    <row r="1053">
      <c r="A1053" s="1">
        <v>3279004.0</v>
      </c>
      <c r="B1053" s="1" t="s">
        <v>2344</v>
      </c>
      <c r="C1053" s="1" t="s">
        <v>2070</v>
      </c>
      <c r="D1053" s="1" t="s">
        <v>2149</v>
      </c>
      <c r="E1053" s="1" t="s">
        <v>2345</v>
      </c>
      <c r="F1053" s="1" t="s">
        <v>16</v>
      </c>
      <c r="G1053" s="1" t="s">
        <v>23</v>
      </c>
      <c r="H1053" s="1" t="s">
        <v>18</v>
      </c>
      <c r="I1053" s="1" t="s">
        <v>29</v>
      </c>
      <c r="J1053" s="1">
        <v>111.0</v>
      </c>
      <c r="K1053" s="1">
        <v>21.0</v>
      </c>
      <c r="L1053" s="1">
        <v>24.0</v>
      </c>
    </row>
    <row r="1054">
      <c r="A1054" s="1">
        <v>3275094.0</v>
      </c>
      <c r="B1054" s="1" t="s">
        <v>2346</v>
      </c>
      <c r="C1054" s="1" t="s">
        <v>2070</v>
      </c>
      <c r="D1054" s="1" t="s">
        <v>2119</v>
      </c>
      <c r="E1054" s="1" t="s">
        <v>2347</v>
      </c>
      <c r="F1054" s="1" t="s">
        <v>16</v>
      </c>
      <c r="G1054" s="1" t="s">
        <v>27</v>
      </c>
      <c r="H1054" s="1" t="s">
        <v>18</v>
      </c>
      <c r="I1054" s="1" t="s">
        <v>19</v>
      </c>
      <c r="J1054" s="1">
        <v>205.0</v>
      </c>
      <c r="K1054" s="1">
        <v>56.0</v>
      </c>
      <c r="L1054" s="1">
        <v>712.0</v>
      </c>
    </row>
    <row r="1055">
      <c r="A1055" s="1">
        <v>3215160.0</v>
      </c>
      <c r="B1055" s="1" t="s">
        <v>2348</v>
      </c>
      <c r="C1055" s="1" t="s">
        <v>2070</v>
      </c>
      <c r="D1055" s="1" t="s">
        <v>2071</v>
      </c>
      <c r="E1055" s="1" t="s">
        <v>2349</v>
      </c>
      <c r="F1055" s="1" t="s">
        <v>16</v>
      </c>
      <c r="G1055" s="1" t="s">
        <v>17</v>
      </c>
      <c r="H1055" s="1" t="s">
        <v>18</v>
      </c>
      <c r="I1055" s="1" t="s">
        <v>44</v>
      </c>
      <c r="J1055" s="1">
        <v>100.0</v>
      </c>
      <c r="K1055" s="1">
        <v>46.0</v>
      </c>
      <c r="L1055" s="1">
        <v>237.0</v>
      </c>
    </row>
    <row r="1056">
      <c r="A1056" s="1">
        <v>3217004.0</v>
      </c>
      <c r="B1056" s="1" t="s">
        <v>2350</v>
      </c>
      <c r="C1056" s="1" t="s">
        <v>2070</v>
      </c>
      <c r="D1056" s="1" t="s">
        <v>2144</v>
      </c>
      <c r="E1056" s="1" t="s">
        <v>2351</v>
      </c>
      <c r="F1056" s="1" t="s">
        <v>16</v>
      </c>
      <c r="G1056" s="1" t="s">
        <v>17</v>
      </c>
      <c r="H1056" s="1" t="s">
        <v>28</v>
      </c>
      <c r="I1056" s="1" t="s">
        <v>40</v>
      </c>
      <c r="J1056" s="1">
        <v>99.0</v>
      </c>
      <c r="K1056" s="1">
        <v>31.0</v>
      </c>
      <c r="L1056" s="1">
        <v>223.0</v>
      </c>
    </row>
    <row r="1057">
      <c r="A1057" s="1">
        <v>3215146.0</v>
      </c>
      <c r="B1057" s="1" t="s">
        <v>2352</v>
      </c>
      <c r="C1057" s="1" t="s">
        <v>2070</v>
      </c>
      <c r="D1057" s="1" t="s">
        <v>2071</v>
      </c>
      <c r="E1057" s="1" t="s">
        <v>2353</v>
      </c>
      <c r="F1057" s="1" t="s">
        <v>16</v>
      </c>
      <c r="G1057" s="1" t="s">
        <v>17</v>
      </c>
      <c r="H1057" s="1" t="s">
        <v>28</v>
      </c>
      <c r="I1057" s="1" t="s">
        <v>40</v>
      </c>
      <c r="J1057" s="1">
        <v>118.0</v>
      </c>
      <c r="K1057" s="1">
        <v>34.0</v>
      </c>
      <c r="L1057" s="1">
        <v>269.0</v>
      </c>
    </row>
    <row r="1058">
      <c r="A1058" s="1">
        <v>3216285.0</v>
      </c>
      <c r="B1058" s="1" t="s">
        <v>2354</v>
      </c>
      <c r="C1058" s="1" t="s">
        <v>2070</v>
      </c>
      <c r="D1058" s="1" t="s">
        <v>2119</v>
      </c>
      <c r="E1058" s="1" t="s">
        <v>2355</v>
      </c>
      <c r="F1058" s="1" t="s">
        <v>16</v>
      </c>
      <c r="G1058" s="1" t="s">
        <v>17</v>
      </c>
      <c r="H1058" s="1" t="s">
        <v>18</v>
      </c>
      <c r="I1058" s="1" t="s">
        <v>59</v>
      </c>
      <c r="J1058" s="1">
        <v>100.0</v>
      </c>
      <c r="K1058" s="1">
        <v>33.0</v>
      </c>
      <c r="L1058" s="1">
        <v>195.0</v>
      </c>
    </row>
    <row r="1059">
      <c r="A1059" s="1">
        <v>3202084.0</v>
      </c>
      <c r="B1059" s="1" t="s">
        <v>2356</v>
      </c>
      <c r="C1059" s="1" t="s">
        <v>2070</v>
      </c>
      <c r="D1059" s="1" t="s">
        <v>2085</v>
      </c>
      <c r="E1059" s="1" t="s">
        <v>2357</v>
      </c>
      <c r="F1059" s="1" t="s">
        <v>16</v>
      </c>
      <c r="G1059" s="1" t="s">
        <v>17</v>
      </c>
      <c r="H1059" s="1" t="s">
        <v>18</v>
      </c>
      <c r="I1059" s="1" t="s">
        <v>19</v>
      </c>
      <c r="J1059" s="1">
        <v>166.0</v>
      </c>
      <c r="K1059" s="1">
        <v>58.0</v>
      </c>
      <c r="L1059" s="1">
        <v>173.0</v>
      </c>
    </row>
    <row r="1060">
      <c r="A1060" s="1">
        <v>3209014.0</v>
      </c>
      <c r="B1060" s="1" t="s">
        <v>2358</v>
      </c>
      <c r="C1060" s="1" t="s">
        <v>2070</v>
      </c>
      <c r="D1060" s="1" t="s">
        <v>2106</v>
      </c>
      <c r="E1060" s="1" t="s">
        <v>2359</v>
      </c>
      <c r="F1060" s="1" t="s">
        <v>16</v>
      </c>
      <c r="G1060" s="1" t="s">
        <v>27</v>
      </c>
      <c r="H1060" s="1" t="s">
        <v>28</v>
      </c>
      <c r="I1060" s="1" t="s">
        <v>40</v>
      </c>
      <c r="J1060" s="1">
        <v>306.0</v>
      </c>
      <c r="K1060" s="1">
        <v>82.0</v>
      </c>
      <c r="L1060" s="1">
        <v>733.0</v>
      </c>
    </row>
    <row r="1061">
      <c r="A1061" s="1">
        <v>3215045.0</v>
      </c>
      <c r="B1061" s="1" t="s">
        <v>2360</v>
      </c>
      <c r="C1061" s="1" t="s">
        <v>2070</v>
      </c>
      <c r="D1061" s="1" t="s">
        <v>2071</v>
      </c>
      <c r="E1061" s="1" t="s">
        <v>2361</v>
      </c>
      <c r="F1061" s="1" t="s">
        <v>16</v>
      </c>
      <c r="G1061" s="1" t="s">
        <v>17</v>
      </c>
      <c r="H1061" s="1" t="s">
        <v>18</v>
      </c>
      <c r="I1061" s="1" t="s">
        <v>19</v>
      </c>
      <c r="J1061" s="1">
        <v>173.0</v>
      </c>
      <c r="K1061" s="1">
        <v>44.0</v>
      </c>
      <c r="L1061" s="1">
        <v>571.0</v>
      </c>
    </row>
    <row r="1062">
      <c r="A1062" s="1">
        <v>3216393.0</v>
      </c>
      <c r="B1062" s="1" t="s">
        <v>2362</v>
      </c>
      <c r="C1062" s="1" t="s">
        <v>2070</v>
      </c>
      <c r="D1062" s="1" t="s">
        <v>2079</v>
      </c>
      <c r="E1062" s="1" t="s">
        <v>2363</v>
      </c>
      <c r="F1062" s="1" t="s">
        <v>16</v>
      </c>
      <c r="G1062" s="1" t="s">
        <v>27</v>
      </c>
      <c r="H1062" s="1" t="s">
        <v>18</v>
      </c>
      <c r="I1062" s="1" t="s">
        <v>44</v>
      </c>
      <c r="J1062" s="1">
        <v>200.0</v>
      </c>
      <c r="K1062" s="1">
        <v>76.0</v>
      </c>
      <c r="L1062" s="1">
        <v>344.0</v>
      </c>
    </row>
    <row r="1063">
      <c r="A1063" s="1">
        <v>3209054.0</v>
      </c>
      <c r="B1063" s="1" t="s">
        <v>2364</v>
      </c>
      <c r="C1063" s="1" t="s">
        <v>2070</v>
      </c>
      <c r="D1063" s="1" t="s">
        <v>2106</v>
      </c>
      <c r="E1063" s="1" t="s">
        <v>2365</v>
      </c>
      <c r="F1063" s="1" t="s">
        <v>16</v>
      </c>
      <c r="G1063" s="1" t="s">
        <v>27</v>
      </c>
      <c r="H1063" s="1" t="s">
        <v>18</v>
      </c>
      <c r="I1063" s="1" t="s">
        <v>19</v>
      </c>
      <c r="J1063" s="1">
        <v>195.0</v>
      </c>
      <c r="K1063" s="1">
        <v>68.0</v>
      </c>
      <c r="L1063" s="1">
        <v>486.0</v>
      </c>
    </row>
    <row r="1064">
      <c r="A1064" s="1">
        <v>3271166.0</v>
      </c>
      <c r="B1064" s="1" t="s">
        <v>2366</v>
      </c>
      <c r="C1064" s="1" t="s">
        <v>2070</v>
      </c>
      <c r="D1064" s="1" t="s">
        <v>2173</v>
      </c>
      <c r="E1064" s="1" t="s">
        <v>2367</v>
      </c>
      <c r="F1064" s="1" t="s">
        <v>16</v>
      </c>
      <c r="G1064" s="1" t="s">
        <v>23</v>
      </c>
      <c r="H1064" s="1" t="s">
        <v>18</v>
      </c>
      <c r="I1064" s="1" t="s">
        <v>65</v>
      </c>
      <c r="J1064" s="1">
        <v>65.0</v>
      </c>
      <c r="K1064" s="1">
        <v>20.0</v>
      </c>
      <c r="L1064" s="1">
        <v>30.0</v>
      </c>
    </row>
    <row r="1065">
      <c r="A1065" s="1">
        <v>3272051.0</v>
      </c>
      <c r="B1065" s="1" t="s">
        <v>2368</v>
      </c>
      <c r="C1065" s="1" t="s">
        <v>2070</v>
      </c>
      <c r="D1065" s="1" t="s">
        <v>2289</v>
      </c>
      <c r="E1065" s="1" t="s">
        <v>2369</v>
      </c>
      <c r="F1065" s="1" t="s">
        <v>16</v>
      </c>
      <c r="G1065" s="1" t="s">
        <v>17</v>
      </c>
      <c r="H1065" s="1" t="s">
        <v>18</v>
      </c>
      <c r="I1065" s="1" t="s">
        <v>59</v>
      </c>
      <c r="J1065" s="1">
        <v>174.0</v>
      </c>
      <c r="K1065" s="1">
        <v>40.0</v>
      </c>
      <c r="L1065" s="1">
        <v>472.0</v>
      </c>
    </row>
    <row r="1066">
      <c r="A1066" s="1">
        <v>3215012.0</v>
      </c>
      <c r="B1066" s="1" t="s">
        <v>2370</v>
      </c>
      <c r="C1066" s="1" t="s">
        <v>2070</v>
      </c>
      <c r="D1066" s="1" t="s">
        <v>2071</v>
      </c>
      <c r="E1066" s="1" t="s">
        <v>2371</v>
      </c>
      <c r="F1066" s="1" t="s">
        <v>16</v>
      </c>
      <c r="G1066" s="1" t="s">
        <v>27</v>
      </c>
      <c r="H1066" s="1" t="s">
        <v>28</v>
      </c>
      <c r="I1066" s="1" t="s">
        <v>40</v>
      </c>
      <c r="J1066" s="1">
        <v>374.0</v>
      </c>
      <c r="K1066" s="1">
        <v>75.0</v>
      </c>
      <c r="L1066" s="1">
        <v>1417.0</v>
      </c>
    </row>
    <row r="1067">
      <c r="A1067" s="1">
        <v>3216389.0</v>
      </c>
      <c r="B1067" s="1" t="s">
        <v>2372</v>
      </c>
      <c r="C1067" s="1" t="s">
        <v>2070</v>
      </c>
      <c r="D1067" s="1" t="s">
        <v>2119</v>
      </c>
      <c r="E1067" s="1" t="s">
        <v>2373</v>
      </c>
      <c r="F1067" s="1" t="s">
        <v>16</v>
      </c>
      <c r="G1067" s="1" t="s">
        <v>17</v>
      </c>
      <c r="H1067" s="1" t="s">
        <v>18</v>
      </c>
      <c r="I1067" s="1" t="s">
        <v>44</v>
      </c>
      <c r="J1067" s="1">
        <v>114.0</v>
      </c>
      <c r="K1067" s="1">
        <v>73.0</v>
      </c>
      <c r="L1067" s="1">
        <v>549.0</v>
      </c>
    </row>
    <row r="1068">
      <c r="A1068" s="1">
        <v>3205039.0</v>
      </c>
      <c r="B1068" s="1" t="s">
        <v>2374</v>
      </c>
      <c r="C1068" s="1" t="s">
        <v>2070</v>
      </c>
      <c r="D1068" s="1" t="s">
        <v>2214</v>
      </c>
      <c r="E1068" s="1" t="s">
        <v>2375</v>
      </c>
      <c r="F1068" s="1" t="s">
        <v>16</v>
      </c>
      <c r="G1068" s="1" t="s">
        <v>23</v>
      </c>
      <c r="H1068" s="1" t="s">
        <v>18</v>
      </c>
      <c r="I1068" s="1" t="s">
        <v>19</v>
      </c>
      <c r="J1068" s="1">
        <v>65.0</v>
      </c>
      <c r="K1068" s="1">
        <v>19.0</v>
      </c>
      <c r="L1068" s="1">
        <v>0.0</v>
      </c>
    </row>
    <row r="1069">
      <c r="A1069" s="1">
        <v>3215134.0</v>
      </c>
      <c r="B1069" s="1" t="s">
        <v>2376</v>
      </c>
      <c r="C1069" s="1" t="s">
        <v>2070</v>
      </c>
      <c r="D1069" s="1" t="s">
        <v>2071</v>
      </c>
      <c r="E1069" s="1" t="s">
        <v>2377</v>
      </c>
      <c r="F1069" s="1" t="s">
        <v>16</v>
      </c>
      <c r="G1069" s="1" t="s">
        <v>17</v>
      </c>
      <c r="H1069" s="1" t="s">
        <v>18</v>
      </c>
      <c r="I1069" s="1" t="s">
        <v>19</v>
      </c>
      <c r="J1069" s="1">
        <v>179.0</v>
      </c>
      <c r="K1069" s="1">
        <v>46.0</v>
      </c>
      <c r="L1069" s="1">
        <v>243.0</v>
      </c>
    </row>
    <row r="1070">
      <c r="A1070" s="1">
        <v>3215164.0</v>
      </c>
      <c r="B1070" s="1" t="s">
        <v>2378</v>
      </c>
      <c r="C1070" s="1" t="s">
        <v>2070</v>
      </c>
      <c r="D1070" s="1" t="s">
        <v>2071</v>
      </c>
      <c r="E1070" s="1" t="s">
        <v>2379</v>
      </c>
      <c r="F1070" s="1" t="s">
        <v>16</v>
      </c>
      <c r="G1070" s="1" t="s">
        <v>23</v>
      </c>
      <c r="H1070" s="1" t="s">
        <v>18</v>
      </c>
      <c r="I1070" s="1" t="s">
        <v>44</v>
      </c>
      <c r="J1070" s="1">
        <v>90.0</v>
      </c>
      <c r="K1070" s="1">
        <v>23.0</v>
      </c>
      <c r="L1070" s="1">
        <v>47.0</v>
      </c>
    </row>
    <row r="1071">
      <c r="A1071" s="1">
        <v>3216463.0</v>
      </c>
      <c r="B1071" s="1" t="s">
        <v>2380</v>
      </c>
      <c r="C1071" s="1" t="s">
        <v>2070</v>
      </c>
      <c r="D1071" s="1" t="s">
        <v>2079</v>
      </c>
      <c r="E1071" s="1" t="s">
        <v>2381</v>
      </c>
      <c r="F1071" s="1" t="s">
        <v>16</v>
      </c>
      <c r="G1071" s="1" t="s">
        <v>17</v>
      </c>
      <c r="H1071" s="1" t="s">
        <v>18</v>
      </c>
      <c r="I1071" s="1" t="s">
        <v>44</v>
      </c>
      <c r="J1071" s="1">
        <v>107.0</v>
      </c>
      <c r="K1071" s="1">
        <v>16.0</v>
      </c>
      <c r="L1071" s="1">
        <v>0.0</v>
      </c>
    </row>
    <row r="1072">
      <c r="A1072" s="1">
        <v>3204016.0</v>
      </c>
      <c r="B1072" s="1" t="s">
        <v>2382</v>
      </c>
      <c r="C1072" s="1" t="s">
        <v>2070</v>
      </c>
      <c r="D1072" s="1" t="s">
        <v>2091</v>
      </c>
      <c r="E1072" s="1" t="s">
        <v>2383</v>
      </c>
      <c r="F1072" s="1" t="s">
        <v>16</v>
      </c>
      <c r="G1072" s="1" t="s">
        <v>27</v>
      </c>
      <c r="H1072" s="1" t="s">
        <v>28</v>
      </c>
      <c r="I1072" s="1" t="s">
        <v>40</v>
      </c>
      <c r="J1072" s="1">
        <v>383.0</v>
      </c>
      <c r="K1072" s="1">
        <v>113.0</v>
      </c>
      <c r="L1072" s="1">
        <v>690.0</v>
      </c>
    </row>
    <row r="1073">
      <c r="A1073" s="1">
        <v>3273517.0</v>
      </c>
      <c r="B1073" s="1" t="s">
        <v>2384</v>
      </c>
      <c r="C1073" s="1" t="s">
        <v>2070</v>
      </c>
      <c r="D1073" s="1" t="s">
        <v>2091</v>
      </c>
      <c r="E1073" s="1" t="s">
        <v>2385</v>
      </c>
      <c r="F1073" s="1" t="s">
        <v>16</v>
      </c>
      <c r="G1073" s="1" t="s">
        <v>17</v>
      </c>
      <c r="H1073" s="1" t="s">
        <v>18</v>
      </c>
      <c r="I1073" s="1" t="s">
        <v>44</v>
      </c>
      <c r="J1073" s="1">
        <v>166.0</v>
      </c>
      <c r="K1073" s="1">
        <v>46.0</v>
      </c>
      <c r="L1073" s="1">
        <v>846.0</v>
      </c>
    </row>
    <row r="1074">
      <c r="A1074" s="1">
        <v>3201230.0</v>
      </c>
      <c r="B1074" s="1" t="s">
        <v>2386</v>
      </c>
      <c r="C1074" s="1" t="s">
        <v>2070</v>
      </c>
      <c r="D1074" s="1" t="s">
        <v>2097</v>
      </c>
      <c r="E1074" s="1" t="s">
        <v>2387</v>
      </c>
      <c r="F1074" s="1" t="s">
        <v>16</v>
      </c>
      <c r="G1074" s="1" t="s">
        <v>27</v>
      </c>
      <c r="H1074" s="1" t="s">
        <v>18</v>
      </c>
      <c r="I1074" s="1" t="s">
        <v>19</v>
      </c>
      <c r="J1074" s="1">
        <v>225.0</v>
      </c>
      <c r="K1074" s="1">
        <v>46.0</v>
      </c>
      <c r="L1074" s="1">
        <v>863.0</v>
      </c>
    </row>
    <row r="1075">
      <c r="A1075" s="1">
        <v>3206083.0</v>
      </c>
      <c r="B1075" s="1" t="s">
        <v>2388</v>
      </c>
      <c r="C1075" s="1" t="s">
        <v>2070</v>
      </c>
      <c r="D1075" s="1" t="s">
        <v>2077</v>
      </c>
      <c r="E1075" s="1" t="s">
        <v>2389</v>
      </c>
      <c r="F1075" s="1" t="s">
        <v>55</v>
      </c>
      <c r="G1075" s="1" t="s">
        <v>17</v>
      </c>
      <c r="H1075" s="1" t="s">
        <v>18</v>
      </c>
      <c r="I1075" s="1" t="s">
        <v>59</v>
      </c>
      <c r="J1075" s="1">
        <v>30.0</v>
      </c>
      <c r="K1075" s="1">
        <v>25.0</v>
      </c>
      <c r="L1075" s="1">
        <v>75.0</v>
      </c>
    </row>
    <row r="1076">
      <c r="A1076" s="1">
        <v>3272075.0</v>
      </c>
      <c r="B1076" s="1" t="s">
        <v>2390</v>
      </c>
      <c r="C1076" s="1" t="s">
        <v>2070</v>
      </c>
      <c r="D1076" s="1" t="s">
        <v>2289</v>
      </c>
      <c r="E1076" s="1" t="s">
        <v>2391</v>
      </c>
      <c r="F1076" s="1" t="s">
        <v>16</v>
      </c>
      <c r="G1076" s="1" t="s">
        <v>23</v>
      </c>
      <c r="H1076" s="1" t="s">
        <v>28</v>
      </c>
      <c r="I1076" s="1" t="s">
        <v>29</v>
      </c>
      <c r="J1076" s="1">
        <v>50.0</v>
      </c>
      <c r="K1076" s="1">
        <v>20.0</v>
      </c>
      <c r="L1076" s="1">
        <v>167.0</v>
      </c>
    </row>
    <row r="1077">
      <c r="A1077" s="1">
        <v>3201256.0</v>
      </c>
      <c r="B1077" s="1" t="s">
        <v>2392</v>
      </c>
      <c r="C1077" s="1" t="s">
        <v>2070</v>
      </c>
      <c r="D1077" s="1" t="s">
        <v>2082</v>
      </c>
      <c r="E1077" s="1" t="s">
        <v>2393</v>
      </c>
      <c r="F1077" s="1" t="s">
        <v>16</v>
      </c>
      <c r="G1077" s="1" t="s">
        <v>150</v>
      </c>
      <c r="H1077" s="1" t="s">
        <v>18</v>
      </c>
      <c r="I1077" s="1" t="s">
        <v>34</v>
      </c>
      <c r="J1077" s="1">
        <v>300.0</v>
      </c>
      <c r="K1077" s="1">
        <v>147.0</v>
      </c>
      <c r="L1077" s="1">
        <v>120.0</v>
      </c>
    </row>
    <row r="1078">
      <c r="A1078" s="1">
        <v>3277023.0</v>
      </c>
      <c r="B1078" s="1" t="s">
        <v>2394</v>
      </c>
      <c r="C1078" s="1" t="s">
        <v>2070</v>
      </c>
      <c r="D1078" s="1" t="s">
        <v>2217</v>
      </c>
      <c r="E1078" s="1" t="s">
        <v>2395</v>
      </c>
      <c r="F1078" s="1" t="s">
        <v>16</v>
      </c>
      <c r="G1078" s="1" t="s">
        <v>23</v>
      </c>
      <c r="H1078" s="1" t="s">
        <v>18</v>
      </c>
      <c r="I1078" s="1" t="s">
        <v>44</v>
      </c>
      <c r="J1078" s="1">
        <v>86.0</v>
      </c>
      <c r="K1078" s="1">
        <v>30.0</v>
      </c>
      <c r="L1078" s="1">
        <v>16.0</v>
      </c>
    </row>
    <row r="1079">
      <c r="A1079" s="1">
        <v>3204172.0</v>
      </c>
      <c r="B1079" s="1" t="s">
        <v>2396</v>
      </c>
      <c r="C1079" s="1" t="s">
        <v>2070</v>
      </c>
      <c r="D1079" s="1" t="s">
        <v>2091</v>
      </c>
      <c r="E1079" s="1" t="s">
        <v>2397</v>
      </c>
      <c r="F1079" s="1" t="s">
        <v>16</v>
      </c>
      <c r="G1079" s="1" t="s">
        <v>23</v>
      </c>
      <c r="H1079" s="1" t="s">
        <v>18</v>
      </c>
      <c r="I1079" s="1" t="s">
        <v>40</v>
      </c>
      <c r="J1079" s="1">
        <v>54.0</v>
      </c>
      <c r="K1079" s="1">
        <v>26.0</v>
      </c>
      <c r="L1079" s="1">
        <v>0.0</v>
      </c>
    </row>
    <row r="1080">
      <c r="A1080" s="1">
        <v>3275196.0</v>
      </c>
      <c r="B1080" s="1" t="s">
        <v>2398</v>
      </c>
      <c r="C1080" s="1" t="s">
        <v>2070</v>
      </c>
      <c r="D1080" s="1" t="s">
        <v>2119</v>
      </c>
      <c r="E1080" s="1" t="s">
        <v>2399</v>
      </c>
      <c r="F1080" s="1" t="s">
        <v>16</v>
      </c>
      <c r="G1080" s="1" t="s">
        <v>17</v>
      </c>
      <c r="H1080" s="1" t="s">
        <v>18</v>
      </c>
      <c r="I1080" s="1" t="s">
        <v>19</v>
      </c>
      <c r="J1080" s="1">
        <v>101.0</v>
      </c>
      <c r="K1080" s="1">
        <v>71.0</v>
      </c>
      <c r="L1080" s="1">
        <v>228.0</v>
      </c>
    </row>
    <row r="1081">
      <c r="A1081" s="1">
        <v>3216444.0</v>
      </c>
      <c r="B1081" s="1" t="s">
        <v>2400</v>
      </c>
      <c r="C1081" s="1" t="s">
        <v>2070</v>
      </c>
      <c r="D1081" s="1" t="s">
        <v>2079</v>
      </c>
      <c r="E1081" s="1" t="s">
        <v>2401</v>
      </c>
      <c r="F1081" s="1" t="s">
        <v>16</v>
      </c>
      <c r="G1081" s="1" t="s">
        <v>17</v>
      </c>
      <c r="H1081" s="1" t="s">
        <v>18</v>
      </c>
      <c r="I1081" s="1" t="s">
        <v>163</v>
      </c>
      <c r="J1081" s="1">
        <v>101.0</v>
      </c>
      <c r="K1081" s="1">
        <v>28.0</v>
      </c>
      <c r="L1081" s="1">
        <v>103.0</v>
      </c>
    </row>
    <row r="1082">
      <c r="A1082" s="1">
        <v>3278081.0</v>
      </c>
      <c r="B1082" s="1" t="s">
        <v>2402</v>
      </c>
      <c r="C1082" s="1" t="s">
        <v>2070</v>
      </c>
      <c r="D1082" s="1" t="s">
        <v>2077</v>
      </c>
      <c r="E1082" s="1" t="s">
        <v>2403</v>
      </c>
      <c r="F1082" s="1" t="s">
        <v>16</v>
      </c>
      <c r="G1082" s="1" t="s">
        <v>17</v>
      </c>
      <c r="H1082" s="1" t="s">
        <v>18</v>
      </c>
      <c r="I1082" s="1" t="s">
        <v>19</v>
      </c>
      <c r="J1082" s="1">
        <v>106.0</v>
      </c>
      <c r="K1082" s="1">
        <v>29.0</v>
      </c>
      <c r="L1082" s="1">
        <v>277.0</v>
      </c>
    </row>
    <row r="1083">
      <c r="A1083" s="1">
        <v>3216374.0</v>
      </c>
      <c r="B1083" s="1" t="s">
        <v>2404</v>
      </c>
      <c r="C1083" s="1" t="s">
        <v>2070</v>
      </c>
      <c r="D1083" s="1" t="s">
        <v>2079</v>
      </c>
      <c r="E1083" s="1" t="s">
        <v>2405</v>
      </c>
      <c r="F1083" s="1" t="s">
        <v>16</v>
      </c>
      <c r="G1083" s="1" t="s">
        <v>17</v>
      </c>
      <c r="H1083" s="1" t="s">
        <v>18</v>
      </c>
      <c r="I1083" s="1" t="s">
        <v>44</v>
      </c>
      <c r="J1083" s="1">
        <v>175.0</v>
      </c>
      <c r="K1083" s="1">
        <v>28.0</v>
      </c>
      <c r="L1083" s="1">
        <v>11.0</v>
      </c>
    </row>
    <row r="1084">
      <c r="A1084" s="1">
        <v>3271164.0</v>
      </c>
      <c r="B1084" s="1" t="s">
        <v>2406</v>
      </c>
      <c r="C1084" s="1" t="s">
        <v>2070</v>
      </c>
      <c r="D1084" s="1" t="s">
        <v>2173</v>
      </c>
      <c r="E1084" s="1" t="s">
        <v>2407</v>
      </c>
      <c r="F1084" s="1" t="s">
        <v>16</v>
      </c>
      <c r="G1084" s="1" t="s">
        <v>17</v>
      </c>
      <c r="H1084" s="1" t="s">
        <v>18</v>
      </c>
      <c r="I1084" s="1" t="s">
        <v>44</v>
      </c>
      <c r="J1084" s="1">
        <v>120.0</v>
      </c>
      <c r="K1084" s="1">
        <v>35.0</v>
      </c>
      <c r="L1084" s="1">
        <v>151.0</v>
      </c>
    </row>
    <row r="1085">
      <c r="A1085" s="1">
        <v>3271072.0</v>
      </c>
      <c r="B1085" s="1" t="s">
        <v>2408</v>
      </c>
      <c r="C1085" s="1" t="s">
        <v>2070</v>
      </c>
      <c r="D1085" s="1" t="s">
        <v>2173</v>
      </c>
      <c r="E1085" s="1" t="s">
        <v>2409</v>
      </c>
      <c r="F1085" s="1" t="s">
        <v>16</v>
      </c>
      <c r="G1085" s="1" t="s">
        <v>17</v>
      </c>
      <c r="H1085" s="1" t="s">
        <v>18</v>
      </c>
      <c r="I1085" s="1" t="s">
        <v>44</v>
      </c>
      <c r="J1085" s="1">
        <v>103.0</v>
      </c>
      <c r="K1085" s="1">
        <v>76.0</v>
      </c>
      <c r="L1085" s="1">
        <v>296.0</v>
      </c>
    </row>
    <row r="1086">
      <c r="A1086" s="1">
        <v>3201232.0</v>
      </c>
      <c r="B1086" s="1" t="s">
        <v>2410</v>
      </c>
      <c r="C1086" s="1" t="s">
        <v>2070</v>
      </c>
      <c r="D1086" s="1" t="s">
        <v>2097</v>
      </c>
      <c r="E1086" s="1" t="s">
        <v>2411</v>
      </c>
      <c r="F1086" s="1" t="s">
        <v>16</v>
      </c>
      <c r="G1086" s="1" t="s">
        <v>27</v>
      </c>
      <c r="H1086" s="1" t="s">
        <v>28</v>
      </c>
      <c r="I1086" s="1" t="s">
        <v>40</v>
      </c>
      <c r="J1086" s="1">
        <v>299.0</v>
      </c>
      <c r="K1086" s="1">
        <v>38.0</v>
      </c>
      <c r="L1086" s="1">
        <v>213.0</v>
      </c>
    </row>
    <row r="1087">
      <c r="A1087" s="1">
        <v>3204124.0</v>
      </c>
      <c r="B1087" s="1" t="s">
        <v>2412</v>
      </c>
      <c r="C1087" s="1" t="s">
        <v>2070</v>
      </c>
      <c r="D1087" s="1" t="s">
        <v>2088</v>
      </c>
      <c r="E1087" s="1" t="s">
        <v>2413</v>
      </c>
      <c r="F1087" s="1" t="s">
        <v>32</v>
      </c>
      <c r="G1087" s="1" t="s">
        <v>27</v>
      </c>
      <c r="H1087" s="1" t="s">
        <v>18</v>
      </c>
      <c r="I1087" s="1" t="s">
        <v>19</v>
      </c>
      <c r="J1087" s="1">
        <v>13.0</v>
      </c>
      <c r="K1087" s="1">
        <v>24.0</v>
      </c>
      <c r="L1087" s="1">
        <v>157.0</v>
      </c>
    </row>
    <row r="1088">
      <c r="A1088" s="1">
        <v>3211026.0</v>
      </c>
      <c r="B1088" s="1" t="s">
        <v>2414</v>
      </c>
      <c r="C1088" s="1" t="s">
        <v>2070</v>
      </c>
      <c r="D1088" s="1" t="s">
        <v>2286</v>
      </c>
      <c r="E1088" s="1" t="s">
        <v>2415</v>
      </c>
      <c r="F1088" s="1" t="s">
        <v>16</v>
      </c>
      <c r="G1088" s="1" t="s">
        <v>17</v>
      </c>
      <c r="H1088" s="1" t="s">
        <v>18</v>
      </c>
      <c r="I1088" s="1" t="s">
        <v>19</v>
      </c>
      <c r="J1088" s="1">
        <v>126.0</v>
      </c>
      <c r="K1088" s="1">
        <v>103.0</v>
      </c>
      <c r="L1088" s="1">
        <v>310.0</v>
      </c>
    </row>
    <row r="1089">
      <c r="A1089" s="1">
        <v>3272062.0</v>
      </c>
      <c r="B1089" s="1" t="s">
        <v>2416</v>
      </c>
      <c r="C1089" s="1" t="s">
        <v>2070</v>
      </c>
      <c r="D1089" s="1" t="s">
        <v>2289</v>
      </c>
      <c r="E1089" s="1" t="s">
        <v>2417</v>
      </c>
      <c r="F1089" s="1" t="s">
        <v>16</v>
      </c>
      <c r="G1089" s="1" t="s">
        <v>17</v>
      </c>
      <c r="H1089" s="1" t="s">
        <v>18</v>
      </c>
      <c r="I1089" s="1" t="s">
        <v>19</v>
      </c>
      <c r="J1089" s="1">
        <v>161.0</v>
      </c>
      <c r="K1089" s="1">
        <v>32.0</v>
      </c>
      <c r="L1089" s="1">
        <v>312.0</v>
      </c>
    </row>
    <row r="1090">
      <c r="A1090" s="1">
        <v>3216402.0</v>
      </c>
      <c r="B1090" s="1" t="s">
        <v>2418</v>
      </c>
      <c r="C1090" s="1" t="s">
        <v>2070</v>
      </c>
      <c r="D1090" s="1" t="s">
        <v>2119</v>
      </c>
      <c r="E1090" s="1" t="s">
        <v>2419</v>
      </c>
      <c r="F1090" s="1" t="s">
        <v>16</v>
      </c>
      <c r="G1090" s="1" t="s">
        <v>17</v>
      </c>
      <c r="H1090" s="1" t="s">
        <v>18</v>
      </c>
      <c r="I1090" s="1" t="s">
        <v>44</v>
      </c>
      <c r="J1090" s="1">
        <v>116.0</v>
      </c>
      <c r="K1090" s="1">
        <v>53.0</v>
      </c>
      <c r="L1090" s="1">
        <v>468.0</v>
      </c>
    </row>
    <row r="1091">
      <c r="A1091" s="1">
        <v>3273547.0</v>
      </c>
      <c r="B1091" s="1" t="s">
        <v>2420</v>
      </c>
      <c r="C1091" s="1" t="s">
        <v>2070</v>
      </c>
      <c r="D1091" s="1" t="s">
        <v>2088</v>
      </c>
      <c r="E1091" s="1" t="s">
        <v>2421</v>
      </c>
      <c r="F1091" s="1" t="s">
        <v>16</v>
      </c>
      <c r="G1091" s="1" t="s">
        <v>17</v>
      </c>
      <c r="H1091" s="1" t="s">
        <v>18</v>
      </c>
      <c r="I1091" s="1" t="s">
        <v>44</v>
      </c>
      <c r="J1091" s="1">
        <v>110.0</v>
      </c>
      <c r="K1091" s="1">
        <v>49.0</v>
      </c>
      <c r="L1091" s="1">
        <v>67.0</v>
      </c>
    </row>
    <row r="1092">
      <c r="A1092" s="1">
        <v>3216465.0</v>
      </c>
      <c r="B1092" s="1" t="s">
        <v>2422</v>
      </c>
      <c r="C1092" s="1" t="s">
        <v>2070</v>
      </c>
      <c r="D1092" s="1" t="s">
        <v>2079</v>
      </c>
      <c r="E1092" s="1" t="s">
        <v>2423</v>
      </c>
      <c r="F1092" s="1" t="s">
        <v>16</v>
      </c>
      <c r="G1092" s="1" t="s">
        <v>17</v>
      </c>
      <c r="H1092" s="1" t="s">
        <v>18</v>
      </c>
      <c r="I1092" s="1" t="s">
        <v>19</v>
      </c>
      <c r="J1092" s="1">
        <v>101.0</v>
      </c>
      <c r="K1092" s="1">
        <v>29.0</v>
      </c>
      <c r="L1092" s="1">
        <v>0.0</v>
      </c>
    </row>
    <row r="1093">
      <c r="A1093" s="1">
        <v>3201072.0</v>
      </c>
      <c r="B1093" s="1" t="s">
        <v>2424</v>
      </c>
      <c r="C1093" s="1" t="s">
        <v>2070</v>
      </c>
      <c r="D1093" s="1" t="s">
        <v>2082</v>
      </c>
      <c r="E1093" s="1" t="s">
        <v>2425</v>
      </c>
      <c r="F1093" s="1" t="s">
        <v>16</v>
      </c>
      <c r="G1093" s="1" t="s">
        <v>27</v>
      </c>
      <c r="H1093" s="1" t="s">
        <v>18</v>
      </c>
      <c r="I1093" s="1" t="s">
        <v>19</v>
      </c>
      <c r="J1093" s="1">
        <v>202.0</v>
      </c>
      <c r="K1093" s="1">
        <v>114.0</v>
      </c>
      <c r="L1093" s="1">
        <v>901.0</v>
      </c>
    </row>
    <row r="1094">
      <c r="A1094" s="1">
        <v>3273096.0</v>
      </c>
      <c r="B1094" s="1" t="s">
        <v>2426</v>
      </c>
      <c r="C1094" s="1" t="s">
        <v>2070</v>
      </c>
      <c r="D1094" s="1" t="s">
        <v>2088</v>
      </c>
      <c r="E1094" s="1" t="s">
        <v>2427</v>
      </c>
      <c r="F1094" s="1" t="s">
        <v>16</v>
      </c>
      <c r="G1094" s="1" t="s">
        <v>17</v>
      </c>
      <c r="H1094" s="1" t="s">
        <v>18</v>
      </c>
      <c r="I1094" s="1" t="s">
        <v>19</v>
      </c>
      <c r="J1094" s="1">
        <v>103.0</v>
      </c>
      <c r="K1094" s="1">
        <v>44.0</v>
      </c>
      <c r="L1094" s="1">
        <v>320.0</v>
      </c>
    </row>
    <row r="1095">
      <c r="A1095" s="1">
        <v>3276135.0</v>
      </c>
      <c r="B1095" s="1" t="s">
        <v>2428</v>
      </c>
      <c r="C1095" s="1" t="s">
        <v>2070</v>
      </c>
      <c r="D1095" s="1" t="s">
        <v>2082</v>
      </c>
      <c r="E1095" s="1" t="s">
        <v>2429</v>
      </c>
      <c r="F1095" s="1" t="s">
        <v>16</v>
      </c>
      <c r="G1095" s="1" t="s">
        <v>17</v>
      </c>
      <c r="H1095" s="1" t="s">
        <v>18</v>
      </c>
      <c r="I1095" s="1" t="s">
        <v>44</v>
      </c>
      <c r="J1095" s="1">
        <v>100.0</v>
      </c>
      <c r="K1095" s="1">
        <v>30.0</v>
      </c>
      <c r="L1095" s="1">
        <v>178.0</v>
      </c>
    </row>
    <row r="1096">
      <c r="A1096" s="1">
        <v>3275403.0</v>
      </c>
      <c r="B1096" s="1" t="s">
        <v>2430</v>
      </c>
      <c r="C1096" s="1" t="s">
        <v>2070</v>
      </c>
      <c r="D1096" s="1" t="s">
        <v>2119</v>
      </c>
      <c r="E1096" s="1" t="s">
        <v>2431</v>
      </c>
      <c r="F1096" s="1" t="s">
        <v>55</v>
      </c>
      <c r="G1096" s="1" t="s">
        <v>17</v>
      </c>
      <c r="H1096" s="1" t="s">
        <v>18</v>
      </c>
      <c r="I1096" s="1" t="s">
        <v>44</v>
      </c>
      <c r="J1096" s="1">
        <v>45.0</v>
      </c>
      <c r="K1096" s="1">
        <v>13.0</v>
      </c>
      <c r="L1096" s="1">
        <v>79.0</v>
      </c>
    </row>
    <row r="1097">
      <c r="A1097" s="1">
        <v>3201218.0</v>
      </c>
      <c r="B1097" s="1" t="s">
        <v>2432</v>
      </c>
      <c r="C1097" s="1" t="s">
        <v>2070</v>
      </c>
      <c r="D1097" s="1" t="s">
        <v>2173</v>
      </c>
      <c r="E1097" s="1" t="s">
        <v>2433</v>
      </c>
      <c r="F1097" s="1" t="s">
        <v>16</v>
      </c>
      <c r="G1097" s="1" t="s">
        <v>17</v>
      </c>
      <c r="H1097" s="1" t="s">
        <v>18</v>
      </c>
      <c r="I1097" s="1" t="s">
        <v>59</v>
      </c>
      <c r="J1097" s="1">
        <v>106.0</v>
      </c>
      <c r="K1097" s="1">
        <v>28.0</v>
      </c>
      <c r="L1097" s="1">
        <v>330.0</v>
      </c>
    </row>
    <row r="1098">
      <c r="A1098" s="1">
        <v>3273405.0</v>
      </c>
      <c r="B1098" s="1" t="s">
        <v>2434</v>
      </c>
      <c r="C1098" s="1" t="s">
        <v>2070</v>
      </c>
      <c r="D1098" s="1" t="s">
        <v>2088</v>
      </c>
      <c r="E1098" s="1" t="s">
        <v>2435</v>
      </c>
      <c r="F1098" s="1" t="s">
        <v>16</v>
      </c>
      <c r="G1098" s="1" t="s">
        <v>27</v>
      </c>
      <c r="H1098" s="1" t="s">
        <v>28</v>
      </c>
      <c r="I1098" s="1" t="s">
        <v>29</v>
      </c>
      <c r="J1098" s="1">
        <v>213.0</v>
      </c>
      <c r="K1098" s="1">
        <v>38.0</v>
      </c>
      <c r="L1098" s="1">
        <v>358.0</v>
      </c>
    </row>
    <row r="1099">
      <c r="A1099" s="1">
        <v>3204123.0</v>
      </c>
      <c r="B1099" s="1" t="s">
        <v>2436</v>
      </c>
      <c r="C1099" s="1" t="s">
        <v>2070</v>
      </c>
      <c r="D1099" s="1" t="s">
        <v>2088</v>
      </c>
      <c r="E1099" s="1" t="s">
        <v>2437</v>
      </c>
      <c r="F1099" s="1" t="s">
        <v>16</v>
      </c>
      <c r="G1099" s="1" t="s">
        <v>17</v>
      </c>
      <c r="H1099" s="1" t="s">
        <v>18</v>
      </c>
      <c r="I1099" s="1" t="s">
        <v>19</v>
      </c>
      <c r="J1099" s="1">
        <v>120.0</v>
      </c>
      <c r="K1099" s="1">
        <v>27.0</v>
      </c>
      <c r="L1099" s="1">
        <v>120.0</v>
      </c>
    </row>
    <row r="1100">
      <c r="A1100" s="1">
        <v>3214038.0</v>
      </c>
      <c r="B1100" s="1" t="s">
        <v>2438</v>
      </c>
      <c r="C1100" s="1" t="s">
        <v>2070</v>
      </c>
      <c r="D1100" s="1" t="s">
        <v>2182</v>
      </c>
      <c r="E1100" s="1" t="s">
        <v>2439</v>
      </c>
      <c r="F1100" s="1" t="s">
        <v>16</v>
      </c>
      <c r="G1100" s="1" t="s">
        <v>17</v>
      </c>
      <c r="H1100" s="1" t="s">
        <v>18</v>
      </c>
      <c r="I1100" s="1" t="s">
        <v>44</v>
      </c>
      <c r="J1100" s="1">
        <v>88.0</v>
      </c>
      <c r="K1100" s="1">
        <v>26.0</v>
      </c>
      <c r="L1100" s="1">
        <v>133.0</v>
      </c>
    </row>
    <row r="1101">
      <c r="A1101" s="1">
        <v>3211027.0</v>
      </c>
      <c r="B1101" s="1" t="s">
        <v>2440</v>
      </c>
      <c r="C1101" s="1" t="s">
        <v>2070</v>
      </c>
      <c r="D1101" s="1" t="s">
        <v>2286</v>
      </c>
      <c r="E1101" s="1" t="s">
        <v>2441</v>
      </c>
      <c r="F1101" s="1" t="s">
        <v>16</v>
      </c>
      <c r="G1101" s="1" t="s">
        <v>23</v>
      </c>
      <c r="H1101" s="1" t="s">
        <v>18</v>
      </c>
      <c r="I1101" s="1" t="s">
        <v>44</v>
      </c>
      <c r="J1101" s="1">
        <v>63.0</v>
      </c>
      <c r="K1101" s="1">
        <v>26.0</v>
      </c>
      <c r="L1101" s="1">
        <v>86.0</v>
      </c>
    </row>
    <row r="1102">
      <c r="A1102" s="1">
        <v>3276166.0</v>
      </c>
      <c r="B1102" s="1" t="s">
        <v>2442</v>
      </c>
      <c r="C1102" s="1" t="s">
        <v>2070</v>
      </c>
      <c r="D1102" s="1" t="s">
        <v>2082</v>
      </c>
      <c r="E1102" s="1" t="s">
        <v>2443</v>
      </c>
      <c r="F1102" s="1" t="s">
        <v>16</v>
      </c>
      <c r="G1102" s="1" t="s">
        <v>17</v>
      </c>
      <c r="H1102" s="1" t="s">
        <v>18</v>
      </c>
      <c r="I1102" s="1" t="s">
        <v>19</v>
      </c>
      <c r="J1102" s="1">
        <v>191.0</v>
      </c>
      <c r="K1102" s="1">
        <v>22.0</v>
      </c>
      <c r="L1102" s="1">
        <v>0.0</v>
      </c>
    </row>
    <row r="1103">
      <c r="A1103" s="1">
        <v>3204169.0</v>
      </c>
      <c r="B1103" s="1" t="s">
        <v>2444</v>
      </c>
      <c r="C1103" s="1" t="s">
        <v>2070</v>
      </c>
      <c r="D1103" s="1" t="s">
        <v>2091</v>
      </c>
      <c r="E1103" s="1" t="s">
        <v>2445</v>
      </c>
      <c r="F1103" s="1" t="s">
        <v>16</v>
      </c>
      <c r="G1103" s="1" t="s">
        <v>23</v>
      </c>
      <c r="H1103" s="1" t="s">
        <v>18</v>
      </c>
      <c r="I1103" s="1" t="s">
        <v>684</v>
      </c>
      <c r="J1103" s="1">
        <v>64.0</v>
      </c>
      <c r="K1103" s="1">
        <v>31.0</v>
      </c>
      <c r="L1103" s="1">
        <v>0.0</v>
      </c>
    </row>
    <row r="1104">
      <c r="A1104" s="1">
        <v>3275115.0</v>
      </c>
      <c r="B1104" s="1" t="s">
        <v>2446</v>
      </c>
      <c r="C1104" s="1" t="s">
        <v>2070</v>
      </c>
      <c r="D1104" s="1" t="s">
        <v>2119</v>
      </c>
      <c r="E1104" s="1" t="s">
        <v>2447</v>
      </c>
      <c r="F1104" s="1" t="s">
        <v>16</v>
      </c>
      <c r="G1104" s="1" t="s">
        <v>27</v>
      </c>
      <c r="H1104" s="1" t="s">
        <v>18</v>
      </c>
      <c r="I1104" s="1" t="s">
        <v>19</v>
      </c>
      <c r="J1104" s="1">
        <v>410.0</v>
      </c>
      <c r="K1104" s="1">
        <v>120.0</v>
      </c>
      <c r="L1104" s="1">
        <v>1037.0</v>
      </c>
    </row>
    <row r="1105">
      <c r="A1105" s="1">
        <v>3216385.0</v>
      </c>
      <c r="B1105" s="1" t="s">
        <v>2448</v>
      </c>
      <c r="C1105" s="1" t="s">
        <v>2070</v>
      </c>
      <c r="D1105" s="1" t="s">
        <v>2079</v>
      </c>
      <c r="E1105" s="1" t="s">
        <v>2449</v>
      </c>
      <c r="F1105" s="1" t="s">
        <v>16</v>
      </c>
      <c r="G1105" s="1" t="s">
        <v>17</v>
      </c>
      <c r="H1105" s="1" t="s">
        <v>18</v>
      </c>
      <c r="I1105" s="1" t="s">
        <v>44</v>
      </c>
      <c r="J1105" s="1">
        <v>116.0</v>
      </c>
      <c r="K1105" s="1">
        <v>34.0</v>
      </c>
      <c r="L1105" s="1">
        <v>143.0</v>
      </c>
    </row>
    <row r="1106">
      <c r="A1106" s="1">
        <v>3201236.0</v>
      </c>
      <c r="B1106" s="1" t="s">
        <v>2450</v>
      </c>
      <c r="C1106" s="1" t="s">
        <v>2070</v>
      </c>
      <c r="D1106" s="1" t="s">
        <v>2173</v>
      </c>
      <c r="E1106" s="1" t="s">
        <v>2451</v>
      </c>
      <c r="F1106" s="1" t="s">
        <v>16</v>
      </c>
      <c r="G1106" s="1" t="s">
        <v>17</v>
      </c>
      <c r="H1106" s="1" t="s">
        <v>18</v>
      </c>
      <c r="I1106" s="1" t="s">
        <v>44</v>
      </c>
      <c r="J1106" s="1">
        <v>124.0</v>
      </c>
      <c r="K1106" s="1">
        <v>47.0</v>
      </c>
      <c r="L1106" s="1">
        <v>318.0</v>
      </c>
    </row>
    <row r="1107">
      <c r="A1107" s="1">
        <v>3278021.0</v>
      </c>
      <c r="B1107" s="1" t="s">
        <v>2452</v>
      </c>
      <c r="C1107" s="1" t="s">
        <v>2070</v>
      </c>
      <c r="D1107" s="1" t="s">
        <v>2077</v>
      </c>
      <c r="E1107" s="1" t="s">
        <v>2453</v>
      </c>
      <c r="F1107" s="1" t="s">
        <v>55</v>
      </c>
      <c r="G1107" s="1" t="s">
        <v>17</v>
      </c>
      <c r="H1107" s="1" t="s">
        <v>18</v>
      </c>
      <c r="I1107" s="1" t="s">
        <v>19</v>
      </c>
      <c r="J1107" s="1">
        <v>67.0</v>
      </c>
      <c r="K1107" s="1">
        <v>25.0</v>
      </c>
      <c r="L1107" s="1">
        <v>44.0</v>
      </c>
    </row>
    <row r="1108">
      <c r="A1108" s="1">
        <v>3201249.0</v>
      </c>
      <c r="B1108" s="1" t="s">
        <v>2454</v>
      </c>
      <c r="C1108" s="1" t="s">
        <v>2070</v>
      </c>
      <c r="D1108" s="1" t="s">
        <v>2097</v>
      </c>
      <c r="E1108" s="1" t="s">
        <v>2455</v>
      </c>
      <c r="F1108" s="1" t="s">
        <v>16</v>
      </c>
      <c r="G1108" s="1" t="s">
        <v>17</v>
      </c>
      <c r="H1108" s="1" t="s">
        <v>18</v>
      </c>
      <c r="I1108" s="1" t="s">
        <v>19</v>
      </c>
      <c r="J1108" s="1">
        <v>100.0</v>
      </c>
      <c r="K1108" s="1">
        <v>27.0</v>
      </c>
      <c r="L1108" s="1">
        <v>62.0</v>
      </c>
    </row>
    <row r="1109">
      <c r="A1109" s="1">
        <v>3275415.0</v>
      </c>
      <c r="B1109" s="1" t="s">
        <v>2456</v>
      </c>
      <c r="C1109" s="1" t="s">
        <v>2070</v>
      </c>
      <c r="D1109" s="1" t="s">
        <v>2119</v>
      </c>
      <c r="E1109" s="1" t="s">
        <v>2457</v>
      </c>
      <c r="F1109" s="1" t="s">
        <v>16</v>
      </c>
      <c r="G1109" s="1" t="s">
        <v>23</v>
      </c>
      <c r="H1109" s="1" t="s">
        <v>18</v>
      </c>
      <c r="I1109" s="1" t="s">
        <v>19</v>
      </c>
      <c r="J1109" s="1">
        <v>31.0</v>
      </c>
      <c r="K1109" s="1">
        <v>2.0</v>
      </c>
      <c r="L1109" s="1">
        <v>0.0</v>
      </c>
    </row>
    <row r="1110">
      <c r="A1110" s="1">
        <v>3275390.0</v>
      </c>
      <c r="B1110" s="1" t="s">
        <v>2458</v>
      </c>
      <c r="C1110" s="1" t="s">
        <v>2070</v>
      </c>
      <c r="D1110" s="1" t="s">
        <v>2119</v>
      </c>
      <c r="E1110" s="1" t="s">
        <v>2459</v>
      </c>
      <c r="F1110" s="1" t="s">
        <v>55</v>
      </c>
      <c r="G1110" s="1" t="s">
        <v>17</v>
      </c>
      <c r="H1110" s="1" t="s">
        <v>18</v>
      </c>
      <c r="I1110" s="1" t="s">
        <v>19</v>
      </c>
      <c r="J1110" s="1">
        <v>60.0</v>
      </c>
      <c r="K1110" s="1">
        <v>27.0</v>
      </c>
      <c r="L1110" s="1">
        <v>143.0</v>
      </c>
    </row>
    <row r="1111">
      <c r="A1111" s="1">
        <v>3213044.0</v>
      </c>
      <c r="B1111" s="1" t="s">
        <v>2460</v>
      </c>
      <c r="C1111" s="1" t="s">
        <v>2070</v>
      </c>
      <c r="D1111" s="1" t="s">
        <v>2127</v>
      </c>
      <c r="E1111" s="1" t="s">
        <v>2461</v>
      </c>
      <c r="F1111" s="1" t="s">
        <v>16</v>
      </c>
      <c r="G1111" s="1" t="s">
        <v>17</v>
      </c>
      <c r="H1111" s="1" t="s">
        <v>18</v>
      </c>
      <c r="I1111" s="1" t="s">
        <v>19</v>
      </c>
      <c r="J1111" s="1">
        <v>100.0</v>
      </c>
      <c r="K1111" s="1">
        <v>21.0</v>
      </c>
      <c r="L1111" s="1">
        <v>55.0</v>
      </c>
    </row>
    <row r="1112">
      <c r="A1112" s="1">
        <v>3275307.0</v>
      </c>
      <c r="B1112" s="1" t="s">
        <v>2462</v>
      </c>
      <c r="C1112" s="1" t="s">
        <v>2070</v>
      </c>
      <c r="D1112" s="1" t="s">
        <v>2119</v>
      </c>
      <c r="E1112" s="1" t="s">
        <v>2463</v>
      </c>
      <c r="F1112" s="1" t="s">
        <v>16</v>
      </c>
      <c r="G1112" s="1" t="s">
        <v>17</v>
      </c>
      <c r="H1112" s="1" t="s">
        <v>18</v>
      </c>
      <c r="I1112" s="1" t="s">
        <v>19</v>
      </c>
      <c r="J1112" s="1">
        <v>101.0</v>
      </c>
      <c r="K1112" s="1">
        <v>30.0</v>
      </c>
      <c r="L1112" s="1">
        <v>231.0</v>
      </c>
    </row>
    <row r="1113">
      <c r="A1113" s="1">
        <v>3201244.0</v>
      </c>
      <c r="B1113" s="1" t="s">
        <v>2464</v>
      </c>
      <c r="C1113" s="1" t="s">
        <v>2070</v>
      </c>
      <c r="D1113" s="1" t="s">
        <v>2097</v>
      </c>
      <c r="E1113" s="1" t="s">
        <v>2465</v>
      </c>
      <c r="F1113" s="1" t="s">
        <v>16</v>
      </c>
      <c r="G1113" s="1" t="s">
        <v>17</v>
      </c>
      <c r="H1113" s="1" t="s">
        <v>18</v>
      </c>
      <c r="I1113" s="1" t="s">
        <v>44</v>
      </c>
      <c r="J1113" s="1">
        <v>148.0</v>
      </c>
      <c r="K1113" s="1">
        <v>71.0</v>
      </c>
      <c r="L1113" s="1">
        <v>220.0</v>
      </c>
    </row>
    <row r="1114">
      <c r="A1114" s="1">
        <v>3217008.0</v>
      </c>
      <c r="B1114" s="1" t="s">
        <v>2466</v>
      </c>
      <c r="C1114" s="1" t="s">
        <v>2070</v>
      </c>
      <c r="D1114" s="1" t="s">
        <v>2144</v>
      </c>
      <c r="E1114" s="1" t="s">
        <v>2467</v>
      </c>
      <c r="F1114" s="1" t="s">
        <v>55</v>
      </c>
      <c r="G1114" s="1" t="s">
        <v>17</v>
      </c>
      <c r="H1114" s="1" t="s">
        <v>18</v>
      </c>
      <c r="I1114" s="1" t="s">
        <v>19</v>
      </c>
      <c r="J1114" s="1">
        <v>74.0</v>
      </c>
      <c r="K1114" s="1">
        <v>23.0</v>
      </c>
      <c r="L1114" s="1">
        <v>56.0</v>
      </c>
    </row>
    <row r="1115">
      <c r="A1115" s="1">
        <v>3273558.0</v>
      </c>
      <c r="B1115" s="1" t="s">
        <v>2468</v>
      </c>
      <c r="C1115" s="1" t="s">
        <v>2070</v>
      </c>
      <c r="D1115" s="1" t="s">
        <v>2088</v>
      </c>
      <c r="E1115" s="1" t="s">
        <v>2469</v>
      </c>
      <c r="F1115" s="1" t="s">
        <v>1884</v>
      </c>
      <c r="G1115" s="1" t="s">
        <v>17</v>
      </c>
      <c r="H1115" s="1" t="s">
        <v>18</v>
      </c>
      <c r="I1115" s="1" t="s">
        <v>44</v>
      </c>
      <c r="J1115" s="1">
        <v>31.0</v>
      </c>
      <c r="K1115" s="1">
        <v>45.0</v>
      </c>
      <c r="L1115" s="1">
        <v>0.0</v>
      </c>
    </row>
    <row r="1116">
      <c r="A1116" s="1">
        <v>3209036.0</v>
      </c>
      <c r="B1116" s="1" t="s">
        <v>2470</v>
      </c>
      <c r="C1116" s="1" t="s">
        <v>2070</v>
      </c>
      <c r="D1116" s="1" t="s">
        <v>2106</v>
      </c>
      <c r="E1116" s="1" t="s">
        <v>2471</v>
      </c>
      <c r="F1116" s="1" t="s">
        <v>473</v>
      </c>
      <c r="G1116" s="1" t="s">
        <v>27</v>
      </c>
      <c r="H1116" s="1" t="s">
        <v>28</v>
      </c>
      <c r="I1116" s="1" t="s">
        <v>139</v>
      </c>
      <c r="J1116" s="1">
        <v>102.0</v>
      </c>
      <c r="K1116" s="1">
        <v>44.0</v>
      </c>
      <c r="L1116" s="1">
        <v>215.0</v>
      </c>
    </row>
    <row r="1117">
      <c r="A1117" s="1">
        <v>3275035.0</v>
      </c>
      <c r="B1117" s="1" t="s">
        <v>2472</v>
      </c>
      <c r="C1117" s="1" t="s">
        <v>2070</v>
      </c>
      <c r="D1117" s="1" t="s">
        <v>2119</v>
      </c>
      <c r="E1117" s="1" t="s">
        <v>2473</v>
      </c>
      <c r="F1117" s="1" t="s">
        <v>16</v>
      </c>
      <c r="G1117" s="1" t="s">
        <v>17</v>
      </c>
      <c r="H1117" s="1" t="s">
        <v>18</v>
      </c>
      <c r="I1117" s="1" t="s">
        <v>19</v>
      </c>
      <c r="J1117" s="1">
        <v>58.0</v>
      </c>
      <c r="K1117" s="1">
        <v>38.0</v>
      </c>
      <c r="L1117" s="1">
        <v>37.0</v>
      </c>
    </row>
    <row r="1118">
      <c r="A1118" s="1">
        <v>3276149.0</v>
      </c>
      <c r="B1118" s="1" t="s">
        <v>2474</v>
      </c>
      <c r="C1118" s="1" t="s">
        <v>2070</v>
      </c>
      <c r="D1118" s="1" t="s">
        <v>2082</v>
      </c>
      <c r="E1118" s="1" t="s">
        <v>2475</v>
      </c>
      <c r="F1118" s="1" t="s">
        <v>55</v>
      </c>
      <c r="G1118" s="1" t="s">
        <v>17</v>
      </c>
      <c r="H1118" s="1" t="s">
        <v>18</v>
      </c>
      <c r="I1118" s="1" t="s">
        <v>44</v>
      </c>
      <c r="J1118" s="1">
        <v>35.0</v>
      </c>
      <c r="K1118" s="1">
        <v>16.0</v>
      </c>
      <c r="L1118" s="1">
        <v>54.0</v>
      </c>
    </row>
    <row r="1119">
      <c r="A1119" s="1">
        <v>3216440.0</v>
      </c>
      <c r="B1119" s="1" t="s">
        <v>2476</v>
      </c>
      <c r="C1119" s="1" t="s">
        <v>2070</v>
      </c>
      <c r="D1119" s="1" t="s">
        <v>2079</v>
      </c>
      <c r="E1119" s="1" t="s">
        <v>2477</v>
      </c>
      <c r="F1119" s="1" t="s">
        <v>16</v>
      </c>
      <c r="G1119" s="1" t="s">
        <v>23</v>
      </c>
      <c r="H1119" s="1" t="s">
        <v>28</v>
      </c>
      <c r="I1119" s="1" t="s">
        <v>40</v>
      </c>
      <c r="J1119" s="1">
        <v>50.0</v>
      </c>
      <c r="K1119" s="1">
        <v>12.0</v>
      </c>
      <c r="L1119" s="1">
        <v>141.0</v>
      </c>
    </row>
    <row r="1120">
      <c r="A1120" s="1">
        <v>3273026.0</v>
      </c>
      <c r="B1120" s="1" t="s">
        <v>2478</v>
      </c>
      <c r="C1120" s="1" t="s">
        <v>2070</v>
      </c>
      <c r="D1120" s="1" t="s">
        <v>2088</v>
      </c>
      <c r="E1120" s="1" t="s">
        <v>2479</v>
      </c>
      <c r="F1120" s="1" t="s">
        <v>16</v>
      </c>
      <c r="G1120" s="1" t="s">
        <v>27</v>
      </c>
      <c r="H1120" s="1" t="s">
        <v>18</v>
      </c>
      <c r="I1120" s="1" t="s">
        <v>65</v>
      </c>
      <c r="J1120" s="1">
        <v>220.0</v>
      </c>
      <c r="K1120" s="1">
        <v>63.0</v>
      </c>
      <c r="L1120" s="1">
        <v>468.0</v>
      </c>
    </row>
    <row r="1121">
      <c r="A1121" s="1">
        <v>3215056.0</v>
      </c>
      <c r="B1121" s="1" t="s">
        <v>278</v>
      </c>
      <c r="C1121" s="1" t="s">
        <v>2070</v>
      </c>
      <c r="D1121" s="1" t="s">
        <v>2071</v>
      </c>
      <c r="E1121" s="1" t="s">
        <v>2480</v>
      </c>
      <c r="F1121" s="1" t="s">
        <v>16</v>
      </c>
      <c r="G1121" s="1" t="s">
        <v>17</v>
      </c>
      <c r="H1121" s="1" t="s">
        <v>18</v>
      </c>
      <c r="I1121" s="1" t="s">
        <v>44</v>
      </c>
      <c r="J1121" s="1">
        <v>146.0</v>
      </c>
      <c r="K1121" s="1">
        <v>29.0</v>
      </c>
      <c r="L1121" s="1">
        <v>387.0</v>
      </c>
    </row>
    <row r="1122">
      <c r="A1122" s="1">
        <v>3216413.0</v>
      </c>
      <c r="B1122" s="1" t="s">
        <v>2481</v>
      </c>
      <c r="C1122" s="1" t="s">
        <v>2070</v>
      </c>
      <c r="D1122" s="1" t="s">
        <v>2079</v>
      </c>
      <c r="E1122" s="1" t="s">
        <v>2482</v>
      </c>
      <c r="F1122" s="1" t="s">
        <v>16</v>
      </c>
      <c r="G1122" s="1" t="s">
        <v>17</v>
      </c>
      <c r="H1122" s="1" t="s">
        <v>18</v>
      </c>
      <c r="I1122" s="1" t="s">
        <v>44</v>
      </c>
      <c r="J1122" s="1">
        <v>106.0</v>
      </c>
      <c r="K1122" s="1">
        <v>24.0</v>
      </c>
      <c r="L1122" s="1">
        <v>216.0</v>
      </c>
    </row>
    <row r="1123">
      <c r="A1123" s="1">
        <v>3216448.0</v>
      </c>
      <c r="B1123" s="1" t="s">
        <v>2483</v>
      </c>
      <c r="C1123" s="1" t="s">
        <v>2070</v>
      </c>
      <c r="D1123" s="1" t="s">
        <v>2119</v>
      </c>
      <c r="E1123" s="1" t="s">
        <v>2484</v>
      </c>
      <c r="F1123" s="1" t="s">
        <v>16</v>
      </c>
      <c r="G1123" s="1" t="s">
        <v>17</v>
      </c>
      <c r="H1123" s="1" t="s">
        <v>18</v>
      </c>
      <c r="I1123" s="1" t="s">
        <v>19</v>
      </c>
      <c r="J1123" s="1">
        <v>100.0</v>
      </c>
      <c r="K1123" s="1">
        <v>77.0</v>
      </c>
      <c r="L1123" s="1">
        <v>29.0</v>
      </c>
    </row>
    <row r="1124">
      <c r="A1124" s="1">
        <v>3201126.0</v>
      </c>
      <c r="B1124" s="1" t="s">
        <v>2485</v>
      </c>
      <c r="C1124" s="1" t="s">
        <v>2070</v>
      </c>
      <c r="D1124" s="1" t="s">
        <v>2082</v>
      </c>
      <c r="E1124" s="1" t="s">
        <v>2486</v>
      </c>
      <c r="F1124" s="1" t="s">
        <v>16</v>
      </c>
      <c r="G1124" s="1" t="s">
        <v>27</v>
      </c>
      <c r="H1124" s="1" t="s">
        <v>18</v>
      </c>
      <c r="I1124" s="1" t="s">
        <v>59</v>
      </c>
      <c r="J1124" s="1">
        <v>277.0</v>
      </c>
      <c r="K1124" s="1">
        <v>107.0</v>
      </c>
      <c r="L1124" s="1">
        <v>877.0</v>
      </c>
    </row>
    <row r="1125">
      <c r="A1125" s="1">
        <v>3273110.0</v>
      </c>
      <c r="B1125" s="1" t="s">
        <v>2487</v>
      </c>
      <c r="C1125" s="1" t="s">
        <v>2070</v>
      </c>
      <c r="D1125" s="1" t="s">
        <v>2088</v>
      </c>
      <c r="E1125" s="1" t="s">
        <v>2488</v>
      </c>
      <c r="F1125" s="1" t="s">
        <v>16</v>
      </c>
      <c r="G1125" s="1" t="s">
        <v>23</v>
      </c>
      <c r="H1125" s="1" t="s">
        <v>18</v>
      </c>
      <c r="I1125" s="1" t="s">
        <v>59</v>
      </c>
      <c r="J1125" s="1">
        <v>50.0</v>
      </c>
      <c r="K1125" s="1">
        <v>29.0</v>
      </c>
      <c r="L1125" s="1">
        <v>117.0</v>
      </c>
    </row>
    <row r="1126">
      <c r="A1126" s="1">
        <v>3214035.0</v>
      </c>
      <c r="B1126" s="1" t="s">
        <v>2489</v>
      </c>
      <c r="C1126" s="1" t="s">
        <v>2070</v>
      </c>
      <c r="D1126" s="1" t="s">
        <v>2182</v>
      </c>
      <c r="E1126" s="1" t="s">
        <v>2490</v>
      </c>
      <c r="F1126" s="1" t="s">
        <v>16</v>
      </c>
      <c r="G1126" s="1" t="s">
        <v>17</v>
      </c>
      <c r="H1126" s="1" t="s">
        <v>18</v>
      </c>
      <c r="I1126" s="1" t="s">
        <v>44</v>
      </c>
      <c r="J1126" s="1">
        <v>145.0</v>
      </c>
      <c r="K1126" s="1">
        <v>38.0</v>
      </c>
      <c r="L1126" s="1">
        <v>259.0</v>
      </c>
    </row>
    <row r="1127">
      <c r="A1127" s="1">
        <v>3203039.0</v>
      </c>
      <c r="B1127" s="1" t="s">
        <v>2491</v>
      </c>
      <c r="C1127" s="1" t="s">
        <v>2070</v>
      </c>
      <c r="D1127" s="1" t="s">
        <v>2094</v>
      </c>
      <c r="E1127" s="1" t="s">
        <v>2492</v>
      </c>
      <c r="F1127" s="1" t="s">
        <v>16</v>
      </c>
      <c r="G1127" s="1" t="s">
        <v>17</v>
      </c>
      <c r="H1127" s="1" t="s">
        <v>28</v>
      </c>
      <c r="I1127" s="1" t="s">
        <v>40</v>
      </c>
      <c r="J1127" s="1">
        <v>158.0</v>
      </c>
      <c r="K1127" s="1">
        <v>56.0</v>
      </c>
      <c r="L1127" s="1">
        <v>228.0</v>
      </c>
    </row>
    <row r="1128">
      <c r="A1128" s="1">
        <v>3275013.0</v>
      </c>
      <c r="B1128" s="1" t="s">
        <v>2493</v>
      </c>
      <c r="C1128" s="1" t="s">
        <v>2070</v>
      </c>
      <c r="D1128" s="1" t="s">
        <v>2119</v>
      </c>
      <c r="E1128" s="1" t="s">
        <v>2494</v>
      </c>
      <c r="F1128" s="1" t="s">
        <v>16</v>
      </c>
      <c r="G1128" s="1" t="s">
        <v>27</v>
      </c>
      <c r="H1128" s="1" t="s">
        <v>28</v>
      </c>
      <c r="I1128" s="1" t="s">
        <v>29</v>
      </c>
      <c r="J1128" s="1">
        <v>606.0</v>
      </c>
      <c r="K1128" s="1">
        <v>128.0</v>
      </c>
      <c r="L1128" s="1">
        <v>1597.0</v>
      </c>
    </row>
    <row r="1129">
      <c r="A1129" s="1">
        <v>3273540.0</v>
      </c>
      <c r="B1129" s="1" t="s">
        <v>2495</v>
      </c>
      <c r="C1129" s="1" t="s">
        <v>2070</v>
      </c>
      <c r="D1129" s="1" t="s">
        <v>2088</v>
      </c>
      <c r="E1129" s="1" t="s">
        <v>2496</v>
      </c>
      <c r="F1129" s="1" t="s">
        <v>32</v>
      </c>
      <c r="G1129" s="1" t="s">
        <v>27</v>
      </c>
      <c r="H1129" s="1" t="s">
        <v>28</v>
      </c>
      <c r="I1129" s="1" t="s">
        <v>29</v>
      </c>
      <c r="J1129" s="1">
        <v>13.0</v>
      </c>
      <c r="K1129" s="1">
        <v>17.0</v>
      </c>
      <c r="L1129" s="1">
        <v>149.0</v>
      </c>
    </row>
    <row r="1130">
      <c r="A1130" s="1">
        <v>3216424.0</v>
      </c>
      <c r="B1130" s="1" t="s">
        <v>2497</v>
      </c>
      <c r="C1130" s="1" t="s">
        <v>2070</v>
      </c>
      <c r="D1130" s="1" t="s">
        <v>2079</v>
      </c>
      <c r="E1130" s="1" t="s">
        <v>2498</v>
      </c>
      <c r="F1130" s="1" t="s">
        <v>55</v>
      </c>
      <c r="G1130" s="1" t="s">
        <v>17</v>
      </c>
      <c r="H1130" s="1" t="s">
        <v>18</v>
      </c>
      <c r="I1130" s="1" t="s">
        <v>44</v>
      </c>
      <c r="J1130" s="1">
        <v>39.0</v>
      </c>
      <c r="K1130" s="1">
        <v>19.0</v>
      </c>
      <c r="L1130" s="1">
        <v>9.0</v>
      </c>
    </row>
    <row r="1131">
      <c r="A1131" s="1">
        <v>3207057.0</v>
      </c>
      <c r="B1131" s="1" t="s">
        <v>2499</v>
      </c>
      <c r="C1131" s="1" t="s">
        <v>2070</v>
      </c>
      <c r="D1131" s="1" t="s">
        <v>2162</v>
      </c>
      <c r="E1131" s="1" t="s">
        <v>2500</v>
      </c>
      <c r="F1131" s="1" t="s">
        <v>16</v>
      </c>
      <c r="G1131" s="1" t="s">
        <v>17</v>
      </c>
      <c r="H1131" s="1" t="s">
        <v>18</v>
      </c>
      <c r="I1131" s="1" t="s">
        <v>19</v>
      </c>
      <c r="J1131" s="1">
        <v>216.0</v>
      </c>
      <c r="K1131" s="1">
        <v>35.0</v>
      </c>
      <c r="L1131" s="1">
        <v>237.0</v>
      </c>
    </row>
    <row r="1132">
      <c r="A1132" s="1">
        <v>3273559.0</v>
      </c>
      <c r="B1132" s="1" t="s">
        <v>2501</v>
      </c>
      <c r="C1132" s="1" t="s">
        <v>2070</v>
      </c>
      <c r="D1132" s="1" t="s">
        <v>2088</v>
      </c>
      <c r="E1132" s="1" t="s">
        <v>2502</v>
      </c>
      <c r="F1132" s="1" t="s">
        <v>16</v>
      </c>
      <c r="G1132" s="1" t="s">
        <v>27</v>
      </c>
      <c r="H1132" s="1" t="s">
        <v>18</v>
      </c>
      <c r="I1132" s="1" t="s">
        <v>19</v>
      </c>
      <c r="J1132" s="1">
        <v>144.0</v>
      </c>
      <c r="K1132" s="1">
        <v>92.0</v>
      </c>
      <c r="L1132" s="1">
        <v>0.0</v>
      </c>
    </row>
    <row r="1133">
      <c r="A1133" s="1">
        <v>3277031.0</v>
      </c>
      <c r="B1133" s="1" t="s">
        <v>2503</v>
      </c>
      <c r="C1133" s="1" t="s">
        <v>2070</v>
      </c>
      <c r="D1133" s="1" t="s">
        <v>2217</v>
      </c>
      <c r="E1133" s="1" t="s">
        <v>2504</v>
      </c>
      <c r="F1133" s="1" t="s">
        <v>16</v>
      </c>
      <c r="G1133" s="1" t="s">
        <v>27</v>
      </c>
      <c r="H1133" s="1" t="s">
        <v>33</v>
      </c>
      <c r="I1133" s="1" t="s">
        <v>74</v>
      </c>
      <c r="J1133" s="1">
        <v>453.0</v>
      </c>
      <c r="K1133" s="1">
        <v>127.0</v>
      </c>
      <c r="L1133" s="1">
        <v>1422.0</v>
      </c>
    </row>
    <row r="1134">
      <c r="A1134" s="1">
        <v>3273539.0</v>
      </c>
      <c r="B1134" s="1" t="s">
        <v>2505</v>
      </c>
      <c r="C1134" s="1" t="s">
        <v>2070</v>
      </c>
      <c r="D1134" s="1" t="s">
        <v>2088</v>
      </c>
      <c r="E1134" s="1" t="s">
        <v>2506</v>
      </c>
      <c r="F1134" s="1" t="s">
        <v>16</v>
      </c>
      <c r="G1134" s="1" t="s">
        <v>27</v>
      </c>
      <c r="H1134" s="1" t="s">
        <v>18</v>
      </c>
      <c r="I1134" s="1" t="s">
        <v>19</v>
      </c>
      <c r="J1134" s="1">
        <v>210.0</v>
      </c>
      <c r="K1134" s="1">
        <v>132.0</v>
      </c>
      <c r="L1134" s="1">
        <v>449.0</v>
      </c>
    </row>
    <row r="1135">
      <c r="A1135" s="1">
        <v>3214037.0</v>
      </c>
      <c r="B1135" s="1" t="s">
        <v>2507</v>
      </c>
      <c r="C1135" s="1" t="s">
        <v>2070</v>
      </c>
      <c r="D1135" s="1" t="s">
        <v>2182</v>
      </c>
      <c r="E1135" s="1" t="s">
        <v>2508</v>
      </c>
      <c r="F1135" s="1" t="s">
        <v>16</v>
      </c>
      <c r="G1135" s="1" t="s">
        <v>17</v>
      </c>
      <c r="H1135" s="1" t="s">
        <v>18</v>
      </c>
      <c r="I1135" s="1" t="s">
        <v>44</v>
      </c>
      <c r="J1135" s="1">
        <v>130.0</v>
      </c>
      <c r="K1135" s="1">
        <v>32.0</v>
      </c>
      <c r="L1135" s="1">
        <v>126.0</v>
      </c>
    </row>
    <row r="1136">
      <c r="A1136" s="1">
        <v>3212056.0</v>
      </c>
      <c r="B1136" s="1" t="s">
        <v>2509</v>
      </c>
      <c r="C1136" s="1" t="s">
        <v>2070</v>
      </c>
      <c r="D1136" s="1" t="s">
        <v>2189</v>
      </c>
      <c r="E1136" s="1" t="s">
        <v>2510</v>
      </c>
      <c r="F1136" s="1" t="s">
        <v>16</v>
      </c>
      <c r="G1136" s="1" t="s">
        <v>23</v>
      </c>
      <c r="H1136" s="1" t="s">
        <v>28</v>
      </c>
      <c r="I1136" s="1" t="s">
        <v>40</v>
      </c>
      <c r="J1136" s="1">
        <v>115.0</v>
      </c>
      <c r="K1136" s="1">
        <v>25.0</v>
      </c>
      <c r="L1136" s="1">
        <v>148.0</v>
      </c>
    </row>
    <row r="1137">
      <c r="A1137" s="1">
        <v>3210038.0</v>
      </c>
      <c r="B1137" s="1" t="s">
        <v>2511</v>
      </c>
      <c r="C1137" s="1" t="s">
        <v>2070</v>
      </c>
      <c r="D1137" s="1" t="s">
        <v>2228</v>
      </c>
      <c r="E1137" s="1" t="s">
        <v>2512</v>
      </c>
      <c r="F1137" s="1" t="s">
        <v>16</v>
      </c>
      <c r="G1137" s="1" t="s">
        <v>17</v>
      </c>
      <c r="H1137" s="1" t="s">
        <v>18</v>
      </c>
      <c r="I1137" s="1" t="s">
        <v>19</v>
      </c>
      <c r="J1137" s="1">
        <v>105.0</v>
      </c>
      <c r="K1137" s="1">
        <v>19.0</v>
      </c>
      <c r="L1137" s="1">
        <v>0.0</v>
      </c>
    </row>
    <row r="1138">
      <c r="A1138" s="1">
        <v>3216218.0</v>
      </c>
      <c r="B1138" s="1" t="s">
        <v>2513</v>
      </c>
      <c r="C1138" s="1" t="s">
        <v>2070</v>
      </c>
      <c r="D1138" s="1" t="s">
        <v>2119</v>
      </c>
      <c r="E1138" s="1" t="s">
        <v>2514</v>
      </c>
      <c r="F1138" s="1" t="s">
        <v>16</v>
      </c>
      <c r="G1138" s="1" t="s">
        <v>27</v>
      </c>
      <c r="H1138" s="1" t="s">
        <v>18</v>
      </c>
      <c r="I1138" s="1" t="s">
        <v>19</v>
      </c>
      <c r="J1138" s="1">
        <v>228.0</v>
      </c>
      <c r="K1138" s="1">
        <v>74.0</v>
      </c>
      <c r="L1138" s="1">
        <v>69.0</v>
      </c>
    </row>
    <row r="1139">
      <c r="A1139" s="1">
        <v>3205024.0</v>
      </c>
      <c r="B1139" s="1" t="s">
        <v>2515</v>
      </c>
      <c r="C1139" s="1" t="s">
        <v>2070</v>
      </c>
      <c r="D1139" s="1" t="s">
        <v>2214</v>
      </c>
      <c r="E1139" s="1" t="s">
        <v>2516</v>
      </c>
      <c r="F1139" s="1" t="s">
        <v>16</v>
      </c>
      <c r="G1139" s="1" t="s">
        <v>23</v>
      </c>
      <c r="H1139" s="1" t="s">
        <v>18</v>
      </c>
      <c r="I1139" s="1" t="s">
        <v>44</v>
      </c>
      <c r="J1139" s="1">
        <v>50.0</v>
      </c>
      <c r="K1139" s="1">
        <v>47.0</v>
      </c>
      <c r="L1139" s="1">
        <v>35.0</v>
      </c>
    </row>
    <row r="1140">
      <c r="A1140" s="1">
        <v>3275066.0</v>
      </c>
      <c r="B1140" s="1" t="s">
        <v>2517</v>
      </c>
      <c r="C1140" s="1" t="s">
        <v>2070</v>
      </c>
      <c r="D1140" s="1" t="s">
        <v>2119</v>
      </c>
      <c r="E1140" s="1" t="s">
        <v>2518</v>
      </c>
      <c r="F1140" s="1" t="s">
        <v>16</v>
      </c>
      <c r="G1140" s="1" t="s">
        <v>23</v>
      </c>
      <c r="H1140" s="1" t="s">
        <v>28</v>
      </c>
      <c r="I1140" s="1" t="s">
        <v>29</v>
      </c>
      <c r="J1140" s="1">
        <v>52.0</v>
      </c>
      <c r="K1140" s="1">
        <v>36.0</v>
      </c>
      <c r="L1140" s="1">
        <v>49.0</v>
      </c>
    </row>
    <row r="1141">
      <c r="A1141" s="1">
        <v>3207023.0</v>
      </c>
      <c r="B1141" s="1" t="s">
        <v>2519</v>
      </c>
      <c r="C1141" s="1" t="s">
        <v>2070</v>
      </c>
      <c r="D1141" s="1" t="s">
        <v>2149</v>
      </c>
      <c r="E1141" s="1" t="s">
        <v>2520</v>
      </c>
      <c r="F1141" s="1" t="s">
        <v>16</v>
      </c>
      <c r="G1141" s="1" t="s">
        <v>27</v>
      </c>
      <c r="H1141" s="1" t="s">
        <v>28</v>
      </c>
      <c r="I1141" s="1" t="s">
        <v>29</v>
      </c>
      <c r="J1141" s="1">
        <v>256.0</v>
      </c>
      <c r="K1141" s="1">
        <v>105.0</v>
      </c>
      <c r="L1141" s="1">
        <v>651.0</v>
      </c>
    </row>
    <row r="1142">
      <c r="A1142" s="1">
        <v>3202073.0</v>
      </c>
      <c r="B1142" s="1" t="s">
        <v>2521</v>
      </c>
      <c r="C1142" s="1" t="s">
        <v>2070</v>
      </c>
      <c r="D1142" s="1" t="s">
        <v>2085</v>
      </c>
      <c r="E1142" s="1" t="s">
        <v>2522</v>
      </c>
      <c r="F1142" s="1" t="s">
        <v>16</v>
      </c>
      <c r="G1142" s="1" t="s">
        <v>17</v>
      </c>
      <c r="H1142" s="1" t="s">
        <v>18</v>
      </c>
      <c r="I1142" s="1" t="s">
        <v>19</v>
      </c>
      <c r="J1142" s="1">
        <v>174.0</v>
      </c>
      <c r="K1142" s="1">
        <v>24.0</v>
      </c>
      <c r="L1142" s="1">
        <v>320.0</v>
      </c>
    </row>
    <row r="1143">
      <c r="A1143" s="1">
        <v>3208058.0</v>
      </c>
      <c r="B1143" s="1" t="s">
        <v>2523</v>
      </c>
      <c r="C1143" s="1" t="s">
        <v>2070</v>
      </c>
      <c r="D1143" s="1" t="s">
        <v>2074</v>
      </c>
      <c r="E1143" s="1" t="s">
        <v>2524</v>
      </c>
      <c r="F1143" s="1" t="s">
        <v>16</v>
      </c>
      <c r="G1143" s="1" t="s">
        <v>17</v>
      </c>
      <c r="H1143" s="1" t="s">
        <v>18</v>
      </c>
      <c r="I1143" s="1" t="s">
        <v>44</v>
      </c>
      <c r="J1143" s="1">
        <v>159.0</v>
      </c>
      <c r="K1143" s="1">
        <v>45.0</v>
      </c>
      <c r="L1143" s="1">
        <v>238.0</v>
      </c>
    </row>
    <row r="1144">
      <c r="A1144" s="1">
        <v>3217002.0</v>
      </c>
      <c r="B1144" s="1" t="s">
        <v>2525</v>
      </c>
      <c r="C1144" s="1" t="s">
        <v>2070</v>
      </c>
      <c r="D1144" s="1" t="s">
        <v>2144</v>
      </c>
      <c r="E1144" s="1" t="s">
        <v>2526</v>
      </c>
      <c r="F1144" s="1" t="s">
        <v>16</v>
      </c>
      <c r="G1144" s="1" t="s">
        <v>17</v>
      </c>
      <c r="H1144" s="1" t="s">
        <v>28</v>
      </c>
      <c r="I1144" s="1" t="s">
        <v>40</v>
      </c>
      <c r="J1144" s="1">
        <v>142.0</v>
      </c>
      <c r="K1144" s="1">
        <v>31.0</v>
      </c>
      <c r="L1144" s="1">
        <v>418.0</v>
      </c>
    </row>
    <row r="1145">
      <c r="A1145" s="1">
        <v>3274135.0</v>
      </c>
      <c r="B1145" s="1" t="s">
        <v>2527</v>
      </c>
      <c r="C1145" s="1" t="s">
        <v>2070</v>
      </c>
      <c r="D1145" s="1" t="s">
        <v>2106</v>
      </c>
      <c r="E1145" s="1" t="s">
        <v>2528</v>
      </c>
      <c r="F1145" s="1" t="s">
        <v>16</v>
      </c>
      <c r="G1145" s="1" t="s">
        <v>17</v>
      </c>
      <c r="H1145" s="1" t="s">
        <v>18</v>
      </c>
      <c r="I1145" s="1" t="s">
        <v>19</v>
      </c>
      <c r="J1145" s="1">
        <v>102.0</v>
      </c>
      <c r="K1145" s="1">
        <v>18.0</v>
      </c>
      <c r="L1145" s="1">
        <v>241.0</v>
      </c>
    </row>
    <row r="1146">
      <c r="A1146" s="1">
        <v>3217007.0</v>
      </c>
      <c r="B1146" s="1" t="s">
        <v>2529</v>
      </c>
      <c r="C1146" s="1" t="s">
        <v>2070</v>
      </c>
      <c r="D1146" s="1" t="s">
        <v>2144</v>
      </c>
      <c r="E1146" s="1" t="s">
        <v>2530</v>
      </c>
      <c r="F1146" s="1" t="s">
        <v>16</v>
      </c>
      <c r="G1146" s="1" t="s">
        <v>17</v>
      </c>
      <c r="H1146" s="1" t="s">
        <v>28</v>
      </c>
      <c r="I1146" s="1" t="s">
        <v>40</v>
      </c>
      <c r="J1146" s="1">
        <v>101.0</v>
      </c>
      <c r="K1146" s="1">
        <v>27.0</v>
      </c>
      <c r="L1146" s="1">
        <v>253.0</v>
      </c>
    </row>
    <row r="1147">
      <c r="A1147" s="1">
        <v>3203041.0</v>
      </c>
      <c r="B1147" s="1" t="s">
        <v>2531</v>
      </c>
      <c r="C1147" s="1" t="s">
        <v>2070</v>
      </c>
      <c r="D1147" s="1" t="s">
        <v>2094</v>
      </c>
      <c r="E1147" s="1" t="s">
        <v>2532</v>
      </c>
      <c r="F1147" s="1" t="s">
        <v>16</v>
      </c>
      <c r="G1147" s="1" t="s">
        <v>23</v>
      </c>
      <c r="H1147" s="1" t="s">
        <v>18</v>
      </c>
      <c r="I1147" s="1" t="s">
        <v>65</v>
      </c>
      <c r="J1147" s="1">
        <v>50.0</v>
      </c>
      <c r="K1147" s="1">
        <v>21.0</v>
      </c>
      <c r="L1147" s="1">
        <v>51.0</v>
      </c>
    </row>
    <row r="1148">
      <c r="A1148" s="1">
        <v>3201273.0</v>
      </c>
      <c r="B1148" s="1" t="s">
        <v>2533</v>
      </c>
      <c r="C1148" s="1" t="s">
        <v>2070</v>
      </c>
      <c r="D1148" s="1" t="s">
        <v>2097</v>
      </c>
      <c r="E1148" s="1" t="s">
        <v>2534</v>
      </c>
      <c r="F1148" s="1" t="s">
        <v>16</v>
      </c>
      <c r="G1148" s="1" t="s">
        <v>17</v>
      </c>
      <c r="H1148" s="1" t="s">
        <v>18</v>
      </c>
      <c r="I1148" s="1" t="s">
        <v>19</v>
      </c>
      <c r="J1148" s="1">
        <v>100.0</v>
      </c>
      <c r="K1148" s="1">
        <v>39.0</v>
      </c>
      <c r="L1148" s="1">
        <v>0.0</v>
      </c>
    </row>
    <row r="1149">
      <c r="A1149" s="1">
        <v>3271115.0</v>
      </c>
      <c r="B1149" s="1" t="s">
        <v>2535</v>
      </c>
      <c r="C1149" s="1" t="s">
        <v>2070</v>
      </c>
      <c r="D1149" s="1" t="s">
        <v>2173</v>
      </c>
      <c r="E1149" s="1" t="s">
        <v>2536</v>
      </c>
      <c r="F1149" s="1" t="s">
        <v>16</v>
      </c>
      <c r="G1149" s="1" t="s">
        <v>27</v>
      </c>
      <c r="H1149" s="1" t="s">
        <v>18</v>
      </c>
      <c r="I1149" s="1" t="s">
        <v>44</v>
      </c>
      <c r="J1149" s="1">
        <v>200.0</v>
      </c>
      <c r="K1149" s="1">
        <v>65.0</v>
      </c>
      <c r="L1149" s="1">
        <v>609.0</v>
      </c>
    </row>
    <row r="1150">
      <c r="A1150" s="1">
        <v>3271163.0</v>
      </c>
      <c r="B1150" s="1" t="s">
        <v>2537</v>
      </c>
      <c r="C1150" s="1" t="s">
        <v>2070</v>
      </c>
      <c r="D1150" s="1" t="s">
        <v>2173</v>
      </c>
      <c r="E1150" s="1" t="s">
        <v>2538</v>
      </c>
      <c r="F1150" s="1" t="s">
        <v>16</v>
      </c>
      <c r="G1150" s="1" t="s">
        <v>17</v>
      </c>
      <c r="H1150" s="1" t="s">
        <v>18</v>
      </c>
      <c r="I1150" s="1" t="s">
        <v>44</v>
      </c>
      <c r="J1150" s="1">
        <v>113.0</v>
      </c>
      <c r="K1150" s="1">
        <v>53.0</v>
      </c>
      <c r="L1150" s="1">
        <v>138.0</v>
      </c>
    </row>
    <row r="1151">
      <c r="A1151" s="1">
        <v>3276154.0</v>
      </c>
      <c r="B1151" s="1" t="s">
        <v>1771</v>
      </c>
      <c r="C1151" s="1" t="s">
        <v>2070</v>
      </c>
      <c r="D1151" s="1" t="s">
        <v>2082</v>
      </c>
      <c r="E1151" s="1" t="s">
        <v>2539</v>
      </c>
      <c r="F1151" s="1" t="s">
        <v>16</v>
      </c>
      <c r="G1151" s="1" t="s">
        <v>27</v>
      </c>
      <c r="H1151" s="1" t="s">
        <v>18</v>
      </c>
      <c r="I1151" s="1" t="s">
        <v>44</v>
      </c>
      <c r="J1151" s="1">
        <v>221.0</v>
      </c>
      <c r="K1151" s="1">
        <v>40.0</v>
      </c>
      <c r="L1151" s="1">
        <v>162.0</v>
      </c>
    </row>
    <row r="1152">
      <c r="A1152" s="1">
        <v>3212031.0</v>
      </c>
      <c r="B1152" s="1" t="s">
        <v>2540</v>
      </c>
      <c r="C1152" s="1" t="s">
        <v>2070</v>
      </c>
      <c r="D1152" s="1" t="s">
        <v>2189</v>
      </c>
      <c r="E1152" s="1" t="s">
        <v>2541</v>
      </c>
      <c r="F1152" s="1" t="s">
        <v>16</v>
      </c>
      <c r="G1152" s="1" t="s">
        <v>17</v>
      </c>
      <c r="H1152" s="1" t="s">
        <v>28</v>
      </c>
      <c r="I1152" s="1" t="s">
        <v>40</v>
      </c>
      <c r="J1152" s="1">
        <v>120.0</v>
      </c>
      <c r="K1152" s="1">
        <v>38.0</v>
      </c>
      <c r="L1152" s="1">
        <v>443.0</v>
      </c>
    </row>
    <row r="1153">
      <c r="A1153" s="1">
        <v>3275039.0</v>
      </c>
      <c r="B1153" s="1" t="s">
        <v>2542</v>
      </c>
      <c r="C1153" s="1" t="s">
        <v>2070</v>
      </c>
      <c r="D1153" s="1" t="s">
        <v>2119</v>
      </c>
      <c r="E1153" s="1" t="s">
        <v>2543</v>
      </c>
      <c r="F1153" s="1" t="s">
        <v>16</v>
      </c>
      <c r="G1153" s="1" t="s">
        <v>17</v>
      </c>
      <c r="H1153" s="1" t="s">
        <v>18</v>
      </c>
      <c r="I1153" s="1" t="s">
        <v>19</v>
      </c>
      <c r="J1153" s="1">
        <v>103.0</v>
      </c>
      <c r="K1153" s="1">
        <v>41.0</v>
      </c>
      <c r="L1153" s="1">
        <v>156.0</v>
      </c>
    </row>
    <row r="1154">
      <c r="A1154" s="1">
        <v>3216406.0</v>
      </c>
      <c r="B1154" s="1" t="s">
        <v>2544</v>
      </c>
      <c r="C1154" s="1" t="s">
        <v>2070</v>
      </c>
      <c r="D1154" s="1" t="s">
        <v>2079</v>
      </c>
      <c r="E1154" s="1" t="s">
        <v>2545</v>
      </c>
      <c r="F1154" s="1" t="s">
        <v>16</v>
      </c>
      <c r="G1154" s="1" t="s">
        <v>17</v>
      </c>
      <c r="H1154" s="1" t="s">
        <v>18</v>
      </c>
      <c r="I1154" s="1" t="s">
        <v>44</v>
      </c>
      <c r="J1154" s="1">
        <v>100.0</v>
      </c>
      <c r="K1154" s="1">
        <v>27.0</v>
      </c>
      <c r="L1154" s="1">
        <v>118.0</v>
      </c>
    </row>
    <row r="1155">
      <c r="A1155" s="1">
        <v>3275060.0</v>
      </c>
      <c r="B1155" s="1" t="s">
        <v>2546</v>
      </c>
      <c r="C1155" s="1" t="s">
        <v>2070</v>
      </c>
      <c r="D1155" s="1" t="s">
        <v>2119</v>
      </c>
      <c r="E1155" s="1" t="s">
        <v>2547</v>
      </c>
      <c r="F1155" s="1" t="s">
        <v>16</v>
      </c>
      <c r="G1155" s="1" t="s">
        <v>17</v>
      </c>
      <c r="H1155" s="1" t="s">
        <v>18</v>
      </c>
      <c r="I1155" s="1" t="s">
        <v>19</v>
      </c>
      <c r="J1155" s="1">
        <v>103.0</v>
      </c>
      <c r="K1155" s="1">
        <v>23.0</v>
      </c>
      <c r="L1155" s="1">
        <v>215.0</v>
      </c>
    </row>
    <row r="1156">
      <c r="A1156" s="1">
        <v>3215078.0</v>
      </c>
      <c r="B1156" s="1" t="s">
        <v>2548</v>
      </c>
      <c r="C1156" s="1" t="s">
        <v>2070</v>
      </c>
      <c r="D1156" s="1" t="s">
        <v>2071</v>
      </c>
      <c r="E1156" s="1" t="s">
        <v>2549</v>
      </c>
      <c r="F1156" s="1" t="s">
        <v>16</v>
      </c>
      <c r="G1156" s="1" t="s">
        <v>17</v>
      </c>
      <c r="H1156" s="1" t="s">
        <v>18</v>
      </c>
      <c r="I1156" s="1" t="s">
        <v>59</v>
      </c>
      <c r="J1156" s="1">
        <v>130.0</v>
      </c>
      <c r="K1156" s="1">
        <v>33.0</v>
      </c>
      <c r="L1156" s="1">
        <v>269.0</v>
      </c>
    </row>
    <row r="1157">
      <c r="A1157" s="1">
        <v>3274136.0</v>
      </c>
      <c r="B1157" s="1" t="s">
        <v>2550</v>
      </c>
      <c r="C1157" s="1" t="s">
        <v>2070</v>
      </c>
      <c r="D1157" s="1" t="s">
        <v>2106</v>
      </c>
      <c r="E1157" s="1" t="s">
        <v>2551</v>
      </c>
      <c r="F1157" s="1" t="s">
        <v>1884</v>
      </c>
      <c r="G1157" s="1" t="s">
        <v>27</v>
      </c>
      <c r="H1157" s="1" t="s">
        <v>18</v>
      </c>
      <c r="I1157" s="1" t="s">
        <v>19</v>
      </c>
      <c r="J1157" s="1">
        <v>75.0</v>
      </c>
      <c r="K1157" s="1">
        <v>42.0</v>
      </c>
      <c r="L1157" s="1">
        <v>184.0</v>
      </c>
    </row>
    <row r="1158">
      <c r="A1158" s="1">
        <v>3216438.0</v>
      </c>
      <c r="B1158" s="1" t="s">
        <v>2552</v>
      </c>
      <c r="C1158" s="1" t="s">
        <v>2070</v>
      </c>
      <c r="D1158" s="1" t="s">
        <v>2079</v>
      </c>
      <c r="E1158" s="1" t="s">
        <v>2553</v>
      </c>
      <c r="F1158" s="1" t="s">
        <v>16</v>
      </c>
      <c r="G1158" s="1" t="s">
        <v>23</v>
      </c>
      <c r="H1158" s="1" t="s">
        <v>18</v>
      </c>
      <c r="I1158" s="1" t="s">
        <v>19</v>
      </c>
      <c r="J1158" s="1">
        <v>98.0</v>
      </c>
      <c r="K1158" s="1">
        <v>24.0</v>
      </c>
      <c r="L1158" s="1">
        <v>50.0</v>
      </c>
    </row>
    <row r="1159">
      <c r="A1159" s="1">
        <v>3209055.0</v>
      </c>
      <c r="B1159" s="1" t="s">
        <v>2554</v>
      </c>
      <c r="C1159" s="1" t="s">
        <v>2070</v>
      </c>
      <c r="D1159" s="1" t="s">
        <v>2106</v>
      </c>
      <c r="E1159" s="1" t="s">
        <v>2555</v>
      </c>
      <c r="F1159" s="1" t="s">
        <v>16</v>
      </c>
      <c r="G1159" s="1" t="s">
        <v>23</v>
      </c>
      <c r="H1159" s="1" t="s">
        <v>18</v>
      </c>
      <c r="I1159" s="1" t="s">
        <v>44</v>
      </c>
      <c r="J1159" s="1">
        <v>75.0</v>
      </c>
      <c r="K1159" s="1">
        <v>24.0</v>
      </c>
      <c r="L1159" s="1">
        <v>47.0</v>
      </c>
    </row>
    <row r="1160">
      <c r="A1160" s="1">
        <v>3202040.0</v>
      </c>
      <c r="B1160" s="1" t="s">
        <v>2556</v>
      </c>
      <c r="C1160" s="1" t="s">
        <v>2070</v>
      </c>
      <c r="D1160" s="1" t="s">
        <v>2085</v>
      </c>
      <c r="E1160" s="1" t="s">
        <v>2557</v>
      </c>
      <c r="F1160" s="1" t="s">
        <v>16</v>
      </c>
      <c r="G1160" s="1" t="s">
        <v>17</v>
      </c>
      <c r="H1160" s="1" t="s">
        <v>28</v>
      </c>
      <c r="I1160" s="1" t="s">
        <v>40</v>
      </c>
      <c r="J1160" s="1">
        <v>244.0</v>
      </c>
      <c r="K1160" s="1">
        <v>30.0</v>
      </c>
      <c r="L1160" s="1">
        <v>464.0</v>
      </c>
    </row>
    <row r="1161">
      <c r="A1161" s="1">
        <v>3273431.0</v>
      </c>
      <c r="B1161" s="1" t="s">
        <v>2558</v>
      </c>
      <c r="C1161" s="1" t="s">
        <v>2070</v>
      </c>
      <c r="D1161" s="1" t="s">
        <v>2088</v>
      </c>
      <c r="E1161" s="1" t="s">
        <v>2559</v>
      </c>
      <c r="F1161" s="1" t="s">
        <v>255</v>
      </c>
      <c r="G1161" s="1" t="s">
        <v>17</v>
      </c>
      <c r="H1161" s="1" t="s">
        <v>18</v>
      </c>
      <c r="I1161" s="1" t="s">
        <v>59</v>
      </c>
      <c r="J1161" s="1">
        <v>29.0</v>
      </c>
      <c r="K1161" s="1">
        <v>37.0</v>
      </c>
      <c r="L1161" s="1">
        <v>171.0</v>
      </c>
    </row>
    <row r="1162">
      <c r="A1162" s="1">
        <v>3275057.0</v>
      </c>
      <c r="B1162" s="1" t="s">
        <v>2560</v>
      </c>
      <c r="C1162" s="1" t="s">
        <v>2070</v>
      </c>
      <c r="D1162" s="1" t="s">
        <v>2119</v>
      </c>
      <c r="E1162" s="1" t="s">
        <v>2561</v>
      </c>
      <c r="F1162" s="1" t="s">
        <v>16</v>
      </c>
      <c r="G1162" s="1" t="s">
        <v>17</v>
      </c>
      <c r="H1162" s="1" t="s">
        <v>18</v>
      </c>
      <c r="I1162" s="1" t="s">
        <v>44</v>
      </c>
      <c r="J1162" s="1">
        <v>100.0</v>
      </c>
      <c r="K1162" s="1">
        <v>32.0</v>
      </c>
      <c r="L1162" s="1">
        <v>142.0</v>
      </c>
    </row>
    <row r="1163">
      <c r="A1163" s="1">
        <v>3216435.0</v>
      </c>
      <c r="B1163" s="1" t="s">
        <v>2562</v>
      </c>
      <c r="C1163" s="1" t="s">
        <v>2070</v>
      </c>
      <c r="D1163" s="1" t="s">
        <v>2079</v>
      </c>
      <c r="E1163" s="1" t="s">
        <v>2563</v>
      </c>
      <c r="F1163" s="1" t="s">
        <v>16</v>
      </c>
      <c r="G1163" s="1" t="s">
        <v>23</v>
      </c>
      <c r="H1163" s="1" t="s">
        <v>18</v>
      </c>
      <c r="I1163" s="1" t="s">
        <v>19</v>
      </c>
      <c r="J1163" s="1">
        <v>73.0</v>
      </c>
      <c r="K1163" s="1">
        <v>24.0</v>
      </c>
      <c r="L1163" s="1">
        <v>62.0</v>
      </c>
    </row>
    <row r="1164">
      <c r="A1164" s="1">
        <v>3204134.0</v>
      </c>
      <c r="B1164" s="1" t="s">
        <v>2564</v>
      </c>
      <c r="C1164" s="1" t="s">
        <v>2070</v>
      </c>
      <c r="D1164" s="1" t="s">
        <v>2091</v>
      </c>
      <c r="E1164" s="1" t="s">
        <v>2565</v>
      </c>
      <c r="F1164" s="1" t="s">
        <v>16</v>
      </c>
      <c r="G1164" s="1" t="s">
        <v>23</v>
      </c>
      <c r="H1164" s="1" t="s">
        <v>28</v>
      </c>
      <c r="I1164" s="1" t="s">
        <v>139</v>
      </c>
      <c r="J1164" s="1">
        <v>63.0</v>
      </c>
      <c r="K1164" s="1">
        <v>27.0</v>
      </c>
      <c r="L1164" s="1">
        <v>133.0</v>
      </c>
    </row>
    <row r="1165">
      <c r="A1165" s="1">
        <v>3275414.0</v>
      </c>
      <c r="B1165" s="1" t="s">
        <v>2566</v>
      </c>
      <c r="C1165" s="1" t="s">
        <v>2070</v>
      </c>
      <c r="D1165" s="1" t="s">
        <v>2119</v>
      </c>
      <c r="E1165" s="1" t="s">
        <v>2567</v>
      </c>
      <c r="F1165" s="1" t="s">
        <v>16</v>
      </c>
      <c r="G1165" s="1" t="s">
        <v>17</v>
      </c>
      <c r="H1165" s="1" t="s">
        <v>18</v>
      </c>
      <c r="I1165" s="1" t="s">
        <v>19</v>
      </c>
      <c r="J1165" s="1">
        <v>133.0</v>
      </c>
      <c r="K1165" s="1">
        <v>24.0</v>
      </c>
      <c r="L1165" s="1">
        <v>0.0</v>
      </c>
    </row>
    <row r="1166">
      <c r="A1166" s="1">
        <v>3273562.0</v>
      </c>
      <c r="B1166" s="1" t="s">
        <v>2568</v>
      </c>
      <c r="C1166" s="1" t="s">
        <v>2070</v>
      </c>
      <c r="D1166" s="1" t="s">
        <v>2088</v>
      </c>
      <c r="E1166" s="1" t="s">
        <v>2569</v>
      </c>
      <c r="F1166" s="1" t="s">
        <v>16</v>
      </c>
      <c r="G1166" s="1" t="s">
        <v>17</v>
      </c>
      <c r="H1166" s="1" t="s">
        <v>18</v>
      </c>
      <c r="I1166" s="1" t="s">
        <v>19</v>
      </c>
      <c r="J1166" s="1">
        <v>100.0</v>
      </c>
      <c r="K1166" s="1">
        <v>21.0</v>
      </c>
      <c r="L1166" s="1">
        <v>0.0</v>
      </c>
    </row>
    <row r="1167">
      <c r="A1167" s="1">
        <v>3275130.0</v>
      </c>
      <c r="B1167" s="1" t="s">
        <v>2570</v>
      </c>
      <c r="C1167" s="1" t="s">
        <v>2070</v>
      </c>
      <c r="D1167" s="1" t="s">
        <v>2119</v>
      </c>
      <c r="E1167" s="1" t="s">
        <v>2571</v>
      </c>
      <c r="F1167" s="1" t="s">
        <v>16</v>
      </c>
      <c r="G1167" s="1" t="s">
        <v>17</v>
      </c>
      <c r="H1167" s="1" t="s">
        <v>18</v>
      </c>
      <c r="I1167" s="1" t="s">
        <v>59</v>
      </c>
      <c r="J1167" s="1">
        <v>105.0</v>
      </c>
      <c r="K1167" s="1">
        <v>40.0</v>
      </c>
      <c r="L1167" s="1">
        <v>197.0</v>
      </c>
    </row>
    <row r="1168">
      <c r="A1168" s="1">
        <v>3278016.0</v>
      </c>
      <c r="B1168" s="1" t="s">
        <v>2572</v>
      </c>
      <c r="C1168" s="1" t="s">
        <v>2070</v>
      </c>
      <c r="D1168" s="1" t="s">
        <v>2077</v>
      </c>
      <c r="E1168" s="1" t="s">
        <v>2573</v>
      </c>
      <c r="F1168" s="1" t="s">
        <v>55</v>
      </c>
      <c r="G1168" s="1" t="s">
        <v>17</v>
      </c>
      <c r="H1168" s="1" t="s">
        <v>18</v>
      </c>
      <c r="I1168" s="1" t="s">
        <v>19</v>
      </c>
      <c r="J1168" s="1">
        <v>26.0</v>
      </c>
      <c r="K1168" s="1">
        <v>11.0</v>
      </c>
      <c r="L1168" s="1">
        <v>17.0</v>
      </c>
    </row>
    <row r="1169">
      <c r="A1169" s="1">
        <v>3205010.0</v>
      </c>
      <c r="B1169" s="1" t="s">
        <v>2574</v>
      </c>
      <c r="C1169" s="1" t="s">
        <v>2070</v>
      </c>
      <c r="D1169" s="1" t="s">
        <v>2214</v>
      </c>
      <c r="E1169" s="1" t="s">
        <v>2575</v>
      </c>
      <c r="F1169" s="1" t="s">
        <v>16</v>
      </c>
      <c r="G1169" s="1" t="s">
        <v>27</v>
      </c>
      <c r="H1169" s="1" t="s">
        <v>28</v>
      </c>
      <c r="I1169" s="1" t="s">
        <v>40</v>
      </c>
      <c r="J1169" s="1">
        <v>432.0</v>
      </c>
      <c r="K1169" s="1">
        <v>103.0</v>
      </c>
      <c r="L1169" s="1">
        <v>1095.0</v>
      </c>
    </row>
    <row r="1170">
      <c r="A1170" s="1">
        <v>3216386.0</v>
      </c>
      <c r="B1170" s="1" t="s">
        <v>2576</v>
      </c>
      <c r="C1170" s="1" t="s">
        <v>2070</v>
      </c>
      <c r="D1170" s="1" t="s">
        <v>2079</v>
      </c>
      <c r="E1170" s="1" t="s">
        <v>2577</v>
      </c>
      <c r="F1170" s="1" t="s">
        <v>16</v>
      </c>
      <c r="G1170" s="1" t="s">
        <v>17</v>
      </c>
      <c r="H1170" s="1" t="s">
        <v>18</v>
      </c>
      <c r="I1170" s="1" t="s">
        <v>44</v>
      </c>
      <c r="J1170" s="1">
        <v>135.0</v>
      </c>
      <c r="K1170" s="1">
        <v>32.0</v>
      </c>
      <c r="L1170" s="1">
        <v>211.0</v>
      </c>
    </row>
    <row r="1171">
      <c r="A1171" s="1">
        <v>3275053.0</v>
      </c>
      <c r="B1171" s="1" t="s">
        <v>2578</v>
      </c>
      <c r="C1171" s="1" t="s">
        <v>2070</v>
      </c>
      <c r="D1171" s="1" t="s">
        <v>2119</v>
      </c>
      <c r="E1171" s="1" t="s">
        <v>2579</v>
      </c>
      <c r="F1171" s="1" t="s">
        <v>16</v>
      </c>
      <c r="G1171" s="1" t="s">
        <v>17</v>
      </c>
      <c r="H1171" s="1" t="s">
        <v>18</v>
      </c>
      <c r="I1171" s="1" t="s">
        <v>44</v>
      </c>
      <c r="J1171" s="1">
        <v>95.0</v>
      </c>
      <c r="K1171" s="1">
        <v>36.0</v>
      </c>
      <c r="L1171" s="1">
        <v>203.0</v>
      </c>
    </row>
    <row r="1172">
      <c r="A1172" s="1">
        <v>3215163.0</v>
      </c>
      <c r="B1172" s="1" t="s">
        <v>2580</v>
      </c>
      <c r="C1172" s="1" t="s">
        <v>2070</v>
      </c>
      <c r="D1172" s="1" t="s">
        <v>2071</v>
      </c>
      <c r="E1172" s="1" t="s">
        <v>2581</v>
      </c>
      <c r="F1172" s="1" t="s">
        <v>16</v>
      </c>
      <c r="G1172" s="1" t="s">
        <v>23</v>
      </c>
      <c r="H1172" s="1" t="s">
        <v>18</v>
      </c>
      <c r="I1172" s="1" t="s">
        <v>44</v>
      </c>
      <c r="J1172" s="1">
        <v>51.0</v>
      </c>
      <c r="K1172" s="1">
        <v>18.0</v>
      </c>
      <c r="L1172" s="1">
        <v>79.0</v>
      </c>
    </row>
    <row r="1173">
      <c r="A1173" s="1">
        <v>3215170.0</v>
      </c>
      <c r="B1173" s="1" t="s">
        <v>2582</v>
      </c>
      <c r="C1173" s="1" t="s">
        <v>2070</v>
      </c>
      <c r="D1173" s="1" t="s">
        <v>2071</v>
      </c>
      <c r="E1173" s="1" t="s">
        <v>2583</v>
      </c>
      <c r="F1173" s="1" t="s">
        <v>16</v>
      </c>
      <c r="G1173" s="1" t="s">
        <v>17</v>
      </c>
      <c r="H1173" s="1" t="s">
        <v>18</v>
      </c>
      <c r="I1173" s="1" t="s">
        <v>19</v>
      </c>
      <c r="J1173" s="1">
        <v>110.0</v>
      </c>
      <c r="K1173" s="1">
        <v>41.0</v>
      </c>
      <c r="L1173" s="1">
        <v>212.0</v>
      </c>
    </row>
    <row r="1174">
      <c r="A1174" s="1">
        <v>3202088.0</v>
      </c>
      <c r="B1174" s="1" t="s">
        <v>2584</v>
      </c>
      <c r="C1174" s="1" t="s">
        <v>2070</v>
      </c>
      <c r="D1174" s="1" t="s">
        <v>2085</v>
      </c>
      <c r="E1174" s="1" t="s">
        <v>2585</v>
      </c>
      <c r="F1174" s="1" t="s">
        <v>16</v>
      </c>
      <c r="G1174" s="1" t="s">
        <v>17</v>
      </c>
      <c r="H1174" s="1" t="s">
        <v>18</v>
      </c>
      <c r="I1174" s="1" t="s">
        <v>19</v>
      </c>
      <c r="J1174" s="1">
        <v>111.0</v>
      </c>
      <c r="K1174" s="1">
        <v>37.0</v>
      </c>
      <c r="L1174" s="1">
        <v>98.0</v>
      </c>
    </row>
    <row r="1175">
      <c r="A1175" s="1">
        <v>3216329.0</v>
      </c>
      <c r="B1175" s="1" t="s">
        <v>2586</v>
      </c>
      <c r="C1175" s="1" t="s">
        <v>2070</v>
      </c>
      <c r="D1175" s="1" t="s">
        <v>2119</v>
      </c>
      <c r="E1175" s="1" t="s">
        <v>2587</v>
      </c>
      <c r="F1175" s="1" t="s">
        <v>16</v>
      </c>
      <c r="G1175" s="1" t="s">
        <v>27</v>
      </c>
      <c r="H1175" s="1" t="s">
        <v>18</v>
      </c>
      <c r="I1175" s="1" t="s">
        <v>19</v>
      </c>
      <c r="J1175" s="1">
        <v>108.0</v>
      </c>
      <c r="K1175" s="1">
        <v>70.0</v>
      </c>
      <c r="L1175" s="1">
        <v>540.0</v>
      </c>
    </row>
    <row r="1176">
      <c r="A1176" s="1">
        <v>3210037.0</v>
      </c>
      <c r="B1176" s="1" t="s">
        <v>2588</v>
      </c>
      <c r="C1176" s="1" t="s">
        <v>2070</v>
      </c>
      <c r="D1176" s="1" t="s">
        <v>2228</v>
      </c>
      <c r="E1176" s="1" t="s">
        <v>2589</v>
      </c>
      <c r="F1176" s="1" t="s">
        <v>16</v>
      </c>
      <c r="G1176" s="1" t="s">
        <v>17</v>
      </c>
      <c r="H1176" s="1" t="s">
        <v>18</v>
      </c>
      <c r="I1176" s="1" t="s">
        <v>44</v>
      </c>
      <c r="J1176" s="1">
        <v>228.0</v>
      </c>
      <c r="K1176" s="1">
        <v>20.0</v>
      </c>
      <c r="L1176" s="1">
        <v>139.0</v>
      </c>
    </row>
    <row r="1177">
      <c r="A1177" s="1">
        <v>3201252.0</v>
      </c>
      <c r="B1177" s="1" t="s">
        <v>2590</v>
      </c>
      <c r="C1177" s="1" t="s">
        <v>2070</v>
      </c>
      <c r="D1177" s="1" t="s">
        <v>2097</v>
      </c>
      <c r="E1177" s="1" t="s">
        <v>2591</v>
      </c>
      <c r="F1177" s="1" t="s">
        <v>16</v>
      </c>
      <c r="G1177" s="1" t="s">
        <v>17</v>
      </c>
      <c r="H1177" s="1" t="s">
        <v>18</v>
      </c>
      <c r="I1177" s="1" t="s">
        <v>44</v>
      </c>
      <c r="J1177" s="1">
        <v>130.0</v>
      </c>
      <c r="K1177" s="1">
        <v>35.0</v>
      </c>
      <c r="L1177" s="1">
        <v>96.0</v>
      </c>
    </row>
    <row r="1178">
      <c r="A1178" s="1">
        <v>3201258.0</v>
      </c>
      <c r="B1178" s="1" t="s">
        <v>2592</v>
      </c>
      <c r="C1178" s="1" t="s">
        <v>2070</v>
      </c>
      <c r="D1178" s="1" t="s">
        <v>2097</v>
      </c>
      <c r="E1178" s="1" t="s">
        <v>2593</v>
      </c>
      <c r="F1178" s="1" t="s">
        <v>16</v>
      </c>
      <c r="G1178" s="1" t="s">
        <v>27</v>
      </c>
      <c r="H1178" s="1" t="s">
        <v>18</v>
      </c>
      <c r="I1178" s="1" t="s">
        <v>44</v>
      </c>
      <c r="J1178" s="1">
        <v>210.0</v>
      </c>
      <c r="K1178" s="1">
        <v>30.0</v>
      </c>
      <c r="L1178" s="1">
        <v>0.0</v>
      </c>
    </row>
    <row r="1179">
      <c r="A1179" s="1">
        <v>3209051.0</v>
      </c>
      <c r="B1179" s="1" t="s">
        <v>2594</v>
      </c>
      <c r="C1179" s="1" t="s">
        <v>2070</v>
      </c>
      <c r="D1179" s="1" t="s">
        <v>2106</v>
      </c>
      <c r="E1179" s="1" t="s">
        <v>2595</v>
      </c>
      <c r="F1179" s="1" t="s">
        <v>16</v>
      </c>
      <c r="G1179" s="1" t="s">
        <v>27</v>
      </c>
      <c r="H1179" s="1" t="s">
        <v>18</v>
      </c>
      <c r="I1179" s="1" t="s">
        <v>19</v>
      </c>
      <c r="J1179" s="1">
        <v>740.0</v>
      </c>
      <c r="K1179" s="1">
        <v>106.0</v>
      </c>
      <c r="L1179" s="1">
        <v>1282.0</v>
      </c>
    </row>
    <row r="1180">
      <c r="A1180" s="1">
        <v>3216340.0</v>
      </c>
      <c r="B1180" s="1" t="s">
        <v>2596</v>
      </c>
      <c r="C1180" s="1" t="s">
        <v>2070</v>
      </c>
      <c r="D1180" s="1" t="s">
        <v>2079</v>
      </c>
      <c r="E1180" s="1" t="s">
        <v>2597</v>
      </c>
      <c r="F1180" s="1" t="s">
        <v>16</v>
      </c>
      <c r="G1180" s="1" t="s">
        <v>17</v>
      </c>
      <c r="H1180" s="1" t="s">
        <v>18</v>
      </c>
      <c r="I1180" s="1" t="s">
        <v>59</v>
      </c>
      <c r="J1180" s="1">
        <v>109.0</v>
      </c>
      <c r="K1180" s="1">
        <v>28.0</v>
      </c>
      <c r="L1180" s="1">
        <v>222.0</v>
      </c>
    </row>
    <row r="1181">
      <c r="A1181" s="1">
        <v>3212073.0</v>
      </c>
      <c r="B1181" s="1" t="s">
        <v>2598</v>
      </c>
      <c r="C1181" s="1" t="s">
        <v>2070</v>
      </c>
      <c r="D1181" s="1" t="s">
        <v>2189</v>
      </c>
      <c r="E1181" s="1" t="s">
        <v>2599</v>
      </c>
      <c r="F1181" s="1" t="s">
        <v>16</v>
      </c>
      <c r="G1181" s="1" t="s">
        <v>17</v>
      </c>
      <c r="H1181" s="1" t="s">
        <v>18</v>
      </c>
      <c r="I1181" s="1" t="s">
        <v>19</v>
      </c>
      <c r="J1181" s="1">
        <v>150.0</v>
      </c>
      <c r="K1181" s="1">
        <v>26.0</v>
      </c>
      <c r="L1181" s="1">
        <v>0.0</v>
      </c>
    </row>
    <row r="1182">
      <c r="A1182" s="1">
        <v>3278095.0</v>
      </c>
      <c r="B1182" s="1" t="s">
        <v>2600</v>
      </c>
      <c r="C1182" s="1" t="s">
        <v>2070</v>
      </c>
      <c r="D1182" s="1" t="s">
        <v>2077</v>
      </c>
      <c r="E1182" s="1" t="s">
        <v>2601</v>
      </c>
      <c r="F1182" s="1" t="s">
        <v>16</v>
      </c>
      <c r="G1182" s="1" t="s">
        <v>23</v>
      </c>
      <c r="H1182" s="1" t="s">
        <v>18</v>
      </c>
      <c r="I1182" s="1" t="s">
        <v>29</v>
      </c>
      <c r="J1182" s="1">
        <v>0.0</v>
      </c>
      <c r="K1182" s="1">
        <v>1.0</v>
      </c>
      <c r="L1182" s="1">
        <v>0.0</v>
      </c>
    </row>
    <row r="1183">
      <c r="A1183" s="1">
        <v>3201024.0</v>
      </c>
      <c r="B1183" s="1" t="s">
        <v>2602</v>
      </c>
      <c r="C1183" s="1" t="s">
        <v>2070</v>
      </c>
      <c r="D1183" s="1" t="s">
        <v>2097</v>
      </c>
      <c r="E1183" s="1" t="s">
        <v>2603</v>
      </c>
      <c r="F1183" s="1" t="s">
        <v>473</v>
      </c>
      <c r="G1183" s="1" t="s">
        <v>150</v>
      </c>
      <c r="H1183" s="1" t="s">
        <v>33</v>
      </c>
      <c r="I1183" s="1" t="s">
        <v>411</v>
      </c>
      <c r="J1183" s="1">
        <v>175.0</v>
      </c>
      <c r="K1183" s="1">
        <v>43.0</v>
      </c>
      <c r="L1183" s="1">
        <v>475.0</v>
      </c>
    </row>
    <row r="1184">
      <c r="A1184" s="1">
        <v>3204041.0</v>
      </c>
      <c r="B1184" s="1" t="s">
        <v>2604</v>
      </c>
      <c r="C1184" s="1" t="s">
        <v>2070</v>
      </c>
      <c r="D1184" s="1" t="s">
        <v>2088</v>
      </c>
      <c r="E1184" s="1" t="s">
        <v>2605</v>
      </c>
      <c r="F1184" s="1" t="s">
        <v>16</v>
      </c>
      <c r="G1184" s="1" t="s">
        <v>17</v>
      </c>
      <c r="H1184" s="1" t="s">
        <v>18</v>
      </c>
      <c r="I1184" s="1" t="s">
        <v>19</v>
      </c>
      <c r="J1184" s="1">
        <v>100.0</v>
      </c>
      <c r="K1184" s="1">
        <v>44.0</v>
      </c>
      <c r="L1184" s="1">
        <v>226.0</v>
      </c>
    </row>
    <row r="1185">
      <c r="A1185" s="1">
        <v>3274090.0</v>
      </c>
      <c r="B1185" s="1" t="s">
        <v>2606</v>
      </c>
      <c r="C1185" s="1" t="s">
        <v>2070</v>
      </c>
      <c r="D1185" s="1" t="s">
        <v>2124</v>
      </c>
      <c r="E1185" s="1" t="s">
        <v>2607</v>
      </c>
      <c r="F1185" s="1" t="s">
        <v>16</v>
      </c>
      <c r="G1185" s="1" t="s">
        <v>17</v>
      </c>
      <c r="H1185" s="1" t="s">
        <v>18</v>
      </c>
      <c r="I1185" s="1" t="s">
        <v>19</v>
      </c>
      <c r="J1185" s="1">
        <v>190.0</v>
      </c>
      <c r="K1185" s="1">
        <v>55.0</v>
      </c>
      <c r="L1185" s="1">
        <v>291.0</v>
      </c>
    </row>
    <row r="1186">
      <c r="A1186" s="1">
        <v>3278017.0</v>
      </c>
      <c r="B1186" s="1" t="s">
        <v>2608</v>
      </c>
      <c r="C1186" s="1" t="s">
        <v>2070</v>
      </c>
      <c r="D1186" s="1" t="s">
        <v>2077</v>
      </c>
      <c r="E1186" s="1" t="s">
        <v>2609</v>
      </c>
      <c r="F1186" s="1" t="s">
        <v>55</v>
      </c>
      <c r="G1186" s="1" t="s">
        <v>17</v>
      </c>
      <c r="H1186" s="1" t="s">
        <v>18</v>
      </c>
      <c r="I1186" s="1" t="s">
        <v>44</v>
      </c>
      <c r="J1186" s="1">
        <v>27.0</v>
      </c>
      <c r="K1186" s="1">
        <v>15.0</v>
      </c>
      <c r="L1186" s="1">
        <v>65.0</v>
      </c>
    </row>
    <row r="1187">
      <c r="A1187" s="1">
        <v>3214033.0</v>
      </c>
      <c r="B1187" s="1" t="s">
        <v>2610</v>
      </c>
      <c r="C1187" s="1" t="s">
        <v>2070</v>
      </c>
      <c r="D1187" s="1" t="s">
        <v>2182</v>
      </c>
      <c r="E1187" s="1" t="s">
        <v>2611</v>
      </c>
      <c r="F1187" s="1" t="s">
        <v>16</v>
      </c>
      <c r="G1187" s="1" t="s">
        <v>17</v>
      </c>
      <c r="H1187" s="1" t="s">
        <v>18</v>
      </c>
      <c r="I1187" s="1" t="s">
        <v>44</v>
      </c>
      <c r="J1187" s="1">
        <v>134.0</v>
      </c>
      <c r="K1187" s="1">
        <v>31.0</v>
      </c>
      <c r="L1187" s="1">
        <v>315.0</v>
      </c>
    </row>
    <row r="1188">
      <c r="A1188" s="1">
        <v>3212055.0</v>
      </c>
      <c r="B1188" s="1" t="s">
        <v>2612</v>
      </c>
      <c r="C1188" s="1" t="s">
        <v>2070</v>
      </c>
      <c r="D1188" s="1" t="s">
        <v>2189</v>
      </c>
      <c r="E1188" s="1" t="s">
        <v>2613</v>
      </c>
      <c r="F1188" s="1" t="s">
        <v>16</v>
      </c>
      <c r="G1188" s="1" t="s">
        <v>23</v>
      </c>
      <c r="H1188" s="1" t="s">
        <v>18</v>
      </c>
      <c r="I1188" s="1" t="s">
        <v>113</v>
      </c>
      <c r="J1188" s="1">
        <v>50.0</v>
      </c>
      <c r="K1188" s="1">
        <v>25.0</v>
      </c>
      <c r="L1188" s="1">
        <v>85.0</v>
      </c>
    </row>
    <row r="1189">
      <c r="A1189" s="1">
        <v>3204168.0</v>
      </c>
      <c r="B1189" s="1" t="s">
        <v>2614</v>
      </c>
      <c r="C1189" s="1" t="s">
        <v>2070</v>
      </c>
      <c r="D1189" s="1" t="s">
        <v>2091</v>
      </c>
      <c r="E1189" s="1" t="s">
        <v>2615</v>
      </c>
      <c r="F1189" s="1" t="s">
        <v>16</v>
      </c>
      <c r="G1189" s="1" t="s">
        <v>17</v>
      </c>
      <c r="H1189" s="1" t="s">
        <v>18</v>
      </c>
      <c r="I1189" s="1" t="s">
        <v>19</v>
      </c>
      <c r="J1189" s="1">
        <v>120.0</v>
      </c>
      <c r="K1189" s="1">
        <v>42.0</v>
      </c>
      <c r="L1189" s="1">
        <v>0.0</v>
      </c>
    </row>
    <row r="1190">
      <c r="A1190" s="1">
        <v>3201141.0</v>
      </c>
      <c r="B1190" s="1" t="s">
        <v>2616</v>
      </c>
      <c r="C1190" s="1" t="s">
        <v>2070</v>
      </c>
      <c r="D1190" s="1" t="s">
        <v>2082</v>
      </c>
      <c r="E1190" s="1" t="s">
        <v>2617</v>
      </c>
      <c r="F1190" s="1" t="s">
        <v>55</v>
      </c>
      <c r="G1190" s="1" t="s">
        <v>17</v>
      </c>
      <c r="H1190" s="1" t="s">
        <v>18</v>
      </c>
      <c r="I1190" s="1" t="s">
        <v>59</v>
      </c>
      <c r="J1190" s="1">
        <v>66.0</v>
      </c>
      <c r="K1190" s="1">
        <v>27.0</v>
      </c>
      <c r="L1190" s="1">
        <v>0.0</v>
      </c>
    </row>
    <row r="1191">
      <c r="A1191" s="1">
        <v>3273165.0</v>
      </c>
      <c r="B1191" s="1" t="s">
        <v>2618</v>
      </c>
      <c r="C1191" s="1" t="s">
        <v>2070</v>
      </c>
      <c r="D1191" s="1" t="s">
        <v>2088</v>
      </c>
      <c r="E1191" s="1" t="s">
        <v>2619</v>
      </c>
      <c r="F1191" s="1" t="s">
        <v>55</v>
      </c>
      <c r="G1191" s="1" t="s">
        <v>27</v>
      </c>
      <c r="H1191" s="1" t="s">
        <v>18</v>
      </c>
      <c r="I1191" s="1" t="s">
        <v>44</v>
      </c>
      <c r="J1191" s="1">
        <v>100.0</v>
      </c>
      <c r="K1191" s="1">
        <v>77.0</v>
      </c>
      <c r="L1191" s="1">
        <v>506.0</v>
      </c>
    </row>
    <row r="1192">
      <c r="A1192" s="1">
        <v>3216445.0</v>
      </c>
      <c r="B1192" s="1" t="s">
        <v>2620</v>
      </c>
      <c r="C1192" s="1" t="s">
        <v>2070</v>
      </c>
      <c r="D1192" s="1" t="s">
        <v>2119</v>
      </c>
      <c r="E1192" s="1" t="s">
        <v>2621</v>
      </c>
      <c r="F1192" s="1" t="s">
        <v>16</v>
      </c>
      <c r="G1192" s="1" t="s">
        <v>17</v>
      </c>
      <c r="H1192" s="1" t="s">
        <v>18</v>
      </c>
      <c r="I1192" s="1" t="s">
        <v>19</v>
      </c>
      <c r="J1192" s="1">
        <v>103.0</v>
      </c>
      <c r="K1192" s="1">
        <v>42.0</v>
      </c>
      <c r="L1192" s="1">
        <v>106.0</v>
      </c>
    </row>
    <row r="1193">
      <c r="A1193" s="1">
        <v>3275061.0</v>
      </c>
      <c r="B1193" s="1" t="s">
        <v>2622</v>
      </c>
      <c r="C1193" s="1" t="s">
        <v>2070</v>
      </c>
      <c r="D1193" s="1" t="s">
        <v>2119</v>
      </c>
      <c r="E1193" s="1" t="s">
        <v>2623</v>
      </c>
      <c r="F1193" s="1" t="s">
        <v>16</v>
      </c>
      <c r="G1193" s="1" t="s">
        <v>17</v>
      </c>
      <c r="H1193" s="1" t="s">
        <v>18</v>
      </c>
      <c r="I1193" s="1" t="s">
        <v>19</v>
      </c>
      <c r="J1193" s="1">
        <v>104.0</v>
      </c>
      <c r="K1193" s="1">
        <v>27.0</v>
      </c>
      <c r="L1193" s="1">
        <v>177.0</v>
      </c>
    </row>
    <row r="1194">
      <c r="A1194" s="1">
        <v>3206023.0</v>
      </c>
      <c r="B1194" s="1" t="s">
        <v>2624</v>
      </c>
      <c r="C1194" s="1" t="s">
        <v>2070</v>
      </c>
      <c r="D1194" s="1" t="s">
        <v>2625</v>
      </c>
      <c r="E1194" s="1" t="s">
        <v>2626</v>
      </c>
      <c r="F1194" s="1" t="s">
        <v>16</v>
      </c>
      <c r="G1194" s="1" t="s">
        <v>17</v>
      </c>
      <c r="H1194" s="1" t="s">
        <v>28</v>
      </c>
      <c r="I1194" s="1" t="s">
        <v>40</v>
      </c>
      <c r="J1194" s="1">
        <v>240.0</v>
      </c>
      <c r="K1194" s="1">
        <v>47.0</v>
      </c>
      <c r="L1194" s="1">
        <v>855.0</v>
      </c>
    </row>
    <row r="1195">
      <c r="A1195" s="1">
        <v>3201243.0</v>
      </c>
      <c r="B1195" s="1" t="s">
        <v>2627</v>
      </c>
      <c r="C1195" s="1" t="s">
        <v>2070</v>
      </c>
      <c r="D1195" s="1" t="s">
        <v>2173</v>
      </c>
      <c r="E1195" s="1" t="s">
        <v>2628</v>
      </c>
      <c r="F1195" s="1" t="s">
        <v>55</v>
      </c>
      <c r="G1195" s="1" t="s">
        <v>17</v>
      </c>
      <c r="H1195" s="1" t="s">
        <v>18</v>
      </c>
      <c r="I1195" s="1" t="s">
        <v>19</v>
      </c>
      <c r="J1195" s="1">
        <v>40.0</v>
      </c>
      <c r="K1195" s="1">
        <v>18.0</v>
      </c>
      <c r="L1195" s="1">
        <v>24.0</v>
      </c>
    </row>
    <row r="1196">
      <c r="A1196" s="1">
        <v>3204133.0</v>
      </c>
      <c r="B1196" s="1" t="s">
        <v>2629</v>
      </c>
      <c r="C1196" s="1" t="s">
        <v>2070</v>
      </c>
      <c r="D1196" s="1" t="s">
        <v>2091</v>
      </c>
      <c r="E1196" s="1" t="s">
        <v>2630</v>
      </c>
      <c r="F1196" s="1" t="s">
        <v>16</v>
      </c>
      <c r="G1196" s="1" t="s">
        <v>17</v>
      </c>
      <c r="H1196" s="1" t="s">
        <v>18</v>
      </c>
      <c r="I1196" s="1" t="s">
        <v>44</v>
      </c>
      <c r="J1196" s="1">
        <v>109.0</v>
      </c>
      <c r="K1196" s="1">
        <v>57.0</v>
      </c>
      <c r="L1196" s="1">
        <v>181.0</v>
      </c>
    </row>
    <row r="1197">
      <c r="A1197" s="1">
        <v>3216449.0</v>
      </c>
      <c r="B1197" s="1" t="s">
        <v>2631</v>
      </c>
      <c r="C1197" s="1" t="s">
        <v>2070</v>
      </c>
      <c r="D1197" s="1" t="s">
        <v>2079</v>
      </c>
      <c r="E1197" s="1" t="s">
        <v>2632</v>
      </c>
      <c r="F1197" s="1" t="s">
        <v>16</v>
      </c>
      <c r="G1197" s="1" t="s">
        <v>17</v>
      </c>
      <c r="H1197" s="1" t="s">
        <v>18</v>
      </c>
      <c r="I1197" s="1" t="s">
        <v>19</v>
      </c>
      <c r="J1197" s="1">
        <v>292.0</v>
      </c>
      <c r="K1197" s="1">
        <v>43.0</v>
      </c>
      <c r="L1197" s="1">
        <v>41.0</v>
      </c>
    </row>
    <row r="1198">
      <c r="A1198" s="1">
        <v>3204075.0</v>
      </c>
      <c r="B1198" s="1" t="s">
        <v>2633</v>
      </c>
      <c r="C1198" s="1" t="s">
        <v>2070</v>
      </c>
      <c r="D1198" s="1" t="s">
        <v>2217</v>
      </c>
      <c r="E1198" s="1" t="s">
        <v>2634</v>
      </c>
      <c r="F1198" s="1" t="s">
        <v>16</v>
      </c>
      <c r="G1198" s="1" t="s">
        <v>17</v>
      </c>
      <c r="H1198" s="1" t="s">
        <v>18</v>
      </c>
      <c r="I1198" s="1" t="s">
        <v>59</v>
      </c>
      <c r="J1198" s="1">
        <v>263.0</v>
      </c>
      <c r="K1198" s="1">
        <v>218.0</v>
      </c>
      <c r="L1198" s="1">
        <v>125.0</v>
      </c>
    </row>
    <row r="1199">
      <c r="A1199" s="1">
        <v>3274020.0</v>
      </c>
      <c r="B1199" s="1" t="s">
        <v>2635</v>
      </c>
      <c r="C1199" s="1" t="s">
        <v>2070</v>
      </c>
      <c r="D1199" s="1" t="s">
        <v>2124</v>
      </c>
      <c r="E1199" s="1" t="s">
        <v>2636</v>
      </c>
      <c r="F1199" s="1" t="s">
        <v>16</v>
      </c>
      <c r="G1199" s="1" t="s">
        <v>27</v>
      </c>
      <c r="H1199" s="1" t="s">
        <v>33</v>
      </c>
      <c r="I1199" s="1" t="s">
        <v>74</v>
      </c>
      <c r="J1199" s="1">
        <v>210.0</v>
      </c>
      <c r="K1199" s="1">
        <v>41.0</v>
      </c>
      <c r="L1199" s="1">
        <v>647.0</v>
      </c>
    </row>
    <row r="1200">
      <c r="A1200" s="1">
        <v>3279003.0</v>
      </c>
      <c r="B1200" s="1" t="s">
        <v>2637</v>
      </c>
      <c r="C1200" s="1" t="s">
        <v>2070</v>
      </c>
      <c r="D1200" s="1" t="s">
        <v>2149</v>
      </c>
      <c r="E1200" s="1" t="s">
        <v>2638</v>
      </c>
      <c r="F1200" s="1" t="s">
        <v>16</v>
      </c>
      <c r="G1200" s="1" t="s">
        <v>23</v>
      </c>
      <c r="H1200" s="1" t="s">
        <v>18</v>
      </c>
      <c r="I1200" s="1" t="s">
        <v>44</v>
      </c>
      <c r="J1200" s="1">
        <v>83.0</v>
      </c>
      <c r="K1200" s="1">
        <v>25.0</v>
      </c>
      <c r="L1200" s="1">
        <v>152.0</v>
      </c>
    </row>
    <row r="1201">
      <c r="A1201" s="1">
        <v>3204171.0</v>
      </c>
      <c r="B1201" s="1" t="s">
        <v>2639</v>
      </c>
      <c r="C1201" s="1" t="s">
        <v>2070</v>
      </c>
      <c r="D1201" s="1" t="s">
        <v>2091</v>
      </c>
      <c r="E1201" s="1" t="s">
        <v>2640</v>
      </c>
      <c r="F1201" s="1" t="s">
        <v>16</v>
      </c>
      <c r="G1201" s="1" t="s">
        <v>23</v>
      </c>
      <c r="H1201" s="1" t="s">
        <v>18</v>
      </c>
      <c r="I1201" s="1" t="s">
        <v>40</v>
      </c>
      <c r="J1201" s="1">
        <v>54.0</v>
      </c>
      <c r="K1201" s="1">
        <v>18.0</v>
      </c>
      <c r="L1201" s="1">
        <v>0.0</v>
      </c>
    </row>
    <row r="1202">
      <c r="A1202" s="1">
        <v>3217134.0</v>
      </c>
      <c r="B1202" s="1" t="s">
        <v>2641</v>
      </c>
      <c r="C1202" s="1" t="s">
        <v>2070</v>
      </c>
      <c r="D1202" s="1" t="s">
        <v>2144</v>
      </c>
      <c r="E1202" s="1" t="s">
        <v>2642</v>
      </c>
      <c r="F1202" s="1" t="s">
        <v>55</v>
      </c>
      <c r="G1202" s="1" t="s">
        <v>17</v>
      </c>
      <c r="H1202" s="1" t="s">
        <v>18</v>
      </c>
      <c r="I1202" s="1" t="s">
        <v>44</v>
      </c>
      <c r="J1202" s="1">
        <v>31.0</v>
      </c>
      <c r="K1202" s="1">
        <v>22.0</v>
      </c>
      <c r="L1202" s="1">
        <v>0.0</v>
      </c>
    </row>
    <row r="1203">
      <c r="A1203" s="1">
        <v>3216252.0</v>
      </c>
      <c r="B1203" s="1" t="s">
        <v>2643</v>
      </c>
      <c r="C1203" s="1" t="s">
        <v>2070</v>
      </c>
      <c r="D1203" s="1" t="s">
        <v>2079</v>
      </c>
      <c r="E1203" s="1" t="s">
        <v>2644</v>
      </c>
      <c r="F1203" s="1" t="s">
        <v>16</v>
      </c>
      <c r="G1203" s="1" t="s">
        <v>27</v>
      </c>
      <c r="H1203" s="1" t="s">
        <v>28</v>
      </c>
      <c r="I1203" s="1" t="s">
        <v>40</v>
      </c>
      <c r="J1203" s="1">
        <v>256.0</v>
      </c>
      <c r="K1203" s="1">
        <v>118.0</v>
      </c>
      <c r="L1203" s="1">
        <v>861.0</v>
      </c>
    </row>
    <row r="1204">
      <c r="A1204" s="1">
        <v>3275068.0</v>
      </c>
      <c r="B1204" s="1" t="s">
        <v>2645</v>
      </c>
      <c r="C1204" s="1" t="s">
        <v>2070</v>
      </c>
      <c r="D1204" s="1" t="s">
        <v>2119</v>
      </c>
      <c r="E1204" s="1" t="s">
        <v>2646</v>
      </c>
      <c r="F1204" s="1" t="s">
        <v>16</v>
      </c>
      <c r="G1204" s="1" t="s">
        <v>23</v>
      </c>
      <c r="H1204" s="1" t="s">
        <v>28</v>
      </c>
      <c r="I1204" s="1" t="s">
        <v>29</v>
      </c>
      <c r="J1204" s="1">
        <v>69.0</v>
      </c>
      <c r="K1204" s="1">
        <v>37.0</v>
      </c>
      <c r="L1204" s="1">
        <v>4.0</v>
      </c>
    </row>
    <row r="1205">
      <c r="A1205" s="1">
        <v>3208013.0</v>
      </c>
      <c r="B1205" s="1" t="s">
        <v>2647</v>
      </c>
      <c r="C1205" s="1" t="s">
        <v>2070</v>
      </c>
      <c r="D1205" s="1" t="s">
        <v>2074</v>
      </c>
      <c r="E1205" s="1" t="s">
        <v>2648</v>
      </c>
      <c r="F1205" s="1" t="s">
        <v>16</v>
      </c>
      <c r="G1205" s="1" t="s">
        <v>27</v>
      </c>
      <c r="H1205" s="1" t="s">
        <v>33</v>
      </c>
      <c r="I1205" s="1" t="s">
        <v>40</v>
      </c>
      <c r="J1205" s="1">
        <v>216.0</v>
      </c>
      <c r="K1205" s="1">
        <v>73.0</v>
      </c>
      <c r="L1205" s="1">
        <v>445.0</v>
      </c>
    </row>
    <row r="1206">
      <c r="A1206" s="1">
        <v>3208046.0</v>
      </c>
      <c r="B1206" s="1" t="s">
        <v>2649</v>
      </c>
      <c r="C1206" s="1" t="s">
        <v>2070</v>
      </c>
      <c r="D1206" s="1" t="s">
        <v>2074</v>
      </c>
      <c r="E1206" s="1" t="s">
        <v>2650</v>
      </c>
      <c r="F1206" s="1" t="s">
        <v>16</v>
      </c>
      <c r="G1206" s="1" t="s">
        <v>17</v>
      </c>
      <c r="H1206" s="1" t="s">
        <v>18</v>
      </c>
      <c r="I1206" s="1" t="s">
        <v>44</v>
      </c>
      <c r="J1206" s="1">
        <v>185.0</v>
      </c>
      <c r="K1206" s="1">
        <v>19.0</v>
      </c>
      <c r="L1206" s="1">
        <v>328.0</v>
      </c>
    </row>
    <row r="1207">
      <c r="A1207" s="1">
        <v>3275392.0</v>
      </c>
      <c r="B1207" s="1" t="s">
        <v>2651</v>
      </c>
      <c r="C1207" s="1" t="s">
        <v>2070</v>
      </c>
      <c r="D1207" s="1" t="s">
        <v>2119</v>
      </c>
      <c r="E1207" s="1" t="s">
        <v>2652</v>
      </c>
      <c r="F1207" s="1" t="s">
        <v>16</v>
      </c>
      <c r="G1207" s="1" t="s">
        <v>27</v>
      </c>
      <c r="H1207" s="1" t="s">
        <v>18</v>
      </c>
      <c r="I1207" s="1" t="s">
        <v>44</v>
      </c>
      <c r="J1207" s="1">
        <v>250.0</v>
      </c>
      <c r="K1207" s="1">
        <v>121.0</v>
      </c>
      <c r="L1207" s="1">
        <v>558.0</v>
      </c>
    </row>
    <row r="1208">
      <c r="A1208" s="1">
        <v>3271139.0</v>
      </c>
      <c r="B1208" s="1" t="s">
        <v>2653</v>
      </c>
      <c r="C1208" s="1" t="s">
        <v>2070</v>
      </c>
      <c r="D1208" s="1" t="s">
        <v>2097</v>
      </c>
      <c r="E1208" s="1" t="s">
        <v>2654</v>
      </c>
      <c r="F1208" s="1" t="s">
        <v>16</v>
      </c>
      <c r="G1208" s="1" t="s">
        <v>17</v>
      </c>
      <c r="H1208" s="1" t="s">
        <v>18</v>
      </c>
      <c r="I1208" s="1" t="s">
        <v>44</v>
      </c>
      <c r="J1208" s="1">
        <v>110.0</v>
      </c>
      <c r="K1208" s="1">
        <v>49.0</v>
      </c>
      <c r="L1208" s="1">
        <v>173.0</v>
      </c>
    </row>
    <row r="1209">
      <c r="A1209" s="1">
        <v>3275373.0</v>
      </c>
      <c r="B1209" s="1" t="s">
        <v>2655</v>
      </c>
      <c r="C1209" s="1" t="s">
        <v>2070</v>
      </c>
      <c r="D1209" s="1" t="s">
        <v>2119</v>
      </c>
      <c r="E1209" s="1" t="s">
        <v>2656</v>
      </c>
      <c r="F1209" s="1" t="s">
        <v>16</v>
      </c>
      <c r="G1209" s="1" t="s">
        <v>17</v>
      </c>
      <c r="H1209" s="1" t="s">
        <v>18</v>
      </c>
      <c r="I1209" s="1" t="s">
        <v>44</v>
      </c>
      <c r="J1209" s="1">
        <v>114.0</v>
      </c>
      <c r="K1209" s="1">
        <v>56.0</v>
      </c>
      <c r="L1209" s="1">
        <v>356.0</v>
      </c>
    </row>
    <row r="1210">
      <c r="A1210" s="1">
        <v>3201238.0</v>
      </c>
      <c r="B1210" s="1" t="s">
        <v>2657</v>
      </c>
      <c r="C1210" s="1" t="s">
        <v>2070</v>
      </c>
      <c r="D1210" s="1" t="s">
        <v>2097</v>
      </c>
      <c r="E1210" s="1" t="s">
        <v>2658</v>
      </c>
      <c r="F1210" s="1" t="s">
        <v>16</v>
      </c>
      <c r="G1210" s="1" t="s">
        <v>17</v>
      </c>
      <c r="H1210" s="1" t="s">
        <v>18</v>
      </c>
      <c r="I1210" s="1" t="s">
        <v>44</v>
      </c>
      <c r="J1210" s="1">
        <v>193.0</v>
      </c>
      <c r="K1210" s="1">
        <v>46.0</v>
      </c>
      <c r="L1210" s="1">
        <v>433.0</v>
      </c>
    </row>
    <row r="1211">
      <c r="A1211" s="1">
        <v>3275064.0</v>
      </c>
      <c r="B1211" s="1" t="s">
        <v>2659</v>
      </c>
      <c r="C1211" s="1" t="s">
        <v>2070</v>
      </c>
      <c r="D1211" s="1" t="s">
        <v>2119</v>
      </c>
      <c r="E1211" s="1" t="s">
        <v>2660</v>
      </c>
      <c r="F1211" s="1" t="s">
        <v>16</v>
      </c>
      <c r="G1211" s="1" t="s">
        <v>23</v>
      </c>
      <c r="H1211" s="1" t="s">
        <v>18</v>
      </c>
      <c r="I1211" s="1" t="s">
        <v>44</v>
      </c>
      <c r="J1211" s="1">
        <v>65.0</v>
      </c>
      <c r="K1211" s="1">
        <v>29.0</v>
      </c>
      <c r="L1211" s="1">
        <v>36.0</v>
      </c>
    </row>
    <row r="1212">
      <c r="A1212" s="1">
        <v>3213021.0</v>
      </c>
      <c r="B1212" s="1" t="s">
        <v>2661</v>
      </c>
      <c r="C1212" s="1" t="s">
        <v>2070</v>
      </c>
      <c r="D1212" s="1" t="s">
        <v>2127</v>
      </c>
      <c r="E1212" s="1" t="s">
        <v>2662</v>
      </c>
      <c r="F1212" s="1" t="s">
        <v>16</v>
      </c>
      <c r="G1212" s="1" t="s">
        <v>23</v>
      </c>
      <c r="H1212" s="1" t="s">
        <v>18</v>
      </c>
      <c r="I1212" s="1" t="s">
        <v>113</v>
      </c>
      <c r="J1212" s="1">
        <v>105.0</v>
      </c>
      <c r="K1212" s="1">
        <v>27.0</v>
      </c>
      <c r="L1212" s="1">
        <v>283.0</v>
      </c>
    </row>
    <row r="1213">
      <c r="A1213" s="1">
        <v>3276017.0</v>
      </c>
      <c r="B1213" s="1" t="s">
        <v>2663</v>
      </c>
      <c r="C1213" s="1" t="s">
        <v>2070</v>
      </c>
      <c r="D1213" s="1" t="s">
        <v>2082</v>
      </c>
      <c r="E1213" s="1" t="s">
        <v>2664</v>
      </c>
      <c r="F1213" s="1" t="s">
        <v>16</v>
      </c>
      <c r="G1213" s="1" t="s">
        <v>27</v>
      </c>
      <c r="H1213" s="1" t="s">
        <v>18</v>
      </c>
      <c r="I1213" s="1" t="s">
        <v>19</v>
      </c>
      <c r="J1213" s="1">
        <v>210.0</v>
      </c>
      <c r="K1213" s="1">
        <v>48.0</v>
      </c>
      <c r="L1213" s="1">
        <v>542.0</v>
      </c>
    </row>
    <row r="1214">
      <c r="A1214" s="1">
        <v>3275046.0</v>
      </c>
      <c r="B1214" s="1" t="s">
        <v>2665</v>
      </c>
      <c r="C1214" s="1" t="s">
        <v>2070</v>
      </c>
      <c r="D1214" s="1" t="s">
        <v>2119</v>
      </c>
      <c r="E1214" s="1" t="s">
        <v>2666</v>
      </c>
      <c r="F1214" s="1" t="s">
        <v>16</v>
      </c>
      <c r="G1214" s="1" t="s">
        <v>27</v>
      </c>
      <c r="H1214" s="1" t="s">
        <v>18</v>
      </c>
      <c r="I1214" s="1" t="s">
        <v>44</v>
      </c>
      <c r="J1214" s="1">
        <v>184.0</v>
      </c>
      <c r="K1214" s="1">
        <v>70.0</v>
      </c>
      <c r="L1214" s="1">
        <v>628.0</v>
      </c>
    </row>
    <row r="1215">
      <c r="A1215" s="1">
        <v>3278015.0</v>
      </c>
      <c r="B1215" s="1" t="s">
        <v>2667</v>
      </c>
      <c r="C1215" s="1" t="s">
        <v>2070</v>
      </c>
      <c r="D1215" s="1" t="s">
        <v>2077</v>
      </c>
      <c r="E1215" s="1" t="s">
        <v>2668</v>
      </c>
      <c r="F1215" s="1" t="s">
        <v>55</v>
      </c>
      <c r="G1215" s="1" t="s">
        <v>17</v>
      </c>
      <c r="H1215" s="1" t="s">
        <v>18</v>
      </c>
      <c r="I1215" s="1" t="s">
        <v>19</v>
      </c>
      <c r="J1215" s="1">
        <v>30.0</v>
      </c>
      <c r="K1215" s="1">
        <v>14.0</v>
      </c>
      <c r="L1215" s="1">
        <v>11.0</v>
      </c>
    </row>
    <row r="1216">
      <c r="A1216" s="1">
        <v>3216407.0</v>
      </c>
      <c r="B1216" s="1" t="s">
        <v>2669</v>
      </c>
      <c r="C1216" s="1" t="s">
        <v>2070</v>
      </c>
      <c r="D1216" s="1" t="s">
        <v>2079</v>
      </c>
      <c r="E1216" s="1" t="s">
        <v>2670</v>
      </c>
      <c r="F1216" s="1" t="s">
        <v>16</v>
      </c>
      <c r="G1216" s="1" t="s">
        <v>23</v>
      </c>
      <c r="H1216" s="1" t="s">
        <v>18</v>
      </c>
      <c r="I1216" s="1" t="s">
        <v>44</v>
      </c>
      <c r="J1216" s="1">
        <v>30.0</v>
      </c>
      <c r="K1216" s="1">
        <v>18.0</v>
      </c>
      <c r="L1216" s="1">
        <v>6.0</v>
      </c>
    </row>
    <row r="1217">
      <c r="A1217" s="1">
        <v>3275070.0</v>
      </c>
      <c r="B1217" s="1" t="s">
        <v>2671</v>
      </c>
      <c r="C1217" s="1" t="s">
        <v>2070</v>
      </c>
      <c r="D1217" s="1" t="s">
        <v>2119</v>
      </c>
      <c r="E1217" s="1" t="s">
        <v>2672</v>
      </c>
      <c r="F1217" s="1" t="s">
        <v>16</v>
      </c>
      <c r="G1217" s="1" t="s">
        <v>23</v>
      </c>
      <c r="H1217" s="1" t="s">
        <v>28</v>
      </c>
      <c r="I1217" s="1" t="s">
        <v>29</v>
      </c>
      <c r="J1217" s="1">
        <v>50.0</v>
      </c>
      <c r="K1217" s="1">
        <v>26.0</v>
      </c>
      <c r="L1217" s="1">
        <v>0.0</v>
      </c>
    </row>
    <row r="1218">
      <c r="A1218" s="1">
        <v>3215100.0</v>
      </c>
      <c r="B1218" s="1" t="s">
        <v>2673</v>
      </c>
      <c r="C1218" s="1" t="s">
        <v>2070</v>
      </c>
      <c r="D1218" s="1" t="s">
        <v>2071</v>
      </c>
      <c r="E1218" s="1" t="s">
        <v>2674</v>
      </c>
      <c r="F1218" s="1" t="s">
        <v>16</v>
      </c>
      <c r="G1218" s="1" t="s">
        <v>23</v>
      </c>
      <c r="H1218" s="1" t="s">
        <v>18</v>
      </c>
      <c r="I1218" s="1" t="s">
        <v>19</v>
      </c>
      <c r="J1218" s="1">
        <v>55.0</v>
      </c>
      <c r="K1218" s="1">
        <v>22.0</v>
      </c>
      <c r="L1218" s="1">
        <v>21.0</v>
      </c>
    </row>
    <row r="1219">
      <c r="A1219" s="1">
        <v>3273145.0</v>
      </c>
      <c r="B1219" s="1" t="s">
        <v>2675</v>
      </c>
      <c r="C1219" s="1" t="s">
        <v>2070</v>
      </c>
      <c r="D1219" s="1" t="s">
        <v>2088</v>
      </c>
      <c r="E1219" s="1" t="s">
        <v>2676</v>
      </c>
      <c r="F1219" s="1" t="s">
        <v>16</v>
      </c>
      <c r="G1219" s="1" t="s">
        <v>17</v>
      </c>
      <c r="H1219" s="1" t="s">
        <v>18</v>
      </c>
      <c r="I1219" s="1" t="s">
        <v>44</v>
      </c>
      <c r="J1219" s="1">
        <v>270.0</v>
      </c>
      <c r="K1219" s="1">
        <v>83.0</v>
      </c>
      <c r="L1219" s="1">
        <v>545.0</v>
      </c>
    </row>
    <row r="1220">
      <c r="A1220" s="1">
        <v>3273542.0</v>
      </c>
      <c r="B1220" s="1" t="s">
        <v>2677</v>
      </c>
      <c r="C1220" s="1" t="s">
        <v>2070</v>
      </c>
      <c r="D1220" s="1" t="s">
        <v>2088</v>
      </c>
      <c r="E1220" s="1" t="s">
        <v>2678</v>
      </c>
      <c r="F1220" s="1" t="s">
        <v>16</v>
      </c>
      <c r="G1220" s="1" t="s">
        <v>150</v>
      </c>
      <c r="H1220" s="1" t="s">
        <v>18</v>
      </c>
      <c r="I1220" s="1" t="s">
        <v>19</v>
      </c>
      <c r="J1220" s="1">
        <v>450.0</v>
      </c>
      <c r="K1220" s="1">
        <v>140.0</v>
      </c>
      <c r="L1220" s="1">
        <v>641.0</v>
      </c>
    </row>
    <row r="1221">
      <c r="A1221" s="1">
        <v>3201257.0</v>
      </c>
      <c r="B1221" s="1" t="s">
        <v>2679</v>
      </c>
      <c r="C1221" s="1" t="s">
        <v>2070</v>
      </c>
      <c r="D1221" s="1" t="s">
        <v>2173</v>
      </c>
      <c r="E1221" s="1" t="s">
        <v>2680</v>
      </c>
      <c r="F1221" s="1" t="s">
        <v>16</v>
      </c>
      <c r="G1221" s="1" t="s">
        <v>17</v>
      </c>
      <c r="H1221" s="1" t="s">
        <v>18</v>
      </c>
      <c r="I1221" s="1" t="s">
        <v>19</v>
      </c>
      <c r="J1221" s="1">
        <v>100.0</v>
      </c>
      <c r="K1221" s="1">
        <v>27.0</v>
      </c>
      <c r="L1221" s="1">
        <v>72.0</v>
      </c>
    </row>
    <row r="1222">
      <c r="A1222" s="1">
        <v>3202087.0</v>
      </c>
      <c r="B1222" s="1" t="s">
        <v>2681</v>
      </c>
      <c r="C1222" s="1" t="s">
        <v>2070</v>
      </c>
      <c r="D1222" s="1" t="s">
        <v>2085</v>
      </c>
      <c r="E1222" s="1" t="s">
        <v>2682</v>
      </c>
      <c r="F1222" s="1" t="s">
        <v>16</v>
      </c>
      <c r="G1222" s="1" t="s">
        <v>23</v>
      </c>
      <c r="H1222" s="1" t="s">
        <v>28</v>
      </c>
      <c r="I1222" s="1" t="s">
        <v>40</v>
      </c>
      <c r="J1222" s="1">
        <v>54.0</v>
      </c>
      <c r="K1222" s="1">
        <v>18.0</v>
      </c>
      <c r="L1222" s="1">
        <v>125.0</v>
      </c>
    </row>
    <row r="1223">
      <c r="A1223" s="1">
        <v>3202062.0</v>
      </c>
      <c r="B1223" s="1" t="s">
        <v>2683</v>
      </c>
      <c r="C1223" s="1" t="s">
        <v>2070</v>
      </c>
      <c r="D1223" s="1" t="s">
        <v>2085</v>
      </c>
      <c r="E1223" s="1" t="s">
        <v>2684</v>
      </c>
      <c r="F1223" s="1" t="s">
        <v>16</v>
      </c>
      <c r="G1223" s="1" t="s">
        <v>17</v>
      </c>
      <c r="H1223" s="1" t="s">
        <v>18</v>
      </c>
      <c r="I1223" s="1" t="s">
        <v>19</v>
      </c>
      <c r="J1223" s="1">
        <v>215.0</v>
      </c>
      <c r="K1223" s="1">
        <v>88.0</v>
      </c>
      <c r="L1223" s="1">
        <v>408.0</v>
      </c>
    </row>
    <row r="1224">
      <c r="A1224" s="1">
        <v>3273453.0</v>
      </c>
      <c r="B1224" s="1" t="s">
        <v>2685</v>
      </c>
      <c r="C1224" s="1" t="s">
        <v>2070</v>
      </c>
      <c r="D1224" s="1" t="s">
        <v>2088</v>
      </c>
      <c r="E1224" s="1" t="s">
        <v>2686</v>
      </c>
      <c r="F1224" s="1" t="s">
        <v>539</v>
      </c>
      <c r="G1224" s="1" t="s">
        <v>17</v>
      </c>
      <c r="H1224" s="1" t="s">
        <v>18</v>
      </c>
      <c r="I1224" s="1" t="s">
        <v>59</v>
      </c>
      <c r="J1224" s="1">
        <v>32.0</v>
      </c>
      <c r="K1224" s="1">
        <v>35.0</v>
      </c>
      <c r="L1224" s="1">
        <v>349.0</v>
      </c>
    </row>
    <row r="1225">
      <c r="A1225" s="1">
        <v>3217121.0</v>
      </c>
      <c r="B1225" s="1" t="s">
        <v>2687</v>
      </c>
      <c r="C1225" s="1" t="s">
        <v>2070</v>
      </c>
      <c r="D1225" s="1" t="s">
        <v>2144</v>
      </c>
      <c r="E1225" s="1" t="s">
        <v>2688</v>
      </c>
      <c r="F1225" s="1" t="s">
        <v>16</v>
      </c>
      <c r="G1225" s="1" t="s">
        <v>17</v>
      </c>
      <c r="H1225" s="1" t="s">
        <v>18</v>
      </c>
      <c r="I1225" s="1" t="s">
        <v>249</v>
      </c>
      <c r="J1225" s="1">
        <v>169.0</v>
      </c>
      <c r="K1225" s="1">
        <v>40.0</v>
      </c>
      <c r="L1225" s="1">
        <v>426.0</v>
      </c>
    </row>
    <row r="1226">
      <c r="A1226" s="1">
        <v>3216464.0</v>
      </c>
      <c r="B1226" s="1" t="s">
        <v>2689</v>
      </c>
      <c r="C1226" s="1" t="s">
        <v>2070</v>
      </c>
      <c r="D1226" s="1" t="s">
        <v>2079</v>
      </c>
      <c r="E1226" s="1" t="s">
        <v>2690</v>
      </c>
      <c r="F1226" s="1" t="s">
        <v>16</v>
      </c>
      <c r="G1226" s="1" t="s">
        <v>17</v>
      </c>
      <c r="H1226" s="1" t="s">
        <v>18</v>
      </c>
      <c r="I1226" s="1" t="s">
        <v>19</v>
      </c>
      <c r="J1226" s="1">
        <v>98.0</v>
      </c>
      <c r="K1226" s="1">
        <v>29.0</v>
      </c>
      <c r="L1226" s="1">
        <v>0.0</v>
      </c>
    </row>
    <row r="1227">
      <c r="A1227" s="1">
        <v>3216163.0</v>
      </c>
      <c r="B1227" s="1" t="s">
        <v>2663</v>
      </c>
      <c r="C1227" s="1" t="s">
        <v>2070</v>
      </c>
      <c r="D1227" s="1" t="s">
        <v>2079</v>
      </c>
      <c r="E1227" s="1" t="s">
        <v>2691</v>
      </c>
      <c r="F1227" s="1" t="s">
        <v>16</v>
      </c>
      <c r="G1227" s="1" t="s">
        <v>27</v>
      </c>
      <c r="H1227" s="1" t="s">
        <v>18</v>
      </c>
      <c r="I1227" s="1" t="s">
        <v>59</v>
      </c>
      <c r="J1227" s="1">
        <v>200.0</v>
      </c>
      <c r="K1227" s="1">
        <v>87.0</v>
      </c>
      <c r="L1227" s="1">
        <v>588.0</v>
      </c>
    </row>
    <row r="1228">
      <c r="A1228" s="1">
        <v>3216425.0</v>
      </c>
      <c r="B1228" s="1" t="s">
        <v>288</v>
      </c>
      <c r="C1228" s="1" t="s">
        <v>2070</v>
      </c>
      <c r="D1228" s="1" t="s">
        <v>2079</v>
      </c>
      <c r="E1228" s="1" t="s">
        <v>2692</v>
      </c>
      <c r="F1228" s="1" t="s">
        <v>16</v>
      </c>
      <c r="G1228" s="1" t="s">
        <v>23</v>
      </c>
      <c r="H1228" s="1" t="s">
        <v>18</v>
      </c>
      <c r="I1228" s="1" t="s">
        <v>19</v>
      </c>
      <c r="J1228" s="1">
        <v>52.0</v>
      </c>
      <c r="K1228" s="1">
        <v>18.0</v>
      </c>
      <c r="L1228" s="1">
        <v>102.0</v>
      </c>
    </row>
    <row r="1229">
      <c r="A1229" s="1">
        <v>3201233.0</v>
      </c>
      <c r="B1229" s="1" t="s">
        <v>2693</v>
      </c>
      <c r="C1229" s="1" t="s">
        <v>2070</v>
      </c>
      <c r="D1229" s="1" t="s">
        <v>2097</v>
      </c>
      <c r="E1229" s="1" t="s">
        <v>2694</v>
      </c>
      <c r="F1229" s="1" t="s">
        <v>16</v>
      </c>
      <c r="G1229" s="1" t="s">
        <v>17</v>
      </c>
      <c r="H1229" s="1" t="s">
        <v>18</v>
      </c>
      <c r="I1229" s="1" t="s">
        <v>59</v>
      </c>
      <c r="J1229" s="1">
        <v>155.0</v>
      </c>
      <c r="K1229" s="1">
        <v>32.0</v>
      </c>
      <c r="L1229" s="1">
        <v>333.0</v>
      </c>
    </row>
    <row r="1230">
      <c r="A1230" s="1">
        <v>3212059.0</v>
      </c>
      <c r="B1230" s="1" t="s">
        <v>2695</v>
      </c>
      <c r="C1230" s="1" t="s">
        <v>2070</v>
      </c>
      <c r="D1230" s="1" t="s">
        <v>2189</v>
      </c>
      <c r="E1230" s="1" t="s">
        <v>2696</v>
      </c>
      <c r="F1230" s="1" t="s">
        <v>16</v>
      </c>
      <c r="G1230" s="1" t="s">
        <v>27</v>
      </c>
      <c r="H1230" s="1" t="s">
        <v>18</v>
      </c>
      <c r="I1230" s="1" t="s">
        <v>19</v>
      </c>
      <c r="J1230" s="1">
        <v>552.0</v>
      </c>
      <c r="K1230" s="1">
        <v>31.0</v>
      </c>
      <c r="L1230" s="1">
        <v>78.0</v>
      </c>
    </row>
    <row r="1231">
      <c r="A1231" s="1">
        <v>3205038.0</v>
      </c>
      <c r="B1231" s="1" t="s">
        <v>2697</v>
      </c>
      <c r="C1231" s="1" t="s">
        <v>2070</v>
      </c>
      <c r="D1231" s="1" t="s">
        <v>2214</v>
      </c>
      <c r="E1231" s="1" t="s">
        <v>2698</v>
      </c>
      <c r="F1231" s="1" t="s">
        <v>16</v>
      </c>
      <c r="G1231" s="1" t="s">
        <v>23</v>
      </c>
      <c r="H1231" s="1" t="s">
        <v>28</v>
      </c>
      <c r="I1231" s="1" t="s">
        <v>40</v>
      </c>
      <c r="J1231" s="1">
        <v>56.0</v>
      </c>
      <c r="K1231" s="1">
        <v>8.0</v>
      </c>
      <c r="L1231" s="1">
        <v>0.0</v>
      </c>
    </row>
    <row r="1232">
      <c r="A1232" s="1">
        <v>3206011.0</v>
      </c>
      <c r="B1232" s="1" t="s">
        <v>2699</v>
      </c>
      <c r="C1232" s="1" t="s">
        <v>2070</v>
      </c>
      <c r="D1232" s="1" t="s">
        <v>2077</v>
      </c>
      <c r="E1232" s="1" t="s">
        <v>2700</v>
      </c>
      <c r="F1232" s="1" t="s">
        <v>16</v>
      </c>
      <c r="G1232" s="1" t="s">
        <v>27</v>
      </c>
      <c r="H1232" s="1" t="s">
        <v>28</v>
      </c>
      <c r="I1232" s="1" t="s">
        <v>29</v>
      </c>
      <c r="J1232" s="1">
        <v>465.0</v>
      </c>
      <c r="K1232" s="1">
        <v>39.0</v>
      </c>
      <c r="L1232" s="1">
        <v>392.0</v>
      </c>
    </row>
    <row r="1233">
      <c r="A1233" s="1">
        <v>3271162.0</v>
      </c>
      <c r="B1233" s="1" t="s">
        <v>2701</v>
      </c>
      <c r="C1233" s="1" t="s">
        <v>2070</v>
      </c>
      <c r="D1233" s="1" t="s">
        <v>2173</v>
      </c>
      <c r="E1233" s="1" t="s">
        <v>2702</v>
      </c>
      <c r="F1233" s="1" t="s">
        <v>55</v>
      </c>
      <c r="G1233" s="1" t="s">
        <v>17</v>
      </c>
      <c r="H1233" s="1" t="s">
        <v>18</v>
      </c>
      <c r="I1233" s="1" t="s">
        <v>44</v>
      </c>
      <c r="J1233" s="1">
        <v>34.0</v>
      </c>
      <c r="K1233" s="1">
        <v>17.0</v>
      </c>
      <c r="L1233" s="1">
        <v>166.0</v>
      </c>
    </row>
    <row r="1234">
      <c r="A1234" s="1">
        <v>3216399.0</v>
      </c>
      <c r="B1234" s="1" t="s">
        <v>2703</v>
      </c>
      <c r="C1234" s="1" t="s">
        <v>2070</v>
      </c>
      <c r="D1234" s="1" t="s">
        <v>2079</v>
      </c>
      <c r="E1234" s="1" t="s">
        <v>2704</v>
      </c>
      <c r="F1234" s="1" t="s">
        <v>16</v>
      </c>
      <c r="G1234" s="1" t="s">
        <v>17</v>
      </c>
      <c r="H1234" s="1" t="s">
        <v>18</v>
      </c>
      <c r="I1234" s="1" t="s">
        <v>19</v>
      </c>
      <c r="J1234" s="1">
        <v>104.0</v>
      </c>
      <c r="K1234" s="1">
        <v>26.0</v>
      </c>
      <c r="L1234" s="1">
        <v>37.0</v>
      </c>
    </row>
    <row r="1235">
      <c r="A1235" s="1">
        <v>3271024.0</v>
      </c>
      <c r="B1235" s="1" t="s">
        <v>2705</v>
      </c>
      <c r="C1235" s="1" t="s">
        <v>2070</v>
      </c>
      <c r="D1235" s="1" t="s">
        <v>2173</v>
      </c>
      <c r="E1235" s="1" t="s">
        <v>2706</v>
      </c>
      <c r="F1235" s="1" t="s">
        <v>16</v>
      </c>
      <c r="G1235" s="1" t="s">
        <v>17</v>
      </c>
      <c r="H1235" s="1" t="s">
        <v>33</v>
      </c>
      <c r="I1235" s="1" t="s">
        <v>74</v>
      </c>
      <c r="J1235" s="1">
        <v>152.0</v>
      </c>
      <c r="K1235" s="1">
        <v>38.0</v>
      </c>
      <c r="L1235" s="1">
        <v>375.0</v>
      </c>
    </row>
    <row r="1236">
      <c r="A1236" s="1">
        <v>3216466.0</v>
      </c>
      <c r="B1236" s="1" t="s">
        <v>2707</v>
      </c>
      <c r="C1236" s="1" t="s">
        <v>2070</v>
      </c>
      <c r="D1236" s="1" t="s">
        <v>2079</v>
      </c>
      <c r="E1236" s="1" t="s">
        <v>2708</v>
      </c>
      <c r="F1236" s="1" t="s">
        <v>16</v>
      </c>
      <c r="G1236" s="1" t="s">
        <v>17</v>
      </c>
      <c r="H1236" s="1" t="s">
        <v>18</v>
      </c>
      <c r="I1236" s="1" t="s">
        <v>34</v>
      </c>
      <c r="J1236" s="1">
        <v>112.0</v>
      </c>
      <c r="K1236" s="1">
        <v>14.0</v>
      </c>
      <c r="L1236" s="1">
        <v>0.0</v>
      </c>
    </row>
    <row r="1237">
      <c r="A1237" s="1">
        <v>3210025.0</v>
      </c>
      <c r="B1237" s="1" t="s">
        <v>2709</v>
      </c>
      <c r="C1237" s="1" t="s">
        <v>2070</v>
      </c>
      <c r="D1237" s="1" t="s">
        <v>2228</v>
      </c>
      <c r="E1237" s="1" t="s">
        <v>2710</v>
      </c>
      <c r="F1237" s="1" t="s">
        <v>16</v>
      </c>
      <c r="G1237" s="1" t="s">
        <v>27</v>
      </c>
      <c r="H1237" s="1" t="s">
        <v>28</v>
      </c>
      <c r="I1237" s="1" t="s">
        <v>40</v>
      </c>
      <c r="J1237" s="1">
        <v>259.0</v>
      </c>
      <c r="K1237" s="1">
        <v>65.0</v>
      </c>
      <c r="L1237" s="1">
        <v>619.0</v>
      </c>
    </row>
    <row r="1238">
      <c r="A1238" s="1">
        <v>3216362.0</v>
      </c>
      <c r="B1238" s="1" t="s">
        <v>2711</v>
      </c>
      <c r="C1238" s="1" t="s">
        <v>2070</v>
      </c>
      <c r="D1238" s="1" t="s">
        <v>2079</v>
      </c>
      <c r="E1238" s="1" t="s">
        <v>2712</v>
      </c>
      <c r="F1238" s="1" t="s">
        <v>16</v>
      </c>
      <c r="G1238" s="1" t="s">
        <v>17</v>
      </c>
      <c r="H1238" s="1" t="s">
        <v>18</v>
      </c>
      <c r="I1238" s="1" t="s">
        <v>19</v>
      </c>
      <c r="J1238" s="1">
        <v>128.0</v>
      </c>
      <c r="K1238" s="1">
        <v>37.0</v>
      </c>
      <c r="L1238" s="1">
        <v>350.0</v>
      </c>
    </row>
    <row r="1239">
      <c r="A1239" s="1">
        <v>3215158.0</v>
      </c>
      <c r="B1239" s="1" t="s">
        <v>2713</v>
      </c>
      <c r="C1239" s="1" t="s">
        <v>2070</v>
      </c>
      <c r="D1239" s="1" t="s">
        <v>2071</v>
      </c>
      <c r="E1239" s="1" t="s">
        <v>2714</v>
      </c>
      <c r="F1239" s="1" t="s">
        <v>16</v>
      </c>
      <c r="G1239" s="1" t="s">
        <v>17</v>
      </c>
      <c r="H1239" s="1" t="s">
        <v>18</v>
      </c>
      <c r="I1239" s="1" t="s">
        <v>44</v>
      </c>
      <c r="J1239" s="1">
        <v>193.0</v>
      </c>
      <c r="K1239" s="1">
        <v>57.0</v>
      </c>
      <c r="L1239" s="1">
        <v>243.0</v>
      </c>
    </row>
    <row r="1240">
      <c r="A1240" s="1">
        <v>3216432.0</v>
      </c>
      <c r="B1240" s="1" t="s">
        <v>2715</v>
      </c>
      <c r="C1240" s="1" t="s">
        <v>2070</v>
      </c>
      <c r="D1240" s="1" t="s">
        <v>2079</v>
      </c>
      <c r="E1240" s="1" t="s">
        <v>2716</v>
      </c>
      <c r="F1240" s="1" t="s">
        <v>55</v>
      </c>
      <c r="G1240" s="1" t="s">
        <v>17</v>
      </c>
      <c r="H1240" s="1" t="s">
        <v>18</v>
      </c>
      <c r="I1240" s="1" t="s">
        <v>163</v>
      </c>
      <c r="J1240" s="1">
        <v>45.0</v>
      </c>
      <c r="K1240" s="1">
        <v>23.0</v>
      </c>
      <c r="L1240" s="1">
        <v>13.0</v>
      </c>
    </row>
    <row r="1241">
      <c r="A1241" s="1">
        <v>3201254.0</v>
      </c>
      <c r="B1241" s="1" t="s">
        <v>2717</v>
      </c>
      <c r="C1241" s="1" t="s">
        <v>2070</v>
      </c>
      <c r="D1241" s="1" t="s">
        <v>2173</v>
      </c>
      <c r="E1241" s="1" t="s">
        <v>2718</v>
      </c>
      <c r="F1241" s="1" t="s">
        <v>16</v>
      </c>
      <c r="G1241" s="1" t="s">
        <v>17</v>
      </c>
      <c r="H1241" s="1" t="s">
        <v>18</v>
      </c>
      <c r="I1241" s="1" t="s">
        <v>19</v>
      </c>
      <c r="J1241" s="1">
        <v>112.0</v>
      </c>
      <c r="K1241" s="1">
        <v>49.0</v>
      </c>
      <c r="L1241" s="1">
        <v>173.0</v>
      </c>
    </row>
    <row r="1242">
      <c r="A1242" s="1">
        <v>3201046.0</v>
      </c>
      <c r="B1242" s="1" t="s">
        <v>2719</v>
      </c>
      <c r="C1242" s="1" t="s">
        <v>2070</v>
      </c>
      <c r="D1242" s="1" t="s">
        <v>2097</v>
      </c>
      <c r="E1242" s="1" t="s">
        <v>2720</v>
      </c>
      <c r="F1242" s="1" t="s">
        <v>16</v>
      </c>
      <c r="G1242" s="1" t="s">
        <v>27</v>
      </c>
      <c r="H1242" s="1" t="s">
        <v>28</v>
      </c>
      <c r="I1242" s="1" t="s">
        <v>40</v>
      </c>
      <c r="J1242" s="1">
        <v>515.0</v>
      </c>
      <c r="K1242" s="1">
        <v>103.0</v>
      </c>
      <c r="L1242" s="1">
        <v>795.0</v>
      </c>
    </row>
    <row r="1243">
      <c r="A1243" s="1">
        <v>3273063.0</v>
      </c>
      <c r="B1243" s="1" t="s">
        <v>2721</v>
      </c>
      <c r="C1243" s="1" t="s">
        <v>2070</v>
      </c>
      <c r="D1243" s="1" t="s">
        <v>2088</v>
      </c>
      <c r="E1243" s="1" t="s">
        <v>2722</v>
      </c>
      <c r="F1243" s="1" t="s">
        <v>16</v>
      </c>
      <c r="G1243" s="1" t="s">
        <v>17</v>
      </c>
      <c r="H1243" s="1" t="s">
        <v>18</v>
      </c>
      <c r="I1243" s="1" t="s">
        <v>249</v>
      </c>
      <c r="J1243" s="1">
        <v>202.0</v>
      </c>
      <c r="K1243" s="1">
        <v>41.0</v>
      </c>
      <c r="L1243" s="1">
        <v>581.0</v>
      </c>
    </row>
    <row r="1244">
      <c r="A1244" s="1">
        <v>3274111.0</v>
      </c>
      <c r="B1244" s="1" t="s">
        <v>2723</v>
      </c>
      <c r="C1244" s="1" t="s">
        <v>2070</v>
      </c>
      <c r="D1244" s="1" t="s">
        <v>2124</v>
      </c>
      <c r="E1244" s="1" t="s">
        <v>2724</v>
      </c>
      <c r="F1244" s="1" t="s">
        <v>16</v>
      </c>
      <c r="G1244" s="1" t="s">
        <v>23</v>
      </c>
      <c r="H1244" s="1" t="s">
        <v>18</v>
      </c>
      <c r="I1244" s="1" t="s">
        <v>684</v>
      </c>
      <c r="J1244" s="1">
        <v>49.0</v>
      </c>
      <c r="K1244" s="1">
        <v>13.0</v>
      </c>
      <c r="L1244" s="1">
        <v>65.0</v>
      </c>
    </row>
    <row r="1245">
      <c r="A1245" s="1">
        <v>3208059.0</v>
      </c>
      <c r="B1245" s="1" t="s">
        <v>2725</v>
      </c>
      <c r="C1245" s="1" t="s">
        <v>2070</v>
      </c>
      <c r="D1245" s="1" t="s">
        <v>2074</v>
      </c>
      <c r="E1245" s="1" t="s">
        <v>2726</v>
      </c>
      <c r="F1245" s="1" t="s">
        <v>16</v>
      </c>
      <c r="G1245" s="1" t="s">
        <v>17</v>
      </c>
      <c r="H1245" s="1" t="s">
        <v>28</v>
      </c>
      <c r="I1245" s="1" t="s">
        <v>40</v>
      </c>
      <c r="J1245" s="1">
        <v>110.0</v>
      </c>
      <c r="K1245" s="1">
        <v>28.0</v>
      </c>
      <c r="L1245" s="1">
        <v>109.0</v>
      </c>
    </row>
    <row r="1246">
      <c r="A1246" s="1">
        <v>3201185.0</v>
      </c>
      <c r="B1246" s="1" t="s">
        <v>2727</v>
      </c>
      <c r="C1246" s="1" t="s">
        <v>2070</v>
      </c>
      <c r="D1246" s="1" t="s">
        <v>2082</v>
      </c>
      <c r="E1246" s="1" t="s">
        <v>2728</v>
      </c>
      <c r="F1246" s="1" t="s">
        <v>16</v>
      </c>
      <c r="G1246" s="1" t="s">
        <v>27</v>
      </c>
      <c r="H1246" s="1" t="s">
        <v>18</v>
      </c>
      <c r="I1246" s="1" t="s">
        <v>19</v>
      </c>
      <c r="J1246" s="1">
        <v>203.0</v>
      </c>
      <c r="K1246" s="1">
        <v>65.0</v>
      </c>
      <c r="L1246" s="1">
        <v>416.0</v>
      </c>
    </row>
    <row r="1247">
      <c r="A1247" s="1">
        <v>3273191.0</v>
      </c>
      <c r="B1247" s="1" t="s">
        <v>2729</v>
      </c>
      <c r="C1247" s="1" t="s">
        <v>2070</v>
      </c>
      <c r="D1247" s="1" t="s">
        <v>2088</v>
      </c>
      <c r="E1247" s="1" t="s">
        <v>2730</v>
      </c>
      <c r="F1247" s="1" t="s">
        <v>272</v>
      </c>
      <c r="G1247" s="1" t="s">
        <v>150</v>
      </c>
      <c r="H1247" s="1" t="s">
        <v>33</v>
      </c>
      <c r="I1247" s="1" t="s">
        <v>411</v>
      </c>
      <c r="J1247" s="1">
        <v>88.0</v>
      </c>
      <c r="K1247" s="1">
        <v>37.0</v>
      </c>
      <c r="L1247" s="1">
        <v>428.0</v>
      </c>
    </row>
    <row r="1248">
      <c r="A1248" s="1">
        <v>3216447.0</v>
      </c>
      <c r="B1248" s="1" t="s">
        <v>2731</v>
      </c>
      <c r="C1248" s="1" t="s">
        <v>2070</v>
      </c>
      <c r="D1248" s="1" t="s">
        <v>2079</v>
      </c>
      <c r="E1248" s="1" t="s">
        <v>2732</v>
      </c>
      <c r="F1248" s="1" t="s">
        <v>55</v>
      </c>
      <c r="G1248" s="1" t="s">
        <v>23</v>
      </c>
      <c r="H1248" s="1" t="s">
        <v>18</v>
      </c>
      <c r="I1248" s="1" t="s">
        <v>19</v>
      </c>
      <c r="J1248" s="1">
        <v>17.0</v>
      </c>
      <c r="K1248" s="1">
        <v>4.0</v>
      </c>
      <c r="L1248" s="1">
        <v>0.0</v>
      </c>
    </row>
    <row r="1249">
      <c r="A1249" s="1">
        <v>3276153.0</v>
      </c>
      <c r="B1249" s="1" t="s">
        <v>2733</v>
      </c>
      <c r="C1249" s="1" t="s">
        <v>2070</v>
      </c>
      <c r="D1249" s="1" t="s">
        <v>2082</v>
      </c>
      <c r="E1249" s="1" t="s">
        <v>2734</v>
      </c>
      <c r="F1249" s="1" t="s">
        <v>16</v>
      </c>
      <c r="G1249" s="1" t="s">
        <v>17</v>
      </c>
      <c r="H1249" s="1" t="s">
        <v>18</v>
      </c>
      <c r="I1249" s="1" t="s">
        <v>44</v>
      </c>
      <c r="J1249" s="1">
        <v>195.0</v>
      </c>
      <c r="K1249" s="1">
        <v>48.0</v>
      </c>
      <c r="L1249" s="1">
        <v>38.0</v>
      </c>
    </row>
    <row r="1250">
      <c r="A1250" s="1">
        <v>3201259.0</v>
      </c>
      <c r="B1250" s="1" t="s">
        <v>2735</v>
      </c>
      <c r="C1250" s="1" t="s">
        <v>2070</v>
      </c>
      <c r="D1250" s="1" t="s">
        <v>2097</v>
      </c>
      <c r="E1250" s="1" t="s">
        <v>2736</v>
      </c>
      <c r="F1250" s="1" t="s">
        <v>16</v>
      </c>
      <c r="G1250" s="1" t="s">
        <v>17</v>
      </c>
      <c r="H1250" s="1" t="s">
        <v>18</v>
      </c>
      <c r="I1250" s="1" t="s">
        <v>19</v>
      </c>
      <c r="J1250" s="1">
        <v>121.0</v>
      </c>
      <c r="K1250" s="1">
        <v>30.0</v>
      </c>
      <c r="L1250" s="1">
        <v>68.0</v>
      </c>
    </row>
    <row r="1251">
      <c r="A1251" s="1">
        <v>3275083.0</v>
      </c>
      <c r="B1251" s="1" t="s">
        <v>2737</v>
      </c>
      <c r="C1251" s="1" t="s">
        <v>2070</v>
      </c>
      <c r="D1251" s="1" t="s">
        <v>2119</v>
      </c>
      <c r="E1251" s="1" t="s">
        <v>2738</v>
      </c>
      <c r="F1251" s="1" t="s">
        <v>16</v>
      </c>
      <c r="G1251" s="1" t="s">
        <v>23</v>
      </c>
      <c r="H1251" s="1" t="s">
        <v>18</v>
      </c>
      <c r="I1251" s="1" t="s">
        <v>59</v>
      </c>
      <c r="J1251" s="1">
        <v>54.0</v>
      </c>
      <c r="K1251" s="1">
        <v>22.0</v>
      </c>
      <c r="L1251" s="1">
        <v>152.0</v>
      </c>
    </row>
    <row r="1252">
      <c r="A1252" s="1">
        <v>3278082.0</v>
      </c>
      <c r="B1252" s="1" t="s">
        <v>2161</v>
      </c>
      <c r="C1252" s="1" t="s">
        <v>2070</v>
      </c>
      <c r="D1252" s="1" t="s">
        <v>2077</v>
      </c>
      <c r="E1252" s="1" t="s">
        <v>2739</v>
      </c>
      <c r="F1252" s="1" t="s">
        <v>16</v>
      </c>
      <c r="G1252" s="1" t="s">
        <v>17</v>
      </c>
      <c r="H1252" s="1" t="s">
        <v>18</v>
      </c>
      <c r="I1252" s="1" t="s">
        <v>19</v>
      </c>
      <c r="J1252" s="1">
        <v>100.0</v>
      </c>
      <c r="K1252" s="1">
        <v>35.0</v>
      </c>
      <c r="L1252" s="1">
        <v>46.0</v>
      </c>
    </row>
    <row r="1253">
      <c r="A1253" s="1">
        <v>3275054.0</v>
      </c>
      <c r="B1253" s="1" t="s">
        <v>2740</v>
      </c>
      <c r="C1253" s="1" t="s">
        <v>2070</v>
      </c>
      <c r="D1253" s="1" t="s">
        <v>2079</v>
      </c>
      <c r="E1253" s="1" t="s">
        <v>2741</v>
      </c>
      <c r="F1253" s="1" t="s">
        <v>16</v>
      </c>
      <c r="G1253" s="1" t="s">
        <v>17</v>
      </c>
      <c r="H1253" s="1" t="s">
        <v>18</v>
      </c>
      <c r="I1253" s="1" t="s">
        <v>19</v>
      </c>
      <c r="J1253" s="1">
        <v>100.0</v>
      </c>
      <c r="K1253" s="1">
        <v>30.0</v>
      </c>
      <c r="L1253" s="1">
        <v>58.0</v>
      </c>
    </row>
    <row r="1254">
      <c r="A1254" s="1">
        <v>3201272.0</v>
      </c>
      <c r="B1254" s="1" t="s">
        <v>2742</v>
      </c>
      <c r="C1254" s="1" t="s">
        <v>2070</v>
      </c>
      <c r="D1254" s="1" t="s">
        <v>2097</v>
      </c>
      <c r="E1254" s="1" t="s">
        <v>2743</v>
      </c>
      <c r="F1254" s="1" t="s">
        <v>16</v>
      </c>
      <c r="G1254" s="1" t="s">
        <v>17</v>
      </c>
      <c r="H1254" s="1" t="s">
        <v>18</v>
      </c>
      <c r="I1254" s="1" t="s">
        <v>19</v>
      </c>
      <c r="J1254" s="1">
        <v>110.0</v>
      </c>
      <c r="K1254" s="1">
        <v>36.0</v>
      </c>
      <c r="L1254" s="1">
        <v>0.0</v>
      </c>
    </row>
    <row r="1255">
      <c r="A1255" s="1">
        <v>3204090.0</v>
      </c>
      <c r="B1255" s="1" t="s">
        <v>2744</v>
      </c>
      <c r="C1255" s="1" t="s">
        <v>2070</v>
      </c>
      <c r="D1255" s="1" t="s">
        <v>2091</v>
      </c>
      <c r="E1255" s="1" t="s">
        <v>2745</v>
      </c>
      <c r="F1255" s="1" t="s">
        <v>16</v>
      </c>
      <c r="G1255" s="1" t="s">
        <v>27</v>
      </c>
      <c r="H1255" s="1" t="s">
        <v>28</v>
      </c>
      <c r="I1255" s="1" t="s">
        <v>40</v>
      </c>
      <c r="J1255" s="1">
        <v>259.0</v>
      </c>
      <c r="K1255" s="1">
        <v>37.0</v>
      </c>
      <c r="L1255" s="1">
        <v>528.0</v>
      </c>
    </row>
    <row r="1256">
      <c r="A1256" s="1">
        <v>3274053.0</v>
      </c>
      <c r="B1256" s="1" t="s">
        <v>2746</v>
      </c>
      <c r="C1256" s="1" t="s">
        <v>2070</v>
      </c>
      <c r="D1256" s="1" t="s">
        <v>2124</v>
      </c>
      <c r="E1256" s="1" t="s">
        <v>2747</v>
      </c>
      <c r="F1256" s="1" t="s">
        <v>16</v>
      </c>
      <c r="G1256" s="1" t="s">
        <v>17</v>
      </c>
      <c r="H1256" s="1" t="s">
        <v>18</v>
      </c>
      <c r="I1256" s="1" t="s">
        <v>113</v>
      </c>
      <c r="J1256" s="1">
        <v>127.0</v>
      </c>
      <c r="K1256" s="1">
        <v>39.0</v>
      </c>
      <c r="L1256" s="1">
        <v>265.0</v>
      </c>
    </row>
    <row r="1257">
      <c r="A1257" s="1">
        <v>3216388.0</v>
      </c>
      <c r="B1257" s="1" t="s">
        <v>2748</v>
      </c>
      <c r="C1257" s="1" t="s">
        <v>2070</v>
      </c>
      <c r="D1257" s="1" t="s">
        <v>2079</v>
      </c>
      <c r="E1257" s="1" t="s">
        <v>2749</v>
      </c>
      <c r="F1257" s="1" t="s">
        <v>16</v>
      </c>
      <c r="G1257" s="1" t="s">
        <v>17</v>
      </c>
      <c r="H1257" s="1" t="s">
        <v>18</v>
      </c>
      <c r="I1257" s="1" t="s">
        <v>44</v>
      </c>
      <c r="J1257" s="1">
        <v>237.0</v>
      </c>
      <c r="K1257" s="1">
        <v>26.0</v>
      </c>
      <c r="L1257" s="1">
        <v>538.0</v>
      </c>
    </row>
    <row r="1258">
      <c r="A1258" s="1">
        <v>3216439.0</v>
      </c>
      <c r="B1258" s="1" t="s">
        <v>2750</v>
      </c>
      <c r="C1258" s="1" t="s">
        <v>2070</v>
      </c>
      <c r="D1258" s="1" t="s">
        <v>2079</v>
      </c>
      <c r="E1258" s="1" t="s">
        <v>2751</v>
      </c>
      <c r="F1258" s="1" t="s">
        <v>16</v>
      </c>
      <c r="G1258" s="1" t="s">
        <v>23</v>
      </c>
      <c r="H1258" s="1" t="s">
        <v>18</v>
      </c>
      <c r="I1258" s="1" t="s">
        <v>163</v>
      </c>
      <c r="J1258" s="1">
        <v>49.0</v>
      </c>
      <c r="K1258" s="1">
        <v>20.0</v>
      </c>
      <c r="L1258" s="1">
        <v>14.0</v>
      </c>
    </row>
    <row r="1259">
      <c r="A1259" s="1">
        <v>3275274.0</v>
      </c>
      <c r="B1259" s="1" t="s">
        <v>2752</v>
      </c>
      <c r="C1259" s="1" t="s">
        <v>2070</v>
      </c>
      <c r="D1259" s="1" t="s">
        <v>2119</v>
      </c>
      <c r="E1259" s="1" t="s">
        <v>2753</v>
      </c>
      <c r="F1259" s="1" t="s">
        <v>16</v>
      </c>
      <c r="G1259" s="1" t="s">
        <v>17</v>
      </c>
      <c r="H1259" s="1" t="s">
        <v>18</v>
      </c>
      <c r="I1259" s="1" t="s">
        <v>19</v>
      </c>
      <c r="J1259" s="1">
        <v>96.0</v>
      </c>
      <c r="K1259" s="1">
        <v>37.0</v>
      </c>
      <c r="L1259" s="1">
        <v>236.0</v>
      </c>
    </row>
    <row r="1260">
      <c r="A1260" s="1">
        <v>3204129.0</v>
      </c>
      <c r="B1260" s="1" t="s">
        <v>2754</v>
      </c>
      <c r="C1260" s="1" t="s">
        <v>2070</v>
      </c>
      <c r="D1260" s="1" t="s">
        <v>2088</v>
      </c>
      <c r="E1260" s="1" t="s">
        <v>2755</v>
      </c>
      <c r="F1260" s="1" t="s">
        <v>55</v>
      </c>
      <c r="G1260" s="1" t="s">
        <v>17</v>
      </c>
      <c r="H1260" s="1" t="s">
        <v>18</v>
      </c>
      <c r="I1260" s="1" t="s">
        <v>19</v>
      </c>
      <c r="J1260" s="1">
        <v>40.0</v>
      </c>
      <c r="K1260" s="1">
        <v>34.0</v>
      </c>
      <c r="L1260" s="1">
        <v>221.0</v>
      </c>
    </row>
    <row r="1261">
      <c r="A1261" s="1">
        <v>3208065.0</v>
      </c>
      <c r="B1261" s="1" t="s">
        <v>2756</v>
      </c>
      <c r="C1261" s="1" t="s">
        <v>2070</v>
      </c>
      <c r="D1261" s="1" t="s">
        <v>2074</v>
      </c>
      <c r="E1261" s="1" t="s">
        <v>2757</v>
      </c>
      <c r="F1261" s="1" t="s">
        <v>16</v>
      </c>
      <c r="G1261" s="1" t="s">
        <v>17</v>
      </c>
      <c r="H1261" s="1" t="s">
        <v>18</v>
      </c>
      <c r="I1261" s="1" t="s">
        <v>44</v>
      </c>
      <c r="J1261" s="1">
        <v>152.0</v>
      </c>
      <c r="K1261" s="1">
        <v>32.0</v>
      </c>
      <c r="L1261" s="1">
        <v>93.0</v>
      </c>
    </row>
    <row r="1262">
      <c r="A1262" s="1">
        <v>3208035.0</v>
      </c>
      <c r="B1262" s="1" t="s">
        <v>2758</v>
      </c>
      <c r="C1262" s="1" t="s">
        <v>2070</v>
      </c>
      <c r="D1262" s="1" t="s">
        <v>2074</v>
      </c>
      <c r="E1262" s="1" t="s">
        <v>2759</v>
      </c>
      <c r="F1262" s="1" t="s">
        <v>16</v>
      </c>
      <c r="G1262" s="1" t="s">
        <v>17</v>
      </c>
      <c r="H1262" s="1" t="s">
        <v>18</v>
      </c>
      <c r="I1262" s="1" t="s">
        <v>59</v>
      </c>
      <c r="J1262" s="1">
        <v>102.0</v>
      </c>
      <c r="K1262" s="1">
        <v>28.0</v>
      </c>
      <c r="L1262" s="1">
        <v>313.0</v>
      </c>
    </row>
    <row r="1263">
      <c r="A1263" s="1">
        <v>3214031.0</v>
      </c>
      <c r="B1263" s="1" t="s">
        <v>2760</v>
      </c>
      <c r="C1263" s="1" t="s">
        <v>2070</v>
      </c>
      <c r="D1263" s="1" t="s">
        <v>2182</v>
      </c>
      <c r="E1263" s="1" t="s">
        <v>2761</v>
      </c>
      <c r="F1263" s="1" t="s">
        <v>16</v>
      </c>
      <c r="G1263" s="1" t="s">
        <v>27</v>
      </c>
      <c r="H1263" s="1" t="s">
        <v>18</v>
      </c>
      <c r="I1263" s="1" t="s">
        <v>44</v>
      </c>
      <c r="J1263" s="1">
        <v>261.0</v>
      </c>
      <c r="K1263" s="1">
        <v>57.0</v>
      </c>
      <c r="L1263" s="1">
        <v>513.0</v>
      </c>
    </row>
    <row r="1264">
      <c r="A1264" s="1">
        <v>3201241.0</v>
      </c>
      <c r="B1264" s="1" t="s">
        <v>2762</v>
      </c>
      <c r="C1264" s="1" t="s">
        <v>2070</v>
      </c>
      <c r="D1264" s="1" t="s">
        <v>2173</v>
      </c>
      <c r="E1264" s="1" t="s">
        <v>2763</v>
      </c>
      <c r="F1264" s="1" t="s">
        <v>16</v>
      </c>
      <c r="G1264" s="1" t="s">
        <v>17</v>
      </c>
      <c r="H1264" s="1" t="s">
        <v>18</v>
      </c>
      <c r="I1264" s="1" t="s">
        <v>44</v>
      </c>
      <c r="J1264" s="1">
        <v>201.0</v>
      </c>
      <c r="K1264" s="1">
        <v>42.0</v>
      </c>
      <c r="L1264" s="1">
        <v>343.0</v>
      </c>
    </row>
    <row r="1265">
      <c r="A1265" s="1">
        <v>3216423.0</v>
      </c>
      <c r="B1265" s="1" t="s">
        <v>2230</v>
      </c>
      <c r="C1265" s="1" t="s">
        <v>2070</v>
      </c>
      <c r="D1265" s="1" t="s">
        <v>2119</v>
      </c>
      <c r="E1265" s="1" t="s">
        <v>2764</v>
      </c>
      <c r="F1265" s="1" t="s">
        <v>16</v>
      </c>
      <c r="G1265" s="1" t="s">
        <v>17</v>
      </c>
      <c r="H1265" s="1" t="s">
        <v>18</v>
      </c>
      <c r="I1265" s="1" t="s">
        <v>19</v>
      </c>
      <c r="J1265" s="1">
        <v>101.0</v>
      </c>
      <c r="K1265" s="1">
        <v>25.0</v>
      </c>
      <c r="L1265" s="1">
        <v>154.0</v>
      </c>
    </row>
    <row r="1266">
      <c r="A1266" s="1">
        <v>3278093.0</v>
      </c>
      <c r="B1266" s="1" t="s">
        <v>2765</v>
      </c>
      <c r="C1266" s="1" t="s">
        <v>2070</v>
      </c>
      <c r="D1266" s="1" t="s">
        <v>2077</v>
      </c>
      <c r="E1266" s="1" t="s">
        <v>2766</v>
      </c>
      <c r="F1266" s="1" t="s">
        <v>16</v>
      </c>
      <c r="G1266" s="1" t="s">
        <v>17</v>
      </c>
      <c r="H1266" s="1" t="s">
        <v>18</v>
      </c>
      <c r="I1266" s="1" t="s">
        <v>19</v>
      </c>
      <c r="J1266" s="1">
        <v>111.0</v>
      </c>
      <c r="K1266" s="1">
        <v>25.0</v>
      </c>
      <c r="L1266" s="1">
        <v>0.0</v>
      </c>
    </row>
    <row r="1267">
      <c r="A1267" s="1">
        <v>3272036.0</v>
      </c>
      <c r="B1267" s="1" t="s">
        <v>2767</v>
      </c>
      <c r="C1267" s="1" t="s">
        <v>2070</v>
      </c>
      <c r="D1267" s="1" t="s">
        <v>2289</v>
      </c>
      <c r="E1267" s="1" t="s">
        <v>2768</v>
      </c>
      <c r="F1267" s="1" t="s">
        <v>16</v>
      </c>
      <c r="G1267" s="1" t="s">
        <v>23</v>
      </c>
      <c r="H1267" s="1" t="s">
        <v>18</v>
      </c>
      <c r="I1267" s="1" t="s">
        <v>59</v>
      </c>
      <c r="J1267" s="1">
        <v>63.0</v>
      </c>
      <c r="K1267" s="1">
        <v>28.0</v>
      </c>
      <c r="L1267" s="1">
        <v>146.0</v>
      </c>
    </row>
    <row r="1268">
      <c r="A1268" s="1">
        <v>3216450.0</v>
      </c>
      <c r="B1268" s="1" t="s">
        <v>2769</v>
      </c>
      <c r="C1268" s="1" t="s">
        <v>2070</v>
      </c>
      <c r="D1268" s="1" t="s">
        <v>2079</v>
      </c>
      <c r="E1268" s="1" t="s">
        <v>2770</v>
      </c>
      <c r="F1268" s="1" t="s">
        <v>16</v>
      </c>
      <c r="G1268" s="1" t="s">
        <v>27</v>
      </c>
      <c r="H1268" s="1" t="s">
        <v>18</v>
      </c>
      <c r="I1268" s="1" t="s">
        <v>19</v>
      </c>
      <c r="J1268" s="1">
        <v>149.0</v>
      </c>
      <c r="K1268" s="1">
        <v>94.0</v>
      </c>
      <c r="L1268" s="1">
        <v>235.0</v>
      </c>
    </row>
    <row r="1269">
      <c r="A1269" s="1">
        <v>3214011.0</v>
      </c>
      <c r="B1269" s="1" t="s">
        <v>2771</v>
      </c>
      <c r="C1269" s="1" t="s">
        <v>2070</v>
      </c>
      <c r="D1269" s="1" t="s">
        <v>2182</v>
      </c>
      <c r="E1269" s="1" t="s">
        <v>2772</v>
      </c>
      <c r="F1269" s="1" t="s">
        <v>16</v>
      </c>
      <c r="G1269" s="1" t="s">
        <v>27</v>
      </c>
      <c r="H1269" s="1" t="s">
        <v>28</v>
      </c>
      <c r="I1269" s="1" t="s">
        <v>40</v>
      </c>
      <c r="J1269" s="1">
        <v>261.0</v>
      </c>
      <c r="K1269" s="1">
        <v>108.0</v>
      </c>
      <c r="L1269" s="1">
        <v>752.0</v>
      </c>
    </row>
    <row r="1270">
      <c r="A1270" s="1">
        <v>3213045.0</v>
      </c>
      <c r="B1270" s="1" t="s">
        <v>2773</v>
      </c>
      <c r="C1270" s="1" t="s">
        <v>2070</v>
      </c>
      <c r="D1270" s="1" t="s">
        <v>2127</v>
      </c>
      <c r="E1270" s="1" t="s">
        <v>2774</v>
      </c>
      <c r="F1270" s="1" t="s">
        <v>16</v>
      </c>
      <c r="G1270" s="1" t="s">
        <v>17</v>
      </c>
      <c r="H1270" s="1" t="s">
        <v>18</v>
      </c>
      <c r="I1270" s="1" t="s">
        <v>44</v>
      </c>
      <c r="J1270" s="1">
        <v>100.0</v>
      </c>
      <c r="K1270" s="1">
        <v>32.0</v>
      </c>
      <c r="L1270" s="1">
        <v>185.0</v>
      </c>
    </row>
    <row r="1271">
      <c r="A1271" s="1">
        <v>3215123.0</v>
      </c>
      <c r="B1271" s="1" t="s">
        <v>2775</v>
      </c>
      <c r="C1271" s="1" t="s">
        <v>2070</v>
      </c>
      <c r="D1271" s="1" t="s">
        <v>2071</v>
      </c>
      <c r="E1271" s="1" t="s">
        <v>2776</v>
      </c>
      <c r="F1271" s="1" t="s">
        <v>16</v>
      </c>
      <c r="G1271" s="1" t="s">
        <v>17</v>
      </c>
      <c r="H1271" s="1" t="s">
        <v>18</v>
      </c>
      <c r="I1271" s="1" t="s">
        <v>19</v>
      </c>
      <c r="J1271" s="1">
        <v>143.0</v>
      </c>
      <c r="K1271" s="1">
        <v>46.0</v>
      </c>
      <c r="L1271" s="1">
        <v>490.0</v>
      </c>
    </row>
    <row r="1272">
      <c r="A1272" s="1">
        <v>3216417.0</v>
      </c>
      <c r="B1272" s="1" t="s">
        <v>2777</v>
      </c>
      <c r="C1272" s="1" t="s">
        <v>2070</v>
      </c>
      <c r="D1272" s="1" t="s">
        <v>2079</v>
      </c>
      <c r="E1272" s="1" t="s">
        <v>2778</v>
      </c>
      <c r="F1272" s="1" t="s">
        <v>16</v>
      </c>
      <c r="G1272" s="1" t="s">
        <v>17</v>
      </c>
      <c r="H1272" s="1" t="s">
        <v>18</v>
      </c>
      <c r="I1272" s="1" t="s">
        <v>44</v>
      </c>
      <c r="J1272" s="1">
        <v>201.0</v>
      </c>
      <c r="K1272" s="1">
        <v>34.0</v>
      </c>
      <c r="L1272" s="1">
        <v>63.0</v>
      </c>
    </row>
    <row r="1273">
      <c r="A1273" s="1">
        <v>3206084.0</v>
      </c>
      <c r="B1273" s="1" t="s">
        <v>2779</v>
      </c>
      <c r="C1273" s="1" t="s">
        <v>2070</v>
      </c>
      <c r="D1273" s="1" t="s">
        <v>2625</v>
      </c>
      <c r="E1273" s="1" t="s">
        <v>2780</v>
      </c>
      <c r="F1273" s="1" t="s">
        <v>55</v>
      </c>
      <c r="G1273" s="1" t="s">
        <v>17</v>
      </c>
      <c r="H1273" s="1" t="s">
        <v>18</v>
      </c>
      <c r="I1273" s="1" t="s">
        <v>44</v>
      </c>
      <c r="J1273" s="1">
        <v>55.0</v>
      </c>
      <c r="K1273" s="1">
        <v>16.0</v>
      </c>
      <c r="L1273" s="1">
        <v>110.0</v>
      </c>
    </row>
    <row r="1274">
      <c r="A1274" s="1">
        <v>3217132.0</v>
      </c>
      <c r="B1274" s="1" t="s">
        <v>2781</v>
      </c>
      <c r="C1274" s="1" t="s">
        <v>2070</v>
      </c>
      <c r="D1274" s="1" t="s">
        <v>2144</v>
      </c>
      <c r="E1274" s="1" t="s">
        <v>2782</v>
      </c>
      <c r="F1274" s="1" t="s">
        <v>55</v>
      </c>
      <c r="G1274" s="1" t="s">
        <v>17</v>
      </c>
      <c r="H1274" s="1" t="s">
        <v>18</v>
      </c>
      <c r="I1274" s="1" t="s">
        <v>19</v>
      </c>
      <c r="J1274" s="1">
        <v>31.0</v>
      </c>
      <c r="K1274" s="1">
        <v>28.0</v>
      </c>
      <c r="L1274" s="1">
        <v>0.0</v>
      </c>
    </row>
    <row r="1275">
      <c r="A1275" s="1">
        <v>3203037.0</v>
      </c>
      <c r="B1275" s="1" t="s">
        <v>2783</v>
      </c>
      <c r="C1275" s="1" t="s">
        <v>2070</v>
      </c>
      <c r="D1275" s="1" t="s">
        <v>2094</v>
      </c>
      <c r="E1275" s="1" t="s">
        <v>2784</v>
      </c>
      <c r="F1275" s="1" t="s">
        <v>16</v>
      </c>
      <c r="G1275" s="1" t="s">
        <v>17</v>
      </c>
      <c r="H1275" s="1" t="s">
        <v>28</v>
      </c>
      <c r="I1275" s="1" t="s">
        <v>40</v>
      </c>
      <c r="J1275" s="1">
        <v>170.0</v>
      </c>
      <c r="K1275" s="1">
        <v>92.0</v>
      </c>
      <c r="L1275" s="1">
        <v>261.0</v>
      </c>
    </row>
    <row r="1276">
      <c r="A1276" s="1">
        <v>3273486.0</v>
      </c>
      <c r="B1276" s="1" t="s">
        <v>2785</v>
      </c>
      <c r="C1276" s="1" t="s">
        <v>2070</v>
      </c>
      <c r="D1276" s="1" t="s">
        <v>2088</v>
      </c>
      <c r="E1276" s="1" t="s">
        <v>2786</v>
      </c>
      <c r="F1276" s="1" t="s">
        <v>16</v>
      </c>
      <c r="G1276" s="1" t="s">
        <v>150</v>
      </c>
      <c r="H1276" s="1" t="s">
        <v>18</v>
      </c>
      <c r="I1276" s="1" t="s">
        <v>19</v>
      </c>
      <c r="J1276" s="1">
        <v>500.0</v>
      </c>
      <c r="K1276" s="1">
        <v>138.0</v>
      </c>
      <c r="L1276" s="1">
        <v>1573.0</v>
      </c>
    </row>
    <row r="1277">
      <c r="A1277" s="1">
        <v>3278014.0</v>
      </c>
      <c r="B1277" s="1" t="s">
        <v>2787</v>
      </c>
      <c r="C1277" s="1" t="s">
        <v>2070</v>
      </c>
      <c r="D1277" s="1" t="s">
        <v>2077</v>
      </c>
      <c r="E1277" s="1" t="s">
        <v>2788</v>
      </c>
      <c r="F1277" s="1" t="s">
        <v>16</v>
      </c>
      <c r="G1277" s="1" t="s">
        <v>17</v>
      </c>
      <c r="H1277" s="1" t="s">
        <v>18</v>
      </c>
      <c r="I1277" s="1" t="s">
        <v>44</v>
      </c>
      <c r="J1277" s="1">
        <v>190.0</v>
      </c>
      <c r="K1277" s="1">
        <v>48.0</v>
      </c>
      <c r="L1277" s="1">
        <v>490.0</v>
      </c>
    </row>
    <row r="1278">
      <c r="A1278" s="1">
        <v>3216185.0</v>
      </c>
      <c r="B1278" s="1" t="s">
        <v>2789</v>
      </c>
      <c r="C1278" s="1" t="s">
        <v>2070</v>
      </c>
      <c r="D1278" s="1" t="s">
        <v>2079</v>
      </c>
      <c r="E1278" s="1" t="s">
        <v>2790</v>
      </c>
      <c r="F1278" s="1" t="s">
        <v>16</v>
      </c>
      <c r="G1278" s="1" t="s">
        <v>17</v>
      </c>
      <c r="H1278" s="1" t="s">
        <v>18</v>
      </c>
      <c r="I1278" s="1" t="s">
        <v>19</v>
      </c>
      <c r="J1278" s="1">
        <v>104.0</v>
      </c>
      <c r="K1278" s="1">
        <v>29.0</v>
      </c>
      <c r="L1278" s="1">
        <v>84.0</v>
      </c>
    </row>
    <row r="1279">
      <c r="A1279" s="1">
        <v>3215165.0</v>
      </c>
      <c r="B1279" s="1" t="s">
        <v>2791</v>
      </c>
      <c r="C1279" s="1" t="s">
        <v>2070</v>
      </c>
      <c r="D1279" s="1" t="s">
        <v>2071</v>
      </c>
      <c r="E1279" s="1" t="s">
        <v>2792</v>
      </c>
      <c r="F1279" s="1" t="s">
        <v>16</v>
      </c>
      <c r="G1279" s="1" t="s">
        <v>23</v>
      </c>
      <c r="H1279" s="1" t="s">
        <v>18</v>
      </c>
      <c r="I1279" s="1" t="s">
        <v>44</v>
      </c>
      <c r="J1279" s="1">
        <v>94.0</v>
      </c>
      <c r="K1279" s="1">
        <v>24.0</v>
      </c>
      <c r="L1279" s="1">
        <v>126.0</v>
      </c>
    </row>
    <row r="1280">
      <c r="A1280" s="1">
        <v>3206070.0</v>
      </c>
      <c r="B1280" s="1" t="s">
        <v>2793</v>
      </c>
      <c r="C1280" s="1" t="s">
        <v>2070</v>
      </c>
      <c r="D1280" s="1" t="s">
        <v>2077</v>
      </c>
      <c r="E1280" s="1" t="s">
        <v>2794</v>
      </c>
      <c r="F1280" s="1" t="s">
        <v>16</v>
      </c>
      <c r="G1280" s="1" t="s">
        <v>17</v>
      </c>
      <c r="H1280" s="1" t="s">
        <v>18</v>
      </c>
      <c r="I1280" s="1" t="s">
        <v>44</v>
      </c>
      <c r="J1280" s="1">
        <v>199.0</v>
      </c>
      <c r="K1280" s="1">
        <v>95.0</v>
      </c>
      <c r="L1280" s="1">
        <v>624.0</v>
      </c>
    </row>
    <row r="1281">
      <c r="A1281" s="1">
        <v>3216451.0</v>
      </c>
      <c r="B1281" s="1" t="s">
        <v>2795</v>
      </c>
      <c r="C1281" s="1" t="s">
        <v>2070</v>
      </c>
      <c r="D1281" s="1" t="s">
        <v>2079</v>
      </c>
      <c r="E1281" s="1" t="s">
        <v>2796</v>
      </c>
      <c r="F1281" s="1" t="s">
        <v>16</v>
      </c>
      <c r="G1281" s="1" t="s">
        <v>17</v>
      </c>
      <c r="H1281" s="1" t="s">
        <v>18</v>
      </c>
      <c r="I1281" s="1" t="s">
        <v>44</v>
      </c>
      <c r="J1281" s="1">
        <v>100.0</v>
      </c>
      <c r="K1281" s="1">
        <v>56.0</v>
      </c>
      <c r="L1281" s="1">
        <v>0.0</v>
      </c>
    </row>
    <row r="1282">
      <c r="A1282" s="1">
        <v>3271046.0</v>
      </c>
      <c r="B1282" s="1" t="s">
        <v>2797</v>
      </c>
      <c r="C1282" s="1" t="s">
        <v>2070</v>
      </c>
      <c r="D1282" s="1" t="s">
        <v>2173</v>
      </c>
      <c r="E1282" s="1" t="s">
        <v>2798</v>
      </c>
      <c r="F1282" s="1" t="s">
        <v>174</v>
      </c>
      <c r="G1282" s="1" t="s">
        <v>150</v>
      </c>
      <c r="H1282" s="1" t="s">
        <v>33</v>
      </c>
      <c r="I1282" s="1" t="s">
        <v>411</v>
      </c>
      <c r="J1282" s="1">
        <v>507.0</v>
      </c>
      <c r="K1282" s="1">
        <v>35.0</v>
      </c>
      <c r="L1282" s="1">
        <v>912.0</v>
      </c>
    </row>
    <row r="1283">
      <c r="A1283" s="1">
        <v>3272025.0</v>
      </c>
      <c r="B1283" s="1" t="s">
        <v>2799</v>
      </c>
      <c r="C1283" s="1" t="s">
        <v>2070</v>
      </c>
      <c r="D1283" s="1" t="s">
        <v>2289</v>
      </c>
      <c r="E1283" s="1" t="s">
        <v>2800</v>
      </c>
      <c r="F1283" s="1" t="s">
        <v>16</v>
      </c>
      <c r="G1283" s="1" t="s">
        <v>17</v>
      </c>
      <c r="H1283" s="1" t="s">
        <v>33</v>
      </c>
      <c r="I1283" s="1" t="s">
        <v>65</v>
      </c>
      <c r="J1283" s="1">
        <v>139.0</v>
      </c>
      <c r="K1283" s="1">
        <v>76.0</v>
      </c>
      <c r="L1283" s="1">
        <v>388.0</v>
      </c>
    </row>
    <row r="1284">
      <c r="A1284" s="1">
        <v>3211015.0</v>
      </c>
      <c r="B1284" s="1" t="s">
        <v>2801</v>
      </c>
      <c r="C1284" s="1" t="s">
        <v>2070</v>
      </c>
      <c r="D1284" s="1" t="s">
        <v>2286</v>
      </c>
      <c r="E1284" s="1" t="s">
        <v>2802</v>
      </c>
      <c r="F1284" s="1" t="s">
        <v>16</v>
      </c>
      <c r="G1284" s="1" t="s">
        <v>27</v>
      </c>
      <c r="H1284" s="1" t="s">
        <v>28</v>
      </c>
      <c r="I1284" s="1" t="s">
        <v>40</v>
      </c>
      <c r="J1284" s="1">
        <v>227.0</v>
      </c>
      <c r="K1284" s="1">
        <v>52.0</v>
      </c>
      <c r="L1284" s="1">
        <v>1147.0</v>
      </c>
    </row>
    <row r="1285">
      <c r="A1285" s="1">
        <v>3271161.0</v>
      </c>
      <c r="B1285" s="1" t="s">
        <v>2803</v>
      </c>
      <c r="C1285" s="1" t="s">
        <v>2070</v>
      </c>
      <c r="D1285" s="1" t="s">
        <v>2173</v>
      </c>
      <c r="E1285" s="1" t="s">
        <v>2804</v>
      </c>
      <c r="F1285" s="1" t="s">
        <v>16</v>
      </c>
      <c r="G1285" s="1" t="s">
        <v>17</v>
      </c>
      <c r="H1285" s="1" t="s">
        <v>18</v>
      </c>
      <c r="I1285" s="1" t="s">
        <v>44</v>
      </c>
      <c r="J1285" s="1">
        <v>109.0</v>
      </c>
      <c r="K1285" s="1">
        <v>57.0</v>
      </c>
      <c r="L1285" s="1">
        <v>638.0</v>
      </c>
    </row>
    <row r="1286">
      <c r="A1286" s="1">
        <v>3216427.0</v>
      </c>
      <c r="B1286" s="1" t="s">
        <v>2805</v>
      </c>
      <c r="C1286" s="1" t="s">
        <v>2070</v>
      </c>
      <c r="D1286" s="1" t="s">
        <v>2119</v>
      </c>
      <c r="E1286" s="1" t="s">
        <v>2806</v>
      </c>
      <c r="F1286" s="1" t="s">
        <v>16</v>
      </c>
      <c r="G1286" s="1" t="s">
        <v>17</v>
      </c>
      <c r="H1286" s="1" t="s">
        <v>18</v>
      </c>
      <c r="I1286" s="1" t="s">
        <v>19</v>
      </c>
      <c r="J1286" s="1">
        <v>101.0</v>
      </c>
      <c r="K1286" s="1">
        <v>22.0</v>
      </c>
      <c r="L1286" s="1">
        <v>106.0</v>
      </c>
    </row>
    <row r="1287">
      <c r="A1287" s="1">
        <v>3216441.0</v>
      </c>
      <c r="B1287" s="1" t="s">
        <v>2807</v>
      </c>
      <c r="C1287" s="1" t="s">
        <v>2070</v>
      </c>
      <c r="D1287" s="1" t="s">
        <v>2079</v>
      </c>
      <c r="E1287" s="1" t="s">
        <v>2808</v>
      </c>
      <c r="F1287" s="1" t="s">
        <v>16</v>
      </c>
      <c r="G1287" s="1" t="s">
        <v>17</v>
      </c>
      <c r="H1287" s="1" t="s">
        <v>18</v>
      </c>
      <c r="I1287" s="1" t="s">
        <v>19</v>
      </c>
      <c r="J1287" s="1">
        <v>131.0</v>
      </c>
      <c r="K1287" s="1">
        <v>31.0</v>
      </c>
      <c r="L1287" s="1">
        <v>333.0</v>
      </c>
    </row>
    <row r="1288">
      <c r="A1288" s="1">
        <v>3201061.0</v>
      </c>
      <c r="B1288" s="1" t="s">
        <v>2809</v>
      </c>
      <c r="C1288" s="1" t="s">
        <v>2070</v>
      </c>
      <c r="D1288" s="1" t="s">
        <v>2082</v>
      </c>
      <c r="E1288" s="1" t="s">
        <v>2810</v>
      </c>
      <c r="F1288" s="1" t="s">
        <v>16</v>
      </c>
      <c r="G1288" s="1" t="s">
        <v>17</v>
      </c>
      <c r="H1288" s="1" t="s">
        <v>18</v>
      </c>
      <c r="I1288" s="1" t="s">
        <v>59</v>
      </c>
      <c r="J1288" s="1">
        <v>118.0</v>
      </c>
      <c r="K1288" s="1">
        <v>26.0</v>
      </c>
      <c r="L1288" s="1">
        <v>360.0</v>
      </c>
    </row>
    <row r="1289">
      <c r="A1289" s="1">
        <v>3273085.0</v>
      </c>
      <c r="B1289" s="1" t="s">
        <v>2811</v>
      </c>
      <c r="C1289" s="1" t="s">
        <v>2070</v>
      </c>
      <c r="D1289" s="1" t="s">
        <v>2088</v>
      </c>
      <c r="E1289" s="1" t="s">
        <v>2812</v>
      </c>
      <c r="F1289" s="1" t="s">
        <v>16</v>
      </c>
      <c r="G1289" s="1" t="s">
        <v>27</v>
      </c>
      <c r="H1289" s="1" t="s">
        <v>18</v>
      </c>
      <c r="I1289" s="1" t="s">
        <v>59</v>
      </c>
      <c r="J1289" s="1">
        <v>508.0</v>
      </c>
      <c r="K1289" s="1">
        <v>117.0</v>
      </c>
      <c r="L1289" s="1">
        <v>959.0</v>
      </c>
    </row>
    <row r="1290">
      <c r="A1290" s="1">
        <v>3276124.0</v>
      </c>
      <c r="B1290" s="1" t="s">
        <v>2813</v>
      </c>
      <c r="C1290" s="1" t="s">
        <v>2070</v>
      </c>
      <c r="D1290" s="1" t="s">
        <v>2082</v>
      </c>
      <c r="E1290" s="1" t="s">
        <v>2814</v>
      </c>
      <c r="F1290" s="1" t="s">
        <v>16</v>
      </c>
      <c r="G1290" s="1" t="s">
        <v>17</v>
      </c>
      <c r="H1290" s="1" t="s">
        <v>28</v>
      </c>
      <c r="I1290" s="1" t="s">
        <v>29</v>
      </c>
      <c r="J1290" s="1">
        <v>229.0</v>
      </c>
      <c r="K1290" s="1">
        <v>47.0</v>
      </c>
      <c r="L1290" s="1">
        <v>490.0</v>
      </c>
    </row>
    <row r="1291">
      <c r="A1291" s="1">
        <v>3216396.0</v>
      </c>
      <c r="B1291" s="1" t="s">
        <v>2815</v>
      </c>
      <c r="C1291" s="1" t="s">
        <v>2070</v>
      </c>
      <c r="D1291" s="1" t="s">
        <v>2119</v>
      </c>
      <c r="E1291" s="1" t="s">
        <v>2816</v>
      </c>
      <c r="F1291" s="1" t="s">
        <v>16</v>
      </c>
      <c r="G1291" s="1" t="s">
        <v>23</v>
      </c>
      <c r="H1291" s="1" t="s">
        <v>18</v>
      </c>
      <c r="I1291" s="1" t="s">
        <v>44</v>
      </c>
      <c r="J1291" s="1">
        <v>50.0</v>
      </c>
      <c r="K1291" s="1">
        <v>20.0</v>
      </c>
      <c r="L1291" s="1">
        <v>133.0</v>
      </c>
    </row>
    <row r="1292">
      <c r="A1292" s="1">
        <v>3215167.0</v>
      </c>
      <c r="B1292" s="1" t="s">
        <v>2817</v>
      </c>
      <c r="C1292" s="1" t="s">
        <v>2070</v>
      </c>
      <c r="D1292" s="1" t="s">
        <v>2071</v>
      </c>
      <c r="E1292" s="1" t="s">
        <v>2818</v>
      </c>
      <c r="F1292" s="1" t="s">
        <v>16</v>
      </c>
      <c r="G1292" s="1" t="s">
        <v>17</v>
      </c>
      <c r="H1292" s="1" t="s">
        <v>18</v>
      </c>
      <c r="I1292" s="1" t="s">
        <v>44</v>
      </c>
      <c r="J1292" s="1">
        <v>172.0</v>
      </c>
      <c r="K1292" s="1">
        <v>26.0</v>
      </c>
      <c r="L1292" s="1">
        <v>34.0</v>
      </c>
    </row>
    <row r="1293">
      <c r="A1293" s="1">
        <v>3212060.0</v>
      </c>
      <c r="B1293" s="1" t="s">
        <v>2819</v>
      </c>
      <c r="C1293" s="1" t="s">
        <v>2070</v>
      </c>
      <c r="D1293" s="1" t="s">
        <v>2189</v>
      </c>
      <c r="E1293" s="1" t="s">
        <v>2820</v>
      </c>
      <c r="F1293" s="1" t="s">
        <v>16</v>
      </c>
      <c r="G1293" s="1" t="s">
        <v>17</v>
      </c>
      <c r="H1293" s="1" t="s">
        <v>18</v>
      </c>
      <c r="I1293" s="1" t="s">
        <v>19</v>
      </c>
      <c r="J1293" s="1">
        <v>100.0</v>
      </c>
      <c r="K1293" s="1">
        <v>27.0</v>
      </c>
      <c r="L1293" s="1">
        <v>48.0</v>
      </c>
    </row>
    <row r="1294">
      <c r="A1294" s="1">
        <v>3217133.0</v>
      </c>
      <c r="B1294" s="1" t="s">
        <v>2821</v>
      </c>
      <c r="C1294" s="1" t="s">
        <v>2070</v>
      </c>
      <c r="D1294" s="1" t="s">
        <v>2144</v>
      </c>
      <c r="E1294" s="1" t="s">
        <v>2822</v>
      </c>
      <c r="F1294" s="1" t="s">
        <v>55</v>
      </c>
      <c r="G1294" s="1" t="s">
        <v>17</v>
      </c>
      <c r="H1294" s="1" t="s">
        <v>18</v>
      </c>
      <c r="I1294" s="1" t="s">
        <v>19</v>
      </c>
      <c r="J1294" s="1">
        <v>45.0</v>
      </c>
      <c r="K1294" s="1">
        <v>26.0</v>
      </c>
      <c r="L1294" s="1">
        <v>0.0</v>
      </c>
    </row>
    <row r="1295">
      <c r="A1295" s="1">
        <v>3208076.0</v>
      </c>
      <c r="B1295" s="1" t="s">
        <v>2823</v>
      </c>
      <c r="C1295" s="1" t="s">
        <v>2070</v>
      </c>
      <c r="D1295" s="1" t="s">
        <v>2074</v>
      </c>
      <c r="E1295" s="1" t="s">
        <v>2824</v>
      </c>
      <c r="F1295" s="1" t="s">
        <v>16</v>
      </c>
      <c r="G1295" s="1" t="s">
        <v>23</v>
      </c>
      <c r="H1295" s="1" t="s">
        <v>18</v>
      </c>
      <c r="I1295" s="1" t="s">
        <v>19</v>
      </c>
      <c r="J1295" s="1">
        <v>61.0</v>
      </c>
      <c r="K1295" s="1">
        <v>35.0</v>
      </c>
      <c r="L1295" s="1">
        <v>0.0</v>
      </c>
    </row>
    <row r="1296">
      <c r="A1296" s="1">
        <v>3201207.0</v>
      </c>
      <c r="B1296" s="1" t="s">
        <v>2825</v>
      </c>
      <c r="C1296" s="1" t="s">
        <v>2070</v>
      </c>
      <c r="D1296" s="1" t="s">
        <v>2097</v>
      </c>
      <c r="E1296" s="1" t="s">
        <v>2826</v>
      </c>
      <c r="F1296" s="1" t="s">
        <v>16</v>
      </c>
      <c r="G1296" s="1" t="s">
        <v>17</v>
      </c>
      <c r="H1296" s="1" t="s">
        <v>18</v>
      </c>
      <c r="I1296" s="1" t="s">
        <v>19</v>
      </c>
      <c r="J1296" s="1">
        <v>200.0</v>
      </c>
      <c r="K1296" s="1">
        <v>35.0</v>
      </c>
      <c r="L1296" s="1">
        <v>372.0</v>
      </c>
    </row>
    <row r="1297">
      <c r="A1297" s="1">
        <v>3273260.0</v>
      </c>
      <c r="B1297" s="1" t="s">
        <v>2827</v>
      </c>
      <c r="C1297" s="1" t="s">
        <v>2070</v>
      </c>
      <c r="D1297" s="1" t="s">
        <v>2088</v>
      </c>
      <c r="E1297" s="1" t="s">
        <v>2828</v>
      </c>
      <c r="F1297" s="1" t="s">
        <v>16</v>
      </c>
      <c r="G1297" s="1" t="s">
        <v>27</v>
      </c>
      <c r="H1297" s="1" t="s">
        <v>28</v>
      </c>
      <c r="I1297" s="1" t="s">
        <v>29</v>
      </c>
      <c r="J1297" s="1">
        <v>348.0</v>
      </c>
      <c r="K1297" s="1">
        <v>91.0</v>
      </c>
      <c r="L1297" s="1">
        <v>753.0</v>
      </c>
    </row>
    <row r="1298">
      <c r="A1298" s="1">
        <v>3277022.0</v>
      </c>
      <c r="B1298" s="1" t="s">
        <v>2829</v>
      </c>
      <c r="C1298" s="1" t="s">
        <v>2070</v>
      </c>
      <c r="D1298" s="1" t="s">
        <v>2217</v>
      </c>
      <c r="E1298" s="1" t="s">
        <v>2830</v>
      </c>
      <c r="F1298" s="1" t="s">
        <v>32</v>
      </c>
      <c r="G1298" s="1" t="s">
        <v>27</v>
      </c>
      <c r="H1298" s="1" t="s">
        <v>18</v>
      </c>
      <c r="I1298" s="1" t="s">
        <v>19</v>
      </c>
      <c r="J1298" s="1">
        <v>13.0</v>
      </c>
      <c r="K1298" s="1">
        <v>12.0</v>
      </c>
      <c r="L1298" s="1">
        <v>86.0</v>
      </c>
    </row>
    <row r="1299">
      <c r="A1299" s="1">
        <v>3211038.0</v>
      </c>
      <c r="B1299" s="1" t="s">
        <v>2831</v>
      </c>
      <c r="C1299" s="1" t="s">
        <v>2070</v>
      </c>
      <c r="D1299" s="1" t="s">
        <v>2286</v>
      </c>
      <c r="E1299" s="1" t="s">
        <v>2832</v>
      </c>
      <c r="F1299" s="1" t="s">
        <v>16</v>
      </c>
      <c r="G1299" s="1" t="s">
        <v>27</v>
      </c>
      <c r="H1299" s="1" t="s">
        <v>18</v>
      </c>
      <c r="I1299" s="1" t="s">
        <v>34</v>
      </c>
      <c r="J1299" s="1">
        <v>200.0</v>
      </c>
      <c r="K1299" s="1">
        <v>42.0</v>
      </c>
      <c r="L1299" s="1">
        <v>0.0</v>
      </c>
    </row>
    <row r="1300">
      <c r="A1300" s="1">
        <v>3216104.0</v>
      </c>
      <c r="B1300" s="1" t="s">
        <v>2833</v>
      </c>
      <c r="C1300" s="1" t="s">
        <v>2070</v>
      </c>
      <c r="D1300" s="1" t="s">
        <v>2079</v>
      </c>
      <c r="E1300" s="1" t="s">
        <v>2834</v>
      </c>
      <c r="F1300" s="1" t="s">
        <v>16</v>
      </c>
      <c r="G1300" s="1" t="s">
        <v>17</v>
      </c>
      <c r="H1300" s="1" t="s">
        <v>18</v>
      </c>
      <c r="I1300" s="1" t="s">
        <v>59</v>
      </c>
      <c r="J1300" s="1">
        <v>120.0</v>
      </c>
      <c r="K1300" s="1">
        <v>37.0</v>
      </c>
      <c r="L1300" s="1">
        <v>383.0</v>
      </c>
    </row>
    <row r="1301">
      <c r="A1301" s="1">
        <v>3276041.0</v>
      </c>
      <c r="B1301" s="1" t="s">
        <v>2835</v>
      </c>
      <c r="C1301" s="1" t="s">
        <v>2070</v>
      </c>
      <c r="D1301" s="1" t="s">
        <v>2082</v>
      </c>
      <c r="E1301" s="1" t="s">
        <v>2836</v>
      </c>
      <c r="F1301" s="1" t="s">
        <v>16</v>
      </c>
      <c r="G1301" s="1" t="s">
        <v>17</v>
      </c>
      <c r="H1301" s="1" t="s">
        <v>18</v>
      </c>
      <c r="I1301" s="1" t="s">
        <v>44</v>
      </c>
      <c r="J1301" s="1">
        <v>137.0</v>
      </c>
      <c r="K1301" s="1">
        <v>50.0</v>
      </c>
      <c r="L1301" s="1">
        <v>519.0</v>
      </c>
    </row>
    <row r="1302">
      <c r="A1302" s="1">
        <v>3274137.0</v>
      </c>
      <c r="B1302" s="1" t="s">
        <v>2837</v>
      </c>
      <c r="C1302" s="1" t="s">
        <v>2070</v>
      </c>
      <c r="D1302" s="1" t="s">
        <v>2124</v>
      </c>
      <c r="E1302" s="1" t="s">
        <v>2838</v>
      </c>
      <c r="F1302" s="1" t="s">
        <v>55</v>
      </c>
      <c r="G1302" s="1" t="s">
        <v>17</v>
      </c>
      <c r="H1302" s="1" t="s">
        <v>18</v>
      </c>
      <c r="I1302" s="1" t="s">
        <v>19</v>
      </c>
      <c r="J1302" s="1">
        <v>36.0</v>
      </c>
      <c r="K1302" s="1">
        <v>28.0</v>
      </c>
      <c r="L1302" s="1">
        <v>93.0</v>
      </c>
    </row>
    <row r="1303">
      <c r="A1303" s="1">
        <v>3275063.0</v>
      </c>
      <c r="B1303" s="1" t="s">
        <v>2839</v>
      </c>
      <c r="C1303" s="1" t="s">
        <v>2070</v>
      </c>
      <c r="D1303" s="1" t="s">
        <v>2119</v>
      </c>
      <c r="E1303" s="1" t="s">
        <v>2840</v>
      </c>
      <c r="F1303" s="1" t="s">
        <v>16</v>
      </c>
      <c r="G1303" s="1" t="s">
        <v>27</v>
      </c>
      <c r="H1303" s="1" t="s">
        <v>18</v>
      </c>
      <c r="I1303" s="1" t="s">
        <v>44</v>
      </c>
      <c r="J1303" s="1">
        <v>205.0</v>
      </c>
      <c r="K1303" s="1">
        <v>112.0</v>
      </c>
      <c r="L1303" s="1">
        <v>204.0</v>
      </c>
    </row>
    <row r="1304">
      <c r="A1304" s="1">
        <v>3217009.0</v>
      </c>
      <c r="B1304" s="1" t="s">
        <v>2841</v>
      </c>
      <c r="C1304" s="1" t="s">
        <v>2070</v>
      </c>
      <c r="D1304" s="1" t="s">
        <v>2144</v>
      </c>
      <c r="E1304" s="1" t="s">
        <v>2842</v>
      </c>
      <c r="F1304" s="1" t="s">
        <v>55</v>
      </c>
      <c r="G1304" s="1" t="s">
        <v>17</v>
      </c>
      <c r="H1304" s="1" t="s">
        <v>18</v>
      </c>
      <c r="I1304" s="1" t="s">
        <v>44</v>
      </c>
      <c r="J1304" s="1">
        <v>41.0</v>
      </c>
      <c r="K1304" s="1">
        <v>14.0</v>
      </c>
      <c r="L1304" s="1">
        <v>1.0</v>
      </c>
    </row>
    <row r="1305">
      <c r="A1305" s="1">
        <v>3215171.0</v>
      </c>
      <c r="B1305" s="1" t="s">
        <v>2843</v>
      </c>
      <c r="C1305" s="1" t="s">
        <v>2070</v>
      </c>
      <c r="D1305" s="1" t="s">
        <v>2071</v>
      </c>
      <c r="E1305" s="1" t="s">
        <v>2844</v>
      </c>
      <c r="F1305" s="1" t="s">
        <v>16</v>
      </c>
      <c r="G1305" s="1" t="s">
        <v>17</v>
      </c>
      <c r="H1305" s="1" t="s">
        <v>18</v>
      </c>
      <c r="I1305" s="1" t="s">
        <v>19</v>
      </c>
      <c r="J1305" s="1">
        <v>144.0</v>
      </c>
      <c r="K1305" s="1">
        <v>22.0</v>
      </c>
      <c r="L1305" s="1">
        <v>0.0</v>
      </c>
    </row>
    <row r="1306">
      <c r="A1306" s="1">
        <v>3275296.0</v>
      </c>
      <c r="B1306" s="1" t="s">
        <v>2845</v>
      </c>
      <c r="C1306" s="1" t="s">
        <v>2070</v>
      </c>
      <c r="D1306" s="1" t="s">
        <v>2119</v>
      </c>
      <c r="E1306" s="1" t="s">
        <v>2846</v>
      </c>
      <c r="F1306" s="1" t="s">
        <v>16</v>
      </c>
      <c r="G1306" s="1" t="s">
        <v>23</v>
      </c>
      <c r="H1306" s="1" t="s">
        <v>18</v>
      </c>
      <c r="I1306" s="1" t="s">
        <v>59</v>
      </c>
      <c r="J1306" s="1">
        <v>51.0</v>
      </c>
      <c r="K1306" s="1">
        <v>21.0</v>
      </c>
      <c r="L1306" s="1">
        <v>73.0</v>
      </c>
    </row>
    <row r="1307">
      <c r="A1307" s="1">
        <v>3216436.0</v>
      </c>
      <c r="B1307" s="1" t="s">
        <v>2847</v>
      </c>
      <c r="C1307" s="1" t="s">
        <v>2070</v>
      </c>
      <c r="D1307" s="1" t="s">
        <v>2079</v>
      </c>
      <c r="E1307" s="1" t="s">
        <v>2848</v>
      </c>
      <c r="F1307" s="1" t="s">
        <v>16</v>
      </c>
      <c r="G1307" s="1" t="s">
        <v>27</v>
      </c>
      <c r="H1307" s="1" t="s">
        <v>18</v>
      </c>
      <c r="I1307" s="1" t="s">
        <v>44</v>
      </c>
      <c r="J1307" s="1">
        <v>200.0</v>
      </c>
      <c r="K1307" s="1">
        <v>93.0</v>
      </c>
      <c r="L1307" s="1">
        <v>281.0</v>
      </c>
    </row>
    <row r="1308">
      <c r="A1308" s="1">
        <v>3209025.0</v>
      </c>
      <c r="B1308" s="1" t="s">
        <v>2849</v>
      </c>
      <c r="C1308" s="1" t="s">
        <v>2070</v>
      </c>
      <c r="D1308" s="1" t="s">
        <v>2106</v>
      </c>
      <c r="E1308" s="1" t="s">
        <v>2850</v>
      </c>
      <c r="F1308" s="1" t="s">
        <v>16</v>
      </c>
      <c r="G1308" s="1" t="s">
        <v>17</v>
      </c>
      <c r="H1308" s="1" t="s">
        <v>18</v>
      </c>
      <c r="I1308" s="1" t="s">
        <v>19</v>
      </c>
      <c r="J1308" s="1">
        <v>108.0</v>
      </c>
      <c r="K1308" s="1">
        <v>42.0</v>
      </c>
      <c r="L1308" s="1">
        <v>269.0</v>
      </c>
    </row>
    <row r="1309">
      <c r="A1309" s="1">
        <v>3215156.0</v>
      </c>
      <c r="B1309" s="1" t="s">
        <v>2851</v>
      </c>
      <c r="C1309" s="1" t="s">
        <v>2070</v>
      </c>
      <c r="D1309" s="1" t="s">
        <v>2071</v>
      </c>
      <c r="E1309" s="1" t="s">
        <v>2852</v>
      </c>
      <c r="F1309" s="1" t="s">
        <v>16</v>
      </c>
      <c r="G1309" s="1" t="s">
        <v>27</v>
      </c>
      <c r="H1309" s="1" t="s">
        <v>18</v>
      </c>
      <c r="I1309" s="1" t="s">
        <v>19</v>
      </c>
      <c r="J1309" s="1">
        <v>207.0</v>
      </c>
      <c r="K1309" s="1">
        <v>48.0</v>
      </c>
      <c r="L1309" s="1">
        <v>238.0</v>
      </c>
    </row>
    <row r="1310">
      <c r="A1310" s="1">
        <v>3217005.0</v>
      </c>
      <c r="B1310" s="1" t="s">
        <v>2853</v>
      </c>
      <c r="C1310" s="1" t="s">
        <v>2070</v>
      </c>
      <c r="D1310" s="1" t="s">
        <v>2144</v>
      </c>
      <c r="E1310" s="1" t="s">
        <v>2854</v>
      </c>
      <c r="F1310" s="1" t="s">
        <v>16</v>
      </c>
      <c r="G1310" s="1" t="s">
        <v>17</v>
      </c>
      <c r="H1310" s="1" t="s">
        <v>18</v>
      </c>
      <c r="I1310" s="1" t="s">
        <v>44</v>
      </c>
      <c r="J1310" s="1">
        <v>112.0</v>
      </c>
      <c r="K1310" s="1">
        <v>46.0</v>
      </c>
      <c r="L1310" s="1">
        <v>132.0</v>
      </c>
    </row>
    <row r="1311">
      <c r="A1311" s="1">
        <v>3271168.0</v>
      </c>
      <c r="B1311" s="1" t="s">
        <v>2855</v>
      </c>
      <c r="C1311" s="1" t="s">
        <v>2070</v>
      </c>
      <c r="D1311" s="1" t="s">
        <v>2173</v>
      </c>
      <c r="E1311" s="1" t="s">
        <v>2856</v>
      </c>
      <c r="F1311" s="1" t="s">
        <v>16</v>
      </c>
      <c r="G1311" s="1" t="s">
        <v>17</v>
      </c>
      <c r="H1311" s="1" t="s">
        <v>18</v>
      </c>
      <c r="I1311" s="1" t="s">
        <v>44</v>
      </c>
      <c r="J1311" s="1">
        <v>147.0</v>
      </c>
      <c r="K1311" s="1">
        <v>14.0</v>
      </c>
      <c r="L1311" s="1">
        <v>0.0</v>
      </c>
    </row>
    <row r="1312">
      <c r="A1312" s="1">
        <v>3276168.0</v>
      </c>
      <c r="B1312" s="1" t="s">
        <v>2857</v>
      </c>
      <c r="C1312" s="1" t="s">
        <v>2070</v>
      </c>
      <c r="D1312" s="1" t="s">
        <v>2082</v>
      </c>
      <c r="E1312" s="1" t="s">
        <v>2858</v>
      </c>
      <c r="F1312" s="1" t="s">
        <v>16</v>
      </c>
      <c r="G1312" s="1" t="s">
        <v>17</v>
      </c>
      <c r="H1312" s="1" t="s">
        <v>28</v>
      </c>
      <c r="I1312" s="1" t="s">
        <v>29</v>
      </c>
      <c r="J1312" s="1">
        <v>108.0</v>
      </c>
      <c r="K1312" s="1">
        <v>32.0</v>
      </c>
      <c r="L1312" s="1">
        <v>0.0</v>
      </c>
    </row>
    <row r="1313">
      <c r="A1313" s="1">
        <v>3273560.0</v>
      </c>
      <c r="B1313" s="1" t="s">
        <v>2859</v>
      </c>
      <c r="C1313" s="1" t="s">
        <v>2070</v>
      </c>
      <c r="D1313" s="1" t="s">
        <v>2088</v>
      </c>
      <c r="E1313" s="1" t="s">
        <v>2860</v>
      </c>
      <c r="F1313" s="1" t="s">
        <v>1884</v>
      </c>
      <c r="G1313" s="1" t="s">
        <v>17</v>
      </c>
      <c r="H1313" s="1" t="s">
        <v>18</v>
      </c>
      <c r="I1313" s="1" t="s">
        <v>19</v>
      </c>
      <c r="J1313" s="1">
        <v>31.0</v>
      </c>
      <c r="K1313" s="1">
        <v>45.0</v>
      </c>
      <c r="L1313" s="1">
        <v>0.0</v>
      </c>
    </row>
    <row r="1314">
      <c r="A1314" s="1">
        <v>3273015.0</v>
      </c>
      <c r="B1314" s="1" t="s">
        <v>2861</v>
      </c>
      <c r="C1314" s="1" t="s">
        <v>2070</v>
      </c>
      <c r="D1314" s="1" t="s">
        <v>2088</v>
      </c>
      <c r="E1314" s="1" t="s">
        <v>2862</v>
      </c>
      <c r="F1314" s="1" t="s">
        <v>16</v>
      </c>
      <c r="G1314" s="1" t="s">
        <v>150</v>
      </c>
      <c r="H1314" s="1" t="s">
        <v>33</v>
      </c>
      <c r="I1314" s="1" t="s">
        <v>411</v>
      </c>
      <c r="J1314" s="1">
        <v>926.0</v>
      </c>
      <c r="K1314" s="1">
        <v>81.0</v>
      </c>
      <c r="L1314" s="1">
        <v>2979.0</v>
      </c>
    </row>
    <row r="1315">
      <c r="A1315" s="1">
        <v>3215023.0</v>
      </c>
      <c r="B1315" s="1" t="s">
        <v>2863</v>
      </c>
      <c r="C1315" s="1" t="s">
        <v>2070</v>
      </c>
      <c r="D1315" s="1" t="s">
        <v>2071</v>
      </c>
      <c r="E1315" s="1" t="s">
        <v>2864</v>
      </c>
      <c r="F1315" s="1" t="s">
        <v>16</v>
      </c>
      <c r="G1315" s="1" t="s">
        <v>17</v>
      </c>
      <c r="H1315" s="1" t="s">
        <v>18</v>
      </c>
      <c r="I1315" s="1" t="s">
        <v>258</v>
      </c>
      <c r="J1315" s="1">
        <v>161.0</v>
      </c>
      <c r="K1315" s="1">
        <v>72.0</v>
      </c>
      <c r="L1315" s="1">
        <v>289.0</v>
      </c>
    </row>
    <row r="1316">
      <c r="A1316" s="1">
        <v>3216409.0</v>
      </c>
      <c r="B1316" s="1" t="s">
        <v>2865</v>
      </c>
      <c r="C1316" s="1" t="s">
        <v>2070</v>
      </c>
      <c r="D1316" s="1" t="s">
        <v>2079</v>
      </c>
      <c r="E1316" s="1" t="s">
        <v>2866</v>
      </c>
      <c r="F1316" s="1" t="s">
        <v>16</v>
      </c>
      <c r="G1316" s="1" t="s">
        <v>17</v>
      </c>
      <c r="H1316" s="1" t="s">
        <v>18</v>
      </c>
      <c r="I1316" s="1" t="s">
        <v>19</v>
      </c>
      <c r="J1316" s="1">
        <v>116.0</v>
      </c>
      <c r="K1316" s="1">
        <v>22.0</v>
      </c>
      <c r="L1316" s="1">
        <v>191.0</v>
      </c>
    </row>
    <row r="1317">
      <c r="A1317" s="1">
        <v>3273541.0</v>
      </c>
      <c r="B1317" s="1" t="s">
        <v>2867</v>
      </c>
      <c r="C1317" s="1" t="s">
        <v>2070</v>
      </c>
      <c r="D1317" s="1" t="s">
        <v>2088</v>
      </c>
      <c r="E1317" s="1" t="s">
        <v>2868</v>
      </c>
      <c r="F1317" s="1" t="s">
        <v>55</v>
      </c>
      <c r="G1317" s="1" t="s">
        <v>17</v>
      </c>
      <c r="H1317" s="1" t="s">
        <v>18</v>
      </c>
      <c r="I1317" s="1" t="s">
        <v>19</v>
      </c>
      <c r="J1317" s="1">
        <v>39.0</v>
      </c>
      <c r="K1317" s="1">
        <v>14.0</v>
      </c>
      <c r="L1317" s="1">
        <v>141.0</v>
      </c>
    </row>
    <row r="1318">
      <c r="A1318" s="1">
        <v>3215145.0</v>
      </c>
      <c r="B1318" s="1" t="s">
        <v>2869</v>
      </c>
      <c r="C1318" s="1" t="s">
        <v>2070</v>
      </c>
      <c r="D1318" s="1" t="s">
        <v>2071</v>
      </c>
      <c r="E1318" s="1" t="s">
        <v>2870</v>
      </c>
      <c r="F1318" s="1" t="s">
        <v>16</v>
      </c>
      <c r="G1318" s="1" t="s">
        <v>17</v>
      </c>
      <c r="H1318" s="1" t="s">
        <v>18</v>
      </c>
      <c r="I1318" s="1" t="s">
        <v>19</v>
      </c>
      <c r="J1318" s="1">
        <v>100.0</v>
      </c>
      <c r="K1318" s="1">
        <v>95.0</v>
      </c>
      <c r="L1318" s="1">
        <v>321.0</v>
      </c>
    </row>
    <row r="1319">
      <c r="A1319" s="1">
        <v>3216387.0</v>
      </c>
      <c r="B1319" s="1" t="s">
        <v>2871</v>
      </c>
      <c r="C1319" s="1" t="s">
        <v>2070</v>
      </c>
      <c r="D1319" s="1" t="s">
        <v>2079</v>
      </c>
      <c r="E1319" s="1" t="s">
        <v>2872</v>
      </c>
      <c r="F1319" s="1" t="s">
        <v>16</v>
      </c>
      <c r="G1319" s="1" t="s">
        <v>17</v>
      </c>
      <c r="H1319" s="1" t="s">
        <v>18</v>
      </c>
      <c r="I1319" s="1" t="s">
        <v>44</v>
      </c>
      <c r="J1319" s="1">
        <v>112.0</v>
      </c>
      <c r="K1319" s="1">
        <v>30.0</v>
      </c>
      <c r="L1319" s="1">
        <v>16.0</v>
      </c>
    </row>
    <row r="1320">
      <c r="A1320" s="1">
        <v>3213062.0</v>
      </c>
      <c r="B1320" s="1" t="s">
        <v>2873</v>
      </c>
      <c r="C1320" s="1" t="s">
        <v>2070</v>
      </c>
      <c r="D1320" s="1" t="s">
        <v>2127</v>
      </c>
      <c r="E1320" s="1" t="s">
        <v>2874</v>
      </c>
      <c r="F1320" s="1" t="s">
        <v>16</v>
      </c>
      <c r="G1320" s="1" t="s">
        <v>17</v>
      </c>
      <c r="H1320" s="1" t="s">
        <v>18</v>
      </c>
      <c r="I1320" s="1" t="s">
        <v>19</v>
      </c>
      <c r="J1320" s="1">
        <v>119.0</v>
      </c>
      <c r="K1320" s="1">
        <v>27.0</v>
      </c>
      <c r="L1320" s="1">
        <v>0.0</v>
      </c>
    </row>
    <row r="1321">
      <c r="A1321" s="1">
        <v>3277020.0</v>
      </c>
      <c r="B1321" s="1" t="s">
        <v>2875</v>
      </c>
      <c r="C1321" s="1" t="s">
        <v>2070</v>
      </c>
      <c r="D1321" s="1" t="s">
        <v>2217</v>
      </c>
      <c r="E1321" s="1" t="s">
        <v>2876</v>
      </c>
      <c r="F1321" s="1" t="s">
        <v>16</v>
      </c>
      <c r="G1321" s="1" t="s">
        <v>27</v>
      </c>
      <c r="H1321" s="1" t="s">
        <v>28</v>
      </c>
      <c r="I1321" s="1" t="s">
        <v>29</v>
      </c>
      <c r="J1321" s="1">
        <v>303.0</v>
      </c>
      <c r="K1321" s="1">
        <v>78.0</v>
      </c>
      <c r="L1321" s="1">
        <v>647.0</v>
      </c>
    </row>
    <row r="1322">
      <c r="A1322" s="1">
        <v>3273528.0</v>
      </c>
      <c r="B1322" s="1" t="s">
        <v>2877</v>
      </c>
      <c r="C1322" s="1" t="s">
        <v>2070</v>
      </c>
      <c r="D1322" s="1" t="s">
        <v>2088</v>
      </c>
      <c r="E1322" s="1" t="s">
        <v>2878</v>
      </c>
      <c r="F1322" s="1" t="s">
        <v>55</v>
      </c>
      <c r="G1322" s="1" t="s">
        <v>17</v>
      </c>
      <c r="H1322" s="1" t="s">
        <v>18</v>
      </c>
      <c r="I1322" s="1" t="s">
        <v>19</v>
      </c>
      <c r="J1322" s="1">
        <v>41.0</v>
      </c>
      <c r="K1322" s="1">
        <v>30.0</v>
      </c>
      <c r="L1322" s="1">
        <v>110.0</v>
      </c>
    </row>
    <row r="1323">
      <c r="A1323" s="1">
        <v>3214036.0</v>
      </c>
      <c r="B1323" s="1" t="s">
        <v>2879</v>
      </c>
      <c r="C1323" s="1" t="s">
        <v>2070</v>
      </c>
      <c r="D1323" s="1" t="s">
        <v>2182</v>
      </c>
      <c r="E1323" s="1" t="s">
        <v>2880</v>
      </c>
      <c r="F1323" s="1" t="s">
        <v>55</v>
      </c>
      <c r="G1323" s="1" t="s">
        <v>17</v>
      </c>
      <c r="H1323" s="1" t="s">
        <v>18</v>
      </c>
      <c r="I1323" s="1" t="s">
        <v>44</v>
      </c>
      <c r="J1323" s="1">
        <v>51.0</v>
      </c>
      <c r="K1323" s="1">
        <v>25.0</v>
      </c>
      <c r="L1323" s="1">
        <v>64.0</v>
      </c>
    </row>
    <row r="1324">
      <c r="A1324" s="1">
        <v>3201239.0</v>
      </c>
      <c r="B1324" s="1" t="s">
        <v>2881</v>
      </c>
      <c r="C1324" s="1" t="s">
        <v>2070</v>
      </c>
      <c r="D1324" s="1" t="s">
        <v>2097</v>
      </c>
      <c r="E1324" s="1" t="s">
        <v>2882</v>
      </c>
      <c r="F1324" s="1" t="s">
        <v>55</v>
      </c>
      <c r="G1324" s="1" t="s">
        <v>17</v>
      </c>
      <c r="H1324" s="1" t="s">
        <v>18</v>
      </c>
      <c r="I1324" s="1" t="s">
        <v>44</v>
      </c>
      <c r="J1324" s="1">
        <v>61.0</v>
      </c>
      <c r="K1324" s="1">
        <v>20.0</v>
      </c>
      <c r="L1324" s="1">
        <v>153.0</v>
      </c>
    </row>
    <row r="1325">
      <c r="A1325" s="1">
        <v>3201250.0</v>
      </c>
      <c r="B1325" s="1" t="s">
        <v>2883</v>
      </c>
      <c r="C1325" s="1" t="s">
        <v>2070</v>
      </c>
      <c r="D1325" s="1" t="s">
        <v>2097</v>
      </c>
      <c r="E1325" s="1" t="s">
        <v>2884</v>
      </c>
      <c r="F1325" s="1" t="s">
        <v>16</v>
      </c>
      <c r="G1325" s="1" t="s">
        <v>17</v>
      </c>
      <c r="H1325" s="1" t="s">
        <v>18</v>
      </c>
      <c r="I1325" s="1" t="s">
        <v>44</v>
      </c>
      <c r="J1325" s="1">
        <v>115.0</v>
      </c>
      <c r="K1325" s="1">
        <v>23.0</v>
      </c>
      <c r="L1325" s="1">
        <v>87.0</v>
      </c>
    </row>
    <row r="1326">
      <c r="A1326" s="1">
        <v>3204173.0</v>
      </c>
      <c r="B1326" s="1" t="s">
        <v>2885</v>
      </c>
      <c r="C1326" s="1" t="s">
        <v>2070</v>
      </c>
      <c r="D1326" s="1" t="s">
        <v>2091</v>
      </c>
      <c r="E1326" s="1" t="s">
        <v>2886</v>
      </c>
      <c r="F1326" s="1" t="s">
        <v>16</v>
      </c>
      <c r="G1326" s="1" t="s">
        <v>23</v>
      </c>
      <c r="H1326" s="1" t="s">
        <v>18</v>
      </c>
      <c r="I1326" s="1" t="s">
        <v>40</v>
      </c>
      <c r="J1326" s="1">
        <v>53.0</v>
      </c>
      <c r="K1326" s="1">
        <v>25.0</v>
      </c>
      <c r="L1326" s="1">
        <v>0.0</v>
      </c>
    </row>
    <row r="1327">
      <c r="A1327" s="1">
        <v>3275207.0</v>
      </c>
      <c r="B1327" s="1" t="s">
        <v>2887</v>
      </c>
      <c r="C1327" s="1" t="s">
        <v>2070</v>
      </c>
      <c r="D1327" s="1" t="s">
        <v>2119</v>
      </c>
      <c r="E1327" s="1" t="s">
        <v>2888</v>
      </c>
      <c r="F1327" s="1" t="s">
        <v>16</v>
      </c>
      <c r="G1327" s="1" t="s">
        <v>17</v>
      </c>
      <c r="H1327" s="1" t="s">
        <v>18</v>
      </c>
      <c r="I1327" s="1" t="s">
        <v>19</v>
      </c>
      <c r="J1327" s="1">
        <v>100.0</v>
      </c>
      <c r="K1327" s="1">
        <v>27.0</v>
      </c>
      <c r="L1327" s="1">
        <v>117.0</v>
      </c>
    </row>
    <row r="1328">
      <c r="A1328" s="1">
        <v>3276155.0</v>
      </c>
      <c r="B1328" s="1" t="s">
        <v>2889</v>
      </c>
      <c r="C1328" s="1" t="s">
        <v>2070</v>
      </c>
      <c r="D1328" s="1" t="s">
        <v>2082</v>
      </c>
      <c r="E1328" s="1" t="s">
        <v>2890</v>
      </c>
      <c r="F1328" s="1" t="s">
        <v>16</v>
      </c>
      <c r="G1328" s="1" t="s">
        <v>23</v>
      </c>
      <c r="H1328" s="1" t="s">
        <v>18</v>
      </c>
      <c r="I1328" s="1" t="s">
        <v>19</v>
      </c>
      <c r="J1328" s="1">
        <v>41.0</v>
      </c>
      <c r="K1328" s="1">
        <v>37.0</v>
      </c>
      <c r="L1328" s="1">
        <v>60.0</v>
      </c>
    </row>
    <row r="1329">
      <c r="A1329" s="1">
        <v>3204135.0</v>
      </c>
      <c r="B1329" s="1" t="s">
        <v>2891</v>
      </c>
      <c r="C1329" s="1" t="s">
        <v>2070</v>
      </c>
      <c r="D1329" s="1" t="s">
        <v>2091</v>
      </c>
      <c r="E1329" s="1" t="s">
        <v>2892</v>
      </c>
      <c r="F1329" s="1" t="s">
        <v>16</v>
      </c>
      <c r="G1329" s="1" t="s">
        <v>23</v>
      </c>
      <c r="H1329" s="1" t="s">
        <v>18</v>
      </c>
      <c r="I1329" s="1" t="s">
        <v>19</v>
      </c>
      <c r="J1329" s="1">
        <v>69.0</v>
      </c>
      <c r="K1329" s="1">
        <v>13.0</v>
      </c>
      <c r="L1329" s="1">
        <v>57.0</v>
      </c>
    </row>
    <row r="1330">
      <c r="A1330" s="1">
        <v>3207012.0</v>
      </c>
      <c r="B1330" s="1" t="s">
        <v>2893</v>
      </c>
      <c r="C1330" s="1" t="s">
        <v>2070</v>
      </c>
      <c r="D1330" s="1" t="s">
        <v>2162</v>
      </c>
      <c r="E1330" s="1" t="s">
        <v>2894</v>
      </c>
      <c r="F1330" s="1" t="s">
        <v>16</v>
      </c>
      <c r="G1330" s="1" t="s">
        <v>17</v>
      </c>
      <c r="H1330" s="1" t="s">
        <v>28</v>
      </c>
      <c r="I1330" s="1" t="s">
        <v>40</v>
      </c>
      <c r="J1330" s="1">
        <v>290.0</v>
      </c>
      <c r="K1330" s="1">
        <v>73.0</v>
      </c>
      <c r="L1330" s="1">
        <v>1039.0</v>
      </c>
    </row>
    <row r="1331">
      <c r="A1331" s="1">
        <v>3216400.0</v>
      </c>
      <c r="B1331" s="1" t="s">
        <v>2895</v>
      </c>
      <c r="C1331" s="1" t="s">
        <v>2070</v>
      </c>
      <c r="D1331" s="1" t="s">
        <v>2079</v>
      </c>
      <c r="E1331" s="1" t="s">
        <v>2896</v>
      </c>
      <c r="F1331" s="1" t="s">
        <v>16</v>
      </c>
      <c r="G1331" s="1" t="s">
        <v>17</v>
      </c>
      <c r="H1331" s="1" t="s">
        <v>18</v>
      </c>
      <c r="I1331" s="1" t="s">
        <v>44</v>
      </c>
      <c r="J1331" s="1">
        <v>140.0</v>
      </c>
      <c r="K1331" s="1">
        <v>34.0</v>
      </c>
      <c r="L1331" s="1">
        <v>49.0</v>
      </c>
    </row>
    <row r="1332">
      <c r="A1332" s="1">
        <v>3276150.0</v>
      </c>
      <c r="B1332" s="1" t="s">
        <v>2897</v>
      </c>
      <c r="C1332" s="1" t="s">
        <v>2070</v>
      </c>
      <c r="D1332" s="1" t="s">
        <v>2082</v>
      </c>
      <c r="E1332" s="1" t="s">
        <v>2898</v>
      </c>
      <c r="F1332" s="1" t="s">
        <v>1884</v>
      </c>
      <c r="G1332" s="1" t="s">
        <v>27</v>
      </c>
      <c r="H1332" s="1" t="s">
        <v>18</v>
      </c>
      <c r="I1332" s="1" t="s">
        <v>44</v>
      </c>
      <c r="J1332" s="1">
        <v>75.0</v>
      </c>
      <c r="K1332" s="1">
        <v>47.0</v>
      </c>
      <c r="L1332" s="1">
        <v>191.0</v>
      </c>
    </row>
    <row r="1333">
      <c r="A1333" s="1">
        <v>3271104.0</v>
      </c>
      <c r="B1333" s="1" t="s">
        <v>2899</v>
      </c>
      <c r="C1333" s="1" t="s">
        <v>2070</v>
      </c>
      <c r="D1333" s="1" t="s">
        <v>2173</v>
      </c>
      <c r="E1333" s="1" t="s">
        <v>2900</v>
      </c>
      <c r="F1333" s="1" t="s">
        <v>16</v>
      </c>
      <c r="G1333" s="1" t="s">
        <v>27</v>
      </c>
      <c r="H1333" s="1" t="s">
        <v>28</v>
      </c>
      <c r="I1333" s="1" t="s">
        <v>29</v>
      </c>
      <c r="J1333" s="1">
        <v>535.0</v>
      </c>
      <c r="K1333" s="1">
        <v>87.0</v>
      </c>
      <c r="L1333" s="1">
        <v>1605.0</v>
      </c>
    </row>
    <row r="1334">
      <c r="A1334" s="1">
        <v>3207059.0</v>
      </c>
      <c r="B1334" s="1" t="s">
        <v>2901</v>
      </c>
      <c r="C1334" s="1" t="s">
        <v>2070</v>
      </c>
      <c r="D1334" s="1" t="s">
        <v>2162</v>
      </c>
      <c r="E1334" s="1" t="s">
        <v>2902</v>
      </c>
      <c r="F1334" s="1" t="s">
        <v>1970</v>
      </c>
      <c r="G1334" s="1" t="s">
        <v>17</v>
      </c>
      <c r="H1334" s="1" t="s">
        <v>18</v>
      </c>
      <c r="I1334" s="1" t="s">
        <v>19</v>
      </c>
      <c r="J1334" s="1">
        <v>44.0</v>
      </c>
      <c r="K1334" s="1">
        <v>22.0</v>
      </c>
      <c r="L1334" s="1">
        <v>67.0</v>
      </c>
    </row>
    <row r="1335">
      <c r="A1335" s="1">
        <v>3204165.0</v>
      </c>
      <c r="B1335" s="1" t="s">
        <v>2903</v>
      </c>
      <c r="C1335" s="1" t="s">
        <v>2070</v>
      </c>
      <c r="D1335" s="1" t="s">
        <v>2091</v>
      </c>
      <c r="E1335" s="1" t="s">
        <v>2904</v>
      </c>
      <c r="F1335" s="1" t="s">
        <v>16</v>
      </c>
      <c r="G1335" s="1" t="s">
        <v>17</v>
      </c>
      <c r="H1335" s="1" t="s">
        <v>18</v>
      </c>
      <c r="I1335" s="1" t="s">
        <v>19</v>
      </c>
      <c r="J1335" s="1">
        <v>147.0</v>
      </c>
      <c r="K1335" s="1">
        <v>54.0</v>
      </c>
      <c r="L1335" s="1">
        <v>0.0</v>
      </c>
    </row>
    <row r="1336">
      <c r="A1336" s="1">
        <v>3212016.0</v>
      </c>
      <c r="B1336" s="1" t="s">
        <v>2905</v>
      </c>
      <c r="C1336" s="1" t="s">
        <v>2070</v>
      </c>
      <c r="D1336" s="1" t="s">
        <v>2189</v>
      </c>
      <c r="E1336" s="1" t="s">
        <v>2906</v>
      </c>
      <c r="F1336" s="1" t="s">
        <v>16</v>
      </c>
      <c r="G1336" s="1" t="s">
        <v>27</v>
      </c>
      <c r="H1336" s="1" t="s">
        <v>28</v>
      </c>
      <c r="I1336" s="1" t="s">
        <v>40</v>
      </c>
      <c r="J1336" s="1">
        <v>320.0</v>
      </c>
      <c r="K1336" s="1">
        <v>114.0</v>
      </c>
      <c r="L1336" s="1">
        <v>505.0</v>
      </c>
    </row>
    <row r="1337">
      <c r="A1337" s="1">
        <v>3275017.0</v>
      </c>
      <c r="B1337" s="1" t="s">
        <v>2907</v>
      </c>
      <c r="C1337" s="1" t="s">
        <v>2070</v>
      </c>
      <c r="D1337" s="1" t="s">
        <v>2119</v>
      </c>
      <c r="E1337" s="1" t="s">
        <v>2908</v>
      </c>
      <c r="F1337" s="1" t="s">
        <v>16</v>
      </c>
      <c r="G1337" s="1" t="s">
        <v>17</v>
      </c>
      <c r="H1337" s="1" t="s">
        <v>18</v>
      </c>
      <c r="I1337" s="1" t="s">
        <v>19</v>
      </c>
      <c r="J1337" s="1">
        <v>104.0</v>
      </c>
      <c r="K1337" s="1">
        <v>25.0</v>
      </c>
      <c r="L1337" s="1">
        <v>180.0</v>
      </c>
    </row>
    <row r="1338">
      <c r="A1338" s="1">
        <v>3201094.0</v>
      </c>
      <c r="B1338" s="1" t="s">
        <v>2099</v>
      </c>
      <c r="C1338" s="1" t="s">
        <v>2070</v>
      </c>
      <c r="D1338" s="1" t="s">
        <v>2097</v>
      </c>
      <c r="E1338" s="1" t="s">
        <v>2909</v>
      </c>
      <c r="F1338" s="1" t="s">
        <v>16</v>
      </c>
      <c r="G1338" s="1" t="s">
        <v>17</v>
      </c>
      <c r="H1338" s="1" t="s">
        <v>18</v>
      </c>
      <c r="I1338" s="1" t="s">
        <v>19</v>
      </c>
      <c r="J1338" s="1">
        <v>129.0</v>
      </c>
      <c r="K1338" s="1">
        <v>22.0</v>
      </c>
      <c r="L1338" s="1">
        <v>133.0</v>
      </c>
    </row>
    <row r="1339">
      <c r="A1339" s="1">
        <v>3273546.0</v>
      </c>
      <c r="B1339" s="1" t="s">
        <v>2910</v>
      </c>
      <c r="C1339" s="1" t="s">
        <v>2070</v>
      </c>
      <c r="D1339" s="1" t="s">
        <v>2088</v>
      </c>
      <c r="E1339" s="1" t="s">
        <v>2911</v>
      </c>
      <c r="F1339" s="1" t="s">
        <v>55</v>
      </c>
      <c r="G1339" s="1" t="s">
        <v>17</v>
      </c>
      <c r="H1339" s="1" t="s">
        <v>18</v>
      </c>
      <c r="I1339" s="1" t="s">
        <v>19</v>
      </c>
      <c r="J1339" s="1">
        <v>27.0</v>
      </c>
      <c r="K1339" s="1">
        <v>25.0</v>
      </c>
      <c r="L1339" s="1">
        <v>79.0</v>
      </c>
    </row>
    <row r="1340">
      <c r="A1340" s="1">
        <v>3212057.0</v>
      </c>
      <c r="B1340" s="1" t="s">
        <v>2912</v>
      </c>
      <c r="C1340" s="1" t="s">
        <v>2070</v>
      </c>
      <c r="D1340" s="1" t="s">
        <v>2189</v>
      </c>
      <c r="E1340" s="1" t="s">
        <v>2913</v>
      </c>
      <c r="F1340" s="1" t="s">
        <v>16</v>
      </c>
      <c r="G1340" s="1" t="s">
        <v>23</v>
      </c>
      <c r="H1340" s="1" t="s">
        <v>18</v>
      </c>
      <c r="I1340" s="1" t="s">
        <v>19</v>
      </c>
      <c r="J1340" s="1">
        <v>54.0</v>
      </c>
      <c r="K1340" s="1">
        <v>19.0</v>
      </c>
      <c r="L1340" s="1">
        <v>66.0</v>
      </c>
    </row>
    <row r="1341">
      <c r="A1341" s="1">
        <v>3207060.0</v>
      </c>
      <c r="B1341" s="1" t="s">
        <v>2914</v>
      </c>
      <c r="C1341" s="1" t="s">
        <v>2070</v>
      </c>
      <c r="D1341" s="1" t="s">
        <v>2162</v>
      </c>
      <c r="E1341" s="1" t="s">
        <v>2915</v>
      </c>
      <c r="F1341" s="1" t="s">
        <v>16</v>
      </c>
      <c r="G1341" s="1" t="s">
        <v>23</v>
      </c>
      <c r="H1341" s="1" t="s">
        <v>28</v>
      </c>
      <c r="I1341" s="1" t="s">
        <v>40</v>
      </c>
      <c r="J1341" s="1">
        <v>83.0</v>
      </c>
      <c r="K1341" s="1">
        <v>16.0</v>
      </c>
      <c r="L1341" s="1">
        <v>90.0</v>
      </c>
    </row>
    <row r="1342">
      <c r="A1342" s="1">
        <v>3278094.0</v>
      </c>
      <c r="B1342" s="1" t="s">
        <v>2916</v>
      </c>
      <c r="C1342" s="1" t="s">
        <v>2070</v>
      </c>
      <c r="D1342" s="1" t="s">
        <v>2077</v>
      </c>
      <c r="E1342" s="1" t="s">
        <v>2917</v>
      </c>
      <c r="F1342" s="1" t="s">
        <v>1884</v>
      </c>
      <c r="G1342" s="1" t="s">
        <v>27</v>
      </c>
      <c r="H1342" s="1" t="s">
        <v>18</v>
      </c>
      <c r="I1342" s="1" t="s">
        <v>44</v>
      </c>
      <c r="J1342" s="1">
        <v>76.0</v>
      </c>
      <c r="K1342" s="1">
        <v>47.0</v>
      </c>
      <c r="L1342" s="1">
        <v>0.0</v>
      </c>
    </row>
    <row r="1343">
      <c r="A1343" s="1">
        <v>3201115.0</v>
      </c>
      <c r="B1343" s="1" t="s">
        <v>2918</v>
      </c>
      <c r="C1343" s="1" t="s">
        <v>2070</v>
      </c>
      <c r="D1343" s="1" t="s">
        <v>2097</v>
      </c>
      <c r="E1343" s="1" t="s">
        <v>2919</v>
      </c>
      <c r="F1343" s="1" t="s">
        <v>16</v>
      </c>
      <c r="G1343" s="1" t="s">
        <v>17</v>
      </c>
      <c r="H1343" s="1" t="s">
        <v>18</v>
      </c>
      <c r="I1343" s="1" t="s">
        <v>19</v>
      </c>
      <c r="J1343" s="1">
        <v>120.0</v>
      </c>
      <c r="K1343" s="1">
        <v>70.0</v>
      </c>
      <c r="L1343" s="1">
        <v>155.0</v>
      </c>
    </row>
    <row r="1344">
      <c r="A1344" s="1">
        <v>3273106.0</v>
      </c>
      <c r="B1344" s="1" t="s">
        <v>2723</v>
      </c>
      <c r="C1344" s="1" t="s">
        <v>2070</v>
      </c>
      <c r="D1344" s="1" t="s">
        <v>2088</v>
      </c>
      <c r="E1344" s="1" t="s">
        <v>2920</v>
      </c>
      <c r="F1344" s="1" t="s">
        <v>16</v>
      </c>
      <c r="G1344" s="1" t="s">
        <v>17</v>
      </c>
      <c r="H1344" s="1" t="s">
        <v>18</v>
      </c>
      <c r="I1344" s="1" t="s">
        <v>684</v>
      </c>
      <c r="J1344" s="1">
        <v>103.0</v>
      </c>
      <c r="K1344" s="1">
        <v>49.0</v>
      </c>
      <c r="L1344" s="1">
        <v>586.0</v>
      </c>
    </row>
    <row r="1345">
      <c r="A1345" s="1">
        <v>3276146.0</v>
      </c>
      <c r="B1345" s="1" t="s">
        <v>2921</v>
      </c>
      <c r="C1345" s="1" t="s">
        <v>2070</v>
      </c>
      <c r="D1345" s="1" t="s">
        <v>2082</v>
      </c>
      <c r="E1345" s="1" t="s">
        <v>2922</v>
      </c>
      <c r="F1345" s="1" t="s">
        <v>16</v>
      </c>
      <c r="G1345" s="1" t="s">
        <v>17</v>
      </c>
      <c r="H1345" s="1" t="s">
        <v>18</v>
      </c>
      <c r="I1345" s="1" t="s">
        <v>44</v>
      </c>
      <c r="J1345" s="1">
        <v>113.0</v>
      </c>
      <c r="K1345" s="1">
        <v>69.0</v>
      </c>
      <c r="L1345" s="1">
        <v>428.0</v>
      </c>
    </row>
    <row r="1346">
      <c r="A1346" s="1">
        <v>3205022.0</v>
      </c>
      <c r="B1346" s="1" t="s">
        <v>2923</v>
      </c>
      <c r="C1346" s="1" t="s">
        <v>2070</v>
      </c>
      <c r="D1346" s="1" t="s">
        <v>2214</v>
      </c>
      <c r="E1346" s="1" t="s">
        <v>2924</v>
      </c>
      <c r="F1346" s="1" t="s">
        <v>16</v>
      </c>
      <c r="G1346" s="1" t="s">
        <v>17</v>
      </c>
      <c r="H1346" s="1" t="s">
        <v>28</v>
      </c>
      <c r="I1346" s="1" t="s">
        <v>139</v>
      </c>
      <c r="J1346" s="1">
        <v>148.0</v>
      </c>
      <c r="K1346" s="1">
        <v>21.0</v>
      </c>
      <c r="L1346" s="1">
        <v>248.0</v>
      </c>
    </row>
    <row r="1347">
      <c r="A1347" s="1">
        <v>3212054.0</v>
      </c>
      <c r="B1347" s="1" t="s">
        <v>2925</v>
      </c>
      <c r="C1347" s="1" t="s">
        <v>2070</v>
      </c>
      <c r="D1347" s="1" t="s">
        <v>2189</v>
      </c>
      <c r="E1347" s="1" t="s">
        <v>2926</v>
      </c>
      <c r="F1347" s="1" t="s">
        <v>16</v>
      </c>
      <c r="G1347" s="1" t="s">
        <v>23</v>
      </c>
      <c r="H1347" s="1" t="s">
        <v>18</v>
      </c>
      <c r="I1347" s="1" t="s">
        <v>44</v>
      </c>
      <c r="J1347" s="1">
        <v>97.0</v>
      </c>
      <c r="K1347" s="1">
        <v>23.0</v>
      </c>
      <c r="L1347" s="1">
        <v>252.0</v>
      </c>
    </row>
    <row r="1348">
      <c r="A1348" s="1">
        <v>3273543.0</v>
      </c>
      <c r="B1348" s="1" t="s">
        <v>2927</v>
      </c>
      <c r="C1348" s="1" t="s">
        <v>2070</v>
      </c>
      <c r="D1348" s="1" t="s">
        <v>2088</v>
      </c>
      <c r="E1348" s="1" t="s">
        <v>2928</v>
      </c>
      <c r="F1348" s="1" t="s">
        <v>16</v>
      </c>
      <c r="G1348" s="1" t="s">
        <v>17</v>
      </c>
      <c r="H1348" s="1" t="s">
        <v>18</v>
      </c>
      <c r="I1348" s="1" t="s">
        <v>19</v>
      </c>
      <c r="J1348" s="1">
        <v>113.0</v>
      </c>
      <c r="K1348" s="1">
        <v>48.0</v>
      </c>
      <c r="L1348" s="1">
        <v>94.0</v>
      </c>
    </row>
    <row r="1349">
      <c r="A1349" s="1">
        <v>3313022.0</v>
      </c>
      <c r="B1349" s="1" t="s">
        <v>2929</v>
      </c>
      <c r="C1349" s="1" t="s">
        <v>2930</v>
      </c>
      <c r="D1349" s="1" t="s">
        <v>2931</v>
      </c>
      <c r="E1349" s="1" t="s">
        <v>2932</v>
      </c>
      <c r="F1349" s="1" t="s">
        <v>16</v>
      </c>
      <c r="G1349" s="1" t="s">
        <v>23</v>
      </c>
      <c r="H1349" s="1" t="s">
        <v>18</v>
      </c>
      <c r="I1349" s="1" t="s">
        <v>563</v>
      </c>
      <c r="J1349" s="1">
        <v>83.0</v>
      </c>
      <c r="K1349" s="1">
        <v>26.0</v>
      </c>
      <c r="L1349" s="1">
        <v>161.0</v>
      </c>
    </row>
    <row r="1350">
      <c r="A1350" s="1">
        <v>3319025.0</v>
      </c>
      <c r="B1350" s="1" t="s">
        <v>2933</v>
      </c>
      <c r="C1350" s="1" t="s">
        <v>2930</v>
      </c>
      <c r="D1350" s="1" t="s">
        <v>2934</v>
      </c>
      <c r="E1350" s="1" t="s">
        <v>2935</v>
      </c>
      <c r="F1350" s="1" t="s">
        <v>55</v>
      </c>
      <c r="G1350" s="1" t="s">
        <v>17</v>
      </c>
      <c r="H1350" s="1" t="s">
        <v>18</v>
      </c>
      <c r="I1350" s="1" t="s">
        <v>249</v>
      </c>
      <c r="J1350" s="1">
        <v>28.0</v>
      </c>
      <c r="K1350" s="1">
        <v>17.0</v>
      </c>
      <c r="L1350" s="1">
        <v>43.0</v>
      </c>
    </row>
    <row r="1351">
      <c r="A1351" s="1">
        <v>3302030.0</v>
      </c>
      <c r="B1351" s="1" t="s">
        <v>2936</v>
      </c>
      <c r="C1351" s="1" t="s">
        <v>2930</v>
      </c>
      <c r="D1351" s="1" t="s">
        <v>2937</v>
      </c>
      <c r="E1351" s="1" t="s">
        <v>2938</v>
      </c>
      <c r="F1351" s="1" t="s">
        <v>16</v>
      </c>
      <c r="G1351" s="1" t="s">
        <v>17</v>
      </c>
      <c r="H1351" s="1" t="s">
        <v>33</v>
      </c>
      <c r="I1351" s="1" t="s">
        <v>74</v>
      </c>
      <c r="J1351" s="1">
        <v>154.0</v>
      </c>
      <c r="K1351" s="1">
        <v>88.0</v>
      </c>
      <c r="L1351" s="1">
        <v>30.0</v>
      </c>
    </row>
    <row r="1352">
      <c r="A1352" s="1">
        <v>3371131.0</v>
      </c>
      <c r="B1352" s="1" t="s">
        <v>350</v>
      </c>
      <c r="C1352" s="1" t="s">
        <v>2930</v>
      </c>
      <c r="D1352" s="1" t="s">
        <v>2939</v>
      </c>
      <c r="E1352" s="1" t="s">
        <v>2940</v>
      </c>
      <c r="F1352" s="1" t="s">
        <v>16</v>
      </c>
      <c r="G1352" s="1" t="s">
        <v>17</v>
      </c>
      <c r="H1352" s="1" t="s">
        <v>18</v>
      </c>
      <c r="I1352" s="1" t="s">
        <v>19</v>
      </c>
      <c r="J1352" s="1">
        <v>98.0</v>
      </c>
      <c r="K1352" s="1">
        <v>48.0</v>
      </c>
      <c r="L1352" s="1">
        <v>241.0</v>
      </c>
    </row>
    <row r="1353">
      <c r="A1353" s="1">
        <v>3306105.0</v>
      </c>
      <c r="B1353" s="1" t="s">
        <v>2941</v>
      </c>
      <c r="C1353" s="1" t="s">
        <v>2930</v>
      </c>
      <c r="D1353" s="1" t="s">
        <v>2942</v>
      </c>
      <c r="E1353" s="1" t="s">
        <v>2943</v>
      </c>
      <c r="F1353" s="1" t="s">
        <v>55</v>
      </c>
      <c r="G1353" s="1" t="s">
        <v>17</v>
      </c>
      <c r="H1353" s="1" t="s">
        <v>18</v>
      </c>
      <c r="I1353" s="1" t="s">
        <v>44</v>
      </c>
      <c r="J1353" s="1">
        <v>28.0</v>
      </c>
      <c r="K1353" s="1">
        <v>30.0</v>
      </c>
      <c r="L1353" s="1">
        <v>108.0</v>
      </c>
    </row>
    <row r="1354">
      <c r="A1354" s="1">
        <v>3314108.0</v>
      </c>
      <c r="B1354" s="1" t="s">
        <v>2944</v>
      </c>
      <c r="C1354" s="1" t="s">
        <v>2930</v>
      </c>
      <c r="D1354" s="1" t="s">
        <v>2945</v>
      </c>
      <c r="E1354" s="1" t="s">
        <v>2946</v>
      </c>
      <c r="F1354" s="1" t="s">
        <v>16</v>
      </c>
      <c r="G1354" s="1" t="s">
        <v>23</v>
      </c>
      <c r="H1354" s="1" t="s">
        <v>28</v>
      </c>
      <c r="I1354" s="1" t="s">
        <v>40</v>
      </c>
      <c r="J1354" s="1">
        <v>58.0</v>
      </c>
      <c r="K1354" s="1">
        <v>25.0</v>
      </c>
      <c r="L1354" s="1">
        <v>0.0</v>
      </c>
    </row>
    <row r="1355">
      <c r="A1355" s="1">
        <v>3374392.0</v>
      </c>
      <c r="B1355" s="1" t="s">
        <v>2947</v>
      </c>
      <c r="C1355" s="1" t="s">
        <v>2930</v>
      </c>
      <c r="D1355" s="1" t="s">
        <v>2948</v>
      </c>
      <c r="E1355" s="1" t="s">
        <v>2949</v>
      </c>
      <c r="F1355" s="1" t="s">
        <v>16</v>
      </c>
      <c r="G1355" s="1" t="s">
        <v>23</v>
      </c>
      <c r="H1355" s="1" t="s">
        <v>18</v>
      </c>
      <c r="I1355" s="1" t="s">
        <v>29</v>
      </c>
      <c r="J1355" s="1">
        <v>48.0</v>
      </c>
      <c r="K1355" s="1">
        <v>35.0</v>
      </c>
      <c r="L1355" s="1">
        <v>0.0</v>
      </c>
    </row>
    <row r="1356">
      <c r="A1356" s="1">
        <v>3316062.0</v>
      </c>
      <c r="B1356" s="1" t="s">
        <v>2950</v>
      </c>
      <c r="C1356" s="1" t="s">
        <v>2930</v>
      </c>
      <c r="D1356" s="1" t="s">
        <v>2951</v>
      </c>
      <c r="E1356" s="1" t="s">
        <v>2952</v>
      </c>
      <c r="F1356" s="1" t="s">
        <v>16</v>
      </c>
      <c r="G1356" s="1" t="s">
        <v>23</v>
      </c>
      <c r="H1356" s="1" t="s">
        <v>18</v>
      </c>
      <c r="I1356" s="1" t="s">
        <v>74</v>
      </c>
      <c r="J1356" s="1">
        <v>81.0</v>
      </c>
      <c r="K1356" s="1">
        <v>17.0</v>
      </c>
      <c r="L1356" s="1">
        <v>108.0</v>
      </c>
    </row>
    <row r="1357">
      <c r="A1357" s="1">
        <v>3313042.0</v>
      </c>
      <c r="B1357" s="1" t="s">
        <v>2953</v>
      </c>
      <c r="C1357" s="1" t="s">
        <v>2930</v>
      </c>
      <c r="D1357" s="1" t="s">
        <v>2931</v>
      </c>
      <c r="E1357" s="1" t="s">
        <v>2954</v>
      </c>
      <c r="F1357" s="1" t="s">
        <v>55</v>
      </c>
      <c r="G1357" s="1" t="s">
        <v>17</v>
      </c>
      <c r="H1357" s="1" t="s">
        <v>18</v>
      </c>
      <c r="I1357" s="1" t="s">
        <v>19</v>
      </c>
      <c r="J1357" s="1">
        <v>39.0</v>
      </c>
      <c r="K1357" s="1">
        <v>14.0</v>
      </c>
      <c r="L1357" s="1">
        <v>80.0</v>
      </c>
    </row>
    <row r="1358">
      <c r="A1358" s="1">
        <v>3319043.0</v>
      </c>
      <c r="B1358" s="1" t="s">
        <v>2955</v>
      </c>
      <c r="C1358" s="1" t="s">
        <v>2930</v>
      </c>
      <c r="D1358" s="1" t="s">
        <v>2934</v>
      </c>
      <c r="E1358" s="1" t="s">
        <v>2956</v>
      </c>
      <c r="F1358" s="1" t="s">
        <v>16</v>
      </c>
      <c r="G1358" s="1" t="s">
        <v>23</v>
      </c>
      <c r="H1358" s="1" t="s">
        <v>18</v>
      </c>
      <c r="I1358" s="1" t="s">
        <v>684</v>
      </c>
      <c r="J1358" s="1">
        <v>102.0</v>
      </c>
      <c r="K1358" s="1">
        <v>37.0</v>
      </c>
      <c r="L1358" s="1">
        <v>180.0</v>
      </c>
    </row>
    <row r="1359">
      <c r="A1359" s="1">
        <v>3305033.0</v>
      </c>
      <c r="B1359" s="1" t="s">
        <v>2957</v>
      </c>
      <c r="C1359" s="1" t="s">
        <v>2930</v>
      </c>
      <c r="D1359" s="1" t="s">
        <v>2958</v>
      </c>
      <c r="E1359" s="1" t="s">
        <v>2959</v>
      </c>
      <c r="F1359" s="1" t="s">
        <v>16</v>
      </c>
      <c r="G1359" s="1" t="s">
        <v>17</v>
      </c>
      <c r="H1359" s="1" t="s">
        <v>18</v>
      </c>
      <c r="I1359" s="1" t="s">
        <v>59</v>
      </c>
      <c r="J1359" s="1">
        <v>119.0</v>
      </c>
      <c r="K1359" s="1">
        <v>36.0</v>
      </c>
      <c r="L1359" s="1">
        <v>264.0</v>
      </c>
    </row>
    <row r="1360">
      <c r="A1360" s="1">
        <v>3373042.0</v>
      </c>
      <c r="B1360" s="1" t="s">
        <v>2960</v>
      </c>
      <c r="C1360" s="1" t="s">
        <v>2930</v>
      </c>
      <c r="D1360" s="1" t="s">
        <v>2961</v>
      </c>
      <c r="E1360" s="1" t="s">
        <v>2962</v>
      </c>
      <c r="F1360" s="1" t="s">
        <v>473</v>
      </c>
      <c r="G1360" s="1" t="s">
        <v>150</v>
      </c>
      <c r="H1360" s="1" t="s">
        <v>33</v>
      </c>
      <c r="I1360" s="1" t="s">
        <v>411</v>
      </c>
      <c r="J1360" s="1">
        <v>221.0</v>
      </c>
      <c r="K1360" s="1">
        <v>52.0</v>
      </c>
      <c r="L1360" s="1">
        <v>495.0</v>
      </c>
    </row>
    <row r="1361">
      <c r="A1361" s="1">
        <v>3321033.0</v>
      </c>
      <c r="B1361" s="1" t="s">
        <v>2963</v>
      </c>
      <c r="C1361" s="1" t="s">
        <v>2930</v>
      </c>
      <c r="D1361" s="1" t="s">
        <v>2964</v>
      </c>
      <c r="E1361" s="1" t="s">
        <v>2965</v>
      </c>
      <c r="F1361" s="1" t="s">
        <v>16</v>
      </c>
      <c r="G1361" s="1" t="s">
        <v>17</v>
      </c>
      <c r="H1361" s="1" t="s">
        <v>18</v>
      </c>
      <c r="I1361" s="1" t="s">
        <v>684</v>
      </c>
      <c r="J1361" s="1">
        <v>116.0</v>
      </c>
      <c r="K1361" s="1">
        <v>29.0</v>
      </c>
      <c r="L1361" s="1">
        <v>207.0</v>
      </c>
    </row>
    <row r="1362">
      <c r="A1362" s="1">
        <v>3372236.0</v>
      </c>
      <c r="B1362" s="1" t="s">
        <v>2966</v>
      </c>
      <c r="C1362" s="1" t="s">
        <v>2930</v>
      </c>
      <c r="D1362" s="1" t="s">
        <v>2967</v>
      </c>
      <c r="E1362" s="1" t="s">
        <v>2968</v>
      </c>
      <c r="F1362" s="1" t="s">
        <v>16</v>
      </c>
      <c r="G1362" s="1" t="s">
        <v>17</v>
      </c>
      <c r="H1362" s="1" t="s">
        <v>18</v>
      </c>
      <c r="I1362" s="1" t="s">
        <v>19</v>
      </c>
      <c r="J1362" s="1">
        <v>149.0</v>
      </c>
      <c r="K1362" s="1">
        <v>28.0</v>
      </c>
      <c r="L1362" s="1">
        <v>197.0</v>
      </c>
    </row>
    <row r="1363">
      <c r="A1363" s="1">
        <v>3324040.0</v>
      </c>
      <c r="B1363" s="1" t="s">
        <v>2969</v>
      </c>
      <c r="C1363" s="1" t="s">
        <v>2930</v>
      </c>
      <c r="D1363" s="1" t="s">
        <v>2970</v>
      </c>
      <c r="E1363" s="1" t="s">
        <v>2971</v>
      </c>
      <c r="F1363" s="1" t="s">
        <v>16</v>
      </c>
      <c r="G1363" s="1" t="s">
        <v>17</v>
      </c>
      <c r="H1363" s="1" t="s">
        <v>18</v>
      </c>
      <c r="I1363" s="1" t="s">
        <v>44</v>
      </c>
      <c r="J1363" s="1">
        <v>100.0</v>
      </c>
      <c r="K1363" s="1">
        <v>25.0</v>
      </c>
      <c r="L1363" s="1">
        <v>103.0</v>
      </c>
    </row>
    <row r="1364">
      <c r="A1364" s="1">
        <v>3309096.0</v>
      </c>
      <c r="B1364" s="1" t="s">
        <v>2972</v>
      </c>
      <c r="C1364" s="1" t="s">
        <v>2930</v>
      </c>
      <c r="D1364" s="1" t="s">
        <v>2973</v>
      </c>
      <c r="E1364" s="1" t="s">
        <v>2974</v>
      </c>
      <c r="F1364" s="1" t="s">
        <v>16</v>
      </c>
      <c r="G1364" s="1" t="s">
        <v>17</v>
      </c>
      <c r="H1364" s="1" t="s">
        <v>28</v>
      </c>
      <c r="I1364" s="1" t="s">
        <v>40</v>
      </c>
      <c r="J1364" s="1">
        <v>104.0</v>
      </c>
      <c r="K1364" s="1">
        <v>66.0</v>
      </c>
      <c r="L1364" s="1">
        <v>257.0</v>
      </c>
    </row>
    <row r="1365">
      <c r="A1365" s="1">
        <v>3374273.0</v>
      </c>
      <c r="B1365" s="1" t="s">
        <v>2975</v>
      </c>
      <c r="C1365" s="1" t="s">
        <v>2930</v>
      </c>
      <c r="D1365" s="1" t="s">
        <v>2948</v>
      </c>
      <c r="E1365" s="1" t="s">
        <v>2976</v>
      </c>
      <c r="F1365" s="1" t="s">
        <v>55</v>
      </c>
      <c r="G1365" s="1" t="s">
        <v>17</v>
      </c>
      <c r="H1365" s="1" t="s">
        <v>18</v>
      </c>
      <c r="I1365" s="1" t="s">
        <v>19</v>
      </c>
      <c r="J1365" s="1">
        <v>28.0</v>
      </c>
      <c r="K1365" s="1">
        <v>19.0</v>
      </c>
      <c r="L1365" s="1">
        <v>33.0</v>
      </c>
    </row>
    <row r="1366">
      <c r="A1366" s="1">
        <v>3325037.0</v>
      </c>
      <c r="B1366" s="1" t="s">
        <v>2977</v>
      </c>
      <c r="C1366" s="1" t="s">
        <v>2930</v>
      </c>
      <c r="D1366" s="1" t="s">
        <v>2978</v>
      </c>
      <c r="E1366" s="1" t="s">
        <v>2979</v>
      </c>
      <c r="F1366" s="1" t="s">
        <v>16</v>
      </c>
      <c r="G1366" s="1" t="s">
        <v>17</v>
      </c>
      <c r="H1366" s="1" t="s">
        <v>18</v>
      </c>
      <c r="I1366" s="1" t="s">
        <v>19</v>
      </c>
      <c r="J1366" s="1">
        <v>192.0</v>
      </c>
      <c r="K1366" s="1">
        <v>49.0</v>
      </c>
      <c r="L1366" s="1">
        <v>484.0</v>
      </c>
    </row>
    <row r="1367">
      <c r="A1367" s="1">
        <v>3306109.0</v>
      </c>
      <c r="B1367" s="1" t="s">
        <v>2980</v>
      </c>
      <c r="C1367" s="1" t="s">
        <v>2930</v>
      </c>
      <c r="D1367" s="1" t="s">
        <v>2942</v>
      </c>
      <c r="E1367" s="1" t="s">
        <v>2981</v>
      </c>
      <c r="F1367" s="1" t="s">
        <v>16</v>
      </c>
      <c r="G1367" s="1" t="s">
        <v>23</v>
      </c>
      <c r="H1367" s="1" t="s">
        <v>18</v>
      </c>
      <c r="I1367" s="1" t="s">
        <v>684</v>
      </c>
      <c r="J1367" s="1">
        <v>70.0</v>
      </c>
      <c r="K1367" s="1">
        <v>31.0</v>
      </c>
      <c r="L1367" s="1">
        <v>41.0</v>
      </c>
    </row>
    <row r="1368">
      <c r="A1368" s="1">
        <v>3307062.0</v>
      </c>
      <c r="B1368" s="1" t="s">
        <v>2982</v>
      </c>
      <c r="C1368" s="1" t="s">
        <v>2930</v>
      </c>
      <c r="D1368" s="1" t="s">
        <v>2983</v>
      </c>
      <c r="E1368" s="1" t="s">
        <v>2984</v>
      </c>
      <c r="F1368" s="1" t="s">
        <v>16</v>
      </c>
      <c r="G1368" s="1" t="s">
        <v>23</v>
      </c>
      <c r="H1368" s="1" t="s">
        <v>18</v>
      </c>
      <c r="I1368" s="1" t="s">
        <v>44</v>
      </c>
      <c r="J1368" s="1">
        <v>63.0</v>
      </c>
      <c r="K1368" s="1">
        <v>22.0</v>
      </c>
      <c r="L1368" s="1">
        <v>0.0</v>
      </c>
    </row>
    <row r="1369">
      <c r="A1369" s="1">
        <v>3326049.0</v>
      </c>
      <c r="B1369" s="1" t="s">
        <v>2985</v>
      </c>
      <c r="C1369" s="1" t="s">
        <v>2930</v>
      </c>
      <c r="D1369" s="1" t="s">
        <v>2986</v>
      </c>
      <c r="E1369" s="1" t="s">
        <v>2987</v>
      </c>
      <c r="F1369" s="1" t="s">
        <v>16</v>
      </c>
      <c r="G1369" s="1" t="s">
        <v>17</v>
      </c>
      <c r="H1369" s="1" t="s">
        <v>28</v>
      </c>
      <c r="I1369" s="1" t="s">
        <v>29</v>
      </c>
      <c r="J1369" s="1">
        <v>180.0</v>
      </c>
      <c r="K1369" s="1">
        <v>89.0</v>
      </c>
      <c r="L1369" s="1">
        <v>550.0</v>
      </c>
    </row>
    <row r="1370">
      <c r="A1370" s="1">
        <v>3310416.0</v>
      </c>
      <c r="B1370" s="1" t="s">
        <v>2988</v>
      </c>
      <c r="C1370" s="1" t="s">
        <v>2930</v>
      </c>
      <c r="D1370" s="1" t="s">
        <v>2989</v>
      </c>
      <c r="E1370" s="1" t="s">
        <v>2990</v>
      </c>
      <c r="F1370" s="1" t="s">
        <v>16</v>
      </c>
      <c r="G1370" s="1" t="s">
        <v>17</v>
      </c>
      <c r="H1370" s="1" t="s">
        <v>18</v>
      </c>
      <c r="I1370" s="1" t="s">
        <v>684</v>
      </c>
      <c r="J1370" s="1">
        <v>182.0</v>
      </c>
      <c r="K1370" s="1">
        <v>50.0</v>
      </c>
      <c r="L1370" s="1">
        <v>279.0</v>
      </c>
    </row>
    <row r="1371">
      <c r="A1371" s="1">
        <v>3374373.0</v>
      </c>
      <c r="B1371" s="1" t="s">
        <v>2991</v>
      </c>
      <c r="C1371" s="1" t="s">
        <v>2930</v>
      </c>
      <c r="D1371" s="1" t="s">
        <v>2948</v>
      </c>
      <c r="E1371" s="1" t="s">
        <v>2992</v>
      </c>
      <c r="F1371" s="1" t="s">
        <v>32</v>
      </c>
      <c r="G1371" s="1" t="s">
        <v>17</v>
      </c>
      <c r="H1371" s="1" t="s">
        <v>18</v>
      </c>
      <c r="I1371" s="1" t="s">
        <v>19</v>
      </c>
      <c r="J1371" s="1">
        <v>11.0</v>
      </c>
      <c r="K1371" s="1">
        <v>16.0</v>
      </c>
      <c r="L1371" s="1">
        <v>23.0</v>
      </c>
    </row>
    <row r="1372">
      <c r="A1372" s="1">
        <v>3316077.0</v>
      </c>
      <c r="B1372" s="1" t="s">
        <v>2993</v>
      </c>
      <c r="C1372" s="1" t="s">
        <v>2930</v>
      </c>
      <c r="D1372" s="1" t="s">
        <v>2951</v>
      </c>
      <c r="E1372" s="1" t="s">
        <v>2994</v>
      </c>
      <c r="F1372" s="1" t="s">
        <v>16</v>
      </c>
      <c r="G1372" s="1" t="s">
        <v>23</v>
      </c>
      <c r="H1372" s="1" t="s">
        <v>18</v>
      </c>
      <c r="I1372" s="1" t="s">
        <v>65</v>
      </c>
      <c r="J1372" s="1">
        <v>48.0</v>
      </c>
      <c r="K1372" s="1">
        <v>16.0</v>
      </c>
      <c r="L1372" s="1">
        <v>0.0</v>
      </c>
    </row>
    <row r="1373">
      <c r="A1373" s="1">
        <v>3301036.0</v>
      </c>
      <c r="B1373" s="1" t="s">
        <v>2995</v>
      </c>
      <c r="C1373" s="1" t="s">
        <v>2930</v>
      </c>
      <c r="D1373" s="1" t="s">
        <v>2996</v>
      </c>
      <c r="E1373" s="1" t="s">
        <v>2997</v>
      </c>
      <c r="F1373" s="1" t="s">
        <v>16</v>
      </c>
      <c r="G1373" s="1" t="s">
        <v>23</v>
      </c>
      <c r="H1373" s="1" t="s">
        <v>18</v>
      </c>
      <c r="I1373" s="1" t="s">
        <v>113</v>
      </c>
      <c r="J1373" s="1">
        <v>80.0</v>
      </c>
      <c r="K1373" s="1">
        <v>31.0</v>
      </c>
      <c r="L1373" s="1">
        <v>50.0</v>
      </c>
    </row>
    <row r="1374">
      <c r="A1374" s="1">
        <v>3329067.0</v>
      </c>
      <c r="B1374" s="1" t="s">
        <v>2998</v>
      </c>
      <c r="C1374" s="1" t="s">
        <v>2930</v>
      </c>
      <c r="D1374" s="1" t="s">
        <v>2999</v>
      </c>
      <c r="E1374" s="1" t="s">
        <v>3000</v>
      </c>
      <c r="F1374" s="1" t="s">
        <v>16</v>
      </c>
      <c r="G1374" s="1" t="s">
        <v>23</v>
      </c>
      <c r="H1374" s="1" t="s">
        <v>18</v>
      </c>
      <c r="I1374" s="1" t="s">
        <v>19</v>
      </c>
      <c r="J1374" s="1">
        <v>70.0</v>
      </c>
      <c r="K1374" s="1">
        <v>100.0</v>
      </c>
      <c r="L1374" s="1">
        <v>131.0</v>
      </c>
    </row>
    <row r="1375">
      <c r="A1375" s="1">
        <v>3306108.0</v>
      </c>
      <c r="B1375" s="1" t="s">
        <v>3001</v>
      </c>
      <c r="C1375" s="1" t="s">
        <v>2930</v>
      </c>
      <c r="D1375" s="1" t="s">
        <v>2942</v>
      </c>
      <c r="E1375" s="1" t="s">
        <v>3002</v>
      </c>
      <c r="F1375" s="1" t="s">
        <v>16</v>
      </c>
      <c r="G1375" s="1" t="s">
        <v>23</v>
      </c>
      <c r="H1375" s="1" t="s">
        <v>18</v>
      </c>
      <c r="I1375" s="1" t="s">
        <v>59</v>
      </c>
      <c r="J1375" s="1">
        <v>48.0</v>
      </c>
      <c r="K1375" s="1">
        <v>27.0</v>
      </c>
      <c r="L1375" s="1">
        <v>61.0</v>
      </c>
    </row>
    <row r="1376">
      <c r="A1376" s="1">
        <v>3302229.0</v>
      </c>
      <c r="B1376" s="1" t="s">
        <v>3003</v>
      </c>
      <c r="C1376" s="1" t="s">
        <v>2930</v>
      </c>
      <c r="D1376" s="1" t="s">
        <v>2937</v>
      </c>
      <c r="E1376" s="1" t="s">
        <v>3004</v>
      </c>
      <c r="F1376" s="1" t="s">
        <v>16</v>
      </c>
      <c r="G1376" s="1" t="s">
        <v>17</v>
      </c>
      <c r="H1376" s="1" t="s">
        <v>18</v>
      </c>
      <c r="I1376" s="1" t="s">
        <v>19</v>
      </c>
      <c r="J1376" s="1">
        <v>115.0</v>
      </c>
      <c r="K1376" s="1">
        <v>65.0</v>
      </c>
      <c r="L1376" s="1">
        <v>319.0</v>
      </c>
    </row>
    <row r="1377">
      <c r="A1377" s="1">
        <v>3315035.0</v>
      </c>
      <c r="B1377" s="1" t="s">
        <v>2380</v>
      </c>
      <c r="C1377" s="1" t="s">
        <v>2930</v>
      </c>
      <c r="D1377" s="1" t="s">
        <v>3005</v>
      </c>
      <c r="E1377" s="1" t="s">
        <v>3006</v>
      </c>
      <c r="F1377" s="1" t="s">
        <v>16</v>
      </c>
      <c r="G1377" s="1" t="s">
        <v>17</v>
      </c>
      <c r="H1377" s="1" t="s">
        <v>18</v>
      </c>
      <c r="I1377" s="1" t="s">
        <v>44</v>
      </c>
      <c r="J1377" s="1">
        <v>123.0</v>
      </c>
      <c r="K1377" s="1">
        <v>26.0</v>
      </c>
      <c r="L1377" s="1">
        <v>414.0</v>
      </c>
    </row>
    <row r="1378">
      <c r="A1378" s="1">
        <v>3302224.0</v>
      </c>
      <c r="B1378" s="1" t="s">
        <v>3007</v>
      </c>
      <c r="C1378" s="1" t="s">
        <v>2930</v>
      </c>
      <c r="D1378" s="1" t="s">
        <v>2937</v>
      </c>
      <c r="E1378" s="1" t="s">
        <v>3008</v>
      </c>
      <c r="F1378" s="1" t="s">
        <v>16</v>
      </c>
      <c r="G1378" s="1" t="s">
        <v>17</v>
      </c>
      <c r="H1378" s="1" t="s">
        <v>18</v>
      </c>
      <c r="I1378" s="1" t="s">
        <v>59</v>
      </c>
      <c r="J1378" s="1">
        <v>199.0</v>
      </c>
      <c r="K1378" s="1">
        <v>77.0</v>
      </c>
      <c r="L1378" s="1">
        <v>140.0</v>
      </c>
    </row>
    <row r="1379">
      <c r="A1379" s="1">
        <v>3372096.0</v>
      </c>
      <c r="B1379" s="1" t="s">
        <v>3009</v>
      </c>
      <c r="C1379" s="1" t="s">
        <v>2930</v>
      </c>
      <c r="D1379" s="1" t="s">
        <v>2967</v>
      </c>
      <c r="E1379" s="1" t="s">
        <v>3010</v>
      </c>
      <c r="F1379" s="1" t="s">
        <v>16</v>
      </c>
      <c r="G1379" s="1" t="s">
        <v>27</v>
      </c>
      <c r="H1379" s="1" t="s">
        <v>18</v>
      </c>
      <c r="I1379" s="1" t="s">
        <v>684</v>
      </c>
      <c r="J1379" s="1">
        <v>297.0</v>
      </c>
      <c r="K1379" s="1">
        <v>93.0</v>
      </c>
      <c r="L1379" s="1">
        <v>779.0</v>
      </c>
    </row>
    <row r="1380">
      <c r="A1380" s="1">
        <v>3305023.0</v>
      </c>
      <c r="B1380" s="1" t="s">
        <v>3011</v>
      </c>
      <c r="C1380" s="1" t="s">
        <v>2930</v>
      </c>
      <c r="D1380" s="1" t="s">
        <v>2958</v>
      </c>
      <c r="E1380" s="1" t="s">
        <v>3012</v>
      </c>
      <c r="F1380" s="1" t="s">
        <v>16</v>
      </c>
      <c r="G1380" s="1" t="s">
        <v>17</v>
      </c>
      <c r="H1380" s="1" t="s">
        <v>18</v>
      </c>
      <c r="I1380" s="1" t="s">
        <v>19</v>
      </c>
      <c r="J1380" s="1">
        <v>158.0</v>
      </c>
      <c r="K1380" s="1">
        <v>34.0</v>
      </c>
      <c r="L1380" s="1">
        <v>309.0</v>
      </c>
    </row>
    <row r="1381">
      <c r="A1381" s="1">
        <v>3311231.0</v>
      </c>
      <c r="B1381" s="1" t="s">
        <v>3013</v>
      </c>
      <c r="C1381" s="1" t="s">
        <v>2930</v>
      </c>
      <c r="D1381" s="1" t="s">
        <v>3014</v>
      </c>
      <c r="E1381" s="1" t="s">
        <v>3015</v>
      </c>
      <c r="F1381" s="1" t="s">
        <v>16</v>
      </c>
      <c r="G1381" s="1" t="s">
        <v>17</v>
      </c>
      <c r="H1381" s="1" t="s">
        <v>18</v>
      </c>
      <c r="I1381" s="1" t="s">
        <v>684</v>
      </c>
      <c r="J1381" s="1">
        <v>8.0</v>
      </c>
      <c r="K1381" s="1">
        <v>84.0</v>
      </c>
      <c r="L1381" s="1">
        <v>0.0</v>
      </c>
    </row>
    <row r="1382">
      <c r="A1382" s="1">
        <v>3319091.0</v>
      </c>
      <c r="B1382" s="1" t="s">
        <v>3016</v>
      </c>
      <c r="C1382" s="1" t="s">
        <v>2930</v>
      </c>
      <c r="D1382" s="1" t="s">
        <v>2934</v>
      </c>
      <c r="E1382" s="1" t="s">
        <v>3017</v>
      </c>
      <c r="F1382" s="1" t="s">
        <v>55</v>
      </c>
      <c r="G1382" s="1" t="s">
        <v>17</v>
      </c>
      <c r="H1382" s="1" t="s">
        <v>18</v>
      </c>
      <c r="I1382" s="1" t="s">
        <v>59</v>
      </c>
      <c r="J1382" s="1">
        <v>25.0</v>
      </c>
      <c r="K1382" s="1">
        <v>16.0</v>
      </c>
      <c r="L1382" s="1">
        <v>66.0</v>
      </c>
    </row>
    <row r="1383">
      <c r="A1383" s="1">
        <v>3307035.0</v>
      </c>
      <c r="B1383" s="1" t="s">
        <v>3018</v>
      </c>
      <c r="C1383" s="1" t="s">
        <v>2930</v>
      </c>
      <c r="D1383" s="1" t="s">
        <v>2983</v>
      </c>
      <c r="E1383" s="1" t="s">
        <v>3019</v>
      </c>
      <c r="F1383" s="1" t="s">
        <v>55</v>
      </c>
      <c r="G1383" s="1" t="s">
        <v>17</v>
      </c>
      <c r="H1383" s="1" t="s">
        <v>18</v>
      </c>
      <c r="I1383" s="1" t="s">
        <v>59</v>
      </c>
      <c r="J1383" s="1">
        <v>44.0</v>
      </c>
      <c r="K1383" s="1">
        <v>19.0</v>
      </c>
      <c r="L1383" s="1">
        <v>52.0</v>
      </c>
    </row>
    <row r="1384">
      <c r="A1384" s="1">
        <v>3374080.0</v>
      </c>
      <c r="B1384" s="1" t="s">
        <v>3020</v>
      </c>
      <c r="C1384" s="1" t="s">
        <v>2930</v>
      </c>
      <c r="D1384" s="1" t="s">
        <v>2948</v>
      </c>
      <c r="E1384" s="1" t="s">
        <v>3021</v>
      </c>
      <c r="F1384" s="1" t="s">
        <v>16</v>
      </c>
      <c r="G1384" s="1" t="s">
        <v>17</v>
      </c>
      <c r="H1384" s="1" t="s">
        <v>18</v>
      </c>
      <c r="I1384" s="1" t="s">
        <v>684</v>
      </c>
      <c r="J1384" s="1">
        <v>219.0</v>
      </c>
      <c r="K1384" s="1">
        <v>120.0</v>
      </c>
      <c r="L1384" s="1">
        <v>769.0</v>
      </c>
    </row>
    <row r="1385">
      <c r="A1385" s="1">
        <v>3374369.0</v>
      </c>
      <c r="B1385" s="1" t="s">
        <v>3022</v>
      </c>
      <c r="C1385" s="1" t="s">
        <v>2930</v>
      </c>
      <c r="D1385" s="1" t="s">
        <v>2948</v>
      </c>
      <c r="E1385" s="1" t="s">
        <v>3023</v>
      </c>
      <c r="F1385" s="1" t="s">
        <v>55</v>
      </c>
      <c r="G1385" s="1" t="s">
        <v>17</v>
      </c>
      <c r="H1385" s="1" t="s">
        <v>18</v>
      </c>
      <c r="I1385" s="1" t="s">
        <v>44</v>
      </c>
      <c r="J1385" s="1">
        <v>29.0</v>
      </c>
      <c r="K1385" s="1">
        <v>12.0</v>
      </c>
      <c r="L1385" s="1">
        <v>22.0</v>
      </c>
    </row>
    <row r="1386">
      <c r="A1386" s="1">
        <v>3324036.0</v>
      </c>
      <c r="B1386" s="1" t="s">
        <v>3024</v>
      </c>
      <c r="C1386" s="1" t="s">
        <v>2930</v>
      </c>
      <c r="D1386" s="1" t="s">
        <v>2970</v>
      </c>
      <c r="E1386" s="1" t="s">
        <v>3025</v>
      </c>
      <c r="F1386" s="1" t="s">
        <v>16</v>
      </c>
      <c r="G1386" s="1" t="s">
        <v>17</v>
      </c>
      <c r="H1386" s="1" t="s">
        <v>18</v>
      </c>
      <c r="I1386" s="1" t="s">
        <v>684</v>
      </c>
      <c r="J1386" s="1">
        <v>287.0</v>
      </c>
      <c r="K1386" s="1">
        <v>52.0</v>
      </c>
      <c r="L1386" s="1">
        <v>293.0</v>
      </c>
    </row>
    <row r="1387">
      <c r="A1387" s="1">
        <v>3315059.0</v>
      </c>
      <c r="B1387" s="1" t="s">
        <v>3026</v>
      </c>
      <c r="C1387" s="1" t="s">
        <v>2930</v>
      </c>
      <c r="D1387" s="1" t="s">
        <v>3005</v>
      </c>
      <c r="E1387" s="1" t="s">
        <v>3027</v>
      </c>
      <c r="F1387" s="1" t="s">
        <v>16</v>
      </c>
      <c r="G1387" s="1" t="s">
        <v>23</v>
      </c>
      <c r="H1387" s="1" t="s">
        <v>18</v>
      </c>
      <c r="I1387" s="1" t="s">
        <v>684</v>
      </c>
      <c r="J1387" s="1">
        <v>95.0</v>
      </c>
      <c r="K1387" s="1">
        <v>16.0</v>
      </c>
      <c r="L1387" s="1">
        <v>304.0</v>
      </c>
    </row>
    <row r="1388">
      <c r="A1388" s="1">
        <v>3311213.0</v>
      </c>
      <c r="B1388" s="1" t="s">
        <v>3028</v>
      </c>
      <c r="C1388" s="1" t="s">
        <v>2930</v>
      </c>
      <c r="D1388" s="1" t="s">
        <v>3014</v>
      </c>
      <c r="E1388" s="1" t="s">
        <v>3029</v>
      </c>
      <c r="F1388" s="1" t="s">
        <v>16</v>
      </c>
      <c r="G1388" s="1" t="s">
        <v>17</v>
      </c>
      <c r="H1388" s="1" t="s">
        <v>18</v>
      </c>
      <c r="I1388" s="1" t="s">
        <v>19</v>
      </c>
      <c r="J1388" s="1">
        <v>116.0</v>
      </c>
      <c r="K1388" s="1">
        <v>112.0</v>
      </c>
      <c r="L1388" s="1">
        <v>196.0</v>
      </c>
    </row>
    <row r="1389">
      <c r="A1389" s="1">
        <v>3375071.0</v>
      </c>
      <c r="B1389" s="1" t="s">
        <v>3030</v>
      </c>
      <c r="C1389" s="1" t="s">
        <v>2930</v>
      </c>
      <c r="D1389" s="1" t="s">
        <v>2986</v>
      </c>
      <c r="E1389" s="1" t="s">
        <v>3031</v>
      </c>
      <c r="F1389" s="1" t="s">
        <v>16</v>
      </c>
      <c r="G1389" s="1" t="s">
        <v>23</v>
      </c>
      <c r="H1389" s="1" t="s">
        <v>18</v>
      </c>
      <c r="I1389" s="1" t="s">
        <v>19</v>
      </c>
      <c r="J1389" s="1">
        <v>56.0</v>
      </c>
      <c r="K1389" s="1">
        <v>16.0</v>
      </c>
      <c r="L1389" s="1">
        <v>61.0</v>
      </c>
    </row>
    <row r="1390">
      <c r="A1390" s="1">
        <v>3326063.0</v>
      </c>
      <c r="B1390" s="1" t="s">
        <v>3032</v>
      </c>
      <c r="C1390" s="1" t="s">
        <v>2930</v>
      </c>
      <c r="D1390" s="1" t="s">
        <v>3033</v>
      </c>
      <c r="E1390" s="1" t="s">
        <v>3034</v>
      </c>
      <c r="F1390" s="1" t="s">
        <v>16</v>
      </c>
      <c r="G1390" s="1" t="s">
        <v>23</v>
      </c>
      <c r="H1390" s="1" t="s">
        <v>18</v>
      </c>
      <c r="I1390" s="1" t="s">
        <v>163</v>
      </c>
      <c r="J1390" s="1">
        <v>50.0</v>
      </c>
      <c r="K1390" s="1">
        <v>17.0</v>
      </c>
      <c r="L1390" s="1">
        <v>0.0</v>
      </c>
    </row>
    <row r="1391">
      <c r="A1391" s="1">
        <v>3314012.0</v>
      </c>
      <c r="B1391" s="1" t="s">
        <v>3035</v>
      </c>
      <c r="C1391" s="1" t="s">
        <v>2930</v>
      </c>
      <c r="D1391" s="1" t="s">
        <v>2945</v>
      </c>
      <c r="E1391" s="1" t="s">
        <v>3036</v>
      </c>
      <c r="F1391" s="1" t="s">
        <v>16</v>
      </c>
      <c r="G1391" s="1" t="s">
        <v>27</v>
      </c>
      <c r="H1391" s="1" t="s">
        <v>28</v>
      </c>
      <c r="I1391" s="1" t="s">
        <v>40</v>
      </c>
      <c r="J1391" s="1">
        <v>275.0</v>
      </c>
      <c r="K1391" s="1">
        <v>77.0</v>
      </c>
      <c r="L1391" s="1">
        <v>853.0</v>
      </c>
    </row>
    <row r="1392">
      <c r="A1392" s="1">
        <v>3328081.0</v>
      </c>
      <c r="B1392" s="1" t="s">
        <v>3037</v>
      </c>
      <c r="C1392" s="1" t="s">
        <v>2930</v>
      </c>
      <c r="D1392" s="1" t="s">
        <v>3038</v>
      </c>
      <c r="E1392" s="1" t="s">
        <v>3039</v>
      </c>
      <c r="F1392" s="1" t="s">
        <v>16</v>
      </c>
      <c r="G1392" s="1" t="s">
        <v>23</v>
      </c>
      <c r="H1392" s="1" t="s">
        <v>18</v>
      </c>
      <c r="I1392" s="1" t="s">
        <v>19</v>
      </c>
      <c r="J1392" s="1">
        <v>84.0</v>
      </c>
      <c r="K1392" s="1">
        <v>31.0</v>
      </c>
      <c r="L1392" s="1">
        <v>55.0</v>
      </c>
    </row>
    <row r="1393">
      <c r="A1393" s="1">
        <v>3315074.0</v>
      </c>
      <c r="B1393" s="1" t="s">
        <v>3040</v>
      </c>
      <c r="C1393" s="1" t="s">
        <v>2930</v>
      </c>
      <c r="D1393" s="1" t="s">
        <v>3005</v>
      </c>
      <c r="E1393" s="1" t="s">
        <v>3041</v>
      </c>
      <c r="F1393" s="1" t="s">
        <v>16</v>
      </c>
      <c r="G1393" s="1" t="s">
        <v>23</v>
      </c>
      <c r="H1393" s="1" t="s">
        <v>18</v>
      </c>
      <c r="I1393" s="1" t="s">
        <v>44</v>
      </c>
      <c r="J1393" s="1">
        <v>50.0</v>
      </c>
      <c r="K1393" s="1">
        <v>19.0</v>
      </c>
      <c r="L1393" s="1">
        <v>0.0</v>
      </c>
    </row>
    <row r="1394">
      <c r="A1394" s="1">
        <v>3302132.0</v>
      </c>
      <c r="B1394" s="1" t="s">
        <v>3042</v>
      </c>
      <c r="C1394" s="1" t="s">
        <v>2930</v>
      </c>
      <c r="D1394" s="1" t="s">
        <v>2937</v>
      </c>
      <c r="E1394" s="1" t="s">
        <v>3043</v>
      </c>
      <c r="F1394" s="1" t="s">
        <v>16</v>
      </c>
      <c r="G1394" s="1" t="s">
        <v>17</v>
      </c>
      <c r="H1394" s="1" t="s">
        <v>18</v>
      </c>
      <c r="I1394" s="1" t="s">
        <v>684</v>
      </c>
      <c r="J1394" s="1">
        <v>120.0</v>
      </c>
      <c r="K1394" s="1">
        <v>94.0</v>
      </c>
      <c r="L1394" s="1">
        <v>149.0</v>
      </c>
    </row>
    <row r="1395">
      <c r="A1395" s="1">
        <v>3372015.0</v>
      </c>
      <c r="B1395" s="1" t="s">
        <v>3044</v>
      </c>
      <c r="C1395" s="1" t="s">
        <v>2930</v>
      </c>
      <c r="D1395" s="1" t="s">
        <v>2967</v>
      </c>
      <c r="E1395" s="1" t="s">
        <v>3045</v>
      </c>
      <c r="F1395" s="1" t="s">
        <v>16</v>
      </c>
      <c r="G1395" s="1" t="s">
        <v>150</v>
      </c>
      <c r="H1395" s="1" t="s">
        <v>28</v>
      </c>
      <c r="I1395" s="1" t="s">
        <v>139</v>
      </c>
      <c r="J1395" s="1">
        <v>953.0</v>
      </c>
      <c r="K1395" s="1">
        <v>153.0</v>
      </c>
      <c r="L1395" s="1">
        <v>3128.0</v>
      </c>
    </row>
    <row r="1396">
      <c r="A1396" s="1">
        <v>3316063.0</v>
      </c>
      <c r="B1396" s="1" t="s">
        <v>3046</v>
      </c>
      <c r="C1396" s="1" t="s">
        <v>2930</v>
      </c>
      <c r="D1396" s="1" t="s">
        <v>2951</v>
      </c>
      <c r="E1396" s="1" t="s">
        <v>3047</v>
      </c>
      <c r="F1396" s="1" t="s">
        <v>16</v>
      </c>
      <c r="G1396" s="1" t="s">
        <v>23</v>
      </c>
      <c r="H1396" s="1" t="s">
        <v>18</v>
      </c>
      <c r="I1396" s="1" t="s">
        <v>19</v>
      </c>
      <c r="J1396" s="1">
        <v>86.0</v>
      </c>
      <c r="K1396" s="1">
        <v>20.0</v>
      </c>
      <c r="L1396" s="1">
        <v>133.0</v>
      </c>
    </row>
    <row r="1397">
      <c r="A1397" s="1">
        <v>3318016.0</v>
      </c>
      <c r="B1397" s="1" t="s">
        <v>3048</v>
      </c>
      <c r="C1397" s="1" t="s">
        <v>2930</v>
      </c>
      <c r="D1397" s="1" t="s">
        <v>3049</v>
      </c>
      <c r="E1397" s="1" t="s">
        <v>3050</v>
      </c>
      <c r="F1397" s="1" t="s">
        <v>16</v>
      </c>
      <c r="G1397" s="1" t="s">
        <v>27</v>
      </c>
      <c r="H1397" s="1" t="s">
        <v>28</v>
      </c>
      <c r="I1397" s="1" t="s">
        <v>40</v>
      </c>
      <c r="J1397" s="1">
        <v>289.0</v>
      </c>
      <c r="K1397" s="1">
        <v>79.0</v>
      </c>
      <c r="L1397" s="1">
        <v>1213.0</v>
      </c>
    </row>
    <row r="1398">
      <c r="A1398" s="1">
        <v>3328011.0</v>
      </c>
      <c r="B1398" s="1" t="s">
        <v>3051</v>
      </c>
      <c r="C1398" s="1" t="s">
        <v>2930</v>
      </c>
      <c r="D1398" s="1" t="s">
        <v>3038</v>
      </c>
      <c r="E1398" s="1" t="s">
        <v>3052</v>
      </c>
      <c r="F1398" s="1" t="s">
        <v>16</v>
      </c>
      <c r="G1398" s="1" t="s">
        <v>27</v>
      </c>
      <c r="H1398" s="1" t="s">
        <v>28</v>
      </c>
      <c r="I1398" s="1" t="s">
        <v>40</v>
      </c>
      <c r="J1398" s="1">
        <v>417.0</v>
      </c>
      <c r="K1398" s="1">
        <v>51.0</v>
      </c>
      <c r="L1398" s="1">
        <v>986.0</v>
      </c>
    </row>
    <row r="1399">
      <c r="A1399" s="1">
        <v>3327048.0</v>
      </c>
      <c r="B1399" s="1" t="s">
        <v>3053</v>
      </c>
      <c r="C1399" s="1" t="s">
        <v>2930</v>
      </c>
      <c r="D1399" s="1" t="s">
        <v>3054</v>
      </c>
      <c r="E1399" s="1" t="s">
        <v>3055</v>
      </c>
      <c r="F1399" s="1" t="s">
        <v>16</v>
      </c>
      <c r="G1399" s="1" t="s">
        <v>23</v>
      </c>
      <c r="H1399" s="1" t="s">
        <v>18</v>
      </c>
      <c r="I1399" s="1" t="s">
        <v>19</v>
      </c>
      <c r="J1399" s="1">
        <v>51.0</v>
      </c>
      <c r="K1399" s="1">
        <v>26.0</v>
      </c>
      <c r="L1399" s="1">
        <v>87.0</v>
      </c>
    </row>
    <row r="1400">
      <c r="A1400" s="1">
        <v>3305081.0</v>
      </c>
      <c r="B1400" s="1" t="s">
        <v>3056</v>
      </c>
      <c r="C1400" s="1" t="s">
        <v>2930</v>
      </c>
      <c r="D1400" s="1" t="s">
        <v>2958</v>
      </c>
      <c r="E1400" s="1" t="s">
        <v>3057</v>
      </c>
      <c r="F1400" s="1" t="s">
        <v>16</v>
      </c>
      <c r="G1400" s="1" t="s">
        <v>23</v>
      </c>
      <c r="H1400" s="1" t="s">
        <v>18</v>
      </c>
      <c r="I1400" s="1" t="s">
        <v>59</v>
      </c>
      <c r="J1400" s="1">
        <v>70.0</v>
      </c>
      <c r="K1400" s="1">
        <v>20.0</v>
      </c>
      <c r="L1400" s="1">
        <v>122.0</v>
      </c>
    </row>
    <row r="1401">
      <c r="A1401" s="1">
        <v>3373090.0</v>
      </c>
      <c r="B1401" s="1" t="s">
        <v>2348</v>
      </c>
      <c r="C1401" s="1" t="s">
        <v>2930</v>
      </c>
      <c r="D1401" s="1" t="s">
        <v>2961</v>
      </c>
      <c r="E1401" s="1" t="s">
        <v>3058</v>
      </c>
      <c r="F1401" s="1" t="s">
        <v>16</v>
      </c>
      <c r="G1401" s="1" t="s">
        <v>17</v>
      </c>
      <c r="H1401" s="1" t="s">
        <v>18</v>
      </c>
      <c r="I1401" s="1" t="s">
        <v>19</v>
      </c>
      <c r="J1401" s="1">
        <v>117.0</v>
      </c>
      <c r="K1401" s="1">
        <v>56.0</v>
      </c>
      <c r="L1401" s="1">
        <v>186.0</v>
      </c>
    </row>
    <row r="1402">
      <c r="A1402" s="1">
        <v>3329101.0</v>
      </c>
      <c r="B1402" s="1" t="s">
        <v>3059</v>
      </c>
      <c r="C1402" s="1" t="s">
        <v>2930</v>
      </c>
      <c r="D1402" s="1" t="s">
        <v>2999</v>
      </c>
      <c r="E1402" s="1" t="s">
        <v>3060</v>
      </c>
      <c r="F1402" s="1" t="s">
        <v>16</v>
      </c>
      <c r="G1402" s="1" t="s">
        <v>23</v>
      </c>
      <c r="H1402" s="1" t="s">
        <v>18</v>
      </c>
      <c r="I1402" s="1" t="s">
        <v>19</v>
      </c>
      <c r="J1402" s="1">
        <v>140.0</v>
      </c>
      <c r="K1402" s="1">
        <v>66.0</v>
      </c>
      <c r="L1402" s="1">
        <v>93.0</v>
      </c>
    </row>
    <row r="1403">
      <c r="A1403" s="1">
        <v>3315073.0</v>
      </c>
      <c r="B1403" s="1" t="s">
        <v>3061</v>
      </c>
      <c r="C1403" s="1" t="s">
        <v>2930</v>
      </c>
      <c r="D1403" s="1" t="s">
        <v>3005</v>
      </c>
      <c r="E1403" s="1" t="s">
        <v>3062</v>
      </c>
      <c r="F1403" s="1" t="s">
        <v>16</v>
      </c>
      <c r="G1403" s="1" t="s">
        <v>23</v>
      </c>
      <c r="H1403" s="1" t="s">
        <v>18</v>
      </c>
      <c r="I1403" s="1" t="s">
        <v>163</v>
      </c>
      <c r="J1403" s="1">
        <v>69.0</v>
      </c>
      <c r="K1403" s="1">
        <v>9.0</v>
      </c>
      <c r="L1403" s="1">
        <v>0.0</v>
      </c>
    </row>
    <row r="1404">
      <c r="A1404" s="1">
        <v>3322023.0</v>
      </c>
      <c r="B1404" s="1" t="s">
        <v>3063</v>
      </c>
      <c r="C1404" s="1" t="s">
        <v>2930</v>
      </c>
      <c r="D1404" s="1" t="s">
        <v>3064</v>
      </c>
      <c r="E1404" s="1" t="s">
        <v>3065</v>
      </c>
      <c r="F1404" s="1" t="s">
        <v>16</v>
      </c>
      <c r="G1404" s="1" t="s">
        <v>17</v>
      </c>
      <c r="H1404" s="1" t="s">
        <v>28</v>
      </c>
      <c r="I1404" s="1" t="s">
        <v>40</v>
      </c>
      <c r="J1404" s="1">
        <v>208.0</v>
      </c>
      <c r="K1404" s="1">
        <v>31.0</v>
      </c>
      <c r="L1404" s="1">
        <v>148.0</v>
      </c>
    </row>
    <row r="1405">
      <c r="A1405" s="1">
        <v>3310015.0</v>
      </c>
      <c r="B1405" s="1" t="s">
        <v>3066</v>
      </c>
      <c r="C1405" s="1" t="s">
        <v>2930</v>
      </c>
      <c r="D1405" s="1" t="s">
        <v>2989</v>
      </c>
      <c r="E1405" s="1" t="s">
        <v>3067</v>
      </c>
      <c r="F1405" s="1">
        <v>2.0</v>
      </c>
      <c r="G1405" s="1" t="s">
        <v>16</v>
      </c>
      <c r="H1405" s="1" t="s">
        <v>150</v>
      </c>
      <c r="I1405" s="1" t="s">
        <v>33</v>
      </c>
      <c r="J1405" s="1">
        <v>30343.0</v>
      </c>
      <c r="K1405" s="1">
        <v>419.0</v>
      </c>
      <c r="L1405" s="1">
        <v>141.0</v>
      </c>
    </row>
    <row r="1406">
      <c r="A1406" s="1">
        <v>3374316.0</v>
      </c>
      <c r="B1406" s="1" t="s">
        <v>3068</v>
      </c>
      <c r="C1406" s="1" t="s">
        <v>2930</v>
      </c>
      <c r="D1406" s="1" t="s">
        <v>2948</v>
      </c>
      <c r="E1406" s="1" t="s">
        <v>3069</v>
      </c>
      <c r="F1406" s="1" t="s">
        <v>55</v>
      </c>
      <c r="G1406" s="1" t="s">
        <v>17</v>
      </c>
      <c r="H1406" s="1" t="s">
        <v>18</v>
      </c>
      <c r="I1406" s="1" t="s">
        <v>59</v>
      </c>
      <c r="J1406" s="1">
        <v>30.0</v>
      </c>
      <c r="K1406" s="1">
        <v>16.0</v>
      </c>
      <c r="L1406" s="1">
        <v>61.0</v>
      </c>
    </row>
    <row r="1407">
      <c r="A1407" s="1">
        <v>3314096.0</v>
      </c>
      <c r="B1407" s="1" t="s">
        <v>3070</v>
      </c>
      <c r="C1407" s="1" t="s">
        <v>2930</v>
      </c>
      <c r="D1407" s="1" t="s">
        <v>2945</v>
      </c>
      <c r="E1407" s="1" t="s">
        <v>3071</v>
      </c>
      <c r="F1407" s="1" t="s">
        <v>16</v>
      </c>
      <c r="G1407" s="1" t="s">
        <v>23</v>
      </c>
      <c r="H1407" s="1" t="s">
        <v>18</v>
      </c>
      <c r="I1407" s="1" t="s">
        <v>44</v>
      </c>
      <c r="J1407" s="1">
        <v>50.0</v>
      </c>
      <c r="K1407" s="1">
        <v>27.0</v>
      </c>
      <c r="L1407" s="1">
        <v>142.0</v>
      </c>
    </row>
    <row r="1408">
      <c r="A1408" s="1">
        <v>3327021.0</v>
      </c>
      <c r="B1408" s="1" t="s">
        <v>3072</v>
      </c>
      <c r="C1408" s="1" t="s">
        <v>2930</v>
      </c>
      <c r="D1408" s="1" t="s">
        <v>3054</v>
      </c>
      <c r="E1408" s="1" t="s">
        <v>3073</v>
      </c>
      <c r="F1408" s="1" t="s">
        <v>16</v>
      </c>
      <c r="G1408" s="1" t="s">
        <v>17</v>
      </c>
      <c r="H1408" s="1" t="s">
        <v>18</v>
      </c>
      <c r="I1408" s="1" t="s">
        <v>249</v>
      </c>
      <c r="J1408" s="1">
        <v>147.0</v>
      </c>
      <c r="K1408" s="1">
        <v>51.0</v>
      </c>
      <c r="L1408" s="1">
        <v>286.0</v>
      </c>
    </row>
    <row r="1409">
      <c r="A1409" s="1">
        <v>3329102.0</v>
      </c>
      <c r="B1409" s="1" t="s">
        <v>3074</v>
      </c>
      <c r="C1409" s="1" t="s">
        <v>2930</v>
      </c>
      <c r="D1409" s="1" t="s">
        <v>2999</v>
      </c>
      <c r="E1409" s="1" t="s">
        <v>3075</v>
      </c>
      <c r="F1409" s="1" t="s">
        <v>16</v>
      </c>
      <c r="G1409" s="1" t="s">
        <v>17</v>
      </c>
      <c r="H1409" s="1" t="s">
        <v>28</v>
      </c>
      <c r="I1409" s="1" t="s">
        <v>40</v>
      </c>
      <c r="J1409" s="1">
        <v>116.0</v>
      </c>
      <c r="K1409" s="1">
        <v>32.0</v>
      </c>
      <c r="L1409" s="1">
        <v>265.0</v>
      </c>
    </row>
    <row r="1410">
      <c r="A1410" s="1">
        <v>3309129.0</v>
      </c>
      <c r="B1410" s="1" t="s">
        <v>3076</v>
      </c>
      <c r="C1410" s="1" t="s">
        <v>2930</v>
      </c>
      <c r="D1410" s="1" t="s">
        <v>2973</v>
      </c>
      <c r="E1410" s="1" t="s">
        <v>3077</v>
      </c>
      <c r="F1410" s="1" t="s">
        <v>16</v>
      </c>
      <c r="G1410" s="1" t="s">
        <v>23</v>
      </c>
      <c r="H1410" s="1" t="s">
        <v>18</v>
      </c>
      <c r="I1410" s="1" t="s">
        <v>19</v>
      </c>
      <c r="J1410" s="1">
        <v>118.0</v>
      </c>
      <c r="K1410" s="1">
        <v>24.0</v>
      </c>
      <c r="L1410" s="1">
        <v>124.0</v>
      </c>
    </row>
    <row r="1411">
      <c r="A1411" s="1">
        <v>3325039.0</v>
      </c>
      <c r="B1411" s="1" t="s">
        <v>3078</v>
      </c>
      <c r="C1411" s="1" t="s">
        <v>2930</v>
      </c>
      <c r="D1411" s="1" t="s">
        <v>2978</v>
      </c>
      <c r="E1411" s="1" t="s">
        <v>3079</v>
      </c>
      <c r="F1411" s="1" t="s">
        <v>16</v>
      </c>
      <c r="G1411" s="1" t="s">
        <v>17</v>
      </c>
      <c r="H1411" s="1" t="s">
        <v>28</v>
      </c>
      <c r="I1411" s="1" t="s">
        <v>40</v>
      </c>
      <c r="J1411" s="1">
        <v>102.0</v>
      </c>
      <c r="K1411" s="1">
        <v>30.0</v>
      </c>
      <c r="L1411" s="1">
        <v>145.0</v>
      </c>
    </row>
    <row r="1412">
      <c r="A1412" s="1">
        <v>3301084.0</v>
      </c>
      <c r="B1412" s="1" t="s">
        <v>3080</v>
      </c>
      <c r="C1412" s="1" t="s">
        <v>2930</v>
      </c>
      <c r="D1412" s="1" t="s">
        <v>2996</v>
      </c>
      <c r="E1412" s="1" t="s">
        <v>3081</v>
      </c>
      <c r="F1412" s="1" t="s">
        <v>16</v>
      </c>
      <c r="G1412" s="1" t="s">
        <v>17</v>
      </c>
      <c r="H1412" s="1" t="s">
        <v>28</v>
      </c>
      <c r="I1412" s="1" t="s">
        <v>40</v>
      </c>
      <c r="J1412" s="1">
        <v>236.0</v>
      </c>
      <c r="K1412" s="1">
        <v>36.0</v>
      </c>
      <c r="L1412" s="1">
        <v>417.0</v>
      </c>
    </row>
    <row r="1413">
      <c r="A1413" s="1">
        <v>3371014.0</v>
      </c>
      <c r="B1413" s="1" t="s">
        <v>3082</v>
      </c>
      <c r="C1413" s="1" t="s">
        <v>2930</v>
      </c>
      <c r="D1413" s="1" t="s">
        <v>2939</v>
      </c>
      <c r="E1413" s="1" t="s">
        <v>3083</v>
      </c>
      <c r="F1413" s="1" t="s">
        <v>16</v>
      </c>
      <c r="G1413" s="1" t="s">
        <v>27</v>
      </c>
      <c r="H1413" s="1" t="s">
        <v>28</v>
      </c>
      <c r="I1413" s="1" t="s">
        <v>29</v>
      </c>
      <c r="J1413" s="1">
        <v>345.0</v>
      </c>
      <c r="K1413" s="1">
        <v>102.0</v>
      </c>
      <c r="L1413" s="1">
        <v>1431.0</v>
      </c>
    </row>
    <row r="1414">
      <c r="A1414" s="1">
        <v>3324037.0</v>
      </c>
      <c r="B1414" s="1" t="s">
        <v>3084</v>
      </c>
      <c r="C1414" s="1" t="s">
        <v>2930</v>
      </c>
      <c r="D1414" s="1" t="s">
        <v>2970</v>
      </c>
      <c r="E1414" s="1" t="s">
        <v>3085</v>
      </c>
      <c r="F1414" s="1" t="s">
        <v>16</v>
      </c>
      <c r="G1414" s="1" t="s">
        <v>23</v>
      </c>
      <c r="H1414" s="1" t="s">
        <v>18</v>
      </c>
      <c r="I1414" s="1" t="s">
        <v>684</v>
      </c>
      <c r="J1414" s="1">
        <v>88.0</v>
      </c>
      <c r="K1414" s="1">
        <v>31.0</v>
      </c>
      <c r="L1414" s="1">
        <v>166.0</v>
      </c>
    </row>
    <row r="1415">
      <c r="A1415" s="1">
        <v>3371144.0</v>
      </c>
      <c r="B1415" s="1" t="s">
        <v>3086</v>
      </c>
      <c r="C1415" s="1" t="s">
        <v>2930</v>
      </c>
      <c r="D1415" s="1" t="s">
        <v>2939</v>
      </c>
      <c r="E1415" s="1" t="s">
        <v>3087</v>
      </c>
      <c r="F1415" s="1" t="s">
        <v>16</v>
      </c>
      <c r="G1415" s="1" t="s">
        <v>23</v>
      </c>
      <c r="H1415" s="1" t="s">
        <v>28</v>
      </c>
      <c r="I1415" s="1" t="s">
        <v>29</v>
      </c>
      <c r="J1415" s="1">
        <v>80.0</v>
      </c>
      <c r="K1415" s="1">
        <v>23.0</v>
      </c>
      <c r="L1415" s="1">
        <v>53.0</v>
      </c>
    </row>
    <row r="1416">
      <c r="A1416" s="1">
        <v>3319113.0</v>
      </c>
      <c r="B1416" s="1" t="s">
        <v>3088</v>
      </c>
      <c r="C1416" s="1" t="s">
        <v>2930</v>
      </c>
      <c r="D1416" s="1" t="s">
        <v>2934</v>
      </c>
      <c r="E1416" s="1" t="s">
        <v>3089</v>
      </c>
      <c r="F1416" s="1" t="s">
        <v>16</v>
      </c>
      <c r="G1416" s="1" t="s">
        <v>17</v>
      </c>
      <c r="H1416" s="1" t="s">
        <v>18</v>
      </c>
      <c r="I1416" s="1" t="s">
        <v>19</v>
      </c>
      <c r="J1416" s="1">
        <v>115.0</v>
      </c>
      <c r="K1416" s="1">
        <v>31.0</v>
      </c>
      <c r="L1416" s="1">
        <v>0.0</v>
      </c>
    </row>
    <row r="1417">
      <c r="A1417" s="1">
        <v>3315057.0</v>
      </c>
      <c r="B1417" s="1" t="s">
        <v>3090</v>
      </c>
      <c r="C1417" s="1" t="s">
        <v>2930</v>
      </c>
      <c r="D1417" s="1" t="s">
        <v>3005</v>
      </c>
      <c r="E1417" s="1" t="s">
        <v>3091</v>
      </c>
      <c r="F1417" s="1" t="s">
        <v>16</v>
      </c>
      <c r="G1417" s="1" t="s">
        <v>23</v>
      </c>
      <c r="H1417" s="1" t="s">
        <v>18</v>
      </c>
      <c r="I1417" s="1" t="s">
        <v>59</v>
      </c>
      <c r="J1417" s="1">
        <v>59.0</v>
      </c>
      <c r="K1417" s="1">
        <v>31.0</v>
      </c>
      <c r="L1417" s="1">
        <v>101.0</v>
      </c>
    </row>
    <row r="1418">
      <c r="A1418" s="1">
        <v>3302074.0</v>
      </c>
      <c r="B1418" s="1" t="s">
        <v>3092</v>
      </c>
      <c r="C1418" s="1" t="s">
        <v>2930</v>
      </c>
      <c r="D1418" s="1" t="s">
        <v>2937</v>
      </c>
      <c r="E1418" s="1" t="s">
        <v>3093</v>
      </c>
      <c r="F1418" s="1" t="s">
        <v>16</v>
      </c>
      <c r="G1418" s="1" t="s">
        <v>23</v>
      </c>
      <c r="H1418" s="1" t="s">
        <v>18</v>
      </c>
      <c r="I1418" s="1" t="s">
        <v>44</v>
      </c>
      <c r="J1418" s="1">
        <v>115.0</v>
      </c>
      <c r="K1418" s="1">
        <v>74.0</v>
      </c>
      <c r="L1418" s="1">
        <v>62.0</v>
      </c>
    </row>
    <row r="1419">
      <c r="A1419" s="1">
        <v>3328079.0</v>
      </c>
      <c r="B1419" s="1" t="s">
        <v>3094</v>
      </c>
      <c r="C1419" s="1" t="s">
        <v>2930</v>
      </c>
      <c r="D1419" s="1" t="s">
        <v>3038</v>
      </c>
      <c r="E1419" s="1" t="s">
        <v>3095</v>
      </c>
      <c r="F1419" s="1" t="s">
        <v>55</v>
      </c>
      <c r="G1419" s="1" t="s">
        <v>17</v>
      </c>
      <c r="H1419" s="1" t="s">
        <v>18</v>
      </c>
      <c r="I1419" s="1" t="s">
        <v>19</v>
      </c>
      <c r="J1419" s="1">
        <v>66.0</v>
      </c>
      <c r="K1419" s="1">
        <v>18.0</v>
      </c>
      <c r="L1419" s="1">
        <v>78.0</v>
      </c>
    </row>
    <row r="1420">
      <c r="A1420" s="1">
        <v>3301109.0</v>
      </c>
      <c r="B1420" s="1" t="s">
        <v>3096</v>
      </c>
      <c r="C1420" s="1" t="s">
        <v>2930</v>
      </c>
      <c r="D1420" s="1" t="s">
        <v>2996</v>
      </c>
      <c r="E1420" s="1" t="s">
        <v>3097</v>
      </c>
      <c r="F1420" s="1" t="s">
        <v>16</v>
      </c>
      <c r="G1420" s="1" t="s">
        <v>17</v>
      </c>
      <c r="H1420" s="1" t="s">
        <v>18</v>
      </c>
      <c r="I1420" s="1" t="s">
        <v>19</v>
      </c>
      <c r="J1420" s="1">
        <v>145.0</v>
      </c>
      <c r="K1420" s="1">
        <v>45.0</v>
      </c>
      <c r="L1420" s="1">
        <v>102.0</v>
      </c>
    </row>
    <row r="1421">
      <c r="A1421" s="1">
        <v>3303064.0</v>
      </c>
      <c r="B1421" s="1" t="s">
        <v>3098</v>
      </c>
      <c r="C1421" s="1" t="s">
        <v>2930</v>
      </c>
      <c r="D1421" s="1" t="s">
        <v>3099</v>
      </c>
      <c r="E1421" s="1" t="s">
        <v>3100</v>
      </c>
      <c r="F1421" s="1" t="s">
        <v>16</v>
      </c>
      <c r="G1421" s="1" t="s">
        <v>17</v>
      </c>
      <c r="H1421" s="1" t="s">
        <v>18</v>
      </c>
      <c r="I1421" s="1" t="s">
        <v>59</v>
      </c>
      <c r="J1421" s="1">
        <v>101.0</v>
      </c>
      <c r="K1421" s="1">
        <v>40.0</v>
      </c>
      <c r="L1421" s="1">
        <v>273.0</v>
      </c>
    </row>
    <row r="1422">
      <c r="A1422" s="1">
        <v>3372165.0</v>
      </c>
      <c r="B1422" s="1" t="s">
        <v>3101</v>
      </c>
      <c r="C1422" s="1" t="s">
        <v>2930</v>
      </c>
      <c r="D1422" s="1" t="s">
        <v>2967</v>
      </c>
      <c r="E1422" s="1" t="s">
        <v>3102</v>
      </c>
      <c r="F1422" s="1" t="s">
        <v>16</v>
      </c>
      <c r="G1422" s="1" t="s">
        <v>27</v>
      </c>
      <c r="H1422" s="1" t="s">
        <v>18</v>
      </c>
      <c r="I1422" s="1" t="s">
        <v>44</v>
      </c>
      <c r="J1422" s="1">
        <v>204.0</v>
      </c>
      <c r="K1422" s="1">
        <v>92.0</v>
      </c>
      <c r="L1422" s="1">
        <v>1174.0</v>
      </c>
    </row>
    <row r="1423">
      <c r="A1423" s="1">
        <v>3320010.0</v>
      </c>
      <c r="B1423" s="1" t="s">
        <v>3103</v>
      </c>
      <c r="C1423" s="1" t="s">
        <v>2930</v>
      </c>
      <c r="D1423" s="1" t="s">
        <v>3104</v>
      </c>
      <c r="E1423" s="1" t="s">
        <v>3105</v>
      </c>
      <c r="F1423" s="1" t="s">
        <v>16</v>
      </c>
      <c r="G1423" s="1" t="s">
        <v>27</v>
      </c>
      <c r="H1423" s="1" t="s">
        <v>28</v>
      </c>
      <c r="I1423" s="1" t="s">
        <v>40</v>
      </c>
      <c r="J1423" s="1">
        <v>381.0</v>
      </c>
      <c r="K1423" s="1">
        <v>98.0</v>
      </c>
      <c r="L1423" s="1">
        <v>1071.0</v>
      </c>
    </row>
    <row r="1424">
      <c r="A1424" s="1">
        <v>3308033.0</v>
      </c>
      <c r="B1424" s="1" t="s">
        <v>3106</v>
      </c>
      <c r="C1424" s="1" t="s">
        <v>2930</v>
      </c>
      <c r="D1424" s="1" t="s">
        <v>3107</v>
      </c>
      <c r="E1424" s="1" t="s">
        <v>3108</v>
      </c>
      <c r="F1424" s="1" t="s">
        <v>16</v>
      </c>
      <c r="G1424" s="1" t="s">
        <v>23</v>
      </c>
      <c r="H1424" s="1" t="s">
        <v>18</v>
      </c>
      <c r="I1424" s="1" t="s">
        <v>40</v>
      </c>
      <c r="J1424" s="1">
        <v>51.0</v>
      </c>
      <c r="K1424" s="1">
        <v>15.0</v>
      </c>
      <c r="L1424" s="1">
        <v>0.0</v>
      </c>
    </row>
    <row r="1425">
      <c r="A1425" s="1">
        <v>3374390.0</v>
      </c>
      <c r="B1425" s="1" t="s">
        <v>3109</v>
      </c>
      <c r="C1425" s="1" t="s">
        <v>2930</v>
      </c>
      <c r="D1425" s="1" t="s">
        <v>2948</v>
      </c>
      <c r="E1425" s="1" t="s">
        <v>3110</v>
      </c>
      <c r="F1425" s="1" t="s">
        <v>16</v>
      </c>
      <c r="G1425" s="1" t="s">
        <v>23</v>
      </c>
      <c r="H1425" s="1" t="s">
        <v>18</v>
      </c>
      <c r="I1425" s="1" t="s">
        <v>19</v>
      </c>
      <c r="J1425" s="1">
        <v>50.0</v>
      </c>
      <c r="K1425" s="1">
        <v>20.0</v>
      </c>
      <c r="L1425" s="1">
        <v>0.0</v>
      </c>
    </row>
    <row r="1426">
      <c r="A1426" s="1">
        <v>3308014.0</v>
      </c>
      <c r="B1426" s="1" t="s">
        <v>3111</v>
      </c>
      <c r="C1426" s="1" t="s">
        <v>2930</v>
      </c>
      <c r="D1426" s="1" t="s">
        <v>3107</v>
      </c>
      <c r="E1426" s="1" t="s">
        <v>3112</v>
      </c>
      <c r="F1426" s="1" t="s">
        <v>16</v>
      </c>
      <c r="G1426" s="1" t="s">
        <v>17</v>
      </c>
      <c r="H1426" s="1" t="s">
        <v>28</v>
      </c>
      <c r="I1426" s="1" t="s">
        <v>40</v>
      </c>
      <c r="J1426" s="1">
        <v>159.0</v>
      </c>
      <c r="K1426" s="1">
        <v>39.0</v>
      </c>
      <c r="L1426" s="1">
        <v>591.0</v>
      </c>
    </row>
    <row r="1427">
      <c r="A1427" s="1">
        <v>3374123.0</v>
      </c>
      <c r="B1427" s="1" t="s">
        <v>3113</v>
      </c>
      <c r="C1427" s="1" t="s">
        <v>2930</v>
      </c>
      <c r="D1427" s="1" t="s">
        <v>2948</v>
      </c>
      <c r="E1427" s="1" t="s">
        <v>3114</v>
      </c>
      <c r="F1427" s="1" t="s">
        <v>174</v>
      </c>
      <c r="G1427" s="1" t="s">
        <v>150</v>
      </c>
      <c r="H1427" s="1" t="s">
        <v>28</v>
      </c>
      <c r="I1427" s="1" t="s">
        <v>139</v>
      </c>
      <c r="J1427" s="1">
        <v>343.0</v>
      </c>
      <c r="K1427" s="1">
        <v>53.0</v>
      </c>
      <c r="L1427" s="1">
        <v>315.0</v>
      </c>
    </row>
    <row r="1428">
      <c r="A1428" s="1">
        <v>3326016.0</v>
      </c>
      <c r="B1428" s="1" t="s">
        <v>3115</v>
      </c>
      <c r="C1428" s="1" t="s">
        <v>2930</v>
      </c>
      <c r="D1428" s="1" t="s">
        <v>3033</v>
      </c>
      <c r="E1428" s="1" t="s">
        <v>3116</v>
      </c>
      <c r="F1428" s="1" t="s">
        <v>16</v>
      </c>
      <c r="G1428" s="1" t="s">
        <v>17</v>
      </c>
      <c r="H1428" s="1" t="s">
        <v>18</v>
      </c>
      <c r="I1428" s="1" t="s">
        <v>684</v>
      </c>
      <c r="J1428" s="1">
        <v>182.0</v>
      </c>
      <c r="K1428" s="1">
        <v>35.0</v>
      </c>
      <c r="L1428" s="1">
        <v>277.0</v>
      </c>
    </row>
    <row r="1429">
      <c r="A1429" s="1">
        <v>3312010.0</v>
      </c>
      <c r="B1429" s="1" t="s">
        <v>3117</v>
      </c>
      <c r="C1429" s="1" t="s">
        <v>2930</v>
      </c>
      <c r="D1429" s="1" t="s">
        <v>3118</v>
      </c>
      <c r="E1429" s="1" t="s">
        <v>3119</v>
      </c>
      <c r="F1429" s="1" t="s">
        <v>16</v>
      </c>
      <c r="G1429" s="1" t="s">
        <v>27</v>
      </c>
      <c r="H1429" s="1" t="s">
        <v>28</v>
      </c>
      <c r="I1429" s="1" t="s">
        <v>40</v>
      </c>
      <c r="J1429" s="1">
        <v>269.0</v>
      </c>
      <c r="K1429" s="1">
        <v>122.0</v>
      </c>
      <c r="L1429" s="1">
        <v>696.0</v>
      </c>
    </row>
    <row r="1430">
      <c r="A1430" s="1">
        <v>3376023.0</v>
      </c>
      <c r="B1430" s="1" t="s">
        <v>3120</v>
      </c>
      <c r="C1430" s="1" t="s">
        <v>2930</v>
      </c>
      <c r="D1430" s="1" t="s">
        <v>3038</v>
      </c>
      <c r="E1430" s="1" t="s">
        <v>3121</v>
      </c>
      <c r="F1430" s="1" t="s">
        <v>16</v>
      </c>
      <c r="G1430" s="1" t="s">
        <v>17</v>
      </c>
      <c r="H1430" s="1" t="s">
        <v>18</v>
      </c>
      <c r="I1430" s="1" t="s">
        <v>19</v>
      </c>
      <c r="J1430" s="1">
        <v>181.0</v>
      </c>
      <c r="K1430" s="1">
        <v>40.0</v>
      </c>
      <c r="L1430" s="1">
        <v>250.0</v>
      </c>
    </row>
    <row r="1431">
      <c r="A1431" s="1">
        <v>3310425.0</v>
      </c>
      <c r="B1431" s="1" t="s">
        <v>3122</v>
      </c>
      <c r="C1431" s="1" t="s">
        <v>2930</v>
      </c>
      <c r="D1431" s="1" t="s">
        <v>2989</v>
      </c>
      <c r="E1431" s="1" t="s">
        <v>3123</v>
      </c>
      <c r="F1431" s="1" t="s">
        <v>16</v>
      </c>
      <c r="G1431" s="1" t="s">
        <v>23</v>
      </c>
      <c r="H1431" s="1" t="s">
        <v>18</v>
      </c>
      <c r="I1431" s="1" t="s">
        <v>684</v>
      </c>
      <c r="J1431" s="1">
        <v>61.0</v>
      </c>
      <c r="K1431" s="1">
        <v>39.0</v>
      </c>
      <c r="L1431" s="1">
        <v>59.0</v>
      </c>
    </row>
    <row r="1432">
      <c r="A1432" s="1">
        <v>3374371.0</v>
      </c>
      <c r="B1432" s="1" t="s">
        <v>3124</v>
      </c>
      <c r="C1432" s="1" t="s">
        <v>2930</v>
      </c>
      <c r="D1432" s="1" t="s">
        <v>2948</v>
      </c>
      <c r="E1432" s="1" t="s">
        <v>3125</v>
      </c>
      <c r="F1432" s="1" t="s">
        <v>55</v>
      </c>
      <c r="G1432" s="1" t="s">
        <v>17</v>
      </c>
      <c r="H1432" s="1" t="s">
        <v>18</v>
      </c>
      <c r="I1432" s="1" t="s">
        <v>19</v>
      </c>
      <c r="J1432" s="1">
        <v>25.0</v>
      </c>
      <c r="K1432" s="1">
        <v>27.0</v>
      </c>
      <c r="L1432" s="1">
        <v>118.0</v>
      </c>
    </row>
    <row r="1433">
      <c r="A1433" s="1">
        <v>3309136.0</v>
      </c>
      <c r="B1433" s="1" t="s">
        <v>3126</v>
      </c>
      <c r="C1433" s="1" t="s">
        <v>2930</v>
      </c>
      <c r="D1433" s="1" t="s">
        <v>2973</v>
      </c>
      <c r="E1433" s="1" t="s">
        <v>3127</v>
      </c>
      <c r="F1433" s="1" t="s">
        <v>16</v>
      </c>
      <c r="G1433" s="1" t="s">
        <v>17</v>
      </c>
      <c r="H1433" s="1" t="s">
        <v>18</v>
      </c>
      <c r="I1433" s="1" t="s">
        <v>19</v>
      </c>
      <c r="J1433" s="1">
        <v>102.0</v>
      </c>
      <c r="K1433" s="1">
        <v>34.0</v>
      </c>
      <c r="L1433" s="1">
        <v>63.0</v>
      </c>
    </row>
    <row r="1434">
      <c r="A1434" s="1">
        <v>3314045.0</v>
      </c>
      <c r="B1434" s="1" t="s">
        <v>3128</v>
      </c>
      <c r="C1434" s="1" t="s">
        <v>2930</v>
      </c>
      <c r="D1434" s="1" t="s">
        <v>2945</v>
      </c>
      <c r="E1434" s="1" t="s">
        <v>3129</v>
      </c>
      <c r="F1434" s="1" t="s">
        <v>16</v>
      </c>
      <c r="G1434" s="1" t="s">
        <v>17</v>
      </c>
      <c r="H1434" s="1" t="s">
        <v>18</v>
      </c>
      <c r="I1434" s="1" t="s">
        <v>59</v>
      </c>
      <c r="J1434" s="1">
        <v>126.0</v>
      </c>
      <c r="K1434" s="1">
        <v>34.0</v>
      </c>
      <c r="L1434" s="1">
        <v>393.0</v>
      </c>
    </row>
    <row r="1435">
      <c r="A1435" s="1">
        <v>3310418.0</v>
      </c>
      <c r="B1435" s="1" t="s">
        <v>3130</v>
      </c>
      <c r="C1435" s="1" t="s">
        <v>2930</v>
      </c>
      <c r="D1435" s="1" t="s">
        <v>2989</v>
      </c>
      <c r="E1435" s="1" t="s">
        <v>3131</v>
      </c>
      <c r="F1435" s="1" t="s">
        <v>16</v>
      </c>
      <c r="G1435" s="1" t="s">
        <v>23</v>
      </c>
      <c r="H1435" s="1" t="s">
        <v>18</v>
      </c>
      <c r="I1435" s="1" t="s">
        <v>684</v>
      </c>
      <c r="J1435" s="1">
        <v>110.0</v>
      </c>
      <c r="K1435" s="1">
        <v>32.0</v>
      </c>
      <c r="L1435" s="1">
        <v>201.0</v>
      </c>
    </row>
    <row r="1436">
      <c r="A1436" s="1">
        <v>3302154.0</v>
      </c>
      <c r="B1436" s="1" t="s">
        <v>157</v>
      </c>
      <c r="C1436" s="1" t="s">
        <v>2930</v>
      </c>
      <c r="D1436" s="1" t="s">
        <v>2937</v>
      </c>
      <c r="E1436" s="1" t="s">
        <v>3132</v>
      </c>
      <c r="F1436" s="1" t="s">
        <v>16</v>
      </c>
      <c r="G1436" s="1" t="s">
        <v>23</v>
      </c>
      <c r="H1436" s="1" t="s">
        <v>18</v>
      </c>
      <c r="I1436" s="1" t="s">
        <v>59</v>
      </c>
      <c r="J1436" s="1">
        <v>55.0</v>
      </c>
      <c r="K1436" s="1">
        <v>27.0</v>
      </c>
      <c r="L1436" s="1">
        <v>95.0</v>
      </c>
    </row>
    <row r="1437">
      <c r="A1437" s="1">
        <v>3372030.0</v>
      </c>
      <c r="B1437" s="1" t="s">
        <v>3133</v>
      </c>
      <c r="C1437" s="1" t="s">
        <v>2930</v>
      </c>
      <c r="D1437" s="1" t="s">
        <v>2967</v>
      </c>
      <c r="E1437" s="1" t="s">
        <v>3134</v>
      </c>
      <c r="F1437" s="1" t="s">
        <v>16</v>
      </c>
      <c r="G1437" s="1" t="s">
        <v>17</v>
      </c>
      <c r="H1437" s="1" t="s">
        <v>33</v>
      </c>
      <c r="I1437" s="1" t="s">
        <v>74</v>
      </c>
      <c r="J1437" s="1">
        <v>112.0</v>
      </c>
      <c r="K1437" s="1">
        <v>30.0</v>
      </c>
      <c r="L1437" s="1">
        <v>326.0</v>
      </c>
    </row>
    <row r="1438">
      <c r="A1438" s="1">
        <v>3372238.0</v>
      </c>
      <c r="B1438" s="1" t="s">
        <v>3135</v>
      </c>
      <c r="C1438" s="1" t="s">
        <v>2930</v>
      </c>
      <c r="D1438" s="1" t="s">
        <v>2967</v>
      </c>
      <c r="E1438" s="1" t="s">
        <v>3136</v>
      </c>
      <c r="F1438" s="1" t="s">
        <v>16</v>
      </c>
      <c r="G1438" s="1" t="s">
        <v>23</v>
      </c>
      <c r="H1438" s="1" t="s">
        <v>18</v>
      </c>
      <c r="I1438" s="1" t="s">
        <v>684</v>
      </c>
      <c r="J1438" s="1">
        <v>62.0</v>
      </c>
      <c r="K1438" s="1">
        <v>35.0</v>
      </c>
      <c r="L1438" s="1">
        <v>64.0</v>
      </c>
    </row>
    <row r="1439">
      <c r="A1439" s="1">
        <v>3318075.0</v>
      </c>
      <c r="B1439" s="1" t="s">
        <v>3137</v>
      </c>
      <c r="C1439" s="1" t="s">
        <v>2930</v>
      </c>
      <c r="D1439" s="1" t="s">
        <v>3049</v>
      </c>
      <c r="E1439" s="1" t="s">
        <v>3138</v>
      </c>
      <c r="F1439" s="1" t="s">
        <v>16</v>
      </c>
      <c r="G1439" s="1" t="s">
        <v>17</v>
      </c>
      <c r="H1439" s="1" t="s">
        <v>18</v>
      </c>
      <c r="I1439" s="1" t="s">
        <v>59</v>
      </c>
      <c r="J1439" s="1">
        <v>115.0</v>
      </c>
      <c r="K1439" s="1">
        <v>30.0</v>
      </c>
      <c r="L1439" s="1">
        <v>311.0</v>
      </c>
    </row>
    <row r="1440">
      <c r="A1440" s="1">
        <v>3305103.0</v>
      </c>
      <c r="B1440" s="1" t="s">
        <v>3139</v>
      </c>
      <c r="C1440" s="1" t="s">
        <v>2930</v>
      </c>
      <c r="D1440" s="1" t="s">
        <v>2958</v>
      </c>
      <c r="E1440" s="1" t="s">
        <v>3140</v>
      </c>
      <c r="F1440" s="1" t="s">
        <v>16</v>
      </c>
      <c r="G1440" s="1" t="s">
        <v>17</v>
      </c>
      <c r="H1440" s="1" t="s">
        <v>18</v>
      </c>
      <c r="I1440" s="1" t="s">
        <v>684</v>
      </c>
      <c r="J1440" s="1">
        <v>106.0</v>
      </c>
      <c r="K1440" s="1">
        <v>35.0</v>
      </c>
      <c r="L1440" s="1">
        <v>377.0</v>
      </c>
    </row>
    <row r="1441">
      <c r="A1441" s="1">
        <v>3374021.0</v>
      </c>
      <c r="B1441" s="1" t="s">
        <v>3141</v>
      </c>
      <c r="C1441" s="1" t="s">
        <v>2930</v>
      </c>
      <c r="D1441" s="1" t="s">
        <v>2948</v>
      </c>
      <c r="E1441" s="1" t="s">
        <v>3142</v>
      </c>
      <c r="F1441" s="1" t="s">
        <v>16</v>
      </c>
      <c r="G1441" s="1" t="s">
        <v>27</v>
      </c>
      <c r="H1441" s="1" t="s">
        <v>18</v>
      </c>
      <c r="I1441" s="1" t="s">
        <v>249</v>
      </c>
      <c r="J1441" s="1">
        <v>279.0</v>
      </c>
      <c r="K1441" s="1">
        <v>113.0</v>
      </c>
      <c r="L1441" s="1">
        <v>160.0</v>
      </c>
    </row>
    <row r="1442">
      <c r="A1442" s="1">
        <v>3318111.0</v>
      </c>
      <c r="B1442" s="1" t="s">
        <v>3143</v>
      </c>
      <c r="C1442" s="1" t="s">
        <v>2930</v>
      </c>
      <c r="D1442" s="1" t="s">
        <v>3049</v>
      </c>
      <c r="E1442" s="1" t="s">
        <v>3144</v>
      </c>
      <c r="F1442" s="1" t="s">
        <v>16</v>
      </c>
      <c r="G1442" s="1" t="s">
        <v>17</v>
      </c>
      <c r="H1442" s="1" t="s">
        <v>18</v>
      </c>
      <c r="I1442" s="1" t="s">
        <v>19</v>
      </c>
      <c r="J1442" s="1">
        <v>137.0</v>
      </c>
      <c r="K1442" s="1">
        <v>20.0</v>
      </c>
      <c r="L1442" s="1">
        <v>157.0</v>
      </c>
    </row>
    <row r="1443">
      <c r="A1443" s="1">
        <v>3323013.0</v>
      </c>
      <c r="B1443" s="1" t="s">
        <v>3145</v>
      </c>
      <c r="C1443" s="1" t="s">
        <v>2930</v>
      </c>
      <c r="D1443" s="1" t="s">
        <v>3146</v>
      </c>
      <c r="E1443" s="1" t="s">
        <v>3147</v>
      </c>
      <c r="F1443" s="1" t="s">
        <v>16</v>
      </c>
      <c r="G1443" s="1" t="s">
        <v>27</v>
      </c>
      <c r="H1443" s="1" t="s">
        <v>28</v>
      </c>
      <c r="I1443" s="1" t="s">
        <v>40</v>
      </c>
      <c r="J1443" s="1">
        <v>318.0</v>
      </c>
      <c r="K1443" s="1">
        <v>83.0</v>
      </c>
      <c r="L1443" s="1">
        <v>837.0</v>
      </c>
    </row>
    <row r="1444">
      <c r="A1444" s="1">
        <v>3311225.0</v>
      </c>
      <c r="B1444" s="1" t="s">
        <v>3148</v>
      </c>
      <c r="C1444" s="1" t="s">
        <v>2930</v>
      </c>
      <c r="D1444" s="1" t="s">
        <v>3014</v>
      </c>
      <c r="E1444" s="1" t="s">
        <v>3149</v>
      </c>
      <c r="F1444" s="1" t="s">
        <v>16</v>
      </c>
      <c r="G1444" s="1" t="s">
        <v>17</v>
      </c>
      <c r="H1444" s="1" t="s">
        <v>18</v>
      </c>
      <c r="I1444" s="1" t="s">
        <v>684</v>
      </c>
      <c r="J1444" s="1">
        <v>6.0</v>
      </c>
      <c r="K1444" s="1">
        <v>95.0</v>
      </c>
      <c r="L1444" s="1">
        <v>156.0</v>
      </c>
    </row>
    <row r="1445">
      <c r="A1445" s="1">
        <v>3372253.0</v>
      </c>
      <c r="B1445" s="1" t="s">
        <v>3150</v>
      </c>
      <c r="C1445" s="1" t="s">
        <v>2930</v>
      </c>
      <c r="D1445" s="1" t="s">
        <v>2967</v>
      </c>
      <c r="E1445" s="1" t="s">
        <v>3151</v>
      </c>
      <c r="F1445" s="1" t="s">
        <v>16</v>
      </c>
      <c r="G1445" s="1" t="s">
        <v>23</v>
      </c>
      <c r="H1445" s="1" t="s">
        <v>18</v>
      </c>
      <c r="I1445" s="1" t="s">
        <v>65</v>
      </c>
      <c r="J1445" s="1">
        <v>82.0</v>
      </c>
      <c r="K1445" s="1">
        <v>40.0</v>
      </c>
      <c r="L1445" s="1">
        <v>0.0</v>
      </c>
    </row>
    <row r="1446">
      <c r="A1446" s="1">
        <v>3318125.0</v>
      </c>
      <c r="B1446" s="1" t="s">
        <v>3152</v>
      </c>
      <c r="C1446" s="1" t="s">
        <v>2930</v>
      </c>
      <c r="D1446" s="1" t="s">
        <v>3049</v>
      </c>
      <c r="E1446" s="1" t="s">
        <v>3153</v>
      </c>
      <c r="F1446" s="1" t="s">
        <v>55</v>
      </c>
      <c r="G1446" s="1" t="s">
        <v>17</v>
      </c>
      <c r="H1446" s="1" t="s">
        <v>18</v>
      </c>
      <c r="I1446" s="1" t="s">
        <v>19</v>
      </c>
      <c r="J1446" s="1">
        <v>27.0</v>
      </c>
      <c r="K1446" s="1">
        <v>14.0</v>
      </c>
      <c r="L1446" s="1">
        <v>0.0</v>
      </c>
    </row>
    <row r="1447">
      <c r="A1447" s="1">
        <v>3310052.0</v>
      </c>
      <c r="B1447" s="1" t="s">
        <v>3154</v>
      </c>
      <c r="C1447" s="1" t="s">
        <v>2930</v>
      </c>
      <c r="D1447" s="1" t="s">
        <v>2989</v>
      </c>
      <c r="E1447" s="1" t="s">
        <v>3155</v>
      </c>
      <c r="F1447" s="1" t="s">
        <v>16</v>
      </c>
      <c r="G1447" s="1" t="s">
        <v>17</v>
      </c>
      <c r="H1447" s="1" t="s">
        <v>18</v>
      </c>
      <c r="I1447" s="1" t="s">
        <v>684</v>
      </c>
      <c r="J1447" s="1">
        <v>151.0</v>
      </c>
      <c r="K1447" s="1">
        <v>29.0</v>
      </c>
      <c r="L1447" s="1">
        <v>157.0</v>
      </c>
    </row>
    <row r="1448">
      <c r="A1448" s="1">
        <v>3374342.0</v>
      </c>
      <c r="B1448" s="1" t="s">
        <v>3156</v>
      </c>
      <c r="C1448" s="1" t="s">
        <v>2930</v>
      </c>
      <c r="D1448" s="1" t="s">
        <v>2948</v>
      </c>
      <c r="E1448" s="1" t="s">
        <v>3157</v>
      </c>
      <c r="F1448" s="1" t="s">
        <v>16</v>
      </c>
      <c r="G1448" s="1" t="s">
        <v>27</v>
      </c>
      <c r="H1448" s="1" t="s">
        <v>28</v>
      </c>
      <c r="I1448" s="1" t="s">
        <v>29</v>
      </c>
      <c r="J1448" s="1">
        <v>530.0</v>
      </c>
      <c r="K1448" s="1">
        <v>89.0</v>
      </c>
      <c r="L1448" s="1">
        <v>1434.0</v>
      </c>
    </row>
    <row r="1449">
      <c r="A1449" s="1">
        <v>3310417.0</v>
      </c>
      <c r="B1449" s="1" t="s">
        <v>3158</v>
      </c>
      <c r="C1449" s="1" t="s">
        <v>2930</v>
      </c>
      <c r="D1449" s="1" t="s">
        <v>2989</v>
      </c>
      <c r="E1449" s="1" t="s">
        <v>3159</v>
      </c>
      <c r="F1449" s="1" t="s">
        <v>16</v>
      </c>
      <c r="G1449" s="1" t="s">
        <v>17</v>
      </c>
      <c r="H1449" s="1" t="s">
        <v>18</v>
      </c>
      <c r="I1449" s="1" t="s">
        <v>19</v>
      </c>
      <c r="J1449" s="1">
        <v>107.0</v>
      </c>
      <c r="K1449" s="1">
        <v>55.0</v>
      </c>
      <c r="L1449" s="1">
        <v>182.0</v>
      </c>
    </row>
    <row r="1450">
      <c r="A1450" s="1">
        <v>3327043.0</v>
      </c>
      <c r="B1450" s="1" t="s">
        <v>3160</v>
      </c>
      <c r="C1450" s="1" t="s">
        <v>2930</v>
      </c>
      <c r="D1450" s="1" t="s">
        <v>3054</v>
      </c>
      <c r="E1450" s="1" t="s">
        <v>3161</v>
      </c>
      <c r="F1450" s="1" t="s">
        <v>16</v>
      </c>
      <c r="G1450" s="1" t="s">
        <v>17</v>
      </c>
      <c r="H1450" s="1" t="s">
        <v>18</v>
      </c>
      <c r="I1450" s="1" t="s">
        <v>684</v>
      </c>
      <c r="J1450" s="1">
        <v>114.0</v>
      </c>
      <c r="K1450" s="1">
        <v>27.0</v>
      </c>
      <c r="L1450" s="1">
        <v>152.0</v>
      </c>
    </row>
    <row r="1451">
      <c r="A1451" s="1">
        <v>3311229.0</v>
      </c>
      <c r="B1451" s="1" t="s">
        <v>3162</v>
      </c>
      <c r="C1451" s="1" t="s">
        <v>2930</v>
      </c>
      <c r="D1451" s="1" t="s">
        <v>3014</v>
      </c>
      <c r="E1451" s="1" t="s">
        <v>3163</v>
      </c>
      <c r="F1451" s="1" t="s">
        <v>16</v>
      </c>
      <c r="G1451" s="1" t="s">
        <v>17</v>
      </c>
      <c r="H1451" s="1" t="s">
        <v>18</v>
      </c>
      <c r="I1451" s="1" t="s">
        <v>19</v>
      </c>
      <c r="J1451" s="1">
        <v>182.0</v>
      </c>
      <c r="K1451" s="1">
        <v>58.0</v>
      </c>
      <c r="L1451" s="1">
        <v>1075.0</v>
      </c>
    </row>
    <row r="1452">
      <c r="A1452" s="1">
        <v>3302232.0</v>
      </c>
      <c r="B1452" s="1" t="s">
        <v>3164</v>
      </c>
      <c r="C1452" s="1" t="s">
        <v>2930</v>
      </c>
      <c r="D1452" s="1" t="s">
        <v>2937</v>
      </c>
      <c r="E1452" s="1" t="s">
        <v>3165</v>
      </c>
      <c r="F1452" s="1" t="s">
        <v>16</v>
      </c>
      <c r="G1452" s="1" t="s">
        <v>17</v>
      </c>
      <c r="H1452" s="1" t="s">
        <v>18</v>
      </c>
      <c r="I1452" s="1" t="s">
        <v>44</v>
      </c>
      <c r="J1452" s="1">
        <v>133.0</v>
      </c>
      <c r="K1452" s="1">
        <v>94.0</v>
      </c>
      <c r="L1452" s="1">
        <v>233.0</v>
      </c>
    </row>
    <row r="1453">
      <c r="A1453" s="1">
        <v>3320046.0</v>
      </c>
      <c r="B1453" s="1" t="s">
        <v>3166</v>
      </c>
      <c r="C1453" s="1" t="s">
        <v>2930</v>
      </c>
      <c r="D1453" s="1" t="s">
        <v>3104</v>
      </c>
      <c r="E1453" s="1" t="s">
        <v>3167</v>
      </c>
      <c r="F1453" s="1" t="s">
        <v>16</v>
      </c>
      <c r="G1453" s="1" t="s">
        <v>23</v>
      </c>
      <c r="H1453" s="1" t="s">
        <v>18</v>
      </c>
      <c r="I1453" s="1" t="s">
        <v>684</v>
      </c>
      <c r="J1453" s="1">
        <v>75.0</v>
      </c>
      <c r="K1453" s="1">
        <v>21.0</v>
      </c>
      <c r="L1453" s="1">
        <v>40.0</v>
      </c>
    </row>
    <row r="1454">
      <c r="A1454" s="1">
        <v>3315075.0</v>
      </c>
      <c r="B1454" s="1" t="s">
        <v>3168</v>
      </c>
      <c r="C1454" s="1" t="s">
        <v>2930</v>
      </c>
      <c r="D1454" s="1" t="s">
        <v>3005</v>
      </c>
      <c r="E1454" s="1" t="s">
        <v>3169</v>
      </c>
      <c r="F1454" s="1" t="s">
        <v>16</v>
      </c>
      <c r="G1454" s="1" t="s">
        <v>23</v>
      </c>
      <c r="H1454" s="1" t="s">
        <v>18</v>
      </c>
      <c r="I1454" s="1" t="s">
        <v>44</v>
      </c>
      <c r="J1454" s="1">
        <v>49.0</v>
      </c>
      <c r="K1454" s="1">
        <v>25.0</v>
      </c>
      <c r="L1454" s="1">
        <v>0.0</v>
      </c>
    </row>
    <row r="1455">
      <c r="A1455" s="1">
        <v>3301105.0</v>
      </c>
      <c r="B1455" s="1" t="s">
        <v>3170</v>
      </c>
      <c r="C1455" s="1" t="s">
        <v>2930</v>
      </c>
      <c r="D1455" s="1" t="s">
        <v>2996</v>
      </c>
      <c r="E1455" s="1" t="s">
        <v>3171</v>
      </c>
      <c r="F1455" s="1" t="s">
        <v>16</v>
      </c>
      <c r="G1455" s="1" t="s">
        <v>23</v>
      </c>
      <c r="H1455" s="1" t="s">
        <v>18</v>
      </c>
      <c r="I1455" s="1" t="s">
        <v>59</v>
      </c>
      <c r="J1455" s="1">
        <v>50.0</v>
      </c>
      <c r="K1455" s="1">
        <v>22.0</v>
      </c>
      <c r="L1455" s="1">
        <v>118.0</v>
      </c>
    </row>
    <row r="1456">
      <c r="A1456" s="1">
        <v>3371040.0</v>
      </c>
      <c r="B1456" s="1" t="s">
        <v>3172</v>
      </c>
      <c r="C1456" s="1" t="s">
        <v>2930</v>
      </c>
      <c r="D1456" s="1" t="s">
        <v>2939</v>
      </c>
      <c r="E1456" s="1" t="s">
        <v>3173</v>
      </c>
      <c r="F1456" s="1" t="s">
        <v>174</v>
      </c>
      <c r="G1456" s="1" t="s">
        <v>150</v>
      </c>
      <c r="H1456" s="1" t="s">
        <v>33</v>
      </c>
      <c r="I1456" s="1" t="s">
        <v>411</v>
      </c>
      <c r="J1456" s="1">
        <v>456.0</v>
      </c>
      <c r="K1456" s="1">
        <v>44.0</v>
      </c>
      <c r="L1456" s="1">
        <v>948.0</v>
      </c>
    </row>
    <row r="1457">
      <c r="A1457" s="1">
        <v>3316025.0</v>
      </c>
      <c r="B1457" s="1" t="s">
        <v>3174</v>
      </c>
      <c r="C1457" s="1" t="s">
        <v>2930</v>
      </c>
      <c r="D1457" s="1" t="s">
        <v>2951</v>
      </c>
      <c r="E1457" s="1" t="s">
        <v>3175</v>
      </c>
      <c r="F1457" s="1" t="s">
        <v>16</v>
      </c>
      <c r="G1457" s="1" t="s">
        <v>17</v>
      </c>
      <c r="H1457" s="1" t="s">
        <v>28</v>
      </c>
      <c r="I1457" s="1" t="s">
        <v>40</v>
      </c>
      <c r="J1457" s="1">
        <v>265.0</v>
      </c>
      <c r="K1457" s="1">
        <v>38.0</v>
      </c>
      <c r="L1457" s="1">
        <v>446.0</v>
      </c>
    </row>
    <row r="1458">
      <c r="A1458" s="1">
        <v>3302174.0</v>
      </c>
      <c r="B1458" s="1" t="s">
        <v>3176</v>
      </c>
      <c r="C1458" s="1" t="s">
        <v>2930</v>
      </c>
      <c r="D1458" s="1" t="s">
        <v>2937</v>
      </c>
      <c r="E1458" s="1" t="s">
        <v>3177</v>
      </c>
      <c r="F1458" s="1" t="s">
        <v>55</v>
      </c>
      <c r="G1458" s="1" t="s">
        <v>17</v>
      </c>
      <c r="H1458" s="1" t="s">
        <v>18</v>
      </c>
      <c r="I1458" s="1" t="s">
        <v>59</v>
      </c>
      <c r="J1458" s="1">
        <v>30.0</v>
      </c>
      <c r="K1458" s="1">
        <v>18.0</v>
      </c>
      <c r="L1458" s="1">
        <v>126.0</v>
      </c>
    </row>
    <row r="1459">
      <c r="A1459" s="1">
        <v>3309128.0</v>
      </c>
      <c r="B1459" s="1" t="s">
        <v>3178</v>
      </c>
      <c r="C1459" s="1" t="s">
        <v>2930</v>
      </c>
      <c r="D1459" s="1" t="s">
        <v>2973</v>
      </c>
      <c r="E1459" s="1" t="s">
        <v>3179</v>
      </c>
      <c r="F1459" s="1" t="s">
        <v>16</v>
      </c>
      <c r="G1459" s="1" t="s">
        <v>23</v>
      </c>
      <c r="H1459" s="1" t="s">
        <v>18</v>
      </c>
      <c r="I1459" s="1" t="s">
        <v>684</v>
      </c>
      <c r="J1459" s="1">
        <v>80.0</v>
      </c>
      <c r="K1459" s="1">
        <v>39.0</v>
      </c>
      <c r="L1459" s="1">
        <v>236.0</v>
      </c>
    </row>
    <row r="1460">
      <c r="A1460" s="1">
        <v>3328082.0</v>
      </c>
      <c r="B1460" s="1" t="s">
        <v>3180</v>
      </c>
      <c r="C1460" s="1" t="s">
        <v>2930</v>
      </c>
      <c r="D1460" s="1" t="s">
        <v>3038</v>
      </c>
      <c r="E1460" s="1" t="s">
        <v>3181</v>
      </c>
      <c r="F1460" s="1" t="s">
        <v>16</v>
      </c>
      <c r="G1460" s="1" t="s">
        <v>23</v>
      </c>
      <c r="H1460" s="1" t="s">
        <v>18</v>
      </c>
      <c r="I1460" s="1" t="s">
        <v>163</v>
      </c>
      <c r="J1460" s="1">
        <v>50.0</v>
      </c>
      <c r="K1460" s="1">
        <v>25.0</v>
      </c>
      <c r="L1460" s="1">
        <v>40.0</v>
      </c>
    </row>
    <row r="1461">
      <c r="A1461" s="1">
        <v>3304010.0</v>
      </c>
      <c r="B1461" s="1" t="s">
        <v>3182</v>
      </c>
      <c r="C1461" s="1" t="s">
        <v>2930</v>
      </c>
      <c r="D1461" s="1" t="s">
        <v>3183</v>
      </c>
      <c r="E1461" s="1" t="s">
        <v>3184</v>
      </c>
      <c r="F1461" s="1" t="s">
        <v>16</v>
      </c>
      <c r="G1461" s="1" t="s">
        <v>17</v>
      </c>
      <c r="H1461" s="1" t="s">
        <v>28</v>
      </c>
      <c r="I1461" s="1" t="s">
        <v>40</v>
      </c>
      <c r="J1461" s="1">
        <v>305.0</v>
      </c>
      <c r="K1461" s="1">
        <v>28.0</v>
      </c>
      <c r="L1461" s="1">
        <v>592.0</v>
      </c>
    </row>
    <row r="1462">
      <c r="A1462" s="1">
        <v>3372234.0</v>
      </c>
      <c r="B1462" s="1" t="s">
        <v>3185</v>
      </c>
      <c r="C1462" s="1" t="s">
        <v>2930</v>
      </c>
      <c r="D1462" s="1" t="s">
        <v>2967</v>
      </c>
      <c r="E1462" s="1" t="s">
        <v>3186</v>
      </c>
      <c r="F1462" s="1" t="s">
        <v>16</v>
      </c>
      <c r="G1462" s="1" t="s">
        <v>17</v>
      </c>
      <c r="H1462" s="1" t="s">
        <v>28</v>
      </c>
      <c r="I1462" s="1" t="s">
        <v>29</v>
      </c>
      <c r="J1462" s="1">
        <v>199.0</v>
      </c>
      <c r="K1462" s="1">
        <v>38.0</v>
      </c>
      <c r="L1462" s="1">
        <v>344.0</v>
      </c>
    </row>
    <row r="1463">
      <c r="A1463" s="1">
        <v>3373092.0</v>
      </c>
      <c r="B1463" s="1" t="s">
        <v>3187</v>
      </c>
      <c r="C1463" s="1" t="s">
        <v>2930</v>
      </c>
      <c r="D1463" s="1" t="s">
        <v>2961</v>
      </c>
      <c r="E1463" s="1" t="s">
        <v>3188</v>
      </c>
      <c r="F1463" s="1" t="s">
        <v>55</v>
      </c>
      <c r="G1463" s="1" t="s">
        <v>17</v>
      </c>
      <c r="H1463" s="1" t="s">
        <v>18</v>
      </c>
      <c r="I1463" s="1" t="s">
        <v>163</v>
      </c>
      <c r="J1463" s="1">
        <v>30.0</v>
      </c>
      <c r="K1463" s="1">
        <v>36.0</v>
      </c>
      <c r="L1463" s="1">
        <v>53.0</v>
      </c>
    </row>
    <row r="1464">
      <c r="A1464" s="1">
        <v>3320032.0</v>
      </c>
      <c r="B1464" s="1" t="s">
        <v>3189</v>
      </c>
      <c r="C1464" s="1" t="s">
        <v>2930</v>
      </c>
      <c r="D1464" s="1" t="s">
        <v>3104</v>
      </c>
      <c r="E1464" s="1" t="s">
        <v>3190</v>
      </c>
      <c r="F1464" s="1" t="s">
        <v>16</v>
      </c>
      <c r="G1464" s="1" t="s">
        <v>17</v>
      </c>
      <c r="H1464" s="1" t="s">
        <v>18</v>
      </c>
      <c r="I1464" s="1" t="s">
        <v>684</v>
      </c>
      <c r="J1464" s="1">
        <v>162.0</v>
      </c>
      <c r="K1464" s="1">
        <v>56.0</v>
      </c>
      <c r="L1464" s="1">
        <v>342.0</v>
      </c>
    </row>
    <row r="1465">
      <c r="A1465" s="1">
        <v>3311228.0</v>
      </c>
      <c r="B1465" s="1" t="s">
        <v>3191</v>
      </c>
      <c r="C1465" s="1" t="s">
        <v>2930</v>
      </c>
      <c r="D1465" s="1" t="s">
        <v>3014</v>
      </c>
      <c r="E1465" s="1" t="s">
        <v>3192</v>
      </c>
      <c r="F1465" s="1" t="s">
        <v>16</v>
      </c>
      <c r="G1465" s="1" t="s">
        <v>17</v>
      </c>
      <c r="H1465" s="1" t="s">
        <v>18</v>
      </c>
      <c r="I1465" s="1" t="s">
        <v>34</v>
      </c>
      <c r="J1465" s="1">
        <v>197.0</v>
      </c>
      <c r="K1465" s="1">
        <v>52.0</v>
      </c>
      <c r="L1465" s="1">
        <v>561.0</v>
      </c>
    </row>
    <row r="1466">
      <c r="A1466" s="1">
        <v>3374372.0</v>
      </c>
      <c r="B1466" s="1" t="s">
        <v>3193</v>
      </c>
      <c r="C1466" s="1" t="s">
        <v>2930</v>
      </c>
      <c r="D1466" s="1" t="s">
        <v>2948</v>
      </c>
      <c r="E1466" s="1" t="s">
        <v>3194</v>
      </c>
      <c r="F1466" s="1" t="s">
        <v>32</v>
      </c>
      <c r="G1466" s="1" t="s">
        <v>27</v>
      </c>
      <c r="H1466" s="1" t="s">
        <v>18</v>
      </c>
      <c r="I1466" s="1" t="s">
        <v>19</v>
      </c>
      <c r="J1466" s="1">
        <v>14.0</v>
      </c>
      <c r="K1466" s="1">
        <v>17.0</v>
      </c>
      <c r="L1466" s="1">
        <v>75.0</v>
      </c>
    </row>
    <row r="1467">
      <c r="A1467" s="1">
        <v>3327049.0</v>
      </c>
      <c r="B1467" s="1" t="s">
        <v>3195</v>
      </c>
      <c r="C1467" s="1" t="s">
        <v>2930</v>
      </c>
      <c r="D1467" s="1" t="s">
        <v>3054</v>
      </c>
      <c r="E1467" s="1" t="s">
        <v>3196</v>
      </c>
      <c r="F1467" s="1" t="s">
        <v>16</v>
      </c>
      <c r="G1467" s="1" t="s">
        <v>23</v>
      </c>
      <c r="H1467" s="1" t="s">
        <v>18</v>
      </c>
      <c r="I1467" s="1" t="s">
        <v>19</v>
      </c>
      <c r="J1467" s="1">
        <v>59.0</v>
      </c>
      <c r="K1467" s="1">
        <v>21.0</v>
      </c>
      <c r="L1467" s="1">
        <v>100.0</v>
      </c>
    </row>
    <row r="1468">
      <c r="A1468" s="1">
        <v>3309063.0</v>
      </c>
      <c r="B1468" s="1" t="s">
        <v>3197</v>
      </c>
      <c r="C1468" s="1" t="s">
        <v>2930</v>
      </c>
      <c r="D1468" s="1" t="s">
        <v>2973</v>
      </c>
      <c r="E1468" s="1" t="s">
        <v>3198</v>
      </c>
      <c r="F1468" s="1" t="s">
        <v>16</v>
      </c>
      <c r="G1468" s="1" t="s">
        <v>17</v>
      </c>
      <c r="H1468" s="1" t="s">
        <v>18</v>
      </c>
      <c r="I1468" s="1" t="s">
        <v>684</v>
      </c>
      <c r="J1468" s="1">
        <v>109.0</v>
      </c>
      <c r="K1468" s="1">
        <v>53.0</v>
      </c>
      <c r="L1468" s="1">
        <v>109.0</v>
      </c>
    </row>
    <row r="1469">
      <c r="A1469" s="1">
        <v>3374145.0</v>
      </c>
      <c r="B1469" s="1" t="s">
        <v>3199</v>
      </c>
      <c r="C1469" s="1" t="s">
        <v>2930</v>
      </c>
      <c r="D1469" s="1" t="s">
        <v>2948</v>
      </c>
      <c r="E1469" s="1" t="s">
        <v>3200</v>
      </c>
      <c r="F1469" s="1" t="s">
        <v>16</v>
      </c>
      <c r="G1469" s="1" t="s">
        <v>17</v>
      </c>
      <c r="H1469" s="1" t="s">
        <v>18</v>
      </c>
      <c r="I1469" s="1" t="s">
        <v>19</v>
      </c>
      <c r="J1469" s="1">
        <v>150.0</v>
      </c>
      <c r="K1469" s="1">
        <v>112.0</v>
      </c>
      <c r="L1469" s="1">
        <v>590.0</v>
      </c>
    </row>
    <row r="1470">
      <c r="A1470" s="1">
        <v>3305117.0</v>
      </c>
      <c r="B1470" s="1" t="s">
        <v>3201</v>
      </c>
      <c r="C1470" s="1" t="s">
        <v>2930</v>
      </c>
      <c r="D1470" s="1" t="s">
        <v>2958</v>
      </c>
      <c r="E1470" s="1" t="s">
        <v>3202</v>
      </c>
      <c r="F1470" s="1" t="s">
        <v>16</v>
      </c>
      <c r="G1470" s="1" t="s">
        <v>23</v>
      </c>
      <c r="H1470" s="1" t="s">
        <v>18</v>
      </c>
      <c r="I1470" s="1" t="s">
        <v>684</v>
      </c>
      <c r="J1470" s="1">
        <v>62.0</v>
      </c>
      <c r="K1470" s="1">
        <v>24.0</v>
      </c>
      <c r="L1470" s="1">
        <v>171.0</v>
      </c>
    </row>
    <row r="1471">
      <c r="A1471" s="1">
        <v>3301115.0</v>
      </c>
      <c r="B1471" s="1" t="s">
        <v>3203</v>
      </c>
      <c r="C1471" s="1" t="s">
        <v>2930</v>
      </c>
      <c r="D1471" s="1" t="s">
        <v>2996</v>
      </c>
      <c r="E1471" s="1" t="s">
        <v>3204</v>
      </c>
      <c r="F1471" s="1" t="s">
        <v>16</v>
      </c>
      <c r="G1471" s="1" t="s">
        <v>17</v>
      </c>
      <c r="H1471" s="1" t="s">
        <v>18</v>
      </c>
      <c r="I1471" s="1" t="s">
        <v>44</v>
      </c>
      <c r="J1471" s="1">
        <v>146.0</v>
      </c>
      <c r="K1471" s="1">
        <v>52.0</v>
      </c>
      <c r="L1471" s="1">
        <v>0.0</v>
      </c>
    </row>
    <row r="1472">
      <c r="A1472" s="1">
        <v>3312295.0</v>
      </c>
      <c r="B1472" s="1" t="s">
        <v>3205</v>
      </c>
      <c r="C1472" s="1" t="s">
        <v>2930</v>
      </c>
      <c r="D1472" s="1" t="s">
        <v>3118</v>
      </c>
      <c r="E1472" s="1" t="s">
        <v>3206</v>
      </c>
      <c r="F1472" s="1" t="s">
        <v>16</v>
      </c>
      <c r="G1472" s="1" t="s">
        <v>17</v>
      </c>
      <c r="H1472" s="1" t="s">
        <v>18</v>
      </c>
      <c r="I1472" s="1" t="s">
        <v>19</v>
      </c>
      <c r="J1472" s="1">
        <v>110.0</v>
      </c>
      <c r="K1472" s="1">
        <v>64.0</v>
      </c>
      <c r="L1472" s="1">
        <v>210.0</v>
      </c>
    </row>
    <row r="1473">
      <c r="A1473" s="1">
        <v>3376082.0</v>
      </c>
      <c r="B1473" s="1" t="s">
        <v>3207</v>
      </c>
      <c r="C1473" s="1" t="s">
        <v>2930</v>
      </c>
      <c r="D1473" s="1" t="s">
        <v>3208</v>
      </c>
      <c r="E1473" s="1" t="s">
        <v>3209</v>
      </c>
      <c r="F1473" s="1" t="s">
        <v>16</v>
      </c>
      <c r="G1473" s="1" t="s">
        <v>27</v>
      </c>
      <c r="H1473" s="1" t="s">
        <v>18</v>
      </c>
      <c r="I1473" s="1" t="s">
        <v>684</v>
      </c>
      <c r="J1473" s="1">
        <v>406.0</v>
      </c>
      <c r="K1473" s="1">
        <v>103.0</v>
      </c>
      <c r="L1473" s="1">
        <v>956.0</v>
      </c>
    </row>
    <row r="1474">
      <c r="A1474" s="1">
        <v>3304032.0</v>
      </c>
      <c r="B1474" s="1" t="s">
        <v>3210</v>
      </c>
      <c r="C1474" s="1" t="s">
        <v>2930</v>
      </c>
      <c r="D1474" s="1" t="s">
        <v>3183</v>
      </c>
      <c r="E1474" s="1" t="s">
        <v>3211</v>
      </c>
      <c r="F1474" s="1" t="s">
        <v>16</v>
      </c>
      <c r="G1474" s="1" t="s">
        <v>17</v>
      </c>
      <c r="H1474" s="1" t="s">
        <v>18</v>
      </c>
      <c r="I1474" s="1" t="s">
        <v>59</v>
      </c>
      <c r="J1474" s="1">
        <v>127.0</v>
      </c>
      <c r="K1474" s="1">
        <v>29.0</v>
      </c>
      <c r="L1474" s="1">
        <v>499.0</v>
      </c>
    </row>
    <row r="1475">
      <c r="A1475" s="1">
        <v>3314090.0</v>
      </c>
      <c r="B1475" s="1" t="s">
        <v>3212</v>
      </c>
      <c r="C1475" s="1" t="s">
        <v>2930</v>
      </c>
      <c r="D1475" s="1" t="s">
        <v>2945</v>
      </c>
      <c r="E1475" s="1" t="s">
        <v>3213</v>
      </c>
      <c r="F1475" s="1" t="s">
        <v>16</v>
      </c>
      <c r="G1475" s="1" t="s">
        <v>17</v>
      </c>
      <c r="H1475" s="1" t="s">
        <v>18</v>
      </c>
      <c r="I1475" s="1" t="s">
        <v>19</v>
      </c>
      <c r="J1475" s="1">
        <v>104.0</v>
      </c>
      <c r="K1475" s="1">
        <v>33.0</v>
      </c>
      <c r="L1475" s="1">
        <v>210.0</v>
      </c>
    </row>
    <row r="1476">
      <c r="A1476" s="1">
        <v>3314067.0</v>
      </c>
      <c r="B1476" s="1" t="s">
        <v>3214</v>
      </c>
      <c r="C1476" s="1" t="s">
        <v>2930</v>
      </c>
      <c r="D1476" s="1" t="s">
        <v>2945</v>
      </c>
      <c r="E1476" s="1" t="s">
        <v>3215</v>
      </c>
      <c r="F1476" s="1" t="s">
        <v>16</v>
      </c>
      <c r="G1476" s="1" t="s">
        <v>23</v>
      </c>
      <c r="H1476" s="1" t="s">
        <v>18</v>
      </c>
      <c r="I1476" s="1" t="s">
        <v>44</v>
      </c>
      <c r="J1476" s="1">
        <v>99.0</v>
      </c>
      <c r="K1476" s="1">
        <v>25.0</v>
      </c>
      <c r="L1476" s="1">
        <v>176.0</v>
      </c>
    </row>
    <row r="1477">
      <c r="A1477" s="1">
        <v>3311230.0</v>
      </c>
      <c r="B1477" s="1" t="s">
        <v>3216</v>
      </c>
      <c r="C1477" s="1" t="s">
        <v>2930</v>
      </c>
      <c r="D1477" s="1" t="s">
        <v>3014</v>
      </c>
      <c r="E1477" s="1" t="s">
        <v>3217</v>
      </c>
      <c r="F1477" s="1" t="s">
        <v>16</v>
      </c>
      <c r="G1477" s="1" t="s">
        <v>23</v>
      </c>
      <c r="H1477" s="1" t="s">
        <v>18</v>
      </c>
      <c r="I1477" s="1" t="s">
        <v>684</v>
      </c>
      <c r="J1477" s="1">
        <v>56.0</v>
      </c>
      <c r="K1477" s="1">
        <v>21.0</v>
      </c>
      <c r="L1477" s="1">
        <v>71.0</v>
      </c>
    </row>
    <row r="1478">
      <c r="A1478" s="1">
        <v>3329112.0</v>
      </c>
      <c r="B1478" s="1" t="s">
        <v>3218</v>
      </c>
      <c r="C1478" s="1" t="s">
        <v>2930</v>
      </c>
      <c r="D1478" s="1" t="s">
        <v>2999</v>
      </c>
      <c r="E1478" s="1" t="s">
        <v>3219</v>
      </c>
      <c r="F1478" s="1" t="s">
        <v>16</v>
      </c>
      <c r="G1478" s="1" t="s">
        <v>23</v>
      </c>
      <c r="H1478" s="1" t="s">
        <v>18</v>
      </c>
      <c r="I1478" s="1" t="s">
        <v>44</v>
      </c>
      <c r="J1478" s="1">
        <v>50.0</v>
      </c>
      <c r="K1478" s="1">
        <v>25.0</v>
      </c>
      <c r="L1478" s="1">
        <v>37.0</v>
      </c>
    </row>
    <row r="1479">
      <c r="A1479" s="1">
        <v>3318114.0</v>
      </c>
      <c r="B1479" s="1" t="s">
        <v>3220</v>
      </c>
      <c r="C1479" s="1" t="s">
        <v>2930</v>
      </c>
      <c r="D1479" s="1" t="s">
        <v>3049</v>
      </c>
      <c r="E1479" s="1" t="s">
        <v>3221</v>
      </c>
      <c r="F1479" s="1" t="s">
        <v>16</v>
      </c>
      <c r="G1479" s="1" t="s">
        <v>17</v>
      </c>
      <c r="H1479" s="1" t="s">
        <v>18</v>
      </c>
      <c r="I1479" s="1" t="s">
        <v>44</v>
      </c>
      <c r="J1479" s="1">
        <v>144.0</v>
      </c>
      <c r="K1479" s="1">
        <v>37.0</v>
      </c>
      <c r="L1479" s="1">
        <v>122.0</v>
      </c>
    </row>
    <row r="1480">
      <c r="A1480" s="1">
        <v>3302180.0</v>
      </c>
      <c r="B1480" s="1" t="s">
        <v>3222</v>
      </c>
      <c r="C1480" s="1" t="s">
        <v>2930</v>
      </c>
      <c r="D1480" s="1" t="s">
        <v>2937</v>
      </c>
      <c r="E1480" s="1" t="s">
        <v>3223</v>
      </c>
      <c r="F1480" s="1" t="s">
        <v>16</v>
      </c>
      <c r="G1480" s="1" t="s">
        <v>23</v>
      </c>
      <c r="H1480" s="1" t="s">
        <v>18</v>
      </c>
      <c r="I1480" s="1" t="s">
        <v>59</v>
      </c>
      <c r="J1480" s="1">
        <v>47.0</v>
      </c>
      <c r="K1480" s="1">
        <v>23.0</v>
      </c>
      <c r="L1480" s="1">
        <v>207.0</v>
      </c>
    </row>
    <row r="1481">
      <c r="A1481" s="1">
        <v>3372052.0</v>
      </c>
      <c r="B1481" s="1" t="s">
        <v>3224</v>
      </c>
      <c r="C1481" s="1" t="s">
        <v>2930</v>
      </c>
      <c r="D1481" s="1" t="s">
        <v>2967</v>
      </c>
      <c r="E1481" s="1" t="s">
        <v>3225</v>
      </c>
      <c r="F1481" s="1" t="s">
        <v>174</v>
      </c>
      <c r="G1481" s="1" t="s">
        <v>150</v>
      </c>
      <c r="H1481" s="1" t="s">
        <v>28</v>
      </c>
      <c r="I1481" s="1" t="s">
        <v>139</v>
      </c>
      <c r="J1481" s="1">
        <v>213.0</v>
      </c>
      <c r="K1481" s="1">
        <v>38.0</v>
      </c>
      <c r="L1481" s="1">
        <v>427.0</v>
      </c>
    </row>
    <row r="1482">
      <c r="A1482" s="1">
        <v>3328035.0</v>
      </c>
      <c r="B1482" s="1" t="s">
        <v>3226</v>
      </c>
      <c r="C1482" s="1" t="s">
        <v>2930</v>
      </c>
      <c r="D1482" s="1" t="s">
        <v>3038</v>
      </c>
      <c r="E1482" s="1" t="s">
        <v>3227</v>
      </c>
      <c r="F1482" s="1" t="s">
        <v>16</v>
      </c>
      <c r="G1482" s="1" t="s">
        <v>17</v>
      </c>
      <c r="H1482" s="1" t="s">
        <v>28</v>
      </c>
      <c r="I1482" s="1" t="s">
        <v>40</v>
      </c>
      <c r="J1482" s="1">
        <v>152.0</v>
      </c>
      <c r="K1482" s="1">
        <v>38.0</v>
      </c>
      <c r="L1482" s="1">
        <v>256.0</v>
      </c>
    </row>
    <row r="1483">
      <c r="A1483" s="1">
        <v>3312309.0</v>
      </c>
      <c r="B1483" s="1" t="s">
        <v>3228</v>
      </c>
      <c r="C1483" s="1" t="s">
        <v>2930</v>
      </c>
      <c r="D1483" s="1" t="s">
        <v>3118</v>
      </c>
      <c r="E1483" s="1" t="s">
        <v>3229</v>
      </c>
      <c r="F1483" s="1" t="s">
        <v>16</v>
      </c>
      <c r="G1483" s="1" t="s">
        <v>23</v>
      </c>
      <c r="H1483" s="1" t="s">
        <v>18</v>
      </c>
      <c r="I1483" s="1" t="s">
        <v>44</v>
      </c>
      <c r="J1483" s="1">
        <v>98.0</v>
      </c>
      <c r="K1483" s="1">
        <v>27.0</v>
      </c>
      <c r="L1483" s="1">
        <v>76.0</v>
      </c>
    </row>
    <row r="1484">
      <c r="A1484" s="1">
        <v>3319010.0</v>
      </c>
      <c r="B1484" s="1" t="s">
        <v>3230</v>
      </c>
      <c r="C1484" s="1" t="s">
        <v>2930</v>
      </c>
      <c r="D1484" s="1" t="s">
        <v>2934</v>
      </c>
      <c r="E1484" s="1" t="s">
        <v>3231</v>
      </c>
      <c r="F1484" s="1" t="s">
        <v>16</v>
      </c>
      <c r="G1484" s="1" t="s">
        <v>27</v>
      </c>
      <c r="H1484" s="1" t="s">
        <v>28</v>
      </c>
      <c r="I1484" s="1" t="s">
        <v>40</v>
      </c>
      <c r="J1484" s="1">
        <v>385.0</v>
      </c>
      <c r="K1484" s="1">
        <v>56.0</v>
      </c>
      <c r="L1484" s="1">
        <v>965.0</v>
      </c>
    </row>
    <row r="1485">
      <c r="A1485" s="1">
        <v>3318109.0</v>
      </c>
      <c r="B1485" s="1" t="s">
        <v>3232</v>
      </c>
      <c r="C1485" s="1" t="s">
        <v>2930</v>
      </c>
      <c r="D1485" s="1" t="s">
        <v>3049</v>
      </c>
      <c r="E1485" s="1" t="s">
        <v>3233</v>
      </c>
      <c r="F1485" s="1" t="s">
        <v>16</v>
      </c>
      <c r="G1485" s="1" t="s">
        <v>23</v>
      </c>
      <c r="H1485" s="1" t="s">
        <v>18</v>
      </c>
      <c r="I1485" s="1" t="s">
        <v>19</v>
      </c>
      <c r="J1485" s="1">
        <v>85.0</v>
      </c>
      <c r="K1485" s="1">
        <v>24.0</v>
      </c>
      <c r="L1485" s="1">
        <v>117.0</v>
      </c>
    </row>
    <row r="1486">
      <c r="A1486" s="1">
        <v>3329126.0</v>
      </c>
      <c r="B1486" s="1" t="s">
        <v>3234</v>
      </c>
      <c r="C1486" s="1" t="s">
        <v>2930</v>
      </c>
      <c r="D1486" s="1" t="s">
        <v>2999</v>
      </c>
      <c r="E1486" s="1" t="s">
        <v>3235</v>
      </c>
      <c r="F1486" s="1" t="s">
        <v>55</v>
      </c>
      <c r="G1486" s="1" t="s">
        <v>17</v>
      </c>
      <c r="H1486" s="1" t="s">
        <v>18</v>
      </c>
      <c r="I1486" s="1" t="s">
        <v>19</v>
      </c>
      <c r="J1486" s="1">
        <v>25.0</v>
      </c>
      <c r="K1486" s="1">
        <v>26.0</v>
      </c>
      <c r="L1486" s="1">
        <v>0.0</v>
      </c>
    </row>
    <row r="1487">
      <c r="A1487" s="1">
        <v>3306082.0</v>
      </c>
      <c r="B1487" s="1" t="s">
        <v>3236</v>
      </c>
      <c r="C1487" s="1" t="s">
        <v>2930</v>
      </c>
      <c r="D1487" s="1" t="s">
        <v>2942</v>
      </c>
      <c r="E1487" s="1" t="s">
        <v>3237</v>
      </c>
      <c r="F1487" s="1" t="s">
        <v>16</v>
      </c>
      <c r="G1487" s="1" t="s">
        <v>23</v>
      </c>
      <c r="H1487" s="1" t="s">
        <v>18</v>
      </c>
      <c r="I1487" s="1" t="s">
        <v>59</v>
      </c>
      <c r="J1487" s="1">
        <v>60.0</v>
      </c>
      <c r="K1487" s="1">
        <v>27.0</v>
      </c>
      <c r="L1487" s="1">
        <v>159.0</v>
      </c>
    </row>
    <row r="1488">
      <c r="A1488" s="1">
        <v>3374043.0</v>
      </c>
      <c r="B1488" s="1" t="s">
        <v>3238</v>
      </c>
      <c r="C1488" s="1" t="s">
        <v>2930</v>
      </c>
      <c r="D1488" s="1" t="s">
        <v>2948</v>
      </c>
      <c r="E1488" s="1" t="s">
        <v>3239</v>
      </c>
      <c r="F1488" s="1" t="s">
        <v>16</v>
      </c>
      <c r="G1488" s="1" t="s">
        <v>27</v>
      </c>
      <c r="H1488" s="1" t="s">
        <v>18</v>
      </c>
      <c r="I1488" s="1" t="s">
        <v>59</v>
      </c>
      <c r="J1488" s="1">
        <v>277.0</v>
      </c>
      <c r="K1488" s="1">
        <v>128.0</v>
      </c>
      <c r="L1488" s="1">
        <v>1343.0</v>
      </c>
    </row>
    <row r="1489">
      <c r="A1489" s="1">
        <v>3323046.0</v>
      </c>
      <c r="B1489" s="1" t="s">
        <v>3240</v>
      </c>
      <c r="C1489" s="1" t="s">
        <v>2930</v>
      </c>
      <c r="D1489" s="1" t="s">
        <v>3146</v>
      </c>
      <c r="E1489" s="1" t="s">
        <v>3241</v>
      </c>
      <c r="F1489" s="1" t="s">
        <v>16</v>
      </c>
      <c r="G1489" s="1" t="s">
        <v>23</v>
      </c>
      <c r="H1489" s="1" t="s">
        <v>18</v>
      </c>
      <c r="I1489" s="1" t="s">
        <v>59</v>
      </c>
      <c r="J1489" s="1">
        <v>50.0</v>
      </c>
      <c r="K1489" s="1">
        <v>21.0</v>
      </c>
      <c r="L1489" s="1">
        <v>144.0</v>
      </c>
    </row>
    <row r="1490">
      <c r="A1490" s="1">
        <v>3324038.0</v>
      </c>
      <c r="B1490" s="1" t="s">
        <v>3242</v>
      </c>
      <c r="C1490" s="1" t="s">
        <v>2930</v>
      </c>
      <c r="D1490" s="1" t="s">
        <v>2970</v>
      </c>
      <c r="E1490" s="1" t="s">
        <v>3243</v>
      </c>
      <c r="F1490" s="1" t="s">
        <v>16</v>
      </c>
      <c r="G1490" s="1" t="s">
        <v>23</v>
      </c>
      <c r="H1490" s="1" t="s">
        <v>18</v>
      </c>
      <c r="I1490" s="1" t="s">
        <v>44</v>
      </c>
      <c r="J1490" s="1">
        <v>64.0</v>
      </c>
      <c r="K1490" s="1">
        <v>23.0</v>
      </c>
      <c r="L1490" s="1">
        <v>236.0</v>
      </c>
    </row>
    <row r="1491">
      <c r="A1491" s="1">
        <v>3327047.0</v>
      </c>
      <c r="B1491" s="1" t="s">
        <v>3244</v>
      </c>
      <c r="C1491" s="1" t="s">
        <v>2930</v>
      </c>
      <c r="D1491" s="1" t="s">
        <v>3054</v>
      </c>
      <c r="E1491" s="1" t="s">
        <v>3245</v>
      </c>
      <c r="F1491" s="1" t="s">
        <v>16</v>
      </c>
      <c r="G1491" s="1" t="s">
        <v>23</v>
      </c>
      <c r="H1491" s="1" t="s">
        <v>18</v>
      </c>
      <c r="I1491" s="1" t="s">
        <v>684</v>
      </c>
      <c r="J1491" s="1">
        <v>100.0</v>
      </c>
      <c r="K1491" s="1">
        <v>29.0</v>
      </c>
      <c r="L1491" s="1">
        <v>121.0</v>
      </c>
    </row>
    <row r="1492">
      <c r="A1492" s="1">
        <v>3303103.0</v>
      </c>
      <c r="B1492" s="1" t="s">
        <v>3246</v>
      </c>
      <c r="C1492" s="1" t="s">
        <v>2930</v>
      </c>
      <c r="D1492" s="1" t="s">
        <v>3099</v>
      </c>
      <c r="E1492" s="1" t="s">
        <v>3247</v>
      </c>
      <c r="F1492" s="1" t="s">
        <v>16</v>
      </c>
      <c r="G1492" s="1" t="s">
        <v>17</v>
      </c>
      <c r="H1492" s="1" t="s">
        <v>18</v>
      </c>
      <c r="I1492" s="1" t="s">
        <v>19</v>
      </c>
      <c r="J1492" s="1">
        <v>119.0</v>
      </c>
      <c r="K1492" s="1">
        <v>29.0</v>
      </c>
      <c r="L1492" s="1">
        <v>42.0</v>
      </c>
    </row>
    <row r="1493">
      <c r="A1493" s="1">
        <v>3324052.0</v>
      </c>
      <c r="B1493" s="1" t="s">
        <v>3248</v>
      </c>
      <c r="C1493" s="1" t="s">
        <v>2930</v>
      </c>
      <c r="D1493" s="1" t="s">
        <v>2970</v>
      </c>
      <c r="E1493" s="1" t="s">
        <v>3249</v>
      </c>
      <c r="F1493" s="1" t="s">
        <v>16</v>
      </c>
      <c r="G1493" s="1" t="s">
        <v>23</v>
      </c>
      <c r="H1493" s="1" t="s">
        <v>18</v>
      </c>
      <c r="I1493" s="1" t="s">
        <v>684</v>
      </c>
      <c r="J1493" s="1">
        <v>53.0</v>
      </c>
      <c r="K1493" s="1">
        <v>25.0</v>
      </c>
      <c r="L1493" s="1">
        <v>0.0</v>
      </c>
    </row>
    <row r="1494">
      <c r="A1494" s="1">
        <v>3316075.0</v>
      </c>
      <c r="B1494" s="1" t="s">
        <v>3250</v>
      </c>
      <c r="C1494" s="1" t="s">
        <v>2930</v>
      </c>
      <c r="D1494" s="1" t="s">
        <v>2951</v>
      </c>
      <c r="E1494" s="1" t="s">
        <v>3251</v>
      </c>
      <c r="F1494" s="1" t="s">
        <v>16</v>
      </c>
      <c r="G1494" s="1" t="s">
        <v>23</v>
      </c>
      <c r="H1494" s="1" t="s">
        <v>28</v>
      </c>
      <c r="I1494" s="1" t="s">
        <v>40</v>
      </c>
      <c r="J1494" s="1">
        <v>50.0</v>
      </c>
      <c r="K1494" s="1">
        <v>22.0</v>
      </c>
      <c r="L1494" s="1">
        <v>0.0</v>
      </c>
    </row>
    <row r="1495">
      <c r="A1495" s="1">
        <v>3310395.0</v>
      </c>
      <c r="B1495" s="1" t="s">
        <v>3252</v>
      </c>
      <c r="C1495" s="1" t="s">
        <v>2930</v>
      </c>
      <c r="D1495" s="1" t="s">
        <v>2989</v>
      </c>
      <c r="E1495" s="1" t="s">
        <v>3253</v>
      </c>
      <c r="F1495" s="1" t="s">
        <v>16</v>
      </c>
      <c r="G1495" s="1" t="s">
        <v>17</v>
      </c>
      <c r="H1495" s="1" t="s">
        <v>18</v>
      </c>
      <c r="I1495" s="1" t="s">
        <v>59</v>
      </c>
      <c r="J1495" s="1">
        <v>103.0</v>
      </c>
      <c r="K1495" s="1">
        <v>80.0</v>
      </c>
      <c r="L1495" s="1">
        <v>190.0</v>
      </c>
    </row>
    <row r="1496">
      <c r="A1496" s="1">
        <v>3326011.0</v>
      </c>
      <c r="B1496" s="1" t="s">
        <v>3254</v>
      </c>
      <c r="C1496" s="1" t="s">
        <v>2930</v>
      </c>
      <c r="D1496" s="1" t="s">
        <v>3033</v>
      </c>
      <c r="E1496" s="1" t="s">
        <v>3255</v>
      </c>
      <c r="F1496" s="1" t="s">
        <v>16</v>
      </c>
      <c r="G1496" s="1" t="s">
        <v>27</v>
      </c>
      <c r="H1496" s="1" t="s">
        <v>28</v>
      </c>
      <c r="I1496" s="1" t="s">
        <v>40</v>
      </c>
      <c r="J1496" s="1">
        <v>249.0</v>
      </c>
      <c r="K1496" s="1">
        <v>135.0</v>
      </c>
      <c r="L1496" s="1">
        <v>694.0</v>
      </c>
    </row>
    <row r="1497">
      <c r="A1497" s="1">
        <v>3319022.0</v>
      </c>
      <c r="B1497" s="1" t="s">
        <v>3256</v>
      </c>
      <c r="C1497" s="1" t="s">
        <v>2930</v>
      </c>
      <c r="D1497" s="1" t="s">
        <v>2934</v>
      </c>
      <c r="E1497" s="1" t="s">
        <v>3257</v>
      </c>
      <c r="F1497" s="1" t="s">
        <v>16</v>
      </c>
      <c r="G1497" s="1" t="s">
        <v>17</v>
      </c>
      <c r="H1497" s="1" t="s">
        <v>18</v>
      </c>
      <c r="I1497" s="1" t="s">
        <v>59</v>
      </c>
      <c r="J1497" s="1">
        <v>100.0</v>
      </c>
      <c r="K1497" s="1">
        <v>42.0</v>
      </c>
      <c r="L1497" s="1">
        <v>278.0</v>
      </c>
    </row>
    <row r="1498">
      <c r="A1498" s="1">
        <v>3329012.0</v>
      </c>
      <c r="B1498" s="1" t="s">
        <v>3258</v>
      </c>
      <c r="C1498" s="1" t="s">
        <v>2930</v>
      </c>
      <c r="D1498" s="1" t="s">
        <v>2999</v>
      </c>
      <c r="E1498" s="1" t="s">
        <v>3259</v>
      </c>
      <c r="F1498" s="1" t="s">
        <v>16</v>
      </c>
      <c r="G1498" s="1" t="s">
        <v>27</v>
      </c>
      <c r="H1498" s="1" t="s">
        <v>28</v>
      </c>
      <c r="I1498" s="1" t="s">
        <v>40</v>
      </c>
      <c r="J1498" s="1">
        <v>340.0</v>
      </c>
      <c r="K1498" s="1">
        <v>84.0</v>
      </c>
      <c r="L1498" s="1">
        <v>803.0</v>
      </c>
    </row>
    <row r="1499">
      <c r="A1499" s="1">
        <v>3302026.0</v>
      </c>
      <c r="B1499" s="1" t="s">
        <v>3260</v>
      </c>
      <c r="C1499" s="1" t="s">
        <v>2930</v>
      </c>
      <c r="D1499" s="1" t="s">
        <v>2937</v>
      </c>
      <c r="E1499" s="1" t="s">
        <v>3261</v>
      </c>
      <c r="F1499" s="1" t="s">
        <v>16</v>
      </c>
      <c r="G1499" s="1" t="s">
        <v>150</v>
      </c>
      <c r="H1499" s="1" t="s">
        <v>28</v>
      </c>
      <c r="I1499" s="1" t="s">
        <v>139</v>
      </c>
      <c r="J1499" s="1">
        <v>700.0</v>
      </c>
      <c r="K1499" s="1">
        <v>124.0</v>
      </c>
      <c r="L1499" s="1">
        <v>1823.0</v>
      </c>
    </row>
    <row r="1500">
      <c r="A1500" s="1">
        <v>3371105.0</v>
      </c>
      <c r="B1500" s="1" t="s">
        <v>3262</v>
      </c>
      <c r="C1500" s="1" t="s">
        <v>2930</v>
      </c>
      <c r="D1500" s="1" t="s">
        <v>2939</v>
      </c>
      <c r="E1500" s="1" t="s">
        <v>3263</v>
      </c>
      <c r="F1500" s="1" t="s">
        <v>55</v>
      </c>
      <c r="G1500" s="1" t="s">
        <v>17</v>
      </c>
      <c r="H1500" s="1" t="s">
        <v>18</v>
      </c>
      <c r="I1500" s="1" t="s">
        <v>59</v>
      </c>
      <c r="J1500" s="1">
        <v>36.0</v>
      </c>
      <c r="K1500" s="1">
        <v>24.0</v>
      </c>
      <c r="L1500" s="1">
        <v>75.0</v>
      </c>
    </row>
    <row r="1501">
      <c r="A1501" s="1">
        <v>3307051.0</v>
      </c>
      <c r="B1501" s="1" t="s">
        <v>3264</v>
      </c>
      <c r="C1501" s="1" t="s">
        <v>2930</v>
      </c>
      <c r="D1501" s="1" t="s">
        <v>2983</v>
      </c>
      <c r="E1501" s="1" t="s">
        <v>3265</v>
      </c>
      <c r="F1501" s="1" t="s">
        <v>16</v>
      </c>
      <c r="G1501" s="1" t="s">
        <v>17</v>
      </c>
      <c r="H1501" s="1" t="s">
        <v>18</v>
      </c>
      <c r="I1501" s="1" t="s">
        <v>19</v>
      </c>
      <c r="J1501" s="1">
        <v>211.0</v>
      </c>
      <c r="K1501" s="1">
        <v>70.0</v>
      </c>
      <c r="L1501" s="1">
        <v>188.0</v>
      </c>
    </row>
    <row r="1502">
      <c r="A1502" s="1">
        <v>3321035.0</v>
      </c>
      <c r="B1502" s="1" t="s">
        <v>3266</v>
      </c>
      <c r="C1502" s="1" t="s">
        <v>2930</v>
      </c>
      <c r="D1502" s="1" t="s">
        <v>2964</v>
      </c>
      <c r="E1502" s="1" t="s">
        <v>3267</v>
      </c>
      <c r="F1502" s="1" t="s">
        <v>16</v>
      </c>
      <c r="G1502" s="1" t="s">
        <v>17</v>
      </c>
      <c r="H1502" s="1" t="s">
        <v>28</v>
      </c>
      <c r="I1502" s="1" t="s">
        <v>40</v>
      </c>
      <c r="J1502" s="1">
        <v>180.0</v>
      </c>
      <c r="K1502" s="1">
        <v>27.0</v>
      </c>
      <c r="L1502" s="1">
        <v>250.0</v>
      </c>
    </row>
    <row r="1503">
      <c r="A1503" s="1">
        <v>3316051.0</v>
      </c>
      <c r="B1503" s="1" t="s">
        <v>3268</v>
      </c>
      <c r="C1503" s="1" t="s">
        <v>2930</v>
      </c>
      <c r="D1503" s="1" t="s">
        <v>2951</v>
      </c>
      <c r="E1503" s="1" t="s">
        <v>3269</v>
      </c>
      <c r="F1503" s="1" t="s">
        <v>16</v>
      </c>
      <c r="G1503" s="1" t="s">
        <v>17</v>
      </c>
      <c r="H1503" s="1" t="s">
        <v>18</v>
      </c>
      <c r="I1503" s="1" t="s">
        <v>59</v>
      </c>
      <c r="J1503" s="1">
        <v>141.0</v>
      </c>
      <c r="K1503" s="1">
        <v>37.0</v>
      </c>
      <c r="L1503" s="1">
        <v>328.0</v>
      </c>
    </row>
    <row r="1504">
      <c r="A1504" s="1">
        <v>3311027.0</v>
      </c>
      <c r="B1504" s="1" t="s">
        <v>3270</v>
      </c>
      <c r="C1504" s="1" t="s">
        <v>2930</v>
      </c>
      <c r="D1504" s="1" t="s">
        <v>3014</v>
      </c>
      <c r="E1504" s="1" t="s">
        <v>3271</v>
      </c>
      <c r="F1504" s="1" t="s">
        <v>1970</v>
      </c>
      <c r="G1504" s="1" t="s">
        <v>17</v>
      </c>
      <c r="H1504" s="1" t="s">
        <v>18</v>
      </c>
      <c r="I1504" s="1" t="s">
        <v>19</v>
      </c>
      <c r="J1504" s="1">
        <v>63.0</v>
      </c>
      <c r="K1504" s="1">
        <v>35.0</v>
      </c>
      <c r="L1504" s="1">
        <v>245.0</v>
      </c>
    </row>
    <row r="1505">
      <c r="A1505" s="1">
        <v>3317026.0</v>
      </c>
      <c r="B1505" s="1" t="s">
        <v>3272</v>
      </c>
      <c r="C1505" s="1" t="s">
        <v>2930</v>
      </c>
      <c r="D1505" s="1" t="s">
        <v>3273</v>
      </c>
      <c r="E1505" s="1" t="s">
        <v>3274</v>
      </c>
      <c r="F1505" s="1" t="s">
        <v>16</v>
      </c>
      <c r="G1505" s="1" t="s">
        <v>23</v>
      </c>
      <c r="H1505" s="1" t="s">
        <v>18</v>
      </c>
      <c r="I1505" s="1" t="s">
        <v>684</v>
      </c>
      <c r="J1505" s="1">
        <v>80.0</v>
      </c>
      <c r="K1505" s="1">
        <v>32.0</v>
      </c>
      <c r="L1505" s="1">
        <v>94.0</v>
      </c>
    </row>
    <row r="1506">
      <c r="A1506" s="1">
        <v>3305011.0</v>
      </c>
      <c r="B1506" s="1" t="s">
        <v>3275</v>
      </c>
      <c r="C1506" s="1" t="s">
        <v>2930</v>
      </c>
      <c r="D1506" s="1" t="s">
        <v>2958</v>
      </c>
      <c r="E1506" s="1" t="s">
        <v>3276</v>
      </c>
      <c r="F1506" s="1" t="s">
        <v>16</v>
      </c>
      <c r="G1506" s="1" t="s">
        <v>17</v>
      </c>
      <c r="H1506" s="1" t="s">
        <v>28</v>
      </c>
      <c r="I1506" s="1" t="s">
        <v>40</v>
      </c>
      <c r="J1506" s="1">
        <v>295.0</v>
      </c>
      <c r="K1506" s="1">
        <v>42.0</v>
      </c>
      <c r="L1506" s="1">
        <v>891.0</v>
      </c>
    </row>
    <row r="1507">
      <c r="A1507" s="1">
        <v>3373020.0</v>
      </c>
      <c r="B1507" s="1" t="s">
        <v>3277</v>
      </c>
      <c r="C1507" s="1" t="s">
        <v>2930</v>
      </c>
      <c r="D1507" s="1" t="s">
        <v>2961</v>
      </c>
      <c r="E1507" s="1" t="s">
        <v>3278</v>
      </c>
      <c r="F1507" s="1" t="s">
        <v>16</v>
      </c>
      <c r="G1507" s="1" t="s">
        <v>17</v>
      </c>
      <c r="H1507" s="1" t="s">
        <v>18</v>
      </c>
      <c r="I1507" s="1" t="s">
        <v>74</v>
      </c>
      <c r="J1507" s="1">
        <v>148.0</v>
      </c>
      <c r="K1507" s="1">
        <v>36.0</v>
      </c>
      <c r="L1507" s="1">
        <v>363.0</v>
      </c>
    </row>
    <row r="1508">
      <c r="A1508" s="1">
        <v>3321011.0</v>
      </c>
      <c r="B1508" s="1" t="s">
        <v>3279</v>
      </c>
      <c r="C1508" s="1" t="s">
        <v>2930</v>
      </c>
      <c r="D1508" s="1" t="s">
        <v>2964</v>
      </c>
      <c r="E1508" s="1" t="s">
        <v>3280</v>
      </c>
      <c r="F1508" s="1" t="s">
        <v>16</v>
      </c>
      <c r="G1508" s="1" t="s">
        <v>17</v>
      </c>
      <c r="H1508" s="1" t="s">
        <v>28</v>
      </c>
      <c r="I1508" s="1" t="s">
        <v>40</v>
      </c>
      <c r="J1508" s="1">
        <v>293.0</v>
      </c>
      <c r="K1508" s="1">
        <v>60.0</v>
      </c>
      <c r="L1508" s="1">
        <v>475.0</v>
      </c>
    </row>
    <row r="1509">
      <c r="A1509" s="1">
        <v>3318110.0</v>
      </c>
      <c r="B1509" s="1" t="s">
        <v>3281</v>
      </c>
      <c r="C1509" s="1" t="s">
        <v>2930</v>
      </c>
      <c r="D1509" s="1" t="s">
        <v>3049</v>
      </c>
      <c r="E1509" s="1" t="s">
        <v>3282</v>
      </c>
      <c r="F1509" s="1" t="s">
        <v>16</v>
      </c>
      <c r="G1509" s="1" t="s">
        <v>17</v>
      </c>
      <c r="H1509" s="1" t="s">
        <v>18</v>
      </c>
      <c r="I1509" s="1" t="s">
        <v>684</v>
      </c>
      <c r="J1509" s="1">
        <v>138.0</v>
      </c>
      <c r="K1509" s="1">
        <v>74.0</v>
      </c>
      <c r="L1509" s="1">
        <v>50.0</v>
      </c>
    </row>
    <row r="1510">
      <c r="A1510" s="1">
        <v>3329113.0</v>
      </c>
      <c r="B1510" s="1" t="s">
        <v>3283</v>
      </c>
      <c r="C1510" s="1" t="s">
        <v>2930</v>
      </c>
      <c r="D1510" s="1" t="s">
        <v>2999</v>
      </c>
      <c r="E1510" s="1" t="s">
        <v>3284</v>
      </c>
      <c r="F1510" s="1" t="s">
        <v>16</v>
      </c>
      <c r="G1510" s="1" t="s">
        <v>23</v>
      </c>
      <c r="H1510" s="1" t="s">
        <v>18</v>
      </c>
      <c r="I1510" s="1" t="s">
        <v>44</v>
      </c>
      <c r="J1510" s="1">
        <v>60.0</v>
      </c>
      <c r="K1510" s="1">
        <v>50.0</v>
      </c>
      <c r="L1510" s="1">
        <v>31.0</v>
      </c>
    </row>
    <row r="1511">
      <c r="A1511" s="1">
        <v>3309085.0</v>
      </c>
      <c r="B1511" s="1" t="s">
        <v>3285</v>
      </c>
      <c r="C1511" s="1" t="s">
        <v>2930</v>
      </c>
      <c r="D1511" s="1" t="s">
        <v>2973</v>
      </c>
      <c r="E1511" s="1" t="s">
        <v>3286</v>
      </c>
      <c r="F1511" s="1" t="s">
        <v>16</v>
      </c>
      <c r="G1511" s="1" t="s">
        <v>23</v>
      </c>
      <c r="H1511" s="1" t="s">
        <v>18</v>
      </c>
      <c r="I1511" s="1" t="s">
        <v>19</v>
      </c>
      <c r="J1511" s="1">
        <v>85.0</v>
      </c>
      <c r="K1511" s="1">
        <v>34.0</v>
      </c>
      <c r="L1511" s="1">
        <v>294.0</v>
      </c>
    </row>
    <row r="1512">
      <c r="A1512" s="1">
        <v>3374240.0</v>
      </c>
      <c r="B1512" s="1" t="s">
        <v>3287</v>
      </c>
      <c r="C1512" s="1" t="s">
        <v>2930</v>
      </c>
      <c r="D1512" s="1" t="s">
        <v>2948</v>
      </c>
      <c r="E1512" s="1" t="s">
        <v>3288</v>
      </c>
      <c r="F1512" s="1" t="s">
        <v>16</v>
      </c>
      <c r="G1512" s="1" t="s">
        <v>17</v>
      </c>
      <c r="H1512" s="1" t="s">
        <v>18</v>
      </c>
      <c r="I1512" s="1" t="s">
        <v>258</v>
      </c>
      <c r="J1512" s="1">
        <v>185.0</v>
      </c>
      <c r="K1512" s="1">
        <v>84.0</v>
      </c>
      <c r="L1512" s="1">
        <v>381.0</v>
      </c>
    </row>
    <row r="1513">
      <c r="A1513" s="1">
        <v>3302225.0</v>
      </c>
      <c r="B1513" s="1" t="s">
        <v>3289</v>
      </c>
      <c r="C1513" s="1" t="s">
        <v>2930</v>
      </c>
      <c r="D1513" s="1" t="s">
        <v>2937</v>
      </c>
      <c r="E1513" s="1" t="s">
        <v>3290</v>
      </c>
      <c r="F1513" s="1" t="s">
        <v>255</v>
      </c>
      <c r="G1513" s="1" t="s">
        <v>17</v>
      </c>
      <c r="H1513" s="1" t="s">
        <v>18</v>
      </c>
      <c r="I1513" s="1" t="s">
        <v>44</v>
      </c>
      <c r="J1513" s="1">
        <v>25.0</v>
      </c>
      <c r="K1513" s="1">
        <v>11.0</v>
      </c>
      <c r="L1513" s="1">
        <v>26.0</v>
      </c>
    </row>
    <row r="1514">
      <c r="A1514" s="1">
        <v>3313011.0</v>
      </c>
      <c r="B1514" s="1" t="s">
        <v>3291</v>
      </c>
      <c r="C1514" s="1" t="s">
        <v>2930</v>
      </c>
      <c r="D1514" s="1" t="s">
        <v>2931</v>
      </c>
      <c r="E1514" s="1" t="s">
        <v>3292</v>
      </c>
      <c r="F1514" s="1" t="s">
        <v>16</v>
      </c>
      <c r="G1514" s="1" t="s">
        <v>17</v>
      </c>
      <c r="H1514" s="1" t="s">
        <v>28</v>
      </c>
      <c r="I1514" s="1" t="s">
        <v>40</v>
      </c>
      <c r="J1514" s="1">
        <v>389.0</v>
      </c>
      <c r="K1514" s="1">
        <v>31.0</v>
      </c>
      <c r="L1514" s="1">
        <v>707.0</v>
      </c>
    </row>
    <row r="1515">
      <c r="A1515" s="1">
        <v>3374365.0</v>
      </c>
      <c r="B1515" s="1" t="s">
        <v>3293</v>
      </c>
      <c r="C1515" s="1" t="s">
        <v>2930</v>
      </c>
      <c r="D1515" s="1" t="s">
        <v>2948</v>
      </c>
      <c r="E1515" s="1" t="s">
        <v>3294</v>
      </c>
      <c r="F1515" s="1" t="s">
        <v>16</v>
      </c>
      <c r="G1515" s="1" t="s">
        <v>17</v>
      </c>
      <c r="H1515" s="1" t="s">
        <v>18</v>
      </c>
      <c r="I1515" s="1" t="s">
        <v>44</v>
      </c>
      <c r="J1515" s="1">
        <v>127.0</v>
      </c>
      <c r="K1515" s="1">
        <v>82.0</v>
      </c>
      <c r="L1515" s="1">
        <v>252.0</v>
      </c>
    </row>
    <row r="1516">
      <c r="A1516" s="1">
        <v>3301014.0</v>
      </c>
      <c r="B1516" s="1" t="s">
        <v>3295</v>
      </c>
      <c r="C1516" s="1" t="s">
        <v>2930</v>
      </c>
      <c r="D1516" s="1" t="s">
        <v>2996</v>
      </c>
      <c r="E1516" s="1" t="s">
        <v>3296</v>
      </c>
      <c r="F1516" s="1" t="s">
        <v>16</v>
      </c>
      <c r="G1516" s="1" t="s">
        <v>27</v>
      </c>
      <c r="H1516" s="1" t="s">
        <v>28</v>
      </c>
      <c r="I1516" s="1" t="s">
        <v>40</v>
      </c>
      <c r="J1516" s="1">
        <v>295.0</v>
      </c>
      <c r="K1516" s="1">
        <v>31.0</v>
      </c>
      <c r="L1516" s="1">
        <v>686.0</v>
      </c>
    </row>
    <row r="1517">
      <c r="A1517" s="1">
        <v>3329056.0</v>
      </c>
      <c r="B1517" s="1" t="s">
        <v>3297</v>
      </c>
      <c r="C1517" s="1" t="s">
        <v>2930</v>
      </c>
      <c r="D1517" s="1" t="s">
        <v>2999</v>
      </c>
      <c r="E1517" s="1" t="s">
        <v>3298</v>
      </c>
      <c r="F1517" s="1" t="s">
        <v>16</v>
      </c>
      <c r="G1517" s="1" t="s">
        <v>17</v>
      </c>
      <c r="H1517" s="1" t="s">
        <v>18</v>
      </c>
      <c r="I1517" s="1" t="s">
        <v>684</v>
      </c>
      <c r="J1517" s="1">
        <v>175.0</v>
      </c>
      <c r="K1517" s="1">
        <v>60.0</v>
      </c>
      <c r="L1517" s="1">
        <v>262.0</v>
      </c>
    </row>
    <row r="1518">
      <c r="A1518" s="1">
        <v>3313055.0</v>
      </c>
      <c r="B1518" s="1" t="s">
        <v>3299</v>
      </c>
      <c r="C1518" s="1" t="s">
        <v>2930</v>
      </c>
      <c r="D1518" s="1" t="s">
        <v>2931</v>
      </c>
      <c r="E1518" s="1" t="s">
        <v>3300</v>
      </c>
      <c r="F1518" s="1" t="s">
        <v>16</v>
      </c>
      <c r="G1518" s="1" t="s">
        <v>23</v>
      </c>
      <c r="H1518" s="1" t="s">
        <v>18</v>
      </c>
      <c r="I1518" s="1" t="s">
        <v>59</v>
      </c>
      <c r="J1518" s="1">
        <v>58.0</v>
      </c>
      <c r="K1518" s="1">
        <v>20.0</v>
      </c>
      <c r="L1518" s="1">
        <v>91.0</v>
      </c>
    </row>
    <row r="1519">
      <c r="A1519" s="1">
        <v>3329109.0</v>
      </c>
      <c r="B1519" s="1" t="s">
        <v>3301</v>
      </c>
      <c r="C1519" s="1" t="s">
        <v>2930</v>
      </c>
      <c r="D1519" s="1" t="s">
        <v>2999</v>
      </c>
      <c r="E1519" s="1" t="s">
        <v>3302</v>
      </c>
      <c r="F1519" s="1" t="s">
        <v>16</v>
      </c>
      <c r="G1519" s="1" t="s">
        <v>23</v>
      </c>
      <c r="H1519" s="1" t="s">
        <v>18</v>
      </c>
      <c r="I1519" s="1" t="s">
        <v>44</v>
      </c>
      <c r="J1519" s="1">
        <v>60.0</v>
      </c>
      <c r="K1519" s="1">
        <v>29.0</v>
      </c>
      <c r="L1519" s="1">
        <v>114.0</v>
      </c>
    </row>
    <row r="1520">
      <c r="A1520" s="1">
        <v>3303116.0</v>
      </c>
      <c r="B1520" s="1" t="s">
        <v>3303</v>
      </c>
      <c r="C1520" s="1" t="s">
        <v>2930</v>
      </c>
      <c r="D1520" s="1" t="s">
        <v>3099</v>
      </c>
      <c r="E1520" s="1" t="s">
        <v>3304</v>
      </c>
      <c r="F1520" s="1" t="s">
        <v>55</v>
      </c>
      <c r="G1520" s="1" t="s">
        <v>17</v>
      </c>
      <c r="H1520" s="1" t="s">
        <v>18</v>
      </c>
      <c r="I1520" s="1" t="s">
        <v>34</v>
      </c>
      <c r="J1520" s="1">
        <v>25.0</v>
      </c>
      <c r="K1520" s="1">
        <v>18.0</v>
      </c>
      <c r="L1520" s="1">
        <v>0.0</v>
      </c>
    </row>
    <row r="1521">
      <c r="A1521" s="1">
        <v>3315024.0</v>
      </c>
      <c r="B1521" s="1" t="s">
        <v>3305</v>
      </c>
      <c r="C1521" s="1" t="s">
        <v>2930</v>
      </c>
      <c r="D1521" s="1" t="s">
        <v>3005</v>
      </c>
      <c r="E1521" s="1" t="s">
        <v>3306</v>
      </c>
      <c r="F1521" s="1" t="s">
        <v>16</v>
      </c>
      <c r="G1521" s="1" t="s">
        <v>17</v>
      </c>
      <c r="H1521" s="1" t="s">
        <v>18</v>
      </c>
      <c r="I1521" s="1" t="s">
        <v>59</v>
      </c>
      <c r="J1521" s="1">
        <v>233.0</v>
      </c>
      <c r="K1521" s="1">
        <v>60.0</v>
      </c>
      <c r="L1521" s="1">
        <v>583.0</v>
      </c>
    </row>
    <row r="1522">
      <c r="A1522" s="1">
        <v>3302052.0</v>
      </c>
      <c r="B1522" s="1" t="s">
        <v>3307</v>
      </c>
      <c r="C1522" s="1" t="s">
        <v>2930</v>
      </c>
      <c r="D1522" s="1" t="s">
        <v>2937</v>
      </c>
      <c r="E1522" s="1" t="s">
        <v>3308</v>
      </c>
      <c r="F1522" s="1" t="s">
        <v>1970</v>
      </c>
      <c r="G1522" s="1" t="s">
        <v>17</v>
      </c>
      <c r="H1522" s="1" t="s">
        <v>18</v>
      </c>
      <c r="I1522" s="1" t="s">
        <v>19</v>
      </c>
      <c r="J1522" s="1">
        <v>37.0</v>
      </c>
      <c r="K1522" s="1">
        <v>24.0</v>
      </c>
      <c r="L1522" s="1">
        <v>156.0</v>
      </c>
    </row>
    <row r="1523">
      <c r="A1523" s="1">
        <v>3374091.0</v>
      </c>
      <c r="B1523" s="1" t="s">
        <v>3309</v>
      </c>
      <c r="C1523" s="1" t="s">
        <v>2930</v>
      </c>
      <c r="D1523" s="1" t="s">
        <v>2948</v>
      </c>
      <c r="E1523" s="1" t="s">
        <v>3310</v>
      </c>
      <c r="F1523" s="1" t="s">
        <v>16</v>
      </c>
      <c r="G1523" s="1" t="s">
        <v>17</v>
      </c>
      <c r="H1523" s="1" t="s">
        <v>33</v>
      </c>
      <c r="I1523" s="1" t="s">
        <v>65</v>
      </c>
      <c r="J1523" s="1">
        <v>142.0</v>
      </c>
      <c r="K1523" s="1">
        <v>41.0</v>
      </c>
      <c r="L1523" s="1">
        <v>75.0</v>
      </c>
    </row>
    <row r="1524">
      <c r="A1524" s="1">
        <v>3301106.0</v>
      </c>
      <c r="B1524" s="1" t="s">
        <v>3311</v>
      </c>
      <c r="C1524" s="1" t="s">
        <v>2930</v>
      </c>
      <c r="D1524" s="1" t="s">
        <v>2996</v>
      </c>
      <c r="E1524" s="1" t="s">
        <v>3312</v>
      </c>
      <c r="F1524" s="1" t="s">
        <v>16</v>
      </c>
      <c r="G1524" s="1" t="s">
        <v>23</v>
      </c>
      <c r="H1524" s="1" t="s">
        <v>18</v>
      </c>
      <c r="I1524" s="1" t="s">
        <v>44</v>
      </c>
      <c r="J1524" s="1">
        <v>98.0</v>
      </c>
      <c r="K1524" s="1">
        <v>28.0</v>
      </c>
      <c r="L1524" s="1">
        <v>71.0</v>
      </c>
    </row>
    <row r="1525">
      <c r="A1525" s="1">
        <v>3302213.0</v>
      </c>
      <c r="B1525" s="1" t="s">
        <v>3313</v>
      </c>
      <c r="C1525" s="1" t="s">
        <v>2930</v>
      </c>
      <c r="D1525" s="1" t="s">
        <v>2937</v>
      </c>
      <c r="E1525" s="1" t="s">
        <v>3314</v>
      </c>
      <c r="F1525" s="1" t="s">
        <v>16</v>
      </c>
      <c r="G1525" s="1" t="s">
        <v>17</v>
      </c>
      <c r="H1525" s="1" t="s">
        <v>18</v>
      </c>
      <c r="I1525" s="1" t="s">
        <v>59</v>
      </c>
      <c r="J1525" s="1">
        <v>150.0</v>
      </c>
      <c r="K1525" s="1">
        <v>43.0</v>
      </c>
      <c r="L1525" s="1">
        <v>452.0</v>
      </c>
    </row>
    <row r="1526">
      <c r="A1526" s="1">
        <v>3372074.0</v>
      </c>
      <c r="B1526" s="1" t="s">
        <v>3315</v>
      </c>
      <c r="C1526" s="1" t="s">
        <v>2930</v>
      </c>
      <c r="D1526" s="1" t="s">
        <v>2967</v>
      </c>
      <c r="E1526" s="1" t="s">
        <v>3316</v>
      </c>
      <c r="F1526" s="1" t="s">
        <v>16</v>
      </c>
      <c r="G1526" s="1" t="s">
        <v>17</v>
      </c>
      <c r="H1526" s="1" t="s">
        <v>18</v>
      </c>
      <c r="I1526" s="1" t="s">
        <v>59</v>
      </c>
      <c r="J1526" s="1">
        <v>119.0</v>
      </c>
      <c r="K1526" s="1">
        <v>49.0</v>
      </c>
      <c r="L1526" s="1">
        <v>488.0</v>
      </c>
    </row>
    <row r="1527">
      <c r="A1527" s="1">
        <v>3319080.0</v>
      </c>
      <c r="B1527" s="1" t="s">
        <v>3317</v>
      </c>
      <c r="C1527" s="1" t="s">
        <v>2930</v>
      </c>
      <c r="D1527" s="1" t="s">
        <v>2934</v>
      </c>
      <c r="E1527" s="1" t="s">
        <v>3318</v>
      </c>
      <c r="F1527" s="1" t="s">
        <v>16</v>
      </c>
      <c r="G1527" s="1" t="s">
        <v>17</v>
      </c>
      <c r="H1527" s="1" t="s">
        <v>18</v>
      </c>
      <c r="I1527" s="1" t="s">
        <v>684</v>
      </c>
      <c r="J1527" s="1">
        <v>200.0</v>
      </c>
      <c r="K1527" s="1">
        <v>47.0</v>
      </c>
      <c r="L1527" s="1">
        <v>796.0</v>
      </c>
    </row>
    <row r="1528">
      <c r="A1528" s="1">
        <v>3307013.0</v>
      </c>
      <c r="B1528" s="1" t="s">
        <v>3319</v>
      </c>
      <c r="C1528" s="1" t="s">
        <v>2930</v>
      </c>
      <c r="D1528" s="1" t="s">
        <v>2983</v>
      </c>
      <c r="E1528" s="1" t="s">
        <v>3320</v>
      </c>
      <c r="F1528" s="1" t="s">
        <v>16</v>
      </c>
      <c r="G1528" s="1" t="s">
        <v>17</v>
      </c>
      <c r="H1528" s="1" t="s">
        <v>28</v>
      </c>
      <c r="I1528" s="1" t="s">
        <v>40</v>
      </c>
      <c r="J1528" s="1">
        <v>222.0</v>
      </c>
      <c r="K1528" s="1">
        <v>80.0</v>
      </c>
      <c r="L1528" s="1">
        <v>247.0</v>
      </c>
    </row>
    <row r="1529">
      <c r="A1529" s="1">
        <v>3374076.0</v>
      </c>
      <c r="B1529" s="1" t="s">
        <v>3321</v>
      </c>
      <c r="C1529" s="1" t="s">
        <v>2930</v>
      </c>
      <c r="D1529" s="1" t="s">
        <v>2948</v>
      </c>
      <c r="E1529" s="1" t="s">
        <v>3322</v>
      </c>
      <c r="F1529" s="1" t="s">
        <v>16</v>
      </c>
      <c r="G1529" s="1" t="s">
        <v>27</v>
      </c>
      <c r="H1529" s="1" t="s">
        <v>18</v>
      </c>
      <c r="I1529" s="1" t="s">
        <v>684</v>
      </c>
      <c r="J1529" s="1">
        <v>350.0</v>
      </c>
      <c r="K1529" s="1">
        <v>114.0</v>
      </c>
      <c r="L1529" s="1">
        <v>1666.0</v>
      </c>
    </row>
    <row r="1530">
      <c r="A1530" s="1">
        <v>3301108.0</v>
      </c>
      <c r="B1530" s="1" t="s">
        <v>3323</v>
      </c>
      <c r="C1530" s="1" t="s">
        <v>2930</v>
      </c>
      <c r="D1530" s="1" t="s">
        <v>2996</v>
      </c>
      <c r="E1530" s="1" t="s">
        <v>3324</v>
      </c>
      <c r="F1530" s="1" t="s">
        <v>16</v>
      </c>
      <c r="G1530" s="1" t="s">
        <v>17</v>
      </c>
      <c r="H1530" s="1" t="s">
        <v>18</v>
      </c>
      <c r="I1530" s="1" t="s">
        <v>19</v>
      </c>
      <c r="J1530" s="1">
        <v>177.0</v>
      </c>
      <c r="K1530" s="1">
        <v>100.0</v>
      </c>
      <c r="L1530" s="1">
        <v>164.0</v>
      </c>
    </row>
    <row r="1531">
      <c r="A1531" s="1">
        <v>3324014.0</v>
      </c>
      <c r="B1531" s="1" t="s">
        <v>3325</v>
      </c>
      <c r="C1531" s="1" t="s">
        <v>2930</v>
      </c>
      <c r="D1531" s="1" t="s">
        <v>2970</v>
      </c>
      <c r="E1531" s="1" t="s">
        <v>3326</v>
      </c>
      <c r="F1531" s="1" t="s">
        <v>16</v>
      </c>
      <c r="G1531" s="1" t="s">
        <v>27</v>
      </c>
      <c r="H1531" s="1" t="s">
        <v>28</v>
      </c>
      <c r="I1531" s="1" t="s">
        <v>40</v>
      </c>
      <c r="J1531" s="1">
        <v>270.0</v>
      </c>
      <c r="K1531" s="1">
        <v>77.0</v>
      </c>
      <c r="L1531" s="1">
        <v>465.0</v>
      </c>
    </row>
    <row r="1532">
      <c r="A1532" s="1">
        <v>3312021.0</v>
      </c>
      <c r="B1532" s="1" t="s">
        <v>3327</v>
      </c>
      <c r="C1532" s="1" t="s">
        <v>2930</v>
      </c>
      <c r="D1532" s="1" t="s">
        <v>3118</v>
      </c>
      <c r="E1532" s="1" t="s">
        <v>3328</v>
      </c>
      <c r="F1532" s="1" t="s">
        <v>16</v>
      </c>
      <c r="G1532" s="1" t="s">
        <v>23</v>
      </c>
      <c r="H1532" s="1" t="s">
        <v>18</v>
      </c>
      <c r="I1532" s="1" t="s">
        <v>44</v>
      </c>
      <c r="J1532" s="1">
        <v>100.0</v>
      </c>
      <c r="K1532" s="1">
        <v>27.0</v>
      </c>
      <c r="L1532" s="1">
        <v>211.0</v>
      </c>
    </row>
    <row r="1533">
      <c r="A1533" s="1">
        <v>3322084.0</v>
      </c>
      <c r="B1533" s="1" t="s">
        <v>3329</v>
      </c>
      <c r="C1533" s="1" t="s">
        <v>2930</v>
      </c>
      <c r="D1533" s="1" t="s">
        <v>3064</v>
      </c>
      <c r="E1533" s="1" t="s">
        <v>3330</v>
      </c>
      <c r="F1533" s="1" t="s">
        <v>16</v>
      </c>
      <c r="G1533" s="1" t="s">
        <v>17</v>
      </c>
      <c r="H1533" s="1" t="s">
        <v>18</v>
      </c>
      <c r="I1533" s="1" t="s">
        <v>44</v>
      </c>
      <c r="J1533" s="1">
        <v>100.0</v>
      </c>
      <c r="K1533" s="1">
        <v>31.0</v>
      </c>
      <c r="L1533" s="1">
        <v>0.0</v>
      </c>
    </row>
    <row r="1534">
      <c r="A1534" s="1">
        <v>3316076.0</v>
      </c>
      <c r="B1534" s="1" t="s">
        <v>3331</v>
      </c>
      <c r="C1534" s="1" t="s">
        <v>2930</v>
      </c>
      <c r="D1534" s="1" t="s">
        <v>2951</v>
      </c>
      <c r="E1534" s="1" t="s">
        <v>3332</v>
      </c>
      <c r="F1534" s="1" t="s">
        <v>55</v>
      </c>
      <c r="G1534" s="1" t="s">
        <v>17</v>
      </c>
      <c r="H1534" s="1" t="s">
        <v>18</v>
      </c>
      <c r="I1534" s="1" t="s">
        <v>44</v>
      </c>
      <c r="J1534" s="1">
        <v>34.0</v>
      </c>
      <c r="K1534" s="1">
        <v>22.0</v>
      </c>
      <c r="L1534" s="1">
        <v>0.0</v>
      </c>
    </row>
    <row r="1535">
      <c r="A1535" s="1">
        <v>3311016.0</v>
      </c>
      <c r="B1535" s="1" t="s">
        <v>3333</v>
      </c>
      <c r="C1535" s="1" t="s">
        <v>2930</v>
      </c>
      <c r="D1535" s="1" t="s">
        <v>3014</v>
      </c>
      <c r="E1535" s="1" t="s">
        <v>3334</v>
      </c>
      <c r="F1535" s="1" t="s">
        <v>16</v>
      </c>
      <c r="G1535" s="1" t="s">
        <v>27</v>
      </c>
      <c r="H1535" s="1" t="s">
        <v>28</v>
      </c>
      <c r="I1535" s="1" t="s">
        <v>40</v>
      </c>
      <c r="J1535" s="1">
        <v>233.0</v>
      </c>
      <c r="K1535" s="1">
        <v>62.0</v>
      </c>
      <c r="L1535" s="1">
        <v>731.0</v>
      </c>
    </row>
    <row r="1536">
      <c r="A1536" s="1">
        <v>3375033.0</v>
      </c>
      <c r="B1536" s="1" t="s">
        <v>3335</v>
      </c>
      <c r="C1536" s="1" t="s">
        <v>2930</v>
      </c>
      <c r="D1536" s="1" t="s">
        <v>2986</v>
      </c>
      <c r="E1536" s="1" t="s">
        <v>3336</v>
      </c>
      <c r="F1536" s="1" t="s">
        <v>16</v>
      </c>
      <c r="G1536" s="1" t="s">
        <v>17</v>
      </c>
      <c r="H1536" s="1" t="s">
        <v>18</v>
      </c>
      <c r="I1536" s="1" t="s">
        <v>684</v>
      </c>
      <c r="J1536" s="1">
        <v>113.0</v>
      </c>
      <c r="K1536" s="1">
        <v>35.0</v>
      </c>
      <c r="L1536" s="1">
        <v>353.0</v>
      </c>
    </row>
    <row r="1537">
      <c r="A1537" s="1">
        <v>3317027.0</v>
      </c>
      <c r="B1537" s="1" t="s">
        <v>3337</v>
      </c>
      <c r="C1537" s="1" t="s">
        <v>2930</v>
      </c>
      <c r="D1537" s="1" t="s">
        <v>3273</v>
      </c>
      <c r="E1537" s="1" t="s">
        <v>3338</v>
      </c>
      <c r="F1537" s="1" t="s">
        <v>16</v>
      </c>
      <c r="G1537" s="1" t="s">
        <v>17</v>
      </c>
      <c r="H1537" s="1" t="s">
        <v>18</v>
      </c>
      <c r="I1537" s="1" t="s">
        <v>44</v>
      </c>
      <c r="J1537" s="1">
        <v>189.0</v>
      </c>
      <c r="K1537" s="1">
        <v>64.0</v>
      </c>
      <c r="L1537" s="1">
        <v>254.0</v>
      </c>
    </row>
    <row r="1538">
      <c r="A1538" s="1">
        <v>3329125.0</v>
      </c>
      <c r="B1538" s="1" t="s">
        <v>3339</v>
      </c>
      <c r="C1538" s="1" t="s">
        <v>2930</v>
      </c>
      <c r="D1538" s="1" t="s">
        <v>2999</v>
      </c>
      <c r="E1538" s="1" t="s">
        <v>3340</v>
      </c>
      <c r="F1538" s="1" t="s">
        <v>16</v>
      </c>
      <c r="G1538" s="1" t="s">
        <v>23</v>
      </c>
      <c r="H1538" s="1" t="s">
        <v>28</v>
      </c>
      <c r="I1538" s="1" t="s">
        <v>40</v>
      </c>
      <c r="J1538" s="1">
        <v>52.0</v>
      </c>
      <c r="K1538" s="1">
        <v>26.0</v>
      </c>
      <c r="L1538" s="1">
        <v>0.0</v>
      </c>
    </row>
    <row r="1539">
      <c r="A1539" s="1">
        <v>3313033.0</v>
      </c>
      <c r="B1539" s="1" t="s">
        <v>3341</v>
      </c>
      <c r="C1539" s="1" t="s">
        <v>2930</v>
      </c>
      <c r="D1539" s="1" t="s">
        <v>2931</v>
      </c>
      <c r="E1539" s="1" t="s">
        <v>3342</v>
      </c>
      <c r="F1539" s="1" t="s">
        <v>16</v>
      </c>
      <c r="G1539" s="1" t="s">
        <v>17</v>
      </c>
      <c r="H1539" s="1" t="s">
        <v>18</v>
      </c>
      <c r="I1539" s="1" t="s">
        <v>684</v>
      </c>
      <c r="J1539" s="1">
        <v>220.0</v>
      </c>
      <c r="K1539" s="1">
        <v>60.0</v>
      </c>
      <c r="L1539" s="1">
        <v>380.0</v>
      </c>
    </row>
    <row r="1540">
      <c r="A1540" s="1">
        <v>3372235.0</v>
      </c>
      <c r="B1540" s="1" t="s">
        <v>3343</v>
      </c>
      <c r="C1540" s="1" t="s">
        <v>2930</v>
      </c>
      <c r="D1540" s="1" t="s">
        <v>2967</v>
      </c>
      <c r="E1540" s="1" t="s">
        <v>3344</v>
      </c>
      <c r="F1540" s="1" t="s">
        <v>272</v>
      </c>
      <c r="G1540" s="1" t="s">
        <v>17</v>
      </c>
      <c r="H1540" s="1" t="s">
        <v>18</v>
      </c>
      <c r="I1540" s="1" t="s">
        <v>44</v>
      </c>
      <c r="J1540" s="1">
        <v>18.0</v>
      </c>
      <c r="K1540" s="1">
        <v>18.0</v>
      </c>
      <c r="L1540" s="1">
        <v>113.0</v>
      </c>
    </row>
    <row r="1541">
      <c r="A1541" s="1">
        <v>3322073.0</v>
      </c>
      <c r="B1541" s="1" t="s">
        <v>3345</v>
      </c>
      <c r="C1541" s="1" t="s">
        <v>2930</v>
      </c>
      <c r="D1541" s="1" t="s">
        <v>3064</v>
      </c>
      <c r="E1541" s="1" t="s">
        <v>3346</v>
      </c>
      <c r="F1541" s="1" t="s">
        <v>16</v>
      </c>
      <c r="G1541" s="1" t="s">
        <v>23</v>
      </c>
      <c r="H1541" s="1" t="s">
        <v>18</v>
      </c>
      <c r="I1541" s="1" t="s">
        <v>44</v>
      </c>
      <c r="J1541" s="1">
        <v>50.0</v>
      </c>
      <c r="K1541" s="1">
        <v>19.0</v>
      </c>
      <c r="L1541" s="1">
        <v>34.0</v>
      </c>
    </row>
    <row r="1542">
      <c r="A1542" s="1">
        <v>3302041.0</v>
      </c>
      <c r="B1542" s="1" t="s">
        <v>3347</v>
      </c>
      <c r="C1542" s="1" t="s">
        <v>2930</v>
      </c>
      <c r="D1542" s="1" t="s">
        <v>2937</v>
      </c>
      <c r="E1542" s="1" t="s">
        <v>3348</v>
      </c>
      <c r="F1542" s="1" t="s">
        <v>16</v>
      </c>
      <c r="G1542" s="1" t="s">
        <v>17</v>
      </c>
      <c r="H1542" s="1" t="s">
        <v>18</v>
      </c>
      <c r="I1542" s="1" t="s">
        <v>249</v>
      </c>
      <c r="J1542" s="1">
        <v>110.0</v>
      </c>
      <c r="K1542" s="1">
        <v>33.0</v>
      </c>
      <c r="L1542" s="1">
        <v>332.0</v>
      </c>
    </row>
    <row r="1543">
      <c r="A1543" s="1">
        <v>3371142.0</v>
      </c>
      <c r="B1543" s="1" t="s">
        <v>3349</v>
      </c>
      <c r="C1543" s="1" t="s">
        <v>2930</v>
      </c>
      <c r="D1543" s="1" t="s">
        <v>2939</v>
      </c>
      <c r="E1543" s="1" t="s">
        <v>3350</v>
      </c>
      <c r="F1543" s="1" t="s">
        <v>16</v>
      </c>
      <c r="G1543" s="1" t="s">
        <v>23</v>
      </c>
      <c r="H1543" s="1" t="s">
        <v>18</v>
      </c>
      <c r="I1543" s="1" t="s">
        <v>59</v>
      </c>
      <c r="J1543" s="1">
        <v>60.0</v>
      </c>
      <c r="K1543" s="1">
        <v>28.0</v>
      </c>
      <c r="L1543" s="1">
        <v>124.0</v>
      </c>
    </row>
    <row r="1544">
      <c r="A1544" s="1">
        <v>3319023.0</v>
      </c>
      <c r="B1544" s="1" t="s">
        <v>1530</v>
      </c>
      <c r="C1544" s="1" t="s">
        <v>2930</v>
      </c>
      <c r="D1544" s="1" t="s">
        <v>2934</v>
      </c>
      <c r="E1544" s="1" t="s">
        <v>3351</v>
      </c>
      <c r="F1544" s="1" t="s">
        <v>55</v>
      </c>
      <c r="G1544" s="1" t="s">
        <v>17</v>
      </c>
      <c r="H1544" s="1" t="s">
        <v>18</v>
      </c>
      <c r="I1544" s="1" t="s">
        <v>19</v>
      </c>
      <c r="J1544" s="1">
        <v>39.0</v>
      </c>
      <c r="K1544" s="1">
        <v>15.0</v>
      </c>
      <c r="L1544" s="1">
        <v>83.0</v>
      </c>
    </row>
    <row r="1545">
      <c r="A1545" s="1">
        <v>3308017.0</v>
      </c>
      <c r="B1545" s="1" t="s">
        <v>3352</v>
      </c>
      <c r="C1545" s="1" t="s">
        <v>2930</v>
      </c>
      <c r="D1545" s="1" t="s">
        <v>3107</v>
      </c>
      <c r="E1545" s="1" t="s">
        <v>3353</v>
      </c>
      <c r="F1545" s="1" t="s">
        <v>16</v>
      </c>
      <c r="G1545" s="1" t="s">
        <v>17</v>
      </c>
      <c r="H1545" s="1" t="s">
        <v>18</v>
      </c>
      <c r="I1545" s="1" t="s">
        <v>19</v>
      </c>
      <c r="J1545" s="1">
        <v>113.0</v>
      </c>
      <c r="K1545" s="1">
        <v>26.0</v>
      </c>
      <c r="L1545" s="1">
        <v>192.0</v>
      </c>
    </row>
    <row r="1546">
      <c r="A1546" s="1">
        <v>3317015.0</v>
      </c>
      <c r="B1546" s="1" t="s">
        <v>3354</v>
      </c>
      <c r="C1546" s="1" t="s">
        <v>2930</v>
      </c>
      <c r="D1546" s="1" t="s">
        <v>3273</v>
      </c>
      <c r="E1546" s="1" t="s">
        <v>3355</v>
      </c>
      <c r="F1546" s="1" t="s">
        <v>16</v>
      </c>
      <c r="G1546" s="1" t="s">
        <v>17</v>
      </c>
      <c r="H1546" s="1" t="s">
        <v>28</v>
      </c>
      <c r="I1546" s="1" t="s">
        <v>40</v>
      </c>
      <c r="J1546" s="1">
        <v>302.0</v>
      </c>
      <c r="K1546" s="1">
        <v>83.0</v>
      </c>
      <c r="L1546" s="1">
        <v>691.0</v>
      </c>
    </row>
    <row r="1547">
      <c r="A1547" s="1">
        <v>3318108.0</v>
      </c>
      <c r="B1547" s="1" t="s">
        <v>3356</v>
      </c>
      <c r="C1547" s="1" t="s">
        <v>2930</v>
      </c>
      <c r="D1547" s="1" t="s">
        <v>3049</v>
      </c>
      <c r="E1547" s="1" t="s">
        <v>3357</v>
      </c>
      <c r="F1547" s="1" t="s">
        <v>16</v>
      </c>
      <c r="G1547" s="1" t="s">
        <v>17</v>
      </c>
      <c r="H1547" s="1" t="s">
        <v>18</v>
      </c>
      <c r="I1547" s="1" t="s">
        <v>44</v>
      </c>
      <c r="J1547" s="1">
        <v>199.0</v>
      </c>
      <c r="K1547" s="1">
        <v>39.0</v>
      </c>
      <c r="L1547" s="1">
        <v>956.0</v>
      </c>
    </row>
    <row r="1548">
      <c r="A1548" s="1">
        <v>3328042.0</v>
      </c>
      <c r="B1548" s="1" t="s">
        <v>3358</v>
      </c>
      <c r="C1548" s="1" t="s">
        <v>2930</v>
      </c>
      <c r="D1548" s="1" t="s">
        <v>3208</v>
      </c>
      <c r="E1548" s="1" t="s">
        <v>3359</v>
      </c>
      <c r="F1548" s="1" t="s">
        <v>16</v>
      </c>
      <c r="G1548" s="1" t="s">
        <v>17</v>
      </c>
      <c r="H1548" s="1" t="s">
        <v>18</v>
      </c>
      <c r="I1548" s="1" t="s">
        <v>19</v>
      </c>
      <c r="J1548" s="1">
        <v>108.0</v>
      </c>
      <c r="K1548" s="1">
        <v>50.0</v>
      </c>
      <c r="L1548" s="1">
        <v>304.0</v>
      </c>
    </row>
    <row r="1549">
      <c r="A1549" s="1">
        <v>3312307.0</v>
      </c>
      <c r="B1549" s="1" t="s">
        <v>3360</v>
      </c>
      <c r="C1549" s="1" t="s">
        <v>2930</v>
      </c>
      <c r="D1549" s="1" t="s">
        <v>3118</v>
      </c>
      <c r="E1549" s="1" t="s">
        <v>3361</v>
      </c>
      <c r="F1549" s="1" t="s">
        <v>16</v>
      </c>
      <c r="G1549" s="1" t="s">
        <v>23</v>
      </c>
      <c r="H1549" s="1" t="s">
        <v>18</v>
      </c>
      <c r="I1549" s="1" t="s">
        <v>44</v>
      </c>
      <c r="J1549" s="1">
        <v>71.0</v>
      </c>
      <c r="K1549" s="1">
        <v>30.0</v>
      </c>
      <c r="L1549" s="1">
        <v>50.0</v>
      </c>
    </row>
    <row r="1550">
      <c r="A1550" s="1">
        <v>3372240.0</v>
      </c>
      <c r="B1550" s="1" t="s">
        <v>3362</v>
      </c>
      <c r="C1550" s="1" t="s">
        <v>2930</v>
      </c>
      <c r="D1550" s="1" t="s">
        <v>2967</v>
      </c>
      <c r="E1550" s="1" t="s">
        <v>3363</v>
      </c>
      <c r="F1550" s="1" t="s">
        <v>16</v>
      </c>
      <c r="G1550" s="1" t="s">
        <v>17</v>
      </c>
      <c r="H1550" s="1" t="s">
        <v>28</v>
      </c>
      <c r="I1550" s="1" t="s">
        <v>29</v>
      </c>
      <c r="J1550" s="1">
        <v>235.0</v>
      </c>
      <c r="K1550" s="1">
        <v>44.0</v>
      </c>
      <c r="L1550" s="1">
        <v>276.0</v>
      </c>
    </row>
    <row r="1551">
      <c r="A1551" s="1">
        <v>3305066.0</v>
      </c>
      <c r="B1551" s="1" t="s">
        <v>3364</v>
      </c>
      <c r="C1551" s="1" t="s">
        <v>2930</v>
      </c>
      <c r="D1551" s="1" t="s">
        <v>2958</v>
      </c>
      <c r="E1551" s="1" t="s">
        <v>3365</v>
      </c>
      <c r="F1551" s="1" t="s">
        <v>16</v>
      </c>
      <c r="G1551" s="1" t="s">
        <v>27</v>
      </c>
      <c r="H1551" s="1" t="s">
        <v>18</v>
      </c>
      <c r="I1551" s="1" t="s">
        <v>684</v>
      </c>
      <c r="J1551" s="1">
        <v>345.0</v>
      </c>
      <c r="K1551" s="1">
        <v>96.0</v>
      </c>
      <c r="L1551" s="1">
        <v>625.0</v>
      </c>
    </row>
    <row r="1552">
      <c r="A1552" s="1">
        <v>3372239.0</v>
      </c>
      <c r="B1552" s="1" t="s">
        <v>3366</v>
      </c>
      <c r="C1552" s="1" t="s">
        <v>2930</v>
      </c>
      <c r="D1552" s="1" t="s">
        <v>2967</v>
      </c>
      <c r="E1552" s="1" t="s">
        <v>3367</v>
      </c>
      <c r="F1552" s="1" t="s">
        <v>32</v>
      </c>
      <c r="G1552" s="1" t="s">
        <v>17</v>
      </c>
      <c r="H1552" s="1" t="s">
        <v>18</v>
      </c>
      <c r="I1552" s="1" t="s">
        <v>163</v>
      </c>
      <c r="J1552" s="1">
        <v>13.0</v>
      </c>
      <c r="K1552" s="1">
        <v>23.0</v>
      </c>
      <c r="L1552" s="1">
        <v>32.0</v>
      </c>
    </row>
    <row r="1553">
      <c r="A1553" s="1">
        <v>3322012.0</v>
      </c>
      <c r="B1553" s="1" t="s">
        <v>3368</v>
      </c>
      <c r="C1553" s="1" t="s">
        <v>2930</v>
      </c>
      <c r="D1553" s="1" t="s">
        <v>3064</v>
      </c>
      <c r="E1553" s="1" t="s">
        <v>3369</v>
      </c>
      <c r="F1553" s="1" t="s">
        <v>16</v>
      </c>
      <c r="G1553" s="1" t="s">
        <v>17</v>
      </c>
      <c r="H1553" s="1" t="s">
        <v>28</v>
      </c>
      <c r="I1553" s="1" t="s">
        <v>40</v>
      </c>
      <c r="J1553" s="1">
        <v>209.0</v>
      </c>
      <c r="K1553" s="1">
        <v>33.0</v>
      </c>
      <c r="L1553" s="1">
        <v>752.0</v>
      </c>
    </row>
    <row r="1554">
      <c r="A1554" s="1">
        <v>3329105.0</v>
      </c>
      <c r="B1554" s="1" t="s">
        <v>3370</v>
      </c>
      <c r="C1554" s="1" t="s">
        <v>2930</v>
      </c>
      <c r="D1554" s="1" t="s">
        <v>2999</v>
      </c>
      <c r="E1554" s="1" t="s">
        <v>3371</v>
      </c>
      <c r="F1554" s="1" t="s">
        <v>55</v>
      </c>
      <c r="G1554" s="1" t="s">
        <v>17</v>
      </c>
      <c r="H1554" s="1" t="s">
        <v>18</v>
      </c>
      <c r="I1554" s="1" t="s">
        <v>19</v>
      </c>
      <c r="J1554" s="1">
        <v>50.0</v>
      </c>
      <c r="K1554" s="1">
        <v>30.0</v>
      </c>
      <c r="L1554" s="1">
        <v>89.0</v>
      </c>
    </row>
    <row r="1555">
      <c r="A1555" s="1">
        <v>3303102.0</v>
      </c>
      <c r="B1555" s="1" t="s">
        <v>3372</v>
      </c>
      <c r="C1555" s="1" t="s">
        <v>2930</v>
      </c>
      <c r="D1555" s="1" t="s">
        <v>3099</v>
      </c>
      <c r="E1555" s="1" t="s">
        <v>3373</v>
      </c>
      <c r="F1555" s="1" t="s">
        <v>16</v>
      </c>
      <c r="G1555" s="1" t="s">
        <v>23</v>
      </c>
      <c r="H1555" s="1" t="s">
        <v>18</v>
      </c>
      <c r="I1555" s="1" t="s">
        <v>684</v>
      </c>
      <c r="J1555" s="1">
        <v>93.0</v>
      </c>
      <c r="K1555" s="1">
        <v>26.0</v>
      </c>
      <c r="L1555" s="1">
        <v>50.0</v>
      </c>
    </row>
    <row r="1556">
      <c r="A1556" s="1">
        <v>3309107.0</v>
      </c>
      <c r="B1556" s="1" t="s">
        <v>3374</v>
      </c>
      <c r="C1556" s="1" t="s">
        <v>2930</v>
      </c>
      <c r="D1556" s="1" t="s">
        <v>2973</v>
      </c>
      <c r="E1556" s="1" t="s">
        <v>3375</v>
      </c>
      <c r="F1556" s="1" t="s">
        <v>16</v>
      </c>
      <c r="G1556" s="1" t="s">
        <v>23</v>
      </c>
      <c r="H1556" s="1" t="s">
        <v>28</v>
      </c>
      <c r="I1556" s="1" t="s">
        <v>40</v>
      </c>
      <c r="J1556" s="1">
        <v>127.0</v>
      </c>
      <c r="K1556" s="1">
        <v>28.0</v>
      </c>
      <c r="L1556" s="1">
        <v>218.0</v>
      </c>
    </row>
    <row r="1557">
      <c r="A1557" s="1">
        <v>3374284.0</v>
      </c>
      <c r="B1557" s="1" t="s">
        <v>3376</v>
      </c>
      <c r="C1557" s="1" t="s">
        <v>2930</v>
      </c>
      <c r="D1557" s="1" t="s">
        <v>2948</v>
      </c>
      <c r="E1557" s="1" t="s">
        <v>3377</v>
      </c>
      <c r="F1557" s="1" t="s">
        <v>55</v>
      </c>
      <c r="G1557" s="1" t="s">
        <v>17</v>
      </c>
      <c r="H1557" s="1" t="s">
        <v>18</v>
      </c>
      <c r="I1557" s="1" t="s">
        <v>59</v>
      </c>
      <c r="J1557" s="1">
        <v>29.0</v>
      </c>
      <c r="K1557" s="1">
        <v>19.0</v>
      </c>
      <c r="L1557" s="1">
        <v>127.0</v>
      </c>
    </row>
    <row r="1558">
      <c r="A1558" s="1">
        <v>3375074.0</v>
      </c>
      <c r="B1558" s="1" t="s">
        <v>3378</v>
      </c>
      <c r="C1558" s="1" t="s">
        <v>2930</v>
      </c>
      <c r="D1558" s="1" t="s">
        <v>2986</v>
      </c>
      <c r="E1558" s="1" t="s">
        <v>3379</v>
      </c>
      <c r="F1558" s="1" t="s">
        <v>16</v>
      </c>
      <c r="G1558" s="1" t="s">
        <v>23</v>
      </c>
      <c r="H1558" s="1" t="s">
        <v>18</v>
      </c>
      <c r="I1558" s="1" t="s">
        <v>19</v>
      </c>
      <c r="J1558" s="1">
        <v>50.0</v>
      </c>
      <c r="K1558" s="1">
        <v>33.0</v>
      </c>
      <c r="L1558" s="1">
        <v>122.0</v>
      </c>
    </row>
    <row r="1559">
      <c r="A1559" s="1">
        <v>3327010.0</v>
      </c>
      <c r="B1559" s="1" t="s">
        <v>3380</v>
      </c>
      <c r="C1559" s="1" t="s">
        <v>2930</v>
      </c>
      <c r="D1559" s="1" t="s">
        <v>3054</v>
      </c>
      <c r="E1559" s="1" t="s">
        <v>3381</v>
      </c>
      <c r="F1559" s="1" t="s">
        <v>16</v>
      </c>
      <c r="G1559" s="1" t="s">
        <v>17</v>
      </c>
      <c r="H1559" s="1" t="s">
        <v>28</v>
      </c>
      <c r="I1559" s="1" t="s">
        <v>40</v>
      </c>
      <c r="J1559" s="1">
        <v>269.0</v>
      </c>
      <c r="K1559" s="1">
        <v>27.0</v>
      </c>
      <c r="L1559" s="1">
        <v>922.0</v>
      </c>
    </row>
    <row r="1560">
      <c r="A1560" s="1">
        <v>3320089.0</v>
      </c>
      <c r="B1560" s="1" t="s">
        <v>3382</v>
      </c>
      <c r="C1560" s="1" t="s">
        <v>2930</v>
      </c>
      <c r="D1560" s="1" t="s">
        <v>3104</v>
      </c>
      <c r="E1560" s="1" t="s">
        <v>3383</v>
      </c>
      <c r="F1560" s="1" t="s">
        <v>16</v>
      </c>
      <c r="G1560" s="1" t="s">
        <v>17</v>
      </c>
      <c r="H1560" s="1" t="s">
        <v>18</v>
      </c>
      <c r="I1560" s="1" t="s">
        <v>684</v>
      </c>
      <c r="J1560" s="1">
        <v>136.0</v>
      </c>
      <c r="K1560" s="1">
        <v>31.0</v>
      </c>
      <c r="L1560" s="1">
        <v>282.0</v>
      </c>
    </row>
    <row r="1561">
      <c r="A1561" s="1">
        <v>3318113.0</v>
      </c>
      <c r="B1561" s="1" t="s">
        <v>3384</v>
      </c>
      <c r="C1561" s="1" t="s">
        <v>2930</v>
      </c>
      <c r="D1561" s="1" t="s">
        <v>3049</v>
      </c>
      <c r="E1561" s="1" t="s">
        <v>3385</v>
      </c>
      <c r="F1561" s="1" t="s">
        <v>16</v>
      </c>
      <c r="G1561" s="1" t="s">
        <v>23</v>
      </c>
      <c r="H1561" s="1" t="s">
        <v>18</v>
      </c>
      <c r="I1561" s="1" t="s">
        <v>19</v>
      </c>
      <c r="J1561" s="1">
        <v>50.0</v>
      </c>
      <c r="K1561" s="1">
        <v>26.0</v>
      </c>
      <c r="L1561" s="1">
        <v>135.0</v>
      </c>
    </row>
    <row r="1562">
      <c r="A1562" s="1">
        <v>3301073.0</v>
      </c>
      <c r="B1562" s="1" t="s">
        <v>3386</v>
      </c>
      <c r="C1562" s="1" t="s">
        <v>2930</v>
      </c>
      <c r="D1562" s="1" t="s">
        <v>2996</v>
      </c>
      <c r="E1562" s="1" t="s">
        <v>3387</v>
      </c>
      <c r="F1562" s="1" t="s">
        <v>16</v>
      </c>
      <c r="G1562" s="1" t="s">
        <v>17</v>
      </c>
      <c r="H1562" s="1" t="s">
        <v>18</v>
      </c>
      <c r="I1562" s="1" t="s">
        <v>684</v>
      </c>
      <c r="J1562" s="1">
        <v>170.0</v>
      </c>
      <c r="K1562" s="1">
        <v>39.0</v>
      </c>
      <c r="L1562" s="1">
        <v>639.0</v>
      </c>
    </row>
    <row r="1563">
      <c r="A1563" s="1">
        <v>3329078.0</v>
      </c>
      <c r="B1563" s="1" t="s">
        <v>3388</v>
      </c>
      <c r="C1563" s="1" t="s">
        <v>2930</v>
      </c>
      <c r="D1563" s="1" t="s">
        <v>2999</v>
      </c>
      <c r="E1563" s="1" t="s">
        <v>3389</v>
      </c>
      <c r="F1563" s="1" t="s">
        <v>16</v>
      </c>
      <c r="G1563" s="1" t="s">
        <v>17</v>
      </c>
      <c r="H1563" s="1" t="s">
        <v>18</v>
      </c>
      <c r="I1563" s="1" t="s">
        <v>19</v>
      </c>
      <c r="J1563" s="1">
        <v>150.0</v>
      </c>
      <c r="K1563" s="1">
        <v>51.0</v>
      </c>
      <c r="L1563" s="1">
        <v>249.0</v>
      </c>
    </row>
    <row r="1564">
      <c r="A1564" s="1">
        <v>3303099.0</v>
      </c>
      <c r="B1564" s="1" t="s">
        <v>3390</v>
      </c>
      <c r="C1564" s="1" t="s">
        <v>2930</v>
      </c>
      <c r="D1564" s="1" t="s">
        <v>3099</v>
      </c>
      <c r="E1564" s="1" t="s">
        <v>3391</v>
      </c>
      <c r="F1564" s="1" t="s">
        <v>55</v>
      </c>
      <c r="G1564" s="1" t="s">
        <v>17</v>
      </c>
      <c r="H1564" s="1" t="s">
        <v>18</v>
      </c>
      <c r="I1564" s="1" t="s">
        <v>44</v>
      </c>
      <c r="J1564" s="1">
        <v>151.0</v>
      </c>
      <c r="K1564" s="1">
        <v>33.0</v>
      </c>
      <c r="L1564" s="1">
        <v>88.0</v>
      </c>
    </row>
    <row r="1565">
      <c r="A1565" s="1">
        <v>3326062.0</v>
      </c>
      <c r="B1565" s="1" t="s">
        <v>3392</v>
      </c>
      <c r="C1565" s="1" t="s">
        <v>2930</v>
      </c>
      <c r="D1565" s="1" t="s">
        <v>3033</v>
      </c>
      <c r="E1565" s="1" t="s">
        <v>3393</v>
      </c>
      <c r="F1565" s="1" t="s">
        <v>16</v>
      </c>
      <c r="G1565" s="1" t="s">
        <v>23</v>
      </c>
      <c r="H1565" s="1" t="s">
        <v>28</v>
      </c>
      <c r="I1565" s="1" t="s">
        <v>40</v>
      </c>
      <c r="J1565" s="1">
        <v>85.0</v>
      </c>
      <c r="K1565" s="1">
        <v>19.0</v>
      </c>
      <c r="L1565" s="1">
        <v>0.0</v>
      </c>
    </row>
    <row r="1566">
      <c r="A1566" s="1">
        <v>3374391.0</v>
      </c>
      <c r="B1566" s="1" t="s">
        <v>3394</v>
      </c>
      <c r="C1566" s="1" t="s">
        <v>2930</v>
      </c>
      <c r="D1566" s="1" t="s">
        <v>2948</v>
      </c>
      <c r="E1566" s="1" t="s">
        <v>3395</v>
      </c>
      <c r="F1566" s="1" t="s">
        <v>16</v>
      </c>
      <c r="G1566" s="1" t="s">
        <v>17</v>
      </c>
      <c r="H1566" s="1" t="s">
        <v>18</v>
      </c>
      <c r="I1566" s="1" t="s">
        <v>19</v>
      </c>
      <c r="J1566" s="1">
        <v>100.0</v>
      </c>
      <c r="K1566" s="1">
        <v>56.0</v>
      </c>
      <c r="L1566" s="1">
        <v>0.0</v>
      </c>
    </row>
    <row r="1567">
      <c r="A1567" s="1">
        <v>3315046.0</v>
      </c>
      <c r="B1567" s="1" t="s">
        <v>3396</v>
      </c>
      <c r="C1567" s="1" t="s">
        <v>2930</v>
      </c>
      <c r="D1567" s="1" t="s">
        <v>3005</v>
      </c>
      <c r="E1567" s="1" t="s">
        <v>3397</v>
      </c>
      <c r="F1567" s="1" t="s">
        <v>16</v>
      </c>
      <c r="G1567" s="1" t="s">
        <v>23</v>
      </c>
      <c r="H1567" s="1" t="s">
        <v>18</v>
      </c>
      <c r="I1567" s="1" t="s">
        <v>684</v>
      </c>
      <c r="J1567" s="1">
        <v>154.0</v>
      </c>
      <c r="K1567" s="1">
        <v>30.0</v>
      </c>
      <c r="L1567" s="1">
        <v>296.0</v>
      </c>
    </row>
    <row r="1568">
      <c r="A1568" s="1">
        <v>3319021.0</v>
      </c>
      <c r="B1568" s="1" t="s">
        <v>3398</v>
      </c>
      <c r="C1568" s="1" t="s">
        <v>2930</v>
      </c>
      <c r="D1568" s="1" t="s">
        <v>2934</v>
      </c>
      <c r="E1568" s="1" t="s">
        <v>3399</v>
      </c>
      <c r="F1568" s="1" t="s">
        <v>16</v>
      </c>
      <c r="G1568" s="1" t="s">
        <v>23</v>
      </c>
      <c r="H1568" s="1" t="s">
        <v>18</v>
      </c>
      <c r="I1568" s="1" t="s">
        <v>19</v>
      </c>
      <c r="J1568" s="1">
        <v>160.0</v>
      </c>
      <c r="K1568" s="1">
        <v>22.0</v>
      </c>
      <c r="L1568" s="1">
        <v>182.0</v>
      </c>
    </row>
    <row r="1569">
      <c r="A1569" s="1">
        <v>3327045.0</v>
      </c>
      <c r="B1569" s="1" t="s">
        <v>3400</v>
      </c>
      <c r="C1569" s="1" t="s">
        <v>2930</v>
      </c>
      <c r="D1569" s="1" t="s">
        <v>3054</v>
      </c>
      <c r="E1569" s="1" t="s">
        <v>3401</v>
      </c>
      <c r="F1569" s="1" t="s">
        <v>16</v>
      </c>
      <c r="G1569" s="1" t="s">
        <v>17</v>
      </c>
      <c r="H1569" s="1" t="s">
        <v>18</v>
      </c>
      <c r="I1569" s="1" t="s">
        <v>19</v>
      </c>
      <c r="J1569" s="1">
        <v>166.0</v>
      </c>
      <c r="K1569" s="1">
        <v>29.0</v>
      </c>
      <c r="L1569" s="1">
        <v>324.0</v>
      </c>
    </row>
    <row r="1570">
      <c r="A1570" s="1">
        <v>3305118.0</v>
      </c>
      <c r="B1570" s="1" t="s">
        <v>3402</v>
      </c>
      <c r="C1570" s="1" t="s">
        <v>2930</v>
      </c>
      <c r="D1570" s="1" t="s">
        <v>2958</v>
      </c>
      <c r="E1570" s="1" t="s">
        <v>3403</v>
      </c>
      <c r="F1570" s="1" t="s">
        <v>16</v>
      </c>
      <c r="G1570" s="1" t="s">
        <v>23</v>
      </c>
      <c r="H1570" s="1" t="s">
        <v>18</v>
      </c>
      <c r="I1570" s="1" t="s">
        <v>684</v>
      </c>
      <c r="J1570" s="1">
        <v>58.0</v>
      </c>
      <c r="K1570" s="1">
        <v>29.0</v>
      </c>
      <c r="L1570" s="1">
        <v>164.0</v>
      </c>
    </row>
    <row r="1571">
      <c r="A1571" s="1">
        <v>3306110.0</v>
      </c>
      <c r="B1571" s="1" t="s">
        <v>3404</v>
      </c>
      <c r="C1571" s="1" t="s">
        <v>2930</v>
      </c>
      <c r="D1571" s="1" t="s">
        <v>2942</v>
      </c>
      <c r="E1571" s="1" t="s">
        <v>3405</v>
      </c>
      <c r="F1571" s="1" t="s">
        <v>16</v>
      </c>
      <c r="G1571" s="1" t="s">
        <v>23</v>
      </c>
      <c r="H1571" s="1" t="s">
        <v>18</v>
      </c>
      <c r="I1571" s="1" t="s">
        <v>19</v>
      </c>
      <c r="J1571" s="1">
        <v>58.0</v>
      </c>
      <c r="K1571" s="1">
        <v>43.0</v>
      </c>
      <c r="L1571" s="1">
        <v>176.0</v>
      </c>
    </row>
    <row r="1572">
      <c r="A1572" s="1">
        <v>3303016.0</v>
      </c>
      <c r="B1572" s="1" t="s">
        <v>3406</v>
      </c>
      <c r="C1572" s="1" t="s">
        <v>2930</v>
      </c>
      <c r="D1572" s="1" t="s">
        <v>3099</v>
      </c>
      <c r="E1572" s="1" t="s">
        <v>3407</v>
      </c>
      <c r="F1572" s="1" t="s">
        <v>16</v>
      </c>
      <c r="G1572" s="1" t="s">
        <v>17</v>
      </c>
      <c r="H1572" s="1" t="s">
        <v>28</v>
      </c>
      <c r="I1572" s="1" t="s">
        <v>40</v>
      </c>
      <c r="J1572" s="1">
        <v>220.0</v>
      </c>
      <c r="K1572" s="1">
        <v>80.0</v>
      </c>
      <c r="L1572" s="1">
        <v>677.0</v>
      </c>
    </row>
    <row r="1573">
      <c r="A1573" s="1">
        <v>3372132.0</v>
      </c>
      <c r="B1573" s="1" t="s">
        <v>3408</v>
      </c>
      <c r="C1573" s="1" t="s">
        <v>2930</v>
      </c>
      <c r="D1573" s="1" t="s">
        <v>2967</v>
      </c>
      <c r="E1573" s="1" t="s">
        <v>3409</v>
      </c>
      <c r="F1573" s="1" t="s">
        <v>16</v>
      </c>
      <c r="G1573" s="1" t="s">
        <v>17</v>
      </c>
      <c r="H1573" s="1" t="s">
        <v>18</v>
      </c>
      <c r="I1573" s="1" t="s">
        <v>684</v>
      </c>
      <c r="J1573" s="1">
        <v>178.0</v>
      </c>
      <c r="K1573" s="1">
        <v>32.0</v>
      </c>
      <c r="L1573" s="1">
        <v>781.0</v>
      </c>
    </row>
    <row r="1574">
      <c r="A1574" s="1">
        <v>3306111.0</v>
      </c>
      <c r="B1574" s="1" t="s">
        <v>3410</v>
      </c>
      <c r="C1574" s="1" t="s">
        <v>2930</v>
      </c>
      <c r="D1574" s="1" t="s">
        <v>2942</v>
      </c>
      <c r="E1574" s="1" t="s">
        <v>3411</v>
      </c>
      <c r="F1574" s="1" t="s">
        <v>16</v>
      </c>
      <c r="G1574" s="1" t="s">
        <v>17</v>
      </c>
      <c r="H1574" s="1" t="s">
        <v>18</v>
      </c>
      <c r="I1574" s="1" t="s">
        <v>44</v>
      </c>
      <c r="J1574" s="1">
        <v>101.0</v>
      </c>
      <c r="K1574" s="1">
        <v>33.0</v>
      </c>
      <c r="L1574" s="1">
        <v>207.0</v>
      </c>
    </row>
    <row r="1575">
      <c r="A1575" s="1">
        <v>3319102.0</v>
      </c>
      <c r="B1575" s="1" t="s">
        <v>3412</v>
      </c>
      <c r="C1575" s="1" t="s">
        <v>2930</v>
      </c>
      <c r="D1575" s="1" t="s">
        <v>2934</v>
      </c>
      <c r="E1575" s="1" t="s">
        <v>3413</v>
      </c>
      <c r="F1575" s="1" t="s">
        <v>16</v>
      </c>
      <c r="G1575" s="1" t="s">
        <v>23</v>
      </c>
      <c r="H1575" s="1" t="s">
        <v>18</v>
      </c>
      <c r="I1575" s="1" t="s">
        <v>74</v>
      </c>
      <c r="J1575" s="1">
        <v>58.0</v>
      </c>
      <c r="K1575" s="1">
        <v>41.0</v>
      </c>
      <c r="L1575" s="1">
        <v>98.0</v>
      </c>
    </row>
    <row r="1576">
      <c r="A1576" s="1">
        <v>3307050.0</v>
      </c>
      <c r="B1576" s="1" t="s">
        <v>3414</v>
      </c>
      <c r="C1576" s="1" t="s">
        <v>2930</v>
      </c>
      <c r="D1576" s="1" t="s">
        <v>2983</v>
      </c>
      <c r="E1576" s="1" t="s">
        <v>3415</v>
      </c>
      <c r="F1576" s="1" t="s">
        <v>16</v>
      </c>
      <c r="G1576" s="1" t="s">
        <v>17</v>
      </c>
      <c r="H1576" s="1" t="s">
        <v>18</v>
      </c>
      <c r="I1576" s="1" t="s">
        <v>684</v>
      </c>
      <c r="J1576" s="1">
        <v>110.0</v>
      </c>
      <c r="K1576" s="1">
        <v>34.0</v>
      </c>
      <c r="L1576" s="1">
        <v>188.0</v>
      </c>
    </row>
    <row r="1577">
      <c r="A1577" s="1">
        <v>3374112.0</v>
      </c>
      <c r="B1577" s="1" t="s">
        <v>3416</v>
      </c>
      <c r="C1577" s="1" t="s">
        <v>2930</v>
      </c>
      <c r="D1577" s="1" t="s">
        <v>2948</v>
      </c>
      <c r="E1577" s="1" t="s">
        <v>3417</v>
      </c>
      <c r="F1577" s="1" t="s">
        <v>16</v>
      </c>
      <c r="G1577" s="1" t="s">
        <v>17</v>
      </c>
      <c r="H1577" s="1" t="s">
        <v>18</v>
      </c>
      <c r="I1577" s="1" t="s">
        <v>258</v>
      </c>
      <c r="J1577" s="1">
        <v>168.0</v>
      </c>
      <c r="K1577" s="1">
        <v>54.0</v>
      </c>
      <c r="L1577" s="1">
        <v>583.0</v>
      </c>
    </row>
    <row r="1578">
      <c r="A1578" s="1">
        <v>3309131.0</v>
      </c>
      <c r="B1578" s="1" t="s">
        <v>3418</v>
      </c>
      <c r="C1578" s="1" t="s">
        <v>2930</v>
      </c>
      <c r="D1578" s="1" t="s">
        <v>2973</v>
      </c>
      <c r="E1578" s="1" t="s">
        <v>3419</v>
      </c>
      <c r="F1578" s="1" t="s">
        <v>16</v>
      </c>
      <c r="G1578" s="1" t="s">
        <v>17</v>
      </c>
      <c r="H1578" s="1" t="s">
        <v>18</v>
      </c>
      <c r="I1578" s="1" t="s">
        <v>19</v>
      </c>
      <c r="J1578" s="1">
        <v>122.0</v>
      </c>
      <c r="K1578" s="1">
        <v>34.0</v>
      </c>
      <c r="L1578" s="1">
        <v>231.0</v>
      </c>
    </row>
    <row r="1579">
      <c r="A1579" s="1">
        <v>3373103.0</v>
      </c>
      <c r="B1579" s="1" t="s">
        <v>3420</v>
      </c>
      <c r="C1579" s="1" t="s">
        <v>2930</v>
      </c>
      <c r="D1579" s="1" t="s">
        <v>2961</v>
      </c>
      <c r="E1579" s="1" t="s">
        <v>3421</v>
      </c>
      <c r="F1579" s="1" t="s">
        <v>16</v>
      </c>
      <c r="G1579" s="1" t="s">
        <v>23</v>
      </c>
      <c r="H1579" s="1" t="s">
        <v>18</v>
      </c>
      <c r="I1579" s="1" t="s">
        <v>44</v>
      </c>
      <c r="J1579" s="1">
        <v>58.0</v>
      </c>
      <c r="K1579" s="1">
        <v>35.0</v>
      </c>
      <c r="L1579" s="1">
        <v>0.0</v>
      </c>
    </row>
    <row r="1580">
      <c r="A1580" s="1">
        <v>3325015.0</v>
      </c>
      <c r="B1580" s="1" t="s">
        <v>3422</v>
      </c>
      <c r="C1580" s="1" t="s">
        <v>2930</v>
      </c>
      <c r="D1580" s="1" t="s">
        <v>2978</v>
      </c>
      <c r="E1580" s="1" t="s">
        <v>3423</v>
      </c>
      <c r="F1580" s="1" t="s">
        <v>16</v>
      </c>
      <c r="G1580" s="1" t="s">
        <v>17</v>
      </c>
      <c r="H1580" s="1" t="s">
        <v>28</v>
      </c>
      <c r="I1580" s="1" t="s">
        <v>40</v>
      </c>
      <c r="J1580" s="1">
        <v>242.0</v>
      </c>
      <c r="K1580" s="1">
        <v>62.0</v>
      </c>
      <c r="L1580" s="1">
        <v>641.0</v>
      </c>
    </row>
    <row r="1581">
      <c r="A1581" s="1">
        <v>3309135.0</v>
      </c>
      <c r="B1581" s="1" t="s">
        <v>3424</v>
      </c>
      <c r="C1581" s="1" t="s">
        <v>2930</v>
      </c>
      <c r="D1581" s="1" t="s">
        <v>2973</v>
      </c>
      <c r="E1581" s="1" t="s">
        <v>3425</v>
      </c>
      <c r="F1581" s="1" t="s">
        <v>16</v>
      </c>
      <c r="G1581" s="1" t="s">
        <v>23</v>
      </c>
      <c r="H1581" s="1" t="s">
        <v>18</v>
      </c>
      <c r="I1581" s="1" t="s">
        <v>19</v>
      </c>
      <c r="J1581" s="1">
        <v>101.0</v>
      </c>
      <c r="K1581" s="1">
        <v>34.0</v>
      </c>
      <c r="L1581" s="1">
        <v>191.0</v>
      </c>
    </row>
    <row r="1582">
      <c r="A1582" s="1">
        <v>3372242.0</v>
      </c>
      <c r="B1582" s="1" t="s">
        <v>3426</v>
      </c>
      <c r="C1582" s="1" t="s">
        <v>2930</v>
      </c>
      <c r="D1582" s="1" t="s">
        <v>2967</v>
      </c>
      <c r="E1582" s="1" t="s">
        <v>3427</v>
      </c>
      <c r="F1582" s="1" t="s">
        <v>1789</v>
      </c>
      <c r="G1582" s="1" t="s">
        <v>17</v>
      </c>
      <c r="H1582" s="1" t="s">
        <v>18</v>
      </c>
      <c r="I1582" s="1" t="s">
        <v>19</v>
      </c>
      <c r="J1582" s="1">
        <v>25.0</v>
      </c>
      <c r="K1582" s="1">
        <v>37.0</v>
      </c>
      <c r="L1582" s="1">
        <v>49.0</v>
      </c>
    </row>
    <row r="1583">
      <c r="A1583" s="1">
        <v>3317038.0</v>
      </c>
      <c r="B1583" s="1" t="s">
        <v>3428</v>
      </c>
      <c r="C1583" s="1" t="s">
        <v>2930</v>
      </c>
      <c r="D1583" s="1" t="s">
        <v>3273</v>
      </c>
      <c r="E1583" s="1" t="s">
        <v>3429</v>
      </c>
      <c r="F1583" s="1" t="s">
        <v>16</v>
      </c>
      <c r="G1583" s="1" t="s">
        <v>23</v>
      </c>
      <c r="H1583" s="1" t="s">
        <v>18</v>
      </c>
      <c r="I1583" s="1" t="s">
        <v>684</v>
      </c>
      <c r="J1583" s="1">
        <v>75.0</v>
      </c>
      <c r="K1583" s="1">
        <v>92.0</v>
      </c>
      <c r="L1583" s="1">
        <v>0.0</v>
      </c>
    </row>
    <row r="1584">
      <c r="A1584" s="1">
        <v>3311224.0</v>
      </c>
      <c r="B1584" s="1" t="s">
        <v>3430</v>
      </c>
      <c r="C1584" s="1" t="s">
        <v>2930</v>
      </c>
      <c r="D1584" s="1" t="s">
        <v>3014</v>
      </c>
      <c r="E1584" s="1" t="s">
        <v>3431</v>
      </c>
      <c r="F1584" s="1" t="s">
        <v>16</v>
      </c>
      <c r="G1584" s="1" t="s">
        <v>17</v>
      </c>
      <c r="H1584" s="1" t="s">
        <v>18</v>
      </c>
      <c r="I1584" s="1" t="s">
        <v>59</v>
      </c>
      <c r="J1584" s="1">
        <v>195.0</v>
      </c>
      <c r="K1584" s="1">
        <v>60.0</v>
      </c>
      <c r="L1584" s="1">
        <v>1175.0</v>
      </c>
    </row>
    <row r="1585">
      <c r="A1585" s="1">
        <v>3376012.0</v>
      </c>
      <c r="B1585" s="1" t="s">
        <v>3432</v>
      </c>
      <c r="C1585" s="1" t="s">
        <v>2930</v>
      </c>
      <c r="D1585" s="1" t="s">
        <v>3208</v>
      </c>
      <c r="E1585" s="1" t="s">
        <v>3433</v>
      </c>
      <c r="F1585" s="1" t="s">
        <v>16</v>
      </c>
      <c r="G1585" s="1" t="s">
        <v>27</v>
      </c>
      <c r="H1585" s="1" t="s">
        <v>28</v>
      </c>
      <c r="I1585" s="1" t="s">
        <v>29</v>
      </c>
      <c r="J1585" s="1">
        <v>393.0</v>
      </c>
      <c r="K1585" s="1">
        <v>113.0</v>
      </c>
      <c r="L1585" s="1">
        <v>560.0</v>
      </c>
    </row>
    <row r="1586">
      <c r="A1586" s="1">
        <v>3306112.0</v>
      </c>
      <c r="B1586" s="1" t="s">
        <v>3434</v>
      </c>
      <c r="C1586" s="1" t="s">
        <v>2930</v>
      </c>
      <c r="D1586" s="1" t="s">
        <v>2942</v>
      </c>
      <c r="E1586" s="1" t="s">
        <v>3435</v>
      </c>
      <c r="F1586" s="1" t="s">
        <v>16</v>
      </c>
      <c r="G1586" s="1" t="s">
        <v>23</v>
      </c>
      <c r="H1586" s="1" t="s">
        <v>18</v>
      </c>
      <c r="I1586" s="1" t="s">
        <v>19</v>
      </c>
      <c r="J1586" s="1">
        <v>52.0</v>
      </c>
      <c r="K1586" s="1">
        <v>21.0</v>
      </c>
      <c r="L1586" s="1">
        <v>25.0</v>
      </c>
    </row>
    <row r="1587">
      <c r="A1587" s="1">
        <v>3304035.0</v>
      </c>
      <c r="B1587" s="1" t="s">
        <v>3436</v>
      </c>
      <c r="C1587" s="1" t="s">
        <v>2930</v>
      </c>
      <c r="D1587" s="1" t="s">
        <v>3183</v>
      </c>
      <c r="E1587" s="1" t="s">
        <v>3437</v>
      </c>
      <c r="F1587" s="1" t="s">
        <v>16</v>
      </c>
      <c r="G1587" s="1" t="s">
        <v>23</v>
      </c>
      <c r="H1587" s="1" t="s">
        <v>18</v>
      </c>
      <c r="I1587" s="1" t="s">
        <v>684</v>
      </c>
      <c r="J1587" s="1">
        <v>87.0</v>
      </c>
      <c r="K1587" s="1">
        <v>19.0</v>
      </c>
      <c r="L1587" s="1">
        <v>8.0</v>
      </c>
    </row>
    <row r="1588">
      <c r="A1588" s="1">
        <v>3314023.0</v>
      </c>
      <c r="B1588" s="1" t="s">
        <v>3438</v>
      </c>
      <c r="C1588" s="1" t="s">
        <v>2930</v>
      </c>
      <c r="D1588" s="1" t="s">
        <v>2945</v>
      </c>
      <c r="E1588" s="1" t="s">
        <v>3439</v>
      </c>
      <c r="F1588" s="1" t="s">
        <v>16</v>
      </c>
      <c r="G1588" s="1" t="s">
        <v>23</v>
      </c>
      <c r="H1588" s="1" t="s">
        <v>18</v>
      </c>
      <c r="I1588" s="1" t="s">
        <v>59</v>
      </c>
      <c r="J1588" s="1">
        <v>68.0</v>
      </c>
      <c r="K1588" s="1">
        <v>30.0</v>
      </c>
      <c r="L1588" s="1">
        <v>266.0</v>
      </c>
    </row>
    <row r="1589">
      <c r="A1589" s="1">
        <v>3374366.0</v>
      </c>
      <c r="B1589" s="1" t="s">
        <v>3440</v>
      </c>
      <c r="C1589" s="1" t="s">
        <v>2930</v>
      </c>
      <c r="D1589" s="1" t="s">
        <v>2948</v>
      </c>
      <c r="E1589" s="1" t="s">
        <v>3441</v>
      </c>
      <c r="F1589" s="1" t="s">
        <v>255</v>
      </c>
      <c r="G1589" s="1" t="s">
        <v>150</v>
      </c>
      <c r="H1589" s="1" t="s">
        <v>18</v>
      </c>
      <c r="I1589" s="1" t="s">
        <v>44</v>
      </c>
      <c r="J1589" s="1">
        <v>107.0</v>
      </c>
      <c r="K1589" s="1">
        <v>99.0</v>
      </c>
      <c r="L1589" s="1">
        <v>295.0</v>
      </c>
    </row>
    <row r="1590">
      <c r="A1590" s="1">
        <v>3326051.0</v>
      </c>
      <c r="B1590" s="1" t="s">
        <v>3442</v>
      </c>
      <c r="C1590" s="1" t="s">
        <v>2930</v>
      </c>
      <c r="D1590" s="1" t="s">
        <v>3033</v>
      </c>
      <c r="E1590" s="1" t="s">
        <v>3443</v>
      </c>
      <c r="F1590" s="1" t="s">
        <v>55</v>
      </c>
      <c r="G1590" s="1" t="s">
        <v>17</v>
      </c>
      <c r="H1590" s="1" t="s">
        <v>18</v>
      </c>
      <c r="I1590" s="1" t="s">
        <v>684</v>
      </c>
      <c r="J1590" s="1">
        <v>79.0</v>
      </c>
      <c r="K1590" s="1">
        <v>17.0</v>
      </c>
      <c r="L1590" s="1">
        <v>196.0</v>
      </c>
    </row>
    <row r="1591">
      <c r="A1591" s="1">
        <v>3302143.0</v>
      </c>
      <c r="B1591" s="1" t="s">
        <v>3444</v>
      </c>
      <c r="C1591" s="1" t="s">
        <v>2930</v>
      </c>
      <c r="D1591" s="1" t="s">
        <v>2937</v>
      </c>
      <c r="E1591" s="1" t="s">
        <v>3445</v>
      </c>
      <c r="F1591" s="1" t="s">
        <v>16</v>
      </c>
      <c r="G1591" s="1" t="s">
        <v>23</v>
      </c>
      <c r="H1591" s="1" t="s">
        <v>18</v>
      </c>
      <c r="I1591" s="1" t="s">
        <v>19</v>
      </c>
      <c r="J1591" s="1">
        <v>55.0</v>
      </c>
      <c r="K1591" s="1">
        <v>23.0</v>
      </c>
      <c r="L1591" s="1">
        <v>68.0</v>
      </c>
    </row>
    <row r="1592">
      <c r="A1592" s="1">
        <v>3372026.0</v>
      </c>
      <c r="B1592" s="1" t="s">
        <v>3446</v>
      </c>
      <c r="C1592" s="1" t="s">
        <v>2930</v>
      </c>
      <c r="D1592" s="1" t="s">
        <v>2967</v>
      </c>
      <c r="E1592" s="1" t="s">
        <v>3447</v>
      </c>
      <c r="F1592" s="1" t="s">
        <v>16</v>
      </c>
      <c r="G1592" s="1" t="s">
        <v>27</v>
      </c>
      <c r="H1592" s="1" t="s">
        <v>18</v>
      </c>
      <c r="I1592" s="1" t="s">
        <v>59</v>
      </c>
      <c r="J1592" s="1">
        <v>249.0</v>
      </c>
      <c r="K1592" s="1">
        <v>109.0</v>
      </c>
      <c r="L1592" s="1">
        <v>873.0</v>
      </c>
    </row>
    <row r="1593">
      <c r="A1593" s="1">
        <v>3322072.0</v>
      </c>
      <c r="B1593" s="1" t="s">
        <v>3448</v>
      </c>
      <c r="C1593" s="1" t="s">
        <v>2930</v>
      </c>
      <c r="D1593" s="1" t="s">
        <v>2948</v>
      </c>
      <c r="E1593" s="1" t="s">
        <v>3449</v>
      </c>
      <c r="F1593" s="1" t="s">
        <v>55</v>
      </c>
      <c r="G1593" s="1" t="s">
        <v>17</v>
      </c>
      <c r="H1593" s="1" t="s">
        <v>18</v>
      </c>
      <c r="I1593" s="1" t="s">
        <v>44</v>
      </c>
      <c r="J1593" s="1">
        <v>29.0</v>
      </c>
      <c r="K1593" s="1">
        <v>19.0</v>
      </c>
      <c r="L1593" s="1">
        <v>57.0</v>
      </c>
    </row>
    <row r="1594">
      <c r="A1594" s="1">
        <v>3310421.0</v>
      </c>
      <c r="B1594" s="1" t="s">
        <v>3450</v>
      </c>
      <c r="C1594" s="1" t="s">
        <v>2930</v>
      </c>
      <c r="D1594" s="1" t="s">
        <v>2989</v>
      </c>
      <c r="E1594" s="1" t="s">
        <v>3451</v>
      </c>
      <c r="F1594" s="1" t="s">
        <v>16</v>
      </c>
      <c r="G1594" s="1" t="s">
        <v>17</v>
      </c>
      <c r="H1594" s="1" t="s">
        <v>28</v>
      </c>
      <c r="I1594" s="1" t="s">
        <v>40</v>
      </c>
      <c r="J1594" s="1">
        <v>166.0</v>
      </c>
      <c r="K1594" s="1">
        <v>75.0</v>
      </c>
      <c r="L1594" s="1">
        <v>340.0</v>
      </c>
    </row>
    <row r="1595">
      <c r="A1595" s="1">
        <v>3318064.0</v>
      </c>
      <c r="B1595" s="1" t="s">
        <v>3452</v>
      </c>
      <c r="C1595" s="1" t="s">
        <v>2930</v>
      </c>
      <c r="D1595" s="1" t="s">
        <v>3049</v>
      </c>
      <c r="E1595" s="1" t="s">
        <v>3453</v>
      </c>
      <c r="F1595" s="1" t="s">
        <v>16</v>
      </c>
      <c r="G1595" s="1" t="s">
        <v>17</v>
      </c>
      <c r="H1595" s="1" t="s">
        <v>18</v>
      </c>
      <c r="I1595" s="1" t="s">
        <v>684</v>
      </c>
      <c r="J1595" s="1">
        <v>100.0</v>
      </c>
      <c r="K1595" s="1">
        <v>33.0</v>
      </c>
      <c r="L1595" s="1">
        <v>398.0</v>
      </c>
    </row>
    <row r="1596">
      <c r="A1596" s="1">
        <v>3374054.0</v>
      </c>
      <c r="B1596" s="1" t="s">
        <v>3454</v>
      </c>
      <c r="C1596" s="1" t="s">
        <v>2930</v>
      </c>
      <c r="D1596" s="1" t="s">
        <v>2948</v>
      </c>
      <c r="E1596" s="1" t="s">
        <v>3455</v>
      </c>
      <c r="F1596" s="1" t="s">
        <v>16</v>
      </c>
      <c r="G1596" s="1" t="s">
        <v>17</v>
      </c>
      <c r="H1596" s="1" t="s">
        <v>18</v>
      </c>
      <c r="I1596" s="1" t="s">
        <v>19</v>
      </c>
      <c r="J1596" s="1">
        <v>129.0</v>
      </c>
      <c r="K1596" s="1">
        <v>43.0</v>
      </c>
      <c r="L1596" s="1">
        <v>444.0</v>
      </c>
    </row>
    <row r="1597">
      <c r="A1597" s="1">
        <v>3321034.0</v>
      </c>
      <c r="B1597" s="1" t="s">
        <v>3456</v>
      </c>
      <c r="C1597" s="1" t="s">
        <v>2930</v>
      </c>
      <c r="D1597" s="1" t="s">
        <v>2964</v>
      </c>
      <c r="E1597" s="1" t="s">
        <v>3457</v>
      </c>
      <c r="F1597" s="1" t="s">
        <v>16</v>
      </c>
      <c r="G1597" s="1" t="s">
        <v>17</v>
      </c>
      <c r="H1597" s="1" t="s">
        <v>18</v>
      </c>
      <c r="I1597" s="1" t="s">
        <v>19</v>
      </c>
      <c r="J1597" s="1">
        <v>160.0</v>
      </c>
      <c r="K1597" s="1">
        <v>49.0</v>
      </c>
      <c r="L1597" s="1">
        <v>210.0</v>
      </c>
    </row>
    <row r="1598">
      <c r="A1598" s="1">
        <v>3315061.0</v>
      </c>
      <c r="B1598" s="1" t="s">
        <v>3458</v>
      </c>
      <c r="C1598" s="1" t="s">
        <v>2930</v>
      </c>
      <c r="D1598" s="1" t="s">
        <v>3005</v>
      </c>
      <c r="E1598" s="1" t="s">
        <v>3459</v>
      </c>
      <c r="F1598" s="1" t="s">
        <v>16</v>
      </c>
      <c r="G1598" s="1" t="s">
        <v>23</v>
      </c>
      <c r="H1598" s="1" t="s">
        <v>18</v>
      </c>
      <c r="I1598" s="1" t="s">
        <v>40</v>
      </c>
      <c r="J1598" s="1">
        <v>60.0</v>
      </c>
      <c r="K1598" s="1">
        <v>26.0</v>
      </c>
      <c r="L1598" s="1">
        <v>184.0</v>
      </c>
    </row>
    <row r="1599">
      <c r="A1599" s="1">
        <v>3302248.0</v>
      </c>
      <c r="B1599" s="1" t="s">
        <v>3460</v>
      </c>
      <c r="C1599" s="1" t="s">
        <v>2930</v>
      </c>
      <c r="D1599" s="1" t="s">
        <v>2937</v>
      </c>
      <c r="E1599" s="1" t="s">
        <v>3461</v>
      </c>
      <c r="F1599" s="1" t="s">
        <v>272</v>
      </c>
      <c r="G1599" s="1" t="s">
        <v>17</v>
      </c>
      <c r="H1599" s="1" t="s">
        <v>33</v>
      </c>
      <c r="I1599" s="1" t="s">
        <v>40</v>
      </c>
      <c r="J1599" s="1">
        <v>15.0</v>
      </c>
      <c r="K1599" s="1">
        <v>19.0</v>
      </c>
      <c r="L1599" s="1">
        <v>0.0</v>
      </c>
    </row>
    <row r="1600">
      <c r="A1600" s="1">
        <v>3374389.0</v>
      </c>
      <c r="B1600" s="1" t="s">
        <v>3462</v>
      </c>
      <c r="C1600" s="1" t="s">
        <v>2930</v>
      </c>
      <c r="D1600" s="1" t="s">
        <v>2948</v>
      </c>
      <c r="E1600" s="1" t="s">
        <v>3463</v>
      </c>
      <c r="F1600" s="1" t="s">
        <v>16</v>
      </c>
      <c r="G1600" s="1" t="s">
        <v>17</v>
      </c>
      <c r="H1600" s="1" t="s">
        <v>18</v>
      </c>
      <c r="I1600" s="1" t="s">
        <v>19</v>
      </c>
      <c r="J1600" s="1">
        <v>115.0</v>
      </c>
      <c r="K1600" s="1">
        <v>43.0</v>
      </c>
      <c r="L1600" s="1">
        <v>0.0</v>
      </c>
    </row>
    <row r="1601">
      <c r="A1601" s="1">
        <v>3305092.0</v>
      </c>
      <c r="B1601" s="1" t="s">
        <v>3464</v>
      </c>
      <c r="C1601" s="1" t="s">
        <v>2930</v>
      </c>
      <c r="D1601" s="1" t="s">
        <v>2958</v>
      </c>
      <c r="E1601" s="1" t="s">
        <v>3465</v>
      </c>
      <c r="F1601" s="1" t="s">
        <v>16</v>
      </c>
      <c r="G1601" s="1" t="s">
        <v>17</v>
      </c>
      <c r="H1601" s="1" t="s">
        <v>18</v>
      </c>
      <c r="I1601" s="1" t="s">
        <v>59</v>
      </c>
      <c r="J1601" s="1">
        <v>117.0</v>
      </c>
      <c r="K1601" s="1">
        <v>33.0</v>
      </c>
      <c r="L1601" s="1">
        <v>255.0</v>
      </c>
    </row>
    <row r="1602">
      <c r="A1602" s="1">
        <v>3374010.0</v>
      </c>
      <c r="B1602" s="1" t="s">
        <v>3466</v>
      </c>
      <c r="C1602" s="1" t="s">
        <v>2930</v>
      </c>
      <c r="D1602" s="1" t="s">
        <v>2948</v>
      </c>
      <c r="E1602" s="1" t="s">
        <v>3467</v>
      </c>
      <c r="F1602" s="1" t="s">
        <v>16</v>
      </c>
      <c r="G1602" s="1" t="s">
        <v>150</v>
      </c>
      <c r="H1602" s="1" t="s">
        <v>33</v>
      </c>
      <c r="I1602" s="1" t="s">
        <v>411</v>
      </c>
      <c r="J1602" s="1">
        <v>1181.0</v>
      </c>
      <c r="K1602" s="1">
        <v>277.0</v>
      </c>
      <c r="L1602" s="1">
        <v>3871.0</v>
      </c>
    </row>
    <row r="1603">
      <c r="A1603" s="1">
        <v>3312308.0</v>
      </c>
      <c r="B1603" s="1" t="s">
        <v>3468</v>
      </c>
      <c r="C1603" s="1" t="s">
        <v>2930</v>
      </c>
      <c r="D1603" s="1" t="s">
        <v>3118</v>
      </c>
      <c r="E1603" s="1" t="s">
        <v>3469</v>
      </c>
      <c r="F1603" s="1" t="s">
        <v>16</v>
      </c>
      <c r="G1603" s="1" t="s">
        <v>23</v>
      </c>
      <c r="H1603" s="1" t="s">
        <v>18</v>
      </c>
      <c r="I1603" s="1" t="s">
        <v>44</v>
      </c>
      <c r="J1603" s="1">
        <v>107.0</v>
      </c>
      <c r="K1603" s="1">
        <v>27.0</v>
      </c>
      <c r="L1603" s="1">
        <v>208.0</v>
      </c>
    </row>
    <row r="1604">
      <c r="A1604" s="1">
        <v>3322071.0</v>
      </c>
      <c r="B1604" s="1" t="s">
        <v>326</v>
      </c>
      <c r="C1604" s="1" t="s">
        <v>2930</v>
      </c>
      <c r="D1604" s="1" t="s">
        <v>3064</v>
      </c>
      <c r="E1604" s="1" t="s">
        <v>3470</v>
      </c>
      <c r="F1604" s="1" t="s">
        <v>16</v>
      </c>
      <c r="G1604" s="1" t="s">
        <v>23</v>
      </c>
      <c r="H1604" s="1" t="s">
        <v>18</v>
      </c>
      <c r="I1604" s="1" t="s">
        <v>59</v>
      </c>
      <c r="J1604" s="1">
        <v>63.0</v>
      </c>
      <c r="K1604" s="1">
        <v>19.0</v>
      </c>
      <c r="L1604" s="1">
        <v>174.0</v>
      </c>
    </row>
    <row r="1605">
      <c r="A1605" s="1">
        <v>3310026.0</v>
      </c>
      <c r="B1605" s="1" t="s">
        <v>3471</v>
      </c>
      <c r="C1605" s="1" t="s">
        <v>2930</v>
      </c>
      <c r="D1605" s="1" t="s">
        <v>2989</v>
      </c>
      <c r="E1605" s="1" t="s">
        <v>3472</v>
      </c>
      <c r="F1605" s="1" t="s">
        <v>174</v>
      </c>
      <c r="G1605" s="1" t="s">
        <v>150</v>
      </c>
      <c r="H1605" s="1" t="s">
        <v>28</v>
      </c>
      <c r="I1605" s="1" t="s">
        <v>139</v>
      </c>
      <c r="J1605" s="1">
        <v>172.0</v>
      </c>
      <c r="K1605" s="1">
        <v>34.0</v>
      </c>
      <c r="L1605" s="1">
        <v>504.0</v>
      </c>
    </row>
    <row r="1606">
      <c r="A1606" s="1">
        <v>3374331.0</v>
      </c>
      <c r="B1606" s="1" t="s">
        <v>3473</v>
      </c>
      <c r="C1606" s="1" t="s">
        <v>2930</v>
      </c>
      <c r="D1606" s="1" t="s">
        <v>2948</v>
      </c>
      <c r="E1606" s="1" t="s">
        <v>3474</v>
      </c>
      <c r="F1606" s="1" t="s">
        <v>16</v>
      </c>
      <c r="G1606" s="1" t="s">
        <v>23</v>
      </c>
      <c r="H1606" s="1" t="s">
        <v>18</v>
      </c>
      <c r="I1606" s="1" t="s">
        <v>19</v>
      </c>
      <c r="J1606" s="1">
        <v>61.0</v>
      </c>
      <c r="K1606" s="1">
        <v>42.0</v>
      </c>
      <c r="L1606" s="1">
        <v>102.0</v>
      </c>
    </row>
    <row r="1607">
      <c r="A1607" s="1">
        <v>3314109.0</v>
      </c>
      <c r="B1607" s="1" t="s">
        <v>3475</v>
      </c>
      <c r="C1607" s="1" t="s">
        <v>2930</v>
      </c>
      <c r="D1607" s="1" t="s">
        <v>2945</v>
      </c>
      <c r="E1607" s="1" t="s">
        <v>3476</v>
      </c>
      <c r="F1607" s="1" t="s">
        <v>16</v>
      </c>
      <c r="G1607" s="1" t="s">
        <v>23</v>
      </c>
      <c r="H1607" s="1" t="s">
        <v>18</v>
      </c>
      <c r="I1607" s="1" t="s">
        <v>163</v>
      </c>
      <c r="J1607" s="1">
        <v>0.0</v>
      </c>
      <c r="K1607" s="1">
        <v>1.0</v>
      </c>
      <c r="L1607" s="1">
        <v>0.0</v>
      </c>
    </row>
    <row r="1608">
      <c r="A1608" s="1">
        <v>3327032.0</v>
      </c>
      <c r="B1608" s="1" t="s">
        <v>3477</v>
      </c>
      <c r="C1608" s="1" t="s">
        <v>2930</v>
      </c>
      <c r="D1608" s="1" t="s">
        <v>3054</v>
      </c>
      <c r="E1608" s="1" t="s">
        <v>3478</v>
      </c>
      <c r="F1608" s="1" t="s">
        <v>16</v>
      </c>
      <c r="G1608" s="1" t="s">
        <v>23</v>
      </c>
      <c r="H1608" s="1" t="s">
        <v>18</v>
      </c>
      <c r="I1608" s="1" t="s">
        <v>684</v>
      </c>
      <c r="J1608" s="1">
        <v>96.0</v>
      </c>
      <c r="K1608" s="1">
        <v>33.0</v>
      </c>
      <c r="L1608" s="1">
        <v>156.0</v>
      </c>
    </row>
    <row r="1609">
      <c r="A1609" s="1">
        <v>3328078.0</v>
      </c>
      <c r="B1609" s="1" t="s">
        <v>3479</v>
      </c>
      <c r="C1609" s="1" t="s">
        <v>2930</v>
      </c>
      <c r="D1609" s="1" t="s">
        <v>3038</v>
      </c>
      <c r="E1609" s="1" t="s">
        <v>3480</v>
      </c>
      <c r="F1609" s="1" t="s">
        <v>16</v>
      </c>
      <c r="G1609" s="1" t="s">
        <v>23</v>
      </c>
      <c r="H1609" s="1" t="s">
        <v>18</v>
      </c>
      <c r="I1609" s="1" t="s">
        <v>19</v>
      </c>
      <c r="J1609" s="1">
        <v>50.0</v>
      </c>
      <c r="K1609" s="1">
        <v>25.0</v>
      </c>
      <c r="L1609" s="1">
        <v>68.0</v>
      </c>
    </row>
    <row r="1610">
      <c r="A1610" s="1">
        <v>3375073.0</v>
      </c>
      <c r="B1610" s="1" t="s">
        <v>3481</v>
      </c>
      <c r="C1610" s="1" t="s">
        <v>2930</v>
      </c>
      <c r="D1610" s="1" t="s">
        <v>2986</v>
      </c>
      <c r="E1610" s="1" t="s">
        <v>3482</v>
      </c>
      <c r="F1610" s="1" t="s">
        <v>16</v>
      </c>
      <c r="G1610" s="1" t="s">
        <v>23</v>
      </c>
      <c r="H1610" s="1" t="s">
        <v>18</v>
      </c>
      <c r="I1610" s="1" t="s">
        <v>19</v>
      </c>
      <c r="J1610" s="1">
        <v>98.0</v>
      </c>
      <c r="K1610" s="1">
        <v>50.0</v>
      </c>
      <c r="L1610" s="1">
        <v>203.0</v>
      </c>
    </row>
    <row r="1611">
      <c r="A1611" s="1">
        <v>3301107.0</v>
      </c>
      <c r="B1611" s="1" t="s">
        <v>3483</v>
      </c>
      <c r="C1611" s="1" t="s">
        <v>2930</v>
      </c>
      <c r="D1611" s="1" t="s">
        <v>2996</v>
      </c>
      <c r="E1611" s="1" t="s">
        <v>3484</v>
      </c>
      <c r="F1611" s="1" t="s">
        <v>16</v>
      </c>
      <c r="G1611" s="1" t="s">
        <v>23</v>
      </c>
      <c r="H1611" s="1" t="s">
        <v>18</v>
      </c>
      <c r="I1611" s="1" t="s">
        <v>249</v>
      </c>
      <c r="J1611" s="1">
        <v>78.0</v>
      </c>
      <c r="K1611" s="1">
        <v>69.0</v>
      </c>
      <c r="L1611" s="1">
        <v>176.0</v>
      </c>
    </row>
    <row r="1612">
      <c r="A1612" s="1">
        <v>3302249.0</v>
      </c>
      <c r="B1612" s="1" t="s">
        <v>3485</v>
      </c>
      <c r="C1612" s="1" t="s">
        <v>2930</v>
      </c>
      <c r="D1612" s="1" t="s">
        <v>2937</v>
      </c>
      <c r="E1612" s="1" t="s">
        <v>3486</v>
      </c>
      <c r="F1612" s="1" t="s">
        <v>16</v>
      </c>
      <c r="G1612" s="1" t="s">
        <v>17</v>
      </c>
      <c r="H1612" s="1" t="s">
        <v>18</v>
      </c>
      <c r="I1612" s="1" t="s">
        <v>44</v>
      </c>
      <c r="J1612" s="1">
        <v>101.0</v>
      </c>
      <c r="K1612" s="1">
        <v>53.0</v>
      </c>
      <c r="L1612" s="1">
        <v>0.0</v>
      </c>
    </row>
    <row r="1613">
      <c r="A1613" s="1">
        <v>3324053.0</v>
      </c>
      <c r="B1613" s="1" t="s">
        <v>3487</v>
      </c>
      <c r="C1613" s="1" t="s">
        <v>2930</v>
      </c>
      <c r="D1613" s="1" t="s">
        <v>2970</v>
      </c>
      <c r="E1613" s="1" t="s">
        <v>3488</v>
      </c>
      <c r="F1613" s="1" t="s">
        <v>16</v>
      </c>
      <c r="G1613" s="1" t="s">
        <v>23</v>
      </c>
      <c r="H1613" s="1" t="s">
        <v>18</v>
      </c>
      <c r="I1613" s="1" t="s">
        <v>19</v>
      </c>
      <c r="J1613" s="1">
        <v>64.0</v>
      </c>
      <c r="K1613" s="1">
        <v>49.0</v>
      </c>
      <c r="L1613" s="1">
        <v>0.0</v>
      </c>
    </row>
    <row r="1614">
      <c r="A1614" s="1">
        <v>3301095.0</v>
      </c>
      <c r="B1614" s="1" t="s">
        <v>918</v>
      </c>
      <c r="C1614" s="1" t="s">
        <v>2930</v>
      </c>
      <c r="D1614" s="1" t="s">
        <v>2996</v>
      </c>
      <c r="E1614" s="1" t="s">
        <v>3489</v>
      </c>
      <c r="F1614" s="1" t="s">
        <v>55</v>
      </c>
      <c r="G1614" s="1" t="s">
        <v>17</v>
      </c>
      <c r="H1614" s="1" t="s">
        <v>18</v>
      </c>
      <c r="I1614" s="1" t="s">
        <v>684</v>
      </c>
      <c r="J1614" s="1">
        <v>24.0</v>
      </c>
      <c r="K1614" s="1">
        <v>17.0</v>
      </c>
      <c r="L1614" s="1">
        <v>43.0</v>
      </c>
    </row>
    <row r="1615">
      <c r="A1615" s="1">
        <v>3371025.0</v>
      </c>
      <c r="B1615" s="1" t="s">
        <v>3490</v>
      </c>
      <c r="C1615" s="1" t="s">
        <v>2930</v>
      </c>
      <c r="D1615" s="1" t="s">
        <v>2939</v>
      </c>
      <c r="E1615" s="1" t="s">
        <v>3491</v>
      </c>
      <c r="F1615" s="1" t="s">
        <v>16</v>
      </c>
      <c r="G1615" s="1" t="s">
        <v>27</v>
      </c>
      <c r="H1615" s="1" t="s">
        <v>33</v>
      </c>
      <c r="I1615" s="1" t="s">
        <v>74</v>
      </c>
      <c r="J1615" s="1">
        <v>229.0</v>
      </c>
      <c r="K1615" s="1">
        <v>65.0</v>
      </c>
      <c r="L1615" s="1">
        <v>698.0</v>
      </c>
    </row>
    <row r="1616">
      <c r="A1616" s="1">
        <v>3314092.0</v>
      </c>
      <c r="B1616" s="1" t="s">
        <v>3492</v>
      </c>
      <c r="C1616" s="1" t="s">
        <v>2930</v>
      </c>
      <c r="D1616" s="1" t="s">
        <v>2945</v>
      </c>
      <c r="E1616" s="1" t="s">
        <v>3493</v>
      </c>
      <c r="F1616" s="1" t="s">
        <v>16</v>
      </c>
      <c r="G1616" s="1" t="s">
        <v>23</v>
      </c>
      <c r="H1616" s="1" t="s">
        <v>18</v>
      </c>
      <c r="I1616" s="1" t="s">
        <v>44</v>
      </c>
      <c r="J1616" s="1">
        <v>57.0</v>
      </c>
      <c r="K1616" s="1">
        <v>21.0</v>
      </c>
      <c r="L1616" s="1">
        <v>140.0</v>
      </c>
    </row>
    <row r="1617">
      <c r="A1617" s="1">
        <v>3316014.0</v>
      </c>
      <c r="B1617" s="1" t="s">
        <v>3494</v>
      </c>
      <c r="C1617" s="1" t="s">
        <v>2930</v>
      </c>
      <c r="D1617" s="1" t="s">
        <v>2951</v>
      </c>
      <c r="E1617" s="1" t="s">
        <v>3495</v>
      </c>
      <c r="F1617" s="1" t="s">
        <v>16</v>
      </c>
      <c r="G1617" s="1" t="s">
        <v>17</v>
      </c>
      <c r="H1617" s="1" t="s">
        <v>28</v>
      </c>
      <c r="I1617" s="1" t="s">
        <v>40</v>
      </c>
      <c r="J1617" s="1">
        <v>222.0</v>
      </c>
      <c r="K1617" s="1">
        <v>68.0</v>
      </c>
      <c r="L1617" s="1">
        <v>298.0</v>
      </c>
    </row>
    <row r="1618">
      <c r="A1618" s="1">
        <v>3302121.0</v>
      </c>
      <c r="B1618" s="1" t="s">
        <v>3496</v>
      </c>
      <c r="C1618" s="1" t="s">
        <v>2930</v>
      </c>
      <c r="D1618" s="1" t="s">
        <v>2937</v>
      </c>
      <c r="E1618" s="1" t="s">
        <v>3497</v>
      </c>
      <c r="F1618" s="1" t="s">
        <v>16</v>
      </c>
      <c r="G1618" s="1" t="s">
        <v>23</v>
      </c>
      <c r="H1618" s="1" t="s">
        <v>18</v>
      </c>
      <c r="I1618" s="1" t="s">
        <v>59</v>
      </c>
      <c r="J1618" s="1">
        <v>97.0</v>
      </c>
      <c r="K1618" s="1">
        <v>31.0</v>
      </c>
      <c r="L1618" s="1">
        <v>47.0</v>
      </c>
    </row>
    <row r="1619">
      <c r="A1619" s="1">
        <v>3306023.0</v>
      </c>
      <c r="B1619" s="1" t="s">
        <v>3498</v>
      </c>
      <c r="C1619" s="1" t="s">
        <v>2930</v>
      </c>
      <c r="D1619" s="1" t="s">
        <v>2942</v>
      </c>
      <c r="E1619" s="1" t="s">
        <v>3499</v>
      </c>
      <c r="F1619" s="1" t="s">
        <v>16</v>
      </c>
      <c r="G1619" s="1" t="s">
        <v>23</v>
      </c>
      <c r="H1619" s="1" t="s">
        <v>18</v>
      </c>
      <c r="I1619" s="1" t="s">
        <v>684</v>
      </c>
      <c r="J1619" s="1">
        <v>34.0</v>
      </c>
      <c r="K1619" s="1">
        <v>29.0</v>
      </c>
      <c r="L1619" s="1">
        <v>124.0</v>
      </c>
    </row>
    <row r="1620">
      <c r="A1620" s="1">
        <v>3303075.0</v>
      </c>
      <c r="B1620" s="1" t="s">
        <v>205</v>
      </c>
      <c r="C1620" s="1" t="s">
        <v>2930</v>
      </c>
      <c r="D1620" s="1" t="s">
        <v>3099</v>
      </c>
      <c r="E1620" s="1" t="s">
        <v>3500</v>
      </c>
      <c r="F1620" s="1" t="s">
        <v>16</v>
      </c>
      <c r="G1620" s="1" t="s">
        <v>17</v>
      </c>
      <c r="H1620" s="1" t="s">
        <v>18</v>
      </c>
      <c r="I1620" s="1" t="s">
        <v>59</v>
      </c>
      <c r="J1620" s="1">
        <v>120.0</v>
      </c>
      <c r="K1620" s="1">
        <v>40.0</v>
      </c>
      <c r="L1620" s="1">
        <v>446.0</v>
      </c>
    </row>
    <row r="1621">
      <c r="A1621" s="1">
        <v>3372191.0</v>
      </c>
      <c r="B1621" s="1" t="s">
        <v>3501</v>
      </c>
      <c r="C1621" s="1" t="s">
        <v>2930</v>
      </c>
      <c r="D1621" s="1" t="s">
        <v>2967</v>
      </c>
      <c r="E1621" s="1" t="s">
        <v>3502</v>
      </c>
      <c r="F1621" s="1" t="s">
        <v>16</v>
      </c>
      <c r="G1621" s="1" t="s">
        <v>17</v>
      </c>
      <c r="H1621" s="1" t="s">
        <v>18</v>
      </c>
      <c r="I1621" s="1" t="s">
        <v>19</v>
      </c>
      <c r="J1621" s="1">
        <v>110.0</v>
      </c>
      <c r="K1621" s="1">
        <v>23.0</v>
      </c>
      <c r="L1621" s="1">
        <v>233.0</v>
      </c>
    </row>
    <row r="1622">
      <c r="A1622" s="1">
        <v>3303097.0</v>
      </c>
      <c r="B1622" s="1" t="s">
        <v>3503</v>
      </c>
      <c r="C1622" s="1" t="s">
        <v>2930</v>
      </c>
      <c r="D1622" s="1" t="s">
        <v>3099</v>
      </c>
      <c r="E1622" s="1" t="s">
        <v>3504</v>
      </c>
      <c r="F1622" s="1" t="s">
        <v>16</v>
      </c>
      <c r="G1622" s="1" t="s">
        <v>17</v>
      </c>
      <c r="H1622" s="1" t="s">
        <v>28</v>
      </c>
      <c r="I1622" s="1" t="s">
        <v>40</v>
      </c>
      <c r="J1622" s="1">
        <v>108.0</v>
      </c>
      <c r="K1622" s="1">
        <v>32.0</v>
      </c>
      <c r="L1622" s="1">
        <v>222.0</v>
      </c>
    </row>
    <row r="1623">
      <c r="A1623" s="1">
        <v>3327044.0</v>
      </c>
      <c r="B1623" s="1" t="s">
        <v>3505</v>
      </c>
      <c r="C1623" s="1" t="s">
        <v>2930</v>
      </c>
      <c r="D1623" s="1" t="s">
        <v>3054</v>
      </c>
      <c r="E1623" s="1" t="s">
        <v>3506</v>
      </c>
      <c r="F1623" s="1" t="s">
        <v>16</v>
      </c>
      <c r="G1623" s="1" t="s">
        <v>17</v>
      </c>
      <c r="H1623" s="1" t="s">
        <v>18</v>
      </c>
      <c r="I1623" s="1" t="s">
        <v>19</v>
      </c>
      <c r="J1623" s="1">
        <v>195.0</v>
      </c>
      <c r="K1623" s="1">
        <v>67.0</v>
      </c>
      <c r="L1623" s="1">
        <v>98.0</v>
      </c>
    </row>
    <row r="1624">
      <c r="A1624" s="1">
        <v>3316074.0</v>
      </c>
      <c r="B1624" s="1" t="s">
        <v>3507</v>
      </c>
      <c r="C1624" s="1" t="s">
        <v>2930</v>
      </c>
      <c r="D1624" s="1" t="s">
        <v>2951</v>
      </c>
      <c r="E1624" s="1" t="s">
        <v>3508</v>
      </c>
      <c r="F1624" s="1" t="s">
        <v>55</v>
      </c>
      <c r="G1624" s="1" t="s">
        <v>17</v>
      </c>
      <c r="H1624" s="1" t="s">
        <v>18</v>
      </c>
      <c r="I1624" s="1" t="s">
        <v>44</v>
      </c>
      <c r="J1624" s="1">
        <v>33.0</v>
      </c>
      <c r="K1624" s="1">
        <v>20.0</v>
      </c>
      <c r="L1624" s="1">
        <v>0.0</v>
      </c>
    </row>
    <row r="1625">
      <c r="A1625" s="1">
        <v>3374388.0</v>
      </c>
      <c r="B1625" s="1" t="s">
        <v>3509</v>
      </c>
      <c r="C1625" s="1" t="s">
        <v>2930</v>
      </c>
      <c r="D1625" s="1" t="s">
        <v>2948</v>
      </c>
      <c r="E1625" s="1" t="s">
        <v>3510</v>
      </c>
      <c r="F1625" s="1" t="s">
        <v>16</v>
      </c>
      <c r="G1625" s="1" t="s">
        <v>17</v>
      </c>
      <c r="H1625" s="1" t="s">
        <v>18</v>
      </c>
      <c r="I1625" s="1" t="s">
        <v>19</v>
      </c>
      <c r="J1625" s="1">
        <v>110.0</v>
      </c>
      <c r="K1625" s="1">
        <v>52.0</v>
      </c>
      <c r="L1625" s="1">
        <v>0.0</v>
      </c>
    </row>
    <row r="1626">
      <c r="A1626" s="1">
        <v>3320021.0</v>
      </c>
      <c r="B1626" s="1" t="s">
        <v>3511</v>
      </c>
      <c r="C1626" s="1" t="s">
        <v>2930</v>
      </c>
      <c r="D1626" s="1" t="s">
        <v>3104</v>
      </c>
      <c r="E1626" s="1" t="s">
        <v>3512</v>
      </c>
      <c r="F1626" s="1" t="s">
        <v>16</v>
      </c>
      <c r="G1626" s="1" t="s">
        <v>17</v>
      </c>
      <c r="H1626" s="1" t="s">
        <v>28</v>
      </c>
      <c r="I1626" s="1" t="s">
        <v>139</v>
      </c>
      <c r="J1626" s="1">
        <v>181.0</v>
      </c>
      <c r="K1626" s="1">
        <v>24.0</v>
      </c>
      <c r="L1626" s="1">
        <v>238.0</v>
      </c>
    </row>
    <row r="1627">
      <c r="A1627" s="1">
        <v>3308034.0</v>
      </c>
      <c r="B1627" s="1" t="s">
        <v>3513</v>
      </c>
      <c r="C1627" s="1" t="s">
        <v>2930</v>
      </c>
      <c r="D1627" s="1" t="s">
        <v>3107</v>
      </c>
      <c r="E1627" s="1" t="s">
        <v>3514</v>
      </c>
      <c r="F1627" s="1" t="s">
        <v>16</v>
      </c>
      <c r="G1627" s="1" t="s">
        <v>23</v>
      </c>
      <c r="H1627" s="1" t="s">
        <v>18</v>
      </c>
      <c r="I1627" s="1" t="s">
        <v>40</v>
      </c>
      <c r="J1627" s="1">
        <v>50.0</v>
      </c>
      <c r="K1627" s="1">
        <v>16.0</v>
      </c>
      <c r="L1627" s="1">
        <v>0.0</v>
      </c>
    </row>
    <row r="1628">
      <c r="A1628" s="1">
        <v>3309015.0</v>
      </c>
      <c r="B1628" s="1" t="s">
        <v>3515</v>
      </c>
      <c r="C1628" s="1" t="s">
        <v>2930</v>
      </c>
      <c r="D1628" s="1" t="s">
        <v>2973</v>
      </c>
      <c r="E1628" s="1" t="s">
        <v>3516</v>
      </c>
      <c r="F1628" s="1" t="s">
        <v>16</v>
      </c>
      <c r="G1628" s="1" t="s">
        <v>27</v>
      </c>
      <c r="H1628" s="1" t="s">
        <v>28</v>
      </c>
      <c r="I1628" s="1" t="s">
        <v>40</v>
      </c>
      <c r="J1628" s="1">
        <v>260.0</v>
      </c>
      <c r="K1628" s="1">
        <v>88.0</v>
      </c>
      <c r="L1628" s="1">
        <v>689.0</v>
      </c>
    </row>
    <row r="1629">
      <c r="A1629" s="1">
        <v>3374134.0</v>
      </c>
      <c r="B1629" s="1" t="s">
        <v>3517</v>
      </c>
      <c r="C1629" s="1" t="s">
        <v>2930</v>
      </c>
      <c r="D1629" s="1" t="s">
        <v>2948</v>
      </c>
      <c r="E1629" s="1" t="s">
        <v>3518</v>
      </c>
      <c r="F1629" s="1" t="s">
        <v>16</v>
      </c>
      <c r="G1629" s="1" t="s">
        <v>27</v>
      </c>
      <c r="H1629" s="1" t="s">
        <v>28</v>
      </c>
      <c r="I1629" s="1" t="s">
        <v>139</v>
      </c>
      <c r="J1629" s="1">
        <v>357.0</v>
      </c>
      <c r="K1629" s="1">
        <v>98.0</v>
      </c>
      <c r="L1629" s="1">
        <v>1193.0</v>
      </c>
    </row>
    <row r="1630">
      <c r="A1630" s="1">
        <v>3322034.0</v>
      </c>
      <c r="B1630" s="1" t="s">
        <v>3519</v>
      </c>
      <c r="C1630" s="1" t="s">
        <v>2930</v>
      </c>
      <c r="D1630" s="1" t="s">
        <v>3064</v>
      </c>
      <c r="E1630" s="1" t="s">
        <v>3520</v>
      </c>
      <c r="F1630" s="1" t="s">
        <v>16</v>
      </c>
      <c r="G1630" s="1" t="s">
        <v>17</v>
      </c>
      <c r="H1630" s="1" t="s">
        <v>18</v>
      </c>
      <c r="I1630" s="1" t="s">
        <v>44</v>
      </c>
      <c r="J1630" s="1">
        <v>199.0</v>
      </c>
      <c r="K1630" s="1">
        <v>73.0</v>
      </c>
      <c r="L1630" s="1">
        <v>911.0</v>
      </c>
    </row>
    <row r="1631">
      <c r="A1631" s="1">
        <v>3308022.0</v>
      </c>
      <c r="B1631" s="1" t="s">
        <v>3521</v>
      </c>
      <c r="C1631" s="1" t="s">
        <v>2930</v>
      </c>
      <c r="D1631" s="1" t="s">
        <v>3107</v>
      </c>
      <c r="E1631" s="1" t="s">
        <v>3522</v>
      </c>
      <c r="F1631" s="1" t="s">
        <v>16</v>
      </c>
      <c r="G1631" s="1" t="s">
        <v>17</v>
      </c>
      <c r="H1631" s="1" t="s">
        <v>28</v>
      </c>
      <c r="I1631" s="1" t="s">
        <v>40</v>
      </c>
      <c r="J1631" s="1">
        <v>200.0</v>
      </c>
      <c r="K1631" s="1">
        <v>36.0</v>
      </c>
      <c r="L1631" s="1">
        <v>391.0</v>
      </c>
    </row>
    <row r="1632">
      <c r="A1632" s="1">
        <v>3321047.0</v>
      </c>
      <c r="B1632" s="1" t="s">
        <v>3523</v>
      </c>
      <c r="C1632" s="1" t="s">
        <v>2930</v>
      </c>
      <c r="D1632" s="1" t="s">
        <v>2964</v>
      </c>
      <c r="E1632" s="1" t="s">
        <v>3524</v>
      </c>
      <c r="F1632" s="1" t="s">
        <v>16</v>
      </c>
      <c r="G1632" s="1" t="s">
        <v>17</v>
      </c>
      <c r="H1632" s="1" t="s">
        <v>18</v>
      </c>
      <c r="I1632" s="1" t="s">
        <v>19</v>
      </c>
      <c r="J1632" s="1">
        <v>105.0</v>
      </c>
      <c r="K1632" s="1">
        <v>44.0</v>
      </c>
      <c r="L1632" s="1">
        <v>0.0</v>
      </c>
    </row>
    <row r="1633">
      <c r="A1633" s="1">
        <v>3326038.0</v>
      </c>
      <c r="B1633" s="1" t="s">
        <v>3525</v>
      </c>
      <c r="C1633" s="1" t="s">
        <v>2930</v>
      </c>
      <c r="D1633" s="1" t="s">
        <v>3033</v>
      </c>
      <c r="E1633" s="1" t="s">
        <v>3526</v>
      </c>
      <c r="F1633" s="1" t="s">
        <v>16</v>
      </c>
      <c r="G1633" s="1" t="s">
        <v>17</v>
      </c>
      <c r="H1633" s="1" t="s">
        <v>28</v>
      </c>
      <c r="I1633" s="1" t="s">
        <v>40</v>
      </c>
      <c r="J1633" s="1">
        <v>275.0</v>
      </c>
      <c r="K1633" s="1">
        <v>84.0</v>
      </c>
      <c r="L1633" s="1">
        <v>303.0</v>
      </c>
    </row>
    <row r="1634">
      <c r="A1634" s="1">
        <v>3310419.0</v>
      </c>
      <c r="B1634" s="1" t="s">
        <v>3527</v>
      </c>
      <c r="C1634" s="1" t="s">
        <v>2930</v>
      </c>
      <c r="D1634" s="1" t="s">
        <v>2989</v>
      </c>
      <c r="E1634" s="1" t="s">
        <v>3528</v>
      </c>
      <c r="F1634" s="1" t="s">
        <v>16</v>
      </c>
      <c r="G1634" s="1" t="s">
        <v>23</v>
      </c>
      <c r="H1634" s="1" t="s">
        <v>18</v>
      </c>
      <c r="I1634" s="1" t="s">
        <v>44</v>
      </c>
      <c r="J1634" s="1">
        <v>75.0</v>
      </c>
      <c r="K1634" s="1">
        <v>58.0</v>
      </c>
      <c r="L1634" s="1">
        <v>117.0</v>
      </c>
    </row>
    <row r="1635">
      <c r="A1635" s="1">
        <v>3312284.0</v>
      </c>
      <c r="B1635" s="1" t="s">
        <v>3529</v>
      </c>
      <c r="C1635" s="1" t="s">
        <v>2930</v>
      </c>
      <c r="D1635" s="1" t="s">
        <v>3118</v>
      </c>
      <c r="E1635" s="1" t="s">
        <v>3530</v>
      </c>
      <c r="F1635" s="1" t="s">
        <v>16</v>
      </c>
      <c r="G1635" s="1" t="s">
        <v>23</v>
      </c>
      <c r="H1635" s="1" t="s">
        <v>18</v>
      </c>
      <c r="I1635" s="1" t="s">
        <v>684</v>
      </c>
      <c r="J1635" s="1">
        <v>50.0</v>
      </c>
      <c r="K1635" s="1">
        <v>44.0</v>
      </c>
      <c r="L1635" s="1">
        <v>155.0</v>
      </c>
    </row>
    <row r="1636">
      <c r="A1636" s="1">
        <v>3376034.0</v>
      </c>
      <c r="B1636" s="1" t="s">
        <v>3531</v>
      </c>
      <c r="C1636" s="1" t="s">
        <v>2930</v>
      </c>
      <c r="D1636" s="1" t="s">
        <v>3038</v>
      </c>
      <c r="E1636" s="1" t="s">
        <v>3532</v>
      </c>
      <c r="F1636" s="1" t="s">
        <v>16</v>
      </c>
      <c r="G1636" s="1" t="s">
        <v>23</v>
      </c>
      <c r="H1636" s="1" t="s">
        <v>18</v>
      </c>
      <c r="I1636" s="1" t="s">
        <v>74</v>
      </c>
      <c r="J1636" s="1">
        <v>50.0</v>
      </c>
      <c r="K1636" s="1">
        <v>41.0</v>
      </c>
      <c r="L1636" s="1">
        <v>91.0</v>
      </c>
    </row>
    <row r="1637">
      <c r="A1637" s="1">
        <v>3302063.0</v>
      </c>
      <c r="B1637" s="1" t="s">
        <v>3533</v>
      </c>
      <c r="C1637" s="1" t="s">
        <v>2930</v>
      </c>
      <c r="D1637" s="1" t="s">
        <v>2937</v>
      </c>
      <c r="E1637" s="1" t="s">
        <v>3534</v>
      </c>
      <c r="F1637" s="1" t="s">
        <v>255</v>
      </c>
      <c r="G1637" s="1" t="s">
        <v>17</v>
      </c>
      <c r="H1637" s="1" t="s">
        <v>18</v>
      </c>
      <c r="I1637" s="1" t="s">
        <v>19</v>
      </c>
      <c r="J1637" s="1">
        <v>30.0</v>
      </c>
      <c r="K1637" s="1">
        <v>25.0</v>
      </c>
      <c r="L1637" s="1">
        <v>68.0</v>
      </c>
    </row>
    <row r="1638">
      <c r="A1638" s="1">
        <v>3302226.0</v>
      </c>
      <c r="B1638" s="1" t="s">
        <v>3535</v>
      </c>
      <c r="C1638" s="1" t="s">
        <v>2930</v>
      </c>
      <c r="D1638" s="1" t="s">
        <v>2937</v>
      </c>
      <c r="E1638" s="1" t="s">
        <v>3536</v>
      </c>
      <c r="F1638" s="1" t="s">
        <v>55</v>
      </c>
      <c r="G1638" s="1" t="s">
        <v>17</v>
      </c>
      <c r="H1638" s="1" t="s">
        <v>18</v>
      </c>
      <c r="I1638" s="1" t="s">
        <v>59</v>
      </c>
      <c r="J1638" s="1">
        <v>30.0</v>
      </c>
      <c r="K1638" s="1">
        <v>17.0</v>
      </c>
      <c r="L1638" s="1">
        <v>82.0</v>
      </c>
    </row>
    <row r="1639">
      <c r="A1639" s="1">
        <v>3310426.0</v>
      </c>
      <c r="B1639" s="1" t="s">
        <v>3537</v>
      </c>
      <c r="C1639" s="1" t="s">
        <v>2930</v>
      </c>
      <c r="D1639" s="1" t="s">
        <v>2989</v>
      </c>
      <c r="E1639" s="1" t="s">
        <v>3538</v>
      </c>
      <c r="F1639" s="1" t="s">
        <v>16</v>
      </c>
      <c r="G1639" s="1" t="s">
        <v>23</v>
      </c>
      <c r="H1639" s="1" t="s">
        <v>18</v>
      </c>
      <c r="I1639" s="1" t="s">
        <v>684</v>
      </c>
      <c r="J1639" s="1">
        <v>66.0</v>
      </c>
      <c r="K1639" s="1">
        <v>39.0</v>
      </c>
      <c r="L1639" s="1">
        <v>0.0</v>
      </c>
    </row>
    <row r="1640">
      <c r="A1640" s="1">
        <v>3314056.0</v>
      </c>
      <c r="B1640" s="1" t="s">
        <v>3539</v>
      </c>
      <c r="C1640" s="1" t="s">
        <v>2930</v>
      </c>
      <c r="D1640" s="1" t="s">
        <v>2945</v>
      </c>
      <c r="E1640" s="1" t="s">
        <v>3540</v>
      </c>
      <c r="F1640" s="1" t="s">
        <v>16</v>
      </c>
      <c r="G1640" s="1" t="s">
        <v>17</v>
      </c>
      <c r="H1640" s="1" t="s">
        <v>18</v>
      </c>
      <c r="I1640" s="1" t="s">
        <v>684</v>
      </c>
      <c r="J1640" s="1">
        <v>115.0</v>
      </c>
      <c r="K1640" s="1">
        <v>40.0</v>
      </c>
      <c r="L1640" s="1">
        <v>354.0</v>
      </c>
    </row>
    <row r="1641">
      <c r="A1641" s="1">
        <v>3374367.0</v>
      </c>
      <c r="B1641" s="1" t="s">
        <v>3541</v>
      </c>
      <c r="C1641" s="1" t="s">
        <v>2930</v>
      </c>
      <c r="D1641" s="1" t="s">
        <v>2948</v>
      </c>
      <c r="E1641" s="1" t="s">
        <v>3542</v>
      </c>
      <c r="F1641" s="1" t="s">
        <v>16</v>
      </c>
      <c r="G1641" s="1" t="s">
        <v>17</v>
      </c>
      <c r="H1641" s="1" t="s">
        <v>18</v>
      </c>
      <c r="I1641" s="1" t="s">
        <v>34</v>
      </c>
      <c r="J1641" s="1">
        <v>127.0</v>
      </c>
      <c r="K1641" s="1">
        <v>122.0</v>
      </c>
      <c r="L1641" s="1">
        <v>385.0</v>
      </c>
    </row>
    <row r="1642">
      <c r="A1642" s="1">
        <v>3302165.0</v>
      </c>
      <c r="B1642" s="1" t="s">
        <v>3543</v>
      </c>
      <c r="C1642" s="1" t="s">
        <v>2930</v>
      </c>
      <c r="D1642" s="1" t="s">
        <v>2937</v>
      </c>
      <c r="E1642" s="1" t="s">
        <v>3544</v>
      </c>
      <c r="F1642" s="1" t="s">
        <v>16</v>
      </c>
      <c r="G1642" s="1" t="s">
        <v>17</v>
      </c>
      <c r="H1642" s="1" t="s">
        <v>18</v>
      </c>
      <c r="I1642" s="1" t="s">
        <v>59</v>
      </c>
      <c r="J1642" s="1">
        <v>117.0</v>
      </c>
      <c r="K1642" s="1">
        <v>67.0</v>
      </c>
      <c r="L1642" s="1">
        <v>379.0</v>
      </c>
    </row>
    <row r="1643">
      <c r="A1643" s="1">
        <v>3372041.0</v>
      </c>
      <c r="B1643" s="1" t="s">
        <v>3545</v>
      </c>
      <c r="C1643" s="1" t="s">
        <v>2930</v>
      </c>
      <c r="D1643" s="1" t="s">
        <v>2967</v>
      </c>
      <c r="E1643" s="1" t="s">
        <v>3546</v>
      </c>
      <c r="F1643" s="1" t="s">
        <v>16</v>
      </c>
      <c r="G1643" s="1" t="s">
        <v>17</v>
      </c>
      <c r="H1643" s="1" t="s">
        <v>18</v>
      </c>
      <c r="I1643" s="1" t="s">
        <v>59</v>
      </c>
      <c r="J1643" s="1">
        <v>118.0</v>
      </c>
      <c r="K1643" s="1">
        <v>51.0</v>
      </c>
      <c r="L1643" s="1">
        <v>292.0</v>
      </c>
    </row>
    <row r="1644">
      <c r="A1644" s="1">
        <v>3313054.0</v>
      </c>
      <c r="B1644" s="1" t="s">
        <v>3547</v>
      </c>
      <c r="C1644" s="1" t="s">
        <v>2930</v>
      </c>
      <c r="D1644" s="1" t="s">
        <v>2931</v>
      </c>
      <c r="E1644" s="1" t="s">
        <v>3548</v>
      </c>
      <c r="F1644" s="1" t="s">
        <v>16</v>
      </c>
      <c r="G1644" s="1" t="s">
        <v>23</v>
      </c>
      <c r="H1644" s="1" t="s">
        <v>18</v>
      </c>
      <c r="I1644" s="1" t="s">
        <v>19</v>
      </c>
      <c r="J1644" s="1">
        <v>75.0</v>
      </c>
      <c r="K1644" s="1">
        <v>21.0</v>
      </c>
      <c r="L1644" s="1">
        <v>93.0</v>
      </c>
    </row>
    <row r="1645">
      <c r="A1645" s="1">
        <v>3308018.0</v>
      </c>
      <c r="B1645" s="1" t="s">
        <v>3549</v>
      </c>
      <c r="C1645" s="1" t="s">
        <v>2930</v>
      </c>
      <c r="D1645" s="1" t="s">
        <v>3107</v>
      </c>
      <c r="E1645" s="1" t="s">
        <v>3550</v>
      </c>
      <c r="F1645" s="1" t="s">
        <v>16</v>
      </c>
      <c r="G1645" s="1" t="s">
        <v>23</v>
      </c>
      <c r="H1645" s="1" t="s">
        <v>18</v>
      </c>
      <c r="I1645" s="1" t="s">
        <v>44</v>
      </c>
      <c r="J1645" s="1">
        <v>50.0</v>
      </c>
      <c r="K1645" s="1">
        <v>9.0</v>
      </c>
      <c r="L1645" s="1">
        <v>25.0</v>
      </c>
    </row>
    <row r="1646">
      <c r="A1646" s="1">
        <v>3312310.0</v>
      </c>
      <c r="B1646" s="1" t="s">
        <v>3551</v>
      </c>
      <c r="C1646" s="1" t="s">
        <v>2930</v>
      </c>
      <c r="D1646" s="1" t="s">
        <v>3118</v>
      </c>
      <c r="E1646" s="1" t="s">
        <v>3552</v>
      </c>
      <c r="F1646" s="1" t="s">
        <v>16</v>
      </c>
      <c r="G1646" s="1" t="s">
        <v>23</v>
      </c>
      <c r="H1646" s="1" t="s">
        <v>18</v>
      </c>
      <c r="I1646" s="1" t="s">
        <v>684</v>
      </c>
      <c r="J1646" s="1">
        <v>53.0</v>
      </c>
      <c r="K1646" s="1">
        <v>28.0</v>
      </c>
      <c r="L1646" s="1">
        <v>17.0</v>
      </c>
    </row>
    <row r="1647">
      <c r="A1647" s="1">
        <v>3321036.0</v>
      </c>
      <c r="B1647" s="1" t="s">
        <v>3553</v>
      </c>
      <c r="C1647" s="1" t="s">
        <v>2930</v>
      </c>
      <c r="D1647" s="1" t="s">
        <v>2964</v>
      </c>
      <c r="E1647" s="1" t="s">
        <v>3554</v>
      </c>
      <c r="F1647" s="1" t="s">
        <v>16</v>
      </c>
      <c r="G1647" s="1" t="s">
        <v>23</v>
      </c>
      <c r="H1647" s="1" t="s">
        <v>18</v>
      </c>
      <c r="I1647" s="1" t="s">
        <v>684</v>
      </c>
      <c r="J1647" s="1">
        <v>51.0</v>
      </c>
      <c r="K1647" s="1">
        <v>21.0</v>
      </c>
      <c r="L1647" s="1">
        <v>30.0</v>
      </c>
    </row>
    <row r="1648">
      <c r="A1648" s="1">
        <v>3309149.0</v>
      </c>
      <c r="B1648" s="1" t="s">
        <v>3555</v>
      </c>
      <c r="C1648" s="1" t="s">
        <v>2930</v>
      </c>
      <c r="D1648" s="1" t="s">
        <v>2973</v>
      </c>
      <c r="E1648" s="1" t="s">
        <v>3556</v>
      </c>
      <c r="F1648" s="1" t="s">
        <v>16</v>
      </c>
      <c r="G1648" s="1" t="s">
        <v>23</v>
      </c>
      <c r="H1648" s="1" t="s">
        <v>18</v>
      </c>
      <c r="I1648" s="1" t="s">
        <v>684</v>
      </c>
      <c r="J1648" s="1">
        <v>50.0</v>
      </c>
      <c r="K1648" s="1">
        <v>22.0</v>
      </c>
      <c r="L1648" s="1">
        <v>0.0</v>
      </c>
    </row>
    <row r="1649">
      <c r="A1649" s="1">
        <v>3318086.0</v>
      </c>
      <c r="B1649" s="1" t="s">
        <v>3557</v>
      </c>
      <c r="C1649" s="1" t="s">
        <v>2930</v>
      </c>
      <c r="D1649" s="1" t="s">
        <v>3049</v>
      </c>
      <c r="E1649" s="1" t="s">
        <v>3558</v>
      </c>
      <c r="F1649" s="1" t="s">
        <v>16</v>
      </c>
      <c r="G1649" s="1" t="s">
        <v>17</v>
      </c>
      <c r="H1649" s="1" t="s">
        <v>28</v>
      </c>
      <c r="I1649" s="1" t="s">
        <v>40</v>
      </c>
      <c r="J1649" s="1">
        <v>111.0</v>
      </c>
      <c r="K1649" s="1">
        <v>27.0</v>
      </c>
      <c r="L1649" s="1">
        <v>155.0</v>
      </c>
    </row>
    <row r="1650">
      <c r="A1650" s="1">
        <v>3306012.0</v>
      </c>
      <c r="B1650" s="1" t="s">
        <v>3559</v>
      </c>
      <c r="C1650" s="1" t="s">
        <v>2930</v>
      </c>
      <c r="D1650" s="1" t="s">
        <v>2942</v>
      </c>
      <c r="E1650" s="1" t="s">
        <v>3560</v>
      </c>
      <c r="F1650" s="1" t="s">
        <v>16</v>
      </c>
      <c r="G1650" s="1" t="s">
        <v>27</v>
      </c>
      <c r="H1650" s="1" t="s">
        <v>28</v>
      </c>
      <c r="I1650" s="1" t="s">
        <v>40</v>
      </c>
      <c r="J1650" s="1">
        <v>288.0</v>
      </c>
      <c r="K1650" s="1">
        <v>149.0</v>
      </c>
      <c r="L1650" s="1">
        <v>691.0</v>
      </c>
    </row>
    <row r="1651">
      <c r="A1651" s="1">
        <v>3374032.0</v>
      </c>
      <c r="B1651" s="1" t="s">
        <v>3561</v>
      </c>
      <c r="C1651" s="1" t="s">
        <v>2930</v>
      </c>
      <c r="D1651" s="1" t="s">
        <v>2948</v>
      </c>
      <c r="E1651" s="1" t="s">
        <v>3562</v>
      </c>
      <c r="F1651" s="1" t="s">
        <v>16</v>
      </c>
      <c r="G1651" s="1" t="s">
        <v>17</v>
      </c>
      <c r="H1651" s="1" t="s">
        <v>18</v>
      </c>
      <c r="I1651" s="1" t="s">
        <v>59</v>
      </c>
      <c r="J1651" s="1">
        <v>101.0</v>
      </c>
      <c r="K1651" s="1">
        <v>53.0</v>
      </c>
      <c r="L1651" s="1">
        <v>162.0</v>
      </c>
    </row>
    <row r="1652">
      <c r="A1652" s="1">
        <v>3323024.0</v>
      </c>
      <c r="B1652" s="1" t="s">
        <v>3563</v>
      </c>
      <c r="C1652" s="1" t="s">
        <v>2930</v>
      </c>
      <c r="D1652" s="1" t="s">
        <v>3146</v>
      </c>
      <c r="E1652" s="1" t="s">
        <v>3564</v>
      </c>
      <c r="F1652" s="1" t="s">
        <v>16</v>
      </c>
      <c r="G1652" s="1" t="s">
        <v>17</v>
      </c>
      <c r="H1652" s="1" t="s">
        <v>18</v>
      </c>
      <c r="I1652" s="1" t="s">
        <v>258</v>
      </c>
      <c r="J1652" s="1">
        <v>159.0</v>
      </c>
      <c r="K1652" s="1">
        <v>35.0</v>
      </c>
      <c r="L1652" s="1">
        <v>515.0</v>
      </c>
    </row>
    <row r="1653">
      <c r="A1653" s="1">
        <v>3305120.0</v>
      </c>
      <c r="B1653" s="1" t="s">
        <v>3565</v>
      </c>
      <c r="C1653" s="1" t="s">
        <v>2930</v>
      </c>
      <c r="D1653" s="1" t="s">
        <v>2958</v>
      </c>
      <c r="E1653" s="1" t="s">
        <v>3566</v>
      </c>
      <c r="F1653" s="1" t="s">
        <v>16</v>
      </c>
      <c r="G1653" s="1" t="s">
        <v>17</v>
      </c>
      <c r="H1653" s="1" t="s">
        <v>28</v>
      </c>
      <c r="I1653" s="1" t="s">
        <v>40</v>
      </c>
      <c r="J1653" s="1">
        <v>114.0</v>
      </c>
      <c r="K1653" s="1">
        <v>36.0</v>
      </c>
      <c r="L1653" s="1">
        <v>413.0</v>
      </c>
    </row>
    <row r="1654">
      <c r="A1654" s="1">
        <v>3328094.0</v>
      </c>
      <c r="B1654" s="1" t="s">
        <v>3567</v>
      </c>
      <c r="C1654" s="1" t="s">
        <v>2930</v>
      </c>
      <c r="D1654" s="1" t="s">
        <v>3038</v>
      </c>
      <c r="E1654" s="1" t="s">
        <v>3568</v>
      </c>
      <c r="F1654" s="1" t="s">
        <v>16</v>
      </c>
      <c r="G1654" s="1" t="s">
        <v>17</v>
      </c>
      <c r="H1654" s="1" t="s">
        <v>18</v>
      </c>
      <c r="I1654" s="1" t="s">
        <v>44</v>
      </c>
      <c r="J1654" s="1">
        <v>110.0</v>
      </c>
      <c r="K1654" s="1">
        <v>33.0</v>
      </c>
      <c r="L1654" s="1">
        <v>0.0</v>
      </c>
    </row>
    <row r="1655">
      <c r="A1655" s="1">
        <v>3310384.0</v>
      </c>
      <c r="B1655" s="1" t="s">
        <v>3569</v>
      </c>
      <c r="C1655" s="1" t="s">
        <v>2930</v>
      </c>
      <c r="D1655" s="1" t="s">
        <v>2989</v>
      </c>
      <c r="E1655" s="1" t="s">
        <v>3570</v>
      </c>
      <c r="F1655" s="1" t="s">
        <v>16</v>
      </c>
      <c r="G1655" s="1" t="s">
        <v>27</v>
      </c>
      <c r="H1655" s="1" t="s">
        <v>18</v>
      </c>
      <c r="I1655" s="1" t="s">
        <v>684</v>
      </c>
      <c r="J1655" s="1">
        <v>272.0</v>
      </c>
      <c r="K1655" s="1">
        <v>123.0</v>
      </c>
      <c r="L1655" s="1">
        <v>742.0</v>
      </c>
    </row>
    <row r="1656">
      <c r="A1656" s="1">
        <v>3374353.0</v>
      </c>
      <c r="B1656" s="1" t="s">
        <v>3571</v>
      </c>
      <c r="C1656" s="1" t="s">
        <v>2930</v>
      </c>
      <c r="D1656" s="1" t="s">
        <v>2948</v>
      </c>
      <c r="E1656" s="1" t="s">
        <v>3572</v>
      </c>
      <c r="F1656" s="1" t="s">
        <v>55</v>
      </c>
      <c r="G1656" s="1" t="s">
        <v>17</v>
      </c>
      <c r="H1656" s="1" t="s">
        <v>18</v>
      </c>
      <c r="I1656" s="1" t="s">
        <v>19</v>
      </c>
      <c r="J1656" s="1">
        <v>25.0</v>
      </c>
      <c r="K1656" s="1">
        <v>13.0</v>
      </c>
      <c r="L1656" s="1">
        <v>22.0</v>
      </c>
    </row>
    <row r="1657">
      <c r="A1657" s="1">
        <v>3375072.0</v>
      </c>
      <c r="B1657" s="1" t="s">
        <v>3573</v>
      </c>
      <c r="C1657" s="1" t="s">
        <v>2930</v>
      </c>
      <c r="D1657" s="1" t="s">
        <v>2986</v>
      </c>
      <c r="E1657" s="1" t="s">
        <v>3574</v>
      </c>
      <c r="F1657" s="1" t="s">
        <v>16</v>
      </c>
      <c r="G1657" s="1" t="s">
        <v>23</v>
      </c>
      <c r="H1657" s="1" t="s">
        <v>18</v>
      </c>
      <c r="I1657" s="1" t="s">
        <v>19</v>
      </c>
      <c r="J1657" s="1">
        <v>59.0</v>
      </c>
      <c r="K1657" s="1">
        <v>30.0</v>
      </c>
      <c r="L1657" s="1">
        <v>165.0</v>
      </c>
    </row>
    <row r="1658">
      <c r="A1658" s="1">
        <v>3301112.0</v>
      </c>
      <c r="B1658" s="1" t="s">
        <v>3575</v>
      </c>
      <c r="C1658" s="1" t="s">
        <v>2930</v>
      </c>
      <c r="D1658" s="1" t="s">
        <v>2996</v>
      </c>
      <c r="E1658" s="1" t="s">
        <v>3576</v>
      </c>
      <c r="F1658" s="1" t="s">
        <v>16</v>
      </c>
      <c r="G1658" s="1" t="s">
        <v>17</v>
      </c>
      <c r="H1658" s="1" t="s">
        <v>18</v>
      </c>
      <c r="I1658" s="1" t="s">
        <v>19</v>
      </c>
      <c r="J1658" s="1">
        <v>106.0</v>
      </c>
      <c r="K1658" s="1">
        <v>36.0</v>
      </c>
      <c r="L1658" s="1">
        <v>96.0</v>
      </c>
    </row>
    <row r="1659">
      <c r="A1659" s="1">
        <v>3313067.0</v>
      </c>
      <c r="B1659" s="1" t="s">
        <v>3577</v>
      </c>
      <c r="C1659" s="1" t="s">
        <v>2930</v>
      </c>
      <c r="D1659" s="1" t="s">
        <v>2931</v>
      </c>
      <c r="E1659" s="1" t="s">
        <v>3578</v>
      </c>
      <c r="F1659" s="1" t="s">
        <v>16</v>
      </c>
      <c r="G1659" s="1" t="s">
        <v>17</v>
      </c>
      <c r="H1659" s="1" t="s">
        <v>18</v>
      </c>
      <c r="I1659" s="1" t="s">
        <v>19</v>
      </c>
      <c r="J1659" s="1">
        <v>113.0</v>
      </c>
      <c r="K1659" s="1">
        <v>41.0</v>
      </c>
      <c r="L1659" s="1">
        <v>0.0</v>
      </c>
    </row>
    <row r="1660">
      <c r="A1660" s="1">
        <v>3328055.0</v>
      </c>
      <c r="B1660" s="1" t="s">
        <v>3579</v>
      </c>
      <c r="C1660" s="1" t="s">
        <v>2930</v>
      </c>
      <c r="D1660" s="1" t="s">
        <v>3038</v>
      </c>
      <c r="E1660" s="1" t="s">
        <v>3580</v>
      </c>
      <c r="F1660" s="1" t="s">
        <v>16</v>
      </c>
      <c r="G1660" s="1" t="s">
        <v>17</v>
      </c>
      <c r="H1660" s="1" t="s">
        <v>18</v>
      </c>
      <c r="I1660" s="1" t="s">
        <v>59</v>
      </c>
      <c r="J1660" s="1">
        <v>190.0</v>
      </c>
      <c r="K1660" s="1">
        <v>42.0</v>
      </c>
      <c r="L1660" s="1">
        <v>428.0</v>
      </c>
    </row>
    <row r="1661">
      <c r="A1661" s="1">
        <v>3306106.0</v>
      </c>
      <c r="B1661" s="1" t="s">
        <v>3581</v>
      </c>
      <c r="C1661" s="1" t="s">
        <v>2930</v>
      </c>
      <c r="D1661" s="1" t="s">
        <v>2942</v>
      </c>
      <c r="E1661" s="1" t="s">
        <v>3582</v>
      </c>
      <c r="F1661" s="1" t="s">
        <v>16</v>
      </c>
      <c r="G1661" s="1" t="s">
        <v>23</v>
      </c>
      <c r="H1661" s="1" t="s">
        <v>18</v>
      </c>
      <c r="I1661" s="1" t="s">
        <v>44</v>
      </c>
      <c r="J1661" s="1">
        <v>50.0</v>
      </c>
      <c r="K1661" s="1">
        <v>24.0</v>
      </c>
      <c r="L1661" s="1">
        <v>32.0</v>
      </c>
    </row>
    <row r="1662">
      <c r="A1662" s="1">
        <v>3302015.0</v>
      </c>
      <c r="B1662" s="1" t="s">
        <v>3583</v>
      </c>
      <c r="C1662" s="1" t="s">
        <v>2930</v>
      </c>
      <c r="D1662" s="1" t="s">
        <v>2937</v>
      </c>
      <c r="E1662" s="1" t="s">
        <v>3584</v>
      </c>
      <c r="F1662" s="1" t="s">
        <v>16</v>
      </c>
      <c r="G1662" s="1" t="s">
        <v>27</v>
      </c>
      <c r="H1662" s="1" t="s">
        <v>28</v>
      </c>
      <c r="I1662" s="1" t="s">
        <v>40</v>
      </c>
      <c r="J1662" s="1">
        <v>412.0</v>
      </c>
      <c r="K1662" s="1">
        <v>111.0</v>
      </c>
      <c r="L1662" s="1">
        <v>1146.0</v>
      </c>
    </row>
    <row r="1663">
      <c r="A1663" s="1">
        <v>3371084.0</v>
      </c>
      <c r="B1663" s="1" t="s">
        <v>3585</v>
      </c>
      <c r="C1663" s="1" t="s">
        <v>2930</v>
      </c>
      <c r="D1663" s="1" t="s">
        <v>2939</v>
      </c>
      <c r="E1663" s="1" t="s">
        <v>3586</v>
      </c>
      <c r="F1663" s="1" t="s">
        <v>16</v>
      </c>
      <c r="G1663" s="1" t="s">
        <v>23</v>
      </c>
      <c r="H1663" s="1" t="s">
        <v>18</v>
      </c>
      <c r="I1663" s="1" t="s">
        <v>59</v>
      </c>
      <c r="J1663" s="1">
        <v>55.0</v>
      </c>
      <c r="K1663" s="1">
        <v>23.0</v>
      </c>
      <c r="L1663" s="1">
        <v>148.0</v>
      </c>
    </row>
    <row r="1664">
      <c r="A1664" s="1">
        <v>3374374.0</v>
      </c>
      <c r="B1664" s="1" t="s">
        <v>3587</v>
      </c>
      <c r="C1664" s="1" t="s">
        <v>2930</v>
      </c>
      <c r="D1664" s="1" t="s">
        <v>2948</v>
      </c>
      <c r="E1664" s="1" t="s">
        <v>3588</v>
      </c>
      <c r="F1664" s="1" t="s">
        <v>16</v>
      </c>
      <c r="G1664" s="1" t="s">
        <v>17</v>
      </c>
      <c r="H1664" s="1" t="s">
        <v>18</v>
      </c>
      <c r="I1664" s="1" t="s">
        <v>19</v>
      </c>
      <c r="J1664" s="1">
        <v>134.0</v>
      </c>
      <c r="K1664" s="1">
        <v>32.0</v>
      </c>
      <c r="L1664" s="1">
        <v>87.0</v>
      </c>
    </row>
    <row r="1665">
      <c r="A1665" s="1">
        <v>3316040.0</v>
      </c>
      <c r="B1665" s="1" t="s">
        <v>3589</v>
      </c>
      <c r="C1665" s="1" t="s">
        <v>2930</v>
      </c>
      <c r="D1665" s="1" t="s">
        <v>2951</v>
      </c>
      <c r="E1665" s="1" t="s">
        <v>3590</v>
      </c>
      <c r="F1665" s="1" t="s">
        <v>16</v>
      </c>
      <c r="G1665" s="1" t="s">
        <v>23</v>
      </c>
      <c r="H1665" s="1" t="s">
        <v>18</v>
      </c>
      <c r="I1665" s="1" t="s">
        <v>59</v>
      </c>
      <c r="J1665" s="1">
        <v>69.0</v>
      </c>
      <c r="K1665" s="1">
        <v>21.0</v>
      </c>
      <c r="L1665" s="1">
        <v>22.0</v>
      </c>
    </row>
    <row r="1666">
      <c r="A1666" s="1">
        <v>3305114.0</v>
      </c>
      <c r="B1666" s="1" t="s">
        <v>3591</v>
      </c>
      <c r="C1666" s="1" t="s">
        <v>2930</v>
      </c>
      <c r="D1666" s="1" t="s">
        <v>2958</v>
      </c>
      <c r="E1666" s="1" t="s">
        <v>3592</v>
      </c>
      <c r="F1666" s="1" t="s">
        <v>16</v>
      </c>
      <c r="G1666" s="1" t="s">
        <v>23</v>
      </c>
      <c r="H1666" s="1" t="s">
        <v>18</v>
      </c>
      <c r="I1666" s="1" t="s">
        <v>59</v>
      </c>
      <c r="J1666" s="1">
        <v>106.0</v>
      </c>
      <c r="K1666" s="1">
        <v>33.0</v>
      </c>
      <c r="L1666" s="1">
        <v>220.0</v>
      </c>
    </row>
    <row r="1667">
      <c r="A1667" s="1">
        <v>3314078.0</v>
      </c>
      <c r="B1667" s="1" t="s">
        <v>794</v>
      </c>
      <c r="C1667" s="1" t="s">
        <v>2930</v>
      </c>
      <c r="D1667" s="1" t="s">
        <v>2945</v>
      </c>
      <c r="E1667" s="1" t="s">
        <v>3593</v>
      </c>
      <c r="F1667" s="1" t="s">
        <v>55</v>
      </c>
      <c r="G1667" s="1" t="s">
        <v>17</v>
      </c>
      <c r="H1667" s="1" t="s">
        <v>18</v>
      </c>
      <c r="I1667" s="1" t="s">
        <v>59</v>
      </c>
      <c r="J1667" s="1">
        <v>52.0</v>
      </c>
      <c r="K1667" s="1">
        <v>38.0</v>
      </c>
      <c r="L1667" s="1">
        <v>125.0</v>
      </c>
    </row>
    <row r="1668">
      <c r="A1668" s="1">
        <v>3328093.0</v>
      </c>
      <c r="B1668" s="1" t="s">
        <v>3594</v>
      </c>
      <c r="C1668" s="1" t="s">
        <v>2930</v>
      </c>
      <c r="D1668" s="1" t="s">
        <v>3038</v>
      </c>
      <c r="E1668" s="1" t="s">
        <v>3595</v>
      </c>
      <c r="F1668" s="1" t="s">
        <v>16</v>
      </c>
      <c r="G1668" s="1" t="s">
        <v>17</v>
      </c>
      <c r="H1668" s="1" t="s">
        <v>18</v>
      </c>
      <c r="I1668" s="1" t="s">
        <v>44</v>
      </c>
      <c r="J1668" s="1">
        <v>100.0</v>
      </c>
      <c r="K1668" s="1">
        <v>36.0</v>
      </c>
      <c r="L1668" s="1">
        <v>0.0</v>
      </c>
    </row>
    <row r="1669">
      <c r="A1669" s="1">
        <v>3304021.0</v>
      </c>
      <c r="B1669" s="1" t="s">
        <v>3596</v>
      </c>
      <c r="C1669" s="1" t="s">
        <v>2930</v>
      </c>
      <c r="D1669" s="1" t="s">
        <v>3183</v>
      </c>
      <c r="E1669" s="1" t="s">
        <v>3597</v>
      </c>
      <c r="F1669" s="1" t="s">
        <v>16</v>
      </c>
      <c r="G1669" s="1" t="s">
        <v>17</v>
      </c>
      <c r="H1669" s="1" t="s">
        <v>18</v>
      </c>
      <c r="I1669" s="1" t="s">
        <v>258</v>
      </c>
      <c r="J1669" s="1">
        <v>181.0</v>
      </c>
      <c r="K1669" s="1">
        <v>45.0</v>
      </c>
      <c r="L1669" s="1">
        <v>556.0</v>
      </c>
    </row>
    <row r="1670">
      <c r="A1670" s="1">
        <v>3373016.0</v>
      </c>
      <c r="B1670" s="1" t="s">
        <v>3598</v>
      </c>
      <c r="C1670" s="1" t="s">
        <v>2930</v>
      </c>
      <c r="D1670" s="1" t="s">
        <v>2961</v>
      </c>
      <c r="E1670" s="1" t="s">
        <v>3599</v>
      </c>
      <c r="F1670" s="1" t="s">
        <v>16</v>
      </c>
      <c r="G1670" s="1" t="s">
        <v>27</v>
      </c>
      <c r="H1670" s="1" t="s">
        <v>28</v>
      </c>
      <c r="I1670" s="1" t="s">
        <v>29</v>
      </c>
      <c r="J1670" s="1">
        <v>262.0</v>
      </c>
      <c r="K1670" s="1">
        <v>128.0</v>
      </c>
      <c r="L1670" s="1">
        <v>720.0</v>
      </c>
    </row>
    <row r="1671">
      <c r="A1671" s="1">
        <v>3329108.0</v>
      </c>
      <c r="B1671" s="1" t="s">
        <v>3600</v>
      </c>
      <c r="C1671" s="1" t="s">
        <v>2930</v>
      </c>
      <c r="D1671" s="1" t="s">
        <v>2999</v>
      </c>
      <c r="E1671" s="1" t="s">
        <v>3601</v>
      </c>
      <c r="F1671" s="1" t="s">
        <v>16</v>
      </c>
      <c r="G1671" s="1" t="s">
        <v>17</v>
      </c>
      <c r="H1671" s="1" t="s">
        <v>18</v>
      </c>
      <c r="I1671" s="1" t="s">
        <v>19</v>
      </c>
      <c r="J1671" s="1">
        <v>132.0</v>
      </c>
      <c r="K1671" s="1">
        <v>92.0</v>
      </c>
      <c r="L1671" s="1">
        <v>159.0</v>
      </c>
    </row>
    <row r="1672">
      <c r="A1672" s="1">
        <v>3308021.0</v>
      </c>
      <c r="B1672" s="1" t="s">
        <v>3602</v>
      </c>
      <c r="C1672" s="1" t="s">
        <v>2930</v>
      </c>
      <c r="D1672" s="1" t="s">
        <v>3107</v>
      </c>
      <c r="E1672" s="1" t="s">
        <v>3603</v>
      </c>
      <c r="F1672" s="1" t="s">
        <v>16</v>
      </c>
      <c r="G1672" s="1" t="s">
        <v>17</v>
      </c>
      <c r="H1672" s="1" t="s">
        <v>18</v>
      </c>
      <c r="I1672" s="1" t="s">
        <v>44</v>
      </c>
      <c r="J1672" s="1">
        <v>116.0</v>
      </c>
      <c r="K1672" s="1">
        <v>23.0</v>
      </c>
      <c r="L1672" s="1">
        <v>55.0</v>
      </c>
    </row>
    <row r="1673">
      <c r="A1673" s="1">
        <v>3315072.0</v>
      </c>
      <c r="B1673" s="1" t="s">
        <v>3604</v>
      </c>
      <c r="C1673" s="1" t="s">
        <v>2930</v>
      </c>
      <c r="D1673" s="1" t="s">
        <v>3005</v>
      </c>
      <c r="E1673" s="1" t="s">
        <v>3605</v>
      </c>
      <c r="F1673" s="1" t="s">
        <v>1970</v>
      </c>
      <c r="G1673" s="1" t="s">
        <v>17</v>
      </c>
      <c r="H1673" s="1" t="s">
        <v>18</v>
      </c>
      <c r="I1673" s="1" t="s">
        <v>19</v>
      </c>
      <c r="J1673" s="1">
        <v>30.0</v>
      </c>
      <c r="K1673" s="1">
        <v>17.0</v>
      </c>
      <c r="L1673" s="1">
        <v>0.0</v>
      </c>
    </row>
    <row r="1674">
      <c r="A1674" s="1">
        <v>3320043.0</v>
      </c>
      <c r="B1674" s="1" t="s">
        <v>3606</v>
      </c>
      <c r="C1674" s="1" t="s">
        <v>2930</v>
      </c>
      <c r="D1674" s="1" t="s">
        <v>3104</v>
      </c>
      <c r="E1674" s="1" t="s">
        <v>3607</v>
      </c>
      <c r="F1674" s="1" t="s">
        <v>16</v>
      </c>
      <c r="G1674" s="1" t="s">
        <v>23</v>
      </c>
      <c r="H1674" s="1" t="s">
        <v>18</v>
      </c>
      <c r="I1674" s="1" t="s">
        <v>59</v>
      </c>
      <c r="J1674" s="1">
        <v>104.0</v>
      </c>
      <c r="K1674" s="1">
        <v>30.0</v>
      </c>
      <c r="L1674" s="1">
        <v>155.0</v>
      </c>
    </row>
    <row r="1675">
      <c r="A1675" s="1">
        <v>3314089.0</v>
      </c>
      <c r="B1675" s="1" t="s">
        <v>3608</v>
      </c>
      <c r="C1675" s="1" t="s">
        <v>2930</v>
      </c>
      <c r="D1675" s="1" t="s">
        <v>2945</v>
      </c>
      <c r="E1675" s="1" t="s">
        <v>3609</v>
      </c>
      <c r="F1675" s="1" t="s">
        <v>16</v>
      </c>
      <c r="G1675" s="1" t="s">
        <v>17</v>
      </c>
      <c r="H1675" s="1" t="s">
        <v>28</v>
      </c>
      <c r="I1675" s="1" t="s">
        <v>40</v>
      </c>
      <c r="J1675" s="1">
        <v>118.0</v>
      </c>
      <c r="K1675" s="1">
        <v>38.0</v>
      </c>
      <c r="L1675" s="1">
        <v>281.0</v>
      </c>
    </row>
    <row r="1676">
      <c r="A1676" s="1">
        <v>3309074.0</v>
      </c>
      <c r="B1676" s="1" t="s">
        <v>3610</v>
      </c>
      <c r="C1676" s="1" t="s">
        <v>2930</v>
      </c>
      <c r="D1676" s="1" t="s">
        <v>2973</v>
      </c>
      <c r="E1676" s="1" t="s">
        <v>3611</v>
      </c>
      <c r="F1676" s="1" t="s">
        <v>16</v>
      </c>
      <c r="G1676" s="1" t="s">
        <v>23</v>
      </c>
      <c r="H1676" s="1" t="s">
        <v>18</v>
      </c>
      <c r="I1676" s="1" t="s">
        <v>59</v>
      </c>
      <c r="J1676" s="1">
        <v>101.0</v>
      </c>
      <c r="K1676" s="1">
        <v>41.0</v>
      </c>
      <c r="L1676" s="1">
        <v>171.0</v>
      </c>
    </row>
    <row r="1677">
      <c r="A1677" s="1">
        <v>3374203.0</v>
      </c>
      <c r="B1677" s="1" t="s">
        <v>3612</v>
      </c>
      <c r="C1677" s="1" t="s">
        <v>2930</v>
      </c>
      <c r="D1677" s="1" t="s">
        <v>2948</v>
      </c>
      <c r="E1677" s="1" t="s">
        <v>3613</v>
      </c>
      <c r="F1677" s="1" t="s">
        <v>16</v>
      </c>
      <c r="G1677" s="1" t="s">
        <v>17</v>
      </c>
      <c r="H1677" s="1" t="s">
        <v>18</v>
      </c>
      <c r="I1677" s="1" t="s">
        <v>65</v>
      </c>
      <c r="J1677" s="1">
        <v>100.0</v>
      </c>
      <c r="K1677" s="1">
        <v>26.0</v>
      </c>
      <c r="L1677" s="1">
        <v>31.0</v>
      </c>
    </row>
    <row r="1678">
      <c r="A1678" s="1">
        <v>3329114.0</v>
      </c>
      <c r="B1678" s="1" t="s">
        <v>3614</v>
      </c>
      <c r="C1678" s="1" t="s">
        <v>2930</v>
      </c>
      <c r="D1678" s="1" t="s">
        <v>2999</v>
      </c>
      <c r="E1678" s="1" t="s">
        <v>3615</v>
      </c>
      <c r="F1678" s="1" t="s">
        <v>16</v>
      </c>
      <c r="G1678" s="1" t="s">
        <v>17</v>
      </c>
      <c r="H1678" s="1" t="s">
        <v>18</v>
      </c>
      <c r="I1678" s="1" t="s">
        <v>44</v>
      </c>
      <c r="J1678" s="1">
        <v>102.0</v>
      </c>
      <c r="K1678" s="1">
        <v>15.0</v>
      </c>
      <c r="L1678" s="1">
        <v>54.0</v>
      </c>
    </row>
    <row r="1679">
      <c r="A1679" s="1">
        <v>3312306.0</v>
      </c>
      <c r="B1679" s="1" t="s">
        <v>3616</v>
      </c>
      <c r="C1679" s="1" t="s">
        <v>2930</v>
      </c>
      <c r="D1679" s="1" t="s">
        <v>3118</v>
      </c>
      <c r="E1679" s="1" t="s">
        <v>3617</v>
      </c>
      <c r="F1679" s="1" t="s">
        <v>16</v>
      </c>
      <c r="G1679" s="1" t="s">
        <v>17</v>
      </c>
      <c r="H1679" s="1" t="s">
        <v>18</v>
      </c>
      <c r="I1679" s="1" t="s">
        <v>19</v>
      </c>
      <c r="J1679" s="1">
        <v>125.0</v>
      </c>
      <c r="K1679" s="1">
        <v>35.0</v>
      </c>
      <c r="L1679" s="1">
        <v>231.0</v>
      </c>
    </row>
    <row r="1680">
      <c r="A1680" s="1">
        <v>3376093.0</v>
      </c>
      <c r="B1680" s="1" t="s">
        <v>3618</v>
      </c>
      <c r="C1680" s="1" t="s">
        <v>2930</v>
      </c>
      <c r="D1680" s="1" t="s">
        <v>3208</v>
      </c>
      <c r="E1680" s="1" t="s">
        <v>3619</v>
      </c>
      <c r="F1680" s="1" t="s">
        <v>55</v>
      </c>
      <c r="G1680" s="1" t="s">
        <v>17</v>
      </c>
      <c r="H1680" s="1" t="s">
        <v>18</v>
      </c>
      <c r="I1680" s="1" t="s">
        <v>59</v>
      </c>
      <c r="J1680" s="1">
        <v>34.0</v>
      </c>
      <c r="K1680" s="1">
        <v>18.0</v>
      </c>
      <c r="L1680" s="1">
        <v>53.0</v>
      </c>
    </row>
    <row r="1681">
      <c r="A1681" s="1">
        <v>3309132.0</v>
      </c>
      <c r="B1681" s="1" t="s">
        <v>3620</v>
      </c>
      <c r="C1681" s="1" t="s">
        <v>2930</v>
      </c>
      <c r="D1681" s="1" t="s">
        <v>2973</v>
      </c>
      <c r="E1681" s="1" t="s">
        <v>3621</v>
      </c>
      <c r="F1681" s="1" t="s">
        <v>16</v>
      </c>
      <c r="G1681" s="1" t="s">
        <v>23</v>
      </c>
      <c r="H1681" s="1" t="s">
        <v>18</v>
      </c>
      <c r="I1681" s="1" t="s">
        <v>19</v>
      </c>
      <c r="J1681" s="1">
        <v>51.0</v>
      </c>
      <c r="K1681" s="1">
        <v>24.0</v>
      </c>
      <c r="L1681" s="1">
        <v>68.0</v>
      </c>
    </row>
    <row r="1682">
      <c r="A1682" s="1">
        <v>3301114.0</v>
      </c>
      <c r="B1682" s="1" t="s">
        <v>3622</v>
      </c>
      <c r="C1682" s="1" t="s">
        <v>2930</v>
      </c>
      <c r="D1682" s="1" t="s">
        <v>2996</v>
      </c>
      <c r="E1682" s="1" t="s">
        <v>3623</v>
      </c>
      <c r="F1682" s="1" t="s">
        <v>16</v>
      </c>
      <c r="G1682" s="1" t="s">
        <v>23</v>
      </c>
      <c r="H1682" s="1" t="s">
        <v>18</v>
      </c>
      <c r="I1682" s="1" t="s">
        <v>19</v>
      </c>
      <c r="J1682" s="1">
        <v>74.0</v>
      </c>
      <c r="K1682" s="1">
        <v>24.0</v>
      </c>
      <c r="L1682" s="1">
        <v>64.0</v>
      </c>
    </row>
    <row r="1683">
      <c r="A1683" s="1">
        <v>3306113.0</v>
      </c>
      <c r="B1683" s="1" t="s">
        <v>3624</v>
      </c>
      <c r="C1683" s="1" t="s">
        <v>2930</v>
      </c>
      <c r="D1683" s="1" t="s">
        <v>2942</v>
      </c>
      <c r="E1683" s="1" t="s">
        <v>3625</v>
      </c>
      <c r="F1683" s="1" t="s">
        <v>16</v>
      </c>
      <c r="G1683" s="1" t="s">
        <v>17</v>
      </c>
      <c r="H1683" s="1" t="s">
        <v>28</v>
      </c>
      <c r="I1683" s="1" t="s">
        <v>40</v>
      </c>
      <c r="J1683" s="1">
        <v>106.0</v>
      </c>
      <c r="K1683" s="1">
        <v>41.0</v>
      </c>
      <c r="L1683" s="1">
        <v>190.0</v>
      </c>
    </row>
    <row r="1684">
      <c r="A1684" s="1">
        <v>3315013.0</v>
      </c>
      <c r="B1684" s="1" t="s">
        <v>3626</v>
      </c>
      <c r="C1684" s="1" t="s">
        <v>2930</v>
      </c>
      <c r="D1684" s="1" t="s">
        <v>3005</v>
      </c>
      <c r="E1684" s="1" t="s">
        <v>3627</v>
      </c>
      <c r="F1684" s="1" t="s">
        <v>16</v>
      </c>
      <c r="G1684" s="1" t="s">
        <v>27</v>
      </c>
      <c r="H1684" s="1" t="s">
        <v>28</v>
      </c>
      <c r="I1684" s="1" t="s">
        <v>40</v>
      </c>
      <c r="J1684" s="1">
        <v>318.0</v>
      </c>
      <c r="K1684" s="1">
        <v>112.0</v>
      </c>
      <c r="L1684" s="1">
        <v>938.0</v>
      </c>
    </row>
    <row r="1685">
      <c r="A1685" s="1">
        <v>3302191.0</v>
      </c>
      <c r="B1685" s="1" t="s">
        <v>3628</v>
      </c>
      <c r="C1685" s="1" t="s">
        <v>2930</v>
      </c>
      <c r="D1685" s="1" t="s">
        <v>2937</v>
      </c>
      <c r="E1685" s="1" t="s">
        <v>3629</v>
      </c>
      <c r="F1685" s="1" t="s">
        <v>16</v>
      </c>
      <c r="G1685" s="1" t="s">
        <v>17</v>
      </c>
      <c r="H1685" s="1" t="s">
        <v>28</v>
      </c>
      <c r="I1685" s="1" t="s">
        <v>40</v>
      </c>
      <c r="J1685" s="1">
        <v>189.0</v>
      </c>
      <c r="K1685" s="1">
        <v>76.0</v>
      </c>
      <c r="L1685" s="1">
        <v>303.0</v>
      </c>
    </row>
    <row r="1686">
      <c r="A1686" s="1">
        <v>3372063.0</v>
      </c>
      <c r="B1686" s="1" t="s">
        <v>3630</v>
      </c>
      <c r="C1686" s="1" t="s">
        <v>2930</v>
      </c>
      <c r="D1686" s="1" t="s">
        <v>3014</v>
      </c>
      <c r="E1686" s="1" t="s">
        <v>3631</v>
      </c>
      <c r="F1686" s="1" t="s">
        <v>1970</v>
      </c>
      <c r="G1686" s="1" t="s">
        <v>150</v>
      </c>
      <c r="H1686" s="1" t="s">
        <v>33</v>
      </c>
      <c r="I1686" s="1" t="s">
        <v>411</v>
      </c>
      <c r="J1686" s="1">
        <v>170.0</v>
      </c>
      <c r="K1686" s="1">
        <v>34.0</v>
      </c>
      <c r="L1686" s="1">
        <v>654.0</v>
      </c>
    </row>
    <row r="1687">
      <c r="A1687" s="1">
        <v>3329103.0</v>
      </c>
      <c r="B1687" s="1" t="s">
        <v>3632</v>
      </c>
      <c r="C1687" s="1" t="s">
        <v>2930</v>
      </c>
      <c r="D1687" s="1" t="s">
        <v>2999</v>
      </c>
      <c r="E1687" s="1" t="s">
        <v>3633</v>
      </c>
      <c r="F1687" s="1" t="s">
        <v>16</v>
      </c>
      <c r="G1687" s="1" t="s">
        <v>17</v>
      </c>
      <c r="H1687" s="1" t="s">
        <v>18</v>
      </c>
      <c r="I1687" s="1" t="s">
        <v>44</v>
      </c>
      <c r="J1687" s="1">
        <v>172.0</v>
      </c>
      <c r="K1687" s="1">
        <v>110.0</v>
      </c>
      <c r="L1687" s="1">
        <v>161.0</v>
      </c>
    </row>
    <row r="1688">
      <c r="A1688" s="1">
        <v>3374375.0</v>
      </c>
      <c r="B1688" s="1" t="s">
        <v>3634</v>
      </c>
      <c r="C1688" s="1" t="s">
        <v>2930</v>
      </c>
      <c r="D1688" s="1" t="s">
        <v>2948</v>
      </c>
      <c r="E1688" s="1" t="s">
        <v>3635</v>
      </c>
      <c r="F1688" s="1" t="s">
        <v>272</v>
      </c>
      <c r="G1688" s="1" t="s">
        <v>17</v>
      </c>
      <c r="H1688" s="1" t="s">
        <v>18</v>
      </c>
      <c r="I1688" s="1" t="s">
        <v>44</v>
      </c>
      <c r="J1688" s="1">
        <v>19.0</v>
      </c>
      <c r="K1688" s="1">
        <v>29.0</v>
      </c>
      <c r="L1688" s="1">
        <v>30.0</v>
      </c>
    </row>
    <row r="1689">
      <c r="A1689" s="1">
        <v>3319032.0</v>
      </c>
      <c r="B1689" s="1" t="s">
        <v>3636</v>
      </c>
      <c r="C1689" s="1" t="s">
        <v>2930</v>
      </c>
      <c r="D1689" s="1" t="s">
        <v>2934</v>
      </c>
      <c r="E1689" s="1" t="s">
        <v>3637</v>
      </c>
      <c r="F1689" s="1" t="s">
        <v>16</v>
      </c>
      <c r="G1689" s="1" t="s">
        <v>27</v>
      </c>
      <c r="H1689" s="1" t="s">
        <v>18</v>
      </c>
      <c r="I1689" s="1" t="s">
        <v>59</v>
      </c>
      <c r="J1689" s="1">
        <v>259.0</v>
      </c>
      <c r="K1689" s="1">
        <v>81.0</v>
      </c>
      <c r="L1689" s="1">
        <v>1384.0</v>
      </c>
    </row>
    <row r="1690">
      <c r="A1690" s="1">
        <v>3302227.0</v>
      </c>
      <c r="B1690" s="1" t="s">
        <v>3638</v>
      </c>
      <c r="C1690" s="1" t="s">
        <v>2930</v>
      </c>
      <c r="D1690" s="1" t="s">
        <v>2937</v>
      </c>
      <c r="E1690" s="1" t="s">
        <v>3639</v>
      </c>
      <c r="F1690" s="1" t="s">
        <v>16</v>
      </c>
      <c r="G1690" s="1" t="s">
        <v>23</v>
      </c>
      <c r="H1690" s="1" t="s">
        <v>18</v>
      </c>
      <c r="I1690" s="1" t="s">
        <v>19</v>
      </c>
      <c r="J1690" s="1">
        <v>70.0</v>
      </c>
      <c r="K1690" s="1">
        <v>31.0</v>
      </c>
      <c r="L1690" s="1">
        <v>90.0</v>
      </c>
    </row>
    <row r="1691">
      <c r="A1691" s="1">
        <v>3303101.0</v>
      </c>
      <c r="B1691" s="1" t="s">
        <v>3640</v>
      </c>
      <c r="C1691" s="1" t="s">
        <v>2930</v>
      </c>
      <c r="D1691" s="1" t="s">
        <v>3099</v>
      </c>
      <c r="E1691" s="1" t="s">
        <v>3641</v>
      </c>
      <c r="F1691" s="1" t="s">
        <v>16</v>
      </c>
      <c r="G1691" s="1" t="s">
        <v>17</v>
      </c>
      <c r="H1691" s="1" t="s">
        <v>18</v>
      </c>
      <c r="I1691" s="1" t="s">
        <v>19</v>
      </c>
      <c r="J1691" s="1">
        <v>190.0</v>
      </c>
      <c r="K1691" s="1">
        <v>32.0</v>
      </c>
      <c r="L1691" s="1">
        <v>113.0</v>
      </c>
    </row>
    <row r="1692">
      <c r="A1692" s="1">
        <v>3372241.0</v>
      </c>
      <c r="B1692" s="1" t="s">
        <v>3642</v>
      </c>
      <c r="C1692" s="1" t="s">
        <v>2930</v>
      </c>
      <c r="D1692" s="1" t="s">
        <v>2967</v>
      </c>
      <c r="E1692" s="1" t="s">
        <v>3643</v>
      </c>
      <c r="F1692" s="1" t="s">
        <v>16</v>
      </c>
      <c r="G1692" s="1" t="s">
        <v>17</v>
      </c>
      <c r="H1692" s="1" t="s">
        <v>18</v>
      </c>
      <c r="I1692" s="1" t="s">
        <v>19</v>
      </c>
      <c r="J1692" s="1">
        <v>120.0</v>
      </c>
      <c r="K1692" s="1">
        <v>58.0</v>
      </c>
      <c r="L1692" s="1">
        <v>296.0</v>
      </c>
    </row>
    <row r="1693">
      <c r="A1693" s="1">
        <v>3306104.0</v>
      </c>
      <c r="B1693" s="1" t="s">
        <v>3644</v>
      </c>
      <c r="C1693" s="1" t="s">
        <v>2930</v>
      </c>
      <c r="D1693" s="1" t="s">
        <v>2942</v>
      </c>
      <c r="E1693" s="1" t="s">
        <v>3645</v>
      </c>
      <c r="F1693" s="1" t="s">
        <v>16</v>
      </c>
      <c r="G1693" s="1" t="s">
        <v>17</v>
      </c>
      <c r="H1693" s="1" t="s">
        <v>18</v>
      </c>
      <c r="I1693" s="1" t="s">
        <v>59</v>
      </c>
      <c r="J1693" s="1">
        <v>121.0</v>
      </c>
      <c r="K1693" s="1">
        <v>37.0</v>
      </c>
      <c r="L1693" s="1">
        <v>263.0</v>
      </c>
    </row>
    <row r="1694">
      <c r="A1694" s="1">
        <v>3374065.0</v>
      </c>
      <c r="B1694" s="1" t="s">
        <v>3646</v>
      </c>
      <c r="C1694" s="1" t="s">
        <v>2930</v>
      </c>
      <c r="D1694" s="1" t="s">
        <v>2948</v>
      </c>
      <c r="E1694" s="1" t="s">
        <v>3647</v>
      </c>
      <c r="F1694" s="1" t="s">
        <v>16</v>
      </c>
      <c r="G1694" s="1" t="s">
        <v>17</v>
      </c>
      <c r="H1694" s="1" t="s">
        <v>18</v>
      </c>
      <c r="I1694" s="1" t="s">
        <v>74</v>
      </c>
      <c r="J1694" s="1">
        <v>154.0</v>
      </c>
      <c r="K1694" s="1">
        <v>54.0</v>
      </c>
      <c r="L1694" s="1">
        <v>58.0</v>
      </c>
    </row>
    <row r="1695">
      <c r="A1695" s="1">
        <v>3375075.0</v>
      </c>
      <c r="B1695" s="1" t="s">
        <v>3648</v>
      </c>
      <c r="C1695" s="1" t="s">
        <v>2930</v>
      </c>
      <c r="D1695" s="1" t="s">
        <v>2986</v>
      </c>
      <c r="E1695" s="1" t="s">
        <v>3649</v>
      </c>
      <c r="F1695" s="1" t="s">
        <v>16</v>
      </c>
      <c r="G1695" s="1" t="s">
        <v>23</v>
      </c>
      <c r="H1695" s="1" t="s">
        <v>18</v>
      </c>
      <c r="I1695" s="1" t="s">
        <v>44</v>
      </c>
      <c r="J1695" s="1">
        <v>66.0</v>
      </c>
      <c r="K1695" s="1">
        <v>59.0</v>
      </c>
      <c r="L1695" s="1">
        <v>142.0</v>
      </c>
    </row>
    <row r="1696">
      <c r="A1696" s="1">
        <v>3323050.0</v>
      </c>
      <c r="B1696" s="1" t="s">
        <v>3650</v>
      </c>
      <c r="C1696" s="1" t="s">
        <v>2930</v>
      </c>
      <c r="D1696" s="1" t="s">
        <v>3146</v>
      </c>
      <c r="E1696" s="1" t="s">
        <v>3651</v>
      </c>
      <c r="F1696" s="1" t="s">
        <v>16</v>
      </c>
      <c r="G1696" s="1" t="s">
        <v>17</v>
      </c>
      <c r="H1696" s="1" t="s">
        <v>18</v>
      </c>
      <c r="I1696" s="1" t="s">
        <v>684</v>
      </c>
      <c r="J1696" s="1">
        <v>155.0</v>
      </c>
      <c r="K1696" s="1">
        <v>86.0</v>
      </c>
      <c r="L1696" s="1">
        <v>297.0</v>
      </c>
    </row>
    <row r="1697">
      <c r="A1697" s="1">
        <v>3313053.0</v>
      </c>
      <c r="B1697" s="1" t="s">
        <v>3652</v>
      </c>
      <c r="C1697" s="1" t="s">
        <v>2930</v>
      </c>
      <c r="D1697" s="1" t="s">
        <v>2931</v>
      </c>
      <c r="E1697" s="1" t="s">
        <v>3653</v>
      </c>
      <c r="F1697" s="1" t="s">
        <v>16</v>
      </c>
      <c r="G1697" s="1" t="s">
        <v>23</v>
      </c>
      <c r="H1697" s="1" t="s">
        <v>18</v>
      </c>
      <c r="I1697" s="1" t="s">
        <v>163</v>
      </c>
      <c r="J1697" s="1">
        <v>70.0</v>
      </c>
      <c r="K1697" s="1">
        <v>26.0</v>
      </c>
      <c r="L1697" s="1">
        <v>190.0</v>
      </c>
    </row>
    <row r="1698">
      <c r="A1698" s="1">
        <v>3314097.0</v>
      </c>
      <c r="B1698" s="1" t="s">
        <v>3654</v>
      </c>
      <c r="C1698" s="1" t="s">
        <v>2930</v>
      </c>
      <c r="D1698" s="1" t="s">
        <v>2945</v>
      </c>
      <c r="E1698" s="1" t="s">
        <v>3655</v>
      </c>
      <c r="F1698" s="1" t="s">
        <v>16</v>
      </c>
      <c r="G1698" s="1" t="s">
        <v>23</v>
      </c>
      <c r="H1698" s="1" t="s">
        <v>18</v>
      </c>
      <c r="I1698" s="1" t="s">
        <v>44</v>
      </c>
      <c r="J1698" s="1">
        <v>79.0</v>
      </c>
      <c r="K1698" s="1">
        <v>34.0</v>
      </c>
      <c r="L1698" s="1">
        <v>72.0</v>
      </c>
    </row>
    <row r="1699">
      <c r="A1699" s="1">
        <v>3310405.0</v>
      </c>
      <c r="B1699" s="1" t="s">
        <v>3656</v>
      </c>
      <c r="C1699" s="1" t="s">
        <v>2930</v>
      </c>
      <c r="D1699" s="1" t="s">
        <v>2989</v>
      </c>
      <c r="E1699" s="1" t="s">
        <v>3657</v>
      </c>
      <c r="F1699" s="1" t="s">
        <v>16</v>
      </c>
      <c r="G1699" s="1" t="s">
        <v>17</v>
      </c>
      <c r="H1699" s="1" t="s">
        <v>18</v>
      </c>
      <c r="I1699" s="1" t="s">
        <v>59</v>
      </c>
      <c r="J1699" s="1">
        <v>133.0</v>
      </c>
      <c r="K1699" s="1">
        <v>29.0</v>
      </c>
      <c r="L1699" s="1">
        <v>222.0</v>
      </c>
    </row>
    <row r="1700">
      <c r="A1700" s="1">
        <v>3375022.0</v>
      </c>
      <c r="B1700" s="1" t="s">
        <v>3658</v>
      </c>
      <c r="C1700" s="1" t="s">
        <v>2930</v>
      </c>
      <c r="D1700" s="1" t="s">
        <v>2986</v>
      </c>
      <c r="E1700" s="1" t="s">
        <v>3659</v>
      </c>
      <c r="F1700" s="1" t="s">
        <v>16</v>
      </c>
      <c r="G1700" s="1" t="s">
        <v>17</v>
      </c>
      <c r="H1700" s="1" t="s">
        <v>18</v>
      </c>
      <c r="I1700" s="1" t="s">
        <v>249</v>
      </c>
      <c r="J1700" s="1">
        <v>154.0</v>
      </c>
      <c r="K1700" s="1">
        <v>31.0</v>
      </c>
      <c r="L1700" s="1">
        <v>493.0</v>
      </c>
    </row>
    <row r="1701">
      <c r="A1701" s="1">
        <v>3329045.0</v>
      </c>
      <c r="B1701" s="1" t="s">
        <v>3660</v>
      </c>
      <c r="C1701" s="1" t="s">
        <v>2930</v>
      </c>
      <c r="D1701" s="1" t="s">
        <v>2999</v>
      </c>
      <c r="E1701" s="1" t="s">
        <v>3661</v>
      </c>
      <c r="F1701" s="1" t="s">
        <v>16</v>
      </c>
      <c r="G1701" s="1" t="s">
        <v>23</v>
      </c>
      <c r="H1701" s="1" t="s">
        <v>18</v>
      </c>
      <c r="I1701" s="1" t="s">
        <v>19</v>
      </c>
      <c r="J1701" s="1">
        <v>50.0</v>
      </c>
      <c r="K1701" s="1">
        <v>28.0</v>
      </c>
      <c r="L1701" s="1">
        <v>63.0</v>
      </c>
    </row>
    <row r="1702">
      <c r="A1702" s="1">
        <v>3302228.0</v>
      </c>
      <c r="B1702" s="1" t="s">
        <v>3662</v>
      </c>
      <c r="C1702" s="1" t="s">
        <v>2930</v>
      </c>
      <c r="D1702" s="1" t="s">
        <v>2937</v>
      </c>
      <c r="E1702" s="1" t="s">
        <v>3663</v>
      </c>
      <c r="F1702" s="1" t="s">
        <v>32</v>
      </c>
      <c r="G1702" s="1" t="s">
        <v>27</v>
      </c>
      <c r="H1702" s="1" t="s">
        <v>18</v>
      </c>
      <c r="I1702" s="1" t="s">
        <v>34</v>
      </c>
      <c r="J1702" s="1">
        <v>12.0</v>
      </c>
      <c r="K1702" s="1">
        <v>18.0</v>
      </c>
      <c r="L1702" s="1">
        <v>120.0</v>
      </c>
    </row>
    <row r="1703">
      <c r="A1703" s="1">
        <v>3372201.0</v>
      </c>
      <c r="B1703" s="1" t="s">
        <v>3664</v>
      </c>
      <c r="C1703" s="1" t="s">
        <v>2930</v>
      </c>
      <c r="D1703" s="1" t="s">
        <v>2967</v>
      </c>
      <c r="E1703" s="1" t="s">
        <v>3665</v>
      </c>
      <c r="F1703" s="1" t="s">
        <v>16</v>
      </c>
      <c r="G1703" s="1" t="s">
        <v>17</v>
      </c>
      <c r="H1703" s="1" t="s">
        <v>33</v>
      </c>
      <c r="I1703" s="1" t="s">
        <v>411</v>
      </c>
      <c r="J1703" s="1">
        <v>106.0</v>
      </c>
      <c r="K1703" s="1">
        <v>45.0</v>
      </c>
      <c r="L1703" s="1">
        <v>43.0</v>
      </c>
    </row>
    <row r="1704">
      <c r="A1704" s="1">
        <v>3401026.0</v>
      </c>
      <c r="B1704" s="1" t="s">
        <v>3666</v>
      </c>
      <c r="C1704" s="1" t="s">
        <v>3667</v>
      </c>
      <c r="D1704" s="1" t="s">
        <v>3668</v>
      </c>
      <c r="E1704" s="1" t="s">
        <v>3669</v>
      </c>
      <c r="F1704" s="1" t="s">
        <v>16</v>
      </c>
      <c r="G1704" s="1" t="s">
        <v>23</v>
      </c>
      <c r="H1704" s="1" t="s">
        <v>18</v>
      </c>
      <c r="I1704" s="1" t="s">
        <v>59</v>
      </c>
      <c r="J1704" s="1">
        <v>50.0</v>
      </c>
      <c r="K1704" s="1">
        <v>19.0</v>
      </c>
      <c r="L1704" s="1">
        <v>91.0</v>
      </c>
    </row>
    <row r="1705">
      <c r="A1705" s="1">
        <v>3401051.0</v>
      </c>
      <c r="B1705" s="1" t="s">
        <v>3670</v>
      </c>
      <c r="C1705" s="1" t="s">
        <v>3667</v>
      </c>
      <c r="D1705" s="1" t="s">
        <v>3668</v>
      </c>
      <c r="E1705" s="1" t="s">
        <v>3671</v>
      </c>
      <c r="F1705" s="1" t="s">
        <v>16</v>
      </c>
      <c r="G1705" s="1" t="s">
        <v>23</v>
      </c>
      <c r="H1705" s="1" t="s">
        <v>18</v>
      </c>
      <c r="I1705" s="1" t="s">
        <v>19</v>
      </c>
      <c r="J1705" s="1">
        <v>50.0</v>
      </c>
      <c r="K1705" s="1">
        <v>27.0</v>
      </c>
      <c r="L1705" s="1">
        <v>121.0</v>
      </c>
    </row>
    <row r="1706">
      <c r="A1706" s="1">
        <v>3404189.0</v>
      </c>
      <c r="B1706" s="1" t="s">
        <v>3672</v>
      </c>
      <c r="C1706" s="1" t="s">
        <v>3667</v>
      </c>
      <c r="D1706" s="1" t="s">
        <v>3673</v>
      </c>
      <c r="E1706" s="1" t="s">
        <v>3674</v>
      </c>
      <c r="F1706" s="1" t="s">
        <v>16</v>
      </c>
      <c r="G1706" s="1" t="s">
        <v>27</v>
      </c>
      <c r="H1706" s="1" t="s">
        <v>18</v>
      </c>
      <c r="I1706" s="1" t="s">
        <v>34</v>
      </c>
      <c r="J1706" s="1">
        <v>380.0</v>
      </c>
      <c r="K1706" s="1">
        <v>52.0</v>
      </c>
      <c r="L1706" s="1">
        <v>483.0</v>
      </c>
    </row>
    <row r="1707">
      <c r="A1707" s="1">
        <v>3404157.0</v>
      </c>
      <c r="B1707" s="1" t="s">
        <v>3675</v>
      </c>
      <c r="C1707" s="1" t="s">
        <v>3667</v>
      </c>
      <c r="D1707" s="1" t="s">
        <v>3673</v>
      </c>
      <c r="E1707" s="1" t="s">
        <v>3676</v>
      </c>
      <c r="F1707" s="1" t="s">
        <v>16</v>
      </c>
      <c r="G1707" s="1" t="s">
        <v>17</v>
      </c>
      <c r="H1707" s="1" t="s">
        <v>18</v>
      </c>
      <c r="I1707" s="1" t="s">
        <v>59</v>
      </c>
      <c r="J1707" s="1">
        <v>100.0</v>
      </c>
      <c r="K1707" s="1">
        <v>26.0</v>
      </c>
      <c r="L1707" s="1">
        <v>85.0</v>
      </c>
    </row>
    <row r="1708">
      <c r="A1708" s="1">
        <v>3404181.0</v>
      </c>
      <c r="B1708" s="1" t="s">
        <v>3677</v>
      </c>
      <c r="C1708" s="1" t="s">
        <v>3667</v>
      </c>
      <c r="D1708" s="1" t="s">
        <v>3673</v>
      </c>
      <c r="E1708" s="1" t="s">
        <v>3678</v>
      </c>
      <c r="F1708" s="1" t="s">
        <v>16</v>
      </c>
      <c r="G1708" s="1" t="s">
        <v>23</v>
      </c>
      <c r="H1708" s="1" t="s">
        <v>18</v>
      </c>
      <c r="I1708" s="1" t="s">
        <v>684</v>
      </c>
      <c r="J1708" s="1">
        <v>59.0</v>
      </c>
      <c r="K1708" s="1">
        <v>30.0</v>
      </c>
      <c r="L1708" s="1">
        <v>117.0</v>
      </c>
    </row>
    <row r="1709">
      <c r="A1709" s="1">
        <v>3403022.0</v>
      </c>
      <c r="B1709" s="1" t="s">
        <v>3679</v>
      </c>
      <c r="C1709" s="1" t="s">
        <v>3667</v>
      </c>
      <c r="D1709" s="1" t="s">
        <v>3680</v>
      </c>
      <c r="E1709" s="1" t="s">
        <v>3681</v>
      </c>
      <c r="F1709" s="1" t="s">
        <v>16</v>
      </c>
      <c r="G1709" s="1" t="s">
        <v>23</v>
      </c>
      <c r="H1709" s="1" t="s">
        <v>18</v>
      </c>
      <c r="I1709" s="1" t="s">
        <v>163</v>
      </c>
      <c r="J1709" s="1">
        <v>57.0</v>
      </c>
      <c r="K1709" s="1">
        <v>17.0</v>
      </c>
      <c r="L1709" s="1">
        <v>57.0</v>
      </c>
    </row>
    <row r="1710">
      <c r="A1710" s="1">
        <v>3403025.0</v>
      </c>
      <c r="B1710" s="1" t="s">
        <v>3682</v>
      </c>
      <c r="C1710" s="1" t="s">
        <v>3667</v>
      </c>
      <c r="D1710" s="1" t="s">
        <v>3680</v>
      </c>
      <c r="E1710" s="1" t="s">
        <v>3683</v>
      </c>
      <c r="F1710" s="1" t="s">
        <v>16</v>
      </c>
      <c r="G1710" s="1" t="s">
        <v>23</v>
      </c>
      <c r="H1710" s="1" t="s">
        <v>18</v>
      </c>
      <c r="I1710" s="1" t="s">
        <v>258</v>
      </c>
      <c r="J1710" s="1">
        <v>52.0</v>
      </c>
      <c r="K1710" s="1">
        <v>17.0</v>
      </c>
      <c r="L1710" s="1">
        <v>9.0</v>
      </c>
    </row>
    <row r="1711">
      <c r="A1711" s="1">
        <v>3404179.0</v>
      </c>
      <c r="B1711" s="1" t="s">
        <v>3684</v>
      </c>
      <c r="C1711" s="1" t="s">
        <v>3667</v>
      </c>
      <c r="D1711" s="1" t="s">
        <v>3673</v>
      </c>
      <c r="E1711" s="1" t="s">
        <v>3685</v>
      </c>
      <c r="F1711" s="1" t="s">
        <v>16</v>
      </c>
      <c r="G1711" s="1" t="s">
        <v>23</v>
      </c>
      <c r="H1711" s="1" t="s">
        <v>18</v>
      </c>
      <c r="I1711" s="1" t="s">
        <v>59</v>
      </c>
      <c r="J1711" s="1">
        <v>50.0</v>
      </c>
      <c r="K1711" s="1">
        <v>29.0</v>
      </c>
      <c r="L1711" s="1">
        <v>78.0</v>
      </c>
    </row>
    <row r="1712">
      <c r="A1712" s="1">
        <v>3404011.0</v>
      </c>
      <c r="B1712" s="1" t="s">
        <v>3686</v>
      </c>
      <c r="C1712" s="1" t="s">
        <v>3667</v>
      </c>
      <c r="D1712" s="1" t="s">
        <v>3673</v>
      </c>
      <c r="E1712" s="1" t="s">
        <v>3687</v>
      </c>
      <c r="F1712" s="1" t="s">
        <v>16</v>
      </c>
      <c r="G1712" s="1" t="s">
        <v>27</v>
      </c>
      <c r="H1712" s="1" t="s">
        <v>28</v>
      </c>
      <c r="I1712" s="1" t="s">
        <v>40</v>
      </c>
      <c r="J1712" s="1">
        <v>193.0</v>
      </c>
      <c r="K1712" s="1">
        <v>100.0</v>
      </c>
      <c r="L1712" s="1">
        <v>896.0</v>
      </c>
    </row>
    <row r="1713">
      <c r="A1713" s="1">
        <v>3404193.0</v>
      </c>
      <c r="B1713" s="1" t="s">
        <v>3688</v>
      </c>
      <c r="C1713" s="1" t="s">
        <v>3667</v>
      </c>
      <c r="D1713" s="1" t="s">
        <v>3673</v>
      </c>
      <c r="E1713" s="1" t="s">
        <v>3689</v>
      </c>
      <c r="F1713" s="1" t="s">
        <v>16</v>
      </c>
      <c r="G1713" s="1" t="s">
        <v>17</v>
      </c>
      <c r="H1713" s="1" t="s">
        <v>18</v>
      </c>
      <c r="I1713" s="1" t="s">
        <v>44</v>
      </c>
      <c r="J1713" s="1">
        <v>100.0</v>
      </c>
      <c r="K1713" s="1">
        <v>85.0</v>
      </c>
      <c r="L1713" s="1">
        <v>212.0</v>
      </c>
    </row>
    <row r="1714">
      <c r="A1714" s="1">
        <v>3471096.0</v>
      </c>
      <c r="B1714" s="1" t="s">
        <v>3690</v>
      </c>
      <c r="C1714" s="1" t="s">
        <v>3667</v>
      </c>
      <c r="D1714" s="1" t="s">
        <v>3691</v>
      </c>
      <c r="E1714" s="1" t="s">
        <v>3692</v>
      </c>
      <c r="F1714" s="1" t="s">
        <v>272</v>
      </c>
      <c r="G1714" s="1" t="s">
        <v>27</v>
      </c>
      <c r="H1714" s="1" t="s">
        <v>18</v>
      </c>
      <c r="I1714" s="1" t="s">
        <v>59</v>
      </c>
      <c r="J1714" s="1">
        <v>42.0</v>
      </c>
      <c r="K1714" s="1">
        <v>24.0</v>
      </c>
      <c r="L1714" s="1">
        <v>262.0</v>
      </c>
    </row>
    <row r="1715">
      <c r="A1715" s="1">
        <v>3404092.0</v>
      </c>
      <c r="B1715" s="1" t="s">
        <v>3693</v>
      </c>
      <c r="C1715" s="1" t="s">
        <v>3667</v>
      </c>
      <c r="D1715" s="1" t="s">
        <v>3673</v>
      </c>
      <c r="E1715" s="1" t="s">
        <v>3694</v>
      </c>
      <c r="F1715" s="1" t="s">
        <v>16</v>
      </c>
      <c r="G1715" s="1" t="s">
        <v>23</v>
      </c>
      <c r="H1715" s="1" t="s">
        <v>18</v>
      </c>
      <c r="I1715" s="1" t="s">
        <v>19</v>
      </c>
      <c r="J1715" s="1">
        <v>51.0</v>
      </c>
      <c r="K1715" s="1">
        <v>36.0</v>
      </c>
      <c r="L1715" s="1">
        <v>64.0</v>
      </c>
    </row>
    <row r="1716">
      <c r="A1716" s="1">
        <v>3401053.0</v>
      </c>
      <c r="B1716" s="1" t="s">
        <v>3695</v>
      </c>
      <c r="C1716" s="1" t="s">
        <v>3667</v>
      </c>
      <c r="D1716" s="1" t="s">
        <v>3668</v>
      </c>
      <c r="E1716" s="1" t="s">
        <v>3696</v>
      </c>
      <c r="F1716" s="1" t="s">
        <v>16</v>
      </c>
      <c r="G1716" s="1" t="s">
        <v>23</v>
      </c>
      <c r="H1716" s="1" t="s">
        <v>18</v>
      </c>
      <c r="I1716" s="1" t="s">
        <v>19</v>
      </c>
      <c r="J1716" s="1">
        <v>50.0</v>
      </c>
      <c r="K1716" s="1">
        <v>34.0</v>
      </c>
      <c r="L1716" s="1">
        <v>51.0</v>
      </c>
    </row>
    <row r="1717">
      <c r="A1717" s="1">
        <v>3471379.0</v>
      </c>
      <c r="B1717" s="1" t="s">
        <v>3697</v>
      </c>
      <c r="C1717" s="1" t="s">
        <v>3667</v>
      </c>
      <c r="D1717" s="1" t="s">
        <v>3691</v>
      </c>
      <c r="E1717" s="1" t="s">
        <v>3698</v>
      </c>
      <c r="F1717" s="1" t="s">
        <v>55</v>
      </c>
      <c r="G1717" s="1" t="s">
        <v>17</v>
      </c>
      <c r="H1717" s="1" t="s">
        <v>33</v>
      </c>
      <c r="I1717" s="1" t="s">
        <v>44</v>
      </c>
      <c r="J1717" s="1">
        <v>25.0</v>
      </c>
      <c r="K1717" s="1">
        <v>23.0</v>
      </c>
      <c r="L1717" s="1">
        <v>43.0</v>
      </c>
    </row>
    <row r="1718">
      <c r="A1718" s="1">
        <v>3402016.0</v>
      </c>
      <c r="B1718" s="1" t="s">
        <v>3699</v>
      </c>
      <c r="C1718" s="1" t="s">
        <v>3667</v>
      </c>
      <c r="D1718" s="1" t="s">
        <v>3700</v>
      </c>
      <c r="E1718" s="1" t="s">
        <v>3701</v>
      </c>
      <c r="F1718" s="1" t="s">
        <v>16</v>
      </c>
      <c r="G1718" s="1" t="s">
        <v>27</v>
      </c>
      <c r="H1718" s="1" t="s">
        <v>28</v>
      </c>
      <c r="I1718" s="1" t="s">
        <v>40</v>
      </c>
      <c r="J1718" s="1">
        <v>264.0</v>
      </c>
      <c r="K1718" s="1">
        <v>106.0</v>
      </c>
      <c r="L1718" s="1">
        <v>962.0</v>
      </c>
    </row>
    <row r="1719">
      <c r="A1719" s="1">
        <v>3471026.0</v>
      </c>
      <c r="B1719" s="1" t="s">
        <v>3702</v>
      </c>
      <c r="C1719" s="1" t="s">
        <v>3667</v>
      </c>
      <c r="D1719" s="1" t="s">
        <v>3691</v>
      </c>
      <c r="E1719" s="1" t="s">
        <v>3703</v>
      </c>
      <c r="F1719" s="1" t="s">
        <v>16</v>
      </c>
      <c r="G1719" s="1" t="s">
        <v>23</v>
      </c>
      <c r="H1719" s="1" t="s">
        <v>18</v>
      </c>
      <c r="I1719" s="1" t="s">
        <v>684</v>
      </c>
      <c r="J1719" s="1">
        <v>98.0</v>
      </c>
      <c r="K1719" s="1">
        <v>28.0</v>
      </c>
      <c r="L1719" s="1">
        <v>144.0</v>
      </c>
    </row>
    <row r="1720">
      <c r="A1720" s="1">
        <v>3403024.0</v>
      </c>
      <c r="B1720" s="1" t="s">
        <v>3704</v>
      </c>
      <c r="C1720" s="1" t="s">
        <v>3667</v>
      </c>
      <c r="D1720" s="1" t="s">
        <v>3680</v>
      </c>
      <c r="E1720" s="1" t="s">
        <v>3705</v>
      </c>
      <c r="F1720" s="1" t="s">
        <v>16</v>
      </c>
      <c r="G1720" s="1" t="s">
        <v>23</v>
      </c>
      <c r="H1720" s="1" t="s">
        <v>18</v>
      </c>
      <c r="I1720" s="1" t="s">
        <v>684</v>
      </c>
      <c r="J1720" s="1">
        <v>50.0</v>
      </c>
      <c r="K1720" s="1">
        <v>28.0</v>
      </c>
      <c r="L1720" s="1">
        <v>124.0</v>
      </c>
    </row>
    <row r="1721">
      <c r="A1721" s="1">
        <v>3404056.0</v>
      </c>
      <c r="B1721" s="1" t="s">
        <v>3706</v>
      </c>
      <c r="C1721" s="1" t="s">
        <v>3667</v>
      </c>
      <c r="D1721" s="1" t="s">
        <v>3673</v>
      </c>
      <c r="E1721" s="1" t="s">
        <v>3707</v>
      </c>
      <c r="F1721" s="1" t="s">
        <v>16</v>
      </c>
      <c r="G1721" s="1" t="s">
        <v>27</v>
      </c>
      <c r="H1721" s="1" t="s">
        <v>18</v>
      </c>
      <c r="I1721" s="1" t="s">
        <v>44</v>
      </c>
      <c r="J1721" s="1">
        <v>224.0</v>
      </c>
      <c r="K1721" s="1">
        <v>113.0</v>
      </c>
      <c r="L1721" s="1">
        <v>264.0</v>
      </c>
    </row>
    <row r="1722">
      <c r="A1722" s="1">
        <v>3404183.0</v>
      </c>
      <c r="B1722" s="1" t="s">
        <v>3708</v>
      </c>
      <c r="C1722" s="1" t="s">
        <v>3667</v>
      </c>
      <c r="D1722" s="1" t="s">
        <v>3673</v>
      </c>
      <c r="E1722" s="1" t="s">
        <v>3709</v>
      </c>
      <c r="F1722" s="1" t="s">
        <v>16</v>
      </c>
      <c r="G1722" s="1" t="s">
        <v>27</v>
      </c>
      <c r="H1722" s="1" t="s">
        <v>18</v>
      </c>
      <c r="I1722" s="1" t="s">
        <v>59</v>
      </c>
      <c r="J1722" s="1">
        <v>227.0</v>
      </c>
      <c r="K1722" s="1">
        <v>53.0</v>
      </c>
      <c r="L1722" s="1">
        <v>696.0</v>
      </c>
    </row>
    <row r="1723">
      <c r="A1723" s="1">
        <v>3404033.0</v>
      </c>
      <c r="B1723" s="1" t="s">
        <v>3710</v>
      </c>
      <c r="C1723" s="1" t="s">
        <v>3667</v>
      </c>
      <c r="D1723" s="1" t="s">
        <v>3673</v>
      </c>
      <c r="E1723" s="1" t="s">
        <v>3711</v>
      </c>
      <c r="F1723" s="1" t="s">
        <v>16</v>
      </c>
      <c r="G1723" s="1" t="s">
        <v>23</v>
      </c>
      <c r="H1723" s="1" t="s">
        <v>18</v>
      </c>
      <c r="I1723" s="1" t="s">
        <v>59</v>
      </c>
      <c r="J1723" s="1">
        <v>49.0</v>
      </c>
      <c r="K1723" s="1">
        <v>22.0</v>
      </c>
      <c r="L1723" s="1">
        <v>150.0</v>
      </c>
    </row>
    <row r="1724">
      <c r="A1724" s="1">
        <v>3402097.0</v>
      </c>
      <c r="B1724" s="1" t="s">
        <v>3712</v>
      </c>
      <c r="C1724" s="1" t="s">
        <v>3667</v>
      </c>
      <c r="D1724" s="1" t="s">
        <v>3700</v>
      </c>
      <c r="E1724" s="1" t="s">
        <v>3713</v>
      </c>
      <c r="F1724" s="1" t="s">
        <v>16</v>
      </c>
      <c r="G1724" s="1" t="s">
        <v>23</v>
      </c>
      <c r="H1724" s="1" t="s">
        <v>28</v>
      </c>
      <c r="I1724" s="1" t="s">
        <v>40</v>
      </c>
      <c r="J1724" s="1">
        <v>50.0</v>
      </c>
      <c r="K1724" s="1">
        <v>25.0</v>
      </c>
      <c r="L1724" s="1">
        <v>0.0</v>
      </c>
    </row>
    <row r="1725">
      <c r="A1725" s="1">
        <v>3471282.0</v>
      </c>
      <c r="B1725" s="1" t="s">
        <v>3714</v>
      </c>
      <c r="C1725" s="1" t="s">
        <v>3667</v>
      </c>
      <c r="D1725" s="1" t="s">
        <v>3691</v>
      </c>
      <c r="E1725" s="1" t="s">
        <v>3715</v>
      </c>
      <c r="F1725" s="1" t="s">
        <v>16</v>
      </c>
      <c r="G1725" s="1" t="s">
        <v>23</v>
      </c>
      <c r="H1725" s="1" t="s">
        <v>18</v>
      </c>
      <c r="I1725" s="1" t="s">
        <v>59</v>
      </c>
      <c r="J1725" s="1">
        <v>46.0</v>
      </c>
      <c r="K1725" s="1">
        <v>48.0</v>
      </c>
      <c r="L1725" s="1">
        <v>155.0</v>
      </c>
    </row>
    <row r="1726">
      <c r="A1726" s="1">
        <v>3471381.0</v>
      </c>
      <c r="B1726" s="1" t="s">
        <v>3716</v>
      </c>
      <c r="C1726" s="1" t="s">
        <v>3667</v>
      </c>
      <c r="D1726" s="1" t="s">
        <v>3691</v>
      </c>
      <c r="E1726" s="1" t="s">
        <v>3717</v>
      </c>
      <c r="F1726" s="1" t="s">
        <v>16</v>
      </c>
      <c r="G1726" s="1" t="s">
        <v>23</v>
      </c>
      <c r="H1726" s="1" t="s">
        <v>18</v>
      </c>
      <c r="I1726" s="1" t="s">
        <v>44</v>
      </c>
      <c r="J1726" s="1">
        <v>49.0</v>
      </c>
      <c r="K1726" s="1">
        <v>44.0</v>
      </c>
      <c r="L1726" s="1">
        <v>0.0</v>
      </c>
    </row>
    <row r="1727">
      <c r="A1727" s="1">
        <v>3403038.0</v>
      </c>
      <c r="B1727" s="1" t="s">
        <v>3718</v>
      </c>
      <c r="C1727" s="1" t="s">
        <v>3667</v>
      </c>
      <c r="D1727" s="1" t="s">
        <v>3680</v>
      </c>
      <c r="E1727" s="1" t="s">
        <v>3719</v>
      </c>
      <c r="F1727" s="1" t="s">
        <v>16</v>
      </c>
      <c r="G1727" s="1" t="s">
        <v>23</v>
      </c>
      <c r="H1727" s="1" t="s">
        <v>18</v>
      </c>
      <c r="I1727" s="1" t="s">
        <v>19</v>
      </c>
      <c r="J1727" s="1">
        <v>55.0</v>
      </c>
      <c r="K1727" s="1">
        <v>20.0</v>
      </c>
      <c r="L1727" s="1">
        <v>0.0</v>
      </c>
    </row>
    <row r="1728">
      <c r="A1728" s="1">
        <v>3404191.0</v>
      </c>
      <c r="B1728" s="1" t="s">
        <v>3720</v>
      </c>
      <c r="C1728" s="1" t="s">
        <v>3667</v>
      </c>
      <c r="D1728" s="1" t="s">
        <v>3673</v>
      </c>
      <c r="E1728" s="1" t="s">
        <v>3721</v>
      </c>
      <c r="F1728" s="1" t="s">
        <v>16</v>
      </c>
      <c r="G1728" s="1" t="s">
        <v>23</v>
      </c>
      <c r="H1728" s="1" t="s">
        <v>18</v>
      </c>
      <c r="I1728" s="1" t="s">
        <v>19</v>
      </c>
      <c r="J1728" s="1">
        <v>51.0</v>
      </c>
      <c r="K1728" s="1">
        <v>41.0</v>
      </c>
      <c r="L1728" s="1">
        <v>11.0</v>
      </c>
    </row>
    <row r="1729">
      <c r="A1729" s="1">
        <v>3402031.0</v>
      </c>
      <c r="B1729" s="1" t="s">
        <v>3722</v>
      </c>
      <c r="C1729" s="1" t="s">
        <v>3667</v>
      </c>
      <c r="D1729" s="1" t="s">
        <v>3700</v>
      </c>
      <c r="E1729" s="1" t="s">
        <v>3723</v>
      </c>
      <c r="F1729" s="1" t="s">
        <v>16</v>
      </c>
      <c r="G1729" s="1" t="s">
        <v>17</v>
      </c>
      <c r="H1729" s="1" t="s">
        <v>18</v>
      </c>
      <c r="I1729" s="1" t="s">
        <v>684</v>
      </c>
      <c r="J1729" s="1">
        <v>112.0</v>
      </c>
      <c r="K1729" s="1">
        <v>55.0</v>
      </c>
      <c r="L1729" s="1">
        <v>389.0</v>
      </c>
    </row>
    <row r="1730">
      <c r="A1730" s="1">
        <v>3471041.0</v>
      </c>
      <c r="B1730" s="1" t="s">
        <v>3724</v>
      </c>
      <c r="C1730" s="1" t="s">
        <v>3667</v>
      </c>
      <c r="D1730" s="1" t="s">
        <v>3691</v>
      </c>
      <c r="E1730" s="1" t="s">
        <v>3725</v>
      </c>
      <c r="F1730" s="1" t="s">
        <v>16</v>
      </c>
      <c r="G1730" s="1" t="s">
        <v>27</v>
      </c>
      <c r="H1730" s="1" t="s">
        <v>18</v>
      </c>
      <c r="I1730" s="1" t="s">
        <v>684</v>
      </c>
      <c r="J1730" s="1">
        <v>200.0</v>
      </c>
      <c r="K1730" s="1">
        <v>76.0</v>
      </c>
      <c r="L1730" s="1">
        <v>302.0</v>
      </c>
    </row>
    <row r="1731">
      <c r="A1731" s="1">
        <v>3401048.0</v>
      </c>
      <c r="B1731" s="1" t="s">
        <v>3726</v>
      </c>
      <c r="C1731" s="1" t="s">
        <v>3667</v>
      </c>
      <c r="D1731" s="1" t="s">
        <v>3668</v>
      </c>
      <c r="E1731" s="1" t="s">
        <v>3727</v>
      </c>
      <c r="F1731" s="1" t="s">
        <v>16</v>
      </c>
      <c r="G1731" s="1" t="s">
        <v>23</v>
      </c>
      <c r="H1731" s="1" t="s">
        <v>18</v>
      </c>
      <c r="I1731" s="1" t="s">
        <v>19</v>
      </c>
      <c r="J1731" s="1">
        <v>52.0</v>
      </c>
      <c r="K1731" s="1">
        <v>19.0</v>
      </c>
      <c r="L1731" s="1">
        <v>74.0</v>
      </c>
    </row>
    <row r="1732">
      <c r="A1732" s="1">
        <v>3404182.0</v>
      </c>
      <c r="B1732" s="1" t="s">
        <v>3728</v>
      </c>
      <c r="C1732" s="1" t="s">
        <v>3667</v>
      </c>
      <c r="D1732" s="1" t="s">
        <v>3673</v>
      </c>
      <c r="E1732" s="1" t="s">
        <v>3729</v>
      </c>
      <c r="F1732" s="1" t="s">
        <v>16</v>
      </c>
      <c r="G1732" s="1" t="s">
        <v>23</v>
      </c>
      <c r="H1732" s="1" t="s">
        <v>18</v>
      </c>
      <c r="I1732" s="1" t="s">
        <v>44</v>
      </c>
      <c r="J1732" s="1">
        <v>58.0</v>
      </c>
      <c r="K1732" s="1">
        <v>23.0</v>
      </c>
      <c r="L1732" s="1">
        <v>26.0</v>
      </c>
    </row>
    <row r="1733">
      <c r="A1733" s="1">
        <v>3471374.0</v>
      </c>
      <c r="B1733" s="1" t="s">
        <v>3730</v>
      </c>
      <c r="C1733" s="1" t="s">
        <v>3667</v>
      </c>
      <c r="D1733" s="1" t="s">
        <v>3691</v>
      </c>
      <c r="E1733" s="1" t="s">
        <v>3731</v>
      </c>
      <c r="F1733" s="1" t="s">
        <v>32</v>
      </c>
      <c r="G1733" s="1" t="s">
        <v>150</v>
      </c>
      <c r="H1733" s="1" t="s">
        <v>18</v>
      </c>
      <c r="I1733" s="1" t="s">
        <v>19</v>
      </c>
      <c r="J1733" s="1">
        <v>16.0</v>
      </c>
      <c r="K1733" s="1">
        <v>18.0</v>
      </c>
      <c r="L1733" s="1">
        <v>61.0</v>
      </c>
    </row>
    <row r="1734">
      <c r="A1734" s="1">
        <v>3404102.0</v>
      </c>
      <c r="B1734" s="1" t="s">
        <v>3732</v>
      </c>
      <c r="C1734" s="1" t="s">
        <v>3667</v>
      </c>
      <c r="D1734" s="1" t="s">
        <v>3673</v>
      </c>
      <c r="E1734" s="1" t="s">
        <v>3733</v>
      </c>
      <c r="F1734" s="1" t="s">
        <v>16</v>
      </c>
      <c r="G1734" s="1" t="s">
        <v>17</v>
      </c>
      <c r="H1734" s="1" t="s">
        <v>18</v>
      </c>
      <c r="I1734" s="1" t="s">
        <v>249</v>
      </c>
      <c r="J1734" s="1">
        <v>56.0</v>
      </c>
      <c r="K1734" s="1">
        <v>46.0</v>
      </c>
      <c r="L1734" s="1">
        <v>167.0</v>
      </c>
    </row>
    <row r="1735">
      <c r="A1735" s="1">
        <v>3471336.0</v>
      </c>
      <c r="B1735" s="1" t="s">
        <v>3734</v>
      </c>
      <c r="C1735" s="1" t="s">
        <v>3667</v>
      </c>
      <c r="D1735" s="1" t="s">
        <v>3691</v>
      </c>
      <c r="E1735" s="1" t="s">
        <v>3735</v>
      </c>
      <c r="F1735" s="1" t="s">
        <v>16</v>
      </c>
      <c r="G1735" s="1" t="s">
        <v>23</v>
      </c>
      <c r="H1735" s="1" t="s">
        <v>18</v>
      </c>
      <c r="I1735" s="1" t="s">
        <v>59</v>
      </c>
      <c r="J1735" s="1">
        <v>50.0</v>
      </c>
      <c r="K1735" s="1">
        <v>26.0</v>
      </c>
      <c r="L1735" s="1">
        <v>163.0</v>
      </c>
    </row>
    <row r="1736">
      <c r="A1736" s="1">
        <v>3401052.0</v>
      </c>
      <c r="B1736" s="1" t="s">
        <v>3736</v>
      </c>
      <c r="C1736" s="1" t="s">
        <v>3667</v>
      </c>
      <c r="D1736" s="1" t="s">
        <v>3668</v>
      </c>
      <c r="E1736" s="1" t="s">
        <v>3737</v>
      </c>
      <c r="F1736" s="1" t="s">
        <v>16</v>
      </c>
      <c r="G1736" s="1" t="s">
        <v>17</v>
      </c>
      <c r="H1736" s="1" t="s">
        <v>28</v>
      </c>
      <c r="I1736" s="1" t="s">
        <v>40</v>
      </c>
      <c r="J1736" s="1">
        <v>187.0</v>
      </c>
      <c r="K1736" s="1">
        <v>36.0</v>
      </c>
      <c r="L1736" s="1">
        <v>283.0</v>
      </c>
    </row>
    <row r="1737">
      <c r="A1737" s="1">
        <v>3471107.0</v>
      </c>
      <c r="B1737" s="1" t="s">
        <v>3738</v>
      </c>
      <c r="C1737" s="1" t="s">
        <v>3667</v>
      </c>
      <c r="D1737" s="1" t="s">
        <v>3691</v>
      </c>
      <c r="E1737" s="1" t="s">
        <v>3739</v>
      </c>
      <c r="F1737" s="1" t="s">
        <v>55</v>
      </c>
      <c r="G1737" s="1" t="s">
        <v>17</v>
      </c>
      <c r="H1737" s="1" t="s">
        <v>18</v>
      </c>
      <c r="I1737" s="1" t="s">
        <v>684</v>
      </c>
      <c r="J1737" s="1">
        <v>34.0</v>
      </c>
      <c r="K1737" s="1">
        <v>19.0</v>
      </c>
      <c r="L1737" s="1">
        <v>80.0</v>
      </c>
    </row>
    <row r="1738">
      <c r="A1738" s="1">
        <v>3402053.0</v>
      </c>
      <c r="B1738" s="1" t="s">
        <v>3740</v>
      </c>
      <c r="C1738" s="1" t="s">
        <v>3667</v>
      </c>
      <c r="D1738" s="1" t="s">
        <v>3700</v>
      </c>
      <c r="E1738" s="1" t="s">
        <v>3741</v>
      </c>
      <c r="F1738" s="1" t="s">
        <v>16</v>
      </c>
      <c r="G1738" s="1" t="s">
        <v>23</v>
      </c>
      <c r="H1738" s="1" t="s">
        <v>18</v>
      </c>
      <c r="I1738" s="1" t="s">
        <v>59</v>
      </c>
      <c r="J1738" s="1">
        <v>52.0</v>
      </c>
      <c r="K1738" s="1">
        <v>39.0</v>
      </c>
      <c r="L1738" s="1">
        <v>173.0</v>
      </c>
    </row>
    <row r="1739">
      <c r="A1739" s="1">
        <v>3471063.0</v>
      </c>
      <c r="B1739" s="1" t="s">
        <v>3742</v>
      </c>
      <c r="C1739" s="1" t="s">
        <v>3667</v>
      </c>
      <c r="D1739" s="1" t="s">
        <v>3691</v>
      </c>
      <c r="E1739" s="1" t="s">
        <v>3743</v>
      </c>
      <c r="F1739" s="1" t="s">
        <v>16</v>
      </c>
      <c r="G1739" s="1" t="s">
        <v>27</v>
      </c>
      <c r="H1739" s="1" t="s">
        <v>18</v>
      </c>
      <c r="I1739" s="1" t="s">
        <v>59</v>
      </c>
      <c r="J1739" s="1">
        <v>320.0</v>
      </c>
      <c r="K1739" s="1">
        <v>105.0</v>
      </c>
      <c r="L1739" s="1">
        <v>742.0</v>
      </c>
    </row>
    <row r="1740">
      <c r="A1740" s="1">
        <v>3402086.0</v>
      </c>
      <c r="B1740" s="1" t="s">
        <v>3744</v>
      </c>
      <c r="C1740" s="1" t="s">
        <v>3667</v>
      </c>
      <c r="D1740" s="1" t="s">
        <v>3700</v>
      </c>
      <c r="E1740" s="1" t="s">
        <v>3745</v>
      </c>
      <c r="F1740" s="1" t="s">
        <v>16</v>
      </c>
      <c r="G1740" s="1" t="s">
        <v>23</v>
      </c>
      <c r="H1740" s="1" t="s">
        <v>18</v>
      </c>
      <c r="I1740" s="1" t="s">
        <v>59</v>
      </c>
      <c r="J1740" s="1">
        <v>50.0</v>
      </c>
      <c r="K1740" s="1">
        <v>39.0</v>
      </c>
      <c r="L1740" s="1">
        <v>271.0</v>
      </c>
    </row>
    <row r="1741">
      <c r="A1741" s="1">
        <v>3404190.0</v>
      </c>
      <c r="B1741" s="1" t="s">
        <v>465</v>
      </c>
      <c r="C1741" s="1" t="s">
        <v>3667</v>
      </c>
      <c r="D1741" s="1" t="s">
        <v>3673</v>
      </c>
      <c r="E1741" s="1" t="s">
        <v>3746</v>
      </c>
      <c r="F1741" s="1" t="s">
        <v>16</v>
      </c>
      <c r="G1741" s="1" t="s">
        <v>23</v>
      </c>
      <c r="H1741" s="1" t="s">
        <v>18</v>
      </c>
      <c r="I1741" s="1" t="s">
        <v>44</v>
      </c>
      <c r="J1741" s="1">
        <v>50.0</v>
      </c>
      <c r="K1741" s="1">
        <v>22.0</v>
      </c>
      <c r="L1741" s="1">
        <v>11.0</v>
      </c>
    </row>
    <row r="1742">
      <c r="A1742" s="1">
        <v>3404196.0</v>
      </c>
      <c r="B1742" s="1" t="s">
        <v>3747</v>
      </c>
      <c r="C1742" s="1" t="s">
        <v>3667</v>
      </c>
      <c r="D1742" s="1" t="s">
        <v>3673</v>
      </c>
      <c r="E1742" s="1" t="s">
        <v>3748</v>
      </c>
      <c r="F1742" s="1" t="s">
        <v>16</v>
      </c>
      <c r="G1742" s="1" t="s">
        <v>23</v>
      </c>
      <c r="H1742" s="1" t="s">
        <v>18</v>
      </c>
      <c r="I1742" s="1" t="s">
        <v>19</v>
      </c>
      <c r="J1742" s="1">
        <v>50.0</v>
      </c>
      <c r="K1742" s="1">
        <v>18.0</v>
      </c>
      <c r="L1742" s="1">
        <v>8.0</v>
      </c>
    </row>
    <row r="1743">
      <c r="A1743" s="1">
        <v>3401050.0</v>
      </c>
      <c r="B1743" s="1" t="s">
        <v>3749</v>
      </c>
      <c r="C1743" s="1" t="s">
        <v>3667</v>
      </c>
      <c r="D1743" s="1" t="s">
        <v>3668</v>
      </c>
      <c r="E1743" s="1" t="s">
        <v>3750</v>
      </c>
      <c r="F1743" s="1" t="s">
        <v>16</v>
      </c>
      <c r="G1743" s="1" t="s">
        <v>23</v>
      </c>
      <c r="H1743" s="1" t="s">
        <v>18</v>
      </c>
      <c r="I1743" s="1" t="s">
        <v>59</v>
      </c>
      <c r="J1743" s="1">
        <v>51.0</v>
      </c>
      <c r="K1743" s="1">
        <v>22.0</v>
      </c>
      <c r="L1743" s="1">
        <v>52.0</v>
      </c>
    </row>
    <row r="1744">
      <c r="A1744" s="1">
        <v>3404146.0</v>
      </c>
      <c r="B1744" s="1" t="s">
        <v>3751</v>
      </c>
      <c r="C1744" s="1" t="s">
        <v>3667</v>
      </c>
      <c r="D1744" s="1" t="s">
        <v>3673</v>
      </c>
      <c r="E1744" s="1" t="s">
        <v>3752</v>
      </c>
      <c r="F1744" s="1" t="s">
        <v>16</v>
      </c>
      <c r="G1744" s="1" t="s">
        <v>17</v>
      </c>
      <c r="H1744" s="1" t="s">
        <v>18</v>
      </c>
      <c r="I1744" s="1" t="s">
        <v>59</v>
      </c>
      <c r="J1744" s="1">
        <v>125.0</v>
      </c>
      <c r="K1744" s="1">
        <v>58.0</v>
      </c>
      <c r="L1744" s="1">
        <v>472.0</v>
      </c>
    </row>
    <row r="1745">
      <c r="A1745" s="1">
        <v>3471373.0</v>
      </c>
      <c r="B1745" s="1" t="s">
        <v>3753</v>
      </c>
      <c r="C1745" s="1" t="s">
        <v>3667</v>
      </c>
      <c r="D1745" s="1" t="s">
        <v>3691</v>
      </c>
      <c r="E1745" s="1" t="s">
        <v>3754</v>
      </c>
      <c r="F1745" s="1" t="s">
        <v>16</v>
      </c>
      <c r="G1745" s="1" t="s">
        <v>17</v>
      </c>
      <c r="H1745" s="1" t="s">
        <v>18</v>
      </c>
      <c r="I1745" s="1" t="s">
        <v>19</v>
      </c>
      <c r="J1745" s="1">
        <v>101.0</v>
      </c>
      <c r="K1745" s="1">
        <v>234.0</v>
      </c>
      <c r="L1745" s="1">
        <v>185.0</v>
      </c>
    </row>
    <row r="1746">
      <c r="A1746" s="1">
        <v>3401015.0</v>
      </c>
      <c r="B1746" s="1" t="s">
        <v>3755</v>
      </c>
      <c r="C1746" s="1" t="s">
        <v>3667</v>
      </c>
      <c r="D1746" s="1" t="s">
        <v>3668</v>
      </c>
      <c r="E1746" s="1" t="s">
        <v>3756</v>
      </c>
      <c r="F1746" s="1" t="s">
        <v>16</v>
      </c>
      <c r="G1746" s="1" t="s">
        <v>27</v>
      </c>
      <c r="H1746" s="1" t="s">
        <v>28</v>
      </c>
      <c r="I1746" s="1" t="s">
        <v>40</v>
      </c>
      <c r="J1746" s="1">
        <v>241.0</v>
      </c>
      <c r="K1746" s="1">
        <v>61.0</v>
      </c>
      <c r="L1746" s="1">
        <v>719.0</v>
      </c>
    </row>
    <row r="1747">
      <c r="A1747" s="1">
        <v>3403021.0</v>
      </c>
      <c r="B1747" s="1" t="s">
        <v>3757</v>
      </c>
      <c r="C1747" s="1" t="s">
        <v>3667</v>
      </c>
      <c r="D1747" s="1" t="s">
        <v>3680</v>
      </c>
      <c r="E1747" s="1" t="s">
        <v>3758</v>
      </c>
      <c r="F1747" s="1" t="s">
        <v>16</v>
      </c>
      <c r="G1747" s="1" t="s">
        <v>23</v>
      </c>
      <c r="H1747" s="1" t="s">
        <v>18</v>
      </c>
      <c r="I1747" s="1" t="s">
        <v>44</v>
      </c>
      <c r="J1747" s="1">
        <v>50.0</v>
      </c>
      <c r="K1747" s="1">
        <v>32.0</v>
      </c>
      <c r="L1747" s="1">
        <v>146.0</v>
      </c>
    </row>
    <row r="1748">
      <c r="A1748" s="1">
        <v>3471085.0</v>
      </c>
      <c r="B1748" s="1" t="s">
        <v>3759</v>
      </c>
      <c r="C1748" s="1" t="s">
        <v>3667</v>
      </c>
      <c r="D1748" s="1" t="s">
        <v>3691</v>
      </c>
      <c r="E1748" s="1" t="s">
        <v>3760</v>
      </c>
      <c r="G1748" s="1" t="s">
        <v>174</v>
      </c>
      <c r="H1748" s="1" t="s">
        <v>17</v>
      </c>
      <c r="I1748" s="1" t="s">
        <v>18</v>
      </c>
      <c r="J1748" s="1">
        <v>1296.0</v>
      </c>
      <c r="K1748" s="1">
        <v>27.0</v>
      </c>
      <c r="L1748" s="1">
        <v>13.0</v>
      </c>
    </row>
    <row r="1749">
      <c r="A1749" s="1">
        <v>3404081.0</v>
      </c>
      <c r="B1749" s="1" t="s">
        <v>3761</v>
      </c>
      <c r="C1749" s="1" t="s">
        <v>3667</v>
      </c>
      <c r="D1749" s="1" t="s">
        <v>3673</v>
      </c>
      <c r="E1749" s="1" t="s">
        <v>3762</v>
      </c>
      <c r="F1749" s="1" t="s">
        <v>16</v>
      </c>
      <c r="G1749" s="1" t="s">
        <v>23</v>
      </c>
      <c r="H1749" s="1" t="s">
        <v>18</v>
      </c>
      <c r="I1749" s="1" t="s">
        <v>19</v>
      </c>
      <c r="J1749" s="1">
        <v>80.0</v>
      </c>
      <c r="K1749" s="1">
        <v>50.0</v>
      </c>
      <c r="L1749" s="1">
        <v>219.0</v>
      </c>
    </row>
    <row r="1750">
      <c r="A1750" s="1">
        <v>3402077.0</v>
      </c>
      <c r="B1750" s="1" t="s">
        <v>3763</v>
      </c>
      <c r="C1750" s="1" t="s">
        <v>3667</v>
      </c>
      <c r="D1750" s="1" t="s">
        <v>3700</v>
      </c>
      <c r="E1750" s="1" t="s">
        <v>3764</v>
      </c>
      <c r="F1750" s="1" t="s">
        <v>16</v>
      </c>
      <c r="G1750" s="1" t="s">
        <v>23</v>
      </c>
      <c r="H1750" s="1" t="s">
        <v>18</v>
      </c>
      <c r="I1750" s="1" t="s">
        <v>44</v>
      </c>
      <c r="J1750" s="1">
        <v>58.0</v>
      </c>
      <c r="K1750" s="1">
        <v>28.0</v>
      </c>
      <c r="L1750" s="1">
        <v>136.0</v>
      </c>
    </row>
    <row r="1751">
      <c r="A1751" s="1">
        <v>3403023.0</v>
      </c>
      <c r="B1751" s="1" t="s">
        <v>3305</v>
      </c>
      <c r="C1751" s="1" t="s">
        <v>3667</v>
      </c>
      <c r="D1751" s="1" t="s">
        <v>3680</v>
      </c>
      <c r="E1751" s="1" t="s">
        <v>3765</v>
      </c>
      <c r="F1751" s="1" t="s">
        <v>16</v>
      </c>
      <c r="G1751" s="1" t="s">
        <v>17</v>
      </c>
      <c r="H1751" s="1" t="s">
        <v>18</v>
      </c>
      <c r="I1751" s="1" t="s">
        <v>19</v>
      </c>
      <c r="J1751" s="1">
        <v>109.0</v>
      </c>
      <c r="K1751" s="1">
        <v>31.0</v>
      </c>
      <c r="L1751" s="1">
        <v>187.0</v>
      </c>
    </row>
    <row r="1752">
      <c r="A1752" s="1">
        <v>3402084.0</v>
      </c>
      <c r="B1752" s="1" t="s">
        <v>3766</v>
      </c>
      <c r="C1752" s="1" t="s">
        <v>3667</v>
      </c>
      <c r="D1752" s="1" t="s">
        <v>3700</v>
      </c>
      <c r="E1752" s="1" t="s">
        <v>3767</v>
      </c>
      <c r="F1752" s="1" t="s">
        <v>16</v>
      </c>
      <c r="G1752" s="1" t="s">
        <v>17</v>
      </c>
      <c r="H1752" s="1" t="s">
        <v>18</v>
      </c>
      <c r="I1752" s="1" t="s">
        <v>19</v>
      </c>
      <c r="J1752" s="1">
        <v>120.0</v>
      </c>
      <c r="K1752" s="1">
        <v>62.0</v>
      </c>
      <c r="L1752" s="1">
        <v>330.0</v>
      </c>
    </row>
    <row r="1753">
      <c r="A1753" s="1">
        <v>3401037.0</v>
      </c>
      <c r="B1753" s="1" t="s">
        <v>3768</v>
      </c>
      <c r="C1753" s="1" t="s">
        <v>3667</v>
      </c>
      <c r="D1753" s="1" t="s">
        <v>3668</v>
      </c>
      <c r="E1753" s="1" t="s">
        <v>3769</v>
      </c>
      <c r="F1753" s="1" t="s">
        <v>16</v>
      </c>
      <c r="G1753" s="1" t="s">
        <v>23</v>
      </c>
      <c r="H1753" s="1" t="s">
        <v>18</v>
      </c>
      <c r="I1753" s="1" t="s">
        <v>59</v>
      </c>
      <c r="J1753" s="1">
        <v>52.0</v>
      </c>
      <c r="K1753" s="1">
        <v>27.0</v>
      </c>
      <c r="L1753" s="1">
        <v>109.0</v>
      </c>
    </row>
    <row r="1754">
      <c r="A1754" s="1">
        <v>3404015.0</v>
      </c>
      <c r="B1754" s="1" t="s">
        <v>3770</v>
      </c>
      <c r="C1754" s="1" t="s">
        <v>3667</v>
      </c>
      <c r="D1754" s="1" t="s">
        <v>3673</v>
      </c>
      <c r="E1754" s="1" t="s">
        <v>3771</v>
      </c>
      <c r="F1754" s="1" t="s">
        <v>16</v>
      </c>
      <c r="G1754" s="1" t="s">
        <v>150</v>
      </c>
      <c r="H1754" s="1" t="s">
        <v>33</v>
      </c>
      <c r="I1754" s="1" t="s">
        <v>411</v>
      </c>
      <c r="J1754" s="1">
        <v>729.0</v>
      </c>
      <c r="K1754" s="1">
        <v>280.0</v>
      </c>
      <c r="L1754" s="1">
        <v>3454.0</v>
      </c>
    </row>
    <row r="1755">
      <c r="A1755" s="1">
        <v>3471377.0</v>
      </c>
      <c r="B1755" s="1" t="s">
        <v>3772</v>
      </c>
      <c r="C1755" s="1" t="s">
        <v>3667</v>
      </c>
      <c r="D1755" s="1" t="s">
        <v>3691</v>
      </c>
      <c r="E1755" s="1" t="s">
        <v>3773</v>
      </c>
      <c r="F1755" s="1" t="s">
        <v>16</v>
      </c>
      <c r="G1755" s="1" t="s">
        <v>23</v>
      </c>
      <c r="H1755" s="1" t="s">
        <v>18</v>
      </c>
      <c r="I1755" s="1" t="s">
        <v>29</v>
      </c>
      <c r="J1755" s="1">
        <v>53.0</v>
      </c>
      <c r="K1755" s="1">
        <v>35.0</v>
      </c>
      <c r="L1755" s="1">
        <v>171.0</v>
      </c>
    </row>
    <row r="1756">
      <c r="A1756" s="1">
        <v>3404210.0</v>
      </c>
      <c r="B1756" s="1" t="s">
        <v>3774</v>
      </c>
      <c r="C1756" s="1" t="s">
        <v>3667</v>
      </c>
      <c r="D1756" s="1" t="s">
        <v>3673</v>
      </c>
      <c r="E1756" s="1" t="s">
        <v>3775</v>
      </c>
      <c r="F1756" s="1" t="s">
        <v>16</v>
      </c>
      <c r="G1756" s="1" t="s">
        <v>17</v>
      </c>
      <c r="H1756" s="1" t="s">
        <v>18</v>
      </c>
      <c r="I1756" s="1" t="s">
        <v>684</v>
      </c>
      <c r="J1756" s="1">
        <v>102.0</v>
      </c>
      <c r="K1756" s="1">
        <v>28.0</v>
      </c>
      <c r="L1756" s="1">
        <v>0.0</v>
      </c>
    </row>
    <row r="1757">
      <c r="A1757" s="1">
        <v>3404187.0</v>
      </c>
      <c r="B1757" s="1" t="s">
        <v>3776</v>
      </c>
      <c r="C1757" s="1" t="s">
        <v>3667</v>
      </c>
      <c r="D1757" s="1" t="s">
        <v>3673</v>
      </c>
      <c r="E1757" s="1" t="s">
        <v>3777</v>
      </c>
      <c r="F1757" s="1" t="s">
        <v>55</v>
      </c>
      <c r="G1757" s="1" t="s">
        <v>17</v>
      </c>
      <c r="H1757" s="1" t="s">
        <v>18</v>
      </c>
      <c r="I1757" s="1" t="s">
        <v>44</v>
      </c>
      <c r="J1757" s="1">
        <v>49.0</v>
      </c>
      <c r="K1757" s="1">
        <v>32.0</v>
      </c>
      <c r="L1757" s="1">
        <v>199.0</v>
      </c>
    </row>
    <row r="1758">
      <c r="A1758" s="1">
        <v>3404022.0</v>
      </c>
      <c r="B1758" s="1" t="s">
        <v>3778</v>
      </c>
      <c r="C1758" s="1" t="s">
        <v>3667</v>
      </c>
      <c r="D1758" s="1" t="s">
        <v>3673</v>
      </c>
      <c r="E1758" s="1" t="s">
        <v>3779</v>
      </c>
      <c r="F1758" s="1" t="s">
        <v>174</v>
      </c>
      <c r="G1758" s="1" t="s">
        <v>150</v>
      </c>
      <c r="H1758" s="1" t="s">
        <v>28</v>
      </c>
      <c r="I1758" s="1" t="s">
        <v>139</v>
      </c>
      <c r="J1758" s="1">
        <v>202.0</v>
      </c>
      <c r="K1758" s="1">
        <v>59.0</v>
      </c>
      <c r="L1758" s="1">
        <v>395.0</v>
      </c>
    </row>
    <row r="1759">
      <c r="A1759" s="1">
        <v>3402080.0</v>
      </c>
      <c r="B1759" s="1" t="s">
        <v>3780</v>
      </c>
      <c r="C1759" s="1" t="s">
        <v>3667</v>
      </c>
      <c r="D1759" s="1" t="s">
        <v>3700</v>
      </c>
      <c r="E1759" s="1" t="s">
        <v>3781</v>
      </c>
      <c r="F1759" s="1" t="s">
        <v>55</v>
      </c>
      <c r="G1759" s="1" t="s">
        <v>17</v>
      </c>
      <c r="H1759" s="1" t="s">
        <v>18</v>
      </c>
      <c r="I1759" s="1" t="s">
        <v>44</v>
      </c>
      <c r="J1759" s="1">
        <v>25.0</v>
      </c>
      <c r="K1759" s="1">
        <v>16.0</v>
      </c>
      <c r="L1759" s="1">
        <v>32.0</v>
      </c>
    </row>
    <row r="1760">
      <c r="A1760" s="1">
        <v>3403026.0</v>
      </c>
      <c r="B1760" s="1" t="s">
        <v>3782</v>
      </c>
      <c r="C1760" s="1" t="s">
        <v>3667</v>
      </c>
      <c r="D1760" s="1" t="s">
        <v>3680</v>
      </c>
      <c r="E1760" s="1" t="s">
        <v>3783</v>
      </c>
      <c r="F1760" s="1" t="s">
        <v>55</v>
      </c>
      <c r="G1760" s="1" t="s">
        <v>17</v>
      </c>
      <c r="H1760" s="1" t="s">
        <v>18</v>
      </c>
      <c r="I1760" s="1" t="s">
        <v>19</v>
      </c>
      <c r="J1760" s="1">
        <v>28.0</v>
      </c>
      <c r="K1760" s="1">
        <v>21.0</v>
      </c>
      <c r="L1760" s="1">
        <v>16.0</v>
      </c>
    </row>
    <row r="1761">
      <c r="A1761" s="1">
        <v>3471121.0</v>
      </c>
      <c r="B1761" s="1" t="s">
        <v>3784</v>
      </c>
      <c r="C1761" s="1" t="s">
        <v>3667</v>
      </c>
      <c r="D1761" s="1" t="s">
        <v>3700</v>
      </c>
      <c r="E1761" s="1" t="s">
        <v>3785</v>
      </c>
      <c r="F1761" s="1" t="s">
        <v>473</v>
      </c>
      <c r="G1761" s="1" t="s">
        <v>17</v>
      </c>
      <c r="H1761" s="1" t="s">
        <v>18</v>
      </c>
      <c r="I1761" s="1" t="s">
        <v>139</v>
      </c>
      <c r="J1761" s="1">
        <v>25.0</v>
      </c>
      <c r="K1761" s="1">
        <v>27.0</v>
      </c>
      <c r="L1761" s="1">
        <v>147.0</v>
      </c>
    </row>
    <row r="1762">
      <c r="A1762" s="1">
        <v>3471234.0</v>
      </c>
      <c r="B1762" s="1" t="s">
        <v>3786</v>
      </c>
      <c r="C1762" s="1" t="s">
        <v>3667</v>
      </c>
      <c r="D1762" s="1" t="s">
        <v>3691</v>
      </c>
      <c r="E1762" s="1" t="s">
        <v>3787</v>
      </c>
      <c r="F1762" s="1" t="s">
        <v>16</v>
      </c>
      <c r="G1762" s="1" t="s">
        <v>27</v>
      </c>
      <c r="H1762" s="1" t="s">
        <v>28</v>
      </c>
      <c r="I1762" s="1" t="s">
        <v>29</v>
      </c>
      <c r="J1762" s="1">
        <v>210.0</v>
      </c>
      <c r="K1762" s="1">
        <v>90.0</v>
      </c>
      <c r="L1762" s="1">
        <v>479.0</v>
      </c>
    </row>
    <row r="1763">
      <c r="A1763" s="1">
        <v>3404168.0</v>
      </c>
      <c r="B1763" s="1" t="s">
        <v>3788</v>
      </c>
      <c r="C1763" s="1" t="s">
        <v>3667</v>
      </c>
      <c r="D1763" s="1" t="s">
        <v>3673</v>
      </c>
      <c r="E1763" s="1" t="s">
        <v>3789</v>
      </c>
      <c r="F1763" s="1" t="s">
        <v>16</v>
      </c>
      <c r="G1763" s="1" t="s">
        <v>17</v>
      </c>
      <c r="H1763" s="1" t="s">
        <v>28</v>
      </c>
      <c r="I1763" s="1" t="s">
        <v>40</v>
      </c>
      <c r="J1763" s="1">
        <v>104.0</v>
      </c>
      <c r="K1763" s="1">
        <v>37.0</v>
      </c>
      <c r="L1763" s="1">
        <v>248.0</v>
      </c>
    </row>
    <row r="1764">
      <c r="A1764" s="1">
        <v>3402020.0</v>
      </c>
      <c r="B1764" s="1" t="s">
        <v>3790</v>
      </c>
      <c r="C1764" s="1" t="s">
        <v>3667</v>
      </c>
      <c r="D1764" s="1" t="s">
        <v>3700</v>
      </c>
      <c r="E1764" s="1" t="s">
        <v>3791</v>
      </c>
      <c r="F1764" s="1" t="s">
        <v>16</v>
      </c>
      <c r="G1764" s="1" t="s">
        <v>23</v>
      </c>
      <c r="H1764" s="1" t="s">
        <v>18</v>
      </c>
      <c r="I1764" s="1" t="s">
        <v>249</v>
      </c>
      <c r="J1764" s="1">
        <v>48.0</v>
      </c>
      <c r="K1764" s="1">
        <v>43.0</v>
      </c>
      <c r="L1764" s="1">
        <v>205.0</v>
      </c>
    </row>
    <row r="1765">
      <c r="A1765" s="1">
        <v>3471030.0</v>
      </c>
      <c r="B1765" s="1" t="s">
        <v>3792</v>
      </c>
      <c r="C1765" s="1" t="s">
        <v>3667</v>
      </c>
      <c r="D1765" s="1" t="s">
        <v>3691</v>
      </c>
      <c r="E1765" s="1" t="s">
        <v>3793</v>
      </c>
      <c r="F1765" s="1" t="s">
        <v>16</v>
      </c>
      <c r="G1765" s="1" t="s">
        <v>17</v>
      </c>
      <c r="H1765" s="1" t="s">
        <v>18</v>
      </c>
      <c r="I1765" s="1" t="s">
        <v>74</v>
      </c>
      <c r="J1765" s="1">
        <v>102.0</v>
      </c>
      <c r="K1765" s="1">
        <v>74.0</v>
      </c>
      <c r="L1765" s="1">
        <v>235.0</v>
      </c>
    </row>
    <row r="1766">
      <c r="A1766" s="1">
        <v>3402081.0</v>
      </c>
      <c r="B1766" s="1" t="s">
        <v>3794</v>
      </c>
      <c r="C1766" s="1" t="s">
        <v>3667</v>
      </c>
      <c r="D1766" s="1" t="s">
        <v>3700</v>
      </c>
      <c r="E1766" s="1" t="s">
        <v>3795</v>
      </c>
      <c r="F1766" s="1" t="s">
        <v>255</v>
      </c>
      <c r="G1766" s="1" t="s">
        <v>17</v>
      </c>
      <c r="H1766" s="1" t="s">
        <v>18</v>
      </c>
      <c r="I1766" s="1" t="s">
        <v>19</v>
      </c>
      <c r="J1766" s="1">
        <v>25.0</v>
      </c>
      <c r="K1766" s="1">
        <v>15.0</v>
      </c>
      <c r="L1766" s="1">
        <v>43.0</v>
      </c>
    </row>
    <row r="1767">
      <c r="A1767" s="1">
        <v>3404184.0</v>
      </c>
      <c r="B1767" s="1" t="s">
        <v>3796</v>
      </c>
      <c r="C1767" s="1" t="s">
        <v>3667</v>
      </c>
      <c r="D1767" s="1" t="s">
        <v>3673</v>
      </c>
      <c r="E1767" s="1" t="s">
        <v>3797</v>
      </c>
      <c r="F1767" s="1" t="s">
        <v>16</v>
      </c>
      <c r="G1767" s="1" t="s">
        <v>23</v>
      </c>
      <c r="H1767" s="1" t="s">
        <v>33</v>
      </c>
      <c r="I1767" s="1" t="s">
        <v>65</v>
      </c>
      <c r="J1767" s="1">
        <v>60.0</v>
      </c>
      <c r="K1767" s="1">
        <v>51.0</v>
      </c>
      <c r="L1767" s="1">
        <v>62.0</v>
      </c>
    </row>
    <row r="1768">
      <c r="A1768" s="1">
        <v>3404070.0</v>
      </c>
      <c r="B1768" s="1" t="s">
        <v>3798</v>
      </c>
      <c r="C1768" s="1" t="s">
        <v>3667</v>
      </c>
      <c r="D1768" s="1" t="s">
        <v>3673</v>
      </c>
      <c r="E1768" s="1" t="s">
        <v>3799</v>
      </c>
      <c r="F1768" s="1" t="s">
        <v>255</v>
      </c>
      <c r="G1768" s="1" t="s">
        <v>17</v>
      </c>
      <c r="H1768" s="1" t="s">
        <v>18</v>
      </c>
      <c r="I1768" s="1" t="s">
        <v>59</v>
      </c>
      <c r="J1768" s="1">
        <v>35.0</v>
      </c>
      <c r="K1768" s="1">
        <v>30.0</v>
      </c>
      <c r="L1768" s="1">
        <v>152.0</v>
      </c>
    </row>
    <row r="1769">
      <c r="A1769" s="1">
        <v>3471325.0</v>
      </c>
      <c r="B1769" s="1" t="s">
        <v>3800</v>
      </c>
      <c r="C1769" s="1" t="s">
        <v>3667</v>
      </c>
      <c r="D1769" s="1" t="s">
        <v>3691</v>
      </c>
      <c r="E1769" s="1" t="s">
        <v>3801</v>
      </c>
      <c r="F1769" s="1" t="s">
        <v>55</v>
      </c>
      <c r="G1769" s="1" t="s">
        <v>17</v>
      </c>
      <c r="H1769" s="1" t="s">
        <v>18</v>
      </c>
      <c r="I1769" s="1" t="s">
        <v>59</v>
      </c>
      <c r="J1769" s="1">
        <v>23.0</v>
      </c>
      <c r="K1769" s="1">
        <v>16.0</v>
      </c>
      <c r="L1769" s="1">
        <v>47.0</v>
      </c>
    </row>
    <row r="1770">
      <c r="A1770" s="1">
        <v>3402042.0</v>
      </c>
      <c r="B1770" s="1" t="s">
        <v>3802</v>
      </c>
      <c r="C1770" s="1" t="s">
        <v>3667</v>
      </c>
      <c r="D1770" s="1" t="s">
        <v>3700</v>
      </c>
      <c r="E1770" s="1" t="s">
        <v>3803</v>
      </c>
      <c r="F1770" s="1" t="s">
        <v>55</v>
      </c>
      <c r="G1770" s="1" t="s">
        <v>17</v>
      </c>
      <c r="H1770" s="1" t="s">
        <v>18</v>
      </c>
      <c r="I1770" s="1" t="s">
        <v>59</v>
      </c>
      <c r="J1770" s="1">
        <v>25.0</v>
      </c>
      <c r="K1770" s="1">
        <v>6.0</v>
      </c>
      <c r="L1770" s="1">
        <v>72.0</v>
      </c>
    </row>
    <row r="1771">
      <c r="A1771" s="1">
        <v>3471052.0</v>
      </c>
      <c r="B1771" s="1" t="s">
        <v>3804</v>
      </c>
      <c r="C1771" s="1" t="s">
        <v>3667</v>
      </c>
      <c r="D1771" s="1" t="s">
        <v>3691</v>
      </c>
      <c r="E1771" s="1" t="s">
        <v>3805</v>
      </c>
      <c r="F1771" s="1" t="s">
        <v>16</v>
      </c>
      <c r="G1771" s="1" t="s">
        <v>27</v>
      </c>
      <c r="H1771" s="1" t="s">
        <v>18</v>
      </c>
      <c r="I1771" s="1" t="s">
        <v>59</v>
      </c>
      <c r="J1771" s="1">
        <v>300.0</v>
      </c>
      <c r="K1771" s="1">
        <v>115.0</v>
      </c>
      <c r="L1771" s="1">
        <v>1508.0</v>
      </c>
    </row>
    <row r="1772">
      <c r="A1772" s="1">
        <v>3402064.0</v>
      </c>
      <c r="B1772" s="1" t="s">
        <v>3806</v>
      </c>
      <c r="C1772" s="1" t="s">
        <v>3667</v>
      </c>
      <c r="D1772" s="1" t="s">
        <v>3700</v>
      </c>
      <c r="E1772" s="1" t="s">
        <v>3807</v>
      </c>
      <c r="F1772" s="1" t="s">
        <v>16</v>
      </c>
      <c r="G1772" s="1" t="s">
        <v>17</v>
      </c>
      <c r="H1772" s="1" t="s">
        <v>18</v>
      </c>
      <c r="I1772" s="1" t="s">
        <v>59</v>
      </c>
      <c r="J1772" s="1">
        <v>98.0</v>
      </c>
      <c r="K1772" s="1">
        <v>23.0</v>
      </c>
      <c r="L1772" s="1">
        <v>154.0</v>
      </c>
    </row>
    <row r="1773">
      <c r="A1773" s="1">
        <v>3403027.0</v>
      </c>
      <c r="B1773" s="1" t="s">
        <v>3808</v>
      </c>
      <c r="C1773" s="1" t="s">
        <v>3667</v>
      </c>
      <c r="D1773" s="1" t="s">
        <v>3680</v>
      </c>
      <c r="E1773" s="1" t="s">
        <v>3809</v>
      </c>
      <c r="F1773" s="1" t="s">
        <v>16</v>
      </c>
      <c r="G1773" s="1" t="s">
        <v>23</v>
      </c>
      <c r="H1773" s="1" t="s">
        <v>28</v>
      </c>
      <c r="I1773" s="1" t="s">
        <v>40</v>
      </c>
      <c r="J1773" s="1">
        <v>69.0</v>
      </c>
      <c r="K1773" s="1">
        <v>27.0</v>
      </c>
      <c r="L1773" s="1">
        <v>19.0</v>
      </c>
    </row>
    <row r="1774">
      <c r="A1774" s="1">
        <v>3402076.0</v>
      </c>
      <c r="B1774" s="1" t="s">
        <v>3810</v>
      </c>
      <c r="C1774" s="1" t="s">
        <v>3667</v>
      </c>
      <c r="D1774" s="1" t="s">
        <v>3700</v>
      </c>
      <c r="E1774" s="1" t="s">
        <v>3811</v>
      </c>
      <c r="F1774" s="1" t="s">
        <v>255</v>
      </c>
      <c r="G1774" s="1" t="s">
        <v>17</v>
      </c>
      <c r="H1774" s="1" t="s">
        <v>18</v>
      </c>
      <c r="I1774" s="1" t="s">
        <v>19</v>
      </c>
      <c r="J1774" s="1">
        <v>25.0</v>
      </c>
      <c r="K1774" s="1">
        <v>21.0</v>
      </c>
      <c r="L1774" s="1">
        <v>110.0</v>
      </c>
    </row>
    <row r="1775">
      <c r="A1775" s="1">
        <v>3404124.0</v>
      </c>
      <c r="B1775" s="1" t="s">
        <v>3812</v>
      </c>
      <c r="C1775" s="1" t="s">
        <v>3667</v>
      </c>
      <c r="D1775" s="1" t="s">
        <v>3673</v>
      </c>
      <c r="E1775" s="1" t="s">
        <v>3813</v>
      </c>
      <c r="F1775" s="1" t="s">
        <v>16</v>
      </c>
      <c r="G1775" s="1" t="s">
        <v>23</v>
      </c>
      <c r="H1775" s="1" t="s">
        <v>18</v>
      </c>
      <c r="I1775" s="1" t="s">
        <v>59</v>
      </c>
      <c r="J1775" s="1">
        <v>50.0</v>
      </c>
      <c r="K1775" s="1">
        <v>43.0</v>
      </c>
      <c r="L1775" s="1">
        <v>144.0</v>
      </c>
    </row>
    <row r="1776">
      <c r="A1776" s="1">
        <v>3471362.0</v>
      </c>
      <c r="B1776" s="1" t="s">
        <v>3814</v>
      </c>
      <c r="C1776" s="1" t="s">
        <v>3667</v>
      </c>
      <c r="D1776" s="1" t="s">
        <v>3673</v>
      </c>
      <c r="E1776" s="1" t="s">
        <v>3815</v>
      </c>
      <c r="F1776" s="1" t="s">
        <v>32</v>
      </c>
      <c r="G1776" s="1" t="s">
        <v>27</v>
      </c>
      <c r="H1776" s="1" t="s">
        <v>18</v>
      </c>
      <c r="I1776" s="1" t="s">
        <v>113</v>
      </c>
      <c r="J1776" s="1">
        <v>12.0</v>
      </c>
      <c r="K1776" s="1">
        <v>18.0</v>
      </c>
      <c r="L1776" s="1">
        <v>142.0</v>
      </c>
    </row>
    <row r="1777">
      <c r="A1777" s="1">
        <v>3402075.0</v>
      </c>
      <c r="B1777" s="1" t="s">
        <v>3816</v>
      </c>
      <c r="C1777" s="1" t="s">
        <v>3667</v>
      </c>
      <c r="D1777" s="1" t="s">
        <v>3700</v>
      </c>
      <c r="E1777" s="1" t="s">
        <v>3817</v>
      </c>
      <c r="F1777" s="1" t="s">
        <v>16</v>
      </c>
      <c r="G1777" s="1" t="s">
        <v>23</v>
      </c>
      <c r="H1777" s="1" t="s">
        <v>18</v>
      </c>
      <c r="I1777" s="1" t="s">
        <v>59</v>
      </c>
      <c r="J1777" s="1">
        <v>50.0</v>
      </c>
      <c r="K1777" s="1">
        <v>31.0</v>
      </c>
      <c r="L1777" s="1">
        <v>44.0</v>
      </c>
    </row>
    <row r="1778">
      <c r="A1778" s="1">
        <v>3403010.0</v>
      </c>
      <c r="B1778" s="1" t="s">
        <v>3818</v>
      </c>
      <c r="C1778" s="1" t="s">
        <v>3667</v>
      </c>
      <c r="D1778" s="1" t="s">
        <v>3680</v>
      </c>
      <c r="E1778" s="1" t="s">
        <v>3819</v>
      </c>
      <c r="F1778" s="1" t="s">
        <v>16</v>
      </c>
      <c r="G1778" s="1" t="s">
        <v>27</v>
      </c>
      <c r="H1778" s="1" t="s">
        <v>28</v>
      </c>
      <c r="I1778" s="1" t="s">
        <v>40</v>
      </c>
      <c r="J1778" s="1">
        <v>207.0</v>
      </c>
      <c r="K1778" s="1">
        <v>113.0</v>
      </c>
      <c r="L1778" s="1">
        <v>379.0</v>
      </c>
    </row>
    <row r="1779">
      <c r="A1779" s="1">
        <v>3471380.0</v>
      </c>
      <c r="B1779" s="1" t="s">
        <v>3820</v>
      </c>
      <c r="C1779" s="1" t="s">
        <v>3667</v>
      </c>
      <c r="D1779" s="1" t="s">
        <v>3691</v>
      </c>
      <c r="E1779" s="1" t="s">
        <v>3821</v>
      </c>
      <c r="F1779" s="1" t="s">
        <v>16</v>
      </c>
      <c r="G1779" s="1" t="s">
        <v>17</v>
      </c>
      <c r="H1779" s="1" t="s">
        <v>18</v>
      </c>
      <c r="I1779" s="1" t="s">
        <v>44</v>
      </c>
      <c r="J1779" s="1">
        <v>103.0</v>
      </c>
      <c r="K1779" s="1">
        <v>62.0</v>
      </c>
      <c r="L1779" s="1">
        <v>243.0</v>
      </c>
    </row>
    <row r="1780">
      <c r="A1780" s="1">
        <v>3401058.0</v>
      </c>
      <c r="B1780" s="1" t="s">
        <v>3822</v>
      </c>
      <c r="C1780" s="1" t="s">
        <v>3667</v>
      </c>
      <c r="D1780" s="1" t="s">
        <v>3668</v>
      </c>
      <c r="E1780" s="1" t="s">
        <v>3823</v>
      </c>
      <c r="F1780" s="1" t="s">
        <v>16</v>
      </c>
      <c r="G1780" s="1" t="s">
        <v>23</v>
      </c>
      <c r="H1780" s="1" t="s">
        <v>18</v>
      </c>
      <c r="I1780" s="1" t="s">
        <v>19</v>
      </c>
      <c r="J1780" s="1">
        <v>50.0</v>
      </c>
      <c r="K1780" s="1">
        <v>32.0</v>
      </c>
      <c r="L1780" s="1">
        <v>21.0</v>
      </c>
    </row>
    <row r="1781">
      <c r="A1781" s="1">
        <v>3471074.0</v>
      </c>
      <c r="B1781" s="1" t="s">
        <v>3824</v>
      </c>
      <c r="C1781" s="1" t="s">
        <v>3667</v>
      </c>
      <c r="D1781" s="1" t="s">
        <v>3700</v>
      </c>
      <c r="E1781" s="1" t="s">
        <v>3825</v>
      </c>
      <c r="F1781" s="1" t="s">
        <v>16</v>
      </c>
      <c r="G1781" s="1" t="s">
        <v>27</v>
      </c>
      <c r="H1781" s="1" t="s">
        <v>18</v>
      </c>
      <c r="I1781" s="1" t="s">
        <v>563</v>
      </c>
      <c r="J1781" s="1">
        <v>285.0</v>
      </c>
      <c r="K1781" s="1">
        <v>104.0</v>
      </c>
      <c r="L1781" s="1">
        <v>54.0</v>
      </c>
    </row>
    <row r="1782">
      <c r="A1782" s="1">
        <v>3404045.0</v>
      </c>
      <c r="B1782" s="1" t="s">
        <v>3826</v>
      </c>
      <c r="C1782" s="1" t="s">
        <v>3667</v>
      </c>
      <c r="D1782" s="1" t="s">
        <v>3673</v>
      </c>
      <c r="E1782" s="1" t="s">
        <v>3827</v>
      </c>
      <c r="F1782" s="1" t="s">
        <v>16</v>
      </c>
      <c r="G1782" s="1" t="s">
        <v>23</v>
      </c>
      <c r="H1782" s="1" t="s">
        <v>18</v>
      </c>
      <c r="I1782" s="1" t="s">
        <v>19</v>
      </c>
      <c r="J1782" s="1">
        <v>100.0</v>
      </c>
      <c r="K1782" s="1">
        <v>51.0</v>
      </c>
      <c r="L1782" s="1">
        <v>153.0</v>
      </c>
    </row>
    <row r="1783">
      <c r="A1783" s="1">
        <v>3404180.0</v>
      </c>
      <c r="B1783" s="1" t="s">
        <v>3828</v>
      </c>
      <c r="C1783" s="1" t="s">
        <v>3667</v>
      </c>
      <c r="D1783" s="1" t="s">
        <v>3673</v>
      </c>
      <c r="E1783" s="1" t="s">
        <v>3829</v>
      </c>
      <c r="F1783" s="1" t="s">
        <v>55</v>
      </c>
      <c r="G1783" s="1" t="s">
        <v>17</v>
      </c>
      <c r="H1783" s="1" t="s">
        <v>18</v>
      </c>
      <c r="I1783" s="1" t="s">
        <v>59</v>
      </c>
      <c r="J1783" s="1">
        <v>25.0</v>
      </c>
      <c r="K1783" s="1">
        <v>14.0</v>
      </c>
      <c r="L1783" s="1">
        <v>25.0</v>
      </c>
    </row>
    <row r="1784">
      <c r="A1784" s="1">
        <v>3526011.0</v>
      </c>
      <c r="B1784" s="1" t="s">
        <v>3830</v>
      </c>
      <c r="C1784" s="1" t="s">
        <v>3831</v>
      </c>
      <c r="D1784" s="1" t="s">
        <v>3832</v>
      </c>
      <c r="E1784" s="1" t="s">
        <v>3833</v>
      </c>
      <c r="F1784" s="1" t="s">
        <v>16</v>
      </c>
      <c r="G1784" s="1" t="s">
        <v>27</v>
      </c>
      <c r="H1784" s="1" t="s">
        <v>28</v>
      </c>
      <c r="I1784" s="1" t="s">
        <v>40</v>
      </c>
      <c r="J1784" s="1">
        <v>372.0</v>
      </c>
      <c r="K1784" s="1">
        <v>57.0</v>
      </c>
      <c r="L1784" s="1">
        <v>1101.0</v>
      </c>
    </row>
    <row r="1785">
      <c r="A1785" s="1">
        <v>3518045.0</v>
      </c>
      <c r="B1785" s="1" t="s">
        <v>3834</v>
      </c>
      <c r="C1785" s="1" t="s">
        <v>3831</v>
      </c>
      <c r="D1785" s="1" t="s">
        <v>3835</v>
      </c>
      <c r="E1785" s="1" t="s">
        <v>3836</v>
      </c>
      <c r="F1785" s="1" t="s">
        <v>16</v>
      </c>
      <c r="G1785" s="1" t="s">
        <v>17</v>
      </c>
      <c r="H1785" s="1" t="s">
        <v>33</v>
      </c>
      <c r="I1785" s="1" t="s">
        <v>65</v>
      </c>
      <c r="J1785" s="1">
        <v>166.0</v>
      </c>
      <c r="K1785" s="1">
        <v>40.0</v>
      </c>
      <c r="L1785" s="1">
        <v>327.0</v>
      </c>
    </row>
    <row r="1786">
      <c r="A1786" s="1">
        <v>3521014.0</v>
      </c>
      <c r="B1786" s="1" t="s">
        <v>3837</v>
      </c>
      <c r="C1786" s="1" t="s">
        <v>3831</v>
      </c>
      <c r="D1786" s="1" t="s">
        <v>3838</v>
      </c>
      <c r="E1786" s="1" t="s">
        <v>3839</v>
      </c>
      <c r="F1786" s="1" t="s">
        <v>16</v>
      </c>
      <c r="G1786" s="1" t="s">
        <v>17</v>
      </c>
      <c r="H1786" s="1" t="s">
        <v>18</v>
      </c>
      <c r="I1786" s="1" t="s">
        <v>19</v>
      </c>
      <c r="J1786" s="1">
        <v>172.0</v>
      </c>
      <c r="K1786" s="1">
        <v>27.0</v>
      </c>
      <c r="L1786" s="1">
        <v>487.0</v>
      </c>
    </row>
    <row r="1787">
      <c r="A1787" s="1">
        <v>3528026.0</v>
      </c>
      <c r="B1787" s="1" t="s">
        <v>3840</v>
      </c>
      <c r="C1787" s="1" t="s">
        <v>3831</v>
      </c>
      <c r="D1787" s="1" t="s">
        <v>3841</v>
      </c>
      <c r="E1787" s="1" t="s">
        <v>3842</v>
      </c>
      <c r="F1787" s="1" t="s">
        <v>55</v>
      </c>
      <c r="G1787" s="1" t="s">
        <v>17</v>
      </c>
      <c r="H1787" s="1" t="s">
        <v>18</v>
      </c>
      <c r="I1787" s="1" t="s">
        <v>44</v>
      </c>
      <c r="J1787" s="1">
        <v>32.0</v>
      </c>
      <c r="K1787" s="1">
        <v>25.0</v>
      </c>
      <c r="L1787" s="1">
        <v>6.0</v>
      </c>
    </row>
    <row r="1788">
      <c r="A1788" s="1">
        <v>3510010.0</v>
      </c>
      <c r="B1788" s="1" t="s">
        <v>3843</v>
      </c>
      <c r="C1788" s="1" t="s">
        <v>3831</v>
      </c>
      <c r="D1788" s="1" t="s">
        <v>3844</v>
      </c>
      <c r="E1788" s="1" t="s">
        <v>3845</v>
      </c>
      <c r="F1788" s="1" t="s">
        <v>16</v>
      </c>
      <c r="G1788" s="1" t="s">
        <v>27</v>
      </c>
      <c r="H1788" s="1" t="s">
        <v>28</v>
      </c>
      <c r="I1788" s="1" t="s">
        <v>40</v>
      </c>
      <c r="J1788" s="1">
        <v>240.0</v>
      </c>
      <c r="K1788" s="1">
        <v>118.0</v>
      </c>
      <c r="L1788" s="1">
        <v>711.0</v>
      </c>
    </row>
    <row r="1789">
      <c r="A1789" s="1">
        <v>3578261.0</v>
      </c>
      <c r="B1789" s="1" t="s">
        <v>3846</v>
      </c>
      <c r="C1789" s="1" t="s">
        <v>3831</v>
      </c>
      <c r="D1789" s="1" t="s">
        <v>3847</v>
      </c>
      <c r="E1789" s="1" t="s">
        <v>3848</v>
      </c>
      <c r="F1789" s="1" t="s">
        <v>55</v>
      </c>
      <c r="G1789" s="1" t="s">
        <v>17</v>
      </c>
      <c r="H1789" s="1" t="s">
        <v>18</v>
      </c>
      <c r="I1789" s="1" t="s">
        <v>59</v>
      </c>
      <c r="J1789" s="1">
        <v>31.0</v>
      </c>
      <c r="K1789" s="1">
        <v>13.0</v>
      </c>
      <c r="L1789" s="1">
        <v>87.0</v>
      </c>
    </row>
    <row r="1790">
      <c r="A1790" s="1">
        <v>3504056.0</v>
      </c>
      <c r="B1790" s="1" t="s">
        <v>3849</v>
      </c>
      <c r="C1790" s="1" t="s">
        <v>3831</v>
      </c>
      <c r="D1790" s="1" t="s">
        <v>3850</v>
      </c>
      <c r="E1790" s="1" t="s">
        <v>3851</v>
      </c>
      <c r="F1790" s="1" t="s">
        <v>16</v>
      </c>
      <c r="G1790" s="1" t="s">
        <v>17</v>
      </c>
      <c r="H1790" s="1" t="s">
        <v>18</v>
      </c>
      <c r="I1790" s="1" t="s">
        <v>19</v>
      </c>
      <c r="J1790" s="1">
        <v>100.0</v>
      </c>
      <c r="K1790" s="1">
        <v>30.0</v>
      </c>
      <c r="L1790" s="1">
        <v>163.0</v>
      </c>
    </row>
    <row r="1791">
      <c r="A1791" s="1">
        <v>3513026.0</v>
      </c>
      <c r="B1791" s="1" t="s">
        <v>3852</v>
      </c>
      <c r="C1791" s="1" t="s">
        <v>3831</v>
      </c>
      <c r="D1791" s="1" t="s">
        <v>3853</v>
      </c>
      <c r="E1791" s="1" t="s">
        <v>3854</v>
      </c>
      <c r="F1791" s="1" t="s">
        <v>16</v>
      </c>
      <c r="G1791" s="1" t="s">
        <v>17</v>
      </c>
      <c r="H1791" s="1" t="s">
        <v>18</v>
      </c>
      <c r="I1791" s="1" t="s">
        <v>19</v>
      </c>
      <c r="J1791" s="1">
        <v>105.0</v>
      </c>
      <c r="K1791" s="1">
        <v>32.0</v>
      </c>
      <c r="L1791" s="1">
        <v>123.0</v>
      </c>
    </row>
    <row r="1792">
      <c r="A1792" s="1">
        <v>3524047.0</v>
      </c>
      <c r="B1792" s="1" t="s">
        <v>3855</v>
      </c>
      <c r="C1792" s="1" t="s">
        <v>3831</v>
      </c>
      <c r="D1792" s="1" t="s">
        <v>3856</v>
      </c>
      <c r="E1792" s="1" t="s">
        <v>3857</v>
      </c>
      <c r="F1792" s="1" t="s">
        <v>16</v>
      </c>
      <c r="G1792" s="1" t="s">
        <v>23</v>
      </c>
      <c r="H1792" s="1" t="s">
        <v>18</v>
      </c>
      <c r="I1792" s="1" t="s">
        <v>19</v>
      </c>
      <c r="J1792" s="1">
        <v>65.0</v>
      </c>
      <c r="K1792" s="1">
        <v>33.0</v>
      </c>
      <c r="L1792" s="1">
        <v>148.0</v>
      </c>
    </row>
    <row r="1793">
      <c r="A1793" s="1">
        <v>3505054.0</v>
      </c>
      <c r="B1793" s="1" t="s">
        <v>3858</v>
      </c>
      <c r="C1793" s="1" t="s">
        <v>3831</v>
      </c>
      <c r="D1793" s="1" t="s">
        <v>3859</v>
      </c>
      <c r="E1793" s="1" t="s">
        <v>3860</v>
      </c>
      <c r="F1793" s="1" t="s">
        <v>16</v>
      </c>
      <c r="G1793" s="1" t="s">
        <v>23</v>
      </c>
      <c r="H1793" s="1" t="s">
        <v>18</v>
      </c>
      <c r="I1793" s="1" t="s">
        <v>19</v>
      </c>
      <c r="J1793" s="1">
        <v>59.0</v>
      </c>
      <c r="K1793" s="1">
        <v>69.0</v>
      </c>
      <c r="L1793" s="1">
        <v>96.0</v>
      </c>
    </row>
    <row r="1794">
      <c r="A1794" s="1">
        <v>3507104.0</v>
      </c>
      <c r="B1794" s="1" t="s">
        <v>3861</v>
      </c>
      <c r="C1794" s="1" t="s">
        <v>3831</v>
      </c>
      <c r="D1794" s="1" t="s">
        <v>3862</v>
      </c>
      <c r="E1794" s="1" t="s">
        <v>3863</v>
      </c>
      <c r="F1794" s="1" t="s">
        <v>16</v>
      </c>
      <c r="G1794" s="1" t="s">
        <v>17</v>
      </c>
      <c r="H1794" s="1" t="s">
        <v>18</v>
      </c>
      <c r="I1794" s="1" t="s">
        <v>19</v>
      </c>
      <c r="J1794" s="1">
        <v>133.0</v>
      </c>
      <c r="K1794" s="1">
        <v>39.0</v>
      </c>
      <c r="L1794" s="1">
        <v>412.0</v>
      </c>
    </row>
    <row r="1795">
      <c r="A1795" s="1">
        <v>3525104.0</v>
      </c>
      <c r="B1795" s="1" t="s">
        <v>3864</v>
      </c>
      <c r="C1795" s="1" t="s">
        <v>3831</v>
      </c>
      <c r="D1795" s="1" t="s">
        <v>3865</v>
      </c>
      <c r="E1795" s="1" t="s">
        <v>3866</v>
      </c>
      <c r="F1795" s="1" t="s">
        <v>55</v>
      </c>
      <c r="G1795" s="1" t="s">
        <v>17</v>
      </c>
      <c r="H1795" s="1" t="s">
        <v>18</v>
      </c>
      <c r="I1795" s="1" t="s">
        <v>44</v>
      </c>
      <c r="J1795" s="1">
        <v>34.0</v>
      </c>
      <c r="K1795" s="1">
        <v>16.0</v>
      </c>
      <c r="L1795" s="1">
        <v>27.0</v>
      </c>
    </row>
    <row r="1796">
      <c r="A1796" s="1">
        <v>3524073.0</v>
      </c>
      <c r="B1796" s="1" t="s">
        <v>3867</v>
      </c>
      <c r="C1796" s="1" t="s">
        <v>3831</v>
      </c>
      <c r="D1796" s="1" t="s">
        <v>3856</v>
      </c>
      <c r="E1796" s="1" t="s">
        <v>3868</v>
      </c>
      <c r="F1796" s="1" t="s">
        <v>16</v>
      </c>
      <c r="G1796" s="1" t="s">
        <v>23</v>
      </c>
      <c r="H1796" s="1" t="s">
        <v>18</v>
      </c>
      <c r="I1796" s="1" t="s">
        <v>19</v>
      </c>
      <c r="J1796" s="1">
        <v>59.0</v>
      </c>
      <c r="K1796" s="1">
        <v>23.0</v>
      </c>
      <c r="L1796" s="1">
        <v>0.0</v>
      </c>
    </row>
    <row r="1797">
      <c r="A1797" s="1">
        <v>3515096.0</v>
      </c>
      <c r="B1797" s="1" t="s">
        <v>3869</v>
      </c>
      <c r="C1797" s="1" t="s">
        <v>3831</v>
      </c>
      <c r="D1797" s="1" t="s">
        <v>3870</v>
      </c>
      <c r="E1797" s="1" t="s">
        <v>3871</v>
      </c>
      <c r="F1797" s="1" t="s">
        <v>16</v>
      </c>
      <c r="G1797" s="1" t="s">
        <v>17</v>
      </c>
      <c r="H1797" s="1" t="s">
        <v>18</v>
      </c>
      <c r="I1797" s="1" t="s">
        <v>44</v>
      </c>
      <c r="J1797" s="1">
        <v>150.0</v>
      </c>
      <c r="K1797" s="1">
        <v>49.0</v>
      </c>
      <c r="L1797" s="1">
        <v>472.0</v>
      </c>
    </row>
    <row r="1798">
      <c r="A1798" s="1">
        <v>3578769.0</v>
      </c>
      <c r="B1798" s="1" t="s">
        <v>3872</v>
      </c>
      <c r="C1798" s="1" t="s">
        <v>3831</v>
      </c>
      <c r="D1798" s="1" t="s">
        <v>3847</v>
      </c>
      <c r="E1798" s="1" t="s">
        <v>3873</v>
      </c>
      <c r="F1798" s="1" t="s">
        <v>55</v>
      </c>
      <c r="G1798" s="1" t="s">
        <v>17</v>
      </c>
      <c r="H1798" s="1" t="s">
        <v>18</v>
      </c>
      <c r="I1798" s="1" t="s">
        <v>19</v>
      </c>
      <c r="J1798" s="1">
        <v>30.0</v>
      </c>
      <c r="K1798" s="1">
        <v>20.0</v>
      </c>
      <c r="L1798" s="1">
        <v>143.0</v>
      </c>
    </row>
    <row r="1799">
      <c r="A1799" s="1">
        <v>3514054.0</v>
      </c>
      <c r="B1799" s="1" t="s">
        <v>3874</v>
      </c>
      <c r="C1799" s="1" t="s">
        <v>3831</v>
      </c>
      <c r="D1799" s="1" t="s">
        <v>3875</v>
      </c>
      <c r="E1799" s="1" t="s">
        <v>3876</v>
      </c>
      <c r="F1799" s="1" t="s">
        <v>16</v>
      </c>
      <c r="G1799" s="1" t="s">
        <v>23</v>
      </c>
      <c r="H1799" s="1" t="s">
        <v>18</v>
      </c>
      <c r="I1799" s="1" t="s">
        <v>163</v>
      </c>
      <c r="J1799" s="1">
        <v>85.0</v>
      </c>
      <c r="K1799" s="1">
        <v>20.0</v>
      </c>
      <c r="L1799" s="1">
        <v>84.0</v>
      </c>
    </row>
    <row r="1800">
      <c r="A1800" s="1">
        <v>3520016.0</v>
      </c>
      <c r="B1800" s="1" t="s">
        <v>3877</v>
      </c>
      <c r="C1800" s="1" t="s">
        <v>3831</v>
      </c>
      <c r="D1800" s="1" t="s">
        <v>3878</v>
      </c>
      <c r="E1800" s="1" t="s">
        <v>3879</v>
      </c>
      <c r="F1800" s="1" t="s">
        <v>55</v>
      </c>
      <c r="G1800" s="1" t="s">
        <v>17</v>
      </c>
      <c r="H1800" s="1" t="s">
        <v>18</v>
      </c>
      <c r="I1800" s="1" t="s">
        <v>19</v>
      </c>
      <c r="J1800" s="1">
        <v>25.0</v>
      </c>
      <c r="K1800" s="1">
        <v>17.0</v>
      </c>
      <c r="L1800" s="1">
        <v>44.0</v>
      </c>
    </row>
    <row r="1801">
      <c r="A1801" s="1">
        <v>3501016.0</v>
      </c>
      <c r="B1801" s="1" t="s">
        <v>3880</v>
      </c>
      <c r="C1801" s="1" t="s">
        <v>3831</v>
      </c>
      <c r="D1801" s="1" t="s">
        <v>3881</v>
      </c>
      <c r="E1801" s="1" t="s">
        <v>3882</v>
      </c>
      <c r="F1801" s="1" t="s">
        <v>16</v>
      </c>
      <c r="G1801" s="1" t="s">
        <v>17</v>
      </c>
      <c r="H1801" s="1" t="s">
        <v>28</v>
      </c>
      <c r="I1801" s="1" t="s">
        <v>40</v>
      </c>
      <c r="J1801" s="1">
        <v>314.0</v>
      </c>
      <c r="K1801" s="1">
        <v>68.0</v>
      </c>
      <c r="L1801" s="1">
        <v>380.0</v>
      </c>
    </row>
    <row r="1802">
      <c r="A1802" s="1">
        <v>3513067.0</v>
      </c>
      <c r="B1802" s="1" t="s">
        <v>3883</v>
      </c>
      <c r="C1802" s="1" t="s">
        <v>3831</v>
      </c>
      <c r="D1802" s="1" t="s">
        <v>3853</v>
      </c>
      <c r="E1802" s="1" t="s">
        <v>3884</v>
      </c>
      <c r="F1802" s="1" t="s">
        <v>16</v>
      </c>
      <c r="G1802" s="1" t="s">
        <v>17</v>
      </c>
      <c r="H1802" s="1" t="s">
        <v>28</v>
      </c>
      <c r="I1802" s="1" t="s">
        <v>40</v>
      </c>
      <c r="J1802" s="1">
        <v>100.0</v>
      </c>
      <c r="K1802" s="1">
        <v>26.0</v>
      </c>
      <c r="L1802" s="1">
        <v>261.0</v>
      </c>
    </row>
    <row r="1803">
      <c r="A1803" s="1">
        <v>3578768.0</v>
      </c>
      <c r="B1803" s="1" t="s">
        <v>3885</v>
      </c>
      <c r="C1803" s="1" t="s">
        <v>3831</v>
      </c>
      <c r="D1803" s="1" t="s">
        <v>3847</v>
      </c>
      <c r="E1803" s="1" t="s">
        <v>3886</v>
      </c>
      <c r="F1803" s="1" t="s">
        <v>55</v>
      </c>
      <c r="G1803" s="1" t="s">
        <v>17</v>
      </c>
      <c r="H1803" s="1" t="s">
        <v>18</v>
      </c>
      <c r="I1803" s="1" t="s">
        <v>44</v>
      </c>
      <c r="J1803" s="1">
        <v>28.0</v>
      </c>
      <c r="K1803" s="1">
        <v>16.0</v>
      </c>
      <c r="L1803" s="1">
        <v>83.0</v>
      </c>
    </row>
    <row r="1804">
      <c r="A1804" s="1">
        <v>3515132.0</v>
      </c>
      <c r="B1804" s="1" t="s">
        <v>3887</v>
      </c>
      <c r="C1804" s="1" t="s">
        <v>3831</v>
      </c>
      <c r="D1804" s="1" t="s">
        <v>3870</v>
      </c>
      <c r="E1804" s="1" t="s">
        <v>3888</v>
      </c>
      <c r="F1804" s="1" t="s">
        <v>16</v>
      </c>
      <c r="G1804" s="1" t="s">
        <v>23</v>
      </c>
      <c r="H1804" s="1" t="s">
        <v>18</v>
      </c>
      <c r="I1804" s="1" t="s">
        <v>19</v>
      </c>
      <c r="J1804" s="1">
        <v>91.0</v>
      </c>
      <c r="K1804" s="1">
        <v>25.0</v>
      </c>
      <c r="L1804" s="1">
        <v>295.0</v>
      </c>
    </row>
    <row r="1805">
      <c r="A1805" s="1">
        <v>3509136.0</v>
      </c>
      <c r="B1805" s="1" t="s">
        <v>3889</v>
      </c>
      <c r="C1805" s="1" t="s">
        <v>3831</v>
      </c>
      <c r="D1805" s="1" t="s">
        <v>3890</v>
      </c>
      <c r="E1805" s="1" t="s">
        <v>3891</v>
      </c>
      <c r="F1805" s="1" t="s">
        <v>16</v>
      </c>
      <c r="G1805" s="1" t="s">
        <v>17</v>
      </c>
      <c r="H1805" s="1" t="s">
        <v>18</v>
      </c>
      <c r="I1805" s="1" t="s">
        <v>19</v>
      </c>
      <c r="J1805" s="1">
        <v>125.0</v>
      </c>
      <c r="K1805" s="1">
        <v>34.0</v>
      </c>
      <c r="L1805" s="1">
        <v>287.0</v>
      </c>
    </row>
    <row r="1806">
      <c r="A1806" s="1">
        <v>3504081.0</v>
      </c>
      <c r="B1806" s="1" t="s">
        <v>3400</v>
      </c>
      <c r="C1806" s="1" t="s">
        <v>3831</v>
      </c>
      <c r="D1806" s="1" t="s">
        <v>3850</v>
      </c>
      <c r="E1806" s="1" t="s">
        <v>3892</v>
      </c>
      <c r="F1806" s="1" t="s">
        <v>16</v>
      </c>
      <c r="G1806" s="1" t="s">
        <v>23</v>
      </c>
      <c r="H1806" s="1" t="s">
        <v>18</v>
      </c>
      <c r="I1806" s="1" t="s">
        <v>19</v>
      </c>
      <c r="J1806" s="1">
        <v>60.0</v>
      </c>
      <c r="K1806" s="1">
        <v>28.0</v>
      </c>
      <c r="L1806" s="1">
        <v>113.0</v>
      </c>
    </row>
    <row r="1807">
      <c r="A1807" s="1">
        <v>3506066.0</v>
      </c>
      <c r="B1807" s="1" t="s">
        <v>3893</v>
      </c>
      <c r="C1807" s="1" t="s">
        <v>3831</v>
      </c>
      <c r="D1807" s="1" t="s">
        <v>3894</v>
      </c>
      <c r="E1807" s="1" t="s">
        <v>3895</v>
      </c>
      <c r="F1807" s="1" t="s">
        <v>16</v>
      </c>
      <c r="G1807" s="1" t="s">
        <v>17</v>
      </c>
      <c r="H1807" s="1" t="s">
        <v>18</v>
      </c>
      <c r="I1807" s="1" t="s">
        <v>40</v>
      </c>
      <c r="J1807" s="1">
        <v>237.0</v>
      </c>
      <c r="K1807" s="1">
        <v>50.0</v>
      </c>
      <c r="L1807" s="1">
        <v>455.0</v>
      </c>
    </row>
    <row r="1808">
      <c r="A1808" s="1">
        <v>3522014.0</v>
      </c>
      <c r="B1808" s="1" t="s">
        <v>3896</v>
      </c>
      <c r="C1808" s="1" t="s">
        <v>3831</v>
      </c>
      <c r="D1808" s="1" t="s">
        <v>3897</v>
      </c>
      <c r="E1808" s="1" t="s">
        <v>3898</v>
      </c>
      <c r="F1808" s="1" t="s">
        <v>16</v>
      </c>
      <c r="G1808" s="1" t="s">
        <v>27</v>
      </c>
      <c r="H1808" s="1" t="s">
        <v>28</v>
      </c>
      <c r="I1808" s="1" t="s">
        <v>40</v>
      </c>
      <c r="J1808" s="1">
        <v>500.0</v>
      </c>
      <c r="K1808" s="1">
        <v>86.0</v>
      </c>
      <c r="L1808" s="1">
        <v>635.0</v>
      </c>
    </row>
    <row r="1809">
      <c r="A1809" s="1">
        <v>3515127.0</v>
      </c>
      <c r="B1809" s="1" t="s">
        <v>3899</v>
      </c>
      <c r="C1809" s="1" t="s">
        <v>3831</v>
      </c>
      <c r="D1809" s="1" t="s">
        <v>3870</v>
      </c>
      <c r="E1809" s="1" t="s">
        <v>3900</v>
      </c>
      <c r="F1809" s="1" t="s">
        <v>16</v>
      </c>
      <c r="G1809" s="1" t="s">
        <v>23</v>
      </c>
      <c r="H1809" s="1" t="s">
        <v>18</v>
      </c>
      <c r="I1809" s="1" t="s">
        <v>44</v>
      </c>
      <c r="J1809" s="1">
        <v>29.0</v>
      </c>
      <c r="K1809" s="1">
        <v>13.0</v>
      </c>
      <c r="L1809" s="1">
        <v>52.0</v>
      </c>
    </row>
    <row r="1810">
      <c r="A1810" s="1">
        <v>3521028.0</v>
      </c>
      <c r="B1810" s="1" t="s">
        <v>3901</v>
      </c>
      <c r="C1810" s="1" t="s">
        <v>3831</v>
      </c>
      <c r="D1810" s="1" t="s">
        <v>3838</v>
      </c>
      <c r="E1810" s="1" t="s">
        <v>3902</v>
      </c>
      <c r="F1810" s="1" t="s">
        <v>16</v>
      </c>
      <c r="G1810" s="1" t="s">
        <v>23</v>
      </c>
      <c r="H1810" s="1" t="s">
        <v>28</v>
      </c>
      <c r="I1810" s="1" t="s">
        <v>40</v>
      </c>
      <c r="J1810" s="1">
        <v>53.0</v>
      </c>
      <c r="K1810" s="1">
        <v>22.0</v>
      </c>
      <c r="L1810" s="1">
        <v>0.0</v>
      </c>
    </row>
    <row r="1811">
      <c r="A1811" s="1">
        <v>3506036.0</v>
      </c>
      <c r="B1811" s="1" t="s">
        <v>3903</v>
      </c>
      <c r="C1811" s="1" t="s">
        <v>3831</v>
      </c>
      <c r="D1811" s="1" t="s">
        <v>3894</v>
      </c>
      <c r="E1811" s="1" t="s">
        <v>3904</v>
      </c>
      <c r="F1811" s="1" t="s">
        <v>16</v>
      </c>
      <c r="G1811" s="1" t="s">
        <v>23</v>
      </c>
      <c r="H1811" s="1" t="s">
        <v>18</v>
      </c>
      <c r="I1811" s="1" t="s">
        <v>19</v>
      </c>
      <c r="J1811" s="1">
        <v>93.0</v>
      </c>
      <c r="K1811" s="1">
        <v>30.0</v>
      </c>
      <c r="L1811" s="1">
        <v>203.0</v>
      </c>
    </row>
    <row r="1812">
      <c r="A1812" s="1">
        <v>3577085.0</v>
      </c>
      <c r="B1812" s="1" t="s">
        <v>3905</v>
      </c>
      <c r="C1812" s="1" t="s">
        <v>3831</v>
      </c>
      <c r="D1812" s="1" t="s">
        <v>3906</v>
      </c>
      <c r="E1812" s="1" t="s">
        <v>3907</v>
      </c>
      <c r="F1812" s="1" t="s">
        <v>16</v>
      </c>
      <c r="G1812" s="1" t="s">
        <v>17</v>
      </c>
      <c r="H1812" s="1" t="s">
        <v>28</v>
      </c>
      <c r="I1812" s="1" t="s">
        <v>29</v>
      </c>
      <c r="J1812" s="1">
        <v>194.0</v>
      </c>
      <c r="K1812" s="1">
        <v>33.0</v>
      </c>
      <c r="L1812" s="1">
        <v>411.0</v>
      </c>
    </row>
    <row r="1813">
      <c r="A1813" s="1">
        <v>3516033.0</v>
      </c>
      <c r="B1813" s="1" t="s">
        <v>3908</v>
      </c>
      <c r="C1813" s="1" t="s">
        <v>3831</v>
      </c>
      <c r="D1813" s="1" t="s">
        <v>3909</v>
      </c>
      <c r="E1813" s="1" t="s">
        <v>3910</v>
      </c>
      <c r="F1813" s="1" t="s">
        <v>16</v>
      </c>
      <c r="G1813" s="1" t="s">
        <v>23</v>
      </c>
      <c r="H1813" s="1" t="s">
        <v>18</v>
      </c>
      <c r="I1813" s="1" t="s">
        <v>19</v>
      </c>
      <c r="J1813" s="1">
        <v>50.0</v>
      </c>
      <c r="K1813" s="1">
        <v>20.0</v>
      </c>
      <c r="L1813" s="1">
        <v>61.0</v>
      </c>
    </row>
    <row r="1814">
      <c r="A1814" s="1">
        <v>3528025.0</v>
      </c>
      <c r="B1814" s="1" t="s">
        <v>3911</v>
      </c>
      <c r="C1814" s="1" t="s">
        <v>3831</v>
      </c>
      <c r="D1814" s="1" t="s">
        <v>3841</v>
      </c>
      <c r="E1814" s="1" t="s">
        <v>3912</v>
      </c>
      <c r="F1814" s="1" t="s">
        <v>16</v>
      </c>
      <c r="G1814" s="1" t="s">
        <v>23</v>
      </c>
      <c r="H1814" s="1" t="s">
        <v>18</v>
      </c>
      <c r="I1814" s="1" t="s">
        <v>19</v>
      </c>
      <c r="J1814" s="1">
        <v>51.0</v>
      </c>
      <c r="K1814" s="1">
        <v>13.0</v>
      </c>
      <c r="L1814" s="1">
        <v>68.0</v>
      </c>
    </row>
    <row r="1815">
      <c r="A1815" s="1">
        <v>3524052.0</v>
      </c>
      <c r="B1815" s="1" t="s">
        <v>3913</v>
      </c>
      <c r="C1815" s="1" t="s">
        <v>3831</v>
      </c>
      <c r="D1815" s="1" t="s">
        <v>3856</v>
      </c>
      <c r="E1815" s="1" t="s">
        <v>3914</v>
      </c>
      <c r="F1815" s="1" t="s">
        <v>16</v>
      </c>
      <c r="G1815" s="1" t="s">
        <v>23</v>
      </c>
      <c r="H1815" s="1" t="s">
        <v>28</v>
      </c>
      <c r="I1815" s="1" t="s">
        <v>40</v>
      </c>
      <c r="J1815" s="1">
        <v>57.0</v>
      </c>
      <c r="K1815" s="1">
        <v>27.0</v>
      </c>
      <c r="L1815" s="1">
        <v>0.0</v>
      </c>
    </row>
    <row r="1816">
      <c r="A1816" s="1">
        <v>3509021.0</v>
      </c>
      <c r="B1816" s="1" t="s">
        <v>3915</v>
      </c>
      <c r="C1816" s="1" t="s">
        <v>3831</v>
      </c>
      <c r="D1816" s="1" t="s">
        <v>3890</v>
      </c>
      <c r="E1816" s="1" t="s">
        <v>3916</v>
      </c>
      <c r="F1816" s="1" t="s">
        <v>16</v>
      </c>
      <c r="G1816" s="1" t="s">
        <v>17</v>
      </c>
      <c r="H1816" s="1" t="s">
        <v>18</v>
      </c>
      <c r="I1816" s="1" t="s">
        <v>113</v>
      </c>
      <c r="J1816" s="1">
        <v>167.0</v>
      </c>
      <c r="K1816" s="1">
        <v>48.0</v>
      </c>
      <c r="L1816" s="1">
        <v>359.0</v>
      </c>
    </row>
    <row r="1817">
      <c r="A1817" s="1">
        <v>3578100.0</v>
      </c>
      <c r="B1817" s="1" t="s">
        <v>3917</v>
      </c>
      <c r="C1817" s="1" t="s">
        <v>3831</v>
      </c>
      <c r="D1817" s="1" t="s">
        <v>3847</v>
      </c>
      <c r="E1817" s="1" t="s">
        <v>3918</v>
      </c>
      <c r="F1817" s="1" t="s">
        <v>16</v>
      </c>
      <c r="G1817" s="1" t="s">
        <v>17</v>
      </c>
      <c r="H1817" s="1" t="s">
        <v>18</v>
      </c>
      <c r="I1817" s="1" t="s">
        <v>59</v>
      </c>
      <c r="J1817" s="1">
        <v>103.0</v>
      </c>
      <c r="K1817" s="1">
        <v>72.0</v>
      </c>
      <c r="L1817" s="1">
        <v>341.0</v>
      </c>
    </row>
    <row r="1818">
      <c r="A1818" s="1">
        <v>3578793.0</v>
      </c>
      <c r="B1818" s="1" t="s">
        <v>3919</v>
      </c>
      <c r="C1818" s="1" t="s">
        <v>3831</v>
      </c>
      <c r="D1818" s="1" t="s">
        <v>3847</v>
      </c>
      <c r="E1818" s="1" t="s">
        <v>3920</v>
      </c>
      <c r="F1818" s="1" t="s">
        <v>16</v>
      </c>
      <c r="G1818" s="1" t="s">
        <v>23</v>
      </c>
      <c r="H1818" s="1" t="s">
        <v>18</v>
      </c>
      <c r="I1818" s="1" t="s">
        <v>684</v>
      </c>
      <c r="J1818" s="1">
        <v>50.0</v>
      </c>
      <c r="K1818" s="1">
        <v>22.0</v>
      </c>
      <c r="L1818" s="1">
        <v>129.0</v>
      </c>
    </row>
    <row r="1819">
      <c r="A1819" s="1">
        <v>3579004.0</v>
      </c>
      <c r="B1819" s="1" t="s">
        <v>3921</v>
      </c>
      <c r="C1819" s="1" t="s">
        <v>3831</v>
      </c>
      <c r="D1819" s="1" t="s">
        <v>3922</v>
      </c>
      <c r="E1819" s="1" t="s">
        <v>3923</v>
      </c>
      <c r="F1819" s="1" t="s">
        <v>16</v>
      </c>
      <c r="G1819" s="1" t="s">
        <v>23</v>
      </c>
      <c r="H1819" s="1" t="s">
        <v>18</v>
      </c>
      <c r="I1819" s="1" t="s">
        <v>19</v>
      </c>
      <c r="J1819" s="1">
        <v>56.0</v>
      </c>
      <c r="K1819" s="1">
        <v>28.0</v>
      </c>
      <c r="L1819" s="1">
        <v>63.0</v>
      </c>
    </row>
    <row r="1820">
      <c r="A1820" s="1">
        <v>3527013.0</v>
      </c>
      <c r="B1820" s="1" t="s">
        <v>3924</v>
      </c>
      <c r="C1820" s="1" t="s">
        <v>3831</v>
      </c>
      <c r="D1820" s="1" t="s">
        <v>3925</v>
      </c>
      <c r="E1820" s="1" t="s">
        <v>3926</v>
      </c>
      <c r="F1820" s="1" t="s">
        <v>16</v>
      </c>
      <c r="G1820" s="1" t="s">
        <v>23</v>
      </c>
      <c r="H1820" s="1" t="s">
        <v>18</v>
      </c>
      <c r="I1820" s="1" t="s">
        <v>163</v>
      </c>
      <c r="J1820" s="1">
        <v>82.0</v>
      </c>
      <c r="K1820" s="1">
        <v>26.0</v>
      </c>
      <c r="L1820" s="1">
        <v>23.0</v>
      </c>
    </row>
    <row r="1821">
      <c r="A1821" s="1">
        <v>3514071.0</v>
      </c>
      <c r="B1821" s="1" t="s">
        <v>3927</v>
      </c>
      <c r="C1821" s="1" t="s">
        <v>3831</v>
      </c>
      <c r="D1821" s="1" t="s">
        <v>3875</v>
      </c>
      <c r="E1821" s="1" t="s">
        <v>3928</v>
      </c>
      <c r="F1821" s="1" t="s">
        <v>16</v>
      </c>
      <c r="G1821" s="1" t="s">
        <v>17</v>
      </c>
      <c r="H1821" s="1" t="s">
        <v>18</v>
      </c>
      <c r="I1821" s="1" t="s">
        <v>19</v>
      </c>
      <c r="J1821" s="1">
        <v>100.0</v>
      </c>
      <c r="K1821" s="1">
        <v>38.0</v>
      </c>
      <c r="L1821" s="1">
        <v>0.0</v>
      </c>
    </row>
    <row r="1822">
      <c r="A1822" s="1">
        <v>3571042.0</v>
      </c>
      <c r="B1822" s="1" t="s">
        <v>3929</v>
      </c>
      <c r="C1822" s="1" t="s">
        <v>3831</v>
      </c>
      <c r="D1822" s="1" t="s">
        <v>3930</v>
      </c>
      <c r="E1822" s="1" t="s">
        <v>3931</v>
      </c>
      <c r="F1822" s="1" t="s">
        <v>16</v>
      </c>
      <c r="G1822" s="1" t="s">
        <v>27</v>
      </c>
      <c r="H1822" s="1" t="s">
        <v>18</v>
      </c>
      <c r="I1822" s="1" t="s">
        <v>258</v>
      </c>
      <c r="J1822" s="1">
        <v>201.0</v>
      </c>
      <c r="K1822" s="1">
        <v>98.0</v>
      </c>
      <c r="L1822" s="1">
        <v>635.0</v>
      </c>
    </row>
    <row r="1823">
      <c r="A1823" s="1">
        <v>3571148.0</v>
      </c>
      <c r="B1823" s="1" t="s">
        <v>2877</v>
      </c>
      <c r="C1823" s="1" t="s">
        <v>3831</v>
      </c>
      <c r="D1823" s="1" t="s">
        <v>3930</v>
      </c>
      <c r="E1823" s="1" t="s">
        <v>3932</v>
      </c>
      <c r="F1823" s="1" t="s">
        <v>55</v>
      </c>
      <c r="G1823" s="1" t="s">
        <v>17</v>
      </c>
      <c r="H1823" s="1" t="s">
        <v>18</v>
      </c>
      <c r="I1823" s="1" t="s">
        <v>19</v>
      </c>
      <c r="J1823" s="1">
        <v>31.0</v>
      </c>
      <c r="K1823" s="1">
        <v>19.0</v>
      </c>
      <c r="L1823" s="1">
        <v>46.0</v>
      </c>
    </row>
    <row r="1824">
      <c r="A1824" s="1">
        <v>3578781.0</v>
      </c>
      <c r="B1824" s="1" t="s">
        <v>3933</v>
      </c>
      <c r="C1824" s="1" t="s">
        <v>3831</v>
      </c>
      <c r="D1824" s="1" t="s">
        <v>3847</v>
      </c>
      <c r="E1824" s="1" t="s">
        <v>3934</v>
      </c>
      <c r="F1824" s="1" t="s">
        <v>16</v>
      </c>
      <c r="G1824" s="1" t="s">
        <v>27</v>
      </c>
      <c r="H1824" s="1" t="s">
        <v>18</v>
      </c>
      <c r="I1824" s="1" t="s">
        <v>19</v>
      </c>
      <c r="J1824" s="1">
        <v>200.0</v>
      </c>
      <c r="K1824" s="1">
        <v>32.0</v>
      </c>
      <c r="L1824" s="1">
        <v>265.0</v>
      </c>
    </row>
    <row r="1825">
      <c r="A1825" s="1">
        <v>3578810.0</v>
      </c>
      <c r="B1825" s="1" t="s">
        <v>3935</v>
      </c>
      <c r="C1825" s="1" t="s">
        <v>3831</v>
      </c>
      <c r="D1825" s="1" t="s">
        <v>3847</v>
      </c>
      <c r="E1825" s="1" t="s">
        <v>3936</v>
      </c>
      <c r="F1825" s="1" t="s">
        <v>16</v>
      </c>
      <c r="G1825" s="1" t="s">
        <v>27</v>
      </c>
      <c r="H1825" s="1" t="s">
        <v>18</v>
      </c>
      <c r="I1825" s="1" t="s">
        <v>44</v>
      </c>
      <c r="J1825" s="1">
        <v>200.0</v>
      </c>
      <c r="K1825" s="1">
        <v>50.0</v>
      </c>
      <c r="L1825" s="1">
        <v>0.0</v>
      </c>
    </row>
    <row r="1826">
      <c r="A1826" s="1">
        <v>3573277.0</v>
      </c>
      <c r="B1826" s="1" t="s">
        <v>3937</v>
      </c>
      <c r="C1826" s="1" t="s">
        <v>3831</v>
      </c>
      <c r="D1826" s="1" t="s">
        <v>3938</v>
      </c>
      <c r="E1826" s="1" t="s">
        <v>3939</v>
      </c>
      <c r="F1826" s="1" t="s">
        <v>55</v>
      </c>
      <c r="G1826" s="1" t="s">
        <v>17</v>
      </c>
      <c r="H1826" s="1" t="s">
        <v>18</v>
      </c>
      <c r="I1826" s="1" t="s">
        <v>163</v>
      </c>
      <c r="J1826" s="1">
        <v>41.0</v>
      </c>
      <c r="K1826" s="1">
        <v>11.0</v>
      </c>
      <c r="L1826" s="1">
        <v>0.0</v>
      </c>
    </row>
    <row r="1827">
      <c r="A1827" s="1">
        <v>3513013.0</v>
      </c>
      <c r="B1827" s="1" t="s">
        <v>3940</v>
      </c>
      <c r="C1827" s="1" t="s">
        <v>3831</v>
      </c>
      <c r="D1827" s="1" t="s">
        <v>3853</v>
      </c>
      <c r="E1827" s="1" t="s">
        <v>3941</v>
      </c>
      <c r="F1827" s="1" t="s">
        <v>16</v>
      </c>
      <c r="G1827" s="1" t="s">
        <v>27</v>
      </c>
      <c r="H1827" s="1" t="s">
        <v>28</v>
      </c>
      <c r="I1827" s="1" t="s">
        <v>40</v>
      </c>
      <c r="J1827" s="1">
        <v>250.0</v>
      </c>
      <c r="K1827" s="1">
        <v>33.0</v>
      </c>
      <c r="L1827" s="1">
        <v>586.0</v>
      </c>
    </row>
    <row r="1828">
      <c r="A1828" s="1">
        <v>3578603.0</v>
      </c>
      <c r="B1828" s="1" t="s">
        <v>3942</v>
      </c>
      <c r="C1828" s="1" t="s">
        <v>3831</v>
      </c>
      <c r="D1828" s="1" t="s">
        <v>3847</v>
      </c>
      <c r="E1828" s="1" t="s">
        <v>3943</v>
      </c>
      <c r="F1828" s="1" t="s">
        <v>16</v>
      </c>
      <c r="G1828" s="1" t="s">
        <v>17</v>
      </c>
      <c r="H1828" s="1" t="s">
        <v>18</v>
      </c>
      <c r="I1828" s="1" t="s">
        <v>59</v>
      </c>
      <c r="J1828" s="1">
        <v>138.0</v>
      </c>
      <c r="K1828" s="1">
        <v>42.0</v>
      </c>
      <c r="L1828" s="1">
        <v>323.0</v>
      </c>
    </row>
    <row r="1829">
      <c r="A1829" s="1">
        <v>3525091.0</v>
      </c>
      <c r="B1829" s="1" t="s">
        <v>3944</v>
      </c>
      <c r="C1829" s="1" t="s">
        <v>3831</v>
      </c>
      <c r="D1829" s="1" t="s">
        <v>3865</v>
      </c>
      <c r="E1829" s="1" t="s">
        <v>3945</v>
      </c>
      <c r="F1829" s="1" t="s">
        <v>16</v>
      </c>
      <c r="G1829" s="1" t="s">
        <v>23</v>
      </c>
      <c r="H1829" s="1" t="s">
        <v>18</v>
      </c>
      <c r="I1829" s="1" t="s">
        <v>44</v>
      </c>
      <c r="J1829" s="1">
        <v>60.0</v>
      </c>
      <c r="K1829" s="1">
        <v>33.0</v>
      </c>
      <c r="L1829" s="1">
        <v>74.0</v>
      </c>
    </row>
    <row r="1830">
      <c r="A1830" s="1">
        <v>3578794.0</v>
      </c>
      <c r="B1830" s="1" t="s">
        <v>3946</v>
      </c>
      <c r="C1830" s="1" t="s">
        <v>3831</v>
      </c>
      <c r="D1830" s="1" t="s">
        <v>3847</v>
      </c>
      <c r="E1830" s="1" t="s">
        <v>3947</v>
      </c>
      <c r="F1830" s="1" t="s">
        <v>55</v>
      </c>
      <c r="G1830" s="1" t="s">
        <v>17</v>
      </c>
      <c r="H1830" s="1" t="s">
        <v>18</v>
      </c>
      <c r="I1830" s="1" t="s">
        <v>19</v>
      </c>
      <c r="J1830" s="1">
        <v>25.0</v>
      </c>
      <c r="K1830" s="1">
        <v>17.0</v>
      </c>
      <c r="L1830" s="1">
        <v>22.0</v>
      </c>
    </row>
    <row r="1831">
      <c r="A1831" s="1">
        <v>3514059.0</v>
      </c>
      <c r="B1831" s="1" t="s">
        <v>3861</v>
      </c>
      <c r="C1831" s="1" t="s">
        <v>3831</v>
      </c>
      <c r="D1831" s="1" t="s">
        <v>3875</v>
      </c>
      <c r="E1831" s="1" t="s">
        <v>3948</v>
      </c>
      <c r="F1831" s="1" t="s">
        <v>16</v>
      </c>
      <c r="G1831" s="1" t="s">
        <v>17</v>
      </c>
      <c r="H1831" s="1" t="s">
        <v>18</v>
      </c>
      <c r="I1831" s="1" t="s">
        <v>19</v>
      </c>
      <c r="J1831" s="1">
        <v>158.0</v>
      </c>
      <c r="K1831" s="1">
        <v>43.0</v>
      </c>
      <c r="L1831" s="1">
        <v>78.0</v>
      </c>
    </row>
    <row r="1832">
      <c r="A1832" s="1">
        <v>3507204.0</v>
      </c>
      <c r="B1832" s="1" t="s">
        <v>3949</v>
      </c>
      <c r="C1832" s="1" t="s">
        <v>3831</v>
      </c>
      <c r="D1832" s="1" t="s">
        <v>3862</v>
      </c>
      <c r="E1832" s="1" t="s">
        <v>3950</v>
      </c>
      <c r="F1832" s="1" t="s">
        <v>16</v>
      </c>
      <c r="G1832" s="1" t="s">
        <v>17</v>
      </c>
      <c r="H1832" s="1" t="s">
        <v>18</v>
      </c>
      <c r="I1832" s="1" t="s">
        <v>19</v>
      </c>
      <c r="J1832" s="1">
        <v>100.0</v>
      </c>
      <c r="K1832" s="1">
        <v>38.0</v>
      </c>
      <c r="L1832" s="1">
        <v>425.0</v>
      </c>
    </row>
    <row r="1833">
      <c r="A1833" s="1">
        <v>3579002.0</v>
      </c>
      <c r="B1833" s="1" t="s">
        <v>3951</v>
      </c>
      <c r="C1833" s="1" t="s">
        <v>3831</v>
      </c>
      <c r="D1833" s="1" t="s">
        <v>3922</v>
      </c>
      <c r="E1833" s="1" t="s">
        <v>3952</v>
      </c>
      <c r="F1833" s="1" t="s">
        <v>16</v>
      </c>
      <c r="G1833" s="1" t="s">
        <v>23</v>
      </c>
      <c r="H1833" s="1" t="s">
        <v>18</v>
      </c>
      <c r="I1833" s="1" t="s">
        <v>19</v>
      </c>
      <c r="J1833" s="1">
        <v>54.0</v>
      </c>
      <c r="K1833" s="1">
        <v>25.0</v>
      </c>
      <c r="L1833" s="1">
        <v>89.0</v>
      </c>
    </row>
    <row r="1834">
      <c r="A1834" s="1">
        <v>3528029.0</v>
      </c>
      <c r="B1834" s="1" t="s">
        <v>3953</v>
      </c>
      <c r="C1834" s="1" t="s">
        <v>3831</v>
      </c>
      <c r="D1834" s="1" t="s">
        <v>3841</v>
      </c>
      <c r="E1834" s="1" t="s">
        <v>3954</v>
      </c>
      <c r="F1834" s="1" t="s">
        <v>16</v>
      </c>
      <c r="G1834" s="1" t="s">
        <v>23</v>
      </c>
      <c r="H1834" s="1" t="s">
        <v>18</v>
      </c>
      <c r="I1834" s="1" t="s">
        <v>19</v>
      </c>
      <c r="J1834" s="1">
        <v>69.0</v>
      </c>
      <c r="K1834" s="1">
        <v>21.0</v>
      </c>
      <c r="L1834" s="1">
        <v>32.0</v>
      </c>
    </row>
    <row r="1835">
      <c r="A1835" s="1">
        <v>3517076.0</v>
      </c>
      <c r="B1835" s="1" t="s">
        <v>3955</v>
      </c>
      <c r="C1835" s="1" t="s">
        <v>3831</v>
      </c>
      <c r="D1835" s="1" t="s">
        <v>3956</v>
      </c>
      <c r="E1835" s="1" t="s">
        <v>3957</v>
      </c>
      <c r="F1835" s="1" t="s">
        <v>16</v>
      </c>
      <c r="G1835" s="1" t="s">
        <v>23</v>
      </c>
      <c r="H1835" s="1" t="s">
        <v>18</v>
      </c>
      <c r="I1835" s="1" t="s">
        <v>19</v>
      </c>
      <c r="J1835" s="1">
        <v>66.0</v>
      </c>
      <c r="K1835" s="1">
        <v>63.0</v>
      </c>
      <c r="L1835" s="1">
        <v>261.0</v>
      </c>
    </row>
    <row r="1836">
      <c r="A1836" s="1">
        <v>3571145.0</v>
      </c>
      <c r="B1836" s="1" t="s">
        <v>3958</v>
      </c>
      <c r="C1836" s="1" t="s">
        <v>3831</v>
      </c>
      <c r="D1836" s="1" t="s">
        <v>3930</v>
      </c>
      <c r="E1836" s="1" t="s">
        <v>3959</v>
      </c>
      <c r="F1836" s="1" t="s">
        <v>55</v>
      </c>
      <c r="G1836" s="1" t="s">
        <v>17</v>
      </c>
      <c r="H1836" s="1" t="s">
        <v>18</v>
      </c>
      <c r="I1836" s="1" t="s">
        <v>19</v>
      </c>
      <c r="J1836" s="1">
        <v>33.0</v>
      </c>
      <c r="K1836" s="1">
        <v>14.0</v>
      </c>
      <c r="L1836" s="1">
        <v>22.0</v>
      </c>
    </row>
    <row r="1837">
      <c r="A1837" s="1">
        <v>3504045.0</v>
      </c>
      <c r="B1837" s="1" t="s">
        <v>3960</v>
      </c>
      <c r="C1837" s="1" t="s">
        <v>3831</v>
      </c>
      <c r="D1837" s="1" t="s">
        <v>3850</v>
      </c>
      <c r="E1837" s="1" t="s">
        <v>3961</v>
      </c>
      <c r="F1837" s="1" t="s">
        <v>16</v>
      </c>
      <c r="G1837" s="1" t="s">
        <v>17</v>
      </c>
      <c r="H1837" s="1" t="s">
        <v>18</v>
      </c>
      <c r="I1837" s="1" t="s">
        <v>19</v>
      </c>
      <c r="J1837" s="1">
        <v>100.0</v>
      </c>
      <c r="K1837" s="1">
        <v>39.0</v>
      </c>
      <c r="L1837" s="1">
        <v>141.0</v>
      </c>
    </row>
    <row r="1838">
      <c r="A1838" s="1">
        <v>3577026.0</v>
      </c>
      <c r="B1838" s="1" t="s">
        <v>3962</v>
      </c>
      <c r="C1838" s="1" t="s">
        <v>3831</v>
      </c>
      <c r="D1838" s="1" t="s">
        <v>3906</v>
      </c>
      <c r="E1838" s="1" t="s">
        <v>3963</v>
      </c>
      <c r="F1838" s="1" t="s">
        <v>16</v>
      </c>
      <c r="G1838" s="1" t="s">
        <v>17</v>
      </c>
      <c r="H1838" s="1" t="s">
        <v>18</v>
      </c>
      <c r="I1838" s="1" t="s">
        <v>19</v>
      </c>
      <c r="J1838" s="1">
        <v>109.0</v>
      </c>
      <c r="K1838" s="1">
        <v>50.0</v>
      </c>
      <c r="L1838" s="1">
        <v>90.0</v>
      </c>
    </row>
    <row r="1839">
      <c r="A1839" s="1">
        <v>3515123.0</v>
      </c>
      <c r="B1839" s="1" t="s">
        <v>3964</v>
      </c>
      <c r="C1839" s="1" t="s">
        <v>3831</v>
      </c>
      <c r="D1839" s="1" t="s">
        <v>3870</v>
      </c>
      <c r="E1839" s="1" t="s">
        <v>3965</v>
      </c>
      <c r="F1839" s="1" t="s">
        <v>16</v>
      </c>
      <c r="G1839" s="1" t="s">
        <v>23</v>
      </c>
      <c r="H1839" s="1" t="s">
        <v>18</v>
      </c>
      <c r="I1839" s="1" t="s">
        <v>44</v>
      </c>
      <c r="J1839" s="1">
        <v>50.0</v>
      </c>
      <c r="K1839" s="1">
        <v>14.0</v>
      </c>
      <c r="L1839" s="1">
        <v>76.0</v>
      </c>
    </row>
    <row r="1840">
      <c r="A1840" s="1">
        <v>3512050.0</v>
      </c>
      <c r="B1840" s="1" t="s">
        <v>3966</v>
      </c>
      <c r="C1840" s="1" t="s">
        <v>3831</v>
      </c>
      <c r="D1840" s="1" t="s">
        <v>3967</v>
      </c>
      <c r="E1840" s="1" t="s">
        <v>3968</v>
      </c>
      <c r="F1840" s="1" t="s">
        <v>55</v>
      </c>
      <c r="G1840" s="1" t="s">
        <v>17</v>
      </c>
      <c r="H1840" s="1" t="s">
        <v>18</v>
      </c>
      <c r="I1840" s="1" t="s">
        <v>19</v>
      </c>
      <c r="J1840" s="1">
        <v>35.0</v>
      </c>
      <c r="K1840" s="1">
        <v>12.0</v>
      </c>
      <c r="L1840" s="1">
        <v>0.0</v>
      </c>
    </row>
    <row r="1841">
      <c r="A1841" s="1">
        <v>3524020.0</v>
      </c>
      <c r="B1841" s="1" t="s">
        <v>3969</v>
      </c>
      <c r="C1841" s="1" t="s">
        <v>3831</v>
      </c>
      <c r="D1841" s="1" t="s">
        <v>3856</v>
      </c>
      <c r="E1841" s="1" t="s">
        <v>3970</v>
      </c>
      <c r="F1841" s="1" t="s">
        <v>16</v>
      </c>
      <c r="G1841" s="1" t="s">
        <v>17</v>
      </c>
      <c r="H1841" s="1" t="s">
        <v>18</v>
      </c>
      <c r="I1841" s="1" t="s">
        <v>19</v>
      </c>
      <c r="J1841" s="1">
        <v>135.0</v>
      </c>
      <c r="K1841" s="1">
        <v>32.0</v>
      </c>
      <c r="L1841" s="1">
        <v>362.0</v>
      </c>
    </row>
    <row r="1842">
      <c r="A1842" s="1">
        <v>3573250.0</v>
      </c>
      <c r="B1842" s="1" t="s">
        <v>3971</v>
      </c>
      <c r="C1842" s="1" t="s">
        <v>3831</v>
      </c>
      <c r="D1842" s="1" t="s">
        <v>3938</v>
      </c>
      <c r="E1842" s="1" t="s">
        <v>3972</v>
      </c>
      <c r="F1842" s="1" t="s">
        <v>55</v>
      </c>
      <c r="G1842" s="1" t="s">
        <v>17</v>
      </c>
      <c r="H1842" s="1" t="s">
        <v>18</v>
      </c>
      <c r="I1842" s="1" t="s">
        <v>19</v>
      </c>
      <c r="J1842" s="1">
        <v>63.0</v>
      </c>
      <c r="K1842" s="1">
        <v>32.0</v>
      </c>
      <c r="L1842" s="1">
        <v>259.0</v>
      </c>
    </row>
    <row r="1843">
      <c r="A1843" s="1">
        <v>3517025.0</v>
      </c>
      <c r="B1843" s="1" t="s">
        <v>3973</v>
      </c>
      <c r="C1843" s="1" t="s">
        <v>3831</v>
      </c>
      <c r="D1843" s="1" t="s">
        <v>3956</v>
      </c>
      <c r="E1843" s="1" t="s">
        <v>3974</v>
      </c>
      <c r="F1843" s="1" t="s">
        <v>16</v>
      </c>
      <c r="G1843" s="1" t="s">
        <v>23</v>
      </c>
      <c r="H1843" s="1" t="s">
        <v>18</v>
      </c>
      <c r="I1843" s="1" t="s">
        <v>19</v>
      </c>
      <c r="J1843" s="1">
        <v>57.0</v>
      </c>
      <c r="K1843" s="1">
        <v>26.0</v>
      </c>
      <c r="L1843" s="1">
        <v>83.0</v>
      </c>
    </row>
    <row r="1844">
      <c r="A1844" s="1">
        <v>3515140.0</v>
      </c>
      <c r="B1844" s="1" t="s">
        <v>3975</v>
      </c>
      <c r="C1844" s="1" t="s">
        <v>3831</v>
      </c>
      <c r="D1844" s="1" t="s">
        <v>3870</v>
      </c>
      <c r="E1844" s="1" t="s">
        <v>3976</v>
      </c>
      <c r="F1844" s="1" t="s">
        <v>16</v>
      </c>
      <c r="G1844" s="1" t="s">
        <v>23</v>
      </c>
      <c r="H1844" s="1" t="s">
        <v>18</v>
      </c>
      <c r="I1844" s="1" t="s">
        <v>44</v>
      </c>
      <c r="J1844" s="1">
        <v>66.0</v>
      </c>
      <c r="K1844" s="1">
        <v>29.0</v>
      </c>
      <c r="L1844" s="1">
        <v>111.0</v>
      </c>
    </row>
    <row r="1845">
      <c r="A1845" s="1">
        <v>3506064.0</v>
      </c>
      <c r="B1845" s="1" t="s">
        <v>3977</v>
      </c>
      <c r="C1845" s="1" t="s">
        <v>3831</v>
      </c>
      <c r="D1845" s="1" t="s">
        <v>3894</v>
      </c>
      <c r="E1845" s="1" t="s">
        <v>3978</v>
      </c>
      <c r="F1845" s="1" t="s">
        <v>55</v>
      </c>
      <c r="G1845" s="1" t="s">
        <v>17</v>
      </c>
      <c r="H1845" s="1" t="s">
        <v>18</v>
      </c>
      <c r="I1845" s="1" t="s">
        <v>19</v>
      </c>
      <c r="J1845" s="1">
        <v>30.0</v>
      </c>
      <c r="K1845" s="1">
        <v>14.0</v>
      </c>
      <c r="L1845" s="1">
        <v>71.0</v>
      </c>
    </row>
    <row r="1846">
      <c r="A1846" s="1">
        <v>3510109.0</v>
      </c>
      <c r="B1846" s="1" t="s">
        <v>3979</v>
      </c>
      <c r="C1846" s="1" t="s">
        <v>3831</v>
      </c>
      <c r="D1846" s="1" t="s">
        <v>3844</v>
      </c>
      <c r="E1846" s="1" t="s">
        <v>3980</v>
      </c>
      <c r="F1846" s="1" t="s">
        <v>16</v>
      </c>
      <c r="G1846" s="1" t="s">
        <v>23</v>
      </c>
      <c r="H1846" s="1" t="s">
        <v>18</v>
      </c>
      <c r="I1846" s="1" t="s">
        <v>19</v>
      </c>
      <c r="J1846" s="1">
        <v>50.0</v>
      </c>
      <c r="K1846" s="1">
        <v>15.0</v>
      </c>
      <c r="L1846" s="1">
        <v>47.0</v>
      </c>
    </row>
    <row r="1847">
      <c r="A1847" s="1">
        <v>3523056.0</v>
      </c>
      <c r="B1847" s="1" t="s">
        <v>3981</v>
      </c>
      <c r="C1847" s="1" t="s">
        <v>3831</v>
      </c>
      <c r="D1847" s="1" t="s">
        <v>3982</v>
      </c>
      <c r="E1847" s="1" t="s">
        <v>3983</v>
      </c>
      <c r="F1847" s="1" t="s">
        <v>16</v>
      </c>
      <c r="G1847" s="1" t="s">
        <v>23</v>
      </c>
      <c r="H1847" s="1" t="s">
        <v>18</v>
      </c>
      <c r="I1847" s="1" t="s">
        <v>44</v>
      </c>
      <c r="J1847" s="1">
        <v>70.0</v>
      </c>
      <c r="K1847" s="1">
        <v>29.0</v>
      </c>
      <c r="L1847" s="1">
        <v>0.0</v>
      </c>
    </row>
    <row r="1848">
      <c r="A1848" s="1">
        <v>3515158.0</v>
      </c>
      <c r="B1848" s="1" t="s">
        <v>3984</v>
      </c>
      <c r="C1848" s="1" t="s">
        <v>3831</v>
      </c>
      <c r="D1848" s="1" t="s">
        <v>3870</v>
      </c>
      <c r="E1848" s="1" t="s">
        <v>3985</v>
      </c>
      <c r="F1848" s="1" t="s">
        <v>55</v>
      </c>
      <c r="G1848" s="1" t="s">
        <v>17</v>
      </c>
      <c r="H1848" s="1" t="s">
        <v>18</v>
      </c>
      <c r="I1848" s="1" t="s">
        <v>19</v>
      </c>
      <c r="J1848" s="1">
        <v>31.0</v>
      </c>
      <c r="K1848" s="1">
        <v>17.0</v>
      </c>
      <c r="L1848" s="1">
        <v>0.0</v>
      </c>
    </row>
    <row r="1849">
      <c r="A1849" s="1">
        <v>3528013.0</v>
      </c>
      <c r="B1849" s="1" t="s">
        <v>3986</v>
      </c>
      <c r="C1849" s="1" t="s">
        <v>3831</v>
      </c>
      <c r="D1849" s="1" t="s">
        <v>3841</v>
      </c>
      <c r="E1849" s="1" t="s">
        <v>3987</v>
      </c>
      <c r="F1849" s="1" t="s">
        <v>16</v>
      </c>
      <c r="G1849" s="1" t="s">
        <v>27</v>
      </c>
      <c r="H1849" s="1" t="s">
        <v>28</v>
      </c>
      <c r="I1849" s="1" t="s">
        <v>40</v>
      </c>
      <c r="J1849" s="1">
        <v>250.0</v>
      </c>
      <c r="K1849" s="1">
        <v>45.0</v>
      </c>
      <c r="L1849" s="1">
        <v>556.0</v>
      </c>
    </row>
    <row r="1850">
      <c r="A1850" s="1">
        <v>3507096.0</v>
      </c>
      <c r="B1850" s="1" t="s">
        <v>3988</v>
      </c>
      <c r="C1850" s="1" t="s">
        <v>3831</v>
      </c>
      <c r="D1850" s="1" t="s">
        <v>3862</v>
      </c>
      <c r="E1850" s="1" t="s">
        <v>3989</v>
      </c>
      <c r="F1850" s="1" t="s">
        <v>16</v>
      </c>
      <c r="G1850" s="1" t="s">
        <v>27</v>
      </c>
      <c r="H1850" s="1" t="s">
        <v>18</v>
      </c>
      <c r="I1850" s="1" t="s">
        <v>19</v>
      </c>
      <c r="J1850" s="1">
        <v>249.0</v>
      </c>
      <c r="K1850" s="1">
        <v>104.0</v>
      </c>
      <c r="L1850" s="1">
        <v>1076.0</v>
      </c>
    </row>
    <row r="1851">
      <c r="A1851" s="1">
        <v>3516036.0</v>
      </c>
      <c r="B1851" s="1" t="s">
        <v>3990</v>
      </c>
      <c r="C1851" s="1" t="s">
        <v>3831</v>
      </c>
      <c r="D1851" s="1" t="s">
        <v>3909</v>
      </c>
      <c r="E1851" s="1" t="s">
        <v>3991</v>
      </c>
      <c r="F1851" s="1" t="s">
        <v>16</v>
      </c>
      <c r="G1851" s="1" t="s">
        <v>23</v>
      </c>
      <c r="H1851" s="1" t="s">
        <v>18</v>
      </c>
      <c r="I1851" s="1" t="s">
        <v>19</v>
      </c>
      <c r="J1851" s="1">
        <v>90.0</v>
      </c>
      <c r="K1851" s="1">
        <v>37.0</v>
      </c>
      <c r="L1851" s="1">
        <v>68.0</v>
      </c>
    </row>
    <row r="1852">
      <c r="A1852" s="1">
        <v>3521015.0</v>
      </c>
      <c r="B1852" s="1" t="s">
        <v>3992</v>
      </c>
      <c r="C1852" s="1" t="s">
        <v>3831</v>
      </c>
      <c r="D1852" s="1" t="s">
        <v>3838</v>
      </c>
      <c r="E1852" s="1" t="s">
        <v>3993</v>
      </c>
      <c r="F1852" s="1" t="s">
        <v>16</v>
      </c>
      <c r="G1852" s="1" t="s">
        <v>17</v>
      </c>
      <c r="H1852" s="1" t="s">
        <v>18</v>
      </c>
      <c r="I1852" s="1" t="s">
        <v>19</v>
      </c>
      <c r="J1852" s="1">
        <v>160.0</v>
      </c>
      <c r="K1852" s="1">
        <v>39.0</v>
      </c>
      <c r="L1852" s="1">
        <v>296.0</v>
      </c>
    </row>
    <row r="1853">
      <c r="A1853" s="1">
        <v>3524072.0</v>
      </c>
      <c r="B1853" s="1" t="s">
        <v>3994</v>
      </c>
      <c r="C1853" s="1" t="s">
        <v>3831</v>
      </c>
      <c r="D1853" s="1" t="s">
        <v>3856</v>
      </c>
      <c r="E1853" s="1" t="s">
        <v>3995</v>
      </c>
      <c r="F1853" s="1" t="s">
        <v>16</v>
      </c>
      <c r="G1853" s="1" t="s">
        <v>23</v>
      </c>
      <c r="H1853" s="1" t="s">
        <v>18</v>
      </c>
      <c r="I1853" s="1" t="s">
        <v>19</v>
      </c>
      <c r="J1853" s="1">
        <v>59.0</v>
      </c>
      <c r="K1853" s="1">
        <v>24.0</v>
      </c>
      <c r="L1853" s="1">
        <v>0.0</v>
      </c>
    </row>
    <row r="1854">
      <c r="A1854" s="1">
        <v>3510043.0</v>
      </c>
      <c r="B1854" s="1" t="s">
        <v>3996</v>
      </c>
      <c r="C1854" s="1" t="s">
        <v>3831</v>
      </c>
      <c r="D1854" s="1" t="s">
        <v>3844</v>
      </c>
      <c r="E1854" s="1" t="s">
        <v>3997</v>
      </c>
      <c r="F1854" s="1" t="s">
        <v>16</v>
      </c>
      <c r="G1854" s="1" t="s">
        <v>17</v>
      </c>
      <c r="H1854" s="1" t="s">
        <v>28</v>
      </c>
      <c r="I1854" s="1" t="s">
        <v>40</v>
      </c>
      <c r="J1854" s="1">
        <v>161.0</v>
      </c>
      <c r="K1854" s="1">
        <v>107.0</v>
      </c>
      <c r="L1854" s="1">
        <v>428.0</v>
      </c>
    </row>
    <row r="1855">
      <c r="A1855" s="1">
        <v>3578476.0</v>
      </c>
      <c r="B1855" s="1" t="s">
        <v>3998</v>
      </c>
      <c r="C1855" s="1" t="s">
        <v>3831</v>
      </c>
      <c r="D1855" s="1" t="s">
        <v>3847</v>
      </c>
      <c r="E1855" s="1" t="s">
        <v>3999</v>
      </c>
      <c r="F1855" s="1" t="s">
        <v>16</v>
      </c>
      <c r="G1855" s="1" t="s">
        <v>17</v>
      </c>
      <c r="H1855" s="1" t="s">
        <v>18</v>
      </c>
      <c r="I1855" s="1" t="s">
        <v>59</v>
      </c>
      <c r="J1855" s="1">
        <v>146.0</v>
      </c>
      <c r="K1855" s="1">
        <v>73.0</v>
      </c>
      <c r="L1855" s="1">
        <v>412.0</v>
      </c>
    </row>
    <row r="1856">
      <c r="A1856" s="1">
        <v>3510104.0</v>
      </c>
      <c r="B1856" s="1" t="s">
        <v>4000</v>
      </c>
      <c r="C1856" s="1" t="s">
        <v>3831</v>
      </c>
      <c r="D1856" s="1" t="s">
        <v>3844</v>
      </c>
      <c r="E1856" s="1" t="s">
        <v>4001</v>
      </c>
      <c r="F1856" s="1" t="s">
        <v>16</v>
      </c>
      <c r="G1856" s="1" t="s">
        <v>23</v>
      </c>
      <c r="H1856" s="1" t="s">
        <v>18</v>
      </c>
      <c r="I1856" s="1" t="s">
        <v>19</v>
      </c>
      <c r="J1856" s="1">
        <v>72.0</v>
      </c>
      <c r="K1856" s="1">
        <v>20.0</v>
      </c>
      <c r="L1856" s="1">
        <v>77.0</v>
      </c>
    </row>
    <row r="1857">
      <c r="A1857" s="1">
        <v>3519026.0</v>
      </c>
      <c r="B1857" s="1" t="s">
        <v>4002</v>
      </c>
      <c r="C1857" s="1" t="s">
        <v>3831</v>
      </c>
      <c r="D1857" s="1" t="s">
        <v>3906</v>
      </c>
      <c r="E1857" s="1" t="s">
        <v>4003</v>
      </c>
      <c r="F1857" s="1" t="s">
        <v>473</v>
      </c>
      <c r="G1857" s="1" t="s">
        <v>17</v>
      </c>
      <c r="H1857" s="1" t="s">
        <v>28</v>
      </c>
      <c r="I1857" s="1" t="s">
        <v>139</v>
      </c>
      <c r="J1857" s="1">
        <v>47.0</v>
      </c>
      <c r="K1857" s="1">
        <v>67.0</v>
      </c>
      <c r="L1857" s="1">
        <v>152.0</v>
      </c>
    </row>
    <row r="1858">
      <c r="A1858" s="1">
        <v>3521027.0</v>
      </c>
      <c r="B1858" s="1" t="s">
        <v>4004</v>
      </c>
      <c r="C1858" s="1" t="s">
        <v>3831</v>
      </c>
      <c r="D1858" s="1" t="s">
        <v>3838</v>
      </c>
      <c r="E1858" s="1" t="s">
        <v>4005</v>
      </c>
      <c r="F1858" s="1" t="s">
        <v>16</v>
      </c>
      <c r="G1858" s="1" t="s">
        <v>23</v>
      </c>
      <c r="H1858" s="1" t="s">
        <v>18</v>
      </c>
      <c r="I1858" s="1" t="s">
        <v>40</v>
      </c>
      <c r="J1858" s="1">
        <v>50.0</v>
      </c>
      <c r="K1858" s="1">
        <v>19.0</v>
      </c>
      <c r="L1858" s="1">
        <v>0.0</v>
      </c>
    </row>
    <row r="1859">
      <c r="A1859" s="1">
        <v>3573022.0</v>
      </c>
      <c r="B1859" s="1" t="s">
        <v>4006</v>
      </c>
      <c r="C1859" s="1" t="s">
        <v>3831</v>
      </c>
      <c r="D1859" s="1" t="s">
        <v>3938</v>
      </c>
      <c r="E1859" s="1" t="s">
        <v>4007</v>
      </c>
      <c r="F1859" s="1" t="s">
        <v>16</v>
      </c>
      <c r="G1859" s="1" t="s">
        <v>27</v>
      </c>
      <c r="H1859" s="1" t="s">
        <v>33</v>
      </c>
      <c r="I1859" s="1" t="s">
        <v>74</v>
      </c>
      <c r="J1859" s="1">
        <v>228.0</v>
      </c>
      <c r="K1859" s="1">
        <v>56.0</v>
      </c>
      <c r="L1859" s="1">
        <v>827.0</v>
      </c>
    </row>
    <row r="1860">
      <c r="A1860" s="1">
        <v>3506059.0</v>
      </c>
      <c r="B1860" s="1" t="s">
        <v>4008</v>
      </c>
      <c r="C1860" s="1" t="s">
        <v>3831</v>
      </c>
      <c r="D1860" s="1" t="s">
        <v>3894</v>
      </c>
      <c r="E1860" s="1" t="s">
        <v>4009</v>
      </c>
      <c r="F1860" s="1" t="s">
        <v>16</v>
      </c>
      <c r="G1860" s="1" t="s">
        <v>23</v>
      </c>
      <c r="H1860" s="1" t="s">
        <v>18</v>
      </c>
      <c r="I1860" s="1" t="s">
        <v>19</v>
      </c>
      <c r="J1860" s="1">
        <v>100.0</v>
      </c>
      <c r="K1860" s="1">
        <v>35.0</v>
      </c>
      <c r="L1860" s="1">
        <v>209.0</v>
      </c>
    </row>
    <row r="1861">
      <c r="A1861" s="1">
        <v>3517094.0</v>
      </c>
      <c r="B1861" s="1" t="s">
        <v>4010</v>
      </c>
      <c r="C1861" s="1" t="s">
        <v>3831</v>
      </c>
      <c r="D1861" s="1" t="s">
        <v>3956</v>
      </c>
      <c r="E1861" s="1" t="s">
        <v>4011</v>
      </c>
      <c r="F1861" s="1" t="s">
        <v>16</v>
      </c>
      <c r="G1861" s="1" t="s">
        <v>23</v>
      </c>
      <c r="H1861" s="1" t="s">
        <v>18</v>
      </c>
      <c r="I1861" s="1" t="s">
        <v>19</v>
      </c>
      <c r="J1861" s="1">
        <v>115.0</v>
      </c>
      <c r="K1861" s="1">
        <v>25.0</v>
      </c>
      <c r="L1861" s="1">
        <v>23.0</v>
      </c>
    </row>
    <row r="1862">
      <c r="A1862" s="1">
        <v>3502158.0</v>
      </c>
      <c r="B1862" s="1" t="s">
        <v>4012</v>
      </c>
      <c r="C1862" s="1" t="s">
        <v>3831</v>
      </c>
      <c r="D1862" s="1" t="s">
        <v>4013</v>
      </c>
      <c r="E1862" s="1" t="s">
        <v>4014</v>
      </c>
      <c r="F1862" s="1" t="s">
        <v>16</v>
      </c>
      <c r="G1862" s="1" t="s">
        <v>23</v>
      </c>
      <c r="H1862" s="1" t="s">
        <v>28</v>
      </c>
      <c r="I1862" s="1" t="s">
        <v>40</v>
      </c>
      <c r="J1862" s="1">
        <v>50.0</v>
      </c>
      <c r="K1862" s="1">
        <v>21.0</v>
      </c>
      <c r="L1862" s="1">
        <v>0.0</v>
      </c>
    </row>
    <row r="1863">
      <c r="A1863" s="1">
        <v>3515110.0</v>
      </c>
      <c r="B1863" s="1" t="s">
        <v>4015</v>
      </c>
      <c r="C1863" s="1" t="s">
        <v>3831</v>
      </c>
      <c r="D1863" s="1" t="s">
        <v>3870</v>
      </c>
      <c r="E1863" s="1" t="s">
        <v>4016</v>
      </c>
      <c r="F1863" s="1" t="s">
        <v>16</v>
      </c>
      <c r="G1863" s="1" t="s">
        <v>23</v>
      </c>
      <c r="H1863" s="1" t="s">
        <v>18</v>
      </c>
      <c r="I1863" s="1" t="s">
        <v>19</v>
      </c>
      <c r="J1863" s="1">
        <v>75.0</v>
      </c>
      <c r="K1863" s="1">
        <v>34.0</v>
      </c>
      <c r="L1863" s="1">
        <v>84.0</v>
      </c>
    </row>
    <row r="1864">
      <c r="A1864" s="1">
        <v>3502112.0</v>
      </c>
      <c r="B1864" s="1" t="s">
        <v>4017</v>
      </c>
      <c r="C1864" s="1" t="s">
        <v>3831</v>
      </c>
      <c r="D1864" s="1" t="s">
        <v>4013</v>
      </c>
      <c r="E1864" s="1" t="s">
        <v>4018</v>
      </c>
      <c r="F1864" s="1" t="s">
        <v>16</v>
      </c>
      <c r="G1864" s="1" t="s">
        <v>17</v>
      </c>
      <c r="H1864" s="1" t="s">
        <v>18</v>
      </c>
      <c r="I1864" s="1" t="s">
        <v>19</v>
      </c>
      <c r="J1864" s="1">
        <v>185.0</v>
      </c>
      <c r="K1864" s="1">
        <v>38.0</v>
      </c>
      <c r="L1864" s="1">
        <v>409.0</v>
      </c>
    </row>
    <row r="1865">
      <c r="A1865" s="1">
        <v>3576014.0</v>
      </c>
      <c r="B1865" s="1" t="s">
        <v>4019</v>
      </c>
      <c r="C1865" s="1" t="s">
        <v>3831</v>
      </c>
      <c r="D1865" s="1" t="s">
        <v>4020</v>
      </c>
      <c r="E1865" s="1" t="s">
        <v>4021</v>
      </c>
      <c r="F1865" s="1" t="s">
        <v>16</v>
      </c>
      <c r="G1865" s="1" t="s">
        <v>27</v>
      </c>
      <c r="H1865" s="1" t="s">
        <v>28</v>
      </c>
      <c r="I1865" s="1" t="s">
        <v>29</v>
      </c>
      <c r="J1865" s="1">
        <v>202.0</v>
      </c>
      <c r="K1865" s="1">
        <v>42.0</v>
      </c>
      <c r="L1865" s="1">
        <v>801.0</v>
      </c>
    </row>
    <row r="1866">
      <c r="A1866" s="1">
        <v>3578771.0</v>
      </c>
      <c r="B1866" s="1" t="s">
        <v>4022</v>
      </c>
      <c r="C1866" s="1" t="s">
        <v>3831</v>
      </c>
      <c r="D1866" s="1" t="s">
        <v>3847</v>
      </c>
      <c r="E1866" s="1" t="s">
        <v>4023</v>
      </c>
      <c r="F1866" s="1" t="s">
        <v>55</v>
      </c>
      <c r="G1866" s="1" t="s">
        <v>17</v>
      </c>
      <c r="H1866" s="1" t="s">
        <v>18</v>
      </c>
      <c r="I1866" s="1" t="s">
        <v>19</v>
      </c>
      <c r="J1866" s="1">
        <v>49.0</v>
      </c>
      <c r="K1866" s="1">
        <v>21.0</v>
      </c>
      <c r="L1866" s="1">
        <v>186.0</v>
      </c>
    </row>
    <row r="1867">
      <c r="A1867" s="1">
        <v>3515134.0</v>
      </c>
      <c r="B1867" s="1" t="s">
        <v>4024</v>
      </c>
      <c r="C1867" s="1" t="s">
        <v>3831</v>
      </c>
      <c r="D1867" s="1" t="s">
        <v>3870</v>
      </c>
      <c r="E1867" s="1" t="s">
        <v>4025</v>
      </c>
      <c r="F1867" s="1" t="s">
        <v>55</v>
      </c>
      <c r="G1867" s="1" t="s">
        <v>17</v>
      </c>
      <c r="H1867" s="1" t="s">
        <v>18</v>
      </c>
      <c r="I1867" s="1" t="s">
        <v>59</v>
      </c>
      <c r="J1867" s="1">
        <v>26.0</v>
      </c>
      <c r="K1867" s="1">
        <v>6.0</v>
      </c>
      <c r="L1867" s="1">
        <v>25.0</v>
      </c>
    </row>
    <row r="1868">
      <c r="A1868" s="1">
        <v>3524046.0</v>
      </c>
      <c r="B1868" s="1" t="s">
        <v>4026</v>
      </c>
      <c r="C1868" s="1" t="s">
        <v>3831</v>
      </c>
      <c r="D1868" s="1" t="s">
        <v>3856</v>
      </c>
      <c r="E1868" s="1" t="s">
        <v>4027</v>
      </c>
      <c r="F1868" s="1" t="s">
        <v>16</v>
      </c>
      <c r="G1868" s="1" t="s">
        <v>17</v>
      </c>
      <c r="H1868" s="1" t="s">
        <v>18</v>
      </c>
      <c r="I1868" s="1" t="s">
        <v>19</v>
      </c>
      <c r="J1868" s="1">
        <v>102.0</v>
      </c>
      <c r="K1868" s="1">
        <v>34.0</v>
      </c>
      <c r="L1868" s="1">
        <v>165.0</v>
      </c>
    </row>
    <row r="1869">
      <c r="A1869" s="1">
        <v>3507116.0</v>
      </c>
      <c r="B1869" s="1" t="s">
        <v>4028</v>
      </c>
      <c r="C1869" s="1" t="s">
        <v>3831</v>
      </c>
      <c r="D1869" s="1" t="s">
        <v>3862</v>
      </c>
      <c r="E1869" s="1" t="s">
        <v>4029</v>
      </c>
      <c r="F1869" s="1" t="s">
        <v>16</v>
      </c>
      <c r="G1869" s="1" t="s">
        <v>23</v>
      </c>
      <c r="H1869" s="1" t="s">
        <v>18</v>
      </c>
      <c r="I1869" s="1" t="s">
        <v>44</v>
      </c>
      <c r="J1869" s="1">
        <v>50.0</v>
      </c>
      <c r="K1869" s="1">
        <v>23.0</v>
      </c>
      <c r="L1869" s="1">
        <v>35.0</v>
      </c>
    </row>
    <row r="1870">
      <c r="A1870" s="1">
        <v>3523055.0</v>
      </c>
      <c r="B1870" s="1" t="s">
        <v>4030</v>
      </c>
      <c r="C1870" s="1" t="s">
        <v>3831</v>
      </c>
      <c r="D1870" s="1" t="s">
        <v>3982</v>
      </c>
      <c r="E1870" s="1" t="s">
        <v>4031</v>
      </c>
      <c r="F1870" s="1" t="s">
        <v>16</v>
      </c>
      <c r="G1870" s="1" t="s">
        <v>23</v>
      </c>
      <c r="H1870" s="1" t="s">
        <v>28</v>
      </c>
      <c r="I1870" s="1" t="s">
        <v>40</v>
      </c>
      <c r="J1870" s="1">
        <v>100.0</v>
      </c>
      <c r="K1870" s="1">
        <v>26.0</v>
      </c>
      <c r="L1870" s="1">
        <v>133.0</v>
      </c>
    </row>
    <row r="1871">
      <c r="A1871" s="1">
        <v>3522036.0</v>
      </c>
      <c r="B1871" s="1" t="s">
        <v>4032</v>
      </c>
      <c r="C1871" s="1" t="s">
        <v>3831</v>
      </c>
      <c r="D1871" s="1" t="s">
        <v>3897</v>
      </c>
      <c r="E1871" s="1" t="s">
        <v>4033</v>
      </c>
      <c r="F1871" s="1" t="s">
        <v>16</v>
      </c>
      <c r="G1871" s="1" t="s">
        <v>23</v>
      </c>
      <c r="H1871" s="1" t="s">
        <v>18</v>
      </c>
      <c r="I1871" s="1" t="s">
        <v>684</v>
      </c>
      <c r="J1871" s="1">
        <v>93.0</v>
      </c>
      <c r="K1871" s="1">
        <v>29.0</v>
      </c>
      <c r="L1871" s="1">
        <v>150.0</v>
      </c>
    </row>
    <row r="1872">
      <c r="A1872" s="1">
        <v>3573249.0</v>
      </c>
      <c r="B1872" s="1" t="s">
        <v>2161</v>
      </c>
      <c r="C1872" s="1" t="s">
        <v>3831</v>
      </c>
      <c r="D1872" s="1" t="s">
        <v>3938</v>
      </c>
      <c r="E1872" s="1" t="s">
        <v>4034</v>
      </c>
      <c r="F1872" s="1" t="s">
        <v>16</v>
      </c>
      <c r="G1872" s="1" t="s">
        <v>23</v>
      </c>
      <c r="H1872" s="1" t="s">
        <v>18</v>
      </c>
      <c r="I1872" s="1" t="s">
        <v>44</v>
      </c>
      <c r="J1872" s="1">
        <v>50.0</v>
      </c>
      <c r="K1872" s="1">
        <v>39.0</v>
      </c>
      <c r="L1872" s="1">
        <v>169.0</v>
      </c>
    </row>
    <row r="1873">
      <c r="A1873" s="1">
        <v>3507026.0</v>
      </c>
      <c r="B1873" s="1" t="s">
        <v>4035</v>
      </c>
      <c r="C1873" s="1" t="s">
        <v>3831</v>
      </c>
      <c r="D1873" s="1" t="s">
        <v>3862</v>
      </c>
      <c r="E1873" s="1" t="s">
        <v>4036</v>
      </c>
      <c r="F1873" s="1" t="s">
        <v>174</v>
      </c>
      <c r="G1873" s="1" t="s">
        <v>150</v>
      </c>
      <c r="H1873" s="1" t="s">
        <v>33</v>
      </c>
      <c r="I1873" s="1" t="s">
        <v>411</v>
      </c>
      <c r="J1873" s="1">
        <v>456.0</v>
      </c>
      <c r="K1873" s="1">
        <v>23.0</v>
      </c>
      <c r="L1873" s="1">
        <v>780.0</v>
      </c>
    </row>
    <row r="1874">
      <c r="A1874" s="1">
        <v>3578020.0</v>
      </c>
      <c r="B1874" s="1" t="s">
        <v>4037</v>
      </c>
      <c r="C1874" s="1" t="s">
        <v>3831</v>
      </c>
      <c r="D1874" s="1" t="s">
        <v>3847</v>
      </c>
      <c r="E1874" s="1" t="s">
        <v>4038</v>
      </c>
      <c r="F1874" s="1" t="s">
        <v>16</v>
      </c>
      <c r="G1874" s="1" t="s">
        <v>150</v>
      </c>
      <c r="H1874" s="1" t="s">
        <v>33</v>
      </c>
      <c r="I1874" s="1" t="s">
        <v>95</v>
      </c>
      <c r="J1874" s="1">
        <v>759.0</v>
      </c>
      <c r="K1874" s="1">
        <v>132.0</v>
      </c>
      <c r="L1874" s="1">
        <v>1022.0</v>
      </c>
    </row>
    <row r="1875">
      <c r="A1875" s="1">
        <v>3576074.0</v>
      </c>
      <c r="B1875" s="1" t="s">
        <v>4039</v>
      </c>
      <c r="C1875" s="1" t="s">
        <v>3831</v>
      </c>
      <c r="D1875" s="1" t="s">
        <v>4020</v>
      </c>
      <c r="E1875" s="1" t="s">
        <v>4040</v>
      </c>
      <c r="F1875" s="1" t="s">
        <v>16</v>
      </c>
      <c r="G1875" s="1" t="s">
        <v>23</v>
      </c>
      <c r="H1875" s="1" t="s">
        <v>18</v>
      </c>
      <c r="I1875" s="1" t="s">
        <v>44</v>
      </c>
      <c r="J1875" s="1">
        <v>73.0</v>
      </c>
      <c r="K1875" s="1">
        <v>27.0</v>
      </c>
      <c r="L1875" s="1">
        <v>154.0</v>
      </c>
    </row>
    <row r="1876">
      <c r="A1876" s="1">
        <v>3509043.0</v>
      </c>
      <c r="B1876" s="1" t="s">
        <v>4041</v>
      </c>
      <c r="C1876" s="1" t="s">
        <v>3831</v>
      </c>
      <c r="D1876" s="1" t="s">
        <v>3890</v>
      </c>
      <c r="E1876" s="1" t="s">
        <v>4042</v>
      </c>
      <c r="F1876" s="1" t="s">
        <v>473</v>
      </c>
      <c r="G1876" s="1" t="s">
        <v>27</v>
      </c>
      <c r="H1876" s="1" t="s">
        <v>28</v>
      </c>
      <c r="I1876" s="1" t="s">
        <v>139</v>
      </c>
      <c r="J1876" s="1">
        <v>102.0</v>
      </c>
      <c r="K1876" s="1">
        <v>44.0</v>
      </c>
      <c r="L1876" s="1">
        <v>166.0</v>
      </c>
    </row>
    <row r="1877">
      <c r="A1877" s="1">
        <v>3578122.0</v>
      </c>
      <c r="B1877" s="1" t="s">
        <v>4043</v>
      </c>
      <c r="C1877" s="1" t="s">
        <v>3831</v>
      </c>
      <c r="D1877" s="1" t="s">
        <v>3847</v>
      </c>
      <c r="E1877" s="1" t="s">
        <v>4044</v>
      </c>
      <c r="F1877" s="1" t="s">
        <v>16</v>
      </c>
      <c r="G1877" s="1" t="s">
        <v>17</v>
      </c>
      <c r="H1877" s="1" t="s">
        <v>18</v>
      </c>
      <c r="I1877" s="1" t="s">
        <v>74</v>
      </c>
      <c r="J1877" s="1">
        <v>111.0</v>
      </c>
      <c r="K1877" s="1">
        <v>52.0</v>
      </c>
      <c r="L1877" s="1">
        <v>308.0</v>
      </c>
    </row>
    <row r="1878">
      <c r="A1878" s="1">
        <v>3574068.0</v>
      </c>
      <c r="B1878" s="1" t="s">
        <v>4045</v>
      </c>
      <c r="C1878" s="1" t="s">
        <v>3831</v>
      </c>
      <c r="D1878" s="1" t="s">
        <v>4046</v>
      </c>
      <c r="E1878" s="1" t="s">
        <v>4047</v>
      </c>
      <c r="F1878" s="1" t="s">
        <v>55</v>
      </c>
      <c r="G1878" s="1" t="s">
        <v>17</v>
      </c>
      <c r="H1878" s="1" t="s">
        <v>18</v>
      </c>
      <c r="I1878" s="1" t="s">
        <v>44</v>
      </c>
      <c r="J1878" s="1">
        <v>96.0</v>
      </c>
      <c r="K1878" s="1">
        <v>17.0</v>
      </c>
      <c r="L1878" s="1">
        <v>108.0</v>
      </c>
    </row>
    <row r="1879">
      <c r="A1879" s="1">
        <v>3515141.0</v>
      </c>
      <c r="B1879" s="1" t="s">
        <v>157</v>
      </c>
      <c r="C1879" s="1" t="s">
        <v>3831</v>
      </c>
      <c r="D1879" s="1" t="s">
        <v>3870</v>
      </c>
      <c r="E1879" s="1" t="s">
        <v>4048</v>
      </c>
      <c r="F1879" s="1" t="s">
        <v>16</v>
      </c>
      <c r="G1879" s="1" t="s">
        <v>17</v>
      </c>
      <c r="H1879" s="1" t="s">
        <v>18</v>
      </c>
      <c r="I1879" s="1" t="s">
        <v>19</v>
      </c>
      <c r="J1879" s="1">
        <v>100.0</v>
      </c>
      <c r="K1879" s="1">
        <v>24.0</v>
      </c>
      <c r="L1879" s="1">
        <v>196.0</v>
      </c>
    </row>
    <row r="1880">
      <c r="A1880" s="1">
        <v>3522064.0</v>
      </c>
      <c r="B1880" s="1" t="s">
        <v>4049</v>
      </c>
      <c r="C1880" s="1" t="s">
        <v>3831</v>
      </c>
      <c r="D1880" s="1" t="s">
        <v>3897</v>
      </c>
      <c r="E1880" s="1" t="s">
        <v>4050</v>
      </c>
      <c r="F1880" s="1" t="s">
        <v>55</v>
      </c>
      <c r="G1880" s="1" t="s">
        <v>17</v>
      </c>
      <c r="H1880" s="1" t="s">
        <v>18</v>
      </c>
      <c r="I1880" s="1" t="s">
        <v>19</v>
      </c>
      <c r="J1880" s="1">
        <v>71.0</v>
      </c>
      <c r="K1880" s="1">
        <v>23.0</v>
      </c>
      <c r="L1880" s="1">
        <v>181.0</v>
      </c>
    </row>
    <row r="1881">
      <c r="A1881" s="1">
        <v>3506065.0</v>
      </c>
      <c r="B1881" s="1" t="s">
        <v>4051</v>
      </c>
      <c r="C1881" s="1" t="s">
        <v>3831</v>
      </c>
      <c r="D1881" s="1" t="s">
        <v>3930</v>
      </c>
      <c r="E1881" s="1" t="s">
        <v>4052</v>
      </c>
      <c r="F1881" s="1" t="s">
        <v>32</v>
      </c>
      <c r="G1881" s="1" t="s">
        <v>17</v>
      </c>
      <c r="H1881" s="1" t="s">
        <v>18</v>
      </c>
      <c r="I1881" s="1" t="s">
        <v>19</v>
      </c>
      <c r="J1881" s="1">
        <v>13.0</v>
      </c>
      <c r="K1881" s="1">
        <v>21.0</v>
      </c>
      <c r="L1881" s="1">
        <v>193.0</v>
      </c>
    </row>
    <row r="1882">
      <c r="A1882" s="1">
        <v>3526029.0</v>
      </c>
      <c r="B1882" s="1" t="s">
        <v>4053</v>
      </c>
      <c r="C1882" s="1" t="s">
        <v>3831</v>
      </c>
      <c r="D1882" s="1" t="s">
        <v>3832</v>
      </c>
      <c r="E1882" s="1" t="s">
        <v>4054</v>
      </c>
      <c r="F1882" s="1" t="s">
        <v>16</v>
      </c>
      <c r="G1882" s="1" t="s">
        <v>23</v>
      </c>
      <c r="H1882" s="1" t="s">
        <v>18</v>
      </c>
      <c r="I1882" s="1" t="s">
        <v>19</v>
      </c>
      <c r="J1882" s="1">
        <v>75.0</v>
      </c>
      <c r="K1882" s="1">
        <v>26.0</v>
      </c>
      <c r="L1882" s="1">
        <v>61.0</v>
      </c>
    </row>
    <row r="1883">
      <c r="A1883" s="1">
        <v>3524056.0</v>
      </c>
      <c r="B1883" s="1" t="s">
        <v>4055</v>
      </c>
      <c r="C1883" s="1" t="s">
        <v>3831</v>
      </c>
      <c r="D1883" s="1" t="s">
        <v>3856</v>
      </c>
      <c r="E1883" s="1" t="s">
        <v>4056</v>
      </c>
      <c r="F1883" s="1" t="s">
        <v>16</v>
      </c>
      <c r="G1883" s="1" t="s">
        <v>23</v>
      </c>
      <c r="H1883" s="1" t="s">
        <v>18</v>
      </c>
      <c r="I1883" s="1" t="s">
        <v>684</v>
      </c>
      <c r="J1883" s="1">
        <v>49.0</v>
      </c>
      <c r="K1883" s="1">
        <v>21.0</v>
      </c>
      <c r="L1883" s="1">
        <v>22.0</v>
      </c>
    </row>
    <row r="1884">
      <c r="A1884" s="1">
        <v>3571111.0</v>
      </c>
      <c r="B1884" s="1" t="s">
        <v>4057</v>
      </c>
      <c r="C1884" s="1" t="s">
        <v>3831</v>
      </c>
      <c r="D1884" s="1" t="s">
        <v>3930</v>
      </c>
      <c r="E1884" s="1" t="s">
        <v>4058</v>
      </c>
      <c r="F1884" s="1" t="s">
        <v>55</v>
      </c>
      <c r="G1884" s="1" t="s">
        <v>17</v>
      </c>
      <c r="H1884" s="1" t="s">
        <v>18</v>
      </c>
      <c r="I1884" s="1" t="s">
        <v>19</v>
      </c>
      <c r="J1884" s="1">
        <v>46.0</v>
      </c>
      <c r="K1884" s="1">
        <v>15.0</v>
      </c>
      <c r="L1884" s="1">
        <v>47.0</v>
      </c>
    </row>
    <row r="1885">
      <c r="A1885" s="1">
        <v>3516037.0</v>
      </c>
      <c r="B1885" s="1" t="s">
        <v>1381</v>
      </c>
      <c r="C1885" s="1" t="s">
        <v>3831</v>
      </c>
      <c r="D1885" s="1" t="s">
        <v>3909</v>
      </c>
      <c r="E1885" s="1" t="s">
        <v>4059</v>
      </c>
      <c r="F1885" s="1" t="s">
        <v>16</v>
      </c>
      <c r="G1885" s="1" t="s">
        <v>23</v>
      </c>
      <c r="H1885" s="1" t="s">
        <v>18</v>
      </c>
      <c r="I1885" s="1" t="s">
        <v>59</v>
      </c>
      <c r="J1885" s="1">
        <v>81.0</v>
      </c>
      <c r="K1885" s="1">
        <v>16.0</v>
      </c>
      <c r="L1885" s="1">
        <v>153.0</v>
      </c>
    </row>
    <row r="1886">
      <c r="A1886" s="1">
        <v>3526031.0</v>
      </c>
      <c r="B1886" s="1" t="s">
        <v>4060</v>
      </c>
      <c r="C1886" s="1" t="s">
        <v>3831</v>
      </c>
      <c r="D1886" s="1" t="s">
        <v>3832</v>
      </c>
      <c r="E1886" s="1" t="s">
        <v>4061</v>
      </c>
      <c r="F1886" s="1" t="s">
        <v>55</v>
      </c>
      <c r="G1886" s="1" t="s">
        <v>17</v>
      </c>
      <c r="H1886" s="1" t="s">
        <v>18</v>
      </c>
      <c r="I1886" s="1" t="s">
        <v>163</v>
      </c>
      <c r="J1886" s="1">
        <v>27.0</v>
      </c>
      <c r="K1886" s="1">
        <v>20.0</v>
      </c>
      <c r="L1886" s="1">
        <v>42.0</v>
      </c>
    </row>
    <row r="1887">
      <c r="A1887" s="1">
        <v>3514025.0</v>
      </c>
      <c r="B1887" s="1" t="s">
        <v>4062</v>
      </c>
      <c r="C1887" s="1" t="s">
        <v>3831</v>
      </c>
      <c r="D1887" s="1" t="s">
        <v>3875</v>
      </c>
      <c r="E1887" s="1" t="s">
        <v>4063</v>
      </c>
      <c r="F1887" s="1" t="s">
        <v>16</v>
      </c>
      <c r="G1887" s="1" t="s">
        <v>17</v>
      </c>
      <c r="H1887" s="1" t="s">
        <v>18</v>
      </c>
      <c r="I1887" s="1" t="s">
        <v>19</v>
      </c>
      <c r="J1887" s="1">
        <v>107.0</v>
      </c>
      <c r="K1887" s="1">
        <v>94.0</v>
      </c>
      <c r="L1887" s="1">
        <v>181.0</v>
      </c>
    </row>
    <row r="1888">
      <c r="A1888" s="1">
        <v>3578625.0</v>
      </c>
      <c r="B1888" s="1" t="s">
        <v>4064</v>
      </c>
      <c r="C1888" s="1" t="s">
        <v>3831</v>
      </c>
      <c r="D1888" s="1" t="s">
        <v>3847</v>
      </c>
      <c r="E1888" s="1" t="s">
        <v>4065</v>
      </c>
      <c r="F1888" s="1" t="s">
        <v>32</v>
      </c>
      <c r="G1888" s="1" t="s">
        <v>27</v>
      </c>
      <c r="H1888" s="1" t="s">
        <v>18</v>
      </c>
      <c r="I1888" s="1" t="s">
        <v>34</v>
      </c>
      <c r="J1888" s="1">
        <v>16.0</v>
      </c>
      <c r="K1888" s="1">
        <v>14.0</v>
      </c>
      <c r="L1888" s="1">
        <v>280.0</v>
      </c>
    </row>
    <row r="1889">
      <c r="A1889" s="1">
        <v>3578778.0</v>
      </c>
      <c r="B1889" s="1" t="s">
        <v>4066</v>
      </c>
      <c r="C1889" s="1" t="s">
        <v>3831</v>
      </c>
      <c r="D1889" s="1" t="s">
        <v>3847</v>
      </c>
      <c r="E1889" s="1" t="s">
        <v>4067</v>
      </c>
      <c r="F1889" s="1" t="s">
        <v>16</v>
      </c>
      <c r="G1889" s="1" t="s">
        <v>27</v>
      </c>
      <c r="H1889" s="1" t="s">
        <v>18</v>
      </c>
      <c r="I1889" s="1" t="s">
        <v>19</v>
      </c>
      <c r="J1889" s="1">
        <v>200.0</v>
      </c>
      <c r="K1889" s="1">
        <v>96.0</v>
      </c>
      <c r="L1889" s="1">
        <v>384.0</v>
      </c>
    </row>
    <row r="1890">
      <c r="A1890" s="1">
        <v>3505041.0</v>
      </c>
      <c r="B1890" s="1" t="s">
        <v>4068</v>
      </c>
      <c r="C1890" s="1" t="s">
        <v>3831</v>
      </c>
      <c r="D1890" s="1" t="s">
        <v>3859</v>
      </c>
      <c r="E1890" s="1" t="s">
        <v>4069</v>
      </c>
      <c r="F1890" s="1" t="s">
        <v>16</v>
      </c>
      <c r="G1890" s="1" t="s">
        <v>23</v>
      </c>
      <c r="H1890" s="1" t="s">
        <v>18</v>
      </c>
      <c r="I1890" s="1" t="s">
        <v>19</v>
      </c>
      <c r="J1890" s="1">
        <v>73.0</v>
      </c>
      <c r="K1890" s="1">
        <v>29.0</v>
      </c>
      <c r="L1890" s="1">
        <v>148.0</v>
      </c>
    </row>
    <row r="1891">
      <c r="A1891" s="1">
        <v>3578812.0</v>
      </c>
      <c r="B1891" s="1" t="s">
        <v>4070</v>
      </c>
      <c r="C1891" s="1" t="s">
        <v>3831</v>
      </c>
      <c r="D1891" s="1" t="s">
        <v>3847</v>
      </c>
      <c r="E1891" s="1" t="s">
        <v>4071</v>
      </c>
      <c r="F1891" s="1" t="s">
        <v>55</v>
      </c>
      <c r="G1891" s="1" t="s">
        <v>17</v>
      </c>
      <c r="H1891" s="1" t="s">
        <v>18</v>
      </c>
      <c r="I1891" s="1" t="s">
        <v>163</v>
      </c>
      <c r="J1891" s="1">
        <v>25.0</v>
      </c>
      <c r="K1891" s="1">
        <v>17.0</v>
      </c>
      <c r="L1891" s="1">
        <v>0.0</v>
      </c>
    </row>
    <row r="1892">
      <c r="A1892" s="1">
        <v>3573226.0</v>
      </c>
      <c r="B1892" s="1" t="s">
        <v>4072</v>
      </c>
      <c r="C1892" s="1" t="s">
        <v>3831</v>
      </c>
      <c r="D1892" s="1" t="s">
        <v>3938</v>
      </c>
      <c r="E1892" s="1" t="s">
        <v>4073</v>
      </c>
      <c r="F1892" s="1" t="s">
        <v>16</v>
      </c>
      <c r="G1892" s="1" t="s">
        <v>17</v>
      </c>
      <c r="H1892" s="1" t="s">
        <v>18</v>
      </c>
      <c r="I1892" s="1" t="s">
        <v>19</v>
      </c>
      <c r="J1892" s="1">
        <v>117.0</v>
      </c>
      <c r="K1892" s="1">
        <v>116.0</v>
      </c>
      <c r="L1892" s="1">
        <v>499.0</v>
      </c>
    </row>
    <row r="1893">
      <c r="A1893" s="1">
        <v>3507085.0</v>
      </c>
      <c r="B1893" s="1" t="s">
        <v>4074</v>
      </c>
      <c r="C1893" s="1" t="s">
        <v>3831</v>
      </c>
      <c r="D1893" s="1" t="s">
        <v>3862</v>
      </c>
      <c r="E1893" s="1" t="s">
        <v>4075</v>
      </c>
      <c r="F1893" s="1" t="s">
        <v>16</v>
      </c>
      <c r="G1893" s="1" t="s">
        <v>17</v>
      </c>
      <c r="H1893" s="1" t="s">
        <v>28</v>
      </c>
      <c r="I1893" s="1" t="s">
        <v>40</v>
      </c>
      <c r="J1893" s="1">
        <v>116.0</v>
      </c>
      <c r="K1893" s="1">
        <v>44.0</v>
      </c>
      <c r="L1893" s="1">
        <v>328.0</v>
      </c>
    </row>
    <row r="1894">
      <c r="A1894" s="1">
        <v>3523053.0</v>
      </c>
      <c r="B1894" s="1" t="s">
        <v>4076</v>
      </c>
      <c r="C1894" s="1" t="s">
        <v>3831</v>
      </c>
      <c r="D1894" s="1" t="s">
        <v>3982</v>
      </c>
      <c r="E1894" s="1" t="s">
        <v>4077</v>
      </c>
      <c r="F1894" s="1" t="s">
        <v>16</v>
      </c>
      <c r="G1894" s="1" t="s">
        <v>17</v>
      </c>
      <c r="H1894" s="1" t="s">
        <v>18</v>
      </c>
      <c r="I1894" s="1" t="s">
        <v>19</v>
      </c>
      <c r="J1894" s="1">
        <v>116.0</v>
      </c>
      <c r="K1894" s="1">
        <v>56.0</v>
      </c>
      <c r="L1894" s="1">
        <v>339.0</v>
      </c>
    </row>
    <row r="1895">
      <c r="A1895" s="1">
        <v>3529026.0</v>
      </c>
      <c r="B1895" s="1" t="s">
        <v>4078</v>
      </c>
      <c r="C1895" s="1" t="s">
        <v>3831</v>
      </c>
      <c r="D1895" s="1" t="s">
        <v>4079</v>
      </c>
      <c r="E1895" s="1" t="s">
        <v>4080</v>
      </c>
      <c r="F1895" s="1" t="s">
        <v>55</v>
      </c>
      <c r="G1895" s="1" t="s">
        <v>17</v>
      </c>
      <c r="H1895" s="1" t="s">
        <v>18</v>
      </c>
      <c r="I1895" s="1" t="s">
        <v>19</v>
      </c>
      <c r="J1895" s="1">
        <v>48.0</v>
      </c>
      <c r="K1895" s="1">
        <v>12.0</v>
      </c>
      <c r="L1895" s="1">
        <v>44.0</v>
      </c>
    </row>
    <row r="1896">
      <c r="A1896" s="1">
        <v>3504074.0</v>
      </c>
      <c r="B1896" s="1" t="s">
        <v>4081</v>
      </c>
      <c r="C1896" s="1" t="s">
        <v>3831</v>
      </c>
      <c r="D1896" s="1" t="s">
        <v>3850</v>
      </c>
      <c r="E1896" s="1" t="s">
        <v>4082</v>
      </c>
      <c r="F1896" s="1" t="s">
        <v>55</v>
      </c>
      <c r="G1896" s="1" t="s">
        <v>17</v>
      </c>
      <c r="H1896" s="1" t="s">
        <v>18</v>
      </c>
      <c r="I1896" s="1" t="s">
        <v>19</v>
      </c>
      <c r="J1896" s="1">
        <v>32.0</v>
      </c>
      <c r="K1896" s="1">
        <v>15.0</v>
      </c>
      <c r="L1896" s="1">
        <v>75.0</v>
      </c>
    </row>
    <row r="1897">
      <c r="A1897" s="1">
        <v>3527014.0</v>
      </c>
      <c r="B1897" s="1" t="s">
        <v>4083</v>
      </c>
      <c r="C1897" s="1" t="s">
        <v>3831</v>
      </c>
      <c r="D1897" s="1" t="s">
        <v>3925</v>
      </c>
      <c r="E1897" s="1" t="s">
        <v>4084</v>
      </c>
      <c r="F1897" s="1" t="s">
        <v>16</v>
      </c>
      <c r="G1897" s="1" t="s">
        <v>23</v>
      </c>
      <c r="H1897" s="1" t="s">
        <v>28</v>
      </c>
      <c r="I1897" s="1" t="s">
        <v>40</v>
      </c>
      <c r="J1897" s="1">
        <v>85.0</v>
      </c>
      <c r="K1897" s="1">
        <v>18.0</v>
      </c>
      <c r="L1897" s="1">
        <v>89.0</v>
      </c>
    </row>
    <row r="1898">
      <c r="A1898" s="1">
        <v>3518022.0</v>
      </c>
      <c r="B1898" s="1" t="s">
        <v>4085</v>
      </c>
      <c r="C1898" s="1" t="s">
        <v>3831</v>
      </c>
      <c r="D1898" s="1" t="s">
        <v>3835</v>
      </c>
      <c r="E1898" s="1" t="s">
        <v>4086</v>
      </c>
      <c r="F1898" s="1" t="s">
        <v>16</v>
      </c>
      <c r="G1898" s="1" t="s">
        <v>17</v>
      </c>
      <c r="H1898" s="1" t="s">
        <v>28</v>
      </c>
      <c r="I1898" s="1" t="s">
        <v>40</v>
      </c>
      <c r="J1898" s="1">
        <v>270.0</v>
      </c>
      <c r="K1898" s="1">
        <v>73.0</v>
      </c>
      <c r="L1898" s="1">
        <v>402.0</v>
      </c>
    </row>
    <row r="1899">
      <c r="A1899" s="1">
        <v>3573244.0</v>
      </c>
      <c r="B1899" s="1" t="s">
        <v>4087</v>
      </c>
      <c r="C1899" s="1" t="s">
        <v>3831</v>
      </c>
      <c r="D1899" s="1" t="s">
        <v>3938</v>
      </c>
      <c r="E1899" s="1" t="s">
        <v>4088</v>
      </c>
      <c r="F1899" s="1" t="s">
        <v>55</v>
      </c>
      <c r="G1899" s="1" t="s">
        <v>17</v>
      </c>
      <c r="H1899" s="1" t="s">
        <v>18</v>
      </c>
      <c r="I1899" s="1" t="s">
        <v>19</v>
      </c>
      <c r="J1899" s="1">
        <v>30.0</v>
      </c>
      <c r="K1899" s="1">
        <v>31.0</v>
      </c>
      <c r="L1899" s="1">
        <v>83.0</v>
      </c>
    </row>
    <row r="1900">
      <c r="A1900" s="1">
        <v>3525095.0</v>
      </c>
      <c r="B1900" s="1" t="s">
        <v>4089</v>
      </c>
      <c r="C1900" s="1" t="s">
        <v>3831</v>
      </c>
      <c r="D1900" s="1" t="s">
        <v>3865</v>
      </c>
      <c r="E1900" s="1" t="s">
        <v>4090</v>
      </c>
      <c r="F1900" s="1" t="s">
        <v>16</v>
      </c>
      <c r="G1900" s="1" t="s">
        <v>23</v>
      </c>
      <c r="H1900" s="1" t="s">
        <v>18</v>
      </c>
      <c r="I1900" s="1" t="s">
        <v>19</v>
      </c>
      <c r="J1900" s="1">
        <v>58.0</v>
      </c>
      <c r="K1900" s="1">
        <v>28.0</v>
      </c>
      <c r="L1900" s="1">
        <v>126.0</v>
      </c>
    </row>
    <row r="1901">
      <c r="A1901" s="1">
        <v>3506014.0</v>
      </c>
      <c r="B1901" s="1" t="s">
        <v>4091</v>
      </c>
      <c r="C1901" s="1" t="s">
        <v>3831</v>
      </c>
      <c r="D1901" s="1" t="s">
        <v>3894</v>
      </c>
      <c r="E1901" s="1" t="s">
        <v>4092</v>
      </c>
      <c r="F1901" s="1" t="s">
        <v>16</v>
      </c>
      <c r="G1901" s="1" t="s">
        <v>27</v>
      </c>
      <c r="H1901" s="1" t="s">
        <v>28</v>
      </c>
      <c r="I1901" s="1" t="s">
        <v>40</v>
      </c>
      <c r="J1901" s="1">
        <v>298.0</v>
      </c>
      <c r="K1901" s="1">
        <v>99.0</v>
      </c>
      <c r="L1901" s="1">
        <v>885.0</v>
      </c>
    </row>
    <row r="1902">
      <c r="A1902" s="1">
        <v>3520041.0</v>
      </c>
      <c r="B1902" s="1" t="s">
        <v>4093</v>
      </c>
      <c r="C1902" s="1" t="s">
        <v>3831</v>
      </c>
      <c r="D1902" s="1" t="s">
        <v>3878</v>
      </c>
      <c r="E1902" s="1" t="s">
        <v>4094</v>
      </c>
      <c r="F1902" s="1" t="s">
        <v>16</v>
      </c>
      <c r="G1902" s="1" t="s">
        <v>17</v>
      </c>
      <c r="H1902" s="1" t="s">
        <v>18</v>
      </c>
      <c r="I1902" s="1" t="s">
        <v>563</v>
      </c>
      <c r="J1902" s="1">
        <v>33.0</v>
      </c>
      <c r="K1902" s="1">
        <v>43.0</v>
      </c>
      <c r="L1902" s="1">
        <v>389.0</v>
      </c>
    </row>
    <row r="1903">
      <c r="A1903" s="1">
        <v>3515125.0</v>
      </c>
      <c r="B1903" s="1" t="s">
        <v>4095</v>
      </c>
      <c r="C1903" s="1" t="s">
        <v>3831</v>
      </c>
      <c r="D1903" s="1" t="s">
        <v>3870</v>
      </c>
      <c r="E1903" s="1" t="s">
        <v>4096</v>
      </c>
      <c r="F1903" s="1" t="s">
        <v>55</v>
      </c>
      <c r="G1903" s="1" t="s">
        <v>17</v>
      </c>
      <c r="H1903" s="1" t="s">
        <v>18</v>
      </c>
      <c r="I1903" s="1" t="s">
        <v>44</v>
      </c>
      <c r="J1903" s="1">
        <v>26.0</v>
      </c>
      <c r="K1903" s="1">
        <v>15.0</v>
      </c>
      <c r="L1903" s="1">
        <v>91.0</v>
      </c>
    </row>
    <row r="1904">
      <c r="A1904" s="1">
        <v>3515129.0</v>
      </c>
      <c r="B1904" s="1" t="s">
        <v>4097</v>
      </c>
      <c r="C1904" s="1" t="s">
        <v>3831</v>
      </c>
      <c r="D1904" s="1" t="s">
        <v>3870</v>
      </c>
      <c r="E1904" s="1" t="s">
        <v>4098</v>
      </c>
      <c r="F1904" s="1" t="s">
        <v>55</v>
      </c>
      <c r="G1904" s="1" t="s">
        <v>17</v>
      </c>
      <c r="H1904" s="1" t="s">
        <v>18</v>
      </c>
      <c r="I1904" s="1" t="s">
        <v>44</v>
      </c>
      <c r="J1904" s="1">
        <v>44.0</v>
      </c>
      <c r="K1904" s="1">
        <v>28.0</v>
      </c>
      <c r="L1904" s="1">
        <v>92.0</v>
      </c>
    </row>
    <row r="1905">
      <c r="A1905" s="1">
        <v>3526027.0</v>
      </c>
      <c r="B1905" s="1" t="s">
        <v>4099</v>
      </c>
      <c r="C1905" s="1" t="s">
        <v>3831</v>
      </c>
      <c r="D1905" s="1" t="s">
        <v>3832</v>
      </c>
      <c r="E1905" s="1" t="s">
        <v>4100</v>
      </c>
      <c r="F1905" s="1" t="s">
        <v>16</v>
      </c>
      <c r="G1905" s="1" t="s">
        <v>23</v>
      </c>
      <c r="H1905" s="1" t="s">
        <v>18</v>
      </c>
      <c r="I1905" s="1" t="s">
        <v>19</v>
      </c>
      <c r="J1905" s="1">
        <v>56.0</v>
      </c>
      <c r="K1905" s="1">
        <v>28.0</v>
      </c>
      <c r="L1905" s="1">
        <v>72.0</v>
      </c>
    </row>
    <row r="1906">
      <c r="A1906" s="1">
        <v>3578786.0</v>
      </c>
      <c r="B1906" s="1" t="s">
        <v>4101</v>
      </c>
      <c r="C1906" s="1" t="s">
        <v>3831</v>
      </c>
      <c r="D1906" s="1" t="s">
        <v>3847</v>
      </c>
      <c r="E1906" s="1" t="s">
        <v>4102</v>
      </c>
      <c r="F1906" s="1" t="s">
        <v>272</v>
      </c>
      <c r="G1906" s="1" t="s">
        <v>27</v>
      </c>
      <c r="H1906" s="1" t="s">
        <v>28</v>
      </c>
      <c r="I1906" s="1" t="s">
        <v>139</v>
      </c>
      <c r="J1906" s="1">
        <v>32.0</v>
      </c>
      <c r="K1906" s="1">
        <v>34.0</v>
      </c>
      <c r="L1906" s="1">
        <v>254.0</v>
      </c>
    </row>
    <row r="1907">
      <c r="A1907" s="1">
        <v>3525010.0</v>
      </c>
      <c r="B1907" s="1" t="s">
        <v>4103</v>
      </c>
      <c r="C1907" s="1" t="s">
        <v>3831</v>
      </c>
      <c r="D1907" s="1" t="s">
        <v>3865</v>
      </c>
      <c r="E1907" s="1" t="s">
        <v>4104</v>
      </c>
      <c r="F1907" s="1" t="s">
        <v>16</v>
      </c>
      <c r="G1907" s="1" t="s">
        <v>27</v>
      </c>
      <c r="H1907" s="1" t="s">
        <v>28</v>
      </c>
      <c r="I1907" s="1" t="s">
        <v>40</v>
      </c>
      <c r="J1907" s="1">
        <v>340.0</v>
      </c>
      <c r="K1907" s="1">
        <v>59.0</v>
      </c>
      <c r="L1907" s="1">
        <v>863.0</v>
      </c>
    </row>
    <row r="1908">
      <c r="A1908" s="1">
        <v>3506047.0</v>
      </c>
      <c r="B1908" s="1" t="s">
        <v>4105</v>
      </c>
      <c r="C1908" s="1" t="s">
        <v>3831</v>
      </c>
      <c r="D1908" s="1" t="s">
        <v>3894</v>
      </c>
      <c r="E1908" s="1" t="s">
        <v>4106</v>
      </c>
      <c r="F1908" s="1" t="s">
        <v>16</v>
      </c>
      <c r="G1908" s="1" t="s">
        <v>23</v>
      </c>
      <c r="H1908" s="1" t="s">
        <v>18</v>
      </c>
      <c r="I1908" s="1" t="s">
        <v>19</v>
      </c>
      <c r="J1908" s="1">
        <v>59.0</v>
      </c>
      <c r="K1908" s="1">
        <v>24.0</v>
      </c>
      <c r="L1908" s="1">
        <v>115.0</v>
      </c>
    </row>
    <row r="1909">
      <c r="A1909" s="1">
        <v>3517092.0</v>
      </c>
      <c r="B1909" s="1" t="s">
        <v>4107</v>
      </c>
      <c r="C1909" s="1" t="s">
        <v>3831</v>
      </c>
      <c r="D1909" s="1" t="s">
        <v>3956</v>
      </c>
      <c r="E1909" s="1" t="s">
        <v>4108</v>
      </c>
      <c r="F1909" s="1" t="s">
        <v>16</v>
      </c>
      <c r="G1909" s="1" t="s">
        <v>23</v>
      </c>
      <c r="H1909" s="1" t="s">
        <v>18</v>
      </c>
      <c r="I1909" s="1" t="s">
        <v>684</v>
      </c>
      <c r="J1909" s="1">
        <v>54.0</v>
      </c>
      <c r="K1909" s="1">
        <v>29.0</v>
      </c>
      <c r="L1909" s="1">
        <v>106.0</v>
      </c>
    </row>
    <row r="1910">
      <c r="A1910" s="1">
        <v>3515144.0</v>
      </c>
      <c r="B1910" s="1" t="s">
        <v>4109</v>
      </c>
      <c r="C1910" s="1" t="s">
        <v>3831</v>
      </c>
      <c r="D1910" s="1" t="s">
        <v>3870</v>
      </c>
      <c r="E1910" s="1" t="s">
        <v>4110</v>
      </c>
      <c r="F1910" s="1" t="s">
        <v>16</v>
      </c>
      <c r="G1910" s="1" t="s">
        <v>23</v>
      </c>
      <c r="H1910" s="1" t="s">
        <v>18</v>
      </c>
      <c r="I1910" s="1" t="s">
        <v>19</v>
      </c>
      <c r="J1910" s="1">
        <v>72.0</v>
      </c>
      <c r="K1910" s="1">
        <v>33.0</v>
      </c>
      <c r="L1910" s="1">
        <v>9.0</v>
      </c>
    </row>
    <row r="1911">
      <c r="A1911" s="1">
        <v>3529014.0</v>
      </c>
      <c r="B1911" s="1" t="s">
        <v>4111</v>
      </c>
      <c r="C1911" s="1" t="s">
        <v>3831</v>
      </c>
      <c r="D1911" s="1" t="s">
        <v>4079</v>
      </c>
      <c r="E1911" s="1" t="s">
        <v>4112</v>
      </c>
      <c r="F1911" s="1" t="s">
        <v>16</v>
      </c>
      <c r="G1911" s="1" t="s">
        <v>17</v>
      </c>
      <c r="H1911" s="1" t="s">
        <v>28</v>
      </c>
      <c r="I1911" s="1" t="s">
        <v>40</v>
      </c>
      <c r="J1911" s="1">
        <v>224.0</v>
      </c>
      <c r="K1911" s="1">
        <v>125.0</v>
      </c>
      <c r="L1911" s="1">
        <v>270.0</v>
      </c>
    </row>
    <row r="1912">
      <c r="A1912" s="1">
        <v>3520014.0</v>
      </c>
      <c r="B1912" s="1" t="s">
        <v>4113</v>
      </c>
      <c r="C1912" s="1" t="s">
        <v>3831</v>
      </c>
      <c r="D1912" s="1" t="s">
        <v>3878</v>
      </c>
      <c r="E1912" s="1" t="s">
        <v>4114</v>
      </c>
      <c r="F1912" s="1" t="s">
        <v>55</v>
      </c>
      <c r="G1912" s="1" t="s">
        <v>17</v>
      </c>
      <c r="H1912" s="1" t="s">
        <v>18</v>
      </c>
      <c r="I1912" s="1" t="s">
        <v>19</v>
      </c>
      <c r="J1912" s="1">
        <v>24.0</v>
      </c>
      <c r="K1912" s="1">
        <v>13.0</v>
      </c>
      <c r="L1912" s="1">
        <v>38.0</v>
      </c>
    </row>
    <row r="1913">
      <c r="A1913" s="1">
        <v>3504078.0</v>
      </c>
      <c r="B1913" s="1" t="s">
        <v>4115</v>
      </c>
      <c r="C1913" s="1" t="s">
        <v>3831</v>
      </c>
      <c r="D1913" s="1" t="s">
        <v>3850</v>
      </c>
      <c r="E1913" s="1" t="s">
        <v>4116</v>
      </c>
      <c r="F1913" s="1" t="s">
        <v>55</v>
      </c>
      <c r="G1913" s="1" t="s">
        <v>17</v>
      </c>
      <c r="H1913" s="1" t="s">
        <v>18</v>
      </c>
      <c r="I1913" s="1" t="s">
        <v>19</v>
      </c>
      <c r="J1913" s="1">
        <v>86.0</v>
      </c>
      <c r="K1913" s="1">
        <v>20.0</v>
      </c>
      <c r="L1913" s="1">
        <v>81.0</v>
      </c>
    </row>
    <row r="1914">
      <c r="A1914" s="1">
        <v>3524075.0</v>
      </c>
      <c r="B1914" s="1" t="s">
        <v>4117</v>
      </c>
      <c r="C1914" s="1" t="s">
        <v>3831</v>
      </c>
      <c r="D1914" s="1" t="s">
        <v>3856</v>
      </c>
      <c r="E1914" s="1" t="s">
        <v>4118</v>
      </c>
      <c r="F1914" s="1" t="s">
        <v>272</v>
      </c>
      <c r="G1914" s="1" t="s">
        <v>17</v>
      </c>
      <c r="H1914" s="1" t="s">
        <v>18</v>
      </c>
      <c r="I1914" s="1" t="s">
        <v>44</v>
      </c>
      <c r="J1914" s="1">
        <v>15.0</v>
      </c>
      <c r="K1914" s="1">
        <v>8.0</v>
      </c>
      <c r="L1914" s="1">
        <v>0.0</v>
      </c>
    </row>
    <row r="1915">
      <c r="A1915" s="1">
        <v>3510076.0</v>
      </c>
      <c r="B1915" s="1" t="s">
        <v>4119</v>
      </c>
      <c r="C1915" s="1" t="s">
        <v>3831</v>
      </c>
      <c r="D1915" s="1" t="s">
        <v>3844</v>
      </c>
      <c r="E1915" s="1" t="s">
        <v>4120</v>
      </c>
      <c r="F1915" s="1" t="s">
        <v>16</v>
      </c>
      <c r="G1915" s="1" t="s">
        <v>17</v>
      </c>
      <c r="H1915" s="1" t="s">
        <v>18</v>
      </c>
      <c r="I1915" s="1" t="s">
        <v>19</v>
      </c>
      <c r="J1915" s="1">
        <v>100.0</v>
      </c>
      <c r="K1915" s="1">
        <v>62.0</v>
      </c>
      <c r="L1915" s="1">
        <v>302.0</v>
      </c>
    </row>
    <row r="1916">
      <c r="A1916" s="1">
        <v>3578556.0</v>
      </c>
      <c r="B1916" s="1" t="s">
        <v>4121</v>
      </c>
      <c r="C1916" s="1" t="s">
        <v>3831</v>
      </c>
      <c r="D1916" s="1" t="s">
        <v>3847</v>
      </c>
      <c r="E1916" s="1" t="s">
        <v>4122</v>
      </c>
      <c r="F1916" s="1" t="s">
        <v>16</v>
      </c>
      <c r="G1916" s="1" t="s">
        <v>27</v>
      </c>
      <c r="H1916" s="1" t="s">
        <v>18</v>
      </c>
      <c r="I1916" s="1" t="s">
        <v>19</v>
      </c>
      <c r="J1916" s="1">
        <v>198.0</v>
      </c>
      <c r="K1916" s="1">
        <v>114.0</v>
      </c>
      <c r="L1916" s="1">
        <v>534.0</v>
      </c>
    </row>
    <row r="1917">
      <c r="A1917" s="1">
        <v>3502146.0</v>
      </c>
      <c r="B1917" s="1" t="s">
        <v>4123</v>
      </c>
      <c r="C1917" s="1" t="s">
        <v>3831</v>
      </c>
      <c r="D1917" s="1" t="s">
        <v>4013</v>
      </c>
      <c r="E1917" s="1" t="s">
        <v>4124</v>
      </c>
      <c r="F1917" s="1" t="s">
        <v>16</v>
      </c>
      <c r="G1917" s="1" t="s">
        <v>17</v>
      </c>
      <c r="H1917" s="1" t="s">
        <v>18</v>
      </c>
      <c r="I1917" s="1" t="s">
        <v>19</v>
      </c>
      <c r="J1917" s="1">
        <v>103.0</v>
      </c>
      <c r="K1917" s="1">
        <v>58.0</v>
      </c>
      <c r="L1917" s="1">
        <v>261.0</v>
      </c>
    </row>
    <row r="1918">
      <c r="A1918" s="1">
        <v>3578811.0</v>
      </c>
      <c r="B1918" s="1" t="s">
        <v>4125</v>
      </c>
      <c r="C1918" s="1" t="s">
        <v>3831</v>
      </c>
      <c r="D1918" s="1" t="s">
        <v>3847</v>
      </c>
      <c r="E1918" s="1" t="s">
        <v>4126</v>
      </c>
      <c r="F1918" s="1" t="s">
        <v>16</v>
      </c>
      <c r="G1918" s="1" t="s">
        <v>150</v>
      </c>
      <c r="H1918" s="1" t="s">
        <v>18</v>
      </c>
      <c r="I1918" s="1" t="s">
        <v>411</v>
      </c>
      <c r="J1918" s="1">
        <v>7.0</v>
      </c>
      <c r="K1918" s="1">
        <v>16.0</v>
      </c>
      <c r="L1918" s="1">
        <v>0.0</v>
      </c>
    </row>
    <row r="1919">
      <c r="A1919" s="1">
        <v>3573055.0</v>
      </c>
      <c r="B1919" s="1" t="s">
        <v>4127</v>
      </c>
      <c r="C1919" s="1" t="s">
        <v>3831</v>
      </c>
      <c r="D1919" s="1" t="s">
        <v>3938</v>
      </c>
      <c r="E1919" s="1" t="s">
        <v>4128</v>
      </c>
      <c r="F1919" s="1" t="s">
        <v>16</v>
      </c>
      <c r="G1919" s="1" t="s">
        <v>27</v>
      </c>
      <c r="H1919" s="1" t="s">
        <v>18</v>
      </c>
      <c r="I1919" s="1" t="s">
        <v>19</v>
      </c>
      <c r="J1919" s="1">
        <v>200.0</v>
      </c>
      <c r="K1919" s="1">
        <v>94.0</v>
      </c>
      <c r="L1919" s="1">
        <v>771.0</v>
      </c>
    </row>
    <row r="1920">
      <c r="A1920" s="1">
        <v>3511012.0</v>
      </c>
      <c r="B1920" s="1" t="s">
        <v>4129</v>
      </c>
      <c r="C1920" s="1" t="s">
        <v>3831</v>
      </c>
      <c r="D1920" s="1" t="s">
        <v>4130</v>
      </c>
      <c r="E1920" s="1" t="s">
        <v>4131</v>
      </c>
      <c r="F1920" s="1" t="s">
        <v>16</v>
      </c>
      <c r="G1920" s="1" t="s">
        <v>17</v>
      </c>
      <c r="H1920" s="1" t="s">
        <v>33</v>
      </c>
      <c r="I1920" s="1" t="s">
        <v>65</v>
      </c>
      <c r="J1920" s="1">
        <v>134.0</v>
      </c>
      <c r="K1920" s="1">
        <v>71.0</v>
      </c>
      <c r="L1920" s="1">
        <v>308.0</v>
      </c>
    </row>
    <row r="1921">
      <c r="A1921" s="1">
        <v>3514053.0</v>
      </c>
      <c r="B1921" s="1" t="s">
        <v>4132</v>
      </c>
      <c r="C1921" s="1" t="s">
        <v>3831</v>
      </c>
      <c r="D1921" s="1" t="s">
        <v>3875</v>
      </c>
      <c r="E1921" s="1" t="s">
        <v>4133</v>
      </c>
      <c r="F1921" s="1" t="s">
        <v>16</v>
      </c>
      <c r="G1921" s="1" t="s">
        <v>23</v>
      </c>
      <c r="H1921" s="1" t="s">
        <v>18</v>
      </c>
      <c r="I1921" s="1" t="s">
        <v>19</v>
      </c>
      <c r="J1921" s="1">
        <v>97.0</v>
      </c>
      <c r="K1921" s="1">
        <v>51.0</v>
      </c>
      <c r="L1921" s="1">
        <v>135.0</v>
      </c>
    </row>
    <row r="1922">
      <c r="A1922" s="1">
        <v>3508058.0</v>
      </c>
      <c r="B1922" s="1" t="s">
        <v>4134</v>
      </c>
      <c r="C1922" s="1" t="s">
        <v>3831</v>
      </c>
      <c r="D1922" s="1" t="s">
        <v>4135</v>
      </c>
      <c r="E1922" s="1" t="s">
        <v>4136</v>
      </c>
      <c r="F1922" s="1" t="s">
        <v>16</v>
      </c>
      <c r="G1922" s="1" t="s">
        <v>17</v>
      </c>
      <c r="H1922" s="1" t="s">
        <v>28</v>
      </c>
      <c r="I1922" s="1" t="s">
        <v>40</v>
      </c>
      <c r="J1922" s="1">
        <v>100.0</v>
      </c>
      <c r="K1922" s="1">
        <v>25.0</v>
      </c>
      <c r="L1922" s="1">
        <v>289.0</v>
      </c>
    </row>
    <row r="1923">
      <c r="A1923" s="1">
        <v>3516020.0</v>
      </c>
      <c r="B1923" s="1" t="s">
        <v>4137</v>
      </c>
      <c r="C1923" s="1" t="s">
        <v>3831</v>
      </c>
      <c r="D1923" s="1" t="s">
        <v>3909</v>
      </c>
      <c r="E1923" s="1" t="s">
        <v>4138</v>
      </c>
      <c r="F1923" s="1" t="s">
        <v>16</v>
      </c>
      <c r="G1923" s="1" t="s">
        <v>27</v>
      </c>
      <c r="H1923" s="1" t="s">
        <v>28</v>
      </c>
      <c r="I1923" s="1" t="s">
        <v>40</v>
      </c>
      <c r="J1923" s="1">
        <v>236.0</v>
      </c>
      <c r="K1923" s="1">
        <v>38.0</v>
      </c>
      <c r="L1923" s="1">
        <v>507.0</v>
      </c>
    </row>
    <row r="1924">
      <c r="A1924" s="1">
        <v>3573243.0</v>
      </c>
      <c r="B1924" s="1" t="s">
        <v>4139</v>
      </c>
      <c r="C1924" s="1" t="s">
        <v>3831</v>
      </c>
      <c r="D1924" s="1" t="s">
        <v>3938</v>
      </c>
      <c r="E1924" s="1" t="s">
        <v>4140</v>
      </c>
      <c r="F1924" s="1" t="s">
        <v>55</v>
      </c>
      <c r="G1924" s="1" t="s">
        <v>17</v>
      </c>
      <c r="H1924" s="1" t="s">
        <v>18</v>
      </c>
      <c r="I1924" s="1" t="s">
        <v>19</v>
      </c>
      <c r="J1924" s="1">
        <v>26.0</v>
      </c>
      <c r="K1924" s="1">
        <v>17.0</v>
      </c>
      <c r="L1924" s="1">
        <v>92.0</v>
      </c>
    </row>
    <row r="1925">
      <c r="A1925" s="1">
        <v>3510105.0</v>
      </c>
      <c r="B1925" s="1" t="s">
        <v>4141</v>
      </c>
      <c r="C1925" s="1" t="s">
        <v>3831</v>
      </c>
      <c r="D1925" s="1" t="s">
        <v>3844</v>
      </c>
      <c r="E1925" s="1" t="s">
        <v>4142</v>
      </c>
      <c r="F1925" s="1" t="s">
        <v>16</v>
      </c>
      <c r="G1925" s="1" t="s">
        <v>23</v>
      </c>
      <c r="H1925" s="1" t="s">
        <v>18</v>
      </c>
      <c r="I1925" s="1" t="s">
        <v>19</v>
      </c>
      <c r="J1925" s="1">
        <v>55.0</v>
      </c>
      <c r="K1925" s="1">
        <v>25.0</v>
      </c>
      <c r="L1925" s="1">
        <v>34.0</v>
      </c>
    </row>
    <row r="1926">
      <c r="A1926" s="1">
        <v>3502134.0</v>
      </c>
      <c r="B1926" s="1" t="s">
        <v>4143</v>
      </c>
      <c r="C1926" s="1" t="s">
        <v>3831</v>
      </c>
      <c r="D1926" s="1" t="s">
        <v>4013</v>
      </c>
      <c r="E1926" s="1" t="s">
        <v>4144</v>
      </c>
      <c r="F1926" s="1" t="s">
        <v>16</v>
      </c>
      <c r="G1926" s="1" t="s">
        <v>17</v>
      </c>
      <c r="H1926" s="1" t="s">
        <v>18</v>
      </c>
      <c r="I1926" s="1" t="s">
        <v>19</v>
      </c>
      <c r="J1926" s="1">
        <v>155.0</v>
      </c>
      <c r="K1926" s="1">
        <v>41.0</v>
      </c>
      <c r="L1926" s="1">
        <v>335.0</v>
      </c>
    </row>
    <row r="1927">
      <c r="A1927" s="1">
        <v>3576040.0</v>
      </c>
      <c r="B1927" s="1" t="s">
        <v>4145</v>
      </c>
      <c r="C1927" s="1" t="s">
        <v>3831</v>
      </c>
      <c r="D1927" s="1" t="s">
        <v>4020</v>
      </c>
      <c r="E1927" s="1" t="s">
        <v>4146</v>
      </c>
      <c r="F1927" s="1" t="s">
        <v>16</v>
      </c>
      <c r="G1927" s="1" t="s">
        <v>17</v>
      </c>
      <c r="H1927" s="1" t="s">
        <v>18</v>
      </c>
      <c r="I1927" s="1" t="s">
        <v>59</v>
      </c>
      <c r="J1927" s="1">
        <v>105.0</v>
      </c>
      <c r="K1927" s="1">
        <v>88.0</v>
      </c>
      <c r="L1927" s="1">
        <v>251.0</v>
      </c>
    </row>
    <row r="1928">
      <c r="A1928" s="1">
        <v>3504069.0</v>
      </c>
      <c r="B1928" s="1" t="s">
        <v>4147</v>
      </c>
      <c r="C1928" s="1" t="s">
        <v>3831</v>
      </c>
      <c r="D1928" s="1" t="s">
        <v>3850</v>
      </c>
      <c r="E1928" s="1" t="s">
        <v>4148</v>
      </c>
      <c r="F1928" s="1" t="s">
        <v>16</v>
      </c>
      <c r="G1928" s="1" t="s">
        <v>23</v>
      </c>
      <c r="H1928" s="1" t="s">
        <v>18</v>
      </c>
      <c r="I1928" s="1" t="s">
        <v>19</v>
      </c>
      <c r="J1928" s="1">
        <v>65.0</v>
      </c>
      <c r="K1928" s="1">
        <v>20.0</v>
      </c>
      <c r="L1928" s="1">
        <v>90.0</v>
      </c>
    </row>
    <row r="1929">
      <c r="A1929" s="1">
        <v>3522058.0</v>
      </c>
      <c r="B1929" s="1" t="s">
        <v>4149</v>
      </c>
      <c r="C1929" s="1" t="s">
        <v>3831</v>
      </c>
      <c r="D1929" s="1" t="s">
        <v>3897</v>
      </c>
      <c r="E1929" s="1" t="s">
        <v>4150</v>
      </c>
      <c r="F1929" s="1" t="s">
        <v>16</v>
      </c>
      <c r="G1929" s="1" t="s">
        <v>17</v>
      </c>
      <c r="H1929" s="1" t="s">
        <v>28</v>
      </c>
      <c r="I1929" s="1" t="s">
        <v>40</v>
      </c>
      <c r="J1929" s="1">
        <v>146.0</v>
      </c>
      <c r="K1929" s="1">
        <v>29.0</v>
      </c>
      <c r="L1929" s="1">
        <v>199.0</v>
      </c>
    </row>
    <row r="1930">
      <c r="A1930" s="1">
        <v>3524042.0</v>
      </c>
      <c r="B1930" s="1" t="s">
        <v>4151</v>
      </c>
      <c r="C1930" s="1" t="s">
        <v>3831</v>
      </c>
      <c r="D1930" s="1" t="s">
        <v>3856</v>
      </c>
      <c r="E1930" s="1" t="s">
        <v>4152</v>
      </c>
      <c r="F1930" s="1" t="s">
        <v>16</v>
      </c>
      <c r="G1930" s="1" t="s">
        <v>17</v>
      </c>
      <c r="H1930" s="1" t="s">
        <v>18</v>
      </c>
      <c r="I1930" s="1" t="s">
        <v>40</v>
      </c>
      <c r="J1930" s="1">
        <v>105.0</v>
      </c>
      <c r="K1930" s="1">
        <v>35.0</v>
      </c>
      <c r="L1930" s="1">
        <v>400.0</v>
      </c>
    </row>
    <row r="1931">
      <c r="A1931" s="1">
        <v>3529029.0</v>
      </c>
      <c r="B1931" s="1" t="s">
        <v>4153</v>
      </c>
      <c r="C1931" s="1" t="s">
        <v>3831</v>
      </c>
      <c r="D1931" s="1" t="s">
        <v>4079</v>
      </c>
      <c r="E1931" s="1" t="s">
        <v>4154</v>
      </c>
      <c r="F1931" s="1" t="s">
        <v>16</v>
      </c>
      <c r="G1931" s="1" t="s">
        <v>17</v>
      </c>
      <c r="H1931" s="1" t="s">
        <v>18</v>
      </c>
      <c r="I1931" s="1" t="s">
        <v>19</v>
      </c>
      <c r="J1931" s="1">
        <v>108.0</v>
      </c>
      <c r="K1931" s="1">
        <v>27.0</v>
      </c>
      <c r="L1931" s="1">
        <v>66.0</v>
      </c>
    </row>
    <row r="1932">
      <c r="A1932" s="1">
        <v>3514057.0</v>
      </c>
      <c r="B1932" s="1" t="s">
        <v>4155</v>
      </c>
      <c r="C1932" s="1" t="s">
        <v>3831</v>
      </c>
      <c r="D1932" s="1" t="s">
        <v>4156</v>
      </c>
      <c r="E1932" s="1" t="s">
        <v>4157</v>
      </c>
      <c r="F1932" s="1" t="s">
        <v>16</v>
      </c>
      <c r="G1932" s="1" t="s">
        <v>23</v>
      </c>
      <c r="H1932" s="1" t="s">
        <v>18</v>
      </c>
      <c r="I1932" s="1" t="s">
        <v>19</v>
      </c>
      <c r="J1932" s="1">
        <v>85.0</v>
      </c>
      <c r="K1932" s="1">
        <v>24.0</v>
      </c>
      <c r="L1932" s="1">
        <v>111.0</v>
      </c>
    </row>
    <row r="1933">
      <c r="A1933" s="1">
        <v>3512051.0</v>
      </c>
      <c r="B1933" s="1" t="s">
        <v>4158</v>
      </c>
      <c r="C1933" s="1" t="s">
        <v>3831</v>
      </c>
      <c r="D1933" s="1" t="s">
        <v>3967</v>
      </c>
      <c r="E1933" s="1" t="s">
        <v>4159</v>
      </c>
      <c r="F1933" s="1" t="s">
        <v>272</v>
      </c>
      <c r="G1933" s="1" t="s">
        <v>17</v>
      </c>
      <c r="H1933" s="1" t="s">
        <v>18</v>
      </c>
      <c r="I1933" s="1" t="s">
        <v>19</v>
      </c>
      <c r="J1933" s="1">
        <v>15.0</v>
      </c>
      <c r="K1933" s="1">
        <v>12.0</v>
      </c>
      <c r="L1933" s="1">
        <v>0.0</v>
      </c>
    </row>
    <row r="1934">
      <c r="A1934" s="1">
        <v>3507052.0</v>
      </c>
      <c r="B1934" s="1" t="s">
        <v>4160</v>
      </c>
      <c r="C1934" s="1" t="s">
        <v>3831</v>
      </c>
      <c r="D1934" s="1" t="s">
        <v>3862</v>
      </c>
      <c r="E1934" s="1" t="s">
        <v>4161</v>
      </c>
      <c r="F1934" s="1" t="s">
        <v>16</v>
      </c>
      <c r="G1934" s="1" t="s">
        <v>27</v>
      </c>
      <c r="H1934" s="1" t="s">
        <v>28</v>
      </c>
      <c r="I1934" s="1" t="s">
        <v>40</v>
      </c>
      <c r="J1934" s="1">
        <v>240.0</v>
      </c>
      <c r="K1934" s="1">
        <v>57.0</v>
      </c>
      <c r="L1934" s="1">
        <v>659.0</v>
      </c>
    </row>
    <row r="1935">
      <c r="A1935" s="1">
        <v>3578042.0</v>
      </c>
      <c r="B1935" s="1" t="s">
        <v>4162</v>
      </c>
      <c r="C1935" s="1" t="s">
        <v>3831</v>
      </c>
      <c r="D1935" s="1" t="s">
        <v>3847</v>
      </c>
      <c r="E1935" s="1" t="s">
        <v>4163</v>
      </c>
      <c r="F1935" s="1" t="s">
        <v>16</v>
      </c>
      <c r="G1935" s="1" t="s">
        <v>27</v>
      </c>
      <c r="H1935" s="1" t="s">
        <v>18</v>
      </c>
      <c r="I1935" s="1" t="s">
        <v>249</v>
      </c>
      <c r="J1935" s="1">
        <v>249.0</v>
      </c>
      <c r="K1935" s="1">
        <v>122.0</v>
      </c>
      <c r="L1935" s="1">
        <v>1206.0</v>
      </c>
    </row>
    <row r="1936">
      <c r="A1936" s="1">
        <v>3504087.0</v>
      </c>
      <c r="B1936" s="1" t="s">
        <v>4164</v>
      </c>
      <c r="C1936" s="1" t="s">
        <v>3831</v>
      </c>
      <c r="D1936" s="1" t="s">
        <v>3850</v>
      </c>
      <c r="E1936" s="1" t="s">
        <v>4165</v>
      </c>
      <c r="F1936" s="1" t="s">
        <v>16</v>
      </c>
      <c r="G1936" s="1" t="s">
        <v>23</v>
      </c>
      <c r="H1936" s="1" t="s">
        <v>28</v>
      </c>
      <c r="I1936" s="1" t="s">
        <v>40</v>
      </c>
      <c r="J1936" s="1">
        <v>116.0</v>
      </c>
      <c r="K1936" s="1">
        <v>35.0</v>
      </c>
      <c r="L1936" s="1">
        <v>0.0</v>
      </c>
    </row>
    <row r="1937">
      <c r="A1937" s="1">
        <v>3515157.0</v>
      </c>
      <c r="B1937" s="1" t="s">
        <v>4166</v>
      </c>
      <c r="C1937" s="1" t="s">
        <v>3831</v>
      </c>
      <c r="D1937" s="1" t="s">
        <v>3870</v>
      </c>
      <c r="E1937" s="1" t="s">
        <v>4167</v>
      </c>
      <c r="F1937" s="1" t="s">
        <v>16</v>
      </c>
      <c r="G1937" s="1" t="s">
        <v>17</v>
      </c>
      <c r="H1937" s="1" t="s">
        <v>28</v>
      </c>
      <c r="I1937" s="1" t="s">
        <v>40</v>
      </c>
      <c r="J1937" s="1">
        <v>130.0</v>
      </c>
      <c r="K1937" s="1">
        <v>28.0</v>
      </c>
      <c r="L1937" s="1">
        <v>0.0</v>
      </c>
    </row>
    <row r="1938">
      <c r="A1938" s="1">
        <v>3509112.0</v>
      </c>
      <c r="B1938" s="1" t="s">
        <v>4168</v>
      </c>
      <c r="C1938" s="1" t="s">
        <v>3831</v>
      </c>
      <c r="D1938" s="1" t="s">
        <v>3890</v>
      </c>
      <c r="E1938" s="1" t="s">
        <v>4169</v>
      </c>
      <c r="F1938" s="1" t="s">
        <v>32</v>
      </c>
      <c r="G1938" s="1" t="s">
        <v>17</v>
      </c>
      <c r="H1938" s="1" t="s">
        <v>33</v>
      </c>
      <c r="I1938" s="1" t="s">
        <v>34</v>
      </c>
      <c r="J1938" s="1">
        <v>21.0</v>
      </c>
      <c r="K1938" s="1">
        <v>21.0</v>
      </c>
      <c r="L1938" s="1">
        <v>112.0</v>
      </c>
    </row>
    <row r="1939">
      <c r="A1939" s="1">
        <v>3578166.0</v>
      </c>
      <c r="B1939" s="1" t="s">
        <v>4170</v>
      </c>
      <c r="C1939" s="1" t="s">
        <v>3831</v>
      </c>
      <c r="D1939" s="1" t="s">
        <v>3847</v>
      </c>
      <c r="E1939" s="1" t="s">
        <v>4171</v>
      </c>
      <c r="F1939" s="1" t="s">
        <v>16</v>
      </c>
      <c r="G1939" s="1" t="s">
        <v>23</v>
      </c>
      <c r="H1939" s="1" t="s">
        <v>18</v>
      </c>
      <c r="I1939" s="1" t="s">
        <v>563</v>
      </c>
      <c r="J1939" s="1">
        <v>56.0</v>
      </c>
      <c r="K1939" s="1">
        <v>32.0</v>
      </c>
      <c r="L1939" s="1">
        <v>141.0</v>
      </c>
    </row>
    <row r="1940">
      <c r="A1940" s="1">
        <v>3515138.0</v>
      </c>
      <c r="B1940" s="1" t="s">
        <v>4172</v>
      </c>
      <c r="C1940" s="1" t="s">
        <v>3831</v>
      </c>
      <c r="D1940" s="1" t="s">
        <v>3870</v>
      </c>
      <c r="E1940" s="1" t="s">
        <v>4173</v>
      </c>
      <c r="F1940" s="1" t="s">
        <v>16</v>
      </c>
      <c r="G1940" s="1" t="s">
        <v>23</v>
      </c>
      <c r="H1940" s="1" t="s">
        <v>18</v>
      </c>
      <c r="I1940" s="1" t="s">
        <v>684</v>
      </c>
      <c r="J1940" s="1">
        <v>62.0</v>
      </c>
      <c r="K1940" s="1">
        <v>37.0</v>
      </c>
      <c r="L1940" s="1">
        <v>188.0</v>
      </c>
    </row>
    <row r="1941">
      <c r="A1941" s="1">
        <v>3528027.0</v>
      </c>
      <c r="B1941" s="1" t="s">
        <v>4174</v>
      </c>
      <c r="C1941" s="1" t="s">
        <v>3831</v>
      </c>
      <c r="D1941" s="1" t="s">
        <v>3841</v>
      </c>
      <c r="E1941" s="1" t="s">
        <v>4175</v>
      </c>
      <c r="F1941" s="1" t="s">
        <v>16</v>
      </c>
      <c r="G1941" s="1" t="s">
        <v>17</v>
      </c>
      <c r="H1941" s="1" t="s">
        <v>18</v>
      </c>
      <c r="I1941" s="1" t="s">
        <v>139</v>
      </c>
      <c r="J1941" s="1">
        <v>154.0</v>
      </c>
      <c r="K1941" s="1">
        <v>42.0</v>
      </c>
      <c r="L1941" s="1">
        <v>292.0</v>
      </c>
    </row>
    <row r="1942">
      <c r="A1942" s="1">
        <v>3505043.0</v>
      </c>
      <c r="B1942" s="1" t="s">
        <v>4176</v>
      </c>
      <c r="C1942" s="1" t="s">
        <v>3831</v>
      </c>
      <c r="D1942" s="1" t="s">
        <v>3859</v>
      </c>
      <c r="E1942" s="1" t="s">
        <v>4177</v>
      </c>
      <c r="F1942" s="1" t="s">
        <v>16</v>
      </c>
      <c r="G1942" s="1" t="s">
        <v>17</v>
      </c>
      <c r="H1942" s="1" t="s">
        <v>18</v>
      </c>
      <c r="I1942" s="1" t="s">
        <v>19</v>
      </c>
      <c r="J1942" s="1">
        <v>101.0</v>
      </c>
      <c r="K1942" s="1">
        <v>31.0</v>
      </c>
      <c r="L1942" s="1">
        <v>104.0</v>
      </c>
    </row>
    <row r="1943">
      <c r="A1943" s="1">
        <v>3572010.0</v>
      </c>
      <c r="B1943" s="1" t="s">
        <v>4178</v>
      </c>
      <c r="C1943" s="1" t="s">
        <v>3831</v>
      </c>
      <c r="D1943" s="1" t="s">
        <v>4179</v>
      </c>
      <c r="E1943" s="1" t="s">
        <v>4180</v>
      </c>
      <c r="F1943" s="1" t="s">
        <v>16</v>
      </c>
      <c r="G1943" s="1" t="s">
        <v>27</v>
      </c>
      <c r="H1943" s="1" t="s">
        <v>28</v>
      </c>
      <c r="I1943" s="1" t="s">
        <v>29</v>
      </c>
      <c r="J1943" s="1">
        <v>206.0</v>
      </c>
      <c r="K1943" s="1">
        <v>47.0</v>
      </c>
      <c r="L1943" s="1">
        <v>720.0</v>
      </c>
    </row>
    <row r="1944">
      <c r="A1944" s="1">
        <v>3573251.0</v>
      </c>
      <c r="B1944" s="1" t="s">
        <v>4181</v>
      </c>
      <c r="C1944" s="1" t="s">
        <v>3831</v>
      </c>
      <c r="D1944" s="1" t="s">
        <v>3938</v>
      </c>
      <c r="E1944" s="1" t="s">
        <v>4182</v>
      </c>
      <c r="F1944" s="1" t="s">
        <v>55</v>
      </c>
      <c r="G1944" s="1" t="s">
        <v>17</v>
      </c>
      <c r="H1944" s="1" t="s">
        <v>18</v>
      </c>
      <c r="I1944" s="1" t="s">
        <v>19</v>
      </c>
      <c r="J1944" s="1">
        <v>25.0</v>
      </c>
      <c r="K1944" s="1">
        <v>15.0</v>
      </c>
      <c r="L1944" s="1">
        <v>65.0</v>
      </c>
    </row>
    <row r="1945">
      <c r="A1945" s="1">
        <v>3572072.0</v>
      </c>
      <c r="B1945" s="1" t="s">
        <v>4183</v>
      </c>
      <c r="C1945" s="1" t="s">
        <v>3831</v>
      </c>
      <c r="D1945" s="1" t="s">
        <v>4179</v>
      </c>
      <c r="E1945" s="1" t="s">
        <v>4184</v>
      </c>
      <c r="F1945" s="1" t="s">
        <v>55</v>
      </c>
      <c r="G1945" s="1" t="s">
        <v>17</v>
      </c>
      <c r="H1945" s="1" t="s">
        <v>18</v>
      </c>
      <c r="I1945" s="1" t="s">
        <v>19</v>
      </c>
      <c r="J1945" s="1">
        <v>29.0</v>
      </c>
      <c r="K1945" s="1">
        <v>14.0</v>
      </c>
      <c r="L1945" s="1">
        <v>48.0</v>
      </c>
    </row>
    <row r="1946">
      <c r="A1946" s="1">
        <v>3515015.0</v>
      </c>
      <c r="B1946" s="1" t="s">
        <v>4185</v>
      </c>
      <c r="C1946" s="1" t="s">
        <v>3831</v>
      </c>
      <c r="D1946" s="1" t="s">
        <v>3870</v>
      </c>
      <c r="E1946" s="1" t="s">
        <v>4186</v>
      </c>
      <c r="F1946" s="1" t="s">
        <v>16</v>
      </c>
      <c r="G1946" s="1" t="s">
        <v>150</v>
      </c>
      <c r="H1946" s="1" t="s">
        <v>28</v>
      </c>
      <c r="I1946" s="1" t="s">
        <v>40</v>
      </c>
      <c r="J1946" s="1">
        <v>700.0</v>
      </c>
      <c r="K1946" s="1">
        <v>82.0</v>
      </c>
      <c r="L1946" s="1">
        <v>1771.0</v>
      </c>
    </row>
    <row r="1947">
      <c r="A1947" s="1">
        <v>3578742.0</v>
      </c>
      <c r="B1947" s="1" t="s">
        <v>4187</v>
      </c>
      <c r="C1947" s="1" t="s">
        <v>3831</v>
      </c>
      <c r="D1947" s="1" t="s">
        <v>3847</v>
      </c>
      <c r="E1947" s="1" t="s">
        <v>4188</v>
      </c>
      <c r="F1947" s="1" t="s">
        <v>16</v>
      </c>
      <c r="G1947" s="1" t="s">
        <v>17</v>
      </c>
      <c r="H1947" s="1" t="s">
        <v>18</v>
      </c>
      <c r="I1947" s="1" t="s">
        <v>59</v>
      </c>
      <c r="J1947" s="1">
        <v>145.0</v>
      </c>
      <c r="K1947" s="1">
        <v>57.0</v>
      </c>
      <c r="L1947" s="1">
        <v>311.0</v>
      </c>
    </row>
    <row r="1948">
      <c r="A1948" s="1">
        <v>3519024.0</v>
      </c>
      <c r="B1948" s="1" t="s">
        <v>4189</v>
      </c>
      <c r="C1948" s="1" t="s">
        <v>3831</v>
      </c>
      <c r="D1948" s="1" t="s">
        <v>4190</v>
      </c>
      <c r="E1948" s="1" t="s">
        <v>4191</v>
      </c>
      <c r="F1948" s="1" t="s">
        <v>16</v>
      </c>
      <c r="G1948" s="1" t="s">
        <v>17</v>
      </c>
      <c r="H1948" s="1" t="s">
        <v>28</v>
      </c>
      <c r="I1948" s="1" t="s">
        <v>40</v>
      </c>
      <c r="J1948" s="1">
        <v>215.0</v>
      </c>
      <c r="K1948" s="1">
        <v>29.0</v>
      </c>
      <c r="L1948" s="1">
        <v>320.0</v>
      </c>
    </row>
    <row r="1949">
      <c r="A1949" s="1">
        <v>3515131.0</v>
      </c>
      <c r="B1949" s="1" t="s">
        <v>259</v>
      </c>
      <c r="C1949" s="1" t="s">
        <v>3831</v>
      </c>
      <c r="D1949" s="1" t="s">
        <v>3870</v>
      </c>
      <c r="E1949" s="1" t="s">
        <v>4192</v>
      </c>
      <c r="F1949" s="1" t="s">
        <v>16</v>
      </c>
      <c r="G1949" s="1" t="s">
        <v>17</v>
      </c>
      <c r="H1949" s="1" t="s">
        <v>18</v>
      </c>
      <c r="I1949" s="1" t="s">
        <v>19</v>
      </c>
      <c r="J1949" s="1">
        <v>100.0</v>
      </c>
      <c r="K1949" s="1">
        <v>71.0</v>
      </c>
      <c r="L1949" s="1">
        <v>259.0</v>
      </c>
    </row>
    <row r="1950">
      <c r="A1950" s="1">
        <v>3501019.0</v>
      </c>
      <c r="B1950" s="1" t="s">
        <v>4193</v>
      </c>
      <c r="C1950" s="1" t="s">
        <v>3831</v>
      </c>
      <c r="D1950" s="1" t="s">
        <v>3881</v>
      </c>
      <c r="E1950" s="1" t="s">
        <v>4194</v>
      </c>
      <c r="F1950" s="1" t="s">
        <v>16</v>
      </c>
      <c r="G1950" s="1" t="s">
        <v>23</v>
      </c>
      <c r="H1950" s="1" t="s">
        <v>18</v>
      </c>
      <c r="I1950" s="1" t="s">
        <v>44</v>
      </c>
      <c r="J1950" s="1">
        <v>66.0</v>
      </c>
      <c r="K1950" s="1">
        <v>28.0</v>
      </c>
      <c r="L1950" s="1">
        <v>107.0</v>
      </c>
    </row>
    <row r="1951">
      <c r="A1951" s="1">
        <v>3507241.0</v>
      </c>
      <c r="B1951" s="1" t="s">
        <v>4195</v>
      </c>
      <c r="C1951" s="1" t="s">
        <v>3831</v>
      </c>
      <c r="D1951" s="1" t="s">
        <v>3862</v>
      </c>
      <c r="E1951" s="1" t="s">
        <v>4196</v>
      </c>
      <c r="F1951" s="1" t="s">
        <v>16</v>
      </c>
      <c r="G1951" s="1" t="s">
        <v>23</v>
      </c>
      <c r="H1951" s="1" t="s">
        <v>18</v>
      </c>
      <c r="I1951" s="1" t="s">
        <v>19</v>
      </c>
      <c r="J1951" s="1">
        <v>54.0</v>
      </c>
      <c r="K1951" s="1">
        <v>30.0</v>
      </c>
      <c r="L1951" s="1">
        <v>140.0</v>
      </c>
    </row>
    <row r="1952">
      <c r="A1952" s="1">
        <v>3517087.0</v>
      </c>
      <c r="B1952" s="1" t="s">
        <v>4197</v>
      </c>
      <c r="C1952" s="1" t="s">
        <v>3831</v>
      </c>
      <c r="D1952" s="1" t="s">
        <v>3956</v>
      </c>
      <c r="E1952" s="1" t="s">
        <v>4198</v>
      </c>
      <c r="F1952" s="1" t="s">
        <v>16</v>
      </c>
      <c r="G1952" s="1" t="s">
        <v>23</v>
      </c>
      <c r="H1952" s="1" t="s">
        <v>18</v>
      </c>
      <c r="I1952" s="1" t="s">
        <v>19</v>
      </c>
      <c r="J1952" s="1">
        <v>51.0</v>
      </c>
      <c r="K1952" s="1">
        <v>17.0</v>
      </c>
      <c r="L1952" s="1">
        <v>98.0</v>
      </c>
    </row>
    <row r="1953">
      <c r="A1953" s="1">
        <v>3578322.0</v>
      </c>
      <c r="B1953" s="1" t="s">
        <v>4199</v>
      </c>
      <c r="C1953" s="1" t="s">
        <v>3831</v>
      </c>
      <c r="D1953" s="1" t="s">
        <v>3847</v>
      </c>
      <c r="E1953" s="1" t="s">
        <v>4200</v>
      </c>
      <c r="F1953" s="1" t="s">
        <v>16</v>
      </c>
      <c r="G1953" s="1" t="s">
        <v>17</v>
      </c>
      <c r="H1953" s="1" t="s">
        <v>28</v>
      </c>
      <c r="I1953" s="1" t="s">
        <v>139</v>
      </c>
      <c r="J1953" s="1">
        <v>108.0</v>
      </c>
      <c r="K1953" s="1">
        <v>34.0</v>
      </c>
      <c r="L1953" s="1">
        <v>208.0</v>
      </c>
    </row>
    <row r="1954">
      <c r="A1954" s="1">
        <v>3515136.0</v>
      </c>
      <c r="B1954" s="1" t="s">
        <v>4201</v>
      </c>
      <c r="C1954" s="1" t="s">
        <v>3831</v>
      </c>
      <c r="D1954" s="1" t="s">
        <v>3870</v>
      </c>
      <c r="E1954" s="1" t="s">
        <v>4202</v>
      </c>
      <c r="F1954" s="1" t="s">
        <v>272</v>
      </c>
      <c r="G1954" s="1" t="s">
        <v>17</v>
      </c>
      <c r="H1954" s="1" t="s">
        <v>18</v>
      </c>
      <c r="I1954" s="1" t="s">
        <v>19</v>
      </c>
      <c r="J1954" s="1">
        <v>15.0</v>
      </c>
      <c r="K1954" s="1">
        <v>23.0</v>
      </c>
      <c r="L1954" s="1">
        <v>96.0</v>
      </c>
    </row>
    <row r="1955">
      <c r="A1955" s="1">
        <v>3579005.0</v>
      </c>
      <c r="B1955" s="1" t="s">
        <v>4203</v>
      </c>
      <c r="C1955" s="1" t="s">
        <v>3831</v>
      </c>
      <c r="D1955" s="1" t="s">
        <v>3922</v>
      </c>
      <c r="E1955" s="1" t="s">
        <v>4204</v>
      </c>
      <c r="F1955" s="1" t="s">
        <v>55</v>
      </c>
      <c r="G1955" s="1" t="s">
        <v>17</v>
      </c>
      <c r="H1955" s="1" t="s">
        <v>18</v>
      </c>
      <c r="I1955" s="1" t="s">
        <v>19</v>
      </c>
      <c r="J1955" s="1">
        <v>36.0</v>
      </c>
      <c r="K1955" s="1">
        <v>17.0</v>
      </c>
      <c r="L1955" s="1">
        <v>90.0</v>
      </c>
    </row>
    <row r="1956">
      <c r="A1956" s="1">
        <v>3574080.0</v>
      </c>
      <c r="B1956" s="1" t="s">
        <v>4205</v>
      </c>
      <c r="C1956" s="1" t="s">
        <v>3831</v>
      </c>
      <c r="D1956" s="1" t="s">
        <v>4046</v>
      </c>
      <c r="E1956" s="1" t="s">
        <v>4206</v>
      </c>
      <c r="F1956" s="1" t="s">
        <v>16</v>
      </c>
      <c r="G1956" s="1" t="s">
        <v>17</v>
      </c>
      <c r="H1956" s="1" t="s">
        <v>18</v>
      </c>
      <c r="I1956" s="1" t="s">
        <v>40</v>
      </c>
      <c r="J1956" s="1">
        <v>106.0</v>
      </c>
      <c r="K1956" s="1">
        <v>35.0</v>
      </c>
      <c r="L1956" s="1">
        <v>0.0</v>
      </c>
    </row>
    <row r="1957">
      <c r="A1957" s="1">
        <v>3519023.0</v>
      </c>
      <c r="B1957" s="1" t="s">
        <v>4207</v>
      </c>
      <c r="C1957" s="1" t="s">
        <v>3831</v>
      </c>
      <c r="D1957" s="1" t="s">
        <v>4190</v>
      </c>
      <c r="E1957" s="1" t="s">
        <v>4208</v>
      </c>
      <c r="F1957" s="1" t="s">
        <v>16</v>
      </c>
      <c r="G1957" s="1" t="s">
        <v>17</v>
      </c>
      <c r="H1957" s="1" t="s">
        <v>28</v>
      </c>
      <c r="I1957" s="1" t="s">
        <v>40</v>
      </c>
      <c r="J1957" s="1">
        <v>219.0</v>
      </c>
      <c r="K1957" s="1">
        <v>45.0</v>
      </c>
      <c r="L1957" s="1">
        <v>621.0</v>
      </c>
    </row>
    <row r="1958">
      <c r="A1958" s="1">
        <v>3507100.0</v>
      </c>
      <c r="B1958" s="1" t="s">
        <v>4209</v>
      </c>
      <c r="C1958" s="1" t="s">
        <v>3831</v>
      </c>
      <c r="D1958" s="1" t="s">
        <v>3862</v>
      </c>
      <c r="E1958" s="1" t="s">
        <v>4210</v>
      </c>
      <c r="F1958" s="1" t="s">
        <v>16</v>
      </c>
      <c r="G1958" s="1" t="s">
        <v>23</v>
      </c>
      <c r="H1958" s="1" t="s">
        <v>18</v>
      </c>
      <c r="I1958" s="1" t="s">
        <v>19</v>
      </c>
      <c r="J1958" s="1">
        <v>50.0</v>
      </c>
      <c r="K1958" s="1">
        <v>28.0</v>
      </c>
      <c r="L1958" s="1">
        <v>99.0</v>
      </c>
    </row>
    <row r="1959">
      <c r="A1959" s="1">
        <v>3525043.0</v>
      </c>
      <c r="B1959" s="1" t="s">
        <v>4211</v>
      </c>
      <c r="C1959" s="1" t="s">
        <v>3831</v>
      </c>
      <c r="D1959" s="1" t="s">
        <v>3865</v>
      </c>
      <c r="E1959" s="1" t="s">
        <v>4212</v>
      </c>
      <c r="F1959" s="1" t="s">
        <v>16</v>
      </c>
      <c r="G1959" s="1" t="s">
        <v>17</v>
      </c>
      <c r="H1959" s="1" t="s">
        <v>18</v>
      </c>
      <c r="I1959" s="1" t="s">
        <v>19</v>
      </c>
      <c r="J1959" s="1">
        <v>113.0</v>
      </c>
      <c r="K1959" s="1">
        <v>37.0</v>
      </c>
      <c r="L1959" s="1">
        <v>66.0</v>
      </c>
    </row>
    <row r="1960">
      <c r="A1960" s="1">
        <v>3512036.0</v>
      </c>
      <c r="B1960" s="1" t="s">
        <v>4213</v>
      </c>
      <c r="C1960" s="1" t="s">
        <v>3831</v>
      </c>
      <c r="D1960" s="1" t="s">
        <v>3967</v>
      </c>
      <c r="E1960" s="1" t="s">
        <v>4214</v>
      </c>
      <c r="F1960" s="1" t="s">
        <v>16</v>
      </c>
      <c r="G1960" s="1" t="s">
        <v>23</v>
      </c>
      <c r="H1960" s="1" t="s">
        <v>28</v>
      </c>
      <c r="I1960" s="1" t="s">
        <v>40</v>
      </c>
      <c r="J1960" s="1">
        <v>107.0</v>
      </c>
      <c r="K1960" s="1">
        <v>34.0</v>
      </c>
      <c r="L1960" s="1">
        <v>116.0</v>
      </c>
    </row>
    <row r="1961">
      <c r="A1961" s="1">
        <v>3528028.0</v>
      </c>
      <c r="B1961" s="1" t="s">
        <v>4215</v>
      </c>
      <c r="C1961" s="1" t="s">
        <v>3831</v>
      </c>
      <c r="D1961" s="1" t="s">
        <v>3841</v>
      </c>
      <c r="E1961" s="1" t="s">
        <v>4216</v>
      </c>
      <c r="F1961" s="1" t="s">
        <v>16</v>
      </c>
      <c r="G1961" s="1" t="s">
        <v>23</v>
      </c>
      <c r="H1961" s="1" t="s">
        <v>28</v>
      </c>
      <c r="I1961" s="1" t="s">
        <v>40</v>
      </c>
      <c r="J1961" s="1">
        <v>63.0</v>
      </c>
      <c r="K1961" s="1">
        <v>26.0</v>
      </c>
      <c r="L1961" s="1">
        <v>142.0</v>
      </c>
    </row>
    <row r="1962">
      <c r="A1962" s="1">
        <v>3571016.0</v>
      </c>
      <c r="B1962" s="1" t="s">
        <v>4217</v>
      </c>
      <c r="C1962" s="1" t="s">
        <v>3831</v>
      </c>
      <c r="D1962" s="1" t="s">
        <v>3930</v>
      </c>
      <c r="E1962" s="1" t="s">
        <v>4218</v>
      </c>
      <c r="F1962" s="1" t="s">
        <v>16</v>
      </c>
      <c r="G1962" s="1" t="s">
        <v>27</v>
      </c>
      <c r="H1962" s="1" t="s">
        <v>28</v>
      </c>
      <c r="I1962" s="1" t="s">
        <v>29</v>
      </c>
      <c r="J1962" s="1">
        <v>314.0</v>
      </c>
      <c r="K1962" s="1">
        <v>81.0</v>
      </c>
      <c r="L1962" s="1">
        <v>1415.0</v>
      </c>
    </row>
    <row r="1963">
      <c r="A1963" s="1">
        <v>3578772.0</v>
      </c>
      <c r="B1963" s="1" t="s">
        <v>4219</v>
      </c>
      <c r="C1963" s="1" t="s">
        <v>3831</v>
      </c>
      <c r="D1963" s="1" t="s">
        <v>3847</v>
      </c>
      <c r="E1963" s="1" t="s">
        <v>4220</v>
      </c>
      <c r="F1963" s="1" t="s">
        <v>16</v>
      </c>
      <c r="G1963" s="1" t="s">
        <v>17</v>
      </c>
      <c r="H1963" s="1" t="s">
        <v>18</v>
      </c>
      <c r="I1963" s="1" t="s">
        <v>44</v>
      </c>
      <c r="J1963" s="1">
        <v>103.0</v>
      </c>
      <c r="K1963" s="1">
        <v>48.0</v>
      </c>
      <c r="L1963" s="1">
        <v>323.0</v>
      </c>
    </row>
    <row r="1964">
      <c r="A1964" s="1">
        <v>3511011.0</v>
      </c>
      <c r="B1964" s="1" t="s">
        <v>4221</v>
      </c>
      <c r="C1964" s="1" t="s">
        <v>3831</v>
      </c>
      <c r="D1964" s="1" t="s">
        <v>4130</v>
      </c>
      <c r="E1964" s="1" t="s">
        <v>4222</v>
      </c>
      <c r="F1964" s="1" t="s">
        <v>16</v>
      </c>
      <c r="G1964" s="1" t="s">
        <v>27</v>
      </c>
      <c r="H1964" s="1" t="s">
        <v>28</v>
      </c>
      <c r="I1964" s="1" t="s">
        <v>40</v>
      </c>
      <c r="J1964" s="1">
        <v>323.0</v>
      </c>
      <c r="K1964" s="1">
        <v>123.0</v>
      </c>
      <c r="L1964" s="1">
        <v>703.0</v>
      </c>
    </row>
    <row r="1965">
      <c r="A1965" s="1">
        <v>3578571.0</v>
      </c>
      <c r="B1965" s="1" t="s">
        <v>4223</v>
      </c>
      <c r="C1965" s="1" t="s">
        <v>3831</v>
      </c>
      <c r="D1965" s="1" t="s">
        <v>3847</v>
      </c>
      <c r="E1965" s="1" t="s">
        <v>4224</v>
      </c>
      <c r="F1965" s="1" t="s">
        <v>16</v>
      </c>
      <c r="G1965" s="1" t="s">
        <v>27</v>
      </c>
      <c r="H1965" s="1" t="s">
        <v>28</v>
      </c>
      <c r="I1965" s="1" t="s">
        <v>29</v>
      </c>
      <c r="J1965" s="1">
        <v>396.0</v>
      </c>
      <c r="K1965" s="1">
        <v>49.0</v>
      </c>
      <c r="L1965" s="1">
        <v>1247.0</v>
      </c>
    </row>
    <row r="1966">
      <c r="A1966" s="1">
        <v>3513027.0</v>
      </c>
      <c r="B1966" s="1" t="s">
        <v>4225</v>
      </c>
      <c r="C1966" s="1" t="s">
        <v>3831</v>
      </c>
      <c r="D1966" s="1" t="s">
        <v>3853</v>
      </c>
      <c r="E1966" s="1" t="s">
        <v>4226</v>
      </c>
      <c r="F1966" s="1" t="s">
        <v>16</v>
      </c>
      <c r="G1966" s="1" t="s">
        <v>17</v>
      </c>
      <c r="H1966" s="1" t="s">
        <v>18</v>
      </c>
      <c r="I1966" s="1" t="s">
        <v>44</v>
      </c>
      <c r="J1966" s="1">
        <v>141.0</v>
      </c>
      <c r="K1966" s="1">
        <v>26.0</v>
      </c>
      <c r="L1966" s="1">
        <v>204.0</v>
      </c>
    </row>
    <row r="1967">
      <c r="A1967" s="1">
        <v>3507259.0</v>
      </c>
      <c r="B1967" s="1" t="s">
        <v>4227</v>
      </c>
      <c r="C1967" s="1" t="s">
        <v>3831</v>
      </c>
      <c r="D1967" s="1" t="s">
        <v>3862</v>
      </c>
      <c r="E1967" s="1" t="s">
        <v>4228</v>
      </c>
      <c r="F1967" s="1" t="s">
        <v>16</v>
      </c>
      <c r="G1967" s="1" t="s">
        <v>23</v>
      </c>
      <c r="H1967" s="1" t="s">
        <v>18</v>
      </c>
      <c r="I1967" s="1" t="s">
        <v>19</v>
      </c>
      <c r="J1967" s="1">
        <v>50.0</v>
      </c>
      <c r="K1967" s="1">
        <v>28.0</v>
      </c>
      <c r="L1967" s="1">
        <v>0.0</v>
      </c>
    </row>
    <row r="1968">
      <c r="A1968" s="1">
        <v>3508071.0</v>
      </c>
      <c r="B1968" s="1" t="s">
        <v>4229</v>
      </c>
      <c r="C1968" s="1" t="s">
        <v>3831</v>
      </c>
      <c r="D1968" s="1" t="s">
        <v>4135</v>
      </c>
      <c r="E1968" s="1" t="s">
        <v>4230</v>
      </c>
      <c r="F1968" s="1" t="s">
        <v>16</v>
      </c>
      <c r="G1968" s="1" t="s">
        <v>23</v>
      </c>
      <c r="H1968" s="1" t="s">
        <v>18</v>
      </c>
      <c r="I1968" s="1" t="s">
        <v>684</v>
      </c>
      <c r="J1968" s="1">
        <v>51.0</v>
      </c>
      <c r="K1968" s="1">
        <v>24.0</v>
      </c>
      <c r="L1968" s="1">
        <v>0.0</v>
      </c>
    </row>
    <row r="1969">
      <c r="A1969" s="1">
        <v>3507070.0</v>
      </c>
      <c r="B1969" s="1" t="s">
        <v>4231</v>
      </c>
      <c r="C1969" s="1" t="s">
        <v>3831</v>
      </c>
      <c r="D1969" s="1" t="s">
        <v>3862</v>
      </c>
      <c r="E1969" s="1" t="s">
        <v>4232</v>
      </c>
      <c r="F1969" s="1" t="s">
        <v>16</v>
      </c>
      <c r="G1969" s="1" t="s">
        <v>23</v>
      </c>
      <c r="H1969" s="1" t="s">
        <v>18</v>
      </c>
      <c r="I1969" s="1" t="s">
        <v>258</v>
      </c>
      <c r="J1969" s="1">
        <v>70.0</v>
      </c>
      <c r="K1969" s="1">
        <v>42.0</v>
      </c>
      <c r="L1969" s="1">
        <v>297.0</v>
      </c>
    </row>
    <row r="1970">
      <c r="A1970" s="1">
        <v>3515142.0</v>
      </c>
      <c r="B1970" s="1" t="s">
        <v>4233</v>
      </c>
      <c r="C1970" s="1" t="s">
        <v>3831</v>
      </c>
      <c r="D1970" s="1" t="s">
        <v>3870</v>
      </c>
      <c r="E1970" s="1" t="s">
        <v>4234</v>
      </c>
      <c r="F1970" s="1" t="s">
        <v>16</v>
      </c>
      <c r="G1970" s="1" t="s">
        <v>23</v>
      </c>
      <c r="H1970" s="1" t="s">
        <v>18</v>
      </c>
      <c r="I1970" s="1" t="s">
        <v>19</v>
      </c>
      <c r="J1970" s="1">
        <v>123.0</v>
      </c>
      <c r="K1970" s="1">
        <v>29.0</v>
      </c>
      <c r="L1970" s="1">
        <v>55.0</v>
      </c>
    </row>
    <row r="1971">
      <c r="A1971" s="1">
        <v>3517010.0</v>
      </c>
      <c r="B1971" s="1" t="s">
        <v>4235</v>
      </c>
      <c r="C1971" s="1" t="s">
        <v>3831</v>
      </c>
      <c r="D1971" s="1" t="s">
        <v>3956</v>
      </c>
      <c r="E1971" s="1" t="s">
        <v>4236</v>
      </c>
      <c r="F1971" s="1" t="s">
        <v>16</v>
      </c>
      <c r="G1971" s="1" t="s">
        <v>27</v>
      </c>
      <c r="H1971" s="1" t="s">
        <v>28</v>
      </c>
      <c r="I1971" s="1" t="s">
        <v>40</v>
      </c>
      <c r="J1971" s="1">
        <v>501.0</v>
      </c>
      <c r="K1971" s="1">
        <v>75.0</v>
      </c>
      <c r="L1971" s="1">
        <v>1621.0</v>
      </c>
    </row>
    <row r="1972">
      <c r="A1972" s="1">
        <v>3503045.0</v>
      </c>
      <c r="B1972" s="1" t="s">
        <v>4237</v>
      </c>
      <c r="C1972" s="1" t="s">
        <v>3831</v>
      </c>
      <c r="D1972" s="1" t="s">
        <v>4238</v>
      </c>
      <c r="E1972" s="1" t="s">
        <v>4239</v>
      </c>
      <c r="F1972" s="1" t="s">
        <v>55</v>
      </c>
      <c r="G1972" s="1" t="s">
        <v>17</v>
      </c>
      <c r="H1972" s="1" t="s">
        <v>18</v>
      </c>
      <c r="I1972" s="1" t="s">
        <v>59</v>
      </c>
      <c r="J1972" s="1">
        <v>35.0</v>
      </c>
      <c r="K1972" s="1">
        <v>21.0</v>
      </c>
      <c r="L1972" s="1">
        <v>65.0</v>
      </c>
    </row>
    <row r="1973">
      <c r="A1973" s="1">
        <v>3503011.0</v>
      </c>
      <c r="B1973" s="1" t="s">
        <v>4240</v>
      </c>
      <c r="C1973" s="1" t="s">
        <v>3831</v>
      </c>
      <c r="D1973" s="1" t="s">
        <v>4238</v>
      </c>
      <c r="E1973" s="1" t="s">
        <v>4241</v>
      </c>
      <c r="F1973" s="1" t="s">
        <v>16</v>
      </c>
      <c r="G1973" s="1" t="s">
        <v>17</v>
      </c>
      <c r="H1973" s="1" t="s">
        <v>28</v>
      </c>
      <c r="I1973" s="1" t="s">
        <v>40</v>
      </c>
      <c r="J1973" s="1">
        <v>306.0</v>
      </c>
      <c r="K1973" s="1">
        <v>38.0</v>
      </c>
      <c r="L1973" s="1">
        <v>903.0</v>
      </c>
    </row>
    <row r="1974">
      <c r="A1974" s="1">
        <v>3516062.0</v>
      </c>
      <c r="B1974" s="1" t="s">
        <v>4242</v>
      </c>
      <c r="C1974" s="1" t="s">
        <v>3831</v>
      </c>
      <c r="D1974" s="1" t="s">
        <v>3909</v>
      </c>
      <c r="E1974" s="1" t="s">
        <v>4243</v>
      </c>
      <c r="F1974" s="1" t="s">
        <v>16</v>
      </c>
      <c r="G1974" s="1" t="s">
        <v>17</v>
      </c>
      <c r="H1974" s="1" t="s">
        <v>18</v>
      </c>
      <c r="I1974" s="1" t="s">
        <v>19</v>
      </c>
      <c r="J1974" s="1">
        <v>232.0</v>
      </c>
      <c r="K1974" s="1">
        <v>148.0</v>
      </c>
      <c r="L1974" s="1">
        <v>447.0</v>
      </c>
    </row>
    <row r="1975">
      <c r="A1975" s="1">
        <v>3573097.0</v>
      </c>
      <c r="B1975" s="1" t="s">
        <v>4244</v>
      </c>
      <c r="C1975" s="1" t="s">
        <v>3831</v>
      </c>
      <c r="D1975" s="1" t="s">
        <v>3938</v>
      </c>
      <c r="E1975" s="1" t="s">
        <v>4245</v>
      </c>
      <c r="F1975" s="1" t="s">
        <v>55</v>
      </c>
      <c r="G1975" s="1" t="s">
        <v>17</v>
      </c>
      <c r="H1975" s="1" t="s">
        <v>18</v>
      </c>
      <c r="I1975" s="1" t="s">
        <v>19</v>
      </c>
      <c r="J1975" s="1">
        <v>30.0</v>
      </c>
      <c r="K1975" s="1">
        <v>19.0</v>
      </c>
      <c r="L1975" s="1">
        <v>116.0</v>
      </c>
    </row>
    <row r="1976">
      <c r="A1976" s="1">
        <v>3501017.0</v>
      </c>
      <c r="B1976" s="1" t="s">
        <v>4246</v>
      </c>
      <c r="C1976" s="1" t="s">
        <v>3831</v>
      </c>
      <c r="D1976" s="1" t="s">
        <v>3881</v>
      </c>
      <c r="E1976" s="1" t="s">
        <v>4247</v>
      </c>
      <c r="F1976" s="1" t="s">
        <v>16</v>
      </c>
      <c r="G1976" s="1" t="s">
        <v>23</v>
      </c>
      <c r="H1976" s="1" t="s">
        <v>18</v>
      </c>
      <c r="I1976" s="1" t="s">
        <v>19</v>
      </c>
      <c r="J1976" s="1">
        <v>51.0</v>
      </c>
      <c r="K1976" s="1">
        <v>56.0</v>
      </c>
      <c r="L1976" s="1">
        <v>51.0</v>
      </c>
    </row>
    <row r="1977">
      <c r="A1977" s="1">
        <v>3509138.0</v>
      </c>
      <c r="B1977" s="1" t="s">
        <v>4248</v>
      </c>
      <c r="C1977" s="1" t="s">
        <v>3831</v>
      </c>
      <c r="D1977" s="1" t="s">
        <v>3890</v>
      </c>
      <c r="E1977" s="1" t="s">
        <v>4249</v>
      </c>
      <c r="F1977" s="1" t="s">
        <v>16</v>
      </c>
      <c r="G1977" s="1" t="s">
        <v>17</v>
      </c>
      <c r="H1977" s="1" t="s">
        <v>18</v>
      </c>
      <c r="I1977" s="1" t="s">
        <v>44</v>
      </c>
      <c r="J1977" s="1">
        <v>140.0</v>
      </c>
      <c r="K1977" s="1">
        <v>81.0</v>
      </c>
      <c r="L1977" s="1">
        <v>358.0</v>
      </c>
    </row>
    <row r="1978">
      <c r="A1978" s="1">
        <v>3523041.0</v>
      </c>
      <c r="B1978" s="1" t="s">
        <v>4250</v>
      </c>
      <c r="C1978" s="1" t="s">
        <v>3831</v>
      </c>
      <c r="D1978" s="1" t="s">
        <v>3982</v>
      </c>
      <c r="E1978" s="1" t="s">
        <v>4251</v>
      </c>
      <c r="F1978" s="1" t="s">
        <v>16</v>
      </c>
      <c r="G1978" s="1" t="s">
        <v>17</v>
      </c>
      <c r="H1978" s="1" t="s">
        <v>18</v>
      </c>
      <c r="I1978" s="1" t="s">
        <v>59</v>
      </c>
      <c r="J1978" s="1">
        <v>147.0</v>
      </c>
      <c r="K1978" s="1">
        <v>78.0</v>
      </c>
      <c r="L1978" s="1">
        <v>359.0</v>
      </c>
    </row>
    <row r="1979">
      <c r="A1979" s="1">
        <v>3572065.0</v>
      </c>
      <c r="B1979" s="1" t="s">
        <v>4252</v>
      </c>
      <c r="C1979" s="1" t="s">
        <v>3831</v>
      </c>
      <c r="D1979" s="1" t="s">
        <v>4179</v>
      </c>
      <c r="E1979" s="1" t="s">
        <v>4253</v>
      </c>
      <c r="F1979" s="1" t="s">
        <v>16</v>
      </c>
      <c r="G1979" s="1" t="s">
        <v>17</v>
      </c>
      <c r="H1979" s="1" t="s">
        <v>18</v>
      </c>
      <c r="I1979" s="1" t="s">
        <v>684</v>
      </c>
      <c r="J1979" s="1">
        <v>147.0</v>
      </c>
      <c r="K1979" s="1">
        <v>24.0</v>
      </c>
      <c r="L1979" s="1">
        <v>295.0</v>
      </c>
    </row>
    <row r="1980">
      <c r="A1980" s="1">
        <v>3522059.0</v>
      </c>
      <c r="B1980" s="1" t="s">
        <v>4254</v>
      </c>
      <c r="C1980" s="1" t="s">
        <v>3831</v>
      </c>
      <c r="D1980" s="1" t="s">
        <v>3897</v>
      </c>
      <c r="E1980" s="1" t="s">
        <v>4255</v>
      </c>
      <c r="F1980" s="1" t="s">
        <v>16</v>
      </c>
      <c r="G1980" s="1" t="s">
        <v>17</v>
      </c>
      <c r="H1980" s="1" t="s">
        <v>33</v>
      </c>
      <c r="I1980" s="1" t="s">
        <v>65</v>
      </c>
      <c r="J1980" s="1">
        <v>100.0</v>
      </c>
      <c r="K1980" s="1">
        <v>29.0</v>
      </c>
      <c r="L1980" s="1">
        <v>203.0</v>
      </c>
    </row>
    <row r="1981">
      <c r="A1981" s="1">
        <v>3508016.0</v>
      </c>
      <c r="B1981" s="1" t="s">
        <v>4256</v>
      </c>
      <c r="C1981" s="1" t="s">
        <v>3831</v>
      </c>
      <c r="D1981" s="1" t="s">
        <v>4135</v>
      </c>
      <c r="E1981" s="1" t="s">
        <v>4257</v>
      </c>
      <c r="F1981" s="1" t="s">
        <v>16</v>
      </c>
      <c r="G1981" s="1" t="s">
        <v>27</v>
      </c>
      <c r="H1981" s="1" t="s">
        <v>28</v>
      </c>
      <c r="I1981" s="1" t="s">
        <v>40</v>
      </c>
      <c r="J1981" s="1">
        <v>356.0</v>
      </c>
      <c r="K1981" s="1">
        <v>94.0</v>
      </c>
      <c r="L1981" s="1">
        <v>825.0</v>
      </c>
    </row>
    <row r="1982">
      <c r="A1982" s="1">
        <v>3578064.0</v>
      </c>
      <c r="B1982" s="1" t="s">
        <v>4258</v>
      </c>
      <c r="C1982" s="1" t="s">
        <v>3831</v>
      </c>
      <c r="D1982" s="1" t="s">
        <v>3847</v>
      </c>
      <c r="E1982" s="1" t="s">
        <v>4259</v>
      </c>
      <c r="F1982" s="1" t="s">
        <v>16</v>
      </c>
      <c r="G1982" s="1" t="s">
        <v>27</v>
      </c>
      <c r="H1982" s="1" t="s">
        <v>18</v>
      </c>
      <c r="I1982" s="1" t="s">
        <v>19</v>
      </c>
      <c r="J1982" s="1">
        <v>196.0</v>
      </c>
      <c r="K1982" s="1">
        <v>95.0</v>
      </c>
      <c r="L1982" s="1">
        <v>818.0</v>
      </c>
    </row>
    <row r="1983">
      <c r="A1983" s="1">
        <v>3573252.0</v>
      </c>
      <c r="B1983" s="1" t="s">
        <v>760</v>
      </c>
      <c r="C1983" s="1" t="s">
        <v>3831</v>
      </c>
      <c r="D1983" s="1" t="s">
        <v>3938</v>
      </c>
      <c r="E1983" s="1" t="s">
        <v>4260</v>
      </c>
      <c r="F1983" s="1" t="s">
        <v>55</v>
      </c>
      <c r="G1983" s="1" t="s">
        <v>17</v>
      </c>
      <c r="H1983" s="1" t="s">
        <v>18</v>
      </c>
      <c r="I1983" s="1" t="s">
        <v>19</v>
      </c>
      <c r="J1983" s="1">
        <v>27.0</v>
      </c>
      <c r="K1983" s="1">
        <v>23.0</v>
      </c>
      <c r="L1983" s="1">
        <v>139.0</v>
      </c>
    </row>
    <row r="1984">
      <c r="A1984" s="1">
        <v>3573261.0</v>
      </c>
      <c r="B1984" s="1" t="s">
        <v>4261</v>
      </c>
      <c r="C1984" s="1" t="s">
        <v>3831</v>
      </c>
      <c r="D1984" s="1" t="s">
        <v>3938</v>
      </c>
      <c r="E1984" s="1" t="s">
        <v>4262</v>
      </c>
      <c r="F1984" s="1" t="s">
        <v>16</v>
      </c>
      <c r="G1984" s="1" t="s">
        <v>23</v>
      </c>
      <c r="H1984" s="1" t="s">
        <v>18</v>
      </c>
      <c r="I1984" s="1" t="s">
        <v>74</v>
      </c>
      <c r="J1984" s="1">
        <v>51.0</v>
      </c>
      <c r="K1984" s="1">
        <v>26.0</v>
      </c>
      <c r="L1984" s="1">
        <v>66.0</v>
      </c>
    </row>
    <row r="1985">
      <c r="A1985" s="1">
        <v>3509134.0</v>
      </c>
      <c r="B1985" s="1" t="s">
        <v>4263</v>
      </c>
      <c r="C1985" s="1" t="s">
        <v>3831</v>
      </c>
      <c r="D1985" s="1" t="s">
        <v>3890</v>
      </c>
      <c r="E1985" s="1" t="s">
        <v>4264</v>
      </c>
      <c r="F1985" s="1" t="s">
        <v>16</v>
      </c>
      <c r="G1985" s="1" t="s">
        <v>17</v>
      </c>
      <c r="H1985" s="1" t="s">
        <v>28</v>
      </c>
      <c r="I1985" s="1" t="s">
        <v>40</v>
      </c>
      <c r="J1985" s="1">
        <v>150.0</v>
      </c>
      <c r="K1985" s="1">
        <v>44.0</v>
      </c>
      <c r="L1985" s="1">
        <v>353.0</v>
      </c>
    </row>
    <row r="1986">
      <c r="A1986" s="1">
        <v>3578202.0</v>
      </c>
      <c r="B1986" s="1" t="s">
        <v>4265</v>
      </c>
      <c r="C1986" s="1" t="s">
        <v>3831</v>
      </c>
      <c r="D1986" s="1" t="s">
        <v>3847</v>
      </c>
      <c r="E1986" s="1" t="s">
        <v>4266</v>
      </c>
      <c r="F1986" s="1" t="s">
        <v>272</v>
      </c>
      <c r="G1986" s="1" t="s">
        <v>27</v>
      </c>
      <c r="H1986" s="1" t="s">
        <v>18</v>
      </c>
      <c r="I1986" s="1" t="s">
        <v>59</v>
      </c>
      <c r="J1986" s="1">
        <v>48.0</v>
      </c>
      <c r="K1986" s="1">
        <v>26.0</v>
      </c>
      <c r="L1986" s="1">
        <v>266.0</v>
      </c>
    </row>
    <row r="1987">
      <c r="A1987" s="1">
        <v>3515130.0</v>
      </c>
      <c r="B1987" s="1" t="s">
        <v>4267</v>
      </c>
      <c r="C1987" s="1" t="s">
        <v>3831</v>
      </c>
      <c r="D1987" s="1" t="s">
        <v>3870</v>
      </c>
      <c r="E1987" s="1" t="s">
        <v>4268</v>
      </c>
      <c r="F1987" s="1" t="s">
        <v>16</v>
      </c>
      <c r="G1987" s="1" t="s">
        <v>23</v>
      </c>
      <c r="H1987" s="1" t="s">
        <v>18</v>
      </c>
      <c r="I1987" s="1" t="s">
        <v>19</v>
      </c>
      <c r="J1987" s="1">
        <v>61.0</v>
      </c>
      <c r="K1987" s="1">
        <v>15.0</v>
      </c>
      <c r="L1987" s="1">
        <v>53.0</v>
      </c>
    </row>
    <row r="1988">
      <c r="A1988" s="1">
        <v>3507119.0</v>
      </c>
      <c r="B1988" s="1" t="s">
        <v>4269</v>
      </c>
      <c r="C1988" s="1" t="s">
        <v>3831</v>
      </c>
      <c r="D1988" s="1" t="s">
        <v>3862</v>
      </c>
      <c r="E1988" s="1" t="s">
        <v>4270</v>
      </c>
      <c r="F1988" s="1" t="s">
        <v>16</v>
      </c>
      <c r="G1988" s="1" t="s">
        <v>23</v>
      </c>
      <c r="H1988" s="1" t="s">
        <v>18</v>
      </c>
      <c r="I1988" s="1" t="s">
        <v>19</v>
      </c>
      <c r="J1988" s="1">
        <v>50.0</v>
      </c>
      <c r="K1988" s="1">
        <v>35.0</v>
      </c>
      <c r="L1988" s="1">
        <v>45.0</v>
      </c>
    </row>
    <row r="1989">
      <c r="A1989" s="1">
        <v>3572043.0</v>
      </c>
      <c r="B1989" s="1" t="s">
        <v>4271</v>
      </c>
      <c r="C1989" s="1" t="s">
        <v>3831</v>
      </c>
      <c r="D1989" s="1" t="s">
        <v>4179</v>
      </c>
      <c r="E1989" s="1" t="s">
        <v>4272</v>
      </c>
      <c r="F1989" s="1" t="s">
        <v>16</v>
      </c>
      <c r="G1989" s="1" t="s">
        <v>17</v>
      </c>
      <c r="H1989" s="1" t="s">
        <v>18</v>
      </c>
      <c r="I1989" s="1" t="s">
        <v>19</v>
      </c>
      <c r="J1989" s="1">
        <v>109.0</v>
      </c>
      <c r="K1989" s="1">
        <v>61.0</v>
      </c>
      <c r="L1989" s="1">
        <v>170.0</v>
      </c>
    </row>
    <row r="1990">
      <c r="A1990" s="1">
        <v>3515030.0</v>
      </c>
      <c r="B1990" s="1" t="s">
        <v>4273</v>
      </c>
      <c r="C1990" s="1" t="s">
        <v>3831</v>
      </c>
      <c r="D1990" s="1" t="s">
        <v>3870</v>
      </c>
      <c r="E1990" s="1" t="s">
        <v>4274</v>
      </c>
      <c r="F1990" s="1" t="s">
        <v>16</v>
      </c>
      <c r="G1990" s="1" t="s">
        <v>17</v>
      </c>
      <c r="H1990" s="1" t="s">
        <v>33</v>
      </c>
      <c r="I1990" s="1" t="s">
        <v>65</v>
      </c>
      <c r="J1990" s="1">
        <v>114.0</v>
      </c>
      <c r="K1990" s="1">
        <v>46.0</v>
      </c>
      <c r="L1990" s="1">
        <v>204.0</v>
      </c>
    </row>
    <row r="1991">
      <c r="A1991" s="1">
        <v>3578764.0</v>
      </c>
      <c r="B1991" s="1" t="s">
        <v>4275</v>
      </c>
      <c r="C1991" s="1" t="s">
        <v>3831</v>
      </c>
      <c r="D1991" s="1" t="s">
        <v>3847</v>
      </c>
      <c r="E1991" s="1" t="s">
        <v>4276</v>
      </c>
      <c r="F1991" s="1" t="s">
        <v>16</v>
      </c>
      <c r="G1991" s="1" t="s">
        <v>27</v>
      </c>
      <c r="H1991" s="1" t="s">
        <v>18</v>
      </c>
      <c r="I1991" s="1" t="s">
        <v>65</v>
      </c>
      <c r="J1991" s="1">
        <v>205.0</v>
      </c>
      <c r="K1991" s="1">
        <v>79.0</v>
      </c>
      <c r="L1991" s="1">
        <v>332.0</v>
      </c>
    </row>
    <row r="1992">
      <c r="A1992" s="1">
        <v>3573257.0</v>
      </c>
      <c r="B1992" s="1" t="s">
        <v>4277</v>
      </c>
      <c r="C1992" s="1" t="s">
        <v>3831</v>
      </c>
      <c r="D1992" s="1" t="s">
        <v>3938</v>
      </c>
      <c r="E1992" s="1" t="s">
        <v>4278</v>
      </c>
      <c r="F1992" s="1" t="s">
        <v>16</v>
      </c>
      <c r="G1992" s="1" t="s">
        <v>27</v>
      </c>
      <c r="H1992" s="1" t="s">
        <v>18</v>
      </c>
      <c r="I1992" s="1" t="s">
        <v>19</v>
      </c>
      <c r="J1992" s="1">
        <v>202.0</v>
      </c>
      <c r="K1992" s="1">
        <v>99.0</v>
      </c>
      <c r="L1992" s="1">
        <v>556.0</v>
      </c>
    </row>
    <row r="1993">
      <c r="A1993" s="1">
        <v>3573276.0</v>
      </c>
      <c r="B1993" s="1" t="s">
        <v>4279</v>
      </c>
      <c r="C1993" s="1" t="s">
        <v>3831</v>
      </c>
      <c r="D1993" s="1" t="s">
        <v>3938</v>
      </c>
      <c r="E1993" s="1" t="s">
        <v>4280</v>
      </c>
      <c r="F1993" s="1" t="s">
        <v>16</v>
      </c>
      <c r="G1993" s="1" t="s">
        <v>23</v>
      </c>
      <c r="H1993" s="1" t="s">
        <v>18</v>
      </c>
      <c r="I1993" s="1" t="s">
        <v>19</v>
      </c>
      <c r="J1993" s="1">
        <v>52.0</v>
      </c>
      <c r="K1993" s="1">
        <v>56.0</v>
      </c>
      <c r="L1993" s="1">
        <v>0.0</v>
      </c>
    </row>
    <row r="1994">
      <c r="A1994" s="1">
        <v>3577099.0</v>
      </c>
      <c r="B1994" s="1" t="s">
        <v>4281</v>
      </c>
      <c r="C1994" s="1" t="s">
        <v>3831</v>
      </c>
      <c r="D1994" s="1" t="s">
        <v>3906</v>
      </c>
      <c r="E1994" s="1" t="s">
        <v>4282</v>
      </c>
      <c r="F1994" s="1" t="s">
        <v>16</v>
      </c>
      <c r="G1994" s="1" t="s">
        <v>17</v>
      </c>
      <c r="H1994" s="1" t="s">
        <v>18</v>
      </c>
      <c r="I1994" s="1" t="s">
        <v>44</v>
      </c>
      <c r="J1994" s="1">
        <v>110.0</v>
      </c>
      <c r="K1994" s="1">
        <v>130.0</v>
      </c>
      <c r="L1994" s="1">
        <v>0.0</v>
      </c>
    </row>
    <row r="1995">
      <c r="A1995" s="1">
        <v>3574023.0</v>
      </c>
      <c r="B1995" s="1" t="s">
        <v>4283</v>
      </c>
      <c r="C1995" s="1" t="s">
        <v>3831</v>
      </c>
      <c r="D1995" s="1" t="s">
        <v>4046</v>
      </c>
      <c r="E1995" s="1" t="s">
        <v>4284</v>
      </c>
      <c r="F1995" s="1" t="s">
        <v>16</v>
      </c>
      <c r="G1995" s="1" t="s">
        <v>23</v>
      </c>
      <c r="H1995" s="1" t="s">
        <v>18</v>
      </c>
      <c r="I1995" s="1" t="s">
        <v>19</v>
      </c>
      <c r="J1995" s="1">
        <v>68.0</v>
      </c>
      <c r="K1995" s="1">
        <v>25.0</v>
      </c>
      <c r="L1995" s="1">
        <v>60.0</v>
      </c>
    </row>
    <row r="1996">
      <c r="A1996" s="1">
        <v>3578224.0</v>
      </c>
      <c r="B1996" s="1" t="s">
        <v>4285</v>
      </c>
      <c r="C1996" s="1" t="s">
        <v>3831</v>
      </c>
      <c r="D1996" s="1" t="s">
        <v>3847</v>
      </c>
      <c r="E1996" s="1" t="s">
        <v>4286</v>
      </c>
      <c r="F1996" s="1" t="s">
        <v>16</v>
      </c>
      <c r="G1996" s="1" t="s">
        <v>27</v>
      </c>
      <c r="H1996" s="1" t="s">
        <v>18</v>
      </c>
      <c r="I1996" s="1" t="s">
        <v>19</v>
      </c>
      <c r="J1996" s="1">
        <v>290.0</v>
      </c>
      <c r="K1996" s="1">
        <v>63.0</v>
      </c>
      <c r="L1996" s="1">
        <v>910.0</v>
      </c>
    </row>
    <row r="1997">
      <c r="A1997" s="1">
        <v>3578767.0</v>
      </c>
      <c r="B1997" s="1" t="s">
        <v>4287</v>
      </c>
      <c r="C1997" s="1" t="s">
        <v>3831</v>
      </c>
      <c r="D1997" s="1" t="s">
        <v>3847</v>
      </c>
      <c r="E1997" s="1" t="s">
        <v>4288</v>
      </c>
      <c r="F1997" s="1" t="s">
        <v>55</v>
      </c>
      <c r="G1997" s="1" t="s">
        <v>17</v>
      </c>
      <c r="H1997" s="1" t="s">
        <v>18</v>
      </c>
      <c r="I1997" s="1" t="s">
        <v>44</v>
      </c>
      <c r="J1997" s="1">
        <v>27.0</v>
      </c>
      <c r="K1997" s="1">
        <v>31.0</v>
      </c>
      <c r="L1997" s="1">
        <v>65.0</v>
      </c>
    </row>
    <row r="1998">
      <c r="A1998" s="1">
        <v>3521013.0</v>
      </c>
      <c r="B1998" s="1" t="s">
        <v>4289</v>
      </c>
      <c r="C1998" s="1" t="s">
        <v>3831</v>
      </c>
      <c r="D1998" s="1" t="s">
        <v>3838</v>
      </c>
      <c r="E1998" s="1" t="s">
        <v>4290</v>
      </c>
      <c r="F1998" s="1" t="s">
        <v>16</v>
      </c>
      <c r="G1998" s="1" t="s">
        <v>17</v>
      </c>
      <c r="H1998" s="1" t="s">
        <v>28</v>
      </c>
      <c r="I1998" s="1" t="s">
        <v>40</v>
      </c>
      <c r="J1998" s="1">
        <v>296.0</v>
      </c>
      <c r="K1998" s="1">
        <v>89.0</v>
      </c>
      <c r="L1998" s="1">
        <v>48.0</v>
      </c>
    </row>
    <row r="1999">
      <c r="A1999" s="1">
        <v>3573247.0</v>
      </c>
      <c r="B1999" s="1" t="s">
        <v>3016</v>
      </c>
      <c r="C1999" s="1" t="s">
        <v>3831</v>
      </c>
      <c r="D1999" s="1" t="s">
        <v>3938</v>
      </c>
      <c r="E1999" s="1" t="s">
        <v>4291</v>
      </c>
      <c r="F1999" s="1" t="s">
        <v>55</v>
      </c>
      <c r="G1999" s="1" t="s">
        <v>17</v>
      </c>
      <c r="H1999" s="1" t="s">
        <v>18</v>
      </c>
      <c r="I1999" s="1" t="s">
        <v>19</v>
      </c>
      <c r="J1999" s="1">
        <v>28.0</v>
      </c>
      <c r="K1999" s="1">
        <v>15.0</v>
      </c>
      <c r="L1999" s="1">
        <v>38.0</v>
      </c>
    </row>
    <row r="2000">
      <c r="A2000" s="1">
        <v>3525089.0</v>
      </c>
      <c r="B2000" s="1" t="s">
        <v>4292</v>
      </c>
      <c r="C2000" s="1" t="s">
        <v>3831</v>
      </c>
      <c r="D2000" s="1" t="s">
        <v>3865</v>
      </c>
      <c r="E2000" s="1" t="s">
        <v>4293</v>
      </c>
      <c r="F2000" s="1" t="s">
        <v>16</v>
      </c>
      <c r="G2000" s="1" t="s">
        <v>23</v>
      </c>
      <c r="H2000" s="1" t="s">
        <v>18</v>
      </c>
      <c r="I2000" s="1" t="s">
        <v>19</v>
      </c>
      <c r="J2000" s="1">
        <v>51.0</v>
      </c>
      <c r="K2000" s="1">
        <v>25.0</v>
      </c>
      <c r="L2000" s="1">
        <v>102.0</v>
      </c>
    </row>
    <row r="2001">
      <c r="A2001" s="1">
        <v>3511013.0</v>
      </c>
      <c r="B2001" s="1" t="s">
        <v>4294</v>
      </c>
      <c r="C2001" s="1" t="s">
        <v>3831</v>
      </c>
      <c r="D2001" s="1" t="s">
        <v>4130</v>
      </c>
      <c r="E2001" s="1" t="s">
        <v>4295</v>
      </c>
      <c r="F2001" s="1" t="s">
        <v>16</v>
      </c>
      <c r="G2001" s="1" t="s">
        <v>17</v>
      </c>
      <c r="H2001" s="1" t="s">
        <v>18</v>
      </c>
      <c r="I2001" s="1" t="s">
        <v>19</v>
      </c>
      <c r="J2001" s="1">
        <v>147.0</v>
      </c>
      <c r="K2001" s="1">
        <v>21.0</v>
      </c>
      <c r="L2001" s="1">
        <v>190.0</v>
      </c>
    </row>
    <row r="2002">
      <c r="A2002" s="1">
        <v>3529040.0</v>
      </c>
      <c r="B2002" s="1" t="s">
        <v>4296</v>
      </c>
      <c r="C2002" s="1" t="s">
        <v>3831</v>
      </c>
      <c r="D2002" s="1" t="s">
        <v>4079</v>
      </c>
      <c r="E2002" s="1" t="s">
        <v>4297</v>
      </c>
      <c r="F2002" s="1" t="s">
        <v>16</v>
      </c>
      <c r="G2002" s="1" t="s">
        <v>23</v>
      </c>
      <c r="H2002" s="1" t="s">
        <v>18</v>
      </c>
      <c r="I2002" s="1" t="s">
        <v>40</v>
      </c>
      <c r="J2002" s="1">
        <v>90.0</v>
      </c>
      <c r="K2002" s="1">
        <v>43.0</v>
      </c>
      <c r="L2002" s="1">
        <v>0.0</v>
      </c>
    </row>
    <row r="2003">
      <c r="A2003" s="1">
        <v>3525087.0</v>
      </c>
      <c r="B2003" s="1" t="s">
        <v>4298</v>
      </c>
      <c r="C2003" s="1" t="s">
        <v>3831</v>
      </c>
      <c r="D2003" s="1" t="s">
        <v>3865</v>
      </c>
      <c r="E2003" s="1" t="s">
        <v>4299</v>
      </c>
      <c r="F2003" s="1" t="s">
        <v>16</v>
      </c>
      <c r="G2003" s="1" t="s">
        <v>23</v>
      </c>
      <c r="H2003" s="1" t="s">
        <v>18</v>
      </c>
      <c r="I2003" s="1" t="s">
        <v>19</v>
      </c>
      <c r="J2003" s="1">
        <v>46.0</v>
      </c>
      <c r="K2003" s="1">
        <v>36.0</v>
      </c>
      <c r="L2003" s="1">
        <v>100.0</v>
      </c>
    </row>
    <row r="2004">
      <c r="A2004" s="1">
        <v>3514052.0</v>
      </c>
      <c r="B2004" s="1" t="s">
        <v>4300</v>
      </c>
      <c r="C2004" s="1" t="s">
        <v>3831</v>
      </c>
      <c r="D2004" s="1" t="s">
        <v>3875</v>
      </c>
      <c r="E2004" s="1" t="s">
        <v>4301</v>
      </c>
      <c r="F2004" s="1" t="s">
        <v>16</v>
      </c>
      <c r="G2004" s="1" t="s">
        <v>23</v>
      </c>
      <c r="H2004" s="1" t="s">
        <v>33</v>
      </c>
      <c r="I2004" s="1" t="s">
        <v>65</v>
      </c>
      <c r="J2004" s="1">
        <v>132.0</v>
      </c>
      <c r="K2004" s="1">
        <v>25.0</v>
      </c>
      <c r="L2004" s="1">
        <v>166.0</v>
      </c>
    </row>
    <row r="2005">
      <c r="A2005" s="1">
        <v>3505045.0</v>
      </c>
      <c r="B2005" s="1" t="s">
        <v>4302</v>
      </c>
      <c r="C2005" s="1" t="s">
        <v>3831</v>
      </c>
      <c r="D2005" s="1" t="s">
        <v>3859</v>
      </c>
      <c r="E2005" s="1" t="s">
        <v>4303</v>
      </c>
      <c r="F2005" s="1" t="s">
        <v>16</v>
      </c>
      <c r="G2005" s="1" t="s">
        <v>17</v>
      </c>
      <c r="H2005" s="1" t="s">
        <v>28</v>
      </c>
      <c r="I2005" s="1" t="s">
        <v>40</v>
      </c>
      <c r="J2005" s="1">
        <v>152.0</v>
      </c>
      <c r="K2005" s="1">
        <v>24.0</v>
      </c>
      <c r="L2005" s="1">
        <v>210.0</v>
      </c>
    </row>
    <row r="2006">
      <c r="A2006" s="1">
        <v>3512052.0</v>
      </c>
      <c r="B2006" s="1" t="s">
        <v>4304</v>
      </c>
      <c r="C2006" s="1" t="s">
        <v>3831</v>
      </c>
      <c r="D2006" s="1" t="s">
        <v>3967</v>
      </c>
      <c r="E2006" s="1" t="s">
        <v>4305</v>
      </c>
      <c r="F2006" s="1" t="s">
        <v>16</v>
      </c>
      <c r="G2006" s="1" t="s">
        <v>23</v>
      </c>
      <c r="H2006" s="1" t="s">
        <v>18</v>
      </c>
      <c r="I2006" s="1" t="s">
        <v>19</v>
      </c>
      <c r="J2006" s="1">
        <v>51.0</v>
      </c>
      <c r="K2006" s="1">
        <v>11.0</v>
      </c>
      <c r="L2006" s="1">
        <v>0.0</v>
      </c>
    </row>
    <row r="2007">
      <c r="A2007" s="1">
        <v>3509010.0</v>
      </c>
      <c r="B2007" s="1" t="s">
        <v>4306</v>
      </c>
      <c r="C2007" s="1" t="s">
        <v>3831</v>
      </c>
      <c r="D2007" s="1" t="s">
        <v>3890</v>
      </c>
      <c r="E2007" s="1" t="s">
        <v>4307</v>
      </c>
      <c r="F2007" s="1" t="s">
        <v>16</v>
      </c>
      <c r="G2007" s="1" t="s">
        <v>27</v>
      </c>
      <c r="H2007" s="1" t="s">
        <v>28</v>
      </c>
      <c r="I2007" s="1" t="s">
        <v>40</v>
      </c>
      <c r="J2007" s="1">
        <v>389.0</v>
      </c>
      <c r="K2007" s="1">
        <v>90.0</v>
      </c>
      <c r="L2007" s="1">
        <v>1196.0</v>
      </c>
    </row>
    <row r="2008">
      <c r="A2008" s="1">
        <v>3578090.0</v>
      </c>
      <c r="B2008" s="1" t="s">
        <v>4308</v>
      </c>
      <c r="C2008" s="1" t="s">
        <v>3831</v>
      </c>
      <c r="D2008" s="1" t="s">
        <v>3847</v>
      </c>
      <c r="E2008" s="1" t="s">
        <v>4309</v>
      </c>
      <c r="F2008" s="1" t="s">
        <v>16</v>
      </c>
      <c r="G2008" s="1" t="s">
        <v>23</v>
      </c>
      <c r="H2008" s="1" t="s">
        <v>18</v>
      </c>
      <c r="I2008" s="1" t="s">
        <v>95</v>
      </c>
      <c r="J2008" s="1">
        <v>51.0</v>
      </c>
      <c r="K2008" s="1">
        <v>21.0</v>
      </c>
      <c r="L2008" s="1">
        <v>105.0</v>
      </c>
    </row>
    <row r="2009">
      <c r="A2009" s="1">
        <v>3573260.0</v>
      </c>
      <c r="B2009" s="1" t="s">
        <v>4310</v>
      </c>
      <c r="C2009" s="1" t="s">
        <v>3831</v>
      </c>
      <c r="D2009" s="1" t="s">
        <v>3938</v>
      </c>
      <c r="E2009" s="1" t="s">
        <v>4311</v>
      </c>
      <c r="F2009" s="1" t="s">
        <v>55</v>
      </c>
      <c r="G2009" s="1" t="s">
        <v>17</v>
      </c>
      <c r="H2009" s="1" t="s">
        <v>18</v>
      </c>
      <c r="I2009" s="1" t="s">
        <v>163</v>
      </c>
      <c r="J2009" s="1">
        <v>100.0</v>
      </c>
      <c r="K2009" s="1">
        <v>19.0</v>
      </c>
      <c r="L2009" s="1">
        <v>93.0</v>
      </c>
    </row>
    <row r="2010">
      <c r="A2010" s="1">
        <v>3515146.0</v>
      </c>
      <c r="B2010" s="1" t="s">
        <v>4312</v>
      </c>
      <c r="C2010" s="1" t="s">
        <v>3831</v>
      </c>
      <c r="D2010" s="1" t="s">
        <v>3870</v>
      </c>
      <c r="E2010" s="1" t="s">
        <v>4313</v>
      </c>
      <c r="F2010" s="1" t="s">
        <v>16</v>
      </c>
      <c r="G2010" s="1" t="s">
        <v>23</v>
      </c>
      <c r="H2010" s="1" t="s">
        <v>18</v>
      </c>
      <c r="I2010" s="1" t="s">
        <v>19</v>
      </c>
      <c r="J2010" s="1">
        <v>50.0</v>
      </c>
      <c r="K2010" s="1">
        <v>29.0</v>
      </c>
      <c r="L2010" s="1">
        <v>32.0</v>
      </c>
    </row>
    <row r="2011">
      <c r="A2011" s="1">
        <v>3571031.0</v>
      </c>
      <c r="B2011" s="1" t="s">
        <v>4314</v>
      </c>
      <c r="C2011" s="1" t="s">
        <v>3831</v>
      </c>
      <c r="D2011" s="1" t="s">
        <v>3930</v>
      </c>
      <c r="E2011" s="1" t="s">
        <v>4315</v>
      </c>
      <c r="F2011" s="1" t="s">
        <v>16</v>
      </c>
      <c r="G2011" s="1" t="s">
        <v>27</v>
      </c>
      <c r="H2011" s="1" t="s">
        <v>33</v>
      </c>
      <c r="I2011" s="1" t="s">
        <v>65</v>
      </c>
      <c r="J2011" s="1">
        <v>331.0</v>
      </c>
      <c r="K2011" s="1">
        <v>49.0</v>
      </c>
      <c r="L2011" s="1">
        <v>759.0</v>
      </c>
    </row>
    <row r="2012">
      <c r="A2012" s="1">
        <v>3574069.0</v>
      </c>
      <c r="B2012" s="1" t="s">
        <v>4316</v>
      </c>
      <c r="C2012" s="1" t="s">
        <v>3831</v>
      </c>
      <c r="D2012" s="1" t="s">
        <v>4046</v>
      </c>
      <c r="E2012" s="1" t="s">
        <v>4317</v>
      </c>
      <c r="F2012" s="1" t="s">
        <v>55</v>
      </c>
      <c r="G2012" s="1" t="s">
        <v>17</v>
      </c>
      <c r="H2012" s="1" t="s">
        <v>18</v>
      </c>
      <c r="I2012" s="1" t="s">
        <v>19</v>
      </c>
      <c r="J2012" s="1">
        <v>82.0</v>
      </c>
      <c r="K2012" s="1">
        <v>16.0</v>
      </c>
      <c r="L2012" s="1">
        <v>160.0</v>
      </c>
    </row>
    <row r="2013">
      <c r="A2013" s="1">
        <v>3525102.0</v>
      </c>
      <c r="B2013" s="1" t="s">
        <v>4318</v>
      </c>
      <c r="C2013" s="1" t="s">
        <v>3831</v>
      </c>
      <c r="D2013" s="1" t="s">
        <v>3865</v>
      </c>
      <c r="E2013" s="1" t="s">
        <v>4319</v>
      </c>
      <c r="F2013" s="1" t="s">
        <v>16</v>
      </c>
      <c r="G2013" s="1" t="s">
        <v>23</v>
      </c>
      <c r="H2013" s="1" t="s">
        <v>18</v>
      </c>
      <c r="I2013" s="1" t="s">
        <v>44</v>
      </c>
      <c r="J2013" s="1">
        <v>69.0</v>
      </c>
      <c r="K2013" s="1">
        <v>58.0</v>
      </c>
      <c r="L2013" s="1">
        <v>32.0</v>
      </c>
    </row>
    <row r="2014">
      <c r="A2014" s="1">
        <v>3573264.0</v>
      </c>
      <c r="B2014" s="1" t="s">
        <v>4320</v>
      </c>
      <c r="C2014" s="1" t="s">
        <v>3831</v>
      </c>
      <c r="D2014" s="1" t="s">
        <v>3938</v>
      </c>
      <c r="E2014" s="1" t="s">
        <v>4321</v>
      </c>
      <c r="F2014" s="1" t="s">
        <v>55</v>
      </c>
      <c r="G2014" s="1" t="s">
        <v>17</v>
      </c>
      <c r="H2014" s="1" t="s">
        <v>18</v>
      </c>
      <c r="I2014" s="1" t="s">
        <v>19</v>
      </c>
      <c r="J2014" s="1">
        <v>25.0</v>
      </c>
      <c r="K2014" s="1">
        <v>16.0</v>
      </c>
      <c r="L2014" s="1">
        <v>19.0</v>
      </c>
    </row>
    <row r="2015">
      <c r="A2015" s="1">
        <v>3512034.0</v>
      </c>
      <c r="B2015" s="1" t="s">
        <v>4322</v>
      </c>
      <c r="C2015" s="1" t="s">
        <v>3831</v>
      </c>
      <c r="D2015" s="1" t="s">
        <v>3967</v>
      </c>
      <c r="E2015" s="1" t="s">
        <v>4323</v>
      </c>
      <c r="F2015" s="1" t="s">
        <v>16</v>
      </c>
      <c r="G2015" s="1" t="s">
        <v>17</v>
      </c>
      <c r="H2015" s="1" t="s">
        <v>18</v>
      </c>
      <c r="I2015" s="1" t="s">
        <v>19</v>
      </c>
      <c r="J2015" s="1">
        <v>100.0</v>
      </c>
      <c r="K2015" s="1">
        <v>58.0</v>
      </c>
      <c r="L2015" s="1">
        <v>166.0</v>
      </c>
    </row>
    <row r="2016">
      <c r="A2016" s="1">
        <v>3578593.0</v>
      </c>
      <c r="B2016" s="1" t="s">
        <v>4324</v>
      </c>
      <c r="C2016" s="1" t="s">
        <v>3831</v>
      </c>
      <c r="D2016" s="1" t="s">
        <v>3847</v>
      </c>
      <c r="E2016" s="1" t="s">
        <v>4325</v>
      </c>
      <c r="F2016" s="1" t="s">
        <v>55</v>
      </c>
      <c r="G2016" s="1" t="s">
        <v>17</v>
      </c>
      <c r="H2016" s="1" t="s">
        <v>18</v>
      </c>
      <c r="I2016" s="1" t="s">
        <v>59</v>
      </c>
      <c r="J2016" s="1">
        <v>72.0</v>
      </c>
      <c r="K2016" s="1">
        <v>19.0</v>
      </c>
      <c r="L2016" s="1">
        <v>175.0</v>
      </c>
    </row>
    <row r="2017">
      <c r="A2017" s="1">
        <v>3578789.0</v>
      </c>
      <c r="B2017" s="1" t="s">
        <v>4326</v>
      </c>
      <c r="C2017" s="1" t="s">
        <v>3831</v>
      </c>
      <c r="D2017" s="1" t="s">
        <v>3847</v>
      </c>
      <c r="E2017" s="1" t="s">
        <v>4327</v>
      </c>
      <c r="F2017" s="1" t="s">
        <v>55</v>
      </c>
      <c r="G2017" s="1" t="s">
        <v>17</v>
      </c>
      <c r="H2017" s="1" t="s">
        <v>18</v>
      </c>
      <c r="I2017" s="1" t="s">
        <v>19</v>
      </c>
      <c r="J2017" s="1">
        <v>20.0</v>
      </c>
      <c r="K2017" s="1">
        <v>32.0</v>
      </c>
      <c r="L2017" s="1">
        <v>210.0</v>
      </c>
    </row>
    <row r="2018">
      <c r="A2018" s="1">
        <v>3573135.0</v>
      </c>
      <c r="B2018" s="1" t="s">
        <v>4328</v>
      </c>
      <c r="C2018" s="1" t="s">
        <v>3831</v>
      </c>
      <c r="D2018" s="1" t="s">
        <v>3938</v>
      </c>
      <c r="E2018" s="1" t="s">
        <v>4329</v>
      </c>
      <c r="F2018" s="1" t="s">
        <v>55</v>
      </c>
      <c r="G2018" s="1" t="s">
        <v>17</v>
      </c>
      <c r="H2018" s="1" t="s">
        <v>18</v>
      </c>
      <c r="I2018" s="1" t="s">
        <v>19</v>
      </c>
      <c r="J2018" s="1">
        <v>30.0</v>
      </c>
      <c r="K2018" s="1">
        <v>24.0</v>
      </c>
      <c r="L2018" s="1">
        <v>81.0</v>
      </c>
    </row>
    <row r="2019">
      <c r="A2019" s="1">
        <v>3522062.0</v>
      </c>
      <c r="B2019" s="1" t="s">
        <v>4330</v>
      </c>
      <c r="C2019" s="1" t="s">
        <v>3831</v>
      </c>
      <c r="D2019" s="1" t="s">
        <v>3897</v>
      </c>
      <c r="E2019" s="1" t="s">
        <v>4331</v>
      </c>
      <c r="F2019" s="1" t="s">
        <v>16</v>
      </c>
      <c r="G2019" s="1" t="s">
        <v>23</v>
      </c>
      <c r="H2019" s="1" t="s">
        <v>18</v>
      </c>
      <c r="I2019" s="1" t="s">
        <v>684</v>
      </c>
      <c r="J2019" s="1">
        <v>43.0</v>
      </c>
      <c r="K2019" s="1">
        <v>32.0</v>
      </c>
      <c r="L2019" s="1">
        <v>76.0</v>
      </c>
    </row>
    <row r="2020">
      <c r="A2020" s="1">
        <v>3525101.0</v>
      </c>
      <c r="B2020" s="1" t="s">
        <v>4332</v>
      </c>
      <c r="C2020" s="1" t="s">
        <v>3831</v>
      </c>
      <c r="D2020" s="1" t="s">
        <v>3865</v>
      </c>
      <c r="E2020" s="1" t="s">
        <v>4333</v>
      </c>
      <c r="F2020" s="1" t="s">
        <v>16</v>
      </c>
      <c r="G2020" s="1" t="s">
        <v>23</v>
      </c>
      <c r="H2020" s="1" t="s">
        <v>28</v>
      </c>
      <c r="I2020" s="1" t="s">
        <v>40</v>
      </c>
      <c r="J2020" s="1">
        <v>50.0</v>
      </c>
      <c r="K2020" s="1">
        <v>20.0</v>
      </c>
      <c r="L2020" s="1">
        <v>97.0</v>
      </c>
    </row>
    <row r="2021">
      <c r="A2021" s="1">
        <v>3512039.0</v>
      </c>
      <c r="B2021" s="1" t="s">
        <v>4334</v>
      </c>
      <c r="C2021" s="1" t="s">
        <v>3831</v>
      </c>
      <c r="D2021" s="1" t="s">
        <v>3967</v>
      </c>
      <c r="E2021" s="1" t="s">
        <v>4335</v>
      </c>
      <c r="F2021" s="1" t="s">
        <v>55</v>
      </c>
      <c r="G2021" s="1" t="s">
        <v>17</v>
      </c>
      <c r="H2021" s="1" t="s">
        <v>18</v>
      </c>
      <c r="I2021" s="1" t="s">
        <v>19</v>
      </c>
      <c r="J2021" s="1">
        <v>25.0</v>
      </c>
      <c r="K2021" s="1">
        <v>14.0</v>
      </c>
      <c r="L2021" s="1">
        <v>30.0</v>
      </c>
    </row>
    <row r="2022">
      <c r="A2022" s="1">
        <v>3503062.0</v>
      </c>
      <c r="B2022" s="1" t="s">
        <v>4336</v>
      </c>
      <c r="C2022" s="1" t="s">
        <v>3831</v>
      </c>
      <c r="D2022" s="1" t="s">
        <v>4238</v>
      </c>
      <c r="E2022" s="1" t="s">
        <v>4337</v>
      </c>
      <c r="F2022" s="1" t="s">
        <v>16</v>
      </c>
      <c r="G2022" s="1" t="s">
        <v>23</v>
      </c>
      <c r="H2022" s="1" t="s">
        <v>28</v>
      </c>
      <c r="I2022" s="1" t="s">
        <v>40</v>
      </c>
      <c r="J2022" s="1">
        <v>54.0</v>
      </c>
      <c r="K2022" s="1">
        <v>21.0</v>
      </c>
      <c r="L2022" s="1">
        <v>0.0</v>
      </c>
    </row>
    <row r="2023">
      <c r="A2023" s="1">
        <v>3507261.0</v>
      </c>
      <c r="B2023" s="1" t="s">
        <v>4338</v>
      </c>
      <c r="C2023" s="1" t="s">
        <v>3831</v>
      </c>
      <c r="D2023" s="1" t="s">
        <v>3862</v>
      </c>
      <c r="E2023" s="1" t="s">
        <v>4339</v>
      </c>
      <c r="F2023" s="1" t="s">
        <v>16</v>
      </c>
      <c r="G2023" s="1" t="s">
        <v>23</v>
      </c>
      <c r="H2023" s="1" t="s">
        <v>18</v>
      </c>
      <c r="I2023" s="1" t="s">
        <v>19</v>
      </c>
      <c r="J2023" s="1">
        <v>50.0</v>
      </c>
      <c r="K2023" s="1">
        <v>16.0</v>
      </c>
      <c r="L2023" s="1">
        <v>0.0</v>
      </c>
    </row>
    <row r="2024">
      <c r="A2024" s="1">
        <v>3517043.0</v>
      </c>
      <c r="B2024" s="1" t="s">
        <v>4340</v>
      </c>
      <c r="C2024" s="1" t="s">
        <v>3831</v>
      </c>
      <c r="D2024" s="1" t="s">
        <v>3956</v>
      </c>
      <c r="E2024" s="1" t="s">
        <v>4341</v>
      </c>
      <c r="F2024" s="1" t="s">
        <v>55</v>
      </c>
      <c r="G2024" s="1" t="s">
        <v>17</v>
      </c>
      <c r="H2024" s="1" t="s">
        <v>18</v>
      </c>
      <c r="I2024" s="1" t="s">
        <v>19</v>
      </c>
      <c r="J2024" s="1">
        <v>54.0</v>
      </c>
      <c r="K2024" s="1">
        <v>23.0</v>
      </c>
      <c r="L2024" s="1">
        <v>208.0</v>
      </c>
    </row>
    <row r="2025">
      <c r="A2025" s="1">
        <v>3525088.0</v>
      </c>
      <c r="B2025" s="1" t="s">
        <v>4342</v>
      </c>
      <c r="C2025" s="1" t="s">
        <v>3831</v>
      </c>
      <c r="D2025" s="1" t="s">
        <v>3865</v>
      </c>
      <c r="E2025" s="1" t="s">
        <v>4343</v>
      </c>
      <c r="F2025" s="1" t="s">
        <v>16</v>
      </c>
      <c r="G2025" s="1" t="s">
        <v>17</v>
      </c>
      <c r="H2025" s="1" t="s">
        <v>18</v>
      </c>
      <c r="I2025" s="1" t="s">
        <v>684</v>
      </c>
      <c r="J2025" s="1">
        <v>139.0</v>
      </c>
      <c r="K2025" s="1">
        <v>43.0</v>
      </c>
      <c r="L2025" s="1">
        <v>220.0</v>
      </c>
    </row>
    <row r="2026">
      <c r="A2026" s="1">
        <v>3528040.0</v>
      </c>
      <c r="B2026" s="1" t="s">
        <v>4344</v>
      </c>
      <c r="C2026" s="1" t="s">
        <v>3831</v>
      </c>
      <c r="D2026" s="1" t="s">
        <v>3841</v>
      </c>
      <c r="E2026" s="1" t="s">
        <v>4345</v>
      </c>
      <c r="F2026" s="1" t="s">
        <v>55</v>
      </c>
      <c r="G2026" s="1" t="s">
        <v>17</v>
      </c>
      <c r="H2026" s="1" t="s">
        <v>18</v>
      </c>
      <c r="I2026" s="1" t="s">
        <v>684</v>
      </c>
      <c r="J2026" s="1">
        <v>25.0</v>
      </c>
      <c r="K2026" s="1">
        <v>21.0</v>
      </c>
      <c r="L2026" s="1">
        <v>0.0</v>
      </c>
    </row>
    <row r="2027">
      <c r="A2027" s="1">
        <v>3504012.0</v>
      </c>
      <c r="B2027" s="1" t="s">
        <v>4346</v>
      </c>
      <c r="C2027" s="1" t="s">
        <v>3831</v>
      </c>
      <c r="D2027" s="1" t="s">
        <v>3850</v>
      </c>
      <c r="E2027" s="1" t="s">
        <v>4347</v>
      </c>
      <c r="F2027" s="1" t="s">
        <v>16</v>
      </c>
      <c r="G2027" s="1" t="s">
        <v>27</v>
      </c>
      <c r="H2027" s="1" t="s">
        <v>28</v>
      </c>
      <c r="I2027" s="1" t="s">
        <v>40</v>
      </c>
      <c r="J2027" s="1">
        <v>500.0</v>
      </c>
      <c r="K2027" s="1">
        <v>98.0</v>
      </c>
      <c r="L2027" s="1">
        <v>1418.0</v>
      </c>
    </row>
    <row r="2028">
      <c r="A2028" s="1">
        <v>3577015.0</v>
      </c>
      <c r="B2028" s="1" t="s">
        <v>4348</v>
      </c>
      <c r="C2028" s="1" t="s">
        <v>3831</v>
      </c>
      <c r="D2028" s="1" t="s">
        <v>3906</v>
      </c>
      <c r="E2028" s="1" t="s">
        <v>4349</v>
      </c>
      <c r="F2028" s="1" t="s">
        <v>16</v>
      </c>
      <c r="G2028" s="1" t="s">
        <v>27</v>
      </c>
      <c r="H2028" s="1" t="s">
        <v>28</v>
      </c>
      <c r="I2028" s="1" t="s">
        <v>139</v>
      </c>
      <c r="J2028" s="1">
        <v>355.0</v>
      </c>
      <c r="K2028" s="1">
        <v>135.0</v>
      </c>
      <c r="L2028" s="1">
        <v>693.0</v>
      </c>
    </row>
    <row r="2029">
      <c r="A2029" s="1">
        <v>3506060.0</v>
      </c>
      <c r="B2029" s="1" t="s">
        <v>4350</v>
      </c>
      <c r="C2029" s="1" t="s">
        <v>3831</v>
      </c>
      <c r="D2029" s="1" t="s">
        <v>3894</v>
      </c>
      <c r="E2029" s="1" t="s">
        <v>4351</v>
      </c>
      <c r="F2029" s="1" t="s">
        <v>55</v>
      </c>
      <c r="G2029" s="1" t="s">
        <v>17</v>
      </c>
      <c r="H2029" s="1" t="s">
        <v>18</v>
      </c>
      <c r="I2029" s="1" t="s">
        <v>19</v>
      </c>
      <c r="J2029" s="1">
        <v>42.0</v>
      </c>
      <c r="K2029" s="1">
        <v>16.0</v>
      </c>
      <c r="L2029" s="1">
        <v>49.0</v>
      </c>
    </row>
    <row r="2030">
      <c r="A2030" s="1">
        <v>3509135.0</v>
      </c>
      <c r="B2030" s="1" t="s">
        <v>4352</v>
      </c>
      <c r="C2030" s="1" t="s">
        <v>3831</v>
      </c>
      <c r="D2030" s="1" t="s">
        <v>3890</v>
      </c>
      <c r="E2030" s="1" t="s">
        <v>4353</v>
      </c>
      <c r="F2030" s="1" t="s">
        <v>16</v>
      </c>
      <c r="G2030" s="1" t="s">
        <v>17</v>
      </c>
      <c r="H2030" s="1" t="s">
        <v>18</v>
      </c>
      <c r="I2030" s="1" t="s">
        <v>19</v>
      </c>
      <c r="J2030" s="1">
        <v>190.0</v>
      </c>
      <c r="K2030" s="1">
        <v>112.0</v>
      </c>
      <c r="L2030" s="1">
        <v>797.0</v>
      </c>
    </row>
    <row r="2031">
      <c r="A2031" s="1">
        <v>3507107.0</v>
      </c>
      <c r="B2031" s="1" t="s">
        <v>4354</v>
      </c>
      <c r="C2031" s="1" t="s">
        <v>3831</v>
      </c>
      <c r="D2031" s="1" t="s">
        <v>3862</v>
      </c>
      <c r="E2031" s="1" t="s">
        <v>4355</v>
      </c>
      <c r="F2031" s="1" t="s">
        <v>16</v>
      </c>
      <c r="G2031" s="1" t="s">
        <v>23</v>
      </c>
      <c r="H2031" s="1" t="s">
        <v>18</v>
      </c>
      <c r="I2031" s="1" t="s">
        <v>19</v>
      </c>
      <c r="J2031" s="1">
        <v>55.0</v>
      </c>
      <c r="K2031" s="1">
        <v>46.0</v>
      </c>
      <c r="L2031" s="1">
        <v>152.0</v>
      </c>
    </row>
    <row r="2032">
      <c r="A2032" s="1">
        <v>3524050.0</v>
      </c>
      <c r="B2032" s="1" t="s">
        <v>2161</v>
      </c>
      <c r="C2032" s="1" t="s">
        <v>3831</v>
      </c>
      <c r="D2032" s="1" t="s">
        <v>3856</v>
      </c>
      <c r="E2032" s="1" t="s">
        <v>4356</v>
      </c>
      <c r="F2032" s="1" t="s">
        <v>16</v>
      </c>
      <c r="G2032" s="1" t="s">
        <v>23</v>
      </c>
      <c r="H2032" s="1" t="s">
        <v>33</v>
      </c>
      <c r="I2032" s="1" t="s">
        <v>19</v>
      </c>
      <c r="J2032" s="1">
        <v>51.0</v>
      </c>
      <c r="K2032" s="1">
        <v>19.0</v>
      </c>
      <c r="L2032" s="1">
        <v>58.0</v>
      </c>
    </row>
    <row r="2033">
      <c r="A2033" s="1">
        <v>3522075.0</v>
      </c>
      <c r="B2033" s="1" t="s">
        <v>4357</v>
      </c>
      <c r="C2033" s="1" t="s">
        <v>3831</v>
      </c>
      <c r="D2033" s="1" t="s">
        <v>3897</v>
      </c>
      <c r="E2033" s="1" t="s">
        <v>4358</v>
      </c>
      <c r="F2033" s="1" t="s">
        <v>16</v>
      </c>
      <c r="G2033" s="1" t="s">
        <v>23</v>
      </c>
      <c r="H2033" s="1" t="s">
        <v>18</v>
      </c>
      <c r="I2033" s="1" t="s">
        <v>40</v>
      </c>
      <c r="J2033" s="1">
        <v>50.0</v>
      </c>
      <c r="K2033" s="1">
        <v>20.0</v>
      </c>
      <c r="L2033" s="1">
        <v>0.0</v>
      </c>
    </row>
    <row r="2034">
      <c r="A2034" s="1">
        <v>3524016.0</v>
      </c>
      <c r="B2034" s="1" t="s">
        <v>4359</v>
      </c>
      <c r="C2034" s="1" t="s">
        <v>3831</v>
      </c>
      <c r="D2034" s="1" t="s">
        <v>3856</v>
      </c>
      <c r="E2034" s="1" t="s">
        <v>4360</v>
      </c>
      <c r="F2034" s="1" t="s">
        <v>16</v>
      </c>
      <c r="G2034" s="1" t="s">
        <v>27</v>
      </c>
      <c r="H2034" s="1" t="s">
        <v>28</v>
      </c>
      <c r="I2034" s="1" t="s">
        <v>40</v>
      </c>
      <c r="J2034" s="1">
        <v>371.0</v>
      </c>
      <c r="K2034" s="1">
        <v>55.0</v>
      </c>
      <c r="L2034" s="1">
        <v>792.0</v>
      </c>
    </row>
    <row r="2035">
      <c r="A2035" s="1">
        <v>3522060.0</v>
      </c>
      <c r="B2035" s="1" t="s">
        <v>4361</v>
      </c>
      <c r="C2035" s="1" t="s">
        <v>3831</v>
      </c>
      <c r="D2035" s="1" t="s">
        <v>3897</v>
      </c>
      <c r="E2035" s="1" t="s">
        <v>4362</v>
      </c>
      <c r="F2035" s="1" t="s">
        <v>16</v>
      </c>
      <c r="G2035" s="1" t="s">
        <v>23</v>
      </c>
      <c r="H2035" s="1" t="s">
        <v>18</v>
      </c>
      <c r="I2035" s="1" t="s">
        <v>19</v>
      </c>
      <c r="J2035" s="1">
        <v>89.0</v>
      </c>
      <c r="K2035" s="1">
        <v>23.0</v>
      </c>
      <c r="L2035" s="1">
        <v>101.0</v>
      </c>
    </row>
    <row r="2036">
      <c r="A2036" s="1">
        <v>3527012.0</v>
      </c>
      <c r="B2036" s="1" t="s">
        <v>4363</v>
      </c>
      <c r="C2036" s="1" t="s">
        <v>3831</v>
      </c>
      <c r="D2036" s="1" t="s">
        <v>3925</v>
      </c>
      <c r="E2036" s="1" t="s">
        <v>4364</v>
      </c>
      <c r="F2036" s="1" t="s">
        <v>16</v>
      </c>
      <c r="G2036" s="1" t="s">
        <v>27</v>
      </c>
      <c r="H2036" s="1" t="s">
        <v>28</v>
      </c>
      <c r="I2036" s="1" t="s">
        <v>40</v>
      </c>
      <c r="J2036" s="1">
        <v>255.0</v>
      </c>
      <c r="K2036" s="1">
        <v>57.0</v>
      </c>
      <c r="L2036" s="1">
        <v>488.0</v>
      </c>
    </row>
    <row r="2037">
      <c r="A2037" s="1">
        <v>3578235.0</v>
      </c>
      <c r="B2037" s="1" t="s">
        <v>4365</v>
      </c>
      <c r="C2037" s="1" t="s">
        <v>3831</v>
      </c>
      <c r="D2037" s="1" t="s">
        <v>3847</v>
      </c>
      <c r="E2037" s="1" t="s">
        <v>4366</v>
      </c>
      <c r="F2037" s="1" t="s">
        <v>16</v>
      </c>
      <c r="G2037" s="1" t="s">
        <v>23</v>
      </c>
      <c r="H2037" s="1" t="s">
        <v>18</v>
      </c>
      <c r="I2037" s="1" t="s">
        <v>19</v>
      </c>
      <c r="J2037" s="1">
        <v>50.0</v>
      </c>
      <c r="K2037" s="1">
        <v>23.0</v>
      </c>
      <c r="L2037" s="1">
        <v>140.0</v>
      </c>
    </row>
    <row r="2038">
      <c r="A2038" s="1">
        <v>3577052.0</v>
      </c>
      <c r="B2038" s="1" t="s">
        <v>4367</v>
      </c>
      <c r="C2038" s="1" t="s">
        <v>3831</v>
      </c>
      <c r="D2038" s="1" t="s">
        <v>3906</v>
      </c>
      <c r="E2038" s="1" t="s">
        <v>4368</v>
      </c>
      <c r="F2038" s="1" t="s">
        <v>55</v>
      </c>
      <c r="G2038" s="1" t="s">
        <v>17</v>
      </c>
      <c r="H2038" s="1" t="s">
        <v>18</v>
      </c>
      <c r="I2038" s="1" t="s">
        <v>19</v>
      </c>
      <c r="J2038" s="1">
        <v>27.0</v>
      </c>
      <c r="K2038" s="1">
        <v>19.0</v>
      </c>
      <c r="L2038" s="1">
        <v>76.0</v>
      </c>
    </row>
    <row r="2039">
      <c r="A2039" s="1">
        <v>3516034.0</v>
      </c>
      <c r="B2039" s="1" t="s">
        <v>4369</v>
      </c>
      <c r="C2039" s="1" t="s">
        <v>3831</v>
      </c>
      <c r="D2039" s="1" t="s">
        <v>3909</v>
      </c>
      <c r="E2039" s="1" t="s">
        <v>4370</v>
      </c>
      <c r="F2039" s="1" t="s">
        <v>16</v>
      </c>
      <c r="G2039" s="1" t="s">
        <v>23</v>
      </c>
      <c r="H2039" s="1" t="s">
        <v>18</v>
      </c>
      <c r="I2039" s="1" t="s">
        <v>19</v>
      </c>
      <c r="J2039" s="1">
        <v>50.0</v>
      </c>
      <c r="K2039" s="1">
        <v>17.0</v>
      </c>
      <c r="L2039" s="1">
        <v>22.0</v>
      </c>
    </row>
    <row r="2040">
      <c r="A2040" s="1">
        <v>3510021.0</v>
      </c>
      <c r="B2040" s="1" t="s">
        <v>2256</v>
      </c>
      <c r="C2040" s="1" t="s">
        <v>3831</v>
      </c>
      <c r="D2040" s="1" t="s">
        <v>3844</v>
      </c>
      <c r="E2040" s="1" t="s">
        <v>4371</v>
      </c>
      <c r="F2040" s="1" t="s">
        <v>16</v>
      </c>
      <c r="G2040" s="1" t="s">
        <v>17</v>
      </c>
      <c r="H2040" s="1" t="s">
        <v>18</v>
      </c>
      <c r="I2040" s="1" t="s">
        <v>19</v>
      </c>
      <c r="J2040" s="1">
        <v>101.0</v>
      </c>
      <c r="K2040" s="1">
        <v>50.0</v>
      </c>
      <c r="L2040" s="1">
        <v>226.0</v>
      </c>
    </row>
    <row r="2041">
      <c r="A2041" s="1">
        <v>3578443.0</v>
      </c>
      <c r="B2041" s="1" t="s">
        <v>4372</v>
      </c>
      <c r="C2041" s="1" t="s">
        <v>3831</v>
      </c>
      <c r="D2041" s="1" t="s">
        <v>3847</v>
      </c>
      <c r="E2041" s="1" t="s">
        <v>4373</v>
      </c>
      <c r="F2041" s="1" t="s">
        <v>16</v>
      </c>
      <c r="G2041" s="1" t="s">
        <v>27</v>
      </c>
      <c r="H2041" s="1" t="s">
        <v>18</v>
      </c>
      <c r="I2041" s="1" t="s">
        <v>19</v>
      </c>
      <c r="J2041" s="1">
        <v>201.0</v>
      </c>
      <c r="K2041" s="1">
        <v>110.0</v>
      </c>
      <c r="L2041" s="1">
        <v>508.0</v>
      </c>
    </row>
    <row r="2042">
      <c r="A2042" s="1">
        <v>3579003.0</v>
      </c>
      <c r="B2042" s="1" t="s">
        <v>4374</v>
      </c>
      <c r="C2042" s="1" t="s">
        <v>3831</v>
      </c>
      <c r="D2042" s="1" t="s">
        <v>3922</v>
      </c>
      <c r="E2042" s="1" t="s">
        <v>4375</v>
      </c>
      <c r="F2042" s="1" t="s">
        <v>16</v>
      </c>
      <c r="G2042" s="1" t="s">
        <v>17</v>
      </c>
      <c r="H2042" s="1" t="s">
        <v>33</v>
      </c>
      <c r="I2042" s="1" t="s">
        <v>65</v>
      </c>
      <c r="J2042" s="1">
        <v>143.0</v>
      </c>
      <c r="K2042" s="1">
        <v>32.0</v>
      </c>
      <c r="L2042" s="1">
        <v>145.0</v>
      </c>
    </row>
    <row r="2043">
      <c r="A2043" s="1">
        <v>3573011.0</v>
      </c>
      <c r="B2043" s="1" t="s">
        <v>4376</v>
      </c>
      <c r="C2043" s="1" t="s">
        <v>3831</v>
      </c>
      <c r="D2043" s="1" t="s">
        <v>3938</v>
      </c>
      <c r="E2043" s="1" t="s">
        <v>4377</v>
      </c>
      <c r="F2043" s="1" t="s">
        <v>16</v>
      </c>
      <c r="G2043" s="1" t="s">
        <v>150</v>
      </c>
      <c r="H2043" s="1" t="s">
        <v>28</v>
      </c>
      <c r="I2043" s="1" t="s">
        <v>139</v>
      </c>
      <c r="J2043" s="1">
        <v>935.0</v>
      </c>
      <c r="K2043" s="1">
        <v>157.0</v>
      </c>
      <c r="L2043" s="1">
        <v>2983.0</v>
      </c>
    </row>
    <row r="2044">
      <c r="A2044" s="1">
        <v>3526032.0</v>
      </c>
      <c r="B2044" s="1" t="s">
        <v>4378</v>
      </c>
      <c r="C2044" s="1" t="s">
        <v>3831</v>
      </c>
      <c r="D2044" s="1" t="s">
        <v>3832</v>
      </c>
      <c r="E2044" s="1" t="s">
        <v>4379</v>
      </c>
      <c r="F2044" s="1" t="s">
        <v>255</v>
      </c>
      <c r="G2044" s="1" t="s">
        <v>17</v>
      </c>
      <c r="H2044" s="1" t="s">
        <v>33</v>
      </c>
      <c r="I2044" s="1" t="s">
        <v>19</v>
      </c>
      <c r="J2044" s="1">
        <v>25.0</v>
      </c>
      <c r="K2044" s="1">
        <v>16.0</v>
      </c>
      <c r="L2044" s="1">
        <v>30.0</v>
      </c>
    </row>
    <row r="2045">
      <c r="A2045" s="1">
        <v>3507260.0</v>
      </c>
      <c r="B2045" s="1" t="s">
        <v>4380</v>
      </c>
      <c r="C2045" s="1" t="s">
        <v>3831</v>
      </c>
      <c r="D2045" s="1" t="s">
        <v>3862</v>
      </c>
      <c r="E2045" s="1" t="s">
        <v>4381</v>
      </c>
      <c r="F2045" s="1" t="s">
        <v>16</v>
      </c>
      <c r="G2045" s="1" t="s">
        <v>23</v>
      </c>
      <c r="H2045" s="1" t="s">
        <v>18</v>
      </c>
      <c r="I2045" s="1" t="s">
        <v>40</v>
      </c>
      <c r="J2045" s="1">
        <v>52.0</v>
      </c>
      <c r="K2045" s="1">
        <v>2.0</v>
      </c>
      <c r="L2045" s="1">
        <v>0.0</v>
      </c>
    </row>
    <row r="2046">
      <c r="A2046" s="1">
        <v>3515106.0</v>
      </c>
      <c r="B2046" s="1" t="s">
        <v>4382</v>
      </c>
      <c r="C2046" s="1" t="s">
        <v>3831</v>
      </c>
      <c r="D2046" s="1" t="s">
        <v>3870</v>
      </c>
      <c r="E2046" s="1" t="s">
        <v>4383</v>
      </c>
      <c r="F2046" s="1" t="s">
        <v>16</v>
      </c>
      <c r="G2046" s="1" t="s">
        <v>27</v>
      </c>
      <c r="H2046" s="1" t="s">
        <v>18</v>
      </c>
      <c r="I2046" s="1" t="s">
        <v>19</v>
      </c>
      <c r="J2046" s="1">
        <v>225.0</v>
      </c>
      <c r="K2046" s="1">
        <v>83.0</v>
      </c>
      <c r="L2046" s="1">
        <v>598.0</v>
      </c>
    </row>
    <row r="2047">
      <c r="A2047" s="1">
        <v>3509140.0</v>
      </c>
      <c r="B2047" s="1" t="s">
        <v>4384</v>
      </c>
      <c r="C2047" s="1" t="s">
        <v>3831</v>
      </c>
      <c r="D2047" s="1" t="s">
        <v>3890</v>
      </c>
      <c r="E2047" s="1" t="s">
        <v>4385</v>
      </c>
      <c r="F2047" s="1" t="s">
        <v>16</v>
      </c>
      <c r="G2047" s="1" t="s">
        <v>17</v>
      </c>
      <c r="H2047" s="1" t="s">
        <v>18</v>
      </c>
      <c r="I2047" s="1" t="s">
        <v>19</v>
      </c>
      <c r="J2047" s="1">
        <v>100.0</v>
      </c>
      <c r="K2047" s="1">
        <v>33.0</v>
      </c>
      <c r="L2047" s="1">
        <v>157.0</v>
      </c>
    </row>
    <row r="2048">
      <c r="A2048" s="1">
        <v>3502010.0</v>
      </c>
      <c r="B2048" s="1" t="s">
        <v>4386</v>
      </c>
      <c r="C2048" s="1" t="s">
        <v>3831</v>
      </c>
      <c r="D2048" s="1" t="s">
        <v>4013</v>
      </c>
      <c r="E2048" s="1" t="s">
        <v>4387</v>
      </c>
      <c r="F2048" s="1" t="s">
        <v>16</v>
      </c>
      <c r="G2048" s="1" t="s">
        <v>27</v>
      </c>
      <c r="H2048" s="1" t="s">
        <v>28</v>
      </c>
      <c r="I2048" s="1" t="s">
        <v>40</v>
      </c>
      <c r="J2048" s="1">
        <v>400.0</v>
      </c>
      <c r="K2048" s="1">
        <v>104.0</v>
      </c>
      <c r="L2048" s="1">
        <v>814.0</v>
      </c>
    </row>
    <row r="2049">
      <c r="A2049" s="1">
        <v>3575013.0</v>
      </c>
      <c r="B2049" s="1" t="s">
        <v>4388</v>
      </c>
      <c r="C2049" s="1" t="s">
        <v>3831</v>
      </c>
      <c r="D2049" s="1" t="s">
        <v>4156</v>
      </c>
      <c r="E2049" s="1" t="s">
        <v>4389</v>
      </c>
      <c r="F2049" s="1" t="s">
        <v>16</v>
      </c>
      <c r="G2049" s="1" t="s">
        <v>17</v>
      </c>
      <c r="H2049" s="1" t="s">
        <v>28</v>
      </c>
      <c r="I2049" s="1" t="s">
        <v>29</v>
      </c>
      <c r="J2049" s="1">
        <v>211.0</v>
      </c>
      <c r="K2049" s="1">
        <v>80.0</v>
      </c>
      <c r="L2049" s="1">
        <v>400.0</v>
      </c>
    </row>
    <row r="2050">
      <c r="A2050" s="1">
        <v>3578770.0</v>
      </c>
      <c r="B2050" s="1" t="s">
        <v>4390</v>
      </c>
      <c r="C2050" s="1" t="s">
        <v>3831</v>
      </c>
      <c r="D2050" s="1" t="s">
        <v>3847</v>
      </c>
      <c r="E2050" s="1" t="s">
        <v>4391</v>
      </c>
      <c r="F2050" s="1" t="s">
        <v>16</v>
      </c>
      <c r="G2050" s="1" t="s">
        <v>23</v>
      </c>
      <c r="H2050" s="1" t="s">
        <v>18</v>
      </c>
      <c r="I2050" s="1" t="s">
        <v>59</v>
      </c>
      <c r="J2050" s="1">
        <v>71.0</v>
      </c>
      <c r="K2050" s="1">
        <v>32.0</v>
      </c>
      <c r="L2050" s="1">
        <v>109.0</v>
      </c>
    </row>
    <row r="2051">
      <c r="A2051" s="1">
        <v>3515133.0</v>
      </c>
      <c r="B2051" s="1" t="s">
        <v>4392</v>
      </c>
      <c r="C2051" s="1" t="s">
        <v>3831</v>
      </c>
      <c r="D2051" s="1" t="s">
        <v>3870</v>
      </c>
      <c r="E2051" s="1" t="s">
        <v>4393</v>
      </c>
      <c r="F2051" s="1" t="s">
        <v>55</v>
      </c>
      <c r="G2051" s="1" t="s">
        <v>17</v>
      </c>
      <c r="H2051" s="1" t="s">
        <v>18</v>
      </c>
      <c r="I2051" s="1" t="s">
        <v>19</v>
      </c>
      <c r="J2051" s="1">
        <v>25.0</v>
      </c>
      <c r="K2051" s="1">
        <v>13.0</v>
      </c>
      <c r="L2051" s="1">
        <v>43.0</v>
      </c>
    </row>
    <row r="2052">
      <c r="A2052" s="1">
        <v>3525097.0</v>
      </c>
      <c r="B2052" s="1" t="s">
        <v>4394</v>
      </c>
      <c r="C2052" s="1" t="s">
        <v>3831</v>
      </c>
      <c r="D2052" s="1" t="s">
        <v>3865</v>
      </c>
      <c r="E2052" s="1" t="s">
        <v>4395</v>
      </c>
      <c r="F2052" s="1" t="s">
        <v>16</v>
      </c>
      <c r="G2052" s="1" t="s">
        <v>23</v>
      </c>
      <c r="H2052" s="1" t="s">
        <v>18</v>
      </c>
      <c r="I2052" s="1" t="s">
        <v>19</v>
      </c>
      <c r="J2052" s="1">
        <v>106.0</v>
      </c>
      <c r="K2052" s="1">
        <v>45.0</v>
      </c>
      <c r="L2052" s="1">
        <v>94.0</v>
      </c>
    </row>
    <row r="2053">
      <c r="A2053" s="1">
        <v>3512038.0</v>
      </c>
      <c r="B2053" s="1" t="s">
        <v>4396</v>
      </c>
      <c r="C2053" s="1" t="s">
        <v>3831</v>
      </c>
      <c r="D2053" s="1" t="s">
        <v>3967</v>
      </c>
      <c r="E2053" s="1" t="s">
        <v>4397</v>
      </c>
      <c r="F2053" s="1" t="s">
        <v>16</v>
      </c>
      <c r="G2053" s="1" t="s">
        <v>23</v>
      </c>
      <c r="H2053" s="1" t="s">
        <v>18</v>
      </c>
      <c r="I2053" s="1" t="s">
        <v>19</v>
      </c>
      <c r="J2053" s="1">
        <v>85.0</v>
      </c>
      <c r="K2053" s="1">
        <v>39.0</v>
      </c>
      <c r="L2053" s="1">
        <v>229.0</v>
      </c>
    </row>
    <row r="2054">
      <c r="A2054" s="1">
        <v>3517098.0</v>
      </c>
      <c r="B2054" s="1" t="s">
        <v>4398</v>
      </c>
      <c r="C2054" s="1" t="s">
        <v>3831</v>
      </c>
      <c r="D2054" s="1" t="s">
        <v>3956</v>
      </c>
      <c r="E2054" s="1" t="s">
        <v>4399</v>
      </c>
      <c r="F2054" s="1" t="s">
        <v>255</v>
      </c>
      <c r="G2054" s="1" t="s">
        <v>17</v>
      </c>
      <c r="H2054" s="1" t="s">
        <v>18</v>
      </c>
      <c r="I2054" s="1" t="s">
        <v>19</v>
      </c>
      <c r="J2054" s="1">
        <v>26.0</v>
      </c>
      <c r="K2054" s="1">
        <v>11.0</v>
      </c>
      <c r="L2054" s="1">
        <v>29.0</v>
      </c>
    </row>
    <row r="2055">
      <c r="A2055" s="1">
        <v>3522025.0</v>
      </c>
      <c r="B2055" s="1" t="s">
        <v>4400</v>
      </c>
      <c r="C2055" s="1" t="s">
        <v>3831</v>
      </c>
      <c r="D2055" s="1" t="s">
        <v>3897</v>
      </c>
      <c r="E2055" s="1" t="s">
        <v>4401</v>
      </c>
      <c r="F2055" s="1" t="s">
        <v>16</v>
      </c>
      <c r="G2055" s="1" t="s">
        <v>17</v>
      </c>
      <c r="H2055" s="1" t="s">
        <v>18</v>
      </c>
      <c r="I2055" s="1" t="s">
        <v>19</v>
      </c>
      <c r="J2055" s="1">
        <v>159.0</v>
      </c>
      <c r="K2055" s="1">
        <v>29.0</v>
      </c>
      <c r="L2055" s="1">
        <v>307.0</v>
      </c>
    </row>
    <row r="2056">
      <c r="A2056" s="1">
        <v>3505035.0</v>
      </c>
      <c r="B2056" s="1" t="s">
        <v>2513</v>
      </c>
      <c r="C2056" s="1" t="s">
        <v>3831</v>
      </c>
      <c r="D2056" s="1" t="s">
        <v>3859</v>
      </c>
      <c r="E2056" s="1" t="s">
        <v>4402</v>
      </c>
      <c r="F2056" s="1" t="s">
        <v>16</v>
      </c>
      <c r="G2056" s="1" t="s">
        <v>17</v>
      </c>
      <c r="H2056" s="1" t="s">
        <v>18</v>
      </c>
      <c r="I2056" s="1" t="s">
        <v>19</v>
      </c>
      <c r="J2056" s="1">
        <v>31.0</v>
      </c>
      <c r="K2056" s="1">
        <v>36.0</v>
      </c>
      <c r="L2056" s="1">
        <v>139.0</v>
      </c>
    </row>
    <row r="2057">
      <c r="A2057" s="1">
        <v>3507248.0</v>
      </c>
      <c r="B2057" s="1" t="s">
        <v>4403</v>
      </c>
      <c r="C2057" s="1" t="s">
        <v>3831</v>
      </c>
      <c r="D2057" s="1" t="s">
        <v>3862</v>
      </c>
      <c r="E2057" s="1" t="s">
        <v>4404</v>
      </c>
      <c r="F2057" s="1" t="s">
        <v>255</v>
      </c>
      <c r="G2057" s="1" t="s">
        <v>17</v>
      </c>
      <c r="H2057" s="1" t="s">
        <v>18</v>
      </c>
      <c r="I2057" s="1" t="s">
        <v>19</v>
      </c>
      <c r="J2057" s="1">
        <v>61.0</v>
      </c>
      <c r="K2057" s="1">
        <v>30.0</v>
      </c>
      <c r="L2057" s="1">
        <v>242.0</v>
      </c>
    </row>
    <row r="2058">
      <c r="A2058" s="1">
        <v>3507015.0</v>
      </c>
      <c r="B2058" s="1" t="s">
        <v>4405</v>
      </c>
      <c r="C2058" s="1" t="s">
        <v>3831</v>
      </c>
      <c r="D2058" s="1" t="s">
        <v>3862</v>
      </c>
      <c r="E2058" s="1" t="s">
        <v>4406</v>
      </c>
      <c r="F2058" s="1" t="s">
        <v>16</v>
      </c>
      <c r="G2058" s="1" t="s">
        <v>23</v>
      </c>
      <c r="H2058" s="1" t="s">
        <v>18</v>
      </c>
      <c r="I2058" s="1" t="s">
        <v>19</v>
      </c>
      <c r="J2058" s="1">
        <v>77.0</v>
      </c>
      <c r="K2058" s="1">
        <v>26.0</v>
      </c>
      <c r="L2058" s="1">
        <v>221.0</v>
      </c>
    </row>
    <row r="2059">
      <c r="A2059" s="1">
        <v>3578016.0</v>
      </c>
      <c r="B2059" s="1" t="s">
        <v>4407</v>
      </c>
      <c r="C2059" s="1" t="s">
        <v>3831</v>
      </c>
      <c r="D2059" s="1" t="s">
        <v>3847</v>
      </c>
      <c r="E2059" s="1" t="s">
        <v>4408</v>
      </c>
      <c r="F2059" s="1" t="s">
        <v>16</v>
      </c>
      <c r="G2059" s="1" t="s">
        <v>150</v>
      </c>
      <c r="H2059" s="1" t="s">
        <v>28</v>
      </c>
      <c r="I2059" s="1" t="s">
        <v>139</v>
      </c>
      <c r="J2059" s="1">
        <v>1311.0</v>
      </c>
      <c r="K2059" s="1">
        <v>155.0</v>
      </c>
      <c r="L2059" s="1">
        <v>7939.0</v>
      </c>
    </row>
    <row r="2060">
      <c r="A2060" s="1">
        <v>3515126.0</v>
      </c>
      <c r="B2060" s="1" t="s">
        <v>4409</v>
      </c>
      <c r="C2060" s="1" t="s">
        <v>3831</v>
      </c>
      <c r="D2060" s="1" t="s">
        <v>3870</v>
      </c>
      <c r="E2060" s="1" t="s">
        <v>4410</v>
      </c>
      <c r="F2060" s="1" t="s">
        <v>16</v>
      </c>
      <c r="G2060" s="1" t="s">
        <v>17</v>
      </c>
      <c r="H2060" s="1" t="s">
        <v>18</v>
      </c>
      <c r="I2060" s="1" t="s">
        <v>684</v>
      </c>
      <c r="J2060" s="1">
        <v>140.0</v>
      </c>
      <c r="K2060" s="1">
        <v>35.0</v>
      </c>
      <c r="L2060" s="1">
        <v>324.0</v>
      </c>
    </row>
    <row r="2061">
      <c r="A2061" s="1">
        <v>3525090.0</v>
      </c>
      <c r="B2061" s="1" t="s">
        <v>4411</v>
      </c>
      <c r="C2061" s="1" t="s">
        <v>3831</v>
      </c>
      <c r="D2061" s="1" t="s">
        <v>3865</v>
      </c>
      <c r="E2061" s="1" t="s">
        <v>4412</v>
      </c>
      <c r="F2061" s="1" t="s">
        <v>16</v>
      </c>
      <c r="G2061" s="1" t="s">
        <v>23</v>
      </c>
      <c r="H2061" s="1" t="s">
        <v>18</v>
      </c>
      <c r="I2061" s="1" t="s">
        <v>19</v>
      </c>
      <c r="J2061" s="1">
        <v>61.0</v>
      </c>
      <c r="K2061" s="1">
        <v>67.0</v>
      </c>
      <c r="L2061" s="1">
        <v>177.0</v>
      </c>
    </row>
    <row r="2062">
      <c r="A2062" s="1">
        <v>3571150.0</v>
      </c>
      <c r="B2062" s="1" t="s">
        <v>4413</v>
      </c>
      <c r="C2062" s="1" t="s">
        <v>3831</v>
      </c>
      <c r="D2062" s="1" t="s">
        <v>3930</v>
      </c>
      <c r="E2062" s="1" t="s">
        <v>4414</v>
      </c>
      <c r="F2062" s="1" t="s">
        <v>16</v>
      </c>
      <c r="G2062" s="1" t="s">
        <v>17</v>
      </c>
      <c r="H2062" s="1" t="s">
        <v>18</v>
      </c>
      <c r="I2062" s="1" t="s">
        <v>29</v>
      </c>
      <c r="J2062" s="1">
        <v>74.0</v>
      </c>
      <c r="K2062" s="1">
        <v>25.0</v>
      </c>
      <c r="L2062" s="1">
        <v>0.0</v>
      </c>
    </row>
    <row r="2063">
      <c r="A2063" s="1">
        <v>3509032.0</v>
      </c>
      <c r="B2063" s="1" t="s">
        <v>4415</v>
      </c>
      <c r="C2063" s="1" t="s">
        <v>3831</v>
      </c>
      <c r="D2063" s="1" t="s">
        <v>3890</v>
      </c>
      <c r="E2063" s="1" t="s">
        <v>4416</v>
      </c>
      <c r="F2063" s="1" t="s">
        <v>16</v>
      </c>
      <c r="G2063" s="1" t="s">
        <v>17</v>
      </c>
      <c r="H2063" s="1" t="s">
        <v>18</v>
      </c>
      <c r="I2063" s="1" t="s">
        <v>74</v>
      </c>
      <c r="J2063" s="1">
        <v>151.0</v>
      </c>
      <c r="K2063" s="1">
        <v>34.0</v>
      </c>
      <c r="L2063" s="1">
        <v>437.0</v>
      </c>
    </row>
    <row r="2064">
      <c r="A2064" s="1">
        <v>3578111.0</v>
      </c>
      <c r="B2064" s="1" t="s">
        <v>4417</v>
      </c>
      <c r="C2064" s="1" t="s">
        <v>3831</v>
      </c>
      <c r="D2064" s="1" t="s">
        <v>3847</v>
      </c>
      <c r="E2064" s="1" t="s">
        <v>4418</v>
      </c>
      <c r="F2064" s="1" t="s">
        <v>16</v>
      </c>
      <c r="G2064" s="1" t="s">
        <v>27</v>
      </c>
      <c r="H2064" s="1" t="s">
        <v>18</v>
      </c>
      <c r="I2064" s="1" t="s">
        <v>19</v>
      </c>
      <c r="J2064" s="1">
        <v>253.0</v>
      </c>
      <c r="K2064" s="1">
        <v>113.0</v>
      </c>
      <c r="L2064" s="1">
        <v>667.0</v>
      </c>
    </row>
    <row r="2065">
      <c r="A2065" s="1">
        <v>3505024.0</v>
      </c>
      <c r="B2065" s="1" t="s">
        <v>4419</v>
      </c>
      <c r="C2065" s="1" t="s">
        <v>3831</v>
      </c>
      <c r="D2065" s="1" t="s">
        <v>3859</v>
      </c>
      <c r="E2065" s="1" t="s">
        <v>4420</v>
      </c>
      <c r="F2065" s="1" t="s">
        <v>16</v>
      </c>
      <c r="G2065" s="1" t="s">
        <v>23</v>
      </c>
      <c r="H2065" s="1" t="s">
        <v>18</v>
      </c>
      <c r="I2065" s="1" t="s">
        <v>19</v>
      </c>
      <c r="J2065" s="1">
        <v>100.0</v>
      </c>
      <c r="K2065" s="1">
        <v>29.0</v>
      </c>
      <c r="L2065" s="1">
        <v>162.0</v>
      </c>
    </row>
    <row r="2066">
      <c r="A2066" s="1">
        <v>3578795.0</v>
      </c>
      <c r="B2066" s="1" t="s">
        <v>4421</v>
      </c>
      <c r="C2066" s="1" t="s">
        <v>3831</v>
      </c>
      <c r="D2066" s="1" t="s">
        <v>3847</v>
      </c>
      <c r="E2066" s="1" t="s">
        <v>4422</v>
      </c>
      <c r="F2066" s="1" t="s">
        <v>55</v>
      </c>
      <c r="G2066" s="1" t="s">
        <v>17</v>
      </c>
      <c r="H2066" s="1" t="s">
        <v>18</v>
      </c>
      <c r="I2066" s="1" t="s">
        <v>44</v>
      </c>
      <c r="J2066" s="1">
        <v>25.0</v>
      </c>
      <c r="K2066" s="1">
        <v>15.0</v>
      </c>
      <c r="L2066" s="1">
        <v>129.0</v>
      </c>
    </row>
    <row r="2067">
      <c r="A2067" s="1">
        <v>3508060.0</v>
      </c>
      <c r="B2067" s="1" t="s">
        <v>4423</v>
      </c>
      <c r="C2067" s="1" t="s">
        <v>3831</v>
      </c>
      <c r="D2067" s="1" t="s">
        <v>4135</v>
      </c>
      <c r="E2067" s="1" t="s">
        <v>4424</v>
      </c>
      <c r="F2067" s="1" t="s">
        <v>16</v>
      </c>
      <c r="G2067" s="1" t="s">
        <v>23</v>
      </c>
      <c r="H2067" s="1" t="s">
        <v>18</v>
      </c>
      <c r="I2067" s="1" t="s">
        <v>684</v>
      </c>
      <c r="J2067" s="1">
        <v>60.0</v>
      </c>
      <c r="K2067" s="1">
        <v>26.0</v>
      </c>
      <c r="L2067" s="1">
        <v>135.0</v>
      </c>
    </row>
    <row r="2068">
      <c r="A2068" s="1">
        <v>3571053.0</v>
      </c>
      <c r="B2068" s="1" t="s">
        <v>4425</v>
      </c>
      <c r="C2068" s="1" t="s">
        <v>3831</v>
      </c>
      <c r="D2068" s="1" t="s">
        <v>3930</v>
      </c>
      <c r="E2068" s="1" t="s">
        <v>4426</v>
      </c>
      <c r="F2068" s="1" t="s">
        <v>16</v>
      </c>
      <c r="G2068" s="1" t="s">
        <v>23</v>
      </c>
      <c r="H2068" s="1" t="s">
        <v>28</v>
      </c>
      <c r="I2068" s="1" t="s">
        <v>139</v>
      </c>
      <c r="J2068" s="1">
        <v>55.0</v>
      </c>
      <c r="K2068" s="1">
        <v>53.0</v>
      </c>
      <c r="L2068" s="1">
        <v>154.0</v>
      </c>
    </row>
    <row r="2069">
      <c r="A2069" s="1">
        <v>3520013.0</v>
      </c>
      <c r="B2069" s="1" t="s">
        <v>4427</v>
      </c>
      <c r="C2069" s="1" t="s">
        <v>3831</v>
      </c>
      <c r="D2069" s="1" t="s">
        <v>3878</v>
      </c>
      <c r="E2069" s="1" t="s">
        <v>4428</v>
      </c>
      <c r="F2069" s="1" t="s">
        <v>16</v>
      </c>
      <c r="G2069" s="1" t="s">
        <v>23</v>
      </c>
      <c r="H2069" s="1" t="s">
        <v>18</v>
      </c>
      <c r="I2069" s="1" t="s">
        <v>19</v>
      </c>
      <c r="J2069" s="1">
        <v>47.0</v>
      </c>
      <c r="K2069" s="1">
        <v>8.0</v>
      </c>
      <c r="L2069" s="1">
        <v>35.0</v>
      </c>
    </row>
    <row r="2070">
      <c r="A2070" s="1">
        <v>3517111.0</v>
      </c>
      <c r="B2070" s="1" t="s">
        <v>4429</v>
      </c>
      <c r="C2070" s="1" t="s">
        <v>3831</v>
      </c>
      <c r="D2070" s="1" t="s">
        <v>3956</v>
      </c>
      <c r="E2070" s="1" t="s">
        <v>4430</v>
      </c>
      <c r="F2070" s="1" t="s">
        <v>16</v>
      </c>
      <c r="G2070" s="1" t="s">
        <v>23</v>
      </c>
      <c r="H2070" s="1" t="s">
        <v>18</v>
      </c>
      <c r="I2070" s="1" t="s">
        <v>19</v>
      </c>
      <c r="J2070" s="1">
        <v>50.0</v>
      </c>
      <c r="K2070" s="1">
        <v>27.0</v>
      </c>
      <c r="L2070" s="1">
        <v>0.0</v>
      </c>
    </row>
    <row r="2071">
      <c r="A2071" s="1">
        <v>3513024.0</v>
      </c>
      <c r="B2071" s="1" t="s">
        <v>4431</v>
      </c>
      <c r="C2071" s="1" t="s">
        <v>3831</v>
      </c>
      <c r="D2071" s="1" t="s">
        <v>3853</v>
      </c>
      <c r="E2071" s="1" t="s">
        <v>4432</v>
      </c>
      <c r="F2071" s="1" t="s">
        <v>16</v>
      </c>
      <c r="G2071" s="1" t="s">
        <v>17</v>
      </c>
      <c r="H2071" s="1" t="s">
        <v>18</v>
      </c>
      <c r="I2071" s="1" t="s">
        <v>19</v>
      </c>
      <c r="J2071" s="1">
        <v>101.0</v>
      </c>
      <c r="K2071" s="1">
        <v>27.0</v>
      </c>
      <c r="L2071" s="1">
        <v>230.0</v>
      </c>
    </row>
    <row r="2072">
      <c r="A2072" s="1">
        <v>3578614.0</v>
      </c>
      <c r="B2072" s="1" t="s">
        <v>4433</v>
      </c>
      <c r="C2072" s="1" t="s">
        <v>3831</v>
      </c>
      <c r="D2072" s="1" t="s">
        <v>3847</v>
      </c>
      <c r="E2072" s="1" t="s">
        <v>4434</v>
      </c>
      <c r="F2072" s="1" t="s">
        <v>16</v>
      </c>
      <c r="G2072" s="1" t="s">
        <v>17</v>
      </c>
      <c r="H2072" s="1" t="s">
        <v>18</v>
      </c>
      <c r="I2072" s="1" t="s">
        <v>19</v>
      </c>
      <c r="J2072" s="1">
        <v>101.0</v>
      </c>
      <c r="K2072" s="1">
        <v>32.0</v>
      </c>
      <c r="L2072" s="1">
        <v>233.0</v>
      </c>
    </row>
    <row r="2073">
      <c r="A2073" s="1">
        <v>3573258.0</v>
      </c>
      <c r="B2073" s="1" t="s">
        <v>4435</v>
      </c>
      <c r="C2073" s="1" t="s">
        <v>3831</v>
      </c>
      <c r="D2073" s="1" t="s">
        <v>3938</v>
      </c>
      <c r="E2073" s="1" t="s">
        <v>4436</v>
      </c>
      <c r="F2073" s="1" t="s">
        <v>16</v>
      </c>
      <c r="G2073" s="1" t="s">
        <v>17</v>
      </c>
      <c r="H2073" s="1" t="s">
        <v>28</v>
      </c>
      <c r="I2073" s="1" t="s">
        <v>29</v>
      </c>
      <c r="J2073" s="1">
        <v>100.0</v>
      </c>
      <c r="K2073" s="1">
        <v>38.0</v>
      </c>
      <c r="L2073" s="1">
        <v>268.0</v>
      </c>
    </row>
    <row r="2074">
      <c r="A2074" s="1">
        <v>3516039.0</v>
      </c>
      <c r="B2074" s="1" t="s">
        <v>4437</v>
      </c>
      <c r="C2074" s="1" t="s">
        <v>3831</v>
      </c>
      <c r="D2074" s="1" t="s">
        <v>3909</v>
      </c>
      <c r="E2074" s="1" t="s">
        <v>4438</v>
      </c>
      <c r="F2074" s="1" t="s">
        <v>16</v>
      </c>
      <c r="G2074" s="1" t="s">
        <v>23</v>
      </c>
      <c r="H2074" s="1" t="s">
        <v>18</v>
      </c>
      <c r="I2074" s="1" t="s">
        <v>19</v>
      </c>
      <c r="J2074" s="1">
        <v>95.0</v>
      </c>
      <c r="K2074" s="1">
        <v>25.0</v>
      </c>
      <c r="L2074" s="1">
        <v>20.0</v>
      </c>
    </row>
    <row r="2075">
      <c r="A2075" s="1">
        <v>3515143.0</v>
      </c>
      <c r="B2075" s="1" t="s">
        <v>4439</v>
      </c>
      <c r="C2075" s="1" t="s">
        <v>3831</v>
      </c>
      <c r="D2075" s="1" t="s">
        <v>3870</v>
      </c>
      <c r="E2075" s="1" t="s">
        <v>4440</v>
      </c>
      <c r="F2075" s="1" t="s">
        <v>16</v>
      </c>
      <c r="G2075" s="1" t="s">
        <v>23</v>
      </c>
      <c r="H2075" s="1" t="s">
        <v>18</v>
      </c>
      <c r="I2075" s="1" t="s">
        <v>19</v>
      </c>
      <c r="J2075" s="1">
        <v>75.0</v>
      </c>
      <c r="K2075" s="1">
        <v>23.0</v>
      </c>
      <c r="L2075" s="1">
        <v>121.0</v>
      </c>
    </row>
    <row r="2076">
      <c r="A2076" s="1">
        <v>3573215.0</v>
      </c>
      <c r="B2076" s="1" t="s">
        <v>4441</v>
      </c>
      <c r="C2076" s="1" t="s">
        <v>3831</v>
      </c>
      <c r="D2076" s="1" t="s">
        <v>3938</v>
      </c>
      <c r="E2076" s="1" t="s">
        <v>4442</v>
      </c>
      <c r="F2076" s="1" t="s">
        <v>16</v>
      </c>
      <c r="G2076" s="1" t="s">
        <v>17</v>
      </c>
      <c r="H2076" s="1" t="s">
        <v>18</v>
      </c>
      <c r="I2076" s="1" t="s">
        <v>19</v>
      </c>
      <c r="J2076" s="1">
        <v>165.0</v>
      </c>
      <c r="K2076" s="1">
        <v>87.0</v>
      </c>
      <c r="L2076" s="1">
        <v>504.0</v>
      </c>
    </row>
    <row r="2077">
      <c r="A2077" s="1">
        <v>3508054.0</v>
      </c>
      <c r="B2077" s="1" t="s">
        <v>4443</v>
      </c>
      <c r="C2077" s="1" t="s">
        <v>3831</v>
      </c>
      <c r="D2077" s="1" t="s">
        <v>4135</v>
      </c>
      <c r="E2077" s="1" t="s">
        <v>4444</v>
      </c>
      <c r="F2077" s="1" t="s">
        <v>16</v>
      </c>
      <c r="G2077" s="1" t="s">
        <v>17</v>
      </c>
      <c r="H2077" s="1" t="s">
        <v>33</v>
      </c>
      <c r="I2077" s="1" t="s">
        <v>65</v>
      </c>
      <c r="J2077" s="1">
        <v>136.0</v>
      </c>
      <c r="K2077" s="1">
        <v>85.0</v>
      </c>
      <c r="L2077" s="1">
        <v>238.0</v>
      </c>
    </row>
    <row r="2078">
      <c r="A2078" s="1">
        <v>3524045.0</v>
      </c>
      <c r="B2078" s="1" t="s">
        <v>4445</v>
      </c>
      <c r="C2078" s="1" t="s">
        <v>3831</v>
      </c>
      <c r="D2078" s="1" t="s">
        <v>3856</v>
      </c>
      <c r="E2078" s="1" t="s">
        <v>4446</v>
      </c>
      <c r="F2078" s="1" t="s">
        <v>16</v>
      </c>
      <c r="G2078" s="1" t="s">
        <v>17</v>
      </c>
      <c r="H2078" s="1" t="s">
        <v>18</v>
      </c>
      <c r="I2078" s="1" t="s">
        <v>44</v>
      </c>
      <c r="J2078" s="1">
        <v>104.0</v>
      </c>
      <c r="K2078" s="1">
        <v>44.0</v>
      </c>
      <c r="L2078" s="1">
        <v>156.0</v>
      </c>
    </row>
    <row r="2079">
      <c r="A2079" s="1">
        <v>3527025.0</v>
      </c>
      <c r="B2079" s="1" t="s">
        <v>4447</v>
      </c>
      <c r="C2079" s="1" t="s">
        <v>3831</v>
      </c>
      <c r="D2079" s="1" t="s">
        <v>3925</v>
      </c>
      <c r="E2079" s="1" t="s">
        <v>4448</v>
      </c>
      <c r="F2079" s="1" t="s">
        <v>16</v>
      </c>
      <c r="G2079" s="1" t="s">
        <v>23</v>
      </c>
      <c r="H2079" s="1" t="s">
        <v>18</v>
      </c>
      <c r="I2079" s="1" t="s">
        <v>19</v>
      </c>
      <c r="J2079" s="1">
        <v>57.0</v>
      </c>
      <c r="K2079" s="1">
        <v>20.0</v>
      </c>
      <c r="L2079" s="1">
        <v>0.0</v>
      </c>
    </row>
    <row r="2080">
      <c r="A2080" s="1">
        <v>3518011.0</v>
      </c>
      <c r="B2080" s="1" t="s">
        <v>4449</v>
      </c>
      <c r="C2080" s="1" t="s">
        <v>3831</v>
      </c>
      <c r="D2080" s="1" t="s">
        <v>3835</v>
      </c>
      <c r="E2080" s="1" t="s">
        <v>4450</v>
      </c>
      <c r="F2080" s="1" t="s">
        <v>16</v>
      </c>
      <c r="G2080" s="1" t="s">
        <v>27</v>
      </c>
      <c r="H2080" s="1" t="s">
        <v>28</v>
      </c>
      <c r="I2080" s="1" t="s">
        <v>40</v>
      </c>
      <c r="J2080" s="1">
        <v>350.0</v>
      </c>
      <c r="K2080" s="1">
        <v>86.0</v>
      </c>
      <c r="L2080" s="1">
        <v>696.0</v>
      </c>
    </row>
    <row r="2081">
      <c r="A2081" s="1">
        <v>3504057.0</v>
      </c>
      <c r="B2081" s="1" t="s">
        <v>4451</v>
      </c>
      <c r="C2081" s="1" t="s">
        <v>3831</v>
      </c>
      <c r="D2081" s="1" t="s">
        <v>3850</v>
      </c>
      <c r="E2081" s="1" t="s">
        <v>4452</v>
      </c>
      <c r="F2081" s="1" t="s">
        <v>55</v>
      </c>
      <c r="G2081" s="1" t="s">
        <v>17</v>
      </c>
      <c r="H2081" s="1" t="s">
        <v>18</v>
      </c>
      <c r="I2081" s="1" t="s">
        <v>19</v>
      </c>
      <c r="J2081" s="1">
        <v>49.0</v>
      </c>
      <c r="K2081" s="1">
        <v>12.0</v>
      </c>
      <c r="L2081" s="1">
        <v>63.0</v>
      </c>
    </row>
    <row r="2082">
      <c r="A2082" s="1">
        <v>3516075.0</v>
      </c>
      <c r="B2082" s="1" t="s">
        <v>4453</v>
      </c>
      <c r="C2082" s="1" t="s">
        <v>3831</v>
      </c>
      <c r="D2082" s="1" t="s">
        <v>3909</v>
      </c>
      <c r="E2082" s="1" t="s">
        <v>4454</v>
      </c>
      <c r="F2082" s="1" t="s">
        <v>16</v>
      </c>
      <c r="G2082" s="1" t="s">
        <v>17</v>
      </c>
      <c r="H2082" s="1" t="s">
        <v>18</v>
      </c>
      <c r="I2082" s="1" t="s">
        <v>44</v>
      </c>
      <c r="J2082" s="1">
        <v>144.0</v>
      </c>
      <c r="K2082" s="1">
        <v>33.0</v>
      </c>
      <c r="L2082" s="1">
        <v>173.0</v>
      </c>
    </row>
    <row r="2083">
      <c r="A2083" s="1">
        <v>3505013.0</v>
      </c>
      <c r="B2083" s="1" t="s">
        <v>4455</v>
      </c>
      <c r="C2083" s="1" t="s">
        <v>3831</v>
      </c>
      <c r="D2083" s="1" t="s">
        <v>3859</v>
      </c>
      <c r="E2083" s="1" t="s">
        <v>4456</v>
      </c>
      <c r="F2083" s="1" t="s">
        <v>16</v>
      </c>
      <c r="G2083" s="1" t="s">
        <v>27</v>
      </c>
      <c r="H2083" s="1" t="s">
        <v>28</v>
      </c>
      <c r="I2083" s="1" t="s">
        <v>40</v>
      </c>
      <c r="J2083" s="1">
        <v>206.0</v>
      </c>
      <c r="K2083" s="1">
        <v>136.0</v>
      </c>
      <c r="L2083" s="1">
        <v>674.0</v>
      </c>
    </row>
    <row r="2084">
      <c r="A2084" s="1">
        <v>3577030.0</v>
      </c>
      <c r="B2084" s="1" t="s">
        <v>4457</v>
      </c>
      <c r="C2084" s="1" t="s">
        <v>3831</v>
      </c>
      <c r="D2084" s="1" t="s">
        <v>3906</v>
      </c>
      <c r="E2084" s="1" t="s">
        <v>4458</v>
      </c>
      <c r="F2084" s="1" t="s">
        <v>16</v>
      </c>
      <c r="G2084" s="1" t="s">
        <v>23</v>
      </c>
      <c r="H2084" s="1" t="s">
        <v>18</v>
      </c>
      <c r="I2084" s="1" t="s">
        <v>74</v>
      </c>
      <c r="J2084" s="1">
        <v>67.0</v>
      </c>
      <c r="K2084" s="1">
        <v>24.0</v>
      </c>
      <c r="L2084" s="1">
        <v>169.0</v>
      </c>
    </row>
    <row r="2085">
      <c r="A2085" s="1">
        <v>3518046.0</v>
      </c>
      <c r="B2085" s="1" t="s">
        <v>4459</v>
      </c>
      <c r="C2085" s="1" t="s">
        <v>3831</v>
      </c>
      <c r="D2085" s="1" t="s">
        <v>3835</v>
      </c>
      <c r="E2085" s="1" t="s">
        <v>4460</v>
      </c>
      <c r="F2085" s="1" t="s">
        <v>16</v>
      </c>
      <c r="G2085" s="1" t="s">
        <v>23</v>
      </c>
      <c r="H2085" s="1" t="s">
        <v>18</v>
      </c>
      <c r="I2085" s="1" t="s">
        <v>684</v>
      </c>
      <c r="J2085" s="1">
        <v>107.0</v>
      </c>
      <c r="K2085" s="1">
        <v>53.0</v>
      </c>
      <c r="L2085" s="1">
        <v>241.0</v>
      </c>
    </row>
    <row r="2086">
      <c r="A2086" s="1">
        <v>3504071.0</v>
      </c>
      <c r="B2086" s="1" t="s">
        <v>4461</v>
      </c>
      <c r="C2086" s="1" t="s">
        <v>3831</v>
      </c>
      <c r="D2086" s="1" t="s">
        <v>3850</v>
      </c>
      <c r="E2086" s="1" t="s">
        <v>4462</v>
      </c>
      <c r="F2086" s="1" t="s">
        <v>16</v>
      </c>
      <c r="G2086" s="1" t="s">
        <v>23</v>
      </c>
      <c r="H2086" s="1" t="s">
        <v>18</v>
      </c>
      <c r="I2086" s="1" t="s">
        <v>684</v>
      </c>
      <c r="J2086" s="1">
        <v>66.0</v>
      </c>
      <c r="K2086" s="1">
        <v>50.0</v>
      </c>
      <c r="L2086" s="1">
        <v>93.0</v>
      </c>
    </row>
    <row r="2087">
      <c r="A2087" s="1">
        <v>3578777.0</v>
      </c>
      <c r="B2087" s="1" t="s">
        <v>4463</v>
      </c>
      <c r="C2087" s="1" t="s">
        <v>3831</v>
      </c>
      <c r="D2087" s="1" t="s">
        <v>3847</v>
      </c>
      <c r="E2087" s="1" t="s">
        <v>4464</v>
      </c>
      <c r="F2087" s="1" t="s">
        <v>16</v>
      </c>
      <c r="G2087" s="1" t="s">
        <v>27</v>
      </c>
      <c r="H2087" s="1" t="s">
        <v>18</v>
      </c>
      <c r="I2087" s="1" t="s">
        <v>34</v>
      </c>
      <c r="J2087" s="1">
        <v>399.0</v>
      </c>
      <c r="K2087" s="1">
        <v>99.0</v>
      </c>
      <c r="L2087" s="1">
        <v>873.0</v>
      </c>
    </row>
    <row r="2088">
      <c r="A2088" s="1">
        <v>3573256.0</v>
      </c>
      <c r="B2088" s="1" t="s">
        <v>4465</v>
      </c>
      <c r="C2088" s="1" t="s">
        <v>3831</v>
      </c>
      <c r="D2088" s="1" t="s">
        <v>3862</v>
      </c>
      <c r="E2088" s="1" t="s">
        <v>4466</v>
      </c>
      <c r="F2088" s="1" t="s">
        <v>16</v>
      </c>
      <c r="G2088" s="1" t="s">
        <v>23</v>
      </c>
      <c r="H2088" s="1" t="s">
        <v>18</v>
      </c>
      <c r="I2088" s="1" t="s">
        <v>74</v>
      </c>
      <c r="J2088" s="1">
        <v>47.0</v>
      </c>
      <c r="K2088" s="1">
        <v>34.0</v>
      </c>
      <c r="L2088" s="1">
        <v>52.0</v>
      </c>
    </row>
    <row r="2089">
      <c r="A2089" s="1">
        <v>3578816.0</v>
      </c>
      <c r="B2089" s="1" t="s">
        <v>4467</v>
      </c>
      <c r="C2089" s="1" t="s">
        <v>3831</v>
      </c>
      <c r="D2089" s="1" t="s">
        <v>3847</v>
      </c>
      <c r="E2089" s="1" t="s">
        <v>4468</v>
      </c>
      <c r="F2089" s="1" t="s">
        <v>55</v>
      </c>
      <c r="G2089" s="1" t="s">
        <v>17</v>
      </c>
      <c r="H2089" s="1" t="s">
        <v>18</v>
      </c>
      <c r="I2089" s="1" t="s">
        <v>19</v>
      </c>
      <c r="J2089" s="1">
        <v>18.0</v>
      </c>
      <c r="K2089" s="1">
        <v>28.0</v>
      </c>
      <c r="L2089" s="1">
        <v>0.0</v>
      </c>
    </row>
    <row r="2090">
      <c r="A2090" s="1">
        <v>3524031.0</v>
      </c>
      <c r="B2090" s="1" t="s">
        <v>4469</v>
      </c>
      <c r="C2090" s="1" t="s">
        <v>3831</v>
      </c>
      <c r="D2090" s="1" t="s">
        <v>3856</v>
      </c>
      <c r="E2090" s="1" t="s">
        <v>4470</v>
      </c>
      <c r="F2090" s="1" t="s">
        <v>16</v>
      </c>
      <c r="G2090" s="1" t="s">
        <v>27</v>
      </c>
      <c r="H2090" s="1" t="s">
        <v>18</v>
      </c>
      <c r="I2090" s="1" t="s">
        <v>19</v>
      </c>
      <c r="J2090" s="1">
        <v>220.0</v>
      </c>
      <c r="K2090" s="1">
        <v>121.0</v>
      </c>
      <c r="L2090" s="1">
        <v>784.0</v>
      </c>
    </row>
    <row r="2091">
      <c r="A2091" s="1">
        <v>3517091.0</v>
      </c>
      <c r="B2091" s="1" t="s">
        <v>4471</v>
      </c>
      <c r="C2091" s="1" t="s">
        <v>3831</v>
      </c>
      <c r="D2091" s="1" t="s">
        <v>3956</v>
      </c>
      <c r="E2091" s="1" t="s">
        <v>4472</v>
      </c>
      <c r="F2091" s="1" t="s">
        <v>16</v>
      </c>
      <c r="G2091" s="1" t="s">
        <v>23</v>
      </c>
      <c r="H2091" s="1" t="s">
        <v>18</v>
      </c>
      <c r="I2091" s="1" t="s">
        <v>44</v>
      </c>
      <c r="J2091" s="1">
        <v>58.0</v>
      </c>
      <c r="K2091" s="1">
        <v>20.0</v>
      </c>
      <c r="L2091" s="1">
        <v>106.0</v>
      </c>
    </row>
    <row r="2092">
      <c r="A2092" s="1">
        <v>3525096.0</v>
      </c>
      <c r="B2092" s="1" t="s">
        <v>4473</v>
      </c>
      <c r="C2092" s="1" t="s">
        <v>3831</v>
      </c>
      <c r="D2092" s="1" t="s">
        <v>3865</v>
      </c>
      <c r="E2092" s="1" t="s">
        <v>4474</v>
      </c>
      <c r="F2092" s="1" t="s">
        <v>16</v>
      </c>
      <c r="G2092" s="1" t="s">
        <v>17</v>
      </c>
      <c r="H2092" s="1" t="s">
        <v>18</v>
      </c>
      <c r="I2092" s="1" t="s">
        <v>19</v>
      </c>
      <c r="J2092" s="1">
        <v>101.0</v>
      </c>
      <c r="K2092" s="1">
        <v>49.0</v>
      </c>
      <c r="L2092" s="1">
        <v>160.0</v>
      </c>
    </row>
    <row r="2093">
      <c r="A2093" s="1">
        <v>3575016.0</v>
      </c>
      <c r="B2093" s="1" t="s">
        <v>4475</v>
      </c>
      <c r="C2093" s="1" t="s">
        <v>3831</v>
      </c>
      <c r="D2093" s="1" t="s">
        <v>3875</v>
      </c>
      <c r="E2093" s="1" t="s">
        <v>4476</v>
      </c>
      <c r="F2093" s="1" t="s">
        <v>16</v>
      </c>
      <c r="G2093" s="1" t="s">
        <v>23</v>
      </c>
      <c r="H2093" s="1" t="s">
        <v>18</v>
      </c>
      <c r="I2093" s="1" t="s">
        <v>19</v>
      </c>
      <c r="J2093" s="1">
        <v>64.0</v>
      </c>
      <c r="K2093" s="1">
        <v>32.0</v>
      </c>
      <c r="L2093" s="1">
        <v>186.0</v>
      </c>
    </row>
    <row r="2094">
      <c r="A2094" s="1">
        <v>3524074.0</v>
      </c>
      <c r="B2094" s="1" t="s">
        <v>4477</v>
      </c>
      <c r="C2094" s="1" t="s">
        <v>3831</v>
      </c>
      <c r="D2094" s="1" t="s">
        <v>3856</v>
      </c>
      <c r="E2094" s="1" t="s">
        <v>4478</v>
      </c>
      <c r="F2094" s="1" t="s">
        <v>16</v>
      </c>
      <c r="G2094" s="1" t="s">
        <v>23</v>
      </c>
      <c r="H2094" s="1" t="s">
        <v>18</v>
      </c>
      <c r="I2094" s="1" t="s">
        <v>44</v>
      </c>
      <c r="J2094" s="1">
        <v>54.0</v>
      </c>
      <c r="K2094" s="1">
        <v>13.0</v>
      </c>
      <c r="L2094" s="1">
        <v>0.0</v>
      </c>
    </row>
    <row r="2095">
      <c r="A2095" s="1">
        <v>3528024.0</v>
      </c>
      <c r="B2095" s="1" t="s">
        <v>4479</v>
      </c>
      <c r="C2095" s="1" t="s">
        <v>3831</v>
      </c>
      <c r="D2095" s="1" t="s">
        <v>3841</v>
      </c>
      <c r="E2095" s="1" t="s">
        <v>4480</v>
      </c>
      <c r="F2095" s="1" t="s">
        <v>16</v>
      </c>
      <c r="G2095" s="1" t="s">
        <v>23</v>
      </c>
      <c r="H2095" s="1" t="s">
        <v>18</v>
      </c>
      <c r="I2095" s="1" t="s">
        <v>19</v>
      </c>
      <c r="J2095" s="1">
        <v>67.0</v>
      </c>
      <c r="K2095" s="1">
        <v>64.0</v>
      </c>
      <c r="L2095" s="1">
        <v>147.0</v>
      </c>
    </row>
    <row r="2096">
      <c r="A2096" s="1">
        <v>3504073.0</v>
      </c>
      <c r="B2096" s="1" t="s">
        <v>4481</v>
      </c>
      <c r="C2096" s="1" t="s">
        <v>3831</v>
      </c>
      <c r="D2096" s="1" t="s">
        <v>3850</v>
      </c>
      <c r="E2096" s="1" t="s">
        <v>4482</v>
      </c>
      <c r="F2096" s="1" t="s">
        <v>16</v>
      </c>
      <c r="G2096" s="1" t="s">
        <v>17</v>
      </c>
      <c r="H2096" s="1" t="s">
        <v>18</v>
      </c>
      <c r="I2096" s="1" t="s">
        <v>19</v>
      </c>
      <c r="J2096" s="1">
        <v>98.0</v>
      </c>
      <c r="K2096" s="1">
        <v>33.0</v>
      </c>
      <c r="L2096" s="1">
        <v>173.0</v>
      </c>
    </row>
    <row r="2097">
      <c r="A2097" s="1">
        <v>3509137.0</v>
      </c>
      <c r="B2097" s="1" t="s">
        <v>4483</v>
      </c>
      <c r="C2097" s="1" t="s">
        <v>3831</v>
      </c>
      <c r="D2097" s="1" t="s">
        <v>3890</v>
      </c>
      <c r="E2097" s="1" t="s">
        <v>4484</v>
      </c>
      <c r="F2097" s="1" t="s">
        <v>16</v>
      </c>
      <c r="G2097" s="1" t="s">
        <v>17</v>
      </c>
      <c r="H2097" s="1" t="s">
        <v>18</v>
      </c>
      <c r="I2097" s="1" t="s">
        <v>59</v>
      </c>
      <c r="J2097" s="1">
        <v>100.0</v>
      </c>
      <c r="K2097" s="1">
        <v>16.0</v>
      </c>
      <c r="L2097" s="1">
        <v>155.0</v>
      </c>
    </row>
    <row r="2098">
      <c r="A2098" s="1">
        <v>3510054.0</v>
      </c>
      <c r="B2098" s="1" t="s">
        <v>4485</v>
      </c>
      <c r="C2098" s="1" t="s">
        <v>3831</v>
      </c>
      <c r="D2098" s="1" t="s">
        <v>3844</v>
      </c>
      <c r="E2098" s="1" t="s">
        <v>4486</v>
      </c>
      <c r="F2098" s="1" t="s">
        <v>16</v>
      </c>
      <c r="G2098" s="1" t="s">
        <v>17</v>
      </c>
      <c r="H2098" s="1" t="s">
        <v>18</v>
      </c>
      <c r="I2098" s="1" t="s">
        <v>19</v>
      </c>
      <c r="J2098" s="1">
        <v>103.0</v>
      </c>
      <c r="K2098" s="1">
        <v>31.0</v>
      </c>
      <c r="L2098" s="1">
        <v>149.0</v>
      </c>
    </row>
    <row r="2099">
      <c r="A2099" s="1">
        <v>3578523.0</v>
      </c>
      <c r="B2099" s="1" t="s">
        <v>4487</v>
      </c>
      <c r="C2099" s="1" t="s">
        <v>3831</v>
      </c>
      <c r="D2099" s="1" t="s">
        <v>3847</v>
      </c>
      <c r="E2099" s="1" t="s">
        <v>4488</v>
      </c>
      <c r="F2099" s="1" t="s">
        <v>16</v>
      </c>
      <c r="G2099" s="1" t="s">
        <v>27</v>
      </c>
      <c r="H2099" s="1" t="s">
        <v>28</v>
      </c>
      <c r="I2099" s="1" t="s">
        <v>139</v>
      </c>
      <c r="J2099" s="1">
        <v>301.0</v>
      </c>
      <c r="K2099" s="1">
        <v>63.0</v>
      </c>
      <c r="L2099" s="1">
        <v>1176.0</v>
      </c>
    </row>
    <row r="2100">
      <c r="A2100" s="1">
        <v>3573044.0</v>
      </c>
      <c r="B2100" s="1" t="s">
        <v>4489</v>
      </c>
      <c r="C2100" s="1" t="s">
        <v>3831</v>
      </c>
      <c r="D2100" s="1" t="s">
        <v>3938</v>
      </c>
      <c r="E2100" s="1" t="s">
        <v>4490</v>
      </c>
      <c r="F2100" s="1" t="s">
        <v>16</v>
      </c>
      <c r="G2100" s="1" t="s">
        <v>27</v>
      </c>
      <c r="H2100" s="1" t="s">
        <v>18</v>
      </c>
      <c r="I2100" s="1" t="s">
        <v>19</v>
      </c>
      <c r="J2100" s="1">
        <v>200.0</v>
      </c>
      <c r="K2100" s="1">
        <v>63.0</v>
      </c>
      <c r="L2100" s="1">
        <v>763.0</v>
      </c>
    </row>
    <row r="2101">
      <c r="A2101" s="1">
        <v>3578780.0</v>
      </c>
      <c r="B2101" s="1" t="s">
        <v>4491</v>
      </c>
      <c r="C2101" s="1" t="s">
        <v>3831</v>
      </c>
      <c r="D2101" s="1" t="s">
        <v>3847</v>
      </c>
      <c r="E2101" s="1" t="s">
        <v>4492</v>
      </c>
      <c r="F2101" s="1" t="s">
        <v>1970</v>
      </c>
      <c r="G2101" s="1" t="s">
        <v>17</v>
      </c>
      <c r="H2101" s="1" t="s">
        <v>18</v>
      </c>
      <c r="I2101" s="1" t="s">
        <v>44</v>
      </c>
      <c r="J2101" s="1">
        <v>36.0</v>
      </c>
      <c r="K2101" s="1">
        <v>63.0</v>
      </c>
      <c r="L2101" s="1">
        <v>194.0</v>
      </c>
    </row>
    <row r="2102">
      <c r="A2102" s="1">
        <v>3516016.0</v>
      </c>
      <c r="B2102" s="1" t="s">
        <v>4493</v>
      </c>
      <c r="C2102" s="1" t="s">
        <v>3831</v>
      </c>
      <c r="D2102" s="1" t="s">
        <v>3909</v>
      </c>
      <c r="E2102" s="1" t="s">
        <v>4494</v>
      </c>
      <c r="F2102" s="1" t="s">
        <v>16</v>
      </c>
      <c r="G2102" s="1" t="s">
        <v>17</v>
      </c>
      <c r="H2102" s="1" t="s">
        <v>28</v>
      </c>
      <c r="I2102" s="1" t="s">
        <v>139</v>
      </c>
      <c r="J2102" s="1">
        <v>131.0</v>
      </c>
      <c r="K2102" s="1">
        <v>102.0</v>
      </c>
      <c r="L2102" s="1">
        <v>328.0</v>
      </c>
    </row>
    <row r="2103">
      <c r="A2103" s="1">
        <v>3578773.0</v>
      </c>
      <c r="B2103" s="1" t="s">
        <v>4495</v>
      </c>
      <c r="C2103" s="1" t="s">
        <v>3831</v>
      </c>
      <c r="D2103" s="1" t="s">
        <v>3847</v>
      </c>
      <c r="E2103" s="1" t="s">
        <v>4496</v>
      </c>
      <c r="F2103" s="1" t="s">
        <v>55</v>
      </c>
      <c r="G2103" s="1" t="s">
        <v>17</v>
      </c>
      <c r="H2103" s="1" t="s">
        <v>18</v>
      </c>
      <c r="I2103" s="1" t="s">
        <v>74</v>
      </c>
      <c r="J2103" s="1">
        <v>64.0</v>
      </c>
      <c r="K2103" s="1">
        <v>19.0</v>
      </c>
      <c r="L2103" s="1">
        <v>66.0</v>
      </c>
    </row>
    <row r="2104">
      <c r="A2104" s="1">
        <v>3502123.0</v>
      </c>
      <c r="B2104" s="1" t="s">
        <v>4497</v>
      </c>
      <c r="C2104" s="1" t="s">
        <v>3831</v>
      </c>
      <c r="D2104" s="1" t="s">
        <v>4013</v>
      </c>
      <c r="E2104" s="1" t="s">
        <v>4498</v>
      </c>
      <c r="F2104" s="1" t="s">
        <v>16</v>
      </c>
      <c r="G2104" s="1" t="s">
        <v>17</v>
      </c>
      <c r="H2104" s="1" t="s">
        <v>18</v>
      </c>
      <c r="I2104" s="1" t="s">
        <v>19</v>
      </c>
      <c r="J2104" s="1">
        <v>172.0</v>
      </c>
      <c r="K2104" s="1">
        <v>70.0</v>
      </c>
      <c r="L2104" s="1">
        <v>313.0</v>
      </c>
    </row>
    <row r="2105">
      <c r="A2105" s="1">
        <v>3576036.0</v>
      </c>
      <c r="B2105" s="1" t="s">
        <v>4499</v>
      </c>
      <c r="C2105" s="1" t="s">
        <v>3831</v>
      </c>
      <c r="D2105" s="1" t="s">
        <v>4020</v>
      </c>
      <c r="E2105" s="1" t="s">
        <v>4500</v>
      </c>
      <c r="F2105" s="1" t="s">
        <v>16</v>
      </c>
      <c r="G2105" s="1" t="s">
        <v>17</v>
      </c>
      <c r="H2105" s="1" t="s">
        <v>18</v>
      </c>
      <c r="I2105" s="1" t="s">
        <v>19</v>
      </c>
      <c r="J2105" s="1">
        <v>125.0</v>
      </c>
      <c r="K2105" s="1">
        <v>37.0</v>
      </c>
      <c r="L2105" s="1">
        <v>393.0</v>
      </c>
    </row>
    <row r="2106">
      <c r="A2106" s="1">
        <v>3504068.0</v>
      </c>
      <c r="B2106" s="1" t="s">
        <v>4501</v>
      </c>
      <c r="C2106" s="1" t="s">
        <v>3831</v>
      </c>
      <c r="D2106" s="1" t="s">
        <v>3850</v>
      </c>
      <c r="E2106" s="1" t="s">
        <v>4502</v>
      </c>
      <c r="F2106" s="1" t="s">
        <v>16</v>
      </c>
      <c r="G2106" s="1" t="s">
        <v>17</v>
      </c>
      <c r="H2106" s="1" t="s">
        <v>33</v>
      </c>
      <c r="I2106" s="1" t="s">
        <v>65</v>
      </c>
      <c r="J2106" s="1">
        <v>114.0</v>
      </c>
      <c r="K2106" s="1">
        <v>43.0</v>
      </c>
      <c r="L2106" s="1">
        <v>332.0</v>
      </c>
    </row>
    <row r="2107">
      <c r="A2107" s="1">
        <v>3515135.0</v>
      </c>
      <c r="B2107" s="1" t="s">
        <v>4503</v>
      </c>
      <c r="C2107" s="1" t="s">
        <v>3831</v>
      </c>
      <c r="D2107" s="1" t="s">
        <v>3870</v>
      </c>
      <c r="E2107" s="1" t="s">
        <v>4504</v>
      </c>
      <c r="F2107" s="1" t="s">
        <v>16</v>
      </c>
      <c r="G2107" s="1" t="s">
        <v>23</v>
      </c>
      <c r="H2107" s="1" t="s">
        <v>18</v>
      </c>
      <c r="I2107" s="1" t="s">
        <v>74</v>
      </c>
      <c r="J2107" s="1">
        <v>50.0</v>
      </c>
      <c r="K2107" s="1">
        <v>34.0</v>
      </c>
      <c r="L2107" s="1">
        <v>70.0</v>
      </c>
    </row>
    <row r="2108">
      <c r="A2108" s="1">
        <v>3525093.0</v>
      </c>
      <c r="B2108" s="1" t="s">
        <v>4505</v>
      </c>
      <c r="C2108" s="1" t="s">
        <v>3831</v>
      </c>
      <c r="D2108" s="1" t="s">
        <v>3865</v>
      </c>
      <c r="E2108" s="1" t="s">
        <v>4506</v>
      </c>
      <c r="F2108" s="1" t="s">
        <v>16</v>
      </c>
      <c r="G2108" s="1" t="s">
        <v>17</v>
      </c>
      <c r="H2108" s="1" t="s">
        <v>18</v>
      </c>
      <c r="I2108" s="1" t="s">
        <v>44</v>
      </c>
      <c r="J2108" s="1">
        <v>104.0</v>
      </c>
      <c r="K2108" s="1">
        <v>61.0</v>
      </c>
      <c r="L2108" s="1">
        <v>316.0</v>
      </c>
    </row>
    <row r="2109">
      <c r="A2109" s="1">
        <v>3514058.0</v>
      </c>
      <c r="B2109" s="1" t="s">
        <v>4507</v>
      </c>
      <c r="C2109" s="1" t="s">
        <v>3831</v>
      </c>
      <c r="D2109" s="1" t="s">
        <v>3875</v>
      </c>
      <c r="E2109" s="1" t="s">
        <v>4508</v>
      </c>
      <c r="F2109" s="1" t="s">
        <v>16</v>
      </c>
      <c r="G2109" s="1" t="s">
        <v>17</v>
      </c>
      <c r="H2109" s="1" t="s">
        <v>28</v>
      </c>
      <c r="I2109" s="1" t="s">
        <v>40</v>
      </c>
      <c r="J2109" s="1">
        <v>183.0</v>
      </c>
      <c r="K2109" s="1">
        <v>90.0</v>
      </c>
      <c r="L2109" s="1">
        <v>320.0</v>
      </c>
    </row>
    <row r="2110">
      <c r="A2110" s="1">
        <v>3522047.0</v>
      </c>
      <c r="B2110" s="1" t="s">
        <v>4509</v>
      </c>
      <c r="C2110" s="1" t="s">
        <v>3831</v>
      </c>
      <c r="D2110" s="1" t="s">
        <v>3897</v>
      </c>
      <c r="E2110" s="1" t="s">
        <v>4510</v>
      </c>
      <c r="F2110" s="1" t="s">
        <v>16</v>
      </c>
      <c r="G2110" s="1" t="s">
        <v>17</v>
      </c>
      <c r="H2110" s="1" t="s">
        <v>28</v>
      </c>
      <c r="I2110" s="1" t="s">
        <v>40</v>
      </c>
      <c r="J2110" s="1">
        <v>103.0</v>
      </c>
      <c r="K2110" s="1">
        <v>31.0</v>
      </c>
      <c r="L2110" s="1">
        <v>104.0</v>
      </c>
    </row>
    <row r="2111">
      <c r="A2111" s="1">
        <v>3571146.0</v>
      </c>
      <c r="B2111" s="1" t="s">
        <v>4511</v>
      </c>
      <c r="C2111" s="1" t="s">
        <v>3831</v>
      </c>
      <c r="D2111" s="1" t="s">
        <v>3930</v>
      </c>
      <c r="E2111" s="1" t="s">
        <v>4512</v>
      </c>
      <c r="F2111" s="1" t="s">
        <v>16</v>
      </c>
      <c r="G2111" s="1" t="s">
        <v>23</v>
      </c>
      <c r="H2111" s="1" t="s">
        <v>18</v>
      </c>
      <c r="I2111" s="1" t="s">
        <v>19</v>
      </c>
      <c r="J2111" s="1">
        <v>101.0</v>
      </c>
      <c r="K2111" s="1">
        <v>55.0</v>
      </c>
      <c r="L2111" s="1">
        <v>96.0</v>
      </c>
    </row>
    <row r="2112">
      <c r="A2112" s="1">
        <v>3517089.0</v>
      </c>
      <c r="B2112" s="1" t="s">
        <v>4513</v>
      </c>
      <c r="C2112" s="1" t="s">
        <v>3831</v>
      </c>
      <c r="D2112" s="1" t="s">
        <v>3956</v>
      </c>
      <c r="E2112" s="1" t="s">
        <v>4514</v>
      </c>
      <c r="F2112" s="1" t="s">
        <v>16</v>
      </c>
      <c r="G2112" s="1" t="s">
        <v>23</v>
      </c>
      <c r="H2112" s="1" t="s">
        <v>28</v>
      </c>
      <c r="I2112" s="1" t="s">
        <v>40</v>
      </c>
      <c r="J2112" s="1">
        <v>126.0</v>
      </c>
      <c r="K2112" s="1">
        <v>32.0</v>
      </c>
      <c r="L2112" s="1">
        <v>265.0</v>
      </c>
    </row>
    <row r="2113">
      <c r="A2113" s="1">
        <v>3520015.0</v>
      </c>
      <c r="B2113" s="1" t="s">
        <v>4515</v>
      </c>
      <c r="C2113" s="1" t="s">
        <v>3831</v>
      </c>
      <c r="D2113" s="1" t="s">
        <v>3878</v>
      </c>
      <c r="E2113" s="1" t="s">
        <v>4516</v>
      </c>
      <c r="F2113" s="1" t="s">
        <v>55</v>
      </c>
      <c r="G2113" s="1" t="s">
        <v>17</v>
      </c>
      <c r="H2113" s="1" t="s">
        <v>18</v>
      </c>
      <c r="I2113" s="1" t="s">
        <v>19</v>
      </c>
      <c r="J2113" s="1">
        <v>28.0</v>
      </c>
      <c r="K2113" s="1">
        <v>16.0</v>
      </c>
      <c r="L2113" s="1">
        <v>87.0</v>
      </c>
    </row>
    <row r="2114">
      <c r="A2114" s="1">
        <v>3577098.0</v>
      </c>
      <c r="B2114" s="1" t="s">
        <v>4517</v>
      </c>
      <c r="C2114" s="1" t="s">
        <v>3831</v>
      </c>
      <c r="D2114" s="1" t="s">
        <v>3906</v>
      </c>
      <c r="E2114" s="1" t="s">
        <v>4518</v>
      </c>
      <c r="F2114" s="1" t="s">
        <v>16</v>
      </c>
      <c r="G2114" s="1" t="s">
        <v>17</v>
      </c>
      <c r="H2114" s="1" t="s">
        <v>18</v>
      </c>
      <c r="I2114" s="1" t="s">
        <v>19</v>
      </c>
      <c r="J2114" s="1">
        <v>128.0</v>
      </c>
      <c r="K2114" s="1">
        <v>37.0</v>
      </c>
      <c r="L2114" s="1">
        <v>0.0</v>
      </c>
    </row>
    <row r="2115">
      <c r="A2115" s="1">
        <v>3579030.0</v>
      </c>
      <c r="B2115" s="1" t="s">
        <v>4519</v>
      </c>
      <c r="C2115" s="1" t="s">
        <v>3831</v>
      </c>
      <c r="D2115" s="1" t="s">
        <v>3922</v>
      </c>
      <c r="E2115" s="1" t="s">
        <v>4520</v>
      </c>
      <c r="F2115" s="1" t="s">
        <v>16</v>
      </c>
      <c r="G2115" s="1" t="s">
        <v>27</v>
      </c>
      <c r="H2115" s="1" t="s">
        <v>28</v>
      </c>
      <c r="I2115" s="1" t="s">
        <v>139</v>
      </c>
      <c r="J2115" s="1">
        <v>250.0</v>
      </c>
      <c r="K2115" s="1">
        <v>74.0</v>
      </c>
      <c r="L2115" s="1">
        <v>523.0</v>
      </c>
    </row>
    <row r="2116">
      <c r="A2116" s="1">
        <v>3578031.0</v>
      </c>
      <c r="B2116" s="1" t="s">
        <v>4521</v>
      </c>
      <c r="C2116" s="1" t="s">
        <v>3831</v>
      </c>
      <c r="D2116" s="1" t="s">
        <v>3847</v>
      </c>
      <c r="E2116" s="1" t="s">
        <v>4522</v>
      </c>
      <c r="F2116" s="1" t="s">
        <v>16</v>
      </c>
      <c r="G2116" s="1" t="s">
        <v>17</v>
      </c>
      <c r="H2116" s="1" t="s">
        <v>18</v>
      </c>
      <c r="I2116" s="1" t="s">
        <v>258</v>
      </c>
      <c r="J2116" s="1">
        <v>100.0</v>
      </c>
      <c r="K2116" s="1">
        <v>77.0</v>
      </c>
      <c r="L2116" s="1">
        <v>316.0</v>
      </c>
    </row>
    <row r="2117">
      <c r="A2117" s="1">
        <v>3573254.0</v>
      </c>
      <c r="B2117" s="1" t="s">
        <v>4523</v>
      </c>
      <c r="C2117" s="1" t="s">
        <v>3831</v>
      </c>
      <c r="D2117" s="1" t="s">
        <v>3938</v>
      </c>
      <c r="E2117" s="1" t="s">
        <v>4524</v>
      </c>
      <c r="F2117" s="1" t="s">
        <v>55</v>
      </c>
      <c r="G2117" s="1" t="s">
        <v>17</v>
      </c>
      <c r="H2117" s="1" t="s">
        <v>18</v>
      </c>
      <c r="I2117" s="1" t="s">
        <v>19</v>
      </c>
      <c r="J2117" s="1">
        <v>62.0</v>
      </c>
      <c r="K2117" s="1">
        <v>22.0</v>
      </c>
      <c r="L2117" s="1">
        <v>66.0</v>
      </c>
    </row>
    <row r="2118">
      <c r="A2118" s="1">
        <v>3514060.0</v>
      </c>
      <c r="B2118" s="1" t="s">
        <v>4525</v>
      </c>
      <c r="C2118" s="1" t="s">
        <v>3831</v>
      </c>
      <c r="D2118" s="1" t="s">
        <v>3875</v>
      </c>
      <c r="E2118" s="1" t="s">
        <v>4526</v>
      </c>
      <c r="F2118" s="1" t="s">
        <v>272</v>
      </c>
      <c r="G2118" s="1" t="s">
        <v>17</v>
      </c>
      <c r="H2118" s="1" t="s">
        <v>18</v>
      </c>
      <c r="I2118" s="1" t="s">
        <v>19</v>
      </c>
      <c r="J2118" s="1">
        <v>23.0</v>
      </c>
      <c r="K2118" s="1">
        <v>11.0</v>
      </c>
      <c r="L2118" s="1">
        <v>23.0</v>
      </c>
    </row>
    <row r="2119">
      <c r="A2119" s="1">
        <v>3509101.0</v>
      </c>
      <c r="B2119" s="1" t="s">
        <v>4527</v>
      </c>
      <c r="C2119" s="1" t="s">
        <v>3831</v>
      </c>
      <c r="D2119" s="1" t="s">
        <v>3890</v>
      </c>
      <c r="E2119" s="1" t="s">
        <v>4528</v>
      </c>
      <c r="F2119" s="1" t="s">
        <v>16</v>
      </c>
      <c r="G2119" s="1" t="s">
        <v>23</v>
      </c>
      <c r="H2119" s="1" t="s">
        <v>18</v>
      </c>
      <c r="I2119" s="1" t="s">
        <v>19</v>
      </c>
      <c r="J2119" s="1">
        <v>50.0</v>
      </c>
      <c r="K2119" s="1">
        <v>17.0</v>
      </c>
      <c r="L2119" s="1">
        <v>58.0</v>
      </c>
    </row>
    <row r="2120">
      <c r="A2120" s="1">
        <v>3578144.0</v>
      </c>
      <c r="B2120" s="1" t="s">
        <v>4529</v>
      </c>
      <c r="C2120" s="1" t="s">
        <v>3831</v>
      </c>
      <c r="D2120" s="1" t="s">
        <v>3847</v>
      </c>
      <c r="E2120" s="1" t="s">
        <v>4530</v>
      </c>
      <c r="F2120" s="1" t="s">
        <v>16</v>
      </c>
      <c r="G2120" s="1" t="s">
        <v>17</v>
      </c>
      <c r="H2120" s="1" t="s">
        <v>18</v>
      </c>
      <c r="I2120" s="1" t="s">
        <v>95</v>
      </c>
      <c r="J2120" s="1">
        <v>114.0</v>
      </c>
      <c r="K2120" s="1">
        <v>36.0</v>
      </c>
      <c r="L2120" s="1">
        <v>184.0</v>
      </c>
    </row>
    <row r="2121">
      <c r="A2121" s="1">
        <v>3508056.0</v>
      </c>
      <c r="B2121" s="1" t="s">
        <v>4531</v>
      </c>
      <c r="C2121" s="1" t="s">
        <v>3831</v>
      </c>
      <c r="D2121" s="1" t="s">
        <v>4135</v>
      </c>
      <c r="E2121" s="1" t="s">
        <v>4532</v>
      </c>
      <c r="F2121" s="1" t="s">
        <v>16</v>
      </c>
      <c r="G2121" s="1" t="s">
        <v>17</v>
      </c>
      <c r="H2121" s="1" t="s">
        <v>18</v>
      </c>
      <c r="I2121" s="1" t="s">
        <v>19</v>
      </c>
      <c r="J2121" s="1">
        <v>102.0</v>
      </c>
      <c r="K2121" s="1">
        <v>30.0</v>
      </c>
      <c r="L2121" s="1">
        <v>247.0</v>
      </c>
    </row>
    <row r="2122">
      <c r="A2122" s="1">
        <v>3578782.0</v>
      </c>
      <c r="B2122" s="1" t="s">
        <v>4533</v>
      </c>
      <c r="C2122" s="1" t="s">
        <v>3831</v>
      </c>
      <c r="D2122" s="1" t="s">
        <v>3847</v>
      </c>
      <c r="E2122" s="1" t="s">
        <v>4534</v>
      </c>
      <c r="F2122" s="1" t="s">
        <v>16</v>
      </c>
      <c r="G2122" s="1" t="s">
        <v>23</v>
      </c>
      <c r="H2122" s="1" t="s">
        <v>18</v>
      </c>
      <c r="I2122" s="1" t="s">
        <v>59</v>
      </c>
      <c r="J2122" s="1">
        <v>52.0</v>
      </c>
      <c r="K2122" s="1">
        <v>14.0</v>
      </c>
      <c r="L2122" s="1">
        <v>82.0</v>
      </c>
    </row>
    <row r="2123">
      <c r="A2123" s="1">
        <v>3509151.0</v>
      </c>
      <c r="B2123" s="1" t="s">
        <v>4535</v>
      </c>
      <c r="C2123" s="1" t="s">
        <v>3831</v>
      </c>
      <c r="D2123" s="1" t="s">
        <v>3890</v>
      </c>
      <c r="E2123" s="1" t="s">
        <v>4536</v>
      </c>
      <c r="F2123" s="1" t="s">
        <v>16</v>
      </c>
      <c r="G2123" s="1" t="s">
        <v>17</v>
      </c>
      <c r="H2123" s="1" t="s">
        <v>18</v>
      </c>
      <c r="I2123" s="1" t="s">
        <v>19</v>
      </c>
      <c r="J2123" s="1">
        <v>101.0</v>
      </c>
      <c r="K2123" s="1">
        <v>27.0</v>
      </c>
      <c r="L2123" s="1">
        <v>0.0</v>
      </c>
    </row>
    <row r="2124">
      <c r="A2124" s="1">
        <v>3571122.0</v>
      </c>
      <c r="B2124" s="1" t="s">
        <v>4537</v>
      </c>
      <c r="C2124" s="1" t="s">
        <v>3831</v>
      </c>
      <c r="D2124" s="1" t="s">
        <v>3930</v>
      </c>
      <c r="E2124" s="1" t="s">
        <v>4538</v>
      </c>
      <c r="F2124" s="1" t="s">
        <v>16</v>
      </c>
      <c r="G2124" s="1" t="s">
        <v>17</v>
      </c>
      <c r="H2124" s="1" t="s">
        <v>18</v>
      </c>
      <c r="I2124" s="1" t="s">
        <v>684</v>
      </c>
      <c r="J2124" s="1">
        <v>218.0</v>
      </c>
      <c r="K2124" s="1">
        <v>62.0</v>
      </c>
      <c r="L2124" s="1">
        <v>312.0</v>
      </c>
    </row>
    <row r="2125">
      <c r="A2125" s="1">
        <v>3512035.0</v>
      </c>
      <c r="B2125" s="1" t="s">
        <v>4539</v>
      </c>
      <c r="C2125" s="1" t="s">
        <v>3831</v>
      </c>
      <c r="D2125" s="1" t="s">
        <v>3856</v>
      </c>
      <c r="E2125" s="1" t="s">
        <v>4540</v>
      </c>
      <c r="F2125" s="1" t="s">
        <v>16</v>
      </c>
      <c r="G2125" s="1" t="s">
        <v>17</v>
      </c>
      <c r="H2125" s="1" t="s">
        <v>18</v>
      </c>
      <c r="I2125" s="1" t="s">
        <v>19</v>
      </c>
      <c r="J2125" s="1">
        <v>106.0</v>
      </c>
      <c r="K2125" s="1">
        <v>26.0</v>
      </c>
      <c r="L2125" s="1">
        <v>165.0</v>
      </c>
    </row>
    <row r="2126">
      <c r="A2126" s="1">
        <v>3506063.0</v>
      </c>
      <c r="B2126" s="1" t="s">
        <v>4541</v>
      </c>
      <c r="C2126" s="1" t="s">
        <v>3831</v>
      </c>
      <c r="D2126" s="1" t="s">
        <v>3894</v>
      </c>
      <c r="E2126" s="1" t="s">
        <v>4542</v>
      </c>
      <c r="F2126" s="1" t="s">
        <v>16</v>
      </c>
      <c r="G2126" s="1" t="s">
        <v>23</v>
      </c>
      <c r="H2126" s="1" t="s">
        <v>18</v>
      </c>
      <c r="I2126" s="1" t="s">
        <v>19</v>
      </c>
      <c r="J2126" s="1">
        <v>106.0</v>
      </c>
      <c r="K2126" s="1">
        <v>31.0</v>
      </c>
      <c r="L2126" s="1">
        <v>83.0</v>
      </c>
    </row>
    <row r="2127">
      <c r="A2127" s="1">
        <v>3578808.0</v>
      </c>
      <c r="B2127" s="1" t="s">
        <v>4543</v>
      </c>
      <c r="C2127" s="1" t="s">
        <v>3831</v>
      </c>
      <c r="D2127" s="1" t="s">
        <v>3847</v>
      </c>
      <c r="E2127" s="1" t="s">
        <v>4544</v>
      </c>
      <c r="F2127" s="1" t="s">
        <v>16</v>
      </c>
      <c r="G2127" s="1" t="s">
        <v>17</v>
      </c>
      <c r="H2127" s="1" t="s">
        <v>18</v>
      </c>
      <c r="I2127" s="1" t="s">
        <v>19</v>
      </c>
      <c r="J2127" s="1">
        <v>106.0</v>
      </c>
      <c r="K2127" s="1">
        <v>91.0</v>
      </c>
      <c r="L2127" s="1">
        <v>0.0</v>
      </c>
    </row>
    <row r="2128">
      <c r="A2128" s="1">
        <v>3514036.0</v>
      </c>
      <c r="B2128" s="1" t="s">
        <v>4545</v>
      </c>
      <c r="C2128" s="1" t="s">
        <v>3831</v>
      </c>
      <c r="D2128" s="1" t="s">
        <v>3875</v>
      </c>
      <c r="E2128" s="1" t="s">
        <v>4546</v>
      </c>
      <c r="F2128" s="1" t="s">
        <v>16</v>
      </c>
      <c r="G2128" s="1" t="s">
        <v>27</v>
      </c>
      <c r="H2128" s="1" t="s">
        <v>33</v>
      </c>
      <c r="I2128" s="1" t="s">
        <v>40</v>
      </c>
      <c r="J2128" s="1">
        <v>397.0</v>
      </c>
      <c r="K2128" s="1">
        <v>47.0</v>
      </c>
      <c r="L2128" s="1">
        <v>713.0</v>
      </c>
    </row>
    <row r="2129">
      <c r="A2129" s="1">
        <v>3578731.0</v>
      </c>
      <c r="B2129" s="1" t="s">
        <v>4547</v>
      </c>
      <c r="C2129" s="1" t="s">
        <v>3831</v>
      </c>
      <c r="D2129" s="1" t="s">
        <v>3847</v>
      </c>
      <c r="E2129" s="1" t="s">
        <v>4548</v>
      </c>
      <c r="F2129" s="1" t="s">
        <v>32</v>
      </c>
      <c r="G2129" s="1" t="s">
        <v>27</v>
      </c>
      <c r="H2129" s="1" t="s">
        <v>18</v>
      </c>
      <c r="I2129" s="1" t="s">
        <v>59</v>
      </c>
      <c r="J2129" s="1">
        <v>12.0</v>
      </c>
      <c r="K2129" s="1">
        <v>17.0</v>
      </c>
      <c r="L2129" s="1">
        <v>109.0</v>
      </c>
    </row>
    <row r="2130">
      <c r="A2130" s="1">
        <v>3578779.0</v>
      </c>
      <c r="B2130" s="1" t="s">
        <v>4549</v>
      </c>
      <c r="C2130" s="1" t="s">
        <v>3831</v>
      </c>
      <c r="D2130" s="1" t="s">
        <v>3847</v>
      </c>
      <c r="E2130" s="1" t="s">
        <v>4550</v>
      </c>
      <c r="F2130" s="1" t="s">
        <v>55</v>
      </c>
      <c r="G2130" s="1" t="s">
        <v>17</v>
      </c>
      <c r="H2130" s="1" t="s">
        <v>18</v>
      </c>
      <c r="I2130" s="1" t="s">
        <v>44</v>
      </c>
      <c r="J2130" s="1">
        <v>41.0</v>
      </c>
      <c r="K2130" s="1">
        <v>21.0</v>
      </c>
      <c r="L2130" s="1">
        <v>70.0</v>
      </c>
    </row>
    <row r="2131">
      <c r="A2131" s="1">
        <v>3512037.0</v>
      </c>
      <c r="B2131" s="1" t="s">
        <v>4551</v>
      </c>
      <c r="C2131" s="1" t="s">
        <v>3831</v>
      </c>
      <c r="D2131" s="1" t="s">
        <v>3967</v>
      </c>
      <c r="E2131" s="1" t="s">
        <v>4552</v>
      </c>
      <c r="F2131" s="1" t="s">
        <v>16</v>
      </c>
      <c r="G2131" s="1" t="s">
        <v>23</v>
      </c>
      <c r="H2131" s="1" t="s">
        <v>28</v>
      </c>
      <c r="I2131" s="1" t="s">
        <v>40</v>
      </c>
      <c r="J2131" s="1">
        <v>103.0</v>
      </c>
      <c r="K2131" s="1">
        <v>27.0</v>
      </c>
      <c r="L2131" s="1">
        <v>242.0</v>
      </c>
    </row>
    <row r="2132">
      <c r="A2132" s="1">
        <v>3510108.0</v>
      </c>
      <c r="B2132" s="1" t="s">
        <v>4553</v>
      </c>
      <c r="C2132" s="1" t="s">
        <v>3831</v>
      </c>
      <c r="D2132" s="1" t="s">
        <v>3844</v>
      </c>
      <c r="E2132" s="1" t="s">
        <v>4554</v>
      </c>
      <c r="F2132" s="1" t="s">
        <v>16</v>
      </c>
      <c r="G2132" s="1" t="s">
        <v>23</v>
      </c>
      <c r="H2132" s="1" t="s">
        <v>18</v>
      </c>
      <c r="I2132" s="1" t="s">
        <v>19</v>
      </c>
      <c r="J2132" s="1">
        <v>63.0</v>
      </c>
      <c r="K2132" s="1">
        <v>21.0</v>
      </c>
      <c r="L2132" s="1">
        <v>63.0</v>
      </c>
    </row>
    <row r="2133">
      <c r="A2133" s="1">
        <v>3507230.0</v>
      </c>
      <c r="B2133" s="1" t="s">
        <v>4555</v>
      </c>
      <c r="C2133" s="1" t="s">
        <v>3831</v>
      </c>
      <c r="D2133" s="1" t="s">
        <v>3862</v>
      </c>
      <c r="E2133" s="1" t="s">
        <v>4556</v>
      </c>
      <c r="F2133" s="1" t="s">
        <v>16</v>
      </c>
      <c r="G2133" s="1" t="s">
        <v>23</v>
      </c>
      <c r="H2133" s="1" t="s">
        <v>18</v>
      </c>
      <c r="I2133" s="1" t="s">
        <v>19</v>
      </c>
      <c r="J2133" s="1">
        <v>50.0</v>
      </c>
      <c r="K2133" s="1">
        <v>25.0</v>
      </c>
      <c r="L2133" s="1">
        <v>162.0</v>
      </c>
    </row>
    <row r="2134">
      <c r="A2134" s="1">
        <v>3515121.0</v>
      </c>
      <c r="B2134" s="1" t="s">
        <v>4557</v>
      </c>
      <c r="C2134" s="1" t="s">
        <v>3831</v>
      </c>
      <c r="D2134" s="1" t="s">
        <v>3870</v>
      </c>
      <c r="E2134" s="1" t="s">
        <v>4558</v>
      </c>
      <c r="F2134" s="1" t="s">
        <v>16</v>
      </c>
      <c r="G2134" s="1" t="s">
        <v>17</v>
      </c>
      <c r="H2134" s="1" t="s">
        <v>18</v>
      </c>
      <c r="I2134" s="1" t="s">
        <v>59</v>
      </c>
      <c r="J2134" s="1">
        <v>157.0</v>
      </c>
      <c r="K2134" s="1">
        <v>54.0</v>
      </c>
      <c r="L2134" s="1">
        <v>740.0</v>
      </c>
    </row>
    <row r="2135">
      <c r="A2135" s="1">
        <v>3508055.0</v>
      </c>
      <c r="B2135" s="1" t="s">
        <v>4559</v>
      </c>
      <c r="C2135" s="1" t="s">
        <v>3831</v>
      </c>
      <c r="D2135" s="1" t="s">
        <v>4135</v>
      </c>
      <c r="E2135" s="1" t="s">
        <v>4560</v>
      </c>
      <c r="F2135" s="1" t="s">
        <v>16</v>
      </c>
      <c r="G2135" s="1" t="s">
        <v>17</v>
      </c>
      <c r="H2135" s="1" t="s">
        <v>18</v>
      </c>
      <c r="I2135" s="1" t="s">
        <v>113</v>
      </c>
      <c r="J2135" s="1">
        <v>101.0</v>
      </c>
      <c r="K2135" s="1">
        <v>44.0</v>
      </c>
      <c r="L2135" s="1">
        <v>163.0</v>
      </c>
    </row>
    <row r="2136">
      <c r="A2136" s="1">
        <v>3507105.0</v>
      </c>
      <c r="B2136" s="1" t="s">
        <v>4561</v>
      </c>
      <c r="C2136" s="1" t="s">
        <v>3831</v>
      </c>
      <c r="D2136" s="1" t="s">
        <v>3862</v>
      </c>
      <c r="E2136" s="1" t="s">
        <v>4562</v>
      </c>
      <c r="F2136" s="1" t="s">
        <v>16</v>
      </c>
      <c r="G2136" s="1" t="s">
        <v>23</v>
      </c>
      <c r="H2136" s="1" t="s">
        <v>18</v>
      </c>
      <c r="I2136" s="1" t="s">
        <v>19</v>
      </c>
      <c r="J2136" s="1">
        <v>56.0</v>
      </c>
      <c r="K2136" s="1">
        <v>25.0</v>
      </c>
      <c r="L2136" s="1">
        <v>160.0</v>
      </c>
    </row>
    <row r="2137">
      <c r="A2137" s="1">
        <v>3525092.0</v>
      </c>
      <c r="B2137" s="1" t="s">
        <v>4563</v>
      </c>
      <c r="C2137" s="1" t="s">
        <v>3831</v>
      </c>
      <c r="D2137" s="1" t="s">
        <v>3865</v>
      </c>
      <c r="E2137" s="1" t="s">
        <v>4564</v>
      </c>
      <c r="F2137" s="1" t="s">
        <v>16</v>
      </c>
      <c r="G2137" s="1" t="s">
        <v>23</v>
      </c>
      <c r="H2137" s="1" t="s">
        <v>18</v>
      </c>
      <c r="I2137" s="1" t="s">
        <v>44</v>
      </c>
      <c r="J2137" s="1">
        <v>50.0</v>
      </c>
      <c r="K2137" s="1">
        <v>33.0</v>
      </c>
      <c r="L2137" s="1">
        <v>147.0</v>
      </c>
    </row>
    <row r="2138">
      <c r="A2138" s="1">
        <v>3510107.0</v>
      </c>
      <c r="B2138" s="1" t="s">
        <v>4565</v>
      </c>
      <c r="C2138" s="1" t="s">
        <v>3831</v>
      </c>
      <c r="D2138" s="1" t="s">
        <v>3844</v>
      </c>
      <c r="E2138" s="1" t="s">
        <v>4566</v>
      </c>
      <c r="F2138" s="1" t="s">
        <v>16</v>
      </c>
      <c r="G2138" s="1" t="s">
        <v>23</v>
      </c>
      <c r="H2138" s="1" t="s">
        <v>18</v>
      </c>
      <c r="I2138" s="1" t="s">
        <v>19</v>
      </c>
      <c r="J2138" s="1">
        <v>71.0</v>
      </c>
      <c r="K2138" s="1">
        <v>22.0</v>
      </c>
      <c r="L2138" s="1">
        <v>90.0</v>
      </c>
    </row>
    <row r="2139">
      <c r="A2139" s="1">
        <v>3527026.0</v>
      </c>
      <c r="B2139" s="1" t="s">
        <v>4567</v>
      </c>
      <c r="C2139" s="1" t="s">
        <v>3831</v>
      </c>
      <c r="D2139" s="1" t="s">
        <v>3925</v>
      </c>
      <c r="E2139" s="1" t="s">
        <v>4568</v>
      </c>
      <c r="F2139" s="1" t="s">
        <v>16</v>
      </c>
      <c r="G2139" s="1" t="s">
        <v>23</v>
      </c>
      <c r="H2139" s="1" t="s">
        <v>18</v>
      </c>
      <c r="I2139" s="1" t="s">
        <v>44</v>
      </c>
      <c r="J2139" s="1">
        <v>61.0</v>
      </c>
      <c r="K2139" s="1">
        <v>23.0</v>
      </c>
      <c r="L2139" s="1">
        <v>0.0</v>
      </c>
    </row>
    <row r="2140">
      <c r="A2140" s="1">
        <v>3519012.0</v>
      </c>
      <c r="B2140" s="1" t="s">
        <v>4569</v>
      </c>
      <c r="C2140" s="1" t="s">
        <v>3831</v>
      </c>
      <c r="D2140" s="1" t="s">
        <v>4190</v>
      </c>
      <c r="E2140" s="1" t="s">
        <v>4570</v>
      </c>
      <c r="F2140" s="1" t="s">
        <v>16</v>
      </c>
      <c r="G2140" s="1" t="s">
        <v>17</v>
      </c>
      <c r="H2140" s="1" t="s">
        <v>28</v>
      </c>
      <c r="I2140" s="1" t="s">
        <v>139</v>
      </c>
      <c r="J2140" s="1">
        <v>104.0</v>
      </c>
      <c r="K2140" s="1">
        <v>28.0</v>
      </c>
      <c r="L2140" s="1">
        <v>203.0</v>
      </c>
    </row>
    <row r="2141">
      <c r="A2141" s="1">
        <v>3507099.0</v>
      </c>
      <c r="B2141" s="1" t="s">
        <v>4571</v>
      </c>
      <c r="C2141" s="1" t="s">
        <v>3831</v>
      </c>
      <c r="D2141" s="1" t="s">
        <v>3862</v>
      </c>
      <c r="E2141" s="1" t="s">
        <v>4572</v>
      </c>
      <c r="F2141" s="1" t="s">
        <v>16</v>
      </c>
      <c r="G2141" s="1" t="s">
        <v>17</v>
      </c>
      <c r="H2141" s="1" t="s">
        <v>18</v>
      </c>
      <c r="I2141" s="1" t="s">
        <v>19</v>
      </c>
      <c r="J2141" s="1">
        <v>111.0</v>
      </c>
      <c r="K2141" s="1">
        <v>37.0</v>
      </c>
      <c r="L2141" s="1">
        <v>157.0</v>
      </c>
    </row>
    <row r="2142">
      <c r="A2142" s="1">
        <v>3506025.0</v>
      </c>
      <c r="B2142" s="1" t="s">
        <v>4573</v>
      </c>
      <c r="C2142" s="1" t="s">
        <v>3831</v>
      </c>
      <c r="D2142" s="1" t="s">
        <v>3894</v>
      </c>
      <c r="E2142" s="1" t="s">
        <v>4574</v>
      </c>
      <c r="F2142" s="1" t="s">
        <v>16</v>
      </c>
      <c r="G2142" s="1" t="s">
        <v>17</v>
      </c>
      <c r="H2142" s="1" t="s">
        <v>18</v>
      </c>
      <c r="I2142" s="1" t="s">
        <v>19</v>
      </c>
      <c r="J2142" s="1">
        <v>170.0</v>
      </c>
      <c r="K2142" s="1">
        <v>53.0</v>
      </c>
      <c r="L2142" s="1">
        <v>381.0</v>
      </c>
    </row>
    <row r="2143">
      <c r="A2143" s="1">
        <v>3577074.0</v>
      </c>
      <c r="B2143" s="1" t="s">
        <v>4575</v>
      </c>
      <c r="C2143" s="1" t="s">
        <v>3831</v>
      </c>
      <c r="D2143" s="1" t="s">
        <v>3906</v>
      </c>
      <c r="E2143" s="1" t="s">
        <v>4576</v>
      </c>
      <c r="F2143" s="1" t="s">
        <v>16</v>
      </c>
      <c r="G2143" s="1" t="s">
        <v>17</v>
      </c>
      <c r="H2143" s="1" t="s">
        <v>18</v>
      </c>
      <c r="I2143" s="1" t="s">
        <v>19</v>
      </c>
      <c r="J2143" s="1">
        <v>153.0</v>
      </c>
      <c r="K2143" s="1">
        <v>29.0</v>
      </c>
      <c r="L2143" s="1">
        <v>409.0</v>
      </c>
    </row>
    <row r="2144">
      <c r="A2144" s="1">
        <v>3577086.0</v>
      </c>
      <c r="B2144" s="1" t="s">
        <v>4577</v>
      </c>
      <c r="C2144" s="1" t="s">
        <v>3831</v>
      </c>
      <c r="D2144" s="1" t="s">
        <v>3906</v>
      </c>
      <c r="E2144" s="1" t="s">
        <v>4578</v>
      </c>
      <c r="F2144" s="1" t="s">
        <v>16</v>
      </c>
      <c r="G2144" s="1" t="s">
        <v>17</v>
      </c>
      <c r="H2144" s="1" t="s">
        <v>18</v>
      </c>
      <c r="I2144" s="1" t="s">
        <v>19</v>
      </c>
      <c r="J2144" s="1">
        <v>117.0</v>
      </c>
      <c r="K2144" s="1">
        <v>55.0</v>
      </c>
      <c r="L2144" s="1">
        <v>128.0</v>
      </c>
    </row>
    <row r="2145">
      <c r="A2145" s="1">
        <v>3525021.0</v>
      </c>
      <c r="B2145" s="1" t="s">
        <v>4579</v>
      </c>
      <c r="C2145" s="1" t="s">
        <v>3831</v>
      </c>
      <c r="D2145" s="1" t="s">
        <v>3865</v>
      </c>
      <c r="E2145" s="1" t="s">
        <v>4580</v>
      </c>
      <c r="F2145" s="1" t="s">
        <v>16</v>
      </c>
      <c r="G2145" s="1" t="s">
        <v>27</v>
      </c>
      <c r="H2145" s="1" t="s">
        <v>18</v>
      </c>
      <c r="I2145" s="1" t="s">
        <v>19</v>
      </c>
      <c r="J2145" s="1">
        <v>203.0</v>
      </c>
      <c r="K2145" s="1">
        <v>105.0</v>
      </c>
      <c r="L2145" s="1">
        <v>488.0</v>
      </c>
    </row>
    <row r="2146">
      <c r="A2146" s="1">
        <v>3507108.0</v>
      </c>
      <c r="B2146" s="1" t="s">
        <v>4581</v>
      </c>
      <c r="C2146" s="1" t="s">
        <v>3831</v>
      </c>
      <c r="D2146" s="1" t="s">
        <v>3862</v>
      </c>
      <c r="E2146" s="1" t="s">
        <v>4582</v>
      </c>
      <c r="F2146" s="1" t="s">
        <v>16</v>
      </c>
      <c r="G2146" s="1" t="s">
        <v>17</v>
      </c>
      <c r="H2146" s="1" t="s">
        <v>18</v>
      </c>
      <c r="I2146" s="1" t="s">
        <v>19</v>
      </c>
      <c r="J2146" s="1">
        <v>153.0</v>
      </c>
      <c r="K2146" s="1">
        <v>72.0</v>
      </c>
      <c r="L2146" s="1">
        <v>538.0</v>
      </c>
    </row>
    <row r="2147">
      <c r="A2147" s="1">
        <v>3529025.0</v>
      </c>
      <c r="B2147" s="1" t="s">
        <v>4583</v>
      </c>
      <c r="C2147" s="1" t="s">
        <v>3831</v>
      </c>
      <c r="D2147" s="1" t="s">
        <v>4079</v>
      </c>
      <c r="E2147" s="1" t="s">
        <v>4584</v>
      </c>
      <c r="F2147" s="1" t="s">
        <v>16</v>
      </c>
      <c r="G2147" s="1" t="s">
        <v>17</v>
      </c>
      <c r="H2147" s="1" t="s">
        <v>18</v>
      </c>
      <c r="I2147" s="1" t="s">
        <v>684</v>
      </c>
      <c r="J2147" s="1">
        <v>153.0</v>
      </c>
      <c r="K2147" s="1">
        <v>29.0</v>
      </c>
      <c r="L2147" s="1">
        <v>198.0</v>
      </c>
    </row>
    <row r="2148">
      <c r="A2148" s="1">
        <v>3578791.0</v>
      </c>
      <c r="B2148" s="1" t="s">
        <v>4585</v>
      </c>
      <c r="C2148" s="1" t="s">
        <v>3831</v>
      </c>
      <c r="D2148" s="1" t="s">
        <v>3847</v>
      </c>
      <c r="E2148" s="1" t="s">
        <v>4586</v>
      </c>
      <c r="F2148" s="1" t="s">
        <v>55</v>
      </c>
      <c r="G2148" s="1" t="s">
        <v>17</v>
      </c>
      <c r="H2148" s="1" t="s">
        <v>18</v>
      </c>
      <c r="I2148" s="1" t="s">
        <v>44</v>
      </c>
      <c r="J2148" s="1">
        <v>39.0</v>
      </c>
      <c r="K2148" s="1">
        <v>23.0</v>
      </c>
      <c r="L2148" s="1">
        <v>101.0</v>
      </c>
    </row>
    <row r="2149">
      <c r="A2149" s="1">
        <v>3505044.0</v>
      </c>
      <c r="B2149" s="1" t="s">
        <v>4587</v>
      </c>
      <c r="C2149" s="1" t="s">
        <v>3831</v>
      </c>
      <c r="D2149" s="1" t="s">
        <v>3859</v>
      </c>
      <c r="E2149" s="1" t="s">
        <v>4588</v>
      </c>
      <c r="F2149" s="1" t="s">
        <v>16</v>
      </c>
      <c r="G2149" s="1" t="s">
        <v>23</v>
      </c>
      <c r="H2149" s="1" t="s">
        <v>18</v>
      </c>
      <c r="I2149" s="1" t="s">
        <v>19</v>
      </c>
      <c r="J2149" s="1">
        <v>62.0</v>
      </c>
      <c r="K2149" s="1">
        <v>18.0</v>
      </c>
      <c r="L2149" s="1">
        <v>62.0</v>
      </c>
    </row>
    <row r="2150">
      <c r="A2150" s="1">
        <v>3526030.0</v>
      </c>
      <c r="B2150" s="1" t="s">
        <v>4589</v>
      </c>
      <c r="C2150" s="1" t="s">
        <v>3831</v>
      </c>
      <c r="D2150" s="1" t="s">
        <v>3832</v>
      </c>
      <c r="E2150" s="1" t="s">
        <v>4590</v>
      </c>
      <c r="F2150" s="1" t="s">
        <v>55</v>
      </c>
      <c r="G2150" s="1" t="s">
        <v>17</v>
      </c>
      <c r="H2150" s="1" t="s">
        <v>18</v>
      </c>
      <c r="I2150" s="1" t="s">
        <v>59</v>
      </c>
      <c r="J2150" s="1">
        <v>25.0</v>
      </c>
      <c r="K2150" s="1">
        <v>13.0</v>
      </c>
      <c r="L2150" s="1">
        <v>19.0</v>
      </c>
    </row>
    <row r="2151">
      <c r="A2151" s="1">
        <v>3510102.0</v>
      </c>
      <c r="B2151" s="1" t="s">
        <v>4591</v>
      </c>
      <c r="C2151" s="1" t="s">
        <v>3831</v>
      </c>
      <c r="D2151" s="1" t="s">
        <v>3844</v>
      </c>
      <c r="E2151" s="1" t="s">
        <v>4592</v>
      </c>
      <c r="F2151" s="1" t="s">
        <v>16</v>
      </c>
      <c r="G2151" s="1" t="s">
        <v>17</v>
      </c>
      <c r="H2151" s="1" t="s">
        <v>18</v>
      </c>
      <c r="I2151" s="1" t="s">
        <v>19</v>
      </c>
      <c r="J2151" s="1">
        <v>120.0</v>
      </c>
      <c r="K2151" s="1">
        <v>34.0</v>
      </c>
      <c r="L2151" s="1">
        <v>139.0</v>
      </c>
    </row>
    <row r="2152">
      <c r="A2152" s="1">
        <v>3578560.0</v>
      </c>
      <c r="B2152" s="1" t="s">
        <v>4593</v>
      </c>
      <c r="C2152" s="1" t="s">
        <v>3831</v>
      </c>
      <c r="D2152" s="1" t="s">
        <v>3847</v>
      </c>
      <c r="E2152" s="1" t="s">
        <v>4594</v>
      </c>
      <c r="F2152" s="1" t="s">
        <v>16</v>
      </c>
      <c r="G2152" s="1" t="s">
        <v>27</v>
      </c>
      <c r="H2152" s="1" t="s">
        <v>18</v>
      </c>
      <c r="I2152" s="1" t="s">
        <v>19</v>
      </c>
      <c r="J2152" s="1">
        <v>243.0</v>
      </c>
      <c r="K2152" s="1">
        <v>59.0</v>
      </c>
      <c r="L2152" s="1">
        <v>556.0</v>
      </c>
    </row>
    <row r="2153">
      <c r="A2153" s="1">
        <v>3525099.0</v>
      </c>
      <c r="B2153" s="1" t="s">
        <v>4595</v>
      </c>
      <c r="C2153" s="1" t="s">
        <v>3831</v>
      </c>
      <c r="D2153" s="1" t="s">
        <v>3865</v>
      </c>
      <c r="E2153" s="1" t="s">
        <v>4596</v>
      </c>
      <c r="F2153" s="1" t="s">
        <v>16</v>
      </c>
      <c r="G2153" s="1" t="s">
        <v>23</v>
      </c>
      <c r="H2153" s="1" t="s">
        <v>18</v>
      </c>
      <c r="I2153" s="1" t="s">
        <v>19</v>
      </c>
      <c r="J2153" s="1">
        <v>55.0</v>
      </c>
      <c r="K2153" s="1">
        <v>24.0</v>
      </c>
      <c r="L2153" s="1">
        <v>74.0</v>
      </c>
    </row>
    <row r="2154">
      <c r="A2154" s="1">
        <v>3524048.0</v>
      </c>
      <c r="B2154" s="1" t="s">
        <v>4597</v>
      </c>
      <c r="C2154" s="1" t="s">
        <v>3831</v>
      </c>
      <c r="D2154" s="1" t="s">
        <v>3856</v>
      </c>
      <c r="E2154" s="1" t="s">
        <v>4598</v>
      </c>
      <c r="F2154" s="1" t="s">
        <v>16</v>
      </c>
      <c r="G2154" s="1" t="s">
        <v>23</v>
      </c>
      <c r="H2154" s="1" t="s">
        <v>18</v>
      </c>
      <c r="I2154" s="1" t="s">
        <v>19</v>
      </c>
      <c r="J2154" s="1">
        <v>66.0</v>
      </c>
      <c r="K2154" s="1">
        <v>20.0</v>
      </c>
      <c r="L2154" s="1">
        <v>54.0</v>
      </c>
    </row>
    <row r="2155">
      <c r="A2155" s="1">
        <v>3573066.0</v>
      </c>
      <c r="B2155" s="1" t="s">
        <v>4599</v>
      </c>
      <c r="C2155" s="1" t="s">
        <v>3831</v>
      </c>
      <c r="D2155" s="1" t="s">
        <v>3938</v>
      </c>
      <c r="E2155" s="1" t="s">
        <v>4600</v>
      </c>
      <c r="F2155" s="1" t="s">
        <v>16</v>
      </c>
      <c r="G2155" s="1" t="s">
        <v>27</v>
      </c>
      <c r="H2155" s="1" t="s">
        <v>18</v>
      </c>
      <c r="I2155" s="1" t="s">
        <v>19</v>
      </c>
      <c r="J2155" s="1">
        <v>200.0</v>
      </c>
      <c r="K2155" s="1">
        <v>104.0</v>
      </c>
      <c r="L2155" s="1">
        <v>410.0</v>
      </c>
    </row>
    <row r="2156">
      <c r="A2156" s="1">
        <v>3522061.0</v>
      </c>
      <c r="B2156" s="1" t="s">
        <v>4601</v>
      </c>
      <c r="C2156" s="1" t="s">
        <v>3831</v>
      </c>
      <c r="D2156" s="1" t="s">
        <v>3897</v>
      </c>
      <c r="E2156" s="1" t="s">
        <v>4602</v>
      </c>
      <c r="F2156" s="1" t="s">
        <v>16</v>
      </c>
      <c r="G2156" s="1" t="s">
        <v>23</v>
      </c>
      <c r="H2156" s="1" t="s">
        <v>18</v>
      </c>
      <c r="I2156" s="1" t="s">
        <v>44</v>
      </c>
      <c r="J2156" s="1">
        <v>95.0</v>
      </c>
      <c r="K2156" s="1">
        <v>22.0</v>
      </c>
      <c r="L2156" s="1">
        <v>178.0</v>
      </c>
    </row>
    <row r="2157">
      <c r="A2157" s="1">
        <v>3573262.0</v>
      </c>
      <c r="B2157" s="1" t="s">
        <v>4603</v>
      </c>
      <c r="C2157" s="1" t="s">
        <v>3831</v>
      </c>
      <c r="D2157" s="1" t="s">
        <v>3938</v>
      </c>
      <c r="E2157" s="1" t="s">
        <v>4604</v>
      </c>
      <c r="F2157" s="1" t="s">
        <v>16</v>
      </c>
      <c r="G2157" s="1" t="s">
        <v>17</v>
      </c>
      <c r="H2157" s="1" t="s">
        <v>18</v>
      </c>
      <c r="I2157" s="1" t="s">
        <v>34</v>
      </c>
      <c r="J2157" s="1">
        <v>100.0</v>
      </c>
      <c r="K2157" s="1">
        <v>96.0</v>
      </c>
      <c r="L2157" s="1">
        <v>363.0</v>
      </c>
    </row>
    <row r="2158">
      <c r="A2158" s="1">
        <v>3517109.0</v>
      </c>
      <c r="B2158" s="1" t="s">
        <v>4605</v>
      </c>
      <c r="C2158" s="1" t="s">
        <v>3831</v>
      </c>
      <c r="D2158" s="1" t="s">
        <v>3956</v>
      </c>
      <c r="E2158" s="1" t="s">
        <v>4606</v>
      </c>
      <c r="F2158" s="1" t="s">
        <v>16</v>
      </c>
      <c r="G2158" s="1" t="s">
        <v>23</v>
      </c>
      <c r="H2158" s="1" t="s">
        <v>18</v>
      </c>
      <c r="I2158" s="1" t="s">
        <v>684</v>
      </c>
      <c r="J2158" s="1">
        <v>101.0</v>
      </c>
      <c r="K2158" s="1">
        <v>35.0</v>
      </c>
      <c r="L2158" s="1">
        <v>0.0</v>
      </c>
    </row>
    <row r="2159">
      <c r="A2159" s="1">
        <v>3576076.0</v>
      </c>
      <c r="B2159" s="1" t="s">
        <v>4607</v>
      </c>
      <c r="C2159" s="1" t="s">
        <v>3831</v>
      </c>
      <c r="D2159" s="1" t="s">
        <v>4020</v>
      </c>
      <c r="E2159" s="1" t="s">
        <v>4608</v>
      </c>
      <c r="F2159" s="1" t="s">
        <v>16</v>
      </c>
      <c r="G2159" s="1" t="s">
        <v>17</v>
      </c>
      <c r="H2159" s="1" t="s">
        <v>18</v>
      </c>
      <c r="I2159" s="1" t="s">
        <v>59</v>
      </c>
      <c r="J2159" s="1">
        <v>103.0</v>
      </c>
      <c r="K2159" s="1">
        <v>37.0</v>
      </c>
      <c r="L2159" s="1">
        <v>153.0</v>
      </c>
    </row>
    <row r="2160">
      <c r="A2160" s="1">
        <v>3513025.0</v>
      </c>
      <c r="B2160" s="1" t="s">
        <v>4609</v>
      </c>
      <c r="C2160" s="1" t="s">
        <v>3831</v>
      </c>
      <c r="D2160" s="1" t="s">
        <v>3853</v>
      </c>
      <c r="E2160" s="1" t="s">
        <v>4610</v>
      </c>
      <c r="F2160" s="1" t="s">
        <v>55</v>
      </c>
      <c r="G2160" s="1" t="s">
        <v>17</v>
      </c>
      <c r="H2160" s="1" t="s">
        <v>18</v>
      </c>
      <c r="I2160" s="1" t="s">
        <v>19</v>
      </c>
      <c r="J2160" s="1">
        <v>50.0</v>
      </c>
      <c r="K2160" s="1">
        <v>19.0</v>
      </c>
      <c r="L2160" s="1">
        <v>73.0</v>
      </c>
    </row>
    <row r="2161">
      <c r="A2161" s="1">
        <v>3526045.0</v>
      </c>
      <c r="B2161" s="1" t="s">
        <v>4611</v>
      </c>
      <c r="C2161" s="1" t="s">
        <v>3831</v>
      </c>
      <c r="D2161" s="1" t="s">
        <v>3832</v>
      </c>
      <c r="E2161" s="1" t="s">
        <v>4612</v>
      </c>
      <c r="F2161" s="1" t="s">
        <v>55</v>
      </c>
      <c r="G2161" s="1" t="s">
        <v>17</v>
      </c>
      <c r="H2161" s="1" t="s">
        <v>18</v>
      </c>
      <c r="I2161" s="1" t="s">
        <v>19</v>
      </c>
      <c r="J2161" s="1">
        <v>30.0</v>
      </c>
      <c r="K2161" s="1">
        <v>14.0</v>
      </c>
      <c r="L2161" s="1">
        <v>0.0</v>
      </c>
    </row>
    <row r="2162">
      <c r="A2162" s="1">
        <v>3502145.0</v>
      </c>
      <c r="B2162" s="1" t="s">
        <v>4613</v>
      </c>
      <c r="C2162" s="1" t="s">
        <v>3831</v>
      </c>
      <c r="D2162" s="1" t="s">
        <v>4013</v>
      </c>
      <c r="E2162" s="1" t="s">
        <v>4614</v>
      </c>
      <c r="F2162" s="1" t="s">
        <v>16</v>
      </c>
      <c r="G2162" s="1" t="s">
        <v>23</v>
      </c>
      <c r="H2162" s="1" t="s">
        <v>18</v>
      </c>
      <c r="I2162" s="1" t="s">
        <v>19</v>
      </c>
      <c r="J2162" s="1">
        <v>50.0</v>
      </c>
      <c r="K2162" s="1">
        <v>20.0</v>
      </c>
      <c r="L2162" s="1">
        <v>105.0</v>
      </c>
    </row>
    <row r="2163">
      <c r="A2163" s="1">
        <v>3576051.0</v>
      </c>
      <c r="B2163" s="1" t="s">
        <v>4615</v>
      </c>
      <c r="C2163" s="1" t="s">
        <v>3831</v>
      </c>
      <c r="D2163" s="1" t="s">
        <v>4020</v>
      </c>
      <c r="E2163" s="1" t="s">
        <v>4616</v>
      </c>
      <c r="F2163" s="1" t="s">
        <v>16</v>
      </c>
      <c r="G2163" s="1" t="s">
        <v>17</v>
      </c>
      <c r="H2163" s="1" t="s">
        <v>18</v>
      </c>
      <c r="I2163" s="1" t="s">
        <v>684</v>
      </c>
      <c r="J2163" s="1">
        <v>102.0</v>
      </c>
      <c r="K2163" s="1">
        <v>46.0</v>
      </c>
      <c r="L2163" s="1">
        <v>188.0</v>
      </c>
    </row>
    <row r="2164">
      <c r="A2164" s="1">
        <v>3504070.0</v>
      </c>
      <c r="B2164" s="1" t="s">
        <v>4617</v>
      </c>
      <c r="C2164" s="1" t="s">
        <v>3831</v>
      </c>
      <c r="D2164" s="1" t="s">
        <v>3850</v>
      </c>
      <c r="E2164" s="1" t="s">
        <v>4618</v>
      </c>
      <c r="F2164" s="1" t="s">
        <v>16</v>
      </c>
      <c r="G2164" s="1" t="s">
        <v>23</v>
      </c>
      <c r="H2164" s="1" t="s">
        <v>18</v>
      </c>
      <c r="I2164" s="1" t="s">
        <v>19</v>
      </c>
      <c r="J2164" s="1">
        <v>114.0</v>
      </c>
      <c r="K2164" s="1">
        <v>36.0</v>
      </c>
      <c r="L2164" s="1">
        <v>186.0</v>
      </c>
    </row>
    <row r="2165">
      <c r="A2165" s="1">
        <v>3510103.0</v>
      </c>
      <c r="B2165" s="1" t="s">
        <v>4619</v>
      </c>
      <c r="C2165" s="1" t="s">
        <v>3831</v>
      </c>
      <c r="D2165" s="1" t="s">
        <v>3844</v>
      </c>
      <c r="E2165" s="1" t="s">
        <v>4620</v>
      </c>
      <c r="F2165" s="1" t="s">
        <v>16</v>
      </c>
      <c r="G2165" s="1" t="s">
        <v>17</v>
      </c>
      <c r="H2165" s="1" t="s">
        <v>18</v>
      </c>
      <c r="I2165" s="1" t="s">
        <v>19</v>
      </c>
      <c r="J2165" s="1">
        <v>207.0</v>
      </c>
      <c r="K2165" s="1">
        <v>102.0</v>
      </c>
      <c r="L2165" s="1">
        <v>650.0</v>
      </c>
    </row>
    <row r="2166">
      <c r="A2166" s="1">
        <v>3572073.0</v>
      </c>
      <c r="B2166" s="1" t="s">
        <v>4621</v>
      </c>
      <c r="C2166" s="1" t="s">
        <v>3831</v>
      </c>
      <c r="D2166" s="1" t="s">
        <v>4179</v>
      </c>
      <c r="E2166" s="1" t="s">
        <v>4622</v>
      </c>
      <c r="F2166" s="1" t="s">
        <v>16</v>
      </c>
      <c r="G2166" s="1" t="s">
        <v>17</v>
      </c>
      <c r="H2166" s="1" t="s">
        <v>18</v>
      </c>
      <c r="I2166" s="1" t="s">
        <v>684</v>
      </c>
      <c r="J2166" s="1">
        <v>90.0</v>
      </c>
      <c r="K2166" s="1">
        <v>48.0</v>
      </c>
      <c r="L2166" s="1">
        <v>90.0</v>
      </c>
    </row>
    <row r="2167">
      <c r="A2167" s="1">
        <v>3502157.0</v>
      </c>
      <c r="B2167" s="1" t="s">
        <v>4623</v>
      </c>
      <c r="C2167" s="1" t="s">
        <v>3831</v>
      </c>
      <c r="D2167" s="1" t="s">
        <v>4013</v>
      </c>
      <c r="E2167" s="1" t="s">
        <v>4624</v>
      </c>
      <c r="F2167" s="1" t="s">
        <v>16</v>
      </c>
      <c r="G2167" s="1" t="s">
        <v>23</v>
      </c>
      <c r="H2167" s="1" t="s">
        <v>18</v>
      </c>
      <c r="I2167" s="1" t="s">
        <v>19</v>
      </c>
      <c r="J2167" s="1">
        <v>74.0</v>
      </c>
      <c r="K2167" s="1">
        <v>19.0</v>
      </c>
      <c r="L2167" s="1">
        <v>0.0</v>
      </c>
    </row>
    <row r="2168">
      <c r="A2168" s="1">
        <v>3528041.0</v>
      </c>
      <c r="B2168" s="1" t="s">
        <v>4625</v>
      </c>
      <c r="C2168" s="1" t="s">
        <v>3831</v>
      </c>
      <c r="D2168" s="1" t="s">
        <v>3841</v>
      </c>
      <c r="E2168" s="1" t="s">
        <v>4626</v>
      </c>
      <c r="F2168" s="1" t="s">
        <v>55</v>
      </c>
      <c r="G2168" s="1" t="s">
        <v>17</v>
      </c>
      <c r="H2168" s="1" t="s">
        <v>18</v>
      </c>
      <c r="I2168" s="1" t="s">
        <v>163</v>
      </c>
      <c r="J2168" s="1">
        <v>28.0</v>
      </c>
      <c r="K2168" s="1">
        <v>14.0</v>
      </c>
      <c r="L2168" s="1">
        <v>0.0</v>
      </c>
    </row>
    <row r="2169">
      <c r="A2169" s="1">
        <v>3523015.0</v>
      </c>
      <c r="B2169" s="1" t="s">
        <v>4627</v>
      </c>
      <c r="C2169" s="1" t="s">
        <v>3831</v>
      </c>
      <c r="D2169" s="1" t="s">
        <v>3982</v>
      </c>
      <c r="E2169" s="1" t="s">
        <v>4628</v>
      </c>
      <c r="F2169" s="1" t="s">
        <v>16</v>
      </c>
      <c r="G2169" s="1" t="s">
        <v>27</v>
      </c>
      <c r="H2169" s="1" t="s">
        <v>28</v>
      </c>
      <c r="I2169" s="1" t="s">
        <v>40</v>
      </c>
      <c r="J2169" s="1">
        <v>408.0</v>
      </c>
      <c r="K2169" s="1">
        <v>108.0</v>
      </c>
      <c r="L2169" s="1">
        <v>1115.0</v>
      </c>
    </row>
    <row r="2170">
      <c r="A2170" s="1">
        <v>3506058.0</v>
      </c>
      <c r="B2170" s="1" t="s">
        <v>4629</v>
      </c>
      <c r="C2170" s="1" t="s">
        <v>3831</v>
      </c>
      <c r="D2170" s="1" t="s">
        <v>3894</v>
      </c>
      <c r="E2170" s="1" t="s">
        <v>4630</v>
      </c>
      <c r="F2170" s="1" t="s">
        <v>16</v>
      </c>
      <c r="G2170" s="1" t="s">
        <v>23</v>
      </c>
      <c r="H2170" s="1" t="s">
        <v>18</v>
      </c>
      <c r="I2170" s="1" t="s">
        <v>59</v>
      </c>
      <c r="J2170" s="1">
        <v>100.0</v>
      </c>
      <c r="K2170" s="1">
        <v>28.0</v>
      </c>
      <c r="L2170" s="1">
        <v>51.0</v>
      </c>
    </row>
    <row r="2171">
      <c r="A2171" s="1">
        <v>3571147.0</v>
      </c>
      <c r="B2171" s="1" t="s">
        <v>4631</v>
      </c>
      <c r="C2171" s="1" t="s">
        <v>3831</v>
      </c>
      <c r="D2171" s="1" t="s">
        <v>3930</v>
      </c>
      <c r="E2171" s="1" t="s">
        <v>4632</v>
      </c>
      <c r="F2171" s="1" t="s">
        <v>16</v>
      </c>
      <c r="G2171" s="1" t="s">
        <v>23</v>
      </c>
      <c r="H2171" s="1" t="s">
        <v>18</v>
      </c>
      <c r="I2171" s="1" t="s">
        <v>19</v>
      </c>
      <c r="J2171" s="1">
        <v>90.0</v>
      </c>
      <c r="K2171" s="1">
        <v>18.0</v>
      </c>
      <c r="L2171" s="1">
        <v>68.0</v>
      </c>
    </row>
    <row r="2172">
      <c r="A2172" s="1">
        <v>3579074.0</v>
      </c>
      <c r="B2172" s="1" t="s">
        <v>4633</v>
      </c>
      <c r="C2172" s="1" t="s">
        <v>3831</v>
      </c>
      <c r="D2172" s="1" t="s">
        <v>3922</v>
      </c>
      <c r="E2172" s="1" t="s">
        <v>4634</v>
      </c>
      <c r="F2172" s="1" t="s">
        <v>16</v>
      </c>
      <c r="G2172" s="1" t="s">
        <v>17</v>
      </c>
      <c r="H2172" s="1" t="s">
        <v>18</v>
      </c>
      <c r="I2172" s="1" t="s">
        <v>249</v>
      </c>
      <c r="J2172" s="1">
        <v>107.0</v>
      </c>
      <c r="K2172" s="1">
        <v>36.0</v>
      </c>
      <c r="L2172" s="1">
        <v>254.0</v>
      </c>
    </row>
    <row r="2173">
      <c r="A2173" s="1">
        <v>3578053.0</v>
      </c>
      <c r="B2173" s="1" t="s">
        <v>4635</v>
      </c>
      <c r="C2173" s="1" t="s">
        <v>3831</v>
      </c>
      <c r="D2173" s="1" t="s">
        <v>3847</v>
      </c>
      <c r="E2173" s="1" t="s">
        <v>4636</v>
      </c>
      <c r="F2173" s="1" t="s">
        <v>16</v>
      </c>
      <c r="G2173" s="1" t="s">
        <v>17</v>
      </c>
      <c r="H2173" s="1" t="s">
        <v>18</v>
      </c>
      <c r="I2173" s="1" t="s">
        <v>59</v>
      </c>
      <c r="J2173" s="1">
        <v>171.0</v>
      </c>
      <c r="K2173" s="1">
        <v>68.0</v>
      </c>
      <c r="L2173" s="1">
        <v>780.0</v>
      </c>
    </row>
    <row r="2174">
      <c r="A2174" s="1">
        <v>3517095.0</v>
      </c>
      <c r="B2174" s="1" t="s">
        <v>4637</v>
      </c>
      <c r="C2174" s="1" t="s">
        <v>3831</v>
      </c>
      <c r="D2174" s="1" t="s">
        <v>3956</v>
      </c>
      <c r="E2174" s="1" t="s">
        <v>4638</v>
      </c>
      <c r="F2174" s="1" t="s">
        <v>16</v>
      </c>
      <c r="G2174" s="1" t="s">
        <v>23</v>
      </c>
      <c r="H2174" s="1" t="s">
        <v>18</v>
      </c>
      <c r="I2174" s="1" t="s">
        <v>44</v>
      </c>
      <c r="J2174" s="1">
        <v>100.0</v>
      </c>
      <c r="K2174" s="1">
        <v>36.0</v>
      </c>
      <c r="L2174" s="1">
        <v>34.0</v>
      </c>
    </row>
    <row r="2175">
      <c r="A2175" s="1">
        <v>3515145.0</v>
      </c>
      <c r="B2175" s="1" t="s">
        <v>4639</v>
      </c>
      <c r="C2175" s="1" t="s">
        <v>3831</v>
      </c>
      <c r="D2175" s="1" t="s">
        <v>3870</v>
      </c>
      <c r="E2175" s="1" t="s">
        <v>4640</v>
      </c>
      <c r="F2175" s="1" t="s">
        <v>16</v>
      </c>
      <c r="G2175" s="1" t="s">
        <v>17</v>
      </c>
      <c r="H2175" s="1" t="s">
        <v>18</v>
      </c>
      <c r="I2175" s="1" t="s">
        <v>19</v>
      </c>
      <c r="J2175" s="1">
        <v>102.0</v>
      </c>
      <c r="K2175" s="1">
        <v>90.0</v>
      </c>
      <c r="L2175" s="1">
        <v>245.0</v>
      </c>
    </row>
    <row r="2176">
      <c r="A2176" s="1">
        <v>3509123.0</v>
      </c>
      <c r="B2176" s="1" t="s">
        <v>4641</v>
      </c>
      <c r="C2176" s="1" t="s">
        <v>3831</v>
      </c>
      <c r="D2176" s="1" t="s">
        <v>3890</v>
      </c>
      <c r="E2176" s="1" t="s">
        <v>4642</v>
      </c>
      <c r="F2176" s="1" t="s">
        <v>16</v>
      </c>
      <c r="G2176" s="1" t="s">
        <v>17</v>
      </c>
      <c r="H2176" s="1" t="s">
        <v>28</v>
      </c>
      <c r="I2176" s="1" t="s">
        <v>40</v>
      </c>
      <c r="J2176" s="1">
        <v>116.0</v>
      </c>
      <c r="K2176" s="1">
        <v>31.0</v>
      </c>
      <c r="L2176" s="1">
        <v>275.0</v>
      </c>
    </row>
    <row r="2177">
      <c r="A2177" s="1">
        <v>3578192.0</v>
      </c>
      <c r="B2177" s="1" t="s">
        <v>4643</v>
      </c>
      <c r="C2177" s="1" t="s">
        <v>3831</v>
      </c>
      <c r="D2177" s="1" t="s">
        <v>3847</v>
      </c>
      <c r="E2177" s="1" t="s">
        <v>4644</v>
      </c>
      <c r="F2177" s="1" t="s">
        <v>174</v>
      </c>
      <c r="G2177" s="1" t="s">
        <v>150</v>
      </c>
      <c r="H2177" s="1" t="s">
        <v>28</v>
      </c>
      <c r="I2177" s="1" t="s">
        <v>139</v>
      </c>
      <c r="J2177" s="1">
        <v>390.0</v>
      </c>
      <c r="K2177" s="1">
        <v>75.0</v>
      </c>
      <c r="L2177" s="1">
        <v>287.0</v>
      </c>
    </row>
    <row r="2178">
      <c r="A2178" s="1">
        <v>3572021.0</v>
      </c>
      <c r="B2178" s="1" t="s">
        <v>4645</v>
      </c>
      <c r="C2178" s="1" t="s">
        <v>3831</v>
      </c>
      <c r="D2178" s="1" t="s">
        <v>4179</v>
      </c>
      <c r="E2178" s="1" t="s">
        <v>4646</v>
      </c>
      <c r="F2178" s="1" t="s">
        <v>16</v>
      </c>
      <c r="G2178" s="1" t="s">
        <v>17</v>
      </c>
      <c r="H2178" s="1" t="s">
        <v>18</v>
      </c>
      <c r="I2178" s="1" t="s">
        <v>59</v>
      </c>
      <c r="J2178" s="1">
        <v>103.0</v>
      </c>
      <c r="K2178" s="1">
        <v>32.0</v>
      </c>
      <c r="L2178" s="1">
        <v>313.0</v>
      </c>
    </row>
    <row r="2179">
      <c r="A2179" s="1">
        <v>3506062.0</v>
      </c>
      <c r="B2179" s="1" t="s">
        <v>4647</v>
      </c>
      <c r="C2179" s="1" t="s">
        <v>3831</v>
      </c>
      <c r="D2179" s="1" t="s">
        <v>3894</v>
      </c>
      <c r="E2179" s="1" t="s">
        <v>4648</v>
      </c>
      <c r="F2179" s="1" t="s">
        <v>16</v>
      </c>
      <c r="G2179" s="1" t="s">
        <v>17</v>
      </c>
      <c r="H2179" s="1" t="s">
        <v>18</v>
      </c>
      <c r="I2179" s="1" t="s">
        <v>44</v>
      </c>
      <c r="J2179" s="1">
        <v>120.0</v>
      </c>
      <c r="K2179" s="1">
        <v>60.0</v>
      </c>
      <c r="L2179" s="1">
        <v>294.0</v>
      </c>
    </row>
    <row r="2180">
      <c r="A2180" s="1">
        <v>3515026.0</v>
      </c>
      <c r="B2180" s="1" t="s">
        <v>4649</v>
      </c>
      <c r="C2180" s="1" t="s">
        <v>3831</v>
      </c>
      <c r="D2180" s="1" t="s">
        <v>3870</v>
      </c>
      <c r="E2180" s="1" t="s">
        <v>4650</v>
      </c>
      <c r="F2180" s="1" t="s">
        <v>16</v>
      </c>
      <c r="G2180" s="1" t="s">
        <v>27</v>
      </c>
      <c r="H2180" s="1" t="s">
        <v>18</v>
      </c>
      <c r="I2180" s="1" t="s">
        <v>19</v>
      </c>
      <c r="J2180" s="1">
        <v>275.0</v>
      </c>
      <c r="K2180" s="1">
        <v>118.0</v>
      </c>
      <c r="L2180" s="1">
        <v>546.0</v>
      </c>
    </row>
    <row r="2181">
      <c r="A2181" s="1">
        <v>3578753.0</v>
      </c>
      <c r="B2181" s="1" t="s">
        <v>4651</v>
      </c>
      <c r="C2181" s="1" t="s">
        <v>3831</v>
      </c>
      <c r="D2181" s="1" t="s">
        <v>3847</v>
      </c>
      <c r="E2181" s="1" t="s">
        <v>4652</v>
      </c>
      <c r="F2181" s="1" t="s">
        <v>1789</v>
      </c>
      <c r="G2181" s="1" t="s">
        <v>17</v>
      </c>
      <c r="H2181" s="1" t="s">
        <v>18</v>
      </c>
      <c r="I2181" s="1" t="s">
        <v>19</v>
      </c>
      <c r="J2181" s="1">
        <v>25.0</v>
      </c>
      <c r="K2181" s="1">
        <v>18.0</v>
      </c>
      <c r="L2181" s="1">
        <v>99.0</v>
      </c>
    </row>
    <row r="2182">
      <c r="A2182" s="1">
        <v>3524049.0</v>
      </c>
      <c r="B2182" s="1" t="s">
        <v>4653</v>
      </c>
      <c r="C2182" s="1" t="s">
        <v>3831</v>
      </c>
      <c r="D2182" s="1" t="s">
        <v>3856</v>
      </c>
      <c r="E2182" s="1" t="s">
        <v>4654</v>
      </c>
      <c r="F2182" s="1" t="s">
        <v>16</v>
      </c>
      <c r="G2182" s="1" t="s">
        <v>17</v>
      </c>
      <c r="H2182" s="1" t="s">
        <v>18</v>
      </c>
      <c r="I2182" s="1" t="s">
        <v>19</v>
      </c>
      <c r="J2182" s="1">
        <v>104.0</v>
      </c>
      <c r="K2182" s="1">
        <v>41.0</v>
      </c>
      <c r="L2182" s="1">
        <v>71.0</v>
      </c>
    </row>
    <row r="2183">
      <c r="A2183" s="1">
        <v>3574012.0</v>
      </c>
      <c r="B2183" s="1" t="s">
        <v>4655</v>
      </c>
      <c r="C2183" s="1" t="s">
        <v>3831</v>
      </c>
      <c r="D2183" s="1" t="s">
        <v>4046</v>
      </c>
      <c r="E2183" s="1" t="s">
        <v>4656</v>
      </c>
      <c r="F2183" s="1" t="s">
        <v>16</v>
      </c>
      <c r="G2183" s="1" t="s">
        <v>27</v>
      </c>
      <c r="H2183" s="1" t="s">
        <v>28</v>
      </c>
      <c r="I2183" s="1" t="s">
        <v>29</v>
      </c>
      <c r="J2183" s="1">
        <v>211.0</v>
      </c>
      <c r="K2183" s="1">
        <v>61.0</v>
      </c>
      <c r="L2183" s="1">
        <v>1010.0</v>
      </c>
    </row>
    <row r="2184">
      <c r="A2184" s="1">
        <v>3578213.0</v>
      </c>
      <c r="B2184" s="1" t="s">
        <v>4657</v>
      </c>
      <c r="C2184" s="1" t="s">
        <v>3831</v>
      </c>
      <c r="D2184" s="1" t="s">
        <v>3847</v>
      </c>
      <c r="E2184" s="1" t="s">
        <v>4658</v>
      </c>
      <c r="F2184" s="1" t="s">
        <v>16</v>
      </c>
      <c r="G2184" s="1" t="s">
        <v>27</v>
      </c>
      <c r="H2184" s="1" t="s">
        <v>28</v>
      </c>
      <c r="I2184" s="1" t="s">
        <v>29</v>
      </c>
      <c r="J2184" s="1">
        <v>207.0</v>
      </c>
      <c r="K2184" s="1">
        <v>37.0</v>
      </c>
      <c r="L2184" s="1">
        <v>390.0</v>
      </c>
    </row>
    <row r="2185">
      <c r="A2185" s="1">
        <v>3578766.0</v>
      </c>
      <c r="B2185" s="1" t="s">
        <v>4659</v>
      </c>
      <c r="C2185" s="1" t="s">
        <v>3831</v>
      </c>
      <c r="D2185" s="1" t="s">
        <v>3847</v>
      </c>
      <c r="E2185" s="1" t="s">
        <v>4660</v>
      </c>
      <c r="F2185" s="1" t="s">
        <v>16</v>
      </c>
      <c r="G2185" s="1" t="s">
        <v>17</v>
      </c>
      <c r="H2185" s="1" t="s">
        <v>18</v>
      </c>
      <c r="I2185" s="1" t="s">
        <v>19</v>
      </c>
      <c r="J2185" s="1">
        <v>130.0</v>
      </c>
      <c r="K2185" s="1">
        <v>71.0</v>
      </c>
      <c r="L2185" s="1">
        <v>267.0</v>
      </c>
    </row>
    <row r="2186">
      <c r="A2186" s="1">
        <v>3520012.0</v>
      </c>
      <c r="B2186" s="1" t="s">
        <v>4661</v>
      </c>
      <c r="C2186" s="1" t="s">
        <v>3831</v>
      </c>
      <c r="D2186" s="1" t="s">
        <v>3878</v>
      </c>
      <c r="E2186" s="1" t="s">
        <v>4662</v>
      </c>
      <c r="F2186" s="1" t="s">
        <v>16</v>
      </c>
      <c r="G2186" s="1" t="s">
        <v>17</v>
      </c>
      <c r="H2186" s="1" t="s">
        <v>28</v>
      </c>
      <c r="I2186" s="1" t="s">
        <v>40</v>
      </c>
      <c r="J2186" s="1">
        <v>272.0</v>
      </c>
      <c r="K2186" s="1">
        <v>41.0</v>
      </c>
      <c r="L2186" s="1">
        <v>119.0</v>
      </c>
    </row>
    <row r="2187">
      <c r="A2187" s="1">
        <v>3578246.0</v>
      </c>
      <c r="B2187" s="1" t="s">
        <v>4663</v>
      </c>
      <c r="C2187" s="1" t="s">
        <v>3831</v>
      </c>
      <c r="D2187" s="1" t="s">
        <v>3847</v>
      </c>
      <c r="E2187" s="1" t="s">
        <v>4664</v>
      </c>
      <c r="F2187" s="1" t="s">
        <v>16</v>
      </c>
      <c r="G2187" s="1" t="s">
        <v>23</v>
      </c>
      <c r="H2187" s="1" t="s">
        <v>18</v>
      </c>
      <c r="I2187" s="1" t="s">
        <v>19</v>
      </c>
      <c r="J2187" s="1">
        <v>59.0</v>
      </c>
      <c r="K2187" s="1">
        <v>21.0</v>
      </c>
      <c r="L2187" s="1">
        <v>157.0</v>
      </c>
    </row>
    <row r="2188">
      <c r="A2188" s="1">
        <v>3573246.0</v>
      </c>
      <c r="B2188" s="1" t="s">
        <v>4665</v>
      </c>
      <c r="C2188" s="1" t="s">
        <v>3831</v>
      </c>
      <c r="D2188" s="1" t="s">
        <v>3938</v>
      </c>
      <c r="E2188" s="1" t="s">
        <v>4666</v>
      </c>
      <c r="F2188" s="1" t="s">
        <v>16</v>
      </c>
      <c r="G2188" s="1" t="s">
        <v>17</v>
      </c>
      <c r="H2188" s="1" t="s">
        <v>18</v>
      </c>
      <c r="I2188" s="1" t="s">
        <v>19</v>
      </c>
      <c r="J2188" s="1">
        <v>135.0</v>
      </c>
      <c r="K2188" s="1">
        <v>55.0</v>
      </c>
      <c r="L2188" s="1">
        <v>348.0</v>
      </c>
    </row>
    <row r="2189">
      <c r="A2189" s="1">
        <v>3578774.0</v>
      </c>
      <c r="B2189" s="1" t="s">
        <v>4667</v>
      </c>
      <c r="C2189" s="1" t="s">
        <v>3831</v>
      </c>
      <c r="D2189" s="1" t="s">
        <v>3847</v>
      </c>
      <c r="E2189" s="1" t="s">
        <v>4668</v>
      </c>
      <c r="F2189" s="1" t="s">
        <v>55</v>
      </c>
      <c r="G2189" s="1" t="s">
        <v>17</v>
      </c>
      <c r="H2189" s="1" t="s">
        <v>18</v>
      </c>
      <c r="I2189" s="1" t="s">
        <v>44</v>
      </c>
      <c r="J2189" s="1">
        <v>40.0</v>
      </c>
      <c r="K2189" s="1">
        <v>16.0</v>
      </c>
      <c r="L2189" s="1">
        <v>49.0</v>
      </c>
    </row>
    <row r="2190">
      <c r="A2190" s="1">
        <v>3507262.0</v>
      </c>
      <c r="B2190" s="1" t="s">
        <v>4669</v>
      </c>
      <c r="C2190" s="1" t="s">
        <v>3831</v>
      </c>
      <c r="D2190" s="1" t="s">
        <v>3862</v>
      </c>
      <c r="E2190" s="1" t="s">
        <v>4670</v>
      </c>
      <c r="F2190" s="1" t="s">
        <v>16</v>
      </c>
      <c r="G2190" s="1" t="s">
        <v>23</v>
      </c>
      <c r="H2190" s="1" t="s">
        <v>18</v>
      </c>
      <c r="I2190" s="1" t="s">
        <v>563</v>
      </c>
      <c r="J2190" s="1">
        <v>56.0</v>
      </c>
      <c r="K2190" s="1">
        <v>14.0</v>
      </c>
      <c r="L2190" s="1">
        <v>0.0</v>
      </c>
    </row>
    <row r="2191">
      <c r="A2191" s="1">
        <v>3525076.0</v>
      </c>
      <c r="B2191" s="1" t="s">
        <v>4671</v>
      </c>
      <c r="C2191" s="1" t="s">
        <v>3831</v>
      </c>
      <c r="D2191" s="1" t="s">
        <v>3865</v>
      </c>
      <c r="E2191" s="1" t="s">
        <v>4672</v>
      </c>
      <c r="F2191" s="1" t="s">
        <v>16</v>
      </c>
      <c r="G2191" s="1" t="s">
        <v>17</v>
      </c>
      <c r="H2191" s="1" t="s">
        <v>18</v>
      </c>
      <c r="I2191" s="1" t="s">
        <v>19</v>
      </c>
      <c r="J2191" s="1">
        <v>123.0</v>
      </c>
      <c r="K2191" s="1">
        <v>80.0</v>
      </c>
      <c r="L2191" s="1">
        <v>372.0</v>
      </c>
    </row>
    <row r="2192">
      <c r="A2192" s="1">
        <v>3517093.0</v>
      </c>
      <c r="B2192" s="1" t="s">
        <v>4673</v>
      </c>
      <c r="C2192" s="1" t="s">
        <v>3831</v>
      </c>
      <c r="D2192" s="1" t="s">
        <v>3956</v>
      </c>
      <c r="E2192" s="1" t="s">
        <v>4674</v>
      </c>
      <c r="F2192" s="1" t="s">
        <v>16</v>
      </c>
      <c r="G2192" s="1" t="s">
        <v>23</v>
      </c>
      <c r="H2192" s="1" t="s">
        <v>18</v>
      </c>
      <c r="I2192" s="1" t="s">
        <v>684</v>
      </c>
      <c r="J2192" s="1">
        <v>70.0</v>
      </c>
      <c r="K2192" s="1">
        <v>23.0</v>
      </c>
      <c r="L2192" s="1">
        <v>150.0</v>
      </c>
    </row>
    <row r="2193">
      <c r="A2193" s="1">
        <v>3578784.0</v>
      </c>
      <c r="B2193" s="1" t="s">
        <v>4675</v>
      </c>
      <c r="C2193" s="1" t="s">
        <v>3831</v>
      </c>
      <c r="D2193" s="1" t="s">
        <v>3847</v>
      </c>
      <c r="E2193" s="1" t="s">
        <v>4676</v>
      </c>
      <c r="F2193" s="1" t="s">
        <v>55</v>
      </c>
      <c r="G2193" s="1" t="s">
        <v>17</v>
      </c>
      <c r="H2193" s="1" t="s">
        <v>18</v>
      </c>
      <c r="I2193" s="1" t="s">
        <v>44</v>
      </c>
      <c r="J2193" s="1">
        <v>27.0</v>
      </c>
      <c r="K2193" s="1">
        <v>20.0</v>
      </c>
      <c r="L2193" s="1">
        <v>50.0</v>
      </c>
    </row>
    <row r="2194">
      <c r="A2194" s="1">
        <v>3510106.0</v>
      </c>
      <c r="B2194" s="1" t="s">
        <v>4677</v>
      </c>
      <c r="C2194" s="1" t="s">
        <v>3831</v>
      </c>
      <c r="D2194" s="1" t="s">
        <v>3844</v>
      </c>
      <c r="E2194" s="1" t="s">
        <v>4678</v>
      </c>
      <c r="F2194" s="1" t="s">
        <v>16</v>
      </c>
      <c r="G2194" s="1" t="s">
        <v>17</v>
      </c>
      <c r="H2194" s="1" t="s">
        <v>18</v>
      </c>
      <c r="I2194" s="1" t="s">
        <v>19</v>
      </c>
      <c r="J2194" s="1">
        <v>152.0</v>
      </c>
      <c r="K2194" s="1">
        <v>48.0</v>
      </c>
      <c r="L2194" s="1">
        <v>172.0</v>
      </c>
    </row>
    <row r="2195">
      <c r="A2195" s="1">
        <v>3571020.0</v>
      </c>
      <c r="B2195" s="1" t="s">
        <v>4679</v>
      </c>
      <c r="C2195" s="1" t="s">
        <v>3831</v>
      </c>
      <c r="D2195" s="1" t="s">
        <v>3930</v>
      </c>
      <c r="E2195" s="1" t="s">
        <v>4680</v>
      </c>
      <c r="F2195" s="1" t="s">
        <v>16</v>
      </c>
      <c r="G2195" s="1" t="s">
        <v>17</v>
      </c>
      <c r="H2195" s="1" t="s">
        <v>18</v>
      </c>
      <c r="I2195" s="1" t="s">
        <v>74</v>
      </c>
      <c r="J2195" s="1">
        <v>136.0</v>
      </c>
      <c r="K2195" s="1">
        <v>31.0</v>
      </c>
      <c r="L2195" s="1">
        <v>99.0</v>
      </c>
    </row>
    <row r="2196">
      <c r="A2196" s="1">
        <v>3524044.0</v>
      </c>
      <c r="B2196" s="1" t="s">
        <v>4681</v>
      </c>
      <c r="C2196" s="1" t="s">
        <v>3831</v>
      </c>
      <c r="D2196" s="1" t="s">
        <v>3856</v>
      </c>
      <c r="E2196" s="1" t="s">
        <v>4682</v>
      </c>
      <c r="F2196" s="1" t="s">
        <v>16</v>
      </c>
      <c r="G2196" s="1" t="s">
        <v>23</v>
      </c>
      <c r="H2196" s="1" t="s">
        <v>18</v>
      </c>
      <c r="I2196" s="1" t="s">
        <v>684</v>
      </c>
      <c r="J2196" s="1">
        <v>122.0</v>
      </c>
      <c r="K2196" s="1">
        <v>24.0</v>
      </c>
      <c r="L2196" s="1">
        <v>116.0</v>
      </c>
    </row>
    <row r="2197">
      <c r="A2197" s="1">
        <v>3578785.0</v>
      </c>
      <c r="B2197" s="1" t="s">
        <v>4683</v>
      </c>
      <c r="C2197" s="1" t="s">
        <v>3831</v>
      </c>
      <c r="D2197" s="1" t="s">
        <v>3847</v>
      </c>
      <c r="E2197" s="1" t="s">
        <v>4684</v>
      </c>
      <c r="F2197" s="1" t="s">
        <v>16</v>
      </c>
      <c r="G2197" s="1" t="s">
        <v>17</v>
      </c>
      <c r="H2197" s="1" t="s">
        <v>18</v>
      </c>
      <c r="I2197" s="1" t="s">
        <v>44</v>
      </c>
      <c r="J2197" s="1">
        <v>110.0</v>
      </c>
      <c r="K2197" s="1">
        <v>41.0</v>
      </c>
      <c r="L2197" s="1">
        <v>294.0</v>
      </c>
    </row>
    <row r="2198">
      <c r="A2198" s="1">
        <v>3525098.0</v>
      </c>
      <c r="B2198" s="1" t="s">
        <v>4685</v>
      </c>
      <c r="C2198" s="1" t="s">
        <v>3831</v>
      </c>
      <c r="D2198" s="1" t="s">
        <v>3865</v>
      </c>
      <c r="E2198" s="1" t="s">
        <v>4686</v>
      </c>
      <c r="F2198" s="1" t="s">
        <v>16</v>
      </c>
      <c r="G2198" s="1" t="s">
        <v>23</v>
      </c>
      <c r="H2198" s="1" t="s">
        <v>18</v>
      </c>
      <c r="I2198" s="1" t="s">
        <v>19</v>
      </c>
      <c r="J2198" s="1">
        <v>52.0</v>
      </c>
      <c r="K2198" s="1">
        <v>22.0</v>
      </c>
      <c r="L2198" s="1">
        <v>23.0</v>
      </c>
    </row>
    <row r="2199">
      <c r="A2199" s="1">
        <v>3512012.0</v>
      </c>
      <c r="B2199" s="1" t="s">
        <v>4687</v>
      </c>
      <c r="C2199" s="1" t="s">
        <v>3831</v>
      </c>
      <c r="D2199" s="1" t="s">
        <v>3967</v>
      </c>
      <c r="E2199" s="1" t="s">
        <v>4688</v>
      </c>
      <c r="F2199" s="1" t="s">
        <v>16</v>
      </c>
      <c r="G2199" s="1" t="s">
        <v>17</v>
      </c>
      <c r="H2199" s="1" t="s">
        <v>28</v>
      </c>
      <c r="I2199" s="1" t="s">
        <v>40</v>
      </c>
      <c r="J2199" s="1">
        <v>225.0</v>
      </c>
      <c r="K2199" s="1">
        <v>109.0</v>
      </c>
      <c r="L2199" s="1">
        <v>960.0</v>
      </c>
    </row>
    <row r="2200">
      <c r="A2200" s="1">
        <v>3578582.0</v>
      </c>
      <c r="B2200" s="1" t="s">
        <v>4689</v>
      </c>
      <c r="C2200" s="1" t="s">
        <v>3831</v>
      </c>
      <c r="D2200" s="1" t="s">
        <v>3847</v>
      </c>
      <c r="E2200" s="1" t="s">
        <v>4690</v>
      </c>
      <c r="F2200" s="1" t="s">
        <v>16</v>
      </c>
      <c r="G2200" s="1" t="s">
        <v>27</v>
      </c>
      <c r="H2200" s="1" t="s">
        <v>18</v>
      </c>
      <c r="I2200" s="1" t="s">
        <v>19</v>
      </c>
      <c r="J2200" s="1">
        <v>202.0</v>
      </c>
      <c r="K2200" s="1">
        <v>48.0</v>
      </c>
      <c r="L2200" s="1">
        <v>446.0</v>
      </c>
    </row>
    <row r="2201">
      <c r="A2201" s="1">
        <v>3507102.0</v>
      </c>
      <c r="B2201" s="1" t="s">
        <v>4691</v>
      </c>
      <c r="C2201" s="1" t="s">
        <v>3831</v>
      </c>
      <c r="D2201" s="1" t="s">
        <v>3862</v>
      </c>
      <c r="E2201" s="1" t="s">
        <v>4692</v>
      </c>
      <c r="F2201" s="1" t="s">
        <v>16</v>
      </c>
      <c r="G2201" s="1" t="s">
        <v>23</v>
      </c>
      <c r="H2201" s="1" t="s">
        <v>18</v>
      </c>
      <c r="I2201" s="1" t="s">
        <v>563</v>
      </c>
      <c r="J2201" s="1">
        <v>52.0</v>
      </c>
      <c r="K2201" s="1">
        <v>30.0</v>
      </c>
      <c r="L2201" s="1">
        <v>145.0</v>
      </c>
    </row>
    <row r="2202">
      <c r="A2202" s="1">
        <v>3517021.0</v>
      </c>
      <c r="B2202" s="1" t="s">
        <v>4693</v>
      </c>
      <c r="C2202" s="1" t="s">
        <v>3831</v>
      </c>
      <c r="D2202" s="1" t="s">
        <v>3956</v>
      </c>
      <c r="E2202" s="1" t="s">
        <v>4694</v>
      </c>
      <c r="F2202" s="1" t="s">
        <v>16</v>
      </c>
      <c r="G2202" s="1" t="s">
        <v>17</v>
      </c>
      <c r="H2202" s="1" t="s">
        <v>18</v>
      </c>
      <c r="I2202" s="1" t="s">
        <v>258</v>
      </c>
      <c r="J2202" s="1">
        <v>126.0</v>
      </c>
      <c r="K2202" s="1">
        <v>46.0</v>
      </c>
      <c r="L2202" s="1">
        <v>187.0</v>
      </c>
    </row>
    <row r="2203">
      <c r="A2203" s="1">
        <v>3507098.0</v>
      </c>
      <c r="B2203" s="1" t="s">
        <v>4695</v>
      </c>
      <c r="C2203" s="1" t="s">
        <v>3831</v>
      </c>
      <c r="D2203" s="1" t="s">
        <v>3862</v>
      </c>
      <c r="E2203" s="1" t="s">
        <v>4696</v>
      </c>
      <c r="F2203" s="1" t="s">
        <v>16</v>
      </c>
      <c r="G2203" s="1" t="s">
        <v>17</v>
      </c>
      <c r="H2203" s="1" t="s">
        <v>18</v>
      </c>
      <c r="I2203" s="1" t="s">
        <v>19</v>
      </c>
      <c r="J2203" s="1">
        <v>105.0</v>
      </c>
      <c r="K2203" s="1">
        <v>41.0</v>
      </c>
      <c r="L2203" s="1">
        <v>447.0</v>
      </c>
    </row>
    <row r="2204">
      <c r="A2204" s="1">
        <v>3503022.0</v>
      </c>
      <c r="B2204" s="1" t="s">
        <v>4697</v>
      </c>
      <c r="C2204" s="1" t="s">
        <v>3831</v>
      </c>
      <c r="D2204" s="1" t="s">
        <v>4238</v>
      </c>
      <c r="E2204" s="1" t="s">
        <v>4698</v>
      </c>
      <c r="F2204" s="1" t="s">
        <v>16</v>
      </c>
      <c r="G2204" s="1" t="s">
        <v>23</v>
      </c>
      <c r="H2204" s="1" t="s">
        <v>18</v>
      </c>
      <c r="I2204" s="1" t="s">
        <v>59</v>
      </c>
      <c r="J2204" s="1">
        <v>49.0</v>
      </c>
      <c r="K2204" s="1">
        <v>22.0</v>
      </c>
      <c r="L2204" s="1">
        <v>123.0</v>
      </c>
    </row>
    <row r="2205">
      <c r="A2205" s="1">
        <v>3516073.0</v>
      </c>
      <c r="B2205" s="1" t="s">
        <v>4699</v>
      </c>
      <c r="C2205" s="1" t="s">
        <v>3831</v>
      </c>
      <c r="D2205" s="1" t="s">
        <v>3909</v>
      </c>
      <c r="E2205" s="1" t="s">
        <v>4700</v>
      </c>
      <c r="F2205" s="1" t="s">
        <v>16</v>
      </c>
      <c r="G2205" s="1" t="s">
        <v>17</v>
      </c>
      <c r="H2205" s="1" t="s">
        <v>28</v>
      </c>
      <c r="I2205" s="1" t="s">
        <v>40</v>
      </c>
      <c r="J2205" s="1">
        <v>145.0</v>
      </c>
      <c r="K2205" s="1">
        <v>23.0</v>
      </c>
      <c r="L2205" s="1">
        <v>348.0</v>
      </c>
    </row>
    <row r="2206">
      <c r="A2206" s="1">
        <v>3516032.0</v>
      </c>
      <c r="B2206" s="1" t="s">
        <v>4701</v>
      </c>
      <c r="C2206" s="1" t="s">
        <v>3831</v>
      </c>
      <c r="D2206" s="1" t="s">
        <v>3909</v>
      </c>
      <c r="E2206" s="1" t="s">
        <v>4702</v>
      </c>
      <c r="F2206" s="1" t="s">
        <v>16</v>
      </c>
      <c r="G2206" s="1" t="s">
        <v>17</v>
      </c>
      <c r="H2206" s="1" t="s">
        <v>18</v>
      </c>
      <c r="I2206" s="1" t="s">
        <v>44</v>
      </c>
      <c r="J2206" s="1">
        <v>107.0</v>
      </c>
      <c r="K2206" s="1">
        <v>32.0</v>
      </c>
      <c r="L2206" s="1">
        <v>151.0</v>
      </c>
    </row>
    <row r="2207">
      <c r="A2207" s="1">
        <v>3515122.0</v>
      </c>
      <c r="B2207" s="1" t="s">
        <v>4703</v>
      </c>
      <c r="C2207" s="1" t="s">
        <v>3831</v>
      </c>
      <c r="D2207" s="1" t="s">
        <v>3870</v>
      </c>
      <c r="E2207" s="1" t="s">
        <v>4704</v>
      </c>
      <c r="F2207" s="1" t="s">
        <v>16</v>
      </c>
      <c r="G2207" s="1" t="s">
        <v>27</v>
      </c>
      <c r="H2207" s="1" t="s">
        <v>18</v>
      </c>
      <c r="I2207" s="1" t="s">
        <v>44</v>
      </c>
      <c r="J2207" s="1">
        <v>200.0</v>
      </c>
      <c r="K2207" s="1">
        <v>55.0</v>
      </c>
      <c r="L2207" s="1">
        <v>497.0</v>
      </c>
    </row>
    <row r="2208">
      <c r="A2208" s="1">
        <v>3515137.0</v>
      </c>
      <c r="B2208" s="1" t="s">
        <v>4705</v>
      </c>
      <c r="C2208" s="1" t="s">
        <v>3831</v>
      </c>
      <c r="D2208" s="1" t="s">
        <v>3870</v>
      </c>
      <c r="E2208" s="1" t="s">
        <v>4706</v>
      </c>
      <c r="F2208" s="1" t="s">
        <v>55</v>
      </c>
      <c r="G2208" s="1" t="s">
        <v>17</v>
      </c>
      <c r="H2208" s="1" t="s">
        <v>18</v>
      </c>
      <c r="I2208" s="1" t="s">
        <v>19</v>
      </c>
      <c r="J2208" s="1">
        <v>31.0</v>
      </c>
      <c r="K2208" s="1">
        <v>18.0</v>
      </c>
      <c r="L2208" s="1">
        <v>30.0</v>
      </c>
    </row>
    <row r="2209">
      <c r="A2209" s="1">
        <v>3511024.0</v>
      </c>
      <c r="B2209" s="1" t="s">
        <v>4707</v>
      </c>
      <c r="C2209" s="1" t="s">
        <v>3831</v>
      </c>
      <c r="D2209" s="1" t="s">
        <v>4130</v>
      </c>
      <c r="E2209" s="1" t="s">
        <v>4708</v>
      </c>
      <c r="F2209" s="1" t="s">
        <v>16</v>
      </c>
      <c r="G2209" s="1" t="s">
        <v>23</v>
      </c>
      <c r="H2209" s="1" t="s">
        <v>18</v>
      </c>
      <c r="I2209" s="1" t="s">
        <v>19</v>
      </c>
      <c r="J2209" s="1">
        <v>49.0</v>
      </c>
      <c r="K2209" s="1">
        <v>16.0</v>
      </c>
      <c r="L2209" s="1">
        <v>0.0</v>
      </c>
    </row>
    <row r="2210">
      <c r="A2210" s="1">
        <v>3523052.0</v>
      </c>
      <c r="B2210" s="1" t="s">
        <v>4709</v>
      </c>
      <c r="C2210" s="1" t="s">
        <v>3831</v>
      </c>
      <c r="D2210" s="1" t="s">
        <v>3982</v>
      </c>
      <c r="E2210" s="1" t="s">
        <v>4710</v>
      </c>
      <c r="F2210" s="1" t="s">
        <v>16</v>
      </c>
      <c r="G2210" s="1" t="s">
        <v>23</v>
      </c>
      <c r="H2210" s="1" t="s">
        <v>18</v>
      </c>
      <c r="I2210" s="1" t="s">
        <v>19</v>
      </c>
      <c r="J2210" s="1">
        <v>68.0</v>
      </c>
      <c r="K2210" s="1">
        <v>54.0</v>
      </c>
      <c r="L2210" s="1">
        <v>189.0</v>
      </c>
    </row>
    <row r="2211">
      <c r="A2211" s="1">
        <v>3508053.0</v>
      </c>
      <c r="B2211" s="1" t="s">
        <v>4711</v>
      </c>
      <c r="C2211" s="1" t="s">
        <v>3831</v>
      </c>
      <c r="D2211" s="1" t="s">
        <v>4135</v>
      </c>
      <c r="E2211" s="1" t="s">
        <v>4712</v>
      </c>
      <c r="F2211" s="1" t="s">
        <v>16</v>
      </c>
      <c r="G2211" s="1" t="s">
        <v>17</v>
      </c>
      <c r="H2211" s="1" t="s">
        <v>18</v>
      </c>
      <c r="I2211" s="1" t="s">
        <v>19</v>
      </c>
      <c r="J2211" s="1">
        <v>102.0</v>
      </c>
      <c r="K2211" s="1">
        <v>84.0</v>
      </c>
      <c r="L2211" s="1">
        <v>289.0</v>
      </c>
    </row>
    <row r="2212">
      <c r="A2212" s="1">
        <v>3578086.0</v>
      </c>
      <c r="B2212" s="1" t="s">
        <v>4713</v>
      </c>
      <c r="C2212" s="1" t="s">
        <v>3831</v>
      </c>
      <c r="D2212" s="1" t="s">
        <v>3847</v>
      </c>
      <c r="E2212" s="1" t="s">
        <v>4714</v>
      </c>
      <c r="F2212" s="1" t="s">
        <v>16</v>
      </c>
      <c r="G2212" s="1" t="s">
        <v>27</v>
      </c>
      <c r="H2212" s="1" t="s">
        <v>18</v>
      </c>
      <c r="I2212" s="1" t="s">
        <v>19</v>
      </c>
      <c r="J2212" s="1">
        <v>226.0</v>
      </c>
      <c r="K2212" s="1">
        <v>110.0</v>
      </c>
      <c r="L2212" s="1">
        <v>651.0</v>
      </c>
    </row>
    <row r="2213">
      <c r="A2213" s="1">
        <v>3524043.0</v>
      </c>
      <c r="B2213" s="1" t="s">
        <v>4715</v>
      </c>
      <c r="C2213" s="1" t="s">
        <v>3831</v>
      </c>
      <c r="D2213" s="1" t="s">
        <v>3856</v>
      </c>
      <c r="E2213" s="1" t="s">
        <v>4716</v>
      </c>
      <c r="F2213" s="1" t="s">
        <v>255</v>
      </c>
      <c r="G2213" s="1" t="s">
        <v>17</v>
      </c>
      <c r="H2213" s="1" t="s">
        <v>18</v>
      </c>
      <c r="I2213" s="1" t="s">
        <v>19</v>
      </c>
      <c r="J2213" s="1">
        <v>44.0</v>
      </c>
      <c r="K2213" s="1">
        <v>15.0</v>
      </c>
      <c r="L2213" s="1">
        <v>90.0</v>
      </c>
    </row>
    <row r="2214">
      <c r="A2214" s="1">
        <v>3507117.0</v>
      </c>
      <c r="B2214" s="1" t="s">
        <v>2426</v>
      </c>
      <c r="C2214" s="1" t="s">
        <v>3831</v>
      </c>
      <c r="D2214" s="1" t="s">
        <v>3862</v>
      </c>
      <c r="E2214" s="1" t="s">
        <v>4717</v>
      </c>
      <c r="F2214" s="1" t="s">
        <v>16</v>
      </c>
      <c r="G2214" s="1" t="s">
        <v>17</v>
      </c>
      <c r="H2214" s="1" t="s">
        <v>18</v>
      </c>
      <c r="I2214" s="1" t="s">
        <v>19</v>
      </c>
      <c r="J2214" s="1">
        <v>100.0</v>
      </c>
      <c r="K2214" s="1">
        <v>32.0</v>
      </c>
      <c r="L2214" s="1">
        <v>149.0</v>
      </c>
    </row>
    <row r="2215">
      <c r="A2215" s="1">
        <v>3526046.0</v>
      </c>
      <c r="B2215" s="1" t="s">
        <v>4718</v>
      </c>
      <c r="C2215" s="1" t="s">
        <v>3831</v>
      </c>
      <c r="D2215" s="1" t="s">
        <v>3832</v>
      </c>
      <c r="E2215" s="1" t="s">
        <v>4719</v>
      </c>
      <c r="F2215" s="1" t="s">
        <v>255</v>
      </c>
      <c r="G2215" s="1" t="s">
        <v>17</v>
      </c>
      <c r="H2215" s="1" t="s">
        <v>18</v>
      </c>
      <c r="I2215" s="1" t="s">
        <v>19</v>
      </c>
      <c r="J2215" s="1">
        <v>25.0</v>
      </c>
      <c r="K2215" s="1">
        <v>11.0</v>
      </c>
      <c r="L2215" s="1">
        <v>0.0</v>
      </c>
    </row>
    <row r="2216">
      <c r="A2216" s="1">
        <v>3672003.0</v>
      </c>
      <c r="B2216" s="1" t="s">
        <v>760</v>
      </c>
      <c r="C2216" s="1" t="s">
        <v>4720</v>
      </c>
      <c r="D2216" s="1" t="s">
        <v>4721</v>
      </c>
      <c r="E2216" s="1" t="s">
        <v>4722</v>
      </c>
      <c r="F2216" s="1" t="s">
        <v>55</v>
      </c>
      <c r="G2216" s="1" t="s">
        <v>17</v>
      </c>
      <c r="H2216" s="1" t="s">
        <v>18</v>
      </c>
      <c r="I2216" s="1" t="s">
        <v>44</v>
      </c>
      <c r="J2216" s="1">
        <v>30.0</v>
      </c>
      <c r="K2216" s="1">
        <v>29.0</v>
      </c>
      <c r="L2216" s="1">
        <v>0.0</v>
      </c>
    </row>
    <row r="2217">
      <c r="A2217" s="1">
        <v>3604050.0</v>
      </c>
      <c r="B2217" s="1" t="s">
        <v>4723</v>
      </c>
      <c r="C2217" s="1" t="s">
        <v>4720</v>
      </c>
      <c r="D2217" s="1" t="s">
        <v>4724</v>
      </c>
      <c r="E2217" s="1" t="s">
        <v>4725</v>
      </c>
      <c r="F2217" s="1" t="s">
        <v>16</v>
      </c>
      <c r="G2217" s="1" t="s">
        <v>23</v>
      </c>
      <c r="H2217" s="1" t="s">
        <v>18</v>
      </c>
      <c r="I2217" s="1" t="s">
        <v>44</v>
      </c>
      <c r="J2217" s="1">
        <v>61.0</v>
      </c>
      <c r="K2217" s="1">
        <v>20.0</v>
      </c>
      <c r="L2217" s="1">
        <v>65.0</v>
      </c>
    </row>
    <row r="2218">
      <c r="A2218" s="1">
        <v>3602011.0</v>
      </c>
      <c r="B2218" s="1" t="s">
        <v>4726</v>
      </c>
      <c r="C2218" s="1" t="s">
        <v>4720</v>
      </c>
      <c r="D2218" s="1" t="s">
        <v>4727</v>
      </c>
      <c r="E2218" s="1" t="s">
        <v>4728</v>
      </c>
      <c r="F2218" s="1" t="s">
        <v>16</v>
      </c>
      <c r="G2218" s="1" t="s">
        <v>27</v>
      </c>
      <c r="H2218" s="1" t="s">
        <v>28</v>
      </c>
      <c r="I2218" s="1" t="s">
        <v>40</v>
      </c>
      <c r="J2218" s="1">
        <v>310.0</v>
      </c>
      <c r="K2218" s="1">
        <v>73.0</v>
      </c>
      <c r="L2218" s="1">
        <v>633.0</v>
      </c>
    </row>
    <row r="2219">
      <c r="A2219" s="1">
        <v>3603181.0</v>
      </c>
      <c r="B2219" s="1" t="s">
        <v>4729</v>
      </c>
      <c r="C2219" s="1" t="s">
        <v>4720</v>
      </c>
      <c r="D2219" s="1" t="s">
        <v>4730</v>
      </c>
      <c r="E2219" s="1" t="s">
        <v>4731</v>
      </c>
      <c r="F2219" s="1" t="s">
        <v>16</v>
      </c>
      <c r="G2219" s="1" t="s">
        <v>27</v>
      </c>
      <c r="H2219" s="1" t="s">
        <v>33</v>
      </c>
      <c r="I2219" s="1" t="s">
        <v>44</v>
      </c>
      <c r="J2219" s="1">
        <v>210.0</v>
      </c>
      <c r="K2219" s="1">
        <v>77.0</v>
      </c>
      <c r="L2219" s="1">
        <v>660.0</v>
      </c>
    </row>
    <row r="2220">
      <c r="A2220" s="1">
        <v>3674157.0</v>
      </c>
      <c r="B2220" s="1" t="s">
        <v>4732</v>
      </c>
      <c r="C2220" s="1" t="s">
        <v>4720</v>
      </c>
      <c r="D2220" s="1" t="s">
        <v>4733</v>
      </c>
      <c r="E2220" s="1" t="s">
        <v>4734</v>
      </c>
      <c r="F2220" s="1" t="s">
        <v>16</v>
      </c>
      <c r="G2220" s="1" t="s">
        <v>27</v>
      </c>
      <c r="H2220" s="1" t="s">
        <v>18</v>
      </c>
      <c r="I2220" s="1" t="s">
        <v>19</v>
      </c>
      <c r="J2220" s="1">
        <v>200.0</v>
      </c>
      <c r="K2220" s="1">
        <v>78.0</v>
      </c>
      <c r="L2220" s="1">
        <v>263.0</v>
      </c>
    </row>
    <row r="2221">
      <c r="A2221" s="1">
        <v>3671043.0</v>
      </c>
      <c r="B2221" s="1" t="s">
        <v>4735</v>
      </c>
      <c r="C2221" s="1" t="s">
        <v>4720</v>
      </c>
      <c r="D2221" s="1" t="s">
        <v>4736</v>
      </c>
      <c r="E2221" s="1" t="s">
        <v>4737</v>
      </c>
      <c r="F2221" s="1" t="s">
        <v>16</v>
      </c>
      <c r="G2221" s="1" t="s">
        <v>17</v>
      </c>
      <c r="H2221" s="1" t="s">
        <v>18</v>
      </c>
      <c r="I2221" s="1" t="s">
        <v>19</v>
      </c>
      <c r="J2221" s="1">
        <v>155.0</v>
      </c>
      <c r="K2221" s="1">
        <v>35.0</v>
      </c>
      <c r="L2221" s="1">
        <v>452.0</v>
      </c>
    </row>
    <row r="2222">
      <c r="A2222" s="1">
        <v>3671209.0</v>
      </c>
      <c r="B2222" s="1" t="s">
        <v>4738</v>
      </c>
      <c r="C2222" s="1" t="s">
        <v>4720</v>
      </c>
      <c r="D2222" s="1" t="s">
        <v>4736</v>
      </c>
      <c r="E2222" s="1" t="s">
        <v>4739</v>
      </c>
      <c r="F2222" s="1" t="s">
        <v>16</v>
      </c>
      <c r="G2222" s="1" t="s">
        <v>17</v>
      </c>
      <c r="H2222" s="1" t="s">
        <v>18</v>
      </c>
      <c r="I2222" s="1" t="s">
        <v>44</v>
      </c>
      <c r="J2222" s="1">
        <v>184.0</v>
      </c>
      <c r="K2222" s="1">
        <v>30.0</v>
      </c>
      <c r="L2222" s="1">
        <v>241.0</v>
      </c>
    </row>
    <row r="2223">
      <c r="A2223" s="1">
        <v>3671082.0</v>
      </c>
      <c r="B2223" s="1" t="s">
        <v>4740</v>
      </c>
      <c r="C2223" s="1" t="s">
        <v>4720</v>
      </c>
      <c r="D2223" s="1" t="s">
        <v>4736</v>
      </c>
      <c r="E2223" s="1" t="s">
        <v>4741</v>
      </c>
      <c r="F2223" s="1" t="s">
        <v>16</v>
      </c>
      <c r="G2223" s="1" t="s">
        <v>17</v>
      </c>
      <c r="H2223" s="1" t="s">
        <v>18</v>
      </c>
      <c r="I2223" s="1" t="s">
        <v>684</v>
      </c>
      <c r="J2223" s="1">
        <v>101.0</v>
      </c>
      <c r="K2223" s="1">
        <v>33.0</v>
      </c>
      <c r="L2223" s="1">
        <v>117.0</v>
      </c>
    </row>
    <row r="2224">
      <c r="A2224" s="1">
        <v>3603193.0</v>
      </c>
      <c r="B2224" s="1" t="s">
        <v>4742</v>
      </c>
      <c r="C2224" s="1" t="s">
        <v>4720</v>
      </c>
      <c r="D2224" s="1" t="s">
        <v>4730</v>
      </c>
      <c r="E2224" s="1" t="s">
        <v>4743</v>
      </c>
      <c r="F2224" s="1" t="s">
        <v>16</v>
      </c>
      <c r="G2224" s="1" t="s">
        <v>17</v>
      </c>
      <c r="H2224" s="1" t="s">
        <v>18</v>
      </c>
      <c r="I2224" s="1" t="s">
        <v>44</v>
      </c>
      <c r="J2224" s="1">
        <v>105.0</v>
      </c>
      <c r="K2224" s="1">
        <v>31.0</v>
      </c>
      <c r="L2224" s="1">
        <v>153.0</v>
      </c>
    </row>
    <row r="2225">
      <c r="A2225" s="1">
        <v>3601034.0</v>
      </c>
      <c r="B2225" s="1" t="s">
        <v>4744</v>
      </c>
      <c r="C2225" s="1" t="s">
        <v>4720</v>
      </c>
      <c r="D2225" s="1" t="s">
        <v>4745</v>
      </c>
      <c r="E2225" s="1" t="s">
        <v>4746</v>
      </c>
      <c r="F2225" s="1" t="s">
        <v>55</v>
      </c>
      <c r="G2225" s="1" t="s">
        <v>17</v>
      </c>
      <c r="H2225" s="1" t="s">
        <v>18</v>
      </c>
      <c r="I2225" s="1" t="s">
        <v>19</v>
      </c>
      <c r="J2225" s="1">
        <v>64.0</v>
      </c>
      <c r="K2225" s="1">
        <v>14.0</v>
      </c>
      <c r="L2225" s="1">
        <v>76.0</v>
      </c>
    </row>
    <row r="2226">
      <c r="A2226" s="1">
        <v>3674008.0</v>
      </c>
      <c r="B2226" s="1" t="s">
        <v>4747</v>
      </c>
      <c r="C2226" s="1" t="s">
        <v>4720</v>
      </c>
      <c r="D2226" s="1" t="s">
        <v>4733</v>
      </c>
      <c r="E2226" s="1" t="s">
        <v>4748</v>
      </c>
      <c r="F2226" s="1" t="s">
        <v>55</v>
      </c>
      <c r="G2226" s="1" t="s">
        <v>17</v>
      </c>
      <c r="H2226" s="1" t="s">
        <v>18</v>
      </c>
      <c r="I2226" s="1" t="s">
        <v>44</v>
      </c>
      <c r="J2226" s="1">
        <v>25.0</v>
      </c>
      <c r="K2226" s="1">
        <v>18.0</v>
      </c>
      <c r="L2226" s="1">
        <v>60.0</v>
      </c>
    </row>
    <row r="2227">
      <c r="A2227" s="1">
        <v>3604013.0</v>
      </c>
      <c r="B2227" s="1" t="s">
        <v>4749</v>
      </c>
      <c r="C2227" s="1" t="s">
        <v>4720</v>
      </c>
      <c r="D2227" s="1" t="s">
        <v>4724</v>
      </c>
      <c r="E2227" s="1" t="s">
        <v>4750</v>
      </c>
      <c r="F2227" s="1" t="s">
        <v>16</v>
      </c>
      <c r="G2227" s="1" t="s">
        <v>27</v>
      </c>
      <c r="H2227" s="1" t="s">
        <v>28</v>
      </c>
      <c r="I2227" s="1" t="s">
        <v>40</v>
      </c>
      <c r="J2227" s="1">
        <v>464.0</v>
      </c>
      <c r="K2227" s="1">
        <v>45.0</v>
      </c>
      <c r="L2227" s="1">
        <v>724.0</v>
      </c>
    </row>
    <row r="2228">
      <c r="A2228" s="1">
        <v>3671146.0</v>
      </c>
      <c r="B2228" s="1" t="s">
        <v>4751</v>
      </c>
      <c r="C2228" s="1" t="s">
        <v>4720</v>
      </c>
      <c r="D2228" s="1" t="s">
        <v>4736</v>
      </c>
      <c r="E2228" s="1" t="s">
        <v>4752</v>
      </c>
      <c r="F2228" s="1" t="s">
        <v>16</v>
      </c>
      <c r="G2228" s="1" t="s">
        <v>17</v>
      </c>
      <c r="H2228" s="1" t="s">
        <v>18</v>
      </c>
      <c r="I2228" s="1" t="s">
        <v>19</v>
      </c>
      <c r="J2228" s="1">
        <v>199.0</v>
      </c>
      <c r="K2228" s="1">
        <v>84.0</v>
      </c>
      <c r="L2228" s="1">
        <v>454.0</v>
      </c>
    </row>
    <row r="2229">
      <c r="A2229" s="1">
        <v>3603191.0</v>
      </c>
      <c r="B2229" s="1" t="s">
        <v>4753</v>
      </c>
      <c r="C2229" s="1" t="s">
        <v>4720</v>
      </c>
      <c r="D2229" s="1" t="s">
        <v>4730</v>
      </c>
      <c r="E2229" s="1" t="s">
        <v>4754</v>
      </c>
      <c r="F2229" s="1" t="s">
        <v>16</v>
      </c>
      <c r="G2229" s="1" t="s">
        <v>17</v>
      </c>
      <c r="H2229" s="1" t="s">
        <v>28</v>
      </c>
      <c r="I2229" s="1" t="s">
        <v>40</v>
      </c>
      <c r="J2229" s="1">
        <v>135.0</v>
      </c>
      <c r="K2229" s="1">
        <v>70.0</v>
      </c>
      <c r="L2229" s="1">
        <v>274.0</v>
      </c>
    </row>
    <row r="2230">
      <c r="A2230" s="1">
        <v>3674022.0</v>
      </c>
      <c r="B2230" s="1" t="s">
        <v>4755</v>
      </c>
      <c r="C2230" s="1" t="s">
        <v>4720</v>
      </c>
      <c r="D2230" s="1" t="s">
        <v>4733</v>
      </c>
      <c r="E2230" s="1" t="s">
        <v>4756</v>
      </c>
      <c r="F2230" s="1" t="s">
        <v>16</v>
      </c>
      <c r="G2230" s="1" t="s">
        <v>17</v>
      </c>
      <c r="H2230" s="1" t="s">
        <v>28</v>
      </c>
      <c r="I2230" s="1" t="s">
        <v>29</v>
      </c>
      <c r="J2230" s="1">
        <v>102.0</v>
      </c>
      <c r="K2230" s="1">
        <v>34.0</v>
      </c>
      <c r="L2230" s="1">
        <v>11.0</v>
      </c>
    </row>
    <row r="2231">
      <c r="A2231" s="1">
        <v>3602045.0</v>
      </c>
      <c r="B2231" s="1" t="s">
        <v>4757</v>
      </c>
      <c r="C2231" s="1" t="s">
        <v>4720</v>
      </c>
      <c r="D2231" s="1" t="s">
        <v>4727</v>
      </c>
      <c r="E2231" s="1" t="s">
        <v>4758</v>
      </c>
      <c r="F2231" s="1" t="s">
        <v>16</v>
      </c>
      <c r="G2231" s="1" t="s">
        <v>17</v>
      </c>
      <c r="H2231" s="1" t="s">
        <v>28</v>
      </c>
      <c r="I2231" s="1" t="s">
        <v>139</v>
      </c>
      <c r="J2231" s="1">
        <v>192.0</v>
      </c>
      <c r="K2231" s="1">
        <v>52.0</v>
      </c>
      <c r="L2231" s="1">
        <v>145.0</v>
      </c>
    </row>
    <row r="2232">
      <c r="A2232" s="1">
        <v>3671203.0</v>
      </c>
      <c r="B2232" s="1" t="s">
        <v>2839</v>
      </c>
      <c r="C2232" s="1" t="s">
        <v>4720</v>
      </c>
      <c r="D2232" s="1" t="s">
        <v>4736</v>
      </c>
      <c r="E2232" s="1" t="s">
        <v>4759</v>
      </c>
      <c r="F2232" s="1" t="s">
        <v>16</v>
      </c>
      <c r="G2232" s="1" t="s">
        <v>27</v>
      </c>
      <c r="H2232" s="1" t="s">
        <v>18</v>
      </c>
      <c r="I2232" s="1" t="s">
        <v>44</v>
      </c>
      <c r="J2232" s="1">
        <v>180.0</v>
      </c>
      <c r="K2232" s="1">
        <v>110.0</v>
      </c>
      <c r="L2232" s="1">
        <v>791.0</v>
      </c>
    </row>
    <row r="2233">
      <c r="A2233" s="1">
        <v>3603023.0</v>
      </c>
      <c r="B2233" s="1" t="s">
        <v>4760</v>
      </c>
      <c r="C2233" s="1" t="s">
        <v>4720</v>
      </c>
      <c r="D2233" s="1" t="s">
        <v>4730</v>
      </c>
      <c r="E2233" s="1" t="s">
        <v>4761</v>
      </c>
      <c r="F2233" s="1" t="s">
        <v>16</v>
      </c>
      <c r="G2233" s="1" t="s">
        <v>17</v>
      </c>
      <c r="H2233" s="1" t="s">
        <v>18</v>
      </c>
      <c r="I2233" s="1" t="s">
        <v>59</v>
      </c>
      <c r="J2233" s="1">
        <v>104.0</v>
      </c>
      <c r="K2233" s="1">
        <v>49.0</v>
      </c>
      <c r="L2233" s="1">
        <v>202.0</v>
      </c>
    </row>
    <row r="2234">
      <c r="A2234" s="1">
        <v>3674005.0</v>
      </c>
      <c r="B2234" s="1" t="s">
        <v>4762</v>
      </c>
      <c r="C2234" s="1" t="s">
        <v>4720</v>
      </c>
      <c r="D2234" s="1" t="s">
        <v>4733</v>
      </c>
      <c r="E2234" s="1" t="s">
        <v>4763</v>
      </c>
      <c r="F2234" s="1" t="s">
        <v>16</v>
      </c>
      <c r="G2234" s="1" t="s">
        <v>17</v>
      </c>
      <c r="H2234" s="1" t="s">
        <v>18</v>
      </c>
      <c r="I2234" s="1" t="s">
        <v>44</v>
      </c>
      <c r="J2234" s="1">
        <v>179.0</v>
      </c>
      <c r="K2234" s="1">
        <v>106.0</v>
      </c>
      <c r="L2234" s="1">
        <v>452.0</v>
      </c>
    </row>
    <row r="2235">
      <c r="A2235" s="1">
        <v>3673004.0</v>
      </c>
      <c r="B2235" s="1" t="s">
        <v>4764</v>
      </c>
      <c r="C2235" s="1" t="s">
        <v>4720</v>
      </c>
      <c r="D2235" s="1" t="s">
        <v>4765</v>
      </c>
      <c r="E2235" s="1" t="s">
        <v>4766</v>
      </c>
      <c r="F2235" s="1" t="s">
        <v>16</v>
      </c>
      <c r="G2235" s="1" t="s">
        <v>27</v>
      </c>
      <c r="H2235" s="1" t="s">
        <v>28</v>
      </c>
      <c r="I2235" s="1" t="s">
        <v>139</v>
      </c>
      <c r="J2235" s="1">
        <v>501.0</v>
      </c>
      <c r="K2235" s="1">
        <v>83.0</v>
      </c>
      <c r="L2235" s="1">
        <v>346.0</v>
      </c>
    </row>
    <row r="2236">
      <c r="A2236" s="1">
        <v>3671214.0</v>
      </c>
      <c r="B2236" s="1" t="s">
        <v>4767</v>
      </c>
      <c r="C2236" s="1" t="s">
        <v>4720</v>
      </c>
      <c r="D2236" s="1" t="s">
        <v>4736</v>
      </c>
      <c r="E2236" s="1" t="s">
        <v>4768</v>
      </c>
      <c r="F2236" s="1" t="s">
        <v>16</v>
      </c>
      <c r="G2236" s="1" t="s">
        <v>23</v>
      </c>
      <c r="H2236" s="1" t="s">
        <v>18</v>
      </c>
      <c r="I2236" s="1" t="s">
        <v>19</v>
      </c>
      <c r="J2236" s="1">
        <v>78.0</v>
      </c>
      <c r="K2236" s="1">
        <v>48.0</v>
      </c>
      <c r="L2236" s="1">
        <v>191.0</v>
      </c>
    </row>
    <row r="2237">
      <c r="A2237" s="1">
        <v>3671065.0</v>
      </c>
      <c r="B2237" s="1" t="s">
        <v>4769</v>
      </c>
      <c r="C2237" s="1" t="s">
        <v>4720</v>
      </c>
      <c r="D2237" s="1" t="s">
        <v>4736</v>
      </c>
      <c r="E2237" s="1" t="s">
        <v>4770</v>
      </c>
      <c r="F2237" s="1" t="s">
        <v>16</v>
      </c>
      <c r="G2237" s="1" t="s">
        <v>27</v>
      </c>
      <c r="H2237" s="1" t="s">
        <v>18</v>
      </c>
      <c r="I2237" s="1" t="s">
        <v>19</v>
      </c>
      <c r="J2237" s="1">
        <v>205.0</v>
      </c>
      <c r="K2237" s="1">
        <v>108.0</v>
      </c>
      <c r="L2237" s="1">
        <v>730.0</v>
      </c>
    </row>
    <row r="2238">
      <c r="A2238" s="1">
        <v>3674021.0</v>
      </c>
      <c r="B2238" s="1" t="s">
        <v>4771</v>
      </c>
      <c r="C2238" s="1" t="s">
        <v>4720</v>
      </c>
      <c r="D2238" s="1" t="s">
        <v>4733</v>
      </c>
      <c r="E2238" s="1" t="s">
        <v>4772</v>
      </c>
      <c r="F2238" s="1" t="s">
        <v>55</v>
      </c>
      <c r="G2238" s="1" t="s">
        <v>17</v>
      </c>
      <c r="H2238" s="1" t="s">
        <v>18</v>
      </c>
      <c r="I2238" s="1" t="s">
        <v>19</v>
      </c>
      <c r="J2238" s="1">
        <v>42.0</v>
      </c>
      <c r="K2238" s="1">
        <v>44.0</v>
      </c>
      <c r="L2238" s="1">
        <v>44.0</v>
      </c>
    </row>
    <row r="2239">
      <c r="A2239" s="1">
        <v>3673047.0</v>
      </c>
      <c r="B2239" s="1" t="s">
        <v>4773</v>
      </c>
      <c r="C2239" s="1" t="s">
        <v>4720</v>
      </c>
      <c r="D2239" s="1" t="s">
        <v>4765</v>
      </c>
      <c r="E2239" s="1" t="s">
        <v>4774</v>
      </c>
      <c r="F2239" s="1" t="s">
        <v>16</v>
      </c>
      <c r="G2239" s="1" t="s">
        <v>23</v>
      </c>
      <c r="H2239" s="1" t="s">
        <v>18</v>
      </c>
      <c r="I2239" s="1" t="s">
        <v>19</v>
      </c>
      <c r="J2239" s="1">
        <v>52.0</v>
      </c>
      <c r="K2239" s="1">
        <v>22.0</v>
      </c>
      <c r="L2239" s="1">
        <v>0.0</v>
      </c>
    </row>
    <row r="2240">
      <c r="A2240" s="1">
        <v>3671208.0</v>
      </c>
      <c r="B2240" s="1" t="s">
        <v>4775</v>
      </c>
      <c r="C2240" s="1" t="s">
        <v>4720</v>
      </c>
      <c r="D2240" s="1" t="s">
        <v>4736</v>
      </c>
      <c r="E2240" s="1" t="s">
        <v>4776</v>
      </c>
      <c r="F2240" s="1" t="s">
        <v>16</v>
      </c>
      <c r="G2240" s="1" t="s">
        <v>17</v>
      </c>
      <c r="H2240" s="1" t="s">
        <v>28</v>
      </c>
      <c r="I2240" s="1" t="s">
        <v>29</v>
      </c>
      <c r="J2240" s="1">
        <v>234.0</v>
      </c>
      <c r="K2240" s="1">
        <v>55.0</v>
      </c>
      <c r="L2240" s="1">
        <v>548.0</v>
      </c>
    </row>
    <row r="2241">
      <c r="A2241" s="1">
        <v>3601037.0</v>
      </c>
      <c r="B2241" s="1" t="s">
        <v>4777</v>
      </c>
      <c r="C2241" s="1" t="s">
        <v>4720</v>
      </c>
      <c r="D2241" s="1" t="s">
        <v>4745</v>
      </c>
      <c r="E2241" s="1" t="s">
        <v>4778</v>
      </c>
      <c r="F2241" s="1" t="s">
        <v>16</v>
      </c>
      <c r="G2241" s="1" t="s">
        <v>23</v>
      </c>
      <c r="H2241" s="1" t="s">
        <v>18</v>
      </c>
      <c r="I2241" s="1" t="s">
        <v>19</v>
      </c>
      <c r="J2241" s="1">
        <v>76.0</v>
      </c>
      <c r="K2241" s="1">
        <v>23.0</v>
      </c>
      <c r="L2241" s="1">
        <v>33.0</v>
      </c>
    </row>
    <row r="2242">
      <c r="A2242" s="1">
        <v>3674206.0</v>
      </c>
      <c r="B2242" s="1" t="s">
        <v>4779</v>
      </c>
      <c r="C2242" s="1" t="s">
        <v>4720</v>
      </c>
      <c r="D2242" s="1" t="s">
        <v>4733</v>
      </c>
      <c r="E2242" s="1" t="s">
        <v>4780</v>
      </c>
      <c r="F2242" s="1" t="s">
        <v>255</v>
      </c>
      <c r="G2242" s="1" t="s">
        <v>17</v>
      </c>
      <c r="H2242" s="1" t="s">
        <v>18</v>
      </c>
      <c r="I2242" s="1" t="s">
        <v>44</v>
      </c>
      <c r="J2242" s="1">
        <v>25.0</v>
      </c>
      <c r="K2242" s="1">
        <v>9.0</v>
      </c>
      <c r="L2242" s="1">
        <v>0.0</v>
      </c>
    </row>
    <row r="2243">
      <c r="A2243" s="1">
        <v>3603188.0</v>
      </c>
      <c r="B2243" s="1" t="s">
        <v>4781</v>
      </c>
      <c r="C2243" s="1" t="s">
        <v>4720</v>
      </c>
      <c r="D2243" s="1" t="s">
        <v>4736</v>
      </c>
      <c r="E2243" s="1" t="s">
        <v>4782</v>
      </c>
      <c r="F2243" s="1" t="s">
        <v>16</v>
      </c>
      <c r="G2243" s="1" t="s">
        <v>23</v>
      </c>
      <c r="H2243" s="1" t="s">
        <v>18</v>
      </c>
      <c r="I2243" s="1" t="s">
        <v>19</v>
      </c>
      <c r="J2243" s="1">
        <v>82.0</v>
      </c>
      <c r="K2243" s="1">
        <v>40.0</v>
      </c>
      <c r="L2243" s="1">
        <v>52.0</v>
      </c>
    </row>
    <row r="2244">
      <c r="A2244" s="1">
        <v>3603176.0</v>
      </c>
      <c r="B2244" s="1" t="s">
        <v>4783</v>
      </c>
      <c r="C2244" s="1" t="s">
        <v>4720</v>
      </c>
      <c r="D2244" s="1" t="s">
        <v>4730</v>
      </c>
      <c r="E2244" s="1" t="s">
        <v>4784</v>
      </c>
      <c r="F2244" s="1" t="s">
        <v>16</v>
      </c>
      <c r="G2244" s="1" t="s">
        <v>17</v>
      </c>
      <c r="H2244" s="1" t="s">
        <v>18</v>
      </c>
      <c r="I2244" s="1" t="s">
        <v>44</v>
      </c>
      <c r="J2244" s="1">
        <v>88.0</v>
      </c>
      <c r="K2244" s="1">
        <v>48.0</v>
      </c>
      <c r="L2244" s="1">
        <v>135.0</v>
      </c>
    </row>
    <row r="2245">
      <c r="A2245" s="1">
        <v>3671222.0</v>
      </c>
      <c r="B2245" s="1" t="s">
        <v>4785</v>
      </c>
      <c r="C2245" s="1" t="s">
        <v>4720</v>
      </c>
      <c r="D2245" s="1" t="s">
        <v>4736</v>
      </c>
      <c r="E2245" s="1" t="s">
        <v>4786</v>
      </c>
      <c r="F2245" s="1" t="s">
        <v>55</v>
      </c>
      <c r="G2245" s="1" t="s">
        <v>17</v>
      </c>
      <c r="H2245" s="1" t="s">
        <v>18</v>
      </c>
      <c r="I2245" s="1" t="s">
        <v>19</v>
      </c>
      <c r="J2245" s="1">
        <v>38.0</v>
      </c>
      <c r="K2245" s="1">
        <v>21.0</v>
      </c>
      <c r="L2245" s="1">
        <v>68.0</v>
      </c>
    </row>
    <row r="2246">
      <c r="A2246" s="1">
        <v>3604035.0</v>
      </c>
      <c r="B2246" s="1" t="s">
        <v>4787</v>
      </c>
      <c r="C2246" s="1" t="s">
        <v>4720</v>
      </c>
      <c r="D2246" s="1" t="s">
        <v>4765</v>
      </c>
      <c r="E2246" s="1" t="s">
        <v>4788</v>
      </c>
      <c r="F2246" s="1" t="s">
        <v>16</v>
      </c>
      <c r="G2246" s="1" t="s">
        <v>17</v>
      </c>
      <c r="H2246" s="1" t="s">
        <v>18</v>
      </c>
      <c r="I2246" s="1" t="s">
        <v>19</v>
      </c>
      <c r="J2246" s="1">
        <v>112.0</v>
      </c>
      <c r="K2246" s="1">
        <v>41.0</v>
      </c>
      <c r="L2246" s="1">
        <v>301.0</v>
      </c>
    </row>
    <row r="2247">
      <c r="A2247" s="1">
        <v>3603169.0</v>
      </c>
      <c r="B2247" s="1" t="s">
        <v>4789</v>
      </c>
      <c r="C2247" s="1" t="s">
        <v>4720</v>
      </c>
      <c r="D2247" s="1" t="s">
        <v>4730</v>
      </c>
      <c r="E2247" s="1" t="s">
        <v>4790</v>
      </c>
      <c r="F2247" s="1" t="s">
        <v>16</v>
      </c>
      <c r="G2247" s="1" t="s">
        <v>17</v>
      </c>
      <c r="H2247" s="1" t="s">
        <v>18</v>
      </c>
      <c r="I2247" s="1" t="s">
        <v>44</v>
      </c>
      <c r="J2247" s="1">
        <v>165.0</v>
      </c>
      <c r="K2247" s="1">
        <v>39.0</v>
      </c>
      <c r="L2247" s="1">
        <v>271.0</v>
      </c>
    </row>
    <row r="2248">
      <c r="A2248" s="1">
        <v>3603047.0</v>
      </c>
      <c r="B2248" s="1" t="s">
        <v>4791</v>
      </c>
      <c r="C2248" s="1" t="s">
        <v>4720</v>
      </c>
      <c r="D2248" s="1" t="s">
        <v>4730</v>
      </c>
      <c r="E2248" s="1" t="s">
        <v>4792</v>
      </c>
      <c r="F2248" s="1" t="s">
        <v>16</v>
      </c>
      <c r="G2248" s="1" t="s">
        <v>23</v>
      </c>
      <c r="H2248" s="1" t="s">
        <v>18</v>
      </c>
      <c r="I2248" s="1" t="s">
        <v>44</v>
      </c>
      <c r="J2248" s="1">
        <v>80.0</v>
      </c>
      <c r="K2248" s="1">
        <v>20.0</v>
      </c>
      <c r="L2248" s="1">
        <v>36.0</v>
      </c>
    </row>
    <row r="2249">
      <c r="A2249" s="1">
        <v>3601048.0</v>
      </c>
      <c r="B2249" s="1" t="s">
        <v>4793</v>
      </c>
      <c r="C2249" s="1" t="s">
        <v>4720</v>
      </c>
      <c r="D2249" s="1" t="s">
        <v>4745</v>
      </c>
      <c r="E2249" s="1" t="s">
        <v>4794</v>
      </c>
      <c r="F2249" s="1" t="s">
        <v>16</v>
      </c>
      <c r="G2249" s="1" t="s">
        <v>23</v>
      </c>
      <c r="H2249" s="1" t="s">
        <v>18</v>
      </c>
      <c r="I2249" s="1" t="s">
        <v>19</v>
      </c>
      <c r="J2249" s="1">
        <v>72.0</v>
      </c>
      <c r="K2249" s="1">
        <v>23.0</v>
      </c>
      <c r="L2249" s="1">
        <v>0.0</v>
      </c>
    </row>
    <row r="2250">
      <c r="A2250" s="1">
        <v>3672022.0</v>
      </c>
      <c r="B2250" s="1" t="s">
        <v>4795</v>
      </c>
      <c r="C2250" s="1" t="s">
        <v>4720</v>
      </c>
      <c r="D2250" s="1" t="s">
        <v>4721</v>
      </c>
      <c r="E2250" s="1" t="s">
        <v>4796</v>
      </c>
      <c r="F2250" s="1" t="s">
        <v>16</v>
      </c>
      <c r="G2250" s="1" t="s">
        <v>27</v>
      </c>
      <c r="H2250" s="1" t="s">
        <v>28</v>
      </c>
      <c r="I2250" s="1" t="s">
        <v>29</v>
      </c>
      <c r="J2250" s="1">
        <v>233.0</v>
      </c>
      <c r="K2250" s="1">
        <v>92.0</v>
      </c>
      <c r="L2250" s="1">
        <v>489.0</v>
      </c>
    </row>
    <row r="2251">
      <c r="A2251" s="1">
        <v>3674020.0</v>
      </c>
      <c r="B2251" s="1" t="s">
        <v>4797</v>
      </c>
      <c r="C2251" s="1" t="s">
        <v>4720</v>
      </c>
      <c r="D2251" s="1" t="s">
        <v>4733</v>
      </c>
      <c r="E2251" s="1" t="s">
        <v>4798</v>
      </c>
      <c r="F2251" s="1" t="s">
        <v>16</v>
      </c>
      <c r="G2251" s="1" t="s">
        <v>17</v>
      </c>
      <c r="H2251" s="1" t="s">
        <v>18</v>
      </c>
      <c r="I2251" s="1" t="s">
        <v>44</v>
      </c>
      <c r="J2251" s="1">
        <v>100.0</v>
      </c>
      <c r="K2251" s="1">
        <v>90.0</v>
      </c>
      <c r="L2251" s="1">
        <v>129.0</v>
      </c>
    </row>
    <row r="2252">
      <c r="A2252" s="1">
        <v>3674205.0</v>
      </c>
      <c r="B2252" s="1" t="s">
        <v>4799</v>
      </c>
      <c r="C2252" s="1" t="s">
        <v>4720</v>
      </c>
      <c r="D2252" s="1" t="s">
        <v>4733</v>
      </c>
      <c r="E2252" s="1" t="s">
        <v>4800</v>
      </c>
      <c r="F2252" s="1" t="s">
        <v>16</v>
      </c>
      <c r="G2252" s="1" t="s">
        <v>17</v>
      </c>
      <c r="H2252" s="1" t="s">
        <v>18</v>
      </c>
      <c r="I2252" s="1" t="s">
        <v>19</v>
      </c>
      <c r="J2252" s="1">
        <v>99.0</v>
      </c>
      <c r="K2252" s="1">
        <v>36.0</v>
      </c>
      <c r="L2252" s="1">
        <v>0.0</v>
      </c>
    </row>
    <row r="2253">
      <c r="A2253" s="1">
        <v>3603082.0</v>
      </c>
      <c r="B2253" s="1" t="s">
        <v>4801</v>
      </c>
      <c r="C2253" s="1" t="s">
        <v>4720</v>
      </c>
      <c r="D2253" s="1" t="s">
        <v>4733</v>
      </c>
      <c r="E2253" s="1" t="s">
        <v>4802</v>
      </c>
      <c r="F2253" s="1" t="s">
        <v>16</v>
      </c>
      <c r="G2253" s="1" t="s">
        <v>17</v>
      </c>
      <c r="H2253" s="1" t="s">
        <v>18</v>
      </c>
      <c r="I2253" s="1" t="s">
        <v>19</v>
      </c>
      <c r="J2253" s="1">
        <v>107.0</v>
      </c>
      <c r="K2253" s="1">
        <v>47.0</v>
      </c>
      <c r="L2253" s="1">
        <v>146.0</v>
      </c>
    </row>
    <row r="2254">
      <c r="A2254" s="1">
        <v>3671216.0</v>
      </c>
      <c r="B2254" s="1" t="s">
        <v>4803</v>
      </c>
      <c r="C2254" s="1" t="s">
        <v>4720</v>
      </c>
      <c r="D2254" s="1" t="s">
        <v>4733</v>
      </c>
      <c r="E2254" s="1" t="s">
        <v>4804</v>
      </c>
      <c r="F2254" s="1" t="s">
        <v>16</v>
      </c>
      <c r="G2254" s="1" t="s">
        <v>17</v>
      </c>
      <c r="H2254" s="1" t="s">
        <v>18</v>
      </c>
      <c r="I2254" s="1" t="s">
        <v>19</v>
      </c>
      <c r="J2254" s="1">
        <v>100.0</v>
      </c>
      <c r="K2254" s="1">
        <v>32.0</v>
      </c>
      <c r="L2254" s="1">
        <v>243.0</v>
      </c>
    </row>
    <row r="2255">
      <c r="A2255" s="1">
        <v>3671080.0</v>
      </c>
      <c r="B2255" s="1" t="s">
        <v>4805</v>
      </c>
      <c r="C2255" s="1" t="s">
        <v>4720</v>
      </c>
      <c r="D2255" s="1" t="s">
        <v>4736</v>
      </c>
      <c r="E2255" s="1" t="s">
        <v>4806</v>
      </c>
      <c r="F2255" s="1" t="s">
        <v>16</v>
      </c>
      <c r="G2255" s="1" t="s">
        <v>27</v>
      </c>
      <c r="H2255" s="1" t="s">
        <v>18</v>
      </c>
      <c r="I2255" s="1" t="s">
        <v>19</v>
      </c>
      <c r="J2255" s="1">
        <v>222.0</v>
      </c>
      <c r="K2255" s="1">
        <v>71.0</v>
      </c>
      <c r="L2255" s="1">
        <v>912.0</v>
      </c>
    </row>
    <row r="2256">
      <c r="A2256" s="1">
        <v>3674003.0</v>
      </c>
      <c r="B2256" s="1" t="s">
        <v>4807</v>
      </c>
      <c r="C2256" s="1" t="s">
        <v>4720</v>
      </c>
      <c r="D2256" s="1" t="s">
        <v>4733</v>
      </c>
      <c r="E2256" s="1" t="s">
        <v>4808</v>
      </c>
      <c r="F2256" s="1" t="s">
        <v>55</v>
      </c>
      <c r="G2256" s="1" t="s">
        <v>17</v>
      </c>
      <c r="H2256" s="1" t="s">
        <v>18</v>
      </c>
      <c r="I2256" s="1" t="s">
        <v>19</v>
      </c>
      <c r="J2256" s="1">
        <v>36.0</v>
      </c>
      <c r="K2256" s="1">
        <v>17.0</v>
      </c>
      <c r="L2256" s="1">
        <v>55.0</v>
      </c>
    </row>
    <row r="2257">
      <c r="A2257" s="1">
        <v>3671217.0</v>
      </c>
      <c r="B2257" s="1" t="s">
        <v>4809</v>
      </c>
      <c r="C2257" s="1" t="s">
        <v>4720</v>
      </c>
      <c r="D2257" s="1" t="s">
        <v>4736</v>
      </c>
      <c r="E2257" s="1" t="s">
        <v>4810</v>
      </c>
      <c r="F2257" s="1" t="s">
        <v>55</v>
      </c>
      <c r="G2257" s="1" t="s">
        <v>17</v>
      </c>
      <c r="H2257" s="1" t="s">
        <v>18</v>
      </c>
      <c r="I2257" s="1" t="s">
        <v>44</v>
      </c>
      <c r="J2257" s="1">
        <v>28.0</v>
      </c>
      <c r="K2257" s="1">
        <v>19.0</v>
      </c>
      <c r="L2257" s="1">
        <v>52.0</v>
      </c>
    </row>
    <row r="2258">
      <c r="A2258" s="1">
        <v>3603168.0</v>
      </c>
      <c r="B2258" s="1" t="s">
        <v>4811</v>
      </c>
      <c r="C2258" s="1" t="s">
        <v>4720</v>
      </c>
      <c r="D2258" s="1" t="s">
        <v>4730</v>
      </c>
      <c r="E2258" s="1" t="s">
        <v>4812</v>
      </c>
      <c r="F2258" s="1" t="s">
        <v>16</v>
      </c>
      <c r="G2258" s="1" t="s">
        <v>23</v>
      </c>
      <c r="H2258" s="1" t="s">
        <v>18</v>
      </c>
      <c r="I2258" s="1" t="s">
        <v>59</v>
      </c>
      <c r="J2258" s="1">
        <v>55.0</v>
      </c>
      <c r="K2258" s="1">
        <v>29.0</v>
      </c>
      <c r="L2258" s="1">
        <v>67.0</v>
      </c>
    </row>
    <row r="2259">
      <c r="A2259" s="1">
        <v>3671218.0</v>
      </c>
      <c r="B2259" s="1" t="s">
        <v>4813</v>
      </c>
      <c r="C2259" s="1" t="s">
        <v>4720</v>
      </c>
      <c r="D2259" s="1" t="s">
        <v>4736</v>
      </c>
      <c r="E2259" s="1" t="s">
        <v>4814</v>
      </c>
      <c r="F2259" s="1" t="s">
        <v>55</v>
      </c>
      <c r="G2259" s="1" t="s">
        <v>17</v>
      </c>
      <c r="H2259" s="1" t="s">
        <v>18</v>
      </c>
      <c r="I2259" s="1" t="s">
        <v>684</v>
      </c>
      <c r="J2259" s="1">
        <v>35.0</v>
      </c>
      <c r="K2259" s="1">
        <v>19.0</v>
      </c>
      <c r="L2259" s="1">
        <v>79.0</v>
      </c>
    </row>
    <row r="2260">
      <c r="A2260" s="1">
        <v>3603178.0</v>
      </c>
      <c r="B2260" s="1" t="s">
        <v>4815</v>
      </c>
      <c r="C2260" s="1" t="s">
        <v>4720</v>
      </c>
      <c r="D2260" s="1" t="s">
        <v>4730</v>
      </c>
      <c r="E2260" s="1" t="s">
        <v>4816</v>
      </c>
      <c r="F2260" s="1" t="s">
        <v>55</v>
      </c>
      <c r="G2260" s="1" t="s">
        <v>17</v>
      </c>
      <c r="H2260" s="1" t="s">
        <v>18</v>
      </c>
      <c r="I2260" s="1" t="s">
        <v>19</v>
      </c>
      <c r="J2260" s="1">
        <v>29.0</v>
      </c>
      <c r="K2260" s="1">
        <v>20.0</v>
      </c>
      <c r="L2260" s="1">
        <v>111.0</v>
      </c>
    </row>
    <row r="2261">
      <c r="A2261" s="1">
        <v>3603010.0</v>
      </c>
      <c r="B2261" s="1" t="s">
        <v>4817</v>
      </c>
      <c r="C2261" s="1" t="s">
        <v>4720</v>
      </c>
      <c r="D2261" s="1" t="s">
        <v>4730</v>
      </c>
      <c r="E2261" s="1" t="s">
        <v>4818</v>
      </c>
      <c r="F2261" s="1" t="s">
        <v>16</v>
      </c>
      <c r="G2261" s="1" t="s">
        <v>27</v>
      </c>
      <c r="H2261" s="1" t="s">
        <v>28</v>
      </c>
      <c r="I2261" s="1" t="s">
        <v>40</v>
      </c>
      <c r="J2261" s="1">
        <v>329.0</v>
      </c>
      <c r="K2261" s="1">
        <v>138.0</v>
      </c>
      <c r="L2261" s="1">
        <v>1344.0</v>
      </c>
    </row>
    <row r="2262">
      <c r="A2262" s="1">
        <v>3603173.0</v>
      </c>
      <c r="B2262" s="1" t="s">
        <v>4819</v>
      </c>
      <c r="C2262" s="1" t="s">
        <v>4720</v>
      </c>
      <c r="D2262" s="1" t="s">
        <v>4730</v>
      </c>
      <c r="E2262" s="1" t="s">
        <v>4820</v>
      </c>
      <c r="F2262" s="1" t="s">
        <v>55</v>
      </c>
      <c r="G2262" s="1" t="s">
        <v>17</v>
      </c>
      <c r="H2262" s="1" t="s">
        <v>18</v>
      </c>
      <c r="I2262" s="1" t="s">
        <v>44</v>
      </c>
      <c r="J2262" s="1">
        <v>77.0</v>
      </c>
      <c r="K2262" s="1">
        <v>16.0</v>
      </c>
      <c r="L2262" s="1">
        <v>82.0</v>
      </c>
    </row>
    <row r="2263">
      <c r="A2263" s="1">
        <v>3671221.0</v>
      </c>
      <c r="B2263" s="1" t="s">
        <v>4821</v>
      </c>
      <c r="C2263" s="1" t="s">
        <v>4720</v>
      </c>
      <c r="D2263" s="1" t="s">
        <v>4736</v>
      </c>
      <c r="E2263" s="1" t="s">
        <v>4822</v>
      </c>
      <c r="F2263" s="1" t="s">
        <v>55</v>
      </c>
      <c r="G2263" s="1" t="s">
        <v>17</v>
      </c>
      <c r="H2263" s="1" t="s">
        <v>18</v>
      </c>
      <c r="I2263" s="1" t="s">
        <v>19</v>
      </c>
      <c r="J2263" s="1">
        <v>38.0</v>
      </c>
      <c r="K2263" s="1">
        <v>11.0</v>
      </c>
      <c r="L2263" s="1">
        <v>46.0</v>
      </c>
    </row>
    <row r="2264">
      <c r="A2264" s="1">
        <v>3602012.0</v>
      </c>
      <c r="B2264" s="1" t="s">
        <v>2238</v>
      </c>
      <c r="C2264" s="1" t="s">
        <v>4720</v>
      </c>
      <c r="D2264" s="1" t="s">
        <v>4727</v>
      </c>
      <c r="E2264" s="1" t="s">
        <v>4823</v>
      </c>
      <c r="F2264" s="1" t="s">
        <v>16</v>
      </c>
      <c r="G2264" s="1" t="s">
        <v>17</v>
      </c>
      <c r="H2264" s="1" t="s">
        <v>18</v>
      </c>
      <c r="I2264" s="1" t="s">
        <v>44</v>
      </c>
      <c r="J2264" s="1">
        <v>156.0</v>
      </c>
      <c r="K2264" s="1">
        <v>31.0</v>
      </c>
      <c r="L2264" s="1">
        <v>233.0</v>
      </c>
    </row>
    <row r="2265">
      <c r="A2265" s="1">
        <v>3674013.0</v>
      </c>
      <c r="B2265" s="1" t="s">
        <v>4824</v>
      </c>
      <c r="C2265" s="1" t="s">
        <v>4720</v>
      </c>
      <c r="D2265" s="1" t="s">
        <v>4733</v>
      </c>
      <c r="E2265" s="1" t="s">
        <v>4825</v>
      </c>
      <c r="F2265" s="1" t="s">
        <v>55</v>
      </c>
      <c r="G2265" s="1" t="s">
        <v>17</v>
      </c>
      <c r="H2265" s="1" t="s">
        <v>18</v>
      </c>
      <c r="I2265" s="1" t="s">
        <v>44</v>
      </c>
      <c r="J2265" s="1">
        <v>50.0</v>
      </c>
      <c r="K2265" s="1">
        <v>31.0</v>
      </c>
      <c r="L2265" s="1">
        <v>101.0</v>
      </c>
    </row>
    <row r="2266">
      <c r="A2266" s="1">
        <v>3603104.0</v>
      </c>
      <c r="B2266" s="1" t="s">
        <v>4826</v>
      </c>
      <c r="C2266" s="1" t="s">
        <v>4720</v>
      </c>
      <c r="D2266" s="1" t="s">
        <v>4730</v>
      </c>
      <c r="E2266" s="1" t="s">
        <v>4827</v>
      </c>
      <c r="F2266" s="1" t="s">
        <v>55</v>
      </c>
      <c r="G2266" s="1" t="s">
        <v>17</v>
      </c>
      <c r="H2266" s="1" t="s">
        <v>18</v>
      </c>
      <c r="I2266" s="1" t="s">
        <v>19</v>
      </c>
      <c r="J2266" s="1">
        <v>43.0</v>
      </c>
      <c r="K2266" s="1">
        <v>21.0</v>
      </c>
      <c r="L2266" s="1">
        <v>67.0</v>
      </c>
    </row>
    <row r="2267">
      <c r="A2267" s="1">
        <v>3603195.0</v>
      </c>
      <c r="B2267" s="1" t="s">
        <v>4828</v>
      </c>
      <c r="C2267" s="1" t="s">
        <v>4720</v>
      </c>
      <c r="D2267" s="1" t="s">
        <v>4730</v>
      </c>
      <c r="E2267" s="1" t="s">
        <v>4829</v>
      </c>
      <c r="F2267" s="1" t="s">
        <v>16</v>
      </c>
      <c r="G2267" s="1" t="s">
        <v>17</v>
      </c>
      <c r="H2267" s="1" t="s">
        <v>18</v>
      </c>
      <c r="I2267" s="1" t="s">
        <v>44</v>
      </c>
      <c r="J2267" s="1">
        <v>109.0</v>
      </c>
      <c r="K2267" s="1">
        <v>26.0</v>
      </c>
      <c r="L2267" s="1">
        <v>229.0</v>
      </c>
    </row>
    <row r="2268">
      <c r="A2268" s="1">
        <v>3674113.0</v>
      </c>
      <c r="B2268" s="1" t="s">
        <v>4830</v>
      </c>
      <c r="C2268" s="1" t="s">
        <v>4720</v>
      </c>
      <c r="D2268" s="1" t="s">
        <v>4733</v>
      </c>
      <c r="E2268" s="1" t="s">
        <v>4831</v>
      </c>
      <c r="F2268" s="1" t="s">
        <v>16</v>
      </c>
      <c r="G2268" s="1" t="s">
        <v>27</v>
      </c>
      <c r="H2268" s="1" t="s">
        <v>18</v>
      </c>
      <c r="I2268" s="1" t="s">
        <v>19</v>
      </c>
      <c r="J2268" s="1">
        <v>203.0</v>
      </c>
      <c r="K2268" s="1">
        <v>102.0</v>
      </c>
      <c r="L2268" s="1">
        <v>875.0</v>
      </c>
    </row>
    <row r="2269">
      <c r="A2269" s="1">
        <v>3671207.0</v>
      </c>
      <c r="B2269" s="1" t="s">
        <v>4832</v>
      </c>
      <c r="C2269" s="1" t="s">
        <v>4720</v>
      </c>
      <c r="D2269" s="1" t="s">
        <v>4736</v>
      </c>
      <c r="E2269" s="1" t="s">
        <v>4833</v>
      </c>
      <c r="F2269" s="1" t="s">
        <v>16</v>
      </c>
      <c r="G2269" s="1" t="s">
        <v>17</v>
      </c>
      <c r="H2269" s="1" t="s">
        <v>18</v>
      </c>
      <c r="I2269" s="1" t="s">
        <v>44</v>
      </c>
      <c r="J2269" s="1">
        <v>134.0</v>
      </c>
      <c r="K2269" s="1">
        <v>51.0</v>
      </c>
      <c r="L2269" s="1">
        <v>206.0</v>
      </c>
    </row>
    <row r="2270">
      <c r="A2270" s="1">
        <v>3674014.0</v>
      </c>
      <c r="B2270" s="1" t="s">
        <v>4834</v>
      </c>
      <c r="C2270" s="1" t="s">
        <v>4720</v>
      </c>
      <c r="D2270" s="1" t="s">
        <v>4733</v>
      </c>
      <c r="E2270" s="1" t="s">
        <v>4835</v>
      </c>
      <c r="F2270" s="1" t="s">
        <v>16</v>
      </c>
      <c r="G2270" s="1" t="s">
        <v>17</v>
      </c>
      <c r="H2270" s="1" t="s">
        <v>18</v>
      </c>
      <c r="I2270" s="1" t="s">
        <v>19</v>
      </c>
      <c r="J2270" s="1">
        <v>125.0</v>
      </c>
      <c r="K2270" s="1">
        <v>81.0</v>
      </c>
      <c r="L2270" s="1">
        <v>227.0</v>
      </c>
    </row>
    <row r="2271">
      <c r="A2271" s="1">
        <v>3674204.0</v>
      </c>
      <c r="B2271" s="1" t="s">
        <v>4836</v>
      </c>
      <c r="C2271" s="1" t="s">
        <v>4720</v>
      </c>
      <c r="D2271" s="1" t="s">
        <v>4733</v>
      </c>
      <c r="E2271" s="1" t="s">
        <v>4837</v>
      </c>
      <c r="F2271" s="1" t="s">
        <v>16</v>
      </c>
      <c r="G2271" s="1" t="s">
        <v>17</v>
      </c>
      <c r="H2271" s="1" t="s">
        <v>18</v>
      </c>
      <c r="I2271" s="1" t="s">
        <v>29</v>
      </c>
      <c r="J2271" s="1">
        <v>93.0</v>
      </c>
      <c r="K2271" s="1">
        <v>21.0</v>
      </c>
      <c r="L2271" s="1">
        <v>0.0</v>
      </c>
    </row>
    <row r="2272">
      <c r="A2272" s="1">
        <v>3604002.0</v>
      </c>
      <c r="B2272" s="1" t="s">
        <v>4838</v>
      </c>
      <c r="C2272" s="1" t="s">
        <v>4720</v>
      </c>
      <c r="D2272" s="1" t="s">
        <v>4724</v>
      </c>
      <c r="E2272" s="1" t="s">
        <v>4839</v>
      </c>
      <c r="F2272" s="1" t="s">
        <v>16</v>
      </c>
      <c r="G2272" s="1" t="s">
        <v>17</v>
      </c>
      <c r="H2272" s="1" t="s">
        <v>18</v>
      </c>
      <c r="I2272" s="1" t="s">
        <v>44</v>
      </c>
      <c r="J2272" s="1">
        <v>280.0</v>
      </c>
      <c r="K2272" s="1">
        <v>49.0</v>
      </c>
      <c r="L2272" s="1">
        <v>362.0</v>
      </c>
    </row>
    <row r="2273">
      <c r="A2273" s="1">
        <v>3603190.0</v>
      </c>
      <c r="B2273" s="1" t="s">
        <v>4840</v>
      </c>
      <c r="C2273" s="1" t="s">
        <v>4720</v>
      </c>
      <c r="D2273" s="1" t="s">
        <v>4730</v>
      </c>
      <c r="E2273" s="1" t="s">
        <v>4841</v>
      </c>
      <c r="F2273" s="1" t="s">
        <v>55</v>
      </c>
      <c r="G2273" s="1" t="s">
        <v>17</v>
      </c>
      <c r="H2273" s="1" t="s">
        <v>18</v>
      </c>
      <c r="I2273" s="1" t="s">
        <v>19</v>
      </c>
      <c r="J2273" s="1">
        <v>52.0</v>
      </c>
      <c r="K2273" s="1">
        <v>29.0</v>
      </c>
      <c r="L2273" s="1">
        <v>53.0</v>
      </c>
    </row>
    <row r="2274">
      <c r="A2274" s="1">
        <v>3671032.0</v>
      </c>
      <c r="B2274" s="1" t="s">
        <v>4842</v>
      </c>
      <c r="C2274" s="1" t="s">
        <v>4720</v>
      </c>
      <c r="D2274" s="1" t="s">
        <v>4736</v>
      </c>
      <c r="E2274" s="1" t="s">
        <v>4843</v>
      </c>
      <c r="F2274" s="1" t="s">
        <v>16</v>
      </c>
      <c r="G2274" s="1" t="s">
        <v>27</v>
      </c>
      <c r="H2274" s="1" t="s">
        <v>33</v>
      </c>
      <c r="I2274" s="1" t="s">
        <v>411</v>
      </c>
      <c r="J2274" s="1">
        <v>250.0</v>
      </c>
      <c r="K2274" s="1">
        <v>69.0</v>
      </c>
      <c r="L2274" s="1">
        <v>606.0</v>
      </c>
    </row>
    <row r="2275">
      <c r="A2275" s="1">
        <v>3671242.0</v>
      </c>
      <c r="B2275" s="1" t="s">
        <v>4844</v>
      </c>
      <c r="C2275" s="1" t="s">
        <v>4720</v>
      </c>
      <c r="D2275" s="1" t="s">
        <v>4736</v>
      </c>
      <c r="E2275" s="1" t="s">
        <v>4845</v>
      </c>
      <c r="F2275" s="1" t="s">
        <v>16</v>
      </c>
      <c r="G2275" s="1" t="s">
        <v>23</v>
      </c>
      <c r="H2275" s="1" t="s">
        <v>18</v>
      </c>
      <c r="I2275" s="1" t="s">
        <v>29</v>
      </c>
      <c r="J2275" s="1">
        <v>60.0</v>
      </c>
      <c r="K2275" s="1">
        <v>39.0</v>
      </c>
      <c r="L2275" s="1">
        <v>0.0</v>
      </c>
    </row>
    <row r="2276">
      <c r="A2276" s="1">
        <v>3674016.0</v>
      </c>
      <c r="B2276" s="1" t="s">
        <v>4846</v>
      </c>
      <c r="C2276" s="1" t="s">
        <v>4720</v>
      </c>
      <c r="D2276" s="1" t="s">
        <v>4733</v>
      </c>
      <c r="E2276" s="1" t="s">
        <v>4847</v>
      </c>
      <c r="F2276" s="1" t="s">
        <v>16</v>
      </c>
      <c r="G2276" s="1" t="s">
        <v>17</v>
      </c>
      <c r="H2276" s="1" t="s">
        <v>18</v>
      </c>
      <c r="I2276" s="1" t="s">
        <v>19</v>
      </c>
      <c r="J2276" s="1">
        <v>104.0</v>
      </c>
      <c r="K2276" s="1">
        <v>27.0</v>
      </c>
      <c r="L2276" s="1">
        <v>132.0</v>
      </c>
    </row>
    <row r="2277">
      <c r="A2277" s="1">
        <v>3673012.0</v>
      </c>
      <c r="B2277" s="1" t="s">
        <v>4848</v>
      </c>
      <c r="C2277" s="1" t="s">
        <v>4720</v>
      </c>
      <c r="D2277" s="1" t="s">
        <v>4765</v>
      </c>
      <c r="E2277" s="1" t="s">
        <v>4849</v>
      </c>
      <c r="F2277" s="1" t="s">
        <v>16</v>
      </c>
      <c r="G2277" s="1" t="s">
        <v>17</v>
      </c>
      <c r="H2277" s="1" t="s">
        <v>28</v>
      </c>
      <c r="I2277" s="1" t="s">
        <v>29</v>
      </c>
      <c r="J2277" s="1">
        <v>128.0</v>
      </c>
      <c r="K2277" s="1">
        <v>11.0</v>
      </c>
      <c r="L2277" s="1">
        <v>153.0</v>
      </c>
    </row>
    <row r="2278">
      <c r="A2278" s="1">
        <v>3672040.0</v>
      </c>
      <c r="B2278" s="1" t="s">
        <v>4850</v>
      </c>
      <c r="C2278" s="1" t="s">
        <v>4720</v>
      </c>
      <c r="D2278" s="1" t="s">
        <v>4721</v>
      </c>
      <c r="E2278" s="1" t="s">
        <v>4851</v>
      </c>
      <c r="F2278" s="1" t="s">
        <v>16</v>
      </c>
      <c r="G2278" s="1" t="s">
        <v>23</v>
      </c>
      <c r="H2278" s="1" t="s">
        <v>18</v>
      </c>
      <c r="I2278" s="1" t="s">
        <v>19</v>
      </c>
      <c r="J2278" s="1">
        <v>55.0</v>
      </c>
      <c r="K2278" s="1">
        <v>25.0</v>
      </c>
      <c r="L2278" s="1">
        <v>113.0</v>
      </c>
    </row>
    <row r="2279">
      <c r="A2279" s="1">
        <v>3603189.0</v>
      </c>
      <c r="B2279" s="1" t="s">
        <v>4852</v>
      </c>
      <c r="C2279" s="1" t="s">
        <v>4720</v>
      </c>
      <c r="D2279" s="1" t="s">
        <v>4730</v>
      </c>
      <c r="E2279" s="1" t="s">
        <v>4853</v>
      </c>
      <c r="F2279" s="1" t="s">
        <v>16</v>
      </c>
      <c r="G2279" s="1" t="s">
        <v>17</v>
      </c>
      <c r="H2279" s="1" t="s">
        <v>18</v>
      </c>
      <c r="I2279" s="1" t="s">
        <v>19</v>
      </c>
      <c r="J2279" s="1">
        <v>146.0</v>
      </c>
      <c r="K2279" s="1">
        <v>19.0</v>
      </c>
      <c r="L2279" s="1">
        <v>71.0</v>
      </c>
    </row>
    <row r="2280">
      <c r="A2280" s="1">
        <v>3603157.0</v>
      </c>
      <c r="B2280" s="1" t="s">
        <v>4854</v>
      </c>
      <c r="C2280" s="1" t="s">
        <v>4720</v>
      </c>
      <c r="D2280" s="1" t="s">
        <v>4730</v>
      </c>
      <c r="E2280" s="1" t="s">
        <v>4855</v>
      </c>
      <c r="F2280" s="1" t="s">
        <v>16</v>
      </c>
      <c r="G2280" s="1" t="s">
        <v>27</v>
      </c>
      <c r="H2280" s="1" t="s">
        <v>28</v>
      </c>
      <c r="I2280" s="1" t="s">
        <v>40</v>
      </c>
      <c r="J2280" s="1">
        <v>196.0</v>
      </c>
      <c r="K2280" s="1">
        <v>58.0</v>
      </c>
      <c r="L2280" s="1">
        <v>154.0</v>
      </c>
    </row>
    <row r="2281">
      <c r="A2281" s="1">
        <v>3671126.0</v>
      </c>
      <c r="B2281" s="1" t="s">
        <v>4856</v>
      </c>
      <c r="C2281" s="1" t="s">
        <v>4720</v>
      </c>
      <c r="D2281" s="1" t="s">
        <v>4736</v>
      </c>
      <c r="E2281" s="1" t="s">
        <v>4857</v>
      </c>
      <c r="F2281" s="1" t="s">
        <v>16</v>
      </c>
      <c r="G2281" s="1" t="s">
        <v>17</v>
      </c>
      <c r="H2281" s="1" t="s">
        <v>28</v>
      </c>
      <c r="I2281" s="1" t="s">
        <v>19</v>
      </c>
      <c r="J2281" s="1">
        <v>170.0</v>
      </c>
      <c r="K2281" s="1">
        <v>34.0</v>
      </c>
      <c r="L2281" s="1">
        <v>372.0</v>
      </c>
    </row>
    <row r="2282">
      <c r="A2282" s="1">
        <v>3604054.0</v>
      </c>
      <c r="B2282" s="1" t="s">
        <v>4858</v>
      </c>
      <c r="C2282" s="1" t="s">
        <v>4720</v>
      </c>
      <c r="D2282" s="1" t="s">
        <v>4724</v>
      </c>
      <c r="E2282" s="1" t="s">
        <v>4859</v>
      </c>
      <c r="F2282" s="1" t="s">
        <v>16</v>
      </c>
      <c r="G2282" s="1" t="s">
        <v>23</v>
      </c>
      <c r="H2282" s="1" t="s">
        <v>18</v>
      </c>
      <c r="I2282" s="1" t="s">
        <v>44</v>
      </c>
      <c r="J2282" s="1">
        <v>58.0</v>
      </c>
      <c r="K2282" s="1">
        <v>19.0</v>
      </c>
      <c r="L2282" s="1">
        <v>15.0</v>
      </c>
    </row>
    <row r="2283">
      <c r="A2283" s="1">
        <v>3671135.0</v>
      </c>
      <c r="B2283" s="1" t="s">
        <v>4860</v>
      </c>
      <c r="C2283" s="1" t="s">
        <v>4720</v>
      </c>
      <c r="D2283" s="1" t="s">
        <v>4736</v>
      </c>
      <c r="E2283" s="1" t="s">
        <v>4861</v>
      </c>
      <c r="F2283" s="1" t="s">
        <v>16</v>
      </c>
      <c r="G2283" s="1" t="s">
        <v>17</v>
      </c>
      <c r="H2283" s="1" t="s">
        <v>18</v>
      </c>
      <c r="I2283" s="1" t="s">
        <v>19</v>
      </c>
      <c r="J2283" s="1">
        <v>101.0</v>
      </c>
      <c r="K2283" s="1">
        <v>29.0</v>
      </c>
      <c r="L2283" s="1">
        <v>299.0</v>
      </c>
    </row>
    <row r="2284">
      <c r="A2284" s="1">
        <v>3603172.0</v>
      </c>
      <c r="B2284" s="1" t="s">
        <v>4862</v>
      </c>
      <c r="C2284" s="1" t="s">
        <v>4720</v>
      </c>
      <c r="D2284" s="1" t="s">
        <v>4730</v>
      </c>
      <c r="E2284" s="1" t="s">
        <v>4863</v>
      </c>
      <c r="F2284" s="1" t="s">
        <v>16</v>
      </c>
      <c r="G2284" s="1" t="s">
        <v>17</v>
      </c>
      <c r="H2284" s="1" t="s">
        <v>18</v>
      </c>
      <c r="I2284" s="1" t="s">
        <v>44</v>
      </c>
      <c r="J2284" s="1">
        <v>72.0</v>
      </c>
      <c r="K2284" s="1">
        <v>69.0</v>
      </c>
      <c r="L2284" s="1">
        <v>82.0</v>
      </c>
    </row>
    <row r="2285">
      <c r="A2285" s="1">
        <v>3671211.0</v>
      </c>
      <c r="B2285" s="1" t="s">
        <v>4864</v>
      </c>
      <c r="C2285" s="1" t="s">
        <v>4720</v>
      </c>
      <c r="D2285" s="1" t="s">
        <v>4736</v>
      </c>
      <c r="E2285" s="1" t="s">
        <v>4865</v>
      </c>
      <c r="F2285" s="1" t="s">
        <v>16</v>
      </c>
      <c r="G2285" s="1" t="s">
        <v>23</v>
      </c>
      <c r="H2285" s="1" t="s">
        <v>18</v>
      </c>
      <c r="I2285" s="1" t="s">
        <v>19</v>
      </c>
      <c r="J2285" s="1">
        <v>54.0</v>
      </c>
      <c r="K2285" s="1">
        <v>25.0</v>
      </c>
      <c r="L2285" s="1">
        <v>111.0</v>
      </c>
    </row>
    <row r="2286">
      <c r="A2286" s="1">
        <v>3671226.0</v>
      </c>
      <c r="B2286" s="1" t="s">
        <v>4866</v>
      </c>
      <c r="C2286" s="1" t="s">
        <v>4720</v>
      </c>
      <c r="D2286" s="1" t="s">
        <v>4736</v>
      </c>
      <c r="E2286" s="1" t="s">
        <v>4867</v>
      </c>
      <c r="F2286" s="1" t="s">
        <v>16</v>
      </c>
      <c r="G2286" s="1" t="s">
        <v>27</v>
      </c>
      <c r="H2286" s="1" t="s">
        <v>18</v>
      </c>
      <c r="I2286" s="1" t="s">
        <v>19</v>
      </c>
      <c r="J2286" s="1">
        <v>173.0</v>
      </c>
      <c r="K2286" s="1">
        <v>161.0</v>
      </c>
      <c r="L2286" s="1">
        <v>0.0</v>
      </c>
    </row>
    <row r="2287">
      <c r="A2287" s="1">
        <v>3674193.0</v>
      </c>
      <c r="B2287" s="1" t="s">
        <v>4868</v>
      </c>
      <c r="C2287" s="1" t="s">
        <v>4720</v>
      </c>
      <c r="D2287" s="1" t="s">
        <v>4733</v>
      </c>
      <c r="E2287" s="1" t="s">
        <v>4869</v>
      </c>
      <c r="F2287" s="1" t="s">
        <v>16</v>
      </c>
      <c r="G2287" s="1" t="s">
        <v>17</v>
      </c>
      <c r="H2287" s="1" t="s">
        <v>18</v>
      </c>
      <c r="I2287" s="1" t="s">
        <v>44</v>
      </c>
      <c r="J2287" s="1">
        <v>100.0</v>
      </c>
      <c r="K2287" s="1">
        <v>48.0</v>
      </c>
      <c r="L2287" s="1">
        <v>141.0</v>
      </c>
    </row>
    <row r="2288">
      <c r="A2288" s="1">
        <v>3673011.0</v>
      </c>
      <c r="B2288" s="1" t="s">
        <v>4870</v>
      </c>
      <c r="C2288" s="1" t="s">
        <v>4720</v>
      </c>
      <c r="D2288" s="1" t="s">
        <v>4765</v>
      </c>
      <c r="E2288" s="1" t="s">
        <v>4871</v>
      </c>
      <c r="F2288" s="1" t="s">
        <v>272</v>
      </c>
      <c r="G2288" s="1" t="s">
        <v>17</v>
      </c>
      <c r="H2288" s="1" t="s">
        <v>18</v>
      </c>
      <c r="I2288" s="1" t="s">
        <v>19</v>
      </c>
      <c r="J2288" s="1">
        <v>21.0</v>
      </c>
      <c r="K2288" s="1">
        <v>23.0</v>
      </c>
      <c r="L2288" s="1">
        <v>43.0</v>
      </c>
    </row>
    <row r="2289">
      <c r="A2289" s="1">
        <v>3673036.0</v>
      </c>
      <c r="B2289" s="1" t="s">
        <v>4872</v>
      </c>
      <c r="C2289" s="1" t="s">
        <v>4720</v>
      </c>
      <c r="D2289" s="1" t="s">
        <v>4765</v>
      </c>
      <c r="E2289" s="1" t="s">
        <v>4873</v>
      </c>
      <c r="F2289" s="1" t="s">
        <v>16</v>
      </c>
      <c r="G2289" s="1" t="s">
        <v>27</v>
      </c>
      <c r="H2289" s="1" t="s">
        <v>18</v>
      </c>
      <c r="I2289" s="1" t="s">
        <v>44</v>
      </c>
      <c r="J2289" s="1">
        <v>226.0</v>
      </c>
      <c r="K2289" s="1">
        <v>70.0</v>
      </c>
      <c r="L2289" s="1">
        <v>442.0</v>
      </c>
    </row>
    <row r="2290">
      <c r="A2290" s="1">
        <v>3603183.0</v>
      </c>
      <c r="B2290" s="1" t="s">
        <v>4874</v>
      </c>
      <c r="C2290" s="1" t="s">
        <v>4720</v>
      </c>
      <c r="D2290" s="1" t="s">
        <v>4730</v>
      </c>
      <c r="E2290" s="1" t="s">
        <v>4875</v>
      </c>
      <c r="F2290" s="1" t="s">
        <v>16</v>
      </c>
      <c r="G2290" s="1" t="s">
        <v>17</v>
      </c>
      <c r="H2290" s="1" t="s">
        <v>18</v>
      </c>
      <c r="I2290" s="1" t="s">
        <v>19</v>
      </c>
      <c r="J2290" s="1">
        <v>102.0</v>
      </c>
      <c r="K2290" s="1">
        <v>23.0</v>
      </c>
      <c r="L2290" s="1">
        <v>100.0</v>
      </c>
    </row>
    <row r="2291">
      <c r="A2291" s="1">
        <v>3673049.0</v>
      </c>
      <c r="B2291" s="1" t="s">
        <v>4876</v>
      </c>
      <c r="C2291" s="1" t="s">
        <v>4720</v>
      </c>
      <c r="D2291" s="1" t="s">
        <v>4765</v>
      </c>
      <c r="E2291" s="1" t="s">
        <v>4877</v>
      </c>
      <c r="F2291" s="1" t="s">
        <v>16</v>
      </c>
      <c r="G2291" s="1" t="s">
        <v>23</v>
      </c>
      <c r="H2291" s="1" t="s">
        <v>18</v>
      </c>
      <c r="I2291" s="1" t="s">
        <v>163</v>
      </c>
      <c r="J2291" s="1">
        <v>51.0</v>
      </c>
      <c r="K2291" s="1">
        <v>9.0</v>
      </c>
      <c r="L2291" s="1">
        <v>0.0</v>
      </c>
    </row>
    <row r="2292">
      <c r="A2292" s="1">
        <v>3602022.0</v>
      </c>
      <c r="B2292" s="1" t="s">
        <v>4878</v>
      </c>
      <c r="C2292" s="1" t="s">
        <v>4720</v>
      </c>
      <c r="D2292" s="1" t="s">
        <v>4727</v>
      </c>
      <c r="E2292" s="1" t="s">
        <v>4879</v>
      </c>
      <c r="F2292" s="1" t="s">
        <v>16</v>
      </c>
      <c r="G2292" s="1" t="s">
        <v>17</v>
      </c>
      <c r="H2292" s="1" t="s">
        <v>18</v>
      </c>
      <c r="I2292" s="1" t="s">
        <v>249</v>
      </c>
      <c r="J2292" s="1">
        <v>148.0</v>
      </c>
      <c r="K2292" s="1">
        <v>33.0</v>
      </c>
      <c r="L2292" s="1">
        <v>502.0</v>
      </c>
    </row>
    <row r="2293">
      <c r="A2293" s="1">
        <v>3674004.0</v>
      </c>
      <c r="B2293" s="1" t="s">
        <v>4880</v>
      </c>
      <c r="C2293" s="1" t="s">
        <v>4720</v>
      </c>
      <c r="D2293" s="1" t="s">
        <v>4733</v>
      </c>
      <c r="E2293" s="1" t="s">
        <v>4881</v>
      </c>
      <c r="F2293" s="1" t="s">
        <v>16</v>
      </c>
      <c r="G2293" s="1" t="s">
        <v>17</v>
      </c>
      <c r="H2293" s="1" t="s">
        <v>18</v>
      </c>
      <c r="I2293" s="1" t="s">
        <v>19</v>
      </c>
      <c r="J2293" s="1">
        <v>100.0</v>
      </c>
      <c r="K2293" s="1">
        <v>84.0</v>
      </c>
      <c r="L2293" s="1">
        <v>309.0</v>
      </c>
    </row>
    <row r="2294">
      <c r="A2294" s="1">
        <v>3671219.0</v>
      </c>
      <c r="B2294" s="1" t="s">
        <v>4882</v>
      </c>
      <c r="C2294" s="1" t="s">
        <v>4720</v>
      </c>
      <c r="D2294" s="1" t="s">
        <v>4736</v>
      </c>
      <c r="E2294" s="1" t="s">
        <v>4883</v>
      </c>
      <c r="F2294" s="1" t="s">
        <v>55</v>
      </c>
      <c r="G2294" s="1" t="s">
        <v>17</v>
      </c>
      <c r="H2294" s="1" t="s">
        <v>18</v>
      </c>
      <c r="I2294" s="1" t="s">
        <v>44</v>
      </c>
      <c r="J2294" s="1">
        <v>34.0</v>
      </c>
      <c r="K2294" s="1">
        <v>20.0</v>
      </c>
      <c r="L2294" s="1">
        <v>75.0</v>
      </c>
    </row>
    <row r="2295">
      <c r="A2295" s="1">
        <v>3671241.0</v>
      </c>
      <c r="B2295" s="1" t="s">
        <v>4884</v>
      </c>
      <c r="C2295" s="1" t="s">
        <v>4720</v>
      </c>
      <c r="D2295" s="1" t="s">
        <v>4736</v>
      </c>
      <c r="E2295" s="1" t="s">
        <v>4885</v>
      </c>
      <c r="F2295" s="1" t="s">
        <v>16</v>
      </c>
      <c r="G2295" s="1" t="s">
        <v>27</v>
      </c>
      <c r="H2295" s="1" t="s">
        <v>18</v>
      </c>
      <c r="I2295" s="1" t="s">
        <v>19</v>
      </c>
      <c r="J2295" s="1">
        <v>200.0</v>
      </c>
      <c r="K2295" s="1">
        <v>57.0</v>
      </c>
      <c r="L2295" s="1">
        <v>0.0</v>
      </c>
    </row>
    <row r="2296">
      <c r="A2296" s="1">
        <v>3674168.0</v>
      </c>
      <c r="B2296" s="1" t="s">
        <v>4886</v>
      </c>
      <c r="C2296" s="1" t="s">
        <v>4720</v>
      </c>
      <c r="D2296" s="1" t="s">
        <v>4733</v>
      </c>
      <c r="E2296" s="1" t="s">
        <v>4887</v>
      </c>
      <c r="F2296" s="1" t="s">
        <v>16</v>
      </c>
      <c r="G2296" s="1" t="s">
        <v>17</v>
      </c>
      <c r="H2296" s="1" t="s">
        <v>28</v>
      </c>
      <c r="I2296" s="1" t="s">
        <v>29</v>
      </c>
      <c r="J2296" s="1">
        <v>178.0</v>
      </c>
      <c r="K2296" s="1">
        <v>38.0</v>
      </c>
      <c r="L2296" s="1">
        <v>300.0</v>
      </c>
    </row>
    <row r="2297">
      <c r="A2297" s="1">
        <v>3671054.0</v>
      </c>
      <c r="B2297" s="1" t="s">
        <v>4888</v>
      </c>
      <c r="C2297" s="1" t="s">
        <v>4720</v>
      </c>
      <c r="D2297" s="1" t="s">
        <v>4730</v>
      </c>
      <c r="E2297" s="1" t="s">
        <v>4889</v>
      </c>
      <c r="F2297" s="1" t="s">
        <v>16</v>
      </c>
      <c r="G2297" s="1" t="s">
        <v>27</v>
      </c>
      <c r="H2297" s="1" t="s">
        <v>18</v>
      </c>
      <c r="I2297" s="1" t="s">
        <v>19</v>
      </c>
      <c r="J2297" s="1">
        <v>300.0</v>
      </c>
      <c r="K2297" s="1">
        <v>72.0</v>
      </c>
      <c r="L2297" s="1">
        <v>1784.0</v>
      </c>
    </row>
    <row r="2298">
      <c r="A2298" s="1">
        <v>3673010.0</v>
      </c>
      <c r="B2298" s="1" t="s">
        <v>4890</v>
      </c>
      <c r="C2298" s="1" t="s">
        <v>4720</v>
      </c>
      <c r="D2298" s="1" t="s">
        <v>4765</v>
      </c>
      <c r="E2298" s="1" t="s">
        <v>4891</v>
      </c>
      <c r="F2298" s="1" t="s">
        <v>16</v>
      </c>
      <c r="G2298" s="1" t="s">
        <v>23</v>
      </c>
      <c r="H2298" s="1" t="s">
        <v>18</v>
      </c>
      <c r="I2298" s="1" t="s">
        <v>19</v>
      </c>
      <c r="J2298" s="1">
        <v>100.0</v>
      </c>
      <c r="K2298" s="1">
        <v>39.0</v>
      </c>
      <c r="L2298" s="1">
        <v>59.0</v>
      </c>
    </row>
    <row r="2299">
      <c r="A2299" s="1">
        <v>3671224.0</v>
      </c>
      <c r="B2299" s="1" t="s">
        <v>4892</v>
      </c>
      <c r="C2299" s="1" t="s">
        <v>4720</v>
      </c>
      <c r="D2299" s="1" t="s">
        <v>4736</v>
      </c>
      <c r="E2299" s="1" t="s">
        <v>4893</v>
      </c>
      <c r="F2299" s="1" t="s">
        <v>16</v>
      </c>
      <c r="G2299" s="1" t="s">
        <v>17</v>
      </c>
      <c r="H2299" s="1" t="s">
        <v>18</v>
      </c>
      <c r="I2299" s="1" t="s">
        <v>19</v>
      </c>
      <c r="J2299" s="1">
        <v>215.0</v>
      </c>
      <c r="K2299" s="1">
        <v>36.0</v>
      </c>
      <c r="L2299" s="1">
        <v>168.0</v>
      </c>
    </row>
    <row r="2300">
      <c r="A2300" s="1">
        <v>3672052.0</v>
      </c>
      <c r="B2300" s="1" t="s">
        <v>4894</v>
      </c>
      <c r="C2300" s="1" t="s">
        <v>4720</v>
      </c>
      <c r="D2300" s="1" t="s">
        <v>4721</v>
      </c>
      <c r="E2300" s="1" t="s">
        <v>4895</v>
      </c>
      <c r="F2300" s="1" t="s">
        <v>16</v>
      </c>
      <c r="G2300" s="1" t="s">
        <v>17</v>
      </c>
      <c r="H2300" s="1" t="s">
        <v>18</v>
      </c>
      <c r="I2300" s="1" t="s">
        <v>19</v>
      </c>
      <c r="J2300" s="1">
        <v>115.0</v>
      </c>
      <c r="K2300" s="1">
        <v>60.0</v>
      </c>
      <c r="L2300" s="1">
        <v>0.0</v>
      </c>
    </row>
    <row r="2301">
      <c r="A2301" s="1">
        <v>3604024.0</v>
      </c>
      <c r="B2301" s="1" t="s">
        <v>4896</v>
      </c>
      <c r="C2301" s="1" t="s">
        <v>4720</v>
      </c>
      <c r="D2301" s="1" t="s">
        <v>4765</v>
      </c>
      <c r="E2301" s="1" t="s">
        <v>4897</v>
      </c>
      <c r="F2301" s="1" t="s">
        <v>16</v>
      </c>
      <c r="G2301" s="1" t="s">
        <v>17</v>
      </c>
      <c r="H2301" s="1" t="s">
        <v>18</v>
      </c>
      <c r="I2301" s="1" t="s">
        <v>74</v>
      </c>
      <c r="J2301" s="1">
        <v>113.0</v>
      </c>
      <c r="K2301" s="1">
        <v>32.0</v>
      </c>
      <c r="L2301" s="1">
        <v>106.0</v>
      </c>
    </row>
    <row r="2302">
      <c r="A2302" s="1">
        <v>3604047.0</v>
      </c>
      <c r="B2302" s="1" t="s">
        <v>4898</v>
      </c>
      <c r="C2302" s="1" t="s">
        <v>4720</v>
      </c>
      <c r="D2302" s="1" t="s">
        <v>4724</v>
      </c>
      <c r="E2302" s="1" t="s">
        <v>4899</v>
      </c>
      <c r="F2302" s="1" t="s">
        <v>16</v>
      </c>
      <c r="G2302" s="1" t="s">
        <v>17</v>
      </c>
      <c r="H2302" s="1" t="s">
        <v>18</v>
      </c>
      <c r="I2302" s="1" t="s">
        <v>19</v>
      </c>
      <c r="J2302" s="1">
        <v>103.0</v>
      </c>
      <c r="K2302" s="1">
        <v>36.0</v>
      </c>
      <c r="L2302" s="1">
        <v>121.0</v>
      </c>
    </row>
    <row r="2303">
      <c r="A2303" s="1">
        <v>3672011.0</v>
      </c>
      <c r="B2303" s="1" t="s">
        <v>4900</v>
      </c>
      <c r="C2303" s="1" t="s">
        <v>4720</v>
      </c>
      <c r="D2303" s="1" t="s">
        <v>4721</v>
      </c>
      <c r="E2303" s="1" t="s">
        <v>4901</v>
      </c>
      <c r="F2303" s="1" t="s">
        <v>16</v>
      </c>
      <c r="G2303" s="1" t="s">
        <v>27</v>
      </c>
      <c r="H2303" s="1" t="s">
        <v>18</v>
      </c>
      <c r="I2303" s="1" t="s">
        <v>113</v>
      </c>
      <c r="J2303" s="1">
        <v>230.0</v>
      </c>
      <c r="K2303" s="1">
        <v>125.0</v>
      </c>
      <c r="L2303" s="1">
        <v>335.0</v>
      </c>
    </row>
    <row r="2304">
      <c r="A2304" s="1">
        <v>3603192.0</v>
      </c>
      <c r="B2304" s="1" t="s">
        <v>4902</v>
      </c>
      <c r="C2304" s="1" t="s">
        <v>4720</v>
      </c>
      <c r="D2304" s="1" t="s">
        <v>4730</v>
      </c>
      <c r="E2304" s="1" t="s">
        <v>4903</v>
      </c>
      <c r="F2304" s="1" t="s">
        <v>16</v>
      </c>
      <c r="G2304" s="1" t="s">
        <v>17</v>
      </c>
      <c r="H2304" s="1" t="s">
        <v>18</v>
      </c>
      <c r="I2304" s="1" t="s">
        <v>19</v>
      </c>
      <c r="J2304" s="1">
        <v>143.0</v>
      </c>
      <c r="K2304" s="1">
        <v>70.0</v>
      </c>
      <c r="L2304" s="1">
        <v>454.0</v>
      </c>
    </row>
    <row r="2305">
      <c r="A2305" s="1">
        <v>3671136.0</v>
      </c>
      <c r="B2305" s="1" t="s">
        <v>4904</v>
      </c>
      <c r="C2305" s="1" t="s">
        <v>4720</v>
      </c>
      <c r="D2305" s="1" t="s">
        <v>4736</v>
      </c>
      <c r="E2305" s="1" t="s">
        <v>4905</v>
      </c>
      <c r="F2305" s="1" t="s">
        <v>16</v>
      </c>
      <c r="G2305" s="1" t="s">
        <v>17</v>
      </c>
      <c r="H2305" s="1" t="s">
        <v>18</v>
      </c>
      <c r="I2305" s="1" t="s">
        <v>19</v>
      </c>
      <c r="J2305" s="1">
        <v>199.0</v>
      </c>
      <c r="K2305" s="1">
        <v>66.0</v>
      </c>
      <c r="L2305" s="1">
        <v>463.0</v>
      </c>
    </row>
    <row r="2306">
      <c r="A2306" s="1">
        <v>3671205.0</v>
      </c>
      <c r="B2306" s="1" t="s">
        <v>4906</v>
      </c>
      <c r="C2306" s="1" t="s">
        <v>4720</v>
      </c>
      <c r="D2306" s="1" t="s">
        <v>4736</v>
      </c>
      <c r="E2306" s="1" t="s">
        <v>4907</v>
      </c>
      <c r="F2306" s="1" t="s">
        <v>16</v>
      </c>
      <c r="G2306" s="1" t="s">
        <v>17</v>
      </c>
      <c r="H2306" s="1" t="s">
        <v>18</v>
      </c>
      <c r="I2306" s="1" t="s">
        <v>44</v>
      </c>
      <c r="J2306" s="1">
        <v>160.0</v>
      </c>
      <c r="K2306" s="1">
        <v>82.0</v>
      </c>
      <c r="L2306" s="1">
        <v>459.0</v>
      </c>
    </row>
    <row r="2307">
      <c r="A2307" s="1">
        <v>3674071.0</v>
      </c>
      <c r="B2307" s="1" t="s">
        <v>4908</v>
      </c>
      <c r="C2307" s="1" t="s">
        <v>4720</v>
      </c>
      <c r="D2307" s="1" t="s">
        <v>4733</v>
      </c>
      <c r="E2307" s="1" t="s">
        <v>4909</v>
      </c>
      <c r="F2307" s="1" t="s">
        <v>174</v>
      </c>
      <c r="G2307" s="1" t="s">
        <v>17</v>
      </c>
      <c r="H2307" s="1" t="s">
        <v>18</v>
      </c>
      <c r="I2307" s="1" t="s">
        <v>59</v>
      </c>
      <c r="J2307" s="1">
        <v>70.0</v>
      </c>
      <c r="K2307" s="1">
        <v>19.0</v>
      </c>
      <c r="L2307" s="1">
        <v>20.0</v>
      </c>
    </row>
    <row r="2308">
      <c r="A2308" s="1">
        <v>3603182.0</v>
      </c>
      <c r="B2308" s="1" t="s">
        <v>4910</v>
      </c>
      <c r="C2308" s="1" t="s">
        <v>4720</v>
      </c>
      <c r="D2308" s="1" t="s">
        <v>4736</v>
      </c>
      <c r="E2308" s="1" t="s">
        <v>4911</v>
      </c>
      <c r="F2308" s="1" t="s">
        <v>16</v>
      </c>
      <c r="G2308" s="1" t="s">
        <v>17</v>
      </c>
      <c r="H2308" s="1" t="s">
        <v>18</v>
      </c>
      <c r="I2308" s="1" t="s">
        <v>44</v>
      </c>
      <c r="J2308" s="1">
        <v>101.0</v>
      </c>
      <c r="K2308" s="1">
        <v>41.0</v>
      </c>
      <c r="L2308" s="1">
        <v>177.0</v>
      </c>
    </row>
    <row r="2309">
      <c r="A2309" s="1">
        <v>3671179.0</v>
      </c>
      <c r="B2309" s="1" t="s">
        <v>4912</v>
      </c>
      <c r="C2309" s="1" t="s">
        <v>4720</v>
      </c>
      <c r="D2309" s="1" t="s">
        <v>4730</v>
      </c>
      <c r="E2309" s="1" t="s">
        <v>4913</v>
      </c>
      <c r="F2309" s="1" t="s">
        <v>16</v>
      </c>
      <c r="G2309" s="1" t="s">
        <v>17</v>
      </c>
      <c r="H2309" s="1" t="s">
        <v>18</v>
      </c>
      <c r="I2309" s="1" t="s">
        <v>44</v>
      </c>
      <c r="J2309" s="1">
        <v>101.0</v>
      </c>
      <c r="K2309" s="1">
        <v>25.0</v>
      </c>
      <c r="L2309" s="1">
        <v>185.0</v>
      </c>
    </row>
    <row r="2310">
      <c r="A2310" s="1">
        <v>3674011.0</v>
      </c>
      <c r="B2310" s="1" t="s">
        <v>4914</v>
      </c>
      <c r="C2310" s="1" t="s">
        <v>4720</v>
      </c>
      <c r="D2310" s="1" t="s">
        <v>4733</v>
      </c>
      <c r="E2310" s="1" t="s">
        <v>4915</v>
      </c>
      <c r="F2310" s="1" t="s">
        <v>55</v>
      </c>
      <c r="G2310" s="1" t="s">
        <v>17</v>
      </c>
      <c r="H2310" s="1" t="s">
        <v>18</v>
      </c>
      <c r="I2310" s="1" t="s">
        <v>19</v>
      </c>
      <c r="J2310" s="1">
        <v>27.0</v>
      </c>
      <c r="K2310" s="1">
        <v>24.0</v>
      </c>
      <c r="L2310" s="1">
        <v>78.0</v>
      </c>
    </row>
    <row r="2311">
      <c r="A2311" s="1">
        <v>3603186.0</v>
      </c>
      <c r="B2311" s="1" t="s">
        <v>4916</v>
      </c>
      <c r="C2311" s="1" t="s">
        <v>4720</v>
      </c>
      <c r="D2311" s="1" t="s">
        <v>4736</v>
      </c>
      <c r="E2311" s="1" t="s">
        <v>4917</v>
      </c>
      <c r="F2311" s="1" t="s">
        <v>55</v>
      </c>
      <c r="G2311" s="1" t="s">
        <v>17</v>
      </c>
      <c r="H2311" s="1" t="s">
        <v>18</v>
      </c>
      <c r="I2311" s="1" t="s">
        <v>19</v>
      </c>
      <c r="J2311" s="1">
        <v>36.0</v>
      </c>
      <c r="K2311" s="1">
        <v>18.0</v>
      </c>
      <c r="L2311" s="1">
        <v>129.0</v>
      </c>
    </row>
    <row r="2312">
      <c r="A2312" s="1">
        <v>3671076.0</v>
      </c>
      <c r="B2312" s="1" t="s">
        <v>4918</v>
      </c>
      <c r="C2312" s="1" t="s">
        <v>4720</v>
      </c>
      <c r="D2312" s="1" t="s">
        <v>4736</v>
      </c>
      <c r="E2312" s="1" t="s">
        <v>4919</v>
      </c>
      <c r="F2312" s="1" t="s">
        <v>16</v>
      </c>
      <c r="G2312" s="1" t="s">
        <v>17</v>
      </c>
      <c r="H2312" s="1" t="s">
        <v>18</v>
      </c>
      <c r="I2312" s="1" t="s">
        <v>19</v>
      </c>
      <c r="J2312" s="1">
        <v>210.0</v>
      </c>
      <c r="K2312" s="1">
        <v>88.0</v>
      </c>
      <c r="L2312" s="1">
        <v>578.0</v>
      </c>
    </row>
    <row r="2313">
      <c r="A2313" s="1">
        <v>3671201.0</v>
      </c>
      <c r="B2313" s="1" t="s">
        <v>4920</v>
      </c>
      <c r="C2313" s="1" t="s">
        <v>4720</v>
      </c>
      <c r="D2313" s="1" t="s">
        <v>4733</v>
      </c>
      <c r="E2313" s="1" t="s">
        <v>4921</v>
      </c>
      <c r="F2313" s="1" t="s">
        <v>1752</v>
      </c>
      <c r="G2313" s="1" t="s">
        <v>17</v>
      </c>
      <c r="H2313" s="1" t="s">
        <v>18</v>
      </c>
      <c r="I2313" s="1" t="s">
        <v>19</v>
      </c>
      <c r="J2313" s="1">
        <v>23.0</v>
      </c>
      <c r="K2313" s="1">
        <v>23.0</v>
      </c>
      <c r="L2313" s="1">
        <v>67.0</v>
      </c>
    </row>
    <row r="2314">
      <c r="A2314" s="1">
        <v>3671210.0</v>
      </c>
      <c r="B2314" s="1" t="s">
        <v>4922</v>
      </c>
      <c r="C2314" s="1" t="s">
        <v>4720</v>
      </c>
      <c r="D2314" s="1" t="s">
        <v>4736</v>
      </c>
      <c r="E2314" s="1" t="s">
        <v>4923</v>
      </c>
      <c r="F2314" s="1" t="s">
        <v>16</v>
      </c>
      <c r="G2314" s="1" t="s">
        <v>17</v>
      </c>
      <c r="H2314" s="1" t="s">
        <v>18</v>
      </c>
      <c r="I2314" s="1" t="s">
        <v>44</v>
      </c>
      <c r="J2314" s="1">
        <v>109.0</v>
      </c>
      <c r="K2314" s="1">
        <v>46.0</v>
      </c>
      <c r="L2314" s="1">
        <v>240.0</v>
      </c>
    </row>
    <row r="2315">
      <c r="A2315" s="1">
        <v>3603185.0</v>
      </c>
      <c r="B2315" s="1" t="s">
        <v>4924</v>
      </c>
      <c r="C2315" s="1" t="s">
        <v>4720</v>
      </c>
      <c r="D2315" s="1" t="s">
        <v>4730</v>
      </c>
      <c r="E2315" s="1" t="s">
        <v>4925</v>
      </c>
      <c r="F2315" s="1" t="s">
        <v>16</v>
      </c>
      <c r="G2315" s="1" t="s">
        <v>17</v>
      </c>
      <c r="H2315" s="1" t="s">
        <v>18</v>
      </c>
      <c r="I2315" s="1" t="s">
        <v>19</v>
      </c>
      <c r="J2315" s="1">
        <v>128.0</v>
      </c>
      <c r="K2315" s="1">
        <v>60.0</v>
      </c>
      <c r="L2315" s="1">
        <v>333.0</v>
      </c>
    </row>
    <row r="2316">
      <c r="A2316" s="1">
        <v>3603177.0</v>
      </c>
      <c r="B2316" s="1" t="s">
        <v>4926</v>
      </c>
      <c r="C2316" s="1" t="s">
        <v>4720</v>
      </c>
      <c r="D2316" s="1" t="s">
        <v>4730</v>
      </c>
      <c r="E2316" s="1" t="s">
        <v>4927</v>
      </c>
      <c r="F2316" s="1" t="s">
        <v>16</v>
      </c>
      <c r="G2316" s="1" t="s">
        <v>23</v>
      </c>
      <c r="H2316" s="1" t="s">
        <v>18</v>
      </c>
      <c r="I2316" s="1" t="s">
        <v>44</v>
      </c>
      <c r="J2316" s="1">
        <v>64.0</v>
      </c>
      <c r="K2316" s="1">
        <v>19.0</v>
      </c>
      <c r="L2316" s="1">
        <v>56.0</v>
      </c>
    </row>
    <row r="2317">
      <c r="A2317" s="1">
        <v>3604052.0</v>
      </c>
      <c r="B2317" s="1" t="s">
        <v>4928</v>
      </c>
      <c r="C2317" s="1" t="s">
        <v>4720</v>
      </c>
      <c r="D2317" s="1" t="s">
        <v>4724</v>
      </c>
      <c r="E2317" s="1" t="s">
        <v>4929</v>
      </c>
      <c r="F2317" s="1" t="s">
        <v>16</v>
      </c>
      <c r="G2317" s="1" t="s">
        <v>23</v>
      </c>
      <c r="H2317" s="1" t="s">
        <v>18</v>
      </c>
      <c r="I2317" s="1" t="s">
        <v>44</v>
      </c>
      <c r="J2317" s="1">
        <v>50.0</v>
      </c>
      <c r="K2317" s="1">
        <v>15.0</v>
      </c>
      <c r="L2317" s="1">
        <v>39.0</v>
      </c>
    </row>
    <row r="2318">
      <c r="A2318" s="1">
        <v>3604046.0</v>
      </c>
      <c r="B2318" s="1" t="s">
        <v>4930</v>
      </c>
      <c r="C2318" s="1" t="s">
        <v>4720</v>
      </c>
      <c r="D2318" s="1" t="s">
        <v>4765</v>
      </c>
      <c r="E2318" s="1" t="s">
        <v>4931</v>
      </c>
      <c r="F2318" s="1" t="s">
        <v>16</v>
      </c>
      <c r="G2318" s="1" t="s">
        <v>23</v>
      </c>
      <c r="H2318" s="1" t="s">
        <v>18</v>
      </c>
      <c r="I2318" s="1" t="s">
        <v>19</v>
      </c>
      <c r="J2318" s="1">
        <v>52.0</v>
      </c>
      <c r="K2318" s="1">
        <v>16.0</v>
      </c>
      <c r="L2318" s="1">
        <v>0.0</v>
      </c>
    </row>
    <row r="2319">
      <c r="A2319" s="1">
        <v>3674006.0</v>
      </c>
      <c r="B2319" s="1" t="s">
        <v>4932</v>
      </c>
      <c r="C2319" s="1" t="s">
        <v>4720</v>
      </c>
      <c r="D2319" s="1" t="s">
        <v>4733</v>
      </c>
      <c r="E2319" s="1" t="s">
        <v>4933</v>
      </c>
      <c r="F2319" s="1" t="s">
        <v>16</v>
      </c>
      <c r="G2319" s="1" t="s">
        <v>17</v>
      </c>
      <c r="H2319" s="1" t="s">
        <v>33</v>
      </c>
      <c r="I2319" s="1" t="s">
        <v>34</v>
      </c>
      <c r="J2319" s="1">
        <v>100.0</v>
      </c>
      <c r="K2319" s="1">
        <v>60.0</v>
      </c>
      <c r="L2319" s="1">
        <v>306.0</v>
      </c>
    </row>
    <row r="2320">
      <c r="A2320" s="1">
        <v>3674015.0</v>
      </c>
      <c r="B2320" s="1" t="s">
        <v>4934</v>
      </c>
      <c r="C2320" s="1" t="s">
        <v>4720</v>
      </c>
      <c r="D2320" s="1" t="s">
        <v>4733</v>
      </c>
      <c r="E2320" s="1" t="s">
        <v>4935</v>
      </c>
      <c r="F2320" s="1" t="s">
        <v>55</v>
      </c>
      <c r="G2320" s="1" t="s">
        <v>17</v>
      </c>
      <c r="H2320" s="1" t="s">
        <v>18</v>
      </c>
      <c r="I2320" s="1" t="s">
        <v>19</v>
      </c>
      <c r="J2320" s="1">
        <v>51.0</v>
      </c>
      <c r="K2320" s="1">
        <v>18.0</v>
      </c>
      <c r="L2320" s="1">
        <v>93.0</v>
      </c>
    </row>
    <row r="2321">
      <c r="A2321" s="1">
        <v>3603196.0</v>
      </c>
      <c r="B2321" s="1" t="s">
        <v>4936</v>
      </c>
      <c r="C2321" s="1" t="s">
        <v>4720</v>
      </c>
      <c r="D2321" s="1" t="s">
        <v>4730</v>
      </c>
      <c r="E2321" s="1" t="s">
        <v>4937</v>
      </c>
      <c r="F2321" s="1" t="s">
        <v>16</v>
      </c>
      <c r="G2321" s="1" t="s">
        <v>17</v>
      </c>
      <c r="H2321" s="1" t="s">
        <v>18</v>
      </c>
      <c r="I2321" s="1" t="s">
        <v>44</v>
      </c>
      <c r="J2321" s="1">
        <v>105.0</v>
      </c>
      <c r="K2321" s="1">
        <v>36.0</v>
      </c>
      <c r="L2321" s="1">
        <v>43.0</v>
      </c>
    </row>
    <row r="2322">
      <c r="A2322" s="1">
        <v>3603146.0</v>
      </c>
      <c r="B2322" s="1" t="s">
        <v>4938</v>
      </c>
      <c r="C2322" s="1" t="s">
        <v>4720</v>
      </c>
      <c r="D2322" s="1" t="s">
        <v>4730</v>
      </c>
      <c r="E2322" s="1" t="s">
        <v>4939</v>
      </c>
      <c r="F2322" s="1" t="s">
        <v>55</v>
      </c>
      <c r="G2322" s="1" t="s">
        <v>17</v>
      </c>
      <c r="H2322" s="1" t="s">
        <v>18</v>
      </c>
      <c r="I2322" s="1" t="s">
        <v>44</v>
      </c>
      <c r="J2322" s="1">
        <v>44.0</v>
      </c>
      <c r="K2322" s="1">
        <v>16.0</v>
      </c>
      <c r="L2322" s="1">
        <v>66.0</v>
      </c>
    </row>
    <row r="2323">
      <c r="A2323" s="1">
        <v>3672034.0</v>
      </c>
      <c r="B2323" s="1" t="s">
        <v>4940</v>
      </c>
      <c r="C2323" s="1" t="s">
        <v>4720</v>
      </c>
      <c r="D2323" s="1" t="s">
        <v>4721</v>
      </c>
      <c r="E2323" s="1" t="s">
        <v>4941</v>
      </c>
      <c r="F2323" s="1" t="s">
        <v>16</v>
      </c>
      <c r="G2323" s="1" t="s">
        <v>17</v>
      </c>
      <c r="H2323" s="1" t="s">
        <v>18</v>
      </c>
      <c r="I2323" s="1" t="s">
        <v>19</v>
      </c>
      <c r="J2323" s="1">
        <v>120.0</v>
      </c>
      <c r="K2323" s="1">
        <v>32.0</v>
      </c>
      <c r="L2323" s="1">
        <v>219.0</v>
      </c>
    </row>
    <row r="2324">
      <c r="A2324" s="1">
        <v>3601010.0</v>
      </c>
      <c r="B2324" s="1" t="s">
        <v>4942</v>
      </c>
      <c r="C2324" s="1" t="s">
        <v>4720</v>
      </c>
      <c r="D2324" s="1" t="s">
        <v>4745</v>
      </c>
      <c r="E2324" s="1" t="s">
        <v>4943</v>
      </c>
      <c r="F2324" s="1" t="s">
        <v>16</v>
      </c>
      <c r="G2324" s="1" t="s">
        <v>27</v>
      </c>
      <c r="H2324" s="1" t="s">
        <v>28</v>
      </c>
      <c r="I2324" s="1" t="s">
        <v>40</v>
      </c>
      <c r="J2324" s="1">
        <v>201.0</v>
      </c>
      <c r="K2324" s="1">
        <v>58.0</v>
      </c>
      <c r="L2324" s="1">
        <v>253.0</v>
      </c>
    </row>
    <row r="2325">
      <c r="A2325" s="1">
        <v>3671223.0</v>
      </c>
      <c r="B2325" s="1" t="s">
        <v>4944</v>
      </c>
      <c r="C2325" s="1" t="s">
        <v>4720</v>
      </c>
      <c r="D2325" s="1" t="s">
        <v>4736</v>
      </c>
      <c r="E2325" s="1" t="s">
        <v>4945</v>
      </c>
      <c r="F2325" s="1" t="s">
        <v>16</v>
      </c>
      <c r="G2325" s="1" t="s">
        <v>17</v>
      </c>
      <c r="H2325" s="1" t="s">
        <v>18</v>
      </c>
      <c r="I2325" s="1" t="s">
        <v>19</v>
      </c>
      <c r="J2325" s="1">
        <v>100.0</v>
      </c>
      <c r="K2325" s="1">
        <v>31.0</v>
      </c>
      <c r="L2325" s="1">
        <v>201.0</v>
      </c>
    </row>
    <row r="2326">
      <c r="A2326" s="1">
        <v>3671202.0</v>
      </c>
      <c r="B2326" s="1" t="s">
        <v>4946</v>
      </c>
      <c r="C2326" s="1" t="s">
        <v>4720</v>
      </c>
      <c r="D2326" s="1" t="s">
        <v>4736</v>
      </c>
      <c r="E2326" s="1" t="s">
        <v>4947</v>
      </c>
      <c r="F2326" s="1" t="s">
        <v>16</v>
      </c>
      <c r="G2326" s="1" t="s">
        <v>23</v>
      </c>
      <c r="H2326" s="1" t="s">
        <v>18</v>
      </c>
      <c r="I2326" s="1" t="s">
        <v>44</v>
      </c>
      <c r="J2326" s="1">
        <v>62.0</v>
      </c>
      <c r="K2326" s="1">
        <v>51.0</v>
      </c>
      <c r="L2326" s="1">
        <v>82.0</v>
      </c>
    </row>
    <row r="2327">
      <c r="A2327" s="1">
        <v>3603210.0</v>
      </c>
      <c r="B2327" s="1" t="s">
        <v>4948</v>
      </c>
      <c r="C2327" s="1" t="s">
        <v>4720</v>
      </c>
      <c r="D2327" s="1" t="s">
        <v>4730</v>
      </c>
      <c r="E2327" s="1" t="s">
        <v>4949</v>
      </c>
      <c r="F2327" s="1" t="s">
        <v>16</v>
      </c>
      <c r="G2327" s="1" t="s">
        <v>17</v>
      </c>
      <c r="H2327" s="1" t="s">
        <v>18</v>
      </c>
      <c r="I2327" s="1" t="s">
        <v>40</v>
      </c>
      <c r="J2327" s="1">
        <v>117.0</v>
      </c>
      <c r="K2327" s="1">
        <v>16.0</v>
      </c>
      <c r="L2327" s="1">
        <v>0.0</v>
      </c>
    </row>
    <row r="2328">
      <c r="A2328" s="1">
        <v>3603093.0</v>
      </c>
      <c r="B2328" s="1" t="s">
        <v>4950</v>
      </c>
      <c r="C2328" s="1" t="s">
        <v>4720</v>
      </c>
      <c r="D2328" s="1" t="s">
        <v>4733</v>
      </c>
      <c r="E2328" s="1" t="s">
        <v>4951</v>
      </c>
      <c r="F2328" s="1" t="s">
        <v>55</v>
      </c>
      <c r="G2328" s="1" t="s">
        <v>17</v>
      </c>
      <c r="H2328" s="1" t="s">
        <v>18</v>
      </c>
      <c r="I2328" s="1" t="s">
        <v>19</v>
      </c>
      <c r="J2328" s="1">
        <v>29.0</v>
      </c>
      <c r="K2328" s="1">
        <v>24.0</v>
      </c>
      <c r="L2328" s="1">
        <v>78.0</v>
      </c>
    </row>
    <row r="2329">
      <c r="A2329" s="1">
        <v>3673005.0</v>
      </c>
      <c r="B2329" s="1" t="s">
        <v>4952</v>
      </c>
      <c r="C2329" s="1" t="s">
        <v>4720</v>
      </c>
      <c r="D2329" s="1" t="s">
        <v>4765</v>
      </c>
      <c r="E2329" s="1" t="s">
        <v>4953</v>
      </c>
      <c r="F2329" s="1" t="s">
        <v>16</v>
      </c>
      <c r="G2329" s="1" t="s">
        <v>23</v>
      </c>
      <c r="H2329" s="1" t="s">
        <v>18</v>
      </c>
      <c r="I2329" s="1" t="s">
        <v>19</v>
      </c>
      <c r="J2329" s="1">
        <v>65.0</v>
      </c>
      <c r="K2329" s="1">
        <v>28.0</v>
      </c>
      <c r="L2329" s="1">
        <v>51.0</v>
      </c>
    </row>
    <row r="2330">
      <c r="A2330" s="1">
        <v>3604053.0</v>
      </c>
      <c r="B2330" s="1" t="s">
        <v>4954</v>
      </c>
      <c r="C2330" s="1" t="s">
        <v>4720</v>
      </c>
      <c r="D2330" s="1" t="s">
        <v>4765</v>
      </c>
      <c r="E2330" s="1" t="s">
        <v>4955</v>
      </c>
      <c r="F2330" s="1" t="s">
        <v>16</v>
      </c>
      <c r="G2330" s="1" t="s">
        <v>17</v>
      </c>
      <c r="H2330" s="1" t="s">
        <v>18</v>
      </c>
      <c r="I2330" s="1" t="s">
        <v>65</v>
      </c>
      <c r="J2330" s="1">
        <v>104.0</v>
      </c>
      <c r="K2330" s="1">
        <v>23.0</v>
      </c>
      <c r="L2330" s="1">
        <v>93.0</v>
      </c>
    </row>
    <row r="2331">
      <c r="A2331" s="1">
        <v>3674102.0</v>
      </c>
      <c r="B2331" s="1" t="s">
        <v>4956</v>
      </c>
      <c r="C2331" s="1" t="s">
        <v>4720</v>
      </c>
      <c r="D2331" s="1" t="s">
        <v>4733</v>
      </c>
      <c r="E2331" s="1" t="s">
        <v>4957</v>
      </c>
      <c r="F2331" s="1" t="s">
        <v>16</v>
      </c>
      <c r="G2331" s="1" t="s">
        <v>27</v>
      </c>
      <c r="H2331" s="1" t="s">
        <v>18</v>
      </c>
      <c r="I2331" s="1" t="s">
        <v>19</v>
      </c>
      <c r="J2331" s="1">
        <v>215.0</v>
      </c>
      <c r="K2331" s="1">
        <v>138.0</v>
      </c>
      <c r="L2331" s="1">
        <v>805.0</v>
      </c>
    </row>
    <row r="2332">
      <c r="A2332" s="1">
        <v>3674171.0</v>
      </c>
      <c r="B2332" s="1" t="s">
        <v>4958</v>
      </c>
      <c r="C2332" s="1" t="s">
        <v>4720</v>
      </c>
      <c r="D2332" s="1" t="s">
        <v>4733</v>
      </c>
      <c r="E2332" s="1" t="s">
        <v>4959</v>
      </c>
      <c r="F2332" s="1" t="s">
        <v>16</v>
      </c>
      <c r="G2332" s="1" t="s">
        <v>17</v>
      </c>
      <c r="H2332" s="1" t="s">
        <v>18</v>
      </c>
      <c r="I2332" s="1" t="s">
        <v>44</v>
      </c>
      <c r="J2332" s="1">
        <v>110.0</v>
      </c>
      <c r="K2332" s="1">
        <v>37.0</v>
      </c>
      <c r="L2332" s="1">
        <v>163.0</v>
      </c>
    </row>
    <row r="2333">
      <c r="A2333" s="1">
        <v>3673035.0</v>
      </c>
      <c r="B2333" s="1" t="s">
        <v>4960</v>
      </c>
      <c r="C2333" s="1" t="s">
        <v>4720</v>
      </c>
      <c r="D2333" s="1" t="s">
        <v>4765</v>
      </c>
      <c r="E2333" s="1" t="s">
        <v>4961</v>
      </c>
      <c r="F2333" s="1" t="s">
        <v>55</v>
      </c>
      <c r="G2333" s="1" t="s">
        <v>17</v>
      </c>
      <c r="H2333" s="1" t="s">
        <v>18</v>
      </c>
      <c r="I2333" s="1" t="s">
        <v>44</v>
      </c>
      <c r="J2333" s="1">
        <v>37.0</v>
      </c>
      <c r="K2333" s="1">
        <v>13.0</v>
      </c>
      <c r="L2333" s="1">
        <v>62.0</v>
      </c>
    </row>
    <row r="2334">
      <c r="A2334" s="1">
        <v>3674018.0</v>
      </c>
      <c r="B2334" s="1" t="s">
        <v>4962</v>
      </c>
      <c r="C2334" s="1" t="s">
        <v>4720</v>
      </c>
      <c r="D2334" s="1" t="s">
        <v>4733</v>
      </c>
      <c r="E2334" s="1" t="s">
        <v>4963</v>
      </c>
      <c r="F2334" s="1" t="s">
        <v>16</v>
      </c>
      <c r="G2334" s="1" t="s">
        <v>17</v>
      </c>
      <c r="H2334" s="1" t="s">
        <v>18</v>
      </c>
      <c r="I2334" s="1" t="s">
        <v>19</v>
      </c>
      <c r="J2334" s="1">
        <v>125.0</v>
      </c>
      <c r="K2334" s="1">
        <v>114.0</v>
      </c>
      <c r="L2334" s="1">
        <v>340.0</v>
      </c>
    </row>
    <row r="2335">
      <c r="A2335" s="1">
        <v>3671225.0</v>
      </c>
      <c r="B2335" s="1" t="s">
        <v>4964</v>
      </c>
      <c r="C2335" s="1" t="s">
        <v>4720</v>
      </c>
      <c r="D2335" s="1" t="s">
        <v>4736</v>
      </c>
      <c r="E2335" s="1" t="s">
        <v>4965</v>
      </c>
      <c r="F2335" s="1" t="s">
        <v>16</v>
      </c>
      <c r="G2335" s="1" t="s">
        <v>17</v>
      </c>
      <c r="H2335" s="1" t="s">
        <v>18</v>
      </c>
      <c r="I2335" s="1" t="s">
        <v>19</v>
      </c>
      <c r="J2335" s="1">
        <v>100.0</v>
      </c>
      <c r="K2335" s="1">
        <v>29.0</v>
      </c>
      <c r="L2335" s="1">
        <v>70.0</v>
      </c>
    </row>
    <row r="2336">
      <c r="A2336" s="1">
        <v>3671021.0</v>
      </c>
      <c r="B2336" s="1" t="s">
        <v>4966</v>
      </c>
      <c r="C2336" s="1" t="s">
        <v>4720</v>
      </c>
      <c r="D2336" s="1" t="s">
        <v>4736</v>
      </c>
      <c r="E2336" s="1" t="s">
        <v>4967</v>
      </c>
      <c r="F2336" s="1" t="s">
        <v>16</v>
      </c>
      <c r="G2336" s="1" t="s">
        <v>23</v>
      </c>
      <c r="H2336" s="1" t="s">
        <v>18</v>
      </c>
      <c r="I2336" s="1" t="s">
        <v>74</v>
      </c>
      <c r="J2336" s="1">
        <v>50.0</v>
      </c>
      <c r="K2336" s="1">
        <v>14.0</v>
      </c>
      <c r="L2336" s="1">
        <v>84.0</v>
      </c>
    </row>
    <row r="2337">
      <c r="A2337" s="1">
        <v>3674007.0</v>
      </c>
      <c r="B2337" s="1" t="s">
        <v>4968</v>
      </c>
      <c r="C2337" s="1" t="s">
        <v>4720</v>
      </c>
      <c r="D2337" s="1" t="s">
        <v>4733</v>
      </c>
      <c r="E2337" s="1" t="s">
        <v>4969</v>
      </c>
      <c r="F2337" s="1" t="s">
        <v>16</v>
      </c>
      <c r="G2337" s="1" t="s">
        <v>17</v>
      </c>
      <c r="H2337" s="1" t="s">
        <v>18</v>
      </c>
      <c r="I2337" s="1" t="s">
        <v>44</v>
      </c>
      <c r="J2337" s="1">
        <v>196.0</v>
      </c>
      <c r="K2337" s="1">
        <v>69.0</v>
      </c>
      <c r="L2337" s="1">
        <v>343.0</v>
      </c>
    </row>
    <row r="2338">
      <c r="A2338" s="1">
        <v>3603175.0</v>
      </c>
      <c r="B2338" s="1" t="s">
        <v>4970</v>
      </c>
      <c r="C2338" s="1" t="s">
        <v>4720</v>
      </c>
      <c r="D2338" s="1" t="s">
        <v>4730</v>
      </c>
      <c r="E2338" s="1" t="s">
        <v>4971</v>
      </c>
      <c r="F2338" s="1" t="s">
        <v>16</v>
      </c>
      <c r="G2338" s="1" t="s">
        <v>17</v>
      </c>
      <c r="H2338" s="1" t="s">
        <v>18</v>
      </c>
      <c r="I2338" s="1" t="s">
        <v>19</v>
      </c>
      <c r="J2338" s="1">
        <v>109.0</v>
      </c>
      <c r="K2338" s="1">
        <v>39.0</v>
      </c>
      <c r="L2338" s="1">
        <v>86.0</v>
      </c>
    </row>
    <row r="2339">
      <c r="A2339" s="1">
        <v>3673048.0</v>
      </c>
      <c r="B2339" s="1" t="s">
        <v>4972</v>
      </c>
      <c r="C2339" s="1" t="s">
        <v>4720</v>
      </c>
      <c r="D2339" s="1" t="s">
        <v>4765</v>
      </c>
      <c r="E2339" s="1" t="s">
        <v>4973</v>
      </c>
      <c r="F2339" s="1" t="s">
        <v>16</v>
      </c>
      <c r="G2339" s="1" t="s">
        <v>17</v>
      </c>
      <c r="H2339" s="1" t="s">
        <v>18</v>
      </c>
      <c r="I2339" s="1" t="s">
        <v>19</v>
      </c>
      <c r="J2339" s="1">
        <v>162.0</v>
      </c>
      <c r="K2339" s="1">
        <v>34.0</v>
      </c>
      <c r="L2339" s="1">
        <v>0.0</v>
      </c>
    </row>
    <row r="2340">
      <c r="A2340" s="1">
        <v>3603115.0</v>
      </c>
      <c r="B2340" s="1" t="s">
        <v>4974</v>
      </c>
      <c r="C2340" s="1" t="s">
        <v>4720</v>
      </c>
      <c r="D2340" s="1" t="s">
        <v>4733</v>
      </c>
      <c r="E2340" s="1" t="s">
        <v>4975</v>
      </c>
      <c r="F2340" s="1" t="s">
        <v>16</v>
      </c>
      <c r="G2340" s="1" t="s">
        <v>27</v>
      </c>
      <c r="H2340" s="1" t="s">
        <v>18</v>
      </c>
      <c r="I2340" s="1" t="s">
        <v>19</v>
      </c>
      <c r="J2340" s="1">
        <v>202.0</v>
      </c>
      <c r="K2340" s="1">
        <v>122.0</v>
      </c>
      <c r="L2340" s="1">
        <v>217.0</v>
      </c>
    </row>
    <row r="2341">
      <c r="A2341" s="1">
        <v>3601036.0</v>
      </c>
      <c r="B2341" s="1" t="s">
        <v>4976</v>
      </c>
      <c r="C2341" s="1" t="s">
        <v>4720</v>
      </c>
      <c r="D2341" s="1" t="s">
        <v>4745</v>
      </c>
      <c r="E2341" s="1" t="s">
        <v>4977</v>
      </c>
      <c r="F2341" s="1" t="s">
        <v>16</v>
      </c>
      <c r="G2341" s="1" t="s">
        <v>23</v>
      </c>
      <c r="H2341" s="1" t="s">
        <v>18</v>
      </c>
      <c r="I2341" s="1" t="s">
        <v>40</v>
      </c>
      <c r="J2341" s="1">
        <v>63.0</v>
      </c>
      <c r="K2341" s="1">
        <v>17.0</v>
      </c>
      <c r="L2341" s="1">
        <v>102.0</v>
      </c>
    </row>
    <row r="2342">
      <c r="A2342" s="1">
        <v>3604066.0</v>
      </c>
      <c r="B2342" s="1" t="s">
        <v>4978</v>
      </c>
      <c r="C2342" s="1" t="s">
        <v>4720</v>
      </c>
      <c r="D2342" s="1" t="s">
        <v>4724</v>
      </c>
      <c r="E2342" s="1" t="s">
        <v>4979</v>
      </c>
      <c r="F2342" s="1" t="s">
        <v>16</v>
      </c>
      <c r="G2342" s="1" t="s">
        <v>17</v>
      </c>
      <c r="H2342" s="1" t="s">
        <v>18</v>
      </c>
      <c r="I2342" s="1" t="s">
        <v>19</v>
      </c>
      <c r="J2342" s="1">
        <v>118.0</v>
      </c>
      <c r="K2342" s="1">
        <v>66.0</v>
      </c>
      <c r="L2342" s="1">
        <v>0.0</v>
      </c>
    </row>
    <row r="2343">
      <c r="A2343" s="1">
        <v>3603180.0</v>
      </c>
      <c r="B2343" s="1" t="s">
        <v>4980</v>
      </c>
      <c r="C2343" s="1" t="s">
        <v>4720</v>
      </c>
      <c r="D2343" s="1" t="s">
        <v>4730</v>
      </c>
      <c r="E2343" s="1" t="s">
        <v>4981</v>
      </c>
      <c r="F2343" s="1" t="s">
        <v>16</v>
      </c>
      <c r="G2343" s="1" t="s">
        <v>27</v>
      </c>
      <c r="H2343" s="1" t="s">
        <v>18</v>
      </c>
      <c r="I2343" s="1" t="s">
        <v>44</v>
      </c>
      <c r="J2343" s="1">
        <v>201.0</v>
      </c>
      <c r="K2343" s="1">
        <v>78.0</v>
      </c>
      <c r="L2343" s="1">
        <v>533.0</v>
      </c>
    </row>
    <row r="2344">
      <c r="A2344" s="1">
        <v>3671124.0</v>
      </c>
      <c r="B2344" s="1" t="s">
        <v>4982</v>
      </c>
      <c r="C2344" s="1" t="s">
        <v>4720</v>
      </c>
      <c r="D2344" s="1" t="s">
        <v>4736</v>
      </c>
      <c r="E2344" s="1" t="s">
        <v>4983</v>
      </c>
      <c r="F2344" s="1" t="s">
        <v>16</v>
      </c>
      <c r="G2344" s="1" t="s">
        <v>17</v>
      </c>
      <c r="H2344" s="1" t="s">
        <v>18</v>
      </c>
      <c r="I2344" s="1" t="s">
        <v>19</v>
      </c>
      <c r="J2344" s="1">
        <v>101.0</v>
      </c>
      <c r="K2344" s="1">
        <v>36.0</v>
      </c>
      <c r="L2344" s="1">
        <v>286.0</v>
      </c>
    </row>
    <row r="2345">
      <c r="A2345" s="1">
        <v>5102021.0</v>
      </c>
      <c r="B2345" s="1" t="s">
        <v>4984</v>
      </c>
      <c r="C2345" s="1" t="s">
        <v>4985</v>
      </c>
      <c r="D2345" s="1" t="s">
        <v>4986</v>
      </c>
      <c r="E2345" s="1" t="s">
        <v>4987</v>
      </c>
      <c r="F2345" s="1" t="s">
        <v>16</v>
      </c>
      <c r="G2345" s="1" t="s">
        <v>23</v>
      </c>
      <c r="H2345" s="1" t="s">
        <v>18</v>
      </c>
      <c r="I2345" s="1" t="s">
        <v>19</v>
      </c>
      <c r="J2345" s="1">
        <v>50.0</v>
      </c>
      <c r="K2345" s="1">
        <v>30.0</v>
      </c>
      <c r="L2345" s="1">
        <v>167.0</v>
      </c>
    </row>
    <row r="2346">
      <c r="A2346" s="1">
        <v>5171086.0</v>
      </c>
      <c r="B2346" s="1" t="s">
        <v>4988</v>
      </c>
      <c r="C2346" s="1" t="s">
        <v>4985</v>
      </c>
      <c r="D2346" s="1" t="s">
        <v>4989</v>
      </c>
      <c r="E2346" s="1" t="s">
        <v>4990</v>
      </c>
      <c r="F2346" s="1" t="s">
        <v>16</v>
      </c>
      <c r="G2346" s="1" t="s">
        <v>17</v>
      </c>
      <c r="H2346" s="1" t="s">
        <v>18</v>
      </c>
      <c r="I2346" s="1" t="s">
        <v>59</v>
      </c>
      <c r="J2346" s="1">
        <v>125.0</v>
      </c>
      <c r="K2346" s="1">
        <v>45.0</v>
      </c>
      <c r="L2346" s="1">
        <v>349.0</v>
      </c>
    </row>
    <row r="2347">
      <c r="A2347" s="1">
        <v>5103036.0</v>
      </c>
      <c r="B2347" s="1" t="s">
        <v>4991</v>
      </c>
      <c r="C2347" s="1" t="s">
        <v>4985</v>
      </c>
      <c r="D2347" s="1" t="s">
        <v>4992</v>
      </c>
      <c r="E2347" s="1" t="s">
        <v>4993</v>
      </c>
      <c r="F2347" s="1" t="s">
        <v>16</v>
      </c>
      <c r="G2347" s="1" t="s">
        <v>17</v>
      </c>
      <c r="H2347" s="1" t="s">
        <v>18</v>
      </c>
      <c r="I2347" s="1" t="s">
        <v>44</v>
      </c>
      <c r="J2347" s="1">
        <v>152.0</v>
      </c>
      <c r="K2347" s="1">
        <v>35.0</v>
      </c>
      <c r="L2347" s="1">
        <v>185.0</v>
      </c>
    </row>
    <row r="2348">
      <c r="A2348" s="1">
        <v>5102046.0</v>
      </c>
      <c r="B2348" s="1" t="s">
        <v>4994</v>
      </c>
      <c r="C2348" s="1" t="s">
        <v>4985</v>
      </c>
      <c r="D2348" s="1" t="s">
        <v>4986</v>
      </c>
      <c r="E2348" s="1" t="s">
        <v>4995</v>
      </c>
      <c r="F2348" s="1" t="s">
        <v>16</v>
      </c>
      <c r="G2348" s="1" t="s">
        <v>17</v>
      </c>
      <c r="H2348" s="1" t="s">
        <v>18</v>
      </c>
      <c r="I2348" s="1" t="s">
        <v>44</v>
      </c>
      <c r="J2348" s="1">
        <v>102.0</v>
      </c>
      <c r="K2348" s="1">
        <v>51.0</v>
      </c>
      <c r="L2348" s="1">
        <v>248.0</v>
      </c>
    </row>
    <row r="2349">
      <c r="A2349" s="1">
        <v>5104039.0</v>
      </c>
      <c r="B2349" s="1" t="s">
        <v>4996</v>
      </c>
      <c r="C2349" s="1" t="s">
        <v>4985</v>
      </c>
      <c r="D2349" s="1" t="s">
        <v>4997</v>
      </c>
      <c r="E2349" s="1" t="s">
        <v>4998</v>
      </c>
      <c r="F2349" s="1" t="s">
        <v>16</v>
      </c>
      <c r="G2349" s="1" t="s">
        <v>17</v>
      </c>
      <c r="H2349" s="1" t="s">
        <v>28</v>
      </c>
      <c r="I2349" s="1" t="s">
        <v>40</v>
      </c>
      <c r="J2349" s="1">
        <v>113.0</v>
      </c>
      <c r="K2349" s="1">
        <v>24.0</v>
      </c>
      <c r="L2349" s="1">
        <v>0.0</v>
      </c>
    </row>
    <row r="2350">
      <c r="A2350" s="1">
        <v>5108031.0</v>
      </c>
      <c r="B2350" s="1" t="s">
        <v>4999</v>
      </c>
      <c r="C2350" s="1" t="s">
        <v>4985</v>
      </c>
      <c r="D2350" s="1" t="s">
        <v>5000</v>
      </c>
      <c r="E2350" s="1" t="s">
        <v>5001</v>
      </c>
      <c r="F2350" s="1" t="s">
        <v>16</v>
      </c>
      <c r="G2350" s="1" t="s">
        <v>17</v>
      </c>
      <c r="H2350" s="1" t="s">
        <v>18</v>
      </c>
      <c r="I2350" s="1" t="s">
        <v>5002</v>
      </c>
      <c r="J2350" s="1">
        <v>120.0</v>
      </c>
      <c r="K2350" s="1">
        <v>65.0</v>
      </c>
      <c r="L2350" s="1">
        <v>381.0</v>
      </c>
    </row>
    <row r="2351">
      <c r="A2351" s="1">
        <v>5171215.0</v>
      </c>
      <c r="B2351" s="1" t="s">
        <v>3971</v>
      </c>
      <c r="C2351" s="1" t="s">
        <v>4985</v>
      </c>
      <c r="D2351" s="1" t="s">
        <v>4989</v>
      </c>
      <c r="E2351" s="1" t="s">
        <v>5003</v>
      </c>
      <c r="F2351" s="1" t="s">
        <v>55</v>
      </c>
      <c r="G2351" s="1" t="s">
        <v>17</v>
      </c>
      <c r="H2351" s="1" t="s">
        <v>18</v>
      </c>
      <c r="I2351" s="1" t="s">
        <v>19</v>
      </c>
      <c r="J2351" s="1">
        <v>80.0</v>
      </c>
      <c r="K2351" s="1">
        <v>28.0</v>
      </c>
      <c r="L2351" s="1">
        <v>223.0</v>
      </c>
    </row>
    <row r="2352">
      <c r="A2352" s="1">
        <v>5104012.0</v>
      </c>
      <c r="B2352" s="1" t="s">
        <v>5004</v>
      </c>
      <c r="C2352" s="1" t="s">
        <v>4985</v>
      </c>
      <c r="D2352" s="1" t="s">
        <v>4997</v>
      </c>
      <c r="E2352" s="1" t="s">
        <v>5005</v>
      </c>
      <c r="F2352" s="1" t="s">
        <v>16</v>
      </c>
      <c r="G2352" s="1" t="s">
        <v>27</v>
      </c>
      <c r="H2352" s="1" t="s">
        <v>28</v>
      </c>
      <c r="I2352" s="1" t="s">
        <v>40</v>
      </c>
      <c r="J2352" s="1">
        <v>241.0</v>
      </c>
      <c r="K2352" s="1">
        <v>132.0</v>
      </c>
      <c r="L2352" s="1">
        <v>846.0</v>
      </c>
    </row>
    <row r="2353">
      <c r="A2353" s="1">
        <v>5104037.0</v>
      </c>
      <c r="B2353" s="1" t="s">
        <v>5006</v>
      </c>
      <c r="C2353" s="1" t="s">
        <v>4985</v>
      </c>
      <c r="D2353" s="1" t="s">
        <v>4997</v>
      </c>
      <c r="E2353" s="1" t="s">
        <v>5007</v>
      </c>
      <c r="F2353" s="1" t="s">
        <v>16</v>
      </c>
      <c r="G2353" s="1" t="s">
        <v>17</v>
      </c>
      <c r="H2353" s="1" t="s">
        <v>18</v>
      </c>
      <c r="I2353" s="1" t="s">
        <v>44</v>
      </c>
      <c r="J2353" s="1">
        <v>109.0</v>
      </c>
      <c r="K2353" s="1">
        <v>38.0</v>
      </c>
      <c r="L2353" s="1">
        <v>186.0</v>
      </c>
    </row>
    <row r="2354">
      <c r="A2354" s="1">
        <v>5102047.0</v>
      </c>
      <c r="B2354" s="1" t="s">
        <v>5008</v>
      </c>
      <c r="C2354" s="1" t="s">
        <v>4985</v>
      </c>
      <c r="D2354" s="1" t="s">
        <v>4986</v>
      </c>
      <c r="E2354" s="1" t="s">
        <v>5009</v>
      </c>
      <c r="F2354" s="1" t="s">
        <v>16</v>
      </c>
      <c r="G2354" s="1" t="s">
        <v>17</v>
      </c>
      <c r="H2354" s="1" t="s">
        <v>33</v>
      </c>
      <c r="I2354" s="1" t="s">
        <v>40</v>
      </c>
      <c r="J2354" s="1">
        <v>102.0</v>
      </c>
      <c r="K2354" s="1">
        <v>43.0</v>
      </c>
      <c r="L2354" s="1">
        <v>177.0</v>
      </c>
    </row>
    <row r="2355">
      <c r="A2355" s="1">
        <v>5171122.0</v>
      </c>
      <c r="B2355" s="1" t="s">
        <v>5010</v>
      </c>
      <c r="C2355" s="1" t="s">
        <v>4985</v>
      </c>
      <c r="D2355" s="1" t="s">
        <v>4989</v>
      </c>
      <c r="E2355" s="1" t="s">
        <v>5011</v>
      </c>
      <c r="F2355" s="1" t="s">
        <v>16</v>
      </c>
      <c r="G2355" s="1" t="s">
        <v>17</v>
      </c>
      <c r="H2355" s="1" t="s">
        <v>18</v>
      </c>
      <c r="I2355" s="1" t="s">
        <v>5002</v>
      </c>
      <c r="J2355" s="1">
        <v>108.0</v>
      </c>
      <c r="K2355" s="1">
        <v>95.0</v>
      </c>
      <c r="L2355" s="1">
        <v>210.0</v>
      </c>
    </row>
    <row r="2356">
      <c r="A2356" s="1">
        <v>5102049.0</v>
      </c>
      <c r="B2356" s="1" t="s">
        <v>5012</v>
      </c>
      <c r="C2356" s="1" t="s">
        <v>4985</v>
      </c>
      <c r="D2356" s="1" t="s">
        <v>4986</v>
      </c>
      <c r="E2356" s="1" t="s">
        <v>5013</v>
      </c>
      <c r="F2356" s="1" t="s">
        <v>16</v>
      </c>
      <c r="G2356" s="1" t="s">
        <v>17</v>
      </c>
      <c r="H2356" s="1" t="s">
        <v>18</v>
      </c>
      <c r="I2356" s="1" t="s">
        <v>44</v>
      </c>
      <c r="J2356" s="1">
        <v>104.0</v>
      </c>
      <c r="K2356" s="1">
        <v>23.0</v>
      </c>
      <c r="L2356" s="1">
        <v>104.0</v>
      </c>
    </row>
    <row r="2357">
      <c r="A2357" s="1">
        <v>5102043.0</v>
      </c>
      <c r="B2357" s="1" t="s">
        <v>5014</v>
      </c>
      <c r="C2357" s="1" t="s">
        <v>4985</v>
      </c>
      <c r="D2357" s="1" t="s">
        <v>4986</v>
      </c>
      <c r="E2357" s="1" t="s">
        <v>5015</v>
      </c>
      <c r="F2357" s="1" t="s">
        <v>16</v>
      </c>
      <c r="G2357" s="1" t="s">
        <v>23</v>
      </c>
      <c r="H2357" s="1" t="s">
        <v>18</v>
      </c>
      <c r="I2357" s="1" t="s">
        <v>19</v>
      </c>
      <c r="J2357" s="1">
        <v>50.0</v>
      </c>
      <c r="K2357" s="1">
        <v>19.0</v>
      </c>
      <c r="L2357" s="1">
        <v>85.0</v>
      </c>
    </row>
    <row r="2358">
      <c r="A2358" s="1">
        <v>5171016.0</v>
      </c>
      <c r="B2358" s="1" t="s">
        <v>5016</v>
      </c>
      <c r="C2358" s="1" t="s">
        <v>4985</v>
      </c>
      <c r="D2358" s="1" t="s">
        <v>4989</v>
      </c>
      <c r="E2358" s="1" t="s">
        <v>5017</v>
      </c>
      <c r="F2358" s="1" t="s">
        <v>16</v>
      </c>
      <c r="G2358" s="1" t="s">
        <v>150</v>
      </c>
      <c r="H2358" s="1" t="s">
        <v>33</v>
      </c>
      <c r="I2358" s="1" t="s">
        <v>411</v>
      </c>
      <c r="J2358" s="1">
        <v>731.0</v>
      </c>
      <c r="K2358" s="1">
        <v>170.0</v>
      </c>
      <c r="L2358" s="1">
        <v>3149.0</v>
      </c>
    </row>
    <row r="2359">
      <c r="A2359" s="1">
        <v>5107017.0</v>
      </c>
      <c r="B2359" s="1" t="s">
        <v>5018</v>
      </c>
      <c r="C2359" s="1" t="s">
        <v>4985</v>
      </c>
      <c r="D2359" s="1" t="s">
        <v>5019</v>
      </c>
      <c r="E2359" s="1" t="s">
        <v>5020</v>
      </c>
      <c r="F2359" s="1" t="s">
        <v>16</v>
      </c>
      <c r="G2359" s="1" t="s">
        <v>17</v>
      </c>
      <c r="H2359" s="1" t="s">
        <v>18</v>
      </c>
      <c r="I2359" s="1" t="s">
        <v>19</v>
      </c>
      <c r="J2359" s="1">
        <v>158.0</v>
      </c>
      <c r="K2359" s="1">
        <v>34.0</v>
      </c>
      <c r="L2359" s="1">
        <v>226.0</v>
      </c>
    </row>
    <row r="2360">
      <c r="A2360" s="1">
        <v>5106014.0</v>
      </c>
      <c r="B2360" s="1" t="s">
        <v>5021</v>
      </c>
      <c r="C2360" s="1" t="s">
        <v>4985</v>
      </c>
      <c r="D2360" s="1" t="s">
        <v>5022</v>
      </c>
      <c r="E2360" s="1" t="s">
        <v>5023</v>
      </c>
      <c r="F2360" s="1" t="s">
        <v>16</v>
      </c>
      <c r="G2360" s="1" t="s">
        <v>27</v>
      </c>
      <c r="H2360" s="1" t="s">
        <v>28</v>
      </c>
      <c r="I2360" s="1" t="s">
        <v>40</v>
      </c>
      <c r="J2360" s="1">
        <v>223.0</v>
      </c>
      <c r="K2360" s="1">
        <v>107.0</v>
      </c>
      <c r="L2360" s="1">
        <v>612.0</v>
      </c>
    </row>
    <row r="2361">
      <c r="A2361" s="1">
        <v>5171220.0</v>
      </c>
      <c r="B2361" s="1" t="s">
        <v>5024</v>
      </c>
      <c r="C2361" s="1" t="s">
        <v>4985</v>
      </c>
      <c r="D2361" s="1" t="s">
        <v>4989</v>
      </c>
      <c r="E2361" s="1" t="s">
        <v>5025</v>
      </c>
      <c r="F2361" s="1" t="s">
        <v>16</v>
      </c>
      <c r="G2361" s="1" t="s">
        <v>27</v>
      </c>
      <c r="H2361" s="1" t="s">
        <v>18</v>
      </c>
      <c r="I2361" s="1" t="s">
        <v>139</v>
      </c>
      <c r="J2361" s="1">
        <v>238.0</v>
      </c>
      <c r="K2361" s="1">
        <v>72.0</v>
      </c>
      <c r="L2361" s="1">
        <v>126.0</v>
      </c>
    </row>
    <row r="2362">
      <c r="A2362" s="1">
        <v>5104036.0</v>
      </c>
      <c r="B2362" s="1" t="s">
        <v>5026</v>
      </c>
      <c r="C2362" s="1" t="s">
        <v>4985</v>
      </c>
      <c r="D2362" s="1" t="s">
        <v>4997</v>
      </c>
      <c r="E2362" s="1" t="s">
        <v>5027</v>
      </c>
      <c r="F2362" s="1" t="s">
        <v>16</v>
      </c>
      <c r="G2362" s="1" t="s">
        <v>17</v>
      </c>
      <c r="H2362" s="1" t="s">
        <v>18</v>
      </c>
      <c r="I2362" s="1" t="s">
        <v>163</v>
      </c>
      <c r="J2362" s="1">
        <v>102.0</v>
      </c>
      <c r="K2362" s="1">
        <v>33.0</v>
      </c>
      <c r="L2362" s="1">
        <v>291.0</v>
      </c>
    </row>
    <row r="2363">
      <c r="A2363" s="1">
        <v>5171155.0</v>
      </c>
      <c r="B2363" s="1" t="s">
        <v>5028</v>
      </c>
      <c r="C2363" s="1" t="s">
        <v>4985</v>
      </c>
      <c r="D2363" s="1" t="s">
        <v>4989</v>
      </c>
      <c r="E2363" s="1" t="s">
        <v>5029</v>
      </c>
      <c r="F2363" s="1" t="s">
        <v>16</v>
      </c>
      <c r="G2363" s="1" t="s">
        <v>23</v>
      </c>
      <c r="H2363" s="1" t="s">
        <v>18</v>
      </c>
      <c r="I2363" s="1" t="s">
        <v>59</v>
      </c>
      <c r="J2363" s="1">
        <v>58.0</v>
      </c>
      <c r="K2363" s="1">
        <v>33.0</v>
      </c>
      <c r="L2363" s="1">
        <v>153.0</v>
      </c>
    </row>
    <row r="2364">
      <c r="A2364" s="1">
        <v>5108075.0</v>
      </c>
      <c r="B2364" s="1" t="s">
        <v>5030</v>
      </c>
      <c r="C2364" s="1" t="s">
        <v>4985</v>
      </c>
      <c r="D2364" s="1" t="s">
        <v>5000</v>
      </c>
      <c r="E2364" s="1" t="s">
        <v>5031</v>
      </c>
      <c r="F2364" s="1" t="s">
        <v>16</v>
      </c>
      <c r="G2364" s="1" t="s">
        <v>23</v>
      </c>
      <c r="H2364" s="1" t="s">
        <v>18</v>
      </c>
      <c r="I2364" s="1" t="s">
        <v>19</v>
      </c>
      <c r="J2364" s="1">
        <v>50.0</v>
      </c>
      <c r="K2364" s="1">
        <v>20.0</v>
      </c>
      <c r="L2364" s="1">
        <v>104.0</v>
      </c>
    </row>
    <row r="2365">
      <c r="A2365" s="1">
        <v>5103038.0</v>
      </c>
      <c r="B2365" s="1" t="s">
        <v>5032</v>
      </c>
      <c r="C2365" s="1" t="s">
        <v>4985</v>
      </c>
      <c r="D2365" s="1" t="s">
        <v>4992</v>
      </c>
      <c r="E2365" s="1" t="s">
        <v>5033</v>
      </c>
      <c r="F2365" s="1" t="s">
        <v>16</v>
      </c>
      <c r="G2365" s="1" t="s">
        <v>17</v>
      </c>
      <c r="H2365" s="1" t="s">
        <v>18</v>
      </c>
      <c r="I2365" s="1" t="s">
        <v>44</v>
      </c>
      <c r="J2365" s="1">
        <v>104.0</v>
      </c>
      <c r="K2365" s="1">
        <v>34.0</v>
      </c>
      <c r="L2365" s="1">
        <v>51.0</v>
      </c>
    </row>
    <row r="2366">
      <c r="A2366" s="1">
        <v>5108064.0</v>
      </c>
      <c r="B2366" s="1" t="s">
        <v>5034</v>
      </c>
      <c r="C2366" s="1" t="s">
        <v>4985</v>
      </c>
      <c r="D2366" s="1" t="s">
        <v>5000</v>
      </c>
      <c r="E2366" s="1" t="s">
        <v>5035</v>
      </c>
      <c r="F2366" s="1" t="s">
        <v>16</v>
      </c>
      <c r="G2366" s="1" t="s">
        <v>17</v>
      </c>
      <c r="H2366" s="1" t="s">
        <v>18</v>
      </c>
      <c r="I2366" s="1" t="s">
        <v>19</v>
      </c>
      <c r="J2366" s="1">
        <v>109.0</v>
      </c>
      <c r="K2366" s="1">
        <v>35.0</v>
      </c>
      <c r="L2366" s="1">
        <v>98.0</v>
      </c>
    </row>
    <row r="2367">
      <c r="A2367" s="1">
        <v>5108080.0</v>
      </c>
      <c r="B2367" s="1" t="s">
        <v>5036</v>
      </c>
      <c r="C2367" s="1" t="s">
        <v>4985</v>
      </c>
      <c r="D2367" s="1" t="s">
        <v>5000</v>
      </c>
      <c r="E2367" s="1" t="s">
        <v>5037</v>
      </c>
      <c r="F2367" s="1" t="s">
        <v>16</v>
      </c>
      <c r="G2367" s="1" t="s">
        <v>17</v>
      </c>
      <c r="H2367" s="1" t="s">
        <v>18</v>
      </c>
      <c r="I2367" s="1" t="s">
        <v>44</v>
      </c>
      <c r="J2367" s="1">
        <v>101.0</v>
      </c>
      <c r="K2367" s="1">
        <v>38.0</v>
      </c>
      <c r="L2367" s="1">
        <v>299.0</v>
      </c>
    </row>
    <row r="2368">
      <c r="A2368" s="1">
        <v>5171216.0</v>
      </c>
      <c r="B2368" s="1" t="s">
        <v>5038</v>
      </c>
      <c r="C2368" s="1" t="s">
        <v>4985</v>
      </c>
      <c r="D2368" s="1" t="s">
        <v>4989</v>
      </c>
      <c r="E2368" s="1" t="s">
        <v>5039</v>
      </c>
      <c r="F2368" s="1" t="s">
        <v>16</v>
      </c>
      <c r="G2368" s="1" t="s">
        <v>17</v>
      </c>
      <c r="H2368" s="1" t="s">
        <v>33</v>
      </c>
      <c r="I2368" s="1" t="s">
        <v>65</v>
      </c>
      <c r="J2368" s="1">
        <v>102.0</v>
      </c>
      <c r="K2368" s="1">
        <v>104.0</v>
      </c>
      <c r="L2368" s="1">
        <v>313.0</v>
      </c>
    </row>
    <row r="2369">
      <c r="A2369" s="1">
        <v>5103034.0</v>
      </c>
      <c r="B2369" s="1" t="s">
        <v>5040</v>
      </c>
      <c r="C2369" s="1" t="s">
        <v>4985</v>
      </c>
      <c r="D2369" s="1" t="s">
        <v>4992</v>
      </c>
      <c r="E2369" s="1" t="s">
        <v>5041</v>
      </c>
      <c r="F2369" s="1" t="s">
        <v>255</v>
      </c>
      <c r="G2369" s="1" t="s">
        <v>27</v>
      </c>
      <c r="H2369" s="1" t="s">
        <v>18</v>
      </c>
      <c r="I2369" s="1" t="s">
        <v>19</v>
      </c>
      <c r="J2369" s="1">
        <v>68.0</v>
      </c>
      <c r="K2369" s="1">
        <v>55.0</v>
      </c>
      <c r="L2369" s="1">
        <v>173.0</v>
      </c>
    </row>
    <row r="2370">
      <c r="A2370" s="1">
        <v>5108091.0</v>
      </c>
      <c r="B2370" s="1" t="s">
        <v>5042</v>
      </c>
      <c r="C2370" s="1" t="s">
        <v>4985</v>
      </c>
      <c r="D2370" s="1" t="s">
        <v>5000</v>
      </c>
      <c r="E2370" s="1" t="s">
        <v>5043</v>
      </c>
      <c r="F2370" s="1" t="s">
        <v>55</v>
      </c>
      <c r="G2370" s="1" t="s">
        <v>17</v>
      </c>
      <c r="H2370" s="1" t="s">
        <v>18</v>
      </c>
      <c r="I2370" s="1" t="s">
        <v>19</v>
      </c>
      <c r="J2370" s="1">
        <v>28.0</v>
      </c>
      <c r="K2370" s="1">
        <v>22.0</v>
      </c>
      <c r="L2370" s="1">
        <v>0.0</v>
      </c>
    </row>
    <row r="2371">
      <c r="A2371" s="1">
        <v>5108079.0</v>
      </c>
      <c r="B2371" s="1" t="s">
        <v>5044</v>
      </c>
      <c r="C2371" s="1" t="s">
        <v>4985</v>
      </c>
      <c r="D2371" s="1" t="s">
        <v>5000</v>
      </c>
      <c r="E2371" s="1" t="s">
        <v>5045</v>
      </c>
      <c r="F2371" s="1" t="s">
        <v>16</v>
      </c>
      <c r="G2371" s="1" t="s">
        <v>23</v>
      </c>
      <c r="H2371" s="1" t="s">
        <v>18</v>
      </c>
      <c r="I2371" s="1" t="s">
        <v>40</v>
      </c>
      <c r="J2371" s="1">
        <v>50.0</v>
      </c>
      <c r="K2371" s="1">
        <v>14.0</v>
      </c>
      <c r="L2371" s="1">
        <v>144.0</v>
      </c>
    </row>
    <row r="2372">
      <c r="A2372" s="1">
        <v>5171235.0</v>
      </c>
      <c r="B2372" s="1" t="s">
        <v>5046</v>
      </c>
      <c r="C2372" s="1" t="s">
        <v>4985</v>
      </c>
      <c r="D2372" s="1" t="s">
        <v>4989</v>
      </c>
      <c r="E2372" s="1" t="s">
        <v>5047</v>
      </c>
      <c r="F2372" s="1" t="s">
        <v>55</v>
      </c>
      <c r="G2372" s="1" t="s">
        <v>17</v>
      </c>
      <c r="H2372" s="1" t="s">
        <v>18</v>
      </c>
      <c r="I2372" s="1" t="s">
        <v>19</v>
      </c>
      <c r="J2372" s="1">
        <v>60.0</v>
      </c>
      <c r="K2372" s="1">
        <v>52.0</v>
      </c>
      <c r="L2372" s="1">
        <v>0.0</v>
      </c>
    </row>
    <row r="2373">
      <c r="A2373" s="1">
        <v>5171031.0</v>
      </c>
      <c r="B2373" s="1" t="s">
        <v>5048</v>
      </c>
      <c r="C2373" s="1" t="s">
        <v>4985</v>
      </c>
      <c r="D2373" s="1" t="s">
        <v>4989</v>
      </c>
      <c r="E2373" s="1" t="s">
        <v>5049</v>
      </c>
      <c r="F2373" s="1" t="s">
        <v>16</v>
      </c>
      <c r="G2373" s="1" t="s">
        <v>17</v>
      </c>
      <c r="H2373" s="1" t="s">
        <v>33</v>
      </c>
      <c r="I2373" s="1" t="s">
        <v>74</v>
      </c>
      <c r="J2373" s="1">
        <v>157.0</v>
      </c>
      <c r="K2373" s="1">
        <v>58.0</v>
      </c>
      <c r="L2373" s="1">
        <v>552.0</v>
      </c>
    </row>
    <row r="2374">
      <c r="A2374" s="1">
        <v>5105016.0</v>
      </c>
      <c r="B2374" s="1" t="s">
        <v>5050</v>
      </c>
      <c r="C2374" s="1" t="s">
        <v>4985</v>
      </c>
      <c r="D2374" s="1" t="s">
        <v>5051</v>
      </c>
      <c r="E2374" s="1" t="s">
        <v>5052</v>
      </c>
      <c r="F2374" s="1" t="s">
        <v>16</v>
      </c>
      <c r="G2374" s="1" t="s">
        <v>23</v>
      </c>
      <c r="H2374" s="1" t="s">
        <v>28</v>
      </c>
      <c r="I2374" s="1" t="s">
        <v>40</v>
      </c>
      <c r="J2374" s="1">
        <v>50.0</v>
      </c>
      <c r="K2374" s="1">
        <v>20.0</v>
      </c>
      <c r="L2374" s="1">
        <v>134.0</v>
      </c>
    </row>
    <row r="2375">
      <c r="A2375" s="1">
        <v>5104034.0</v>
      </c>
      <c r="B2375" s="1" t="s">
        <v>5053</v>
      </c>
      <c r="C2375" s="1" t="s">
        <v>4985</v>
      </c>
      <c r="D2375" s="1" t="s">
        <v>4997</v>
      </c>
      <c r="E2375" s="1" t="s">
        <v>5054</v>
      </c>
      <c r="F2375" s="1" t="s">
        <v>16</v>
      </c>
      <c r="G2375" s="1" t="s">
        <v>17</v>
      </c>
      <c r="H2375" s="1" t="s">
        <v>18</v>
      </c>
      <c r="I2375" s="1" t="s">
        <v>163</v>
      </c>
      <c r="J2375" s="1">
        <v>109.0</v>
      </c>
      <c r="K2375" s="1">
        <v>63.0</v>
      </c>
      <c r="L2375" s="1">
        <v>310.0</v>
      </c>
    </row>
    <row r="2376">
      <c r="A2376" s="1">
        <v>5101016.0</v>
      </c>
      <c r="B2376" s="1" t="s">
        <v>5055</v>
      </c>
      <c r="C2376" s="1" t="s">
        <v>4985</v>
      </c>
      <c r="D2376" s="1" t="s">
        <v>5056</v>
      </c>
      <c r="E2376" s="1" t="s">
        <v>5057</v>
      </c>
      <c r="F2376" s="1" t="s">
        <v>16</v>
      </c>
      <c r="G2376" s="1" t="s">
        <v>17</v>
      </c>
      <c r="H2376" s="1" t="s">
        <v>28</v>
      </c>
      <c r="I2376" s="1" t="s">
        <v>40</v>
      </c>
      <c r="J2376" s="1">
        <v>161.0</v>
      </c>
      <c r="K2376" s="1">
        <v>35.0</v>
      </c>
      <c r="L2376" s="1">
        <v>479.0</v>
      </c>
    </row>
    <row r="2377">
      <c r="A2377" s="1">
        <v>5105017.0</v>
      </c>
      <c r="B2377" s="1" t="s">
        <v>5058</v>
      </c>
      <c r="C2377" s="1" t="s">
        <v>4985</v>
      </c>
      <c r="D2377" s="1" t="s">
        <v>5051</v>
      </c>
      <c r="E2377" s="1" t="s">
        <v>5059</v>
      </c>
      <c r="F2377" s="1" t="s">
        <v>16</v>
      </c>
      <c r="G2377" s="1" t="s">
        <v>17</v>
      </c>
      <c r="H2377" s="1" t="s">
        <v>18</v>
      </c>
      <c r="I2377" s="1" t="s">
        <v>19</v>
      </c>
      <c r="J2377" s="1">
        <v>112.0</v>
      </c>
      <c r="K2377" s="1">
        <v>64.0</v>
      </c>
      <c r="L2377" s="1">
        <v>30.0</v>
      </c>
    </row>
    <row r="2378">
      <c r="A2378" s="1">
        <v>5107015.0</v>
      </c>
      <c r="B2378" s="1" t="s">
        <v>5060</v>
      </c>
      <c r="C2378" s="1" t="s">
        <v>4985</v>
      </c>
      <c r="D2378" s="1" t="s">
        <v>5019</v>
      </c>
      <c r="E2378" s="1" t="s">
        <v>5061</v>
      </c>
      <c r="F2378" s="1" t="s">
        <v>16</v>
      </c>
      <c r="G2378" s="1" t="s">
        <v>17</v>
      </c>
      <c r="H2378" s="1" t="s">
        <v>28</v>
      </c>
      <c r="I2378" s="1" t="s">
        <v>40</v>
      </c>
      <c r="J2378" s="1">
        <v>193.0</v>
      </c>
      <c r="K2378" s="1">
        <v>42.0</v>
      </c>
      <c r="L2378" s="1">
        <v>524.0</v>
      </c>
    </row>
    <row r="2379">
      <c r="A2379" s="1">
        <v>5171181.0</v>
      </c>
      <c r="B2379" s="1" t="s">
        <v>5062</v>
      </c>
      <c r="C2379" s="1" t="s">
        <v>4985</v>
      </c>
      <c r="D2379" s="1" t="s">
        <v>4989</v>
      </c>
      <c r="E2379" s="1" t="s">
        <v>5063</v>
      </c>
      <c r="F2379" s="1" t="s">
        <v>32</v>
      </c>
      <c r="G2379" s="1" t="s">
        <v>27</v>
      </c>
      <c r="H2379" s="1" t="s">
        <v>18</v>
      </c>
      <c r="I2379" s="1" t="s">
        <v>59</v>
      </c>
      <c r="J2379" s="1">
        <v>17.0</v>
      </c>
      <c r="K2379" s="1">
        <v>21.0</v>
      </c>
      <c r="L2379" s="1">
        <v>95.0</v>
      </c>
    </row>
    <row r="2380">
      <c r="A2380" s="1">
        <v>5105015.0</v>
      </c>
      <c r="B2380" s="1" t="s">
        <v>5064</v>
      </c>
      <c r="C2380" s="1" t="s">
        <v>4985</v>
      </c>
      <c r="D2380" s="1" t="s">
        <v>5051</v>
      </c>
      <c r="E2380" s="1" t="s">
        <v>5065</v>
      </c>
      <c r="F2380" s="1" t="s">
        <v>16</v>
      </c>
      <c r="G2380" s="1" t="s">
        <v>17</v>
      </c>
      <c r="H2380" s="1" t="s">
        <v>18</v>
      </c>
      <c r="I2380" s="1" t="s">
        <v>19</v>
      </c>
      <c r="J2380" s="1">
        <v>119.0</v>
      </c>
      <c r="K2380" s="1">
        <v>58.0</v>
      </c>
      <c r="L2380" s="1">
        <v>191.0</v>
      </c>
    </row>
    <row r="2381">
      <c r="A2381" s="1">
        <v>5103053.0</v>
      </c>
      <c r="B2381" s="1" t="s">
        <v>5066</v>
      </c>
      <c r="C2381" s="1" t="s">
        <v>4985</v>
      </c>
      <c r="D2381" s="1" t="s">
        <v>4992</v>
      </c>
      <c r="E2381" s="1" t="s">
        <v>5067</v>
      </c>
      <c r="F2381" s="1" t="s">
        <v>16</v>
      </c>
      <c r="G2381" s="1" t="s">
        <v>17</v>
      </c>
      <c r="H2381" s="1" t="s">
        <v>18</v>
      </c>
      <c r="I2381" s="1" t="s">
        <v>19</v>
      </c>
      <c r="J2381" s="1">
        <v>94.0</v>
      </c>
      <c r="K2381" s="1">
        <v>27.0</v>
      </c>
      <c r="L2381" s="1">
        <v>0.0</v>
      </c>
    </row>
    <row r="2382">
      <c r="A2382" s="1">
        <v>5171097.0</v>
      </c>
      <c r="B2382" s="1" t="s">
        <v>5068</v>
      </c>
      <c r="C2382" s="1" t="s">
        <v>4985</v>
      </c>
      <c r="D2382" s="1" t="s">
        <v>4989</v>
      </c>
      <c r="E2382" s="1" t="s">
        <v>5069</v>
      </c>
      <c r="F2382" s="1" t="s">
        <v>16</v>
      </c>
      <c r="G2382" s="1" t="s">
        <v>17</v>
      </c>
      <c r="H2382" s="1" t="s">
        <v>18</v>
      </c>
      <c r="I2382" s="1" t="s">
        <v>44</v>
      </c>
      <c r="J2382" s="1">
        <v>110.0</v>
      </c>
      <c r="K2382" s="1">
        <v>43.0</v>
      </c>
      <c r="L2382" s="1">
        <v>524.0</v>
      </c>
    </row>
    <row r="2383">
      <c r="A2383" s="1">
        <v>5103033.0</v>
      </c>
      <c r="B2383" s="1" t="s">
        <v>5070</v>
      </c>
      <c r="C2383" s="1" t="s">
        <v>4985</v>
      </c>
      <c r="D2383" s="1" t="s">
        <v>4992</v>
      </c>
      <c r="E2383" s="1" t="s">
        <v>5071</v>
      </c>
      <c r="F2383" s="1" t="s">
        <v>16</v>
      </c>
      <c r="G2383" s="1" t="s">
        <v>17</v>
      </c>
      <c r="H2383" s="1" t="s">
        <v>18</v>
      </c>
      <c r="I2383" s="1" t="s">
        <v>59</v>
      </c>
      <c r="J2383" s="1">
        <v>102.0</v>
      </c>
      <c r="K2383" s="1">
        <v>15.0</v>
      </c>
      <c r="L2383" s="1">
        <v>163.0</v>
      </c>
    </row>
    <row r="2384">
      <c r="A2384" s="1">
        <v>5171064.0</v>
      </c>
      <c r="B2384" s="1" t="s">
        <v>5072</v>
      </c>
      <c r="C2384" s="1" t="s">
        <v>4985</v>
      </c>
      <c r="D2384" s="1" t="s">
        <v>4989</v>
      </c>
      <c r="E2384" s="1" t="s">
        <v>5073</v>
      </c>
      <c r="F2384" s="1" t="s">
        <v>272</v>
      </c>
      <c r="G2384" s="1" t="s">
        <v>150</v>
      </c>
      <c r="H2384" s="1" t="s">
        <v>28</v>
      </c>
      <c r="I2384" s="1" t="s">
        <v>139</v>
      </c>
      <c r="J2384" s="1">
        <v>40.0</v>
      </c>
      <c r="K2384" s="1">
        <v>30.0</v>
      </c>
      <c r="L2384" s="1">
        <v>260.0</v>
      </c>
    </row>
    <row r="2385">
      <c r="A2385" s="1">
        <v>5102010.0</v>
      </c>
      <c r="B2385" s="1" t="s">
        <v>5074</v>
      </c>
      <c r="C2385" s="1" t="s">
        <v>4985</v>
      </c>
      <c r="D2385" s="1" t="s">
        <v>4986</v>
      </c>
      <c r="E2385" s="1" t="s">
        <v>5075</v>
      </c>
      <c r="F2385" s="1" t="s">
        <v>16</v>
      </c>
      <c r="G2385" s="1" t="s">
        <v>27</v>
      </c>
      <c r="H2385" s="1" t="s">
        <v>28</v>
      </c>
      <c r="I2385" s="1" t="s">
        <v>40</v>
      </c>
      <c r="J2385" s="1">
        <v>202.0</v>
      </c>
      <c r="K2385" s="1">
        <v>122.0</v>
      </c>
      <c r="L2385" s="1">
        <v>1037.0</v>
      </c>
    </row>
    <row r="2386">
      <c r="A2386" s="1">
        <v>5106026.0</v>
      </c>
      <c r="B2386" s="1" t="s">
        <v>5076</v>
      </c>
      <c r="C2386" s="1" t="s">
        <v>4985</v>
      </c>
      <c r="D2386" s="1" t="s">
        <v>5022</v>
      </c>
      <c r="E2386" s="1" t="s">
        <v>5077</v>
      </c>
      <c r="F2386" s="1" t="s">
        <v>16</v>
      </c>
      <c r="G2386" s="1" t="s">
        <v>17</v>
      </c>
      <c r="H2386" s="1" t="s">
        <v>18</v>
      </c>
      <c r="I2386" s="1" t="s">
        <v>44</v>
      </c>
      <c r="J2386" s="1">
        <v>131.0</v>
      </c>
      <c r="K2386" s="1">
        <v>174.0</v>
      </c>
      <c r="L2386" s="1">
        <v>86.0</v>
      </c>
    </row>
    <row r="2387">
      <c r="A2387" s="1">
        <v>5104035.0</v>
      </c>
      <c r="B2387" s="1" t="s">
        <v>5078</v>
      </c>
      <c r="C2387" s="1" t="s">
        <v>4985</v>
      </c>
      <c r="D2387" s="1" t="s">
        <v>4997</v>
      </c>
      <c r="E2387" s="1" t="s">
        <v>5079</v>
      </c>
      <c r="F2387" s="1" t="s">
        <v>16</v>
      </c>
      <c r="G2387" s="1" t="s">
        <v>17</v>
      </c>
      <c r="H2387" s="1" t="s">
        <v>18</v>
      </c>
      <c r="I2387" s="1" t="s">
        <v>44</v>
      </c>
      <c r="J2387" s="1">
        <v>151.0</v>
      </c>
      <c r="K2387" s="1">
        <v>115.0</v>
      </c>
      <c r="L2387" s="1">
        <v>537.0</v>
      </c>
    </row>
    <row r="2388">
      <c r="A2388" s="1">
        <v>5108020.0</v>
      </c>
      <c r="B2388" s="1" t="s">
        <v>5080</v>
      </c>
      <c r="C2388" s="1" t="s">
        <v>4985</v>
      </c>
      <c r="D2388" s="1" t="s">
        <v>5000</v>
      </c>
      <c r="E2388" s="1" t="s">
        <v>5081</v>
      </c>
      <c r="F2388" s="1" t="s">
        <v>16</v>
      </c>
      <c r="G2388" s="1" t="s">
        <v>23</v>
      </c>
      <c r="H2388" s="1" t="s">
        <v>18</v>
      </c>
      <c r="I2388" s="1" t="s">
        <v>74</v>
      </c>
      <c r="J2388" s="1">
        <v>50.0</v>
      </c>
      <c r="K2388" s="1">
        <v>21.0</v>
      </c>
      <c r="L2388" s="1">
        <v>93.0</v>
      </c>
    </row>
    <row r="2389">
      <c r="A2389" s="1">
        <v>5107029.0</v>
      </c>
      <c r="B2389" s="1" t="s">
        <v>5082</v>
      </c>
      <c r="C2389" s="1" t="s">
        <v>4985</v>
      </c>
      <c r="D2389" s="1" t="s">
        <v>5019</v>
      </c>
      <c r="E2389" s="1" t="s">
        <v>5083</v>
      </c>
      <c r="F2389" s="1" t="s">
        <v>16</v>
      </c>
      <c r="G2389" s="1" t="s">
        <v>17</v>
      </c>
      <c r="H2389" s="1" t="s">
        <v>18</v>
      </c>
      <c r="I2389" s="1" t="s">
        <v>19</v>
      </c>
      <c r="J2389" s="1">
        <v>114.0</v>
      </c>
      <c r="K2389" s="1">
        <v>30.0</v>
      </c>
      <c r="L2389" s="1">
        <v>0.0</v>
      </c>
    </row>
    <row r="2390">
      <c r="A2390" s="1">
        <v>5171203.0</v>
      </c>
      <c r="B2390" s="1" t="s">
        <v>5084</v>
      </c>
      <c r="C2390" s="1" t="s">
        <v>4985</v>
      </c>
      <c r="D2390" s="1" t="s">
        <v>4989</v>
      </c>
      <c r="E2390" s="1" t="s">
        <v>5085</v>
      </c>
      <c r="F2390" s="1" t="s">
        <v>16</v>
      </c>
      <c r="G2390" s="1" t="s">
        <v>17</v>
      </c>
      <c r="H2390" s="1" t="s">
        <v>18</v>
      </c>
      <c r="I2390" s="1" t="s">
        <v>19</v>
      </c>
      <c r="J2390" s="1">
        <v>176.0</v>
      </c>
      <c r="K2390" s="1">
        <v>114.0</v>
      </c>
      <c r="L2390" s="1">
        <v>589.0</v>
      </c>
    </row>
    <row r="2391">
      <c r="A2391" s="1">
        <v>5103052.0</v>
      </c>
      <c r="B2391" s="1" t="s">
        <v>5086</v>
      </c>
      <c r="C2391" s="1" t="s">
        <v>4985</v>
      </c>
      <c r="D2391" s="1" t="s">
        <v>4992</v>
      </c>
      <c r="E2391" s="1" t="s">
        <v>5087</v>
      </c>
      <c r="F2391" s="1" t="s">
        <v>16</v>
      </c>
      <c r="G2391" s="1" t="s">
        <v>17</v>
      </c>
      <c r="H2391" s="1" t="s">
        <v>18</v>
      </c>
      <c r="I2391" s="1" t="s">
        <v>19</v>
      </c>
      <c r="J2391" s="1">
        <v>104.0</v>
      </c>
      <c r="K2391" s="1">
        <v>33.0</v>
      </c>
      <c r="L2391" s="1">
        <v>0.0</v>
      </c>
    </row>
    <row r="2392">
      <c r="A2392" s="1">
        <v>5103021.0</v>
      </c>
      <c r="B2392" s="1" t="s">
        <v>5088</v>
      </c>
      <c r="C2392" s="1" t="s">
        <v>4985</v>
      </c>
      <c r="D2392" s="1" t="s">
        <v>4992</v>
      </c>
      <c r="E2392" s="1" t="s">
        <v>5089</v>
      </c>
      <c r="F2392" s="1" t="s">
        <v>255</v>
      </c>
      <c r="G2392" s="1" t="s">
        <v>17</v>
      </c>
      <c r="H2392" s="1" t="s">
        <v>18</v>
      </c>
      <c r="I2392" s="1" t="s">
        <v>19</v>
      </c>
      <c r="J2392" s="1">
        <v>25.0</v>
      </c>
      <c r="K2392" s="1">
        <v>24.0</v>
      </c>
      <c r="L2392" s="1">
        <v>178.0</v>
      </c>
    </row>
    <row r="2393">
      <c r="A2393" s="1">
        <v>5171111.0</v>
      </c>
      <c r="B2393" s="1" t="s">
        <v>3101</v>
      </c>
      <c r="C2393" s="1" t="s">
        <v>4985</v>
      </c>
      <c r="D2393" s="1" t="s">
        <v>4989</v>
      </c>
      <c r="E2393" s="1" t="s">
        <v>5090</v>
      </c>
      <c r="F2393" s="1" t="s">
        <v>16</v>
      </c>
      <c r="G2393" s="1" t="s">
        <v>17</v>
      </c>
      <c r="H2393" s="1" t="s">
        <v>18</v>
      </c>
      <c r="I2393" s="1" t="s">
        <v>59</v>
      </c>
      <c r="J2393" s="1">
        <v>100.0</v>
      </c>
      <c r="K2393" s="1">
        <v>51.0</v>
      </c>
      <c r="L2393" s="1">
        <v>234.0</v>
      </c>
    </row>
    <row r="2394">
      <c r="A2394" s="1">
        <v>5102048.0</v>
      </c>
      <c r="B2394" s="1" t="s">
        <v>5091</v>
      </c>
      <c r="C2394" s="1" t="s">
        <v>4985</v>
      </c>
      <c r="D2394" s="1" t="s">
        <v>4986</v>
      </c>
      <c r="E2394" s="1" t="s">
        <v>5092</v>
      </c>
      <c r="F2394" s="1" t="s">
        <v>16</v>
      </c>
      <c r="G2394" s="1" t="s">
        <v>23</v>
      </c>
      <c r="H2394" s="1" t="s">
        <v>18</v>
      </c>
      <c r="I2394" s="1" t="s">
        <v>19</v>
      </c>
      <c r="J2394" s="1">
        <v>54.0</v>
      </c>
      <c r="K2394" s="1">
        <v>17.0</v>
      </c>
      <c r="L2394" s="1">
        <v>40.0</v>
      </c>
    </row>
    <row r="2395">
      <c r="A2395" s="1">
        <v>5108042.0</v>
      </c>
      <c r="B2395" s="1" t="s">
        <v>5093</v>
      </c>
      <c r="C2395" s="1" t="s">
        <v>4985</v>
      </c>
      <c r="D2395" s="1" t="s">
        <v>5000</v>
      </c>
      <c r="E2395" s="1" t="s">
        <v>5094</v>
      </c>
      <c r="F2395" s="1" t="s">
        <v>16</v>
      </c>
      <c r="G2395" s="1" t="s">
        <v>17</v>
      </c>
      <c r="H2395" s="1" t="s">
        <v>18</v>
      </c>
      <c r="I2395" s="1" t="s">
        <v>59</v>
      </c>
      <c r="J2395" s="1">
        <v>100.0</v>
      </c>
      <c r="K2395" s="1">
        <v>20.0</v>
      </c>
      <c r="L2395" s="1">
        <v>152.0</v>
      </c>
    </row>
    <row r="2396">
      <c r="A2396" s="1">
        <v>5102052.0</v>
      </c>
      <c r="B2396" s="1" t="s">
        <v>5095</v>
      </c>
      <c r="C2396" s="1" t="s">
        <v>4985</v>
      </c>
      <c r="D2396" s="1" t="s">
        <v>4986</v>
      </c>
      <c r="E2396" s="1" t="s">
        <v>5096</v>
      </c>
      <c r="F2396" s="1" t="s">
        <v>55</v>
      </c>
      <c r="G2396" s="1" t="s">
        <v>17</v>
      </c>
      <c r="H2396" s="1" t="s">
        <v>18</v>
      </c>
      <c r="I2396" s="1" t="s">
        <v>44</v>
      </c>
      <c r="J2396" s="1">
        <v>45.0</v>
      </c>
      <c r="K2396" s="1">
        <v>20.0</v>
      </c>
      <c r="L2396" s="1">
        <v>85.0</v>
      </c>
    </row>
    <row r="2397">
      <c r="A2397" s="1">
        <v>5107018.0</v>
      </c>
      <c r="B2397" s="1" t="s">
        <v>5097</v>
      </c>
      <c r="C2397" s="1" t="s">
        <v>4985</v>
      </c>
      <c r="D2397" s="1" t="s">
        <v>5019</v>
      </c>
      <c r="E2397" s="1" t="s">
        <v>5098</v>
      </c>
      <c r="F2397" s="1" t="s">
        <v>16</v>
      </c>
      <c r="G2397" s="1" t="s">
        <v>98</v>
      </c>
      <c r="H2397" s="1" t="s">
        <v>18</v>
      </c>
      <c r="I2397" s="1" t="s">
        <v>40</v>
      </c>
      <c r="J2397" s="1">
        <v>32.0</v>
      </c>
      <c r="K2397" s="1">
        <v>11.0</v>
      </c>
      <c r="L2397" s="1">
        <v>2.0</v>
      </c>
    </row>
    <row r="2398">
      <c r="A2398" s="1">
        <v>5104050.0</v>
      </c>
      <c r="B2398" s="1" t="s">
        <v>5099</v>
      </c>
      <c r="C2398" s="1" t="s">
        <v>4985</v>
      </c>
      <c r="D2398" s="1" t="s">
        <v>4997</v>
      </c>
      <c r="E2398" s="1" t="s">
        <v>5100</v>
      </c>
      <c r="F2398" s="1" t="s">
        <v>16</v>
      </c>
      <c r="G2398" s="1" t="s">
        <v>23</v>
      </c>
      <c r="H2398" s="1" t="s">
        <v>18</v>
      </c>
      <c r="I2398" s="1" t="s">
        <v>19</v>
      </c>
      <c r="J2398" s="1">
        <v>65.0</v>
      </c>
      <c r="K2398" s="1">
        <v>29.0</v>
      </c>
      <c r="L2398" s="1">
        <v>0.0</v>
      </c>
    </row>
    <row r="2399">
      <c r="A2399" s="1">
        <v>5103040.0</v>
      </c>
      <c r="B2399" s="1" t="s">
        <v>5101</v>
      </c>
      <c r="C2399" s="1" t="s">
        <v>4985</v>
      </c>
      <c r="D2399" s="1" t="s">
        <v>4992</v>
      </c>
      <c r="E2399" s="1" t="s">
        <v>5102</v>
      </c>
      <c r="F2399" s="1" t="s">
        <v>16</v>
      </c>
      <c r="G2399" s="1" t="s">
        <v>27</v>
      </c>
      <c r="H2399" s="1" t="s">
        <v>18</v>
      </c>
      <c r="I2399" s="1" t="s">
        <v>34</v>
      </c>
      <c r="J2399" s="1">
        <v>122.0</v>
      </c>
      <c r="K2399" s="1">
        <v>96.0</v>
      </c>
      <c r="L2399" s="1">
        <v>260.0</v>
      </c>
    </row>
    <row r="2400">
      <c r="A2400" s="1">
        <v>5171232.0</v>
      </c>
      <c r="B2400" s="1" t="s">
        <v>5103</v>
      </c>
      <c r="C2400" s="1" t="s">
        <v>4985</v>
      </c>
      <c r="D2400" s="1" t="s">
        <v>4989</v>
      </c>
      <c r="E2400" s="1" t="s">
        <v>5104</v>
      </c>
      <c r="F2400" s="1" t="s">
        <v>55</v>
      </c>
      <c r="G2400" s="1" t="s">
        <v>17</v>
      </c>
      <c r="H2400" s="1" t="s">
        <v>18</v>
      </c>
      <c r="I2400" s="1" t="s">
        <v>19</v>
      </c>
      <c r="J2400" s="1">
        <v>25.0</v>
      </c>
      <c r="K2400" s="1">
        <v>37.0</v>
      </c>
      <c r="L2400" s="1">
        <v>0.0</v>
      </c>
    </row>
    <row r="2401">
      <c r="A2401" s="1">
        <v>5105013.0</v>
      </c>
      <c r="B2401" s="1" t="s">
        <v>5105</v>
      </c>
      <c r="C2401" s="1" t="s">
        <v>4985</v>
      </c>
      <c r="D2401" s="1" t="s">
        <v>5051</v>
      </c>
      <c r="E2401" s="1" t="s">
        <v>5106</v>
      </c>
      <c r="F2401" s="1" t="s">
        <v>16</v>
      </c>
      <c r="G2401" s="1" t="s">
        <v>27</v>
      </c>
      <c r="H2401" s="1" t="s">
        <v>28</v>
      </c>
      <c r="I2401" s="1" t="s">
        <v>40</v>
      </c>
      <c r="J2401" s="1">
        <v>247.0</v>
      </c>
      <c r="K2401" s="1">
        <v>92.0</v>
      </c>
      <c r="L2401" s="1">
        <v>740.0</v>
      </c>
    </row>
    <row r="2402">
      <c r="A2402" s="1">
        <v>5101055.0</v>
      </c>
      <c r="B2402" s="1" t="s">
        <v>5107</v>
      </c>
      <c r="C2402" s="1" t="s">
        <v>4985</v>
      </c>
      <c r="D2402" s="1" t="s">
        <v>5056</v>
      </c>
      <c r="E2402" s="1" t="s">
        <v>5108</v>
      </c>
      <c r="F2402" s="1" t="s">
        <v>16</v>
      </c>
      <c r="G2402" s="1" t="s">
        <v>17</v>
      </c>
      <c r="H2402" s="1" t="s">
        <v>18</v>
      </c>
      <c r="I2402" s="1" t="s">
        <v>19</v>
      </c>
      <c r="J2402" s="1">
        <v>100.0</v>
      </c>
      <c r="K2402" s="1">
        <v>40.0</v>
      </c>
      <c r="L2402" s="1">
        <v>229.0</v>
      </c>
    </row>
    <row r="2403">
      <c r="A2403" s="1">
        <v>5171133.0</v>
      </c>
      <c r="B2403" s="1" t="s">
        <v>5109</v>
      </c>
      <c r="C2403" s="1" t="s">
        <v>4985</v>
      </c>
      <c r="D2403" s="1" t="s">
        <v>4989</v>
      </c>
      <c r="E2403" s="1" t="s">
        <v>5110</v>
      </c>
      <c r="F2403" s="1" t="s">
        <v>16</v>
      </c>
      <c r="G2403" s="1" t="s">
        <v>17</v>
      </c>
      <c r="H2403" s="1" t="s">
        <v>18</v>
      </c>
      <c r="I2403" s="1" t="s">
        <v>59</v>
      </c>
      <c r="J2403" s="1">
        <v>100.0</v>
      </c>
      <c r="K2403" s="1">
        <v>70.0</v>
      </c>
      <c r="L2403" s="1">
        <v>387.0</v>
      </c>
    </row>
    <row r="2404">
      <c r="A2404" s="1">
        <v>5171219.0</v>
      </c>
      <c r="B2404" s="1" t="s">
        <v>5111</v>
      </c>
      <c r="C2404" s="1" t="s">
        <v>4985</v>
      </c>
      <c r="D2404" s="1" t="s">
        <v>4989</v>
      </c>
      <c r="E2404" s="1" t="s">
        <v>5112</v>
      </c>
      <c r="F2404" s="1" t="s">
        <v>55</v>
      </c>
      <c r="G2404" s="1" t="s">
        <v>17</v>
      </c>
      <c r="H2404" s="1" t="s">
        <v>18</v>
      </c>
      <c r="I2404" s="1" t="s">
        <v>19</v>
      </c>
      <c r="J2404" s="1">
        <v>33.0</v>
      </c>
      <c r="K2404" s="1">
        <v>12.0</v>
      </c>
      <c r="L2404" s="1">
        <v>83.0</v>
      </c>
    </row>
    <row r="2405">
      <c r="A2405" s="1">
        <v>5103032.0</v>
      </c>
      <c r="B2405" s="1" t="s">
        <v>5113</v>
      </c>
      <c r="C2405" s="1" t="s">
        <v>4985</v>
      </c>
      <c r="D2405" s="1" t="s">
        <v>4992</v>
      </c>
      <c r="E2405" s="1" t="s">
        <v>5114</v>
      </c>
      <c r="F2405" s="1" t="s">
        <v>16</v>
      </c>
      <c r="G2405" s="1" t="s">
        <v>27</v>
      </c>
      <c r="H2405" s="1" t="s">
        <v>33</v>
      </c>
      <c r="I2405" s="1" t="s">
        <v>40</v>
      </c>
      <c r="J2405" s="1">
        <v>228.0</v>
      </c>
      <c r="K2405" s="1">
        <v>128.0</v>
      </c>
      <c r="L2405" s="1">
        <v>1049.0</v>
      </c>
    </row>
    <row r="2406">
      <c r="A2406" s="1">
        <v>5103041.0</v>
      </c>
      <c r="B2406" s="1" t="s">
        <v>5115</v>
      </c>
      <c r="C2406" s="1" t="s">
        <v>4985</v>
      </c>
      <c r="D2406" s="1" t="s">
        <v>4992</v>
      </c>
      <c r="E2406" s="1" t="s">
        <v>5116</v>
      </c>
      <c r="F2406" s="1" t="s">
        <v>16</v>
      </c>
      <c r="G2406" s="1" t="s">
        <v>17</v>
      </c>
      <c r="H2406" s="1" t="s">
        <v>18</v>
      </c>
      <c r="I2406" s="1" t="s">
        <v>44</v>
      </c>
      <c r="J2406" s="1">
        <v>110.0</v>
      </c>
      <c r="K2406" s="1">
        <v>44.0</v>
      </c>
      <c r="L2406" s="1">
        <v>32.0</v>
      </c>
    </row>
    <row r="2407">
      <c r="A2407" s="1">
        <v>5171020.0</v>
      </c>
      <c r="B2407" s="1" t="s">
        <v>5117</v>
      </c>
      <c r="C2407" s="1" t="s">
        <v>4985</v>
      </c>
      <c r="D2407" s="1" t="s">
        <v>4989</v>
      </c>
      <c r="E2407" s="1" t="s">
        <v>5118</v>
      </c>
      <c r="F2407" s="1" t="s">
        <v>16</v>
      </c>
      <c r="G2407" s="1" t="s">
        <v>27</v>
      </c>
      <c r="H2407" s="1" t="s">
        <v>28</v>
      </c>
      <c r="I2407" s="1" t="s">
        <v>29</v>
      </c>
      <c r="J2407" s="1">
        <v>244.0</v>
      </c>
      <c r="K2407" s="1">
        <v>58.0</v>
      </c>
      <c r="L2407" s="1">
        <v>768.0</v>
      </c>
    </row>
    <row r="2408">
      <c r="A2408" s="1">
        <v>5171221.0</v>
      </c>
      <c r="B2408" s="1" t="s">
        <v>5119</v>
      </c>
      <c r="C2408" s="1" t="s">
        <v>4985</v>
      </c>
      <c r="D2408" s="1" t="s">
        <v>4989</v>
      </c>
      <c r="E2408" s="1" t="s">
        <v>5120</v>
      </c>
      <c r="F2408" s="1" t="s">
        <v>272</v>
      </c>
      <c r="G2408" s="1" t="s">
        <v>17</v>
      </c>
      <c r="H2408" s="1" t="s">
        <v>18</v>
      </c>
      <c r="I2408" s="1" t="s">
        <v>44</v>
      </c>
      <c r="J2408" s="1">
        <v>15.0</v>
      </c>
      <c r="K2408" s="1">
        <v>28.0</v>
      </c>
      <c r="L2408" s="1">
        <v>76.0</v>
      </c>
    </row>
    <row r="2409">
      <c r="A2409" s="1">
        <v>5106025.0</v>
      </c>
      <c r="B2409" s="1" t="s">
        <v>5121</v>
      </c>
      <c r="C2409" s="1" t="s">
        <v>4985</v>
      </c>
      <c r="D2409" s="1" t="s">
        <v>5022</v>
      </c>
      <c r="E2409" s="1" t="s">
        <v>5122</v>
      </c>
      <c r="F2409" s="1" t="s">
        <v>174</v>
      </c>
      <c r="G2409" s="1" t="s">
        <v>150</v>
      </c>
      <c r="H2409" s="1" t="s">
        <v>28</v>
      </c>
      <c r="I2409" s="1" t="s">
        <v>139</v>
      </c>
      <c r="J2409" s="1">
        <v>330.0</v>
      </c>
      <c r="K2409" s="1">
        <v>39.0</v>
      </c>
      <c r="L2409" s="1">
        <v>773.0</v>
      </c>
    </row>
    <row r="2410">
      <c r="A2410" s="1">
        <v>5104023.0</v>
      </c>
      <c r="B2410" s="1" t="s">
        <v>5123</v>
      </c>
      <c r="C2410" s="1" t="s">
        <v>4985</v>
      </c>
      <c r="D2410" s="1" t="s">
        <v>4997</v>
      </c>
      <c r="E2410" s="1" t="s">
        <v>5124</v>
      </c>
      <c r="F2410" s="1" t="s">
        <v>16</v>
      </c>
      <c r="G2410" s="1" t="s">
        <v>17</v>
      </c>
      <c r="H2410" s="1" t="s">
        <v>18</v>
      </c>
      <c r="I2410" s="1" t="s">
        <v>19</v>
      </c>
      <c r="J2410" s="1">
        <v>100.0</v>
      </c>
      <c r="K2410" s="1">
        <v>58.0</v>
      </c>
      <c r="L2410" s="1">
        <v>52.0</v>
      </c>
    </row>
    <row r="2411">
      <c r="A2411" s="1">
        <v>5102051.0</v>
      </c>
      <c r="B2411" s="1" t="s">
        <v>2837</v>
      </c>
      <c r="C2411" s="1" t="s">
        <v>4985</v>
      </c>
      <c r="D2411" s="1" t="s">
        <v>4986</v>
      </c>
      <c r="E2411" s="1" t="s">
        <v>5125</v>
      </c>
      <c r="F2411" s="1" t="s">
        <v>55</v>
      </c>
      <c r="G2411" s="1" t="s">
        <v>17</v>
      </c>
      <c r="H2411" s="1" t="s">
        <v>18</v>
      </c>
      <c r="I2411" s="1" t="s">
        <v>19</v>
      </c>
      <c r="J2411" s="1">
        <v>45.0</v>
      </c>
      <c r="K2411" s="1">
        <v>41.0</v>
      </c>
      <c r="L2411" s="1">
        <v>61.0</v>
      </c>
    </row>
    <row r="2412">
      <c r="A2412" s="1">
        <v>5171166.0</v>
      </c>
      <c r="B2412" s="1" t="s">
        <v>1530</v>
      </c>
      <c r="C2412" s="1" t="s">
        <v>4985</v>
      </c>
      <c r="D2412" s="1" t="s">
        <v>4989</v>
      </c>
      <c r="E2412" s="1" t="s">
        <v>5126</v>
      </c>
      <c r="F2412" s="1" t="s">
        <v>55</v>
      </c>
      <c r="G2412" s="1" t="s">
        <v>17</v>
      </c>
      <c r="H2412" s="1" t="s">
        <v>18</v>
      </c>
      <c r="I2412" s="1" t="s">
        <v>44</v>
      </c>
      <c r="J2412" s="1">
        <v>29.0</v>
      </c>
      <c r="K2412" s="1">
        <v>12.0</v>
      </c>
      <c r="L2412" s="1">
        <v>46.0</v>
      </c>
    </row>
    <row r="2413">
      <c r="A2413" s="1">
        <v>5105014.0</v>
      </c>
      <c r="B2413" s="1" t="s">
        <v>569</v>
      </c>
      <c r="C2413" s="1" t="s">
        <v>4985</v>
      </c>
      <c r="D2413" s="1" t="s">
        <v>5051</v>
      </c>
      <c r="E2413" s="1" t="s">
        <v>5127</v>
      </c>
      <c r="F2413" s="1" t="s">
        <v>16</v>
      </c>
      <c r="G2413" s="1" t="s">
        <v>23</v>
      </c>
      <c r="H2413" s="1" t="s">
        <v>18</v>
      </c>
      <c r="I2413" s="1" t="s">
        <v>19</v>
      </c>
      <c r="J2413" s="1">
        <v>50.0</v>
      </c>
      <c r="K2413" s="1">
        <v>31.0</v>
      </c>
      <c r="L2413" s="1">
        <v>172.0</v>
      </c>
    </row>
    <row r="2414">
      <c r="A2414" s="1">
        <v>5103035.0</v>
      </c>
      <c r="B2414" s="1" t="s">
        <v>5128</v>
      </c>
      <c r="C2414" s="1" t="s">
        <v>4985</v>
      </c>
      <c r="D2414" s="1" t="s">
        <v>4992</v>
      </c>
      <c r="E2414" s="1" t="s">
        <v>5129</v>
      </c>
      <c r="F2414" s="1" t="s">
        <v>16</v>
      </c>
      <c r="G2414" s="1" t="s">
        <v>27</v>
      </c>
      <c r="H2414" s="1" t="s">
        <v>18</v>
      </c>
      <c r="I2414" s="1" t="s">
        <v>19</v>
      </c>
      <c r="J2414" s="1">
        <v>200.0</v>
      </c>
      <c r="K2414" s="1">
        <v>120.0</v>
      </c>
      <c r="L2414" s="1">
        <v>509.0</v>
      </c>
    </row>
    <row r="2415">
      <c r="A2415" s="1">
        <v>5108077.0</v>
      </c>
      <c r="B2415" s="1" t="s">
        <v>5130</v>
      </c>
      <c r="C2415" s="1" t="s">
        <v>4985</v>
      </c>
      <c r="D2415" s="1" t="s">
        <v>5000</v>
      </c>
      <c r="E2415" s="1" t="s">
        <v>5131</v>
      </c>
      <c r="F2415" s="1" t="s">
        <v>16</v>
      </c>
      <c r="G2415" s="1" t="s">
        <v>23</v>
      </c>
      <c r="H2415" s="1" t="s">
        <v>18</v>
      </c>
      <c r="I2415" s="1" t="s">
        <v>40</v>
      </c>
      <c r="J2415" s="1">
        <v>66.0</v>
      </c>
      <c r="K2415" s="1">
        <v>20.0</v>
      </c>
      <c r="L2415" s="1">
        <v>167.0</v>
      </c>
    </row>
    <row r="2416">
      <c r="A2416" s="1">
        <v>5102044.0</v>
      </c>
      <c r="B2416" s="1" t="s">
        <v>5132</v>
      </c>
      <c r="C2416" s="1" t="s">
        <v>4985</v>
      </c>
      <c r="D2416" s="1" t="s">
        <v>4986</v>
      </c>
      <c r="E2416" s="1" t="s">
        <v>5133</v>
      </c>
      <c r="F2416" s="1" t="s">
        <v>16</v>
      </c>
      <c r="G2416" s="1" t="s">
        <v>17</v>
      </c>
      <c r="H2416" s="1" t="s">
        <v>18</v>
      </c>
      <c r="I2416" s="1" t="s">
        <v>19</v>
      </c>
      <c r="J2416" s="1">
        <v>106.0</v>
      </c>
      <c r="K2416" s="1">
        <v>55.0</v>
      </c>
      <c r="L2416" s="1">
        <v>144.0</v>
      </c>
    </row>
    <row r="2417">
      <c r="A2417" s="1">
        <v>5171053.0</v>
      </c>
      <c r="B2417" s="1" t="s">
        <v>5134</v>
      </c>
      <c r="C2417" s="1" t="s">
        <v>4985</v>
      </c>
      <c r="D2417" s="1" t="s">
        <v>4989</v>
      </c>
      <c r="E2417" s="1" t="s">
        <v>5135</v>
      </c>
      <c r="F2417" s="1" t="s">
        <v>16</v>
      </c>
      <c r="G2417" s="1" t="s">
        <v>17</v>
      </c>
      <c r="H2417" s="1" t="s">
        <v>18</v>
      </c>
      <c r="I2417" s="1" t="s">
        <v>59</v>
      </c>
      <c r="J2417" s="1">
        <v>77.0</v>
      </c>
      <c r="K2417" s="1">
        <v>27.0</v>
      </c>
      <c r="L2417" s="1">
        <v>73.0</v>
      </c>
    </row>
    <row r="2418">
      <c r="A2418" s="1">
        <v>5171234.0</v>
      </c>
      <c r="B2418" s="1" t="s">
        <v>5136</v>
      </c>
      <c r="C2418" s="1" t="s">
        <v>4985</v>
      </c>
      <c r="D2418" s="1" t="s">
        <v>4989</v>
      </c>
      <c r="E2418" s="1" t="s">
        <v>5137</v>
      </c>
      <c r="F2418" s="1" t="s">
        <v>255</v>
      </c>
      <c r="G2418" s="1" t="s">
        <v>17</v>
      </c>
      <c r="H2418" s="1" t="s">
        <v>18</v>
      </c>
      <c r="I2418" s="1" t="s">
        <v>19</v>
      </c>
      <c r="J2418" s="1">
        <v>29.0</v>
      </c>
      <c r="K2418" s="1">
        <v>43.0</v>
      </c>
      <c r="L2418" s="1">
        <v>0.0</v>
      </c>
    </row>
    <row r="2419">
      <c r="A2419" s="1">
        <v>5101053.0</v>
      </c>
      <c r="B2419" s="1" t="s">
        <v>5138</v>
      </c>
      <c r="C2419" s="1" t="s">
        <v>4985</v>
      </c>
      <c r="D2419" s="1" t="s">
        <v>5056</v>
      </c>
      <c r="E2419" s="1" t="s">
        <v>5139</v>
      </c>
      <c r="F2419" s="1" t="s">
        <v>16</v>
      </c>
      <c r="G2419" s="1" t="s">
        <v>23</v>
      </c>
      <c r="H2419" s="1" t="s">
        <v>18</v>
      </c>
      <c r="I2419" s="1" t="s">
        <v>19</v>
      </c>
      <c r="J2419" s="1">
        <v>54.0</v>
      </c>
      <c r="K2419" s="1">
        <v>13.0</v>
      </c>
      <c r="L2419" s="1">
        <v>43.0</v>
      </c>
    </row>
    <row r="2420">
      <c r="A2420" s="1">
        <v>5108016.0</v>
      </c>
      <c r="B2420" s="1" t="s">
        <v>5140</v>
      </c>
      <c r="C2420" s="1" t="s">
        <v>4985</v>
      </c>
      <c r="D2420" s="1" t="s">
        <v>5000</v>
      </c>
      <c r="E2420" s="1" t="s">
        <v>5141</v>
      </c>
      <c r="F2420" s="1" t="s">
        <v>16</v>
      </c>
      <c r="G2420" s="1" t="s">
        <v>27</v>
      </c>
      <c r="H2420" s="1" t="s">
        <v>28</v>
      </c>
      <c r="I2420" s="1" t="s">
        <v>40</v>
      </c>
      <c r="J2420" s="1">
        <v>288.0</v>
      </c>
      <c r="K2420" s="1">
        <v>103.0</v>
      </c>
      <c r="L2420" s="1">
        <v>1071.0</v>
      </c>
    </row>
    <row r="2421">
      <c r="A2421" s="1">
        <v>5171192.0</v>
      </c>
      <c r="B2421" s="1" t="s">
        <v>3400</v>
      </c>
      <c r="C2421" s="1" t="s">
        <v>4985</v>
      </c>
      <c r="D2421" s="1" t="s">
        <v>4989</v>
      </c>
      <c r="E2421" s="1" t="s">
        <v>5142</v>
      </c>
      <c r="F2421" s="1" t="s">
        <v>16</v>
      </c>
      <c r="G2421" s="1" t="s">
        <v>17</v>
      </c>
      <c r="H2421" s="1" t="s">
        <v>18</v>
      </c>
      <c r="I2421" s="1" t="s">
        <v>19</v>
      </c>
      <c r="J2421" s="1">
        <v>150.0</v>
      </c>
      <c r="K2421" s="1">
        <v>46.0</v>
      </c>
      <c r="L2421" s="1">
        <v>683.0</v>
      </c>
    </row>
    <row r="2422">
      <c r="A2422" s="1">
        <v>5101054.0</v>
      </c>
      <c r="B2422" s="1" t="s">
        <v>157</v>
      </c>
      <c r="C2422" s="1" t="s">
        <v>4985</v>
      </c>
      <c r="D2422" s="1" t="s">
        <v>5056</v>
      </c>
      <c r="E2422" s="1" t="s">
        <v>5143</v>
      </c>
      <c r="F2422" s="1" t="s">
        <v>16</v>
      </c>
      <c r="G2422" s="1" t="s">
        <v>17</v>
      </c>
      <c r="H2422" s="1" t="s">
        <v>18</v>
      </c>
      <c r="I2422" s="1" t="s">
        <v>19</v>
      </c>
      <c r="J2422" s="1">
        <v>100.0</v>
      </c>
      <c r="K2422" s="1">
        <v>45.0</v>
      </c>
      <c r="L2422" s="1">
        <v>82.0</v>
      </c>
    </row>
    <row r="2423">
      <c r="A2423" s="1">
        <v>5171217.0</v>
      </c>
      <c r="B2423" s="1" t="s">
        <v>4988</v>
      </c>
      <c r="C2423" s="1" t="s">
        <v>4985</v>
      </c>
      <c r="D2423" s="1" t="s">
        <v>4989</v>
      </c>
      <c r="E2423" s="1" t="s">
        <v>5144</v>
      </c>
      <c r="F2423" s="1" t="s">
        <v>16</v>
      </c>
      <c r="G2423" s="1" t="s">
        <v>23</v>
      </c>
      <c r="H2423" s="1" t="s">
        <v>18</v>
      </c>
      <c r="I2423" s="1" t="s">
        <v>59</v>
      </c>
      <c r="J2423" s="1">
        <v>104.0</v>
      </c>
      <c r="K2423" s="1">
        <v>32.0</v>
      </c>
      <c r="L2423" s="1">
        <v>138.0</v>
      </c>
    </row>
    <row r="2424">
      <c r="A2424" s="1">
        <v>5203027.0</v>
      </c>
      <c r="B2424" s="1" t="s">
        <v>5145</v>
      </c>
      <c r="C2424" s="1" t="s">
        <v>5146</v>
      </c>
      <c r="D2424" s="1" t="s">
        <v>5147</v>
      </c>
      <c r="E2424" s="1" t="s">
        <v>5148</v>
      </c>
      <c r="F2424" s="1" t="s">
        <v>16</v>
      </c>
      <c r="G2424" s="1" t="s">
        <v>23</v>
      </c>
      <c r="H2424" s="1" t="s">
        <v>18</v>
      </c>
      <c r="I2424" s="1" t="s">
        <v>40</v>
      </c>
      <c r="J2424" s="1">
        <v>70.0</v>
      </c>
      <c r="K2424" s="1">
        <v>36.0</v>
      </c>
      <c r="L2424" s="1">
        <v>83.0</v>
      </c>
    </row>
    <row r="2425">
      <c r="A2425" s="1">
        <v>5208002.0</v>
      </c>
      <c r="B2425" s="1" t="s">
        <v>5149</v>
      </c>
      <c r="C2425" s="1" t="s">
        <v>5146</v>
      </c>
      <c r="D2425" s="1" t="s">
        <v>5150</v>
      </c>
      <c r="E2425" s="1" t="s">
        <v>5151</v>
      </c>
      <c r="F2425" s="1" t="s">
        <v>16</v>
      </c>
      <c r="G2425" s="1" t="s">
        <v>17</v>
      </c>
      <c r="H2425" s="1" t="s">
        <v>28</v>
      </c>
      <c r="I2425" s="1" t="s">
        <v>40</v>
      </c>
      <c r="J2425" s="1">
        <v>151.0</v>
      </c>
      <c r="K2425" s="1">
        <v>25.0</v>
      </c>
      <c r="L2425" s="1">
        <v>80.0</v>
      </c>
    </row>
    <row r="2426">
      <c r="A2426" s="1">
        <v>5206015.0</v>
      </c>
      <c r="B2426" s="1" t="s">
        <v>5152</v>
      </c>
      <c r="C2426" s="1" t="s">
        <v>5146</v>
      </c>
      <c r="D2426" s="1" t="s">
        <v>5153</v>
      </c>
      <c r="E2426" s="1" t="s">
        <v>5154</v>
      </c>
      <c r="F2426" s="1" t="s">
        <v>16</v>
      </c>
      <c r="G2426" s="1" t="s">
        <v>17</v>
      </c>
      <c r="H2426" s="1" t="s">
        <v>28</v>
      </c>
      <c r="I2426" s="1" t="s">
        <v>40</v>
      </c>
      <c r="J2426" s="1">
        <v>234.0</v>
      </c>
      <c r="K2426" s="1">
        <v>29.0</v>
      </c>
      <c r="L2426" s="1">
        <v>675.0</v>
      </c>
    </row>
    <row r="2427">
      <c r="A2427" s="1">
        <v>5271104.0</v>
      </c>
      <c r="B2427" s="1" t="s">
        <v>5155</v>
      </c>
      <c r="C2427" s="1" t="s">
        <v>5146</v>
      </c>
      <c r="D2427" s="1" t="s">
        <v>5156</v>
      </c>
      <c r="E2427" s="1" t="s">
        <v>5157</v>
      </c>
      <c r="F2427" s="1" t="s">
        <v>16</v>
      </c>
      <c r="G2427" s="1" t="s">
        <v>17</v>
      </c>
      <c r="H2427" s="1" t="s">
        <v>18</v>
      </c>
      <c r="I2427" s="1" t="s">
        <v>19</v>
      </c>
      <c r="J2427" s="1">
        <v>107.0</v>
      </c>
      <c r="K2427" s="1">
        <v>42.0</v>
      </c>
      <c r="L2427" s="1">
        <v>74.0</v>
      </c>
    </row>
    <row r="2428">
      <c r="A2428" s="1">
        <v>5206027.0</v>
      </c>
      <c r="B2428" s="1" t="s">
        <v>5158</v>
      </c>
      <c r="C2428" s="1" t="s">
        <v>5146</v>
      </c>
      <c r="D2428" s="1" t="s">
        <v>5159</v>
      </c>
      <c r="E2428" s="1" t="s">
        <v>5160</v>
      </c>
      <c r="F2428" s="1" t="s">
        <v>16</v>
      </c>
      <c r="G2428" s="1" t="s">
        <v>17</v>
      </c>
      <c r="H2428" s="1" t="s">
        <v>28</v>
      </c>
      <c r="I2428" s="1" t="s">
        <v>139</v>
      </c>
      <c r="J2428" s="1">
        <v>189.0</v>
      </c>
      <c r="K2428" s="1">
        <v>53.0</v>
      </c>
      <c r="L2428" s="1">
        <v>281.0</v>
      </c>
    </row>
    <row r="2429">
      <c r="A2429" s="1">
        <v>5271101.0</v>
      </c>
      <c r="B2429" s="1" t="s">
        <v>5161</v>
      </c>
      <c r="C2429" s="1" t="s">
        <v>5146</v>
      </c>
      <c r="D2429" s="1" t="s">
        <v>5156</v>
      </c>
      <c r="E2429" s="1" t="s">
        <v>5162</v>
      </c>
      <c r="F2429" s="1" t="s">
        <v>16</v>
      </c>
      <c r="G2429" s="1" t="s">
        <v>17</v>
      </c>
      <c r="H2429" s="1" t="s">
        <v>18</v>
      </c>
      <c r="I2429" s="1" t="s">
        <v>19</v>
      </c>
      <c r="J2429" s="1">
        <v>52.0</v>
      </c>
      <c r="K2429" s="1">
        <v>61.0</v>
      </c>
      <c r="L2429" s="1">
        <v>135.0</v>
      </c>
    </row>
    <row r="2430">
      <c r="A2430" s="1">
        <v>5203029.0</v>
      </c>
      <c r="B2430" s="1" t="s">
        <v>5163</v>
      </c>
      <c r="C2430" s="1" t="s">
        <v>5146</v>
      </c>
      <c r="D2430" s="1" t="s">
        <v>5147</v>
      </c>
      <c r="E2430" s="1" t="s">
        <v>5164</v>
      </c>
      <c r="F2430" s="1" t="s">
        <v>55</v>
      </c>
      <c r="G2430" s="1" t="s">
        <v>17</v>
      </c>
      <c r="H2430" s="1" t="s">
        <v>18</v>
      </c>
      <c r="I2430" s="1" t="s">
        <v>19</v>
      </c>
      <c r="J2430" s="1">
        <v>38.0</v>
      </c>
      <c r="K2430" s="1">
        <v>12.0</v>
      </c>
      <c r="L2430" s="1">
        <v>0.0</v>
      </c>
    </row>
    <row r="2431">
      <c r="A2431" s="1">
        <v>5271021.0</v>
      </c>
      <c r="B2431" s="1" t="s">
        <v>5165</v>
      </c>
      <c r="C2431" s="1" t="s">
        <v>5146</v>
      </c>
      <c r="D2431" s="1" t="s">
        <v>5156</v>
      </c>
      <c r="E2431" s="1" t="s">
        <v>5166</v>
      </c>
      <c r="F2431" s="1" t="s">
        <v>16</v>
      </c>
      <c r="G2431" s="1" t="s">
        <v>23</v>
      </c>
      <c r="H2431" s="1" t="s">
        <v>18</v>
      </c>
      <c r="I2431" s="1" t="s">
        <v>74</v>
      </c>
      <c r="J2431" s="1">
        <v>64.0</v>
      </c>
      <c r="K2431" s="1">
        <v>28.0</v>
      </c>
      <c r="L2431" s="1">
        <v>162.0</v>
      </c>
    </row>
    <row r="2432">
      <c r="A2432" s="1">
        <v>5271098.0</v>
      </c>
      <c r="B2432" s="1" t="s">
        <v>5167</v>
      </c>
      <c r="C2432" s="1" t="s">
        <v>5146</v>
      </c>
      <c r="D2432" s="1" t="s">
        <v>5156</v>
      </c>
      <c r="E2432" s="1" t="s">
        <v>5168</v>
      </c>
      <c r="F2432" s="1" t="s">
        <v>16</v>
      </c>
      <c r="G2432" s="1" t="s">
        <v>23</v>
      </c>
      <c r="H2432" s="1" t="s">
        <v>18</v>
      </c>
      <c r="I2432" s="1" t="s">
        <v>19</v>
      </c>
      <c r="J2432" s="1">
        <v>61.0</v>
      </c>
      <c r="K2432" s="1">
        <v>33.0</v>
      </c>
      <c r="L2432" s="1">
        <v>131.0</v>
      </c>
    </row>
    <row r="2433">
      <c r="A2433" s="1">
        <v>5271103.0</v>
      </c>
      <c r="B2433" s="1" t="s">
        <v>5169</v>
      </c>
      <c r="C2433" s="1" t="s">
        <v>5146</v>
      </c>
      <c r="D2433" s="1" t="s">
        <v>5156</v>
      </c>
      <c r="E2433" s="1" t="s">
        <v>5170</v>
      </c>
      <c r="F2433" s="1" t="s">
        <v>272</v>
      </c>
      <c r="G2433" s="1" t="s">
        <v>17</v>
      </c>
      <c r="H2433" s="1" t="s">
        <v>18</v>
      </c>
      <c r="I2433" s="1" t="s">
        <v>139</v>
      </c>
      <c r="J2433" s="1">
        <v>27.0</v>
      </c>
      <c r="K2433" s="1">
        <v>10.0</v>
      </c>
      <c r="L2433" s="1">
        <v>30.0</v>
      </c>
    </row>
    <row r="2434">
      <c r="A2434" s="1">
        <v>5202011.0</v>
      </c>
      <c r="B2434" s="1" t="s">
        <v>5171</v>
      </c>
      <c r="C2434" s="1" t="s">
        <v>5146</v>
      </c>
      <c r="D2434" s="1" t="s">
        <v>5172</v>
      </c>
      <c r="E2434" s="1" t="s">
        <v>5173</v>
      </c>
      <c r="F2434" s="1" t="s">
        <v>16</v>
      </c>
      <c r="G2434" s="1" t="s">
        <v>17</v>
      </c>
      <c r="H2434" s="1" t="s">
        <v>28</v>
      </c>
      <c r="I2434" s="1" t="s">
        <v>40</v>
      </c>
      <c r="J2434" s="1">
        <v>240.0</v>
      </c>
      <c r="K2434" s="1">
        <v>138.0</v>
      </c>
      <c r="L2434" s="1">
        <v>760.0</v>
      </c>
    </row>
    <row r="2435">
      <c r="A2435" s="1">
        <v>5271043.0</v>
      </c>
      <c r="B2435" s="1" t="s">
        <v>5174</v>
      </c>
      <c r="C2435" s="1" t="s">
        <v>5146</v>
      </c>
      <c r="D2435" s="1" t="s">
        <v>5156</v>
      </c>
      <c r="E2435" s="1" t="s">
        <v>5175</v>
      </c>
      <c r="F2435" s="1" t="s">
        <v>16</v>
      </c>
      <c r="G2435" s="1" t="s">
        <v>23</v>
      </c>
      <c r="H2435" s="1" t="s">
        <v>18</v>
      </c>
      <c r="I2435" s="1" t="s">
        <v>249</v>
      </c>
      <c r="J2435" s="1">
        <v>50.0</v>
      </c>
      <c r="K2435" s="1">
        <v>18.0</v>
      </c>
      <c r="L2435" s="1">
        <v>64.0</v>
      </c>
    </row>
    <row r="2436">
      <c r="A2436" s="1">
        <v>5271099.0</v>
      </c>
      <c r="B2436" s="1" t="s">
        <v>3016</v>
      </c>
      <c r="C2436" s="1" t="s">
        <v>5146</v>
      </c>
      <c r="D2436" s="1" t="s">
        <v>5156</v>
      </c>
      <c r="E2436" s="1" t="s">
        <v>5176</v>
      </c>
      <c r="F2436" s="1" t="s">
        <v>55</v>
      </c>
      <c r="G2436" s="1" t="s">
        <v>17</v>
      </c>
      <c r="H2436" s="1" t="s">
        <v>18</v>
      </c>
      <c r="I2436" s="1" t="s">
        <v>44</v>
      </c>
      <c r="J2436" s="1">
        <v>56.0</v>
      </c>
      <c r="K2436" s="1">
        <v>18.0</v>
      </c>
      <c r="L2436" s="1">
        <v>211.0</v>
      </c>
    </row>
    <row r="2437">
      <c r="A2437" s="1">
        <v>5207002.0</v>
      </c>
      <c r="B2437" s="1" t="s">
        <v>5177</v>
      </c>
      <c r="C2437" s="1" t="s">
        <v>5146</v>
      </c>
      <c r="D2437" s="1" t="s">
        <v>5178</v>
      </c>
      <c r="E2437" s="1" t="s">
        <v>5179</v>
      </c>
      <c r="F2437" s="1" t="s">
        <v>16</v>
      </c>
      <c r="G2437" s="1" t="s">
        <v>17</v>
      </c>
      <c r="H2437" s="1" t="s">
        <v>28</v>
      </c>
      <c r="I2437" s="1" t="s">
        <v>40</v>
      </c>
      <c r="J2437" s="1">
        <v>100.0</v>
      </c>
      <c r="K2437" s="1">
        <v>49.0</v>
      </c>
      <c r="L2437" s="1">
        <v>304.0</v>
      </c>
    </row>
    <row r="2438">
      <c r="A2438" s="1">
        <v>5203012.0</v>
      </c>
      <c r="B2438" s="1" t="s">
        <v>5180</v>
      </c>
      <c r="C2438" s="1" t="s">
        <v>5146</v>
      </c>
      <c r="D2438" s="1" t="s">
        <v>5147</v>
      </c>
      <c r="E2438" s="1" t="s">
        <v>5181</v>
      </c>
      <c r="F2438" s="1" t="s">
        <v>16</v>
      </c>
      <c r="G2438" s="1" t="s">
        <v>27</v>
      </c>
      <c r="H2438" s="1" t="s">
        <v>28</v>
      </c>
      <c r="I2438" s="1" t="s">
        <v>40</v>
      </c>
      <c r="J2438" s="1">
        <v>283.0</v>
      </c>
      <c r="K2438" s="1">
        <v>105.0</v>
      </c>
      <c r="L2438" s="1">
        <v>1280.0</v>
      </c>
    </row>
    <row r="2439">
      <c r="A2439" s="1">
        <v>5272016.0</v>
      </c>
      <c r="B2439" s="1" t="s">
        <v>5182</v>
      </c>
      <c r="C2439" s="1" t="s">
        <v>5146</v>
      </c>
      <c r="D2439" s="1" t="s">
        <v>5183</v>
      </c>
      <c r="E2439" s="1" t="s">
        <v>5184</v>
      </c>
      <c r="F2439" s="1" t="s">
        <v>16</v>
      </c>
      <c r="G2439" s="1" t="s">
        <v>23</v>
      </c>
      <c r="H2439" s="1" t="s">
        <v>18</v>
      </c>
      <c r="I2439" s="1" t="s">
        <v>74</v>
      </c>
      <c r="J2439" s="1">
        <v>30.0</v>
      </c>
      <c r="K2439" s="1">
        <v>13.0</v>
      </c>
      <c r="L2439" s="1">
        <v>0.0</v>
      </c>
    </row>
    <row r="2440">
      <c r="A2440" s="1">
        <v>5203030.0</v>
      </c>
      <c r="B2440" s="1" t="s">
        <v>5185</v>
      </c>
      <c r="C2440" s="1" t="s">
        <v>5146</v>
      </c>
      <c r="D2440" s="1" t="s">
        <v>5147</v>
      </c>
      <c r="E2440" s="1" t="s">
        <v>5186</v>
      </c>
      <c r="F2440" s="1" t="s">
        <v>16</v>
      </c>
      <c r="G2440" s="1" t="s">
        <v>23</v>
      </c>
      <c r="H2440" s="1" t="s">
        <v>18</v>
      </c>
      <c r="I2440" s="1" t="s">
        <v>40</v>
      </c>
      <c r="J2440" s="1">
        <v>50.0</v>
      </c>
      <c r="K2440" s="1">
        <v>21.0</v>
      </c>
      <c r="L2440" s="1">
        <v>0.0</v>
      </c>
    </row>
    <row r="2441">
      <c r="A2441" s="1">
        <v>5272005.0</v>
      </c>
      <c r="B2441" s="1" t="s">
        <v>5187</v>
      </c>
      <c r="C2441" s="1" t="s">
        <v>5146</v>
      </c>
      <c r="D2441" s="1" t="s">
        <v>5183</v>
      </c>
      <c r="E2441" s="1" t="s">
        <v>5188</v>
      </c>
      <c r="F2441" s="1" t="s">
        <v>16</v>
      </c>
      <c r="G2441" s="1" t="s">
        <v>23</v>
      </c>
      <c r="H2441" s="1" t="s">
        <v>28</v>
      </c>
      <c r="I2441" s="1" t="s">
        <v>29</v>
      </c>
      <c r="J2441" s="1">
        <v>101.0</v>
      </c>
      <c r="K2441" s="1">
        <v>19.0</v>
      </c>
      <c r="L2441" s="1">
        <v>324.0</v>
      </c>
    </row>
    <row r="2442">
      <c r="A2442" s="1">
        <v>5271065.0</v>
      </c>
      <c r="B2442" s="1" t="s">
        <v>5189</v>
      </c>
      <c r="C2442" s="1" t="s">
        <v>5146</v>
      </c>
      <c r="D2442" s="1" t="s">
        <v>5156</v>
      </c>
      <c r="E2442" s="1" t="s">
        <v>5190</v>
      </c>
      <c r="F2442" s="1" t="s">
        <v>16</v>
      </c>
      <c r="G2442" s="1" t="s">
        <v>17</v>
      </c>
      <c r="H2442" s="1" t="s">
        <v>18</v>
      </c>
      <c r="I2442" s="1" t="s">
        <v>65</v>
      </c>
      <c r="J2442" s="1">
        <v>105.0</v>
      </c>
      <c r="K2442" s="1">
        <v>23.0</v>
      </c>
      <c r="L2442" s="1">
        <v>235.0</v>
      </c>
    </row>
    <row r="2443">
      <c r="A2443" s="1">
        <v>5207004.0</v>
      </c>
      <c r="B2443" s="1" t="s">
        <v>5191</v>
      </c>
      <c r="C2443" s="1" t="s">
        <v>5146</v>
      </c>
      <c r="D2443" s="1" t="s">
        <v>5159</v>
      </c>
      <c r="E2443" s="1" t="s">
        <v>5192</v>
      </c>
      <c r="F2443" s="1" t="s">
        <v>16</v>
      </c>
      <c r="G2443" s="1" t="s">
        <v>23</v>
      </c>
      <c r="H2443" s="1" t="s">
        <v>18</v>
      </c>
      <c r="I2443" s="1" t="s">
        <v>684</v>
      </c>
      <c r="J2443" s="1">
        <v>52.0</v>
      </c>
      <c r="K2443" s="1">
        <v>87.0</v>
      </c>
      <c r="L2443" s="1">
        <v>59.0</v>
      </c>
    </row>
    <row r="2444">
      <c r="A2444" s="1">
        <v>5205014.0</v>
      </c>
      <c r="B2444" s="1" t="s">
        <v>5193</v>
      </c>
      <c r="C2444" s="1" t="s">
        <v>5146</v>
      </c>
      <c r="D2444" s="1" t="s">
        <v>5194</v>
      </c>
      <c r="E2444" s="1" t="s">
        <v>5195</v>
      </c>
      <c r="F2444" s="1" t="s">
        <v>16</v>
      </c>
      <c r="G2444" s="1" t="s">
        <v>17</v>
      </c>
      <c r="H2444" s="1" t="s">
        <v>18</v>
      </c>
      <c r="I2444" s="1" t="s">
        <v>40</v>
      </c>
      <c r="J2444" s="1">
        <v>261.0</v>
      </c>
      <c r="K2444" s="1">
        <v>29.0</v>
      </c>
      <c r="L2444" s="1">
        <v>742.0</v>
      </c>
    </row>
    <row r="2445">
      <c r="A2445" s="1">
        <v>5203042.0</v>
      </c>
      <c r="B2445" s="1" t="s">
        <v>5196</v>
      </c>
      <c r="C2445" s="1" t="s">
        <v>5146</v>
      </c>
      <c r="D2445" s="1" t="s">
        <v>5147</v>
      </c>
      <c r="E2445" s="1" t="s">
        <v>5197</v>
      </c>
      <c r="F2445" s="1" t="s">
        <v>55</v>
      </c>
      <c r="G2445" s="1" t="s">
        <v>17</v>
      </c>
      <c r="H2445" s="1" t="s">
        <v>18</v>
      </c>
      <c r="I2445" s="1" t="s">
        <v>19</v>
      </c>
      <c r="J2445" s="1">
        <v>62.0</v>
      </c>
      <c r="K2445" s="1">
        <v>15.0</v>
      </c>
      <c r="L2445" s="1">
        <v>0.0</v>
      </c>
    </row>
    <row r="2446">
      <c r="A2446" s="1">
        <v>5272003.0</v>
      </c>
      <c r="B2446" s="1" t="s">
        <v>5198</v>
      </c>
      <c r="C2446" s="1" t="s">
        <v>5146</v>
      </c>
      <c r="D2446" s="1" t="s">
        <v>5156</v>
      </c>
      <c r="E2446" s="1" t="s">
        <v>5199</v>
      </c>
      <c r="F2446" s="1" t="s">
        <v>16</v>
      </c>
      <c r="G2446" s="1" t="s">
        <v>17</v>
      </c>
      <c r="H2446" s="1" t="s">
        <v>18</v>
      </c>
      <c r="I2446" s="1" t="s">
        <v>44</v>
      </c>
      <c r="J2446" s="1">
        <v>120.0</v>
      </c>
      <c r="K2446" s="1">
        <v>59.0</v>
      </c>
      <c r="L2446" s="1">
        <v>256.0</v>
      </c>
    </row>
    <row r="2447">
      <c r="A2447" s="1">
        <v>5203025.0</v>
      </c>
      <c r="B2447" s="1" t="s">
        <v>5200</v>
      </c>
      <c r="C2447" s="1" t="s">
        <v>5146</v>
      </c>
      <c r="D2447" s="1" t="s">
        <v>5147</v>
      </c>
      <c r="E2447" s="1" t="s">
        <v>5201</v>
      </c>
      <c r="F2447" s="1" t="s">
        <v>16</v>
      </c>
      <c r="G2447" s="1" t="s">
        <v>17</v>
      </c>
      <c r="H2447" s="1" t="s">
        <v>33</v>
      </c>
      <c r="I2447" s="1" t="s">
        <v>44</v>
      </c>
      <c r="J2447" s="1">
        <v>103.0</v>
      </c>
      <c r="K2447" s="1">
        <v>60.0</v>
      </c>
      <c r="L2447" s="1">
        <v>181.0</v>
      </c>
    </row>
    <row r="2448">
      <c r="A2448" s="1">
        <v>5271010.0</v>
      </c>
      <c r="B2448" s="1" t="s">
        <v>5202</v>
      </c>
      <c r="C2448" s="1" t="s">
        <v>5146</v>
      </c>
      <c r="D2448" s="1" t="s">
        <v>5156</v>
      </c>
      <c r="E2448" s="1" t="s">
        <v>5203</v>
      </c>
      <c r="F2448" s="1" t="s">
        <v>16</v>
      </c>
      <c r="G2448" s="1" t="s">
        <v>150</v>
      </c>
      <c r="H2448" s="1" t="s">
        <v>28</v>
      </c>
      <c r="I2448" s="1" t="s">
        <v>139</v>
      </c>
      <c r="J2448" s="1">
        <v>763.0</v>
      </c>
      <c r="K2448" s="1">
        <v>105.0</v>
      </c>
      <c r="L2448" s="1">
        <v>1274.0</v>
      </c>
    </row>
    <row r="2449">
      <c r="A2449" s="1">
        <v>5203024.0</v>
      </c>
      <c r="B2449" s="1" t="s">
        <v>5204</v>
      </c>
      <c r="C2449" s="1" t="s">
        <v>5146</v>
      </c>
      <c r="D2449" s="1" t="s">
        <v>5147</v>
      </c>
      <c r="E2449" s="1" t="s">
        <v>5205</v>
      </c>
      <c r="F2449" s="1" t="s">
        <v>16</v>
      </c>
      <c r="G2449" s="1" t="s">
        <v>17</v>
      </c>
      <c r="H2449" s="1" t="s">
        <v>18</v>
      </c>
      <c r="I2449" s="1" t="s">
        <v>19</v>
      </c>
      <c r="J2449" s="1">
        <v>115.0</v>
      </c>
      <c r="K2449" s="1">
        <v>56.0</v>
      </c>
      <c r="L2449" s="1">
        <v>113.0</v>
      </c>
    </row>
    <row r="2450">
      <c r="A2450" s="1">
        <v>5201010.0</v>
      </c>
      <c r="B2450" s="1" t="s">
        <v>5206</v>
      </c>
      <c r="C2450" s="1" t="s">
        <v>5146</v>
      </c>
      <c r="D2450" s="1" t="s">
        <v>5207</v>
      </c>
      <c r="E2450" s="1" t="s">
        <v>5208</v>
      </c>
      <c r="F2450" s="1" t="s">
        <v>16</v>
      </c>
      <c r="G2450" s="1" t="s">
        <v>27</v>
      </c>
      <c r="H2450" s="1" t="s">
        <v>28</v>
      </c>
      <c r="I2450" s="1" t="s">
        <v>40</v>
      </c>
      <c r="J2450" s="1">
        <v>234.0</v>
      </c>
      <c r="K2450" s="1">
        <v>56.0</v>
      </c>
      <c r="L2450" s="1">
        <v>490.0</v>
      </c>
    </row>
    <row r="2451">
      <c r="A2451" s="1">
        <v>5202023.0</v>
      </c>
      <c r="B2451" s="1" t="s">
        <v>5209</v>
      </c>
      <c r="C2451" s="1" t="s">
        <v>5146</v>
      </c>
      <c r="D2451" s="1" t="s">
        <v>5172</v>
      </c>
      <c r="E2451" s="1" t="s">
        <v>5210</v>
      </c>
      <c r="F2451" s="1" t="s">
        <v>55</v>
      </c>
      <c r="G2451" s="1" t="s">
        <v>17</v>
      </c>
      <c r="H2451" s="1" t="s">
        <v>18</v>
      </c>
      <c r="I2451" s="1" t="s">
        <v>59</v>
      </c>
      <c r="J2451" s="1">
        <v>25.0</v>
      </c>
      <c r="K2451" s="1">
        <v>18.0</v>
      </c>
      <c r="L2451" s="1">
        <v>15.0</v>
      </c>
    </row>
    <row r="2452">
      <c r="A2452" s="1">
        <v>5202035.0</v>
      </c>
      <c r="B2452" s="1" t="s">
        <v>5211</v>
      </c>
      <c r="C2452" s="1" t="s">
        <v>5146</v>
      </c>
      <c r="D2452" s="1" t="s">
        <v>5172</v>
      </c>
      <c r="E2452" s="1" t="s">
        <v>5212</v>
      </c>
      <c r="F2452" s="1" t="s">
        <v>16</v>
      </c>
      <c r="G2452" s="1" t="s">
        <v>17</v>
      </c>
      <c r="H2452" s="1" t="s">
        <v>28</v>
      </c>
      <c r="I2452" s="1" t="s">
        <v>139</v>
      </c>
      <c r="J2452" s="1">
        <v>74.0</v>
      </c>
      <c r="K2452" s="1">
        <v>47.0</v>
      </c>
      <c r="L2452" s="1">
        <v>35.0</v>
      </c>
    </row>
    <row r="2453">
      <c r="A2453" s="1">
        <v>5201012.0</v>
      </c>
      <c r="B2453" s="1" t="s">
        <v>5213</v>
      </c>
      <c r="C2453" s="1" t="s">
        <v>5146</v>
      </c>
      <c r="D2453" s="1" t="s">
        <v>5207</v>
      </c>
      <c r="E2453" s="1" t="s">
        <v>5214</v>
      </c>
      <c r="F2453" s="1" t="s">
        <v>16</v>
      </c>
      <c r="G2453" s="1" t="s">
        <v>17</v>
      </c>
      <c r="H2453" s="1" t="s">
        <v>28</v>
      </c>
      <c r="I2453" s="1" t="s">
        <v>40</v>
      </c>
      <c r="J2453" s="1">
        <v>103.0</v>
      </c>
      <c r="K2453" s="1">
        <v>51.0</v>
      </c>
      <c r="L2453" s="1">
        <v>302.0</v>
      </c>
    </row>
    <row r="2454">
      <c r="A2454" s="1">
        <v>5271032.0</v>
      </c>
      <c r="B2454" s="1" t="s">
        <v>5215</v>
      </c>
      <c r="C2454" s="1" t="s">
        <v>5146</v>
      </c>
      <c r="D2454" s="1" t="s">
        <v>5156</v>
      </c>
      <c r="E2454" s="1" t="s">
        <v>5216</v>
      </c>
      <c r="F2454" s="1" t="s">
        <v>16</v>
      </c>
      <c r="G2454" s="1" t="s">
        <v>17</v>
      </c>
      <c r="H2454" s="1" t="s">
        <v>18</v>
      </c>
      <c r="I2454" s="1" t="s">
        <v>684</v>
      </c>
      <c r="J2454" s="1">
        <v>106.0</v>
      </c>
      <c r="K2454" s="1">
        <v>32.0</v>
      </c>
      <c r="L2454" s="1">
        <v>329.0</v>
      </c>
    </row>
    <row r="2455">
      <c r="A2455" s="1">
        <v>5206029.0</v>
      </c>
      <c r="B2455" s="1" t="s">
        <v>5217</v>
      </c>
      <c r="C2455" s="1" t="s">
        <v>5146</v>
      </c>
      <c r="D2455" s="1" t="s">
        <v>5153</v>
      </c>
      <c r="E2455" s="1" t="s">
        <v>5218</v>
      </c>
      <c r="F2455" s="1" t="s">
        <v>16</v>
      </c>
      <c r="G2455" s="1" t="s">
        <v>23</v>
      </c>
      <c r="H2455" s="1" t="s">
        <v>28</v>
      </c>
      <c r="I2455" s="1" t="s">
        <v>40</v>
      </c>
      <c r="J2455" s="1">
        <v>101.0</v>
      </c>
      <c r="K2455" s="1">
        <v>25.0</v>
      </c>
      <c r="L2455" s="1">
        <v>67.0</v>
      </c>
    </row>
    <row r="2456">
      <c r="A2456" s="1">
        <v>5202024.0</v>
      </c>
      <c r="B2456" s="1" t="s">
        <v>2669</v>
      </c>
      <c r="C2456" s="1" t="s">
        <v>5146</v>
      </c>
      <c r="D2456" s="1" t="s">
        <v>5172</v>
      </c>
      <c r="E2456" s="1" t="s">
        <v>5219</v>
      </c>
      <c r="F2456" s="1" t="s">
        <v>16</v>
      </c>
      <c r="G2456" s="1" t="s">
        <v>23</v>
      </c>
      <c r="H2456" s="1" t="s">
        <v>18</v>
      </c>
      <c r="I2456" s="1" t="s">
        <v>44</v>
      </c>
      <c r="J2456" s="1">
        <v>58.0</v>
      </c>
      <c r="K2456" s="1">
        <v>25.0</v>
      </c>
      <c r="L2456" s="1">
        <v>65.0</v>
      </c>
    </row>
    <row r="2457">
      <c r="A2457" s="1">
        <v>5203041.0</v>
      </c>
      <c r="B2457" s="1" t="s">
        <v>5220</v>
      </c>
      <c r="C2457" s="1" t="s">
        <v>5146</v>
      </c>
      <c r="D2457" s="1" t="s">
        <v>5147</v>
      </c>
      <c r="E2457" s="1" t="s">
        <v>5221</v>
      </c>
      <c r="F2457" s="1" t="s">
        <v>16</v>
      </c>
      <c r="G2457" s="1" t="s">
        <v>98</v>
      </c>
      <c r="H2457" s="1" t="s">
        <v>18</v>
      </c>
      <c r="I2457" s="1" t="s">
        <v>40</v>
      </c>
      <c r="J2457" s="1">
        <v>43.0</v>
      </c>
      <c r="K2457" s="1">
        <v>12.0</v>
      </c>
      <c r="L2457" s="1">
        <v>0.0</v>
      </c>
    </row>
    <row r="2458">
      <c r="A2458" s="1">
        <v>5203028.0</v>
      </c>
      <c r="B2458" s="1" t="s">
        <v>5222</v>
      </c>
      <c r="C2458" s="1" t="s">
        <v>5146</v>
      </c>
      <c r="D2458" s="1" t="s">
        <v>5147</v>
      </c>
      <c r="E2458" s="1" t="s">
        <v>5223</v>
      </c>
      <c r="F2458" s="1" t="s">
        <v>16</v>
      </c>
      <c r="G2458" s="1" t="s">
        <v>23</v>
      </c>
      <c r="H2458" s="1" t="s">
        <v>18</v>
      </c>
      <c r="I2458" s="1" t="s">
        <v>44</v>
      </c>
      <c r="J2458" s="1">
        <v>72.0</v>
      </c>
      <c r="K2458" s="1">
        <v>51.0</v>
      </c>
      <c r="L2458" s="1">
        <v>35.0</v>
      </c>
    </row>
    <row r="2459">
      <c r="A2459" s="1">
        <v>5206030.0</v>
      </c>
      <c r="B2459" s="1" t="s">
        <v>5224</v>
      </c>
      <c r="C2459" s="1" t="s">
        <v>5146</v>
      </c>
      <c r="D2459" s="1" t="s">
        <v>5183</v>
      </c>
      <c r="E2459" s="1" t="s">
        <v>5225</v>
      </c>
      <c r="F2459" s="1" t="s">
        <v>16</v>
      </c>
      <c r="G2459" s="1" t="s">
        <v>23</v>
      </c>
      <c r="H2459" s="1" t="s">
        <v>18</v>
      </c>
      <c r="I2459" s="1" t="s">
        <v>44</v>
      </c>
      <c r="J2459" s="1">
        <v>74.0</v>
      </c>
      <c r="K2459" s="1">
        <v>29.0</v>
      </c>
      <c r="L2459" s="1">
        <v>99.0</v>
      </c>
    </row>
    <row r="2460">
      <c r="A2460" s="1">
        <v>5202022.0</v>
      </c>
      <c r="B2460" s="1" t="s">
        <v>5226</v>
      </c>
      <c r="C2460" s="1" t="s">
        <v>5146</v>
      </c>
      <c r="D2460" s="1" t="s">
        <v>5172</v>
      </c>
      <c r="E2460" s="1" t="s">
        <v>5227</v>
      </c>
      <c r="F2460" s="1" t="s">
        <v>16</v>
      </c>
      <c r="G2460" s="1" t="s">
        <v>23</v>
      </c>
      <c r="H2460" s="1" t="s">
        <v>18</v>
      </c>
      <c r="I2460" s="1" t="s">
        <v>19</v>
      </c>
      <c r="J2460" s="1">
        <v>83.0</v>
      </c>
      <c r="K2460" s="1">
        <v>35.0</v>
      </c>
      <c r="L2460" s="1">
        <v>331.0</v>
      </c>
    </row>
    <row r="2461">
      <c r="A2461" s="1">
        <v>5271102.0</v>
      </c>
      <c r="B2461" s="1" t="s">
        <v>5228</v>
      </c>
      <c r="C2461" s="1" t="s">
        <v>5146</v>
      </c>
      <c r="D2461" s="1" t="s">
        <v>5156</v>
      </c>
      <c r="E2461" s="1" t="s">
        <v>5229</v>
      </c>
      <c r="F2461" s="1" t="s">
        <v>55</v>
      </c>
      <c r="G2461" s="1" t="s">
        <v>17</v>
      </c>
      <c r="H2461" s="1" t="s">
        <v>18</v>
      </c>
      <c r="I2461" s="1" t="s">
        <v>163</v>
      </c>
      <c r="J2461" s="1">
        <v>22.0</v>
      </c>
      <c r="K2461" s="1">
        <v>17.0</v>
      </c>
      <c r="L2461" s="1">
        <v>27.0</v>
      </c>
    </row>
    <row r="2462">
      <c r="A2462" s="1">
        <v>5271054.0</v>
      </c>
      <c r="B2462" s="1" t="s">
        <v>5230</v>
      </c>
      <c r="C2462" s="1" t="s">
        <v>5146</v>
      </c>
      <c r="D2462" s="1" t="s">
        <v>5156</v>
      </c>
      <c r="E2462" s="1" t="s">
        <v>5231</v>
      </c>
      <c r="F2462" s="1" t="s">
        <v>174</v>
      </c>
      <c r="G2462" s="1" t="s">
        <v>27</v>
      </c>
      <c r="H2462" s="1" t="s">
        <v>28</v>
      </c>
      <c r="I2462" s="1" t="s">
        <v>139</v>
      </c>
      <c r="J2462" s="1">
        <v>111.0</v>
      </c>
      <c r="K2462" s="1">
        <v>34.0</v>
      </c>
      <c r="L2462" s="1">
        <v>329.0</v>
      </c>
    </row>
    <row r="2463">
      <c r="A2463" s="1">
        <v>5271087.0</v>
      </c>
      <c r="B2463" s="1" t="s">
        <v>5232</v>
      </c>
      <c r="C2463" s="1" t="s">
        <v>5146</v>
      </c>
      <c r="D2463" s="1" t="s">
        <v>5156</v>
      </c>
      <c r="E2463" s="1" t="s">
        <v>5233</v>
      </c>
      <c r="F2463" s="1" t="s">
        <v>16</v>
      </c>
      <c r="G2463" s="1" t="s">
        <v>27</v>
      </c>
      <c r="H2463" s="1" t="s">
        <v>28</v>
      </c>
      <c r="I2463" s="1" t="s">
        <v>29</v>
      </c>
      <c r="J2463" s="1">
        <v>355.0</v>
      </c>
      <c r="K2463" s="1">
        <v>138.0</v>
      </c>
      <c r="L2463" s="1">
        <v>1070.0</v>
      </c>
    </row>
    <row r="2464">
      <c r="A2464" s="1">
        <v>5271100.0</v>
      </c>
      <c r="B2464" s="1" t="s">
        <v>5234</v>
      </c>
      <c r="C2464" s="1" t="s">
        <v>5146</v>
      </c>
      <c r="D2464" s="1" t="s">
        <v>5156</v>
      </c>
      <c r="E2464" s="1" t="s">
        <v>5235</v>
      </c>
      <c r="F2464" s="1" t="s">
        <v>16</v>
      </c>
      <c r="G2464" s="1" t="s">
        <v>17</v>
      </c>
      <c r="H2464" s="1" t="s">
        <v>18</v>
      </c>
      <c r="I2464" s="1" t="s">
        <v>44</v>
      </c>
      <c r="J2464" s="1">
        <v>40.0</v>
      </c>
      <c r="K2464" s="1">
        <v>56.0</v>
      </c>
      <c r="L2464" s="1">
        <v>208.0</v>
      </c>
    </row>
    <row r="2465">
      <c r="A2465" s="1">
        <v>5204013.0</v>
      </c>
      <c r="B2465" s="1" t="s">
        <v>5236</v>
      </c>
      <c r="C2465" s="1" t="s">
        <v>5146</v>
      </c>
      <c r="D2465" s="1" t="s">
        <v>5159</v>
      </c>
      <c r="E2465" s="1" t="s">
        <v>5237</v>
      </c>
      <c r="F2465" s="1" t="s">
        <v>16</v>
      </c>
      <c r="G2465" s="1" t="s">
        <v>17</v>
      </c>
      <c r="H2465" s="1" t="s">
        <v>28</v>
      </c>
      <c r="I2465" s="1" t="s">
        <v>40</v>
      </c>
      <c r="J2465" s="1">
        <v>233.0</v>
      </c>
      <c r="K2465" s="1">
        <v>37.0</v>
      </c>
      <c r="L2465" s="1">
        <v>335.0</v>
      </c>
    </row>
    <row r="2466">
      <c r="A2466" s="1">
        <v>5206028.0</v>
      </c>
      <c r="B2466" s="1" t="s">
        <v>5238</v>
      </c>
      <c r="C2466" s="1" t="s">
        <v>5146</v>
      </c>
      <c r="D2466" s="1" t="s">
        <v>5183</v>
      </c>
      <c r="E2466" s="1" t="s">
        <v>5239</v>
      </c>
      <c r="F2466" s="1" t="s">
        <v>16</v>
      </c>
      <c r="G2466" s="1" t="s">
        <v>23</v>
      </c>
      <c r="H2466" s="1" t="s">
        <v>18</v>
      </c>
      <c r="I2466" s="1" t="s">
        <v>684</v>
      </c>
      <c r="J2466" s="1">
        <v>94.0</v>
      </c>
      <c r="K2466" s="1">
        <v>22.0</v>
      </c>
      <c r="L2466" s="1">
        <v>114.0</v>
      </c>
    </row>
    <row r="2467">
      <c r="A2467" s="1">
        <v>5202036.0</v>
      </c>
      <c r="B2467" s="1" t="s">
        <v>5240</v>
      </c>
      <c r="C2467" s="1" t="s">
        <v>5146</v>
      </c>
      <c r="D2467" s="1" t="s">
        <v>5172</v>
      </c>
      <c r="E2467" s="1" t="s">
        <v>5241</v>
      </c>
      <c r="F2467" s="1" t="s">
        <v>16</v>
      </c>
      <c r="G2467" s="1" t="s">
        <v>23</v>
      </c>
      <c r="H2467" s="1" t="s">
        <v>18</v>
      </c>
      <c r="I2467" s="1" t="s">
        <v>44</v>
      </c>
      <c r="J2467" s="1">
        <v>48.0</v>
      </c>
      <c r="K2467" s="1">
        <v>14.0</v>
      </c>
      <c r="L2467" s="1">
        <v>0.0</v>
      </c>
    </row>
    <row r="2468">
      <c r="A2468" s="1">
        <v>5205016.0</v>
      </c>
      <c r="B2468" s="1" t="s">
        <v>5242</v>
      </c>
      <c r="C2468" s="1" t="s">
        <v>5146</v>
      </c>
      <c r="D2468" s="1" t="s">
        <v>5194</v>
      </c>
      <c r="E2468" s="1" t="s">
        <v>5243</v>
      </c>
      <c r="F2468" s="1" t="s">
        <v>16</v>
      </c>
      <c r="G2468" s="1" t="s">
        <v>23</v>
      </c>
      <c r="H2468" s="1" t="s">
        <v>18</v>
      </c>
      <c r="I2468" s="1" t="s">
        <v>40</v>
      </c>
      <c r="J2468" s="1">
        <v>51.0</v>
      </c>
      <c r="K2468" s="1">
        <v>23.0</v>
      </c>
      <c r="L2468" s="1">
        <v>74.0</v>
      </c>
    </row>
    <row r="2469">
      <c r="A2469" s="1">
        <v>5271076.0</v>
      </c>
      <c r="B2469" s="1" t="s">
        <v>5244</v>
      </c>
      <c r="C2469" s="1" t="s">
        <v>5146</v>
      </c>
      <c r="D2469" s="1" t="s">
        <v>5156</v>
      </c>
      <c r="E2469" s="1" t="s">
        <v>5245</v>
      </c>
      <c r="F2469" s="1" t="s">
        <v>16</v>
      </c>
      <c r="G2469" s="1" t="s">
        <v>17</v>
      </c>
      <c r="H2469" s="1" t="s">
        <v>18</v>
      </c>
      <c r="I2469" s="1" t="s">
        <v>19</v>
      </c>
      <c r="J2469" s="1">
        <v>71.0</v>
      </c>
      <c r="K2469" s="1">
        <v>70.0</v>
      </c>
      <c r="L2469" s="1">
        <v>298.0</v>
      </c>
    </row>
    <row r="2470">
      <c r="A2470" s="1">
        <v>5311024.0</v>
      </c>
      <c r="B2470" s="1" t="s">
        <v>5246</v>
      </c>
      <c r="C2470" s="1" t="s">
        <v>5247</v>
      </c>
      <c r="D2470" s="1" t="s">
        <v>5248</v>
      </c>
      <c r="E2470" s="1" t="s">
        <v>5249</v>
      </c>
      <c r="F2470" s="1" t="s">
        <v>16</v>
      </c>
      <c r="G2470" s="1" t="s">
        <v>23</v>
      </c>
      <c r="H2470" s="1" t="s">
        <v>18</v>
      </c>
      <c r="I2470" s="1" t="s">
        <v>249</v>
      </c>
      <c r="J2470" s="1">
        <v>50.0</v>
      </c>
      <c r="K2470" s="1">
        <v>38.0</v>
      </c>
      <c r="L2470" s="1">
        <v>72.0</v>
      </c>
    </row>
    <row r="2471">
      <c r="A2471" s="1">
        <v>5371047.0</v>
      </c>
      <c r="B2471" s="1" t="s">
        <v>5250</v>
      </c>
      <c r="C2471" s="1" t="s">
        <v>5247</v>
      </c>
      <c r="D2471" s="1" t="s">
        <v>5251</v>
      </c>
      <c r="E2471" s="1" t="s">
        <v>5252</v>
      </c>
      <c r="F2471" s="1" t="s">
        <v>55</v>
      </c>
      <c r="G2471" s="1" t="s">
        <v>17</v>
      </c>
      <c r="H2471" s="1" t="s">
        <v>18</v>
      </c>
      <c r="I2471" s="1" t="s">
        <v>59</v>
      </c>
      <c r="J2471" s="1">
        <v>62.0</v>
      </c>
      <c r="K2471" s="1">
        <v>24.0</v>
      </c>
      <c r="L2471" s="1">
        <v>199.0</v>
      </c>
    </row>
    <row r="2472">
      <c r="A2472" s="1">
        <v>5302034.0</v>
      </c>
      <c r="B2472" s="1" t="s">
        <v>5253</v>
      </c>
      <c r="C2472" s="1" t="s">
        <v>5247</v>
      </c>
      <c r="D2472" s="1" t="s">
        <v>5254</v>
      </c>
      <c r="E2472" s="1" t="s">
        <v>5255</v>
      </c>
      <c r="F2472" s="1" t="s">
        <v>16</v>
      </c>
      <c r="G2472" s="1" t="s">
        <v>23</v>
      </c>
      <c r="H2472" s="1" t="s">
        <v>18</v>
      </c>
      <c r="I2472" s="1" t="s">
        <v>59</v>
      </c>
      <c r="J2472" s="1">
        <v>53.0</v>
      </c>
      <c r="K2472" s="1">
        <v>30.0</v>
      </c>
      <c r="L2472" s="1">
        <v>72.0</v>
      </c>
    </row>
    <row r="2473">
      <c r="A2473" s="1">
        <v>5309012.0</v>
      </c>
      <c r="B2473" s="1" t="s">
        <v>5256</v>
      </c>
      <c r="C2473" s="1" t="s">
        <v>5247</v>
      </c>
      <c r="D2473" s="1" t="s">
        <v>5257</v>
      </c>
      <c r="E2473" s="1" t="s">
        <v>5258</v>
      </c>
      <c r="F2473" s="1" t="s">
        <v>16</v>
      </c>
      <c r="G2473" s="1" t="s">
        <v>17</v>
      </c>
      <c r="H2473" s="1" t="s">
        <v>28</v>
      </c>
      <c r="I2473" s="1" t="s">
        <v>40</v>
      </c>
      <c r="J2473" s="1">
        <v>147.0</v>
      </c>
      <c r="K2473" s="1">
        <v>34.0</v>
      </c>
      <c r="L2473" s="1">
        <v>380.0</v>
      </c>
    </row>
    <row r="2474">
      <c r="A2474" s="1">
        <v>5303028.0</v>
      </c>
      <c r="B2474" s="1" t="s">
        <v>5259</v>
      </c>
      <c r="C2474" s="1" t="s">
        <v>5247</v>
      </c>
      <c r="D2474" s="1" t="s">
        <v>5251</v>
      </c>
      <c r="E2474" s="1" t="s">
        <v>5260</v>
      </c>
      <c r="F2474" s="1" t="s">
        <v>16</v>
      </c>
      <c r="G2474" s="1" t="s">
        <v>27</v>
      </c>
      <c r="H2474" s="1" t="s">
        <v>18</v>
      </c>
      <c r="I2474" s="1" t="s">
        <v>19</v>
      </c>
      <c r="J2474" s="1">
        <v>231.0</v>
      </c>
      <c r="K2474" s="1">
        <v>79.0</v>
      </c>
      <c r="L2474" s="1">
        <v>358.0</v>
      </c>
    </row>
    <row r="2475">
      <c r="A2475" s="1">
        <v>5301022.0</v>
      </c>
      <c r="B2475" s="1" t="s">
        <v>5261</v>
      </c>
      <c r="C2475" s="1" t="s">
        <v>5247</v>
      </c>
      <c r="D2475" s="1" t="s">
        <v>5262</v>
      </c>
      <c r="E2475" s="1" t="s">
        <v>5263</v>
      </c>
      <c r="F2475" s="1" t="s">
        <v>16</v>
      </c>
      <c r="G2475" s="1" t="s">
        <v>17</v>
      </c>
      <c r="H2475" s="1" t="s">
        <v>18</v>
      </c>
      <c r="I2475" s="1" t="s">
        <v>59</v>
      </c>
      <c r="J2475" s="1">
        <v>121.0</v>
      </c>
      <c r="K2475" s="1">
        <v>21.0</v>
      </c>
      <c r="L2475" s="1">
        <v>100.0</v>
      </c>
    </row>
    <row r="2476">
      <c r="A2476" s="1">
        <v>5371058.0</v>
      </c>
      <c r="B2476" s="1" t="s">
        <v>5264</v>
      </c>
      <c r="C2476" s="1" t="s">
        <v>5247</v>
      </c>
      <c r="D2476" s="1" t="s">
        <v>5251</v>
      </c>
      <c r="E2476" s="1" t="s">
        <v>5265</v>
      </c>
      <c r="F2476" s="1" t="s">
        <v>16</v>
      </c>
      <c r="G2476" s="1" t="s">
        <v>17</v>
      </c>
      <c r="H2476" s="1" t="s">
        <v>18</v>
      </c>
      <c r="I2476" s="1" t="s">
        <v>59</v>
      </c>
      <c r="J2476" s="1">
        <v>137.0</v>
      </c>
      <c r="K2476" s="1">
        <v>43.0</v>
      </c>
      <c r="L2476" s="1">
        <v>231.0</v>
      </c>
    </row>
    <row r="2477">
      <c r="A2477" s="1">
        <v>5313015.0</v>
      </c>
      <c r="B2477" s="1" t="s">
        <v>5266</v>
      </c>
      <c r="C2477" s="1" t="s">
        <v>5247</v>
      </c>
      <c r="D2477" s="1" t="s">
        <v>5267</v>
      </c>
      <c r="E2477" s="1" t="s">
        <v>5268</v>
      </c>
      <c r="F2477" s="1" t="s">
        <v>16</v>
      </c>
      <c r="G2477" s="1" t="s">
        <v>17</v>
      </c>
      <c r="H2477" s="1" t="s">
        <v>28</v>
      </c>
      <c r="I2477" s="1" t="s">
        <v>40</v>
      </c>
      <c r="J2477" s="1">
        <v>265.0</v>
      </c>
      <c r="K2477" s="1">
        <v>30.0</v>
      </c>
      <c r="L2477" s="1">
        <v>425.0</v>
      </c>
    </row>
    <row r="2478">
      <c r="A2478" s="1">
        <v>5309046.0</v>
      </c>
      <c r="B2478" s="1" t="s">
        <v>5269</v>
      </c>
      <c r="C2478" s="1" t="s">
        <v>5247</v>
      </c>
      <c r="D2478" s="1" t="s">
        <v>5257</v>
      </c>
      <c r="E2478" s="1" t="s">
        <v>5270</v>
      </c>
      <c r="F2478" s="1" t="s">
        <v>16</v>
      </c>
      <c r="G2478" s="1" t="s">
        <v>98</v>
      </c>
      <c r="H2478" s="1" t="s">
        <v>18</v>
      </c>
      <c r="I2478" s="1" t="s">
        <v>40</v>
      </c>
      <c r="J2478" s="1">
        <v>30.0</v>
      </c>
      <c r="K2478" s="1">
        <v>10.0</v>
      </c>
      <c r="L2478" s="1">
        <v>0.0</v>
      </c>
    </row>
    <row r="2479">
      <c r="A2479" s="1">
        <v>5371054.0</v>
      </c>
      <c r="B2479" s="1" t="s">
        <v>5271</v>
      </c>
      <c r="C2479" s="1" t="s">
        <v>5247</v>
      </c>
      <c r="D2479" s="1" t="s">
        <v>5251</v>
      </c>
      <c r="E2479" s="1" t="s">
        <v>5272</v>
      </c>
      <c r="F2479" s="1" t="s">
        <v>16</v>
      </c>
      <c r="G2479" s="1" t="s">
        <v>17</v>
      </c>
      <c r="H2479" s="1" t="s">
        <v>18</v>
      </c>
      <c r="I2479" s="1" t="s">
        <v>163</v>
      </c>
      <c r="J2479" s="1">
        <v>122.0</v>
      </c>
      <c r="K2479" s="1">
        <v>33.0</v>
      </c>
      <c r="L2479" s="1">
        <v>112.0</v>
      </c>
    </row>
    <row r="2480">
      <c r="A2480" s="1">
        <v>5317002.0</v>
      </c>
      <c r="B2480" s="1" t="s">
        <v>5273</v>
      </c>
      <c r="C2480" s="1" t="s">
        <v>5247</v>
      </c>
      <c r="D2480" s="1" t="s">
        <v>5262</v>
      </c>
      <c r="E2480" s="1" t="s">
        <v>5274</v>
      </c>
      <c r="F2480" s="1" t="s">
        <v>16</v>
      </c>
      <c r="G2480" s="1" t="s">
        <v>23</v>
      </c>
      <c r="H2480" s="1" t="s">
        <v>18</v>
      </c>
      <c r="I2480" s="1" t="s">
        <v>40</v>
      </c>
      <c r="J2480" s="1">
        <v>121.0</v>
      </c>
      <c r="K2480" s="1">
        <v>24.0</v>
      </c>
      <c r="L2480" s="1">
        <v>72.0</v>
      </c>
    </row>
    <row r="2481">
      <c r="A2481" s="1">
        <v>5318014.0</v>
      </c>
      <c r="B2481" s="1" t="s">
        <v>5275</v>
      </c>
      <c r="C2481" s="1" t="s">
        <v>5247</v>
      </c>
      <c r="D2481" s="1" t="s">
        <v>5276</v>
      </c>
      <c r="E2481" s="1" t="s">
        <v>5277</v>
      </c>
      <c r="F2481" s="1" t="s">
        <v>16</v>
      </c>
      <c r="G2481" s="1" t="s">
        <v>98</v>
      </c>
      <c r="H2481" s="1" t="s">
        <v>18</v>
      </c>
      <c r="I2481" s="1" t="s">
        <v>40</v>
      </c>
      <c r="J2481" s="1">
        <v>0.0</v>
      </c>
      <c r="K2481" s="1">
        <v>1.0</v>
      </c>
      <c r="L2481" s="1">
        <v>0.0</v>
      </c>
    </row>
    <row r="2482">
      <c r="A2482" s="1">
        <v>5305015.0</v>
      </c>
      <c r="B2482" s="1" t="s">
        <v>5278</v>
      </c>
      <c r="C2482" s="1" t="s">
        <v>5247</v>
      </c>
      <c r="D2482" s="1" t="s">
        <v>5279</v>
      </c>
      <c r="E2482" s="1" t="s">
        <v>5280</v>
      </c>
      <c r="F2482" s="1" t="s">
        <v>16</v>
      </c>
      <c r="G2482" s="1" t="s">
        <v>17</v>
      </c>
      <c r="H2482" s="1" t="s">
        <v>28</v>
      </c>
      <c r="I2482" s="1" t="s">
        <v>40</v>
      </c>
      <c r="J2482" s="1">
        <v>114.0</v>
      </c>
      <c r="K2482" s="1">
        <v>28.0</v>
      </c>
      <c r="L2482" s="1">
        <v>363.0</v>
      </c>
    </row>
    <row r="2483">
      <c r="A2483" s="1">
        <v>5309034.0</v>
      </c>
      <c r="B2483" s="1" t="s">
        <v>5281</v>
      </c>
      <c r="C2483" s="1" t="s">
        <v>5247</v>
      </c>
      <c r="D2483" s="1" t="s">
        <v>5282</v>
      </c>
      <c r="E2483" s="1" t="s">
        <v>5283</v>
      </c>
      <c r="F2483" s="1" t="s">
        <v>16</v>
      </c>
      <c r="G2483" s="1" t="s">
        <v>23</v>
      </c>
      <c r="H2483" s="1" t="s">
        <v>18</v>
      </c>
      <c r="I2483" s="1" t="s">
        <v>249</v>
      </c>
      <c r="J2483" s="1">
        <v>60.0</v>
      </c>
      <c r="K2483" s="1">
        <v>17.0</v>
      </c>
      <c r="L2483" s="1">
        <v>31.0</v>
      </c>
    </row>
    <row r="2484">
      <c r="A2484" s="1">
        <v>5303057.0</v>
      </c>
      <c r="B2484" s="1" t="s">
        <v>5284</v>
      </c>
      <c r="C2484" s="1" t="s">
        <v>5247</v>
      </c>
      <c r="D2484" s="1" t="s">
        <v>5285</v>
      </c>
      <c r="E2484" s="1" t="s">
        <v>5286</v>
      </c>
      <c r="F2484" s="1" t="s">
        <v>16</v>
      </c>
      <c r="G2484" s="1" t="s">
        <v>17</v>
      </c>
      <c r="H2484" s="1" t="s">
        <v>18</v>
      </c>
      <c r="I2484" s="1" t="s">
        <v>19</v>
      </c>
      <c r="J2484" s="1">
        <v>205.0</v>
      </c>
      <c r="K2484" s="1">
        <v>31.0</v>
      </c>
      <c r="L2484" s="1">
        <v>0.0</v>
      </c>
    </row>
    <row r="2485">
      <c r="A2485" s="1">
        <v>5371046.0</v>
      </c>
      <c r="B2485" s="1" t="s">
        <v>5287</v>
      </c>
      <c r="C2485" s="1" t="s">
        <v>5247</v>
      </c>
      <c r="D2485" s="1" t="s">
        <v>5251</v>
      </c>
      <c r="E2485" s="1" t="s">
        <v>5288</v>
      </c>
      <c r="F2485" s="1" t="s">
        <v>16</v>
      </c>
      <c r="G2485" s="1" t="s">
        <v>17</v>
      </c>
      <c r="H2485" s="1" t="s">
        <v>18</v>
      </c>
      <c r="I2485" s="1" t="s">
        <v>95</v>
      </c>
      <c r="J2485" s="1">
        <v>87.0</v>
      </c>
      <c r="K2485" s="1">
        <v>23.0</v>
      </c>
      <c r="L2485" s="1">
        <v>88.0</v>
      </c>
    </row>
    <row r="2486">
      <c r="A2486" s="1">
        <v>5302012.0</v>
      </c>
      <c r="B2486" s="1" t="s">
        <v>5289</v>
      </c>
      <c r="C2486" s="1" t="s">
        <v>5247</v>
      </c>
      <c r="D2486" s="1" t="s">
        <v>5254</v>
      </c>
      <c r="E2486" s="1" t="s">
        <v>5290</v>
      </c>
      <c r="F2486" s="1" t="s">
        <v>16</v>
      </c>
      <c r="G2486" s="1" t="s">
        <v>23</v>
      </c>
      <c r="H2486" s="1" t="s">
        <v>18</v>
      </c>
      <c r="I2486" s="1" t="s">
        <v>59</v>
      </c>
      <c r="J2486" s="1">
        <v>82.0</v>
      </c>
      <c r="K2486" s="1">
        <v>30.0</v>
      </c>
      <c r="L2486" s="1">
        <v>176.0</v>
      </c>
    </row>
    <row r="2487">
      <c r="A2487" s="1">
        <v>5371011.0</v>
      </c>
      <c r="B2487" s="1" t="s">
        <v>5291</v>
      </c>
      <c r="C2487" s="1" t="s">
        <v>5247</v>
      </c>
      <c r="D2487" s="1" t="s">
        <v>5251</v>
      </c>
      <c r="E2487" s="1" t="s">
        <v>5292</v>
      </c>
      <c r="F2487" s="1" t="s">
        <v>16</v>
      </c>
      <c r="G2487" s="1" t="s">
        <v>27</v>
      </c>
      <c r="H2487" s="1" t="s">
        <v>28</v>
      </c>
      <c r="I2487" s="1" t="s">
        <v>139</v>
      </c>
      <c r="J2487" s="1">
        <v>344.0</v>
      </c>
      <c r="K2487" s="1">
        <v>74.0</v>
      </c>
      <c r="L2487" s="1">
        <v>660.0</v>
      </c>
    </row>
    <row r="2488">
      <c r="A2488" s="1">
        <v>5371059.0</v>
      </c>
      <c r="B2488" s="1" t="s">
        <v>5293</v>
      </c>
      <c r="C2488" s="1" t="s">
        <v>5247</v>
      </c>
      <c r="D2488" s="1" t="s">
        <v>5251</v>
      </c>
      <c r="E2488" s="1" t="s">
        <v>5294</v>
      </c>
      <c r="F2488" s="1" t="s">
        <v>174</v>
      </c>
      <c r="G2488" s="1" t="s">
        <v>17</v>
      </c>
      <c r="H2488" s="1" t="s">
        <v>28</v>
      </c>
      <c r="I2488" s="1" t="s">
        <v>139</v>
      </c>
      <c r="J2488" s="1">
        <v>39.0</v>
      </c>
      <c r="K2488" s="1">
        <v>23.0</v>
      </c>
      <c r="L2488" s="1">
        <v>204.0</v>
      </c>
    </row>
    <row r="2489">
      <c r="A2489" s="1">
        <v>5304015.0</v>
      </c>
      <c r="B2489" s="1" t="s">
        <v>5295</v>
      </c>
      <c r="C2489" s="1" t="s">
        <v>5247</v>
      </c>
      <c r="D2489" s="1" t="s">
        <v>5296</v>
      </c>
      <c r="E2489" s="1" t="s">
        <v>5297</v>
      </c>
      <c r="F2489" s="1" t="s">
        <v>16</v>
      </c>
      <c r="G2489" s="1" t="s">
        <v>98</v>
      </c>
      <c r="H2489" s="1" t="s">
        <v>18</v>
      </c>
      <c r="I2489" s="1" t="s">
        <v>59</v>
      </c>
      <c r="J2489" s="1">
        <v>30.0</v>
      </c>
      <c r="K2489" s="1">
        <v>14.0</v>
      </c>
      <c r="L2489" s="1">
        <v>56.0</v>
      </c>
    </row>
    <row r="2490">
      <c r="A2490" s="1">
        <v>5319002.0</v>
      </c>
      <c r="B2490" s="1" t="s">
        <v>5298</v>
      </c>
      <c r="C2490" s="1" t="s">
        <v>5247</v>
      </c>
      <c r="D2490" s="1" t="s">
        <v>5299</v>
      </c>
      <c r="E2490" s="1" t="s">
        <v>5300</v>
      </c>
      <c r="F2490" s="1" t="s">
        <v>16</v>
      </c>
      <c r="G2490" s="1" t="s">
        <v>23</v>
      </c>
      <c r="H2490" s="1" t="s">
        <v>18</v>
      </c>
      <c r="I2490" s="1" t="s">
        <v>40</v>
      </c>
      <c r="J2490" s="1">
        <v>58.0</v>
      </c>
      <c r="K2490" s="1">
        <v>17.0</v>
      </c>
      <c r="L2490" s="1">
        <v>79.0</v>
      </c>
    </row>
    <row r="2491">
      <c r="A2491" s="1">
        <v>5306020.0</v>
      </c>
      <c r="B2491" s="1" t="s">
        <v>5301</v>
      </c>
      <c r="C2491" s="1" t="s">
        <v>5247</v>
      </c>
      <c r="D2491" s="1" t="s">
        <v>5302</v>
      </c>
      <c r="E2491" s="1" t="s">
        <v>5303</v>
      </c>
      <c r="F2491" s="1" t="s">
        <v>16</v>
      </c>
      <c r="G2491" s="1" t="s">
        <v>23</v>
      </c>
      <c r="H2491" s="1" t="s">
        <v>18</v>
      </c>
      <c r="I2491" s="1" t="s">
        <v>59</v>
      </c>
      <c r="J2491" s="1">
        <v>50.0</v>
      </c>
      <c r="K2491" s="1">
        <v>23.0</v>
      </c>
      <c r="L2491" s="1">
        <v>108.0</v>
      </c>
    </row>
    <row r="2492">
      <c r="A2492" s="1">
        <v>5310012.0</v>
      </c>
      <c r="B2492" s="1" t="s">
        <v>5304</v>
      </c>
      <c r="C2492" s="1" t="s">
        <v>5247</v>
      </c>
      <c r="D2492" s="1" t="s">
        <v>5305</v>
      </c>
      <c r="E2492" s="1" t="s">
        <v>5306</v>
      </c>
      <c r="F2492" s="1" t="s">
        <v>16</v>
      </c>
      <c r="G2492" s="1" t="s">
        <v>17</v>
      </c>
      <c r="H2492" s="1" t="s">
        <v>28</v>
      </c>
      <c r="I2492" s="1" t="s">
        <v>40</v>
      </c>
      <c r="J2492" s="1">
        <v>202.0</v>
      </c>
      <c r="K2492" s="1">
        <v>31.0</v>
      </c>
      <c r="L2492" s="1">
        <v>803.0</v>
      </c>
    </row>
    <row r="2493">
      <c r="A2493" s="1">
        <v>5303056.0</v>
      </c>
      <c r="B2493" s="1" t="s">
        <v>5307</v>
      </c>
      <c r="C2493" s="1" t="s">
        <v>5247</v>
      </c>
      <c r="D2493" s="1" t="s">
        <v>5251</v>
      </c>
      <c r="E2493" s="1" t="s">
        <v>5308</v>
      </c>
      <c r="F2493" s="1" t="s">
        <v>16</v>
      </c>
      <c r="G2493" s="1" t="s">
        <v>27</v>
      </c>
      <c r="H2493" s="1" t="s">
        <v>18</v>
      </c>
      <c r="I2493" s="1" t="s">
        <v>411</v>
      </c>
      <c r="J2493" s="1">
        <v>220.0</v>
      </c>
      <c r="K2493" s="1">
        <v>22.0</v>
      </c>
      <c r="L2493" s="1">
        <v>0.0</v>
      </c>
    </row>
    <row r="2494">
      <c r="A2494" s="1">
        <v>5303033.0</v>
      </c>
      <c r="B2494" s="1" t="s">
        <v>5309</v>
      </c>
      <c r="C2494" s="1" t="s">
        <v>5247</v>
      </c>
      <c r="D2494" s="1" t="s">
        <v>5251</v>
      </c>
      <c r="E2494" s="1" t="s">
        <v>5310</v>
      </c>
      <c r="F2494" s="1" t="s">
        <v>16</v>
      </c>
      <c r="G2494" s="1" t="s">
        <v>17</v>
      </c>
      <c r="H2494" s="1" t="s">
        <v>33</v>
      </c>
      <c r="I2494" s="1" t="s">
        <v>65</v>
      </c>
      <c r="J2494" s="1">
        <v>154.0</v>
      </c>
      <c r="K2494" s="1">
        <v>97.0</v>
      </c>
      <c r="L2494" s="1">
        <v>193.0</v>
      </c>
    </row>
    <row r="2495">
      <c r="A2495" s="1">
        <v>5303045.0</v>
      </c>
      <c r="B2495" s="1" t="s">
        <v>5311</v>
      </c>
      <c r="C2495" s="1" t="s">
        <v>5247</v>
      </c>
      <c r="D2495" s="1" t="s">
        <v>5285</v>
      </c>
      <c r="E2495" s="1" t="s">
        <v>5312</v>
      </c>
      <c r="F2495" s="1" t="s">
        <v>16</v>
      </c>
      <c r="G2495" s="1" t="s">
        <v>17</v>
      </c>
      <c r="H2495" s="1" t="s">
        <v>28</v>
      </c>
      <c r="I2495" s="1" t="s">
        <v>40</v>
      </c>
      <c r="J2495" s="1">
        <v>102.0</v>
      </c>
      <c r="K2495" s="1">
        <v>30.0</v>
      </c>
      <c r="L2495" s="1">
        <v>373.0</v>
      </c>
    </row>
    <row r="2496">
      <c r="A2496" s="1">
        <v>5304026.0</v>
      </c>
      <c r="B2496" s="1" t="s">
        <v>5313</v>
      </c>
      <c r="C2496" s="1" t="s">
        <v>5247</v>
      </c>
      <c r="D2496" s="1" t="s">
        <v>5296</v>
      </c>
      <c r="E2496" s="1" t="s">
        <v>5314</v>
      </c>
      <c r="F2496" s="1" t="s">
        <v>16</v>
      </c>
      <c r="G2496" s="1" t="s">
        <v>98</v>
      </c>
      <c r="H2496" s="1" t="s">
        <v>18</v>
      </c>
      <c r="I2496" s="1" t="s">
        <v>40</v>
      </c>
      <c r="J2496" s="1">
        <v>33.0</v>
      </c>
      <c r="K2496" s="1">
        <v>4.0</v>
      </c>
      <c r="L2496" s="1">
        <v>0.0</v>
      </c>
    </row>
    <row r="2497">
      <c r="A2497" s="1">
        <v>5315004.0</v>
      </c>
      <c r="B2497" s="1" t="s">
        <v>5315</v>
      </c>
      <c r="C2497" s="1" t="s">
        <v>5247</v>
      </c>
      <c r="D2497" s="1" t="s">
        <v>5316</v>
      </c>
      <c r="E2497" s="1" t="s">
        <v>5317</v>
      </c>
      <c r="F2497" s="1" t="s">
        <v>16</v>
      </c>
      <c r="G2497" s="1" t="s">
        <v>23</v>
      </c>
      <c r="H2497" s="1" t="s">
        <v>18</v>
      </c>
      <c r="I2497" s="1" t="s">
        <v>249</v>
      </c>
      <c r="J2497" s="1">
        <v>50.0</v>
      </c>
      <c r="K2497" s="1">
        <v>26.0</v>
      </c>
      <c r="L2497" s="1">
        <v>0.0</v>
      </c>
    </row>
    <row r="2498">
      <c r="A2498" s="1">
        <v>5303013.0</v>
      </c>
      <c r="B2498" s="1" t="s">
        <v>5318</v>
      </c>
      <c r="C2498" s="1" t="s">
        <v>5247</v>
      </c>
      <c r="D2498" s="1" t="s">
        <v>5251</v>
      </c>
      <c r="E2498" s="1" t="s">
        <v>5319</v>
      </c>
      <c r="F2498" s="1" t="s">
        <v>16</v>
      </c>
      <c r="G2498" s="1" t="s">
        <v>17</v>
      </c>
      <c r="H2498" s="1" t="s">
        <v>28</v>
      </c>
      <c r="I2498" s="1" t="s">
        <v>29</v>
      </c>
      <c r="J2498" s="1">
        <v>156.0</v>
      </c>
      <c r="K2498" s="1">
        <v>51.0</v>
      </c>
      <c r="L2498" s="1">
        <v>196.0</v>
      </c>
    </row>
    <row r="2499">
      <c r="A2499" s="1">
        <v>5306042.0</v>
      </c>
      <c r="B2499" s="1" t="s">
        <v>5320</v>
      </c>
      <c r="C2499" s="1" t="s">
        <v>5247</v>
      </c>
      <c r="D2499" s="1" t="s">
        <v>5321</v>
      </c>
      <c r="E2499" s="1" t="s">
        <v>5322</v>
      </c>
      <c r="F2499" s="1" t="s">
        <v>16</v>
      </c>
      <c r="G2499" s="1" t="s">
        <v>17</v>
      </c>
      <c r="H2499" s="1" t="s">
        <v>28</v>
      </c>
      <c r="I2499" s="1" t="s">
        <v>40</v>
      </c>
      <c r="J2499" s="1">
        <v>107.0</v>
      </c>
      <c r="K2499" s="1">
        <v>23.0</v>
      </c>
      <c r="L2499" s="1">
        <v>391.0</v>
      </c>
    </row>
    <row r="2500">
      <c r="A2500" s="1">
        <v>5302045.0</v>
      </c>
      <c r="B2500" s="1" t="s">
        <v>5323</v>
      </c>
      <c r="C2500" s="1" t="s">
        <v>5247</v>
      </c>
      <c r="D2500" s="1" t="s">
        <v>5254</v>
      </c>
      <c r="E2500" s="1" t="s">
        <v>5324</v>
      </c>
      <c r="F2500" s="1" t="s">
        <v>55</v>
      </c>
      <c r="G2500" s="1" t="s">
        <v>17</v>
      </c>
      <c r="H2500" s="1" t="s">
        <v>33</v>
      </c>
      <c r="I2500" s="1" t="s">
        <v>19</v>
      </c>
      <c r="J2500" s="1">
        <v>34.0</v>
      </c>
      <c r="K2500" s="1">
        <v>9.0</v>
      </c>
      <c r="L2500" s="1">
        <v>0.0</v>
      </c>
    </row>
    <row r="2501">
      <c r="A2501" s="1">
        <v>5302046.0</v>
      </c>
      <c r="B2501" s="1" t="s">
        <v>5325</v>
      </c>
      <c r="C2501" s="1" t="s">
        <v>5247</v>
      </c>
      <c r="D2501" s="1" t="s">
        <v>5254</v>
      </c>
      <c r="E2501" s="1" t="s">
        <v>5326</v>
      </c>
      <c r="F2501" s="1" t="s">
        <v>16</v>
      </c>
      <c r="G2501" s="1" t="s">
        <v>98</v>
      </c>
      <c r="H2501" s="1" t="s">
        <v>18</v>
      </c>
      <c r="I2501" s="1" t="s">
        <v>34</v>
      </c>
      <c r="J2501" s="1">
        <v>37.0</v>
      </c>
      <c r="K2501" s="1">
        <v>11.0</v>
      </c>
      <c r="L2501" s="1">
        <v>0.0</v>
      </c>
    </row>
    <row r="2502">
      <c r="A2502" s="1">
        <v>5311013.0</v>
      </c>
      <c r="B2502" s="1" t="s">
        <v>5327</v>
      </c>
      <c r="C2502" s="1" t="s">
        <v>5247</v>
      </c>
      <c r="D2502" s="1" t="s">
        <v>5248</v>
      </c>
      <c r="E2502" s="1" t="s">
        <v>5328</v>
      </c>
      <c r="F2502" s="1" t="s">
        <v>16</v>
      </c>
      <c r="G2502" s="1" t="s">
        <v>17</v>
      </c>
      <c r="H2502" s="1" t="s">
        <v>28</v>
      </c>
      <c r="I2502" s="1" t="s">
        <v>40</v>
      </c>
      <c r="J2502" s="1">
        <v>184.0</v>
      </c>
      <c r="K2502" s="1">
        <v>18.0</v>
      </c>
      <c r="L2502" s="1">
        <v>605.0</v>
      </c>
    </row>
    <row r="2503">
      <c r="A2503" s="1">
        <v>5307021.0</v>
      </c>
      <c r="B2503" s="1" t="s">
        <v>5329</v>
      </c>
      <c r="C2503" s="1" t="s">
        <v>5247</v>
      </c>
      <c r="D2503" s="1" t="s">
        <v>5330</v>
      </c>
      <c r="E2503" s="1" t="s">
        <v>5331</v>
      </c>
      <c r="F2503" s="1" t="s">
        <v>16</v>
      </c>
      <c r="G2503" s="1" t="s">
        <v>98</v>
      </c>
      <c r="H2503" s="1" t="s">
        <v>18</v>
      </c>
      <c r="I2503" s="1" t="s">
        <v>40</v>
      </c>
      <c r="J2503" s="1">
        <v>18.0</v>
      </c>
      <c r="K2503" s="1">
        <v>9.0</v>
      </c>
      <c r="L2503" s="1">
        <v>25.0</v>
      </c>
    </row>
    <row r="2504">
      <c r="A2504" s="1">
        <v>5301011.0</v>
      </c>
      <c r="B2504" s="1" t="s">
        <v>5332</v>
      </c>
      <c r="C2504" s="1" t="s">
        <v>5247</v>
      </c>
      <c r="D2504" s="1" t="s">
        <v>5333</v>
      </c>
      <c r="E2504" s="1" t="s">
        <v>5334</v>
      </c>
      <c r="F2504" s="1" t="s">
        <v>16</v>
      </c>
      <c r="G2504" s="1" t="s">
        <v>23</v>
      </c>
      <c r="H2504" s="1" t="s">
        <v>18</v>
      </c>
      <c r="I2504" s="1" t="s">
        <v>59</v>
      </c>
      <c r="J2504" s="1">
        <v>86.0</v>
      </c>
      <c r="K2504" s="1">
        <v>23.0</v>
      </c>
      <c r="L2504" s="1">
        <v>217.0</v>
      </c>
    </row>
    <row r="2505">
      <c r="A2505" s="1">
        <v>5312014.0</v>
      </c>
      <c r="B2505" s="1" t="s">
        <v>5335</v>
      </c>
      <c r="C2505" s="1" t="s">
        <v>5247</v>
      </c>
      <c r="D2505" s="1" t="s">
        <v>5336</v>
      </c>
      <c r="E2505" s="1" t="s">
        <v>5337</v>
      </c>
      <c r="F2505" s="1" t="s">
        <v>16</v>
      </c>
      <c r="G2505" s="1" t="s">
        <v>17</v>
      </c>
      <c r="H2505" s="1" t="s">
        <v>28</v>
      </c>
      <c r="I2505" s="1" t="s">
        <v>40</v>
      </c>
      <c r="J2505" s="1">
        <v>113.0</v>
      </c>
      <c r="K2505" s="1">
        <v>21.0</v>
      </c>
      <c r="L2505" s="1">
        <v>399.0</v>
      </c>
    </row>
    <row r="2506">
      <c r="A2506" s="1">
        <v>5371052.0</v>
      </c>
      <c r="B2506" s="1" t="s">
        <v>5338</v>
      </c>
      <c r="C2506" s="1" t="s">
        <v>5247</v>
      </c>
      <c r="D2506" s="1" t="s">
        <v>5251</v>
      </c>
      <c r="E2506" s="1" t="s">
        <v>5339</v>
      </c>
      <c r="F2506" s="1" t="s">
        <v>16</v>
      </c>
      <c r="G2506" s="1" t="s">
        <v>17</v>
      </c>
      <c r="H2506" s="1" t="s">
        <v>18</v>
      </c>
      <c r="I2506" s="1" t="s">
        <v>249</v>
      </c>
      <c r="J2506" s="1">
        <v>100.0</v>
      </c>
      <c r="K2506" s="1">
        <v>69.0</v>
      </c>
      <c r="L2506" s="1">
        <v>195.0</v>
      </c>
    </row>
    <row r="2507">
      <c r="A2507" s="1">
        <v>5304014.0</v>
      </c>
      <c r="B2507" s="1" t="s">
        <v>5340</v>
      </c>
      <c r="C2507" s="1" t="s">
        <v>5247</v>
      </c>
      <c r="D2507" s="1" t="s">
        <v>5296</v>
      </c>
      <c r="E2507" s="1" t="s">
        <v>5341</v>
      </c>
      <c r="F2507" s="1" t="s">
        <v>16</v>
      </c>
      <c r="G2507" s="1" t="s">
        <v>17</v>
      </c>
      <c r="H2507" s="1" t="s">
        <v>28</v>
      </c>
      <c r="I2507" s="1" t="s">
        <v>40</v>
      </c>
      <c r="J2507" s="1">
        <v>109.0</v>
      </c>
      <c r="K2507" s="1">
        <v>34.0</v>
      </c>
      <c r="L2507" s="1">
        <v>331.0</v>
      </c>
    </row>
    <row r="2508">
      <c r="A2508" s="1">
        <v>5308023.0</v>
      </c>
      <c r="B2508" s="1" t="s">
        <v>5342</v>
      </c>
      <c r="C2508" s="1" t="s">
        <v>5247</v>
      </c>
      <c r="D2508" s="1" t="s">
        <v>5282</v>
      </c>
      <c r="E2508" s="1" t="s">
        <v>5343</v>
      </c>
      <c r="F2508" s="1" t="s">
        <v>16</v>
      </c>
      <c r="G2508" s="1" t="s">
        <v>23</v>
      </c>
      <c r="H2508" s="1" t="s">
        <v>18</v>
      </c>
      <c r="I2508" s="1" t="s">
        <v>249</v>
      </c>
      <c r="J2508" s="1">
        <v>55.0</v>
      </c>
      <c r="K2508" s="1">
        <v>11.0</v>
      </c>
      <c r="L2508" s="1">
        <v>26.0</v>
      </c>
    </row>
    <row r="2509">
      <c r="A2509" s="1">
        <v>5306053.0</v>
      </c>
      <c r="B2509" s="1" t="s">
        <v>5344</v>
      </c>
      <c r="C2509" s="1" t="s">
        <v>5247</v>
      </c>
      <c r="D2509" s="1" t="s">
        <v>5302</v>
      </c>
      <c r="E2509" s="1" t="s">
        <v>5345</v>
      </c>
      <c r="F2509" s="1" t="s">
        <v>16</v>
      </c>
      <c r="G2509" s="1" t="s">
        <v>23</v>
      </c>
      <c r="H2509" s="1" t="s">
        <v>18</v>
      </c>
      <c r="I2509" s="1" t="s">
        <v>74</v>
      </c>
      <c r="J2509" s="1">
        <v>72.0</v>
      </c>
      <c r="K2509" s="1">
        <v>18.0</v>
      </c>
      <c r="L2509" s="1">
        <v>0.0</v>
      </c>
    </row>
    <row r="2510">
      <c r="A2510" s="1">
        <v>5301033.0</v>
      </c>
      <c r="B2510" s="1" t="s">
        <v>5346</v>
      </c>
      <c r="C2510" s="1" t="s">
        <v>5247</v>
      </c>
      <c r="D2510" s="1" t="s">
        <v>5333</v>
      </c>
      <c r="E2510" s="1" t="s">
        <v>5347</v>
      </c>
      <c r="F2510" s="1" t="s">
        <v>16</v>
      </c>
      <c r="G2510" s="1" t="s">
        <v>17</v>
      </c>
      <c r="H2510" s="1" t="s">
        <v>28</v>
      </c>
      <c r="I2510" s="1" t="s">
        <v>40</v>
      </c>
      <c r="J2510" s="1">
        <v>117.0</v>
      </c>
      <c r="K2510" s="1">
        <v>34.0</v>
      </c>
      <c r="L2510" s="1">
        <v>473.0</v>
      </c>
    </row>
    <row r="2511">
      <c r="A2511" s="1">
        <v>5313026.0</v>
      </c>
      <c r="B2511" s="1" t="s">
        <v>5348</v>
      </c>
      <c r="C2511" s="1" t="s">
        <v>5247</v>
      </c>
      <c r="D2511" s="1" t="s">
        <v>5267</v>
      </c>
      <c r="E2511" s="1" t="s">
        <v>5349</v>
      </c>
      <c r="F2511" s="1" t="s">
        <v>16</v>
      </c>
      <c r="G2511" s="1" t="s">
        <v>98</v>
      </c>
      <c r="H2511" s="1" t="s">
        <v>18</v>
      </c>
      <c r="I2511" s="1" t="s">
        <v>249</v>
      </c>
      <c r="J2511" s="1">
        <v>69.0</v>
      </c>
      <c r="K2511" s="1">
        <v>16.0</v>
      </c>
      <c r="L2511" s="1">
        <v>113.0</v>
      </c>
    </row>
    <row r="2512">
      <c r="A2512" s="1">
        <v>5371057.0</v>
      </c>
      <c r="B2512" s="1" t="s">
        <v>5350</v>
      </c>
      <c r="C2512" s="1" t="s">
        <v>5247</v>
      </c>
      <c r="D2512" s="1" t="s">
        <v>5251</v>
      </c>
      <c r="E2512" s="1" t="s">
        <v>5351</v>
      </c>
      <c r="F2512" s="1" t="s">
        <v>16</v>
      </c>
      <c r="G2512" s="1" t="s">
        <v>23</v>
      </c>
      <c r="H2512" s="1" t="s">
        <v>18</v>
      </c>
      <c r="I2512" s="1" t="s">
        <v>44</v>
      </c>
      <c r="J2512" s="1">
        <v>61.0</v>
      </c>
      <c r="K2512" s="1">
        <v>89.0</v>
      </c>
      <c r="L2512" s="1">
        <v>124.0</v>
      </c>
    </row>
    <row r="2513">
      <c r="A2513" s="1">
        <v>5306016.0</v>
      </c>
      <c r="B2513" s="1" t="s">
        <v>5352</v>
      </c>
      <c r="C2513" s="1" t="s">
        <v>5247</v>
      </c>
      <c r="D2513" s="1" t="s">
        <v>5302</v>
      </c>
      <c r="E2513" s="1" t="s">
        <v>5353</v>
      </c>
      <c r="F2513" s="1" t="s">
        <v>16</v>
      </c>
      <c r="G2513" s="1" t="s">
        <v>17</v>
      </c>
      <c r="H2513" s="1" t="s">
        <v>28</v>
      </c>
      <c r="I2513" s="1" t="s">
        <v>40</v>
      </c>
      <c r="J2513" s="1">
        <v>183.0</v>
      </c>
      <c r="K2513" s="1">
        <v>26.0</v>
      </c>
      <c r="L2513" s="1">
        <v>367.0</v>
      </c>
    </row>
    <row r="2514">
      <c r="A2514" s="1">
        <v>5308045.0</v>
      </c>
      <c r="B2514" s="1" t="s">
        <v>5354</v>
      </c>
      <c r="C2514" s="1" t="s">
        <v>5247</v>
      </c>
      <c r="D2514" s="1" t="s">
        <v>5282</v>
      </c>
      <c r="E2514" s="1" t="s">
        <v>5355</v>
      </c>
      <c r="F2514" s="1" t="s">
        <v>16</v>
      </c>
      <c r="G2514" s="1" t="s">
        <v>17</v>
      </c>
      <c r="H2514" s="1" t="s">
        <v>18</v>
      </c>
      <c r="I2514" s="1" t="s">
        <v>40</v>
      </c>
      <c r="J2514" s="1">
        <v>103.0</v>
      </c>
      <c r="K2514" s="1">
        <v>23.0</v>
      </c>
      <c r="L2514" s="1">
        <v>311.0</v>
      </c>
    </row>
    <row r="2515">
      <c r="A2515" s="1">
        <v>5305024.0</v>
      </c>
      <c r="B2515" s="1" t="s">
        <v>5356</v>
      </c>
      <c r="C2515" s="1" t="s">
        <v>5247</v>
      </c>
      <c r="D2515" s="1" t="s">
        <v>5279</v>
      </c>
      <c r="E2515" s="1" t="s">
        <v>5357</v>
      </c>
      <c r="F2515" s="1" t="s">
        <v>16</v>
      </c>
      <c r="G2515" s="1" t="s">
        <v>23</v>
      </c>
      <c r="H2515" s="1" t="s">
        <v>18</v>
      </c>
      <c r="I2515" s="1" t="s">
        <v>59</v>
      </c>
      <c r="J2515" s="1">
        <v>55.0</v>
      </c>
      <c r="K2515" s="1">
        <v>21.0</v>
      </c>
      <c r="L2515" s="1">
        <v>10.0</v>
      </c>
    </row>
    <row r="2516">
      <c r="A2516" s="1">
        <v>5315002.0</v>
      </c>
      <c r="B2516" s="1" t="s">
        <v>5358</v>
      </c>
      <c r="C2516" s="1" t="s">
        <v>5247</v>
      </c>
      <c r="D2516" s="1" t="s">
        <v>5316</v>
      </c>
      <c r="E2516" s="1" t="s">
        <v>5359</v>
      </c>
      <c r="F2516" s="1" t="s">
        <v>16</v>
      </c>
      <c r="G2516" s="1" t="s">
        <v>17</v>
      </c>
      <c r="H2516" s="1" t="s">
        <v>18</v>
      </c>
      <c r="I2516" s="1" t="s">
        <v>19</v>
      </c>
      <c r="J2516" s="1">
        <v>77.0</v>
      </c>
      <c r="K2516" s="1">
        <v>40.0</v>
      </c>
      <c r="L2516" s="1">
        <v>198.0</v>
      </c>
    </row>
    <row r="2517">
      <c r="A2517" s="1">
        <v>5302023.0</v>
      </c>
      <c r="B2517" s="1" t="s">
        <v>5360</v>
      </c>
      <c r="C2517" s="1" t="s">
        <v>5247</v>
      </c>
      <c r="D2517" s="1" t="s">
        <v>5254</v>
      </c>
      <c r="E2517" s="1" t="s">
        <v>5361</v>
      </c>
      <c r="F2517" s="1" t="s">
        <v>16</v>
      </c>
      <c r="G2517" s="1" t="s">
        <v>17</v>
      </c>
      <c r="H2517" s="1" t="s">
        <v>28</v>
      </c>
      <c r="I2517" s="1" t="s">
        <v>40</v>
      </c>
      <c r="J2517" s="1">
        <v>136.0</v>
      </c>
      <c r="K2517" s="1">
        <v>35.0</v>
      </c>
      <c r="L2517" s="1">
        <v>520.0</v>
      </c>
    </row>
    <row r="2518">
      <c r="A2518" s="1">
        <v>5305025.0</v>
      </c>
      <c r="B2518" s="1" t="s">
        <v>5362</v>
      </c>
      <c r="C2518" s="1" t="s">
        <v>5247</v>
      </c>
      <c r="D2518" s="1" t="s">
        <v>5279</v>
      </c>
      <c r="E2518" s="1" t="s">
        <v>5363</v>
      </c>
      <c r="F2518" s="1" t="s">
        <v>16</v>
      </c>
      <c r="G2518" s="1" t="s">
        <v>17</v>
      </c>
      <c r="H2518" s="1" t="s">
        <v>18</v>
      </c>
      <c r="I2518" s="1" t="s">
        <v>44</v>
      </c>
      <c r="J2518" s="1">
        <v>133.0</v>
      </c>
      <c r="K2518" s="1">
        <v>43.0</v>
      </c>
      <c r="L2518" s="1">
        <v>127.0</v>
      </c>
    </row>
    <row r="2519">
      <c r="A2519" s="1">
        <v>5303022.0</v>
      </c>
      <c r="B2519" s="1" t="s">
        <v>5364</v>
      </c>
      <c r="C2519" s="1" t="s">
        <v>5247</v>
      </c>
      <c r="D2519" s="1" t="s">
        <v>5251</v>
      </c>
      <c r="E2519" s="1" t="s">
        <v>5365</v>
      </c>
      <c r="F2519" s="1" t="s">
        <v>16</v>
      </c>
      <c r="G2519" s="1" t="s">
        <v>17</v>
      </c>
      <c r="H2519" s="1" t="s">
        <v>18</v>
      </c>
      <c r="I2519" s="1" t="s">
        <v>74</v>
      </c>
      <c r="J2519" s="1">
        <v>130.0</v>
      </c>
      <c r="K2519" s="1">
        <v>33.0</v>
      </c>
      <c r="L2519" s="1">
        <v>208.0</v>
      </c>
    </row>
    <row r="2520">
      <c r="A2520" s="1">
        <v>5313037.0</v>
      </c>
      <c r="B2520" s="1" t="s">
        <v>5366</v>
      </c>
      <c r="C2520" s="1" t="s">
        <v>5247</v>
      </c>
      <c r="D2520" s="1" t="s">
        <v>5267</v>
      </c>
      <c r="E2520" s="1" t="s">
        <v>5367</v>
      </c>
      <c r="F2520" s="1" t="s">
        <v>16</v>
      </c>
      <c r="G2520" s="1" t="s">
        <v>98</v>
      </c>
      <c r="H2520" s="1" t="s">
        <v>18</v>
      </c>
      <c r="I2520" s="1" t="s">
        <v>40</v>
      </c>
      <c r="J2520" s="1">
        <v>71.0</v>
      </c>
      <c r="K2520" s="1">
        <v>28.0</v>
      </c>
      <c r="L2520" s="1">
        <v>0.0</v>
      </c>
    </row>
    <row r="2521">
      <c r="A2521" s="1">
        <v>5310034.0</v>
      </c>
      <c r="B2521" s="1" t="s">
        <v>5368</v>
      </c>
      <c r="C2521" s="1" t="s">
        <v>5247</v>
      </c>
      <c r="D2521" s="1" t="s">
        <v>5305</v>
      </c>
      <c r="E2521" s="1" t="s">
        <v>5369</v>
      </c>
      <c r="F2521" s="1" t="s">
        <v>16</v>
      </c>
      <c r="G2521" s="1" t="s">
        <v>23</v>
      </c>
      <c r="H2521" s="1" t="s">
        <v>18</v>
      </c>
      <c r="I2521" s="1" t="s">
        <v>59</v>
      </c>
      <c r="J2521" s="1">
        <v>77.0</v>
      </c>
      <c r="K2521" s="1">
        <v>49.0</v>
      </c>
      <c r="L2521" s="1">
        <v>148.0</v>
      </c>
    </row>
    <row r="2522">
      <c r="A2522" s="1">
        <v>5319013.0</v>
      </c>
      <c r="B2522" s="1" t="s">
        <v>5370</v>
      </c>
      <c r="C2522" s="1" t="s">
        <v>5247</v>
      </c>
      <c r="D2522" s="1" t="s">
        <v>5299</v>
      </c>
      <c r="E2522" s="1" t="s">
        <v>5371</v>
      </c>
      <c r="F2522" s="1" t="s">
        <v>16</v>
      </c>
      <c r="G2522" s="1" t="s">
        <v>98</v>
      </c>
      <c r="H2522" s="1" t="s">
        <v>18</v>
      </c>
      <c r="I2522" s="1" t="s">
        <v>40</v>
      </c>
      <c r="J2522" s="1">
        <v>32.0</v>
      </c>
      <c r="K2522" s="1">
        <v>40.0</v>
      </c>
      <c r="L2522" s="1">
        <v>0.0</v>
      </c>
    </row>
    <row r="2523">
      <c r="A2523" s="1">
        <v>5301035.0</v>
      </c>
      <c r="B2523" s="1" t="s">
        <v>5372</v>
      </c>
      <c r="C2523" s="1" t="s">
        <v>5247</v>
      </c>
      <c r="D2523" s="1" t="s">
        <v>5333</v>
      </c>
      <c r="E2523" s="1" t="s">
        <v>5373</v>
      </c>
      <c r="F2523" s="1" t="s">
        <v>16</v>
      </c>
      <c r="G2523" s="1" t="s">
        <v>23</v>
      </c>
      <c r="H2523" s="1" t="s">
        <v>18</v>
      </c>
      <c r="I2523" s="1" t="s">
        <v>40</v>
      </c>
      <c r="J2523" s="1">
        <v>50.0</v>
      </c>
      <c r="K2523" s="1">
        <v>17.0</v>
      </c>
      <c r="L2523" s="1">
        <v>1.0</v>
      </c>
    </row>
    <row r="2524">
      <c r="A2524" s="1">
        <v>5306031.0</v>
      </c>
      <c r="B2524" s="1" t="s">
        <v>5374</v>
      </c>
      <c r="C2524" s="1" t="s">
        <v>5247</v>
      </c>
      <c r="D2524" s="1" t="s">
        <v>5302</v>
      </c>
      <c r="E2524" s="1" t="s">
        <v>5375</v>
      </c>
      <c r="F2524" s="1" t="s">
        <v>16</v>
      </c>
      <c r="G2524" s="1" t="s">
        <v>23</v>
      </c>
      <c r="H2524" s="1" t="s">
        <v>18</v>
      </c>
      <c r="I2524" s="1" t="s">
        <v>59</v>
      </c>
      <c r="J2524" s="1">
        <v>88.0</v>
      </c>
      <c r="K2524" s="1">
        <v>31.0</v>
      </c>
      <c r="L2524" s="1">
        <v>0.0</v>
      </c>
    </row>
    <row r="2525">
      <c r="A2525" s="1">
        <v>5310023.0</v>
      </c>
      <c r="B2525" s="1" t="s">
        <v>5376</v>
      </c>
      <c r="C2525" s="1" t="s">
        <v>5247</v>
      </c>
      <c r="D2525" s="1" t="s">
        <v>5305</v>
      </c>
      <c r="E2525" s="1" t="s">
        <v>5377</v>
      </c>
      <c r="F2525" s="1" t="s">
        <v>16</v>
      </c>
      <c r="G2525" s="1" t="s">
        <v>23</v>
      </c>
      <c r="H2525" s="1" t="s">
        <v>18</v>
      </c>
      <c r="I2525" s="1" t="s">
        <v>249</v>
      </c>
      <c r="J2525" s="1">
        <v>54.0</v>
      </c>
      <c r="K2525" s="1">
        <v>21.0</v>
      </c>
      <c r="L2525" s="1">
        <v>105.0</v>
      </c>
    </row>
    <row r="2526">
      <c r="A2526" s="1">
        <v>5320002.0</v>
      </c>
      <c r="B2526" s="1" t="s">
        <v>5378</v>
      </c>
      <c r="C2526" s="1" t="s">
        <v>5247</v>
      </c>
      <c r="D2526" s="1" t="s">
        <v>5379</v>
      </c>
      <c r="E2526" s="1" t="s">
        <v>5380</v>
      </c>
      <c r="F2526" s="1" t="s">
        <v>16</v>
      </c>
      <c r="G2526" s="1" t="s">
        <v>23</v>
      </c>
      <c r="H2526" s="1" t="s">
        <v>18</v>
      </c>
      <c r="I2526" s="1" t="s">
        <v>40</v>
      </c>
      <c r="J2526" s="1">
        <v>58.0</v>
      </c>
      <c r="K2526" s="1">
        <v>15.0</v>
      </c>
      <c r="L2526" s="1">
        <v>61.0</v>
      </c>
    </row>
    <row r="2527">
      <c r="A2527" s="1">
        <v>5318002.0</v>
      </c>
      <c r="B2527" s="1" t="s">
        <v>5381</v>
      </c>
      <c r="C2527" s="1" t="s">
        <v>5247</v>
      </c>
      <c r="D2527" s="1" t="s">
        <v>5276</v>
      </c>
      <c r="E2527" s="1" t="s">
        <v>5382</v>
      </c>
      <c r="F2527" s="1" t="s">
        <v>16</v>
      </c>
      <c r="G2527" s="1" t="s">
        <v>17</v>
      </c>
      <c r="H2527" s="1" t="s">
        <v>28</v>
      </c>
      <c r="I2527" s="1" t="s">
        <v>40</v>
      </c>
      <c r="J2527" s="1">
        <v>103.0</v>
      </c>
      <c r="K2527" s="1">
        <v>16.0</v>
      </c>
      <c r="L2527" s="1">
        <v>138.0</v>
      </c>
    </row>
    <row r="2528">
      <c r="A2528" s="1">
        <v>5320013.0</v>
      </c>
      <c r="B2528" s="1" t="s">
        <v>5383</v>
      </c>
      <c r="C2528" s="1" t="s">
        <v>5247</v>
      </c>
      <c r="D2528" s="1" t="s">
        <v>5379</v>
      </c>
      <c r="E2528" s="1" t="s">
        <v>5384</v>
      </c>
      <c r="F2528" s="1" t="s">
        <v>16</v>
      </c>
      <c r="G2528" s="1" t="s">
        <v>1022</v>
      </c>
      <c r="H2528" s="1" t="s">
        <v>18</v>
      </c>
      <c r="I2528" s="1" t="s">
        <v>40</v>
      </c>
      <c r="J2528" s="1">
        <v>30.0</v>
      </c>
      <c r="K2528" s="1">
        <v>4.0</v>
      </c>
      <c r="L2528" s="1">
        <v>0.0</v>
      </c>
    </row>
    <row r="2529">
      <c r="A2529" s="1">
        <v>5303024.0</v>
      </c>
      <c r="B2529" s="1" t="s">
        <v>5385</v>
      </c>
      <c r="C2529" s="1" t="s">
        <v>5247</v>
      </c>
      <c r="D2529" s="1" t="s">
        <v>5386</v>
      </c>
      <c r="E2529" s="1" t="s">
        <v>5387</v>
      </c>
      <c r="F2529" s="1" t="s">
        <v>16</v>
      </c>
      <c r="G2529" s="1" t="s">
        <v>17</v>
      </c>
      <c r="H2529" s="1" t="s">
        <v>18</v>
      </c>
      <c r="I2529" s="1" t="s">
        <v>40</v>
      </c>
      <c r="J2529" s="1">
        <v>110.0</v>
      </c>
      <c r="K2529" s="1">
        <v>22.0</v>
      </c>
      <c r="L2529" s="1">
        <v>217.0</v>
      </c>
    </row>
    <row r="2530">
      <c r="A2530" s="1">
        <v>5316003.0</v>
      </c>
      <c r="B2530" s="1" t="s">
        <v>5388</v>
      </c>
      <c r="C2530" s="1" t="s">
        <v>5247</v>
      </c>
      <c r="D2530" s="1" t="s">
        <v>5389</v>
      </c>
      <c r="E2530" s="1" t="s">
        <v>5390</v>
      </c>
      <c r="F2530" s="1" t="s">
        <v>16</v>
      </c>
      <c r="G2530" s="1" t="s">
        <v>23</v>
      </c>
      <c r="H2530" s="1" t="s">
        <v>18</v>
      </c>
      <c r="I2530" s="1" t="s">
        <v>40</v>
      </c>
      <c r="J2530" s="1">
        <v>83.0</v>
      </c>
      <c r="K2530" s="1">
        <v>22.0</v>
      </c>
      <c r="L2530" s="1">
        <v>160.0</v>
      </c>
    </row>
    <row r="2531">
      <c r="A2531" s="1">
        <v>5307010.0</v>
      </c>
      <c r="B2531" s="1" t="s">
        <v>5391</v>
      </c>
      <c r="C2531" s="1" t="s">
        <v>5247</v>
      </c>
      <c r="D2531" s="1" t="s">
        <v>5330</v>
      </c>
      <c r="E2531" s="1" t="s">
        <v>5392</v>
      </c>
      <c r="F2531" s="1" t="s">
        <v>16</v>
      </c>
      <c r="G2531" s="1" t="s">
        <v>17</v>
      </c>
      <c r="H2531" s="1" t="s">
        <v>18</v>
      </c>
      <c r="I2531" s="1" t="s">
        <v>40</v>
      </c>
      <c r="J2531" s="1">
        <v>121.0</v>
      </c>
      <c r="K2531" s="1">
        <v>31.0</v>
      </c>
      <c r="L2531" s="1">
        <v>596.0</v>
      </c>
    </row>
    <row r="2532">
      <c r="A2532" s="1">
        <v>6102012.0</v>
      </c>
      <c r="B2532" s="1" t="s">
        <v>5393</v>
      </c>
      <c r="C2532" s="1" t="s">
        <v>5394</v>
      </c>
      <c r="D2532" s="1" t="s">
        <v>5395</v>
      </c>
      <c r="E2532" s="1" t="s">
        <v>5396</v>
      </c>
      <c r="F2532" s="1" t="s">
        <v>16</v>
      </c>
      <c r="G2532" s="1" t="s">
        <v>17</v>
      </c>
      <c r="H2532" s="1" t="s">
        <v>28</v>
      </c>
      <c r="I2532" s="1" t="s">
        <v>40</v>
      </c>
      <c r="J2532" s="1">
        <v>104.0</v>
      </c>
      <c r="K2532" s="1">
        <v>27.0</v>
      </c>
      <c r="L2532" s="1">
        <v>213.0</v>
      </c>
    </row>
    <row r="2533">
      <c r="A2533" s="1">
        <v>6172135.0</v>
      </c>
      <c r="B2533" s="1" t="s">
        <v>5397</v>
      </c>
      <c r="C2533" s="1" t="s">
        <v>5394</v>
      </c>
      <c r="D2533" s="1" t="s">
        <v>5398</v>
      </c>
      <c r="E2533" s="1" t="s">
        <v>5399</v>
      </c>
      <c r="F2533" s="1" t="s">
        <v>16</v>
      </c>
      <c r="G2533" s="1" t="s">
        <v>23</v>
      </c>
      <c r="H2533" s="1" t="s">
        <v>18</v>
      </c>
      <c r="I2533" s="1" t="s">
        <v>19</v>
      </c>
      <c r="J2533" s="1">
        <v>88.0</v>
      </c>
      <c r="K2533" s="1">
        <v>20.0</v>
      </c>
      <c r="L2533" s="1">
        <v>0.0</v>
      </c>
    </row>
    <row r="2534">
      <c r="A2534" s="1">
        <v>6109023.0</v>
      </c>
      <c r="B2534" s="1" t="s">
        <v>5400</v>
      </c>
      <c r="C2534" s="1" t="s">
        <v>5394</v>
      </c>
      <c r="D2534" s="1" t="s">
        <v>5401</v>
      </c>
      <c r="E2534" s="1" t="s">
        <v>5402</v>
      </c>
      <c r="F2534" s="1" t="s">
        <v>16</v>
      </c>
      <c r="G2534" s="1" t="s">
        <v>98</v>
      </c>
      <c r="H2534" s="1" t="s">
        <v>18</v>
      </c>
      <c r="I2534" s="1" t="s">
        <v>40</v>
      </c>
      <c r="J2534" s="1">
        <v>36.0</v>
      </c>
      <c r="K2534" s="1">
        <v>15.0</v>
      </c>
      <c r="L2534" s="1">
        <v>0.0</v>
      </c>
    </row>
    <row r="2535">
      <c r="A2535" s="1">
        <v>6112135.0</v>
      </c>
      <c r="B2535" s="1" t="s">
        <v>5403</v>
      </c>
      <c r="C2535" s="1" t="s">
        <v>5394</v>
      </c>
      <c r="D2535" s="1" t="s">
        <v>5404</v>
      </c>
      <c r="E2535" s="1" t="s">
        <v>5405</v>
      </c>
      <c r="F2535" s="1" t="s">
        <v>16</v>
      </c>
      <c r="G2535" s="1" t="s">
        <v>17</v>
      </c>
      <c r="H2535" s="1" t="s">
        <v>18</v>
      </c>
      <c r="I2535" s="1" t="s">
        <v>563</v>
      </c>
      <c r="J2535" s="1">
        <v>64.0</v>
      </c>
      <c r="K2535" s="1">
        <v>27.0</v>
      </c>
      <c r="L2535" s="1">
        <v>94.0</v>
      </c>
    </row>
    <row r="2536">
      <c r="A2536" s="1">
        <v>6112003.0</v>
      </c>
      <c r="B2536" s="1" t="s">
        <v>5406</v>
      </c>
      <c r="C2536" s="1" t="s">
        <v>5394</v>
      </c>
      <c r="D2536" s="1" t="s">
        <v>5404</v>
      </c>
      <c r="E2536" s="1" t="s">
        <v>5407</v>
      </c>
      <c r="F2536" s="1" t="s">
        <v>16</v>
      </c>
      <c r="G2536" s="1" t="s">
        <v>23</v>
      </c>
      <c r="H2536" s="1" t="s">
        <v>28</v>
      </c>
      <c r="I2536" s="1" t="s">
        <v>40</v>
      </c>
      <c r="J2536" s="1">
        <v>50.0</v>
      </c>
      <c r="K2536" s="1">
        <v>27.0</v>
      </c>
      <c r="L2536" s="1">
        <v>126.0</v>
      </c>
    </row>
    <row r="2537">
      <c r="A2537" s="1">
        <v>6171136.0</v>
      </c>
      <c r="B2537" s="1" t="s">
        <v>5408</v>
      </c>
      <c r="C2537" s="1" t="s">
        <v>5394</v>
      </c>
      <c r="D2537" s="1" t="s">
        <v>5409</v>
      </c>
      <c r="E2537" s="1" t="s">
        <v>5410</v>
      </c>
      <c r="F2537" s="1" t="s">
        <v>55</v>
      </c>
      <c r="G2537" s="1" t="s">
        <v>17</v>
      </c>
      <c r="H2537" s="1" t="s">
        <v>18</v>
      </c>
      <c r="I2537" s="1" t="s">
        <v>19</v>
      </c>
      <c r="J2537" s="1">
        <v>38.0</v>
      </c>
      <c r="K2537" s="1">
        <v>28.0</v>
      </c>
      <c r="L2537" s="1">
        <v>103.0</v>
      </c>
    </row>
    <row r="2538">
      <c r="A2538" s="1">
        <v>6101033.0</v>
      </c>
      <c r="B2538" s="1" t="s">
        <v>5411</v>
      </c>
      <c r="C2538" s="1" t="s">
        <v>5394</v>
      </c>
      <c r="D2538" s="1" t="s">
        <v>5412</v>
      </c>
      <c r="E2538" s="1" t="s">
        <v>5413</v>
      </c>
      <c r="F2538" s="1" t="s">
        <v>16</v>
      </c>
      <c r="G2538" s="1" t="s">
        <v>17</v>
      </c>
      <c r="H2538" s="1" t="s">
        <v>28</v>
      </c>
      <c r="I2538" s="1" t="s">
        <v>40</v>
      </c>
      <c r="J2538" s="1">
        <v>195.0</v>
      </c>
      <c r="K2538" s="1">
        <v>58.0</v>
      </c>
      <c r="L2538" s="1">
        <v>387.0</v>
      </c>
    </row>
    <row r="2539">
      <c r="A2539" s="1">
        <v>6171155.0</v>
      </c>
      <c r="B2539" s="1" t="s">
        <v>5414</v>
      </c>
      <c r="C2539" s="1" t="s">
        <v>5394</v>
      </c>
      <c r="D2539" s="1" t="s">
        <v>5409</v>
      </c>
      <c r="E2539" s="1" t="s">
        <v>5415</v>
      </c>
      <c r="F2539" s="1" t="s">
        <v>16</v>
      </c>
      <c r="G2539" s="1" t="s">
        <v>23</v>
      </c>
      <c r="H2539" s="1" t="s">
        <v>18</v>
      </c>
      <c r="I2539" s="1" t="s">
        <v>44</v>
      </c>
      <c r="J2539" s="1">
        <v>97.0</v>
      </c>
      <c r="K2539" s="1">
        <v>29.0</v>
      </c>
      <c r="L2539" s="1">
        <v>0.0</v>
      </c>
    </row>
    <row r="2540">
      <c r="A2540" s="1">
        <v>6109012.0</v>
      </c>
      <c r="B2540" s="1" t="s">
        <v>5416</v>
      </c>
      <c r="C2540" s="1" t="s">
        <v>5394</v>
      </c>
      <c r="D2540" s="1" t="s">
        <v>5401</v>
      </c>
      <c r="E2540" s="1" t="s">
        <v>5417</v>
      </c>
      <c r="F2540" s="1" t="s">
        <v>16</v>
      </c>
      <c r="G2540" s="1" t="s">
        <v>17</v>
      </c>
      <c r="H2540" s="1" t="s">
        <v>28</v>
      </c>
      <c r="I2540" s="1" t="s">
        <v>40</v>
      </c>
      <c r="J2540" s="1">
        <v>104.0</v>
      </c>
      <c r="K2540" s="1">
        <v>26.0</v>
      </c>
      <c r="L2540" s="1">
        <v>343.0</v>
      </c>
    </row>
    <row r="2541">
      <c r="A2541" s="1">
        <v>6171141.0</v>
      </c>
      <c r="B2541" s="1" t="s">
        <v>5418</v>
      </c>
      <c r="C2541" s="1" t="s">
        <v>5394</v>
      </c>
      <c r="D2541" s="1" t="s">
        <v>5409</v>
      </c>
      <c r="E2541" s="1" t="s">
        <v>5419</v>
      </c>
      <c r="F2541" s="1" t="s">
        <v>16</v>
      </c>
      <c r="G2541" s="1" t="s">
        <v>17</v>
      </c>
      <c r="H2541" s="1" t="s">
        <v>18</v>
      </c>
      <c r="I2541" s="1" t="s">
        <v>44</v>
      </c>
      <c r="J2541" s="1">
        <v>137.0</v>
      </c>
      <c r="K2541" s="1">
        <v>56.0</v>
      </c>
      <c r="L2541" s="1">
        <v>394.0</v>
      </c>
    </row>
    <row r="2542">
      <c r="A2542" s="1">
        <v>6104014.0</v>
      </c>
      <c r="B2542" s="1" t="s">
        <v>5420</v>
      </c>
      <c r="C2542" s="1" t="s">
        <v>5394</v>
      </c>
      <c r="D2542" s="1" t="s">
        <v>5421</v>
      </c>
      <c r="E2542" s="1" t="s">
        <v>5422</v>
      </c>
      <c r="F2542" s="1" t="s">
        <v>16</v>
      </c>
      <c r="G2542" s="1" t="s">
        <v>17</v>
      </c>
      <c r="H2542" s="1" t="s">
        <v>28</v>
      </c>
      <c r="I2542" s="1" t="s">
        <v>40</v>
      </c>
      <c r="J2542" s="1">
        <v>168.0</v>
      </c>
      <c r="K2542" s="1">
        <v>72.0</v>
      </c>
      <c r="L2542" s="1">
        <v>325.0</v>
      </c>
    </row>
    <row r="2543">
      <c r="A2543" s="1">
        <v>6106021.0</v>
      </c>
      <c r="B2543" s="1" t="s">
        <v>5423</v>
      </c>
      <c r="C2543" s="1" t="s">
        <v>5394</v>
      </c>
      <c r="D2543" s="1" t="s">
        <v>5424</v>
      </c>
      <c r="E2543" s="1" t="s">
        <v>5425</v>
      </c>
      <c r="F2543" s="1" t="s">
        <v>55</v>
      </c>
      <c r="G2543" s="1" t="s">
        <v>17</v>
      </c>
      <c r="H2543" s="1" t="s">
        <v>18</v>
      </c>
      <c r="I2543" s="1" t="s">
        <v>44</v>
      </c>
      <c r="J2543" s="1">
        <v>30.0</v>
      </c>
      <c r="K2543" s="1">
        <v>14.0</v>
      </c>
      <c r="L2543" s="1">
        <v>116.0</v>
      </c>
    </row>
    <row r="2544">
      <c r="A2544" s="1">
        <v>6110016.0</v>
      </c>
      <c r="B2544" s="1" t="s">
        <v>5426</v>
      </c>
      <c r="C2544" s="1" t="s">
        <v>5394</v>
      </c>
      <c r="D2544" s="1" t="s">
        <v>5427</v>
      </c>
      <c r="E2544" s="1" t="s">
        <v>5428</v>
      </c>
      <c r="F2544" s="1" t="s">
        <v>16</v>
      </c>
      <c r="G2544" s="1" t="s">
        <v>23</v>
      </c>
      <c r="H2544" s="1" t="s">
        <v>28</v>
      </c>
      <c r="I2544" s="1" t="s">
        <v>40</v>
      </c>
      <c r="J2544" s="1">
        <v>50.0</v>
      </c>
      <c r="K2544" s="1">
        <v>17.0</v>
      </c>
      <c r="L2544" s="1">
        <v>7.0</v>
      </c>
    </row>
    <row r="2545">
      <c r="A2545" s="1">
        <v>6102055.0</v>
      </c>
      <c r="B2545" s="1" t="s">
        <v>5429</v>
      </c>
      <c r="C2545" s="1" t="s">
        <v>5394</v>
      </c>
      <c r="D2545" s="1" t="s">
        <v>5395</v>
      </c>
      <c r="E2545" s="1" t="s">
        <v>5430</v>
      </c>
      <c r="F2545" s="1" t="s">
        <v>16</v>
      </c>
      <c r="G2545" s="1" t="s">
        <v>17</v>
      </c>
      <c r="H2545" s="1" t="s">
        <v>18</v>
      </c>
      <c r="I2545" s="1" t="s">
        <v>258</v>
      </c>
      <c r="J2545" s="1">
        <v>126.0</v>
      </c>
      <c r="K2545" s="1">
        <v>28.0</v>
      </c>
      <c r="L2545" s="1">
        <v>211.0</v>
      </c>
    </row>
    <row r="2546">
      <c r="A2546" s="1">
        <v>6171011.0</v>
      </c>
      <c r="B2546" s="1" t="s">
        <v>5431</v>
      </c>
      <c r="C2546" s="1" t="s">
        <v>5394</v>
      </c>
      <c r="D2546" s="1" t="s">
        <v>5409</v>
      </c>
      <c r="E2546" s="1" t="s">
        <v>5432</v>
      </c>
      <c r="F2546" s="1" t="s">
        <v>16</v>
      </c>
      <c r="G2546" s="1" t="s">
        <v>150</v>
      </c>
      <c r="H2546" s="1" t="s">
        <v>28</v>
      </c>
      <c r="I2546" s="1" t="s">
        <v>139</v>
      </c>
      <c r="J2546" s="1">
        <v>584.0</v>
      </c>
      <c r="K2546" s="1">
        <v>50.0</v>
      </c>
      <c r="L2546" s="1">
        <v>1241.0</v>
      </c>
    </row>
    <row r="2547">
      <c r="A2547" s="1">
        <v>6105028.0</v>
      </c>
      <c r="B2547" s="1" t="s">
        <v>5433</v>
      </c>
      <c r="C2547" s="1" t="s">
        <v>5394</v>
      </c>
      <c r="D2547" s="1" t="s">
        <v>5434</v>
      </c>
      <c r="E2547" s="1" t="s">
        <v>5435</v>
      </c>
      <c r="F2547" s="1" t="s">
        <v>16</v>
      </c>
      <c r="G2547" s="1" t="s">
        <v>23</v>
      </c>
      <c r="H2547" s="1" t="s">
        <v>18</v>
      </c>
      <c r="I2547" s="1" t="s">
        <v>44</v>
      </c>
      <c r="J2547" s="1">
        <v>53.0</v>
      </c>
      <c r="K2547" s="1">
        <v>21.0</v>
      </c>
      <c r="L2547" s="1">
        <v>111.0</v>
      </c>
    </row>
    <row r="2548">
      <c r="A2548" s="1">
        <v>6171156.0</v>
      </c>
      <c r="B2548" s="1" t="s">
        <v>5436</v>
      </c>
      <c r="C2548" s="1" t="s">
        <v>5394</v>
      </c>
      <c r="D2548" s="1" t="s">
        <v>5409</v>
      </c>
      <c r="E2548" s="1" t="s">
        <v>5437</v>
      </c>
      <c r="F2548" s="1" t="s">
        <v>16</v>
      </c>
      <c r="G2548" s="1" t="s">
        <v>23</v>
      </c>
      <c r="H2548" s="1" t="s">
        <v>18</v>
      </c>
      <c r="I2548" s="1" t="s">
        <v>29</v>
      </c>
      <c r="J2548" s="1">
        <v>50.0</v>
      </c>
      <c r="K2548" s="1">
        <v>16.0</v>
      </c>
      <c r="L2548" s="1">
        <v>0.0</v>
      </c>
    </row>
    <row r="2549">
      <c r="A2549" s="1">
        <v>6105031.0</v>
      </c>
      <c r="B2549" s="1" t="s">
        <v>5438</v>
      </c>
      <c r="C2549" s="1" t="s">
        <v>5394</v>
      </c>
      <c r="D2549" s="1" t="s">
        <v>5434</v>
      </c>
      <c r="E2549" s="1" t="s">
        <v>5439</v>
      </c>
      <c r="F2549" s="1" t="s">
        <v>16</v>
      </c>
      <c r="G2549" s="1" t="s">
        <v>23</v>
      </c>
      <c r="H2549" s="1" t="s">
        <v>18</v>
      </c>
      <c r="I2549" s="1" t="s">
        <v>40</v>
      </c>
      <c r="J2549" s="1">
        <v>54.0</v>
      </c>
      <c r="K2549" s="1">
        <v>13.0</v>
      </c>
      <c r="L2549" s="1">
        <v>80.0</v>
      </c>
    </row>
    <row r="2550">
      <c r="A2550" s="1">
        <v>6172002.0</v>
      </c>
      <c r="B2550" s="1" t="s">
        <v>5440</v>
      </c>
      <c r="C2550" s="1" t="s">
        <v>5394</v>
      </c>
      <c r="D2550" s="1" t="s">
        <v>5398</v>
      </c>
      <c r="E2550" s="1" t="s">
        <v>5441</v>
      </c>
      <c r="F2550" s="1" t="s">
        <v>55</v>
      </c>
      <c r="G2550" s="1" t="s">
        <v>17</v>
      </c>
      <c r="H2550" s="1" t="s">
        <v>18</v>
      </c>
      <c r="I2550" s="1" t="s">
        <v>19</v>
      </c>
      <c r="J2550" s="1">
        <v>29.0</v>
      </c>
      <c r="K2550" s="1">
        <v>9.0</v>
      </c>
      <c r="L2550" s="1">
        <v>55.0</v>
      </c>
    </row>
    <row r="2551">
      <c r="A2551" s="1">
        <v>6105026.0</v>
      </c>
      <c r="B2551" s="1" t="s">
        <v>5442</v>
      </c>
      <c r="C2551" s="1" t="s">
        <v>5394</v>
      </c>
      <c r="D2551" s="1" t="s">
        <v>5434</v>
      </c>
      <c r="E2551" s="1" t="s">
        <v>5443</v>
      </c>
      <c r="F2551" s="1" t="s">
        <v>16</v>
      </c>
      <c r="G2551" s="1" t="s">
        <v>17</v>
      </c>
      <c r="H2551" s="1" t="s">
        <v>18</v>
      </c>
      <c r="I2551" s="1" t="s">
        <v>44</v>
      </c>
      <c r="J2551" s="1">
        <v>100.0</v>
      </c>
      <c r="K2551" s="1">
        <v>24.0</v>
      </c>
      <c r="L2551" s="1">
        <v>109.0</v>
      </c>
    </row>
    <row r="2552">
      <c r="A2552" s="1">
        <v>6101137.0</v>
      </c>
      <c r="B2552" s="1" t="s">
        <v>5444</v>
      </c>
      <c r="C2552" s="1" t="s">
        <v>5394</v>
      </c>
      <c r="D2552" s="1" t="s">
        <v>5412</v>
      </c>
      <c r="E2552" s="1" t="s">
        <v>5445</v>
      </c>
      <c r="F2552" s="1" t="s">
        <v>16</v>
      </c>
      <c r="G2552" s="1" t="s">
        <v>23</v>
      </c>
      <c r="H2552" s="1" t="s">
        <v>18</v>
      </c>
      <c r="I2552" s="1" t="s">
        <v>40</v>
      </c>
      <c r="J2552" s="1">
        <v>32.0</v>
      </c>
      <c r="K2552" s="1">
        <v>18.0</v>
      </c>
      <c r="L2552" s="1">
        <v>91.0</v>
      </c>
    </row>
    <row r="2553">
      <c r="A2553" s="1">
        <v>6110015.0</v>
      </c>
      <c r="B2553" s="1" t="s">
        <v>5446</v>
      </c>
      <c r="C2553" s="1" t="s">
        <v>5394</v>
      </c>
      <c r="D2553" s="1" t="s">
        <v>5427</v>
      </c>
      <c r="E2553" s="1" t="s">
        <v>5447</v>
      </c>
      <c r="F2553" s="1" t="s">
        <v>16</v>
      </c>
      <c r="G2553" s="1" t="s">
        <v>23</v>
      </c>
      <c r="H2553" s="1" t="s">
        <v>18</v>
      </c>
      <c r="I2553" s="1" t="s">
        <v>44</v>
      </c>
      <c r="J2553" s="1">
        <v>56.0</v>
      </c>
      <c r="K2553" s="1">
        <v>33.0</v>
      </c>
      <c r="L2553" s="1">
        <v>75.0</v>
      </c>
    </row>
    <row r="2554">
      <c r="A2554" s="1">
        <v>6107038.0</v>
      </c>
      <c r="B2554" s="1" t="s">
        <v>5448</v>
      </c>
      <c r="C2554" s="1" t="s">
        <v>5394</v>
      </c>
      <c r="D2554" s="1" t="s">
        <v>5449</v>
      </c>
      <c r="E2554" s="1" t="s">
        <v>5450</v>
      </c>
      <c r="F2554" s="1" t="s">
        <v>174</v>
      </c>
      <c r="G2554" s="1" t="s">
        <v>17</v>
      </c>
      <c r="H2554" s="1" t="s">
        <v>18</v>
      </c>
      <c r="I2554" s="1" t="s">
        <v>40</v>
      </c>
      <c r="J2554" s="1">
        <v>36.0</v>
      </c>
      <c r="K2554" s="1">
        <v>25.0</v>
      </c>
      <c r="L2554" s="1">
        <v>0.0</v>
      </c>
    </row>
    <row r="2555">
      <c r="A2555" s="1">
        <v>6172113.0</v>
      </c>
      <c r="B2555" s="1" t="s">
        <v>5451</v>
      </c>
      <c r="C2555" s="1" t="s">
        <v>5394</v>
      </c>
      <c r="D2555" s="1" t="s">
        <v>5398</v>
      </c>
      <c r="E2555" s="1" t="s">
        <v>5452</v>
      </c>
      <c r="F2555" s="1" t="s">
        <v>16</v>
      </c>
      <c r="G2555" s="1" t="s">
        <v>17</v>
      </c>
      <c r="H2555" s="1" t="s">
        <v>18</v>
      </c>
      <c r="I2555" s="1" t="s">
        <v>249</v>
      </c>
      <c r="J2555" s="1">
        <v>194.0</v>
      </c>
      <c r="K2555" s="1">
        <v>32.0</v>
      </c>
      <c r="L2555" s="1">
        <v>416.0</v>
      </c>
    </row>
    <row r="2556">
      <c r="A2556" s="1">
        <v>6171033.0</v>
      </c>
      <c r="B2556" s="1" t="s">
        <v>5453</v>
      </c>
      <c r="C2556" s="1" t="s">
        <v>5394</v>
      </c>
      <c r="D2556" s="1" t="s">
        <v>5409</v>
      </c>
      <c r="E2556" s="1" t="s">
        <v>5454</v>
      </c>
      <c r="F2556" s="1" t="s">
        <v>16</v>
      </c>
      <c r="G2556" s="1" t="s">
        <v>27</v>
      </c>
      <c r="H2556" s="1" t="s">
        <v>18</v>
      </c>
      <c r="I2556" s="1" t="s">
        <v>59</v>
      </c>
      <c r="J2556" s="1">
        <v>240.0</v>
      </c>
      <c r="K2556" s="1">
        <v>79.0</v>
      </c>
      <c r="L2556" s="1">
        <v>1138.0</v>
      </c>
    </row>
    <row r="2557">
      <c r="A2557" s="1">
        <v>6107027.0</v>
      </c>
      <c r="B2557" s="1" t="s">
        <v>5455</v>
      </c>
      <c r="C2557" s="1" t="s">
        <v>5394</v>
      </c>
      <c r="D2557" s="1" t="s">
        <v>5449</v>
      </c>
      <c r="E2557" s="1" t="s">
        <v>5456</v>
      </c>
      <c r="F2557" s="1" t="s">
        <v>16</v>
      </c>
      <c r="G2557" s="1" t="s">
        <v>23</v>
      </c>
      <c r="H2557" s="1" t="s">
        <v>18</v>
      </c>
      <c r="I2557" s="1" t="s">
        <v>44</v>
      </c>
      <c r="J2557" s="1">
        <v>21.0</v>
      </c>
      <c r="K2557" s="1">
        <v>14.0</v>
      </c>
      <c r="L2557" s="1">
        <v>24.0</v>
      </c>
    </row>
    <row r="2558">
      <c r="A2558" s="1">
        <v>6106020.0</v>
      </c>
      <c r="B2558" s="1" t="s">
        <v>5457</v>
      </c>
      <c r="C2558" s="1" t="s">
        <v>5394</v>
      </c>
      <c r="D2558" s="1" t="s">
        <v>5424</v>
      </c>
      <c r="E2558" s="1" t="s">
        <v>5458</v>
      </c>
      <c r="F2558" s="1" t="s">
        <v>16</v>
      </c>
      <c r="G2558" s="1" t="s">
        <v>17</v>
      </c>
      <c r="H2558" s="1" t="s">
        <v>18</v>
      </c>
      <c r="I2558" s="1" t="s">
        <v>249</v>
      </c>
      <c r="J2558" s="1">
        <v>135.0</v>
      </c>
      <c r="K2558" s="1">
        <v>61.0</v>
      </c>
      <c r="L2558" s="1">
        <v>440.0</v>
      </c>
    </row>
    <row r="2559">
      <c r="A2559" s="1">
        <v>6112002.0</v>
      </c>
      <c r="B2559" s="1" t="s">
        <v>5459</v>
      </c>
      <c r="C2559" s="1" t="s">
        <v>5394</v>
      </c>
      <c r="D2559" s="1" t="s">
        <v>5404</v>
      </c>
      <c r="E2559" s="1" t="s">
        <v>5460</v>
      </c>
      <c r="F2559" s="1" t="s">
        <v>55</v>
      </c>
      <c r="G2559" s="1" t="s">
        <v>17</v>
      </c>
      <c r="H2559" s="1" t="s">
        <v>18</v>
      </c>
      <c r="I2559" s="1" t="s">
        <v>44</v>
      </c>
      <c r="J2559" s="1">
        <v>50.0</v>
      </c>
      <c r="K2559" s="1">
        <v>24.0</v>
      </c>
      <c r="L2559" s="1">
        <v>116.0</v>
      </c>
    </row>
    <row r="2560">
      <c r="A2560" s="1">
        <v>6107022.0</v>
      </c>
      <c r="B2560" s="1" t="s">
        <v>5461</v>
      </c>
      <c r="C2560" s="1" t="s">
        <v>5394</v>
      </c>
      <c r="D2560" s="1" t="s">
        <v>5449</v>
      </c>
      <c r="E2560" s="1" t="s">
        <v>5462</v>
      </c>
      <c r="F2560" s="1" t="s">
        <v>16</v>
      </c>
      <c r="G2560" s="1" t="s">
        <v>23</v>
      </c>
      <c r="H2560" s="1" t="s">
        <v>18</v>
      </c>
      <c r="I2560" s="1" t="s">
        <v>74</v>
      </c>
      <c r="J2560" s="1">
        <v>98.0</v>
      </c>
      <c r="K2560" s="1">
        <v>31.0</v>
      </c>
      <c r="L2560" s="1">
        <v>30.0</v>
      </c>
    </row>
    <row r="2561">
      <c r="A2561" s="1">
        <v>6171085.0</v>
      </c>
      <c r="B2561" s="1" t="s">
        <v>5463</v>
      </c>
      <c r="C2561" s="1" t="s">
        <v>5394</v>
      </c>
      <c r="D2561" s="1" t="s">
        <v>5409</v>
      </c>
      <c r="E2561" s="1" t="s">
        <v>5464</v>
      </c>
      <c r="F2561" s="1" t="s">
        <v>55</v>
      </c>
      <c r="G2561" s="1" t="s">
        <v>17</v>
      </c>
      <c r="H2561" s="1" t="s">
        <v>18</v>
      </c>
      <c r="I2561" s="1" t="s">
        <v>44</v>
      </c>
      <c r="J2561" s="1">
        <v>33.0</v>
      </c>
      <c r="K2561" s="1">
        <v>14.0</v>
      </c>
      <c r="L2561" s="1">
        <v>122.0</v>
      </c>
    </row>
    <row r="2562">
      <c r="A2562" s="1">
        <v>6101135.0</v>
      </c>
      <c r="B2562" s="1" t="s">
        <v>5465</v>
      </c>
      <c r="C2562" s="1" t="s">
        <v>5394</v>
      </c>
      <c r="D2562" s="1" t="s">
        <v>5412</v>
      </c>
      <c r="E2562" s="1" t="s">
        <v>5466</v>
      </c>
      <c r="F2562" s="1" t="s">
        <v>16</v>
      </c>
      <c r="G2562" s="1" t="s">
        <v>23</v>
      </c>
      <c r="H2562" s="1" t="s">
        <v>18</v>
      </c>
      <c r="I2562" s="1" t="s">
        <v>249</v>
      </c>
      <c r="J2562" s="1">
        <v>58.0</v>
      </c>
      <c r="K2562" s="1">
        <v>17.0</v>
      </c>
      <c r="L2562" s="1">
        <v>70.0</v>
      </c>
    </row>
    <row r="2563">
      <c r="A2563" s="1">
        <v>6171124.0</v>
      </c>
      <c r="B2563" s="1" t="s">
        <v>5467</v>
      </c>
      <c r="C2563" s="1" t="s">
        <v>5394</v>
      </c>
      <c r="D2563" s="1" t="s">
        <v>5409</v>
      </c>
      <c r="E2563" s="1" t="s">
        <v>5468</v>
      </c>
      <c r="F2563" s="1" t="s">
        <v>16</v>
      </c>
      <c r="G2563" s="1" t="s">
        <v>17</v>
      </c>
      <c r="H2563" s="1" t="s">
        <v>18</v>
      </c>
      <c r="I2563" s="1" t="s">
        <v>19</v>
      </c>
      <c r="J2563" s="1">
        <v>105.0</v>
      </c>
      <c r="K2563" s="1">
        <v>35.0</v>
      </c>
      <c r="L2563" s="1">
        <v>281.0</v>
      </c>
    </row>
    <row r="2564">
      <c r="A2564" s="1">
        <v>6101022.0</v>
      </c>
      <c r="B2564" s="1" t="s">
        <v>5469</v>
      </c>
      <c r="C2564" s="1" t="s">
        <v>5394</v>
      </c>
      <c r="D2564" s="1" t="s">
        <v>5412</v>
      </c>
      <c r="E2564" s="1" t="s">
        <v>5470</v>
      </c>
      <c r="F2564" s="1" t="s">
        <v>16</v>
      </c>
      <c r="G2564" s="1" t="s">
        <v>17</v>
      </c>
      <c r="H2564" s="1" t="s">
        <v>28</v>
      </c>
      <c r="I2564" s="1" t="s">
        <v>40</v>
      </c>
      <c r="J2564" s="1">
        <v>182.0</v>
      </c>
      <c r="K2564" s="1">
        <v>42.0</v>
      </c>
      <c r="L2564" s="1">
        <v>188.0</v>
      </c>
    </row>
    <row r="2565">
      <c r="A2565" s="1">
        <v>6171139.0</v>
      </c>
      <c r="B2565" s="1" t="s">
        <v>5471</v>
      </c>
      <c r="C2565" s="1" t="s">
        <v>5394</v>
      </c>
      <c r="D2565" s="1" t="s">
        <v>5409</v>
      </c>
      <c r="E2565" s="1" t="s">
        <v>5472</v>
      </c>
      <c r="F2565" s="1" t="s">
        <v>16</v>
      </c>
      <c r="G2565" s="1" t="s">
        <v>17</v>
      </c>
      <c r="H2565" s="1" t="s">
        <v>33</v>
      </c>
      <c r="I2565" s="1" t="s">
        <v>34</v>
      </c>
      <c r="J2565" s="1">
        <v>104.0</v>
      </c>
      <c r="K2565" s="1">
        <v>70.0</v>
      </c>
      <c r="L2565" s="1">
        <v>100.0</v>
      </c>
    </row>
    <row r="2566">
      <c r="A2566" s="1">
        <v>6108011.0</v>
      </c>
      <c r="B2566" s="1" t="s">
        <v>5473</v>
      </c>
      <c r="C2566" s="1" t="s">
        <v>5394</v>
      </c>
      <c r="D2566" s="1" t="s">
        <v>5474</v>
      </c>
      <c r="E2566" s="1" t="s">
        <v>5475</v>
      </c>
      <c r="F2566" s="1" t="s">
        <v>16</v>
      </c>
      <c r="G2566" s="1" t="s">
        <v>17</v>
      </c>
      <c r="H2566" s="1" t="s">
        <v>28</v>
      </c>
      <c r="I2566" s="1" t="s">
        <v>40</v>
      </c>
      <c r="J2566" s="1">
        <v>100.0</v>
      </c>
      <c r="K2566" s="1">
        <v>24.0</v>
      </c>
      <c r="L2566" s="1">
        <v>527.0</v>
      </c>
    </row>
    <row r="2567">
      <c r="A2567" s="1">
        <v>6171067.0</v>
      </c>
      <c r="B2567" s="1" t="s">
        <v>5476</v>
      </c>
      <c r="C2567" s="1" t="s">
        <v>5394</v>
      </c>
      <c r="D2567" s="1" t="s">
        <v>5409</v>
      </c>
      <c r="E2567" s="1" t="s">
        <v>5477</v>
      </c>
      <c r="F2567" s="1" t="s">
        <v>16</v>
      </c>
      <c r="G2567" s="1" t="s">
        <v>17</v>
      </c>
      <c r="H2567" s="1" t="s">
        <v>33</v>
      </c>
      <c r="I2567" s="1" t="s">
        <v>65</v>
      </c>
      <c r="J2567" s="1">
        <v>120.0</v>
      </c>
      <c r="K2567" s="1">
        <v>97.0</v>
      </c>
      <c r="L2567" s="1">
        <v>124.0</v>
      </c>
    </row>
    <row r="2568">
      <c r="A2568" s="1">
        <v>6103013.0</v>
      </c>
      <c r="B2568" s="1" t="s">
        <v>5478</v>
      </c>
      <c r="C2568" s="1" t="s">
        <v>5394</v>
      </c>
      <c r="D2568" s="1" t="s">
        <v>5479</v>
      </c>
      <c r="E2568" s="1" t="s">
        <v>5480</v>
      </c>
      <c r="F2568" s="1" t="s">
        <v>16</v>
      </c>
      <c r="G2568" s="1" t="s">
        <v>17</v>
      </c>
      <c r="H2568" s="1" t="s">
        <v>28</v>
      </c>
      <c r="I2568" s="1" t="s">
        <v>40</v>
      </c>
      <c r="J2568" s="1">
        <v>116.0</v>
      </c>
      <c r="K2568" s="1">
        <v>30.0</v>
      </c>
      <c r="L2568" s="1">
        <v>277.0</v>
      </c>
    </row>
    <row r="2569">
      <c r="A2569" s="1">
        <v>6171138.0</v>
      </c>
      <c r="B2569" s="1" t="s">
        <v>5481</v>
      </c>
      <c r="C2569" s="1" t="s">
        <v>5394</v>
      </c>
      <c r="D2569" s="1" t="s">
        <v>5409</v>
      </c>
      <c r="E2569" s="1" t="s">
        <v>5482</v>
      </c>
      <c r="F2569" s="1" t="s">
        <v>16</v>
      </c>
      <c r="G2569" s="1" t="s">
        <v>17</v>
      </c>
      <c r="H2569" s="1" t="s">
        <v>28</v>
      </c>
      <c r="I2569" s="1" t="s">
        <v>29</v>
      </c>
      <c r="J2569" s="1">
        <v>168.0</v>
      </c>
      <c r="K2569" s="1">
        <v>39.0</v>
      </c>
      <c r="L2569" s="1">
        <v>372.0</v>
      </c>
    </row>
    <row r="2570">
      <c r="A2570" s="1">
        <v>6172044.0</v>
      </c>
      <c r="B2570" s="1" t="s">
        <v>5483</v>
      </c>
      <c r="C2570" s="1" t="s">
        <v>5394</v>
      </c>
      <c r="D2570" s="1" t="s">
        <v>5398</v>
      </c>
      <c r="E2570" s="1" t="s">
        <v>5484</v>
      </c>
      <c r="F2570" s="1" t="s">
        <v>16</v>
      </c>
      <c r="G2570" s="1" t="s">
        <v>23</v>
      </c>
      <c r="H2570" s="1" t="s">
        <v>18</v>
      </c>
      <c r="I2570" s="1" t="s">
        <v>74</v>
      </c>
      <c r="J2570" s="1">
        <v>72.0</v>
      </c>
      <c r="K2570" s="1">
        <v>29.0</v>
      </c>
      <c r="L2570" s="1">
        <v>142.0</v>
      </c>
    </row>
    <row r="2571">
      <c r="A2571" s="1">
        <v>6110012.0</v>
      </c>
      <c r="B2571" s="1" t="s">
        <v>5485</v>
      </c>
      <c r="C2571" s="1" t="s">
        <v>5394</v>
      </c>
      <c r="D2571" s="1" t="s">
        <v>5427</v>
      </c>
      <c r="E2571" s="1" t="s">
        <v>5486</v>
      </c>
      <c r="F2571" s="1" t="s">
        <v>16</v>
      </c>
      <c r="G2571" s="1" t="s">
        <v>17</v>
      </c>
      <c r="H2571" s="1" t="s">
        <v>28</v>
      </c>
      <c r="I2571" s="1" t="s">
        <v>40</v>
      </c>
      <c r="J2571" s="1">
        <v>100.0</v>
      </c>
      <c r="K2571" s="1">
        <v>25.0</v>
      </c>
      <c r="L2571" s="1">
        <v>305.0</v>
      </c>
    </row>
    <row r="2572">
      <c r="A2572" s="1">
        <v>6110013.0</v>
      </c>
      <c r="B2572" s="1" t="s">
        <v>5487</v>
      </c>
      <c r="C2572" s="1" t="s">
        <v>5394</v>
      </c>
      <c r="D2572" s="1" t="s">
        <v>5427</v>
      </c>
      <c r="E2572" s="1" t="s">
        <v>5488</v>
      </c>
      <c r="F2572" s="1" t="s">
        <v>16</v>
      </c>
      <c r="G2572" s="1" t="s">
        <v>23</v>
      </c>
      <c r="H2572" s="1" t="s">
        <v>18</v>
      </c>
      <c r="I2572" s="1" t="s">
        <v>44</v>
      </c>
      <c r="J2572" s="1">
        <v>70.0</v>
      </c>
      <c r="K2572" s="1">
        <v>23.0</v>
      </c>
      <c r="L2572" s="1">
        <v>58.0</v>
      </c>
    </row>
    <row r="2573">
      <c r="A2573" s="1">
        <v>6108012.0</v>
      </c>
      <c r="B2573" s="1" t="s">
        <v>5489</v>
      </c>
      <c r="C2573" s="1" t="s">
        <v>5394</v>
      </c>
      <c r="D2573" s="1" t="s">
        <v>5474</v>
      </c>
      <c r="E2573" s="1" t="s">
        <v>5490</v>
      </c>
      <c r="F2573" s="1" t="s">
        <v>16</v>
      </c>
      <c r="G2573" s="1" t="s">
        <v>23</v>
      </c>
      <c r="H2573" s="1" t="s">
        <v>18</v>
      </c>
      <c r="I2573" s="1" t="s">
        <v>40</v>
      </c>
      <c r="J2573" s="1">
        <v>50.0</v>
      </c>
      <c r="K2573" s="1">
        <v>17.0</v>
      </c>
      <c r="L2573" s="1">
        <v>27.0</v>
      </c>
    </row>
    <row r="2574">
      <c r="A2574" s="1">
        <v>6105015.0</v>
      </c>
      <c r="B2574" s="1" t="s">
        <v>5491</v>
      </c>
      <c r="C2574" s="1" t="s">
        <v>5394</v>
      </c>
      <c r="D2574" s="1" t="s">
        <v>5434</v>
      </c>
      <c r="E2574" s="1" t="s">
        <v>5492</v>
      </c>
      <c r="F2574" s="1" t="s">
        <v>16</v>
      </c>
      <c r="G2574" s="1" t="s">
        <v>17</v>
      </c>
      <c r="H2574" s="1" t="s">
        <v>28</v>
      </c>
      <c r="I2574" s="1" t="s">
        <v>40</v>
      </c>
      <c r="J2574" s="1">
        <v>170.0</v>
      </c>
      <c r="K2574" s="1">
        <v>30.0</v>
      </c>
      <c r="L2574" s="1">
        <v>716.0</v>
      </c>
    </row>
    <row r="2575">
      <c r="A2575" s="1">
        <v>6107025.0</v>
      </c>
      <c r="B2575" s="1" t="s">
        <v>5493</v>
      </c>
      <c r="C2575" s="1" t="s">
        <v>5394</v>
      </c>
      <c r="D2575" s="1" t="s">
        <v>5449</v>
      </c>
      <c r="E2575" s="1" t="s">
        <v>5494</v>
      </c>
      <c r="F2575" s="1" t="s">
        <v>16</v>
      </c>
      <c r="G2575" s="1" t="s">
        <v>23</v>
      </c>
      <c r="H2575" s="1" t="s">
        <v>18</v>
      </c>
      <c r="I2575" s="1" t="s">
        <v>44</v>
      </c>
      <c r="J2575" s="1">
        <v>52.0</v>
      </c>
      <c r="K2575" s="1">
        <v>34.0</v>
      </c>
      <c r="L2575" s="1">
        <v>31.0</v>
      </c>
    </row>
    <row r="2576">
      <c r="A2576" s="1">
        <v>6107024.0</v>
      </c>
      <c r="B2576" s="1" t="s">
        <v>5495</v>
      </c>
      <c r="C2576" s="1" t="s">
        <v>5394</v>
      </c>
      <c r="D2576" s="1" t="s">
        <v>5449</v>
      </c>
      <c r="E2576" s="1" t="s">
        <v>5496</v>
      </c>
      <c r="F2576" s="1" t="s">
        <v>55</v>
      </c>
      <c r="G2576" s="1" t="s">
        <v>17</v>
      </c>
      <c r="H2576" s="1" t="s">
        <v>18</v>
      </c>
      <c r="I2576" s="1" t="s">
        <v>44</v>
      </c>
      <c r="J2576" s="1">
        <v>27.0</v>
      </c>
      <c r="K2576" s="1">
        <v>28.0</v>
      </c>
      <c r="L2576" s="1">
        <v>33.0</v>
      </c>
    </row>
    <row r="2577">
      <c r="A2577" s="1">
        <v>6172066.0</v>
      </c>
      <c r="B2577" s="1" t="s">
        <v>5497</v>
      </c>
      <c r="C2577" s="1" t="s">
        <v>5394</v>
      </c>
      <c r="D2577" s="1" t="s">
        <v>5398</v>
      </c>
      <c r="E2577" s="1" t="s">
        <v>5498</v>
      </c>
      <c r="F2577" s="1" t="s">
        <v>174</v>
      </c>
      <c r="G2577" s="1" t="s">
        <v>27</v>
      </c>
      <c r="H2577" s="1" t="s">
        <v>28</v>
      </c>
      <c r="I2577" s="1" t="s">
        <v>139</v>
      </c>
      <c r="J2577" s="1">
        <v>700.0</v>
      </c>
      <c r="K2577" s="1">
        <v>24.0</v>
      </c>
      <c r="L2577" s="1">
        <v>379.0</v>
      </c>
    </row>
    <row r="2578">
      <c r="A2578" s="1">
        <v>6171022.0</v>
      </c>
      <c r="B2578" s="1" t="s">
        <v>5499</v>
      </c>
      <c r="C2578" s="1" t="s">
        <v>5394</v>
      </c>
      <c r="D2578" s="1" t="s">
        <v>5404</v>
      </c>
      <c r="E2578" s="1" t="s">
        <v>5500</v>
      </c>
      <c r="F2578" s="1" t="s">
        <v>16</v>
      </c>
      <c r="G2578" s="1" t="s">
        <v>17</v>
      </c>
      <c r="H2578" s="1" t="s">
        <v>33</v>
      </c>
      <c r="I2578" s="1" t="s">
        <v>74</v>
      </c>
      <c r="J2578" s="1">
        <v>175.0</v>
      </c>
      <c r="K2578" s="1">
        <v>31.0</v>
      </c>
      <c r="L2578" s="1">
        <v>19.0</v>
      </c>
    </row>
    <row r="2579">
      <c r="A2579" s="1">
        <v>6111002.0</v>
      </c>
      <c r="B2579" s="1" t="s">
        <v>5501</v>
      </c>
      <c r="C2579" s="1" t="s">
        <v>5394</v>
      </c>
      <c r="D2579" s="1" t="s">
        <v>5502</v>
      </c>
      <c r="E2579" s="1" t="s">
        <v>5503</v>
      </c>
      <c r="F2579" s="1" t="s">
        <v>16</v>
      </c>
      <c r="G2579" s="1" t="s">
        <v>17</v>
      </c>
      <c r="H2579" s="1" t="s">
        <v>28</v>
      </c>
      <c r="I2579" s="1" t="s">
        <v>40</v>
      </c>
      <c r="J2579" s="1">
        <v>103.0</v>
      </c>
      <c r="K2579" s="1">
        <v>24.0</v>
      </c>
      <c r="L2579" s="1">
        <v>210.0</v>
      </c>
    </row>
    <row r="2580">
      <c r="A2580" s="1">
        <v>6106016.0</v>
      </c>
      <c r="B2580" s="1" t="s">
        <v>5504</v>
      </c>
      <c r="C2580" s="1" t="s">
        <v>5394</v>
      </c>
      <c r="D2580" s="1" t="s">
        <v>5424</v>
      </c>
      <c r="E2580" s="1" t="s">
        <v>5505</v>
      </c>
      <c r="F2580" s="1" t="s">
        <v>16</v>
      </c>
      <c r="G2580" s="1" t="s">
        <v>17</v>
      </c>
      <c r="H2580" s="1" t="s">
        <v>28</v>
      </c>
      <c r="I2580" s="1" t="s">
        <v>40</v>
      </c>
      <c r="J2580" s="1">
        <v>200.0</v>
      </c>
      <c r="K2580" s="1">
        <v>69.0</v>
      </c>
      <c r="L2580" s="1">
        <v>419.0</v>
      </c>
    </row>
    <row r="2581">
      <c r="A2581" s="1">
        <v>6108014.0</v>
      </c>
      <c r="B2581" s="1" t="s">
        <v>5506</v>
      </c>
      <c r="C2581" s="1" t="s">
        <v>5394</v>
      </c>
      <c r="D2581" s="1" t="s">
        <v>5474</v>
      </c>
      <c r="E2581" s="1" t="s">
        <v>5507</v>
      </c>
      <c r="F2581" s="1" t="s">
        <v>16</v>
      </c>
      <c r="G2581" s="1" t="s">
        <v>23</v>
      </c>
      <c r="H2581" s="1" t="s">
        <v>18</v>
      </c>
      <c r="I2581" s="1" t="s">
        <v>40</v>
      </c>
      <c r="J2581" s="1">
        <v>49.0</v>
      </c>
      <c r="K2581" s="1">
        <v>25.0</v>
      </c>
      <c r="L2581" s="1">
        <v>63.0</v>
      </c>
    </row>
    <row r="2582">
      <c r="A2582" s="1">
        <v>6107026.0</v>
      </c>
      <c r="B2582" s="1" t="s">
        <v>5508</v>
      </c>
      <c r="C2582" s="1" t="s">
        <v>5394</v>
      </c>
      <c r="D2582" s="1" t="s">
        <v>5449</v>
      </c>
      <c r="E2582" s="1" t="s">
        <v>5509</v>
      </c>
      <c r="F2582" s="1" t="s">
        <v>16</v>
      </c>
      <c r="G2582" s="1" t="s">
        <v>23</v>
      </c>
      <c r="H2582" s="1" t="s">
        <v>28</v>
      </c>
      <c r="I2582" s="1" t="s">
        <v>40</v>
      </c>
      <c r="J2582" s="1">
        <v>26.0</v>
      </c>
      <c r="K2582" s="1">
        <v>16.0</v>
      </c>
      <c r="L2582" s="1">
        <v>52.0</v>
      </c>
    </row>
    <row r="2583">
      <c r="A2583" s="1">
        <v>6172124.0</v>
      </c>
      <c r="B2583" s="1" t="s">
        <v>5510</v>
      </c>
      <c r="C2583" s="1" t="s">
        <v>5394</v>
      </c>
      <c r="D2583" s="1" t="s">
        <v>5398</v>
      </c>
      <c r="E2583" s="1" t="s">
        <v>5511</v>
      </c>
      <c r="F2583" s="1" t="s">
        <v>16</v>
      </c>
      <c r="G2583" s="1" t="s">
        <v>17</v>
      </c>
      <c r="H2583" s="1" t="s">
        <v>18</v>
      </c>
      <c r="I2583" s="1" t="s">
        <v>44</v>
      </c>
      <c r="J2583" s="1">
        <v>170.0</v>
      </c>
      <c r="K2583" s="1">
        <v>35.0</v>
      </c>
      <c r="L2583" s="1">
        <v>399.0</v>
      </c>
    </row>
    <row r="2584">
      <c r="A2584" s="1">
        <v>6103024.0</v>
      </c>
      <c r="B2584" s="1" t="s">
        <v>5512</v>
      </c>
      <c r="C2584" s="1" t="s">
        <v>5394</v>
      </c>
      <c r="D2584" s="1" t="s">
        <v>5479</v>
      </c>
      <c r="E2584" s="1" t="s">
        <v>5513</v>
      </c>
      <c r="F2584" s="1" t="s">
        <v>16</v>
      </c>
      <c r="G2584" s="1" t="s">
        <v>98</v>
      </c>
      <c r="H2584" s="1" t="s">
        <v>18</v>
      </c>
      <c r="I2584" s="1" t="s">
        <v>40</v>
      </c>
      <c r="J2584" s="1">
        <v>63.0</v>
      </c>
      <c r="K2584" s="1">
        <v>14.0</v>
      </c>
      <c r="L2584" s="1">
        <v>0.0</v>
      </c>
    </row>
    <row r="2585">
      <c r="A2585" s="1">
        <v>6171140.0</v>
      </c>
      <c r="B2585" s="1" t="s">
        <v>5514</v>
      </c>
      <c r="C2585" s="1" t="s">
        <v>5394</v>
      </c>
      <c r="D2585" s="1" t="s">
        <v>5409</v>
      </c>
      <c r="E2585" s="1" t="s">
        <v>5515</v>
      </c>
      <c r="F2585" s="1" t="s">
        <v>16</v>
      </c>
      <c r="G2585" s="1" t="s">
        <v>23</v>
      </c>
      <c r="H2585" s="1" t="s">
        <v>18</v>
      </c>
      <c r="I2585" s="1" t="s">
        <v>19</v>
      </c>
      <c r="J2585" s="1">
        <v>77.0</v>
      </c>
      <c r="K2585" s="1">
        <v>53.0</v>
      </c>
      <c r="L2585" s="1">
        <v>173.0</v>
      </c>
    </row>
    <row r="2586">
      <c r="A2586" s="1">
        <v>6171113.0</v>
      </c>
      <c r="B2586" s="1" t="s">
        <v>5516</v>
      </c>
      <c r="C2586" s="1" t="s">
        <v>5394</v>
      </c>
      <c r="D2586" s="1" t="s">
        <v>5409</v>
      </c>
      <c r="E2586" s="1" t="s">
        <v>5517</v>
      </c>
      <c r="F2586" s="1" t="s">
        <v>16</v>
      </c>
      <c r="G2586" s="1" t="s">
        <v>17</v>
      </c>
      <c r="H2586" s="1" t="s">
        <v>18</v>
      </c>
      <c r="I2586" s="1" t="s">
        <v>684</v>
      </c>
      <c r="J2586" s="1">
        <v>129.0</v>
      </c>
      <c r="K2586" s="1">
        <v>22.0</v>
      </c>
      <c r="L2586" s="1">
        <v>187.0</v>
      </c>
    </row>
    <row r="2587">
      <c r="A2587" s="1">
        <v>6172011.0</v>
      </c>
      <c r="B2587" s="1" t="s">
        <v>5518</v>
      </c>
      <c r="C2587" s="1" t="s">
        <v>5394</v>
      </c>
      <c r="D2587" s="1" t="s">
        <v>5398</v>
      </c>
      <c r="E2587" s="1" t="s">
        <v>5519</v>
      </c>
      <c r="F2587" s="1" t="s">
        <v>16</v>
      </c>
      <c r="G2587" s="1" t="s">
        <v>27</v>
      </c>
      <c r="H2587" s="1" t="s">
        <v>28</v>
      </c>
      <c r="I2587" s="1" t="s">
        <v>29</v>
      </c>
      <c r="J2587" s="1">
        <v>236.0</v>
      </c>
      <c r="K2587" s="1">
        <v>53.0</v>
      </c>
      <c r="L2587" s="1">
        <v>657.0</v>
      </c>
    </row>
    <row r="2588">
      <c r="A2588" s="1">
        <v>6171078.0</v>
      </c>
      <c r="B2588" s="1" t="s">
        <v>5520</v>
      </c>
      <c r="C2588" s="1" t="s">
        <v>5394</v>
      </c>
      <c r="D2588" s="1" t="s">
        <v>5409</v>
      </c>
      <c r="E2588" s="1" t="s">
        <v>5521</v>
      </c>
      <c r="F2588" s="1" t="s">
        <v>16</v>
      </c>
      <c r="G2588" s="1" t="s">
        <v>23</v>
      </c>
      <c r="H2588" s="1" t="s">
        <v>18</v>
      </c>
      <c r="I2588" s="1" t="s">
        <v>19</v>
      </c>
      <c r="J2588" s="1">
        <v>57.0</v>
      </c>
      <c r="K2588" s="1">
        <v>23.0</v>
      </c>
      <c r="L2588" s="1">
        <v>154.0</v>
      </c>
    </row>
    <row r="2589">
      <c r="A2589" s="1">
        <v>6107010.0</v>
      </c>
      <c r="B2589" s="1" t="s">
        <v>5522</v>
      </c>
      <c r="C2589" s="1" t="s">
        <v>5394</v>
      </c>
      <c r="D2589" s="1" t="s">
        <v>5449</v>
      </c>
      <c r="E2589" s="1" t="s">
        <v>5523</v>
      </c>
      <c r="F2589" s="1" t="s">
        <v>16</v>
      </c>
      <c r="G2589" s="1" t="s">
        <v>27</v>
      </c>
      <c r="H2589" s="1" t="s">
        <v>28</v>
      </c>
      <c r="I2589" s="1" t="s">
        <v>40</v>
      </c>
      <c r="J2589" s="1">
        <v>204.0</v>
      </c>
      <c r="K2589" s="1">
        <v>140.0</v>
      </c>
      <c r="L2589" s="1">
        <v>455.0</v>
      </c>
    </row>
    <row r="2590">
      <c r="A2590" s="1">
        <v>6271028.0</v>
      </c>
      <c r="B2590" s="1" t="s">
        <v>5524</v>
      </c>
      <c r="C2590" s="1" t="s">
        <v>5525</v>
      </c>
      <c r="D2590" s="1" t="s">
        <v>5526</v>
      </c>
      <c r="E2590" s="1" t="s">
        <v>5527</v>
      </c>
      <c r="F2590" s="1" t="s">
        <v>55</v>
      </c>
      <c r="G2590" s="1" t="s">
        <v>17</v>
      </c>
      <c r="H2590" s="1" t="s">
        <v>18</v>
      </c>
      <c r="I2590" s="1" t="s">
        <v>19</v>
      </c>
      <c r="J2590" s="1">
        <v>45.0</v>
      </c>
      <c r="K2590" s="1">
        <v>26.0</v>
      </c>
      <c r="L2590" s="1">
        <v>81.0</v>
      </c>
    </row>
    <row r="2591">
      <c r="A2591" s="1">
        <v>6271080.0</v>
      </c>
      <c r="B2591" s="1" t="s">
        <v>5528</v>
      </c>
      <c r="C2591" s="1" t="s">
        <v>5525</v>
      </c>
      <c r="D2591" s="1" t="s">
        <v>5526</v>
      </c>
      <c r="E2591" s="1" t="s">
        <v>5529</v>
      </c>
      <c r="F2591" s="1" t="s">
        <v>16</v>
      </c>
      <c r="G2591" s="1" t="s">
        <v>23</v>
      </c>
      <c r="H2591" s="1" t="s">
        <v>18</v>
      </c>
      <c r="I2591" s="1" t="s">
        <v>19</v>
      </c>
      <c r="J2591" s="1">
        <v>51.0</v>
      </c>
      <c r="K2591" s="1">
        <v>47.0</v>
      </c>
      <c r="L2591" s="1">
        <v>0.0</v>
      </c>
    </row>
    <row r="2592">
      <c r="A2592" s="1">
        <v>6271024.0</v>
      </c>
      <c r="B2592" s="1" t="s">
        <v>5530</v>
      </c>
      <c r="C2592" s="1" t="s">
        <v>5525</v>
      </c>
      <c r="D2592" s="1" t="s">
        <v>5526</v>
      </c>
      <c r="E2592" s="1" t="s">
        <v>5531</v>
      </c>
      <c r="F2592" s="1" t="s">
        <v>16</v>
      </c>
      <c r="G2592" s="1" t="s">
        <v>17</v>
      </c>
      <c r="H2592" s="1" t="s">
        <v>18</v>
      </c>
      <c r="I2592" s="1" t="s">
        <v>684</v>
      </c>
      <c r="J2592" s="1">
        <v>104.0</v>
      </c>
      <c r="K2592" s="1">
        <v>39.0</v>
      </c>
      <c r="L2592" s="1">
        <v>261.0</v>
      </c>
    </row>
    <row r="2593">
      <c r="A2593" s="1">
        <v>6213022.0</v>
      </c>
      <c r="B2593" s="1" t="s">
        <v>5532</v>
      </c>
      <c r="C2593" s="1" t="s">
        <v>5525</v>
      </c>
      <c r="D2593" s="1" t="s">
        <v>5533</v>
      </c>
      <c r="E2593" s="1" t="s">
        <v>5534</v>
      </c>
      <c r="F2593" s="1" t="s">
        <v>16</v>
      </c>
      <c r="G2593" s="1" t="s">
        <v>17</v>
      </c>
      <c r="H2593" s="1" t="s">
        <v>28</v>
      </c>
      <c r="I2593" s="1" t="s">
        <v>40</v>
      </c>
      <c r="J2593" s="1">
        <v>155.0</v>
      </c>
      <c r="K2593" s="1">
        <v>35.0</v>
      </c>
      <c r="L2593" s="1">
        <v>344.0</v>
      </c>
    </row>
    <row r="2594">
      <c r="A2594" s="1">
        <v>6202013.0</v>
      </c>
      <c r="B2594" s="1" t="s">
        <v>5535</v>
      </c>
      <c r="C2594" s="1" t="s">
        <v>5525</v>
      </c>
      <c r="D2594" s="1" t="s">
        <v>5536</v>
      </c>
      <c r="E2594" s="1" t="s">
        <v>5537</v>
      </c>
      <c r="F2594" s="1" t="s">
        <v>16</v>
      </c>
      <c r="G2594" s="1" t="s">
        <v>27</v>
      </c>
      <c r="H2594" s="1" t="s">
        <v>28</v>
      </c>
      <c r="I2594" s="1" t="s">
        <v>40</v>
      </c>
      <c r="J2594" s="1">
        <v>302.0</v>
      </c>
      <c r="K2594" s="1">
        <v>89.0</v>
      </c>
      <c r="L2594" s="1">
        <v>695.0</v>
      </c>
    </row>
    <row r="2595">
      <c r="A2595" s="1">
        <v>6207012.0</v>
      </c>
      <c r="B2595" s="1" t="s">
        <v>5538</v>
      </c>
      <c r="C2595" s="1" t="s">
        <v>5525</v>
      </c>
      <c r="D2595" s="1" t="s">
        <v>5539</v>
      </c>
      <c r="E2595" s="1" t="s">
        <v>5540</v>
      </c>
      <c r="F2595" s="1" t="s">
        <v>16</v>
      </c>
      <c r="G2595" s="1" t="s">
        <v>17</v>
      </c>
      <c r="H2595" s="1" t="s">
        <v>28</v>
      </c>
      <c r="I2595" s="1" t="s">
        <v>40</v>
      </c>
      <c r="J2595" s="1">
        <v>150.0</v>
      </c>
      <c r="K2595" s="1">
        <v>23.0</v>
      </c>
      <c r="L2595" s="1">
        <v>193.0</v>
      </c>
    </row>
    <row r="2596">
      <c r="A2596" s="1">
        <v>6203015.0</v>
      </c>
      <c r="B2596" s="1" t="s">
        <v>5541</v>
      </c>
      <c r="C2596" s="1" t="s">
        <v>5525</v>
      </c>
      <c r="D2596" s="1" t="s">
        <v>5542</v>
      </c>
      <c r="E2596" s="1" t="s">
        <v>5543</v>
      </c>
      <c r="F2596" s="1" t="s">
        <v>16</v>
      </c>
      <c r="G2596" s="1" t="s">
        <v>17</v>
      </c>
      <c r="H2596" s="1" t="s">
        <v>28</v>
      </c>
      <c r="I2596" s="1" t="s">
        <v>40</v>
      </c>
      <c r="J2596" s="1">
        <v>175.0</v>
      </c>
      <c r="K2596" s="1">
        <v>32.0</v>
      </c>
      <c r="L2596" s="1">
        <v>568.0</v>
      </c>
    </row>
    <row r="2597">
      <c r="A2597" s="1">
        <v>6210015.0</v>
      </c>
      <c r="B2597" s="1" t="s">
        <v>5544</v>
      </c>
      <c r="C2597" s="1" t="s">
        <v>5525</v>
      </c>
      <c r="D2597" s="1" t="s">
        <v>5545</v>
      </c>
      <c r="E2597" s="1" t="s">
        <v>5546</v>
      </c>
      <c r="F2597" s="1" t="s">
        <v>16</v>
      </c>
      <c r="G2597" s="1" t="s">
        <v>17</v>
      </c>
      <c r="H2597" s="1" t="s">
        <v>28</v>
      </c>
      <c r="I2597" s="1" t="s">
        <v>40</v>
      </c>
      <c r="J2597" s="1">
        <v>145.0</v>
      </c>
      <c r="K2597" s="1">
        <v>19.0</v>
      </c>
      <c r="L2597" s="1">
        <v>193.0</v>
      </c>
    </row>
    <row r="2598">
      <c r="A2598" s="1">
        <v>6201027.0</v>
      </c>
      <c r="B2598" s="1" t="s">
        <v>5547</v>
      </c>
      <c r="C2598" s="1" t="s">
        <v>5525</v>
      </c>
      <c r="D2598" s="1" t="s">
        <v>5548</v>
      </c>
      <c r="E2598" s="1" t="s">
        <v>5549</v>
      </c>
      <c r="F2598" s="1" t="s">
        <v>16</v>
      </c>
      <c r="G2598" s="1" t="s">
        <v>98</v>
      </c>
      <c r="H2598" s="1" t="s">
        <v>18</v>
      </c>
      <c r="I2598" s="1" t="s">
        <v>40</v>
      </c>
      <c r="J2598" s="1">
        <v>30.0</v>
      </c>
      <c r="K2598" s="1">
        <v>16.0</v>
      </c>
      <c r="L2598" s="1">
        <v>0.0</v>
      </c>
    </row>
    <row r="2599">
      <c r="A2599" s="1">
        <v>6204016.0</v>
      </c>
      <c r="B2599" s="1" t="s">
        <v>5550</v>
      </c>
      <c r="C2599" s="1" t="s">
        <v>5525</v>
      </c>
      <c r="D2599" s="1" t="s">
        <v>5551</v>
      </c>
      <c r="E2599" s="1" t="s">
        <v>5552</v>
      </c>
      <c r="F2599" s="1" t="s">
        <v>16</v>
      </c>
      <c r="G2599" s="1" t="s">
        <v>17</v>
      </c>
      <c r="H2599" s="1" t="s">
        <v>28</v>
      </c>
      <c r="I2599" s="1" t="s">
        <v>40</v>
      </c>
      <c r="J2599" s="1">
        <v>147.0</v>
      </c>
      <c r="K2599" s="1">
        <v>33.0</v>
      </c>
      <c r="L2599" s="1">
        <v>313.0</v>
      </c>
    </row>
    <row r="2600">
      <c r="A2600" s="1">
        <v>6271026.0</v>
      </c>
      <c r="B2600" s="1" t="s">
        <v>5553</v>
      </c>
      <c r="C2600" s="1" t="s">
        <v>5525</v>
      </c>
      <c r="D2600" s="1" t="s">
        <v>5526</v>
      </c>
      <c r="E2600" s="1" t="s">
        <v>5554</v>
      </c>
      <c r="F2600" s="1" t="s">
        <v>16</v>
      </c>
      <c r="G2600" s="1" t="s">
        <v>17</v>
      </c>
      <c r="H2600" s="1" t="s">
        <v>28</v>
      </c>
      <c r="I2600" s="1" t="s">
        <v>29</v>
      </c>
      <c r="J2600" s="1">
        <v>107.0</v>
      </c>
      <c r="K2600" s="1">
        <v>27.0</v>
      </c>
      <c r="L2600" s="1">
        <v>360.0</v>
      </c>
    </row>
    <row r="2601">
      <c r="A2601" s="1">
        <v>6271068.0</v>
      </c>
      <c r="B2601" s="1" t="s">
        <v>5555</v>
      </c>
      <c r="C2601" s="1" t="s">
        <v>5525</v>
      </c>
      <c r="D2601" s="1" t="s">
        <v>5545</v>
      </c>
      <c r="E2601" s="1" t="s">
        <v>5556</v>
      </c>
      <c r="F2601" s="1" t="s">
        <v>174</v>
      </c>
      <c r="G2601" s="1" t="s">
        <v>27</v>
      </c>
      <c r="H2601" s="1" t="s">
        <v>28</v>
      </c>
      <c r="I2601" s="1" t="s">
        <v>139</v>
      </c>
      <c r="J2601" s="1">
        <v>84.0</v>
      </c>
      <c r="K2601" s="1">
        <v>36.0</v>
      </c>
      <c r="L2601" s="1">
        <v>87.0</v>
      </c>
    </row>
    <row r="2602">
      <c r="A2602" s="1">
        <v>6271023.0</v>
      </c>
      <c r="B2602" s="1" t="s">
        <v>5557</v>
      </c>
      <c r="C2602" s="1" t="s">
        <v>5525</v>
      </c>
      <c r="D2602" s="1" t="s">
        <v>5526</v>
      </c>
      <c r="E2602" s="1" t="s">
        <v>5558</v>
      </c>
      <c r="F2602" s="1" t="s">
        <v>16</v>
      </c>
      <c r="G2602" s="1" t="s">
        <v>23</v>
      </c>
      <c r="H2602" s="1" t="s">
        <v>18</v>
      </c>
      <c r="I2602" s="1" t="s">
        <v>74</v>
      </c>
      <c r="J2602" s="1">
        <v>60.0</v>
      </c>
      <c r="K2602" s="1">
        <v>28.0</v>
      </c>
      <c r="L2602" s="1">
        <v>50.0</v>
      </c>
    </row>
    <row r="2603">
      <c r="A2603" s="1">
        <v>6271029.0</v>
      </c>
      <c r="B2603" s="1" t="s">
        <v>4926</v>
      </c>
      <c r="C2603" s="1" t="s">
        <v>5525</v>
      </c>
      <c r="D2603" s="1" t="s">
        <v>5526</v>
      </c>
      <c r="E2603" s="1" t="s">
        <v>5559</v>
      </c>
      <c r="F2603" s="1" t="s">
        <v>16</v>
      </c>
      <c r="G2603" s="1" t="s">
        <v>17</v>
      </c>
      <c r="H2603" s="1" t="s">
        <v>18</v>
      </c>
      <c r="I2603" s="1" t="s">
        <v>19</v>
      </c>
      <c r="J2603" s="1">
        <v>51.0</v>
      </c>
      <c r="K2603" s="1">
        <v>37.0</v>
      </c>
      <c r="L2603" s="1">
        <v>138.0</v>
      </c>
    </row>
    <row r="2604">
      <c r="A2604" s="1">
        <v>6201016.0</v>
      </c>
      <c r="B2604" s="1" t="s">
        <v>5560</v>
      </c>
      <c r="C2604" s="1" t="s">
        <v>5525</v>
      </c>
      <c r="D2604" s="1" t="s">
        <v>5548</v>
      </c>
      <c r="E2604" s="1" t="s">
        <v>5561</v>
      </c>
      <c r="F2604" s="1" t="s">
        <v>16</v>
      </c>
      <c r="G2604" s="1" t="s">
        <v>23</v>
      </c>
      <c r="H2604" s="1" t="s">
        <v>18</v>
      </c>
      <c r="I2604" s="1" t="s">
        <v>19</v>
      </c>
      <c r="J2604" s="1">
        <v>54.0</v>
      </c>
      <c r="K2604" s="1">
        <v>29.0</v>
      </c>
      <c r="L2604" s="1">
        <v>99.0</v>
      </c>
    </row>
    <row r="2605">
      <c r="A2605" s="1">
        <v>6205011.0</v>
      </c>
      <c r="B2605" s="1" t="s">
        <v>5562</v>
      </c>
      <c r="C2605" s="1" t="s">
        <v>5525</v>
      </c>
      <c r="D2605" s="1" t="s">
        <v>5563</v>
      </c>
      <c r="E2605" s="1" t="s">
        <v>5564</v>
      </c>
      <c r="F2605" s="1" t="s">
        <v>16</v>
      </c>
      <c r="G2605" s="1" t="s">
        <v>17</v>
      </c>
      <c r="H2605" s="1" t="s">
        <v>28</v>
      </c>
      <c r="I2605" s="1" t="s">
        <v>40</v>
      </c>
      <c r="J2605" s="1">
        <v>147.0</v>
      </c>
      <c r="K2605" s="1">
        <v>30.0</v>
      </c>
      <c r="L2605" s="1">
        <v>455.0</v>
      </c>
    </row>
    <row r="2606">
      <c r="A2606" s="1">
        <v>6211016.0</v>
      </c>
      <c r="B2606" s="1" t="s">
        <v>5565</v>
      </c>
      <c r="C2606" s="1" t="s">
        <v>5525</v>
      </c>
      <c r="D2606" s="1" t="s">
        <v>5566</v>
      </c>
      <c r="E2606" s="1" t="s">
        <v>5567</v>
      </c>
      <c r="F2606" s="1" t="s">
        <v>16</v>
      </c>
      <c r="G2606" s="1" t="s">
        <v>98</v>
      </c>
      <c r="H2606" s="1" t="s">
        <v>18</v>
      </c>
      <c r="I2606" s="1" t="s">
        <v>40</v>
      </c>
      <c r="J2606" s="1">
        <v>0.0</v>
      </c>
      <c r="K2606" s="1">
        <v>7.0</v>
      </c>
      <c r="L2606" s="1">
        <v>0.0</v>
      </c>
    </row>
    <row r="2607">
      <c r="A2607" s="1">
        <v>6201012.0</v>
      </c>
      <c r="B2607" s="1" t="s">
        <v>5568</v>
      </c>
      <c r="C2607" s="1" t="s">
        <v>5525</v>
      </c>
      <c r="D2607" s="1" t="s">
        <v>5548</v>
      </c>
      <c r="E2607" s="1" t="s">
        <v>5569</v>
      </c>
      <c r="F2607" s="1" t="s">
        <v>16</v>
      </c>
      <c r="G2607" s="1" t="s">
        <v>27</v>
      </c>
      <c r="H2607" s="1" t="s">
        <v>28</v>
      </c>
      <c r="I2607" s="1" t="s">
        <v>40</v>
      </c>
      <c r="J2607" s="1">
        <v>235.0</v>
      </c>
      <c r="K2607" s="1">
        <v>119.0</v>
      </c>
      <c r="L2607" s="1">
        <v>254.0</v>
      </c>
    </row>
    <row r="2608">
      <c r="A2608" s="1">
        <v>6207033.0</v>
      </c>
      <c r="B2608" s="1" t="s">
        <v>5570</v>
      </c>
      <c r="C2608" s="1" t="s">
        <v>5525</v>
      </c>
      <c r="D2608" s="1" t="s">
        <v>5571</v>
      </c>
      <c r="E2608" s="1" t="s">
        <v>5572</v>
      </c>
      <c r="F2608" s="1" t="s">
        <v>16</v>
      </c>
      <c r="G2608" s="1" t="s">
        <v>17</v>
      </c>
      <c r="H2608" s="1" t="s">
        <v>28</v>
      </c>
      <c r="I2608" s="1" t="s">
        <v>40</v>
      </c>
      <c r="J2608" s="1">
        <v>104.0</v>
      </c>
      <c r="K2608" s="1">
        <v>32.0</v>
      </c>
      <c r="L2608" s="1">
        <v>334.0</v>
      </c>
    </row>
    <row r="2609">
      <c r="A2609" s="1">
        <v>6209024.0</v>
      </c>
      <c r="B2609" s="1" t="s">
        <v>5573</v>
      </c>
      <c r="C2609" s="1" t="s">
        <v>5525</v>
      </c>
      <c r="D2609" s="1" t="s">
        <v>5574</v>
      </c>
      <c r="E2609" s="1" t="s">
        <v>5575</v>
      </c>
      <c r="F2609" s="1" t="s">
        <v>16</v>
      </c>
      <c r="G2609" s="1" t="s">
        <v>17</v>
      </c>
      <c r="H2609" s="1" t="s">
        <v>28</v>
      </c>
      <c r="I2609" s="1" t="s">
        <v>40</v>
      </c>
      <c r="J2609" s="1">
        <v>117.0</v>
      </c>
      <c r="K2609" s="1">
        <v>30.0</v>
      </c>
      <c r="L2609" s="1">
        <v>148.0</v>
      </c>
    </row>
    <row r="2610">
      <c r="A2610" s="1">
        <v>6271025.0</v>
      </c>
      <c r="B2610" s="1" t="s">
        <v>5576</v>
      </c>
      <c r="C2610" s="1" t="s">
        <v>5525</v>
      </c>
      <c r="D2610" s="1" t="s">
        <v>5526</v>
      </c>
      <c r="E2610" s="1" t="s">
        <v>5577</v>
      </c>
      <c r="F2610" s="1" t="s">
        <v>16</v>
      </c>
      <c r="G2610" s="1" t="s">
        <v>17</v>
      </c>
      <c r="H2610" s="1" t="s">
        <v>33</v>
      </c>
      <c r="I2610" s="1" t="s">
        <v>65</v>
      </c>
      <c r="J2610" s="1">
        <v>101.0</v>
      </c>
      <c r="K2610" s="1">
        <v>68.0</v>
      </c>
      <c r="L2610" s="1">
        <v>199.0</v>
      </c>
    </row>
    <row r="2611">
      <c r="A2611" s="1">
        <v>6208014.0</v>
      </c>
      <c r="B2611" s="1" t="s">
        <v>5578</v>
      </c>
      <c r="C2611" s="1" t="s">
        <v>5525</v>
      </c>
      <c r="D2611" s="1" t="s">
        <v>5579</v>
      </c>
      <c r="E2611" s="1" t="s">
        <v>5580</v>
      </c>
      <c r="F2611" s="1" t="s">
        <v>16</v>
      </c>
      <c r="G2611" s="1" t="s">
        <v>17</v>
      </c>
      <c r="H2611" s="1" t="s">
        <v>28</v>
      </c>
      <c r="I2611" s="1" t="s">
        <v>40</v>
      </c>
      <c r="J2611" s="1">
        <v>105.0</v>
      </c>
      <c r="K2611" s="1">
        <v>43.0</v>
      </c>
      <c r="L2611" s="1">
        <v>337.0</v>
      </c>
    </row>
    <row r="2612">
      <c r="A2612" s="1">
        <v>6271030.0</v>
      </c>
      <c r="B2612" s="1" t="s">
        <v>5581</v>
      </c>
      <c r="C2612" s="1" t="s">
        <v>5525</v>
      </c>
      <c r="D2612" s="1" t="s">
        <v>5526</v>
      </c>
      <c r="E2612" s="1" t="s">
        <v>5582</v>
      </c>
      <c r="F2612" s="1" t="s">
        <v>16</v>
      </c>
      <c r="G2612" s="1" t="s">
        <v>17</v>
      </c>
      <c r="H2612" s="1" t="s">
        <v>18</v>
      </c>
      <c r="I2612" s="1" t="s">
        <v>44</v>
      </c>
      <c r="J2612" s="1">
        <v>102.0</v>
      </c>
      <c r="K2612" s="1">
        <v>51.0</v>
      </c>
      <c r="L2612" s="1">
        <v>190.0</v>
      </c>
    </row>
    <row r="2613">
      <c r="A2613" s="1">
        <v>6201013.0</v>
      </c>
      <c r="B2613" s="1" t="s">
        <v>5583</v>
      </c>
      <c r="C2613" s="1" t="s">
        <v>5525</v>
      </c>
      <c r="D2613" s="1" t="s">
        <v>5548</v>
      </c>
      <c r="E2613" s="1" t="s">
        <v>5584</v>
      </c>
      <c r="F2613" s="1" t="s">
        <v>16</v>
      </c>
      <c r="G2613" s="1" t="s">
        <v>23</v>
      </c>
      <c r="H2613" s="1" t="s">
        <v>18</v>
      </c>
      <c r="I2613" s="1" t="s">
        <v>44</v>
      </c>
      <c r="J2613" s="1">
        <v>52.0</v>
      </c>
      <c r="K2613" s="1">
        <v>46.0</v>
      </c>
      <c r="L2613" s="1">
        <v>48.0</v>
      </c>
    </row>
    <row r="2614">
      <c r="A2614" s="1">
        <v>6211026.0</v>
      </c>
      <c r="B2614" s="1" t="s">
        <v>5585</v>
      </c>
      <c r="C2614" s="1" t="s">
        <v>5525</v>
      </c>
      <c r="D2614" s="1" t="s">
        <v>5566</v>
      </c>
      <c r="E2614" s="1" t="s">
        <v>5586</v>
      </c>
      <c r="F2614" s="1" t="s">
        <v>16</v>
      </c>
      <c r="G2614" s="1" t="s">
        <v>17</v>
      </c>
      <c r="H2614" s="1" t="s">
        <v>28</v>
      </c>
      <c r="I2614" s="1" t="s">
        <v>40</v>
      </c>
      <c r="J2614" s="1">
        <v>96.0</v>
      </c>
      <c r="K2614" s="1">
        <v>28.0</v>
      </c>
      <c r="L2614" s="1">
        <v>283.0</v>
      </c>
    </row>
    <row r="2615">
      <c r="A2615" s="1">
        <v>6202025.0</v>
      </c>
      <c r="B2615" s="1" t="s">
        <v>5587</v>
      </c>
      <c r="C2615" s="1" t="s">
        <v>5525</v>
      </c>
      <c r="D2615" s="1" t="s">
        <v>5536</v>
      </c>
      <c r="E2615" s="1" t="s">
        <v>5588</v>
      </c>
      <c r="F2615" s="1" t="s">
        <v>16</v>
      </c>
      <c r="G2615" s="1" t="s">
        <v>98</v>
      </c>
      <c r="H2615" s="1" t="s">
        <v>28</v>
      </c>
      <c r="I2615" s="1" t="s">
        <v>40</v>
      </c>
      <c r="J2615" s="1">
        <v>0.0</v>
      </c>
      <c r="K2615" s="1">
        <v>10.0</v>
      </c>
      <c r="L2615" s="1">
        <v>38.0</v>
      </c>
    </row>
    <row r="2616">
      <c r="A2616" s="1">
        <v>6209035.0</v>
      </c>
      <c r="B2616" s="1" t="s">
        <v>5589</v>
      </c>
      <c r="C2616" s="1" t="s">
        <v>5525</v>
      </c>
      <c r="D2616" s="1" t="s">
        <v>5574</v>
      </c>
      <c r="E2616" s="1" t="s">
        <v>5590</v>
      </c>
      <c r="F2616" s="1" t="s">
        <v>16</v>
      </c>
      <c r="G2616" s="1" t="s">
        <v>98</v>
      </c>
      <c r="H2616" s="1" t="s">
        <v>18</v>
      </c>
      <c r="I2616" s="1" t="s">
        <v>40</v>
      </c>
      <c r="J2616" s="1">
        <v>40.0</v>
      </c>
      <c r="K2616" s="1">
        <v>4.0</v>
      </c>
      <c r="L2616" s="1">
        <v>0.0</v>
      </c>
    </row>
    <row r="2617">
      <c r="A2617" s="1">
        <v>6271012.0</v>
      </c>
      <c r="B2617" s="1" t="s">
        <v>5591</v>
      </c>
      <c r="C2617" s="1" t="s">
        <v>5525</v>
      </c>
      <c r="D2617" s="1" t="s">
        <v>5526</v>
      </c>
      <c r="E2617" s="1" t="s">
        <v>5592</v>
      </c>
      <c r="F2617" s="1" t="s">
        <v>16</v>
      </c>
      <c r="G2617" s="1" t="s">
        <v>27</v>
      </c>
      <c r="H2617" s="1" t="s">
        <v>28</v>
      </c>
      <c r="I2617" s="1" t="s">
        <v>139</v>
      </c>
      <c r="J2617" s="1">
        <v>365.0</v>
      </c>
      <c r="K2617" s="1">
        <v>55.0</v>
      </c>
      <c r="L2617" s="1">
        <v>1372.0</v>
      </c>
    </row>
    <row r="2618">
      <c r="A2618" s="1">
        <v>6271027.0</v>
      </c>
      <c r="B2618" s="1" t="s">
        <v>5593</v>
      </c>
      <c r="C2618" s="1" t="s">
        <v>5525</v>
      </c>
      <c r="D2618" s="1" t="s">
        <v>5526</v>
      </c>
      <c r="E2618" s="1" t="s">
        <v>5594</v>
      </c>
      <c r="F2618" s="1" t="s">
        <v>16</v>
      </c>
      <c r="G2618" s="1" t="s">
        <v>17</v>
      </c>
      <c r="H2618" s="1" t="s">
        <v>18</v>
      </c>
      <c r="I2618" s="1" t="s">
        <v>44</v>
      </c>
      <c r="J2618" s="1">
        <v>116.0</v>
      </c>
      <c r="K2618" s="1">
        <v>58.0</v>
      </c>
      <c r="L2618" s="1">
        <v>255.0</v>
      </c>
    </row>
    <row r="2619">
      <c r="A2619" s="1">
        <v>6271031.0</v>
      </c>
      <c r="B2619" s="1" t="s">
        <v>5595</v>
      </c>
      <c r="C2619" s="1" t="s">
        <v>5525</v>
      </c>
      <c r="D2619" s="1" t="s">
        <v>5526</v>
      </c>
      <c r="E2619" s="1" t="s">
        <v>5596</v>
      </c>
      <c r="F2619" s="1" t="s">
        <v>55</v>
      </c>
      <c r="G2619" s="1" t="s">
        <v>17</v>
      </c>
      <c r="H2619" s="1" t="s">
        <v>18</v>
      </c>
      <c r="I2619" s="1" t="s">
        <v>19</v>
      </c>
      <c r="J2619" s="1">
        <v>76.0</v>
      </c>
      <c r="K2619" s="1">
        <v>17.0</v>
      </c>
      <c r="L2619" s="1">
        <v>33.0</v>
      </c>
    </row>
    <row r="2620">
      <c r="A2620" s="1">
        <v>6208013.0</v>
      </c>
      <c r="B2620" s="1" t="s">
        <v>5597</v>
      </c>
      <c r="C2620" s="1" t="s">
        <v>5525</v>
      </c>
      <c r="D2620" s="1" t="s">
        <v>5579</v>
      </c>
      <c r="E2620" s="1" t="s">
        <v>5598</v>
      </c>
      <c r="F2620" s="1" t="s">
        <v>16</v>
      </c>
      <c r="G2620" s="1" t="s">
        <v>17</v>
      </c>
      <c r="H2620" s="1" t="s">
        <v>28</v>
      </c>
      <c r="I2620" s="1" t="s">
        <v>139</v>
      </c>
      <c r="J2620" s="1">
        <v>101.0</v>
      </c>
      <c r="K2620" s="1">
        <v>21.0</v>
      </c>
      <c r="L2620" s="1">
        <v>237.0</v>
      </c>
    </row>
    <row r="2621">
      <c r="A2621" s="1">
        <v>6212020.0</v>
      </c>
      <c r="B2621" s="1" t="s">
        <v>5599</v>
      </c>
      <c r="C2621" s="1" t="s">
        <v>5525</v>
      </c>
      <c r="D2621" s="1" t="s">
        <v>5600</v>
      </c>
      <c r="E2621" s="1" t="s">
        <v>5601</v>
      </c>
      <c r="F2621" s="1" t="s">
        <v>16</v>
      </c>
      <c r="G2621" s="1" t="s">
        <v>17</v>
      </c>
      <c r="H2621" s="1" t="s">
        <v>28</v>
      </c>
      <c r="I2621" s="1" t="s">
        <v>40</v>
      </c>
      <c r="J2621" s="1">
        <v>122.0</v>
      </c>
      <c r="K2621" s="1">
        <v>61.0</v>
      </c>
      <c r="L2621" s="1">
        <v>304.0</v>
      </c>
    </row>
    <row r="2622">
      <c r="A2622" s="1">
        <v>6301013.0</v>
      </c>
      <c r="B2622" s="1" t="s">
        <v>5602</v>
      </c>
      <c r="C2622" s="1" t="s">
        <v>5603</v>
      </c>
      <c r="D2622" s="1" t="s">
        <v>5604</v>
      </c>
      <c r="E2622" s="1" t="s">
        <v>5605</v>
      </c>
      <c r="F2622" s="1" t="s">
        <v>16</v>
      </c>
      <c r="G2622" s="1" t="s">
        <v>17</v>
      </c>
      <c r="H2622" s="1" t="s">
        <v>28</v>
      </c>
      <c r="I2622" s="1" t="s">
        <v>40</v>
      </c>
      <c r="J2622" s="1">
        <v>185.0</v>
      </c>
      <c r="K2622" s="1">
        <v>43.0</v>
      </c>
      <c r="L2622" s="1">
        <v>503.0</v>
      </c>
    </row>
    <row r="2623">
      <c r="A2623" s="1">
        <v>6371072.0</v>
      </c>
      <c r="B2623" s="1" t="s">
        <v>5606</v>
      </c>
      <c r="C2623" s="1" t="s">
        <v>5603</v>
      </c>
      <c r="D2623" s="1" t="s">
        <v>5607</v>
      </c>
      <c r="E2623" s="1" t="s">
        <v>5608</v>
      </c>
      <c r="F2623" s="1" t="s">
        <v>16</v>
      </c>
      <c r="G2623" s="1" t="s">
        <v>27</v>
      </c>
      <c r="H2623" s="1" t="s">
        <v>28</v>
      </c>
      <c r="I2623" s="1" t="s">
        <v>139</v>
      </c>
      <c r="J2623" s="1">
        <v>264.0</v>
      </c>
      <c r="K2623" s="1">
        <v>130.0</v>
      </c>
      <c r="L2623" s="1">
        <v>208.0</v>
      </c>
    </row>
    <row r="2624">
      <c r="A2624" s="1">
        <v>6301015.0</v>
      </c>
      <c r="B2624" s="1" t="s">
        <v>5609</v>
      </c>
      <c r="C2624" s="1" t="s">
        <v>5603</v>
      </c>
      <c r="D2624" s="1" t="s">
        <v>5604</v>
      </c>
      <c r="E2624" s="1" t="s">
        <v>5610</v>
      </c>
      <c r="F2624" s="1" t="s">
        <v>16</v>
      </c>
      <c r="G2624" s="1" t="s">
        <v>17</v>
      </c>
      <c r="H2624" s="1" t="s">
        <v>18</v>
      </c>
      <c r="I2624" s="1" t="s">
        <v>19</v>
      </c>
      <c r="J2624" s="1">
        <v>156.0</v>
      </c>
      <c r="K2624" s="1">
        <v>34.0</v>
      </c>
      <c r="L2624" s="1">
        <v>229.0</v>
      </c>
    </row>
    <row r="2625">
      <c r="A2625" s="1">
        <v>6306025.0</v>
      </c>
      <c r="B2625" s="1" t="s">
        <v>5423</v>
      </c>
      <c r="C2625" s="1" t="s">
        <v>5603</v>
      </c>
      <c r="D2625" s="1" t="s">
        <v>5611</v>
      </c>
      <c r="E2625" s="1" t="s">
        <v>5612</v>
      </c>
      <c r="F2625" s="1" t="s">
        <v>55</v>
      </c>
      <c r="G2625" s="1" t="s">
        <v>17</v>
      </c>
      <c r="H2625" s="1" t="s">
        <v>18</v>
      </c>
      <c r="I2625" s="1" t="s">
        <v>19</v>
      </c>
      <c r="J2625" s="1">
        <v>26.0</v>
      </c>
      <c r="K2625" s="1">
        <v>27.0</v>
      </c>
      <c r="L2625" s="1">
        <v>23.0</v>
      </c>
    </row>
    <row r="2626">
      <c r="A2626" s="1">
        <v>6303027.0</v>
      </c>
      <c r="B2626" s="1" t="s">
        <v>5613</v>
      </c>
      <c r="C2626" s="1" t="s">
        <v>5603</v>
      </c>
      <c r="D2626" s="1" t="s">
        <v>5614</v>
      </c>
      <c r="E2626" s="1" t="s">
        <v>5615</v>
      </c>
      <c r="F2626" s="1" t="s">
        <v>16</v>
      </c>
      <c r="G2626" s="1" t="s">
        <v>17</v>
      </c>
      <c r="H2626" s="1" t="s">
        <v>18</v>
      </c>
      <c r="I2626" s="1" t="s">
        <v>19</v>
      </c>
      <c r="J2626" s="1">
        <v>108.0</v>
      </c>
      <c r="K2626" s="1">
        <v>42.0</v>
      </c>
      <c r="L2626" s="1">
        <v>256.0</v>
      </c>
    </row>
    <row r="2627">
      <c r="A2627" s="1">
        <v>6303030.0</v>
      </c>
      <c r="B2627" s="1" t="s">
        <v>5616</v>
      </c>
      <c r="C2627" s="1" t="s">
        <v>5603</v>
      </c>
      <c r="D2627" s="1" t="s">
        <v>5614</v>
      </c>
      <c r="E2627" s="1" t="s">
        <v>5617</v>
      </c>
      <c r="F2627" s="1" t="s">
        <v>16</v>
      </c>
      <c r="G2627" s="1" t="s">
        <v>23</v>
      </c>
      <c r="H2627" s="1" t="s">
        <v>18</v>
      </c>
      <c r="I2627" s="1" t="s">
        <v>44</v>
      </c>
      <c r="J2627" s="1">
        <v>47.0</v>
      </c>
      <c r="K2627" s="1">
        <v>29.0</v>
      </c>
      <c r="L2627" s="1">
        <v>50.0</v>
      </c>
    </row>
    <row r="2628">
      <c r="A2628" s="1">
        <v>6302026.0</v>
      </c>
      <c r="B2628" s="1" t="s">
        <v>5618</v>
      </c>
      <c r="C2628" s="1" t="s">
        <v>5603</v>
      </c>
      <c r="D2628" s="1" t="s">
        <v>5619</v>
      </c>
      <c r="E2628" s="1" t="s">
        <v>5620</v>
      </c>
      <c r="F2628" s="1" t="s">
        <v>16</v>
      </c>
      <c r="G2628" s="1" t="s">
        <v>23</v>
      </c>
      <c r="H2628" s="1" t="s">
        <v>18</v>
      </c>
      <c r="I2628" s="1" t="s">
        <v>40</v>
      </c>
      <c r="J2628" s="1">
        <v>52.0</v>
      </c>
      <c r="K2628" s="1">
        <v>20.0</v>
      </c>
      <c r="L2628" s="1">
        <v>0.0</v>
      </c>
    </row>
    <row r="2629">
      <c r="A2629" s="1">
        <v>6309014.0</v>
      </c>
      <c r="B2629" s="1" t="s">
        <v>5621</v>
      </c>
      <c r="C2629" s="1" t="s">
        <v>5603</v>
      </c>
      <c r="D2629" s="1" t="s">
        <v>5622</v>
      </c>
      <c r="E2629" s="1" t="s">
        <v>5623</v>
      </c>
      <c r="F2629" s="1" t="s">
        <v>16</v>
      </c>
      <c r="G2629" s="1" t="s">
        <v>17</v>
      </c>
      <c r="H2629" s="1" t="s">
        <v>28</v>
      </c>
      <c r="I2629" s="1" t="s">
        <v>40</v>
      </c>
      <c r="J2629" s="1">
        <v>169.0</v>
      </c>
      <c r="K2629" s="1">
        <v>27.0</v>
      </c>
      <c r="L2629" s="1">
        <v>36.0</v>
      </c>
    </row>
    <row r="2630">
      <c r="A2630" s="1">
        <v>6371155.0</v>
      </c>
      <c r="B2630" s="1" t="s">
        <v>918</v>
      </c>
      <c r="C2630" s="1" t="s">
        <v>5603</v>
      </c>
      <c r="D2630" s="1" t="s">
        <v>5607</v>
      </c>
      <c r="E2630" s="1" t="s">
        <v>5624</v>
      </c>
      <c r="F2630" s="1" t="s">
        <v>55</v>
      </c>
      <c r="G2630" s="1" t="s">
        <v>17</v>
      </c>
      <c r="H2630" s="1" t="s">
        <v>18</v>
      </c>
      <c r="I2630" s="1" t="s">
        <v>19</v>
      </c>
      <c r="J2630" s="1">
        <v>33.0</v>
      </c>
      <c r="K2630" s="1">
        <v>17.0</v>
      </c>
      <c r="L2630" s="1">
        <v>100.0</v>
      </c>
    </row>
    <row r="2631">
      <c r="A2631" s="1">
        <v>6311016.0</v>
      </c>
      <c r="B2631" s="1" t="s">
        <v>5625</v>
      </c>
      <c r="C2631" s="1" t="s">
        <v>5603</v>
      </c>
      <c r="D2631" s="1" t="s">
        <v>5626</v>
      </c>
      <c r="E2631" s="1" t="s">
        <v>5627</v>
      </c>
      <c r="F2631" s="1" t="s">
        <v>16</v>
      </c>
      <c r="G2631" s="1" t="s">
        <v>17</v>
      </c>
      <c r="H2631" s="1" t="s">
        <v>28</v>
      </c>
      <c r="I2631" s="1" t="s">
        <v>40</v>
      </c>
      <c r="J2631" s="1">
        <v>122.0</v>
      </c>
      <c r="K2631" s="1">
        <v>31.0</v>
      </c>
      <c r="L2631" s="1">
        <v>607.0</v>
      </c>
    </row>
    <row r="2632">
      <c r="A2632" s="1">
        <v>6372021.0</v>
      </c>
      <c r="B2632" s="1" t="s">
        <v>5628</v>
      </c>
      <c r="C2632" s="1" t="s">
        <v>5603</v>
      </c>
      <c r="D2632" s="1" t="s">
        <v>5629</v>
      </c>
      <c r="E2632" s="1" t="s">
        <v>5630</v>
      </c>
      <c r="F2632" s="1" t="s">
        <v>16</v>
      </c>
      <c r="G2632" s="1" t="s">
        <v>23</v>
      </c>
      <c r="H2632" s="1" t="s">
        <v>18</v>
      </c>
      <c r="I2632" s="1" t="s">
        <v>19</v>
      </c>
      <c r="J2632" s="1">
        <v>50.0</v>
      </c>
      <c r="K2632" s="1">
        <v>49.0</v>
      </c>
      <c r="L2632" s="1">
        <v>21.0</v>
      </c>
    </row>
    <row r="2633">
      <c r="A2633" s="1">
        <v>6303015.0</v>
      </c>
      <c r="B2633" s="1" t="s">
        <v>5631</v>
      </c>
      <c r="C2633" s="1" t="s">
        <v>5603</v>
      </c>
      <c r="D2633" s="1" t="s">
        <v>5614</v>
      </c>
      <c r="E2633" s="1" t="s">
        <v>5632</v>
      </c>
      <c r="F2633" s="1" t="s">
        <v>16</v>
      </c>
      <c r="G2633" s="1" t="s">
        <v>27</v>
      </c>
      <c r="H2633" s="1" t="s">
        <v>28</v>
      </c>
      <c r="I2633" s="1" t="s">
        <v>40</v>
      </c>
      <c r="J2633" s="1">
        <v>272.0</v>
      </c>
      <c r="K2633" s="1">
        <v>49.0</v>
      </c>
      <c r="L2633" s="1">
        <v>833.0</v>
      </c>
    </row>
    <row r="2634">
      <c r="A2634" s="1">
        <v>6371130.0</v>
      </c>
      <c r="B2634" s="1" t="s">
        <v>5633</v>
      </c>
      <c r="C2634" s="1" t="s">
        <v>5603</v>
      </c>
      <c r="D2634" s="1" t="s">
        <v>5607</v>
      </c>
      <c r="E2634" s="1" t="s">
        <v>5634</v>
      </c>
      <c r="F2634" s="1" t="s">
        <v>255</v>
      </c>
      <c r="G2634" s="1" t="s">
        <v>27</v>
      </c>
      <c r="H2634" s="1" t="s">
        <v>18</v>
      </c>
      <c r="I2634" s="1" t="s">
        <v>19</v>
      </c>
      <c r="J2634" s="1">
        <v>75.0</v>
      </c>
      <c r="K2634" s="1">
        <v>48.0</v>
      </c>
      <c r="L2634" s="1">
        <v>144.0</v>
      </c>
    </row>
    <row r="2635">
      <c r="A2635" s="1">
        <v>6372017.0</v>
      </c>
      <c r="B2635" s="1" t="s">
        <v>5635</v>
      </c>
      <c r="C2635" s="1" t="s">
        <v>5603</v>
      </c>
      <c r="D2635" s="1" t="s">
        <v>5629</v>
      </c>
      <c r="E2635" s="1" t="s">
        <v>5636</v>
      </c>
      <c r="F2635" s="1" t="s">
        <v>16</v>
      </c>
      <c r="G2635" s="1" t="s">
        <v>17</v>
      </c>
      <c r="H2635" s="1" t="s">
        <v>18</v>
      </c>
      <c r="I2635" s="1" t="s">
        <v>163</v>
      </c>
      <c r="J2635" s="1">
        <v>174.0</v>
      </c>
      <c r="K2635" s="1">
        <v>60.0</v>
      </c>
      <c r="L2635" s="1">
        <v>126.0</v>
      </c>
    </row>
    <row r="2636">
      <c r="A2636" s="1">
        <v>6306026.0</v>
      </c>
      <c r="B2636" s="1" t="s">
        <v>5637</v>
      </c>
      <c r="C2636" s="1" t="s">
        <v>5603</v>
      </c>
      <c r="D2636" s="1" t="s">
        <v>5611</v>
      </c>
      <c r="E2636" s="1" t="s">
        <v>5638</v>
      </c>
      <c r="F2636" s="1" t="s">
        <v>16</v>
      </c>
      <c r="G2636" s="1" t="s">
        <v>23</v>
      </c>
      <c r="H2636" s="1" t="s">
        <v>18</v>
      </c>
      <c r="I2636" s="1" t="s">
        <v>19</v>
      </c>
      <c r="J2636" s="1">
        <v>62.0</v>
      </c>
      <c r="K2636" s="1">
        <v>9.0</v>
      </c>
      <c r="L2636" s="1">
        <v>0.0</v>
      </c>
    </row>
    <row r="2637">
      <c r="A2637" s="1">
        <v>6301020.0</v>
      </c>
      <c r="B2637" s="1" t="s">
        <v>5639</v>
      </c>
      <c r="C2637" s="1" t="s">
        <v>5603</v>
      </c>
      <c r="D2637" s="1" t="s">
        <v>5604</v>
      </c>
      <c r="E2637" s="1" t="s">
        <v>5640</v>
      </c>
      <c r="F2637" s="1" t="s">
        <v>16</v>
      </c>
      <c r="G2637" s="1" t="s">
        <v>23</v>
      </c>
      <c r="H2637" s="1" t="s">
        <v>28</v>
      </c>
      <c r="I2637" s="1" t="s">
        <v>40</v>
      </c>
      <c r="J2637" s="1">
        <v>87.0</v>
      </c>
      <c r="K2637" s="1">
        <v>23.0</v>
      </c>
      <c r="L2637" s="1">
        <v>131.0</v>
      </c>
    </row>
    <row r="2638">
      <c r="A2638" s="1">
        <v>6310015.0</v>
      </c>
      <c r="B2638" s="1" t="s">
        <v>5641</v>
      </c>
      <c r="C2638" s="1" t="s">
        <v>5603</v>
      </c>
      <c r="D2638" s="1" t="s">
        <v>5642</v>
      </c>
      <c r="E2638" s="1" t="s">
        <v>5643</v>
      </c>
      <c r="F2638" s="1" t="s">
        <v>16</v>
      </c>
      <c r="G2638" s="1" t="s">
        <v>27</v>
      </c>
      <c r="H2638" s="1" t="s">
        <v>28</v>
      </c>
      <c r="I2638" s="1" t="s">
        <v>40</v>
      </c>
      <c r="J2638" s="1">
        <v>170.0</v>
      </c>
      <c r="K2638" s="1">
        <v>47.0</v>
      </c>
      <c r="L2638" s="1">
        <v>671.0</v>
      </c>
    </row>
    <row r="2639">
      <c r="A2639" s="1">
        <v>6305011.0</v>
      </c>
      <c r="B2639" s="1" t="s">
        <v>5644</v>
      </c>
      <c r="C2639" s="1" t="s">
        <v>5603</v>
      </c>
      <c r="D2639" s="1" t="s">
        <v>5645</v>
      </c>
      <c r="E2639" s="1" t="s">
        <v>5646</v>
      </c>
      <c r="F2639" s="1" t="s">
        <v>16</v>
      </c>
      <c r="G2639" s="1" t="s">
        <v>23</v>
      </c>
      <c r="H2639" s="1" t="s">
        <v>18</v>
      </c>
      <c r="I2639" s="1" t="s">
        <v>19</v>
      </c>
      <c r="J2639" s="1">
        <v>53.0</v>
      </c>
      <c r="K2639" s="1">
        <v>32.0</v>
      </c>
      <c r="L2639" s="1">
        <v>45.0</v>
      </c>
    </row>
    <row r="2640">
      <c r="A2640" s="1">
        <v>6304020.0</v>
      </c>
      <c r="B2640" s="1" t="s">
        <v>5647</v>
      </c>
      <c r="C2640" s="1" t="s">
        <v>5603</v>
      </c>
      <c r="D2640" s="1" t="s">
        <v>5648</v>
      </c>
      <c r="E2640" s="1" t="s">
        <v>5649</v>
      </c>
      <c r="F2640" s="1" t="s">
        <v>16</v>
      </c>
      <c r="G2640" s="1" t="s">
        <v>17</v>
      </c>
      <c r="H2640" s="1" t="s">
        <v>28</v>
      </c>
      <c r="I2640" s="1" t="s">
        <v>40</v>
      </c>
      <c r="J2640" s="1">
        <v>110.0</v>
      </c>
      <c r="K2640" s="1">
        <v>28.0</v>
      </c>
      <c r="L2640" s="1">
        <v>275.0</v>
      </c>
    </row>
    <row r="2641">
      <c r="A2641" s="1">
        <v>6371152.0</v>
      </c>
      <c r="B2641" s="1" t="s">
        <v>5650</v>
      </c>
      <c r="C2641" s="1" t="s">
        <v>5603</v>
      </c>
      <c r="D2641" s="1" t="s">
        <v>5607</v>
      </c>
      <c r="E2641" s="1" t="s">
        <v>5651</v>
      </c>
      <c r="F2641" s="1" t="s">
        <v>16</v>
      </c>
      <c r="G2641" s="1" t="s">
        <v>17</v>
      </c>
      <c r="H2641" s="1" t="s">
        <v>33</v>
      </c>
      <c r="I2641" s="1" t="s">
        <v>65</v>
      </c>
      <c r="J2641" s="1">
        <v>114.0</v>
      </c>
      <c r="K2641" s="1">
        <v>22.0</v>
      </c>
      <c r="L2641" s="1">
        <v>295.0</v>
      </c>
    </row>
    <row r="2642">
      <c r="A2642" s="1">
        <v>6372016.0</v>
      </c>
      <c r="B2642" s="1" t="s">
        <v>5652</v>
      </c>
      <c r="C2642" s="1" t="s">
        <v>5603</v>
      </c>
      <c r="D2642" s="1" t="s">
        <v>5629</v>
      </c>
      <c r="E2642" s="1" t="s">
        <v>5653</v>
      </c>
      <c r="F2642" s="1" t="s">
        <v>16</v>
      </c>
      <c r="G2642" s="1" t="s">
        <v>23</v>
      </c>
      <c r="H2642" s="1" t="s">
        <v>18</v>
      </c>
      <c r="I2642" s="1" t="s">
        <v>74</v>
      </c>
      <c r="J2642" s="1">
        <v>55.0</v>
      </c>
      <c r="K2642" s="1">
        <v>26.0</v>
      </c>
      <c r="L2642" s="1">
        <v>38.0</v>
      </c>
    </row>
    <row r="2643">
      <c r="A2643" s="1">
        <v>6371024.0</v>
      </c>
      <c r="B2643" s="1" t="s">
        <v>5654</v>
      </c>
      <c r="C2643" s="1" t="s">
        <v>5603</v>
      </c>
      <c r="D2643" s="1" t="s">
        <v>5607</v>
      </c>
      <c r="E2643" s="1" t="s">
        <v>5655</v>
      </c>
      <c r="F2643" s="1" t="s">
        <v>16</v>
      </c>
      <c r="G2643" s="1" t="s">
        <v>17</v>
      </c>
      <c r="H2643" s="1" t="s">
        <v>18</v>
      </c>
      <c r="I2643" s="1" t="s">
        <v>59</v>
      </c>
      <c r="J2643" s="1">
        <v>100.0</v>
      </c>
      <c r="K2643" s="1">
        <v>48.0</v>
      </c>
      <c r="L2643" s="1">
        <v>467.0</v>
      </c>
    </row>
    <row r="2644">
      <c r="A2644" s="1">
        <v>6308014.0</v>
      </c>
      <c r="B2644" s="1" t="s">
        <v>5656</v>
      </c>
      <c r="C2644" s="1" t="s">
        <v>5603</v>
      </c>
      <c r="D2644" s="1" t="s">
        <v>5657</v>
      </c>
      <c r="E2644" s="1" t="s">
        <v>5658</v>
      </c>
      <c r="F2644" s="1" t="s">
        <v>16</v>
      </c>
      <c r="G2644" s="1" t="s">
        <v>23</v>
      </c>
      <c r="H2644" s="1" t="s">
        <v>18</v>
      </c>
      <c r="I2644" s="1" t="s">
        <v>19</v>
      </c>
      <c r="J2644" s="1">
        <v>43.0</v>
      </c>
      <c r="K2644" s="1">
        <v>19.0</v>
      </c>
      <c r="L2644" s="1">
        <v>63.0</v>
      </c>
    </row>
    <row r="2645">
      <c r="A2645" s="1">
        <v>6371158.0</v>
      </c>
      <c r="B2645" s="1" t="s">
        <v>5659</v>
      </c>
      <c r="C2645" s="1" t="s">
        <v>5603</v>
      </c>
      <c r="D2645" s="1" t="s">
        <v>5607</v>
      </c>
      <c r="E2645" s="1" t="s">
        <v>5660</v>
      </c>
      <c r="F2645" s="1" t="s">
        <v>16</v>
      </c>
      <c r="G2645" s="1" t="s">
        <v>23</v>
      </c>
      <c r="H2645" s="1" t="s">
        <v>18</v>
      </c>
      <c r="I2645" s="1" t="s">
        <v>19</v>
      </c>
      <c r="J2645" s="1">
        <v>53.0</v>
      </c>
      <c r="K2645" s="1">
        <v>55.0</v>
      </c>
      <c r="L2645" s="1">
        <v>65.0</v>
      </c>
    </row>
    <row r="2646">
      <c r="A2646" s="1">
        <v>6306011.0</v>
      </c>
      <c r="B2646" s="1" t="s">
        <v>5661</v>
      </c>
      <c r="C2646" s="1" t="s">
        <v>5603</v>
      </c>
      <c r="D2646" s="1" t="s">
        <v>5611</v>
      </c>
      <c r="E2646" s="1" t="s">
        <v>5662</v>
      </c>
      <c r="F2646" s="1" t="s">
        <v>16</v>
      </c>
      <c r="G2646" s="1" t="s">
        <v>27</v>
      </c>
      <c r="H2646" s="1" t="s">
        <v>28</v>
      </c>
      <c r="I2646" s="1" t="s">
        <v>40</v>
      </c>
      <c r="J2646" s="1">
        <v>234.0</v>
      </c>
      <c r="K2646" s="1">
        <v>52.0</v>
      </c>
      <c r="L2646" s="1">
        <v>372.0</v>
      </c>
    </row>
    <row r="2647">
      <c r="A2647" s="1">
        <v>6301016.0</v>
      </c>
      <c r="B2647" s="1" t="s">
        <v>1435</v>
      </c>
      <c r="C2647" s="1" t="s">
        <v>5603</v>
      </c>
      <c r="D2647" s="1" t="s">
        <v>5604</v>
      </c>
      <c r="E2647" s="1" t="s">
        <v>5663</v>
      </c>
      <c r="F2647" s="1" t="s">
        <v>55</v>
      </c>
      <c r="G2647" s="1" t="s">
        <v>17</v>
      </c>
      <c r="H2647" s="1" t="s">
        <v>18</v>
      </c>
      <c r="I2647" s="1" t="s">
        <v>163</v>
      </c>
      <c r="J2647" s="1">
        <v>40.0</v>
      </c>
      <c r="K2647" s="1">
        <v>14.0</v>
      </c>
      <c r="L2647" s="1">
        <v>48.0</v>
      </c>
    </row>
    <row r="2648">
      <c r="A2648" s="1">
        <v>6371050.0</v>
      </c>
      <c r="B2648" s="1" t="s">
        <v>5664</v>
      </c>
      <c r="C2648" s="1" t="s">
        <v>5603</v>
      </c>
      <c r="D2648" s="1" t="s">
        <v>5607</v>
      </c>
      <c r="E2648" s="1" t="s">
        <v>5665</v>
      </c>
      <c r="F2648" s="1" t="s">
        <v>16</v>
      </c>
      <c r="G2648" s="1" t="s">
        <v>17</v>
      </c>
      <c r="H2648" s="1" t="s">
        <v>18</v>
      </c>
      <c r="I2648" s="1" t="s">
        <v>74</v>
      </c>
      <c r="J2648" s="1">
        <v>230.0</v>
      </c>
      <c r="K2648" s="1">
        <v>40.0</v>
      </c>
      <c r="L2648" s="1">
        <v>325.0</v>
      </c>
    </row>
    <row r="2649">
      <c r="A2649" s="1">
        <v>6308013.0</v>
      </c>
      <c r="B2649" s="1" t="s">
        <v>5666</v>
      </c>
      <c r="C2649" s="1" t="s">
        <v>5603</v>
      </c>
      <c r="D2649" s="1" t="s">
        <v>5657</v>
      </c>
      <c r="E2649" s="1" t="s">
        <v>5667</v>
      </c>
      <c r="F2649" s="1" t="s">
        <v>16</v>
      </c>
      <c r="G2649" s="1" t="s">
        <v>17</v>
      </c>
      <c r="H2649" s="1" t="s">
        <v>28</v>
      </c>
      <c r="I2649" s="1" t="s">
        <v>40</v>
      </c>
      <c r="J2649" s="1">
        <v>240.0</v>
      </c>
      <c r="K2649" s="1">
        <v>76.0</v>
      </c>
      <c r="L2649" s="1">
        <v>524.0</v>
      </c>
    </row>
    <row r="2650">
      <c r="A2650" s="1">
        <v>6302014.0</v>
      </c>
      <c r="B2650" s="1" t="s">
        <v>5668</v>
      </c>
      <c r="C2650" s="1" t="s">
        <v>5603</v>
      </c>
      <c r="D2650" s="1" t="s">
        <v>5619</v>
      </c>
      <c r="E2650" s="1" t="s">
        <v>5669</v>
      </c>
      <c r="F2650" s="1" t="s">
        <v>16</v>
      </c>
      <c r="G2650" s="1" t="s">
        <v>17</v>
      </c>
      <c r="H2650" s="1" t="s">
        <v>28</v>
      </c>
      <c r="I2650" s="1" t="s">
        <v>40</v>
      </c>
      <c r="J2650" s="1">
        <v>132.0</v>
      </c>
      <c r="K2650" s="1">
        <v>42.0</v>
      </c>
      <c r="L2650" s="1">
        <v>269.0</v>
      </c>
    </row>
    <row r="2651">
      <c r="A2651" s="1">
        <v>6371094.0</v>
      </c>
      <c r="B2651" s="1" t="s">
        <v>5670</v>
      </c>
      <c r="C2651" s="1" t="s">
        <v>5603</v>
      </c>
      <c r="D2651" s="1" t="s">
        <v>5607</v>
      </c>
      <c r="E2651" s="1" t="s">
        <v>5671</v>
      </c>
      <c r="F2651" s="1" t="s">
        <v>16</v>
      </c>
      <c r="G2651" s="1" t="s">
        <v>17</v>
      </c>
      <c r="H2651" s="1" t="s">
        <v>18</v>
      </c>
      <c r="I2651" s="1" t="s">
        <v>59</v>
      </c>
      <c r="J2651" s="1">
        <v>139.0</v>
      </c>
      <c r="K2651" s="1">
        <v>38.0</v>
      </c>
      <c r="L2651" s="1">
        <v>266.0</v>
      </c>
    </row>
    <row r="2652">
      <c r="A2652" s="1">
        <v>6306023.0</v>
      </c>
      <c r="B2652" s="1" t="s">
        <v>5672</v>
      </c>
      <c r="C2652" s="1" t="s">
        <v>5603</v>
      </c>
      <c r="D2652" s="1" t="s">
        <v>5611</v>
      </c>
      <c r="E2652" s="1" t="s">
        <v>5673</v>
      </c>
      <c r="F2652" s="1" t="s">
        <v>16</v>
      </c>
      <c r="G2652" s="1" t="s">
        <v>23</v>
      </c>
      <c r="H2652" s="1" t="s">
        <v>18</v>
      </c>
      <c r="I2652" s="1" t="s">
        <v>19</v>
      </c>
      <c r="J2652" s="1">
        <v>54.0</v>
      </c>
      <c r="K2652" s="1">
        <v>34.0</v>
      </c>
      <c r="L2652" s="1">
        <v>199.0</v>
      </c>
    </row>
    <row r="2653">
      <c r="A2653" s="1">
        <v>6309025.0</v>
      </c>
      <c r="B2653" s="1" t="s">
        <v>5674</v>
      </c>
      <c r="C2653" s="1" t="s">
        <v>5603</v>
      </c>
      <c r="D2653" s="1" t="s">
        <v>5622</v>
      </c>
      <c r="E2653" s="1" t="s">
        <v>5675</v>
      </c>
      <c r="F2653" s="1" t="s">
        <v>16</v>
      </c>
      <c r="G2653" s="1" t="s">
        <v>17</v>
      </c>
      <c r="H2653" s="1" t="s">
        <v>18</v>
      </c>
      <c r="I2653" s="1" t="s">
        <v>113</v>
      </c>
      <c r="J2653" s="1">
        <v>111.0</v>
      </c>
      <c r="K2653" s="1">
        <v>49.0</v>
      </c>
      <c r="L2653" s="1">
        <v>150.0</v>
      </c>
    </row>
    <row r="2654">
      <c r="A2654" s="1">
        <v>6304016.0</v>
      </c>
      <c r="B2654" s="1" t="s">
        <v>5676</v>
      </c>
      <c r="C2654" s="1" t="s">
        <v>5603</v>
      </c>
      <c r="D2654" s="1" t="s">
        <v>5614</v>
      </c>
      <c r="E2654" s="1" t="s">
        <v>5677</v>
      </c>
      <c r="F2654" s="1" t="s">
        <v>174</v>
      </c>
      <c r="G2654" s="1" t="s">
        <v>150</v>
      </c>
      <c r="H2654" s="1" t="s">
        <v>28</v>
      </c>
      <c r="I2654" s="1" t="s">
        <v>139</v>
      </c>
      <c r="J2654" s="1">
        <v>129.0</v>
      </c>
      <c r="K2654" s="1">
        <v>41.0</v>
      </c>
      <c r="L2654" s="1">
        <v>513.0</v>
      </c>
    </row>
    <row r="2655">
      <c r="A2655" s="1">
        <v>6310018.0</v>
      </c>
      <c r="B2655" s="1" t="s">
        <v>5678</v>
      </c>
      <c r="C2655" s="1" t="s">
        <v>5603</v>
      </c>
      <c r="D2655" s="1" t="s">
        <v>5642</v>
      </c>
      <c r="E2655" s="1" t="s">
        <v>5679</v>
      </c>
      <c r="F2655" s="1" t="s">
        <v>16</v>
      </c>
      <c r="G2655" s="1" t="s">
        <v>17</v>
      </c>
      <c r="H2655" s="1" t="s">
        <v>18</v>
      </c>
      <c r="I2655" s="1" t="s">
        <v>19</v>
      </c>
      <c r="J2655" s="1">
        <v>125.0</v>
      </c>
      <c r="K2655" s="1">
        <v>40.0</v>
      </c>
      <c r="L2655" s="1">
        <v>186.0</v>
      </c>
    </row>
    <row r="2656">
      <c r="A2656" s="1">
        <v>6371141.0</v>
      </c>
      <c r="B2656" s="1" t="s">
        <v>5680</v>
      </c>
      <c r="C2656" s="1" t="s">
        <v>5603</v>
      </c>
      <c r="D2656" s="1" t="s">
        <v>5629</v>
      </c>
      <c r="E2656" s="1" t="s">
        <v>5681</v>
      </c>
      <c r="F2656" s="1" t="s">
        <v>16</v>
      </c>
      <c r="G2656" s="1" t="s">
        <v>23</v>
      </c>
      <c r="H2656" s="1" t="s">
        <v>18</v>
      </c>
      <c r="I2656" s="1" t="s">
        <v>563</v>
      </c>
      <c r="J2656" s="1">
        <v>50.0</v>
      </c>
      <c r="K2656" s="1">
        <v>17.0</v>
      </c>
      <c r="L2656" s="1">
        <v>70.0</v>
      </c>
    </row>
    <row r="2657">
      <c r="A2657" s="1">
        <v>6372018.0</v>
      </c>
      <c r="B2657" s="1" t="s">
        <v>5682</v>
      </c>
      <c r="C2657" s="1" t="s">
        <v>5603</v>
      </c>
      <c r="D2657" s="1" t="s">
        <v>5629</v>
      </c>
      <c r="E2657" s="1" t="s">
        <v>5683</v>
      </c>
      <c r="F2657" s="1" t="s">
        <v>16</v>
      </c>
      <c r="G2657" s="1" t="s">
        <v>23</v>
      </c>
      <c r="H2657" s="1" t="s">
        <v>18</v>
      </c>
      <c r="I2657" s="1" t="s">
        <v>44</v>
      </c>
      <c r="J2657" s="1">
        <v>72.0</v>
      </c>
      <c r="K2657" s="1">
        <v>21.0</v>
      </c>
      <c r="L2657" s="1">
        <v>66.0</v>
      </c>
    </row>
    <row r="2658">
      <c r="A2658" s="1">
        <v>6371013.0</v>
      </c>
      <c r="B2658" s="1" t="s">
        <v>5684</v>
      </c>
      <c r="C2658" s="1" t="s">
        <v>5603</v>
      </c>
      <c r="D2658" s="1" t="s">
        <v>5607</v>
      </c>
      <c r="E2658" s="1" t="s">
        <v>5685</v>
      </c>
      <c r="F2658" s="1" t="s">
        <v>16</v>
      </c>
      <c r="G2658" s="1" t="s">
        <v>150</v>
      </c>
      <c r="H2658" s="1" t="s">
        <v>28</v>
      </c>
      <c r="I2658" s="1" t="s">
        <v>139</v>
      </c>
      <c r="J2658" s="1">
        <v>649.0</v>
      </c>
      <c r="K2658" s="1">
        <v>155.0</v>
      </c>
      <c r="L2658" s="1">
        <v>2170.0</v>
      </c>
    </row>
    <row r="2659">
      <c r="A2659" s="1">
        <v>6372022.0</v>
      </c>
      <c r="B2659" s="1" t="s">
        <v>5686</v>
      </c>
      <c r="C2659" s="1" t="s">
        <v>5603</v>
      </c>
      <c r="D2659" s="1" t="s">
        <v>5629</v>
      </c>
      <c r="E2659" s="1" t="s">
        <v>5687</v>
      </c>
      <c r="F2659" s="1" t="s">
        <v>16</v>
      </c>
      <c r="G2659" s="1" t="s">
        <v>17</v>
      </c>
      <c r="H2659" s="1" t="s">
        <v>18</v>
      </c>
      <c r="I2659" s="1" t="s">
        <v>19</v>
      </c>
      <c r="J2659" s="1">
        <v>177.0</v>
      </c>
      <c r="K2659" s="1">
        <v>36.0</v>
      </c>
      <c r="L2659" s="1">
        <v>22.0</v>
      </c>
    </row>
    <row r="2660">
      <c r="A2660" s="1">
        <v>6306024.0</v>
      </c>
      <c r="B2660" s="1" t="s">
        <v>5688</v>
      </c>
      <c r="C2660" s="1" t="s">
        <v>5603</v>
      </c>
      <c r="D2660" s="1" t="s">
        <v>5611</v>
      </c>
      <c r="E2660" s="1" t="s">
        <v>5689</v>
      </c>
      <c r="F2660" s="1" t="s">
        <v>16</v>
      </c>
      <c r="G2660" s="1" t="s">
        <v>23</v>
      </c>
      <c r="H2660" s="1" t="s">
        <v>28</v>
      </c>
      <c r="I2660" s="1" t="s">
        <v>40</v>
      </c>
      <c r="J2660" s="1">
        <v>54.0</v>
      </c>
      <c r="K2660" s="1">
        <v>12.0</v>
      </c>
      <c r="L2660" s="1">
        <v>90.0</v>
      </c>
    </row>
    <row r="2661">
      <c r="A2661" s="1">
        <v>6372019.0</v>
      </c>
      <c r="B2661" s="1" t="s">
        <v>5690</v>
      </c>
      <c r="C2661" s="1" t="s">
        <v>5603</v>
      </c>
      <c r="D2661" s="1" t="s">
        <v>5629</v>
      </c>
      <c r="E2661" s="1" t="s">
        <v>5691</v>
      </c>
      <c r="F2661" s="1" t="s">
        <v>16</v>
      </c>
      <c r="G2661" s="1" t="s">
        <v>23</v>
      </c>
      <c r="H2661" s="1" t="s">
        <v>18</v>
      </c>
      <c r="I2661" s="1" t="s">
        <v>44</v>
      </c>
      <c r="J2661" s="1">
        <v>56.0</v>
      </c>
      <c r="K2661" s="1">
        <v>47.0</v>
      </c>
      <c r="L2661" s="1">
        <v>91.0</v>
      </c>
    </row>
    <row r="2662">
      <c r="A2662" s="1">
        <v>6305010.0</v>
      </c>
      <c r="B2662" s="1" t="s">
        <v>5692</v>
      </c>
      <c r="C2662" s="1" t="s">
        <v>5603</v>
      </c>
      <c r="D2662" s="1" t="s">
        <v>5645</v>
      </c>
      <c r="E2662" s="1" t="s">
        <v>5693</v>
      </c>
      <c r="F2662" s="1" t="s">
        <v>16</v>
      </c>
      <c r="G2662" s="1" t="s">
        <v>17</v>
      </c>
      <c r="H2662" s="1" t="s">
        <v>28</v>
      </c>
      <c r="I2662" s="1" t="s">
        <v>40</v>
      </c>
      <c r="J2662" s="1">
        <v>100.0</v>
      </c>
      <c r="K2662" s="1">
        <v>43.0</v>
      </c>
      <c r="L2662" s="1">
        <v>421.0</v>
      </c>
    </row>
    <row r="2663">
      <c r="A2663" s="1">
        <v>6371156.0</v>
      </c>
      <c r="B2663" s="1" t="s">
        <v>5694</v>
      </c>
      <c r="C2663" s="1" t="s">
        <v>5603</v>
      </c>
      <c r="D2663" s="1" t="s">
        <v>5607</v>
      </c>
      <c r="E2663" s="1" t="s">
        <v>5695</v>
      </c>
      <c r="F2663" s="1" t="s">
        <v>16</v>
      </c>
      <c r="G2663" s="1" t="s">
        <v>17</v>
      </c>
      <c r="H2663" s="1" t="s">
        <v>28</v>
      </c>
      <c r="I2663" s="1" t="s">
        <v>29</v>
      </c>
      <c r="J2663" s="1">
        <v>334.0</v>
      </c>
      <c r="K2663" s="1">
        <v>39.0</v>
      </c>
      <c r="L2663" s="1">
        <v>394.0</v>
      </c>
    </row>
    <row r="2664">
      <c r="A2664" s="1">
        <v>6371170.0</v>
      </c>
      <c r="B2664" s="1" t="s">
        <v>5696</v>
      </c>
      <c r="C2664" s="1" t="s">
        <v>5603</v>
      </c>
      <c r="D2664" s="1" t="s">
        <v>5607</v>
      </c>
      <c r="E2664" s="1" t="s">
        <v>5697</v>
      </c>
      <c r="F2664" s="1" t="s">
        <v>55</v>
      </c>
      <c r="G2664" s="1" t="s">
        <v>17</v>
      </c>
      <c r="H2664" s="1" t="s">
        <v>18</v>
      </c>
      <c r="I2664" s="1" t="s">
        <v>19</v>
      </c>
      <c r="J2664" s="1">
        <v>64.0</v>
      </c>
      <c r="K2664" s="1">
        <v>25.0</v>
      </c>
      <c r="L2664" s="1">
        <v>8.0</v>
      </c>
    </row>
    <row r="2665">
      <c r="A2665" s="1">
        <v>6372014.0</v>
      </c>
      <c r="B2665" s="1" t="s">
        <v>5698</v>
      </c>
      <c r="C2665" s="1" t="s">
        <v>5603</v>
      </c>
      <c r="D2665" s="1" t="s">
        <v>5629</v>
      </c>
      <c r="E2665" s="1" t="s">
        <v>5699</v>
      </c>
      <c r="F2665" s="1" t="s">
        <v>16</v>
      </c>
      <c r="G2665" s="1" t="s">
        <v>17</v>
      </c>
      <c r="H2665" s="1" t="s">
        <v>28</v>
      </c>
      <c r="I2665" s="1" t="s">
        <v>29</v>
      </c>
      <c r="J2665" s="1">
        <v>247.0</v>
      </c>
      <c r="K2665" s="1">
        <v>62.0</v>
      </c>
      <c r="L2665" s="1">
        <v>935.0</v>
      </c>
    </row>
    <row r="2666">
      <c r="A2666" s="1">
        <v>6303033.0</v>
      </c>
      <c r="B2666" s="1" t="s">
        <v>5700</v>
      </c>
      <c r="C2666" s="1" t="s">
        <v>5603</v>
      </c>
      <c r="D2666" s="1" t="s">
        <v>5614</v>
      </c>
      <c r="E2666" s="1" t="s">
        <v>5701</v>
      </c>
      <c r="F2666" s="1" t="s">
        <v>16</v>
      </c>
      <c r="G2666" s="1" t="s">
        <v>27</v>
      </c>
      <c r="H2666" s="1" t="s">
        <v>18</v>
      </c>
      <c r="I2666" s="1" t="s">
        <v>44</v>
      </c>
      <c r="J2666" s="1">
        <v>205.0</v>
      </c>
      <c r="K2666" s="1">
        <v>53.0</v>
      </c>
      <c r="L2666" s="1">
        <v>235.0</v>
      </c>
    </row>
    <row r="2667">
      <c r="A2667" s="1">
        <v>6371046.0</v>
      </c>
      <c r="B2667" s="1" t="s">
        <v>5702</v>
      </c>
      <c r="C2667" s="1" t="s">
        <v>5603</v>
      </c>
      <c r="D2667" s="1" t="s">
        <v>5607</v>
      </c>
      <c r="E2667" s="1" t="s">
        <v>5703</v>
      </c>
      <c r="F2667" s="1" t="s">
        <v>16</v>
      </c>
      <c r="G2667" s="1" t="s">
        <v>17</v>
      </c>
      <c r="H2667" s="1" t="s">
        <v>18</v>
      </c>
      <c r="I2667" s="1" t="s">
        <v>684</v>
      </c>
      <c r="J2667" s="1">
        <v>120.0</v>
      </c>
      <c r="K2667" s="1">
        <v>40.0</v>
      </c>
      <c r="L2667" s="1">
        <v>394.0</v>
      </c>
    </row>
    <row r="2668">
      <c r="A2668" s="1">
        <v>6310016.0</v>
      </c>
      <c r="B2668" s="1" t="s">
        <v>5704</v>
      </c>
      <c r="C2668" s="1" t="s">
        <v>5603</v>
      </c>
      <c r="D2668" s="1" t="s">
        <v>5642</v>
      </c>
      <c r="E2668" s="1" t="s">
        <v>5705</v>
      </c>
      <c r="F2668" s="1" t="s">
        <v>55</v>
      </c>
      <c r="G2668" s="1" t="s">
        <v>17</v>
      </c>
      <c r="H2668" s="1" t="s">
        <v>18</v>
      </c>
      <c r="I2668" s="1" t="s">
        <v>19</v>
      </c>
      <c r="J2668" s="1">
        <v>50.0</v>
      </c>
      <c r="K2668" s="1">
        <v>18.0</v>
      </c>
      <c r="L2668" s="1">
        <v>50.0</v>
      </c>
    </row>
    <row r="2669">
      <c r="A2669" s="1">
        <v>6307012.0</v>
      </c>
      <c r="B2669" s="1" t="s">
        <v>5706</v>
      </c>
      <c r="C2669" s="1" t="s">
        <v>5603</v>
      </c>
      <c r="D2669" s="1" t="s">
        <v>5707</v>
      </c>
      <c r="E2669" s="1" t="s">
        <v>5708</v>
      </c>
      <c r="F2669" s="1" t="s">
        <v>16</v>
      </c>
      <c r="G2669" s="1" t="s">
        <v>17</v>
      </c>
      <c r="H2669" s="1" t="s">
        <v>28</v>
      </c>
      <c r="I2669" s="1" t="s">
        <v>40</v>
      </c>
      <c r="J2669" s="1">
        <v>323.0</v>
      </c>
      <c r="K2669" s="1">
        <v>123.0</v>
      </c>
      <c r="L2669" s="1">
        <v>0.0</v>
      </c>
    </row>
    <row r="2670">
      <c r="A2670" s="1">
        <v>6303028.0</v>
      </c>
      <c r="B2670" s="1" t="s">
        <v>760</v>
      </c>
      <c r="C2670" s="1" t="s">
        <v>5603</v>
      </c>
      <c r="D2670" s="1" t="s">
        <v>5614</v>
      </c>
      <c r="E2670" s="1" t="s">
        <v>5709</v>
      </c>
      <c r="F2670" s="1" t="s">
        <v>55</v>
      </c>
      <c r="G2670" s="1" t="s">
        <v>17</v>
      </c>
      <c r="H2670" s="1" t="s">
        <v>18</v>
      </c>
      <c r="I2670" s="1" t="s">
        <v>163</v>
      </c>
      <c r="J2670" s="1">
        <v>25.0</v>
      </c>
      <c r="K2670" s="1">
        <v>16.0</v>
      </c>
      <c r="L2670" s="1">
        <v>0.0</v>
      </c>
    </row>
    <row r="2671">
      <c r="A2671" s="1">
        <v>6371153.0</v>
      </c>
      <c r="B2671" s="1" t="s">
        <v>5710</v>
      </c>
      <c r="C2671" s="1" t="s">
        <v>5603</v>
      </c>
      <c r="D2671" s="1" t="s">
        <v>5607</v>
      </c>
      <c r="E2671" s="1" t="s">
        <v>5711</v>
      </c>
      <c r="F2671" s="1" t="s">
        <v>32</v>
      </c>
      <c r="G2671" s="1" t="s">
        <v>27</v>
      </c>
      <c r="H2671" s="1" t="s">
        <v>18</v>
      </c>
      <c r="I2671" s="1" t="s">
        <v>139</v>
      </c>
      <c r="J2671" s="1">
        <v>50.0</v>
      </c>
      <c r="K2671" s="1">
        <v>21.0</v>
      </c>
      <c r="L2671" s="1">
        <v>194.0</v>
      </c>
    </row>
    <row r="2672">
      <c r="A2672" s="1">
        <v>6405012.0</v>
      </c>
      <c r="B2672" s="1" t="s">
        <v>5712</v>
      </c>
      <c r="C2672" s="1" t="s">
        <v>5713</v>
      </c>
      <c r="D2672" s="1" t="s">
        <v>5714</v>
      </c>
      <c r="E2672" s="1" t="s">
        <v>5715</v>
      </c>
      <c r="F2672" s="1" t="s">
        <v>16</v>
      </c>
      <c r="G2672" s="1" t="s">
        <v>23</v>
      </c>
      <c r="H2672" s="1" t="s">
        <v>18</v>
      </c>
      <c r="I2672" s="1" t="s">
        <v>40</v>
      </c>
      <c r="J2672" s="1">
        <v>67.0</v>
      </c>
      <c r="K2672" s="1">
        <v>21.0</v>
      </c>
      <c r="L2672" s="1">
        <v>131.0</v>
      </c>
    </row>
    <row r="2673">
      <c r="A2673" s="1">
        <v>6471014.0</v>
      </c>
      <c r="B2673" s="1" t="s">
        <v>5716</v>
      </c>
      <c r="C2673" s="1" t="s">
        <v>5713</v>
      </c>
      <c r="D2673" s="1" t="s">
        <v>5717</v>
      </c>
      <c r="E2673" s="1" t="s">
        <v>5718</v>
      </c>
      <c r="F2673" s="1" t="s">
        <v>16</v>
      </c>
      <c r="G2673" s="1" t="s">
        <v>150</v>
      </c>
      <c r="H2673" s="1" t="s">
        <v>28</v>
      </c>
      <c r="I2673" s="1" t="s">
        <v>139</v>
      </c>
      <c r="J2673" s="1">
        <v>574.0</v>
      </c>
      <c r="K2673" s="1">
        <v>61.0</v>
      </c>
      <c r="L2673" s="1">
        <v>1273.0</v>
      </c>
    </row>
    <row r="2674">
      <c r="A2674" s="1">
        <v>6404045.0</v>
      </c>
      <c r="B2674" s="1" t="s">
        <v>5719</v>
      </c>
      <c r="C2674" s="1" t="s">
        <v>5713</v>
      </c>
      <c r="D2674" s="1" t="s">
        <v>5720</v>
      </c>
      <c r="E2674" s="1" t="s">
        <v>5721</v>
      </c>
      <c r="F2674" s="1" t="s">
        <v>55</v>
      </c>
      <c r="G2674" s="1" t="s">
        <v>17</v>
      </c>
      <c r="H2674" s="1" t="s">
        <v>18</v>
      </c>
      <c r="I2674" s="1" t="s">
        <v>19</v>
      </c>
      <c r="J2674" s="1">
        <v>41.0</v>
      </c>
      <c r="K2674" s="1">
        <v>26.0</v>
      </c>
      <c r="L2674" s="1">
        <v>69.0</v>
      </c>
    </row>
    <row r="2675">
      <c r="A2675" s="1">
        <v>6471087.0</v>
      </c>
      <c r="B2675" s="1" t="s">
        <v>5722</v>
      </c>
      <c r="C2675" s="1" t="s">
        <v>5713</v>
      </c>
      <c r="D2675" s="1" t="s">
        <v>5717</v>
      </c>
      <c r="E2675" s="1" t="s">
        <v>5723</v>
      </c>
      <c r="F2675" s="1" t="s">
        <v>16</v>
      </c>
      <c r="G2675" s="1" t="s">
        <v>23</v>
      </c>
      <c r="H2675" s="1" t="s">
        <v>18</v>
      </c>
      <c r="I2675" s="1" t="s">
        <v>44</v>
      </c>
      <c r="J2675" s="1">
        <v>50.0</v>
      </c>
      <c r="K2675" s="1">
        <v>15.0</v>
      </c>
      <c r="L2675" s="1">
        <v>29.0</v>
      </c>
    </row>
    <row r="2676">
      <c r="A2676" s="1">
        <v>6472143.0</v>
      </c>
      <c r="B2676" s="1" t="s">
        <v>5724</v>
      </c>
      <c r="C2676" s="1" t="s">
        <v>5713</v>
      </c>
      <c r="D2676" s="1" t="s">
        <v>5725</v>
      </c>
      <c r="E2676" s="1" t="s">
        <v>5726</v>
      </c>
      <c r="F2676" s="1" t="s">
        <v>55</v>
      </c>
      <c r="G2676" s="1" t="s">
        <v>17</v>
      </c>
      <c r="H2676" s="1" t="s">
        <v>18</v>
      </c>
      <c r="I2676" s="1" t="s">
        <v>44</v>
      </c>
      <c r="J2676" s="1">
        <v>31.0</v>
      </c>
      <c r="K2676" s="1">
        <v>25.0</v>
      </c>
      <c r="L2676" s="1">
        <v>2.0</v>
      </c>
    </row>
    <row r="2677">
      <c r="A2677" s="1">
        <v>6403052.0</v>
      </c>
      <c r="B2677" s="1" t="s">
        <v>5727</v>
      </c>
      <c r="C2677" s="1" t="s">
        <v>5713</v>
      </c>
      <c r="D2677" s="1" t="s">
        <v>5728</v>
      </c>
      <c r="E2677" s="1" t="s">
        <v>5729</v>
      </c>
      <c r="F2677" s="1" t="s">
        <v>16</v>
      </c>
      <c r="G2677" s="1" t="s">
        <v>17</v>
      </c>
      <c r="H2677" s="1" t="s">
        <v>28</v>
      </c>
      <c r="I2677" s="1" t="s">
        <v>40</v>
      </c>
      <c r="J2677" s="1">
        <v>116.0</v>
      </c>
      <c r="K2677" s="1">
        <v>58.0</v>
      </c>
      <c r="L2677" s="1">
        <v>298.0</v>
      </c>
    </row>
    <row r="2678">
      <c r="A2678" s="1">
        <v>6409047.0</v>
      </c>
      <c r="B2678" s="1" t="s">
        <v>5730</v>
      </c>
      <c r="C2678" s="1" t="s">
        <v>5713</v>
      </c>
      <c r="D2678" s="1" t="s">
        <v>5731</v>
      </c>
      <c r="E2678" s="1" t="s">
        <v>5732</v>
      </c>
      <c r="F2678" s="1" t="s">
        <v>16</v>
      </c>
      <c r="G2678" s="1" t="s">
        <v>23</v>
      </c>
      <c r="H2678" s="1" t="s">
        <v>18</v>
      </c>
      <c r="I2678" s="1" t="s">
        <v>40</v>
      </c>
      <c r="J2678" s="1">
        <v>52.0</v>
      </c>
      <c r="K2678" s="1">
        <v>17.0</v>
      </c>
      <c r="L2678" s="1">
        <v>0.0</v>
      </c>
    </row>
    <row r="2679">
      <c r="A2679" s="1">
        <v>6404065.0</v>
      </c>
      <c r="B2679" s="1" t="s">
        <v>5733</v>
      </c>
      <c r="C2679" s="1" t="s">
        <v>5713</v>
      </c>
      <c r="D2679" s="1" t="s">
        <v>5720</v>
      </c>
      <c r="E2679" s="1" t="s">
        <v>5734</v>
      </c>
      <c r="F2679" s="1" t="s">
        <v>16</v>
      </c>
      <c r="G2679" s="1" t="s">
        <v>23</v>
      </c>
      <c r="H2679" s="1" t="s">
        <v>18</v>
      </c>
      <c r="I2679" s="1" t="s">
        <v>40</v>
      </c>
      <c r="J2679" s="1">
        <v>50.0</v>
      </c>
      <c r="K2679" s="1">
        <v>10.0</v>
      </c>
      <c r="L2679" s="1">
        <v>0.0</v>
      </c>
    </row>
    <row r="2680">
      <c r="A2680" s="1">
        <v>6471074.0</v>
      </c>
      <c r="B2680" s="1" t="s">
        <v>5735</v>
      </c>
      <c r="C2680" s="1" t="s">
        <v>5713</v>
      </c>
      <c r="D2680" s="1" t="s">
        <v>5717</v>
      </c>
      <c r="E2680" s="1" t="s">
        <v>5736</v>
      </c>
      <c r="F2680" s="1" t="s">
        <v>55</v>
      </c>
      <c r="G2680" s="1" t="s">
        <v>17</v>
      </c>
      <c r="H2680" s="1" t="s">
        <v>18</v>
      </c>
      <c r="I2680" s="1" t="s">
        <v>19</v>
      </c>
      <c r="J2680" s="1">
        <v>42.0</v>
      </c>
      <c r="K2680" s="1">
        <v>20.0</v>
      </c>
      <c r="L2680" s="1">
        <v>77.0</v>
      </c>
    </row>
    <row r="2681">
      <c r="A2681" s="1">
        <v>6472063.0</v>
      </c>
      <c r="B2681" s="1" t="s">
        <v>5737</v>
      </c>
      <c r="C2681" s="1" t="s">
        <v>5713</v>
      </c>
      <c r="D2681" s="1" t="s">
        <v>5725</v>
      </c>
      <c r="E2681" s="1" t="s">
        <v>5738</v>
      </c>
      <c r="F2681" s="1" t="s">
        <v>174</v>
      </c>
      <c r="G2681" s="1" t="s">
        <v>150</v>
      </c>
      <c r="H2681" s="1" t="s">
        <v>28</v>
      </c>
      <c r="I2681" s="1" t="s">
        <v>139</v>
      </c>
      <c r="J2681" s="1">
        <v>200.0</v>
      </c>
      <c r="K2681" s="1">
        <v>24.0</v>
      </c>
      <c r="L2681" s="1">
        <v>398.0</v>
      </c>
    </row>
    <row r="2682">
      <c r="A2682" s="1">
        <v>6471036.0</v>
      </c>
      <c r="B2682" s="1" t="s">
        <v>5739</v>
      </c>
      <c r="C2682" s="1" t="s">
        <v>5713</v>
      </c>
      <c r="D2682" s="1" t="s">
        <v>5717</v>
      </c>
      <c r="E2682" s="1" t="s">
        <v>5740</v>
      </c>
      <c r="F2682" s="1" t="s">
        <v>16</v>
      </c>
      <c r="G2682" s="1" t="s">
        <v>17</v>
      </c>
      <c r="H2682" s="1" t="s">
        <v>33</v>
      </c>
      <c r="I2682" s="1" t="s">
        <v>74</v>
      </c>
      <c r="J2682" s="1">
        <v>144.0</v>
      </c>
      <c r="K2682" s="1">
        <v>66.0</v>
      </c>
      <c r="L2682" s="1">
        <v>550.0</v>
      </c>
    </row>
    <row r="2683">
      <c r="A2683" s="1">
        <v>6404047.0</v>
      </c>
      <c r="B2683" s="1" t="s">
        <v>5741</v>
      </c>
      <c r="C2683" s="1" t="s">
        <v>5713</v>
      </c>
      <c r="D2683" s="1" t="s">
        <v>5720</v>
      </c>
      <c r="E2683" s="1" t="s">
        <v>5742</v>
      </c>
      <c r="F2683" s="1" t="s">
        <v>55</v>
      </c>
      <c r="G2683" s="1" t="s">
        <v>17</v>
      </c>
      <c r="H2683" s="1" t="s">
        <v>18</v>
      </c>
      <c r="I2683" s="1" t="s">
        <v>19</v>
      </c>
      <c r="J2683" s="1">
        <v>23.0</v>
      </c>
      <c r="K2683" s="1">
        <v>18.0</v>
      </c>
      <c r="L2683" s="1">
        <v>30.0</v>
      </c>
    </row>
    <row r="2684">
      <c r="A2684" s="1">
        <v>6474010.0</v>
      </c>
      <c r="B2684" s="1" t="s">
        <v>5743</v>
      </c>
      <c r="C2684" s="1" t="s">
        <v>5713</v>
      </c>
      <c r="D2684" s="1" t="s">
        <v>5744</v>
      </c>
      <c r="E2684" s="1" t="s">
        <v>5745</v>
      </c>
      <c r="F2684" s="1" t="s">
        <v>16</v>
      </c>
      <c r="G2684" s="1" t="s">
        <v>23</v>
      </c>
      <c r="H2684" s="1" t="s">
        <v>18</v>
      </c>
      <c r="I2684" s="1" t="s">
        <v>19</v>
      </c>
      <c r="J2684" s="1">
        <v>51.0</v>
      </c>
      <c r="K2684" s="1">
        <v>27.0</v>
      </c>
      <c r="L2684" s="1">
        <v>71.0</v>
      </c>
    </row>
    <row r="2685">
      <c r="A2685" s="1">
        <v>6404066.0</v>
      </c>
      <c r="B2685" s="1" t="s">
        <v>5746</v>
      </c>
      <c r="C2685" s="1" t="s">
        <v>5713</v>
      </c>
      <c r="D2685" s="1" t="s">
        <v>5720</v>
      </c>
      <c r="E2685" s="1" t="s">
        <v>5747</v>
      </c>
      <c r="F2685" s="1" t="s">
        <v>16</v>
      </c>
      <c r="G2685" s="1" t="s">
        <v>23</v>
      </c>
      <c r="H2685" s="1" t="s">
        <v>18</v>
      </c>
      <c r="I2685" s="1" t="s">
        <v>249</v>
      </c>
      <c r="J2685" s="1">
        <v>59.0</v>
      </c>
      <c r="K2685" s="1">
        <v>28.0</v>
      </c>
      <c r="L2685" s="1">
        <v>0.0</v>
      </c>
    </row>
    <row r="2686">
      <c r="A2686" s="1">
        <v>6404043.0</v>
      </c>
      <c r="B2686" s="1" t="s">
        <v>5748</v>
      </c>
      <c r="C2686" s="1" t="s">
        <v>5713</v>
      </c>
      <c r="D2686" s="1" t="s">
        <v>5720</v>
      </c>
      <c r="E2686" s="1" t="s">
        <v>5749</v>
      </c>
      <c r="F2686" s="1" t="s">
        <v>16</v>
      </c>
      <c r="G2686" s="1" t="s">
        <v>23</v>
      </c>
      <c r="H2686" s="1" t="s">
        <v>18</v>
      </c>
      <c r="I2686" s="1" t="s">
        <v>19</v>
      </c>
      <c r="J2686" s="1">
        <v>97.0</v>
      </c>
      <c r="K2686" s="1">
        <v>32.0</v>
      </c>
      <c r="L2686" s="1">
        <v>90.0</v>
      </c>
    </row>
    <row r="2687">
      <c r="A2687" s="1">
        <v>6404032.0</v>
      </c>
      <c r="B2687" s="1" t="s">
        <v>5750</v>
      </c>
      <c r="C2687" s="1" t="s">
        <v>5713</v>
      </c>
      <c r="D2687" s="1" t="s">
        <v>5720</v>
      </c>
      <c r="E2687" s="1" t="s">
        <v>5751</v>
      </c>
      <c r="F2687" s="1" t="s">
        <v>16</v>
      </c>
      <c r="G2687" s="1" t="s">
        <v>27</v>
      </c>
      <c r="H2687" s="1" t="s">
        <v>28</v>
      </c>
      <c r="I2687" s="1" t="s">
        <v>40</v>
      </c>
      <c r="J2687" s="1">
        <v>189.0</v>
      </c>
      <c r="K2687" s="1">
        <v>39.0</v>
      </c>
      <c r="L2687" s="1">
        <v>523.0</v>
      </c>
    </row>
    <row r="2688">
      <c r="A2688" s="1">
        <v>6471078.0</v>
      </c>
      <c r="B2688" s="1" t="s">
        <v>5752</v>
      </c>
      <c r="C2688" s="1" t="s">
        <v>5713</v>
      </c>
      <c r="D2688" s="1" t="s">
        <v>5717</v>
      </c>
      <c r="E2688" s="1" t="s">
        <v>5753</v>
      </c>
      <c r="F2688" s="1" t="s">
        <v>16</v>
      </c>
      <c r="G2688" s="1" t="s">
        <v>23</v>
      </c>
      <c r="H2688" s="1" t="s">
        <v>18</v>
      </c>
      <c r="I2688" s="1" t="s">
        <v>563</v>
      </c>
      <c r="J2688" s="1">
        <v>69.0</v>
      </c>
      <c r="K2688" s="1">
        <v>20.0</v>
      </c>
      <c r="L2688" s="1">
        <v>36.0</v>
      </c>
    </row>
    <row r="2689">
      <c r="A2689" s="1">
        <v>6471085.0</v>
      </c>
      <c r="B2689" s="1" t="s">
        <v>5754</v>
      </c>
      <c r="C2689" s="1" t="s">
        <v>5713</v>
      </c>
      <c r="D2689" s="1" t="s">
        <v>5717</v>
      </c>
      <c r="E2689" s="1" t="s">
        <v>5755</v>
      </c>
      <c r="F2689" s="1" t="s">
        <v>55</v>
      </c>
      <c r="G2689" s="1" t="s">
        <v>17</v>
      </c>
      <c r="H2689" s="1" t="s">
        <v>18</v>
      </c>
      <c r="I2689" s="1" t="s">
        <v>44</v>
      </c>
      <c r="J2689" s="1">
        <v>42.0</v>
      </c>
      <c r="K2689" s="1">
        <v>14.0</v>
      </c>
      <c r="L2689" s="1">
        <v>79.0</v>
      </c>
    </row>
    <row r="2690">
      <c r="A2690" s="1">
        <v>6472107.0</v>
      </c>
      <c r="B2690" s="1" t="s">
        <v>5756</v>
      </c>
      <c r="C2690" s="1" t="s">
        <v>5713</v>
      </c>
      <c r="D2690" s="1" t="s">
        <v>5725</v>
      </c>
      <c r="E2690" s="1" t="s">
        <v>5757</v>
      </c>
      <c r="F2690" s="1" t="s">
        <v>16</v>
      </c>
      <c r="G2690" s="1" t="s">
        <v>17</v>
      </c>
      <c r="H2690" s="1" t="s">
        <v>18</v>
      </c>
      <c r="I2690" s="1" t="s">
        <v>19</v>
      </c>
      <c r="J2690" s="1">
        <v>134.0</v>
      </c>
      <c r="K2690" s="1">
        <v>27.0</v>
      </c>
      <c r="L2690" s="1">
        <v>151.0</v>
      </c>
    </row>
    <row r="2691">
      <c r="A2691" s="1">
        <v>6471073.0</v>
      </c>
      <c r="B2691" s="1" t="s">
        <v>5758</v>
      </c>
      <c r="C2691" s="1" t="s">
        <v>5713</v>
      </c>
      <c r="D2691" s="1" t="s">
        <v>5717</v>
      </c>
      <c r="E2691" s="1" t="s">
        <v>5759</v>
      </c>
      <c r="F2691" s="1" t="s">
        <v>16</v>
      </c>
      <c r="G2691" s="1" t="s">
        <v>17</v>
      </c>
      <c r="H2691" s="1" t="s">
        <v>33</v>
      </c>
      <c r="I2691" s="1" t="s">
        <v>65</v>
      </c>
      <c r="J2691" s="1">
        <v>141.0</v>
      </c>
      <c r="K2691" s="1">
        <v>47.0</v>
      </c>
      <c r="L2691" s="1">
        <v>297.0</v>
      </c>
    </row>
    <row r="2692">
      <c r="A2692" s="1">
        <v>6471062.0</v>
      </c>
      <c r="B2692" s="1" t="s">
        <v>773</v>
      </c>
      <c r="C2692" s="1" t="s">
        <v>5713</v>
      </c>
      <c r="D2692" s="1" t="s">
        <v>5717</v>
      </c>
      <c r="E2692" s="1" t="s">
        <v>5760</v>
      </c>
      <c r="F2692" s="1" t="s">
        <v>55</v>
      </c>
      <c r="G2692" s="1" t="s">
        <v>17</v>
      </c>
      <c r="H2692" s="1" t="s">
        <v>28</v>
      </c>
      <c r="I2692" s="1" t="s">
        <v>29</v>
      </c>
      <c r="J2692" s="1">
        <v>41.0</v>
      </c>
      <c r="K2692" s="1">
        <v>10.0</v>
      </c>
      <c r="L2692" s="1">
        <v>160.0</v>
      </c>
    </row>
    <row r="2693">
      <c r="A2693" s="1">
        <v>6474032.0</v>
      </c>
      <c r="B2693" s="1" t="s">
        <v>5761</v>
      </c>
      <c r="C2693" s="1" t="s">
        <v>5713</v>
      </c>
      <c r="D2693" s="1" t="s">
        <v>5744</v>
      </c>
      <c r="E2693" s="1" t="s">
        <v>5762</v>
      </c>
      <c r="F2693" s="1" t="s">
        <v>16</v>
      </c>
      <c r="G2693" s="1" t="s">
        <v>27</v>
      </c>
      <c r="H2693" s="1" t="s">
        <v>28</v>
      </c>
      <c r="I2693" s="1" t="s">
        <v>29</v>
      </c>
      <c r="J2693" s="1">
        <v>200.0</v>
      </c>
      <c r="K2693" s="1">
        <v>112.0</v>
      </c>
      <c r="L2693" s="1">
        <v>598.0</v>
      </c>
    </row>
    <row r="2694">
      <c r="A2694" s="1">
        <v>6409049.0</v>
      </c>
      <c r="B2694" s="1" t="s">
        <v>5763</v>
      </c>
      <c r="C2694" s="1" t="s">
        <v>5713</v>
      </c>
      <c r="D2694" s="1" t="s">
        <v>5731</v>
      </c>
      <c r="E2694" s="1" t="s">
        <v>5764</v>
      </c>
      <c r="F2694" s="1" t="s">
        <v>16</v>
      </c>
      <c r="G2694" s="1" t="s">
        <v>1022</v>
      </c>
      <c r="H2694" s="1" t="s">
        <v>18</v>
      </c>
      <c r="I2694" s="1" t="s">
        <v>19</v>
      </c>
      <c r="J2694" s="1">
        <v>0.0</v>
      </c>
      <c r="K2694" s="1">
        <v>31.0</v>
      </c>
      <c r="L2694" s="1">
        <v>0.0</v>
      </c>
    </row>
    <row r="2695">
      <c r="A2695" s="1">
        <v>6404044.0</v>
      </c>
      <c r="B2695" s="1" t="s">
        <v>5765</v>
      </c>
      <c r="C2695" s="1" t="s">
        <v>5713</v>
      </c>
      <c r="D2695" s="1" t="s">
        <v>5720</v>
      </c>
      <c r="E2695" s="1" t="s">
        <v>5766</v>
      </c>
      <c r="F2695" s="1" t="s">
        <v>16</v>
      </c>
      <c r="G2695" s="1" t="s">
        <v>23</v>
      </c>
      <c r="H2695" s="1" t="s">
        <v>18</v>
      </c>
      <c r="I2695" s="1" t="s">
        <v>19</v>
      </c>
      <c r="J2695" s="1">
        <v>60.0</v>
      </c>
      <c r="K2695" s="1">
        <v>30.0</v>
      </c>
      <c r="L2695" s="1">
        <v>175.0</v>
      </c>
    </row>
    <row r="2696">
      <c r="A2696" s="1">
        <v>6472131.0</v>
      </c>
      <c r="B2696" s="1" t="s">
        <v>5767</v>
      </c>
      <c r="C2696" s="1" t="s">
        <v>5713</v>
      </c>
      <c r="D2696" s="1" t="s">
        <v>5725</v>
      </c>
      <c r="E2696" s="1" t="s">
        <v>5768</v>
      </c>
      <c r="F2696" s="1" t="s">
        <v>272</v>
      </c>
      <c r="G2696" s="1" t="s">
        <v>17</v>
      </c>
      <c r="H2696" s="1" t="s">
        <v>28</v>
      </c>
      <c r="I2696" s="1" t="s">
        <v>139</v>
      </c>
      <c r="J2696" s="1">
        <v>19.0</v>
      </c>
      <c r="K2696" s="1">
        <v>22.0</v>
      </c>
      <c r="L2696" s="1">
        <v>0.0</v>
      </c>
    </row>
    <row r="2697">
      <c r="A2697" s="1">
        <v>6401014.0</v>
      </c>
      <c r="B2697" s="1" t="s">
        <v>5769</v>
      </c>
      <c r="C2697" s="1" t="s">
        <v>5713</v>
      </c>
      <c r="D2697" s="1" t="s">
        <v>5770</v>
      </c>
      <c r="E2697" s="1" t="s">
        <v>5771</v>
      </c>
      <c r="F2697" s="1" t="s">
        <v>16</v>
      </c>
      <c r="G2697" s="1" t="s">
        <v>27</v>
      </c>
      <c r="H2697" s="1" t="s">
        <v>28</v>
      </c>
      <c r="I2697" s="1" t="s">
        <v>40</v>
      </c>
      <c r="J2697" s="1">
        <v>281.0</v>
      </c>
      <c r="K2697" s="1">
        <v>50.0</v>
      </c>
      <c r="L2697" s="1">
        <v>699.0</v>
      </c>
    </row>
    <row r="2698">
      <c r="A2698" s="1">
        <v>6472030.0</v>
      </c>
      <c r="B2698" s="1" t="s">
        <v>5772</v>
      </c>
      <c r="C2698" s="1" t="s">
        <v>5713</v>
      </c>
      <c r="D2698" s="1" t="s">
        <v>5725</v>
      </c>
      <c r="E2698" s="1" t="s">
        <v>5773</v>
      </c>
      <c r="F2698" s="1" t="s">
        <v>16</v>
      </c>
      <c r="G2698" s="1" t="s">
        <v>17</v>
      </c>
      <c r="H2698" s="1" t="s">
        <v>18</v>
      </c>
      <c r="I2698" s="1" t="s">
        <v>59</v>
      </c>
      <c r="J2698" s="1">
        <v>230.0</v>
      </c>
      <c r="K2698" s="1">
        <v>57.0</v>
      </c>
      <c r="L2698" s="1">
        <v>662.0</v>
      </c>
    </row>
    <row r="2699">
      <c r="A2699" s="1">
        <v>6402053.0</v>
      </c>
      <c r="B2699" s="1" t="s">
        <v>5774</v>
      </c>
      <c r="C2699" s="1" t="s">
        <v>5713</v>
      </c>
      <c r="D2699" s="1" t="s">
        <v>5775</v>
      </c>
      <c r="E2699" s="1" t="s">
        <v>5776</v>
      </c>
      <c r="F2699" s="1" t="s">
        <v>16</v>
      </c>
      <c r="G2699" s="1" t="s">
        <v>23</v>
      </c>
      <c r="H2699" s="1" t="s">
        <v>18</v>
      </c>
      <c r="I2699" s="1" t="s">
        <v>19</v>
      </c>
      <c r="J2699" s="1">
        <v>48.0</v>
      </c>
      <c r="K2699" s="1">
        <v>27.0</v>
      </c>
      <c r="L2699" s="1">
        <v>38.0</v>
      </c>
    </row>
    <row r="2700">
      <c r="A2700" s="1">
        <v>6409036.0</v>
      </c>
      <c r="B2700" s="1" t="s">
        <v>5777</v>
      </c>
      <c r="C2700" s="1" t="s">
        <v>5713</v>
      </c>
      <c r="D2700" s="1" t="s">
        <v>5731</v>
      </c>
      <c r="E2700" s="1" t="s">
        <v>5778</v>
      </c>
      <c r="F2700" s="1" t="s">
        <v>16</v>
      </c>
      <c r="G2700" s="1" t="s">
        <v>17</v>
      </c>
      <c r="H2700" s="1" t="s">
        <v>28</v>
      </c>
      <c r="I2700" s="1" t="s">
        <v>40</v>
      </c>
      <c r="J2700" s="1">
        <v>107.0</v>
      </c>
      <c r="K2700" s="1">
        <v>33.0</v>
      </c>
      <c r="L2700" s="1">
        <v>312.0</v>
      </c>
    </row>
    <row r="2701">
      <c r="A2701" s="1">
        <v>6471077.0</v>
      </c>
      <c r="B2701" s="1" t="s">
        <v>5779</v>
      </c>
      <c r="C2701" s="1" t="s">
        <v>5713</v>
      </c>
      <c r="D2701" s="1" t="s">
        <v>5717</v>
      </c>
      <c r="E2701" s="1" t="s">
        <v>5780</v>
      </c>
      <c r="F2701" s="1" t="s">
        <v>16</v>
      </c>
      <c r="G2701" s="1" t="s">
        <v>23</v>
      </c>
      <c r="H2701" s="1" t="s">
        <v>18</v>
      </c>
      <c r="I2701" s="1" t="s">
        <v>19</v>
      </c>
      <c r="J2701" s="1">
        <v>57.0</v>
      </c>
      <c r="K2701" s="1">
        <v>29.0</v>
      </c>
      <c r="L2701" s="1">
        <v>112.0</v>
      </c>
    </row>
    <row r="2702">
      <c r="A2702" s="1">
        <v>6471082.0</v>
      </c>
      <c r="B2702" s="1" t="s">
        <v>5781</v>
      </c>
      <c r="C2702" s="1" t="s">
        <v>5713</v>
      </c>
      <c r="D2702" s="1" t="s">
        <v>5717</v>
      </c>
      <c r="E2702" s="1" t="s">
        <v>5782</v>
      </c>
      <c r="F2702" s="1" t="s">
        <v>272</v>
      </c>
      <c r="G2702" s="1" t="s">
        <v>17</v>
      </c>
      <c r="H2702" s="1" t="s">
        <v>18</v>
      </c>
      <c r="I2702" s="1" t="s">
        <v>44</v>
      </c>
      <c r="J2702" s="1">
        <v>18.0</v>
      </c>
      <c r="K2702" s="1">
        <v>1.0</v>
      </c>
      <c r="L2702" s="1">
        <v>54.0</v>
      </c>
    </row>
    <row r="2703">
      <c r="A2703" s="1">
        <v>6402041.0</v>
      </c>
      <c r="B2703" s="1" t="s">
        <v>5783</v>
      </c>
      <c r="C2703" s="1" t="s">
        <v>5713</v>
      </c>
      <c r="D2703" s="1" t="s">
        <v>5775</v>
      </c>
      <c r="E2703" s="1" t="s">
        <v>5784</v>
      </c>
      <c r="F2703" s="1" t="s">
        <v>16</v>
      </c>
      <c r="G2703" s="1" t="s">
        <v>17</v>
      </c>
      <c r="H2703" s="1" t="s">
        <v>28</v>
      </c>
      <c r="I2703" s="1" t="s">
        <v>40</v>
      </c>
      <c r="J2703" s="1">
        <v>177.0</v>
      </c>
      <c r="K2703" s="1">
        <v>37.0</v>
      </c>
      <c r="L2703" s="1">
        <v>604.0</v>
      </c>
    </row>
    <row r="2704">
      <c r="A2704" s="1">
        <v>6472130.0</v>
      </c>
      <c r="B2704" s="1" t="s">
        <v>5785</v>
      </c>
      <c r="C2704" s="1" t="s">
        <v>5713</v>
      </c>
      <c r="D2704" s="1" t="s">
        <v>5725</v>
      </c>
      <c r="E2704" s="1" t="s">
        <v>5786</v>
      </c>
      <c r="F2704" s="1" t="s">
        <v>16</v>
      </c>
      <c r="G2704" s="1" t="s">
        <v>17</v>
      </c>
      <c r="H2704" s="1" t="s">
        <v>18</v>
      </c>
      <c r="I2704" s="1" t="s">
        <v>44</v>
      </c>
      <c r="J2704" s="1">
        <v>167.0</v>
      </c>
      <c r="K2704" s="1">
        <v>127.0</v>
      </c>
      <c r="L2704" s="1">
        <v>249.0</v>
      </c>
    </row>
    <row r="2705">
      <c r="A2705" s="1">
        <v>6472052.0</v>
      </c>
      <c r="B2705" s="1" t="s">
        <v>5787</v>
      </c>
      <c r="C2705" s="1" t="s">
        <v>5713</v>
      </c>
      <c r="D2705" s="1" t="s">
        <v>5725</v>
      </c>
      <c r="E2705" s="1" t="s">
        <v>5788</v>
      </c>
      <c r="F2705" s="1" t="s">
        <v>55</v>
      </c>
      <c r="G2705" s="1" t="s">
        <v>17</v>
      </c>
      <c r="H2705" s="1" t="s">
        <v>18</v>
      </c>
      <c r="I2705" s="1" t="s">
        <v>59</v>
      </c>
      <c r="J2705" s="1">
        <v>38.0</v>
      </c>
      <c r="K2705" s="1">
        <v>5.0</v>
      </c>
      <c r="L2705" s="1">
        <v>60.0</v>
      </c>
    </row>
    <row r="2706">
      <c r="A2706" s="1">
        <v>6402064.0</v>
      </c>
      <c r="B2706" s="1" t="s">
        <v>5789</v>
      </c>
      <c r="C2706" s="1" t="s">
        <v>5713</v>
      </c>
      <c r="D2706" s="1" t="s">
        <v>5775</v>
      </c>
      <c r="E2706" s="1" t="s">
        <v>5790</v>
      </c>
      <c r="F2706" s="1" t="s">
        <v>16</v>
      </c>
      <c r="G2706" s="1" t="s">
        <v>98</v>
      </c>
      <c r="H2706" s="1" t="s">
        <v>28</v>
      </c>
      <c r="I2706" s="1" t="s">
        <v>40</v>
      </c>
      <c r="J2706" s="1">
        <v>50.0</v>
      </c>
      <c r="K2706" s="1">
        <v>15.0</v>
      </c>
      <c r="L2706" s="1">
        <v>0.0</v>
      </c>
    </row>
    <row r="2707">
      <c r="A2707" s="1">
        <v>6471025.0</v>
      </c>
      <c r="B2707" s="1" t="s">
        <v>5791</v>
      </c>
      <c r="C2707" s="1" t="s">
        <v>5713</v>
      </c>
      <c r="D2707" s="1" t="s">
        <v>5717</v>
      </c>
      <c r="E2707" s="1" t="s">
        <v>5792</v>
      </c>
      <c r="F2707" s="1" t="s">
        <v>16</v>
      </c>
      <c r="G2707" s="1" t="s">
        <v>17</v>
      </c>
      <c r="H2707" s="1" t="s">
        <v>18</v>
      </c>
      <c r="I2707" s="1" t="s">
        <v>113</v>
      </c>
      <c r="J2707" s="1">
        <v>180.0</v>
      </c>
      <c r="K2707" s="1">
        <v>55.0</v>
      </c>
      <c r="L2707" s="1">
        <v>310.0</v>
      </c>
    </row>
    <row r="2708">
      <c r="A2708" s="1">
        <v>6404046.0</v>
      </c>
      <c r="B2708" s="1" t="s">
        <v>5793</v>
      </c>
      <c r="C2708" s="1" t="s">
        <v>5713</v>
      </c>
      <c r="D2708" s="1" t="s">
        <v>5720</v>
      </c>
      <c r="E2708" s="1" t="s">
        <v>5794</v>
      </c>
      <c r="F2708" s="1" t="s">
        <v>16</v>
      </c>
      <c r="G2708" s="1" t="s">
        <v>23</v>
      </c>
      <c r="H2708" s="1" t="s">
        <v>18</v>
      </c>
      <c r="I2708" s="1" t="s">
        <v>19</v>
      </c>
      <c r="J2708" s="1">
        <v>155.0</v>
      </c>
      <c r="K2708" s="1">
        <v>39.0</v>
      </c>
      <c r="L2708" s="1">
        <v>381.0</v>
      </c>
    </row>
    <row r="2709">
      <c r="A2709" s="1">
        <v>6472096.0</v>
      </c>
      <c r="B2709" s="1" t="s">
        <v>5795</v>
      </c>
      <c r="C2709" s="1" t="s">
        <v>5713</v>
      </c>
      <c r="D2709" s="1" t="s">
        <v>5725</v>
      </c>
      <c r="E2709" s="1" t="s">
        <v>5796</v>
      </c>
      <c r="F2709" s="1" t="s">
        <v>16</v>
      </c>
      <c r="G2709" s="1" t="s">
        <v>23</v>
      </c>
      <c r="H2709" s="1" t="s">
        <v>18</v>
      </c>
      <c r="I2709" s="1" t="s">
        <v>59</v>
      </c>
      <c r="J2709" s="1">
        <v>62.0</v>
      </c>
      <c r="K2709" s="1">
        <v>13.0</v>
      </c>
      <c r="L2709" s="1">
        <v>74.0</v>
      </c>
    </row>
    <row r="2710">
      <c r="A2710" s="1">
        <v>6404054.0</v>
      </c>
      <c r="B2710" s="1" t="s">
        <v>5797</v>
      </c>
      <c r="C2710" s="1" t="s">
        <v>5713</v>
      </c>
      <c r="D2710" s="1" t="s">
        <v>5720</v>
      </c>
      <c r="E2710" s="1" t="s">
        <v>5798</v>
      </c>
      <c r="F2710" s="1" t="s">
        <v>16</v>
      </c>
      <c r="G2710" s="1" t="s">
        <v>23</v>
      </c>
      <c r="H2710" s="1" t="s">
        <v>18</v>
      </c>
      <c r="I2710" s="1" t="s">
        <v>44</v>
      </c>
      <c r="J2710" s="1">
        <v>29.0</v>
      </c>
      <c r="K2710" s="1">
        <v>16.0</v>
      </c>
      <c r="L2710" s="1">
        <v>61.0</v>
      </c>
    </row>
    <row r="2711">
      <c r="A2711" s="1">
        <v>6472123.0</v>
      </c>
      <c r="B2711" s="1" t="s">
        <v>5799</v>
      </c>
      <c r="C2711" s="1" t="s">
        <v>5713</v>
      </c>
      <c r="D2711" s="1" t="s">
        <v>5725</v>
      </c>
      <c r="E2711" s="1" t="s">
        <v>5800</v>
      </c>
      <c r="F2711" s="1" t="s">
        <v>16</v>
      </c>
      <c r="G2711" s="1" t="s">
        <v>17</v>
      </c>
      <c r="H2711" s="1" t="s">
        <v>18</v>
      </c>
      <c r="I2711" s="1" t="s">
        <v>44</v>
      </c>
      <c r="J2711" s="1">
        <v>182.0</v>
      </c>
      <c r="K2711" s="1">
        <v>46.0</v>
      </c>
      <c r="L2711" s="1">
        <v>524.0</v>
      </c>
    </row>
    <row r="2712">
      <c r="A2712" s="1">
        <v>6471051.0</v>
      </c>
      <c r="B2712" s="1" t="s">
        <v>5801</v>
      </c>
      <c r="C2712" s="1" t="s">
        <v>5713</v>
      </c>
      <c r="D2712" s="1" t="s">
        <v>5717</v>
      </c>
      <c r="E2712" s="1" t="s">
        <v>5802</v>
      </c>
      <c r="F2712" s="1" t="s">
        <v>16</v>
      </c>
      <c r="G2712" s="1" t="s">
        <v>17</v>
      </c>
      <c r="H2712" s="1" t="s">
        <v>18</v>
      </c>
      <c r="I2712" s="1" t="s">
        <v>19</v>
      </c>
      <c r="J2712" s="1">
        <v>166.0</v>
      </c>
      <c r="K2712" s="1">
        <v>76.0</v>
      </c>
      <c r="L2712" s="1">
        <v>216.0</v>
      </c>
    </row>
    <row r="2713">
      <c r="A2713" s="1">
        <v>6472121.0</v>
      </c>
      <c r="B2713" s="1" t="s">
        <v>5803</v>
      </c>
      <c r="C2713" s="1" t="s">
        <v>5713</v>
      </c>
      <c r="D2713" s="1" t="s">
        <v>5725</v>
      </c>
      <c r="E2713" s="1" t="s">
        <v>5804</v>
      </c>
      <c r="F2713" s="1" t="s">
        <v>55</v>
      </c>
      <c r="G2713" s="1" t="s">
        <v>17</v>
      </c>
      <c r="H2713" s="1" t="s">
        <v>18</v>
      </c>
      <c r="I2713" s="1" t="s">
        <v>19</v>
      </c>
      <c r="J2713" s="1">
        <v>28.0</v>
      </c>
      <c r="K2713" s="1">
        <v>14.0</v>
      </c>
      <c r="L2713" s="1">
        <v>37.0</v>
      </c>
    </row>
    <row r="2714">
      <c r="A2714" s="1">
        <v>6474021.0</v>
      </c>
      <c r="B2714" s="1" t="s">
        <v>5805</v>
      </c>
      <c r="C2714" s="1" t="s">
        <v>5713</v>
      </c>
      <c r="D2714" s="1" t="s">
        <v>5744</v>
      </c>
      <c r="E2714" s="1" t="s">
        <v>5806</v>
      </c>
      <c r="F2714" s="1" t="s">
        <v>16</v>
      </c>
      <c r="G2714" s="1" t="s">
        <v>17</v>
      </c>
      <c r="H2714" s="1" t="s">
        <v>18</v>
      </c>
      <c r="I2714" s="1" t="s">
        <v>19</v>
      </c>
      <c r="J2714" s="1">
        <v>100.0</v>
      </c>
      <c r="K2714" s="1">
        <v>47.0</v>
      </c>
      <c r="L2714" s="1">
        <v>465.0</v>
      </c>
    </row>
    <row r="2715">
      <c r="A2715" s="1">
        <v>6403017.0</v>
      </c>
      <c r="B2715" s="1" t="s">
        <v>5807</v>
      </c>
      <c r="C2715" s="1" t="s">
        <v>5713</v>
      </c>
      <c r="D2715" s="1" t="s">
        <v>5728</v>
      </c>
      <c r="E2715" s="1" t="s">
        <v>5808</v>
      </c>
      <c r="F2715" s="1" t="s">
        <v>16</v>
      </c>
      <c r="G2715" s="1" t="s">
        <v>23</v>
      </c>
      <c r="H2715" s="1" t="s">
        <v>28</v>
      </c>
      <c r="I2715" s="1" t="s">
        <v>40</v>
      </c>
      <c r="J2715" s="1">
        <v>80.0</v>
      </c>
      <c r="K2715" s="1">
        <v>9.0</v>
      </c>
      <c r="L2715" s="1">
        <v>369.0</v>
      </c>
    </row>
    <row r="2716">
      <c r="A2716" s="1">
        <v>6405011.0</v>
      </c>
      <c r="B2716" s="1" t="s">
        <v>5809</v>
      </c>
      <c r="C2716" s="1" t="s">
        <v>5713</v>
      </c>
      <c r="D2716" s="1" t="s">
        <v>5714</v>
      </c>
      <c r="E2716" s="1" t="s">
        <v>5810</v>
      </c>
      <c r="F2716" s="1" t="s">
        <v>16</v>
      </c>
      <c r="G2716" s="1" t="s">
        <v>17</v>
      </c>
      <c r="H2716" s="1" t="s">
        <v>28</v>
      </c>
      <c r="I2716" s="1" t="s">
        <v>40</v>
      </c>
      <c r="J2716" s="1">
        <v>261.0</v>
      </c>
      <c r="K2716" s="1">
        <v>49.0</v>
      </c>
      <c r="L2716" s="1">
        <v>689.0</v>
      </c>
    </row>
    <row r="2717">
      <c r="A2717" s="1">
        <v>6474033.0</v>
      </c>
      <c r="B2717" s="1" t="s">
        <v>5811</v>
      </c>
      <c r="C2717" s="1" t="s">
        <v>5713</v>
      </c>
      <c r="D2717" s="1" t="s">
        <v>5744</v>
      </c>
      <c r="E2717" s="1" t="s">
        <v>5812</v>
      </c>
      <c r="F2717" s="1" t="s">
        <v>16</v>
      </c>
      <c r="G2717" s="1" t="s">
        <v>23</v>
      </c>
      <c r="H2717" s="1" t="s">
        <v>18</v>
      </c>
      <c r="I2717" s="1" t="s">
        <v>19</v>
      </c>
      <c r="J2717" s="1">
        <v>65.0</v>
      </c>
      <c r="K2717" s="1">
        <v>27.0</v>
      </c>
      <c r="L2717" s="1">
        <v>257.0</v>
      </c>
    </row>
    <row r="2718">
      <c r="A2718" s="1">
        <v>6472118.0</v>
      </c>
      <c r="B2718" s="1" t="s">
        <v>5813</v>
      </c>
      <c r="C2718" s="1" t="s">
        <v>5713</v>
      </c>
      <c r="D2718" s="1" t="s">
        <v>5725</v>
      </c>
      <c r="E2718" s="1" t="s">
        <v>5814</v>
      </c>
      <c r="F2718" s="1" t="s">
        <v>16</v>
      </c>
      <c r="G2718" s="1" t="s">
        <v>17</v>
      </c>
      <c r="H2718" s="1" t="s">
        <v>28</v>
      </c>
      <c r="I2718" s="1" t="s">
        <v>29</v>
      </c>
      <c r="J2718" s="1">
        <v>134.0</v>
      </c>
      <c r="K2718" s="1">
        <v>41.0</v>
      </c>
      <c r="L2718" s="1">
        <v>231.0</v>
      </c>
    </row>
    <row r="2719">
      <c r="A2719" s="1">
        <v>6472015.0</v>
      </c>
      <c r="B2719" s="1" t="s">
        <v>5815</v>
      </c>
      <c r="C2719" s="1" t="s">
        <v>5713</v>
      </c>
      <c r="D2719" s="1" t="s">
        <v>5725</v>
      </c>
      <c r="E2719" s="1" t="s">
        <v>5816</v>
      </c>
      <c r="F2719" s="1" t="s">
        <v>16</v>
      </c>
      <c r="G2719" s="1" t="s">
        <v>150</v>
      </c>
      <c r="H2719" s="1" t="s">
        <v>28</v>
      </c>
      <c r="I2719" s="1" t="s">
        <v>139</v>
      </c>
      <c r="J2719" s="1">
        <v>572.0</v>
      </c>
      <c r="K2719" s="1">
        <v>61.0</v>
      </c>
      <c r="L2719" s="1">
        <v>2285.0</v>
      </c>
    </row>
    <row r="2720">
      <c r="A2720" s="1">
        <v>6474034.0</v>
      </c>
      <c r="B2720" s="1" t="s">
        <v>5817</v>
      </c>
      <c r="C2720" s="1" t="s">
        <v>5713</v>
      </c>
      <c r="D2720" s="1" t="s">
        <v>5744</v>
      </c>
      <c r="E2720" s="1" t="s">
        <v>5818</v>
      </c>
      <c r="F2720" s="1" t="s">
        <v>16</v>
      </c>
      <c r="G2720" s="1" t="s">
        <v>17</v>
      </c>
      <c r="H2720" s="1" t="s">
        <v>18</v>
      </c>
      <c r="I2720" s="1" t="s">
        <v>19</v>
      </c>
      <c r="J2720" s="1">
        <v>99.0</v>
      </c>
      <c r="K2720" s="1">
        <v>32.0</v>
      </c>
      <c r="L2720" s="1">
        <v>170.0</v>
      </c>
    </row>
    <row r="2721">
      <c r="A2721" s="1">
        <v>6404051.0</v>
      </c>
      <c r="B2721" s="1" t="s">
        <v>5819</v>
      </c>
      <c r="C2721" s="1" t="s">
        <v>5713</v>
      </c>
      <c r="D2721" s="1" t="s">
        <v>5720</v>
      </c>
      <c r="E2721" s="1" t="s">
        <v>5820</v>
      </c>
      <c r="F2721" s="1" t="s">
        <v>16</v>
      </c>
      <c r="G2721" s="1" t="s">
        <v>23</v>
      </c>
      <c r="H2721" s="1" t="s">
        <v>28</v>
      </c>
      <c r="I2721" s="1" t="s">
        <v>40</v>
      </c>
      <c r="J2721" s="1">
        <v>55.0</v>
      </c>
      <c r="K2721" s="1">
        <v>22.0</v>
      </c>
      <c r="L2721" s="1">
        <v>139.0</v>
      </c>
    </row>
    <row r="2722">
      <c r="A2722" s="1">
        <v>6472124.0</v>
      </c>
      <c r="B2722" s="1" t="s">
        <v>5821</v>
      </c>
      <c r="C2722" s="1" t="s">
        <v>5713</v>
      </c>
      <c r="D2722" s="1" t="s">
        <v>5725</v>
      </c>
      <c r="E2722" s="1" t="s">
        <v>5822</v>
      </c>
      <c r="F2722" s="1" t="s">
        <v>16</v>
      </c>
      <c r="G2722" s="1" t="s">
        <v>17</v>
      </c>
      <c r="H2722" s="1" t="s">
        <v>18</v>
      </c>
      <c r="I2722" s="1" t="s">
        <v>44</v>
      </c>
      <c r="J2722" s="1">
        <v>70.0</v>
      </c>
      <c r="K2722" s="1">
        <v>41.0</v>
      </c>
      <c r="L2722" s="1">
        <v>105.0</v>
      </c>
    </row>
    <row r="2723">
      <c r="A2723" s="1">
        <v>6471075.0</v>
      </c>
      <c r="B2723" s="1" t="s">
        <v>5823</v>
      </c>
      <c r="C2723" s="1" t="s">
        <v>5713</v>
      </c>
      <c r="D2723" s="1" t="s">
        <v>5717</v>
      </c>
      <c r="E2723" s="1" t="s">
        <v>5824</v>
      </c>
      <c r="F2723" s="1" t="s">
        <v>16</v>
      </c>
      <c r="G2723" s="1" t="s">
        <v>27</v>
      </c>
      <c r="H2723" s="1" t="s">
        <v>18</v>
      </c>
      <c r="I2723" s="1" t="s">
        <v>19</v>
      </c>
      <c r="J2723" s="1">
        <v>205.0</v>
      </c>
      <c r="K2723" s="1">
        <v>85.0</v>
      </c>
      <c r="L2723" s="1">
        <v>397.0</v>
      </c>
    </row>
    <row r="2724">
      <c r="A2724" s="1">
        <v>6411001.0</v>
      </c>
      <c r="B2724" s="1" t="s">
        <v>5825</v>
      </c>
      <c r="C2724" s="1" t="s">
        <v>5713</v>
      </c>
      <c r="D2724" s="1" t="s">
        <v>5826</v>
      </c>
      <c r="E2724" s="1" t="s">
        <v>5827</v>
      </c>
      <c r="F2724" s="1" t="s">
        <v>16</v>
      </c>
      <c r="G2724" s="1" t="s">
        <v>98</v>
      </c>
      <c r="H2724" s="1" t="s">
        <v>18</v>
      </c>
      <c r="I2724" s="1" t="s">
        <v>40</v>
      </c>
      <c r="J2724" s="1">
        <v>62.0</v>
      </c>
      <c r="K2724" s="1">
        <v>16.0</v>
      </c>
      <c r="L2724" s="1">
        <v>198.0</v>
      </c>
    </row>
    <row r="2725">
      <c r="A2725" s="1">
        <v>6403015.0</v>
      </c>
      <c r="B2725" s="1" t="s">
        <v>5828</v>
      </c>
      <c r="C2725" s="1" t="s">
        <v>5713</v>
      </c>
      <c r="D2725" s="1" t="s">
        <v>5728</v>
      </c>
      <c r="E2725" s="1" t="s">
        <v>5829</v>
      </c>
      <c r="F2725" s="1" t="s">
        <v>16</v>
      </c>
      <c r="G2725" s="1" t="s">
        <v>27</v>
      </c>
      <c r="H2725" s="1" t="s">
        <v>28</v>
      </c>
      <c r="I2725" s="1" t="s">
        <v>40</v>
      </c>
      <c r="J2725" s="1">
        <v>281.0</v>
      </c>
      <c r="K2725" s="1">
        <v>101.0</v>
      </c>
      <c r="L2725" s="1">
        <v>966.0</v>
      </c>
    </row>
    <row r="2726">
      <c r="A2726" s="1">
        <v>6471079.0</v>
      </c>
      <c r="B2726" s="1" t="s">
        <v>5830</v>
      </c>
      <c r="C2726" s="1" t="s">
        <v>5713</v>
      </c>
      <c r="D2726" s="1" t="s">
        <v>5717</v>
      </c>
      <c r="E2726" s="1" t="s">
        <v>5831</v>
      </c>
      <c r="F2726" s="1" t="s">
        <v>16</v>
      </c>
      <c r="G2726" s="1" t="s">
        <v>17</v>
      </c>
      <c r="H2726" s="1" t="s">
        <v>28</v>
      </c>
      <c r="I2726" s="1" t="s">
        <v>29</v>
      </c>
      <c r="J2726" s="1">
        <v>147.0</v>
      </c>
      <c r="K2726" s="1">
        <v>46.0</v>
      </c>
      <c r="L2726" s="1">
        <v>423.0</v>
      </c>
    </row>
    <row r="2727">
      <c r="A2727" s="1">
        <v>6472128.0</v>
      </c>
      <c r="B2727" s="1" t="s">
        <v>5832</v>
      </c>
      <c r="C2727" s="1" t="s">
        <v>5713</v>
      </c>
      <c r="D2727" s="1" t="s">
        <v>5725</v>
      </c>
      <c r="E2727" s="1" t="s">
        <v>5833</v>
      </c>
      <c r="F2727" s="1" t="s">
        <v>16</v>
      </c>
      <c r="G2727" s="1" t="s">
        <v>23</v>
      </c>
      <c r="H2727" s="1" t="s">
        <v>28</v>
      </c>
      <c r="I2727" s="1" t="s">
        <v>139</v>
      </c>
      <c r="J2727" s="1">
        <v>21.0</v>
      </c>
      <c r="K2727" s="1">
        <v>25.0</v>
      </c>
      <c r="L2727" s="1">
        <v>111.0</v>
      </c>
    </row>
    <row r="2728">
      <c r="A2728" s="1">
        <v>6472041.0</v>
      </c>
      <c r="B2728" s="1" t="s">
        <v>5834</v>
      </c>
      <c r="C2728" s="1" t="s">
        <v>5713</v>
      </c>
      <c r="D2728" s="1" t="s">
        <v>5725</v>
      </c>
      <c r="E2728" s="1" t="s">
        <v>5835</v>
      </c>
      <c r="F2728" s="1" t="s">
        <v>16</v>
      </c>
      <c r="G2728" s="1" t="s">
        <v>23</v>
      </c>
      <c r="H2728" s="1" t="s">
        <v>18</v>
      </c>
      <c r="I2728" s="1" t="s">
        <v>74</v>
      </c>
      <c r="J2728" s="1">
        <v>54.0</v>
      </c>
      <c r="K2728" s="1">
        <v>87.0</v>
      </c>
      <c r="L2728" s="1">
        <v>169.0</v>
      </c>
    </row>
    <row r="2729">
      <c r="A2729" s="1">
        <v>6471086.0</v>
      </c>
      <c r="B2729" s="1" t="s">
        <v>5836</v>
      </c>
      <c r="C2729" s="1" t="s">
        <v>5713</v>
      </c>
      <c r="D2729" s="1" t="s">
        <v>5717</v>
      </c>
      <c r="E2729" s="1" t="s">
        <v>5837</v>
      </c>
      <c r="F2729" s="1" t="s">
        <v>16</v>
      </c>
      <c r="G2729" s="1" t="s">
        <v>17</v>
      </c>
      <c r="H2729" s="1" t="s">
        <v>18</v>
      </c>
      <c r="I2729" s="1" t="s">
        <v>19</v>
      </c>
      <c r="J2729" s="1">
        <v>131.0</v>
      </c>
      <c r="K2729" s="1">
        <v>70.0</v>
      </c>
      <c r="L2729" s="1">
        <v>228.0</v>
      </c>
    </row>
    <row r="2730">
      <c r="A2730" s="1">
        <v>6571045.0</v>
      </c>
      <c r="B2730" s="1" t="s">
        <v>5838</v>
      </c>
      <c r="C2730" s="1" t="s">
        <v>5839</v>
      </c>
      <c r="D2730" s="1" t="s">
        <v>5840</v>
      </c>
      <c r="E2730" s="1" t="s">
        <v>5841</v>
      </c>
      <c r="F2730" s="1" t="s">
        <v>16</v>
      </c>
      <c r="G2730" s="1" t="s">
        <v>23</v>
      </c>
      <c r="H2730" s="1" t="s">
        <v>18</v>
      </c>
      <c r="I2730" s="1" t="s">
        <v>65</v>
      </c>
      <c r="J2730" s="1">
        <v>71.0</v>
      </c>
      <c r="K2730" s="1">
        <v>3.0</v>
      </c>
      <c r="L2730" s="1">
        <v>0.0</v>
      </c>
    </row>
    <row r="2731">
      <c r="A2731" s="1">
        <v>6473043.0</v>
      </c>
      <c r="B2731" s="1" t="s">
        <v>5842</v>
      </c>
      <c r="C2731" s="1" t="s">
        <v>5839</v>
      </c>
      <c r="D2731" s="1" t="s">
        <v>5840</v>
      </c>
      <c r="E2731" s="1" t="s">
        <v>5843</v>
      </c>
      <c r="F2731" s="1" t="s">
        <v>16</v>
      </c>
      <c r="G2731" s="1" t="s">
        <v>17</v>
      </c>
      <c r="H2731" s="1" t="s">
        <v>18</v>
      </c>
      <c r="I2731" s="1" t="s">
        <v>113</v>
      </c>
      <c r="J2731" s="1">
        <v>102.0</v>
      </c>
      <c r="K2731" s="1">
        <v>28.0</v>
      </c>
      <c r="L2731" s="1">
        <v>186.0</v>
      </c>
    </row>
    <row r="2732">
      <c r="A2732" s="1">
        <v>6473016.0</v>
      </c>
      <c r="B2732" s="1" t="s">
        <v>5844</v>
      </c>
      <c r="C2732" s="1" t="s">
        <v>5839</v>
      </c>
      <c r="D2732" s="1" t="s">
        <v>5840</v>
      </c>
      <c r="E2732" s="1" t="s">
        <v>5845</v>
      </c>
      <c r="F2732" s="1" t="s">
        <v>16</v>
      </c>
      <c r="G2732" s="1" t="s">
        <v>27</v>
      </c>
      <c r="H2732" s="1" t="s">
        <v>28</v>
      </c>
      <c r="I2732" s="1" t="s">
        <v>139</v>
      </c>
      <c r="J2732" s="1">
        <v>343.0</v>
      </c>
      <c r="K2732" s="1">
        <v>44.0</v>
      </c>
      <c r="L2732" s="1">
        <v>1199.0</v>
      </c>
    </row>
    <row r="2733">
      <c r="A2733" s="1">
        <v>6501013.0</v>
      </c>
      <c r="B2733" s="1" t="s">
        <v>5846</v>
      </c>
      <c r="C2733" s="1" t="s">
        <v>5839</v>
      </c>
      <c r="D2733" s="1" t="s">
        <v>5847</v>
      </c>
      <c r="E2733" s="1" t="s">
        <v>5848</v>
      </c>
      <c r="F2733" s="1" t="s">
        <v>16</v>
      </c>
      <c r="G2733" s="1" t="s">
        <v>98</v>
      </c>
      <c r="H2733" s="1" t="s">
        <v>18</v>
      </c>
      <c r="I2733" s="1" t="s">
        <v>40</v>
      </c>
      <c r="J2733" s="1">
        <v>20.0</v>
      </c>
      <c r="K2733" s="1">
        <v>4.0</v>
      </c>
      <c r="L2733" s="1">
        <v>17.0</v>
      </c>
    </row>
    <row r="2734">
      <c r="A2734" s="1">
        <v>6504027.0</v>
      </c>
      <c r="B2734" s="1" t="s">
        <v>5849</v>
      </c>
      <c r="C2734" s="1" t="s">
        <v>5839</v>
      </c>
      <c r="D2734" s="1" t="s">
        <v>5850</v>
      </c>
      <c r="E2734" s="1" t="s">
        <v>5851</v>
      </c>
      <c r="F2734" s="1" t="s">
        <v>16</v>
      </c>
      <c r="G2734" s="1" t="s">
        <v>98</v>
      </c>
      <c r="H2734" s="1" t="s">
        <v>18</v>
      </c>
      <c r="I2734" s="1" t="s">
        <v>40</v>
      </c>
      <c r="J2734" s="1">
        <v>50.0</v>
      </c>
      <c r="K2734" s="1">
        <v>11.0</v>
      </c>
      <c r="L2734" s="1">
        <v>50.0</v>
      </c>
    </row>
    <row r="2735">
      <c r="A2735" s="1">
        <v>6504038.0</v>
      </c>
      <c r="B2735" s="1" t="s">
        <v>5852</v>
      </c>
      <c r="C2735" s="1" t="s">
        <v>5839</v>
      </c>
      <c r="D2735" s="1" t="s">
        <v>5850</v>
      </c>
      <c r="E2735" s="1" t="s">
        <v>5853</v>
      </c>
      <c r="F2735" s="1" t="s">
        <v>16</v>
      </c>
      <c r="G2735" s="1" t="s">
        <v>98</v>
      </c>
      <c r="H2735" s="1" t="s">
        <v>18</v>
      </c>
      <c r="I2735" s="1" t="s">
        <v>40</v>
      </c>
      <c r="J2735" s="1">
        <v>14.0</v>
      </c>
      <c r="K2735" s="1">
        <v>15.0</v>
      </c>
      <c r="L2735" s="1">
        <v>0.0</v>
      </c>
    </row>
    <row r="2736">
      <c r="A2736" s="1">
        <v>6503013.0</v>
      </c>
      <c r="B2736" s="1" t="s">
        <v>5854</v>
      </c>
      <c r="C2736" s="1" t="s">
        <v>5839</v>
      </c>
      <c r="D2736" s="1" t="s">
        <v>5855</v>
      </c>
      <c r="E2736" s="1" t="s">
        <v>5856</v>
      </c>
      <c r="F2736" s="1" t="s">
        <v>16</v>
      </c>
      <c r="G2736" s="1" t="s">
        <v>98</v>
      </c>
      <c r="H2736" s="1" t="s">
        <v>18</v>
      </c>
      <c r="I2736" s="1" t="s">
        <v>40</v>
      </c>
      <c r="J2736" s="1">
        <v>42.0</v>
      </c>
      <c r="K2736" s="1">
        <v>10.0</v>
      </c>
      <c r="L2736" s="1">
        <v>0.0</v>
      </c>
    </row>
    <row r="2737">
      <c r="A2737" s="1">
        <v>6571044.0</v>
      </c>
      <c r="B2737" s="1" t="s">
        <v>5857</v>
      </c>
      <c r="C2737" s="1" t="s">
        <v>5839</v>
      </c>
      <c r="D2737" s="1" t="s">
        <v>5840</v>
      </c>
      <c r="E2737" s="1" t="s">
        <v>5858</v>
      </c>
      <c r="F2737" s="1" t="s">
        <v>16</v>
      </c>
      <c r="G2737" s="1" t="s">
        <v>17</v>
      </c>
      <c r="H2737" s="1" t="s">
        <v>28</v>
      </c>
      <c r="I2737" s="1" t="s">
        <v>29</v>
      </c>
      <c r="J2737" s="1">
        <v>144.0</v>
      </c>
      <c r="K2737" s="1">
        <v>32.0</v>
      </c>
      <c r="L2737" s="1">
        <v>366.0</v>
      </c>
    </row>
    <row r="2738">
      <c r="A2738" s="1">
        <v>6408014.0</v>
      </c>
      <c r="B2738" s="1" t="s">
        <v>5859</v>
      </c>
      <c r="C2738" s="1" t="s">
        <v>5839</v>
      </c>
      <c r="D2738" s="1" t="s">
        <v>5847</v>
      </c>
      <c r="E2738" s="1" t="s">
        <v>5860</v>
      </c>
      <c r="F2738" s="1" t="s">
        <v>16</v>
      </c>
      <c r="G2738" s="1" t="s">
        <v>98</v>
      </c>
      <c r="H2738" s="1" t="s">
        <v>18</v>
      </c>
      <c r="I2738" s="1" t="s">
        <v>40</v>
      </c>
      <c r="J2738" s="1">
        <v>10.0</v>
      </c>
      <c r="K2738" s="1">
        <v>9.0</v>
      </c>
      <c r="L2738" s="1">
        <v>23.0</v>
      </c>
    </row>
    <row r="2739">
      <c r="A2739" s="1">
        <v>6502011.0</v>
      </c>
      <c r="B2739" s="1" t="s">
        <v>5861</v>
      </c>
      <c r="C2739" s="1" t="s">
        <v>5839</v>
      </c>
      <c r="D2739" s="1" t="s">
        <v>5862</v>
      </c>
      <c r="E2739" s="1" t="s">
        <v>5863</v>
      </c>
      <c r="F2739" s="1" t="s">
        <v>16</v>
      </c>
      <c r="G2739" s="1" t="s">
        <v>23</v>
      </c>
      <c r="H2739" s="1" t="s">
        <v>18</v>
      </c>
      <c r="I2739" s="1" t="s">
        <v>74</v>
      </c>
      <c r="J2739" s="1">
        <v>66.0</v>
      </c>
      <c r="K2739" s="1">
        <v>20.0</v>
      </c>
      <c r="L2739" s="1">
        <v>0.0</v>
      </c>
    </row>
    <row r="2740">
      <c r="A2740" s="1">
        <v>6473042.0</v>
      </c>
      <c r="B2740" s="1" t="s">
        <v>5864</v>
      </c>
      <c r="C2740" s="1" t="s">
        <v>5839</v>
      </c>
      <c r="D2740" s="1" t="s">
        <v>5840</v>
      </c>
      <c r="E2740" s="1" t="s">
        <v>5865</v>
      </c>
      <c r="F2740" s="1" t="s">
        <v>16</v>
      </c>
      <c r="G2740" s="1" t="s">
        <v>23</v>
      </c>
      <c r="H2740" s="1" t="s">
        <v>18</v>
      </c>
      <c r="I2740" s="1" t="s">
        <v>95</v>
      </c>
      <c r="J2740" s="1">
        <v>88.0</v>
      </c>
      <c r="K2740" s="1">
        <v>32.0</v>
      </c>
      <c r="L2740" s="1">
        <v>74.0</v>
      </c>
    </row>
    <row r="2741">
      <c r="A2741" s="1">
        <v>6404021.0</v>
      </c>
      <c r="B2741" s="1" t="s">
        <v>5866</v>
      </c>
      <c r="C2741" s="1" t="s">
        <v>5839</v>
      </c>
      <c r="D2741" s="1" t="s">
        <v>5862</v>
      </c>
      <c r="E2741" s="1" t="s">
        <v>5867</v>
      </c>
      <c r="F2741" s="1" t="s">
        <v>16</v>
      </c>
      <c r="G2741" s="1" t="s">
        <v>17</v>
      </c>
      <c r="H2741" s="1" t="s">
        <v>28</v>
      </c>
      <c r="I2741" s="1" t="s">
        <v>40</v>
      </c>
      <c r="J2741" s="1">
        <v>303.0</v>
      </c>
      <c r="K2741" s="1">
        <v>45.0</v>
      </c>
      <c r="L2741" s="1">
        <v>344.0</v>
      </c>
    </row>
    <row r="2742">
      <c r="A2742" s="1">
        <v>6406012.0</v>
      </c>
      <c r="B2742" s="1" t="s">
        <v>5868</v>
      </c>
      <c r="C2742" s="1" t="s">
        <v>5839</v>
      </c>
      <c r="D2742" s="1" t="s">
        <v>5847</v>
      </c>
      <c r="E2742" s="1" t="s">
        <v>5869</v>
      </c>
      <c r="F2742" s="1" t="s">
        <v>16</v>
      </c>
      <c r="G2742" s="1" t="s">
        <v>17</v>
      </c>
      <c r="H2742" s="1" t="s">
        <v>28</v>
      </c>
      <c r="I2742" s="1" t="s">
        <v>40</v>
      </c>
      <c r="J2742" s="1">
        <v>168.0</v>
      </c>
      <c r="K2742" s="1">
        <v>46.0</v>
      </c>
      <c r="L2742" s="1">
        <v>165.0</v>
      </c>
    </row>
    <row r="2743">
      <c r="A2743" s="1">
        <v>6571056.0</v>
      </c>
      <c r="B2743" s="1" t="s">
        <v>5870</v>
      </c>
      <c r="C2743" s="1" t="s">
        <v>5839</v>
      </c>
      <c r="D2743" s="1" t="s">
        <v>5840</v>
      </c>
      <c r="E2743" s="1" t="s">
        <v>5871</v>
      </c>
      <c r="F2743" s="1" t="s">
        <v>16</v>
      </c>
      <c r="G2743" s="1" t="s">
        <v>23</v>
      </c>
      <c r="H2743" s="1" t="s">
        <v>18</v>
      </c>
      <c r="I2743" s="1" t="s">
        <v>19</v>
      </c>
      <c r="J2743" s="1">
        <v>47.0</v>
      </c>
      <c r="K2743" s="1">
        <v>25.0</v>
      </c>
      <c r="L2743" s="1">
        <v>0.0</v>
      </c>
    </row>
    <row r="2744">
      <c r="A2744" s="1">
        <v>6504039.0</v>
      </c>
      <c r="B2744" s="1" t="s">
        <v>5872</v>
      </c>
      <c r="C2744" s="1" t="s">
        <v>5839</v>
      </c>
      <c r="D2744" s="1" t="s">
        <v>5850</v>
      </c>
      <c r="E2744" s="1" t="s">
        <v>5873</v>
      </c>
      <c r="F2744" s="1" t="s">
        <v>16</v>
      </c>
      <c r="G2744" s="1" t="s">
        <v>98</v>
      </c>
      <c r="H2744" s="1" t="s">
        <v>18</v>
      </c>
      <c r="I2744" s="1" t="s">
        <v>40</v>
      </c>
      <c r="J2744" s="1">
        <v>17.0</v>
      </c>
      <c r="K2744" s="1">
        <v>5.0</v>
      </c>
      <c r="L2744" s="1">
        <v>0.0</v>
      </c>
    </row>
    <row r="2745">
      <c r="A2745" s="1">
        <v>6408025.0</v>
      </c>
      <c r="B2745" s="1" t="s">
        <v>5874</v>
      </c>
      <c r="C2745" s="1" t="s">
        <v>5839</v>
      </c>
      <c r="D2745" s="1" t="s">
        <v>5850</v>
      </c>
      <c r="E2745" s="1" t="s">
        <v>5875</v>
      </c>
      <c r="F2745" s="1" t="s">
        <v>16</v>
      </c>
      <c r="G2745" s="1" t="s">
        <v>17</v>
      </c>
      <c r="H2745" s="1" t="s">
        <v>28</v>
      </c>
      <c r="I2745" s="1" t="s">
        <v>40</v>
      </c>
      <c r="J2745" s="1">
        <v>245.0</v>
      </c>
      <c r="K2745" s="1">
        <v>71.0</v>
      </c>
      <c r="L2745" s="1">
        <v>284.0</v>
      </c>
    </row>
    <row r="2746">
      <c r="A2746" s="1">
        <v>6503002.0</v>
      </c>
      <c r="B2746" s="1" t="s">
        <v>5876</v>
      </c>
      <c r="C2746" s="1" t="s">
        <v>5839</v>
      </c>
      <c r="D2746" s="1" t="s">
        <v>5855</v>
      </c>
      <c r="E2746" s="1" t="s">
        <v>5877</v>
      </c>
      <c r="F2746" s="1" t="s">
        <v>16</v>
      </c>
      <c r="G2746" s="1" t="s">
        <v>23</v>
      </c>
      <c r="H2746" s="1" t="s">
        <v>28</v>
      </c>
      <c r="I2746" s="1" t="s">
        <v>40</v>
      </c>
      <c r="J2746" s="1">
        <v>56.0</v>
      </c>
      <c r="K2746" s="1">
        <v>16.0</v>
      </c>
      <c r="L2746" s="1">
        <v>55.0</v>
      </c>
    </row>
    <row r="2747">
      <c r="A2747" s="1">
        <v>7102120.0</v>
      </c>
      <c r="B2747" s="1" t="s">
        <v>5878</v>
      </c>
      <c r="C2747" s="1" t="s">
        <v>5879</v>
      </c>
      <c r="D2747" s="1" t="s">
        <v>5880</v>
      </c>
      <c r="E2747" s="1" t="s">
        <v>5881</v>
      </c>
      <c r="F2747" s="1" t="s">
        <v>16</v>
      </c>
      <c r="G2747" s="1" t="s">
        <v>17</v>
      </c>
      <c r="H2747" s="1" t="s">
        <v>18</v>
      </c>
      <c r="I2747" s="1" t="s">
        <v>139</v>
      </c>
      <c r="J2747" s="1">
        <v>130.0</v>
      </c>
      <c r="K2747" s="1">
        <v>72.0</v>
      </c>
      <c r="L2747" s="1">
        <v>352.0</v>
      </c>
    </row>
    <row r="2748">
      <c r="A2748" s="1">
        <v>7109028.0</v>
      </c>
      <c r="B2748" s="1" t="s">
        <v>5882</v>
      </c>
      <c r="C2748" s="1" t="s">
        <v>5879</v>
      </c>
      <c r="D2748" s="1" t="s">
        <v>5883</v>
      </c>
      <c r="E2748" s="1" t="s">
        <v>5884</v>
      </c>
      <c r="F2748" s="1" t="s">
        <v>16</v>
      </c>
      <c r="G2748" s="1" t="s">
        <v>17</v>
      </c>
      <c r="H2748" s="1" t="s">
        <v>18</v>
      </c>
      <c r="I2748" s="1" t="s">
        <v>411</v>
      </c>
      <c r="J2748" s="1">
        <v>100.0</v>
      </c>
      <c r="K2748" s="1">
        <v>22.0</v>
      </c>
      <c r="L2748" s="1">
        <v>109.0</v>
      </c>
    </row>
    <row r="2749">
      <c r="A2749" s="1">
        <v>7101037.0</v>
      </c>
      <c r="B2749" s="1" t="s">
        <v>5885</v>
      </c>
      <c r="C2749" s="1" t="s">
        <v>5879</v>
      </c>
      <c r="D2749" s="1" t="s">
        <v>5886</v>
      </c>
      <c r="E2749" s="1" t="s">
        <v>5887</v>
      </c>
      <c r="F2749" s="1" t="s">
        <v>16</v>
      </c>
      <c r="G2749" s="1" t="s">
        <v>17</v>
      </c>
      <c r="H2749" s="1" t="s">
        <v>18</v>
      </c>
      <c r="I2749" s="1" t="s">
        <v>44</v>
      </c>
      <c r="J2749" s="1">
        <v>88.0</v>
      </c>
      <c r="K2749" s="1">
        <v>26.0</v>
      </c>
      <c r="L2749" s="1">
        <v>116.0</v>
      </c>
    </row>
    <row r="2750">
      <c r="A2750" s="1">
        <v>7102040.0</v>
      </c>
      <c r="B2750" s="1" t="s">
        <v>5888</v>
      </c>
      <c r="C2750" s="1" t="s">
        <v>5879</v>
      </c>
      <c r="D2750" s="1" t="s">
        <v>5880</v>
      </c>
      <c r="E2750" s="1" t="s">
        <v>5889</v>
      </c>
      <c r="F2750" s="1" t="s">
        <v>16</v>
      </c>
      <c r="G2750" s="1" t="s">
        <v>23</v>
      </c>
      <c r="H2750" s="1" t="s">
        <v>18</v>
      </c>
      <c r="I2750" s="1" t="s">
        <v>258</v>
      </c>
      <c r="J2750" s="1">
        <v>131.0</v>
      </c>
      <c r="K2750" s="1">
        <v>90.0</v>
      </c>
      <c r="L2750" s="1">
        <v>58.0</v>
      </c>
    </row>
    <row r="2751">
      <c r="A2751" s="1">
        <v>7171108.0</v>
      </c>
      <c r="B2751" s="1" t="s">
        <v>5890</v>
      </c>
      <c r="C2751" s="1" t="s">
        <v>5879</v>
      </c>
      <c r="D2751" s="1" t="s">
        <v>5891</v>
      </c>
      <c r="E2751" s="1" t="s">
        <v>5892</v>
      </c>
      <c r="F2751" s="1" t="s">
        <v>32</v>
      </c>
      <c r="G2751" s="1" t="s">
        <v>17</v>
      </c>
      <c r="H2751" s="1" t="s">
        <v>18</v>
      </c>
      <c r="I2751" s="1" t="s">
        <v>29</v>
      </c>
      <c r="J2751" s="1">
        <v>11.0</v>
      </c>
      <c r="K2751" s="1">
        <v>11.0</v>
      </c>
      <c r="L2751" s="1">
        <v>46.0</v>
      </c>
    </row>
    <row r="2752">
      <c r="A2752" s="1">
        <v>7106020.0</v>
      </c>
      <c r="B2752" s="1" t="s">
        <v>5893</v>
      </c>
      <c r="C2752" s="1" t="s">
        <v>5879</v>
      </c>
      <c r="D2752" s="1" t="s">
        <v>5894</v>
      </c>
      <c r="E2752" s="1" t="s">
        <v>5895</v>
      </c>
      <c r="F2752" s="1" t="s">
        <v>16</v>
      </c>
      <c r="G2752" s="1" t="s">
        <v>27</v>
      </c>
      <c r="H2752" s="1" t="s">
        <v>33</v>
      </c>
      <c r="I2752" s="1" t="s">
        <v>19</v>
      </c>
      <c r="J2752" s="1">
        <v>202.0</v>
      </c>
      <c r="K2752" s="1">
        <v>82.0</v>
      </c>
      <c r="L2752" s="1">
        <v>152.0</v>
      </c>
    </row>
    <row r="2753">
      <c r="A2753" s="1">
        <v>7171072.0</v>
      </c>
      <c r="B2753" s="1" t="s">
        <v>2380</v>
      </c>
      <c r="C2753" s="1" t="s">
        <v>5879</v>
      </c>
      <c r="D2753" s="1" t="s">
        <v>5891</v>
      </c>
      <c r="E2753" s="1" t="s">
        <v>5896</v>
      </c>
      <c r="F2753" s="1" t="s">
        <v>16</v>
      </c>
      <c r="G2753" s="1" t="s">
        <v>23</v>
      </c>
      <c r="H2753" s="1" t="s">
        <v>18</v>
      </c>
      <c r="I2753" s="1" t="s">
        <v>59</v>
      </c>
      <c r="J2753" s="1">
        <v>65.0</v>
      </c>
      <c r="K2753" s="1">
        <v>22.0</v>
      </c>
      <c r="L2753" s="1">
        <v>122.0</v>
      </c>
    </row>
    <row r="2754">
      <c r="A2754" s="1">
        <v>7103039.0</v>
      </c>
      <c r="B2754" s="1" t="s">
        <v>5897</v>
      </c>
      <c r="C2754" s="1" t="s">
        <v>5879</v>
      </c>
      <c r="D2754" s="1" t="s">
        <v>5898</v>
      </c>
      <c r="E2754" s="1" t="s">
        <v>5899</v>
      </c>
      <c r="F2754" s="1" t="s">
        <v>16</v>
      </c>
      <c r="G2754" s="1" t="s">
        <v>23</v>
      </c>
      <c r="H2754" s="1" t="s">
        <v>18</v>
      </c>
      <c r="I2754" s="1" t="s">
        <v>40</v>
      </c>
      <c r="J2754" s="1">
        <v>64.0</v>
      </c>
      <c r="K2754" s="1">
        <v>19.0</v>
      </c>
      <c r="L2754" s="1">
        <v>46.0</v>
      </c>
    </row>
    <row r="2755">
      <c r="A2755" s="1">
        <v>7171097.0</v>
      </c>
      <c r="B2755" s="1" t="s">
        <v>5900</v>
      </c>
      <c r="C2755" s="1" t="s">
        <v>5879</v>
      </c>
      <c r="D2755" s="1" t="s">
        <v>5891</v>
      </c>
      <c r="E2755" s="1" t="s">
        <v>5901</v>
      </c>
      <c r="F2755" s="1" t="s">
        <v>16</v>
      </c>
      <c r="G2755" s="1" t="s">
        <v>23</v>
      </c>
      <c r="H2755" s="1" t="s">
        <v>18</v>
      </c>
      <c r="I2755" s="1" t="s">
        <v>563</v>
      </c>
      <c r="J2755" s="1">
        <v>53.0</v>
      </c>
      <c r="K2755" s="1">
        <v>16.0</v>
      </c>
      <c r="L2755" s="1">
        <v>62.0</v>
      </c>
    </row>
    <row r="2756">
      <c r="A2756" s="1">
        <v>7103026.0</v>
      </c>
      <c r="B2756" s="1" t="s">
        <v>5902</v>
      </c>
      <c r="C2756" s="1" t="s">
        <v>5879</v>
      </c>
      <c r="D2756" s="1" t="s">
        <v>5903</v>
      </c>
      <c r="E2756" s="1" t="s">
        <v>5904</v>
      </c>
      <c r="F2756" s="1" t="s">
        <v>16</v>
      </c>
      <c r="G2756" s="1" t="s">
        <v>17</v>
      </c>
      <c r="H2756" s="1" t="s">
        <v>18</v>
      </c>
      <c r="I2756" s="1" t="s">
        <v>40</v>
      </c>
      <c r="J2756" s="1">
        <v>93.0</v>
      </c>
      <c r="K2756" s="1">
        <v>30.0</v>
      </c>
      <c r="L2756" s="1">
        <v>161.0</v>
      </c>
    </row>
    <row r="2757">
      <c r="A2757" s="1">
        <v>7107003.0</v>
      </c>
      <c r="B2757" s="1" t="s">
        <v>5905</v>
      </c>
      <c r="C2757" s="1" t="s">
        <v>5879</v>
      </c>
      <c r="D2757" s="1" t="s">
        <v>5906</v>
      </c>
      <c r="E2757" s="1" t="s">
        <v>5907</v>
      </c>
      <c r="F2757" s="1" t="s">
        <v>16</v>
      </c>
      <c r="G2757" s="1" t="s">
        <v>23</v>
      </c>
      <c r="H2757" s="1" t="s">
        <v>18</v>
      </c>
      <c r="I2757" s="1" t="s">
        <v>40</v>
      </c>
      <c r="J2757" s="1">
        <v>108.0</v>
      </c>
      <c r="K2757" s="1">
        <v>29.0</v>
      </c>
      <c r="L2757" s="1">
        <v>132.0</v>
      </c>
    </row>
    <row r="2758">
      <c r="A2758" s="1">
        <v>7173002.0</v>
      </c>
      <c r="B2758" s="1" t="s">
        <v>5908</v>
      </c>
      <c r="C2758" s="1" t="s">
        <v>5879</v>
      </c>
      <c r="D2758" s="1" t="s">
        <v>5909</v>
      </c>
      <c r="E2758" s="1" t="s">
        <v>5910</v>
      </c>
      <c r="F2758" s="1" t="s">
        <v>16</v>
      </c>
      <c r="G2758" s="1" t="s">
        <v>17</v>
      </c>
      <c r="H2758" s="1" t="s">
        <v>28</v>
      </c>
      <c r="I2758" s="1" t="s">
        <v>29</v>
      </c>
      <c r="J2758" s="1">
        <v>106.0</v>
      </c>
      <c r="K2758" s="1">
        <v>22.0</v>
      </c>
      <c r="L2758" s="1">
        <v>394.0</v>
      </c>
    </row>
    <row r="2759">
      <c r="A2759" s="1">
        <v>7102062.0</v>
      </c>
      <c r="B2759" s="1" t="s">
        <v>5911</v>
      </c>
      <c r="C2759" s="1" t="s">
        <v>5879</v>
      </c>
      <c r="D2759" s="1" t="s">
        <v>5894</v>
      </c>
      <c r="E2759" s="1" t="s">
        <v>5912</v>
      </c>
      <c r="F2759" s="1" t="s">
        <v>16</v>
      </c>
      <c r="G2759" s="1" t="s">
        <v>17</v>
      </c>
      <c r="H2759" s="1" t="s">
        <v>18</v>
      </c>
      <c r="I2759" s="1" t="s">
        <v>249</v>
      </c>
      <c r="J2759" s="1">
        <v>116.0</v>
      </c>
      <c r="K2759" s="1">
        <v>20.0</v>
      </c>
      <c r="L2759" s="1">
        <v>148.0</v>
      </c>
    </row>
    <row r="2760">
      <c r="A2760" s="1">
        <v>7171095.0</v>
      </c>
      <c r="B2760" s="1" t="s">
        <v>5913</v>
      </c>
      <c r="C2760" s="1" t="s">
        <v>5879</v>
      </c>
      <c r="D2760" s="1" t="s">
        <v>5891</v>
      </c>
      <c r="E2760" s="1" t="s">
        <v>5914</v>
      </c>
      <c r="F2760" s="1" t="s">
        <v>55</v>
      </c>
      <c r="G2760" s="1" t="s">
        <v>17</v>
      </c>
      <c r="H2760" s="1" t="s">
        <v>18</v>
      </c>
      <c r="I2760" s="1" t="s">
        <v>163</v>
      </c>
      <c r="J2760" s="1">
        <v>47.0</v>
      </c>
      <c r="K2760" s="1">
        <v>26.0</v>
      </c>
      <c r="L2760" s="1">
        <v>46.0</v>
      </c>
    </row>
    <row r="2761">
      <c r="A2761" s="1">
        <v>7172014.0</v>
      </c>
      <c r="B2761" s="1" t="s">
        <v>5915</v>
      </c>
      <c r="C2761" s="1" t="s">
        <v>5879</v>
      </c>
      <c r="D2761" s="1" t="s">
        <v>5916</v>
      </c>
      <c r="E2761" s="1" t="s">
        <v>5917</v>
      </c>
      <c r="F2761" s="1" t="s">
        <v>16</v>
      </c>
      <c r="G2761" s="1" t="s">
        <v>17</v>
      </c>
      <c r="H2761" s="1" t="s">
        <v>18</v>
      </c>
      <c r="I2761" s="1" t="s">
        <v>249</v>
      </c>
      <c r="J2761" s="1">
        <v>116.0</v>
      </c>
      <c r="K2761" s="1">
        <v>26.0</v>
      </c>
      <c r="L2761" s="1">
        <v>187.0</v>
      </c>
    </row>
    <row r="2762">
      <c r="A2762" s="1">
        <v>7110002.0</v>
      </c>
      <c r="B2762" s="1" t="s">
        <v>5918</v>
      </c>
      <c r="C2762" s="1" t="s">
        <v>5879</v>
      </c>
      <c r="D2762" s="1" t="s">
        <v>5919</v>
      </c>
      <c r="E2762" s="1" t="s">
        <v>5920</v>
      </c>
      <c r="F2762" s="1" t="s">
        <v>16</v>
      </c>
      <c r="G2762" s="1" t="s">
        <v>23</v>
      </c>
      <c r="H2762" s="1" t="s">
        <v>18</v>
      </c>
      <c r="I2762" s="1" t="s">
        <v>40</v>
      </c>
      <c r="J2762" s="1">
        <v>101.0</v>
      </c>
      <c r="K2762" s="1">
        <v>15.0</v>
      </c>
      <c r="L2762" s="1">
        <v>167.0</v>
      </c>
    </row>
    <row r="2763">
      <c r="A2763" s="1">
        <v>7171013.0</v>
      </c>
      <c r="B2763" s="1" t="s">
        <v>5921</v>
      </c>
      <c r="C2763" s="1" t="s">
        <v>5879</v>
      </c>
      <c r="D2763" s="1" t="s">
        <v>5891</v>
      </c>
      <c r="E2763" s="1" t="s">
        <v>5922</v>
      </c>
      <c r="F2763" s="1" t="s">
        <v>16</v>
      </c>
      <c r="G2763" s="1" t="s">
        <v>150</v>
      </c>
      <c r="H2763" s="1" t="s">
        <v>33</v>
      </c>
      <c r="I2763" s="1" t="s">
        <v>411</v>
      </c>
      <c r="J2763" s="1">
        <v>729.0</v>
      </c>
      <c r="K2763" s="1">
        <v>95.0</v>
      </c>
      <c r="L2763" s="1">
        <v>2278.0</v>
      </c>
    </row>
    <row r="2764">
      <c r="A2764" s="1">
        <v>7171105.0</v>
      </c>
      <c r="B2764" s="1" t="s">
        <v>5923</v>
      </c>
      <c r="C2764" s="1" t="s">
        <v>5879</v>
      </c>
      <c r="D2764" s="1" t="s">
        <v>5891</v>
      </c>
      <c r="E2764" s="1" t="s">
        <v>5924</v>
      </c>
      <c r="F2764" s="1" t="s">
        <v>16</v>
      </c>
      <c r="G2764" s="1" t="s">
        <v>17</v>
      </c>
      <c r="H2764" s="1" t="s">
        <v>18</v>
      </c>
      <c r="I2764" s="1" t="s">
        <v>44</v>
      </c>
      <c r="J2764" s="1">
        <v>109.0</v>
      </c>
      <c r="K2764" s="1">
        <v>34.0</v>
      </c>
      <c r="L2764" s="1">
        <v>77.0</v>
      </c>
    </row>
    <row r="2765">
      <c r="A2765" s="1">
        <v>7109002.0</v>
      </c>
      <c r="B2765" s="1" t="s">
        <v>5925</v>
      </c>
      <c r="C2765" s="1" t="s">
        <v>5879</v>
      </c>
      <c r="D2765" s="1" t="s">
        <v>5883</v>
      </c>
      <c r="E2765" s="1" t="s">
        <v>5926</v>
      </c>
      <c r="F2765" s="1" t="s">
        <v>16</v>
      </c>
      <c r="G2765" s="1" t="s">
        <v>23</v>
      </c>
      <c r="H2765" s="1" t="s">
        <v>18</v>
      </c>
      <c r="I2765" s="1" t="s">
        <v>40</v>
      </c>
      <c r="J2765" s="1">
        <v>50.0</v>
      </c>
      <c r="K2765" s="1">
        <v>20.0</v>
      </c>
      <c r="L2765" s="1">
        <v>99.0</v>
      </c>
    </row>
    <row r="2766">
      <c r="A2766" s="1">
        <v>7171124.0</v>
      </c>
      <c r="B2766" s="1" t="s">
        <v>5927</v>
      </c>
      <c r="C2766" s="1" t="s">
        <v>5879</v>
      </c>
      <c r="D2766" s="1" t="s">
        <v>5891</v>
      </c>
      <c r="E2766" s="1" t="s">
        <v>5928</v>
      </c>
      <c r="F2766" s="1" t="s">
        <v>16</v>
      </c>
      <c r="G2766" s="1" t="s">
        <v>17</v>
      </c>
      <c r="H2766" s="1" t="s">
        <v>18</v>
      </c>
      <c r="I2766" s="1" t="s">
        <v>19</v>
      </c>
      <c r="J2766" s="1">
        <v>0.0</v>
      </c>
      <c r="K2766" s="1">
        <v>1.0</v>
      </c>
      <c r="L2766" s="1">
        <v>0.0</v>
      </c>
    </row>
    <row r="2767">
      <c r="A2767" s="1">
        <v>7105084.0</v>
      </c>
      <c r="B2767" s="1" t="s">
        <v>5929</v>
      </c>
      <c r="C2767" s="1" t="s">
        <v>5879</v>
      </c>
      <c r="D2767" s="1" t="s">
        <v>5930</v>
      </c>
      <c r="E2767" s="1" t="s">
        <v>5931</v>
      </c>
      <c r="F2767" s="1" t="s">
        <v>16</v>
      </c>
      <c r="G2767" s="1" t="s">
        <v>23</v>
      </c>
      <c r="H2767" s="1" t="s">
        <v>18</v>
      </c>
      <c r="I2767" s="1" t="s">
        <v>249</v>
      </c>
      <c r="J2767" s="1">
        <v>68.0</v>
      </c>
      <c r="K2767" s="1">
        <v>10.0</v>
      </c>
      <c r="L2767" s="1">
        <v>44.0</v>
      </c>
    </row>
    <row r="2768">
      <c r="A2768" s="1">
        <v>7171122.0</v>
      </c>
      <c r="B2768" s="1" t="s">
        <v>5932</v>
      </c>
      <c r="C2768" s="1" t="s">
        <v>5879</v>
      </c>
      <c r="D2768" s="1" t="s">
        <v>5891</v>
      </c>
      <c r="E2768" s="1" t="s">
        <v>5933</v>
      </c>
      <c r="F2768" s="1" t="s">
        <v>1802</v>
      </c>
      <c r="G2768" s="1" t="s">
        <v>27</v>
      </c>
      <c r="H2768" s="1" t="s">
        <v>18</v>
      </c>
      <c r="I2768" s="1" t="s">
        <v>139</v>
      </c>
      <c r="J2768" s="1">
        <v>79.0</v>
      </c>
      <c r="K2768" s="1">
        <v>28.0</v>
      </c>
      <c r="L2768" s="1">
        <v>0.0</v>
      </c>
    </row>
    <row r="2769">
      <c r="A2769" s="1">
        <v>7171104.0</v>
      </c>
      <c r="B2769" s="1" t="s">
        <v>5934</v>
      </c>
      <c r="C2769" s="1" t="s">
        <v>5879</v>
      </c>
      <c r="D2769" s="1" t="s">
        <v>5891</v>
      </c>
      <c r="E2769" s="1" t="s">
        <v>5935</v>
      </c>
      <c r="F2769" s="1" t="s">
        <v>272</v>
      </c>
      <c r="G2769" s="1" t="s">
        <v>17</v>
      </c>
      <c r="H2769" s="1" t="s">
        <v>18</v>
      </c>
      <c r="I2769" s="1" t="s">
        <v>139</v>
      </c>
      <c r="J2769" s="1">
        <v>22.0</v>
      </c>
      <c r="K2769" s="1">
        <v>20.0</v>
      </c>
      <c r="L2769" s="1">
        <v>140.0</v>
      </c>
    </row>
    <row r="2770">
      <c r="A2770" s="1">
        <v>7171120.0</v>
      </c>
      <c r="B2770" s="1" t="s">
        <v>5936</v>
      </c>
      <c r="C2770" s="1" t="s">
        <v>5879</v>
      </c>
      <c r="D2770" s="1" t="s">
        <v>5891</v>
      </c>
      <c r="E2770" s="1" t="s">
        <v>5937</v>
      </c>
      <c r="F2770" s="1" t="s">
        <v>32</v>
      </c>
      <c r="G2770" s="1" t="s">
        <v>17</v>
      </c>
      <c r="H2770" s="1" t="s">
        <v>18</v>
      </c>
      <c r="I2770" s="1" t="s">
        <v>34</v>
      </c>
      <c r="J2770" s="1">
        <v>10.0</v>
      </c>
      <c r="K2770" s="1">
        <v>18.0</v>
      </c>
      <c r="L2770" s="1">
        <v>0.0</v>
      </c>
    </row>
    <row r="2771">
      <c r="A2771" s="1">
        <v>7172036.0</v>
      </c>
      <c r="B2771" s="1" t="s">
        <v>5938</v>
      </c>
      <c r="C2771" s="1" t="s">
        <v>5879</v>
      </c>
      <c r="D2771" s="1" t="s">
        <v>5916</v>
      </c>
      <c r="E2771" s="1" t="s">
        <v>5939</v>
      </c>
      <c r="F2771" s="1" t="s">
        <v>16</v>
      </c>
      <c r="G2771" s="1" t="s">
        <v>17</v>
      </c>
      <c r="H2771" s="1" t="s">
        <v>18</v>
      </c>
      <c r="I2771" s="1" t="s">
        <v>139</v>
      </c>
      <c r="J2771" s="1">
        <v>201.0</v>
      </c>
      <c r="K2771" s="1">
        <v>50.0</v>
      </c>
      <c r="L2771" s="1">
        <v>756.0</v>
      </c>
    </row>
    <row r="2772">
      <c r="A2772" s="1">
        <v>7102121.0</v>
      </c>
      <c r="B2772" s="1" t="s">
        <v>5940</v>
      </c>
      <c r="C2772" s="1" t="s">
        <v>5879</v>
      </c>
      <c r="D2772" s="1" t="s">
        <v>5880</v>
      </c>
      <c r="E2772" s="1" t="s">
        <v>5941</v>
      </c>
      <c r="F2772" s="1" t="s">
        <v>16</v>
      </c>
      <c r="G2772" s="1" t="s">
        <v>27</v>
      </c>
      <c r="H2772" s="1" t="s">
        <v>18</v>
      </c>
      <c r="I2772" s="1" t="s">
        <v>44</v>
      </c>
      <c r="J2772" s="1">
        <v>200.0</v>
      </c>
      <c r="K2772" s="1">
        <v>91.0</v>
      </c>
      <c r="L2772" s="1">
        <v>87.0</v>
      </c>
    </row>
    <row r="2773">
      <c r="A2773" s="1">
        <v>7105030.0</v>
      </c>
      <c r="B2773" s="1" t="s">
        <v>5942</v>
      </c>
      <c r="C2773" s="1" t="s">
        <v>5879</v>
      </c>
      <c r="D2773" s="1" t="s">
        <v>5930</v>
      </c>
      <c r="E2773" s="1" t="s">
        <v>5943</v>
      </c>
      <c r="F2773" s="1" t="s">
        <v>16</v>
      </c>
      <c r="G2773" s="1" t="s">
        <v>17</v>
      </c>
      <c r="H2773" s="1" t="s">
        <v>18</v>
      </c>
      <c r="I2773" s="1" t="s">
        <v>40</v>
      </c>
      <c r="J2773" s="1">
        <v>92.0</v>
      </c>
      <c r="K2773" s="1">
        <v>18.0</v>
      </c>
      <c r="L2773" s="1">
        <v>21.0</v>
      </c>
    </row>
    <row r="2774">
      <c r="A2774" s="1">
        <v>7171035.0</v>
      </c>
      <c r="B2774" s="1" t="s">
        <v>5944</v>
      </c>
      <c r="C2774" s="1" t="s">
        <v>5879</v>
      </c>
      <c r="D2774" s="1" t="s">
        <v>5880</v>
      </c>
      <c r="E2774" s="1" t="s">
        <v>5945</v>
      </c>
      <c r="F2774" s="1" t="s">
        <v>174</v>
      </c>
      <c r="G2774" s="1" t="s">
        <v>27</v>
      </c>
      <c r="H2774" s="1" t="s">
        <v>18</v>
      </c>
      <c r="I2774" s="1" t="s">
        <v>139</v>
      </c>
      <c r="J2774" s="1">
        <v>174.0</v>
      </c>
      <c r="K2774" s="1">
        <v>23.0</v>
      </c>
      <c r="L2774" s="1">
        <v>347.0</v>
      </c>
    </row>
    <row r="2775">
      <c r="A2775" s="1">
        <v>7171103.0</v>
      </c>
      <c r="B2775" s="1" t="s">
        <v>5946</v>
      </c>
      <c r="C2775" s="1" t="s">
        <v>5879</v>
      </c>
      <c r="D2775" s="1" t="s">
        <v>5891</v>
      </c>
      <c r="E2775" s="1" t="s">
        <v>5947</v>
      </c>
      <c r="F2775" s="1" t="s">
        <v>16</v>
      </c>
      <c r="G2775" s="1" t="s">
        <v>27</v>
      </c>
      <c r="H2775" s="1" t="s">
        <v>18</v>
      </c>
      <c r="I2775" s="1" t="s">
        <v>139</v>
      </c>
      <c r="J2775" s="1">
        <v>287.0</v>
      </c>
      <c r="K2775" s="1">
        <v>22.0</v>
      </c>
      <c r="L2775" s="1">
        <v>99.0</v>
      </c>
    </row>
    <row r="2776">
      <c r="A2776" s="1">
        <v>7174024.0</v>
      </c>
      <c r="B2776" s="1" t="s">
        <v>5948</v>
      </c>
      <c r="C2776" s="1" t="s">
        <v>5879</v>
      </c>
      <c r="D2776" s="1" t="s">
        <v>5886</v>
      </c>
      <c r="E2776" s="1" t="s">
        <v>5949</v>
      </c>
      <c r="F2776" s="1" t="s">
        <v>16</v>
      </c>
      <c r="G2776" s="1" t="s">
        <v>23</v>
      </c>
      <c r="H2776" s="1" t="s">
        <v>18</v>
      </c>
      <c r="I2776" s="1" t="s">
        <v>258</v>
      </c>
      <c r="J2776" s="1">
        <v>110.0</v>
      </c>
      <c r="K2776" s="1">
        <v>20.0</v>
      </c>
      <c r="L2776" s="1">
        <v>180.0</v>
      </c>
    </row>
    <row r="2777">
      <c r="A2777" s="1">
        <v>7105116.0</v>
      </c>
      <c r="B2777" s="1" t="s">
        <v>5950</v>
      </c>
      <c r="C2777" s="1" t="s">
        <v>5879</v>
      </c>
      <c r="D2777" s="1" t="s">
        <v>5930</v>
      </c>
      <c r="E2777" s="1" t="s">
        <v>5951</v>
      </c>
      <c r="F2777" s="1" t="s">
        <v>16</v>
      </c>
      <c r="G2777" s="1" t="s">
        <v>17</v>
      </c>
      <c r="H2777" s="1" t="s">
        <v>18</v>
      </c>
      <c r="I2777" s="1" t="s">
        <v>258</v>
      </c>
      <c r="J2777" s="1">
        <v>173.0</v>
      </c>
      <c r="K2777" s="1">
        <v>32.0</v>
      </c>
      <c r="L2777" s="1">
        <v>368.0</v>
      </c>
    </row>
    <row r="2778">
      <c r="A2778" s="1">
        <v>7173036.0</v>
      </c>
      <c r="B2778" s="1" t="s">
        <v>5952</v>
      </c>
      <c r="C2778" s="1" t="s">
        <v>5879</v>
      </c>
      <c r="D2778" s="1" t="s">
        <v>5909</v>
      </c>
      <c r="E2778" s="1" t="s">
        <v>5953</v>
      </c>
      <c r="F2778" s="1" t="s">
        <v>16</v>
      </c>
      <c r="G2778" s="1" t="s">
        <v>17</v>
      </c>
      <c r="H2778" s="1" t="s">
        <v>18</v>
      </c>
      <c r="I2778" s="1" t="s">
        <v>258</v>
      </c>
      <c r="J2778" s="1">
        <v>238.0</v>
      </c>
      <c r="K2778" s="1">
        <v>77.0</v>
      </c>
      <c r="L2778" s="1">
        <v>572.0</v>
      </c>
    </row>
    <row r="2779">
      <c r="A2779" s="1">
        <v>7171061.0</v>
      </c>
      <c r="B2779" s="1" t="s">
        <v>5954</v>
      </c>
      <c r="C2779" s="1" t="s">
        <v>5879</v>
      </c>
      <c r="D2779" s="1" t="s">
        <v>5891</v>
      </c>
      <c r="E2779" s="1" t="s">
        <v>5955</v>
      </c>
      <c r="F2779" s="1" t="s">
        <v>16</v>
      </c>
      <c r="G2779" s="1" t="s">
        <v>17</v>
      </c>
      <c r="H2779" s="1" t="s">
        <v>33</v>
      </c>
      <c r="I2779" s="1" t="s">
        <v>65</v>
      </c>
      <c r="J2779" s="1">
        <v>116.0</v>
      </c>
      <c r="K2779" s="1">
        <v>97.0</v>
      </c>
      <c r="L2779" s="1">
        <v>275.0</v>
      </c>
    </row>
    <row r="2780">
      <c r="A2780" s="1">
        <v>7171106.0</v>
      </c>
      <c r="B2780" s="1" t="s">
        <v>5956</v>
      </c>
      <c r="C2780" s="1" t="s">
        <v>5879</v>
      </c>
      <c r="D2780" s="1" t="s">
        <v>5891</v>
      </c>
      <c r="E2780" s="1" t="s">
        <v>5957</v>
      </c>
      <c r="F2780" s="1" t="s">
        <v>16</v>
      </c>
      <c r="G2780" s="1" t="s">
        <v>17</v>
      </c>
      <c r="H2780" s="1" t="s">
        <v>18</v>
      </c>
      <c r="I2780" s="1" t="s">
        <v>44</v>
      </c>
      <c r="J2780" s="1">
        <v>115.0</v>
      </c>
      <c r="K2780" s="1">
        <v>76.0</v>
      </c>
      <c r="L2780" s="1">
        <v>0.0</v>
      </c>
    </row>
    <row r="2781">
      <c r="A2781" s="1">
        <v>7103015.0</v>
      </c>
      <c r="B2781" s="1" t="s">
        <v>5958</v>
      </c>
      <c r="C2781" s="1" t="s">
        <v>5879</v>
      </c>
      <c r="D2781" s="1" t="s">
        <v>5898</v>
      </c>
      <c r="E2781" s="1" t="s">
        <v>5959</v>
      </c>
      <c r="F2781" s="1" t="s">
        <v>16</v>
      </c>
      <c r="G2781" s="1" t="s">
        <v>17</v>
      </c>
      <c r="H2781" s="1" t="s">
        <v>28</v>
      </c>
      <c r="I2781" s="1" t="s">
        <v>40</v>
      </c>
      <c r="J2781" s="1">
        <v>164.0</v>
      </c>
      <c r="K2781" s="1">
        <v>45.0</v>
      </c>
      <c r="L2781" s="1">
        <v>472.0</v>
      </c>
    </row>
    <row r="2782">
      <c r="A2782" s="1">
        <v>7108037.0</v>
      </c>
      <c r="B2782" s="1" t="s">
        <v>5960</v>
      </c>
      <c r="C2782" s="1" t="s">
        <v>5879</v>
      </c>
      <c r="D2782" s="1" t="s">
        <v>5903</v>
      </c>
      <c r="E2782" s="1" t="s">
        <v>5961</v>
      </c>
      <c r="F2782" s="1" t="s">
        <v>16</v>
      </c>
      <c r="G2782" s="1" t="s">
        <v>17</v>
      </c>
      <c r="H2782" s="1" t="s">
        <v>18</v>
      </c>
      <c r="I2782" s="1" t="s">
        <v>40</v>
      </c>
      <c r="J2782" s="1">
        <v>100.0</v>
      </c>
      <c r="K2782" s="1">
        <v>20.0</v>
      </c>
      <c r="L2782" s="1">
        <v>143.0</v>
      </c>
    </row>
    <row r="2783">
      <c r="A2783" s="1">
        <v>7111011.0</v>
      </c>
      <c r="B2783" s="1" t="s">
        <v>5962</v>
      </c>
      <c r="C2783" s="1" t="s">
        <v>5879</v>
      </c>
      <c r="D2783" s="1" t="s">
        <v>5963</v>
      </c>
      <c r="E2783" s="1" t="s">
        <v>5964</v>
      </c>
      <c r="F2783" s="1" t="s">
        <v>16</v>
      </c>
      <c r="G2783" s="1" t="s">
        <v>23</v>
      </c>
      <c r="H2783" s="1" t="s">
        <v>18</v>
      </c>
      <c r="I2783" s="1" t="s">
        <v>40</v>
      </c>
      <c r="J2783" s="1">
        <v>50.0</v>
      </c>
      <c r="K2783" s="1">
        <v>13.0</v>
      </c>
      <c r="L2783" s="1">
        <v>0.0</v>
      </c>
    </row>
    <row r="2784">
      <c r="A2784" s="1">
        <v>7171121.0</v>
      </c>
      <c r="B2784" s="1" t="s">
        <v>5965</v>
      </c>
      <c r="C2784" s="1" t="s">
        <v>5879</v>
      </c>
      <c r="D2784" s="1" t="s">
        <v>5891</v>
      </c>
      <c r="E2784" s="1" t="s">
        <v>5966</v>
      </c>
      <c r="F2784" s="1" t="s">
        <v>16</v>
      </c>
      <c r="G2784" s="1" t="s">
        <v>17</v>
      </c>
      <c r="H2784" s="1" t="s">
        <v>18</v>
      </c>
      <c r="I2784" s="1" t="s">
        <v>29</v>
      </c>
      <c r="J2784" s="1">
        <v>105.0</v>
      </c>
      <c r="K2784" s="1">
        <v>27.0</v>
      </c>
      <c r="L2784" s="1">
        <v>0.0</v>
      </c>
    </row>
    <row r="2785">
      <c r="A2785" s="1">
        <v>7106018.0</v>
      </c>
      <c r="B2785" s="1" t="s">
        <v>5967</v>
      </c>
      <c r="C2785" s="1" t="s">
        <v>5879</v>
      </c>
      <c r="D2785" s="1" t="s">
        <v>5894</v>
      </c>
      <c r="E2785" s="1" t="s">
        <v>5968</v>
      </c>
      <c r="F2785" s="1" t="s">
        <v>16</v>
      </c>
      <c r="G2785" s="1" t="s">
        <v>17</v>
      </c>
      <c r="H2785" s="1" t="s">
        <v>28</v>
      </c>
      <c r="I2785" s="1" t="s">
        <v>40</v>
      </c>
      <c r="J2785" s="1">
        <v>109.0</v>
      </c>
      <c r="K2785" s="1">
        <v>32.0</v>
      </c>
      <c r="L2785" s="1">
        <v>346.0</v>
      </c>
    </row>
    <row r="2786">
      <c r="A2786" s="1">
        <v>7173051.0</v>
      </c>
      <c r="B2786" s="1" t="s">
        <v>5969</v>
      </c>
      <c r="C2786" s="1" t="s">
        <v>5879</v>
      </c>
      <c r="D2786" s="1" t="s">
        <v>5909</v>
      </c>
      <c r="E2786" s="1" t="s">
        <v>5970</v>
      </c>
      <c r="F2786" s="1" t="s">
        <v>16</v>
      </c>
      <c r="G2786" s="1" t="s">
        <v>17</v>
      </c>
      <c r="H2786" s="1" t="s">
        <v>33</v>
      </c>
      <c r="I2786" s="1" t="s">
        <v>249</v>
      </c>
      <c r="J2786" s="1">
        <v>195.0</v>
      </c>
      <c r="K2786" s="1">
        <v>31.0</v>
      </c>
      <c r="L2786" s="1">
        <v>219.0</v>
      </c>
    </row>
    <row r="2787">
      <c r="A2787" s="1">
        <v>7171083.0</v>
      </c>
      <c r="B2787" s="1" t="s">
        <v>5971</v>
      </c>
      <c r="C2787" s="1" t="s">
        <v>5879</v>
      </c>
      <c r="D2787" s="1" t="s">
        <v>5891</v>
      </c>
      <c r="E2787" s="1" t="s">
        <v>5972</v>
      </c>
      <c r="F2787" s="1" t="s">
        <v>16</v>
      </c>
      <c r="G2787" s="1" t="s">
        <v>17</v>
      </c>
      <c r="H2787" s="1" t="s">
        <v>18</v>
      </c>
      <c r="I2787" s="1" t="s">
        <v>59</v>
      </c>
      <c r="J2787" s="1">
        <v>158.0</v>
      </c>
      <c r="K2787" s="1">
        <v>30.0</v>
      </c>
      <c r="L2787" s="1">
        <v>219.0</v>
      </c>
    </row>
    <row r="2788">
      <c r="A2788" s="1">
        <v>7171094.0</v>
      </c>
      <c r="B2788" s="1" t="s">
        <v>5973</v>
      </c>
      <c r="C2788" s="1" t="s">
        <v>5879</v>
      </c>
      <c r="D2788" s="1" t="s">
        <v>5891</v>
      </c>
      <c r="E2788" s="1" t="s">
        <v>5974</v>
      </c>
      <c r="F2788" s="1" t="s">
        <v>16</v>
      </c>
      <c r="G2788" s="1" t="s">
        <v>17</v>
      </c>
      <c r="H2788" s="1" t="s">
        <v>18</v>
      </c>
      <c r="I2788" s="1" t="s">
        <v>59</v>
      </c>
      <c r="J2788" s="1">
        <v>75.0</v>
      </c>
      <c r="K2788" s="1">
        <v>15.0</v>
      </c>
      <c r="L2788" s="1">
        <v>39.0</v>
      </c>
    </row>
    <row r="2789">
      <c r="A2789" s="1">
        <v>7104027.0</v>
      </c>
      <c r="B2789" s="1" t="s">
        <v>5975</v>
      </c>
      <c r="C2789" s="1" t="s">
        <v>5879</v>
      </c>
      <c r="D2789" s="1" t="s">
        <v>5976</v>
      </c>
      <c r="E2789" s="1" t="s">
        <v>5977</v>
      </c>
      <c r="F2789" s="1" t="s">
        <v>16</v>
      </c>
      <c r="G2789" s="1" t="s">
        <v>23</v>
      </c>
      <c r="H2789" s="1" t="s">
        <v>18</v>
      </c>
      <c r="I2789" s="1" t="s">
        <v>40</v>
      </c>
      <c r="J2789" s="1">
        <v>66.0</v>
      </c>
      <c r="K2789" s="1">
        <v>12.0</v>
      </c>
      <c r="L2789" s="1">
        <v>2.0</v>
      </c>
    </row>
    <row r="2790">
      <c r="A2790" s="1">
        <v>7172048.0</v>
      </c>
      <c r="B2790" s="1" t="s">
        <v>5978</v>
      </c>
      <c r="C2790" s="1" t="s">
        <v>5879</v>
      </c>
      <c r="D2790" s="1" t="s">
        <v>5916</v>
      </c>
      <c r="E2790" s="1" t="s">
        <v>5979</v>
      </c>
      <c r="F2790" s="1" t="s">
        <v>16</v>
      </c>
      <c r="G2790" s="1" t="s">
        <v>23</v>
      </c>
      <c r="H2790" s="1" t="s">
        <v>18</v>
      </c>
      <c r="I2790" s="1" t="s">
        <v>29</v>
      </c>
      <c r="J2790" s="1">
        <v>117.0</v>
      </c>
      <c r="K2790" s="1">
        <v>11.0</v>
      </c>
      <c r="L2790" s="1">
        <v>0.0</v>
      </c>
    </row>
    <row r="2791">
      <c r="A2791" s="1">
        <v>7102073.0</v>
      </c>
      <c r="B2791" s="1" t="s">
        <v>5980</v>
      </c>
      <c r="C2791" s="1" t="s">
        <v>5879</v>
      </c>
      <c r="D2791" s="1" t="s">
        <v>5880</v>
      </c>
      <c r="E2791" s="1" t="s">
        <v>5981</v>
      </c>
      <c r="F2791" s="1" t="s">
        <v>16</v>
      </c>
      <c r="G2791" s="1" t="s">
        <v>17</v>
      </c>
      <c r="H2791" s="1" t="s">
        <v>18</v>
      </c>
      <c r="I2791" s="1" t="s">
        <v>249</v>
      </c>
      <c r="J2791" s="1">
        <v>132.0</v>
      </c>
      <c r="K2791" s="1">
        <v>19.0</v>
      </c>
      <c r="L2791" s="1">
        <v>104.0</v>
      </c>
    </row>
    <row r="2792">
      <c r="A2792" s="1">
        <v>7172025.0</v>
      </c>
      <c r="B2792" s="1" t="s">
        <v>5982</v>
      </c>
      <c r="C2792" s="1" t="s">
        <v>5879</v>
      </c>
      <c r="D2792" s="1" t="s">
        <v>5916</v>
      </c>
      <c r="E2792" s="1" t="s">
        <v>5983</v>
      </c>
      <c r="F2792" s="1" t="s">
        <v>16</v>
      </c>
      <c r="G2792" s="1" t="s">
        <v>23</v>
      </c>
      <c r="H2792" s="1" t="s">
        <v>18</v>
      </c>
      <c r="I2792" s="1" t="s">
        <v>95</v>
      </c>
      <c r="J2792" s="1">
        <v>92.0</v>
      </c>
      <c r="K2792" s="1">
        <v>14.0</v>
      </c>
      <c r="L2792" s="1">
        <v>71.0</v>
      </c>
    </row>
    <row r="2793">
      <c r="A2793" s="1">
        <v>7174035.0</v>
      </c>
      <c r="B2793" s="1" t="s">
        <v>5984</v>
      </c>
      <c r="C2793" s="1" t="s">
        <v>5879</v>
      </c>
      <c r="D2793" s="1" t="s">
        <v>5886</v>
      </c>
      <c r="E2793" s="1" t="s">
        <v>5985</v>
      </c>
      <c r="F2793" s="1" t="s">
        <v>16</v>
      </c>
      <c r="G2793" s="1" t="s">
        <v>17</v>
      </c>
      <c r="H2793" s="1" t="s">
        <v>28</v>
      </c>
      <c r="I2793" s="1" t="s">
        <v>29</v>
      </c>
      <c r="J2793" s="1">
        <v>245.0</v>
      </c>
      <c r="K2793" s="1">
        <v>33.0</v>
      </c>
      <c r="L2793" s="1">
        <v>769.0</v>
      </c>
    </row>
    <row r="2794">
      <c r="A2794" s="1">
        <v>7174004.0</v>
      </c>
      <c r="B2794" s="1" t="s">
        <v>5986</v>
      </c>
      <c r="C2794" s="1" t="s">
        <v>5879</v>
      </c>
      <c r="D2794" s="1" t="s">
        <v>5886</v>
      </c>
      <c r="E2794" s="1" t="s">
        <v>5987</v>
      </c>
      <c r="F2794" s="1" t="s">
        <v>55</v>
      </c>
      <c r="G2794" s="1" t="s">
        <v>17</v>
      </c>
      <c r="H2794" s="1" t="s">
        <v>18</v>
      </c>
      <c r="I2794" s="1" t="s">
        <v>19</v>
      </c>
      <c r="J2794" s="1">
        <v>38.0</v>
      </c>
      <c r="K2794" s="1">
        <v>17.0</v>
      </c>
      <c r="L2794" s="1">
        <v>68.0</v>
      </c>
    </row>
    <row r="2795">
      <c r="A2795" s="1">
        <v>7107014.0</v>
      </c>
      <c r="B2795" s="1" t="s">
        <v>5988</v>
      </c>
      <c r="C2795" s="1" t="s">
        <v>5879</v>
      </c>
      <c r="D2795" s="1" t="s">
        <v>5906</v>
      </c>
      <c r="E2795" s="1" t="s">
        <v>5989</v>
      </c>
      <c r="F2795" s="1" t="s">
        <v>16</v>
      </c>
      <c r="G2795" s="1" t="s">
        <v>23</v>
      </c>
      <c r="H2795" s="1" t="s">
        <v>18</v>
      </c>
      <c r="I2795" s="1" t="s">
        <v>40</v>
      </c>
      <c r="J2795" s="1">
        <v>70.0</v>
      </c>
      <c r="K2795" s="1">
        <v>24.0</v>
      </c>
      <c r="L2795" s="1">
        <v>0.0</v>
      </c>
    </row>
    <row r="2796">
      <c r="A2796" s="1">
        <v>7171098.0</v>
      </c>
      <c r="B2796" s="1" t="s">
        <v>5990</v>
      </c>
      <c r="C2796" s="1" t="s">
        <v>5879</v>
      </c>
      <c r="D2796" s="1" t="s">
        <v>5891</v>
      </c>
      <c r="E2796" s="1" t="s">
        <v>5991</v>
      </c>
      <c r="F2796" s="1" t="s">
        <v>55</v>
      </c>
      <c r="G2796" s="1" t="s">
        <v>17</v>
      </c>
      <c r="H2796" s="1" t="s">
        <v>18</v>
      </c>
      <c r="I2796" s="1" t="s">
        <v>19</v>
      </c>
      <c r="J2796" s="1">
        <v>58.0</v>
      </c>
      <c r="K2796" s="1">
        <v>10.0</v>
      </c>
      <c r="L2796" s="1">
        <v>0.0</v>
      </c>
    </row>
    <row r="2797">
      <c r="A2797" s="1">
        <v>7171024.0</v>
      </c>
      <c r="B2797" s="1" t="s">
        <v>5992</v>
      </c>
      <c r="C2797" s="1" t="s">
        <v>5879</v>
      </c>
      <c r="D2797" s="1" t="s">
        <v>5891</v>
      </c>
      <c r="E2797" s="1" t="s">
        <v>5993</v>
      </c>
      <c r="F2797" s="1" t="s">
        <v>16</v>
      </c>
      <c r="G2797" s="1" t="s">
        <v>17</v>
      </c>
      <c r="H2797" s="1" t="s">
        <v>33</v>
      </c>
      <c r="I2797" s="1" t="s">
        <v>74</v>
      </c>
      <c r="J2797" s="1">
        <v>198.0</v>
      </c>
      <c r="K2797" s="1">
        <v>32.0</v>
      </c>
      <c r="L2797" s="1">
        <v>466.0</v>
      </c>
    </row>
    <row r="2798">
      <c r="A2798" s="1">
        <v>7101013.0</v>
      </c>
      <c r="B2798" s="1" t="s">
        <v>5994</v>
      </c>
      <c r="C2798" s="1" t="s">
        <v>5879</v>
      </c>
      <c r="D2798" s="1" t="s">
        <v>5995</v>
      </c>
      <c r="E2798" s="1" t="s">
        <v>5996</v>
      </c>
      <c r="F2798" s="1" t="s">
        <v>16</v>
      </c>
      <c r="G2798" s="1" t="s">
        <v>17</v>
      </c>
      <c r="H2798" s="1" t="s">
        <v>18</v>
      </c>
      <c r="I2798" s="1" t="s">
        <v>40</v>
      </c>
      <c r="J2798" s="1">
        <v>100.0</v>
      </c>
      <c r="K2798" s="1">
        <v>33.0</v>
      </c>
      <c r="L2798" s="1">
        <v>221.0</v>
      </c>
    </row>
    <row r="2799">
      <c r="A2799" s="1">
        <v>7102095.0</v>
      </c>
      <c r="B2799" s="1" t="s">
        <v>5997</v>
      </c>
      <c r="C2799" s="1" t="s">
        <v>5879</v>
      </c>
      <c r="D2799" s="1" t="s">
        <v>5894</v>
      </c>
      <c r="E2799" s="1" t="s">
        <v>5998</v>
      </c>
      <c r="F2799" s="1" t="s">
        <v>16</v>
      </c>
      <c r="G2799" s="1" t="s">
        <v>23</v>
      </c>
      <c r="H2799" s="1" t="s">
        <v>18</v>
      </c>
      <c r="I2799" s="1" t="s">
        <v>258</v>
      </c>
      <c r="J2799" s="1">
        <v>103.0</v>
      </c>
      <c r="K2799" s="1">
        <v>19.0</v>
      </c>
      <c r="L2799" s="1">
        <v>45.0</v>
      </c>
    </row>
    <row r="2800">
      <c r="A2800" s="1">
        <v>7171102.0</v>
      </c>
      <c r="B2800" s="1" t="s">
        <v>5999</v>
      </c>
      <c r="C2800" s="1" t="s">
        <v>5879</v>
      </c>
      <c r="D2800" s="1" t="s">
        <v>5891</v>
      </c>
      <c r="E2800" s="1" t="s">
        <v>6000</v>
      </c>
      <c r="F2800" s="1" t="s">
        <v>16</v>
      </c>
      <c r="G2800" s="1" t="s">
        <v>17</v>
      </c>
      <c r="H2800" s="1" t="s">
        <v>18</v>
      </c>
      <c r="I2800" s="1" t="s">
        <v>19</v>
      </c>
      <c r="J2800" s="1">
        <v>247.0</v>
      </c>
      <c r="K2800" s="1">
        <v>30.0</v>
      </c>
      <c r="L2800" s="1">
        <v>157.0</v>
      </c>
    </row>
    <row r="2801">
      <c r="A2801" s="1">
        <v>7171099.0</v>
      </c>
      <c r="B2801" s="1" t="s">
        <v>6001</v>
      </c>
      <c r="C2801" s="1" t="s">
        <v>5879</v>
      </c>
      <c r="D2801" s="1" t="s">
        <v>5891</v>
      </c>
      <c r="E2801" s="1" t="s">
        <v>6002</v>
      </c>
      <c r="F2801" s="1" t="s">
        <v>16</v>
      </c>
      <c r="G2801" s="1" t="s">
        <v>27</v>
      </c>
      <c r="H2801" s="1" t="s">
        <v>18</v>
      </c>
      <c r="I2801" s="1" t="s">
        <v>44</v>
      </c>
      <c r="J2801" s="1">
        <v>200.0</v>
      </c>
      <c r="K2801" s="1">
        <v>98.0</v>
      </c>
      <c r="L2801" s="1">
        <v>510.0</v>
      </c>
    </row>
    <row r="2802">
      <c r="A2802" s="1">
        <v>7171050.0</v>
      </c>
      <c r="B2802" s="1" t="s">
        <v>6003</v>
      </c>
      <c r="C2802" s="1" t="s">
        <v>5879</v>
      </c>
      <c r="D2802" s="1" t="s">
        <v>5891</v>
      </c>
      <c r="E2802" s="1" t="s">
        <v>6004</v>
      </c>
      <c r="F2802" s="1" t="s">
        <v>16</v>
      </c>
      <c r="G2802" s="1" t="s">
        <v>17</v>
      </c>
      <c r="H2802" s="1" t="s">
        <v>18</v>
      </c>
      <c r="I2802" s="1" t="s">
        <v>258</v>
      </c>
      <c r="J2802" s="1">
        <v>163.0</v>
      </c>
      <c r="K2802" s="1">
        <v>27.0</v>
      </c>
      <c r="L2802" s="1">
        <v>527.0</v>
      </c>
    </row>
    <row r="2803">
      <c r="A2803" s="1">
        <v>7104038.0</v>
      </c>
      <c r="B2803" s="1" t="s">
        <v>6005</v>
      </c>
      <c r="C2803" s="1" t="s">
        <v>5879</v>
      </c>
      <c r="D2803" s="1" t="s">
        <v>5976</v>
      </c>
      <c r="E2803" s="1" t="s">
        <v>6006</v>
      </c>
      <c r="F2803" s="1" t="s">
        <v>16</v>
      </c>
      <c r="G2803" s="1" t="s">
        <v>17</v>
      </c>
      <c r="H2803" s="1" t="s">
        <v>18</v>
      </c>
      <c r="I2803" s="1" t="s">
        <v>40</v>
      </c>
      <c r="J2803" s="1">
        <v>118.0</v>
      </c>
      <c r="K2803" s="1">
        <v>24.0</v>
      </c>
      <c r="L2803" s="1">
        <v>343.0</v>
      </c>
    </row>
    <row r="2804">
      <c r="A2804" s="1">
        <v>7102014.0</v>
      </c>
      <c r="B2804" s="1" t="s">
        <v>6007</v>
      </c>
      <c r="C2804" s="1" t="s">
        <v>5879</v>
      </c>
      <c r="D2804" s="1" t="s">
        <v>5880</v>
      </c>
      <c r="E2804" s="1" t="s">
        <v>6008</v>
      </c>
      <c r="F2804" s="1" t="s">
        <v>16</v>
      </c>
      <c r="G2804" s="1" t="s">
        <v>17</v>
      </c>
      <c r="H2804" s="1" t="s">
        <v>28</v>
      </c>
      <c r="I2804" s="1" t="s">
        <v>40</v>
      </c>
      <c r="J2804" s="1">
        <v>151.0</v>
      </c>
      <c r="K2804" s="1">
        <v>38.0</v>
      </c>
      <c r="L2804" s="1">
        <v>55.0</v>
      </c>
    </row>
    <row r="2805">
      <c r="A2805" s="1">
        <v>7201012.0</v>
      </c>
      <c r="B2805" s="1" t="s">
        <v>6009</v>
      </c>
      <c r="C2805" s="1" t="s">
        <v>6010</v>
      </c>
      <c r="D2805" s="1" t="s">
        <v>6011</v>
      </c>
      <c r="E2805" s="1" t="s">
        <v>6012</v>
      </c>
      <c r="F2805" s="1" t="s">
        <v>16</v>
      </c>
      <c r="G2805" s="1" t="s">
        <v>17</v>
      </c>
      <c r="H2805" s="1" t="s">
        <v>28</v>
      </c>
      <c r="I2805" s="1" t="s">
        <v>40</v>
      </c>
      <c r="J2805" s="1">
        <v>125.0</v>
      </c>
      <c r="K2805" s="1">
        <v>18.0</v>
      </c>
      <c r="L2805" s="1">
        <v>286.0</v>
      </c>
    </row>
    <row r="2806">
      <c r="A2806" s="1">
        <v>7204010.0</v>
      </c>
      <c r="B2806" s="1" t="s">
        <v>6013</v>
      </c>
      <c r="C2806" s="1" t="s">
        <v>6010</v>
      </c>
      <c r="D2806" s="1" t="s">
        <v>6014</v>
      </c>
      <c r="E2806" s="1" t="s">
        <v>6015</v>
      </c>
      <c r="F2806" s="1" t="s">
        <v>16</v>
      </c>
      <c r="G2806" s="1" t="s">
        <v>17</v>
      </c>
      <c r="H2806" s="1" t="s">
        <v>28</v>
      </c>
      <c r="I2806" s="1" t="s">
        <v>40</v>
      </c>
      <c r="J2806" s="1">
        <v>180.0</v>
      </c>
      <c r="K2806" s="1">
        <v>91.0</v>
      </c>
      <c r="L2806" s="1">
        <v>610.0</v>
      </c>
    </row>
    <row r="2807">
      <c r="A2807" s="1">
        <v>7201014.0</v>
      </c>
      <c r="B2807" s="1" t="s">
        <v>6016</v>
      </c>
      <c r="C2807" s="1" t="s">
        <v>6010</v>
      </c>
      <c r="D2807" s="1" t="s">
        <v>6011</v>
      </c>
      <c r="E2807" s="1" t="s">
        <v>6017</v>
      </c>
      <c r="F2807" s="1" t="s">
        <v>16</v>
      </c>
      <c r="G2807" s="1" t="s">
        <v>98</v>
      </c>
      <c r="H2807" s="1" t="s">
        <v>28</v>
      </c>
      <c r="I2807" s="1" t="s">
        <v>40</v>
      </c>
      <c r="J2807" s="1">
        <v>24.0</v>
      </c>
      <c r="K2807" s="1">
        <v>11.0</v>
      </c>
      <c r="L2807" s="1">
        <v>17.0</v>
      </c>
    </row>
    <row r="2808">
      <c r="A2808" s="1">
        <v>7271025.0</v>
      </c>
      <c r="B2808" s="1" t="s">
        <v>6018</v>
      </c>
      <c r="C2808" s="1" t="s">
        <v>6010</v>
      </c>
      <c r="D2808" s="1" t="s">
        <v>6019</v>
      </c>
      <c r="E2808" s="1" t="s">
        <v>6020</v>
      </c>
      <c r="F2808" s="1" t="s">
        <v>16</v>
      </c>
      <c r="G2808" s="1" t="s">
        <v>17</v>
      </c>
      <c r="H2808" s="1" t="s">
        <v>18</v>
      </c>
      <c r="I2808" s="1" t="s">
        <v>74</v>
      </c>
      <c r="J2808" s="1">
        <v>116.0</v>
      </c>
      <c r="K2808" s="1">
        <v>35.0</v>
      </c>
      <c r="L2808" s="1">
        <v>228.0</v>
      </c>
    </row>
    <row r="2809">
      <c r="A2809" s="1">
        <v>7209032.0</v>
      </c>
      <c r="B2809" s="1" t="s">
        <v>6021</v>
      </c>
      <c r="C2809" s="1" t="s">
        <v>6010</v>
      </c>
      <c r="D2809" s="1" t="s">
        <v>6022</v>
      </c>
      <c r="E2809" s="1" t="s">
        <v>6023</v>
      </c>
      <c r="F2809" s="1" t="s">
        <v>16</v>
      </c>
      <c r="G2809" s="1" t="s">
        <v>17</v>
      </c>
      <c r="H2809" s="1" t="s">
        <v>28</v>
      </c>
      <c r="I2809" s="1" t="s">
        <v>40</v>
      </c>
      <c r="J2809" s="1">
        <v>177.0</v>
      </c>
      <c r="K2809" s="1">
        <v>51.0</v>
      </c>
      <c r="L2809" s="1">
        <v>579.0</v>
      </c>
    </row>
    <row r="2810">
      <c r="A2810" s="1">
        <v>7271040.0</v>
      </c>
      <c r="B2810" s="1" t="s">
        <v>6024</v>
      </c>
      <c r="C2810" s="1" t="s">
        <v>6010</v>
      </c>
      <c r="D2810" s="1" t="s">
        <v>6019</v>
      </c>
      <c r="E2810" s="1" t="s">
        <v>6025</v>
      </c>
      <c r="F2810" s="1" t="s">
        <v>16</v>
      </c>
      <c r="G2810" s="1" t="s">
        <v>17</v>
      </c>
      <c r="H2810" s="1" t="s">
        <v>18</v>
      </c>
      <c r="I2810" s="1" t="s">
        <v>59</v>
      </c>
      <c r="J2810" s="1">
        <v>135.0</v>
      </c>
      <c r="K2810" s="1">
        <v>126.0</v>
      </c>
      <c r="L2810" s="1">
        <v>192.0</v>
      </c>
    </row>
    <row r="2811">
      <c r="A2811" s="1">
        <v>7208011.0</v>
      </c>
      <c r="B2811" s="1" t="s">
        <v>6026</v>
      </c>
      <c r="C2811" s="1" t="s">
        <v>6010</v>
      </c>
      <c r="D2811" s="1" t="s">
        <v>6027</v>
      </c>
      <c r="E2811" s="1" t="s">
        <v>6028</v>
      </c>
      <c r="F2811" s="1" t="s">
        <v>16</v>
      </c>
      <c r="G2811" s="1" t="s">
        <v>27</v>
      </c>
      <c r="H2811" s="1" t="s">
        <v>28</v>
      </c>
      <c r="I2811" s="1" t="s">
        <v>40</v>
      </c>
      <c r="J2811" s="1">
        <v>173.0</v>
      </c>
      <c r="K2811" s="1">
        <v>34.0</v>
      </c>
      <c r="L2811" s="1">
        <v>761.0</v>
      </c>
    </row>
    <row r="2812">
      <c r="A2812" s="1">
        <v>7208013.0</v>
      </c>
      <c r="B2812" s="1" t="s">
        <v>6029</v>
      </c>
      <c r="C2812" s="1" t="s">
        <v>6010</v>
      </c>
      <c r="D2812" s="1" t="s">
        <v>6027</v>
      </c>
      <c r="E2812" s="1" t="s">
        <v>6030</v>
      </c>
      <c r="F2812" s="1" t="s">
        <v>16</v>
      </c>
      <c r="G2812" s="1" t="s">
        <v>17</v>
      </c>
      <c r="H2812" s="1" t="s">
        <v>28</v>
      </c>
      <c r="I2812" s="1" t="s">
        <v>40</v>
      </c>
      <c r="J2812" s="1">
        <v>101.0</v>
      </c>
      <c r="K2812" s="1">
        <v>17.0</v>
      </c>
      <c r="L2812" s="1">
        <v>247.0</v>
      </c>
    </row>
    <row r="2813">
      <c r="A2813" s="1">
        <v>7271130.0</v>
      </c>
      <c r="B2813" s="1" t="s">
        <v>6031</v>
      </c>
      <c r="C2813" s="1" t="s">
        <v>6010</v>
      </c>
      <c r="D2813" s="1" t="s">
        <v>6019</v>
      </c>
      <c r="E2813" s="1" t="s">
        <v>6032</v>
      </c>
      <c r="F2813" s="1" t="s">
        <v>55</v>
      </c>
      <c r="G2813" s="1" t="s">
        <v>17</v>
      </c>
      <c r="H2813" s="1" t="s">
        <v>18</v>
      </c>
      <c r="I2813" s="1" t="s">
        <v>19</v>
      </c>
      <c r="J2813" s="1">
        <v>75.0</v>
      </c>
      <c r="K2813" s="1">
        <v>12.0</v>
      </c>
      <c r="L2813" s="1">
        <v>100.0</v>
      </c>
    </row>
    <row r="2814">
      <c r="A2814" s="1">
        <v>7205024.0</v>
      </c>
      <c r="B2814" s="1" t="s">
        <v>6033</v>
      </c>
      <c r="C2814" s="1" t="s">
        <v>6010</v>
      </c>
      <c r="D2814" s="1" t="s">
        <v>6034</v>
      </c>
      <c r="E2814" s="1" t="s">
        <v>6035</v>
      </c>
      <c r="F2814" s="1" t="s">
        <v>16</v>
      </c>
      <c r="G2814" s="1" t="s">
        <v>23</v>
      </c>
      <c r="H2814" s="1" t="s">
        <v>18</v>
      </c>
      <c r="I2814" s="1" t="s">
        <v>40</v>
      </c>
      <c r="J2814" s="1">
        <v>68.0</v>
      </c>
      <c r="K2814" s="1">
        <v>20.0</v>
      </c>
      <c r="L2814" s="1">
        <v>63.0</v>
      </c>
    </row>
    <row r="2815">
      <c r="A2815" s="1">
        <v>7271095.0</v>
      </c>
      <c r="B2815" s="1" t="s">
        <v>6036</v>
      </c>
      <c r="C2815" s="1" t="s">
        <v>6010</v>
      </c>
      <c r="D2815" s="1" t="s">
        <v>6019</v>
      </c>
      <c r="E2815" s="1" t="s">
        <v>6037</v>
      </c>
      <c r="F2815" s="1" t="s">
        <v>16</v>
      </c>
      <c r="G2815" s="1" t="s">
        <v>17</v>
      </c>
      <c r="H2815" s="1" t="s">
        <v>18</v>
      </c>
      <c r="I2815" s="1" t="s">
        <v>19</v>
      </c>
      <c r="J2815" s="1">
        <v>132.0</v>
      </c>
      <c r="K2815" s="1">
        <v>53.0</v>
      </c>
      <c r="L2815" s="1">
        <v>190.0</v>
      </c>
    </row>
    <row r="2816">
      <c r="A2816" s="1">
        <v>7201011.0</v>
      </c>
      <c r="B2816" s="1" t="s">
        <v>6038</v>
      </c>
      <c r="C2816" s="1" t="s">
        <v>6010</v>
      </c>
      <c r="D2816" s="1" t="s">
        <v>6039</v>
      </c>
      <c r="E2816" s="1" t="s">
        <v>6040</v>
      </c>
      <c r="F2816" s="1" t="s">
        <v>16</v>
      </c>
      <c r="G2816" s="1" t="s">
        <v>17</v>
      </c>
      <c r="H2816" s="1" t="s">
        <v>28</v>
      </c>
      <c r="I2816" s="1" t="s">
        <v>40</v>
      </c>
      <c r="J2816" s="1">
        <v>125.0</v>
      </c>
      <c r="K2816" s="1">
        <v>24.0</v>
      </c>
      <c r="L2816" s="1">
        <v>381.0</v>
      </c>
    </row>
    <row r="2817">
      <c r="A2817" s="1">
        <v>7212011.0</v>
      </c>
      <c r="B2817" s="1" t="s">
        <v>6041</v>
      </c>
      <c r="C2817" s="1" t="s">
        <v>6010</v>
      </c>
      <c r="D2817" s="1" t="s">
        <v>6042</v>
      </c>
      <c r="E2817" s="1" t="s">
        <v>6043</v>
      </c>
      <c r="F2817" s="1" t="s">
        <v>16</v>
      </c>
      <c r="G2817" s="1" t="s">
        <v>98</v>
      </c>
      <c r="H2817" s="1" t="s">
        <v>18</v>
      </c>
      <c r="I2817" s="1" t="s">
        <v>40</v>
      </c>
      <c r="J2817" s="1">
        <v>36.0</v>
      </c>
      <c r="K2817" s="1">
        <v>13.0</v>
      </c>
      <c r="L2817" s="1">
        <v>0.0</v>
      </c>
    </row>
    <row r="2818">
      <c r="A2818" s="1">
        <v>7206012.0</v>
      </c>
      <c r="B2818" s="1" t="s">
        <v>6044</v>
      </c>
      <c r="C2818" s="1" t="s">
        <v>6010</v>
      </c>
      <c r="D2818" s="1" t="s">
        <v>6045</v>
      </c>
      <c r="E2818" s="1" t="s">
        <v>6046</v>
      </c>
      <c r="F2818" s="1" t="s">
        <v>16</v>
      </c>
      <c r="G2818" s="1" t="s">
        <v>17</v>
      </c>
      <c r="H2818" s="1" t="s">
        <v>28</v>
      </c>
      <c r="I2818" s="1" t="s">
        <v>40</v>
      </c>
      <c r="J2818" s="1">
        <v>291.0</v>
      </c>
      <c r="K2818" s="1">
        <v>36.0</v>
      </c>
      <c r="L2818" s="1">
        <v>869.0</v>
      </c>
    </row>
    <row r="2819">
      <c r="A2819" s="1">
        <v>7203016.0</v>
      </c>
      <c r="B2819" s="1" t="s">
        <v>6047</v>
      </c>
      <c r="C2819" s="1" t="s">
        <v>6010</v>
      </c>
      <c r="D2819" s="1" t="s">
        <v>6048</v>
      </c>
      <c r="E2819" s="1" t="s">
        <v>6049</v>
      </c>
      <c r="F2819" s="1" t="s">
        <v>16</v>
      </c>
      <c r="G2819" s="1" t="s">
        <v>17</v>
      </c>
      <c r="H2819" s="1" t="s">
        <v>28</v>
      </c>
      <c r="I2819" s="1" t="s">
        <v>40</v>
      </c>
      <c r="J2819" s="1">
        <v>246.0</v>
      </c>
      <c r="K2819" s="1">
        <v>64.0</v>
      </c>
      <c r="L2819" s="1">
        <v>705.0</v>
      </c>
    </row>
    <row r="2820">
      <c r="A2820" s="1">
        <v>7209004.0</v>
      </c>
      <c r="B2820" s="1" t="s">
        <v>6050</v>
      </c>
      <c r="C2820" s="1" t="s">
        <v>6010</v>
      </c>
      <c r="D2820" s="1" t="s">
        <v>6022</v>
      </c>
      <c r="E2820" s="1" t="s">
        <v>6051</v>
      </c>
      <c r="F2820" s="1" t="s">
        <v>16</v>
      </c>
      <c r="G2820" s="1" t="s">
        <v>98</v>
      </c>
      <c r="H2820" s="1" t="s">
        <v>18</v>
      </c>
      <c r="I2820" s="1" t="s">
        <v>40</v>
      </c>
      <c r="J2820" s="1">
        <v>20.0</v>
      </c>
      <c r="K2820" s="1">
        <v>7.0</v>
      </c>
      <c r="L2820" s="1">
        <v>5.0</v>
      </c>
    </row>
    <row r="2821">
      <c r="A2821" s="1">
        <v>7208012.0</v>
      </c>
      <c r="B2821" s="1" t="s">
        <v>6052</v>
      </c>
      <c r="C2821" s="1" t="s">
        <v>6010</v>
      </c>
      <c r="D2821" s="1" t="s">
        <v>6027</v>
      </c>
      <c r="E2821" s="1" t="s">
        <v>6053</v>
      </c>
      <c r="F2821" s="1" t="s">
        <v>55</v>
      </c>
      <c r="G2821" s="1" t="s">
        <v>17</v>
      </c>
      <c r="H2821" s="1" t="s">
        <v>18</v>
      </c>
      <c r="I2821" s="1" t="s">
        <v>163</v>
      </c>
      <c r="J2821" s="1">
        <v>86.0</v>
      </c>
      <c r="K2821" s="1">
        <v>14.0</v>
      </c>
      <c r="L2821" s="1">
        <v>107.0</v>
      </c>
    </row>
    <row r="2822">
      <c r="A2822" s="1">
        <v>7204044.0</v>
      </c>
      <c r="B2822" s="1" t="s">
        <v>6054</v>
      </c>
      <c r="C2822" s="1" t="s">
        <v>6010</v>
      </c>
      <c r="D2822" s="1" t="s">
        <v>6014</v>
      </c>
      <c r="E2822" s="1" t="s">
        <v>6055</v>
      </c>
      <c r="F2822" s="1" t="s">
        <v>16</v>
      </c>
      <c r="G2822" s="1" t="s">
        <v>23</v>
      </c>
      <c r="H2822" s="1" t="s">
        <v>18</v>
      </c>
      <c r="I2822" s="1" t="s">
        <v>74</v>
      </c>
      <c r="J2822" s="1">
        <v>59.0</v>
      </c>
      <c r="K2822" s="1">
        <v>24.0</v>
      </c>
      <c r="L2822" s="1">
        <v>7.0</v>
      </c>
    </row>
    <row r="2823">
      <c r="A2823" s="1">
        <v>7208115.0</v>
      </c>
      <c r="B2823" s="1" t="s">
        <v>6056</v>
      </c>
      <c r="C2823" s="1" t="s">
        <v>6010</v>
      </c>
      <c r="D2823" s="1" t="s">
        <v>6027</v>
      </c>
      <c r="E2823" s="1" t="s">
        <v>6057</v>
      </c>
      <c r="F2823" s="1" t="s">
        <v>16</v>
      </c>
      <c r="G2823" s="1" t="s">
        <v>23</v>
      </c>
      <c r="H2823" s="1" t="s">
        <v>18</v>
      </c>
      <c r="I2823" s="1" t="s">
        <v>40</v>
      </c>
      <c r="J2823" s="1">
        <v>62.0</v>
      </c>
      <c r="K2823" s="1">
        <v>16.0</v>
      </c>
      <c r="L2823" s="1">
        <v>129.0</v>
      </c>
    </row>
    <row r="2824">
      <c r="A2824" s="1">
        <v>7271014.0</v>
      </c>
      <c r="B2824" s="1" t="s">
        <v>6058</v>
      </c>
      <c r="C2824" s="1" t="s">
        <v>6010</v>
      </c>
      <c r="D2824" s="1" t="s">
        <v>6019</v>
      </c>
      <c r="E2824" s="1" t="s">
        <v>6059</v>
      </c>
      <c r="F2824" s="1" t="s">
        <v>16</v>
      </c>
      <c r="G2824" s="1" t="s">
        <v>27</v>
      </c>
      <c r="H2824" s="1" t="s">
        <v>28</v>
      </c>
      <c r="I2824" s="1" t="s">
        <v>139</v>
      </c>
      <c r="J2824" s="1">
        <v>397.0</v>
      </c>
      <c r="K2824" s="1">
        <v>115.0</v>
      </c>
      <c r="L2824" s="1">
        <v>1014.0</v>
      </c>
    </row>
    <row r="2825">
      <c r="A2825" s="1">
        <v>7203018.0</v>
      </c>
      <c r="B2825" s="1" t="s">
        <v>6060</v>
      </c>
      <c r="C2825" s="1" t="s">
        <v>6010</v>
      </c>
      <c r="D2825" s="1" t="s">
        <v>6048</v>
      </c>
      <c r="E2825" s="1" t="s">
        <v>6061</v>
      </c>
      <c r="F2825" s="1" t="s">
        <v>16</v>
      </c>
      <c r="G2825" s="1" t="s">
        <v>23</v>
      </c>
      <c r="H2825" s="1" t="s">
        <v>18</v>
      </c>
      <c r="I2825" s="1" t="s">
        <v>40</v>
      </c>
      <c r="J2825" s="1">
        <v>51.0</v>
      </c>
      <c r="K2825" s="1">
        <v>25.0</v>
      </c>
      <c r="L2825" s="1">
        <v>145.0</v>
      </c>
    </row>
    <row r="2826">
      <c r="A2826" s="1">
        <v>7204021.0</v>
      </c>
      <c r="B2826" s="1" t="s">
        <v>6062</v>
      </c>
      <c r="C2826" s="1" t="s">
        <v>6010</v>
      </c>
      <c r="D2826" s="1" t="s">
        <v>6042</v>
      </c>
      <c r="E2826" s="1" t="s">
        <v>6063</v>
      </c>
      <c r="F2826" s="1" t="s">
        <v>16</v>
      </c>
      <c r="G2826" s="1" t="s">
        <v>17</v>
      </c>
      <c r="H2826" s="1" t="s">
        <v>28</v>
      </c>
      <c r="I2826" s="1" t="s">
        <v>40</v>
      </c>
      <c r="J2826" s="1">
        <v>182.0</v>
      </c>
      <c r="K2826" s="1">
        <v>56.0</v>
      </c>
      <c r="L2826" s="1">
        <v>302.0</v>
      </c>
    </row>
    <row r="2827">
      <c r="A2827" s="1">
        <v>7210002.0</v>
      </c>
      <c r="B2827" s="1" t="s">
        <v>6064</v>
      </c>
      <c r="C2827" s="1" t="s">
        <v>6010</v>
      </c>
      <c r="D2827" s="1" t="s">
        <v>6065</v>
      </c>
      <c r="E2827" s="1" t="s">
        <v>6066</v>
      </c>
      <c r="F2827" s="1" t="s">
        <v>16</v>
      </c>
      <c r="G2827" s="1" t="s">
        <v>17</v>
      </c>
      <c r="H2827" s="1" t="s">
        <v>28</v>
      </c>
      <c r="I2827" s="1" t="s">
        <v>40</v>
      </c>
      <c r="J2827" s="1">
        <v>209.0</v>
      </c>
      <c r="K2827" s="1">
        <v>28.0</v>
      </c>
      <c r="L2827" s="1">
        <v>277.0</v>
      </c>
    </row>
    <row r="2828">
      <c r="A2828" s="1">
        <v>7206014.0</v>
      </c>
      <c r="B2828" s="1" t="s">
        <v>6067</v>
      </c>
      <c r="C2828" s="1" t="s">
        <v>6010</v>
      </c>
      <c r="D2828" s="1" t="s">
        <v>6045</v>
      </c>
      <c r="E2828" s="1" t="s">
        <v>6068</v>
      </c>
      <c r="F2828" s="1" t="s">
        <v>16</v>
      </c>
      <c r="G2828" s="1" t="s">
        <v>23</v>
      </c>
      <c r="H2828" s="1" t="s">
        <v>18</v>
      </c>
      <c r="I2828" s="1" t="s">
        <v>40</v>
      </c>
      <c r="J2828" s="1">
        <v>56.0</v>
      </c>
      <c r="K2828" s="1">
        <v>17.0</v>
      </c>
      <c r="L2828" s="1">
        <v>123.0</v>
      </c>
    </row>
    <row r="2829">
      <c r="A2829" s="1">
        <v>7271036.0</v>
      </c>
      <c r="B2829" s="1" t="s">
        <v>6069</v>
      </c>
      <c r="C2829" s="1" t="s">
        <v>6010</v>
      </c>
      <c r="D2829" s="1" t="s">
        <v>6019</v>
      </c>
      <c r="E2829" s="1" t="s">
        <v>6070</v>
      </c>
      <c r="F2829" s="1" t="s">
        <v>16</v>
      </c>
      <c r="G2829" s="1" t="s">
        <v>27</v>
      </c>
      <c r="H2829" s="1" t="s">
        <v>28</v>
      </c>
      <c r="I2829" s="1" t="s">
        <v>29</v>
      </c>
      <c r="J2829" s="1">
        <v>357.0</v>
      </c>
      <c r="K2829" s="1">
        <v>69.0</v>
      </c>
      <c r="L2829" s="1">
        <v>1439.0</v>
      </c>
    </row>
    <row r="2830">
      <c r="A2830" s="1">
        <v>7271131.0</v>
      </c>
      <c r="B2830" s="1" t="s">
        <v>6071</v>
      </c>
      <c r="C2830" s="1" t="s">
        <v>6010</v>
      </c>
      <c r="D2830" s="1" t="s">
        <v>6019</v>
      </c>
      <c r="E2830" s="1" t="s">
        <v>6072</v>
      </c>
      <c r="F2830" s="1" t="s">
        <v>55</v>
      </c>
      <c r="G2830" s="1" t="s">
        <v>17</v>
      </c>
      <c r="H2830" s="1" t="s">
        <v>18</v>
      </c>
      <c r="I2830" s="1" t="s">
        <v>19</v>
      </c>
      <c r="J2830" s="1">
        <v>28.0</v>
      </c>
      <c r="K2830" s="1">
        <v>7.0</v>
      </c>
      <c r="L2830" s="1">
        <v>29.0</v>
      </c>
    </row>
    <row r="2831">
      <c r="A2831" s="1">
        <v>7204043.0</v>
      </c>
      <c r="B2831" s="1" t="s">
        <v>6073</v>
      </c>
      <c r="C2831" s="1" t="s">
        <v>6010</v>
      </c>
      <c r="D2831" s="1" t="s">
        <v>6014</v>
      </c>
      <c r="E2831" s="1" t="s">
        <v>6074</v>
      </c>
      <c r="F2831" s="1" t="s">
        <v>16</v>
      </c>
      <c r="G2831" s="1" t="s">
        <v>23</v>
      </c>
      <c r="H2831" s="1" t="s">
        <v>18</v>
      </c>
      <c r="I2831" s="1" t="s">
        <v>59</v>
      </c>
      <c r="J2831" s="1">
        <v>62.0</v>
      </c>
      <c r="K2831" s="1">
        <v>21.0</v>
      </c>
      <c r="L2831" s="1">
        <v>125.0</v>
      </c>
    </row>
    <row r="2832">
      <c r="A2832" s="1">
        <v>7202016.0</v>
      </c>
      <c r="B2832" s="1" t="s">
        <v>6075</v>
      </c>
      <c r="C2832" s="1" t="s">
        <v>6010</v>
      </c>
      <c r="D2832" s="1" t="s">
        <v>6076</v>
      </c>
      <c r="E2832" s="1" t="s">
        <v>6077</v>
      </c>
      <c r="F2832" s="1" t="s">
        <v>16</v>
      </c>
      <c r="G2832" s="1" t="s">
        <v>98</v>
      </c>
      <c r="H2832" s="1" t="s">
        <v>18</v>
      </c>
      <c r="I2832" s="1" t="s">
        <v>40</v>
      </c>
      <c r="J2832" s="1">
        <v>27.0</v>
      </c>
      <c r="K2832" s="1">
        <v>5.0</v>
      </c>
      <c r="L2832" s="1">
        <v>45.0</v>
      </c>
    </row>
    <row r="2833">
      <c r="A2833" s="1">
        <v>7271051.0</v>
      </c>
      <c r="B2833" s="1" t="s">
        <v>6078</v>
      </c>
      <c r="C2833" s="1" t="s">
        <v>6010</v>
      </c>
      <c r="D2833" s="1" t="s">
        <v>6019</v>
      </c>
      <c r="E2833" s="1" t="s">
        <v>6079</v>
      </c>
      <c r="F2833" s="1" t="s">
        <v>16</v>
      </c>
      <c r="G2833" s="1" t="s">
        <v>17</v>
      </c>
      <c r="H2833" s="1" t="s">
        <v>28</v>
      </c>
      <c r="I2833" s="1" t="s">
        <v>139</v>
      </c>
      <c r="J2833" s="1">
        <v>226.0</v>
      </c>
      <c r="K2833" s="1">
        <v>28.0</v>
      </c>
      <c r="L2833" s="1">
        <v>303.0</v>
      </c>
    </row>
    <row r="2834">
      <c r="A2834" s="1">
        <v>7271128.0</v>
      </c>
      <c r="B2834" s="1" t="s">
        <v>6080</v>
      </c>
      <c r="C2834" s="1" t="s">
        <v>6010</v>
      </c>
      <c r="D2834" s="1" t="s">
        <v>6019</v>
      </c>
      <c r="E2834" s="1" t="s">
        <v>6081</v>
      </c>
      <c r="F2834" s="1" t="s">
        <v>16</v>
      </c>
      <c r="G2834" s="1" t="s">
        <v>17</v>
      </c>
      <c r="H2834" s="1" t="s">
        <v>18</v>
      </c>
      <c r="I2834" s="1" t="s">
        <v>59</v>
      </c>
      <c r="J2834" s="1">
        <v>100.0</v>
      </c>
      <c r="K2834" s="1">
        <v>38.0</v>
      </c>
      <c r="L2834" s="1">
        <v>98.0</v>
      </c>
    </row>
    <row r="2835">
      <c r="A2835" s="1">
        <v>7202017.0</v>
      </c>
      <c r="B2835" s="1" t="s">
        <v>6082</v>
      </c>
      <c r="C2835" s="1" t="s">
        <v>6010</v>
      </c>
      <c r="D2835" s="1" t="s">
        <v>6076</v>
      </c>
      <c r="E2835" s="1" t="s">
        <v>6083</v>
      </c>
      <c r="F2835" s="1" t="s">
        <v>16</v>
      </c>
      <c r="G2835" s="1" t="s">
        <v>23</v>
      </c>
      <c r="H2835" s="1" t="s">
        <v>18</v>
      </c>
      <c r="I2835" s="1" t="s">
        <v>44</v>
      </c>
      <c r="J2835" s="1">
        <v>55.0</v>
      </c>
      <c r="K2835" s="1">
        <v>21.0</v>
      </c>
      <c r="L2835" s="1">
        <v>45.0</v>
      </c>
    </row>
    <row r="2836">
      <c r="A2836" s="1">
        <v>7205022.0</v>
      </c>
      <c r="B2836" s="1" t="s">
        <v>6084</v>
      </c>
      <c r="C2836" s="1" t="s">
        <v>6010</v>
      </c>
      <c r="D2836" s="1" t="s">
        <v>6034</v>
      </c>
      <c r="E2836" s="1" t="s">
        <v>6085</v>
      </c>
      <c r="F2836" s="1" t="s">
        <v>16</v>
      </c>
      <c r="G2836" s="1" t="s">
        <v>17</v>
      </c>
      <c r="H2836" s="1" t="s">
        <v>28</v>
      </c>
      <c r="I2836" s="1" t="s">
        <v>40</v>
      </c>
      <c r="J2836" s="1">
        <v>129.0</v>
      </c>
      <c r="K2836" s="1">
        <v>25.0</v>
      </c>
      <c r="L2836" s="1">
        <v>272.0</v>
      </c>
    </row>
    <row r="2837">
      <c r="A2837" s="1">
        <v>7202015.0</v>
      </c>
      <c r="B2837" s="1" t="s">
        <v>6086</v>
      </c>
      <c r="C2837" s="1" t="s">
        <v>6010</v>
      </c>
      <c r="D2837" s="1" t="s">
        <v>6076</v>
      </c>
      <c r="E2837" s="1" t="s">
        <v>6087</v>
      </c>
      <c r="F2837" s="1" t="s">
        <v>16</v>
      </c>
      <c r="G2837" s="1" t="s">
        <v>27</v>
      </c>
      <c r="H2837" s="1" t="s">
        <v>28</v>
      </c>
      <c r="I2837" s="1" t="s">
        <v>40</v>
      </c>
      <c r="J2837" s="1">
        <v>311.0</v>
      </c>
      <c r="K2837" s="1">
        <v>35.0</v>
      </c>
      <c r="L2837" s="1">
        <v>266.0</v>
      </c>
    </row>
    <row r="2838">
      <c r="A2838" s="1">
        <v>7271132.0</v>
      </c>
      <c r="B2838" s="1" t="s">
        <v>6088</v>
      </c>
      <c r="C2838" s="1" t="s">
        <v>6010</v>
      </c>
      <c r="D2838" s="1" t="s">
        <v>6019</v>
      </c>
      <c r="E2838" s="1" t="s">
        <v>6089</v>
      </c>
      <c r="F2838" s="1" t="s">
        <v>16</v>
      </c>
      <c r="G2838" s="1" t="s">
        <v>17</v>
      </c>
      <c r="H2838" s="1" t="s">
        <v>18</v>
      </c>
      <c r="I2838" s="1" t="s">
        <v>44</v>
      </c>
      <c r="J2838" s="1">
        <v>110.0</v>
      </c>
      <c r="K2838" s="1">
        <v>63.0</v>
      </c>
      <c r="L2838" s="1">
        <v>132.0</v>
      </c>
    </row>
    <row r="2839">
      <c r="A2839" s="1">
        <v>7209002.0</v>
      </c>
      <c r="B2839" s="1" t="s">
        <v>6090</v>
      </c>
      <c r="C2839" s="1" t="s">
        <v>6010</v>
      </c>
      <c r="D2839" s="1" t="s">
        <v>6022</v>
      </c>
      <c r="E2839" s="1" t="s">
        <v>6091</v>
      </c>
      <c r="F2839" s="1" t="s">
        <v>16</v>
      </c>
      <c r="G2839" s="1" t="s">
        <v>23</v>
      </c>
      <c r="H2839" s="1" t="s">
        <v>18</v>
      </c>
      <c r="I2839" s="1" t="s">
        <v>40</v>
      </c>
      <c r="J2839" s="1">
        <v>72.0</v>
      </c>
      <c r="K2839" s="1">
        <v>14.0</v>
      </c>
      <c r="L2839" s="1">
        <v>110.0</v>
      </c>
    </row>
    <row r="2840">
      <c r="A2840" s="1">
        <v>7271116.0</v>
      </c>
      <c r="B2840" s="1" t="s">
        <v>6092</v>
      </c>
      <c r="C2840" s="1" t="s">
        <v>6010</v>
      </c>
      <c r="D2840" s="1" t="s">
        <v>6019</v>
      </c>
      <c r="E2840" s="1" t="s">
        <v>6093</v>
      </c>
      <c r="F2840" s="1" t="s">
        <v>55</v>
      </c>
      <c r="G2840" s="1" t="s">
        <v>17</v>
      </c>
      <c r="H2840" s="1" t="s">
        <v>18</v>
      </c>
      <c r="I2840" s="1" t="s">
        <v>59</v>
      </c>
      <c r="J2840" s="1">
        <v>32.0</v>
      </c>
      <c r="K2840" s="1">
        <v>13.0</v>
      </c>
      <c r="L2840" s="1">
        <v>21.0</v>
      </c>
    </row>
    <row r="2841">
      <c r="A2841" s="1">
        <v>7271127.0</v>
      </c>
      <c r="B2841" s="1" t="s">
        <v>6094</v>
      </c>
      <c r="C2841" s="1" t="s">
        <v>6010</v>
      </c>
      <c r="D2841" s="1" t="s">
        <v>6019</v>
      </c>
      <c r="E2841" s="1" t="s">
        <v>6095</v>
      </c>
      <c r="F2841" s="1" t="s">
        <v>16</v>
      </c>
      <c r="G2841" s="1" t="s">
        <v>17</v>
      </c>
      <c r="H2841" s="1" t="s">
        <v>33</v>
      </c>
      <c r="I2841" s="1" t="s">
        <v>65</v>
      </c>
      <c r="J2841" s="1">
        <v>114.0</v>
      </c>
      <c r="K2841" s="1">
        <v>36.0</v>
      </c>
      <c r="L2841" s="1">
        <v>214.0</v>
      </c>
    </row>
    <row r="2842">
      <c r="A2842" s="1">
        <v>7271133.0</v>
      </c>
      <c r="B2842" s="1" t="s">
        <v>6096</v>
      </c>
      <c r="C2842" s="1" t="s">
        <v>6010</v>
      </c>
      <c r="D2842" s="1" t="s">
        <v>6019</v>
      </c>
      <c r="E2842" s="1" t="s">
        <v>6097</v>
      </c>
      <c r="F2842" s="1" t="s">
        <v>16</v>
      </c>
      <c r="G2842" s="1" t="s">
        <v>17</v>
      </c>
      <c r="H2842" s="1" t="s">
        <v>18</v>
      </c>
      <c r="I2842" s="1" t="s">
        <v>34</v>
      </c>
      <c r="J2842" s="1">
        <v>2.0</v>
      </c>
      <c r="K2842" s="1">
        <v>16.0</v>
      </c>
      <c r="L2842" s="1">
        <v>108.0</v>
      </c>
    </row>
    <row r="2843">
      <c r="A2843" s="1">
        <v>7207013.0</v>
      </c>
      <c r="B2843" s="1" t="s">
        <v>6098</v>
      </c>
      <c r="C2843" s="1" t="s">
        <v>6010</v>
      </c>
      <c r="D2843" s="1" t="s">
        <v>6099</v>
      </c>
      <c r="E2843" s="1" t="s">
        <v>6100</v>
      </c>
      <c r="F2843" s="1" t="s">
        <v>16</v>
      </c>
      <c r="G2843" s="1" t="s">
        <v>17</v>
      </c>
      <c r="H2843" s="1" t="s">
        <v>28</v>
      </c>
      <c r="I2843" s="1" t="s">
        <v>40</v>
      </c>
      <c r="J2843" s="1">
        <v>223.0</v>
      </c>
      <c r="K2843" s="1">
        <v>38.0</v>
      </c>
      <c r="L2843" s="1">
        <v>391.0</v>
      </c>
    </row>
    <row r="2844">
      <c r="A2844" s="1">
        <v>7316015.0</v>
      </c>
      <c r="B2844" s="1" t="s">
        <v>6101</v>
      </c>
      <c r="C2844" s="1" t="s">
        <v>6102</v>
      </c>
      <c r="D2844" s="1" t="s">
        <v>6103</v>
      </c>
      <c r="E2844" s="1" t="s">
        <v>6104</v>
      </c>
      <c r="F2844" s="1" t="s">
        <v>16</v>
      </c>
      <c r="G2844" s="1" t="s">
        <v>17</v>
      </c>
      <c r="H2844" s="1" t="s">
        <v>28</v>
      </c>
      <c r="I2844" s="1" t="s">
        <v>40</v>
      </c>
      <c r="J2844" s="1">
        <v>119.0</v>
      </c>
      <c r="K2844" s="1">
        <v>31.0</v>
      </c>
      <c r="L2844" s="1">
        <v>567.0</v>
      </c>
    </row>
    <row r="2845">
      <c r="A2845" s="1">
        <v>7371191.0</v>
      </c>
      <c r="B2845" s="1" t="s">
        <v>6105</v>
      </c>
      <c r="C2845" s="1" t="s">
        <v>6102</v>
      </c>
      <c r="D2845" s="1" t="s">
        <v>6106</v>
      </c>
      <c r="E2845" s="1" t="s">
        <v>6107</v>
      </c>
      <c r="F2845" s="1" t="s">
        <v>55</v>
      </c>
      <c r="G2845" s="1" t="s">
        <v>17</v>
      </c>
      <c r="H2845" s="1" t="s">
        <v>18</v>
      </c>
      <c r="I2845" s="1" t="s">
        <v>684</v>
      </c>
      <c r="J2845" s="1">
        <v>75.0</v>
      </c>
      <c r="K2845" s="1">
        <v>20.0</v>
      </c>
      <c r="L2845" s="1">
        <v>167.0</v>
      </c>
    </row>
    <row r="2846">
      <c r="A2846" s="1">
        <v>7373003.0</v>
      </c>
      <c r="B2846" s="1" t="s">
        <v>6108</v>
      </c>
      <c r="C2846" s="1" t="s">
        <v>6102</v>
      </c>
      <c r="D2846" s="1" t="s">
        <v>6109</v>
      </c>
      <c r="E2846" s="1" t="s">
        <v>6110</v>
      </c>
      <c r="F2846" s="1" t="s">
        <v>16</v>
      </c>
      <c r="G2846" s="1" t="s">
        <v>17</v>
      </c>
      <c r="H2846" s="1" t="s">
        <v>33</v>
      </c>
      <c r="I2846" s="1" t="s">
        <v>44</v>
      </c>
      <c r="J2846" s="1">
        <v>101.0</v>
      </c>
      <c r="K2846" s="1">
        <v>17.0</v>
      </c>
      <c r="L2846" s="1">
        <v>0.0</v>
      </c>
    </row>
    <row r="2847">
      <c r="A2847" s="1">
        <v>7371433.0</v>
      </c>
      <c r="B2847" s="1" t="s">
        <v>6111</v>
      </c>
      <c r="C2847" s="1" t="s">
        <v>6102</v>
      </c>
      <c r="D2847" s="1" t="s">
        <v>6106</v>
      </c>
      <c r="E2847" s="1" t="s">
        <v>6112</v>
      </c>
      <c r="F2847" s="1" t="s">
        <v>32</v>
      </c>
      <c r="G2847" s="1" t="s">
        <v>17</v>
      </c>
      <c r="H2847" s="1" t="s">
        <v>28</v>
      </c>
      <c r="I2847" s="1" t="s">
        <v>139</v>
      </c>
      <c r="J2847" s="1">
        <v>10.0</v>
      </c>
      <c r="K2847" s="1">
        <v>21.0</v>
      </c>
      <c r="L2847" s="1">
        <v>97.0</v>
      </c>
    </row>
    <row r="2848">
      <c r="A2848" s="1">
        <v>7371014.0</v>
      </c>
      <c r="B2848" s="1" t="s">
        <v>6113</v>
      </c>
      <c r="C2848" s="1" t="s">
        <v>6102</v>
      </c>
      <c r="D2848" s="1" t="s">
        <v>6106</v>
      </c>
      <c r="E2848" s="1" t="s">
        <v>6114</v>
      </c>
      <c r="F2848" s="1" t="s">
        <v>16</v>
      </c>
      <c r="G2848" s="1" t="s">
        <v>17</v>
      </c>
      <c r="H2848" s="1" t="s">
        <v>18</v>
      </c>
      <c r="I2848" s="1" t="s">
        <v>139</v>
      </c>
      <c r="J2848" s="1">
        <v>127.0</v>
      </c>
      <c r="K2848" s="1">
        <v>19.0</v>
      </c>
      <c r="L2848" s="1">
        <v>285.0</v>
      </c>
    </row>
    <row r="2849">
      <c r="A2849" s="1">
        <v>7302016.0</v>
      </c>
      <c r="B2849" s="1" t="s">
        <v>6115</v>
      </c>
      <c r="C2849" s="1" t="s">
        <v>6102</v>
      </c>
      <c r="D2849" s="1" t="s">
        <v>6116</v>
      </c>
      <c r="E2849" s="1" t="s">
        <v>6117</v>
      </c>
      <c r="F2849" s="1" t="s">
        <v>16</v>
      </c>
      <c r="G2849" s="1" t="s">
        <v>27</v>
      </c>
      <c r="H2849" s="1" t="s">
        <v>28</v>
      </c>
      <c r="I2849" s="1" t="s">
        <v>40</v>
      </c>
      <c r="J2849" s="1">
        <v>255.0</v>
      </c>
      <c r="K2849" s="1">
        <v>33.0</v>
      </c>
      <c r="L2849" s="1">
        <v>827.0</v>
      </c>
    </row>
    <row r="2850">
      <c r="A2850" s="1">
        <v>7373008.0</v>
      </c>
      <c r="B2850" s="1" t="s">
        <v>6118</v>
      </c>
      <c r="C2850" s="1" t="s">
        <v>6102</v>
      </c>
      <c r="D2850" s="1" t="s">
        <v>6109</v>
      </c>
      <c r="E2850" s="1" t="s">
        <v>6119</v>
      </c>
      <c r="F2850" s="1" t="s">
        <v>16</v>
      </c>
      <c r="G2850" s="1" t="s">
        <v>17</v>
      </c>
      <c r="H2850" s="1" t="s">
        <v>28</v>
      </c>
      <c r="I2850" s="1" t="s">
        <v>29</v>
      </c>
      <c r="J2850" s="1">
        <v>148.0</v>
      </c>
      <c r="K2850" s="1">
        <v>27.0</v>
      </c>
      <c r="L2850" s="1">
        <v>120.0</v>
      </c>
    </row>
    <row r="2851">
      <c r="A2851" s="1">
        <v>7371436.0</v>
      </c>
      <c r="B2851" s="1" t="s">
        <v>6120</v>
      </c>
      <c r="C2851" s="1" t="s">
        <v>6102</v>
      </c>
      <c r="D2851" s="1" t="s">
        <v>6106</v>
      </c>
      <c r="E2851" s="1" t="s">
        <v>6121</v>
      </c>
      <c r="F2851" s="1" t="s">
        <v>272</v>
      </c>
      <c r="G2851" s="1" t="s">
        <v>17</v>
      </c>
      <c r="H2851" s="1" t="s">
        <v>33</v>
      </c>
      <c r="I2851" s="1" t="s">
        <v>411</v>
      </c>
      <c r="J2851" s="1">
        <v>15.0</v>
      </c>
      <c r="K2851" s="1">
        <v>17.0</v>
      </c>
      <c r="L2851" s="1">
        <v>80.0</v>
      </c>
    </row>
    <row r="2852">
      <c r="A2852" s="1">
        <v>7308070.0</v>
      </c>
      <c r="B2852" s="1" t="s">
        <v>6122</v>
      </c>
      <c r="C2852" s="1" t="s">
        <v>6102</v>
      </c>
      <c r="D2852" s="1" t="s">
        <v>6123</v>
      </c>
      <c r="E2852" s="1" t="s">
        <v>6124</v>
      </c>
      <c r="F2852" s="1" t="s">
        <v>16</v>
      </c>
      <c r="G2852" s="1" t="s">
        <v>17</v>
      </c>
      <c r="H2852" s="1" t="s">
        <v>18</v>
      </c>
      <c r="I2852" s="1" t="s">
        <v>44</v>
      </c>
      <c r="J2852" s="1">
        <v>103.0</v>
      </c>
      <c r="K2852" s="1">
        <v>25.0</v>
      </c>
      <c r="L2852" s="1">
        <v>0.0</v>
      </c>
    </row>
    <row r="2853">
      <c r="A2853" s="1">
        <v>7371418.0</v>
      </c>
      <c r="B2853" s="1" t="s">
        <v>6125</v>
      </c>
      <c r="C2853" s="1" t="s">
        <v>6102</v>
      </c>
      <c r="D2853" s="1" t="s">
        <v>6106</v>
      </c>
      <c r="E2853" s="1" t="s">
        <v>6126</v>
      </c>
      <c r="F2853" s="1" t="s">
        <v>55</v>
      </c>
      <c r="G2853" s="1" t="s">
        <v>17</v>
      </c>
      <c r="H2853" s="1" t="s">
        <v>18</v>
      </c>
      <c r="I2853" s="1" t="s">
        <v>19</v>
      </c>
      <c r="J2853" s="1">
        <v>34.0</v>
      </c>
      <c r="K2853" s="1">
        <v>16.0</v>
      </c>
      <c r="L2853" s="1">
        <v>48.0</v>
      </c>
    </row>
    <row r="2854">
      <c r="A2854" s="1">
        <v>7308071.0</v>
      </c>
      <c r="B2854" s="1" t="s">
        <v>6127</v>
      </c>
      <c r="C2854" s="1" t="s">
        <v>6102</v>
      </c>
      <c r="D2854" s="1" t="s">
        <v>6123</v>
      </c>
      <c r="E2854" s="1" t="s">
        <v>6128</v>
      </c>
      <c r="F2854" s="1" t="s">
        <v>16</v>
      </c>
      <c r="G2854" s="1" t="s">
        <v>17</v>
      </c>
      <c r="H2854" s="1" t="s">
        <v>28</v>
      </c>
      <c r="I2854" s="1" t="s">
        <v>139</v>
      </c>
      <c r="J2854" s="1">
        <v>105.0</v>
      </c>
      <c r="K2854" s="1">
        <v>31.0</v>
      </c>
      <c r="L2854" s="1">
        <v>0.0</v>
      </c>
    </row>
    <row r="2855">
      <c r="A2855" s="1">
        <v>7371030.0</v>
      </c>
      <c r="B2855" s="1" t="s">
        <v>6129</v>
      </c>
      <c r="C2855" s="1" t="s">
        <v>6102</v>
      </c>
      <c r="D2855" s="1" t="s">
        <v>6106</v>
      </c>
      <c r="E2855" s="1" t="s">
        <v>6130</v>
      </c>
      <c r="F2855" s="1" t="s">
        <v>16</v>
      </c>
      <c r="G2855" s="1" t="s">
        <v>27</v>
      </c>
      <c r="H2855" s="1" t="s">
        <v>33</v>
      </c>
      <c r="I2855" s="1" t="s">
        <v>74</v>
      </c>
      <c r="J2855" s="1">
        <v>319.0</v>
      </c>
      <c r="K2855" s="1">
        <v>93.0</v>
      </c>
      <c r="L2855" s="1">
        <v>534.0</v>
      </c>
    </row>
    <row r="2856">
      <c r="A2856" s="1">
        <v>7371413.0</v>
      </c>
      <c r="B2856" s="1" t="s">
        <v>3016</v>
      </c>
      <c r="C2856" s="1" t="s">
        <v>6102</v>
      </c>
      <c r="D2856" s="1" t="s">
        <v>6106</v>
      </c>
      <c r="E2856" s="1" t="s">
        <v>6131</v>
      </c>
      <c r="F2856" s="1" t="s">
        <v>55</v>
      </c>
      <c r="G2856" s="1" t="s">
        <v>17</v>
      </c>
      <c r="H2856" s="1" t="s">
        <v>18</v>
      </c>
      <c r="I2856" s="1" t="s">
        <v>19</v>
      </c>
      <c r="J2856" s="1">
        <v>33.0</v>
      </c>
      <c r="K2856" s="1">
        <v>15.0</v>
      </c>
      <c r="L2856" s="1">
        <v>73.0</v>
      </c>
    </row>
    <row r="2857">
      <c r="A2857" s="1">
        <v>7373007.0</v>
      </c>
      <c r="B2857" s="1" t="s">
        <v>6132</v>
      </c>
      <c r="C2857" s="1" t="s">
        <v>6102</v>
      </c>
      <c r="D2857" s="1" t="s">
        <v>6109</v>
      </c>
      <c r="E2857" s="1" t="s">
        <v>6133</v>
      </c>
      <c r="F2857" s="1" t="s">
        <v>16</v>
      </c>
      <c r="G2857" s="1" t="s">
        <v>17</v>
      </c>
      <c r="H2857" s="1" t="s">
        <v>18</v>
      </c>
      <c r="I2857" s="1" t="s">
        <v>44</v>
      </c>
      <c r="J2857" s="1">
        <v>100.0</v>
      </c>
      <c r="K2857" s="1">
        <v>22.0</v>
      </c>
      <c r="L2857" s="1">
        <v>118.0</v>
      </c>
    </row>
    <row r="2858">
      <c r="A2858" s="1">
        <v>7371373.0</v>
      </c>
      <c r="B2858" s="1" t="s">
        <v>6134</v>
      </c>
      <c r="C2858" s="1" t="s">
        <v>6102</v>
      </c>
      <c r="D2858" s="1" t="s">
        <v>6106</v>
      </c>
      <c r="E2858" s="1" t="s">
        <v>6135</v>
      </c>
      <c r="F2858" s="1" t="s">
        <v>16</v>
      </c>
      <c r="G2858" s="1" t="s">
        <v>27</v>
      </c>
      <c r="H2858" s="1" t="s">
        <v>18</v>
      </c>
      <c r="I2858" s="1" t="s">
        <v>19</v>
      </c>
      <c r="J2858" s="1">
        <v>209.0</v>
      </c>
      <c r="K2858" s="1">
        <v>43.0</v>
      </c>
      <c r="L2858" s="1">
        <v>504.0</v>
      </c>
    </row>
    <row r="2859">
      <c r="A2859" s="1">
        <v>7310021.0</v>
      </c>
      <c r="B2859" s="1" t="s">
        <v>6136</v>
      </c>
      <c r="C2859" s="1" t="s">
        <v>6102</v>
      </c>
      <c r="D2859" s="1" t="s">
        <v>6137</v>
      </c>
      <c r="E2859" s="1" t="s">
        <v>6138</v>
      </c>
      <c r="F2859" s="1" t="s">
        <v>16</v>
      </c>
      <c r="G2859" s="1" t="s">
        <v>23</v>
      </c>
      <c r="H2859" s="1" t="s">
        <v>33</v>
      </c>
      <c r="I2859" s="1" t="s">
        <v>40</v>
      </c>
      <c r="J2859" s="1">
        <v>50.0</v>
      </c>
      <c r="K2859" s="1">
        <v>15.0</v>
      </c>
      <c r="L2859" s="1">
        <v>109.0</v>
      </c>
    </row>
    <row r="2860">
      <c r="A2860" s="1">
        <v>7301017.0</v>
      </c>
      <c r="B2860" s="1" t="s">
        <v>6139</v>
      </c>
      <c r="C2860" s="1" t="s">
        <v>6102</v>
      </c>
      <c r="D2860" s="1" t="s">
        <v>6140</v>
      </c>
      <c r="E2860" s="1" t="s">
        <v>6141</v>
      </c>
      <c r="F2860" s="1" t="s">
        <v>16</v>
      </c>
      <c r="G2860" s="1" t="s">
        <v>98</v>
      </c>
      <c r="H2860" s="1" t="s">
        <v>18</v>
      </c>
      <c r="I2860" s="1" t="s">
        <v>40</v>
      </c>
      <c r="J2860" s="1">
        <v>45.0</v>
      </c>
      <c r="K2860" s="1">
        <v>7.0</v>
      </c>
      <c r="L2860" s="1">
        <v>13.0</v>
      </c>
    </row>
    <row r="2861">
      <c r="A2861" s="1">
        <v>7310016.0</v>
      </c>
      <c r="B2861" s="1" t="s">
        <v>6142</v>
      </c>
      <c r="C2861" s="1" t="s">
        <v>6102</v>
      </c>
      <c r="D2861" s="1" t="s">
        <v>6137</v>
      </c>
      <c r="E2861" s="1" t="s">
        <v>6143</v>
      </c>
      <c r="F2861" s="1" t="s">
        <v>16</v>
      </c>
      <c r="G2861" s="1" t="s">
        <v>17</v>
      </c>
      <c r="H2861" s="1" t="s">
        <v>28</v>
      </c>
      <c r="I2861" s="1" t="s">
        <v>40</v>
      </c>
      <c r="J2861" s="1">
        <v>200.0</v>
      </c>
      <c r="K2861" s="1">
        <v>39.0</v>
      </c>
      <c r="L2861" s="1">
        <v>365.0</v>
      </c>
    </row>
    <row r="2862">
      <c r="A2862" s="1">
        <v>7317020.0</v>
      </c>
      <c r="B2862" s="1" t="s">
        <v>6144</v>
      </c>
      <c r="C2862" s="1" t="s">
        <v>6102</v>
      </c>
      <c r="D2862" s="1" t="s">
        <v>6145</v>
      </c>
      <c r="E2862" s="1" t="s">
        <v>6146</v>
      </c>
      <c r="F2862" s="1" t="s">
        <v>16</v>
      </c>
      <c r="G2862" s="1" t="s">
        <v>17</v>
      </c>
      <c r="H2862" s="1" t="s">
        <v>18</v>
      </c>
      <c r="I2862" s="1" t="s">
        <v>44</v>
      </c>
      <c r="J2862" s="1">
        <v>86.0</v>
      </c>
      <c r="K2862" s="1">
        <v>35.0</v>
      </c>
      <c r="L2862" s="1">
        <v>277.0</v>
      </c>
    </row>
    <row r="2863">
      <c r="A2863" s="1">
        <v>7372078.0</v>
      </c>
      <c r="B2863" s="1" t="s">
        <v>6147</v>
      </c>
      <c r="C2863" s="1" t="s">
        <v>6102</v>
      </c>
      <c r="D2863" s="1" t="s">
        <v>6148</v>
      </c>
      <c r="E2863" s="1" t="s">
        <v>6149</v>
      </c>
      <c r="F2863" s="1" t="s">
        <v>16</v>
      </c>
      <c r="G2863" s="1" t="s">
        <v>27</v>
      </c>
      <c r="H2863" s="1" t="s">
        <v>28</v>
      </c>
      <c r="I2863" s="1" t="s">
        <v>29</v>
      </c>
      <c r="J2863" s="1">
        <v>214.0</v>
      </c>
      <c r="K2863" s="1">
        <v>35.0</v>
      </c>
      <c r="L2863" s="1">
        <v>52.0</v>
      </c>
    </row>
    <row r="2864">
      <c r="A2864" s="1">
        <v>7371256.0</v>
      </c>
      <c r="B2864" s="1" t="s">
        <v>6150</v>
      </c>
      <c r="C2864" s="1" t="s">
        <v>6102</v>
      </c>
      <c r="D2864" s="1" t="s">
        <v>6106</v>
      </c>
      <c r="E2864" s="1" t="s">
        <v>6151</v>
      </c>
      <c r="F2864" s="1" t="s">
        <v>55</v>
      </c>
      <c r="G2864" s="1" t="s">
        <v>27</v>
      </c>
      <c r="H2864" s="1" t="s">
        <v>28</v>
      </c>
      <c r="I2864" s="1" t="s">
        <v>139</v>
      </c>
      <c r="J2864" s="1">
        <v>80.0</v>
      </c>
      <c r="K2864" s="1">
        <v>21.0</v>
      </c>
      <c r="L2864" s="1">
        <v>234.0</v>
      </c>
    </row>
    <row r="2865">
      <c r="A2865" s="1">
        <v>7305026.0</v>
      </c>
      <c r="B2865" s="1" t="s">
        <v>6152</v>
      </c>
      <c r="C2865" s="1" t="s">
        <v>6102</v>
      </c>
      <c r="D2865" s="1" t="s">
        <v>6153</v>
      </c>
      <c r="E2865" s="1" t="s">
        <v>6154</v>
      </c>
      <c r="F2865" s="1" t="s">
        <v>16</v>
      </c>
      <c r="G2865" s="1" t="s">
        <v>17</v>
      </c>
      <c r="H2865" s="1" t="s">
        <v>18</v>
      </c>
      <c r="I2865" s="1" t="s">
        <v>40</v>
      </c>
      <c r="J2865" s="1">
        <v>116.0</v>
      </c>
      <c r="K2865" s="1">
        <v>37.0</v>
      </c>
      <c r="L2865" s="1">
        <v>0.0</v>
      </c>
    </row>
    <row r="2866">
      <c r="A2866" s="1">
        <v>7308059.0</v>
      </c>
      <c r="B2866" s="1" t="s">
        <v>6155</v>
      </c>
      <c r="C2866" s="1" t="s">
        <v>6102</v>
      </c>
      <c r="D2866" s="1" t="s">
        <v>6123</v>
      </c>
      <c r="E2866" s="1" t="s">
        <v>6156</v>
      </c>
      <c r="F2866" s="1" t="s">
        <v>16</v>
      </c>
      <c r="G2866" s="1" t="s">
        <v>17</v>
      </c>
      <c r="H2866" s="1" t="s">
        <v>18</v>
      </c>
      <c r="I2866" s="1" t="s">
        <v>40</v>
      </c>
      <c r="J2866" s="1">
        <v>107.0</v>
      </c>
      <c r="K2866" s="1">
        <v>25.0</v>
      </c>
      <c r="L2866" s="1">
        <v>349.0</v>
      </c>
    </row>
    <row r="2867">
      <c r="A2867" s="1">
        <v>7305013.0</v>
      </c>
      <c r="B2867" s="1" t="s">
        <v>6157</v>
      </c>
      <c r="C2867" s="1" t="s">
        <v>6102</v>
      </c>
      <c r="D2867" s="1" t="s">
        <v>6153</v>
      </c>
      <c r="E2867" s="1" t="s">
        <v>6158</v>
      </c>
      <c r="F2867" s="1" t="s">
        <v>16</v>
      </c>
      <c r="G2867" s="1" t="s">
        <v>23</v>
      </c>
      <c r="H2867" s="1" t="s">
        <v>18</v>
      </c>
      <c r="I2867" s="1" t="s">
        <v>19</v>
      </c>
      <c r="J2867" s="1">
        <v>126.0</v>
      </c>
      <c r="K2867" s="1">
        <v>26.0</v>
      </c>
      <c r="L2867" s="1">
        <v>138.0</v>
      </c>
    </row>
    <row r="2868">
      <c r="A2868" s="1">
        <v>7305014.0</v>
      </c>
      <c r="B2868" s="1" t="s">
        <v>6159</v>
      </c>
      <c r="C2868" s="1" t="s">
        <v>6102</v>
      </c>
      <c r="D2868" s="1" t="s">
        <v>6153</v>
      </c>
      <c r="E2868" s="1" t="s">
        <v>6160</v>
      </c>
      <c r="F2868" s="1" t="s">
        <v>16</v>
      </c>
      <c r="G2868" s="1" t="s">
        <v>98</v>
      </c>
      <c r="H2868" s="1" t="s">
        <v>18</v>
      </c>
      <c r="I2868" s="1" t="s">
        <v>40</v>
      </c>
      <c r="J2868" s="1">
        <v>14.0</v>
      </c>
      <c r="K2868" s="1">
        <v>13.0</v>
      </c>
      <c r="L2868" s="1">
        <v>25.0</v>
      </c>
    </row>
    <row r="2869">
      <c r="A2869" s="1">
        <v>7371448.0</v>
      </c>
      <c r="B2869" s="1" t="s">
        <v>6161</v>
      </c>
      <c r="C2869" s="1" t="s">
        <v>6102</v>
      </c>
      <c r="D2869" s="1" t="s">
        <v>6106</v>
      </c>
      <c r="E2869" s="1" t="s">
        <v>6162</v>
      </c>
      <c r="F2869" s="1" t="s">
        <v>16</v>
      </c>
      <c r="G2869" s="1" t="s">
        <v>23</v>
      </c>
      <c r="H2869" s="1" t="s">
        <v>18</v>
      </c>
      <c r="I2869" s="1" t="s">
        <v>34</v>
      </c>
      <c r="J2869" s="1">
        <v>58.0</v>
      </c>
      <c r="K2869" s="1">
        <v>25.0</v>
      </c>
      <c r="L2869" s="1">
        <v>0.0</v>
      </c>
    </row>
    <row r="2870">
      <c r="A2870" s="1">
        <v>7304011.0</v>
      </c>
      <c r="B2870" s="1" t="s">
        <v>6163</v>
      </c>
      <c r="C2870" s="1" t="s">
        <v>6102</v>
      </c>
      <c r="D2870" s="1" t="s">
        <v>6164</v>
      </c>
      <c r="E2870" s="1" t="s">
        <v>6165</v>
      </c>
      <c r="F2870" s="1" t="s">
        <v>16</v>
      </c>
      <c r="G2870" s="1" t="s">
        <v>27</v>
      </c>
      <c r="H2870" s="1" t="s">
        <v>18</v>
      </c>
      <c r="I2870" s="1" t="s">
        <v>40</v>
      </c>
      <c r="J2870" s="1">
        <v>229.0</v>
      </c>
      <c r="K2870" s="1">
        <v>50.0</v>
      </c>
      <c r="L2870" s="1">
        <v>1036.0</v>
      </c>
    </row>
    <row r="2871">
      <c r="A2871" s="1">
        <v>7317075.0</v>
      </c>
      <c r="B2871" s="1" t="s">
        <v>6166</v>
      </c>
      <c r="C2871" s="1" t="s">
        <v>6102</v>
      </c>
      <c r="D2871" s="1" t="s">
        <v>6167</v>
      </c>
      <c r="E2871" s="1" t="s">
        <v>6168</v>
      </c>
      <c r="F2871" s="1" t="s">
        <v>16</v>
      </c>
      <c r="G2871" s="1" t="s">
        <v>17</v>
      </c>
      <c r="H2871" s="1" t="s">
        <v>28</v>
      </c>
      <c r="I2871" s="1" t="s">
        <v>40</v>
      </c>
      <c r="J2871" s="1">
        <v>270.0</v>
      </c>
      <c r="K2871" s="1">
        <v>37.0</v>
      </c>
      <c r="L2871" s="1">
        <v>221.0</v>
      </c>
    </row>
    <row r="2872">
      <c r="A2872" s="1">
        <v>7371449.0</v>
      </c>
      <c r="B2872" s="1" t="s">
        <v>6169</v>
      </c>
      <c r="C2872" s="1" t="s">
        <v>6102</v>
      </c>
      <c r="D2872" s="1" t="s">
        <v>6106</v>
      </c>
      <c r="E2872" s="1" t="s">
        <v>6170</v>
      </c>
      <c r="F2872" s="1" t="s">
        <v>1884</v>
      </c>
      <c r="G2872" s="1" t="s">
        <v>27</v>
      </c>
      <c r="H2872" s="1" t="s">
        <v>18</v>
      </c>
      <c r="I2872" s="1" t="s">
        <v>113</v>
      </c>
      <c r="J2872" s="1">
        <v>87.0</v>
      </c>
      <c r="K2872" s="1">
        <v>52.0</v>
      </c>
      <c r="L2872" s="1">
        <v>0.0</v>
      </c>
    </row>
    <row r="2873">
      <c r="A2873" s="1">
        <v>7371052.0</v>
      </c>
      <c r="B2873" s="1" t="s">
        <v>6171</v>
      </c>
      <c r="C2873" s="1" t="s">
        <v>6102</v>
      </c>
      <c r="D2873" s="1" t="s">
        <v>6106</v>
      </c>
      <c r="E2873" s="1" t="s">
        <v>6172</v>
      </c>
      <c r="F2873" s="1" t="s">
        <v>16</v>
      </c>
      <c r="G2873" s="1" t="s">
        <v>27</v>
      </c>
      <c r="H2873" s="1" t="s">
        <v>18</v>
      </c>
      <c r="I2873" s="1" t="s">
        <v>59</v>
      </c>
      <c r="J2873" s="1">
        <v>203.0</v>
      </c>
      <c r="K2873" s="1">
        <v>94.0</v>
      </c>
      <c r="L2873" s="1">
        <v>502.0</v>
      </c>
    </row>
    <row r="2874">
      <c r="A2874" s="1">
        <v>7371399.0</v>
      </c>
      <c r="B2874" s="1" t="s">
        <v>2839</v>
      </c>
      <c r="C2874" s="1" t="s">
        <v>6102</v>
      </c>
      <c r="D2874" s="1" t="s">
        <v>6106</v>
      </c>
      <c r="E2874" s="1" t="s">
        <v>6173</v>
      </c>
      <c r="F2874" s="1" t="s">
        <v>16</v>
      </c>
      <c r="G2874" s="1" t="s">
        <v>27</v>
      </c>
      <c r="H2874" s="1" t="s">
        <v>18</v>
      </c>
      <c r="I2874" s="1" t="s">
        <v>44</v>
      </c>
      <c r="J2874" s="1">
        <v>208.0</v>
      </c>
      <c r="K2874" s="1">
        <v>90.0</v>
      </c>
      <c r="L2874" s="1">
        <v>696.0</v>
      </c>
    </row>
    <row r="2875">
      <c r="A2875" s="1">
        <v>7372020.0</v>
      </c>
      <c r="B2875" s="1" t="s">
        <v>6174</v>
      </c>
      <c r="C2875" s="1" t="s">
        <v>6102</v>
      </c>
      <c r="D2875" s="1" t="s">
        <v>6148</v>
      </c>
      <c r="E2875" s="1" t="s">
        <v>6175</v>
      </c>
      <c r="F2875" s="1" t="s">
        <v>16</v>
      </c>
      <c r="G2875" s="1" t="s">
        <v>17</v>
      </c>
      <c r="H2875" s="1" t="s">
        <v>18</v>
      </c>
      <c r="I2875" s="1" t="s">
        <v>59</v>
      </c>
      <c r="J2875" s="1">
        <v>198.0</v>
      </c>
      <c r="K2875" s="1">
        <v>38.0</v>
      </c>
      <c r="L2875" s="1">
        <v>302.0</v>
      </c>
    </row>
    <row r="2876">
      <c r="A2876" s="1">
        <v>7322004.0</v>
      </c>
      <c r="B2876" s="1" t="s">
        <v>6176</v>
      </c>
      <c r="C2876" s="1" t="s">
        <v>6102</v>
      </c>
      <c r="D2876" s="1" t="s">
        <v>6177</v>
      </c>
      <c r="E2876" s="1" t="s">
        <v>6178</v>
      </c>
      <c r="F2876" s="1" t="s">
        <v>16</v>
      </c>
      <c r="G2876" s="1" t="s">
        <v>23</v>
      </c>
      <c r="H2876" s="1" t="s">
        <v>33</v>
      </c>
      <c r="I2876" s="1" t="s">
        <v>19</v>
      </c>
      <c r="J2876" s="1">
        <v>128.0</v>
      </c>
      <c r="K2876" s="1">
        <v>18.0</v>
      </c>
      <c r="L2876" s="1">
        <v>38.0</v>
      </c>
    </row>
    <row r="2877">
      <c r="A2877" s="1">
        <v>7312011.0</v>
      </c>
      <c r="B2877" s="1" t="s">
        <v>6179</v>
      </c>
      <c r="C2877" s="1" t="s">
        <v>6102</v>
      </c>
      <c r="D2877" s="1" t="s">
        <v>6180</v>
      </c>
      <c r="E2877" s="1" t="s">
        <v>6181</v>
      </c>
      <c r="F2877" s="1" t="s">
        <v>16</v>
      </c>
      <c r="G2877" s="1" t="s">
        <v>27</v>
      </c>
      <c r="H2877" s="1" t="s">
        <v>28</v>
      </c>
      <c r="I2877" s="1" t="s">
        <v>40</v>
      </c>
      <c r="J2877" s="1">
        <v>264.0</v>
      </c>
      <c r="K2877" s="1">
        <v>101.0</v>
      </c>
      <c r="L2877" s="1">
        <v>910.0</v>
      </c>
    </row>
    <row r="2878">
      <c r="A2878" s="1">
        <v>7373064.0</v>
      </c>
      <c r="B2878" s="1" t="s">
        <v>6182</v>
      </c>
      <c r="C2878" s="1" t="s">
        <v>6102</v>
      </c>
      <c r="D2878" s="1" t="s">
        <v>6109</v>
      </c>
      <c r="E2878" s="1" t="s">
        <v>6183</v>
      </c>
      <c r="F2878" s="1" t="s">
        <v>16</v>
      </c>
      <c r="G2878" s="1" t="s">
        <v>17</v>
      </c>
      <c r="H2878" s="1" t="s">
        <v>18</v>
      </c>
      <c r="I2878" s="1" t="s">
        <v>59</v>
      </c>
      <c r="J2878" s="1">
        <v>180.0</v>
      </c>
      <c r="K2878" s="1">
        <v>49.0</v>
      </c>
      <c r="L2878" s="1">
        <v>178.0</v>
      </c>
    </row>
    <row r="2879">
      <c r="A2879" s="1">
        <v>7371432.0</v>
      </c>
      <c r="B2879" s="1" t="s">
        <v>6184</v>
      </c>
      <c r="C2879" s="1" t="s">
        <v>6102</v>
      </c>
      <c r="D2879" s="1" t="s">
        <v>6106</v>
      </c>
      <c r="E2879" s="1" t="s">
        <v>6185</v>
      </c>
      <c r="F2879" s="1" t="s">
        <v>16</v>
      </c>
      <c r="G2879" s="1" t="s">
        <v>23</v>
      </c>
      <c r="H2879" s="1" t="s">
        <v>18</v>
      </c>
      <c r="I2879" s="1" t="s">
        <v>19</v>
      </c>
      <c r="J2879" s="1">
        <v>57.0</v>
      </c>
      <c r="K2879" s="1">
        <v>45.0</v>
      </c>
      <c r="L2879" s="1">
        <v>18.0</v>
      </c>
    </row>
    <row r="2880">
      <c r="A2880" s="1">
        <v>7371314.0</v>
      </c>
      <c r="B2880" s="1" t="s">
        <v>6186</v>
      </c>
      <c r="C2880" s="1" t="s">
        <v>6102</v>
      </c>
      <c r="D2880" s="1" t="s">
        <v>6106</v>
      </c>
      <c r="E2880" s="1" t="s">
        <v>6187</v>
      </c>
      <c r="F2880" s="1" t="s">
        <v>16</v>
      </c>
      <c r="G2880" s="1" t="s">
        <v>27</v>
      </c>
      <c r="H2880" s="1" t="s">
        <v>33</v>
      </c>
      <c r="I2880" s="1" t="s">
        <v>411</v>
      </c>
      <c r="J2880" s="1">
        <v>320.0</v>
      </c>
      <c r="K2880" s="1">
        <v>105.0</v>
      </c>
      <c r="L2880" s="1">
        <v>414.0</v>
      </c>
    </row>
    <row r="2881">
      <c r="A2881" s="1">
        <v>7306059.0</v>
      </c>
      <c r="B2881" s="1" t="s">
        <v>6188</v>
      </c>
      <c r="C2881" s="1" t="s">
        <v>6102</v>
      </c>
      <c r="D2881" s="1" t="s">
        <v>6189</v>
      </c>
      <c r="E2881" s="1" t="s">
        <v>6190</v>
      </c>
      <c r="F2881" s="1" t="s">
        <v>16</v>
      </c>
      <c r="G2881" s="1" t="s">
        <v>17</v>
      </c>
      <c r="H2881" s="1" t="s">
        <v>18</v>
      </c>
      <c r="I2881" s="1" t="s">
        <v>163</v>
      </c>
      <c r="J2881" s="1">
        <v>100.0</v>
      </c>
      <c r="K2881" s="1">
        <v>25.0</v>
      </c>
      <c r="L2881" s="1">
        <v>51.0</v>
      </c>
    </row>
    <row r="2882">
      <c r="A2882" s="1">
        <v>7306046.0</v>
      </c>
      <c r="B2882" s="1" t="s">
        <v>6191</v>
      </c>
      <c r="C2882" s="1" t="s">
        <v>6102</v>
      </c>
      <c r="D2882" s="1" t="s">
        <v>6189</v>
      </c>
      <c r="E2882" s="1" t="s">
        <v>6192</v>
      </c>
      <c r="F2882" s="1" t="s">
        <v>16</v>
      </c>
      <c r="G2882" s="1" t="s">
        <v>27</v>
      </c>
      <c r="H2882" s="1" t="s">
        <v>18</v>
      </c>
      <c r="I2882" s="1" t="s">
        <v>40</v>
      </c>
      <c r="J2882" s="1">
        <v>235.0</v>
      </c>
      <c r="K2882" s="1">
        <v>42.0</v>
      </c>
      <c r="L2882" s="1">
        <v>489.0</v>
      </c>
    </row>
    <row r="2883">
      <c r="A2883" s="1">
        <v>7371107.0</v>
      </c>
      <c r="B2883" s="1" t="s">
        <v>6193</v>
      </c>
      <c r="C2883" s="1" t="s">
        <v>6102</v>
      </c>
      <c r="D2883" s="1" t="s">
        <v>6106</v>
      </c>
      <c r="E2883" s="1" t="s">
        <v>6194</v>
      </c>
      <c r="F2883" s="1" t="s">
        <v>55</v>
      </c>
      <c r="G2883" s="1" t="s">
        <v>17</v>
      </c>
      <c r="H2883" s="1" t="s">
        <v>18</v>
      </c>
      <c r="I2883" s="1" t="s">
        <v>59</v>
      </c>
      <c r="J2883" s="1">
        <v>57.0</v>
      </c>
      <c r="K2883" s="1">
        <v>22.0</v>
      </c>
      <c r="L2883" s="1">
        <v>68.0</v>
      </c>
    </row>
    <row r="2884">
      <c r="A2884" s="1">
        <v>7371074.0</v>
      </c>
      <c r="B2884" s="1" t="s">
        <v>6195</v>
      </c>
      <c r="C2884" s="1" t="s">
        <v>6102</v>
      </c>
      <c r="D2884" s="1" t="s">
        <v>6106</v>
      </c>
      <c r="E2884" s="1" t="s">
        <v>6196</v>
      </c>
      <c r="F2884" s="1" t="s">
        <v>16</v>
      </c>
      <c r="G2884" s="1" t="s">
        <v>17</v>
      </c>
      <c r="H2884" s="1" t="s">
        <v>18</v>
      </c>
      <c r="I2884" s="1" t="s">
        <v>95</v>
      </c>
      <c r="J2884" s="1">
        <v>100.0</v>
      </c>
      <c r="K2884" s="1">
        <v>37.0</v>
      </c>
      <c r="L2884" s="1">
        <v>175.0</v>
      </c>
    </row>
    <row r="2885">
      <c r="A2885" s="1">
        <v>7371412.0</v>
      </c>
      <c r="B2885" s="1" t="s">
        <v>6197</v>
      </c>
      <c r="C2885" s="1" t="s">
        <v>6102</v>
      </c>
      <c r="D2885" s="1" t="s">
        <v>6106</v>
      </c>
      <c r="E2885" s="1" t="s">
        <v>6198</v>
      </c>
      <c r="F2885" s="1" t="s">
        <v>16</v>
      </c>
      <c r="G2885" s="1" t="s">
        <v>17</v>
      </c>
      <c r="H2885" s="1" t="s">
        <v>18</v>
      </c>
      <c r="I2885" s="1" t="s">
        <v>19</v>
      </c>
      <c r="J2885" s="1">
        <v>163.0</v>
      </c>
      <c r="K2885" s="1">
        <v>112.0</v>
      </c>
      <c r="L2885" s="1">
        <v>143.0</v>
      </c>
    </row>
    <row r="2886">
      <c r="A2886" s="1">
        <v>7372075.0</v>
      </c>
      <c r="B2886" s="1" t="s">
        <v>6199</v>
      </c>
      <c r="C2886" s="1" t="s">
        <v>6102</v>
      </c>
      <c r="D2886" s="1" t="s">
        <v>6148</v>
      </c>
      <c r="E2886" s="1" t="s">
        <v>6200</v>
      </c>
      <c r="F2886" s="1" t="s">
        <v>16</v>
      </c>
      <c r="G2886" s="1" t="s">
        <v>27</v>
      </c>
      <c r="H2886" s="1" t="s">
        <v>28</v>
      </c>
      <c r="I2886" s="1" t="s">
        <v>29</v>
      </c>
      <c r="J2886" s="1">
        <v>294.0</v>
      </c>
      <c r="K2886" s="1">
        <v>137.0</v>
      </c>
      <c r="L2886" s="1">
        <v>1246.0</v>
      </c>
    </row>
    <row r="2887">
      <c r="A2887" s="1">
        <v>7314013.0</v>
      </c>
      <c r="B2887" s="1" t="s">
        <v>6201</v>
      </c>
      <c r="C2887" s="1" t="s">
        <v>6102</v>
      </c>
      <c r="D2887" s="1" t="s">
        <v>6202</v>
      </c>
      <c r="E2887" s="1" t="s">
        <v>6203</v>
      </c>
      <c r="F2887" s="1" t="s">
        <v>16</v>
      </c>
      <c r="G2887" s="1" t="s">
        <v>17</v>
      </c>
      <c r="H2887" s="1" t="s">
        <v>28</v>
      </c>
      <c r="I2887" s="1" t="s">
        <v>40</v>
      </c>
      <c r="J2887" s="1">
        <v>192.0</v>
      </c>
      <c r="K2887" s="1">
        <v>34.0</v>
      </c>
      <c r="L2887" s="1">
        <v>623.0</v>
      </c>
    </row>
    <row r="2888">
      <c r="A2888" s="1">
        <v>7371408.0</v>
      </c>
      <c r="B2888" s="1" t="s">
        <v>6204</v>
      </c>
      <c r="C2888" s="1" t="s">
        <v>6102</v>
      </c>
      <c r="D2888" s="1" t="s">
        <v>6106</v>
      </c>
      <c r="E2888" s="1" t="s">
        <v>6205</v>
      </c>
      <c r="F2888" s="1" t="s">
        <v>16</v>
      </c>
      <c r="G2888" s="1" t="s">
        <v>27</v>
      </c>
      <c r="H2888" s="1" t="s">
        <v>33</v>
      </c>
      <c r="I2888" s="1" t="s">
        <v>34</v>
      </c>
      <c r="J2888" s="1">
        <v>236.0</v>
      </c>
      <c r="K2888" s="1">
        <v>134.0</v>
      </c>
      <c r="L2888" s="1">
        <v>505.0</v>
      </c>
    </row>
    <row r="2889">
      <c r="A2889" s="1">
        <v>7371425.0</v>
      </c>
      <c r="B2889" s="1" t="s">
        <v>6206</v>
      </c>
      <c r="C2889" s="1" t="s">
        <v>6102</v>
      </c>
      <c r="D2889" s="1" t="s">
        <v>6106</v>
      </c>
      <c r="E2889" s="1" t="s">
        <v>6207</v>
      </c>
      <c r="F2889" s="1" t="s">
        <v>16</v>
      </c>
      <c r="G2889" s="1" t="s">
        <v>23</v>
      </c>
      <c r="H2889" s="1" t="s">
        <v>18</v>
      </c>
      <c r="I2889" s="1" t="s">
        <v>19</v>
      </c>
      <c r="J2889" s="1">
        <v>87.0</v>
      </c>
      <c r="K2889" s="1">
        <v>23.0</v>
      </c>
      <c r="L2889" s="1">
        <v>44.0</v>
      </c>
    </row>
    <row r="2890">
      <c r="A2890" s="1">
        <v>7318054.0</v>
      </c>
      <c r="B2890" s="1" t="s">
        <v>6208</v>
      </c>
      <c r="C2890" s="1" t="s">
        <v>6102</v>
      </c>
      <c r="D2890" s="1" t="s">
        <v>6209</v>
      </c>
      <c r="E2890" s="1" t="s">
        <v>6210</v>
      </c>
      <c r="F2890" s="1" t="s">
        <v>16</v>
      </c>
      <c r="G2890" s="1" t="s">
        <v>17</v>
      </c>
      <c r="H2890" s="1" t="s">
        <v>28</v>
      </c>
      <c r="I2890" s="1" t="s">
        <v>40</v>
      </c>
      <c r="J2890" s="1">
        <v>200.0</v>
      </c>
      <c r="K2890" s="1">
        <v>105.0</v>
      </c>
      <c r="L2890" s="1">
        <v>499.0</v>
      </c>
    </row>
    <row r="2891">
      <c r="A2891" s="1">
        <v>7371452.0</v>
      </c>
      <c r="B2891" s="1" t="s">
        <v>6211</v>
      </c>
      <c r="C2891" s="1" t="s">
        <v>6102</v>
      </c>
      <c r="D2891" s="1" t="s">
        <v>6106</v>
      </c>
      <c r="E2891" s="1" t="s">
        <v>6212</v>
      </c>
      <c r="F2891" s="1" t="s">
        <v>16</v>
      </c>
      <c r="G2891" s="1" t="s">
        <v>17</v>
      </c>
      <c r="H2891" s="1" t="s">
        <v>18</v>
      </c>
      <c r="I2891" s="1" t="s">
        <v>19</v>
      </c>
      <c r="J2891" s="1">
        <v>112.0</v>
      </c>
      <c r="K2891" s="1">
        <v>53.0</v>
      </c>
      <c r="L2891" s="1">
        <v>0.0</v>
      </c>
    </row>
    <row r="2892">
      <c r="A2892" s="1">
        <v>7315016.0</v>
      </c>
      <c r="B2892" s="1" t="s">
        <v>6213</v>
      </c>
      <c r="C2892" s="1" t="s">
        <v>6102</v>
      </c>
      <c r="D2892" s="1" t="s">
        <v>6214</v>
      </c>
      <c r="E2892" s="1" t="s">
        <v>6215</v>
      </c>
      <c r="F2892" s="1" t="s">
        <v>16</v>
      </c>
      <c r="G2892" s="1" t="s">
        <v>23</v>
      </c>
      <c r="H2892" s="1" t="s">
        <v>18</v>
      </c>
      <c r="I2892" s="1" t="s">
        <v>684</v>
      </c>
      <c r="J2892" s="1">
        <v>53.0</v>
      </c>
      <c r="K2892" s="1">
        <v>22.0</v>
      </c>
      <c r="L2892" s="1">
        <v>68.0</v>
      </c>
    </row>
    <row r="2893">
      <c r="A2893" s="1">
        <v>7371340.0</v>
      </c>
      <c r="B2893" s="1" t="s">
        <v>6216</v>
      </c>
      <c r="C2893" s="1" t="s">
        <v>6102</v>
      </c>
      <c r="D2893" s="1" t="s">
        <v>6106</v>
      </c>
      <c r="E2893" s="1" t="s">
        <v>6217</v>
      </c>
      <c r="F2893" s="1" t="s">
        <v>16</v>
      </c>
      <c r="G2893" s="1" t="s">
        <v>27</v>
      </c>
      <c r="H2893" s="1" t="s">
        <v>18</v>
      </c>
      <c r="I2893" s="1" t="s">
        <v>59</v>
      </c>
      <c r="J2893" s="1">
        <v>269.0</v>
      </c>
      <c r="K2893" s="1">
        <v>108.0</v>
      </c>
      <c r="L2893" s="1">
        <v>506.0</v>
      </c>
    </row>
    <row r="2894">
      <c r="A2894" s="1">
        <v>7371406.0</v>
      </c>
      <c r="B2894" s="1" t="s">
        <v>6218</v>
      </c>
      <c r="C2894" s="1" t="s">
        <v>6102</v>
      </c>
      <c r="D2894" s="1" t="s">
        <v>6106</v>
      </c>
      <c r="E2894" s="1" t="s">
        <v>6219</v>
      </c>
      <c r="F2894" s="1" t="s">
        <v>55</v>
      </c>
      <c r="G2894" s="1" t="s">
        <v>17</v>
      </c>
      <c r="H2894" s="1" t="s">
        <v>18</v>
      </c>
      <c r="I2894" s="1" t="s">
        <v>163</v>
      </c>
      <c r="J2894" s="1">
        <v>29.0</v>
      </c>
      <c r="K2894" s="1">
        <v>16.0</v>
      </c>
      <c r="L2894" s="1">
        <v>15.0</v>
      </c>
    </row>
    <row r="2895">
      <c r="A2895" s="1">
        <v>7371429.0</v>
      </c>
      <c r="B2895" s="1" t="s">
        <v>2466</v>
      </c>
      <c r="C2895" s="1" t="s">
        <v>6102</v>
      </c>
      <c r="D2895" s="1" t="s">
        <v>6106</v>
      </c>
      <c r="E2895" s="1" t="s">
        <v>6220</v>
      </c>
      <c r="F2895" s="1" t="s">
        <v>55</v>
      </c>
      <c r="G2895" s="1" t="s">
        <v>17</v>
      </c>
      <c r="H2895" s="1" t="s">
        <v>18</v>
      </c>
      <c r="I2895" s="1" t="s">
        <v>19</v>
      </c>
      <c r="J2895" s="1">
        <v>38.0</v>
      </c>
      <c r="K2895" s="1">
        <v>24.0</v>
      </c>
      <c r="L2895" s="1">
        <v>77.0</v>
      </c>
    </row>
    <row r="2896">
      <c r="A2896" s="1">
        <v>7315018.0</v>
      </c>
      <c r="B2896" s="1" t="s">
        <v>6221</v>
      </c>
      <c r="C2896" s="1" t="s">
        <v>6102</v>
      </c>
      <c r="D2896" s="1" t="s">
        <v>6214</v>
      </c>
      <c r="E2896" s="1" t="s">
        <v>6222</v>
      </c>
      <c r="F2896" s="1" t="s">
        <v>16</v>
      </c>
      <c r="G2896" s="1" t="s">
        <v>23</v>
      </c>
      <c r="H2896" s="1" t="s">
        <v>28</v>
      </c>
      <c r="I2896" s="1" t="s">
        <v>40</v>
      </c>
      <c r="J2896" s="1">
        <v>83.0</v>
      </c>
      <c r="K2896" s="1">
        <v>24.0</v>
      </c>
      <c r="L2896" s="1">
        <v>86.0</v>
      </c>
    </row>
    <row r="2897">
      <c r="A2897" s="1">
        <v>7371434.0</v>
      </c>
      <c r="B2897" s="1" t="s">
        <v>6223</v>
      </c>
      <c r="C2897" s="1" t="s">
        <v>6102</v>
      </c>
      <c r="D2897" s="1" t="s">
        <v>6106</v>
      </c>
      <c r="E2897" s="1" t="s">
        <v>6224</v>
      </c>
      <c r="F2897" s="1" t="s">
        <v>16</v>
      </c>
      <c r="G2897" s="1" t="s">
        <v>17</v>
      </c>
      <c r="H2897" s="1" t="s">
        <v>18</v>
      </c>
      <c r="I2897" s="1" t="s">
        <v>163</v>
      </c>
      <c r="J2897" s="1">
        <v>103.0</v>
      </c>
      <c r="K2897" s="1">
        <v>35.0</v>
      </c>
      <c r="L2897" s="1">
        <v>106.0</v>
      </c>
    </row>
    <row r="2898">
      <c r="A2898" s="1">
        <v>7308026.0</v>
      </c>
      <c r="B2898" s="1" t="s">
        <v>6225</v>
      </c>
      <c r="C2898" s="1" t="s">
        <v>6102</v>
      </c>
      <c r="D2898" s="1" t="s">
        <v>6123</v>
      </c>
      <c r="E2898" s="1" t="s">
        <v>6226</v>
      </c>
      <c r="F2898" s="1" t="s">
        <v>16</v>
      </c>
      <c r="G2898" s="1" t="s">
        <v>17</v>
      </c>
      <c r="H2898" s="1" t="s">
        <v>18</v>
      </c>
      <c r="I2898" s="1" t="s">
        <v>74</v>
      </c>
      <c r="J2898" s="1">
        <v>154.0</v>
      </c>
      <c r="K2898" s="1">
        <v>20.0</v>
      </c>
      <c r="L2898" s="1">
        <v>280.0</v>
      </c>
    </row>
    <row r="2899">
      <c r="A2899" s="1">
        <v>7371180.0</v>
      </c>
      <c r="B2899" s="1" t="s">
        <v>6227</v>
      </c>
      <c r="C2899" s="1" t="s">
        <v>6102</v>
      </c>
      <c r="D2899" s="1" t="s">
        <v>6106</v>
      </c>
      <c r="E2899" s="1" t="s">
        <v>6228</v>
      </c>
      <c r="F2899" s="1" t="s">
        <v>55</v>
      </c>
      <c r="G2899" s="1" t="s">
        <v>17</v>
      </c>
      <c r="H2899" s="1" t="s">
        <v>18</v>
      </c>
      <c r="I2899" s="1" t="s">
        <v>59</v>
      </c>
      <c r="J2899" s="1">
        <v>38.0</v>
      </c>
      <c r="K2899" s="1">
        <v>23.0</v>
      </c>
      <c r="L2899" s="1">
        <v>117.0</v>
      </c>
    </row>
    <row r="2900">
      <c r="A2900" s="1">
        <v>7326002.0</v>
      </c>
      <c r="B2900" s="1" t="s">
        <v>6229</v>
      </c>
      <c r="C2900" s="1" t="s">
        <v>6102</v>
      </c>
      <c r="D2900" s="1" t="s">
        <v>6230</v>
      </c>
      <c r="E2900" s="1" t="s">
        <v>6231</v>
      </c>
      <c r="F2900" s="1" t="s">
        <v>16</v>
      </c>
      <c r="G2900" s="1" t="s">
        <v>17</v>
      </c>
      <c r="H2900" s="1" t="s">
        <v>18</v>
      </c>
      <c r="I2900" s="1" t="s">
        <v>40</v>
      </c>
      <c r="J2900" s="1">
        <v>117.0</v>
      </c>
      <c r="K2900" s="1">
        <v>26.0</v>
      </c>
      <c r="L2900" s="1">
        <v>148.0</v>
      </c>
    </row>
    <row r="2901">
      <c r="A2901" s="1">
        <v>7318056.0</v>
      </c>
      <c r="B2901" s="1" t="s">
        <v>6232</v>
      </c>
      <c r="C2901" s="1" t="s">
        <v>6102</v>
      </c>
      <c r="D2901" s="1" t="s">
        <v>6209</v>
      </c>
      <c r="E2901" s="1" t="s">
        <v>6233</v>
      </c>
      <c r="F2901" s="1" t="s">
        <v>16</v>
      </c>
      <c r="G2901" s="1" t="s">
        <v>17</v>
      </c>
      <c r="H2901" s="1" t="s">
        <v>18</v>
      </c>
      <c r="I2901" s="1" t="s">
        <v>163</v>
      </c>
      <c r="J2901" s="1">
        <v>111.0</v>
      </c>
      <c r="K2901" s="1">
        <v>30.0</v>
      </c>
      <c r="L2901" s="1">
        <v>82.0</v>
      </c>
    </row>
    <row r="2902">
      <c r="A2902" s="1">
        <v>7310032.0</v>
      </c>
      <c r="B2902" s="1" t="s">
        <v>6234</v>
      </c>
      <c r="C2902" s="1" t="s">
        <v>6102</v>
      </c>
      <c r="D2902" s="1" t="s">
        <v>6137</v>
      </c>
      <c r="E2902" s="1" t="s">
        <v>6235</v>
      </c>
      <c r="F2902" s="1" t="s">
        <v>16</v>
      </c>
      <c r="G2902" s="1" t="s">
        <v>98</v>
      </c>
      <c r="H2902" s="1" t="s">
        <v>18</v>
      </c>
      <c r="I2902" s="1" t="s">
        <v>40</v>
      </c>
      <c r="J2902" s="1">
        <v>24.0</v>
      </c>
      <c r="K2902" s="1">
        <v>6.0</v>
      </c>
      <c r="L2902" s="1">
        <v>0.0</v>
      </c>
    </row>
    <row r="2903">
      <c r="A2903" s="1">
        <v>7301015.0</v>
      </c>
      <c r="B2903" s="1" t="s">
        <v>6236</v>
      </c>
      <c r="C2903" s="1" t="s">
        <v>6102</v>
      </c>
      <c r="D2903" s="1" t="s">
        <v>6140</v>
      </c>
      <c r="E2903" s="1" t="s">
        <v>6237</v>
      </c>
      <c r="F2903" s="1" t="s">
        <v>16</v>
      </c>
      <c r="G2903" s="1" t="s">
        <v>17</v>
      </c>
      <c r="H2903" s="1" t="s">
        <v>28</v>
      </c>
      <c r="I2903" s="1" t="s">
        <v>40</v>
      </c>
      <c r="J2903" s="1">
        <v>135.0</v>
      </c>
      <c r="K2903" s="1">
        <v>36.0</v>
      </c>
      <c r="L2903" s="1">
        <v>380.0</v>
      </c>
    </row>
    <row r="2904">
      <c r="A2904" s="1">
        <v>7315014.0</v>
      </c>
      <c r="B2904" s="1" t="s">
        <v>6238</v>
      </c>
      <c r="C2904" s="1" t="s">
        <v>6102</v>
      </c>
      <c r="D2904" s="1" t="s">
        <v>6214</v>
      </c>
      <c r="E2904" s="1" t="s">
        <v>6239</v>
      </c>
      <c r="F2904" s="1" t="s">
        <v>16</v>
      </c>
      <c r="G2904" s="1" t="s">
        <v>17</v>
      </c>
      <c r="H2904" s="1" t="s">
        <v>28</v>
      </c>
      <c r="I2904" s="1" t="s">
        <v>40</v>
      </c>
      <c r="J2904" s="1">
        <v>191.0</v>
      </c>
      <c r="K2904" s="1">
        <v>42.0</v>
      </c>
      <c r="L2904" s="1">
        <v>421.0</v>
      </c>
    </row>
    <row r="2905">
      <c r="A2905" s="1">
        <v>7313023.0</v>
      </c>
      <c r="B2905" s="1" t="s">
        <v>6240</v>
      </c>
      <c r="C2905" s="1" t="s">
        <v>6102</v>
      </c>
      <c r="D2905" s="1" t="s">
        <v>6241</v>
      </c>
      <c r="E2905" s="1" t="s">
        <v>6242</v>
      </c>
      <c r="F2905" s="1" t="s">
        <v>16</v>
      </c>
      <c r="G2905" s="1" t="s">
        <v>17</v>
      </c>
      <c r="H2905" s="1" t="s">
        <v>28</v>
      </c>
      <c r="I2905" s="1" t="s">
        <v>40</v>
      </c>
      <c r="J2905" s="1">
        <v>102.0</v>
      </c>
      <c r="K2905" s="1">
        <v>18.0</v>
      </c>
      <c r="L2905" s="1">
        <v>117.0</v>
      </c>
    </row>
    <row r="2906">
      <c r="A2906" s="1">
        <v>7371451.0</v>
      </c>
      <c r="B2906" s="1" t="s">
        <v>6243</v>
      </c>
      <c r="C2906" s="1" t="s">
        <v>6102</v>
      </c>
      <c r="D2906" s="1" t="s">
        <v>6106</v>
      </c>
      <c r="E2906" s="1" t="s">
        <v>6244</v>
      </c>
      <c r="F2906" s="1" t="s">
        <v>272</v>
      </c>
      <c r="G2906" s="1" t="s">
        <v>17</v>
      </c>
      <c r="H2906" s="1" t="s">
        <v>33</v>
      </c>
      <c r="I2906" s="1" t="s">
        <v>19</v>
      </c>
      <c r="J2906" s="1">
        <v>16.0</v>
      </c>
      <c r="K2906" s="1">
        <v>36.0</v>
      </c>
      <c r="L2906" s="1">
        <v>0.0</v>
      </c>
    </row>
    <row r="2907">
      <c r="A2907" s="1">
        <v>7371336.0</v>
      </c>
      <c r="B2907" s="1" t="s">
        <v>6245</v>
      </c>
      <c r="C2907" s="1" t="s">
        <v>6102</v>
      </c>
      <c r="D2907" s="1" t="s">
        <v>6106</v>
      </c>
      <c r="E2907" s="1" t="s">
        <v>6246</v>
      </c>
      <c r="F2907" s="1" t="s">
        <v>16</v>
      </c>
      <c r="G2907" s="1" t="s">
        <v>17</v>
      </c>
      <c r="H2907" s="1" t="s">
        <v>18</v>
      </c>
      <c r="I2907" s="1" t="s">
        <v>59</v>
      </c>
      <c r="J2907" s="1">
        <v>100.0</v>
      </c>
      <c r="K2907" s="1">
        <v>78.0</v>
      </c>
      <c r="L2907" s="1">
        <v>137.0</v>
      </c>
    </row>
    <row r="2908">
      <c r="A2908" s="1">
        <v>7371450.0</v>
      </c>
      <c r="B2908" s="1" t="s">
        <v>6247</v>
      </c>
      <c r="C2908" s="1" t="s">
        <v>6102</v>
      </c>
      <c r="D2908" s="1" t="s">
        <v>6106</v>
      </c>
      <c r="E2908" s="1" t="s">
        <v>6248</v>
      </c>
      <c r="F2908" s="1" t="s">
        <v>32</v>
      </c>
      <c r="G2908" s="1" t="s">
        <v>27</v>
      </c>
      <c r="H2908" s="1" t="s">
        <v>18</v>
      </c>
      <c r="I2908" s="1" t="s">
        <v>19</v>
      </c>
      <c r="J2908" s="1">
        <v>0.0</v>
      </c>
      <c r="K2908" s="1">
        <v>18.0</v>
      </c>
      <c r="L2908" s="1">
        <v>0.0</v>
      </c>
    </row>
    <row r="2909">
      <c r="A2909" s="1">
        <v>7371026.0</v>
      </c>
      <c r="B2909" s="1" t="s">
        <v>6249</v>
      </c>
      <c r="C2909" s="1" t="s">
        <v>6102</v>
      </c>
      <c r="D2909" s="1" t="s">
        <v>6106</v>
      </c>
      <c r="E2909" s="1" t="s">
        <v>6250</v>
      </c>
      <c r="F2909" s="1" t="s">
        <v>16</v>
      </c>
      <c r="G2909" s="1" t="s">
        <v>27</v>
      </c>
      <c r="H2909" s="1" t="s">
        <v>28</v>
      </c>
      <c r="I2909" s="1" t="s">
        <v>139</v>
      </c>
      <c r="J2909" s="1">
        <v>224.0</v>
      </c>
      <c r="K2909" s="1">
        <v>105.0</v>
      </c>
      <c r="L2909" s="1">
        <v>666.0</v>
      </c>
    </row>
    <row r="2910">
      <c r="A2910" s="1">
        <v>7373005.0</v>
      </c>
      <c r="B2910" s="1" t="s">
        <v>6251</v>
      </c>
      <c r="C2910" s="1" t="s">
        <v>6102</v>
      </c>
      <c r="D2910" s="1" t="s">
        <v>6109</v>
      </c>
      <c r="E2910" s="1" t="s">
        <v>6252</v>
      </c>
      <c r="F2910" s="1" t="s">
        <v>16</v>
      </c>
      <c r="G2910" s="1" t="s">
        <v>23</v>
      </c>
      <c r="H2910" s="1" t="s">
        <v>18</v>
      </c>
      <c r="I2910" s="1" t="s">
        <v>19</v>
      </c>
      <c r="J2910" s="1">
        <v>106.0</v>
      </c>
      <c r="K2910" s="1">
        <v>29.0</v>
      </c>
      <c r="L2910" s="1">
        <v>145.0</v>
      </c>
    </row>
    <row r="2911">
      <c r="A2911" s="1">
        <v>7371362.0</v>
      </c>
      <c r="B2911" s="1" t="s">
        <v>6253</v>
      </c>
      <c r="C2911" s="1" t="s">
        <v>6102</v>
      </c>
      <c r="D2911" s="1" t="s">
        <v>6106</v>
      </c>
      <c r="E2911" s="1" t="s">
        <v>6254</v>
      </c>
      <c r="F2911" s="1" t="s">
        <v>16</v>
      </c>
      <c r="G2911" s="1" t="s">
        <v>27</v>
      </c>
      <c r="H2911" s="1" t="s">
        <v>28</v>
      </c>
      <c r="I2911" s="1" t="s">
        <v>139</v>
      </c>
      <c r="J2911" s="1">
        <v>207.0</v>
      </c>
      <c r="K2911" s="1">
        <v>42.0</v>
      </c>
      <c r="L2911" s="1">
        <v>527.0</v>
      </c>
    </row>
    <row r="2912">
      <c r="A2912" s="1">
        <v>7371400.0</v>
      </c>
      <c r="B2912" s="1" t="s">
        <v>6255</v>
      </c>
      <c r="C2912" s="1" t="s">
        <v>6102</v>
      </c>
      <c r="D2912" s="1" t="s">
        <v>6106</v>
      </c>
      <c r="E2912" s="1" t="s">
        <v>6256</v>
      </c>
      <c r="F2912" s="1" t="s">
        <v>16</v>
      </c>
      <c r="G2912" s="1" t="s">
        <v>23</v>
      </c>
      <c r="H2912" s="1" t="s">
        <v>18</v>
      </c>
      <c r="I2912" s="1" t="s">
        <v>59</v>
      </c>
      <c r="J2912" s="1">
        <v>51.0</v>
      </c>
      <c r="K2912" s="1">
        <v>27.0</v>
      </c>
      <c r="L2912" s="1">
        <v>84.0</v>
      </c>
    </row>
    <row r="2913">
      <c r="A2913" s="1">
        <v>7371427.0</v>
      </c>
      <c r="B2913" s="1" t="s">
        <v>6257</v>
      </c>
      <c r="C2913" s="1" t="s">
        <v>6102</v>
      </c>
      <c r="D2913" s="1" t="s">
        <v>6106</v>
      </c>
      <c r="E2913" s="1" t="s">
        <v>6258</v>
      </c>
      <c r="F2913" s="1" t="s">
        <v>32</v>
      </c>
      <c r="G2913" s="1" t="s">
        <v>17</v>
      </c>
      <c r="H2913" s="1" t="s">
        <v>33</v>
      </c>
      <c r="I2913" s="1" t="s">
        <v>95</v>
      </c>
      <c r="J2913" s="1">
        <v>10.0</v>
      </c>
      <c r="K2913" s="1">
        <v>18.0</v>
      </c>
      <c r="L2913" s="1">
        <v>87.0</v>
      </c>
    </row>
    <row r="2914">
      <c r="A2914" s="1">
        <v>7309016.0</v>
      </c>
      <c r="B2914" s="1" t="s">
        <v>6259</v>
      </c>
      <c r="C2914" s="1" t="s">
        <v>6102</v>
      </c>
      <c r="D2914" s="1" t="s">
        <v>6260</v>
      </c>
      <c r="E2914" s="1" t="s">
        <v>6261</v>
      </c>
      <c r="F2914" s="1" t="s">
        <v>16</v>
      </c>
      <c r="G2914" s="1" t="s">
        <v>17</v>
      </c>
      <c r="H2914" s="1" t="s">
        <v>28</v>
      </c>
      <c r="I2914" s="1" t="s">
        <v>40</v>
      </c>
      <c r="J2914" s="1">
        <v>180.0</v>
      </c>
      <c r="K2914" s="1">
        <v>63.0</v>
      </c>
      <c r="L2914" s="1">
        <v>688.0</v>
      </c>
    </row>
    <row r="2915">
      <c r="A2915" s="1">
        <v>7306057.0</v>
      </c>
      <c r="B2915" s="1" t="s">
        <v>6262</v>
      </c>
      <c r="C2915" s="1" t="s">
        <v>6102</v>
      </c>
      <c r="D2915" s="1" t="s">
        <v>6189</v>
      </c>
      <c r="E2915" s="1" t="s">
        <v>6263</v>
      </c>
      <c r="F2915" s="1" t="s">
        <v>16</v>
      </c>
      <c r="G2915" s="1" t="s">
        <v>23</v>
      </c>
      <c r="H2915" s="1" t="s">
        <v>18</v>
      </c>
      <c r="I2915" s="1" t="s">
        <v>163</v>
      </c>
      <c r="J2915" s="1">
        <v>79.0</v>
      </c>
      <c r="K2915" s="1">
        <v>22.0</v>
      </c>
      <c r="L2915" s="1">
        <v>154.0</v>
      </c>
    </row>
    <row r="2916">
      <c r="A2916" s="1">
        <v>7308058.0</v>
      </c>
      <c r="B2916" s="1" t="s">
        <v>6264</v>
      </c>
      <c r="C2916" s="1" t="s">
        <v>6102</v>
      </c>
      <c r="D2916" s="1" t="s">
        <v>6123</v>
      </c>
      <c r="E2916" s="1" t="s">
        <v>6265</v>
      </c>
      <c r="F2916" s="1" t="s">
        <v>16</v>
      </c>
      <c r="G2916" s="1" t="s">
        <v>17</v>
      </c>
      <c r="H2916" s="1" t="s">
        <v>18</v>
      </c>
      <c r="I2916" s="1" t="s">
        <v>19</v>
      </c>
      <c r="J2916" s="1">
        <v>120.0</v>
      </c>
      <c r="K2916" s="1">
        <v>25.0</v>
      </c>
      <c r="L2916" s="1">
        <v>239.0</v>
      </c>
    </row>
    <row r="2917">
      <c r="A2917" s="1">
        <v>7371430.0</v>
      </c>
      <c r="B2917" s="1" t="s">
        <v>6266</v>
      </c>
      <c r="C2917" s="1" t="s">
        <v>6102</v>
      </c>
      <c r="D2917" s="1" t="s">
        <v>6106</v>
      </c>
      <c r="E2917" s="1" t="s">
        <v>6267</v>
      </c>
      <c r="F2917" s="1" t="s">
        <v>55</v>
      </c>
      <c r="G2917" s="1" t="s">
        <v>17</v>
      </c>
      <c r="H2917" s="1" t="s">
        <v>18</v>
      </c>
      <c r="I2917" s="1" t="s">
        <v>44</v>
      </c>
      <c r="J2917" s="1">
        <v>74.0</v>
      </c>
      <c r="K2917" s="1">
        <v>27.0</v>
      </c>
      <c r="L2917" s="1">
        <v>111.0</v>
      </c>
    </row>
    <row r="2918">
      <c r="A2918" s="1">
        <v>7373016.0</v>
      </c>
      <c r="B2918" s="1" t="s">
        <v>6268</v>
      </c>
      <c r="C2918" s="1" t="s">
        <v>6102</v>
      </c>
      <c r="D2918" s="1" t="s">
        <v>6109</v>
      </c>
      <c r="E2918" s="1" t="s">
        <v>6269</v>
      </c>
      <c r="F2918" s="1" t="s">
        <v>16</v>
      </c>
      <c r="G2918" s="1" t="s">
        <v>27</v>
      </c>
      <c r="H2918" s="1" t="s">
        <v>28</v>
      </c>
      <c r="I2918" s="1" t="s">
        <v>29</v>
      </c>
      <c r="J2918" s="1">
        <v>272.0</v>
      </c>
      <c r="K2918" s="1">
        <v>36.0</v>
      </c>
      <c r="L2918" s="1">
        <v>1255.0</v>
      </c>
    </row>
    <row r="2919">
      <c r="A2919" s="1">
        <v>7371428.0</v>
      </c>
      <c r="B2919" s="1" t="s">
        <v>6270</v>
      </c>
      <c r="C2919" s="1" t="s">
        <v>6102</v>
      </c>
      <c r="D2919" s="1" t="s">
        <v>6106</v>
      </c>
      <c r="E2919" s="1" t="s">
        <v>6271</v>
      </c>
      <c r="F2919" s="1" t="s">
        <v>55</v>
      </c>
      <c r="G2919" s="1" t="s">
        <v>27</v>
      </c>
      <c r="H2919" s="1" t="s">
        <v>18</v>
      </c>
      <c r="I2919" s="1" t="s">
        <v>44</v>
      </c>
      <c r="J2919" s="1">
        <v>107.0</v>
      </c>
      <c r="K2919" s="1">
        <v>28.0</v>
      </c>
      <c r="L2919" s="1">
        <v>216.0</v>
      </c>
    </row>
    <row r="2920">
      <c r="A2920" s="1">
        <v>7371223.0</v>
      </c>
      <c r="B2920" s="1" t="s">
        <v>6272</v>
      </c>
      <c r="C2920" s="1" t="s">
        <v>6102</v>
      </c>
      <c r="D2920" s="1" t="s">
        <v>6106</v>
      </c>
      <c r="E2920" s="1" t="s">
        <v>6273</v>
      </c>
      <c r="F2920" s="1" t="s">
        <v>55</v>
      </c>
      <c r="G2920" s="1" t="s">
        <v>17</v>
      </c>
      <c r="H2920" s="1" t="s">
        <v>18</v>
      </c>
      <c r="I2920" s="1" t="s">
        <v>59</v>
      </c>
      <c r="J2920" s="1">
        <v>57.0</v>
      </c>
      <c r="K2920" s="1">
        <v>19.0</v>
      </c>
      <c r="L2920" s="1">
        <v>2.0</v>
      </c>
    </row>
    <row r="2921">
      <c r="A2921" s="1">
        <v>7303010.0</v>
      </c>
      <c r="B2921" s="1" t="s">
        <v>6274</v>
      </c>
      <c r="C2921" s="1" t="s">
        <v>6102</v>
      </c>
      <c r="D2921" s="1" t="s">
        <v>6275</v>
      </c>
      <c r="E2921" s="1" t="s">
        <v>6276</v>
      </c>
      <c r="F2921" s="1" t="s">
        <v>16</v>
      </c>
      <c r="G2921" s="1" t="s">
        <v>27</v>
      </c>
      <c r="H2921" s="1" t="s">
        <v>28</v>
      </c>
      <c r="I2921" s="1" t="s">
        <v>40</v>
      </c>
      <c r="J2921" s="1">
        <v>271.0</v>
      </c>
      <c r="K2921" s="1">
        <v>37.0</v>
      </c>
      <c r="L2921" s="1">
        <v>394.0</v>
      </c>
    </row>
    <row r="2922">
      <c r="A2922" s="1">
        <v>7371041.0</v>
      </c>
      <c r="B2922" s="1" t="s">
        <v>6277</v>
      </c>
      <c r="C2922" s="1" t="s">
        <v>6102</v>
      </c>
      <c r="D2922" s="1" t="s">
        <v>6106</v>
      </c>
      <c r="E2922" s="1" t="s">
        <v>6278</v>
      </c>
      <c r="F2922" s="1" t="s">
        <v>16</v>
      </c>
      <c r="G2922" s="1" t="s">
        <v>27</v>
      </c>
      <c r="H2922" s="1" t="s">
        <v>33</v>
      </c>
      <c r="I2922" s="1" t="s">
        <v>65</v>
      </c>
      <c r="J2922" s="1">
        <v>349.0</v>
      </c>
      <c r="K2922" s="1">
        <v>99.0</v>
      </c>
      <c r="L2922" s="1">
        <v>109.0</v>
      </c>
    </row>
    <row r="2923">
      <c r="A2923" s="1">
        <v>7304012.0</v>
      </c>
      <c r="B2923" s="1" t="s">
        <v>6279</v>
      </c>
      <c r="C2923" s="1" t="s">
        <v>6102</v>
      </c>
      <c r="D2923" s="1" t="s">
        <v>6164</v>
      </c>
      <c r="E2923" s="1" t="s">
        <v>6280</v>
      </c>
      <c r="F2923" s="1" t="s">
        <v>16</v>
      </c>
      <c r="G2923" s="1" t="s">
        <v>98</v>
      </c>
      <c r="H2923" s="1" t="s">
        <v>18</v>
      </c>
      <c r="I2923" s="1" t="s">
        <v>40</v>
      </c>
      <c r="J2923" s="1">
        <v>32.0</v>
      </c>
      <c r="K2923" s="1">
        <v>13.0</v>
      </c>
      <c r="L2923" s="1">
        <v>11.0</v>
      </c>
    </row>
    <row r="2924">
      <c r="A2924" s="1">
        <v>7371395.0</v>
      </c>
      <c r="B2924" s="1" t="s">
        <v>6281</v>
      </c>
      <c r="C2924" s="1" t="s">
        <v>6102</v>
      </c>
      <c r="D2924" s="1" t="s">
        <v>6106</v>
      </c>
      <c r="E2924" s="1" t="s">
        <v>6282</v>
      </c>
      <c r="F2924" s="1" t="s">
        <v>16</v>
      </c>
      <c r="G2924" s="1" t="s">
        <v>27</v>
      </c>
      <c r="H2924" s="1" t="s">
        <v>28</v>
      </c>
      <c r="I2924" s="1" t="s">
        <v>29</v>
      </c>
      <c r="J2924" s="1">
        <v>218.0</v>
      </c>
      <c r="K2924" s="1">
        <v>99.0</v>
      </c>
      <c r="L2924" s="1">
        <v>490.0</v>
      </c>
    </row>
    <row r="2925">
      <c r="A2925" s="1">
        <v>7307025.0</v>
      </c>
      <c r="B2925" s="1" t="s">
        <v>6283</v>
      </c>
      <c r="C2925" s="1" t="s">
        <v>6102</v>
      </c>
      <c r="D2925" s="1" t="s">
        <v>6284</v>
      </c>
      <c r="E2925" s="1" t="s">
        <v>6285</v>
      </c>
      <c r="F2925" s="1" t="s">
        <v>16</v>
      </c>
      <c r="G2925" s="1" t="s">
        <v>98</v>
      </c>
      <c r="H2925" s="1" t="s">
        <v>18</v>
      </c>
      <c r="I2925" s="1" t="s">
        <v>40</v>
      </c>
      <c r="J2925" s="1">
        <v>30.0</v>
      </c>
      <c r="K2925" s="1">
        <v>14.0</v>
      </c>
      <c r="L2925" s="1">
        <v>0.0</v>
      </c>
    </row>
    <row r="2926">
      <c r="A2926" s="1">
        <v>7371414.0</v>
      </c>
      <c r="B2926" s="1" t="s">
        <v>6286</v>
      </c>
      <c r="C2926" s="1" t="s">
        <v>6102</v>
      </c>
      <c r="D2926" s="1" t="s">
        <v>6106</v>
      </c>
      <c r="E2926" s="1" t="s">
        <v>6287</v>
      </c>
      <c r="F2926" s="1" t="s">
        <v>55</v>
      </c>
      <c r="G2926" s="1" t="s">
        <v>17</v>
      </c>
      <c r="H2926" s="1" t="s">
        <v>18</v>
      </c>
      <c r="I2926" s="1" t="s">
        <v>19</v>
      </c>
      <c r="J2926" s="1">
        <v>32.0</v>
      </c>
      <c r="K2926" s="1">
        <v>21.0</v>
      </c>
      <c r="L2926" s="1">
        <v>59.0</v>
      </c>
    </row>
    <row r="2927">
      <c r="A2927" s="1">
        <v>7313024.0</v>
      </c>
      <c r="B2927" s="1" t="s">
        <v>6288</v>
      </c>
      <c r="C2927" s="1" t="s">
        <v>6102</v>
      </c>
      <c r="D2927" s="1" t="s">
        <v>6241</v>
      </c>
      <c r="E2927" s="1" t="s">
        <v>6289</v>
      </c>
      <c r="F2927" s="1" t="s">
        <v>16</v>
      </c>
      <c r="G2927" s="1" t="s">
        <v>23</v>
      </c>
      <c r="H2927" s="1" t="s">
        <v>18</v>
      </c>
      <c r="I2927" s="1" t="s">
        <v>44</v>
      </c>
      <c r="J2927" s="1">
        <v>67.0</v>
      </c>
      <c r="K2927" s="1">
        <v>23.0</v>
      </c>
      <c r="L2927" s="1">
        <v>0.0</v>
      </c>
    </row>
    <row r="2928">
      <c r="A2928" s="1">
        <v>7311010.0</v>
      </c>
      <c r="B2928" s="1" t="s">
        <v>6290</v>
      </c>
      <c r="C2928" s="1" t="s">
        <v>6102</v>
      </c>
      <c r="D2928" s="1" t="s">
        <v>6291</v>
      </c>
      <c r="E2928" s="1" t="s">
        <v>6292</v>
      </c>
      <c r="F2928" s="1" t="s">
        <v>16</v>
      </c>
      <c r="G2928" s="1" t="s">
        <v>17</v>
      </c>
      <c r="H2928" s="1" t="s">
        <v>28</v>
      </c>
      <c r="I2928" s="1" t="s">
        <v>40</v>
      </c>
      <c r="J2928" s="1">
        <v>189.0</v>
      </c>
      <c r="K2928" s="1">
        <v>66.0</v>
      </c>
      <c r="L2928" s="1">
        <v>142.0</v>
      </c>
    </row>
    <row r="2929">
      <c r="A2929" s="1">
        <v>7317053.0</v>
      </c>
      <c r="B2929" s="1" t="s">
        <v>6293</v>
      </c>
      <c r="C2929" s="1" t="s">
        <v>6102</v>
      </c>
      <c r="D2929" s="1" t="s">
        <v>6177</v>
      </c>
      <c r="E2929" s="1" t="s">
        <v>6294</v>
      </c>
      <c r="F2929" s="1" t="s">
        <v>16</v>
      </c>
      <c r="G2929" s="1" t="s">
        <v>17</v>
      </c>
      <c r="H2929" s="1" t="s">
        <v>28</v>
      </c>
      <c r="I2929" s="1" t="s">
        <v>40</v>
      </c>
      <c r="J2929" s="1">
        <v>249.0</v>
      </c>
      <c r="K2929" s="1">
        <v>27.0</v>
      </c>
      <c r="L2929" s="1">
        <v>550.0</v>
      </c>
    </row>
    <row r="2930">
      <c r="A2930" s="1">
        <v>7303012.0</v>
      </c>
      <c r="B2930" s="1" t="s">
        <v>6295</v>
      </c>
      <c r="C2930" s="1" t="s">
        <v>6102</v>
      </c>
      <c r="D2930" s="1" t="s">
        <v>6275</v>
      </c>
      <c r="E2930" s="1" t="s">
        <v>6296</v>
      </c>
      <c r="F2930" s="1" t="s">
        <v>16</v>
      </c>
      <c r="G2930" s="1" t="s">
        <v>23</v>
      </c>
      <c r="H2930" s="1" t="s">
        <v>28</v>
      </c>
      <c r="I2930" s="1" t="s">
        <v>40</v>
      </c>
      <c r="J2930" s="1">
        <v>46.0</v>
      </c>
      <c r="K2930" s="1">
        <v>22.0</v>
      </c>
      <c r="L2930" s="1">
        <v>53.0</v>
      </c>
    </row>
    <row r="2931">
      <c r="A2931" s="1">
        <v>7371293.0</v>
      </c>
      <c r="B2931" s="1" t="s">
        <v>6297</v>
      </c>
      <c r="C2931" s="1" t="s">
        <v>6102</v>
      </c>
      <c r="D2931" s="1" t="s">
        <v>6106</v>
      </c>
      <c r="E2931" s="1" t="s">
        <v>6298</v>
      </c>
      <c r="F2931" s="1" t="s">
        <v>16</v>
      </c>
      <c r="G2931" s="1" t="s">
        <v>27</v>
      </c>
      <c r="H2931" s="1" t="s">
        <v>18</v>
      </c>
      <c r="I2931" s="1" t="s">
        <v>684</v>
      </c>
      <c r="J2931" s="1">
        <v>201.0</v>
      </c>
      <c r="K2931" s="1">
        <v>44.0</v>
      </c>
      <c r="L2931" s="1">
        <v>403.0</v>
      </c>
    </row>
    <row r="2932">
      <c r="A2932" s="1">
        <v>7371410.0</v>
      </c>
      <c r="B2932" s="1" t="s">
        <v>6299</v>
      </c>
      <c r="C2932" s="1" t="s">
        <v>6102</v>
      </c>
      <c r="D2932" s="1" t="s">
        <v>6106</v>
      </c>
      <c r="E2932" s="1" t="s">
        <v>6300</v>
      </c>
      <c r="F2932" s="1" t="s">
        <v>55</v>
      </c>
      <c r="G2932" s="1" t="s">
        <v>17</v>
      </c>
      <c r="H2932" s="1" t="s">
        <v>18</v>
      </c>
      <c r="I2932" s="1" t="s">
        <v>163</v>
      </c>
      <c r="J2932" s="1">
        <v>109.0</v>
      </c>
      <c r="K2932" s="1">
        <v>23.0</v>
      </c>
      <c r="L2932" s="1">
        <v>243.0</v>
      </c>
    </row>
    <row r="2933">
      <c r="A2933" s="1">
        <v>7371453.0</v>
      </c>
      <c r="B2933" s="1" t="s">
        <v>6301</v>
      </c>
      <c r="C2933" s="1" t="s">
        <v>6102</v>
      </c>
      <c r="D2933" s="1" t="s">
        <v>6106</v>
      </c>
      <c r="E2933" s="1" t="s">
        <v>6302</v>
      </c>
      <c r="F2933" s="1" t="s">
        <v>16</v>
      </c>
      <c r="G2933" s="1" t="s">
        <v>150</v>
      </c>
      <c r="H2933" s="1" t="s">
        <v>18</v>
      </c>
      <c r="I2933" s="1" t="s">
        <v>411</v>
      </c>
      <c r="J2933" s="1">
        <v>0.0</v>
      </c>
      <c r="K2933" s="1">
        <v>3.0</v>
      </c>
      <c r="L2933" s="1">
        <v>0.0</v>
      </c>
    </row>
    <row r="2934">
      <c r="A2934" s="1">
        <v>7302017.0</v>
      </c>
      <c r="B2934" s="1" t="s">
        <v>6303</v>
      </c>
      <c r="C2934" s="1" t="s">
        <v>6102</v>
      </c>
      <c r="D2934" s="1" t="s">
        <v>6116</v>
      </c>
      <c r="E2934" s="1" t="s">
        <v>6304</v>
      </c>
      <c r="F2934" s="1" t="s">
        <v>55</v>
      </c>
      <c r="G2934" s="1" t="s">
        <v>17</v>
      </c>
      <c r="H2934" s="1" t="s">
        <v>18</v>
      </c>
      <c r="I2934" s="1" t="s">
        <v>19</v>
      </c>
      <c r="J2934" s="1">
        <v>37.0</v>
      </c>
      <c r="K2934" s="1">
        <v>16.0</v>
      </c>
      <c r="L2934" s="1">
        <v>16.0</v>
      </c>
    </row>
    <row r="2935">
      <c r="A2935" s="1">
        <v>7305015.0</v>
      </c>
      <c r="B2935" s="1" t="s">
        <v>6305</v>
      </c>
      <c r="C2935" s="1" t="s">
        <v>6102</v>
      </c>
      <c r="D2935" s="1" t="s">
        <v>6153</v>
      </c>
      <c r="E2935" s="1" t="s">
        <v>6306</v>
      </c>
      <c r="F2935" s="1" t="s">
        <v>55</v>
      </c>
      <c r="G2935" s="1" t="s">
        <v>17</v>
      </c>
      <c r="H2935" s="1" t="s">
        <v>18</v>
      </c>
      <c r="I2935" s="1" t="s">
        <v>40</v>
      </c>
      <c r="J2935" s="1">
        <v>10.0</v>
      </c>
      <c r="K2935" s="1">
        <v>9.0</v>
      </c>
      <c r="L2935" s="1">
        <v>22.0</v>
      </c>
    </row>
    <row r="2936">
      <c r="A2936" s="1">
        <v>7305012.0</v>
      </c>
      <c r="B2936" s="1" t="s">
        <v>6307</v>
      </c>
      <c r="C2936" s="1" t="s">
        <v>6102</v>
      </c>
      <c r="D2936" s="1" t="s">
        <v>6153</v>
      </c>
      <c r="E2936" s="1" t="s">
        <v>6308</v>
      </c>
      <c r="F2936" s="1" t="s">
        <v>16</v>
      </c>
      <c r="G2936" s="1" t="s">
        <v>17</v>
      </c>
      <c r="H2936" s="1" t="s">
        <v>28</v>
      </c>
      <c r="I2936" s="1" t="s">
        <v>40</v>
      </c>
      <c r="J2936" s="1">
        <v>200.0</v>
      </c>
      <c r="K2936" s="1">
        <v>32.0</v>
      </c>
      <c r="L2936" s="1">
        <v>732.0</v>
      </c>
    </row>
    <row r="2937">
      <c r="A2937" s="1">
        <v>7303013.0</v>
      </c>
      <c r="B2937" s="1" t="s">
        <v>6309</v>
      </c>
      <c r="C2937" s="1" t="s">
        <v>6102</v>
      </c>
      <c r="D2937" s="1" t="s">
        <v>6275</v>
      </c>
      <c r="E2937" s="1" t="s">
        <v>6310</v>
      </c>
      <c r="F2937" s="1" t="s">
        <v>55</v>
      </c>
      <c r="G2937" s="1" t="s">
        <v>17</v>
      </c>
      <c r="H2937" s="1" t="s">
        <v>18</v>
      </c>
      <c r="I2937" s="1" t="s">
        <v>19</v>
      </c>
      <c r="J2937" s="1">
        <v>11.0</v>
      </c>
      <c r="K2937" s="1">
        <v>5.0</v>
      </c>
      <c r="L2937" s="1">
        <v>0.0</v>
      </c>
    </row>
    <row r="2938">
      <c r="A2938" s="1">
        <v>7318010.0</v>
      </c>
      <c r="B2938" s="1" t="s">
        <v>6311</v>
      </c>
      <c r="C2938" s="1" t="s">
        <v>6102</v>
      </c>
      <c r="D2938" s="1" t="s">
        <v>6230</v>
      </c>
      <c r="E2938" s="1" t="s">
        <v>6312</v>
      </c>
      <c r="F2938" s="1" t="s">
        <v>16</v>
      </c>
      <c r="G2938" s="1" t="s">
        <v>17</v>
      </c>
      <c r="H2938" s="1" t="s">
        <v>18</v>
      </c>
      <c r="I2938" s="1" t="s">
        <v>59</v>
      </c>
      <c r="J2938" s="1">
        <v>173.0</v>
      </c>
      <c r="K2938" s="1">
        <v>43.0</v>
      </c>
      <c r="L2938" s="1">
        <v>175.0</v>
      </c>
    </row>
    <row r="2939">
      <c r="A2939" s="1">
        <v>7371063.0</v>
      </c>
      <c r="B2939" s="1" t="s">
        <v>6313</v>
      </c>
      <c r="C2939" s="1" t="s">
        <v>6102</v>
      </c>
      <c r="D2939" s="1" t="s">
        <v>6106</v>
      </c>
      <c r="E2939" s="1" t="s">
        <v>6314</v>
      </c>
      <c r="F2939" s="1" t="s">
        <v>16</v>
      </c>
      <c r="G2939" s="1" t="s">
        <v>27</v>
      </c>
      <c r="H2939" s="1" t="s">
        <v>18</v>
      </c>
      <c r="I2939" s="1" t="s">
        <v>59</v>
      </c>
      <c r="J2939" s="1">
        <v>244.0</v>
      </c>
      <c r="K2939" s="1">
        <v>103.0</v>
      </c>
      <c r="L2939" s="1">
        <v>579.0</v>
      </c>
    </row>
    <row r="2940">
      <c r="A2940" s="1">
        <v>7309044.0</v>
      </c>
      <c r="B2940" s="1" t="s">
        <v>6315</v>
      </c>
      <c r="C2940" s="1" t="s">
        <v>6102</v>
      </c>
      <c r="D2940" s="1" t="s">
        <v>6260</v>
      </c>
      <c r="E2940" s="1" t="s">
        <v>6316</v>
      </c>
      <c r="F2940" s="1" t="s">
        <v>16</v>
      </c>
      <c r="G2940" s="1" t="s">
        <v>17</v>
      </c>
      <c r="H2940" s="1" t="s">
        <v>18</v>
      </c>
      <c r="I2940" s="1" t="s">
        <v>563</v>
      </c>
      <c r="J2940" s="1">
        <v>106.0</v>
      </c>
      <c r="K2940" s="1">
        <v>20.0</v>
      </c>
      <c r="L2940" s="1">
        <v>194.0</v>
      </c>
    </row>
    <row r="2941">
      <c r="A2941" s="1">
        <v>7372031.0</v>
      </c>
      <c r="B2941" s="1" t="s">
        <v>6317</v>
      </c>
      <c r="C2941" s="1" t="s">
        <v>6102</v>
      </c>
      <c r="D2941" s="1" t="s">
        <v>6148</v>
      </c>
      <c r="E2941" s="1" t="s">
        <v>6318</v>
      </c>
      <c r="F2941" s="1" t="s">
        <v>16</v>
      </c>
      <c r="G2941" s="1" t="s">
        <v>17</v>
      </c>
      <c r="H2941" s="1" t="s">
        <v>18</v>
      </c>
      <c r="I2941" s="1" t="s">
        <v>74</v>
      </c>
      <c r="J2941" s="1">
        <v>136.0</v>
      </c>
      <c r="K2941" s="1">
        <v>23.0</v>
      </c>
      <c r="L2941" s="1">
        <v>290.0</v>
      </c>
    </row>
    <row r="2942">
      <c r="A2942" s="1">
        <v>7371426.0</v>
      </c>
      <c r="B2942" s="1" t="s">
        <v>6319</v>
      </c>
      <c r="C2942" s="1" t="s">
        <v>6102</v>
      </c>
      <c r="D2942" s="1" t="s">
        <v>6106</v>
      </c>
      <c r="E2942" s="1" t="s">
        <v>6320</v>
      </c>
      <c r="F2942" s="1" t="s">
        <v>16</v>
      </c>
      <c r="G2942" s="1" t="s">
        <v>17</v>
      </c>
      <c r="H2942" s="1" t="s">
        <v>18</v>
      </c>
      <c r="I2942" s="1" t="s">
        <v>19</v>
      </c>
      <c r="J2942" s="1">
        <v>180.0</v>
      </c>
      <c r="K2942" s="1">
        <v>56.0</v>
      </c>
      <c r="L2942" s="1">
        <v>233.0</v>
      </c>
    </row>
    <row r="2943">
      <c r="A2943" s="1">
        <v>7314025.0</v>
      </c>
      <c r="B2943" s="1" t="s">
        <v>6321</v>
      </c>
      <c r="C2943" s="1" t="s">
        <v>6102</v>
      </c>
      <c r="D2943" s="1" t="s">
        <v>6202</v>
      </c>
      <c r="E2943" s="1" t="s">
        <v>6322</v>
      </c>
      <c r="F2943" s="1" t="s">
        <v>16</v>
      </c>
      <c r="G2943" s="1" t="s">
        <v>23</v>
      </c>
      <c r="H2943" s="1" t="s">
        <v>18</v>
      </c>
      <c r="I2943" s="1" t="s">
        <v>19</v>
      </c>
      <c r="J2943" s="1">
        <v>75.0</v>
      </c>
      <c r="K2943" s="1">
        <v>24.0</v>
      </c>
      <c r="L2943" s="1">
        <v>76.0</v>
      </c>
    </row>
    <row r="2944">
      <c r="A2944" s="1">
        <v>7313012.0</v>
      </c>
      <c r="B2944" s="1" t="s">
        <v>6323</v>
      </c>
      <c r="C2944" s="1" t="s">
        <v>6102</v>
      </c>
      <c r="D2944" s="1" t="s">
        <v>6241</v>
      </c>
      <c r="E2944" s="1" t="s">
        <v>6324</v>
      </c>
      <c r="F2944" s="1" t="s">
        <v>16</v>
      </c>
      <c r="G2944" s="1" t="s">
        <v>17</v>
      </c>
      <c r="H2944" s="1" t="s">
        <v>28</v>
      </c>
      <c r="I2944" s="1" t="s">
        <v>40</v>
      </c>
      <c r="J2944" s="1">
        <v>201.0</v>
      </c>
      <c r="K2944" s="1">
        <v>25.0</v>
      </c>
      <c r="L2944" s="1">
        <v>227.0</v>
      </c>
    </row>
    <row r="2945">
      <c r="A2945" s="1">
        <v>7318021.0</v>
      </c>
      <c r="B2945" s="1" t="s">
        <v>6325</v>
      </c>
      <c r="C2945" s="1" t="s">
        <v>6102</v>
      </c>
      <c r="D2945" s="1" t="s">
        <v>6209</v>
      </c>
      <c r="E2945" s="1" t="s">
        <v>6326</v>
      </c>
      <c r="F2945" s="1" t="s">
        <v>16</v>
      </c>
      <c r="G2945" s="1" t="s">
        <v>17</v>
      </c>
      <c r="H2945" s="1" t="s">
        <v>18</v>
      </c>
      <c r="I2945" s="1" t="s">
        <v>59</v>
      </c>
      <c r="J2945" s="1">
        <v>115.0</v>
      </c>
      <c r="K2945" s="1">
        <v>26.0</v>
      </c>
      <c r="L2945" s="1">
        <v>175.0</v>
      </c>
    </row>
    <row r="2946">
      <c r="A2946" s="1">
        <v>7371402.0</v>
      </c>
      <c r="B2946" s="1" t="s">
        <v>6327</v>
      </c>
      <c r="C2946" s="1" t="s">
        <v>6102</v>
      </c>
      <c r="D2946" s="1" t="s">
        <v>6106</v>
      </c>
      <c r="E2946" s="1" t="s">
        <v>6328</v>
      </c>
      <c r="F2946" s="1" t="s">
        <v>16</v>
      </c>
      <c r="G2946" s="1" t="s">
        <v>27</v>
      </c>
      <c r="H2946" s="1" t="s">
        <v>18</v>
      </c>
      <c r="I2946" s="1" t="s">
        <v>19</v>
      </c>
      <c r="J2946" s="1">
        <v>213.0</v>
      </c>
      <c r="K2946" s="1">
        <v>109.0</v>
      </c>
      <c r="L2946" s="1">
        <v>480.0</v>
      </c>
    </row>
    <row r="2947">
      <c r="A2947" s="1">
        <v>7371325.0</v>
      </c>
      <c r="B2947" s="1" t="s">
        <v>6329</v>
      </c>
      <c r="C2947" s="1" t="s">
        <v>6102</v>
      </c>
      <c r="D2947" s="1" t="s">
        <v>6106</v>
      </c>
      <c r="E2947" s="1" t="s">
        <v>6330</v>
      </c>
      <c r="F2947" s="1" t="s">
        <v>16</v>
      </c>
      <c r="G2947" s="1" t="s">
        <v>150</v>
      </c>
      <c r="H2947" s="1" t="s">
        <v>33</v>
      </c>
      <c r="I2947" s="1" t="s">
        <v>411</v>
      </c>
      <c r="J2947" s="1">
        <v>847.0</v>
      </c>
      <c r="K2947" s="1">
        <v>163.0</v>
      </c>
      <c r="L2947" s="1">
        <v>2490.0</v>
      </c>
    </row>
    <row r="2948">
      <c r="A2948" s="1">
        <v>7326003.0</v>
      </c>
      <c r="B2948" s="1" t="s">
        <v>6331</v>
      </c>
      <c r="C2948" s="1" t="s">
        <v>6102</v>
      </c>
      <c r="D2948" s="1" t="s">
        <v>6230</v>
      </c>
      <c r="E2948" s="1" t="s">
        <v>6332</v>
      </c>
      <c r="F2948" s="1" t="s">
        <v>16</v>
      </c>
      <c r="G2948" s="1" t="s">
        <v>23</v>
      </c>
      <c r="H2948" s="1" t="s">
        <v>18</v>
      </c>
      <c r="I2948" s="1" t="s">
        <v>249</v>
      </c>
      <c r="J2948" s="1">
        <v>63.0</v>
      </c>
      <c r="K2948" s="1">
        <v>24.0</v>
      </c>
      <c r="L2948" s="1">
        <v>0.0</v>
      </c>
    </row>
    <row r="2949">
      <c r="A2949" s="1">
        <v>7371403.0</v>
      </c>
      <c r="B2949" s="1" t="s">
        <v>4912</v>
      </c>
      <c r="C2949" s="1" t="s">
        <v>6102</v>
      </c>
      <c r="D2949" s="1" t="s">
        <v>6106</v>
      </c>
      <c r="E2949" s="1" t="s">
        <v>6333</v>
      </c>
      <c r="F2949" s="1" t="s">
        <v>16</v>
      </c>
      <c r="G2949" s="1" t="s">
        <v>17</v>
      </c>
      <c r="H2949" s="1" t="s">
        <v>18</v>
      </c>
      <c r="I2949" s="1" t="s">
        <v>19</v>
      </c>
      <c r="J2949" s="1">
        <v>102.0</v>
      </c>
      <c r="K2949" s="1">
        <v>38.0</v>
      </c>
      <c r="L2949" s="1">
        <v>51.0</v>
      </c>
    </row>
    <row r="2950">
      <c r="A2950" s="1">
        <v>7307014.0</v>
      </c>
      <c r="B2950" s="1" t="s">
        <v>6334</v>
      </c>
      <c r="C2950" s="1" t="s">
        <v>6102</v>
      </c>
      <c r="D2950" s="1" t="s">
        <v>6284</v>
      </c>
      <c r="E2950" s="1" t="s">
        <v>6335</v>
      </c>
      <c r="F2950" s="1" t="s">
        <v>16</v>
      </c>
      <c r="G2950" s="1" t="s">
        <v>17</v>
      </c>
      <c r="H2950" s="1" t="s">
        <v>28</v>
      </c>
      <c r="I2950" s="1" t="s">
        <v>40</v>
      </c>
      <c r="J2950" s="1">
        <v>219.0</v>
      </c>
      <c r="K2950" s="1">
        <v>31.0</v>
      </c>
      <c r="L2950" s="1">
        <v>534.0</v>
      </c>
    </row>
    <row r="2951">
      <c r="A2951" s="1">
        <v>7322003.0</v>
      </c>
      <c r="B2951" s="1" t="s">
        <v>6336</v>
      </c>
      <c r="C2951" s="1" t="s">
        <v>6102</v>
      </c>
      <c r="D2951" s="1" t="s">
        <v>6177</v>
      </c>
      <c r="E2951" s="1" t="s">
        <v>6337</v>
      </c>
      <c r="F2951" s="1" t="s">
        <v>16</v>
      </c>
      <c r="G2951" s="1" t="s">
        <v>17</v>
      </c>
      <c r="H2951" s="1" t="s">
        <v>18</v>
      </c>
      <c r="I2951" s="1" t="s">
        <v>19</v>
      </c>
      <c r="J2951" s="1">
        <v>125.0</v>
      </c>
      <c r="K2951" s="1">
        <v>21.0</v>
      </c>
      <c r="L2951" s="1">
        <v>147.0</v>
      </c>
    </row>
    <row r="2952">
      <c r="A2952" s="1">
        <v>7371234.0</v>
      </c>
      <c r="B2952" s="1" t="s">
        <v>6338</v>
      </c>
      <c r="C2952" s="1" t="s">
        <v>6102</v>
      </c>
      <c r="D2952" s="1" t="s">
        <v>6106</v>
      </c>
      <c r="E2952" s="1" t="s">
        <v>6339</v>
      </c>
      <c r="F2952" s="1" t="s">
        <v>55</v>
      </c>
      <c r="G2952" s="1" t="s">
        <v>17</v>
      </c>
      <c r="H2952" s="1" t="s">
        <v>28</v>
      </c>
      <c r="I2952" s="1" t="s">
        <v>139</v>
      </c>
      <c r="J2952" s="1">
        <v>81.0</v>
      </c>
      <c r="K2952" s="1">
        <v>20.0</v>
      </c>
      <c r="L2952" s="1">
        <v>252.0</v>
      </c>
    </row>
    <row r="2953">
      <c r="A2953" s="1">
        <v>7316026.0</v>
      </c>
      <c r="B2953" s="1" t="s">
        <v>6340</v>
      </c>
      <c r="C2953" s="1" t="s">
        <v>6102</v>
      </c>
      <c r="D2953" s="1" t="s">
        <v>6103</v>
      </c>
      <c r="E2953" s="1" t="s">
        <v>6341</v>
      </c>
      <c r="F2953" s="1" t="s">
        <v>16</v>
      </c>
      <c r="G2953" s="1" t="s">
        <v>98</v>
      </c>
      <c r="H2953" s="1" t="s">
        <v>18</v>
      </c>
      <c r="I2953" s="1" t="s">
        <v>40</v>
      </c>
      <c r="J2953" s="1">
        <v>32.0</v>
      </c>
      <c r="K2953" s="1">
        <v>10.0</v>
      </c>
      <c r="L2953" s="1">
        <v>55.0</v>
      </c>
    </row>
    <row r="2954">
      <c r="A2954" s="1">
        <v>7371422.0</v>
      </c>
      <c r="B2954" s="1" t="s">
        <v>6342</v>
      </c>
      <c r="C2954" s="1" t="s">
        <v>6102</v>
      </c>
      <c r="D2954" s="1" t="s">
        <v>6106</v>
      </c>
      <c r="E2954" s="1" t="s">
        <v>6343</v>
      </c>
      <c r="F2954" s="1" t="s">
        <v>32</v>
      </c>
      <c r="G2954" s="1" t="s">
        <v>27</v>
      </c>
      <c r="H2954" s="1" t="s">
        <v>18</v>
      </c>
      <c r="I2954" s="1" t="s">
        <v>34</v>
      </c>
      <c r="J2954" s="1">
        <v>13.0</v>
      </c>
      <c r="K2954" s="1">
        <v>19.0</v>
      </c>
      <c r="L2954" s="1">
        <v>122.0</v>
      </c>
    </row>
    <row r="2955">
      <c r="A2955" s="1">
        <v>7306070.0</v>
      </c>
      <c r="B2955" s="1" t="s">
        <v>6344</v>
      </c>
      <c r="C2955" s="1" t="s">
        <v>6102</v>
      </c>
      <c r="D2955" s="1" t="s">
        <v>6189</v>
      </c>
      <c r="E2955" s="1" t="s">
        <v>6345</v>
      </c>
      <c r="F2955" s="1" t="s">
        <v>16</v>
      </c>
      <c r="G2955" s="1" t="s">
        <v>17</v>
      </c>
      <c r="H2955" s="1" t="s">
        <v>18</v>
      </c>
      <c r="I2955" s="1" t="s">
        <v>19</v>
      </c>
      <c r="J2955" s="1">
        <v>116.0</v>
      </c>
      <c r="K2955" s="1">
        <v>58.0</v>
      </c>
      <c r="L2955" s="1">
        <v>0.0</v>
      </c>
    </row>
    <row r="2956">
      <c r="A2956" s="1">
        <v>7371096.0</v>
      </c>
      <c r="B2956" s="1" t="s">
        <v>6346</v>
      </c>
      <c r="C2956" s="1" t="s">
        <v>6102</v>
      </c>
      <c r="D2956" s="1" t="s">
        <v>6106</v>
      </c>
      <c r="E2956" s="1" t="s">
        <v>6347</v>
      </c>
      <c r="F2956" s="1" t="s">
        <v>174</v>
      </c>
      <c r="G2956" s="1" t="s">
        <v>150</v>
      </c>
      <c r="H2956" s="1" t="s">
        <v>28</v>
      </c>
      <c r="I2956" s="1" t="s">
        <v>139</v>
      </c>
      <c r="J2956" s="1">
        <v>400.0</v>
      </c>
      <c r="K2956" s="1">
        <v>43.0</v>
      </c>
      <c r="L2956" s="1">
        <v>519.0</v>
      </c>
    </row>
    <row r="2957">
      <c r="A2957" s="1">
        <v>7371407.0</v>
      </c>
      <c r="B2957" s="1" t="s">
        <v>6348</v>
      </c>
      <c r="C2957" s="1" t="s">
        <v>6102</v>
      </c>
      <c r="D2957" s="1" t="s">
        <v>6106</v>
      </c>
      <c r="E2957" s="1" t="s">
        <v>6349</v>
      </c>
      <c r="F2957" s="1" t="s">
        <v>16</v>
      </c>
      <c r="G2957" s="1" t="s">
        <v>17</v>
      </c>
      <c r="H2957" s="1" t="s">
        <v>18</v>
      </c>
      <c r="I2957" s="1" t="s">
        <v>163</v>
      </c>
      <c r="J2957" s="1">
        <v>100.0</v>
      </c>
      <c r="K2957" s="1">
        <v>32.0</v>
      </c>
      <c r="L2957" s="1">
        <v>102.0</v>
      </c>
    </row>
    <row r="2958">
      <c r="A2958" s="1">
        <v>7314024.0</v>
      </c>
      <c r="B2958" s="1" t="s">
        <v>6350</v>
      </c>
      <c r="C2958" s="1" t="s">
        <v>6102</v>
      </c>
      <c r="D2958" s="1" t="s">
        <v>6202</v>
      </c>
      <c r="E2958" s="1" t="s">
        <v>6351</v>
      </c>
      <c r="F2958" s="1" t="s">
        <v>16</v>
      </c>
      <c r="G2958" s="1" t="s">
        <v>17</v>
      </c>
      <c r="H2958" s="1" t="s">
        <v>28</v>
      </c>
      <c r="I2958" s="1" t="s">
        <v>40</v>
      </c>
      <c r="J2958" s="1">
        <v>147.0</v>
      </c>
      <c r="K2958" s="1">
        <v>30.0</v>
      </c>
      <c r="L2958" s="1">
        <v>462.0</v>
      </c>
    </row>
    <row r="2959">
      <c r="A2959" s="1">
        <v>7302028.0</v>
      </c>
      <c r="B2959" s="1" t="s">
        <v>6352</v>
      </c>
      <c r="C2959" s="1" t="s">
        <v>6102</v>
      </c>
      <c r="D2959" s="1" t="s">
        <v>6116</v>
      </c>
      <c r="E2959" s="1" t="s">
        <v>6353</v>
      </c>
      <c r="F2959" s="1" t="s">
        <v>16</v>
      </c>
      <c r="G2959" s="1" t="s">
        <v>98</v>
      </c>
      <c r="H2959" s="1" t="s">
        <v>18</v>
      </c>
      <c r="I2959" s="1" t="s">
        <v>40</v>
      </c>
      <c r="J2959" s="1">
        <v>55.0</v>
      </c>
      <c r="K2959" s="1">
        <v>25.0</v>
      </c>
      <c r="L2959" s="1">
        <v>0.0</v>
      </c>
    </row>
    <row r="2960">
      <c r="A2960" s="1">
        <v>7325016.0</v>
      </c>
      <c r="B2960" s="1" t="s">
        <v>6354</v>
      </c>
      <c r="C2960" s="1" t="s">
        <v>6102</v>
      </c>
      <c r="D2960" s="1" t="s">
        <v>6145</v>
      </c>
      <c r="E2960" s="1" t="s">
        <v>6355</v>
      </c>
      <c r="F2960" s="1" t="s">
        <v>16</v>
      </c>
      <c r="G2960" s="1" t="s">
        <v>17</v>
      </c>
      <c r="H2960" s="1" t="s">
        <v>28</v>
      </c>
      <c r="I2960" s="1" t="s">
        <v>40</v>
      </c>
      <c r="J2960" s="1">
        <v>200.0</v>
      </c>
      <c r="K2960" s="1">
        <v>37.0</v>
      </c>
      <c r="L2960" s="1">
        <v>191.0</v>
      </c>
    </row>
    <row r="2961">
      <c r="A2961" s="1">
        <v>7317076.0</v>
      </c>
      <c r="B2961" s="1" t="s">
        <v>6356</v>
      </c>
      <c r="C2961" s="1" t="s">
        <v>6102</v>
      </c>
      <c r="D2961" s="1" t="s">
        <v>6167</v>
      </c>
      <c r="E2961" s="1" t="s">
        <v>6357</v>
      </c>
      <c r="F2961" s="1" t="s">
        <v>16</v>
      </c>
      <c r="G2961" s="1" t="s">
        <v>17</v>
      </c>
      <c r="H2961" s="1" t="s">
        <v>18</v>
      </c>
      <c r="I2961" s="1" t="s">
        <v>44</v>
      </c>
      <c r="J2961" s="1">
        <v>139.0</v>
      </c>
      <c r="K2961" s="1">
        <v>28.0</v>
      </c>
      <c r="L2961" s="1">
        <v>130.0</v>
      </c>
    </row>
    <row r="2962">
      <c r="A2962" s="1">
        <v>7371351.0</v>
      </c>
      <c r="B2962" s="1" t="s">
        <v>6358</v>
      </c>
      <c r="C2962" s="1" t="s">
        <v>6102</v>
      </c>
      <c r="D2962" s="1" t="s">
        <v>6106</v>
      </c>
      <c r="E2962" s="1" t="s">
        <v>6359</v>
      </c>
      <c r="F2962" s="1" t="s">
        <v>16</v>
      </c>
      <c r="G2962" s="1" t="s">
        <v>23</v>
      </c>
      <c r="H2962" s="1" t="s">
        <v>18</v>
      </c>
      <c r="I2962" s="1" t="s">
        <v>59</v>
      </c>
      <c r="J2962" s="1">
        <v>50.0</v>
      </c>
      <c r="K2962" s="1">
        <v>21.0</v>
      </c>
      <c r="L2962" s="1">
        <v>70.0</v>
      </c>
    </row>
    <row r="2963">
      <c r="A2963" s="1">
        <v>7373004.0</v>
      </c>
      <c r="B2963" s="1" t="s">
        <v>6360</v>
      </c>
      <c r="C2963" s="1" t="s">
        <v>6102</v>
      </c>
      <c r="D2963" s="1" t="s">
        <v>6109</v>
      </c>
      <c r="E2963" s="1" t="s">
        <v>6361</v>
      </c>
      <c r="F2963" s="1" t="s">
        <v>16</v>
      </c>
      <c r="G2963" s="1" t="s">
        <v>17</v>
      </c>
      <c r="H2963" s="1" t="s">
        <v>18</v>
      </c>
      <c r="I2963" s="1" t="s">
        <v>19</v>
      </c>
      <c r="J2963" s="1">
        <v>190.0</v>
      </c>
      <c r="K2963" s="1">
        <v>40.0</v>
      </c>
      <c r="L2963" s="1">
        <v>196.0</v>
      </c>
    </row>
    <row r="2964">
      <c r="A2964" s="1">
        <v>7372077.0</v>
      </c>
      <c r="B2964" s="1" t="s">
        <v>6362</v>
      </c>
      <c r="C2964" s="1" t="s">
        <v>6102</v>
      </c>
      <c r="D2964" s="1" t="s">
        <v>6148</v>
      </c>
      <c r="E2964" s="1" t="s">
        <v>6363</v>
      </c>
      <c r="F2964" s="1" t="s">
        <v>55</v>
      </c>
      <c r="G2964" s="1" t="s">
        <v>17</v>
      </c>
      <c r="H2964" s="1" t="s">
        <v>18</v>
      </c>
      <c r="I2964" s="1" t="s">
        <v>19</v>
      </c>
      <c r="J2964" s="1">
        <v>32.0</v>
      </c>
      <c r="K2964" s="1">
        <v>11.0</v>
      </c>
      <c r="L2964" s="1">
        <v>41.0</v>
      </c>
    </row>
    <row r="2965">
      <c r="A2965" s="1">
        <v>7308041.0</v>
      </c>
      <c r="B2965" s="1" t="s">
        <v>6364</v>
      </c>
      <c r="C2965" s="1" t="s">
        <v>6102</v>
      </c>
      <c r="D2965" s="1" t="s">
        <v>6123</v>
      </c>
      <c r="E2965" s="1" t="s">
        <v>6365</v>
      </c>
      <c r="F2965" s="1" t="s">
        <v>16</v>
      </c>
      <c r="G2965" s="1" t="s">
        <v>27</v>
      </c>
      <c r="H2965" s="1" t="s">
        <v>28</v>
      </c>
      <c r="I2965" s="1" t="s">
        <v>40</v>
      </c>
      <c r="J2965" s="1">
        <v>404.0</v>
      </c>
      <c r="K2965" s="1">
        <v>33.0</v>
      </c>
      <c r="L2965" s="1">
        <v>840.0</v>
      </c>
    </row>
    <row r="2966">
      <c r="A2966" s="1">
        <v>7314036.0</v>
      </c>
      <c r="B2966" s="1" t="s">
        <v>6366</v>
      </c>
      <c r="C2966" s="1" t="s">
        <v>6102</v>
      </c>
      <c r="D2966" s="1" t="s">
        <v>6202</v>
      </c>
      <c r="E2966" s="1" t="s">
        <v>6367</v>
      </c>
      <c r="F2966" s="1" t="s">
        <v>16</v>
      </c>
      <c r="G2966" s="1" t="s">
        <v>23</v>
      </c>
      <c r="H2966" s="1" t="s">
        <v>18</v>
      </c>
      <c r="I2966" s="1" t="s">
        <v>163</v>
      </c>
      <c r="J2966" s="1">
        <v>82.0</v>
      </c>
      <c r="K2966" s="1">
        <v>22.0</v>
      </c>
      <c r="L2966" s="1">
        <v>0.0</v>
      </c>
    </row>
    <row r="2967">
      <c r="A2967" s="1">
        <v>7402010.0</v>
      </c>
      <c r="B2967" s="1" t="s">
        <v>6368</v>
      </c>
      <c r="C2967" s="1" t="s">
        <v>6369</v>
      </c>
      <c r="D2967" s="1" t="s">
        <v>6370</v>
      </c>
      <c r="E2967" s="1" t="s">
        <v>6371</v>
      </c>
      <c r="F2967" s="1" t="s">
        <v>16</v>
      </c>
      <c r="G2967" s="1" t="s">
        <v>17</v>
      </c>
      <c r="H2967" s="1" t="s">
        <v>28</v>
      </c>
      <c r="I2967" s="1" t="s">
        <v>40</v>
      </c>
      <c r="J2967" s="1">
        <v>189.0</v>
      </c>
      <c r="K2967" s="1">
        <v>24.0</v>
      </c>
      <c r="L2967" s="1">
        <v>442.0</v>
      </c>
    </row>
    <row r="2968">
      <c r="A2968" s="1">
        <v>7471136.0</v>
      </c>
      <c r="B2968" s="1" t="s">
        <v>6372</v>
      </c>
      <c r="C2968" s="1" t="s">
        <v>6369</v>
      </c>
      <c r="D2968" s="1" t="s">
        <v>6373</v>
      </c>
      <c r="E2968" s="1" t="s">
        <v>6374</v>
      </c>
      <c r="F2968" s="1" t="s">
        <v>1884</v>
      </c>
      <c r="G2968" s="1" t="s">
        <v>27</v>
      </c>
      <c r="H2968" s="1" t="s">
        <v>28</v>
      </c>
      <c r="I2968" s="1" t="s">
        <v>139</v>
      </c>
      <c r="J2968" s="1">
        <v>132.0</v>
      </c>
      <c r="K2968" s="1">
        <v>55.0</v>
      </c>
      <c r="L2968" s="1">
        <v>0.0</v>
      </c>
    </row>
    <row r="2969">
      <c r="A2969" s="1">
        <v>7404012.0</v>
      </c>
      <c r="B2969" s="1" t="s">
        <v>6375</v>
      </c>
      <c r="C2969" s="1" t="s">
        <v>6369</v>
      </c>
      <c r="D2969" s="1" t="s">
        <v>6376</v>
      </c>
      <c r="E2969" s="1" t="s">
        <v>6377</v>
      </c>
      <c r="F2969" s="1" t="s">
        <v>16</v>
      </c>
      <c r="G2969" s="1" t="s">
        <v>17</v>
      </c>
      <c r="H2969" s="1" t="s">
        <v>28</v>
      </c>
      <c r="I2969" s="1" t="s">
        <v>40</v>
      </c>
      <c r="J2969" s="1">
        <v>205.0</v>
      </c>
      <c r="K2969" s="1">
        <v>51.0</v>
      </c>
      <c r="L2969" s="1">
        <v>512.0</v>
      </c>
    </row>
    <row r="2970">
      <c r="A2970" s="1">
        <v>7403126.0</v>
      </c>
      <c r="B2970" s="1" t="s">
        <v>6378</v>
      </c>
      <c r="C2970" s="1" t="s">
        <v>6369</v>
      </c>
      <c r="D2970" s="1" t="s">
        <v>6379</v>
      </c>
      <c r="E2970" s="1" t="s">
        <v>6380</v>
      </c>
      <c r="F2970" s="1" t="s">
        <v>16</v>
      </c>
      <c r="G2970" s="1" t="s">
        <v>23</v>
      </c>
      <c r="H2970" s="1" t="s">
        <v>18</v>
      </c>
      <c r="I2970" s="1" t="s">
        <v>19</v>
      </c>
      <c r="J2970" s="1">
        <v>50.0</v>
      </c>
      <c r="K2970" s="1">
        <v>15.0</v>
      </c>
      <c r="L2970" s="1">
        <v>51.0</v>
      </c>
    </row>
    <row r="2971">
      <c r="A2971" s="1">
        <v>7403022.0</v>
      </c>
      <c r="B2971" s="1" t="s">
        <v>6381</v>
      </c>
      <c r="C2971" s="1" t="s">
        <v>6369</v>
      </c>
      <c r="D2971" s="1" t="s">
        <v>6379</v>
      </c>
      <c r="E2971" s="1" t="s">
        <v>6382</v>
      </c>
      <c r="F2971" s="1" t="s">
        <v>16</v>
      </c>
      <c r="G2971" s="1" t="s">
        <v>17</v>
      </c>
      <c r="H2971" s="1" t="s">
        <v>28</v>
      </c>
      <c r="I2971" s="1" t="s">
        <v>40</v>
      </c>
      <c r="J2971" s="1">
        <v>209.0</v>
      </c>
      <c r="K2971" s="1">
        <v>35.0</v>
      </c>
      <c r="L2971" s="1">
        <v>861.0</v>
      </c>
    </row>
    <row r="2972">
      <c r="A2972" s="1">
        <v>7471009.0</v>
      </c>
      <c r="B2972" s="1" t="s">
        <v>6383</v>
      </c>
      <c r="C2972" s="1" t="s">
        <v>6369</v>
      </c>
      <c r="D2972" s="1" t="s">
        <v>6373</v>
      </c>
      <c r="E2972" s="1" t="s">
        <v>6384</v>
      </c>
      <c r="F2972" s="1" t="s">
        <v>16</v>
      </c>
      <c r="G2972" s="1" t="s">
        <v>23</v>
      </c>
      <c r="H2972" s="1" t="s">
        <v>18</v>
      </c>
      <c r="I2972" s="1" t="s">
        <v>44</v>
      </c>
      <c r="J2972" s="1">
        <v>53.0</v>
      </c>
      <c r="K2972" s="1">
        <v>19.0</v>
      </c>
      <c r="L2972" s="1">
        <v>0.0</v>
      </c>
    </row>
    <row r="2973">
      <c r="A2973" s="1">
        <v>7404034.0</v>
      </c>
      <c r="B2973" s="1" t="s">
        <v>6385</v>
      </c>
      <c r="C2973" s="1" t="s">
        <v>6369</v>
      </c>
      <c r="D2973" s="1" t="s">
        <v>6386</v>
      </c>
      <c r="E2973" s="1" t="s">
        <v>6387</v>
      </c>
      <c r="F2973" s="1" t="s">
        <v>16</v>
      </c>
      <c r="G2973" s="1" t="s">
        <v>17</v>
      </c>
      <c r="H2973" s="1" t="s">
        <v>28</v>
      </c>
      <c r="I2973" s="1" t="s">
        <v>40</v>
      </c>
      <c r="J2973" s="1">
        <v>139.0</v>
      </c>
      <c r="K2973" s="1">
        <v>25.0</v>
      </c>
      <c r="L2973" s="1">
        <v>398.0</v>
      </c>
    </row>
    <row r="2974">
      <c r="A2974" s="1">
        <v>7471002.0</v>
      </c>
      <c r="B2974" s="1" t="s">
        <v>6388</v>
      </c>
      <c r="C2974" s="1" t="s">
        <v>6369</v>
      </c>
      <c r="D2974" s="1" t="s">
        <v>6373</v>
      </c>
      <c r="E2974" s="1" t="s">
        <v>6389</v>
      </c>
      <c r="F2974" s="1" t="s">
        <v>16</v>
      </c>
      <c r="G2974" s="1" t="s">
        <v>23</v>
      </c>
      <c r="H2974" s="1" t="s">
        <v>18</v>
      </c>
      <c r="I2974" s="1" t="s">
        <v>163</v>
      </c>
      <c r="J2974" s="1">
        <v>53.0</v>
      </c>
      <c r="K2974" s="1">
        <v>27.0</v>
      </c>
      <c r="L2974" s="1">
        <v>91.0</v>
      </c>
    </row>
    <row r="2975">
      <c r="A2975" s="1">
        <v>7471044.0</v>
      </c>
      <c r="B2975" s="1" t="s">
        <v>6390</v>
      </c>
      <c r="C2975" s="1" t="s">
        <v>6369</v>
      </c>
      <c r="D2975" s="1" t="s">
        <v>6373</v>
      </c>
      <c r="E2975" s="1" t="s">
        <v>6391</v>
      </c>
      <c r="F2975" s="1" t="s">
        <v>16</v>
      </c>
      <c r="G2975" s="1" t="s">
        <v>17</v>
      </c>
      <c r="H2975" s="1" t="s">
        <v>18</v>
      </c>
      <c r="I2975" s="1" t="s">
        <v>59</v>
      </c>
      <c r="J2975" s="1">
        <v>102.0</v>
      </c>
      <c r="K2975" s="1">
        <v>33.0</v>
      </c>
      <c r="L2975" s="1">
        <v>135.0</v>
      </c>
    </row>
    <row r="2976">
      <c r="A2976" s="1">
        <v>7471004.0</v>
      </c>
      <c r="B2976" s="1" t="s">
        <v>6392</v>
      </c>
      <c r="C2976" s="1" t="s">
        <v>6369</v>
      </c>
      <c r="D2976" s="1" t="s">
        <v>6373</v>
      </c>
      <c r="E2976" s="1" t="s">
        <v>6393</v>
      </c>
      <c r="F2976" s="1" t="s">
        <v>16</v>
      </c>
      <c r="G2976" s="1" t="s">
        <v>23</v>
      </c>
      <c r="H2976" s="1" t="s">
        <v>18</v>
      </c>
      <c r="I2976" s="1" t="s">
        <v>19</v>
      </c>
      <c r="J2976" s="1">
        <v>65.0</v>
      </c>
      <c r="K2976" s="1">
        <v>32.0</v>
      </c>
      <c r="L2976" s="1">
        <v>70.0</v>
      </c>
    </row>
    <row r="2977">
      <c r="A2977" s="1">
        <v>7402011.0</v>
      </c>
      <c r="B2977" s="1" t="s">
        <v>6394</v>
      </c>
      <c r="C2977" s="1" t="s">
        <v>6369</v>
      </c>
      <c r="D2977" s="1" t="s">
        <v>6395</v>
      </c>
      <c r="E2977" s="1" t="s">
        <v>6396</v>
      </c>
      <c r="F2977" s="1" t="s">
        <v>16</v>
      </c>
      <c r="G2977" s="1" t="s">
        <v>23</v>
      </c>
      <c r="H2977" s="1" t="s">
        <v>18</v>
      </c>
      <c r="I2977" s="1" t="s">
        <v>40</v>
      </c>
      <c r="J2977" s="1">
        <v>100.0</v>
      </c>
      <c r="K2977" s="1">
        <v>14.0</v>
      </c>
      <c r="L2977" s="1">
        <v>134.0</v>
      </c>
    </row>
    <row r="2978">
      <c r="A2978" s="1">
        <v>7472002.0</v>
      </c>
      <c r="B2978" s="1" t="s">
        <v>6397</v>
      </c>
      <c r="C2978" s="1" t="s">
        <v>6369</v>
      </c>
      <c r="D2978" s="1" t="s">
        <v>6398</v>
      </c>
      <c r="E2978" s="1" t="s">
        <v>6399</v>
      </c>
      <c r="F2978" s="1" t="s">
        <v>16</v>
      </c>
      <c r="G2978" s="1" t="s">
        <v>17</v>
      </c>
      <c r="H2978" s="1" t="s">
        <v>18</v>
      </c>
      <c r="I2978" s="1" t="s">
        <v>44</v>
      </c>
      <c r="J2978" s="1">
        <v>114.0</v>
      </c>
      <c r="K2978" s="1">
        <v>33.0</v>
      </c>
      <c r="L2978" s="1">
        <v>241.0</v>
      </c>
    </row>
    <row r="2979">
      <c r="A2979" s="1">
        <v>7471070.0</v>
      </c>
      <c r="B2979" s="1" t="s">
        <v>6400</v>
      </c>
      <c r="C2979" s="1" t="s">
        <v>6369</v>
      </c>
      <c r="D2979" s="1" t="s">
        <v>6373</v>
      </c>
      <c r="E2979" s="1" t="s">
        <v>6401</v>
      </c>
      <c r="F2979" s="1" t="s">
        <v>16</v>
      </c>
      <c r="G2979" s="1" t="s">
        <v>17</v>
      </c>
      <c r="H2979" s="1" t="s">
        <v>33</v>
      </c>
      <c r="I2979" s="1" t="s">
        <v>65</v>
      </c>
      <c r="J2979" s="1">
        <v>110.0</v>
      </c>
      <c r="K2979" s="1">
        <v>87.0</v>
      </c>
      <c r="L2979" s="1">
        <v>223.0</v>
      </c>
    </row>
    <row r="2980">
      <c r="A2980" s="1">
        <v>7406036.0</v>
      </c>
      <c r="B2980" s="1" t="s">
        <v>6402</v>
      </c>
      <c r="C2980" s="1" t="s">
        <v>6369</v>
      </c>
      <c r="D2980" s="1" t="s">
        <v>6403</v>
      </c>
      <c r="E2980" s="1" t="s">
        <v>6404</v>
      </c>
      <c r="F2980" s="1" t="s">
        <v>16</v>
      </c>
      <c r="G2980" s="1" t="s">
        <v>17</v>
      </c>
      <c r="H2980" s="1" t="s">
        <v>28</v>
      </c>
      <c r="I2980" s="1" t="s">
        <v>40</v>
      </c>
      <c r="J2980" s="1">
        <v>124.0</v>
      </c>
      <c r="K2980" s="1">
        <v>23.0</v>
      </c>
      <c r="L2980" s="1">
        <v>192.0</v>
      </c>
    </row>
    <row r="2981">
      <c r="A2981" s="1">
        <v>7414002.0</v>
      </c>
      <c r="B2981" s="1" t="s">
        <v>6405</v>
      </c>
      <c r="C2981" s="1" t="s">
        <v>6369</v>
      </c>
      <c r="D2981" s="1" t="s">
        <v>6406</v>
      </c>
      <c r="E2981" s="1" t="s">
        <v>6407</v>
      </c>
      <c r="F2981" s="1" t="s">
        <v>16</v>
      </c>
      <c r="G2981" s="1" t="s">
        <v>23</v>
      </c>
      <c r="H2981" s="1" t="s">
        <v>18</v>
      </c>
      <c r="I2981" s="1" t="s">
        <v>40</v>
      </c>
      <c r="J2981" s="1">
        <v>51.0</v>
      </c>
      <c r="K2981" s="1">
        <v>9.0</v>
      </c>
      <c r="L2981" s="1">
        <v>123.0</v>
      </c>
    </row>
    <row r="2982">
      <c r="A2982" s="1">
        <v>7471008.0</v>
      </c>
      <c r="B2982" s="1" t="s">
        <v>6408</v>
      </c>
      <c r="C2982" s="1" t="s">
        <v>6369</v>
      </c>
      <c r="D2982" s="1" t="s">
        <v>6373</v>
      </c>
      <c r="E2982" s="1" t="s">
        <v>6409</v>
      </c>
      <c r="F2982" s="1" t="s">
        <v>16</v>
      </c>
      <c r="G2982" s="1" t="s">
        <v>23</v>
      </c>
      <c r="H2982" s="1" t="s">
        <v>18</v>
      </c>
      <c r="I2982" s="1" t="s">
        <v>19</v>
      </c>
      <c r="J2982" s="1">
        <v>51.0</v>
      </c>
      <c r="K2982" s="1">
        <v>20.0</v>
      </c>
      <c r="L2982" s="1">
        <v>27.0</v>
      </c>
    </row>
    <row r="2983">
      <c r="A2983" s="1">
        <v>7471138.0</v>
      </c>
      <c r="B2983" s="1" t="s">
        <v>6410</v>
      </c>
      <c r="C2983" s="1" t="s">
        <v>6369</v>
      </c>
      <c r="D2983" s="1" t="s">
        <v>6373</v>
      </c>
      <c r="E2983" s="1" t="s">
        <v>6411</v>
      </c>
      <c r="F2983" s="1" t="s">
        <v>16</v>
      </c>
      <c r="G2983" s="1" t="s">
        <v>23</v>
      </c>
      <c r="H2983" s="1" t="s">
        <v>18</v>
      </c>
      <c r="I2983" s="1" t="s">
        <v>59</v>
      </c>
      <c r="J2983" s="1">
        <v>61.0</v>
      </c>
      <c r="K2983" s="1">
        <v>14.0</v>
      </c>
      <c r="L2983" s="1">
        <v>0.0</v>
      </c>
    </row>
    <row r="2984">
      <c r="A2984" s="1">
        <v>7401038.0</v>
      </c>
      <c r="B2984" s="1" t="s">
        <v>6412</v>
      </c>
      <c r="C2984" s="1" t="s">
        <v>6369</v>
      </c>
      <c r="D2984" s="1" t="s">
        <v>6413</v>
      </c>
      <c r="E2984" s="1" t="s">
        <v>6414</v>
      </c>
      <c r="F2984" s="1" t="s">
        <v>16</v>
      </c>
      <c r="G2984" s="1" t="s">
        <v>17</v>
      </c>
      <c r="H2984" s="1" t="s">
        <v>28</v>
      </c>
      <c r="I2984" s="1" t="s">
        <v>40</v>
      </c>
      <c r="J2984" s="1">
        <v>128.0</v>
      </c>
      <c r="K2984" s="1">
        <v>22.0</v>
      </c>
      <c r="L2984" s="1">
        <v>253.0</v>
      </c>
    </row>
    <row r="2985">
      <c r="A2985" s="1">
        <v>7403114.0</v>
      </c>
      <c r="B2985" s="1" t="s">
        <v>6415</v>
      </c>
      <c r="C2985" s="1" t="s">
        <v>6369</v>
      </c>
      <c r="D2985" s="1" t="s">
        <v>6416</v>
      </c>
      <c r="E2985" s="1" t="s">
        <v>6417</v>
      </c>
      <c r="F2985" s="1" t="s">
        <v>16</v>
      </c>
      <c r="G2985" s="1" t="s">
        <v>17</v>
      </c>
      <c r="H2985" s="1" t="s">
        <v>33</v>
      </c>
      <c r="I2985" s="1" t="s">
        <v>40</v>
      </c>
      <c r="J2985" s="1">
        <v>110.0</v>
      </c>
      <c r="K2985" s="1">
        <v>32.0</v>
      </c>
      <c r="L2985" s="1">
        <v>249.0</v>
      </c>
    </row>
    <row r="2986">
      <c r="A2986" s="1">
        <v>7408013.0</v>
      </c>
      <c r="B2986" s="1" t="s">
        <v>6418</v>
      </c>
      <c r="C2986" s="1" t="s">
        <v>6369</v>
      </c>
      <c r="D2986" s="1" t="s">
        <v>6419</v>
      </c>
      <c r="E2986" s="1" t="s">
        <v>6420</v>
      </c>
      <c r="F2986" s="1" t="s">
        <v>16</v>
      </c>
      <c r="G2986" s="1" t="s">
        <v>23</v>
      </c>
      <c r="H2986" s="1" t="s">
        <v>28</v>
      </c>
      <c r="I2986" s="1" t="s">
        <v>40</v>
      </c>
      <c r="J2986" s="1">
        <v>57.0</v>
      </c>
      <c r="K2986" s="1">
        <v>20.0</v>
      </c>
      <c r="L2986" s="1">
        <v>159.0</v>
      </c>
    </row>
    <row r="2987">
      <c r="A2987" s="1">
        <v>7412002.0</v>
      </c>
      <c r="B2987" s="1" t="s">
        <v>6421</v>
      </c>
      <c r="C2987" s="1" t="s">
        <v>6369</v>
      </c>
      <c r="D2987" s="1" t="s">
        <v>6422</v>
      </c>
      <c r="E2987" s="1" t="s">
        <v>6423</v>
      </c>
      <c r="F2987" s="1" t="s">
        <v>16</v>
      </c>
      <c r="G2987" s="1" t="s">
        <v>23</v>
      </c>
      <c r="H2987" s="1" t="s">
        <v>18</v>
      </c>
      <c r="I2987" s="1" t="s">
        <v>40</v>
      </c>
      <c r="J2987" s="1">
        <v>50.0</v>
      </c>
      <c r="K2987" s="1">
        <v>20.0</v>
      </c>
      <c r="L2987" s="1">
        <v>159.0</v>
      </c>
    </row>
    <row r="2988">
      <c r="A2988" s="1">
        <v>7404045.0</v>
      </c>
      <c r="B2988" s="1" t="s">
        <v>6424</v>
      </c>
      <c r="C2988" s="1" t="s">
        <v>6369</v>
      </c>
      <c r="D2988" s="1" t="s">
        <v>6376</v>
      </c>
      <c r="E2988" s="1" t="s">
        <v>6425</v>
      </c>
      <c r="F2988" s="1" t="s">
        <v>16</v>
      </c>
      <c r="G2988" s="1" t="s">
        <v>23</v>
      </c>
      <c r="H2988" s="1" t="s">
        <v>18</v>
      </c>
      <c r="I2988" s="1" t="s">
        <v>44</v>
      </c>
      <c r="J2988" s="1">
        <v>62.0</v>
      </c>
      <c r="K2988" s="1">
        <v>22.0</v>
      </c>
      <c r="L2988" s="1">
        <v>0.0</v>
      </c>
    </row>
    <row r="2989">
      <c r="A2989" s="1">
        <v>7471011.0</v>
      </c>
      <c r="B2989" s="1" t="s">
        <v>6426</v>
      </c>
      <c r="C2989" s="1" t="s">
        <v>6369</v>
      </c>
      <c r="D2989" s="1" t="s">
        <v>6373</v>
      </c>
      <c r="E2989" s="1" t="s">
        <v>6427</v>
      </c>
      <c r="F2989" s="1" t="s">
        <v>16</v>
      </c>
      <c r="G2989" s="1" t="s">
        <v>27</v>
      </c>
      <c r="H2989" s="1" t="s">
        <v>28</v>
      </c>
      <c r="I2989" s="1" t="s">
        <v>139</v>
      </c>
      <c r="J2989" s="1">
        <v>365.0</v>
      </c>
      <c r="K2989" s="1">
        <v>104.0</v>
      </c>
      <c r="L2989" s="1">
        <v>1079.0</v>
      </c>
    </row>
    <row r="2990">
      <c r="A2990" s="1">
        <v>7471137.0</v>
      </c>
      <c r="B2990" s="1" t="s">
        <v>6428</v>
      </c>
      <c r="C2990" s="1" t="s">
        <v>6369</v>
      </c>
      <c r="D2990" s="1" t="s">
        <v>6373</v>
      </c>
      <c r="E2990" s="1" t="s">
        <v>6429</v>
      </c>
      <c r="F2990" s="1" t="s">
        <v>16</v>
      </c>
      <c r="G2990" s="1" t="s">
        <v>23</v>
      </c>
      <c r="H2990" s="1" t="s">
        <v>18</v>
      </c>
      <c r="I2990" s="1" t="s">
        <v>40</v>
      </c>
      <c r="J2990" s="1">
        <v>56.0</v>
      </c>
      <c r="K2990" s="1">
        <v>27.0</v>
      </c>
      <c r="L2990" s="1">
        <v>0.0</v>
      </c>
    </row>
    <row r="2991">
      <c r="A2991" s="1">
        <v>7402022.0</v>
      </c>
      <c r="B2991" s="1" t="s">
        <v>6430</v>
      </c>
      <c r="C2991" s="1" t="s">
        <v>6369</v>
      </c>
      <c r="D2991" s="1" t="s">
        <v>6370</v>
      </c>
      <c r="E2991" s="1" t="s">
        <v>6431</v>
      </c>
      <c r="F2991" s="1" t="s">
        <v>55</v>
      </c>
      <c r="G2991" s="1" t="s">
        <v>17</v>
      </c>
      <c r="H2991" s="1" t="s">
        <v>18</v>
      </c>
      <c r="I2991" s="1" t="s">
        <v>163</v>
      </c>
      <c r="J2991" s="1">
        <v>26.0</v>
      </c>
      <c r="K2991" s="1">
        <v>15.0</v>
      </c>
      <c r="L2991" s="1">
        <v>0.0</v>
      </c>
    </row>
    <row r="2992">
      <c r="A2992" s="1">
        <v>7404023.0</v>
      </c>
      <c r="B2992" s="1" t="s">
        <v>6432</v>
      </c>
      <c r="C2992" s="1" t="s">
        <v>6369</v>
      </c>
      <c r="D2992" s="1" t="s">
        <v>6376</v>
      </c>
      <c r="E2992" s="1" t="s">
        <v>6433</v>
      </c>
      <c r="F2992" s="1" t="s">
        <v>16</v>
      </c>
      <c r="G2992" s="1" t="s">
        <v>23</v>
      </c>
      <c r="H2992" s="1" t="s">
        <v>18</v>
      </c>
      <c r="I2992" s="1" t="s">
        <v>113</v>
      </c>
      <c r="J2992" s="1">
        <v>65.0</v>
      </c>
      <c r="K2992" s="1">
        <v>20.0</v>
      </c>
      <c r="L2992" s="1">
        <v>42.0</v>
      </c>
    </row>
    <row r="2993">
      <c r="A2993" s="1">
        <v>7472004.0</v>
      </c>
      <c r="B2993" s="1" t="s">
        <v>6434</v>
      </c>
      <c r="C2993" s="1" t="s">
        <v>6369</v>
      </c>
      <c r="D2993" s="1" t="s">
        <v>6398</v>
      </c>
      <c r="E2993" s="1" t="s">
        <v>6435</v>
      </c>
      <c r="F2993" s="1" t="s">
        <v>16</v>
      </c>
      <c r="G2993" s="1" t="s">
        <v>23</v>
      </c>
      <c r="H2993" s="1" t="s">
        <v>18</v>
      </c>
      <c r="I2993" s="1" t="s">
        <v>19</v>
      </c>
      <c r="J2993" s="1">
        <v>65.0</v>
      </c>
      <c r="K2993" s="1">
        <v>21.0</v>
      </c>
      <c r="L2993" s="1">
        <v>1.0</v>
      </c>
    </row>
    <row r="2994">
      <c r="A2994" s="1">
        <v>7403033.0</v>
      </c>
      <c r="B2994" s="1" t="s">
        <v>6436</v>
      </c>
      <c r="C2994" s="1" t="s">
        <v>6369</v>
      </c>
      <c r="D2994" s="1" t="s">
        <v>6373</v>
      </c>
      <c r="E2994" s="1" t="s">
        <v>6437</v>
      </c>
      <c r="F2994" s="1" t="s">
        <v>16</v>
      </c>
      <c r="G2994" s="1" t="s">
        <v>17</v>
      </c>
      <c r="H2994" s="1" t="s">
        <v>18</v>
      </c>
      <c r="I2994" s="1" t="s">
        <v>74</v>
      </c>
      <c r="J2994" s="1">
        <v>100.0</v>
      </c>
      <c r="K2994" s="1">
        <v>31.0</v>
      </c>
      <c r="L2994" s="1">
        <v>163.0</v>
      </c>
    </row>
    <row r="2995">
      <c r="A2995" s="1">
        <v>7401039.0</v>
      </c>
      <c r="B2995" s="1" t="s">
        <v>6438</v>
      </c>
      <c r="C2995" s="1" t="s">
        <v>6369</v>
      </c>
      <c r="D2995" s="1" t="s">
        <v>6439</v>
      </c>
      <c r="E2995" s="1" t="s">
        <v>6440</v>
      </c>
      <c r="F2995" s="1" t="s">
        <v>16</v>
      </c>
      <c r="G2995" s="1" t="s">
        <v>17</v>
      </c>
      <c r="H2995" s="1" t="s">
        <v>18</v>
      </c>
      <c r="I2995" s="1" t="s">
        <v>40</v>
      </c>
      <c r="J2995" s="1">
        <v>119.0</v>
      </c>
      <c r="K2995" s="1">
        <v>24.0</v>
      </c>
      <c r="L2995" s="1">
        <v>130.0</v>
      </c>
    </row>
    <row r="2996">
      <c r="A2996" s="1">
        <v>7471066.0</v>
      </c>
      <c r="B2996" s="1" t="s">
        <v>6441</v>
      </c>
      <c r="C2996" s="1" t="s">
        <v>6369</v>
      </c>
      <c r="D2996" s="1" t="s">
        <v>6373</v>
      </c>
      <c r="E2996" s="1" t="s">
        <v>6442</v>
      </c>
      <c r="F2996" s="1" t="s">
        <v>174</v>
      </c>
      <c r="G2996" s="1" t="s">
        <v>27</v>
      </c>
      <c r="H2996" s="1" t="s">
        <v>28</v>
      </c>
      <c r="I2996" s="1" t="s">
        <v>139</v>
      </c>
      <c r="J2996" s="1">
        <v>187.0</v>
      </c>
      <c r="K2996" s="1">
        <v>30.0</v>
      </c>
      <c r="L2996" s="1">
        <v>281.0</v>
      </c>
    </row>
    <row r="2997">
      <c r="A2997" s="1">
        <v>7471007.0</v>
      </c>
      <c r="B2997" s="1" t="s">
        <v>6443</v>
      </c>
      <c r="C2997" s="1" t="s">
        <v>6369</v>
      </c>
      <c r="D2997" s="1" t="s">
        <v>6373</v>
      </c>
      <c r="E2997" s="1" t="s">
        <v>6444</v>
      </c>
      <c r="F2997" s="1" t="s">
        <v>16</v>
      </c>
      <c r="G2997" s="1" t="s">
        <v>23</v>
      </c>
      <c r="H2997" s="1" t="s">
        <v>18</v>
      </c>
      <c r="I2997" s="1" t="s">
        <v>44</v>
      </c>
      <c r="J2997" s="1">
        <v>51.0</v>
      </c>
      <c r="K2997" s="1">
        <v>26.0</v>
      </c>
      <c r="L2997" s="1">
        <v>86.0</v>
      </c>
    </row>
    <row r="2998">
      <c r="A2998" s="1">
        <v>7471005.0</v>
      </c>
      <c r="B2998" s="1" t="s">
        <v>6445</v>
      </c>
      <c r="C2998" s="1" t="s">
        <v>6369</v>
      </c>
      <c r="D2998" s="1" t="s">
        <v>6373</v>
      </c>
      <c r="E2998" s="1" t="s">
        <v>6446</v>
      </c>
      <c r="F2998" s="1" t="s">
        <v>16</v>
      </c>
      <c r="G2998" s="1" t="s">
        <v>23</v>
      </c>
      <c r="H2998" s="1" t="s">
        <v>18</v>
      </c>
      <c r="I2998" s="1" t="s">
        <v>19</v>
      </c>
      <c r="J2998" s="1">
        <v>53.0</v>
      </c>
      <c r="K2998" s="1">
        <v>24.0</v>
      </c>
      <c r="L2998" s="1">
        <v>77.0</v>
      </c>
    </row>
    <row r="2999">
      <c r="A2999" s="1">
        <v>7472016.0</v>
      </c>
      <c r="B2999" s="1" t="s">
        <v>6447</v>
      </c>
      <c r="C2999" s="1" t="s">
        <v>6369</v>
      </c>
      <c r="D2999" s="1" t="s">
        <v>6398</v>
      </c>
      <c r="E2999" s="1" t="s">
        <v>6448</v>
      </c>
      <c r="F2999" s="1" t="s">
        <v>16</v>
      </c>
      <c r="G2999" s="1" t="s">
        <v>17</v>
      </c>
      <c r="H2999" s="1" t="s">
        <v>28</v>
      </c>
      <c r="I2999" s="1" t="s">
        <v>29</v>
      </c>
      <c r="J2999" s="1">
        <v>169.0</v>
      </c>
      <c r="K2999" s="1">
        <v>40.0</v>
      </c>
      <c r="L2999" s="1">
        <v>271.0</v>
      </c>
    </row>
    <row r="3000">
      <c r="A3000" s="1">
        <v>7411908.0</v>
      </c>
      <c r="B3000" s="1" t="s">
        <v>6449</v>
      </c>
      <c r="C3000" s="1" t="s">
        <v>6369</v>
      </c>
      <c r="D3000" s="1" t="s">
        <v>6450</v>
      </c>
      <c r="E3000" s="1" t="s">
        <v>6451</v>
      </c>
      <c r="F3000" s="1" t="s">
        <v>16</v>
      </c>
      <c r="G3000" s="1" t="s">
        <v>23</v>
      </c>
      <c r="H3000" s="1" t="s">
        <v>18</v>
      </c>
      <c r="I3000" s="1" t="s">
        <v>40</v>
      </c>
      <c r="J3000" s="1">
        <v>56.0</v>
      </c>
      <c r="K3000" s="1">
        <v>23.0</v>
      </c>
      <c r="L3000" s="1">
        <v>174.0</v>
      </c>
    </row>
    <row r="3001">
      <c r="A3001" s="1">
        <v>7404046.0</v>
      </c>
      <c r="B3001" s="1" t="s">
        <v>6452</v>
      </c>
      <c r="C3001" s="1" t="s">
        <v>6369</v>
      </c>
      <c r="D3001" s="1" t="s">
        <v>6376</v>
      </c>
      <c r="E3001" s="1" t="s">
        <v>6453</v>
      </c>
      <c r="F3001" s="1" t="s">
        <v>55</v>
      </c>
      <c r="G3001" s="1" t="s">
        <v>17</v>
      </c>
      <c r="H3001" s="1" t="s">
        <v>18</v>
      </c>
      <c r="I3001" s="1" t="s">
        <v>19</v>
      </c>
      <c r="J3001" s="1">
        <v>29.0</v>
      </c>
      <c r="K3001" s="1">
        <v>13.0</v>
      </c>
      <c r="L3001" s="1">
        <v>0.0</v>
      </c>
    </row>
    <row r="3002">
      <c r="A3002" s="1">
        <v>7471092.0</v>
      </c>
      <c r="B3002" s="1" t="s">
        <v>6454</v>
      </c>
      <c r="C3002" s="1" t="s">
        <v>6369</v>
      </c>
      <c r="D3002" s="1" t="s">
        <v>6373</v>
      </c>
      <c r="E3002" s="1" t="s">
        <v>6455</v>
      </c>
      <c r="F3002" s="1" t="s">
        <v>16</v>
      </c>
      <c r="G3002" s="1" t="s">
        <v>27</v>
      </c>
      <c r="H3002" s="1" t="s">
        <v>28</v>
      </c>
      <c r="I3002" s="1" t="s">
        <v>29</v>
      </c>
      <c r="J3002" s="1">
        <v>264.0</v>
      </c>
      <c r="K3002" s="1">
        <v>43.0</v>
      </c>
      <c r="L3002" s="1">
        <v>593.0</v>
      </c>
    </row>
    <row r="3003">
      <c r="A3003" s="1">
        <v>7407012.0</v>
      </c>
      <c r="B3003" s="1" t="s">
        <v>6456</v>
      </c>
      <c r="C3003" s="1" t="s">
        <v>6369</v>
      </c>
      <c r="D3003" s="1" t="s">
        <v>6457</v>
      </c>
      <c r="E3003" s="1" t="s">
        <v>6458</v>
      </c>
      <c r="F3003" s="1" t="s">
        <v>16</v>
      </c>
      <c r="G3003" s="1" t="s">
        <v>17</v>
      </c>
      <c r="H3003" s="1" t="s">
        <v>28</v>
      </c>
      <c r="I3003" s="1" t="s">
        <v>40</v>
      </c>
      <c r="J3003" s="1">
        <v>95.0</v>
      </c>
      <c r="K3003" s="1">
        <v>26.0</v>
      </c>
      <c r="L3003" s="1">
        <v>340.0</v>
      </c>
    </row>
    <row r="3004">
      <c r="A3004" s="1">
        <v>7401024.0</v>
      </c>
      <c r="B3004" s="1" t="s">
        <v>6459</v>
      </c>
      <c r="C3004" s="1" t="s">
        <v>6369</v>
      </c>
      <c r="D3004" s="1" t="s">
        <v>6460</v>
      </c>
      <c r="E3004" s="1" t="s">
        <v>6461</v>
      </c>
      <c r="F3004" s="1" t="s">
        <v>16</v>
      </c>
      <c r="G3004" s="1" t="s">
        <v>23</v>
      </c>
      <c r="H3004" s="1" t="s">
        <v>18</v>
      </c>
      <c r="I3004" s="1" t="s">
        <v>40</v>
      </c>
      <c r="J3004" s="1">
        <v>53.0</v>
      </c>
      <c r="K3004" s="1">
        <v>26.0</v>
      </c>
      <c r="L3004" s="1">
        <v>233.0</v>
      </c>
    </row>
    <row r="3005">
      <c r="A3005" s="1">
        <v>7504032.0</v>
      </c>
      <c r="B3005" s="1" t="s">
        <v>6462</v>
      </c>
      <c r="C3005" s="1" t="s">
        <v>6463</v>
      </c>
      <c r="D3005" s="1" t="s">
        <v>6464</v>
      </c>
      <c r="E3005" s="1" t="s">
        <v>6465</v>
      </c>
      <c r="F3005" s="1" t="s">
        <v>16</v>
      </c>
      <c r="G3005" s="1" t="s">
        <v>17</v>
      </c>
      <c r="H3005" s="1" t="s">
        <v>28</v>
      </c>
      <c r="I3005" s="1" t="s">
        <v>40</v>
      </c>
      <c r="J3005" s="1">
        <v>224.0</v>
      </c>
      <c r="K3005" s="1">
        <v>29.0</v>
      </c>
      <c r="L3005" s="1">
        <v>438.0</v>
      </c>
    </row>
    <row r="3006">
      <c r="A3006" s="1">
        <v>7504012.0</v>
      </c>
      <c r="B3006" s="1" t="s">
        <v>6466</v>
      </c>
      <c r="C3006" s="1" t="s">
        <v>6463</v>
      </c>
      <c r="D3006" s="1" t="s">
        <v>6464</v>
      </c>
      <c r="E3006" s="1" t="s">
        <v>6467</v>
      </c>
      <c r="F3006" s="1" t="s">
        <v>16</v>
      </c>
      <c r="G3006" s="1" t="s">
        <v>23</v>
      </c>
      <c r="H3006" s="1" t="s">
        <v>18</v>
      </c>
      <c r="I3006" s="1" t="s">
        <v>40</v>
      </c>
      <c r="J3006" s="1">
        <v>135.0</v>
      </c>
      <c r="K3006" s="1">
        <v>27.0</v>
      </c>
      <c r="L3006" s="1">
        <v>163.0</v>
      </c>
    </row>
    <row r="3007">
      <c r="A3007" s="1">
        <v>7502049.0</v>
      </c>
      <c r="B3007" s="1" t="s">
        <v>6468</v>
      </c>
      <c r="C3007" s="1" t="s">
        <v>6463</v>
      </c>
      <c r="D3007" s="1" t="s">
        <v>6463</v>
      </c>
      <c r="E3007" s="1" t="s">
        <v>6469</v>
      </c>
      <c r="F3007" s="1" t="s">
        <v>16</v>
      </c>
      <c r="G3007" s="1" t="s">
        <v>23</v>
      </c>
      <c r="H3007" s="1" t="s">
        <v>18</v>
      </c>
      <c r="I3007" s="1" t="s">
        <v>74</v>
      </c>
      <c r="J3007" s="1">
        <v>51.0</v>
      </c>
      <c r="K3007" s="1">
        <v>17.0</v>
      </c>
      <c r="L3007" s="1">
        <v>0.0</v>
      </c>
    </row>
    <row r="3008">
      <c r="A3008" s="1">
        <v>7502032.0</v>
      </c>
      <c r="B3008" s="1" t="s">
        <v>6470</v>
      </c>
      <c r="C3008" s="1" t="s">
        <v>6463</v>
      </c>
      <c r="D3008" s="1" t="s">
        <v>6471</v>
      </c>
      <c r="E3008" s="1" t="s">
        <v>6472</v>
      </c>
      <c r="F3008" s="1" t="s">
        <v>16</v>
      </c>
      <c r="G3008" s="1" t="s">
        <v>17</v>
      </c>
      <c r="H3008" s="1" t="s">
        <v>28</v>
      </c>
      <c r="I3008" s="1" t="s">
        <v>29</v>
      </c>
      <c r="J3008" s="1">
        <v>124.0</v>
      </c>
      <c r="K3008" s="1">
        <v>25.0</v>
      </c>
      <c r="L3008" s="1">
        <v>418.0</v>
      </c>
    </row>
    <row r="3009">
      <c r="A3009" s="1">
        <v>7503045.0</v>
      </c>
      <c r="B3009" s="1" t="s">
        <v>6473</v>
      </c>
      <c r="C3009" s="1" t="s">
        <v>6463</v>
      </c>
      <c r="D3009" s="1" t="s">
        <v>6474</v>
      </c>
      <c r="E3009" s="1" t="s">
        <v>6475</v>
      </c>
      <c r="F3009" s="1" t="s">
        <v>16</v>
      </c>
      <c r="G3009" s="1" t="s">
        <v>17</v>
      </c>
      <c r="H3009" s="1" t="s">
        <v>28</v>
      </c>
      <c r="I3009" s="1" t="s">
        <v>40</v>
      </c>
      <c r="J3009" s="1">
        <v>178.0</v>
      </c>
      <c r="K3009" s="1">
        <v>28.0</v>
      </c>
      <c r="L3009" s="1">
        <v>560.0</v>
      </c>
    </row>
    <row r="3010">
      <c r="A3010" s="1">
        <v>7505002.0</v>
      </c>
      <c r="B3010" s="1" t="s">
        <v>6476</v>
      </c>
      <c r="C3010" s="1" t="s">
        <v>6463</v>
      </c>
      <c r="D3010" s="1" t="s">
        <v>6477</v>
      </c>
      <c r="E3010" s="1" t="s">
        <v>6478</v>
      </c>
      <c r="F3010" s="1" t="s">
        <v>16</v>
      </c>
      <c r="G3010" s="1" t="s">
        <v>17</v>
      </c>
      <c r="H3010" s="1" t="s">
        <v>28</v>
      </c>
      <c r="I3010" s="1" t="s">
        <v>40</v>
      </c>
      <c r="J3010" s="1">
        <v>121.0</v>
      </c>
      <c r="K3010" s="1">
        <v>26.0</v>
      </c>
      <c r="L3010" s="1">
        <v>272.0</v>
      </c>
    </row>
    <row r="3011">
      <c r="A3011" s="1">
        <v>7503056.0</v>
      </c>
      <c r="B3011" s="1" t="s">
        <v>6479</v>
      </c>
      <c r="C3011" s="1" t="s">
        <v>6463</v>
      </c>
      <c r="D3011" s="1" t="s">
        <v>6474</v>
      </c>
      <c r="E3011" s="1" t="s">
        <v>6480</v>
      </c>
      <c r="F3011" s="1" t="s">
        <v>16</v>
      </c>
      <c r="G3011" s="1" t="s">
        <v>98</v>
      </c>
      <c r="H3011" s="1" t="s">
        <v>18</v>
      </c>
      <c r="I3011" s="1" t="s">
        <v>40</v>
      </c>
      <c r="J3011" s="1">
        <v>50.0</v>
      </c>
      <c r="K3011" s="1">
        <v>3.0</v>
      </c>
      <c r="L3011" s="1">
        <v>0.0</v>
      </c>
    </row>
    <row r="3012">
      <c r="A3012" s="1">
        <v>7502034.0</v>
      </c>
      <c r="B3012" s="1" t="s">
        <v>6481</v>
      </c>
      <c r="C3012" s="1" t="s">
        <v>6463</v>
      </c>
      <c r="D3012" s="1" t="s">
        <v>6463</v>
      </c>
      <c r="E3012" s="1" t="s">
        <v>6482</v>
      </c>
      <c r="F3012" s="1" t="s">
        <v>16</v>
      </c>
      <c r="G3012" s="1" t="s">
        <v>17</v>
      </c>
      <c r="H3012" s="1" t="s">
        <v>28</v>
      </c>
      <c r="I3012" s="1" t="s">
        <v>139</v>
      </c>
      <c r="J3012" s="1">
        <v>110.0</v>
      </c>
      <c r="K3012" s="1">
        <v>85.0</v>
      </c>
      <c r="L3012" s="1">
        <v>398.0</v>
      </c>
    </row>
    <row r="3013">
      <c r="A3013" s="1">
        <v>7502021.0</v>
      </c>
      <c r="B3013" s="1" t="s">
        <v>6483</v>
      </c>
      <c r="C3013" s="1" t="s">
        <v>6463</v>
      </c>
      <c r="D3013" s="1" t="s">
        <v>6471</v>
      </c>
      <c r="E3013" s="1" t="s">
        <v>6484</v>
      </c>
      <c r="F3013" s="1" t="s">
        <v>16</v>
      </c>
      <c r="G3013" s="1" t="s">
        <v>23</v>
      </c>
      <c r="H3013" s="1" t="s">
        <v>18</v>
      </c>
      <c r="I3013" s="1" t="s">
        <v>59</v>
      </c>
      <c r="J3013" s="1">
        <v>62.0</v>
      </c>
      <c r="K3013" s="1">
        <v>17.0</v>
      </c>
      <c r="L3013" s="1">
        <v>72.0</v>
      </c>
    </row>
    <row r="3014">
      <c r="A3014" s="1">
        <v>7505013.0</v>
      </c>
      <c r="B3014" s="1" t="s">
        <v>6485</v>
      </c>
      <c r="C3014" s="1" t="s">
        <v>6463</v>
      </c>
      <c r="D3014" s="1" t="s">
        <v>6477</v>
      </c>
      <c r="E3014" s="1" t="s">
        <v>6486</v>
      </c>
      <c r="F3014" s="1" t="s">
        <v>16</v>
      </c>
      <c r="G3014" s="1" t="s">
        <v>98</v>
      </c>
      <c r="H3014" s="1" t="s">
        <v>18</v>
      </c>
      <c r="I3014" s="1" t="s">
        <v>40</v>
      </c>
      <c r="J3014" s="1">
        <v>40.0</v>
      </c>
      <c r="K3014" s="1">
        <v>6.0</v>
      </c>
      <c r="L3014" s="1">
        <v>0.0</v>
      </c>
    </row>
    <row r="3015">
      <c r="A3015" s="1">
        <v>7501043.0</v>
      </c>
      <c r="B3015" s="1" t="s">
        <v>6487</v>
      </c>
      <c r="C3015" s="1" t="s">
        <v>6463</v>
      </c>
      <c r="D3015" s="1" t="s">
        <v>6488</v>
      </c>
      <c r="E3015" s="1" t="s">
        <v>6489</v>
      </c>
      <c r="F3015" s="1" t="s">
        <v>16</v>
      </c>
      <c r="G3015" s="1" t="s">
        <v>17</v>
      </c>
      <c r="H3015" s="1" t="s">
        <v>28</v>
      </c>
      <c r="I3015" s="1" t="s">
        <v>40</v>
      </c>
      <c r="J3015" s="1">
        <v>147.0</v>
      </c>
      <c r="K3015" s="1">
        <v>34.0</v>
      </c>
      <c r="L3015" s="1">
        <v>468.0</v>
      </c>
    </row>
    <row r="3016">
      <c r="A3016" s="1">
        <v>7571021.0</v>
      </c>
      <c r="B3016" s="1" t="s">
        <v>4365</v>
      </c>
      <c r="C3016" s="1" t="s">
        <v>6463</v>
      </c>
      <c r="D3016" s="1" t="s">
        <v>6471</v>
      </c>
      <c r="E3016" s="1" t="s">
        <v>6490</v>
      </c>
      <c r="F3016" s="1" t="s">
        <v>16</v>
      </c>
      <c r="G3016" s="1" t="s">
        <v>23</v>
      </c>
      <c r="H3016" s="1" t="s">
        <v>18</v>
      </c>
      <c r="I3016" s="1" t="s">
        <v>44</v>
      </c>
      <c r="J3016" s="1">
        <v>106.0</v>
      </c>
      <c r="K3016" s="1">
        <v>20.0</v>
      </c>
      <c r="L3016" s="1">
        <v>208.0</v>
      </c>
    </row>
    <row r="3017">
      <c r="A3017" s="1">
        <v>7571010.0</v>
      </c>
      <c r="B3017" s="1" t="s">
        <v>6491</v>
      </c>
      <c r="C3017" s="1" t="s">
        <v>6463</v>
      </c>
      <c r="D3017" s="1" t="s">
        <v>6471</v>
      </c>
      <c r="E3017" s="1" t="s">
        <v>6492</v>
      </c>
      <c r="F3017" s="1" t="s">
        <v>16</v>
      </c>
      <c r="G3017" s="1" t="s">
        <v>27</v>
      </c>
      <c r="H3017" s="1" t="s">
        <v>28</v>
      </c>
      <c r="I3017" s="1" t="s">
        <v>29</v>
      </c>
      <c r="J3017" s="1">
        <v>350.0</v>
      </c>
      <c r="K3017" s="1">
        <v>65.0</v>
      </c>
      <c r="L3017" s="1">
        <v>1009.0</v>
      </c>
    </row>
    <row r="3018">
      <c r="A3018" s="1">
        <v>7571022.0</v>
      </c>
      <c r="B3018" s="1" t="s">
        <v>6493</v>
      </c>
      <c r="C3018" s="1" t="s">
        <v>6463</v>
      </c>
      <c r="D3018" s="1" t="s">
        <v>6471</v>
      </c>
      <c r="E3018" s="1" t="s">
        <v>6494</v>
      </c>
      <c r="F3018" s="1" t="s">
        <v>55</v>
      </c>
      <c r="G3018" s="1" t="s">
        <v>17</v>
      </c>
      <c r="H3018" s="1" t="s">
        <v>33</v>
      </c>
      <c r="I3018" s="1" t="s">
        <v>684</v>
      </c>
      <c r="J3018" s="1">
        <v>77.0</v>
      </c>
      <c r="K3018" s="1">
        <v>13.0</v>
      </c>
      <c r="L3018" s="1">
        <v>52.0</v>
      </c>
    </row>
    <row r="3019">
      <c r="A3019" s="1">
        <v>7502033.0</v>
      </c>
      <c r="B3019" s="1" t="s">
        <v>6495</v>
      </c>
      <c r="C3019" s="1" t="s">
        <v>6463</v>
      </c>
      <c r="D3019" s="1" t="s">
        <v>6463</v>
      </c>
      <c r="E3019" s="1" t="s">
        <v>6496</v>
      </c>
      <c r="F3019" s="1" t="s">
        <v>16</v>
      </c>
      <c r="G3019" s="1" t="s">
        <v>27</v>
      </c>
      <c r="H3019" s="1" t="s">
        <v>18</v>
      </c>
      <c r="I3019" s="1" t="s">
        <v>40</v>
      </c>
      <c r="J3019" s="1">
        <v>246.0</v>
      </c>
      <c r="K3019" s="1">
        <v>82.0</v>
      </c>
      <c r="L3019" s="1">
        <v>932.0</v>
      </c>
    </row>
    <row r="3020">
      <c r="A3020" s="1">
        <v>7501044.0</v>
      </c>
      <c r="B3020" s="1" t="s">
        <v>6497</v>
      </c>
      <c r="C3020" s="1" t="s">
        <v>6463</v>
      </c>
      <c r="D3020" s="1" t="s">
        <v>6488</v>
      </c>
      <c r="E3020" s="1" t="s">
        <v>6498</v>
      </c>
      <c r="F3020" s="1" t="s">
        <v>16</v>
      </c>
      <c r="G3020" s="1" t="s">
        <v>23</v>
      </c>
      <c r="H3020" s="1" t="s">
        <v>28</v>
      </c>
      <c r="I3020" s="1" t="s">
        <v>40</v>
      </c>
      <c r="J3020" s="1">
        <v>50.0</v>
      </c>
      <c r="K3020" s="1">
        <v>26.0</v>
      </c>
      <c r="L3020" s="1">
        <v>111.0</v>
      </c>
    </row>
    <row r="3021">
      <c r="A3021" s="1">
        <v>7502047.0</v>
      </c>
      <c r="B3021" s="1" t="s">
        <v>6499</v>
      </c>
      <c r="C3021" s="1" t="s">
        <v>6463</v>
      </c>
      <c r="D3021" s="1" t="s">
        <v>6463</v>
      </c>
      <c r="E3021" s="1" t="s">
        <v>6500</v>
      </c>
      <c r="F3021" s="1" t="s">
        <v>16</v>
      </c>
      <c r="G3021" s="1" t="s">
        <v>17</v>
      </c>
      <c r="H3021" s="1" t="s">
        <v>18</v>
      </c>
      <c r="I3021" s="1" t="s">
        <v>65</v>
      </c>
      <c r="J3021" s="1">
        <v>119.0</v>
      </c>
      <c r="K3021" s="1">
        <v>23.0</v>
      </c>
      <c r="L3021" s="1">
        <v>0.0</v>
      </c>
    </row>
    <row r="3022">
      <c r="A3022" s="1">
        <v>7502035.0</v>
      </c>
      <c r="B3022" s="1" t="s">
        <v>6501</v>
      </c>
      <c r="C3022" s="1" t="s">
        <v>6463</v>
      </c>
      <c r="D3022" s="1" t="s">
        <v>6463</v>
      </c>
      <c r="E3022" s="1" t="s">
        <v>6502</v>
      </c>
      <c r="F3022" s="1" t="s">
        <v>16</v>
      </c>
      <c r="G3022" s="1" t="s">
        <v>23</v>
      </c>
      <c r="H3022" s="1" t="s">
        <v>18</v>
      </c>
      <c r="I3022" s="1" t="s">
        <v>40</v>
      </c>
      <c r="J3022" s="1">
        <v>86.0</v>
      </c>
      <c r="K3022" s="1">
        <v>27.0</v>
      </c>
      <c r="L3022" s="1">
        <v>105.0</v>
      </c>
    </row>
    <row r="3023">
      <c r="A3023" s="1">
        <v>7571023.0</v>
      </c>
      <c r="B3023" s="1" t="s">
        <v>6503</v>
      </c>
      <c r="C3023" s="1" t="s">
        <v>6463</v>
      </c>
      <c r="D3023" s="1" t="s">
        <v>6471</v>
      </c>
      <c r="E3023" s="1" t="s">
        <v>6504</v>
      </c>
      <c r="F3023" s="1" t="s">
        <v>16</v>
      </c>
      <c r="G3023" s="1" t="s">
        <v>17</v>
      </c>
      <c r="H3023" s="1" t="s">
        <v>18</v>
      </c>
      <c r="I3023" s="1" t="s">
        <v>19</v>
      </c>
      <c r="J3023" s="1">
        <v>124.0</v>
      </c>
      <c r="K3023" s="1">
        <v>30.0</v>
      </c>
      <c r="L3023" s="1">
        <v>185.0</v>
      </c>
    </row>
    <row r="3024">
      <c r="A3024" s="1">
        <v>7604026.0</v>
      </c>
      <c r="B3024" s="1" t="s">
        <v>6505</v>
      </c>
      <c r="C3024" s="1" t="s">
        <v>6506</v>
      </c>
      <c r="D3024" s="1" t="s">
        <v>6507</v>
      </c>
      <c r="E3024" s="1" t="s">
        <v>6508</v>
      </c>
      <c r="F3024" s="1" t="s">
        <v>16</v>
      </c>
      <c r="G3024" s="1" t="s">
        <v>23</v>
      </c>
      <c r="H3024" s="1" t="s">
        <v>28</v>
      </c>
      <c r="I3024" s="1" t="s">
        <v>40</v>
      </c>
      <c r="J3024" s="1">
        <v>118.0</v>
      </c>
      <c r="K3024" s="1">
        <v>30.0</v>
      </c>
      <c r="L3024" s="1">
        <v>70.0</v>
      </c>
    </row>
    <row r="3025">
      <c r="A3025" s="1">
        <v>7602045.0</v>
      </c>
      <c r="B3025" s="1" t="s">
        <v>6509</v>
      </c>
      <c r="C3025" s="1" t="s">
        <v>6506</v>
      </c>
      <c r="D3025" s="1" t="s">
        <v>6510</v>
      </c>
      <c r="E3025" s="1" t="s">
        <v>6511</v>
      </c>
      <c r="F3025" s="1" t="s">
        <v>55</v>
      </c>
      <c r="G3025" s="1" t="s">
        <v>17</v>
      </c>
      <c r="H3025" s="1" t="s">
        <v>18</v>
      </c>
      <c r="I3025" s="1" t="s">
        <v>163</v>
      </c>
      <c r="J3025" s="1">
        <v>40.0</v>
      </c>
      <c r="K3025" s="1">
        <v>38.0</v>
      </c>
      <c r="L3025" s="1">
        <v>0.0</v>
      </c>
    </row>
    <row r="3026">
      <c r="A3026" s="1">
        <v>7605013.0</v>
      </c>
      <c r="B3026" s="1" t="s">
        <v>6512</v>
      </c>
      <c r="C3026" s="1" t="s">
        <v>6506</v>
      </c>
      <c r="D3026" s="1" t="s">
        <v>6513</v>
      </c>
      <c r="E3026" s="1" t="s">
        <v>6514</v>
      </c>
      <c r="F3026" s="1" t="s">
        <v>16</v>
      </c>
      <c r="G3026" s="1" t="s">
        <v>17</v>
      </c>
      <c r="H3026" s="1" t="s">
        <v>28</v>
      </c>
      <c r="I3026" s="1" t="s">
        <v>40</v>
      </c>
      <c r="J3026" s="1">
        <v>137.0</v>
      </c>
      <c r="K3026" s="1">
        <v>14.0</v>
      </c>
      <c r="L3026" s="1">
        <v>117.0</v>
      </c>
    </row>
    <row r="3027">
      <c r="A3027" s="1">
        <v>7601011.0</v>
      </c>
      <c r="B3027" s="1" t="s">
        <v>6515</v>
      </c>
      <c r="C3027" s="1" t="s">
        <v>6506</v>
      </c>
      <c r="D3027" s="1" t="s">
        <v>6516</v>
      </c>
      <c r="E3027" s="1" t="s">
        <v>6517</v>
      </c>
      <c r="F3027" s="1" t="s">
        <v>16</v>
      </c>
      <c r="G3027" s="1" t="s">
        <v>17</v>
      </c>
      <c r="H3027" s="1" t="s">
        <v>28</v>
      </c>
      <c r="I3027" s="1" t="s">
        <v>40</v>
      </c>
      <c r="J3027" s="1">
        <v>180.0</v>
      </c>
      <c r="K3027" s="1">
        <v>38.0</v>
      </c>
      <c r="L3027" s="1">
        <v>610.0</v>
      </c>
    </row>
    <row r="3028">
      <c r="A3028" s="1">
        <v>7603024.0</v>
      </c>
      <c r="B3028" s="1" t="s">
        <v>6518</v>
      </c>
      <c r="C3028" s="1" t="s">
        <v>6506</v>
      </c>
      <c r="D3028" s="1" t="s">
        <v>6519</v>
      </c>
      <c r="E3028" s="1" t="s">
        <v>6520</v>
      </c>
      <c r="F3028" s="1" t="s">
        <v>16</v>
      </c>
      <c r="G3028" s="1" t="s">
        <v>23</v>
      </c>
      <c r="H3028" s="1" t="s">
        <v>18</v>
      </c>
      <c r="I3028" s="1" t="s">
        <v>40</v>
      </c>
      <c r="J3028" s="1">
        <v>82.0</v>
      </c>
      <c r="K3028" s="1">
        <v>18.0</v>
      </c>
      <c r="L3028" s="1">
        <v>180.0</v>
      </c>
    </row>
    <row r="3029">
      <c r="A3029" s="1">
        <v>7604012.0</v>
      </c>
      <c r="B3029" s="1" t="s">
        <v>6521</v>
      </c>
      <c r="C3029" s="1" t="s">
        <v>6506</v>
      </c>
      <c r="D3029" s="1" t="s">
        <v>6522</v>
      </c>
      <c r="E3029" s="1" t="s">
        <v>6523</v>
      </c>
      <c r="F3029" s="1" t="s">
        <v>16</v>
      </c>
      <c r="G3029" s="1" t="s">
        <v>17</v>
      </c>
      <c r="H3029" s="1" t="s">
        <v>28</v>
      </c>
      <c r="I3029" s="1" t="s">
        <v>40</v>
      </c>
      <c r="J3029" s="1">
        <v>135.0</v>
      </c>
      <c r="K3029" s="1">
        <v>36.0</v>
      </c>
      <c r="L3029" s="1">
        <v>418.0</v>
      </c>
    </row>
    <row r="3030">
      <c r="A3030" s="1">
        <v>7604024.0</v>
      </c>
      <c r="B3030" s="1" t="s">
        <v>6524</v>
      </c>
      <c r="C3030" s="1" t="s">
        <v>6506</v>
      </c>
      <c r="D3030" s="1" t="s">
        <v>6522</v>
      </c>
      <c r="E3030" s="1" t="s">
        <v>6525</v>
      </c>
      <c r="F3030" s="1" t="s">
        <v>16</v>
      </c>
      <c r="G3030" s="1" t="s">
        <v>17</v>
      </c>
      <c r="H3030" s="1" t="s">
        <v>18</v>
      </c>
      <c r="I3030" s="1" t="s">
        <v>19</v>
      </c>
      <c r="J3030" s="1">
        <v>109.0</v>
      </c>
      <c r="K3030" s="1">
        <v>37.0</v>
      </c>
      <c r="L3030" s="1">
        <v>186.0</v>
      </c>
    </row>
    <row r="3031">
      <c r="A3031" s="1">
        <v>7602048.0</v>
      </c>
      <c r="B3031" s="1" t="s">
        <v>6526</v>
      </c>
      <c r="C3031" s="1" t="s">
        <v>6506</v>
      </c>
      <c r="D3031" s="1" t="s">
        <v>6510</v>
      </c>
      <c r="E3031" s="1" t="s">
        <v>6527</v>
      </c>
      <c r="F3031" s="1" t="s">
        <v>16</v>
      </c>
      <c r="G3031" s="1" t="s">
        <v>23</v>
      </c>
      <c r="H3031" s="1" t="s">
        <v>28</v>
      </c>
      <c r="I3031" s="1" t="s">
        <v>40</v>
      </c>
      <c r="J3031" s="1">
        <v>66.0</v>
      </c>
      <c r="K3031" s="1">
        <v>35.0</v>
      </c>
      <c r="L3031" s="1">
        <v>59.0</v>
      </c>
    </row>
    <row r="3032">
      <c r="A3032" s="1">
        <v>7603022.0</v>
      </c>
      <c r="B3032" s="1" t="s">
        <v>6528</v>
      </c>
      <c r="C3032" s="1" t="s">
        <v>6506</v>
      </c>
      <c r="D3032" s="1" t="s">
        <v>6519</v>
      </c>
      <c r="E3032" s="1" t="s">
        <v>6529</v>
      </c>
      <c r="F3032" s="1" t="s">
        <v>16</v>
      </c>
      <c r="G3032" s="1" t="s">
        <v>98</v>
      </c>
      <c r="H3032" s="1" t="s">
        <v>18</v>
      </c>
      <c r="I3032" s="1" t="s">
        <v>59</v>
      </c>
      <c r="J3032" s="1">
        <v>55.0</v>
      </c>
      <c r="K3032" s="1">
        <v>14.0</v>
      </c>
      <c r="L3032" s="1">
        <v>0.0</v>
      </c>
    </row>
    <row r="3033">
      <c r="A3033" s="1">
        <v>7601022.0</v>
      </c>
      <c r="B3033" s="1" t="s">
        <v>6530</v>
      </c>
      <c r="C3033" s="1" t="s">
        <v>6506</v>
      </c>
      <c r="D3033" s="1" t="s">
        <v>6516</v>
      </c>
      <c r="E3033" s="1" t="s">
        <v>6531</v>
      </c>
      <c r="F3033" s="1" t="s">
        <v>16</v>
      </c>
      <c r="G3033" s="1" t="s">
        <v>98</v>
      </c>
      <c r="H3033" s="1" t="s">
        <v>18</v>
      </c>
      <c r="I3033" s="1" t="s">
        <v>40</v>
      </c>
      <c r="J3033" s="1">
        <v>0.0</v>
      </c>
      <c r="K3033" s="1">
        <v>4.0</v>
      </c>
      <c r="L3033" s="1">
        <v>0.0</v>
      </c>
    </row>
    <row r="3034">
      <c r="A3034" s="1">
        <v>7604027.0</v>
      </c>
      <c r="B3034" s="1" t="s">
        <v>6532</v>
      </c>
      <c r="C3034" s="1" t="s">
        <v>6506</v>
      </c>
      <c r="D3034" s="1" t="s">
        <v>6522</v>
      </c>
      <c r="E3034" s="1" t="s">
        <v>6533</v>
      </c>
      <c r="F3034" s="1" t="s">
        <v>16</v>
      </c>
      <c r="G3034" s="1" t="s">
        <v>17</v>
      </c>
      <c r="H3034" s="1" t="s">
        <v>33</v>
      </c>
      <c r="I3034" s="1" t="s">
        <v>65</v>
      </c>
      <c r="J3034" s="1">
        <v>109.0</v>
      </c>
      <c r="K3034" s="1">
        <v>18.0</v>
      </c>
      <c r="L3034" s="1">
        <v>143.0</v>
      </c>
    </row>
    <row r="3035">
      <c r="A3035" s="1">
        <v>7602044.0</v>
      </c>
      <c r="B3035" s="1" t="s">
        <v>6534</v>
      </c>
      <c r="C3035" s="1" t="s">
        <v>6506</v>
      </c>
      <c r="D3035" s="1" t="s">
        <v>6510</v>
      </c>
      <c r="E3035" s="1" t="s">
        <v>6535</v>
      </c>
      <c r="F3035" s="1" t="s">
        <v>16</v>
      </c>
      <c r="G3035" s="1" t="s">
        <v>27</v>
      </c>
      <c r="H3035" s="1" t="s">
        <v>28</v>
      </c>
      <c r="I3035" s="1" t="s">
        <v>40</v>
      </c>
      <c r="J3035" s="1">
        <v>576.0</v>
      </c>
      <c r="K3035" s="1">
        <v>35.0</v>
      </c>
      <c r="L3035" s="1">
        <v>733.0</v>
      </c>
    </row>
    <row r="3036">
      <c r="A3036" s="1">
        <v>7604023.0</v>
      </c>
      <c r="B3036" s="1" t="s">
        <v>6536</v>
      </c>
      <c r="C3036" s="1" t="s">
        <v>6506</v>
      </c>
      <c r="D3036" s="1" t="s">
        <v>6522</v>
      </c>
      <c r="E3036" s="1" t="s">
        <v>6537</v>
      </c>
      <c r="F3036" s="1" t="s">
        <v>16</v>
      </c>
      <c r="G3036" s="1" t="s">
        <v>17</v>
      </c>
      <c r="H3036" s="1" t="s">
        <v>28</v>
      </c>
      <c r="I3036" s="1" t="s">
        <v>139</v>
      </c>
      <c r="J3036" s="1">
        <v>222.0</v>
      </c>
      <c r="K3036" s="1">
        <v>63.0</v>
      </c>
      <c r="L3036" s="1">
        <v>309.0</v>
      </c>
    </row>
    <row r="3037">
      <c r="A3037" s="1">
        <v>7604039.0</v>
      </c>
      <c r="B3037" s="1" t="s">
        <v>6538</v>
      </c>
      <c r="C3037" s="1" t="s">
        <v>6506</v>
      </c>
      <c r="D3037" s="1" t="s">
        <v>6522</v>
      </c>
      <c r="E3037" s="1" t="s">
        <v>6539</v>
      </c>
      <c r="F3037" s="1" t="s">
        <v>16</v>
      </c>
      <c r="G3037" s="1" t="s">
        <v>23</v>
      </c>
      <c r="H3037" s="1" t="s">
        <v>18</v>
      </c>
      <c r="I3037" s="1" t="s">
        <v>34</v>
      </c>
      <c r="J3037" s="1">
        <v>58.0</v>
      </c>
      <c r="K3037" s="1">
        <v>10.0</v>
      </c>
      <c r="L3037" s="1">
        <v>0.0</v>
      </c>
    </row>
    <row r="3038">
      <c r="A3038" s="1">
        <v>7604028.0</v>
      </c>
      <c r="B3038" s="1" t="s">
        <v>6540</v>
      </c>
      <c r="C3038" s="1" t="s">
        <v>6506</v>
      </c>
      <c r="D3038" s="1" t="s">
        <v>6522</v>
      </c>
      <c r="E3038" s="1" t="s">
        <v>6541</v>
      </c>
      <c r="F3038" s="1" t="s">
        <v>55</v>
      </c>
      <c r="G3038" s="1" t="s">
        <v>17</v>
      </c>
      <c r="H3038" s="1" t="s">
        <v>18</v>
      </c>
      <c r="I3038" s="1" t="s">
        <v>19</v>
      </c>
      <c r="J3038" s="1">
        <v>30.0</v>
      </c>
      <c r="K3038" s="1">
        <v>11.0</v>
      </c>
      <c r="L3038" s="1">
        <v>0.0</v>
      </c>
    </row>
    <row r="3039">
      <c r="A3039" s="1">
        <v>8171015.0</v>
      </c>
      <c r="B3039" s="1" t="s">
        <v>6542</v>
      </c>
      <c r="C3039" s="1" t="s">
        <v>6543</v>
      </c>
      <c r="D3039" s="1" t="s">
        <v>6544</v>
      </c>
      <c r="E3039" s="1" t="s">
        <v>6545</v>
      </c>
      <c r="F3039" s="1" t="s">
        <v>16</v>
      </c>
      <c r="G3039" s="1" t="s">
        <v>27</v>
      </c>
      <c r="H3039" s="1" t="s">
        <v>28</v>
      </c>
      <c r="I3039" s="1" t="s">
        <v>139</v>
      </c>
      <c r="J3039" s="1">
        <v>304.0</v>
      </c>
      <c r="K3039" s="1">
        <v>46.0</v>
      </c>
      <c r="L3039" s="1">
        <v>586.0</v>
      </c>
    </row>
    <row r="3040">
      <c r="A3040" s="1">
        <v>8108002.0</v>
      </c>
      <c r="B3040" s="1" t="s">
        <v>6546</v>
      </c>
      <c r="C3040" s="1" t="s">
        <v>6543</v>
      </c>
      <c r="D3040" s="1" t="s">
        <v>6547</v>
      </c>
      <c r="E3040" s="1" t="s">
        <v>6548</v>
      </c>
      <c r="F3040" s="1" t="s">
        <v>16</v>
      </c>
      <c r="G3040" s="1" t="s">
        <v>23</v>
      </c>
      <c r="H3040" s="1" t="s">
        <v>18</v>
      </c>
      <c r="I3040" s="1" t="s">
        <v>40</v>
      </c>
      <c r="J3040" s="1">
        <v>56.0</v>
      </c>
      <c r="K3040" s="1">
        <v>10.0</v>
      </c>
      <c r="L3040" s="1">
        <v>34.0</v>
      </c>
    </row>
    <row r="3041">
      <c r="A3041" s="1">
        <v>8101041.0</v>
      </c>
      <c r="B3041" s="1" t="s">
        <v>6549</v>
      </c>
      <c r="C3041" s="1" t="s">
        <v>6543</v>
      </c>
      <c r="D3041" s="1" t="s">
        <v>6550</v>
      </c>
      <c r="E3041" s="1" t="s">
        <v>6551</v>
      </c>
      <c r="F3041" s="1" t="s">
        <v>16</v>
      </c>
      <c r="G3041" s="1" t="s">
        <v>23</v>
      </c>
      <c r="H3041" s="1" t="s">
        <v>18</v>
      </c>
      <c r="I3041" s="1" t="s">
        <v>249</v>
      </c>
      <c r="J3041" s="1">
        <v>33.0</v>
      </c>
      <c r="K3041" s="1">
        <v>4.0</v>
      </c>
      <c r="L3041" s="1">
        <v>0.0</v>
      </c>
    </row>
    <row r="3042">
      <c r="A3042" s="1">
        <v>8171030.0</v>
      </c>
      <c r="B3042" s="1" t="s">
        <v>6552</v>
      </c>
      <c r="C3042" s="1" t="s">
        <v>6543</v>
      </c>
      <c r="D3042" s="1" t="s">
        <v>6544</v>
      </c>
      <c r="E3042" s="1" t="s">
        <v>6553</v>
      </c>
      <c r="F3042" s="1" t="s">
        <v>16</v>
      </c>
      <c r="G3042" s="1" t="s">
        <v>23</v>
      </c>
      <c r="H3042" s="1" t="s">
        <v>18</v>
      </c>
      <c r="I3042" s="1" t="s">
        <v>95</v>
      </c>
      <c r="J3042" s="1">
        <v>53.0</v>
      </c>
      <c r="K3042" s="1">
        <v>23.0</v>
      </c>
      <c r="L3042" s="1">
        <v>28.0</v>
      </c>
    </row>
    <row r="3043">
      <c r="A3043" s="1">
        <v>8172002.0</v>
      </c>
      <c r="B3043" s="1" t="s">
        <v>6554</v>
      </c>
      <c r="C3043" s="1" t="s">
        <v>6543</v>
      </c>
      <c r="D3043" s="1" t="s">
        <v>6555</v>
      </c>
      <c r="E3043" s="1" t="s">
        <v>6556</v>
      </c>
      <c r="F3043" s="1" t="s">
        <v>16</v>
      </c>
      <c r="G3043" s="1" t="s">
        <v>23</v>
      </c>
      <c r="H3043" s="1" t="s">
        <v>18</v>
      </c>
      <c r="I3043" s="1" t="s">
        <v>29</v>
      </c>
      <c r="J3043" s="1">
        <v>76.0</v>
      </c>
      <c r="K3043" s="1">
        <v>16.0</v>
      </c>
      <c r="L3043" s="1">
        <v>57.0</v>
      </c>
    </row>
    <row r="3044">
      <c r="A3044" s="1">
        <v>8103020.0</v>
      </c>
      <c r="B3044" s="1" t="s">
        <v>6557</v>
      </c>
      <c r="C3044" s="1" t="s">
        <v>6543</v>
      </c>
      <c r="D3044" s="1" t="s">
        <v>6558</v>
      </c>
      <c r="E3044" s="1" t="s">
        <v>6559</v>
      </c>
      <c r="F3044" s="1" t="s">
        <v>16</v>
      </c>
      <c r="G3044" s="1" t="s">
        <v>23</v>
      </c>
      <c r="H3044" s="1" t="s">
        <v>18</v>
      </c>
      <c r="I3044" s="1" t="s">
        <v>40</v>
      </c>
      <c r="J3044" s="1">
        <v>108.0</v>
      </c>
      <c r="K3044" s="1">
        <v>54.0</v>
      </c>
      <c r="L3044" s="1">
        <v>160.0</v>
      </c>
    </row>
    <row r="3045">
      <c r="A3045" s="1">
        <v>8171123.0</v>
      </c>
      <c r="B3045" s="1" t="s">
        <v>6560</v>
      </c>
      <c r="C3045" s="1" t="s">
        <v>6543</v>
      </c>
      <c r="D3045" s="1" t="s">
        <v>6544</v>
      </c>
      <c r="E3045" s="1" t="s">
        <v>6561</v>
      </c>
      <c r="F3045" s="1" t="s">
        <v>16</v>
      </c>
      <c r="G3045" s="1" t="s">
        <v>27</v>
      </c>
      <c r="H3045" s="1" t="s">
        <v>18</v>
      </c>
      <c r="I3045" s="1" t="s">
        <v>411</v>
      </c>
      <c r="J3045" s="1">
        <v>249.0</v>
      </c>
      <c r="K3045" s="1">
        <v>45.0</v>
      </c>
      <c r="L3045" s="1">
        <v>95.0</v>
      </c>
    </row>
    <row r="3046">
      <c r="A3046" s="1">
        <v>8171074.0</v>
      </c>
      <c r="B3046" s="1" t="s">
        <v>6562</v>
      </c>
      <c r="C3046" s="1" t="s">
        <v>6543</v>
      </c>
      <c r="D3046" s="1" t="s">
        <v>6544</v>
      </c>
      <c r="E3046" s="1" t="s">
        <v>6563</v>
      </c>
      <c r="F3046" s="1" t="s">
        <v>16</v>
      </c>
      <c r="G3046" s="1" t="s">
        <v>23</v>
      </c>
      <c r="H3046" s="1" t="s">
        <v>18</v>
      </c>
      <c r="I3046" s="1" t="s">
        <v>59</v>
      </c>
      <c r="J3046" s="1">
        <v>57.0</v>
      </c>
      <c r="K3046" s="1">
        <v>9.0</v>
      </c>
      <c r="L3046" s="1">
        <v>11.0</v>
      </c>
    </row>
    <row r="3047">
      <c r="A3047" s="1">
        <v>8109002.0</v>
      </c>
      <c r="B3047" s="1" t="s">
        <v>6564</v>
      </c>
      <c r="C3047" s="1" t="s">
        <v>6543</v>
      </c>
      <c r="D3047" s="1" t="s">
        <v>6565</v>
      </c>
      <c r="E3047" s="1" t="s">
        <v>6566</v>
      </c>
      <c r="F3047" s="1" t="s">
        <v>16</v>
      </c>
      <c r="G3047" s="1" t="s">
        <v>98</v>
      </c>
      <c r="H3047" s="1" t="s">
        <v>18</v>
      </c>
      <c r="I3047" s="1" t="s">
        <v>40</v>
      </c>
      <c r="J3047" s="1">
        <v>11.0</v>
      </c>
      <c r="K3047" s="1">
        <v>8.0</v>
      </c>
      <c r="L3047" s="1">
        <v>36.0</v>
      </c>
    </row>
    <row r="3048">
      <c r="A3048" s="1">
        <v>8103053.0</v>
      </c>
      <c r="B3048" s="1" t="s">
        <v>6567</v>
      </c>
      <c r="C3048" s="1" t="s">
        <v>6543</v>
      </c>
      <c r="D3048" s="1" t="s">
        <v>6568</v>
      </c>
      <c r="E3048" s="1" t="s">
        <v>6569</v>
      </c>
      <c r="F3048" s="1" t="s">
        <v>16</v>
      </c>
      <c r="G3048" s="1" t="s">
        <v>17</v>
      </c>
      <c r="H3048" s="1" t="s">
        <v>18</v>
      </c>
      <c r="I3048" s="1" t="s">
        <v>139</v>
      </c>
      <c r="J3048" s="1">
        <v>107.0</v>
      </c>
      <c r="K3048" s="1">
        <v>102.0</v>
      </c>
      <c r="L3048" s="1">
        <v>335.0</v>
      </c>
    </row>
    <row r="3049">
      <c r="A3049" s="1">
        <v>8109018.0</v>
      </c>
      <c r="B3049" s="1" t="s">
        <v>6570</v>
      </c>
      <c r="C3049" s="1" t="s">
        <v>6543</v>
      </c>
      <c r="D3049" s="1" t="s">
        <v>6565</v>
      </c>
      <c r="E3049" s="1" t="s">
        <v>6571</v>
      </c>
      <c r="F3049" s="1" t="s">
        <v>16</v>
      </c>
      <c r="G3049" s="1" t="s">
        <v>23</v>
      </c>
      <c r="H3049" s="1" t="s">
        <v>18</v>
      </c>
      <c r="I3049" s="1" t="s">
        <v>40</v>
      </c>
      <c r="J3049" s="1">
        <v>110.0</v>
      </c>
      <c r="K3049" s="1">
        <v>17.0</v>
      </c>
      <c r="L3049" s="1">
        <v>260.0</v>
      </c>
    </row>
    <row r="3050">
      <c r="A3050" s="1">
        <v>8171096.0</v>
      </c>
      <c r="B3050" s="1" t="s">
        <v>6572</v>
      </c>
      <c r="C3050" s="1" t="s">
        <v>6543</v>
      </c>
      <c r="D3050" s="1" t="s">
        <v>6544</v>
      </c>
      <c r="E3050" s="1" t="s">
        <v>6573</v>
      </c>
      <c r="F3050" s="1" t="s">
        <v>16</v>
      </c>
      <c r="G3050" s="1" t="s">
        <v>23</v>
      </c>
      <c r="H3050" s="1" t="s">
        <v>18</v>
      </c>
      <c r="I3050" s="1" t="s">
        <v>59</v>
      </c>
      <c r="J3050" s="1">
        <v>50.0</v>
      </c>
      <c r="K3050" s="1">
        <v>24.0</v>
      </c>
      <c r="L3050" s="1">
        <v>108.0</v>
      </c>
    </row>
    <row r="3051">
      <c r="A3051" s="1">
        <v>8107021.0</v>
      </c>
      <c r="B3051" s="1" t="s">
        <v>6574</v>
      </c>
      <c r="C3051" s="1" t="s">
        <v>6543</v>
      </c>
      <c r="D3051" s="1" t="s">
        <v>6575</v>
      </c>
      <c r="E3051" s="1" t="s">
        <v>6576</v>
      </c>
      <c r="F3051" s="1" t="s">
        <v>16</v>
      </c>
      <c r="G3051" s="1" t="s">
        <v>17</v>
      </c>
      <c r="H3051" s="1" t="s">
        <v>18</v>
      </c>
      <c r="I3051" s="1" t="s">
        <v>40</v>
      </c>
      <c r="J3051" s="1">
        <v>103.0</v>
      </c>
      <c r="K3051" s="1">
        <v>31.0</v>
      </c>
      <c r="L3051" s="1">
        <v>410.0</v>
      </c>
    </row>
    <row r="3052">
      <c r="A3052" s="1">
        <v>8101026.0</v>
      </c>
      <c r="B3052" s="1" t="s">
        <v>6577</v>
      </c>
      <c r="C3052" s="1" t="s">
        <v>6543</v>
      </c>
      <c r="D3052" s="1" t="s">
        <v>6578</v>
      </c>
      <c r="E3052" s="1" t="s">
        <v>6579</v>
      </c>
      <c r="F3052" s="1" t="s">
        <v>16</v>
      </c>
      <c r="G3052" s="1" t="s">
        <v>23</v>
      </c>
      <c r="H3052" s="1" t="s">
        <v>18</v>
      </c>
      <c r="I3052" s="1" t="s">
        <v>249</v>
      </c>
      <c r="J3052" s="1">
        <v>90.0</v>
      </c>
      <c r="K3052" s="1">
        <v>26.0</v>
      </c>
      <c r="L3052" s="1">
        <v>26.0</v>
      </c>
    </row>
    <row r="3053">
      <c r="A3053" s="1">
        <v>8103002.0</v>
      </c>
      <c r="B3053" s="1" t="s">
        <v>6580</v>
      </c>
      <c r="C3053" s="1" t="s">
        <v>6543</v>
      </c>
      <c r="D3053" s="1" t="s">
        <v>6568</v>
      </c>
      <c r="E3053" s="1" t="s">
        <v>6581</v>
      </c>
      <c r="F3053" s="1" t="s">
        <v>16</v>
      </c>
      <c r="G3053" s="1" t="s">
        <v>23</v>
      </c>
      <c r="H3053" s="1" t="s">
        <v>18</v>
      </c>
      <c r="I3053" s="1" t="s">
        <v>40</v>
      </c>
      <c r="J3053" s="1">
        <v>50.0</v>
      </c>
      <c r="K3053" s="1">
        <v>14.0</v>
      </c>
      <c r="L3053" s="1">
        <v>77.0</v>
      </c>
    </row>
    <row r="3054">
      <c r="A3054" s="1">
        <v>8171026.0</v>
      </c>
      <c r="B3054" s="1" t="s">
        <v>6582</v>
      </c>
      <c r="C3054" s="1" t="s">
        <v>6543</v>
      </c>
      <c r="D3054" s="1" t="s">
        <v>6544</v>
      </c>
      <c r="E3054" s="1" t="s">
        <v>6583</v>
      </c>
      <c r="F3054" s="1" t="s">
        <v>16</v>
      </c>
      <c r="G3054" s="1" t="s">
        <v>17</v>
      </c>
      <c r="H3054" s="1" t="s">
        <v>33</v>
      </c>
      <c r="I3054" s="1" t="s">
        <v>74</v>
      </c>
      <c r="J3054" s="1">
        <v>128.0</v>
      </c>
      <c r="K3054" s="1">
        <v>38.0</v>
      </c>
      <c r="L3054" s="1">
        <v>320.0</v>
      </c>
    </row>
    <row r="3055">
      <c r="A3055" s="1">
        <v>8103016.0</v>
      </c>
      <c r="B3055" s="1" t="s">
        <v>6584</v>
      </c>
      <c r="C3055" s="1" t="s">
        <v>6543</v>
      </c>
      <c r="D3055" s="1" t="s">
        <v>6568</v>
      </c>
      <c r="E3055" s="1" t="s">
        <v>6585</v>
      </c>
      <c r="F3055" s="1" t="s">
        <v>16</v>
      </c>
      <c r="G3055" s="1" t="s">
        <v>23</v>
      </c>
      <c r="H3055" s="1" t="s">
        <v>18</v>
      </c>
      <c r="I3055" s="1" t="s">
        <v>40</v>
      </c>
      <c r="J3055" s="1">
        <v>67.0</v>
      </c>
      <c r="K3055" s="1">
        <v>23.0</v>
      </c>
      <c r="L3055" s="1">
        <v>3.0</v>
      </c>
    </row>
    <row r="3056">
      <c r="A3056" s="1">
        <v>8171063.0</v>
      </c>
      <c r="B3056" s="1" t="s">
        <v>6586</v>
      </c>
      <c r="C3056" s="1" t="s">
        <v>6543</v>
      </c>
      <c r="D3056" s="1" t="s">
        <v>6544</v>
      </c>
      <c r="E3056" s="1" t="s">
        <v>6587</v>
      </c>
      <c r="F3056" s="1" t="s">
        <v>174</v>
      </c>
      <c r="G3056" s="1" t="s">
        <v>27</v>
      </c>
      <c r="H3056" s="1" t="s">
        <v>18</v>
      </c>
      <c r="I3056" s="1" t="s">
        <v>139</v>
      </c>
      <c r="J3056" s="1">
        <v>84.0</v>
      </c>
      <c r="K3056" s="1">
        <v>31.0</v>
      </c>
      <c r="L3056" s="1">
        <v>180.0</v>
      </c>
    </row>
    <row r="3057">
      <c r="A3057" s="1">
        <v>8106011.0</v>
      </c>
      <c r="B3057" s="1" t="s">
        <v>6588</v>
      </c>
      <c r="C3057" s="1" t="s">
        <v>6543</v>
      </c>
      <c r="D3057" s="1" t="s">
        <v>6589</v>
      </c>
      <c r="E3057" s="1" t="s">
        <v>6590</v>
      </c>
      <c r="F3057" s="1" t="s">
        <v>16</v>
      </c>
      <c r="G3057" s="1" t="s">
        <v>98</v>
      </c>
      <c r="H3057" s="1" t="s">
        <v>18</v>
      </c>
      <c r="I3057" s="1" t="s">
        <v>40</v>
      </c>
      <c r="J3057" s="1">
        <v>41.0</v>
      </c>
      <c r="K3057" s="1">
        <v>55.0</v>
      </c>
      <c r="L3057" s="1">
        <v>0.0</v>
      </c>
    </row>
    <row r="3058">
      <c r="A3058" s="1">
        <v>8103042.0</v>
      </c>
      <c r="B3058" s="1" t="s">
        <v>6591</v>
      </c>
      <c r="C3058" s="1" t="s">
        <v>6543</v>
      </c>
      <c r="D3058" s="1" t="s">
        <v>6568</v>
      </c>
      <c r="E3058" s="1" t="s">
        <v>6592</v>
      </c>
      <c r="F3058" s="1" t="s">
        <v>16</v>
      </c>
      <c r="G3058" s="1" t="s">
        <v>17</v>
      </c>
      <c r="H3058" s="1" t="s">
        <v>18</v>
      </c>
      <c r="I3058" s="1" t="s">
        <v>40</v>
      </c>
      <c r="J3058" s="1">
        <v>202.0</v>
      </c>
      <c r="K3058" s="1">
        <v>91.0</v>
      </c>
      <c r="L3058" s="1">
        <v>280.0</v>
      </c>
    </row>
    <row r="3059">
      <c r="A3059" s="1">
        <v>8101063.0</v>
      </c>
      <c r="B3059" s="1" t="s">
        <v>6593</v>
      </c>
      <c r="C3059" s="1" t="s">
        <v>6543</v>
      </c>
      <c r="D3059" s="1" t="s">
        <v>6550</v>
      </c>
      <c r="E3059" s="1" t="s">
        <v>6594</v>
      </c>
      <c r="F3059" s="1" t="s">
        <v>16</v>
      </c>
      <c r="G3059" s="1" t="s">
        <v>23</v>
      </c>
      <c r="H3059" s="1" t="s">
        <v>18</v>
      </c>
      <c r="I3059" s="1" t="s">
        <v>40</v>
      </c>
      <c r="J3059" s="1">
        <v>84.0</v>
      </c>
      <c r="K3059" s="1">
        <v>15.0</v>
      </c>
      <c r="L3059" s="1">
        <v>195.0</v>
      </c>
    </row>
    <row r="3060">
      <c r="A3060" s="1">
        <v>8171124.0</v>
      </c>
      <c r="B3060" s="1" t="s">
        <v>6595</v>
      </c>
      <c r="C3060" s="1" t="s">
        <v>6543</v>
      </c>
      <c r="D3060" s="1" t="s">
        <v>6544</v>
      </c>
      <c r="E3060" s="1" t="s">
        <v>6596</v>
      </c>
      <c r="F3060" s="1" t="s">
        <v>16</v>
      </c>
      <c r="G3060" s="1" t="s">
        <v>17</v>
      </c>
      <c r="H3060" s="1" t="s">
        <v>18</v>
      </c>
      <c r="I3060" s="1" t="s">
        <v>19</v>
      </c>
      <c r="J3060" s="1">
        <v>157.0</v>
      </c>
      <c r="K3060" s="1">
        <v>41.0</v>
      </c>
      <c r="L3060" s="1">
        <v>67.0</v>
      </c>
    </row>
    <row r="3061">
      <c r="A3061" s="1">
        <v>8171085.0</v>
      </c>
      <c r="B3061" s="1" t="s">
        <v>6597</v>
      </c>
      <c r="C3061" s="1" t="s">
        <v>6543</v>
      </c>
      <c r="D3061" s="1" t="s">
        <v>6544</v>
      </c>
      <c r="E3061" s="1" t="s">
        <v>6598</v>
      </c>
      <c r="F3061" s="1" t="s">
        <v>16</v>
      </c>
      <c r="G3061" s="1" t="s">
        <v>17</v>
      </c>
      <c r="H3061" s="1" t="s">
        <v>18</v>
      </c>
      <c r="I3061" s="1" t="s">
        <v>258</v>
      </c>
      <c r="J3061" s="1">
        <v>57.0</v>
      </c>
      <c r="K3061" s="1">
        <v>23.0</v>
      </c>
      <c r="L3061" s="1">
        <v>64.0</v>
      </c>
    </row>
    <row r="3062">
      <c r="A3062" s="1">
        <v>8105019.0</v>
      </c>
      <c r="B3062" s="1" t="s">
        <v>6599</v>
      </c>
      <c r="C3062" s="1" t="s">
        <v>6543</v>
      </c>
      <c r="D3062" s="1" t="s">
        <v>6600</v>
      </c>
      <c r="E3062" s="1" t="s">
        <v>6601</v>
      </c>
      <c r="F3062" s="1" t="s">
        <v>16</v>
      </c>
      <c r="G3062" s="1" t="s">
        <v>23</v>
      </c>
      <c r="H3062" s="1" t="s">
        <v>28</v>
      </c>
      <c r="I3062" s="1" t="s">
        <v>40</v>
      </c>
      <c r="J3062" s="1">
        <v>98.0</v>
      </c>
      <c r="K3062" s="1">
        <v>28.0</v>
      </c>
      <c r="L3062" s="1">
        <v>335.0</v>
      </c>
    </row>
    <row r="3063">
      <c r="A3063" s="1">
        <v>8171121.0</v>
      </c>
      <c r="B3063" s="1" t="s">
        <v>6602</v>
      </c>
      <c r="C3063" s="1" t="s">
        <v>6543</v>
      </c>
      <c r="D3063" s="1" t="s">
        <v>6544</v>
      </c>
      <c r="E3063" s="1" t="s">
        <v>6603</v>
      </c>
      <c r="F3063" s="1" t="s">
        <v>16</v>
      </c>
      <c r="G3063" s="1" t="s">
        <v>17</v>
      </c>
      <c r="H3063" s="1" t="s">
        <v>33</v>
      </c>
      <c r="I3063" s="1" t="s">
        <v>65</v>
      </c>
      <c r="J3063" s="1">
        <v>112.0</v>
      </c>
      <c r="K3063" s="1">
        <v>42.0</v>
      </c>
      <c r="L3063" s="1">
        <v>164.0</v>
      </c>
    </row>
    <row r="3064">
      <c r="A3064" s="1">
        <v>8106010.0</v>
      </c>
      <c r="B3064" s="1" t="s">
        <v>6604</v>
      </c>
      <c r="C3064" s="1" t="s">
        <v>6543</v>
      </c>
      <c r="D3064" s="1" t="s">
        <v>6589</v>
      </c>
      <c r="E3064" s="1" t="s">
        <v>6605</v>
      </c>
      <c r="F3064" s="1" t="s">
        <v>16</v>
      </c>
      <c r="G3064" s="1" t="s">
        <v>17</v>
      </c>
      <c r="H3064" s="1" t="s">
        <v>18</v>
      </c>
      <c r="I3064" s="1" t="s">
        <v>40</v>
      </c>
      <c r="J3064" s="1">
        <v>156.0</v>
      </c>
      <c r="K3064" s="1">
        <v>21.0</v>
      </c>
      <c r="L3064" s="1">
        <v>15.0</v>
      </c>
    </row>
    <row r="3065">
      <c r="A3065" s="1">
        <v>8171110.0</v>
      </c>
      <c r="B3065" s="1" t="s">
        <v>6606</v>
      </c>
      <c r="C3065" s="1" t="s">
        <v>6543</v>
      </c>
      <c r="D3065" s="1" t="s">
        <v>6544</v>
      </c>
      <c r="E3065" s="1" t="s">
        <v>6607</v>
      </c>
      <c r="F3065" s="1" t="s">
        <v>16</v>
      </c>
      <c r="G3065" s="1" t="s">
        <v>17</v>
      </c>
      <c r="H3065" s="1" t="s">
        <v>18</v>
      </c>
      <c r="I3065" s="1" t="s">
        <v>684</v>
      </c>
      <c r="J3065" s="1">
        <v>113.0</v>
      </c>
      <c r="K3065" s="1">
        <v>30.0</v>
      </c>
      <c r="L3065" s="1">
        <v>92.0</v>
      </c>
    </row>
    <row r="3066">
      <c r="A3066" s="1">
        <v>8101015.0</v>
      </c>
      <c r="B3066" s="1" t="s">
        <v>6608</v>
      </c>
      <c r="C3066" s="1" t="s">
        <v>6543</v>
      </c>
      <c r="D3066" s="1" t="s">
        <v>6578</v>
      </c>
      <c r="E3066" s="1" t="s">
        <v>6609</v>
      </c>
      <c r="F3066" s="1" t="s">
        <v>16</v>
      </c>
      <c r="G3066" s="1" t="s">
        <v>17</v>
      </c>
      <c r="H3066" s="1" t="s">
        <v>28</v>
      </c>
      <c r="I3066" s="1" t="s">
        <v>40</v>
      </c>
      <c r="J3066" s="1">
        <v>176.0</v>
      </c>
      <c r="K3066" s="1">
        <v>84.0</v>
      </c>
      <c r="L3066" s="1">
        <v>253.0</v>
      </c>
    </row>
    <row r="3067">
      <c r="A3067" s="1">
        <v>8205032.0</v>
      </c>
      <c r="B3067" s="1" t="s">
        <v>6610</v>
      </c>
      <c r="C3067" s="1" t="s">
        <v>6611</v>
      </c>
      <c r="D3067" s="1" t="s">
        <v>6612</v>
      </c>
      <c r="E3067" s="1" t="s">
        <v>6613</v>
      </c>
      <c r="F3067" s="1" t="s">
        <v>16</v>
      </c>
      <c r="G3067" s="1" t="s">
        <v>17</v>
      </c>
      <c r="H3067" s="1" t="s">
        <v>18</v>
      </c>
      <c r="I3067" s="1" t="s">
        <v>40</v>
      </c>
      <c r="J3067" s="1">
        <v>163.0</v>
      </c>
      <c r="K3067" s="1">
        <v>31.0</v>
      </c>
      <c r="L3067" s="1">
        <v>147.0</v>
      </c>
    </row>
    <row r="3068">
      <c r="A3068" s="1">
        <v>8271031.0</v>
      </c>
      <c r="B3068" s="1" t="s">
        <v>6614</v>
      </c>
      <c r="C3068" s="1" t="s">
        <v>6611</v>
      </c>
      <c r="D3068" s="1" t="s">
        <v>6615</v>
      </c>
      <c r="E3068" s="1" t="s">
        <v>6616</v>
      </c>
      <c r="F3068" s="1" t="s">
        <v>16</v>
      </c>
      <c r="G3068" s="1" t="s">
        <v>23</v>
      </c>
      <c r="H3068" s="1" t="s">
        <v>18</v>
      </c>
      <c r="I3068" s="1" t="s">
        <v>59</v>
      </c>
      <c r="J3068" s="1">
        <v>79.0</v>
      </c>
      <c r="K3068" s="1">
        <v>35.0</v>
      </c>
      <c r="L3068" s="1">
        <v>129.0</v>
      </c>
    </row>
    <row r="3069">
      <c r="A3069" s="1">
        <v>8201021.0</v>
      </c>
      <c r="B3069" s="1" t="s">
        <v>6617</v>
      </c>
      <c r="C3069" s="1" t="s">
        <v>6611</v>
      </c>
      <c r="D3069" s="1" t="s">
        <v>6618</v>
      </c>
      <c r="E3069" s="1" t="s">
        <v>6619</v>
      </c>
      <c r="F3069" s="1" t="s">
        <v>16</v>
      </c>
      <c r="G3069" s="1" t="s">
        <v>17</v>
      </c>
      <c r="H3069" s="1" t="s">
        <v>28</v>
      </c>
      <c r="I3069" s="1" t="s">
        <v>40</v>
      </c>
      <c r="J3069" s="1">
        <v>126.0</v>
      </c>
      <c r="K3069" s="1">
        <v>34.0</v>
      </c>
      <c r="L3069" s="1">
        <v>337.0</v>
      </c>
    </row>
    <row r="3070">
      <c r="A3070" s="1">
        <v>8272003.0</v>
      </c>
      <c r="B3070" s="1" t="s">
        <v>6620</v>
      </c>
      <c r="C3070" s="1" t="s">
        <v>6611</v>
      </c>
      <c r="D3070" s="1" t="s">
        <v>6621</v>
      </c>
      <c r="E3070" s="1" t="s">
        <v>6622</v>
      </c>
      <c r="F3070" s="1" t="s">
        <v>16</v>
      </c>
      <c r="G3070" s="1" t="s">
        <v>23</v>
      </c>
      <c r="H3070" s="1" t="s">
        <v>18</v>
      </c>
      <c r="I3070" s="1" t="s">
        <v>139</v>
      </c>
      <c r="J3070" s="1">
        <v>63.0</v>
      </c>
      <c r="K3070" s="1">
        <v>23.0</v>
      </c>
      <c r="L3070" s="1">
        <v>63.0</v>
      </c>
    </row>
    <row r="3071">
      <c r="A3071" s="1">
        <v>8203020.0</v>
      </c>
      <c r="B3071" s="1" t="s">
        <v>6623</v>
      </c>
      <c r="C3071" s="1" t="s">
        <v>6611</v>
      </c>
      <c r="D3071" s="1" t="s">
        <v>6624</v>
      </c>
      <c r="E3071" s="1" t="s">
        <v>6625</v>
      </c>
      <c r="F3071" s="1" t="s">
        <v>16</v>
      </c>
      <c r="G3071" s="1" t="s">
        <v>23</v>
      </c>
      <c r="H3071" s="1" t="s">
        <v>18</v>
      </c>
      <c r="I3071" s="1" t="s">
        <v>40</v>
      </c>
      <c r="J3071" s="1">
        <v>73.0</v>
      </c>
      <c r="K3071" s="1">
        <v>27.0</v>
      </c>
      <c r="L3071" s="1">
        <v>135.0</v>
      </c>
    </row>
    <row r="3072">
      <c r="A3072" s="1">
        <v>8204011.0</v>
      </c>
      <c r="B3072" s="1" t="s">
        <v>6626</v>
      </c>
      <c r="C3072" s="1" t="s">
        <v>6611</v>
      </c>
      <c r="D3072" s="1" t="s">
        <v>6627</v>
      </c>
      <c r="E3072" s="1" t="s">
        <v>6628</v>
      </c>
      <c r="F3072" s="1" t="s">
        <v>16</v>
      </c>
      <c r="G3072" s="1" t="s">
        <v>23</v>
      </c>
      <c r="H3072" s="1" t="s">
        <v>18</v>
      </c>
      <c r="I3072" s="1" t="s">
        <v>40</v>
      </c>
      <c r="J3072" s="1">
        <v>20.0</v>
      </c>
      <c r="K3072" s="1">
        <v>8.0</v>
      </c>
      <c r="L3072" s="1">
        <v>11.0</v>
      </c>
    </row>
    <row r="3073">
      <c r="A3073" s="1">
        <v>8206012.0</v>
      </c>
      <c r="B3073" s="1" t="s">
        <v>6629</v>
      </c>
      <c r="C3073" s="1" t="s">
        <v>6611</v>
      </c>
      <c r="D3073" s="1" t="s">
        <v>6630</v>
      </c>
      <c r="E3073" s="1" t="s">
        <v>6631</v>
      </c>
      <c r="F3073" s="1" t="s">
        <v>16</v>
      </c>
      <c r="G3073" s="1" t="s">
        <v>23</v>
      </c>
      <c r="H3073" s="1" t="s">
        <v>18</v>
      </c>
      <c r="I3073" s="1" t="s">
        <v>40</v>
      </c>
      <c r="J3073" s="1">
        <v>76.0</v>
      </c>
      <c r="K3073" s="1">
        <v>43.0</v>
      </c>
      <c r="L3073" s="1">
        <v>162.0</v>
      </c>
    </row>
    <row r="3074">
      <c r="A3074" s="1">
        <v>8205021.0</v>
      </c>
      <c r="B3074" s="1" t="s">
        <v>6632</v>
      </c>
      <c r="C3074" s="1" t="s">
        <v>6611</v>
      </c>
      <c r="D3074" s="1" t="s">
        <v>6633</v>
      </c>
      <c r="E3074" s="1" t="s">
        <v>6634</v>
      </c>
      <c r="F3074" s="1" t="s">
        <v>16</v>
      </c>
      <c r="G3074" s="1" t="s">
        <v>23</v>
      </c>
      <c r="H3074" s="1" t="s">
        <v>18</v>
      </c>
      <c r="I3074" s="1" t="s">
        <v>40</v>
      </c>
      <c r="J3074" s="1">
        <v>99.0</v>
      </c>
      <c r="K3074" s="1">
        <v>28.0</v>
      </c>
      <c r="L3074" s="1">
        <v>237.0</v>
      </c>
    </row>
    <row r="3075">
      <c r="A3075" s="1">
        <v>8271070.0</v>
      </c>
      <c r="B3075" s="1" t="s">
        <v>6635</v>
      </c>
      <c r="C3075" s="1" t="s">
        <v>6611</v>
      </c>
      <c r="D3075" s="1" t="s">
        <v>6615</v>
      </c>
      <c r="E3075" s="1" t="s">
        <v>6636</v>
      </c>
      <c r="F3075" s="1" t="s">
        <v>55</v>
      </c>
      <c r="G3075" s="1" t="s">
        <v>17</v>
      </c>
      <c r="H3075" s="1" t="s">
        <v>18</v>
      </c>
      <c r="I3075" s="1" t="s">
        <v>19</v>
      </c>
      <c r="J3075" s="1">
        <v>33.0</v>
      </c>
      <c r="K3075" s="1">
        <v>15.0</v>
      </c>
      <c r="L3075" s="1">
        <v>0.0</v>
      </c>
    </row>
    <row r="3076">
      <c r="A3076" s="1">
        <v>8271020.0</v>
      </c>
      <c r="B3076" s="1" t="s">
        <v>6637</v>
      </c>
      <c r="C3076" s="1" t="s">
        <v>6611</v>
      </c>
      <c r="D3076" s="1" t="s">
        <v>6615</v>
      </c>
      <c r="E3076" s="1" t="s">
        <v>6638</v>
      </c>
      <c r="F3076" s="1" t="s">
        <v>16</v>
      </c>
      <c r="G3076" s="1" t="s">
        <v>23</v>
      </c>
      <c r="H3076" s="1" t="s">
        <v>18</v>
      </c>
      <c r="I3076" s="1" t="s">
        <v>74</v>
      </c>
      <c r="J3076" s="1">
        <v>52.0</v>
      </c>
      <c r="K3076" s="1">
        <v>14.0</v>
      </c>
      <c r="L3076" s="1">
        <v>79.0</v>
      </c>
    </row>
    <row r="3077">
      <c r="A3077" s="1">
        <v>8272004.0</v>
      </c>
      <c r="B3077" s="1" t="s">
        <v>6639</v>
      </c>
      <c r="C3077" s="1" t="s">
        <v>6611</v>
      </c>
      <c r="D3077" s="1" t="s">
        <v>6621</v>
      </c>
      <c r="E3077" s="1" t="s">
        <v>6640</v>
      </c>
      <c r="F3077" s="1" t="s">
        <v>174</v>
      </c>
      <c r="G3077" s="1" t="s">
        <v>17</v>
      </c>
      <c r="H3077" s="1" t="s">
        <v>18</v>
      </c>
      <c r="I3077" s="1" t="s">
        <v>139</v>
      </c>
      <c r="J3077" s="1">
        <v>32.0</v>
      </c>
      <c r="K3077" s="1">
        <v>12.0</v>
      </c>
      <c r="L3077" s="1">
        <v>22.0</v>
      </c>
    </row>
    <row r="3078">
      <c r="A3078" s="1">
        <v>8208001.0</v>
      </c>
      <c r="B3078" s="1" t="s">
        <v>6641</v>
      </c>
      <c r="C3078" s="1" t="s">
        <v>6611</v>
      </c>
      <c r="D3078" s="1" t="s">
        <v>6642</v>
      </c>
      <c r="E3078" s="1" t="s">
        <v>6643</v>
      </c>
      <c r="F3078" s="1" t="s">
        <v>16</v>
      </c>
      <c r="G3078" s="1" t="s">
        <v>98</v>
      </c>
      <c r="H3078" s="1" t="s">
        <v>18</v>
      </c>
      <c r="I3078" s="1" t="s">
        <v>40</v>
      </c>
      <c r="J3078" s="1">
        <v>31.0</v>
      </c>
      <c r="K3078" s="1">
        <v>12.0</v>
      </c>
      <c r="L3078" s="1">
        <v>72.0</v>
      </c>
    </row>
    <row r="3079">
      <c r="A3079" s="1">
        <v>8201010.0</v>
      </c>
      <c r="B3079" s="1" t="s">
        <v>6644</v>
      </c>
      <c r="C3079" s="1" t="s">
        <v>6611</v>
      </c>
      <c r="D3079" s="1" t="s">
        <v>6645</v>
      </c>
      <c r="E3079" s="1" t="s">
        <v>6646</v>
      </c>
      <c r="F3079" s="1" t="s">
        <v>16</v>
      </c>
      <c r="G3079" s="1" t="s">
        <v>27</v>
      </c>
      <c r="H3079" s="1" t="s">
        <v>28</v>
      </c>
      <c r="I3079" s="1" t="s">
        <v>40</v>
      </c>
      <c r="J3079" s="1">
        <v>200.0</v>
      </c>
      <c r="K3079" s="1">
        <v>37.0</v>
      </c>
      <c r="L3079" s="1">
        <v>479.0</v>
      </c>
    </row>
    <row r="3080">
      <c r="A3080" s="1">
        <v>8271042.0</v>
      </c>
      <c r="B3080" s="1" t="s">
        <v>6647</v>
      </c>
      <c r="C3080" s="1" t="s">
        <v>6611</v>
      </c>
      <c r="D3080" s="1" t="s">
        <v>6615</v>
      </c>
      <c r="E3080" s="1" t="s">
        <v>6648</v>
      </c>
      <c r="F3080" s="1" t="s">
        <v>16</v>
      </c>
      <c r="G3080" s="1" t="s">
        <v>23</v>
      </c>
      <c r="H3080" s="1" t="s">
        <v>18</v>
      </c>
      <c r="I3080" s="1" t="s">
        <v>59</v>
      </c>
      <c r="J3080" s="1">
        <v>44.0</v>
      </c>
      <c r="K3080" s="1">
        <v>24.0</v>
      </c>
      <c r="L3080" s="1">
        <v>56.0</v>
      </c>
    </row>
    <row r="3081">
      <c r="A3081" s="1">
        <v>8202043.0</v>
      </c>
      <c r="B3081" s="1" t="s">
        <v>6649</v>
      </c>
      <c r="C3081" s="1" t="s">
        <v>6611</v>
      </c>
      <c r="D3081" s="1" t="s">
        <v>6621</v>
      </c>
      <c r="E3081" s="1" t="s">
        <v>6650</v>
      </c>
      <c r="F3081" s="1" t="s">
        <v>16</v>
      </c>
      <c r="G3081" s="1" t="s">
        <v>17</v>
      </c>
      <c r="H3081" s="1" t="s">
        <v>28</v>
      </c>
      <c r="I3081" s="1" t="s">
        <v>29</v>
      </c>
      <c r="J3081" s="1">
        <v>151.0</v>
      </c>
      <c r="K3081" s="1">
        <v>56.0</v>
      </c>
      <c r="L3081" s="1">
        <v>515.0</v>
      </c>
    </row>
    <row r="3082">
      <c r="A3082" s="1">
        <v>8271058.0</v>
      </c>
      <c r="B3082" s="1" t="s">
        <v>6651</v>
      </c>
      <c r="C3082" s="1" t="s">
        <v>6611</v>
      </c>
      <c r="D3082" s="1" t="s">
        <v>6615</v>
      </c>
      <c r="E3082" s="1" t="s">
        <v>6652</v>
      </c>
      <c r="F3082" s="1" t="s">
        <v>16</v>
      </c>
      <c r="G3082" s="1" t="s">
        <v>23</v>
      </c>
      <c r="H3082" s="1" t="s">
        <v>18</v>
      </c>
      <c r="I3082" s="1" t="s">
        <v>65</v>
      </c>
      <c r="J3082" s="1">
        <v>38.0</v>
      </c>
      <c r="K3082" s="1">
        <v>28.0</v>
      </c>
      <c r="L3082" s="1">
        <v>0.0</v>
      </c>
    </row>
    <row r="3083">
      <c r="A3083" s="1">
        <v>8204010.0</v>
      </c>
      <c r="B3083" s="1" t="s">
        <v>6653</v>
      </c>
      <c r="C3083" s="1" t="s">
        <v>6611</v>
      </c>
      <c r="D3083" s="1" t="s">
        <v>6627</v>
      </c>
      <c r="E3083" s="1" t="s">
        <v>6654</v>
      </c>
      <c r="F3083" s="1" t="s">
        <v>16</v>
      </c>
      <c r="G3083" s="1" t="s">
        <v>17</v>
      </c>
      <c r="H3083" s="1" t="s">
        <v>28</v>
      </c>
      <c r="I3083" s="1" t="s">
        <v>40</v>
      </c>
      <c r="J3083" s="1">
        <v>143.0</v>
      </c>
      <c r="K3083" s="1">
        <v>52.0</v>
      </c>
      <c r="L3083" s="1">
        <v>420.0</v>
      </c>
    </row>
    <row r="3084">
      <c r="A3084" s="1">
        <v>8271057.0</v>
      </c>
      <c r="B3084" s="1" t="s">
        <v>6655</v>
      </c>
      <c r="C3084" s="1" t="s">
        <v>6611</v>
      </c>
      <c r="D3084" s="1" t="s">
        <v>6615</v>
      </c>
      <c r="E3084" s="1" t="s">
        <v>6656</v>
      </c>
      <c r="F3084" s="1" t="s">
        <v>16</v>
      </c>
      <c r="G3084" s="1" t="s">
        <v>23</v>
      </c>
      <c r="H3084" s="1" t="s">
        <v>18</v>
      </c>
      <c r="I3084" s="1" t="s">
        <v>59</v>
      </c>
      <c r="J3084" s="1">
        <v>58.0</v>
      </c>
      <c r="K3084" s="1">
        <v>21.0</v>
      </c>
      <c r="L3084" s="1">
        <v>54.0</v>
      </c>
    </row>
    <row r="3085">
      <c r="A3085" s="1">
        <v>8205033.0</v>
      </c>
      <c r="B3085" s="1" t="s">
        <v>6657</v>
      </c>
      <c r="C3085" s="1" t="s">
        <v>6611</v>
      </c>
      <c r="D3085" s="1" t="s">
        <v>6645</v>
      </c>
      <c r="E3085" s="1" t="s">
        <v>6658</v>
      </c>
      <c r="F3085" s="1" t="s">
        <v>16</v>
      </c>
      <c r="G3085" s="1" t="s">
        <v>23</v>
      </c>
      <c r="H3085" s="1" t="s">
        <v>18</v>
      </c>
      <c r="I3085" s="1" t="s">
        <v>258</v>
      </c>
      <c r="J3085" s="1">
        <v>66.0</v>
      </c>
      <c r="K3085" s="1">
        <v>22.0</v>
      </c>
      <c r="L3085" s="1">
        <v>67.0</v>
      </c>
    </row>
    <row r="3086">
      <c r="A3086" s="1">
        <v>8271016.0</v>
      </c>
      <c r="B3086" s="1" t="s">
        <v>6659</v>
      </c>
      <c r="C3086" s="1" t="s">
        <v>6611</v>
      </c>
      <c r="D3086" s="1" t="s">
        <v>6615</v>
      </c>
      <c r="E3086" s="1" t="s">
        <v>6660</v>
      </c>
      <c r="F3086" s="1" t="s">
        <v>16</v>
      </c>
      <c r="G3086" s="1" t="s">
        <v>27</v>
      </c>
      <c r="H3086" s="1" t="s">
        <v>28</v>
      </c>
      <c r="I3086" s="1" t="s">
        <v>139</v>
      </c>
      <c r="J3086" s="1">
        <v>292.0</v>
      </c>
      <c r="K3086" s="1">
        <v>95.0</v>
      </c>
      <c r="L3086" s="1">
        <v>752.0</v>
      </c>
    </row>
    <row r="3087">
      <c r="A3087" s="1">
        <v>8271069.0</v>
      </c>
      <c r="B3087" s="1" t="s">
        <v>6661</v>
      </c>
      <c r="C3087" s="1" t="s">
        <v>6611</v>
      </c>
      <c r="D3087" s="1" t="s">
        <v>6615</v>
      </c>
      <c r="E3087" s="1" t="s">
        <v>6662</v>
      </c>
      <c r="F3087" s="1" t="s">
        <v>16</v>
      </c>
      <c r="G3087" s="1" t="s">
        <v>23</v>
      </c>
      <c r="H3087" s="1" t="s">
        <v>18</v>
      </c>
      <c r="I3087" s="1" t="s">
        <v>29</v>
      </c>
      <c r="J3087" s="1">
        <v>31.0</v>
      </c>
      <c r="K3087" s="1">
        <v>18.0</v>
      </c>
      <c r="L3087" s="1">
        <v>0.0</v>
      </c>
    </row>
    <row r="3088">
      <c r="A3088" s="1">
        <v>8204012.0</v>
      </c>
      <c r="B3088" s="1" t="s">
        <v>6663</v>
      </c>
      <c r="C3088" s="1" t="s">
        <v>6611</v>
      </c>
      <c r="D3088" s="1" t="s">
        <v>6627</v>
      </c>
      <c r="E3088" s="1" t="s">
        <v>6664</v>
      </c>
      <c r="F3088" s="1" t="s">
        <v>16</v>
      </c>
      <c r="G3088" s="1" t="s">
        <v>23</v>
      </c>
      <c r="H3088" s="1" t="s">
        <v>18</v>
      </c>
      <c r="I3088" s="1" t="s">
        <v>40</v>
      </c>
      <c r="J3088" s="1">
        <v>66.0</v>
      </c>
      <c r="K3088" s="1">
        <v>7.0</v>
      </c>
      <c r="L3088" s="1">
        <v>43.0</v>
      </c>
    </row>
    <row r="3089">
      <c r="A3089" s="1">
        <v>9106013.0</v>
      </c>
      <c r="B3089" s="1" t="s">
        <v>6665</v>
      </c>
      <c r="C3089" s="1" t="s">
        <v>6666</v>
      </c>
      <c r="D3089" s="1" t="s">
        <v>6667</v>
      </c>
      <c r="E3089" s="1" t="s">
        <v>6668</v>
      </c>
      <c r="F3089" s="1" t="s">
        <v>16</v>
      </c>
      <c r="G3089" s="1" t="s">
        <v>17</v>
      </c>
      <c r="H3089" s="1" t="s">
        <v>28</v>
      </c>
      <c r="I3089" s="1" t="s">
        <v>40</v>
      </c>
      <c r="J3089" s="1">
        <v>82.0</v>
      </c>
      <c r="K3089" s="1">
        <v>58.0</v>
      </c>
      <c r="L3089" s="1">
        <v>263.0</v>
      </c>
    </row>
    <row r="3090">
      <c r="A3090" s="1">
        <v>9108002.0</v>
      </c>
      <c r="B3090" s="1" t="s">
        <v>6669</v>
      </c>
      <c r="C3090" s="1" t="s">
        <v>6666</v>
      </c>
      <c r="D3090" s="1" t="s">
        <v>6670</v>
      </c>
      <c r="E3090" s="1" t="s">
        <v>6671</v>
      </c>
      <c r="F3090" s="1" t="s">
        <v>16</v>
      </c>
      <c r="G3090" s="1" t="s">
        <v>23</v>
      </c>
      <c r="H3090" s="1" t="s">
        <v>18</v>
      </c>
      <c r="I3090" s="1" t="s">
        <v>40</v>
      </c>
      <c r="J3090" s="1">
        <v>182.0</v>
      </c>
      <c r="K3090" s="1">
        <v>17.0</v>
      </c>
      <c r="L3090" s="1">
        <v>100.0</v>
      </c>
    </row>
    <row r="3091">
      <c r="A3091" s="1">
        <v>9110011.0</v>
      </c>
      <c r="B3091" s="1" t="s">
        <v>6672</v>
      </c>
      <c r="C3091" s="1" t="s">
        <v>6666</v>
      </c>
      <c r="D3091" s="1" t="s">
        <v>6673</v>
      </c>
      <c r="E3091" s="1" t="s">
        <v>6674</v>
      </c>
      <c r="F3091" s="1" t="s">
        <v>16</v>
      </c>
      <c r="G3091" s="1" t="s">
        <v>98</v>
      </c>
      <c r="H3091" s="1" t="s">
        <v>18</v>
      </c>
      <c r="I3091" s="1" t="s">
        <v>40</v>
      </c>
      <c r="J3091" s="1">
        <v>4.0</v>
      </c>
      <c r="K3091" s="1">
        <v>8.0</v>
      </c>
      <c r="L3091" s="1">
        <v>0.0</v>
      </c>
    </row>
    <row r="3092">
      <c r="A3092" s="1">
        <v>9109002.0</v>
      </c>
      <c r="B3092" s="1" t="s">
        <v>6675</v>
      </c>
      <c r="C3092" s="1" t="s">
        <v>6666</v>
      </c>
      <c r="D3092" s="1" t="s">
        <v>6676</v>
      </c>
      <c r="E3092" s="1" t="s">
        <v>6677</v>
      </c>
      <c r="F3092" s="1" t="s">
        <v>16</v>
      </c>
      <c r="G3092" s="1" t="s">
        <v>98</v>
      </c>
      <c r="H3092" s="1" t="s">
        <v>18</v>
      </c>
      <c r="I3092" s="1" t="s">
        <v>40</v>
      </c>
      <c r="J3092" s="1">
        <v>39.0</v>
      </c>
      <c r="K3092" s="1">
        <v>15.0</v>
      </c>
      <c r="L3092" s="1">
        <v>0.0</v>
      </c>
    </row>
    <row r="3093">
      <c r="A3093" s="1">
        <v>9102022.0</v>
      </c>
      <c r="B3093" s="1" t="s">
        <v>6678</v>
      </c>
      <c r="C3093" s="1" t="s">
        <v>6679</v>
      </c>
      <c r="D3093" s="1" t="s">
        <v>6680</v>
      </c>
      <c r="E3093" s="1" t="s">
        <v>6681</v>
      </c>
      <c r="F3093" s="1" t="s">
        <v>16</v>
      </c>
      <c r="G3093" s="1" t="s">
        <v>23</v>
      </c>
      <c r="H3093" s="1" t="s">
        <v>18</v>
      </c>
      <c r="I3093" s="1" t="s">
        <v>74</v>
      </c>
      <c r="J3093" s="1">
        <v>60.0</v>
      </c>
      <c r="K3093" s="1">
        <v>27.0</v>
      </c>
      <c r="L3093" s="1">
        <v>4.0</v>
      </c>
    </row>
    <row r="3094">
      <c r="A3094" s="1">
        <v>9105017.0</v>
      </c>
      <c r="B3094" s="1" t="s">
        <v>6682</v>
      </c>
      <c r="C3094" s="1" t="s">
        <v>6679</v>
      </c>
      <c r="D3094" s="1" t="s">
        <v>6680</v>
      </c>
      <c r="E3094" s="1" t="s">
        <v>6683</v>
      </c>
      <c r="F3094" s="1" t="s">
        <v>16</v>
      </c>
      <c r="G3094" s="1" t="s">
        <v>23</v>
      </c>
      <c r="H3094" s="1" t="s">
        <v>18</v>
      </c>
      <c r="I3094" s="1" t="s">
        <v>19</v>
      </c>
      <c r="J3094" s="1">
        <v>55.0</v>
      </c>
      <c r="K3094" s="1">
        <v>17.0</v>
      </c>
      <c r="L3094" s="1">
        <v>0.0</v>
      </c>
    </row>
    <row r="3095">
      <c r="A3095" s="1">
        <v>9102034.0</v>
      </c>
      <c r="B3095" s="1" t="s">
        <v>6684</v>
      </c>
      <c r="C3095" s="1" t="s">
        <v>6679</v>
      </c>
      <c r="D3095" s="1" t="s">
        <v>6685</v>
      </c>
      <c r="E3095" s="1" t="s">
        <v>6686</v>
      </c>
      <c r="F3095" s="1" t="s">
        <v>16</v>
      </c>
      <c r="G3095" s="1" t="s">
        <v>17</v>
      </c>
      <c r="H3095" s="1" t="s">
        <v>18</v>
      </c>
      <c r="I3095" s="1" t="s">
        <v>40</v>
      </c>
      <c r="J3095" s="1">
        <v>100.0</v>
      </c>
      <c r="K3095" s="1">
        <v>32.0</v>
      </c>
      <c r="L3095" s="1">
        <v>270.0</v>
      </c>
    </row>
    <row r="3096">
      <c r="A3096" s="1">
        <v>9103035.0</v>
      </c>
      <c r="B3096" s="1" t="s">
        <v>6687</v>
      </c>
      <c r="C3096" s="1" t="s">
        <v>6679</v>
      </c>
      <c r="D3096" s="1" t="s">
        <v>6688</v>
      </c>
      <c r="E3096" s="1" t="s">
        <v>6689</v>
      </c>
      <c r="F3096" s="1" t="s">
        <v>16</v>
      </c>
      <c r="G3096" s="1" t="s">
        <v>17</v>
      </c>
      <c r="H3096" s="1" t="s">
        <v>28</v>
      </c>
      <c r="I3096" s="1" t="s">
        <v>40</v>
      </c>
      <c r="J3096" s="1">
        <v>103.0</v>
      </c>
      <c r="K3096" s="1">
        <v>22.0</v>
      </c>
      <c r="L3096" s="1">
        <v>218.0</v>
      </c>
    </row>
    <row r="3097">
      <c r="A3097" s="1">
        <v>9171010.0</v>
      </c>
      <c r="B3097" s="1" t="s">
        <v>6690</v>
      </c>
      <c r="C3097" s="1" t="s">
        <v>6666</v>
      </c>
      <c r="D3097" s="1" t="s">
        <v>6691</v>
      </c>
      <c r="E3097" s="1" t="s">
        <v>6692</v>
      </c>
      <c r="F3097" s="1" t="s">
        <v>16</v>
      </c>
      <c r="G3097" s="1" t="s">
        <v>17</v>
      </c>
      <c r="H3097" s="1" t="s">
        <v>28</v>
      </c>
      <c r="I3097" s="1" t="s">
        <v>40</v>
      </c>
      <c r="J3097" s="1">
        <v>220.0</v>
      </c>
      <c r="K3097" s="1">
        <v>43.0</v>
      </c>
      <c r="L3097" s="1">
        <v>323.0</v>
      </c>
    </row>
    <row r="3098">
      <c r="A3098" s="1">
        <v>9171047.0</v>
      </c>
      <c r="B3098" s="1" t="s">
        <v>6693</v>
      </c>
      <c r="C3098" s="1" t="s">
        <v>6666</v>
      </c>
      <c r="D3098" s="1" t="s">
        <v>6694</v>
      </c>
      <c r="E3098" s="1" t="s">
        <v>6695</v>
      </c>
      <c r="F3098" s="1" t="s">
        <v>16</v>
      </c>
      <c r="G3098" s="1" t="s">
        <v>23</v>
      </c>
      <c r="H3098" s="1" t="s">
        <v>18</v>
      </c>
      <c r="I3098" s="1" t="s">
        <v>95</v>
      </c>
      <c r="J3098" s="1">
        <v>92.0</v>
      </c>
      <c r="K3098" s="1">
        <v>18.0</v>
      </c>
      <c r="L3098" s="1">
        <v>93.0</v>
      </c>
    </row>
    <row r="3099">
      <c r="A3099" s="1">
        <v>9105005.0</v>
      </c>
      <c r="B3099" s="1" t="s">
        <v>6696</v>
      </c>
      <c r="C3099" s="1" t="s">
        <v>6679</v>
      </c>
      <c r="D3099" s="1" t="s">
        <v>6680</v>
      </c>
      <c r="E3099" s="1" t="s">
        <v>6697</v>
      </c>
      <c r="F3099" s="1" t="s">
        <v>16</v>
      </c>
      <c r="G3099" s="1" t="s">
        <v>23</v>
      </c>
      <c r="H3099" s="1" t="s">
        <v>18</v>
      </c>
      <c r="I3099" s="1" t="s">
        <v>65</v>
      </c>
      <c r="J3099" s="1">
        <v>53.0</v>
      </c>
      <c r="K3099" s="1">
        <v>15.0</v>
      </c>
      <c r="L3099" s="1">
        <v>60.0</v>
      </c>
    </row>
    <row r="3100">
      <c r="A3100" s="1">
        <v>9111001.0</v>
      </c>
      <c r="B3100" s="1" t="s">
        <v>6698</v>
      </c>
      <c r="C3100" s="1" t="s">
        <v>6679</v>
      </c>
      <c r="D3100" s="1" t="s">
        <v>6699</v>
      </c>
      <c r="E3100" s="1" t="s">
        <v>6700</v>
      </c>
      <c r="F3100" s="1" t="s">
        <v>16</v>
      </c>
      <c r="G3100" s="1" t="s">
        <v>17</v>
      </c>
      <c r="H3100" s="1" t="s">
        <v>18</v>
      </c>
      <c r="I3100" s="1" t="s">
        <v>40</v>
      </c>
      <c r="J3100" s="1">
        <v>62.0</v>
      </c>
      <c r="K3100" s="1">
        <v>20.0</v>
      </c>
      <c r="L3100" s="1">
        <v>0.0</v>
      </c>
    </row>
    <row r="3101">
      <c r="A3101" s="1">
        <v>9171032.0</v>
      </c>
      <c r="B3101" s="1" t="s">
        <v>6701</v>
      </c>
      <c r="C3101" s="1" t="s">
        <v>6666</v>
      </c>
      <c r="D3101" s="1" t="s">
        <v>6694</v>
      </c>
      <c r="E3101" s="1" t="s">
        <v>6702</v>
      </c>
      <c r="F3101" s="1" t="s">
        <v>16</v>
      </c>
      <c r="G3101" s="1" t="s">
        <v>17</v>
      </c>
      <c r="H3101" s="1" t="s">
        <v>28</v>
      </c>
      <c r="I3101" s="1" t="s">
        <v>29</v>
      </c>
      <c r="J3101" s="1">
        <v>149.0</v>
      </c>
      <c r="K3101" s="1">
        <v>30.0</v>
      </c>
      <c r="L3101" s="1">
        <v>380.0</v>
      </c>
    </row>
    <row r="3102">
      <c r="A3102" s="1">
        <v>9271034.0</v>
      </c>
      <c r="B3102" s="1" t="s">
        <v>6703</v>
      </c>
      <c r="C3102" s="1" t="s">
        <v>6666</v>
      </c>
      <c r="D3102" s="1" t="s">
        <v>6694</v>
      </c>
      <c r="E3102" s="1" t="s">
        <v>6704</v>
      </c>
      <c r="F3102" s="1" t="s">
        <v>16</v>
      </c>
      <c r="G3102" s="1" t="s">
        <v>23</v>
      </c>
      <c r="H3102" s="1" t="s">
        <v>33</v>
      </c>
      <c r="I3102" s="1" t="s">
        <v>74</v>
      </c>
      <c r="J3102" s="1">
        <v>47.0</v>
      </c>
      <c r="K3102" s="1">
        <v>15.0</v>
      </c>
      <c r="L3102" s="1">
        <v>26.0</v>
      </c>
    </row>
    <row r="3103">
      <c r="A3103" s="1">
        <v>9107002.0</v>
      </c>
      <c r="B3103" s="1" t="s">
        <v>6705</v>
      </c>
      <c r="C3103" s="1" t="s">
        <v>6666</v>
      </c>
      <c r="D3103" s="1" t="s">
        <v>6694</v>
      </c>
      <c r="E3103" s="1" t="s">
        <v>6706</v>
      </c>
      <c r="F3103" s="1" t="s">
        <v>16</v>
      </c>
      <c r="G3103" s="1" t="s">
        <v>23</v>
      </c>
      <c r="H3103" s="1" t="s">
        <v>18</v>
      </c>
      <c r="I3103" s="1" t="s">
        <v>163</v>
      </c>
      <c r="J3103" s="1">
        <v>63.0</v>
      </c>
      <c r="K3103" s="1">
        <v>40.0</v>
      </c>
      <c r="L3103" s="1">
        <v>141.0</v>
      </c>
    </row>
    <row r="3104">
      <c r="A3104" s="1">
        <v>9101010.0</v>
      </c>
      <c r="B3104" s="1" t="s">
        <v>6707</v>
      </c>
      <c r="C3104" s="1" t="s">
        <v>6679</v>
      </c>
      <c r="D3104" s="1" t="s">
        <v>6708</v>
      </c>
      <c r="E3104" s="1" t="s">
        <v>6709</v>
      </c>
      <c r="F3104" s="1" t="s">
        <v>16</v>
      </c>
      <c r="G3104" s="1" t="s">
        <v>17</v>
      </c>
      <c r="H3104" s="1" t="s">
        <v>18</v>
      </c>
      <c r="I3104" s="1" t="s">
        <v>40</v>
      </c>
      <c r="J3104" s="1">
        <v>132.0</v>
      </c>
      <c r="K3104" s="1">
        <v>25.0</v>
      </c>
      <c r="L3104" s="1">
        <v>284.0</v>
      </c>
    </row>
    <row r="3105">
      <c r="A3105" s="1">
        <v>9104002.0</v>
      </c>
      <c r="B3105" s="1" t="s">
        <v>6710</v>
      </c>
      <c r="C3105" s="1" t="s">
        <v>6679</v>
      </c>
      <c r="D3105" s="1" t="s">
        <v>6711</v>
      </c>
      <c r="E3105" s="1" t="s">
        <v>6712</v>
      </c>
      <c r="F3105" s="1" t="s">
        <v>16</v>
      </c>
      <c r="G3105" s="1" t="s">
        <v>17</v>
      </c>
      <c r="H3105" s="1" t="s">
        <v>28</v>
      </c>
      <c r="I3105" s="1" t="s">
        <v>40</v>
      </c>
      <c r="J3105" s="1">
        <v>97.0</v>
      </c>
      <c r="K3105" s="1">
        <v>32.0</v>
      </c>
      <c r="L3105" s="1">
        <v>233.0</v>
      </c>
    </row>
    <row r="3106">
      <c r="A3106" s="1">
        <v>9102011.0</v>
      </c>
      <c r="B3106" s="1" t="s">
        <v>6713</v>
      </c>
      <c r="C3106" s="1" t="s">
        <v>6679</v>
      </c>
      <c r="D3106" s="1" t="s">
        <v>6680</v>
      </c>
      <c r="E3106" s="1" t="s">
        <v>6714</v>
      </c>
      <c r="F3106" s="1" t="s">
        <v>16</v>
      </c>
      <c r="G3106" s="1" t="s">
        <v>17</v>
      </c>
      <c r="H3106" s="1" t="s">
        <v>28</v>
      </c>
      <c r="I3106" s="1" t="s">
        <v>40</v>
      </c>
      <c r="J3106" s="1">
        <v>160.0</v>
      </c>
      <c r="K3106" s="1">
        <v>26.0</v>
      </c>
      <c r="L3106" s="1">
        <v>442.0</v>
      </c>
    </row>
    <row r="3107">
      <c r="A3107" s="1">
        <v>9102033.0</v>
      </c>
      <c r="B3107" s="1" t="s">
        <v>6715</v>
      </c>
      <c r="C3107" s="1" t="s">
        <v>6679</v>
      </c>
      <c r="D3107" s="1" t="s">
        <v>6680</v>
      </c>
      <c r="E3107" s="1" t="s">
        <v>6716</v>
      </c>
      <c r="F3107" s="1" t="s">
        <v>16</v>
      </c>
      <c r="G3107" s="1" t="s">
        <v>23</v>
      </c>
      <c r="H3107" s="1" t="s">
        <v>18</v>
      </c>
      <c r="I3107" s="1" t="s">
        <v>95</v>
      </c>
      <c r="J3107" s="1">
        <v>118.0</v>
      </c>
      <c r="K3107" s="1">
        <v>23.0</v>
      </c>
      <c r="L3107" s="1">
        <v>170.0</v>
      </c>
    </row>
    <row r="3108">
      <c r="A3108" s="1">
        <v>9105004.0</v>
      </c>
      <c r="B3108" s="1" t="s">
        <v>6717</v>
      </c>
      <c r="C3108" s="1" t="s">
        <v>6679</v>
      </c>
      <c r="D3108" s="1" t="s">
        <v>6680</v>
      </c>
      <c r="E3108" s="1" t="s">
        <v>6718</v>
      </c>
      <c r="F3108" s="1" t="s">
        <v>16</v>
      </c>
      <c r="G3108" s="1" t="s">
        <v>23</v>
      </c>
      <c r="H3108" s="1" t="s">
        <v>18</v>
      </c>
      <c r="I3108" s="1" t="s">
        <v>40</v>
      </c>
      <c r="J3108" s="1">
        <v>50.0</v>
      </c>
      <c r="K3108" s="1">
        <v>23.0</v>
      </c>
      <c r="L3108" s="1">
        <v>78.0</v>
      </c>
    </row>
    <row r="3109">
      <c r="A3109" s="1">
        <v>9105006.0</v>
      </c>
      <c r="B3109" s="1" t="s">
        <v>6719</v>
      </c>
      <c r="C3109" s="1" t="s">
        <v>6679</v>
      </c>
      <c r="D3109" s="1" t="s">
        <v>6680</v>
      </c>
      <c r="E3109" s="1" t="s">
        <v>6720</v>
      </c>
      <c r="F3109" s="1" t="s">
        <v>16</v>
      </c>
      <c r="G3109" s="1" t="s">
        <v>17</v>
      </c>
      <c r="H3109" s="1" t="s">
        <v>28</v>
      </c>
      <c r="I3109" s="1" t="s">
        <v>139</v>
      </c>
      <c r="J3109" s="1">
        <v>192.0</v>
      </c>
      <c r="K3109" s="1">
        <v>33.0</v>
      </c>
      <c r="L3109" s="1">
        <v>313.0</v>
      </c>
    </row>
    <row r="3110">
      <c r="A3110" s="1">
        <v>9171046.0</v>
      </c>
      <c r="B3110" s="1" t="s">
        <v>6721</v>
      </c>
      <c r="C3110" s="1" t="s">
        <v>6666</v>
      </c>
      <c r="D3110" s="1" t="s">
        <v>6694</v>
      </c>
      <c r="E3110" s="1" t="s">
        <v>6722</v>
      </c>
      <c r="F3110" s="1" t="s">
        <v>16</v>
      </c>
      <c r="G3110" s="1" t="s">
        <v>23</v>
      </c>
      <c r="H3110" s="1" t="s">
        <v>18</v>
      </c>
      <c r="I3110" s="1" t="s">
        <v>163</v>
      </c>
      <c r="J3110" s="1">
        <v>55.0</v>
      </c>
      <c r="K3110" s="1">
        <v>18.0</v>
      </c>
      <c r="L3110" s="1">
        <v>67.0</v>
      </c>
    </row>
    <row r="3111">
      <c r="A3111" s="1">
        <v>9171021.0</v>
      </c>
      <c r="B3111" s="1" t="s">
        <v>6723</v>
      </c>
      <c r="C3111" s="1" t="s">
        <v>6666</v>
      </c>
      <c r="D3111" s="1" t="s">
        <v>6694</v>
      </c>
      <c r="E3111" s="1" t="s">
        <v>6724</v>
      </c>
      <c r="F3111" s="1" t="s">
        <v>16</v>
      </c>
      <c r="G3111" s="1" t="s">
        <v>23</v>
      </c>
      <c r="H3111" s="1" t="s">
        <v>18</v>
      </c>
      <c r="I3111" s="1" t="s">
        <v>113</v>
      </c>
      <c r="J3111" s="1">
        <v>50.0</v>
      </c>
      <c r="K3111" s="1">
        <v>34.0</v>
      </c>
      <c r="L3111" s="1">
        <v>61.0</v>
      </c>
    </row>
    <row r="3112">
      <c r="A3112" s="1">
        <v>9204014.0</v>
      </c>
      <c r="B3112" s="1" t="s">
        <v>6725</v>
      </c>
      <c r="C3112" s="1" t="s">
        <v>6726</v>
      </c>
      <c r="D3112" s="1" t="s">
        <v>6727</v>
      </c>
      <c r="E3112" s="1" t="s">
        <v>6728</v>
      </c>
      <c r="F3112" s="1" t="s">
        <v>16</v>
      </c>
      <c r="G3112" s="1" t="s">
        <v>17</v>
      </c>
      <c r="H3112" s="1" t="s">
        <v>18</v>
      </c>
      <c r="I3112" s="1" t="s">
        <v>40</v>
      </c>
      <c r="J3112" s="1">
        <v>125.0</v>
      </c>
      <c r="K3112" s="1">
        <v>42.0</v>
      </c>
      <c r="L3112" s="1">
        <v>78.0</v>
      </c>
    </row>
    <row r="3113">
      <c r="A3113" s="1">
        <v>9212028.0</v>
      </c>
      <c r="B3113" s="1" t="s">
        <v>6729</v>
      </c>
      <c r="C3113" s="1" t="s">
        <v>6730</v>
      </c>
      <c r="D3113" s="1" t="s">
        <v>6731</v>
      </c>
      <c r="E3113" s="1" t="s">
        <v>6732</v>
      </c>
      <c r="F3113" s="1" t="s">
        <v>16</v>
      </c>
      <c r="G3113" s="1" t="s">
        <v>23</v>
      </c>
      <c r="H3113" s="1" t="s">
        <v>18</v>
      </c>
      <c r="I3113" s="1" t="s">
        <v>65</v>
      </c>
      <c r="J3113" s="1">
        <v>0.0</v>
      </c>
      <c r="K3113" s="1">
        <v>1.0</v>
      </c>
      <c r="L3113" s="1">
        <v>0.0</v>
      </c>
    </row>
    <row r="3114">
      <c r="A3114" s="1">
        <v>9203015.0</v>
      </c>
      <c r="B3114" s="1" t="s">
        <v>6733</v>
      </c>
      <c r="C3114" s="1" t="s">
        <v>6726</v>
      </c>
      <c r="D3114" s="1" t="s">
        <v>6734</v>
      </c>
      <c r="E3114" s="1" t="s">
        <v>6735</v>
      </c>
      <c r="F3114" s="1" t="s">
        <v>16</v>
      </c>
      <c r="G3114" s="1" t="s">
        <v>17</v>
      </c>
      <c r="H3114" s="1" t="s">
        <v>18</v>
      </c>
      <c r="I3114" s="1" t="s">
        <v>95</v>
      </c>
      <c r="J3114" s="1">
        <v>108.0</v>
      </c>
      <c r="K3114" s="1">
        <v>32.0</v>
      </c>
      <c r="L3114" s="1">
        <v>164.0</v>
      </c>
    </row>
    <row r="3115">
      <c r="A3115" s="1">
        <v>9201011.0</v>
      </c>
      <c r="B3115" s="1" t="s">
        <v>6736</v>
      </c>
      <c r="C3115" s="1" t="s">
        <v>6730</v>
      </c>
      <c r="D3115" s="1" t="s">
        <v>6731</v>
      </c>
      <c r="E3115" s="1" t="s">
        <v>6737</v>
      </c>
      <c r="F3115" s="1" t="s">
        <v>16</v>
      </c>
      <c r="G3115" s="1" t="s">
        <v>17</v>
      </c>
      <c r="H3115" s="1" t="s">
        <v>18</v>
      </c>
      <c r="I3115" s="1" t="s">
        <v>59</v>
      </c>
      <c r="J3115" s="1">
        <v>140.0</v>
      </c>
      <c r="K3115" s="1">
        <v>27.0</v>
      </c>
      <c r="L3115" s="1">
        <v>331.0</v>
      </c>
    </row>
    <row r="3116">
      <c r="A3116" s="1">
        <v>9228002.0</v>
      </c>
      <c r="B3116" s="1" t="s">
        <v>6738</v>
      </c>
      <c r="C3116" s="1" t="s">
        <v>6726</v>
      </c>
      <c r="D3116" s="1" t="s">
        <v>6739</v>
      </c>
      <c r="E3116" s="1" t="s">
        <v>6740</v>
      </c>
      <c r="F3116" s="1" t="s">
        <v>6741</v>
      </c>
      <c r="G3116" s="1" t="s">
        <v>16</v>
      </c>
      <c r="H3116" s="1" t="s">
        <v>98</v>
      </c>
      <c r="I3116" s="1" t="s">
        <v>18</v>
      </c>
      <c r="J3116" s="1">
        <v>1220.0</v>
      </c>
      <c r="K3116" s="1">
        <v>50.0</v>
      </c>
      <c r="L3116" s="1">
        <v>20.0</v>
      </c>
    </row>
    <row r="3117">
      <c r="A3117" s="1">
        <v>9271045.0</v>
      </c>
      <c r="B3117" s="1" t="s">
        <v>6742</v>
      </c>
      <c r="C3117" s="1" t="s">
        <v>6726</v>
      </c>
      <c r="D3117" s="1" t="s">
        <v>6734</v>
      </c>
      <c r="E3117" s="1" t="s">
        <v>6743</v>
      </c>
      <c r="F3117" s="1" t="s">
        <v>174</v>
      </c>
      <c r="G3117" s="1" t="s">
        <v>27</v>
      </c>
      <c r="H3117" s="1" t="s">
        <v>18</v>
      </c>
      <c r="I3117" s="1" t="s">
        <v>139</v>
      </c>
      <c r="J3117" s="1">
        <v>76.0</v>
      </c>
      <c r="K3117" s="1">
        <v>20.0</v>
      </c>
      <c r="L3117" s="1">
        <v>80.0</v>
      </c>
    </row>
    <row r="3118">
      <c r="A3118" s="1">
        <v>9226002.0</v>
      </c>
      <c r="B3118" s="1" t="s">
        <v>6744</v>
      </c>
      <c r="C3118" s="1" t="s">
        <v>6726</v>
      </c>
      <c r="D3118" s="1" t="s">
        <v>6745</v>
      </c>
      <c r="E3118" s="1" t="s">
        <v>6746</v>
      </c>
      <c r="F3118" s="1" t="s">
        <v>16</v>
      </c>
      <c r="G3118" s="1" t="s">
        <v>98</v>
      </c>
      <c r="H3118" s="1" t="s">
        <v>18</v>
      </c>
      <c r="I3118" s="1" t="s">
        <v>40</v>
      </c>
      <c r="J3118" s="1">
        <v>14.0</v>
      </c>
      <c r="K3118" s="1">
        <v>6.0</v>
      </c>
      <c r="L3118" s="1">
        <v>0.0</v>
      </c>
    </row>
    <row r="3119">
      <c r="A3119" s="1">
        <v>9234003.0</v>
      </c>
      <c r="B3119" s="1" t="s">
        <v>6747</v>
      </c>
      <c r="C3119" s="1" t="s">
        <v>6730</v>
      </c>
      <c r="D3119" s="1" t="s">
        <v>6748</v>
      </c>
      <c r="E3119" s="1" t="s">
        <v>6749</v>
      </c>
      <c r="F3119" s="1" t="s">
        <v>16</v>
      </c>
      <c r="G3119" s="1" t="s">
        <v>98</v>
      </c>
      <c r="H3119" s="1" t="s">
        <v>18</v>
      </c>
      <c r="I3119" s="1" t="s">
        <v>40</v>
      </c>
      <c r="J3119" s="1">
        <v>25.0</v>
      </c>
      <c r="K3119" s="1">
        <v>11.0</v>
      </c>
      <c r="L3119" s="1">
        <v>0.0</v>
      </c>
    </row>
    <row r="3120">
      <c r="A3120" s="1">
        <v>9201035.0</v>
      </c>
      <c r="B3120" s="1" t="s">
        <v>6750</v>
      </c>
      <c r="C3120" s="1" t="s">
        <v>6751</v>
      </c>
      <c r="D3120" s="1" t="s">
        <v>6752</v>
      </c>
      <c r="E3120" s="1" t="s">
        <v>6753</v>
      </c>
      <c r="F3120" s="1" t="s">
        <v>16</v>
      </c>
      <c r="G3120" s="1" t="s">
        <v>23</v>
      </c>
      <c r="H3120" s="1" t="s">
        <v>18</v>
      </c>
      <c r="I3120" s="1" t="s">
        <v>95</v>
      </c>
      <c r="J3120" s="1">
        <v>92.0</v>
      </c>
      <c r="K3120" s="1">
        <v>36.0</v>
      </c>
      <c r="L3120" s="1">
        <v>38.0</v>
      </c>
    </row>
    <row r="3121">
      <c r="A3121" s="1">
        <v>9205030.0</v>
      </c>
      <c r="B3121" s="1" t="s">
        <v>6754</v>
      </c>
      <c r="C3121" s="1" t="s">
        <v>6726</v>
      </c>
      <c r="D3121" s="1" t="s">
        <v>6755</v>
      </c>
      <c r="E3121" s="1" t="s">
        <v>6756</v>
      </c>
      <c r="F3121" s="1" t="s">
        <v>16</v>
      </c>
      <c r="G3121" s="1" t="s">
        <v>17</v>
      </c>
      <c r="H3121" s="1" t="s">
        <v>18</v>
      </c>
      <c r="I3121" s="1" t="s">
        <v>95</v>
      </c>
      <c r="J3121" s="1">
        <v>103.0</v>
      </c>
      <c r="K3121" s="1">
        <v>41.0</v>
      </c>
      <c r="L3121" s="1">
        <v>26.0</v>
      </c>
    </row>
    <row r="3122">
      <c r="A3122" s="1">
        <v>9236003.0</v>
      </c>
      <c r="B3122" s="1" t="s">
        <v>6757</v>
      </c>
      <c r="C3122" s="1" t="s">
        <v>6730</v>
      </c>
      <c r="D3122" s="1" t="s">
        <v>6758</v>
      </c>
      <c r="E3122" s="1" t="s">
        <v>6759</v>
      </c>
      <c r="F3122" s="1" t="s">
        <v>16</v>
      </c>
      <c r="G3122" s="1" t="s">
        <v>23</v>
      </c>
      <c r="H3122" s="1" t="s">
        <v>18</v>
      </c>
      <c r="I3122" s="1" t="s">
        <v>40</v>
      </c>
      <c r="J3122" s="1">
        <v>16.0</v>
      </c>
      <c r="K3122" s="1">
        <v>8.0</v>
      </c>
      <c r="L3122" s="1">
        <v>0.0</v>
      </c>
    </row>
    <row r="3123">
      <c r="A3123" s="1">
        <v>9227011.0</v>
      </c>
      <c r="B3123" s="1" t="s">
        <v>6760</v>
      </c>
      <c r="C3123" s="1" t="s">
        <v>6726</v>
      </c>
      <c r="D3123" s="1" t="s">
        <v>6761</v>
      </c>
      <c r="E3123" s="1" t="s">
        <v>6762</v>
      </c>
      <c r="F3123" s="1" t="s">
        <v>16</v>
      </c>
      <c r="G3123" s="1" t="s">
        <v>23</v>
      </c>
      <c r="H3123" s="1" t="s">
        <v>18</v>
      </c>
      <c r="I3123" s="1" t="s">
        <v>40</v>
      </c>
      <c r="J3123" s="1">
        <v>46.0</v>
      </c>
      <c r="K3123" s="1">
        <v>24.0</v>
      </c>
      <c r="L3123" s="1">
        <v>136.0</v>
      </c>
    </row>
    <row r="3124">
      <c r="A3124" s="1">
        <v>9202012.0</v>
      </c>
      <c r="B3124" s="1" t="s">
        <v>6763</v>
      </c>
      <c r="C3124" s="1" t="s">
        <v>6730</v>
      </c>
      <c r="D3124" s="1" t="s">
        <v>6764</v>
      </c>
      <c r="E3124" s="1" t="s">
        <v>6765</v>
      </c>
      <c r="F3124" s="1" t="s">
        <v>16</v>
      </c>
      <c r="G3124" s="1" t="s">
        <v>17</v>
      </c>
      <c r="H3124" s="1" t="s">
        <v>28</v>
      </c>
      <c r="I3124" s="1" t="s">
        <v>40</v>
      </c>
      <c r="J3124" s="1">
        <v>267.0</v>
      </c>
      <c r="K3124" s="1">
        <v>47.0</v>
      </c>
      <c r="L3124" s="1">
        <v>49.0</v>
      </c>
    </row>
    <row r="3125">
      <c r="A3125" s="1">
        <v>9271079.0</v>
      </c>
      <c r="B3125" s="1" t="s">
        <v>6766</v>
      </c>
      <c r="C3125" s="1" t="s">
        <v>6726</v>
      </c>
      <c r="D3125" s="1" t="s">
        <v>6734</v>
      </c>
      <c r="E3125" s="1" t="s">
        <v>6767</v>
      </c>
      <c r="F3125" s="1" t="s">
        <v>16</v>
      </c>
      <c r="G3125" s="1" t="s">
        <v>17</v>
      </c>
      <c r="H3125" s="1" t="s">
        <v>33</v>
      </c>
      <c r="I3125" s="1" t="s">
        <v>163</v>
      </c>
      <c r="J3125" s="1">
        <v>124.0</v>
      </c>
      <c r="K3125" s="1">
        <v>44.0</v>
      </c>
      <c r="L3125" s="1">
        <v>204.0</v>
      </c>
    </row>
    <row r="3126">
      <c r="A3126" s="1">
        <v>9271067.0</v>
      </c>
      <c r="B3126" s="1" t="s">
        <v>6768</v>
      </c>
      <c r="C3126" s="1" t="s">
        <v>6726</v>
      </c>
      <c r="D3126" s="1" t="s">
        <v>6734</v>
      </c>
      <c r="E3126" s="1" t="s">
        <v>6769</v>
      </c>
      <c r="F3126" s="1" t="s">
        <v>16</v>
      </c>
      <c r="G3126" s="1" t="s">
        <v>17</v>
      </c>
      <c r="H3126" s="1" t="s">
        <v>33</v>
      </c>
      <c r="I3126" s="1" t="s">
        <v>65</v>
      </c>
      <c r="J3126" s="1">
        <v>132.0</v>
      </c>
      <c r="K3126" s="1">
        <v>39.0</v>
      </c>
      <c r="L3126" s="1">
        <v>340.0</v>
      </c>
    </row>
    <row r="3127">
      <c r="A3127" s="1">
        <v>9219044.0</v>
      </c>
      <c r="B3127" s="1" t="s">
        <v>6770</v>
      </c>
      <c r="C3127" s="1" t="s">
        <v>6726</v>
      </c>
      <c r="D3127" s="1" t="s">
        <v>6771</v>
      </c>
      <c r="E3127" s="1" t="s">
        <v>6772</v>
      </c>
      <c r="F3127" s="1" t="s">
        <v>16</v>
      </c>
      <c r="G3127" s="1" t="s">
        <v>23</v>
      </c>
      <c r="H3127" s="1" t="s">
        <v>18</v>
      </c>
      <c r="I3127" s="1" t="s">
        <v>40</v>
      </c>
      <c r="J3127" s="1">
        <v>63.0</v>
      </c>
      <c r="K3127" s="1">
        <v>13.0</v>
      </c>
      <c r="L3127" s="1">
        <v>0.0</v>
      </c>
    </row>
    <row r="3128">
      <c r="A3128" s="1">
        <v>9230002.0</v>
      </c>
      <c r="B3128" s="1" t="s">
        <v>6773</v>
      </c>
      <c r="C3128" s="1" t="s">
        <v>6774</v>
      </c>
      <c r="D3128" s="1" t="s">
        <v>6775</v>
      </c>
      <c r="E3128" s="1" t="s">
        <v>6776</v>
      </c>
      <c r="F3128" s="1" t="s">
        <v>16</v>
      </c>
      <c r="G3128" s="1" t="s">
        <v>23</v>
      </c>
      <c r="H3128" s="1" t="s">
        <v>18</v>
      </c>
      <c r="I3128" s="1" t="s">
        <v>40</v>
      </c>
      <c r="J3128" s="1">
        <v>85.0</v>
      </c>
      <c r="K3128" s="1">
        <v>27.0</v>
      </c>
      <c r="L3128" s="1">
        <v>13.0</v>
      </c>
    </row>
    <row r="3129">
      <c r="A3129" s="1">
        <v>9202014.0</v>
      </c>
      <c r="B3129" s="1" t="s">
        <v>6777</v>
      </c>
      <c r="C3129" s="1" t="s">
        <v>6774</v>
      </c>
      <c r="D3129" s="1" t="s">
        <v>6778</v>
      </c>
      <c r="E3129" s="1" t="s">
        <v>6779</v>
      </c>
      <c r="F3129" s="1" t="s">
        <v>16</v>
      </c>
      <c r="G3129" s="1" t="s">
        <v>23</v>
      </c>
      <c r="H3129" s="1" t="s">
        <v>18</v>
      </c>
      <c r="I3129" s="1" t="s">
        <v>40</v>
      </c>
      <c r="J3129" s="1">
        <v>89.0</v>
      </c>
      <c r="K3129" s="1">
        <v>23.0</v>
      </c>
      <c r="L3129" s="1">
        <v>20.0</v>
      </c>
    </row>
    <row r="3130">
      <c r="A3130" s="1">
        <v>9202023.0</v>
      </c>
      <c r="B3130" s="1" t="s">
        <v>6780</v>
      </c>
      <c r="C3130" s="1" t="s">
        <v>6730</v>
      </c>
      <c r="D3130" s="1" t="s">
        <v>6781</v>
      </c>
      <c r="E3130" s="1" t="s">
        <v>6782</v>
      </c>
      <c r="F3130" s="1" t="s">
        <v>16</v>
      </c>
      <c r="G3130" s="1" t="s">
        <v>17</v>
      </c>
      <c r="H3130" s="1" t="s">
        <v>28</v>
      </c>
      <c r="I3130" s="1" t="s">
        <v>40</v>
      </c>
      <c r="J3130" s="1">
        <v>135.0</v>
      </c>
      <c r="K3130" s="1">
        <v>26.0</v>
      </c>
      <c r="L3130" s="1">
        <v>309.0</v>
      </c>
    </row>
    <row r="3131">
      <c r="A3131" s="1">
        <v>9271012.0</v>
      </c>
      <c r="B3131" s="1" t="s">
        <v>6783</v>
      </c>
      <c r="C3131" s="1" t="s">
        <v>6726</v>
      </c>
      <c r="D3131" s="1" t="s">
        <v>6734</v>
      </c>
      <c r="E3131" s="1" t="s">
        <v>6784</v>
      </c>
      <c r="F3131" s="1" t="s">
        <v>16</v>
      </c>
      <c r="G3131" s="1" t="s">
        <v>27</v>
      </c>
      <c r="H3131" s="1" t="s">
        <v>28</v>
      </c>
      <c r="I3131" s="1" t="s">
        <v>139</v>
      </c>
      <c r="J3131" s="1">
        <v>300.0</v>
      </c>
      <c r="K3131" s="1">
        <v>37.0</v>
      </c>
      <c r="L3131" s="1">
        <v>522.0</v>
      </c>
    </row>
    <row r="3132">
      <c r="A3132" s="1">
        <v>9271080.0</v>
      </c>
      <c r="B3132" s="1" t="s">
        <v>6785</v>
      </c>
      <c r="C3132" s="1" t="s">
        <v>6726</v>
      </c>
      <c r="D3132" s="1" t="s">
        <v>6734</v>
      </c>
      <c r="E3132" s="1" t="s">
        <v>6786</v>
      </c>
      <c r="F3132" s="1" t="s">
        <v>16</v>
      </c>
      <c r="G3132" s="1" t="s">
        <v>23</v>
      </c>
      <c r="H3132" s="1" t="s">
        <v>18</v>
      </c>
      <c r="I3132" s="1" t="s">
        <v>29</v>
      </c>
      <c r="J3132" s="1">
        <v>55.0</v>
      </c>
      <c r="K3132" s="1">
        <v>25.0</v>
      </c>
      <c r="L3132" s="1">
        <v>47.0</v>
      </c>
    </row>
    <row r="3133">
      <c r="A3133" s="1">
        <v>9212013.0</v>
      </c>
      <c r="B3133" s="1" t="s">
        <v>6705</v>
      </c>
      <c r="C3133" s="1" t="s">
        <v>6730</v>
      </c>
      <c r="D3133" s="1" t="s">
        <v>6731</v>
      </c>
      <c r="E3133" s="1" t="s">
        <v>6787</v>
      </c>
      <c r="F3133" s="1" t="s">
        <v>16</v>
      </c>
      <c r="G3133" s="1" t="s">
        <v>23</v>
      </c>
      <c r="H3133" s="1" t="s">
        <v>18</v>
      </c>
      <c r="I3133" s="1" t="s">
        <v>19</v>
      </c>
      <c r="J3133" s="1">
        <v>60.0</v>
      </c>
      <c r="K3133" s="1">
        <v>30.0</v>
      </c>
      <c r="L3133" s="1">
        <v>59.0</v>
      </c>
    </row>
    <row r="3134">
      <c r="A3134" s="1">
        <v>9229002.0</v>
      </c>
      <c r="B3134" s="1" t="s">
        <v>6788</v>
      </c>
      <c r="C3134" s="1" t="s">
        <v>6774</v>
      </c>
      <c r="D3134" s="1" t="s">
        <v>6789</v>
      </c>
      <c r="E3134" s="1" t="s">
        <v>6790</v>
      </c>
      <c r="F3134" s="1" t="s">
        <v>16</v>
      </c>
      <c r="G3134" s="1" t="s">
        <v>23</v>
      </c>
      <c r="H3134" s="1" t="s">
        <v>18</v>
      </c>
      <c r="I3134" s="1" t="s">
        <v>40</v>
      </c>
      <c r="J3134" s="1">
        <v>0.0</v>
      </c>
      <c r="K3134" s="1">
        <v>29.0</v>
      </c>
      <c r="L3134" s="1">
        <v>9.0</v>
      </c>
    </row>
    <row r="3135">
      <c r="A3135" s="1">
        <v>9217013.0</v>
      </c>
      <c r="B3135" s="1" t="s">
        <v>6791</v>
      </c>
      <c r="C3135" s="1" t="s">
        <v>6774</v>
      </c>
      <c r="D3135" s="1" t="s">
        <v>6792</v>
      </c>
      <c r="E3135" s="1" t="s">
        <v>6793</v>
      </c>
      <c r="F3135" s="1" t="s">
        <v>16</v>
      </c>
      <c r="G3135" s="1" t="s">
        <v>23</v>
      </c>
      <c r="H3135" s="1" t="s">
        <v>18</v>
      </c>
      <c r="I3135" s="1" t="s">
        <v>40</v>
      </c>
      <c r="J3135" s="1">
        <v>61.0</v>
      </c>
      <c r="K3135" s="1">
        <v>17.0</v>
      </c>
      <c r="L3135" s="1">
        <v>86.0</v>
      </c>
    </row>
    <row r="3136">
      <c r="A3136" s="1">
        <v>9214012.0</v>
      </c>
      <c r="B3136" s="1" t="s">
        <v>6794</v>
      </c>
      <c r="C3136" s="1" t="s">
        <v>6751</v>
      </c>
      <c r="D3136" s="1" t="s">
        <v>6795</v>
      </c>
      <c r="E3136" s="1" t="s">
        <v>6796</v>
      </c>
      <c r="F3136" s="1" t="s">
        <v>16</v>
      </c>
      <c r="G3136" s="1" t="s">
        <v>23</v>
      </c>
      <c r="H3136" s="1" t="s">
        <v>18</v>
      </c>
      <c r="I3136" s="1" t="s">
        <v>40</v>
      </c>
      <c r="J3136" s="1">
        <v>142.0</v>
      </c>
      <c r="K3136" s="1">
        <v>27.0</v>
      </c>
      <c r="L3136" s="1">
        <v>142.0</v>
      </c>
    </row>
    <row r="3137">
      <c r="A3137" s="1">
        <v>9201034.0</v>
      </c>
      <c r="B3137" s="1" t="s">
        <v>6797</v>
      </c>
      <c r="C3137" s="1" t="s">
        <v>6751</v>
      </c>
      <c r="D3137" s="1" t="s">
        <v>6752</v>
      </c>
      <c r="E3137" s="1" t="s">
        <v>6798</v>
      </c>
      <c r="F3137" s="1" t="s">
        <v>16</v>
      </c>
      <c r="G3137" s="1" t="s">
        <v>17</v>
      </c>
      <c r="H3137" s="1" t="s">
        <v>18</v>
      </c>
      <c r="I3137" s="1" t="s">
        <v>59</v>
      </c>
      <c r="J3137" s="1">
        <v>101.0</v>
      </c>
      <c r="K3137" s="1">
        <v>32.0</v>
      </c>
      <c r="L3137" s="1">
        <v>117.0</v>
      </c>
    </row>
    <row r="3138">
      <c r="A3138" s="1">
        <v>9205015.0</v>
      </c>
      <c r="B3138" s="1" t="s">
        <v>6799</v>
      </c>
      <c r="C3138" s="1" t="s">
        <v>6726</v>
      </c>
      <c r="D3138" s="1" t="s">
        <v>6755</v>
      </c>
      <c r="E3138" s="1" t="s">
        <v>6800</v>
      </c>
      <c r="F3138" s="1" t="s">
        <v>16</v>
      </c>
      <c r="G3138" s="1" t="s">
        <v>17</v>
      </c>
      <c r="H3138" s="1" t="s">
        <v>28</v>
      </c>
      <c r="I3138" s="1" t="s">
        <v>40</v>
      </c>
      <c r="J3138" s="1">
        <v>380.0</v>
      </c>
      <c r="K3138" s="1">
        <v>55.0</v>
      </c>
      <c r="L3138" s="1">
        <v>577.0</v>
      </c>
    </row>
    <row r="3139">
      <c r="A3139" s="1">
        <v>9235002.0</v>
      </c>
      <c r="B3139" s="1" t="s">
        <v>6801</v>
      </c>
      <c r="C3139" s="1" t="s">
        <v>6730</v>
      </c>
      <c r="D3139" s="1" t="s">
        <v>6802</v>
      </c>
      <c r="E3139" s="1" t="s">
        <v>6803</v>
      </c>
      <c r="F3139" s="1" t="s">
        <v>16</v>
      </c>
      <c r="G3139" s="1" t="s">
        <v>23</v>
      </c>
      <c r="H3139" s="1" t="s">
        <v>18</v>
      </c>
      <c r="I3139" s="1" t="s">
        <v>40</v>
      </c>
      <c r="J3139" s="1">
        <v>14.0</v>
      </c>
      <c r="K3139" s="1">
        <v>6.0</v>
      </c>
      <c r="L3139" s="1">
        <v>17.0</v>
      </c>
    </row>
    <row r="3140">
      <c r="A3140" s="1">
        <v>9233011.0</v>
      </c>
      <c r="B3140" s="1" t="s">
        <v>6804</v>
      </c>
      <c r="C3140" s="1" t="s">
        <v>6730</v>
      </c>
      <c r="D3140" s="1" t="s">
        <v>6805</v>
      </c>
      <c r="E3140" s="1" t="s">
        <v>6806</v>
      </c>
      <c r="F3140" s="1" t="s">
        <v>16</v>
      </c>
      <c r="G3140" s="1" t="s">
        <v>98</v>
      </c>
      <c r="H3140" s="1" t="s">
        <v>28</v>
      </c>
      <c r="I3140" s="1" t="s">
        <v>40</v>
      </c>
      <c r="J3140" s="1">
        <v>58.0</v>
      </c>
      <c r="K3140" s="1">
        <v>6.0</v>
      </c>
      <c r="L3140" s="1">
        <v>0.0</v>
      </c>
    </row>
    <row r="3141">
      <c r="A3141" s="1">
        <v>9203016.0</v>
      </c>
      <c r="B3141" s="1" t="s">
        <v>6807</v>
      </c>
      <c r="C3141" s="1" t="s">
        <v>6726</v>
      </c>
      <c r="D3141" s="1" t="s">
        <v>6734</v>
      </c>
      <c r="E3141" s="1" t="s">
        <v>6808</v>
      </c>
      <c r="F3141" s="1" t="s">
        <v>16</v>
      </c>
      <c r="G3141" s="1" t="s">
        <v>17</v>
      </c>
      <c r="H3141" s="1" t="s">
        <v>33</v>
      </c>
      <c r="I3141" s="1" t="s">
        <v>74</v>
      </c>
      <c r="J3141" s="1">
        <v>133.0</v>
      </c>
      <c r="K3141" s="1">
        <v>49.0</v>
      </c>
      <c r="L3141" s="1">
        <v>376.0</v>
      </c>
    </row>
    <row r="3142">
      <c r="A3142" s="1">
        <v>9211010.0</v>
      </c>
      <c r="B3142" s="1" t="s">
        <v>6809</v>
      </c>
      <c r="C3142" s="1" t="s">
        <v>6730</v>
      </c>
      <c r="D3142" s="1" t="s">
        <v>6810</v>
      </c>
      <c r="E3142" s="1" t="s">
        <v>6811</v>
      </c>
      <c r="F3142" s="1" t="s">
        <v>16</v>
      </c>
      <c r="G3142" s="1" t="s">
        <v>23</v>
      </c>
      <c r="H3142" s="1" t="s">
        <v>28</v>
      </c>
      <c r="I3142" s="1" t="s">
        <v>40</v>
      </c>
      <c r="J3142" s="1">
        <v>81.0</v>
      </c>
      <c r="K3142" s="1">
        <v>26.0</v>
      </c>
      <c r="L3142" s="1">
        <v>148.0</v>
      </c>
    </row>
    <row r="3143">
      <c r="A3143" s="1">
        <v>9201012.0</v>
      </c>
      <c r="B3143" s="1" t="s">
        <v>6812</v>
      </c>
      <c r="C3143" s="1" t="s">
        <v>6751</v>
      </c>
      <c r="D3143" s="1" t="s">
        <v>6752</v>
      </c>
      <c r="E3143" s="1" t="s">
        <v>6813</v>
      </c>
      <c r="F3143" s="1" t="s">
        <v>16</v>
      </c>
      <c r="G3143" s="1" t="s">
        <v>27</v>
      </c>
      <c r="H3143" s="1" t="s">
        <v>28</v>
      </c>
      <c r="I3143" s="1" t="s">
        <v>40</v>
      </c>
      <c r="J3143" s="1">
        <v>222.0</v>
      </c>
      <c r="K3143" s="1">
        <v>37.0</v>
      </c>
      <c r="L3143" s="1">
        <v>466.0</v>
      </c>
    </row>
    <row r="3144">
      <c r="A3144" s="1">
        <v>9271056.0</v>
      </c>
      <c r="B3144" s="1" t="s">
        <v>6814</v>
      </c>
      <c r="C3144" s="1" t="s">
        <v>6726</v>
      </c>
      <c r="D3144" s="1" t="s">
        <v>6734</v>
      </c>
      <c r="E3144" s="1" t="s">
        <v>6815</v>
      </c>
      <c r="F3144" s="1" t="s">
        <v>16</v>
      </c>
      <c r="G3144" s="1" t="s">
        <v>17</v>
      </c>
      <c r="H3144" s="1" t="s">
        <v>18</v>
      </c>
      <c r="I3144" s="1" t="s">
        <v>59</v>
      </c>
      <c r="J3144" s="1">
        <v>147.0</v>
      </c>
      <c r="K3144" s="1">
        <v>82.0</v>
      </c>
      <c r="L3144" s="1">
        <v>336.0</v>
      </c>
    </row>
    <row r="3145">
      <c r="A3145" s="1">
        <v>9212011.0</v>
      </c>
      <c r="B3145" s="1" t="s">
        <v>6816</v>
      </c>
      <c r="C3145" s="1" t="s">
        <v>6730</v>
      </c>
      <c r="D3145" s="1" t="s">
        <v>6731</v>
      </c>
      <c r="E3145" s="1" t="s">
        <v>6817</v>
      </c>
      <c r="F3145" s="1" t="s">
        <v>16</v>
      </c>
      <c r="G3145" s="1" t="s">
        <v>17</v>
      </c>
      <c r="H3145" s="1" t="s">
        <v>28</v>
      </c>
      <c r="I3145" s="1" t="s">
        <v>40</v>
      </c>
      <c r="J3145" s="1">
        <v>186.0</v>
      </c>
      <c r="K3145" s="1">
        <v>32.0</v>
      </c>
      <c r="L3145" s="1">
        <v>241.0</v>
      </c>
    </row>
    <row r="3146">
      <c r="A3146" s="1">
        <v>9213038.0</v>
      </c>
      <c r="B3146" s="1" t="s">
        <v>6818</v>
      </c>
      <c r="C3146" s="1" t="s">
        <v>6751</v>
      </c>
      <c r="D3146" s="1" t="s">
        <v>6819</v>
      </c>
      <c r="E3146" s="1" t="s">
        <v>6820</v>
      </c>
      <c r="F3146" s="1" t="s">
        <v>16</v>
      </c>
      <c r="G3146" s="1" t="s">
        <v>98</v>
      </c>
      <c r="H3146" s="1" t="s">
        <v>18</v>
      </c>
      <c r="I3146" s="1" t="s">
        <v>40</v>
      </c>
      <c r="J3146" s="1">
        <v>32.0</v>
      </c>
      <c r="K3146" s="1">
        <v>6.0</v>
      </c>
      <c r="L3146" s="1">
        <v>29.0</v>
      </c>
    </row>
    <row r="3147">
      <c r="A3147" s="1">
        <v>9271078.0</v>
      </c>
      <c r="B3147" s="1" t="s">
        <v>6821</v>
      </c>
      <c r="C3147" s="1" t="s">
        <v>6726</v>
      </c>
      <c r="D3147" s="1" t="s">
        <v>6822</v>
      </c>
      <c r="E3147" s="1" t="s">
        <v>6823</v>
      </c>
      <c r="F3147" s="1" t="s">
        <v>16</v>
      </c>
      <c r="G3147" s="1" t="s">
        <v>17</v>
      </c>
      <c r="H3147" s="1" t="s">
        <v>28</v>
      </c>
      <c r="I3147" s="1" t="s">
        <v>40</v>
      </c>
      <c r="J3147" s="1">
        <v>130.0</v>
      </c>
      <c r="K3147" s="1">
        <v>47.0</v>
      </c>
      <c r="L3147" s="1">
        <v>253.0</v>
      </c>
    </row>
    <row r="3148">
      <c r="A3148" s="1">
        <v>9218002.0</v>
      </c>
      <c r="B3148" s="1" t="s">
        <v>6824</v>
      </c>
      <c r="C3148" s="1" t="s">
        <v>6774</v>
      </c>
      <c r="D3148" s="1" t="s">
        <v>6825</v>
      </c>
      <c r="E3148" s="1" t="s">
        <v>6826</v>
      </c>
      <c r="F3148" s="1" t="s">
        <v>16</v>
      </c>
      <c r="G3148" s="1" t="s">
        <v>98</v>
      </c>
      <c r="H3148" s="1" t="s">
        <v>18</v>
      </c>
      <c r="I3148" s="1" t="s">
        <v>40</v>
      </c>
      <c r="J3148" s="1">
        <v>37.0</v>
      </c>
      <c r="K3148" s="1">
        <v>29.0</v>
      </c>
      <c r="L3148" s="1">
        <v>147.0</v>
      </c>
    </row>
    <row r="3149">
      <c r="A3149" s="1">
        <v>9215011.0</v>
      </c>
      <c r="B3149" s="1" t="s">
        <v>6827</v>
      </c>
      <c r="C3149" s="1" t="s">
        <v>6751</v>
      </c>
      <c r="D3149" s="1" t="s">
        <v>6828</v>
      </c>
      <c r="E3149" s="1" t="s">
        <v>6829</v>
      </c>
      <c r="F3149" s="1" t="s">
        <v>16</v>
      </c>
      <c r="G3149" s="1" t="s">
        <v>23</v>
      </c>
      <c r="H3149" s="1" t="s">
        <v>18</v>
      </c>
      <c r="I3149" s="1" t="s">
        <v>40</v>
      </c>
      <c r="J3149" s="1">
        <v>104.0</v>
      </c>
      <c r="K3149" s="1">
        <v>24.0</v>
      </c>
      <c r="L3149" s="1">
        <v>261.0</v>
      </c>
    </row>
    <row r="3150">
      <c r="A3150" s="1">
        <v>9213039.0</v>
      </c>
      <c r="B3150" s="1" t="s">
        <v>6830</v>
      </c>
      <c r="C3150" s="1" t="s">
        <v>6751</v>
      </c>
      <c r="D3150" s="1" t="s">
        <v>6819</v>
      </c>
      <c r="E3150" s="1" t="s">
        <v>6831</v>
      </c>
      <c r="F3150" s="1" t="s">
        <v>16</v>
      </c>
      <c r="G3150" s="1" t="s">
        <v>23</v>
      </c>
      <c r="H3150" s="1" t="s">
        <v>18</v>
      </c>
      <c r="I3150" s="1" t="s">
        <v>40</v>
      </c>
      <c r="J3150" s="1">
        <v>102.0</v>
      </c>
      <c r="K3150" s="1">
        <v>23.0</v>
      </c>
      <c r="L3150" s="1">
        <v>112.0</v>
      </c>
    </row>
    <row r="3151">
      <c r="A3151" s="1">
        <v>9220043.0</v>
      </c>
      <c r="B3151" s="1" t="s">
        <v>6832</v>
      </c>
      <c r="C3151" s="1" t="s">
        <v>6726</v>
      </c>
      <c r="D3151" s="1" t="s">
        <v>6833</v>
      </c>
      <c r="E3151" s="1" t="s">
        <v>6834</v>
      </c>
      <c r="F3151" s="1" t="s">
        <v>16</v>
      </c>
      <c r="G3151" s="1" t="s">
        <v>23</v>
      </c>
      <c r="H3151" s="1" t="s">
        <v>18</v>
      </c>
      <c r="I3151" s="1" t="s">
        <v>40</v>
      </c>
      <c r="J3151" s="1">
        <v>86.0</v>
      </c>
      <c r="K3151" s="1">
        <v>19.0</v>
      </c>
      <c r="L3151" s="1">
        <v>164.0</v>
      </c>
    </row>
    <row r="3152">
      <c r="A3152" s="1">
        <v>9232011.0</v>
      </c>
      <c r="B3152" s="1" t="s">
        <v>6835</v>
      </c>
      <c r="C3152" s="1" t="s">
        <v>6774</v>
      </c>
      <c r="D3152" s="1" t="s">
        <v>6836</v>
      </c>
      <c r="E3152" s="1" t="s">
        <v>6837</v>
      </c>
      <c r="F3152" s="1" t="s">
        <v>16</v>
      </c>
      <c r="G3152" s="1" t="s">
        <v>23</v>
      </c>
      <c r="H3152" s="1" t="s">
        <v>18</v>
      </c>
      <c r="I3152" s="1" t="s">
        <v>40</v>
      </c>
      <c r="J3152" s="1">
        <v>35.0</v>
      </c>
      <c r="K3152" s="1">
        <v>18.0</v>
      </c>
      <c r="L3152" s="1">
        <v>0.0</v>
      </c>
    </row>
    <row r="3153">
      <c r="A3153" s="1">
        <v>9231002.0</v>
      </c>
      <c r="B3153" s="1" t="s">
        <v>6838</v>
      </c>
      <c r="C3153" s="1" t="s">
        <v>6774</v>
      </c>
      <c r="D3153" s="1" t="s">
        <v>6839</v>
      </c>
      <c r="E3153" s="1" t="s">
        <v>6840</v>
      </c>
      <c r="F3153" s="1" t="s">
        <v>16</v>
      </c>
      <c r="G3153" s="1" t="s">
        <v>98</v>
      </c>
      <c r="H3153" s="1" t="s">
        <v>18</v>
      </c>
      <c r="I3153" s="1" t="s">
        <v>40</v>
      </c>
      <c r="J3153" s="1">
        <v>85.0</v>
      </c>
      <c r="K3153" s="1">
        <v>23.0</v>
      </c>
      <c r="L3153" s="1">
        <v>47.0</v>
      </c>
    </row>
    <row r="3154">
      <c r="A3154" s="1">
        <v>9201046.0</v>
      </c>
      <c r="B3154" s="1" t="s">
        <v>6841</v>
      </c>
      <c r="C3154" s="1" t="s">
        <v>6751</v>
      </c>
      <c r="D3154" s="1" t="s">
        <v>6752</v>
      </c>
      <c r="E3154" s="1" t="s">
        <v>6842</v>
      </c>
      <c r="F3154" s="1" t="s">
        <v>16</v>
      </c>
      <c r="G3154" s="1" t="s">
        <v>23</v>
      </c>
      <c r="H3154" s="1" t="s">
        <v>18</v>
      </c>
      <c r="I3154" s="1" t="s">
        <v>74</v>
      </c>
      <c r="J3154" s="1">
        <v>81.0</v>
      </c>
      <c r="K3154" s="1">
        <v>24.0</v>
      </c>
      <c r="L3154" s="1">
        <v>0.0</v>
      </c>
    </row>
    <row r="3155">
      <c r="A3155" s="1">
        <v>9212027.0</v>
      </c>
      <c r="B3155" s="1" t="s">
        <v>6843</v>
      </c>
      <c r="C3155" s="1" t="s">
        <v>6730</v>
      </c>
      <c r="D3155" s="1" t="s">
        <v>6731</v>
      </c>
      <c r="E3155" s="1" t="s">
        <v>6844</v>
      </c>
      <c r="F3155" s="1" t="s">
        <v>16</v>
      </c>
      <c r="G3155" s="1" t="s">
        <v>23</v>
      </c>
      <c r="H3155" s="1" t="s">
        <v>18</v>
      </c>
      <c r="I3155" s="1" t="s">
        <v>74</v>
      </c>
      <c r="J3155" s="1">
        <v>60.0</v>
      </c>
      <c r="K3155" s="1">
        <v>43.0</v>
      </c>
      <c r="L3155" s="1">
        <v>0.0</v>
      </c>
    </row>
    <row r="3156">
      <c r="A3156" s="1">
        <v>9271023.0</v>
      </c>
      <c r="B3156" s="1" t="s">
        <v>6845</v>
      </c>
      <c r="C3156" s="1" t="s">
        <v>6726</v>
      </c>
      <c r="D3156" s="1" t="s">
        <v>6734</v>
      </c>
      <c r="E3156" s="1" t="s">
        <v>6846</v>
      </c>
      <c r="F3156" s="1" t="s">
        <v>16</v>
      </c>
      <c r="G3156" s="1" t="s">
        <v>17</v>
      </c>
      <c r="H3156" s="1" t="s">
        <v>28</v>
      </c>
      <c r="I3156" s="1" t="s">
        <v>139</v>
      </c>
      <c r="J3156" s="1">
        <v>236.0</v>
      </c>
      <c r="K3156" s="1">
        <v>79.0</v>
      </c>
      <c r="L3156" s="1">
        <v>190.0</v>
      </c>
    </row>
  </sheetData>
  <autoFilter ref="$A$1:$L$315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88"/>
    <col customWidth="1" min="4" max="4" width="27.13"/>
    <col customWidth="1" min="6" max="6" width="27.75"/>
    <col customWidth="1" min="9" max="9" width="16.5"/>
    <col customWidth="1" min="10" max="10" width="13.38"/>
    <col customWidth="1" min="14" max="14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6847</v>
      </c>
      <c r="K1" s="1" t="s">
        <v>10</v>
      </c>
      <c r="L1" s="2" t="s">
        <v>6848</v>
      </c>
      <c r="M1" s="3" t="s">
        <v>6849</v>
      </c>
      <c r="N1" s="3" t="s">
        <v>6849</v>
      </c>
      <c r="O1" s="3" t="s">
        <v>6849</v>
      </c>
      <c r="P1" s="3" t="s">
        <v>6849</v>
      </c>
      <c r="Q1" s="3" t="s">
        <v>6849</v>
      </c>
      <c r="R1" s="3" t="s">
        <v>6849</v>
      </c>
      <c r="S1" s="3" t="s">
        <v>6849</v>
      </c>
      <c r="T1" s="3" t="s">
        <v>6849</v>
      </c>
      <c r="U1" s="3" t="s">
        <v>6849</v>
      </c>
      <c r="V1" s="3" t="s">
        <v>6849</v>
      </c>
      <c r="W1" s="3" t="s">
        <v>6849</v>
      </c>
      <c r="X1" s="3" t="s">
        <v>6849</v>
      </c>
      <c r="Y1" s="3" t="s">
        <v>6849</v>
      </c>
      <c r="Z1" s="3" t="s">
        <v>6849</v>
      </c>
    </row>
    <row r="2">
      <c r="A2" s="1">
        <v>1110053.0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f>IFERROR(__xludf.DUMMYFUNCTION("ARRAYFORMULA(
IF(
Hospital_Indonesia_datasets!J2:J3156=0,
MEDIAN(FILTER(Hospital_Indonesia_datasets!J2:J3156,
Hospital_Indonesia_datasets!J2:J3156&lt;&gt;0)),
Hospital_Indonesia_datasets!J2:J3156
))"),218.0)</f>
        <v>218</v>
      </c>
      <c r="K2" s="1">
        <v>36.0</v>
      </c>
      <c r="L2" s="1">
        <f>IFERROR(__xludf.DUMMYFUNCTION("ARRAYFORMULA(
IF(
Hospital_Indonesia_datasets!L2:L3156=0,
MEDIAN(FILTER(Hospital_Indonesia_datasets!L2:L3156,
Hospital_Indonesia_datasets!L2:L3156&lt;&gt;0)),
Hospital_Indonesia_datasets!L2:L3156
))"),328.0)</f>
        <v>328</v>
      </c>
    </row>
    <row r="3">
      <c r="A3" s="1">
        <v>1106014.0</v>
      </c>
      <c r="B3" s="1" t="s">
        <v>20</v>
      </c>
      <c r="C3" s="1" t="s">
        <v>13</v>
      </c>
      <c r="D3" s="1" t="s">
        <v>21</v>
      </c>
      <c r="E3" s="1" t="s">
        <v>22</v>
      </c>
      <c r="F3" s="1" t="s">
        <v>16</v>
      </c>
      <c r="G3" s="1" t="s">
        <v>23</v>
      </c>
      <c r="H3" s="1" t="s">
        <v>18</v>
      </c>
      <c r="I3" s="1" t="s">
        <v>19</v>
      </c>
      <c r="J3" s="1">
        <f>IFERROR(__xludf.DUMMYFUNCTION("""COMPUTED_VALUE"""),45.0)</f>
        <v>45</v>
      </c>
      <c r="K3" s="1">
        <v>15.0</v>
      </c>
      <c r="L3" s="1">
        <f>IFERROR(__xludf.DUMMYFUNCTION("""COMPUTED_VALUE"""),45.0)</f>
        <v>45</v>
      </c>
    </row>
    <row r="4">
      <c r="A4" s="1">
        <v>1171110.0</v>
      </c>
      <c r="B4" s="1" t="s">
        <v>24</v>
      </c>
      <c r="C4" s="1" t="s">
        <v>13</v>
      </c>
      <c r="D4" s="1" t="s">
        <v>25</v>
      </c>
      <c r="E4" s="1" t="s">
        <v>26</v>
      </c>
      <c r="F4" s="1" t="s">
        <v>16</v>
      </c>
      <c r="G4" s="1" t="s">
        <v>27</v>
      </c>
      <c r="H4" s="1" t="s">
        <v>28</v>
      </c>
      <c r="I4" s="1" t="s">
        <v>29</v>
      </c>
      <c r="J4" s="1">
        <f>IFERROR(__xludf.DUMMYFUNCTION("""COMPUTED_VALUE"""),310.0)</f>
        <v>310</v>
      </c>
      <c r="K4" s="1">
        <v>77.0</v>
      </c>
      <c r="L4" s="1">
        <f>IFERROR(__xludf.DUMMYFUNCTION("""COMPUTED_VALUE"""),487.0)</f>
        <v>487</v>
      </c>
    </row>
    <row r="5">
      <c r="A5" s="1">
        <v>1171163.0</v>
      </c>
      <c r="B5" s="1" t="s">
        <v>30</v>
      </c>
      <c r="C5" s="1" t="s">
        <v>13</v>
      </c>
      <c r="D5" s="1" t="s">
        <v>25</v>
      </c>
      <c r="E5" s="1" t="s">
        <v>31</v>
      </c>
      <c r="F5" s="1" t="s">
        <v>32</v>
      </c>
      <c r="G5" s="1" t="s">
        <v>27</v>
      </c>
      <c r="H5" s="1" t="s">
        <v>33</v>
      </c>
      <c r="I5" s="1" t="s">
        <v>34</v>
      </c>
      <c r="J5" s="1">
        <f>IFERROR(__xludf.DUMMYFUNCTION("""COMPUTED_VALUE"""),11.0)</f>
        <v>11</v>
      </c>
      <c r="K5" s="1">
        <v>24.0</v>
      </c>
      <c r="L5" s="1">
        <f>IFERROR(__xludf.DUMMYFUNCTION("""COMPUTED_VALUE"""),182.0)</f>
        <v>182</v>
      </c>
    </row>
    <row r="6">
      <c r="A6" s="1">
        <v>1102027.0</v>
      </c>
      <c r="B6" s="1" t="s">
        <v>35</v>
      </c>
      <c r="C6" s="1" t="s">
        <v>13</v>
      </c>
      <c r="D6" s="1" t="s">
        <v>36</v>
      </c>
      <c r="E6" s="1" t="s">
        <v>37</v>
      </c>
      <c r="F6" s="1" t="s">
        <v>16</v>
      </c>
      <c r="G6" s="1" t="s">
        <v>17</v>
      </c>
      <c r="H6" s="1" t="s">
        <v>28</v>
      </c>
      <c r="I6" s="1" t="s">
        <v>29</v>
      </c>
      <c r="J6" s="1">
        <f>IFERROR(__xludf.DUMMYFUNCTION("""COMPUTED_VALUE"""),189.0)</f>
        <v>189</v>
      </c>
      <c r="K6" s="1">
        <v>34.0</v>
      </c>
      <c r="L6" s="1">
        <f>IFERROR(__xludf.DUMMYFUNCTION("""COMPUTED_VALUE"""),537.0)</f>
        <v>537</v>
      </c>
    </row>
    <row r="7">
      <c r="A7" s="1">
        <v>1106013.0</v>
      </c>
      <c r="B7" s="1" t="s">
        <v>38</v>
      </c>
      <c r="C7" s="1" t="s">
        <v>13</v>
      </c>
      <c r="D7" s="1" t="s">
        <v>21</v>
      </c>
      <c r="E7" s="1" t="s">
        <v>39</v>
      </c>
      <c r="F7" s="1" t="s">
        <v>16</v>
      </c>
      <c r="G7" s="1" t="s">
        <v>27</v>
      </c>
      <c r="H7" s="1" t="s">
        <v>28</v>
      </c>
      <c r="I7" s="1" t="s">
        <v>40</v>
      </c>
      <c r="J7" s="1">
        <f>IFERROR(__xludf.DUMMYFUNCTION("""COMPUTED_VALUE"""),376.0)</f>
        <v>376</v>
      </c>
      <c r="K7" s="1">
        <v>80.0</v>
      </c>
      <c r="L7" s="1">
        <f>IFERROR(__xludf.DUMMYFUNCTION("""COMPUTED_VALUE"""),470.0)</f>
        <v>470</v>
      </c>
    </row>
    <row r="8">
      <c r="A8" s="1">
        <v>1109028.0</v>
      </c>
      <c r="B8" s="1" t="s">
        <v>41</v>
      </c>
      <c r="C8" s="1" t="s">
        <v>13</v>
      </c>
      <c r="D8" s="1" t="s">
        <v>42</v>
      </c>
      <c r="E8" s="1" t="s">
        <v>43</v>
      </c>
      <c r="F8" s="1" t="s">
        <v>16</v>
      </c>
      <c r="G8" s="1" t="s">
        <v>23</v>
      </c>
      <c r="H8" s="1" t="s">
        <v>18</v>
      </c>
      <c r="I8" s="1" t="s">
        <v>44</v>
      </c>
      <c r="J8" s="1">
        <f>IFERROR(__xludf.DUMMYFUNCTION("""COMPUTED_VALUE"""),102.0)</f>
        <v>102</v>
      </c>
      <c r="K8" s="1">
        <v>64.0</v>
      </c>
      <c r="L8" s="1">
        <f>IFERROR(__xludf.DUMMYFUNCTION("""COMPUTED_VALUE"""),208.0)</f>
        <v>208</v>
      </c>
    </row>
    <row r="9">
      <c r="A9" s="1">
        <v>1174022.0</v>
      </c>
      <c r="B9" s="1" t="s">
        <v>45</v>
      </c>
      <c r="C9" s="1" t="s">
        <v>13</v>
      </c>
      <c r="D9" s="1" t="s">
        <v>14</v>
      </c>
      <c r="E9" s="1" t="s">
        <v>46</v>
      </c>
      <c r="F9" s="1" t="s">
        <v>16</v>
      </c>
      <c r="G9" s="1" t="s">
        <v>23</v>
      </c>
      <c r="H9" s="1" t="s">
        <v>18</v>
      </c>
      <c r="I9" s="1" t="s">
        <v>19</v>
      </c>
      <c r="J9" s="1">
        <f>IFERROR(__xludf.DUMMYFUNCTION("""COMPUTED_VALUE"""),88.0)</f>
        <v>88</v>
      </c>
      <c r="K9" s="1">
        <v>38.0</v>
      </c>
      <c r="L9" s="1">
        <f>IFERROR(__xludf.DUMMYFUNCTION("""COMPUTED_VALUE"""),128.0)</f>
        <v>128</v>
      </c>
    </row>
    <row r="10">
      <c r="A10" s="1">
        <v>1117025.0</v>
      </c>
      <c r="B10" s="1" t="s">
        <v>47</v>
      </c>
      <c r="C10" s="1" t="s">
        <v>13</v>
      </c>
      <c r="D10" s="1" t="s">
        <v>48</v>
      </c>
      <c r="E10" s="1" t="s">
        <v>49</v>
      </c>
      <c r="F10" s="1" t="s">
        <v>16</v>
      </c>
      <c r="G10" s="1" t="s">
        <v>17</v>
      </c>
      <c r="H10" s="1" t="s">
        <v>28</v>
      </c>
      <c r="I10" s="1" t="s">
        <v>40</v>
      </c>
      <c r="J10" s="1">
        <f>IFERROR(__xludf.DUMMYFUNCTION("""COMPUTED_VALUE"""),176.0)</f>
        <v>176</v>
      </c>
      <c r="K10" s="1">
        <v>35.0</v>
      </c>
      <c r="L10" s="1">
        <f>IFERROR(__xludf.DUMMYFUNCTION("""COMPUTED_VALUE"""),199.0)</f>
        <v>199</v>
      </c>
    </row>
    <row r="11">
      <c r="A11" s="1">
        <v>1106025.0</v>
      </c>
      <c r="B11" s="1" t="s">
        <v>50</v>
      </c>
      <c r="C11" s="1" t="s">
        <v>13</v>
      </c>
      <c r="D11" s="1" t="s">
        <v>21</v>
      </c>
      <c r="E11" s="1" t="s">
        <v>51</v>
      </c>
      <c r="F11" s="1" t="s">
        <v>16</v>
      </c>
      <c r="G11" s="1" t="s">
        <v>23</v>
      </c>
      <c r="H11" s="1" t="s">
        <v>18</v>
      </c>
      <c r="I11" s="1" t="s">
        <v>19</v>
      </c>
      <c r="J11" s="1">
        <f>IFERROR(__xludf.DUMMYFUNCTION("""COMPUTED_VALUE"""),60.0)</f>
        <v>60</v>
      </c>
      <c r="K11" s="1">
        <v>56.0</v>
      </c>
      <c r="L11" s="1">
        <f>IFERROR(__xludf.DUMMYFUNCTION("""COMPUTED_VALUE"""),182.0)</f>
        <v>182</v>
      </c>
    </row>
    <row r="12">
      <c r="A12" s="1">
        <v>1104013.0</v>
      </c>
      <c r="B12" s="1" t="s">
        <v>52</v>
      </c>
      <c r="C12" s="1" t="s">
        <v>13</v>
      </c>
      <c r="D12" s="1" t="s">
        <v>53</v>
      </c>
      <c r="E12" s="1" t="s">
        <v>54</v>
      </c>
      <c r="F12" s="1" t="s">
        <v>55</v>
      </c>
      <c r="G12" s="1" t="s">
        <v>17</v>
      </c>
      <c r="H12" s="1" t="s">
        <v>18</v>
      </c>
      <c r="I12" s="1" t="s">
        <v>19</v>
      </c>
      <c r="J12" s="1">
        <f>IFERROR(__xludf.DUMMYFUNCTION("""COMPUTED_VALUE"""),80.0)</f>
        <v>80</v>
      </c>
      <c r="K12" s="1">
        <v>28.0</v>
      </c>
      <c r="L12" s="1">
        <f>IFERROR(__xludf.DUMMYFUNCTION("""COMPUTED_VALUE"""),3.0)</f>
        <v>3</v>
      </c>
    </row>
    <row r="13">
      <c r="A13" s="1">
        <v>1105078.0</v>
      </c>
      <c r="B13" s="1" t="s">
        <v>56</v>
      </c>
      <c r="C13" s="1" t="s">
        <v>13</v>
      </c>
      <c r="D13" s="1" t="s">
        <v>57</v>
      </c>
      <c r="E13" s="1" t="s">
        <v>58</v>
      </c>
      <c r="F13" s="1" t="s">
        <v>16</v>
      </c>
      <c r="G13" s="1" t="s">
        <v>17</v>
      </c>
      <c r="H13" s="1" t="s">
        <v>18</v>
      </c>
      <c r="I13" s="1" t="s">
        <v>59</v>
      </c>
      <c r="J13" s="1">
        <f>IFERROR(__xludf.DUMMYFUNCTION("""COMPUTED_VALUE"""),163.0)</f>
        <v>163</v>
      </c>
      <c r="K13" s="1">
        <v>26.0</v>
      </c>
      <c r="L13" s="1">
        <f>IFERROR(__xludf.DUMMYFUNCTION("""COMPUTED_VALUE"""),315.0)</f>
        <v>315</v>
      </c>
    </row>
    <row r="14">
      <c r="A14" s="1">
        <v>1110075.0</v>
      </c>
      <c r="B14" s="1" t="s">
        <v>60</v>
      </c>
      <c r="C14" s="1" t="s">
        <v>13</v>
      </c>
      <c r="D14" s="1" t="s">
        <v>61</v>
      </c>
      <c r="E14" s="1" t="s">
        <v>62</v>
      </c>
      <c r="F14" s="1" t="s">
        <v>16</v>
      </c>
      <c r="G14" s="1" t="s">
        <v>27</v>
      </c>
      <c r="H14" s="1" t="s">
        <v>28</v>
      </c>
      <c r="I14" s="1" t="s">
        <v>40</v>
      </c>
      <c r="J14" s="1">
        <f>IFERROR(__xludf.DUMMYFUNCTION("""COMPUTED_VALUE"""),251.0)</f>
        <v>251</v>
      </c>
      <c r="K14" s="1">
        <v>84.0</v>
      </c>
      <c r="L14" s="1">
        <f>IFERROR(__xludf.DUMMYFUNCTION("""COMPUTED_VALUE"""),1178.0)</f>
        <v>1178</v>
      </c>
    </row>
    <row r="15">
      <c r="A15" s="1">
        <v>1171143.0</v>
      </c>
      <c r="B15" s="1" t="s">
        <v>63</v>
      </c>
      <c r="C15" s="1" t="s">
        <v>13</v>
      </c>
      <c r="D15" s="1" t="s">
        <v>25</v>
      </c>
      <c r="E15" s="1" t="s">
        <v>64</v>
      </c>
      <c r="F15" s="1" t="s">
        <v>16</v>
      </c>
      <c r="G15" s="1" t="s">
        <v>17</v>
      </c>
      <c r="H15" s="1" t="s">
        <v>33</v>
      </c>
      <c r="I15" s="1" t="s">
        <v>65</v>
      </c>
      <c r="J15" s="1">
        <f>IFERROR(__xludf.DUMMYFUNCTION("""COMPUTED_VALUE"""),182.0)</f>
        <v>182</v>
      </c>
      <c r="K15" s="1">
        <v>23.0</v>
      </c>
      <c r="L15" s="1">
        <f>IFERROR(__xludf.DUMMYFUNCTION("""COMPUTED_VALUE"""),147.0)</f>
        <v>147</v>
      </c>
    </row>
    <row r="16">
      <c r="A16" s="1">
        <v>1103010.0</v>
      </c>
      <c r="B16" s="1" t="s">
        <v>66</v>
      </c>
      <c r="C16" s="1" t="s">
        <v>13</v>
      </c>
      <c r="D16" s="1" t="s">
        <v>67</v>
      </c>
      <c r="E16" s="1" t="s">
        <v>68</v>
      </c>
      <c r="F16" s="1" t="s">
        <v>16</v>
      </c>
      <c r="G16" s="1" t="s">
        <v>27</v>
      </c>
      <c r="H16" s="1" t="s">
        <v>28</v>
      </c>
      <c r="I16" s="1" t="s">
        <v>40</v>
      </c>
      <c r="J16" s="1">
        <f>IFERROR(__xludf.DUMMYFUNCTION("""COMPUTED_VALUE"""),359.0)</f>
        <v>359</v>
      </c>
      <c r="K16" s="1">
        <v>68.0</v>
      </c>
      <c r="L16" s="1">
        <f>IFERROR(__xludf.DUMMYFUNCTION("""COMPUTED_VALUE"""),515.0)</f>
        <v>515</v>
      </c>
    </row>
    <row r="17">
      <c r="A17" s="1">
        <v>1108015.0</v>
      </c>
      <c r="B17" s="1" t="s">
        <v>69</v>
      </c>
      <c r="C17" s="1" t="s">
        <v>13</v>
      </c>
      <c r="D17" s="1" t="s">
        <v>70</v>
      </c>
      <c r="E17" s="1" t="s">
        <v>71</v>
      </c>
      <c r="F17" s="1" t="s">
        <v>16</v>
      </c>
      <c r="G17" s="1" t="s">
        <v>17</v>
      </c>
      <c r="H17" s="1" t="s">
        <v>18</v>
      </c>
      <c r="I17" s="1" t="s">
        <v>40</v>
      </c>
      <c r="J17" s="1">
        <f>IFERROR(__xludf.DUMMYFUNCTION("""COMPUTED_VALUE"""),101.0)</f>
        <v>101</v>
      </c>
      <c r="K17" s="1">
        <v>23.0</v>
      </c>
      <c r="L17" s="1">
        <f>IFERROR(__xludf.DUMMYFUNCTION("""COMPUTED_VALUE"""),262.0)</f>
        <v>262</v>
      </c>
    </row>
    <row r="18">
      <c r="A18" s="1">
        <v>1171026.0</v>
      </c>
      <c r="B18" s="1" t="s">
        <v>72</v>
      </c>
      <c r="C18" s="1" t="s">
        <v>13</v>
      </c>
      <c r="D18" s="1" t="s">
        <v>25</v>
      </c>
      <c r="E18" s="1" t="s">
        <v>73</v>
      </c>
      <c r="F18" s="1" t="s">
        <v>16</v>
      </c>
      <c r="G18" s="1" t="s">
        <v>27</v>
      </c>
      <c r="H18" s="1" t="s">
        <v>33</v>
      </c>
      <c r="I18" s="1" t="s">
        <v>74</v>
      </c>
      <c r="J18" s="1">
        <f>IFERROR(__xludf.DUMMYFUNCTION("""COMPUTED_VALUE"""),273.0)</f>
        <v>273</v>
      </c>
      <c r="K18" s="1">
        <v>82.0</v>
      </c>
      <c r="L18" s="1">
        <f>IFERROR(__xludf.DUMMYFUNCTION("""COMPUTED_VALUE"""),442.0)</f>
        <v>442</v>
      </c>
    </row>
    <row r="19">
      <c r="A19" s="1">
        <v>1174023.0</v>
      </c>
      <c r="B19" s="1" t="s">
        <v>75</v>
      </c>
      <c r="C19" s="1" t="s">
        <v>13</v>
      </c>
      <c r="D19" s="1" t="s">
        <v>14</v>
      </c>
      <c r="E19" s="1" t="s">
        <v>76</v>
      </c>
      <c r="F19" s="1" t="s">
        <v>55</v>
      </c>
      <c r="G19" s="1" t="s">
        <v>17</v>
      </c>
      <c r="H19" s="1" t="s">
        <v>18</v>
      </c>
      <c r="I19" s="1" t="s">
        <v>19</v>
      </c>
      <c r="J19" s="1">
        <f>IFERROR(__xludf.DUMMYFUNCTION("""COMPUTED_VALUE"""),66.0)</f>
        <v>66</v>
      </c>
      <c r="K19" s="1">
        <v>30.0</v>
      </c>
      <c r="L19" s="1">
        <f>IFERROR(__xludf.DUMMYFUNCTION("""COMPUTED_VALUE"""),91.0)</f>
        <v>91</v>
      </c>
    </row>
    <row r="20">
      <c r="A20" s="1">
        <v>1101015.0</v>
      </c>
      <c r="B20" s="1" t="s">
        <v>77</v>
      </c>
      <c r="C20" s="1" t="s">
        <v>13</v>
      </c>
      <c r="D20" s="1" t="s">
        <v>78</v>
      </c>
      <c r="E20" s="1" t="s">
        <v>79</v>
      </c>
      <c r="F20" s="1" t="s">
        <v>16</v>
      </c>
      <c r="G20" s="1" t="s">
        <v>17</v>
      </c>
      <c r="H20" s="1" t="s">
        <v>28</v>
      </c>
      <c r="I20" s="1" t="s">
        <v>40</v>
      </c>
      <c r="J20" s="1">
        <f>IFERROR(__xludf.DUMMYFUNCTION("""COMPUTED_VALUE"""),120.0)</f>
        <v>120</v>
      </c>
      <c r="K20" s="1">
        <v>33.0</v>
      </c>
      <c r="L20" s="1">
        <f>IFERROR(__xludf.DUMMYFUNCTION("""COMPUTED_VALUE"""),533.0)</f>
        <v>533</v>
      </c>
    </row>
    <row r="21">
      <c r="A21" s="1">
        <v>1174021.0</v>
      </c>
      <c r="B21" s="1" t="s">
        <v>80</v>
      </c>
      <c r="C21" s="1" t="s">
        <v>13</v>
      </c>
      <c r="D21" s="1" t="s">
        <v>14</v>
      </c>
      <c r="E21" s="1" t="s">
        <v>81</v>
      </c>
      <c r="F21" s="1" t="s">
        <v>16</v>
      </c>
      <c r="G21" s="1" t="s">
        <v>23</v>
      </c>
      <c r="H21" s="1" t="s">
        <v>18</v>
      </c>
      <c r="I21" s="1" t="s">
        <v>19</v>
      </c>
      <c r="J21" s="1">
        <f>IFERROR(__xludf.DUMMYFUNCTION("""COMPUTED_VALUE"""),68.0)</f>
        <v>68</v>
      </c>
      <c r="K21" s="1">
        <v>22.0</v>
      </c>
      <c r="L21" s="1">
        <f>IFERROR(__xludf.DUMMYFUNCTION("""COMPUTED_VALUE"""),119.0)</f>
        <v>119</v>
      </c>
    </row>
    <row r="22">
      <c r="A22" s="1">
        <v>1174100.0</v>
      </c>
      <c r="B22" s="1" t="s">
        <v>82</v>
      </c>
      <c r="C22" s="1" t="s">
        <v>13</v>
      </c>
      <c r="D22" s="1" t="s">
        <v>14</v>
      </c>
      <c r="E22" s="1" t="s">
        <v>83</v>
      </c>
      <c r="F22" s="1" t="s">
        <v>16</v>
      </c>
      <c r="G22" s="1" t="s">
        <v>17</v>
      </c>
      <c r="H22" s="1" t="s">
        <v>18</v>
      </c>
      <c r="I22" s="1" t="s">
        <v>74</v>
      </c>
      <c r="J22" s="1">
        <f>IFERROR(__xludf.DUMMYFUNCTION("""COMPUTED_VALUE"""),171.0)</f>
        <v>171</v>
      </c>
      <c r="K22" s="1">
        <v>60.0</v>
      </c>
      <c r="L22" s="1">
        <f>IFERROR(__xludf.DUMMYFUNCTION("""COMPUTED_VALUE"""),303.0)</f>
        <v>303</v>
      </c>
    </row>
    <row r="23">
      <c r="A23" s="1">
        <v>1110104.0</v>
      </c>
      <c r="B23" s="1" t="s">
        <v>84</v>
      </c>
      <c r="C23" s="1" t="s">
        <v>13</v>
      </c>
      <c r="D23" s="1" t="s">
        <v>61</v>
      </c>
      <c r="E23" s="1" t="s">
        <v>85</v>
      </c>
      <c r="F23" s="1" t="s">
        <v>16</v>
      </c>
      <c r="G23" s="1" t="s">
        <v>17</v>
      </c>
      <c r="H23" s="1" t="s">
        <v>18</v>
      </c>
      <c r="I23" s="1" t="s">
        <v>19</v>
      </c>
      <c r="J23" s="1">
        <f>IFERROR(__xludf.DUMMYFUNCTION("""COMPUTED_VALUE"""),104.0)</f>
        <v>104</v>
      </c>
      <c r="K23" s="1">
        <v>28.0</v>
      </c>
      <c r="L23" s="1">
        <f>IFERROR(__xludf.DUMMYFUNCTION("""COMPUTED_VALUE"""),151.0)</f>
        <v>151</v>
      </c>
    </row>
    <row r="24">
      <c r="A24" s="1">
        <v>1113023.0</v>
      </c>
      <c r="B24" s="1" t="s">
        <v>86</v>
      </c>
      <c r="C24" s="1" t="s">
        <v>13</v>
      </c>
      <c r="D24" s="1" t="s">
        <v>87</v>
      </c>
      <c r="E24" s="1" t="s">
        <v>88</v>
      </c>
      <c r="F24" s="1" t="s">
        <v>16</v>
      </c>
      <c r="G24" s="1" t="s">
        <v>23</v>
      </c>
      <c r="H24" s="1" t="s">
        <v>18</v>
      </c>
      <c r="I24" s="1" t="s">
        <v>34</v>
      </c>
      <c r="J24" s="1">
        <f>IFERROR(__xludf.DUMMYFUNCTION("""COMPUTED_VALUE"""),54.0)</f>
        <v>54</v>
      </c>
      <c r="K24" s="1">
        <v>22.0</v>
      </c>
      <c r="L24" s="1">
        <f>IFERROR(__xludf.DUMMYFUNCTION("""COMPUTED_VALUE"""),182.0)</f>
        <v>182</v>
      </c>
    </row>
    <row r="25">
      <c r="A25" s="1">
        <v>1116011.0</v>
      </c>
      <c r="B25" s="1" t="s">
        <v>89</v>
      </c>
      <c r="C25" s="1" t="s">
        <v>13</v>
      </c>
      <c r="D25" s="1" t="s">
        <v>90</v>
      </c>
      <c r="E25" s="1" t="s">
        <v>91</v>
      </c>
      <c r="F25" s="1" t="s">
        <v>16</v>
      </c>
      <c r="G25" s="1" t="s">
        <v>17</v>
      </c>
      <c r="H25" s="1" t="s">
        <v>28</v>
      </c>
      <c r="I25" s="1" t="s">
        <v>40</v>
      </c>
      <c r="J25" s="1">
        <f>IFERROR(__xludf.DUMMYFUNCTION("""COMPUTED_VALUE"""),107.0)</f>
        <v>107</v>
      </c>
      <c r="K25" s="1">
        <v>23.0</v>
      </c>
      <c r="L25" s="1">
        <f>IFERROR(__xludf.DUMMYFUNCTION("""COMPUTED_VALUE"""),406.0)</f>
        <v>406</v>
      </c>
    </row>
    <row r="26">
      <c r="A26" s="1">
        <v>1172031.0</v>
      </c>
      <c r="B26" s="1" t="s">
        <v>92</v>
      </c>
      <c r="C26" s="1" t="s">
        <v>13</v>
      </c>
      <c r="D26" s="1" t="s">
        <v>93</v>
      </c>
      <c r="E26" s="1" t="s">
        <v>94</v>
      </c>
      <c r="F26" s="1" t="s">
        <v>16</v>
      </c>
      <c r="G26" s="1" t="s">
        <v>23</v>
      </c>
      <c r="H26" s="1" t="s">
        <v>18</v>
      </c>
      <c r="I26" s="1" t="s">
        <v>95</v>
      </c>
      <c r="J26" s="1">
        <f>IFERROR(__xludf.DUMMYFUNCTION("""COMPUTED_VALUE"""),52.0)</f>
        <v>52</v>
      </c>
      <c r="K26" s="1">
        <v>17.0</v>
      </c>
      <c r="L26" s="1">
        <f>IFERROR(__xludf.DUMMYFUNCTION("""COMPUTED_VALUE"""),20.0)</f>
        <v>20</v>
      </c>
    </row>
    <row r="27">
      <c r="A27" s="1">
        <v>1103022.0</v>
      </c>
      <c r="B27" s="1" t="s">
        <v>96</v>
      </c>
      <c r="C27" s="1" t="s">
        <v>13</v>
      </c>
      <c r="D27" s="1" t="s">
        <v>67</v>
      </c>
      <c r="E27" s="1" t="s">
        <v>97</v>
      </c>
      <c r="F27" s="1" t="s">
        <v>16</v>
      </c>
      <c r="G27" s="1" t="s">
        <v>98</v>
      </c>
      <c r="H27" s="1" t="s">
        <v>18</v>
      </c>
      <c r="I27" s="1" t="s">
        <v>40</v>
      </c>
      <c r="J27" s="1">
        <f>IFERROR(__xludf.DUMMYFUNCTION("""COMPUTED_VALUE"""),102.0)</f>
        <v>102</v>
      </c>
      <c r="K27" s="1">
        <v>3.0</v>
      </c>
      <c r="L27" s="1">
        <f>IFERROR(__xludf.DUMMYFUNCTION("""COMPUTED_VALUE"""),182.0)</f>
        <v>182</v>
      </c>
    </row>
    <row r="28">
      <c r="A28" s="1">
        <v>1173012.0</v>
      </c>
      <c r="B28" s="1" t="s">
        <v>99</v>
      </c>
      <c r="C28" s="1" t="s">
        <v>13</v>
      </c>
      <c r="D28" s="1" t="s">
        <v>100</v>
      </c>
      <c r="E28" s="1" t="s">
        <v>101</v>
      </c>
      <c r="F28" s="1" t="s">
        <v>16</v>
      </c>
      <c r="G28" s="1" t="s">
        <v>27</v>
      </c>
      <c r="H28" s="1" t="s">
        <v>28</v>
      </c>
      <c r="I28" s="1" t="s">
        <v>29</v>
      </c>
      <c r="J28" s="1">
        <f>IFERROR(__xludf.DUMMYFUNCTION("""COMPUTED_VALUE"""),361.0)</f>
        <v>361</v>
      </c>
      <c r="K28" s="1">
        <v>65.0</v>
      </c>
      <c r="L28" s="1">
        <f>IFERROR(__xludf.DUMMYFUNCTION("""COMPUTED_VALUE"""),1169.0)</f>
        <v>1169</v>
      </c>
    </row>
    <row r="29">
      <c r="A29" s="1">
        <v>1109027.0</v>
      </c>
      <c r="B29" s="1" t="s">
        <v>102</v>
      </c>
      <c r="C29" s="1" t="s">
        <v>13</v>
      </c>
      <c r="D29" s="1" t="s">
        <v>42</v>
      </c>
      <c r="E29" s="1" t="s">
        <v>103</v>
      </c>
      <c r="F29" s="1" t="s">
        <v>16</v>
      </c>
      <c r="G29" s="1" t="s">
        <v>17</v>
      </c>
      <c r="H29" s="1" t="s">
        <v>28</v>
      </c>
      <c r="I29" s="1" t="s">
        <v>40</v>
      </c>
      <c r="J29" s="1">
        <f>IFERROR(__xludf.DUMMYFUNCTION("""COMPUTED_VALUE"""),200.0)</f>
        <v>200</v>
      </c>
      <c r="K29" s="1">
        <v>25.0</v>
      </c>
      <c r="L29" s="1">
        <f>IFERROR(__xludf.DUMMYFUNCTION("""COMPUTED_VALUE"""),801.0)</f>
        <v>801</v>
      </c>
    </row>
    <row r="30">
      <c r="A30" s="1">
        <v>1171085.0</v>
      </c>
      <c r="B30" s="1" t="s">
        <v>104</v>
      </c>
      <c r="C30" s="1" t="s">
        <v>13</v>
      </c>
      <c r="D30" s="1" t="s">
        <v>25</v>
      </c>
      <c r="E30" s="1" t="s">
        <v>105</v>
      </c>
      <c r="F30" s="1" t="s">
        <v>16</v>
      </c>
      <c r="G30" s="1" t="s">
        <v>23</v>
      </c>
      <c r="H30" s="1" t="s">
        <v>18</v>
      </c>
      <c r="I30" s="1" t="s">
        <v>59</v>
      </c>
      <c r="J30" s="1">
        <f>IFERROR(__xludf.DUMMYFUNCTION("""COMPUTED_VALUE"""),42.0)</f>
        <v>42</v>
      </c>
      <c r="K30" s="1">
        <v>13.0</v>
      </c>
      <c r="L30" s="1">
        <f>IFERROR(__xludf.DUMMYFUNCTION("""COMPUTED_VALUE"""),18.0)</f>
        <v>18</v>
      </c>
    </row>
    <row r="31">
      <c r="A31" s="1">
        <v>1108017.0</v>
      </c>
      <c r="B31" s="1" t="s">
        <v>106</v>
      </c>
      <c r="C31" s="1" t="s">
        <v>13</v>
      </c>
      <c r="D31" s="1" t="s">
        <v>70</v>
      </c>
      <c r="E31" s="1" t="s">
        <v>107</v>
      </c>
      <c r="F31" s="1" t="s">
        <v>16</v>
      </c>
      <c r="G31" s="1" t="s">
        <v>23</v>
      </c>
      <c r="H31" s="1" t="s">
        <v>18</v>
      </c>
      <c r="I31" s="1" t="s">
        <v>19</v>
      </c>
      <c r="J31" s="1">
        <f>IFERROR(__xludf.DUMMYFUNCTION("""COMPUTED_VALUE"""),63.0)</f>
        <v>63</v>
      </c>
      <c r="K31" s="1">
        <v>33.0</v>
      </c>
      <c r="L31" s="1">
        <f>IFERROR(__xludf.DUMMYFUNCTION("""COMPUTED_VALUE"""),67.0)</f>
        <v>67</v>
      </c>
    </row>
    <row r="32">
      <c r="A32" s="1">
        <v>1113012.0</v>
      </c>
      <c r="B32" s="1" t="s">
        <v>108</v>
      </c>
      <c r="C32" s="1" t="s">
        <v>13</v>
      </c>
      <c r="D32" s="1" t="s">
        <v>87</v>
      </c>
      <c r="E32" s="1" t="s">
        <v>109</v>
      </c>
      <c r="F32" s="1" t="s">
        <v>16</v>
      </c>
      <c r="G32" s="1" t="s">
        <v>17</v>
      </c>
      <c r="H32" s="1" t="s">
        <v>28</v>
      </c>
      <c r="I32" s="1" t="s">
        <v>40</v>
      </c>
      <c r="J32" s="1">
        <f>IFERROR(__xludf.DUMMYFUNCTION("""COMPUTED_VALUE"""),159.0)</f>
        <v>159</v>
      </c>
      <c r="K32" s="1">
        <v>24.0</v>
      </c>
      <c r="L32" s="1">
        <f>IFERROR(__xludf.DUMMYFUNCTION("""COMPUTED_VALUE"""),640.0)</f>
        <v>640</v>
      </c>
    </row>
    <row r="33">
      <c r="A33" s="1">
        <v>1105034.0</v>
      </c>
      <c r="B33" s="1" t="s">
        <v>110</v>
      </c>
      <c r="C33" s="1" t="s">
        <v>13</v>
      </c>
      <c r="D33" s="1" t="s">
        <v>111</v>
      </c>
      <c r="E33" s="1" t="s">
        <v>112</v>
      </c>
      <c r="F33" s="1" t="s">
        <v>16</v>
      </c>
      <c r="G33" s="1" t="s">
        <v>23</v>
      </c>
      <c r="H33" s="1" t="s">
        <v>18</v>
      </c>
      <c r="I33" s="1" t="s">
        <v>113</v>
      </c>
      <c r="J33" s="1">
        <f>IFERROR(__xludf.DUMMYFUNCTION("""COMPUTED_VALUE"""),50.0)</f>
        <v>50</v>
      </c>
      <c r="K33" s="1">
        <v>21.0</v>
      </c>
      <c r="L33" s="1">
        <f>IFERROR(__xludf.DUMMYFUNCTION("""COMPUTED_VALUE"""),49.0)</f>
        <v>49</v>
      </c>
    </row>
    <row r="34">
      <c r="A34" s="1">
        <v>1111006.0</v>
      </c>
      <c r="B34" s="1" t="s">
        <v>114</v>
      </c>
      <c r="C34" s="1" t="s">
        <v>13</v>
      </c>
      <c r="D34" s="1" t="s">
        <v>115</v>
      </c>
      <c r="E34" s="1" t="s">
        <v>116</v>
      </c>
      <c r="F34" s="1" t="s">
        <v>16</v>
      </c>
      <c r="G34" s="1" t="s">
        <v>98</v>
      </c>
      <c r="H34" s="1" t="s">
        <v>18</v>
      </c>
      <c r="I34" s="1" t="s">
        <v>40</v>
      </c>
      <c r="J34" s="1">
        <f>IFERROR(__xludf.DUMMYFUNCTION("""COMPUTED_VALUE"""),28.0)</f>
        <v>28</v>
      </c>
      <c r="K34" s="1">
        <v>13.0</v>
      </c>
      <c r="L34" s="1">
        <f>IFERROR(__xludf.DUMMYFUNCTION("""COMPUTED_VALUE"""),182.0)</f>
        <v>182</v>
      </c>
    </row>
    <row r="35">
      <c r="A35" s="1">
        <v>1110027.0</v>
      </c>
      <c r="B35" s="1" t="s">
        <v>104</v>
      </c>
      <c r="C35" s="1" t="s">
        <v>13</v>
      </c>
      <c r="D35" s="1" t="s">
        <v>61</v>
      </c>
      <c r="E35" s="1" t="s">
        <v>117</v>
      </c>
      <c r="F35" s="1" t="s">
        <v>16</v>
      </c>
      <c r="G35" s="1" t="s">
        <v>23</v>
      </c>
      <c r="H35" s="1" t="s">
        <v>18</v>
      </c>
      <c r="I35" s="1" t="s">
        <v>59</v>
      </c>
      <c r="J35" s="1">
        <f>IFERROR(__xludf.DUMMYFUNCTION("""COMPUTED_VALUE"""),74.0)</f>
        <v>74</v>
      </c>
      <c r="K35" s="1">
        <v>35.0</v>
      </c>
      <c r="L35" s="1">
        <f>IFERROR(__xludf.DUMMYFUNCTION("""COMPUTED_VALUE"""),123.0)</f>
        <v>123</v>
      </c>
    </row>
    <row r="36">
      <c r="A36" s="1">
        <v>1171106.0</v>
      </c>
      <c r="B36" s="1" t="s">
        <v>118</v>
      </c>
      <c r="C36" s="1" t="s">
        <v>13</v>
      </c>
      <c r="D36" s="1" t="s">
        <v>25</v>
      </c>
      <c r="E36" s="1" t="s">
        <v>119</v>
      </c>
      <c r="F36" s="1" t="s">
        <v>16</v>
      </c>
      <c r="G36" s="1" t="s">
        <v>17</v>
      </c>
      <c r="H36" s="1" t="s">
        <v>18</v>
      </c>
      <c r="I36" s="1" t="s">
        <v>59</v>
      </c>
      <c r="J36" s="1">
        <f>IFERROR(__xludf.DUMMYFUNCTION("""COMPUTED_VALUE"""),113.0)</f>
        <v>113</v>
      </c>
      <c r="K36" s="1">
        <v>39.0</v>
      </c>
      <c r="L36" s="1">
        <f>IFERROR(__xludf.DUMMYFUNCTION("""COMPUTED_VALUE"""),148.0)</f>
        <v>148</v>
      </c>
    </row>
    <row r="37">
      <c r="A37" s="1">
        <v>1105056.0</v>
      </c>
      <c r="B37" s="1" t="s">
        <v>120</v>
      </c>
      <c r="C37" s="1" t="s">
        <v>13</v>
      </c>
      <c r="D37" s="1" t="s">
        <v>57</v>
      </c>
      <c r="E37" s="1" t="s">
        <v>121</v>
      </c>
      <c r="F37" s="1" t="s">
        <v>16</v>
      </c>
      <c r="G37" s="1" t="s">
        <v>27</v>
      </c>
      <c r="H37" s="1" t="s">
        <v>28</v>
      </c>
      <c r="I37" s="1" t="s">
        <v>40</v>
      </c>
      <c r="J37" s="1">
        <f>IFERROR(__xludf.DUMMYFUNCTION("""COMPUTED_VALUE"""),246.0)</f>
        <v>246</v>
      </c>
      <c r="K37" s="1">
        <v>47.0</v>
      </c>
      <c r="L37" s="1">
        <f>IFERROR(__xludf.DUMMYFUNCTION("""COMPUTED_VALUE"""),636.0)</f>
        <v>636</v>
      </c>
    </row>
    <row r="38">
      <c r="A38" s="1">
        <v>1115012.0</v>
      </c>
      <c r="B38" s="1" t="s">
        <v>122</v>
      </c>
      <c r="C38" s="1" t="s">
        <v>13</v>
      </c>
      <c r="D38" s="1" t="s">
        <v>123</v>
      </c>
      <c r="E38" s="1" t="s">
        <v>124</v>
      </c>
      <c r="F38" s="1" t="s">
        <v>16</v>
      </c>
      <c r="G38" s="1" t="s">
        <v>17</v>
      </c>
      <c r="H38" s="1" t="s">
        <v>28</v>
      </c>
      <c r="I38" s="1" t="s">
        <v>40</v>
      </c>
      <c r="J38" s="1">
        <f>IFERROR(__xludf.DUMMYFUNCTION("""COMPUTED_VALUE"""),215.0)</f>
        <v>215</v>
      </c>
      <c r="K38" s="1">
        <v>44.0</v>
      </c>
      <c r="L38" s="1">
        <f>IFERROR(__xludf.DUMMYFUNCTION("""COMPUTED_VALUE"""),577.0)</f>
        <v>577</v>
      </c>
    </row>
    <row r="39">
      <c r="A39" s="1">
        <v>1110103.0</v>
      </c>
      <c r="B39" s="1" t="s">
        <v>125</v>
      </c>
      <c r="C39" s="1" t="s">
        <v>13</v>
      </c>
      <c r="D39" s="1" t="s">
        <v>61</v>
      </c>
      <c r="E39" s="1" t="s">
        <v>126</v>
      </c>
      <c r="F39" s="1" t="s">
        <v>16</v>
      </c>
      <c r="G39" s="1" t="s">
        <v>23</v>
      </c>
      <c r="H39" s="1" t="s">
        <v>18</v>
      </c>
      <c r="I39" s="1" t="s">
        <v>19</v>
      </c>
      <c r="J39" s="1">
        <f>IFERROR(__xludf.DUMMYFUNCTION("""COMPUTED_VALUE"""),50.0)</f>
        <v>50</v>
      </c>
      <c r="K39" s="1">
        <v>17.0</v>
      </c>
      <c r="L39" s="1">
        <f>IFERROR(__xludf.DUMMYFUNCTION("""COMPUTED_VALUE"""),101.0)</f>
        <v>101</v>
      </c>
    </row>
    <row r="40">
      <c r="A40" s="1">
        <v>1111029.0</v>
      </c>
      <c r="B40" s="1" t="s">
        <v>127</v>
      </c>
      <c r="C40" s="1" t="s">
        <v>13</v>
      </c>
      <c r="D40" s="1" t="s">
        <v>115</v>
      </c>
      <c r="E40" s="1" t="s">
        <v>128</v>
      </c>
      <c r="F40" s="1" t="s">
        <v>16</v>
      </c>
      <c r="G40" s="1" t="s">
        <v>23</v>
      </c>
      <c r="H40" s="1" t="s">
        <v>18</v>
      </c>
      <c r="I40" s="1" t="s">
        <v>19</v>
      </c>
      <c r="J40" s="1">
        <f>IFERROR(__xludf.DUMMYFUNCTION("""COMPUTED_VALUE"""),56.0)</f>
        <v>56</v>
      </c>
      <c r="K40" s="1">
        <v>11.0</v>
      </c>
      <c r="L40" s="1">
        <f>IFERROR(__xludf.DUMMYFUNCTION("""COMPUTED_VALUE"""),182.0)</f>
        <v>182</v>
      </c>
    </row>
    <row r="41">
      <c r="A41" s="1">
        <v>1103021.0</v>
      </c>
      <c r="B41" s="1" t="s">
        <v>129</v>
      </c>
      <c r="C41" s="1" t="s">
        <v>13</v>
      </c>
      <c r="D41" s="1" t="s">
        <v>67</v>
      </c>
      <c r="E41" s="1" t="s">
        <v>130</v>
      </c>
      <c r="F41" s="1" t="s">
        <v>16</v>
      </c>
      <c r="G41" s="1" t="s">
        <v>23</v>
      </c>
      <c r="H41" s="1" t="s">
        <v>18</v>
      </c>
      <c r="I41" s="1" t="s">
        <v>34</v>
      </c>
      <c r="J41" s="1">
        <f>IFERROR(__xludf.DUMMYFUNCTION("""COMPUTED_VALUE"""),71.0)</f>
        <v>71</v>
      </c>
      <c r="K41" s="1">
        <v>20.0</v>
      </c>
      <c r="L41" s="1">
        <f>IFERROR(__xludf.DUMMYFUNCTION("""COMPUTED_VALUE"""),182.0)</f>
        <v>182</v>
      </c>
    </row>
    <row r="42">
      <c r="A42" s="1">
        <v>1105067.0</v>
      </c>
      <c r="B42" s="1" t="s">
        <v>131</v>
      </c>
      <c r="C42" s="1" t="s">
        <v>13</v>
      </c>
      <c r="D42" s="1" t="s">
        <v>57</v>
      </c>
      <c r="E42" s="1" t="s">
        <v>132</v>
      </c>
      <c r="F42" s="1" t="s">
        <v>16</v>
      </c>
      <c r="G42" s="1" t="s">
        <v>17</v>
      </c>
      <c r="H42" s="1" t="s">
        <v>28</v>
      </c>
      <c r="I42" s="1" t="s">
        <v>40</v>
      </c>
      <c r="J42" s="1">
        <f>IFERROR(__xludf.DUMMYFUNCTION("""COMPUTED_VALUE"""),170.0)</f>
        <v>170</v>
      </c>
      <c r="K42" s="1">
        <v>34.0</v>
      </c>
      <c r="L42" s="1">
        <f>IFERROR(__xludf.DUMMYFUNCTION("""COMPUTED_VALUE"""),480.0)</f>
        <v>480</v>
      </c>
    </row>
    <row r="43">
      <c r="A43" s="1">
        <v>1174064.0</v>
      </c>
      <c r="B43" s="1" t="s">
        <v>133</v>
      </c>
      <c r="C43" s="1" t="s">
        <v>13</v>
      </c>
      <c r="D43" s="1" t="s">
        <v>14</v>
      </c>
      <c r="E43" s="1" t="s">
        <v>134</v>
      </c>
      <c r="F43" s="1" t="s">
        <v>16</v>
      </c>
      <c r="G43" s="1" t="s">
        <v>17</v>
      </c>
      <c r="H43" s="1" t="s">
        <v>18</v>
      </c>
      <c r="I43" s="1" t="s">
        <v>59</v>
      </c>
      <c r="J43" s="1">
        <f>IFERROR(__xludf.DUMMYFUNCTION("""COMPUTED_VALUE"""),116.0)</f>
        <v>116</v>
      </c>
      <c r="K43" s="1">
        <v>26.0</v>
      </c>
      <c r="L43" s="1">
        <f>IFERROR(__xludf.DUMMYFUNCTION("""COMPUTED_VALUE"""),80.0)</f>
        <v>80</v>
      </c>
    </row>
    <row r="44">
      <c r="A44" s="1">
        <v>1171161.0</v>
      </c>
      <c r="B44" s="1" t="s">
        <v>135</v>
      </c>
      <c r="C44" s="1" t="s">
        <v>13</v>
      </c>
      <c r="D44" s="1" t="s">
        <v>25</v>
      </c>
      <c r="E44" s="1" t="s">
        <v>136</v>
      </c>
      <c r="F44" s="1" t="s">
        <v>16</v>
      </c>
      <c r="G44" s="1" t="s">
        <v>17</v>
      </c>
      <c r="H44" s="1" t="s">
        <v>18</v>
      </c>
      <c r="I44" s="1" t="s">
        <v>44</v>
      </c>
      <c r="J44" s="1">
        <f>IFERROR(__xludf.DUMMYFUNCTION("""COMPUTED_VALUE"""),135.0)</f>
        <v>135</v>
      </c>
      <c r="K44" s="1">
        <v>96.0</v>
      </c>
      <c r="L44" s="1">
        <f>IFERROR(__xludf.DUMMYFUNCTION("""COMPUTED_VALUE"""),182.0)</f>
        <v>182</v>
      </c>
    </row>
    <row r="45">
      <c r="A45" s="1">
        <v>1171121.0</v>
      </c>
      <c r="B45" s="1" t="s">
        <v>137</v>
      </c>
      <c r="C45" s="1" t="s">
        <v>13</v>
      </c>
      <c r="D45" s="1" t="s">
        <v>25</v>
      </c>
      <c r="E45" s="1" t="s">
        <v>138</v>
      </c>
      <c r="F45" s="1" t="s">
        <v>55</v>
      </c>
      <c r="G45" s="1" t="s">
        <v>27</v>
      </c>
      <c r="H45" s="1" t="s">
        <v>28</v>
      </c>
      <c r="I45" s="1" t="s">
        <v>139</v>
      </c>
      <c r="J45" s="1">
        <f>IFERROR(__xludf.DUMMYFUNCTION("""COMPUTED_VALUE"""),108.0)</f>
        <v>108</v>
      </c>
      <c r="K45" s="1">
        <v>29.0</v>
      </c>
      <c r="L45" s="1">
        <f>IFERROR(__xludf.DUMMYFUNCTION("""COMPUTED_VALUE"""),453.0)</f>
        <v>453</v>
      </c>
    </row>
    <row r="46">
      <c r="A46" s="1">
        <v>1102016.0</v>
      </c>
      <c r="B46" s="1" t="s">
        <v>140</v>
      </c>
      <c r="C46" s="1" t="s">
        <v>13</v>
      </c>
      <c r="D46" s="1" t="s">
        <v>141</v>
      </c>
      <c r="E46" s="1" t="s">
        <v>142</v>
      </c>
      <c r="F46" s="1" t="s">
        <v>16</v>
      </c>
      <c r="G46" s="1" t="s">
        <v>17</v>
      </c>
      <c r="H46" s="1" t="s">
        <v>28</v>
      </c>
      <c r="I46" s="1" t="s">
        <v>40</v>
      </c>
      <c r="J46" s="1">
        <f>IFERROR(__xludf.DUMMYFUNCTION("""COMPUTED_VALUE"""),101.0)</f>
        <v>101</v>
      </c>
      <c r="K46" s="1">
        <v>32.0</v>
      </c>
      <c r="L46" s="1">
        <f>IFERROR(__xludf.DUMMYFUNCTION("""COMPUTED_VALUE"""),566.0)</f>
        <v>566</v>
      </c>
    </row>
    <row r="47">
      <c r="A47" s="1">
        <v>1171146.0</v>
      </c>
      <c r="B47" s="1" t="s">
        <v>143</v>
      </c>
      <c r="C47" s="1" t="s">
        <v>13</v>
      </c>
      <c r="D47" s="1" t="s">
        <v>25</v>
      </c>
      <c r="E47" s="1" t="s">
        <v>144</v>
      </c>
      <c r="F47" s="1" t="s">
        <v>55</v>
      </c>
      <c r="G47" s="1" t="s">
        <v>17</v>
      </c>
      <c r="H47" s="1" t="s">
        <v>18</v>
      </c>
      <c r="I47" s="1" t="s">
        <v>44</v>
      </c>
      <c r="J47" s="1">
        <f>IFERROR(__xludf.DUMMYFUNCTION("""COMPUTED_VALUE"""),46.0)</f>
        <v>46</v>
      </c>
      <c r="K47" s="1">
        <v>18.0</v>
      </c>
      <c r="L47" s="1">
        <f>IFERROR(__xludf.DUMMYFUNCTION("""COMPUTED_VALUE"""),66.0)</f>
        <v>66</v>
      </c>
    </row>
    <row r="48">
      <c r="A48" s="1">
        <v>1107014.0</v>
      </c>
      <c r="B48" s="1" t="s">
        <v>145</v>
      </c>
      <c r="C48" s="1" t="s">
        <v>13</v>
      </c>
      <c r="D48" s="1" t="s">
        <v>146</v>
      </c>
      <c r="E48" s="1" t="s">
        <v>147</v>
      </c>
      <c r="F48" s="1" t="s">
        <v>16</v>
      </c>
      <c r="G48" s="1" t="s">
        <v>27</v>
      </c>
      <c r="H48" s="1" t="s">
        <v>28</v>
      </c>
      <c r="I48" s="1" t="s">
        <v>40</v>
      </c>
      <c r="J48" s="1">
        <f>IFERROR(__xludf.DUMMYFUNCTION("""COMPUTED_VALUE"""),267.0)</f>
        <v>267</v>
      </c>
      <c r="K48" s="1">
        <v>16.0</v>
      </c>
      <c r="L48" s="1">
        <f>IFERROR(__xludf.DUMMYFUNCTION("""COMPUTED_VALUE"""),812.0)</f>
        <v>812</v>
      </c>
    </row>
    <row r="49">
      <c r="A49" s="1">
        <v>1171015.0</v>
      </c>
      <c r="B49" s="1" t="s">
        <v>148</v>
      </c>
      <c r="C49" s="1" t="s">
        <v>13</v>
      </c>
      <c r="D49" s="1" t="s">
        <v>25</v>
      </c>
      <c r="E49" s="1" t="s">
        <v>149</v>
      </c>
      <c r="F49" s="1" t="s">
        <v>16</v>
      </c>
      <c r="G49" s="1" t="s">
        <v>150</v>
      </c>
      <c r="H49" s="1" t="s">
        <v>28</v>
      </c>
      <c r="I49" s="1" t="s">
        <v>139</v>
      </c>
      <c r="J49" s="1">
        <f>IFERROR(__xludf.DUMMYFUNCTION("""COMPUTED_VALUE"""),833.0)</f>
        <v>833</v>
      </c>
      <c r="K49" s="1">
        <v>141.0</v>
      </c>
      <c r="L49" s="1">
        <f>IFERROR(__xludf.DUMMYFUNCTION("""COMPUTED_VALUE"""),2039.0)</f>
        <v>2039</v>
      </c>
    </row>
    <row r="50">
      <c r="A50" s="1">
        <v>1107017.0</v>
      </c>
      <c r="B50" s="1" t="s">
        <v>151</v>
      </c>
      <c r="C50" s="1" t="s">
        <v>13</v>
      </c>
      <c r="D50" s="1" t="s">
        <v>146</v>
      </c>
      <c r="E50" s="1" t="s">
        <v>152</v>
      </c>
      <c r="F50" s="1" t="s">
        <v>16</v>
      </c>
      <c r="G50" s="1" t="s">
        <v>23</v>
      </c>
      <c r="H50" s="1" t="s">
        <v>18</v>
      </c>
      <c r="I50" s="1" t="s">
        <v>74</v>
      </c>
      <c r="J50" s="1">
        <f>IFERROR(__xludf.DUMMYFUNCTION("""COMPUTED_VALUE"""),56.0)</f>
        <v>56</v>
      </c>
      <c r="K50" s="1">
        <v>23.0</v>
      </c>
      <c r="L50" s="1">
        <f>IFERROR(__xludf.DUMMYFUNCTION("""COMPUTED_VALUE"""),20.0)</f>
        <v>20</v>
      </c>
    </row>
    <row r="51">
      <c r="A51" s="1">
        <v>1109031.0</v>
      </c>
      <c r="B51" s="1" t="s">
        <v>153</v>
      </c>
      <c r="C51" s="1" t="s">
        <v>13</v>
      </c>
      <c r="D51" s="1" t="s">
        <v>42</v>
      </c>
      <c r="E51" s="1" t="s">
        <v>154</v>
      </c>
      <c r="F51" s="1" t="s">
        <v>16</v>
      </c>
      <c r="G51" s="1" t="s">
        <v>23</v>
      </c>
      <c r="H51" s="1" t="s">
        <v>18</v>
      </c>
      <c r="I51" s="1" t="s">
        <v>19</v>
      </c>
      <c r="J51" s="1">
        <f>IFERROR(__xludf.DUMMYFUNCTION("""COMPUTED_VALUE"""),72.0)</f>
        <v>72</v>
      </c>
      <c r="K51" s="1">
        <v>31.0</v>
      </c>
      <c r="L51" s="1">
        <f>IFERROR(__xludf.DUMMYFUNCTION("""COMPUTED_VALUE"""),196.0)</f>
        <v>196</v>
      </c>
    </row>
    <row r="52">
      <c r="A52" s="1">
        <v>1104012.0</v>
      </c>
      <c r="B52" s="1" t="s">
        <v>155</v>
      </c>
      <c r="C52" s="1" t="s">
        <v>13</v>
      </c>
      <c r="D52" s="1" t="s">
        <v>53</v>
      </c>
      <c r="E52" s="1" t="s">
        <v>156</v>
      </c>
      <c r="F52" s="1" t="s">
        <v>16</v>
      </c>
      <c r="G52" s="1" t="s">
        <v>17</v>
      </c>
      <c r="H52" s="1" t="s">
        <v>18</v>
      </c>
      <c r="I52" s="1" t="s">
        <v>19</v>
      </c>
      <c r="J52" s="1">
        <f>IFERROR(__xludf.DUMMYFUNCTION("""COMPUTED_VALUE"""),123.0)</f>
        <v>123</v>
      </c>
      <c r="K52" s="1">
        <v>26.0</v>
      </c>
      <c r="L52" s="1">
        <f>IFERROR(__xludf.DUMMYFUNCTION("""COMPUTED_VALUE"""),167.0)</f>
        <v>167</v>
      </c>
    </row>
    <row r="53">
      <c r="A53" s="1">
        <v>1110086.0</v>
      </c>
      <c r="B53" s="1" t="s">
        <v>157</v>
      </c>
      <c r="C53" s="1" t="s">
        <v>13</v>
      </c>
      <c r="D53" s="1" t="s">
        <v>14</v>
      </c>
      <c r="E53" s="1" t="s">
        <v>158</v>
      </c>
      <c r="F53" s="1" t="s">
        <v>16</v>
      </c>
      <c r="G53" s="1" t="s">
        <v>17</v>
      </c>
      <c r="H53" s="1" t="s">
        <v>18</v>
      </c>
      <c r="I53" s="1" t="s">
        <v>59</v>
      </c>
      <c r="J53" s="1">
        <f>IFERROR(__xludf.DUMMYFUNCTION("""COMPUTED_VALUE"""),101.0)</f>
        <v>101</v>
      </c>
      <c r="K53" s="1">
        <v>33.0</v>
      </c>
      <c r="L53" s="1">
        <f>IFERROR(__xludf.DUMMYFUNCTION("""COMPUTED_VALUE"""),261.0)</f>
        <v>261</v>
      </c>
    </row>
    <row r="54">
      <c r="A54" s="1">
        <v>1172016.0</v>
      </c>
      <c r="B54" s="1" t="s">
        <v>159</v>
      </c>
      <c r="C54" s="1" t="s">
        <v>13</v>
      </c>
      <c r="D54" s="1" t="s">
        <v>93</v>
      </c>
      <c r="E54" s="1" t="s">
        <v>160</v>
      </c>
      <c r="F54" s="1" t="s">
        <v>16</v>
      </c>
      <c r="G54" s="1" t="s">
        <v>17</v>
      </c>
      <c r="H54" s="1" t="s">
        <v>18</v>
      </c>
      <c r="I54" s="1" t="s">
        <v>29</v>
      </c>
      <c r="J54" s="1">
        <f>IFERROR(__xludf.DUMMYFUNCTION("""COMPUTED_VALUE"""),104.0)</f>
        <v>104</v>
      </c>
      <c r="K54" s="1">
        <v>29.0</v>
      </c>
      <c r="L54" s="1">
        <f>IFERROR(__xludf.DUMMYFUNCTION("""COMPUTED_VALUE"""),289.0)</f>
        <v>289</v>
      </c>
    </row>
    <row r="55">
      <c r="A55" s="1">
        <v>1117027.0</v>
      </c>
      <c r="B55" s="1" t="s">
        <v>161</v>
      </c>
      <c r="C55" s="1" t="s">
        <v>13</v>
      </c>
      <c r="D55" s="1" t="s">
        <v>48</v>
      </c>
      <c r="E55" s="1" t="s">
        <v>162</v>
      </c>
      <c r="F55" s="1" t="s">
        <v>55</v>
      </c>
      <c r="G55" s="1" t="s">
        <v>17</v>
      </c>
      <c r="H55" s="1" t="s">
        <v>18</v>
      </c>
      <c r="I55" s="1" t="s">
        <v>163</v>
      </c>
      <c r="J55" s="1">
        <f>IFERROR(__xludf.DUMMYFUNCTION("""COMPUTED_VALUE"""),60.0)</f>
        <v>60</v>
      </c>
      <c r="K55" s="1">
        <v>16.0</v>
      </c>
      <c r="L55" s="1">
        <f>IFERROR(__xludf.DUMMYFUNCTION("""COMPUTED_VALUE"""),13.0)</f>
        <v>13</v>
      </c>
    </row>
    <row r="56">
      <c r="A56" s="1">
        <v>1107016.0</v>
      </c>
      <c r="B56" s="1" t="s">
        <v>164</v>
      </c>
      <c r="C56" s="1" t="s">
        <v>13</v>
      </c>
      <c r="D56" s="1" t="s">
        <v>146</v>
      </c>
      <c r="E56" s="1" t="s">
        <v>165</v>
      </c>
      <c r="F56" s="1" t="s">
        <v>16</v>
      </c>
      <c r="G56" s="1" t="s">
        <v>23</v>
      </c>
      <c r="H56" s="1" t="s">
        <v>18</v>
      </c>
      <c r="I56" s="1" t="s">
        <v>19</v>
      </c>
      <c r="J56" s="1">
        <f>IFERROR(__xludf.DUMMYFUNCTION("""COMPUTED_VALUE"""),51.0)</f>
        <v>51</v>
      </c>
      <c r="K56" s="1">
        <v>25.0</v>
      </c>
      <c r="L56" s="1">
        <f>IFERROR(__xludf.DUMMYFUNCTION("""COMPUTED_VALUE"""),53.0)</f>
        <v>53</v>
      </c>
    </row>
    <row r="57">
      <c r="A57" s="1">
        <v>1104011.0</v>
      </c>
      <c r="B57" s="1" t="s">
        <v>166</v>
      </c>
      <c r="C57" s="1" t="s">
        <v>13</v>
      </c>
      <c r="D57" s="1" t="s">
        <v>53</v>
      </c>
      <c r="E57" s="1" t="s">
        <v>167</v>
      </c>
      <c r="F57" s="1" t="s">
        <v>16</v>
      </c>
      <c r="G57" s="1" t="s">
        <v>17</v>
      </c>
      <c r="H57" s="1" t="s">
        <v>28</v>
      </c>
      <c r="I57" s="1" t="s">
        <v>40</v>
      </c>
      <c r="J57" s="1">
        <f>IFERROR(__xludf.DUMMYFUNCTION("""COMPUTED_VALUE"""),180.0)</f>
        <v>180</v>
      </c>
      <c r="K57" s="1">
        <v>32.0</v>
      </c>
      <c r="L57" s="1">
        <f>IFERROR(__xludf.DUMMYFUNCTION("""COMPUTED_VALUE"""),493.0)</f>
        <v>493</v>
      </c>
    </row>
    <row r="58">
      <c r="A58" s="1">
        <v>1109016.0</v>
      </c>
      <c r="B58" s="1" t="s">
        <v>168</v>
      </c>
      <c r="C58" s="1" t="s">
        <v>13</v>
      </c>
      <c r="D58" s="1" t="s">
        <v>42</v>
      </c>
      <c r="E58" s="1" t="s">
        <v>169</v>
      </c>
      <c r="F58" s="1" t="s">
        <v>16</v>
      </c>
      <c r="G58" s="1" t="s">
        <v>27</v>
      </c>
      <c r="H58" s="1" t="s">
        <v>28</v>
      </c>
      <c r="I58" s="1" t="s">
        <v>40</v>
      </c>
      <c r="J58" s="1">
        <f>IFERROR(__xludf.DUMMYFUNCTION("""COMPUTED_VALUE"""),294.0)</f>
        <v>294</v>
      </c>
      <c r="K58" s="1">
        <v>31.0</v>
      </c>
      <c r="L58" s="1">
        <f>IFERROR(__xludf.DUMMYFUNCTION("""COMPUTED_VALUE"""),1949.0)</f>
        <v>1949</v>
      </c>
    </row>
    <row r="59">
      <c r="A59" s="1">
        <v>1171150.0</v>
      </c>
      <c r="B59" s="1" t="s">
        <v>170</v>
      </c>
      <c r="C59" s="1" t="s">
        <v>13</v>
      </c>
      <c r="D59" s="1" t="s">
        <v>25</v>
      </c>
      <c r="E59" s="1" t="s">
        <v>171</v>
      </c>
      <c r="F59" s="1" t="s">
        <v>16</v>
      </c>
      <c r="G59" s="1" t="s">
        <v>17</v>
      </c>
      <c r="H59" s="1" t="s">
        <v>18</v>
      </c>
      <c r="I59" s="1" t="s">
        <v>44</v>
      </c>
      <c r="J59" s="1">
        <f>IFERROR(__xludf.DUMMYFUNCTION("""COMPUTED_VALUE"""),151.0)</f>
        <v>151</v>
      </c>
      <c r="K59" s="1">
        <v>54.0</v>
      </c>
      <c r="L59" s="1">
        <f>IFERROR(__xludf.DUMMYFUNCTION("""COMPUTED_VALUE"""),243.0)</f>
        <v>243</v>
      </c>
    </row>
    <row r="60">
      <c r="A60" s="1">
        <v>1171041.0</v>
      </c>
      <c r="B60" s="1" t="s">
        <v>172</v>
      </c>
      <c r="C60" s="1" t="s">
        <v>13</v>
      </c>
      <c r="D60" s="1" t="s">
        <v>25</v>
      </c>
      <c r="E60" s="1" t="s">
        <v>173</v>
      </c>
      <c r="F60" s="1" t="s">
        <v>174</v>
      </c>
      <c r="G60" s="1" t="s">
        <v>150</v>
      </c>
      <c r="H60" s="1" t="s">
        <v>28</v>
      </c>
      <c r="I60" s="1" t="s">
        <v>139</v>
      </c>
      <c r="J60" s="1">
        <f>IFERROR(__xludf.DUMMYFUNCTION("""COMPUTED_VALUE"""),354.0)</f>
        <v>354</v>
      </c>
      <c r="K60" s="1">
        <v>29.0</v>
      </c>
      <c r="L60" s="1">
        <f>IFERROR(__xludf.DUMMYFUNCTION("""COMPUTED_VALUE"""),541.0)</f>
        <v>541</v>
      </c>
    </row>
    <row r="61">
      <c r="A61" s="1">
        <v>1109029.0</v>
      </c>
      <c r="B61" s="1" t="s">
        <v>175</v>
      </c>
      <c r="C61" s="1" t="s">
        <v>13</v>
      </c>
      <c r="D61" s="1" t="s">
        <v>42</v>
      </c>
      <c r="E61" s="1" t="s">
        <v>176</v>
      </c>
      <c r="F61" s="1" t="s">
        <v>16</v>
      </c>
      <c r="G61" s="1" t="s">
        <v>23</v>
      </c>
      <c r="H61" s="1" t="s">
        <v>18</v>
      </c>
      <c r="I61" s="1" t="s">
        <v>44</v>
      </c>
      <c r="J61" s="1">
        <f>IFERROR(__xludf.DUMMYFUNCTION("""COMPUTED_VALUE"""),89.0)</f>
        <v>89</v>
      </c>
      <c r="K61" s="1">
        <v>75.0</v>
      </c>
      <c r="L61" s="1">
        <f>IFERROR(__xludf.DUMMYFUNCTION("""COMPUTED_VALUE"""),159.0)</f>
        <v>159</v>
      </c>
    </row>
    <row r="62">
      <c r="A62" s="1">
        <v>1112011.0</v>
      </c>
      <c r="B62" s="1" t="s">
        <v>177</v>
      </c>
      <c r="C62" s="1" t="s">
        <v>13</v>
      </c>
      <c r="D62" s="1" t="s">
        <v>178</v>
      </c>
      <c r="E62" s="1" t="s">
        <v>179</v>
      </c>
      <c r="F62" s="1" t="s">
        <v>16</v>
      </c>
      <c r="G62" s="1" t="s">
        <v>17</v>
      </c>
      <c r="H62" s="1" t="s">
        <v>28</v>
      </c>
      <c r="I62" s="1" t="s">
        <v>40</v>
      </c>
      <c r="J62" s="1">
        <f>IFERROR(__xludf.DUMMYFUNCTION("""COMPUTED_VALUE"""),256.0)</f>
        <v>256</v>
      </c>
      <c r="K62" s="1">
        <v>96.0</v>
      </c>
      <c r="L62" s="1">
        <f>IFERROR(__xludf.DUMMYFUNCTION("""COMPUTED_VALUE"""),1100.0)</f>
        <v>1100</v>
      </c>
    </row>
    <row r="63">
      <c r="A63" s="1">
        <v>1111018.0</v>
      </c>
      <c r="B63" s="1" t="s">
        <v>180</v>
      </c>
      <c r="C63" s="1" t="s">
        <v>13</v>
      </c>
      <c r="D63" s="1" t="s">
        <v>14</v>
      </c>
      <c r="E63" s="1" t="s">
        <v>181</v>
      </c>
      <c r="F63" s="1" t="s">
        <v>16</v>
      </c>
      <c r="G63" s="1" t="s">
        <v>23</v>
      </c>
      <c r="H63" s="1" t="s">
        <v>18</v>
      </c>
      <c r="I63" s="1" t="s">
        <v>59</v>
      </c>
      <c r="J63" s="1">
        <f>IFERROR(__xludf.DUMMYFUNCTION("""COMPUTED_VALUE"""),73.0)</f>
        <v>73</v>
      </c>
      <c r="K63" s="1">
        <v>15.0</v>
      </c>
      <c r="L63" s="1">
        <f>IFERROR(__xludf.DUMMYFUNCTION("""COMPUTED_VALUE"""),60.0)</f>
        <v>60</v>
      </c>
    </row>
    <row r="64">
      <c r="A64" s="1">
        <v>1171145.0</v>
      </c>
      <c r="B64" s="1" t="s">
        <v>182</v>
      </c>
      <c r="C64" s="1" t="s">
        <v>13</v>
      </c>
      <c r="D64" s="1" t="s">
        <v>25</v>
      </c>
      <c r="E64" s="1" t="s">
        <v>183</v>
      </c>
      <c r="F64" s="1" t="s">
        <v>16</v>
      </c>
      <c r="G64" s="1" t="s">
        <v>23</v>
      </c>
      <c r="H64" s="1" t="s">
        <v>18</v>
      </c>
      <c r="I64" s="1" t="s">
        <v>19</v>
      </c>
      <c r="J64" s="1">
        <f>IFERROR(__xludf.DUMMYFUNCTION("""COMPUTED_VALUE"""),51.0)</f>
        <v>51</v>
      </c>
      <c r="K64" s="1">
        <v>14.0</v>
      </c>
      <c r="L64" s="1">
        <f>IFERROR(__xludf.DUMMYFUNCTION("""COMPUTED_VALUE"""),63.0)</f>
        <v>63</v>
      </c>
    </row>
    <row r="65">
      <c r="A65" s="1">
        <v>1173023.0</v>
      </c>
      <c r="B65" s="1" t="s">
        <v>184</v>
      </c>
      <c r="C65" s="1" t="s">
        <v>13</v>
      </c>
      <c r="D65" s="1" t="s">
        <v>100</v>
      </c>
      <c r="E65" s="1" t="s">
        <v>185</v>
      </c>
      <c r="F65" s="1" t="s">
        <v>16</v>
      </c>
      <c r="G65" s="1" t="s">
        <v>17</v>
      </c>
      <c r="H65" s="1" t="s">
        <v>18</v>
      </c>
      <c r="I65" s="1" t="s">
        <v>113</v>
      </c>
      <c r="J65" s="1">
        <f>IFERROR(__xludf.DUMMYFUNCTION("""COMPUTED_VALUE"""),113.0)</f>
        <v>113</v>
      </c>
      <c r="K65" s="1">
        <v>18.0</v>
      </c>
      <c r="L65" s="1">
        <f>IFERROR(__xludf.DUMMYFUNCTION("""COMPUTED_VALUE"""),36.0)</f>
        <v>36</v>
      </c>
    </row>
    <row r="66">
      <c r="A66" s="1">
        <v>1110101.0</v>
      </c>
      <c r="B66" s="1" t="s">
        <v>186</v>
      </c>
      <c r="C66" s="1" t="s">
        <v>13</v>
      </c>
      <c r="D66" s="1" t="s">
        <v>61</v>
      </c>
      <c r="E66" s="1" t="s">
        <v>187</v>
      </c>
      <c r="F66" s="1" t="s">
        <v>16</v>
      </c>
      <c r="G66" s="1" t="s">
        <v>23</v>
      </c>
      <c r="H66" s="1" t="s">
        <v>18</v>
      </c>
      <c r="I66" s="1" t="s">
        <v>59</v>
      </c>
      <c r="J66" s="1">
        <f>IFERROR(__xludf.DUMMYFUNCTION("""COMPUTED_VALUE"""),75.0)</f>
        <v>75</v>
      </c>
      <c r="K66" s="1">
        <v>27.0</v>
      </c>
      <c r="L66" s="1">
        <f>IFERROR(__xludf.DUMMYFUNCTION("""COMPUTED_VALUE"""),221.0)</f>
        <v>221</v>
      </c>
    </row>
    <row r="67">
      <c r="A67" s="1">
        <v>1107015.0</v>
      </c>
      <c r="B67" s="1" t="s">
        <v>188</v>
      </c>
      <c r="C67" s="1" t="s">
        <v>13</v>
      </c>
      <c r="D67" s="1" t="s">
        <v>146</v>
      </c>
      <c r="E67" s="1" t="s">
        <v>189</v>
      </c>
      <c r="F67" s="1" t="s">
        <v>16</v>
      </c>
      <c r="G67" s="1" t="s">
        <v>23</v>
      </c>
      <c r="H67" s="1" t="s">
        <v>18</v>
      </c>
      <c r="I67" s="1" t="s">
        <v>19</v>
      </c>
      <c r="J67" s="1">
        <f>IFERROR(__xludf.DUMMYFUNCTION("""COMPUTED_VALUE"""),51.0)</f>
        <v>51</v>
      </c>
      <c r="K67" s="1">
        <v>16.0</v>
      </c>
      <c r="L67" s="1">
        <f>IFERROR(__xludf.DUMMYFUNCTION("""COMPUTED_VALUE"""),55.0)</f>
        <v>55</v>
      </c>
    </row>
    <row r="68">
      <c r="A68" s="1">
        <v>1174016.0</v>
      </c>
      <c r="B68" s="1" t="s">
        <v>190</v>
      </c>
      <c r="C68" s="1" t="s">
        <v>13</v>
      </c>
      <c r="D68" s="1" t="s">
        <v>14</v>
      </c>
      <c r="E68" s="1" t="s">
        <v>191</v>
      </c>
      <c r="F68" s="1" t="s">
        <v>16</v>
      </c>
      <c r="G68" s="1" t="s">
        <v>27</v>
      </c>
      <c r="H68" s="1" t="s">
        <v>28</v>
      </c>
      <c r="I68" s="1" t="s">
        <v>40</v>
      </c>
      <c r="J68" s="1">
        <f>IFERROR(__xludf.DUMMYFUNCTION("""COMPUTED_VALUE"""),275.0)</f>
        <v>275</v>
      </c>
      <c r="K68" s="1">
        <v>106.0</v>
      </c>
      <c r="L68" s="1">
        <f>IFERROR(__xludf.DUMMYFUNCTION("""COMPUTED_VALUE"""),1352.0)</f>
        <v>1352</v>
      </c>
    </row>
    <row r="69">
      <c r="A69" s="1">
        <v>1171096.0</v>
      </c>
      <c r="B69" s="1" t="s">
        <v>192</v>
      </c>
      <c r="C69" s="1" t="s">
        <v>13</v>
      </c>
      <c r="D69" s="1" t="s">
        <v>25</v>
      </c>
      <c r="E69" s="1" t="s">
        <v>193</v>
      </c>
      <c r="F69" s="1" t="s">
        <v>16</v>
      </c>
      <c r="G69" s="1" t="s">
        <v>17</v>
      </c>
      <c r="H69" s="1" t="s">
        <v>18</v>
      </c>
      <c r="I69" s="1" t="s">
        <v>59</v>
      </c>
      <c r="J69" s="1">
        <f>IFERROR(__xludf.DUMMYFUNCTION("""COMPUTED_VALUE"""),154.0)</f>
        <v>154</v>
      </c>
      <c r="K69" s="1">
        <v>32.0</v>
      </c>
      <c r="L69" s="1">
        <f>IFERROR(__xludf.DUMMYFUNCTION("""COMPUTED_VALUE"""),379.0)</f>
        <v>379</v>
      </c>
    </row>
    <row r="70">
      <c r="A70" s="1">
        <v>1111005.0</v>
      </c>
      <c r="B70" s="1" t="s">
        <v>194</v>
      </c>
      <c r="C70" s="1" t="s">
        <v>13</v>
      </c>
      <c r="D70" s="1" t="s">
        <v>115</v>
      </c>
      <c r="E70" s="1" t="s">
        <v>195</v>
      </c>
      <c r="F70" s="1" t="s">
        <v>16</v>
      </c>
      <c r="G70" s="1" t="s">
        <v>23</v>
      </c>
      <c r="H70" s="1" t="s">
        <v>18</v>
      </c>
      <c r="I70" s="1" t="s">
        <v>44</v>
      </c>
      <c r="J70" s="1">
        <f>IFERROR(__xludf.DUMMYFUNCTION("""COMPUTED_VALUE"""),70.0)</f>
        <v>70</v>
      </c>
      <c r="K70" s="1">
        <v>29.0</v>
      </c>
      <c r="L70" s="1">
        <f>IFERROR(__xludf.DUMMYFUNCTION("""COMPUTED_VALUE"""),44.0)</f>
        <v>44</v>
      </c>
    </row>
    <row r="71">
      <c r="A71" s="1">
        <v>1174024.0</v>
      </c>
      <c r="B71" s="1" t="s">
        <v>196</v>
      </c>
      <c r="C71" s="1" t="s">
        <v>13</v>
      </c>
      <c r="D71" s="1" t="s">
        <v>14</v>
      </c>
      <c r="E71" s="1" t="s">
        <v>197</v>
      </c>
      <c r="F71" s="1" t="s">
        <v>16</v>
      </c>
      <c r="G71" s="1" t="s">
        <v>23</v>
      </c>
      <c r="H71" s="1" t="s">
        <v>18</v>
      </c>
      <c r="I71" s="1" t="s">
        <v>44</v>
      </c>
      <c r="J71" s="1">
        <f>IFERROR(__xludf.DUMMYFUNCTION("""COMPUTED_VALUE"""),51.0)</f>
        <v>51</v>
      </c>
      <c r="K71" s="1">
        <v>29.0</v>
      </c>
      <c r="L71" s="1">
        <f>IFERROR(__xludf.DUMMYFUNCTION("""COMPUTED_VALUE"""),19.0)</f>
        <v>19</v>
      </c>
    </row>
    <row r="72">
      <c r="A72" s="1">
        <v>1118012.0</v>
      </c>
      <c r="B72" s="1" t="s">
        <v>198</v>
      </c>
      <c r="C72" s="1" t="s">
        <v>13</v>
      </c>
      <c r="D72" s="1" t="s">
        <v>199</v>
      </c>
      <c r="E72" s="1" t="s">
        <v>200</v>
      </c>
      <c r="F72" s="1" t="s">
        <v>16</v>
      </c>
      <c r="G72" s="1" t="s">
        <v>27</v>
      </c>
      <c r="H72" s="1" t="s">
        <v>28</v>
      </c>
      <c r="I72" s="1" t="s">
        <v>40</v>
      </c>
      <c r="J72" s="1">
        <f>IFERROR(__xludf.DUMMYFUNCTION("""COMPUTED_VALUE"""),250.0)</f>
        <v>250</v>
      </c>
      <c r="K72" s="1">
        <v>16.0</v>
      </c>
      <c r="L72" s="1">
        <f>IFERROR(__xludf.DUMMYFUNCTION("""COMPUTED_VALUE"""),235.0)</f>
        <v>235</v>
      </c>
    </row>
    <row r="73">
      <c r="A73" s="1">
        <v>1171147.0</v>
      </c>
      <c r="B73" s="1" t="s">
        <v>201</v>
      </c>
      <c r="C73" s="1" t="s">
        <v>13</v>
      </c>
      <c r="D73" s="1" t="s">
        <v>25</v>
      </c>
      <c r="E73" s="1" t="s">
        <v>202</v>
      </c>
      <c r="F73" s="1" t="s">
        <v>16</v>
      </c>
      <c r="G73" s="1" t="s">
        <v>23</v>
      </c>
      <c r="H73" s="1" t="s">
        <v>18</v>
      </c>
      <c r="I73" s="1" t="s">
        <v>34</v>
      </c>
      <c r="J73" s="1">
        <f>IFERROR(__xludf.DUMMYFUNCTION("""COMPUTED_VALUE"""),50.0)</f>
        <v>50</v>
      </c>
      <c r="K73" s="1">
        <v>28.0</v>
      </c>
      <c r="L73" s="1">
        <f>IFERROR(__xludf.DUMMYFUNCTION("""COMPUTED_VALUE"""),118.0)</f>
        <v>118</v>
      </c>
    </row>
    <row r="74">
      <c r="A74" s="1">
        <v>1114011.0</v>
      </c>
      <c r="B74" s="1" t="s">
        <v>203</v>
      </c>
      <c r="C74" s="1" t="s">
        <v>13</v>
      </c>
      <c r="D74" s="1" t="s">
        <v>111</v>
      </c>
      <c r="E74" s="1" t="s">
        <v>204</v>
      </c>
      <c r="F74" s="1" t="s">
        <v>16</v>
      </c>
      <c r="G74" s="1" t="s">
        <v>17</v>
      </c>
      <c r="H74" s="1" t="s">
        <v>28</v>
      </c>
      <c r="I74" s="1" t="s">
        <v>40</v>
      </c>
      <c r="J74" s="1">
        <f>IFERROR(__xludf.DUMMYFUNCTION("""COMPUTED_VALUE"""),287.0)</f>
        <v>287</v>
      </c>
      <c r="K74" s="1">
        <v>31.0</v>
      </c>
      <c r="L74" s="1">
        <f>IFERROR(__xludf.DUMMYFUNCTION("""COMPUTED_VALUE"""),398.0)</f>
        <v>398</v>
      </c>
    </row>
    <row r="75">
      <c r="A75" s="1">
        <v>1109042.0</v>
      </c>
      <c r="B75" s="1" t="s">
        <v>205</v>
      </c>
      <c r="C75" s="1" t="s">
        <v>13</v>
      </c>
      <c r="D75" s="1" t="s">
        <v>42</v>
      </c>
      <c r="E75" s="1" t="s">
        <v>206</v>
      </c>
      <c r="F75" s="1" t="s">
        <v>16</v>
      </c>
      <c r="G75" s="1" t="s">
        <v>23</v>
      </c>
      <c r="H75" s="1" t="s">
        <v>18</v>
      </c>
      <c r="I75" s="1" t="s">
        <v>19</v>
      </c>
      <c r="J75" s="1">
        <f>IFERROR(__xludf.DUMMYFUNCTION("""COMPUTED_VALUE"""),58.0)</f>
        <v>58</v>
      </c>
      <c r="K75" s="1">
        <v>24.0</v>
      </c>
      <c r="L75" s="1">
        <f>IFERROR(__xludf.DUMMYFUNCTION("""COMPUTED_VALUE"""),182.0)</f>
        <v>182</v>
      </c>
    </row>
    <row r="76">
      <c r="A76" s="1">
        <v>1174019.0</v>
      </c>
      <c r="B76" s="1" t="s">
        <v>207</v>
      </c>
      <c r="C76" s="1" t="s">
        <v>13</v>
      </c>
      <c r="D76" s="1" t="s">
        <v>14</v>
      </c>
      <c r="E76" s="1" t="s">
        <v>208</v>
      </c>
      <c r="F76" s="1" t="s">
        <v>16</v>
      </c>
      <c r="G76" s="1" t="s">
        <v>23</v>
      </c>
      <c r="H76" s="1" t="s">
        <v>18</v>
      </c>
      <c r="I76" s="1" t="s">
        <v>163</v>
      </c>
      <c r="J76" s="1">
        <f>IFERROR(__xludf.DUMMYFUNCTION("""COMPUTED_VALUE"""),116.0)</f>
        <v>116</v>
      </c>
      <c r="K76" s="1">
        <v>21.0</v>
      </c>
      <c r="L76" s="1">
        <f>IFERROR(__xludf.DUMMYFUNCTION("""COMPUTED_VALUE"""),156.0)</f>
        <v>156</v>
      </c>
    </row>
    <row r="77">
      <c r="A77" s="1">
        <v>1173003.0</v>
      </c>
      <c r="B77" s="1" t="s">
        <v>209</v>
      </c>
      <c r="C77" s="1" t="s">
        <v>13</v>
      </c>
      <c r="D77" s="1" t="s">
        <v>100</v>
      </c>
      <c r="E77" s="1" t="s">
        <v>210</v>
      </c>
      <c r="F77" s="1" t="s">
        <v>16</v>
      </c>
      <c r="G77" s="1" t="s">
        <v>23</v>
      </c>
      <c r="H77" s="1" t="s">
        <v>18</v>
      </c>
      <c r="I77" s="1" t="s">
        <v>19</v>
      </c>
      <c r="J77" s="1">
        <f>IFERROR(__xludf.DUMMYFUNCTION("""COMPUTED_VALUE"""),54.0)</f>
        <v>54</v>
      </c>
      <c r="K77" s="1">
        <v>20.0</v>
      </c>
      <c r="L77" s="1">
        <f>IFERROR(__xludf.DUMMYFUNCTION("""COMPUTED_VALUE"""),46.0)</f>
        <v>46</v>
      </c>
    </row>
    <row r="78">
      <c r="A78" s="1">
        <v>1110102.0</v>
      </c>
      <c r="B78" s="1" t="s">
        <v>211</v>
      </c>
      <c r="C78" s="1" t="s">
        <v>13</v>
      </c>
      <c r="D78" s="1" t="s">
        <v>61</v>
      </c>
      <c r="E78" s="1" t="s">
        <v>212</v>
      </c>
      <c r="F78" s="1" t="s">
        <v>16</v>
      </c>
      <c r="G78" s="1" t="s">
        <v>23</v>
      </c>
      <c r="H78" s="1" t="s">
        <v>18</v>
      </c>
      <c r="I78" s="1" t="s">
        <v>59</v>
      </c>
      <c r="J78" s="1">
        <f>IFERROR(__xludf.DUMMYFUNCTION("""COMPUTED_VALUE"""),50.0)</f>
        <v>50</v>
      </c>
      <c r="K78" s="1">
        <v>39.0</v>
      </c>
      <c r="L78" s="1">
        <f>IFERROR(__xludf.DUMMYFUNCTION("""COMPUTED_VALUE"""),186.0)</f>
        <v>186</v>
      </c>
    </row>
    <row r="79">
      <c r="A79" s="1">
        <v>1108028.0</v>
      </c>
      <c r="B79" s="1" t="s">
        <v>213</v>
      </c>
      <c r="C79" s="1" t="s">
        <v>13</v>
      </c>
      <c r="D79" s="1" t="s">
        <v>70</v>
      </c>
      <c r="E79" s="1" t="s">
        <v>214</v>
      </c>
      <c r="F79" s="1" t="s">
        <v>16</v>
      </c>
      <c r="G79" s="1" t="s">
        <v>23</v>
      </c>
      <c r="H79" s="1" t="s">
        <v>18</v>
      </c>
      <c r="I79" s="1" t="s">
        <v>19</v>
      </c>
      <c r="J79" s="1">
        <f>IFERROR(__xludf.DUMMYFUNCTION("""COMPUTED_VALUE"""),63.0)</f>
        <v>63</v>
      </c>
      <c r="K79" s="1">
        <v>22.0</v>
      </c>
      <c r="L79" s="1">
        <f>IFERROR(__xludf.DUMMYFUNCTION("""COMPUTED_VALUE"""),182.0)</f>
        <v>182</v>
      </c>
    </row>
    <row r="80">
      <c r="A80" s="1">
        <v>1173045.0</v>
      </c>
      <c r="B80" s="1" t="s">
        <v>215</v>
      </c>
      <c r="C80" s="1" t="s">
        <v>13</v>
      </c>
      <c r="D80" s="1" t="s">
        <v>100</v>
      </c>
      <c r="E80" s="1" t="s">
        <v>216</v>
      </c>
      <c r="F80" s="1" t="s">
        <v>16</v>
      </c>
      <c r="G80" s="1" t="s">
        <v>23</v>
      </c>
      <c r="H80" s="1" t="s">
        <v>18</v>
      </c>
      <c r="I80" s="1" t="s">
        <v>59</v>
      </c>
      <c r="J80" s="1">
        <f>IFERROR(__xludf.DUMMYFUNCTION("""COMPUTED_VALUE"""),68.0)</f>
        <v>68</v>
      </c>
      <c r="K80" s="1">
        <v>16.0</v>
      </c>
      <c r="L80" s="1">
        <f>IFERROR(__xludf.DUMMYFUNCTION("""COMPUTED_VALUE"""),79.0)</f>
        <v>79</v>
      </c>
    </row>
    <row r="81">
      <c r="A81" s="1">
        <v>1277026.0</v>
      </c>
      <c r="B81" s="1" t="s">
        <v>217</v>
      </c>
      <c r="C81" s="1" t="s">
        <v>218</v>
      </c>
      <c r="D81" s="1" t="s">
        <v>219</v>
      </c>
      <c r="E81" s="1" t="s">
        <v>220</v>
      </c>
      <c r="F81" s="1" t="s">
        <v>16</v>
      </c>
      <c r="G81" s="1" t="s">
        <v>17</v>
      </c>
      <c r="H81" s="1" t="s">
        <v>18</v>
      </c>
      <c r="I81" s="1" t="s">
        <v>59</v>
      </c>
      <c r="J81" s="1">
        <f>IFERROR(__xludf.DUMMYFUNCTION("""COMPUTED_VALUE"""),101.0)</f>
        <v>101</v>
      </c>
      <c r="K81" s="1">
        <v>31.0</v>
      </c>
      <c r="L81" s="1">
        <f>IFERROR(__xludf.DUMMYFUNCTION("""COMPUTED_VALUE"""),94.0)</f>
        <v>94</v>
      </c>
    </row>
    <row r="82">
      <c r="A82" s="1">
        <v>1213059.0</v>
      </c>
      <c r="B82" s="1" t="s">
        <v>221</v>
      </c>
      <c r="C82" s="1" t="s">
        <v>218</v>
      </c>
      <c r="D82" s="1" t="s">
        <v>222</v>
      </c>
      <c r="E82" s="1" t="s">
        <v>223</v>
      </c>
      <c r="F82" s="1" t="s">
        <v>16</v>
      </c>
      <c r="G82" s="1" t="s">
        <v>27</v>
      </c>
      <c r="H82" s="1" t="s">
        <v>18</v>
      </c>
      <c r="I82" s="1" t="s">
        <v>19</v>
      </c>
      <c r="J82" s="1">
        <f>IFERROR(__xludf.DUMMYFUNCTION("""COMPUTED_VALUE"""),367.0)</f>
        <v>367</v>
      </c>
      <c r="K82" s="1">
        <v>44.0</v>
      </c>
      <c r="L82" s="1">
        <f>IFERROR(__xludf.DUMMYFUNCTION("""COMPUTED_VALUE"""),721.0)</f>
        <v>721</v>
      </c>
    </row>
    <row r="83">
      <c r="A83" s="1">
        <v>1212023.0</v>
      </c>
      <c r="B83" s="1" t="s">
        <v>224</v>
      </c>
      <c r="C83" s="1" t="s">
        <v>218</v>
      </c>
      <c r="D83" s="1" t="s">
        <v>225</v>
      </c>
      <c r="E83" s="1" t="s">
        <v>226</v>
      </c>
      <c r="F83" s="1" t="s">
        <v>16</v>
      </c>
      <c r="G83" s="1" t="s">
        <v>17</v>
      </c>
      <c r="H83" s="1" t="s">
        <v>18</v>
      </c>
      <c r="I83" s="1" t="s">
        <v>19</v>
      </c>
      <c r="J83" s="1">
        <f>IFERROR(__xludf.DUMMYFUNCTION("""COMPUTED_VALUE"""),101.0)</f>
        <v>101</v>
      </c>
      <c r="K83" s="1">
        <v>14.0</v>
      </c>
      <c r="L83" s="1">
        <f>IFERROR(__xludf.DUMMYFUNCTION("""COMPUTED_VALUE"""),211.0)</f>
        <v>211</v>
      </c>
    </row>
    <row r="84">
      <c r="A84" s="1">
        <v>1208066.0</v>
      </c>
      <c r="B84" s="1" t="s">
        <v>227</v>
      </c>
      <c r="C84" s="1" t="s">
        <v>218</v>
      </c>
      <c r="D84" s="1" t="s">
        <v>228</v>
      </c>
      <c r="E84" s="1" t="s">
        <v>229</v>
      </c>
      <c r="F84" s="1" t="s">
        <v>16</v>
      </c>
      <c r="G84" s="1" t="s">
        <v>23</v>
      </c>
      <c r="H84" s="1" t="s">
        <v>18</v>
      </c>
      <c r="I84" s="1" t="s">
        <v>19</v>
      </c>
      <c r="J84" s="1">
        <f>IFERROR(__xludf.DUMMYFUNCTION("""COMPUTED_VALUE"""),60.0)</f>
        <v>60</v>
      </c>
      <c r="K84" s="1">
        <v>12.0</v>
      </c>
      <c r="L84" s="1">
        <f>IFERROR(__xludf.DUMMYFUNCTION("""COMPUTED_VALUE"""),39.0)</f>
        <v>39</v>
      </c>
    </row>
    <row r="85">
      <c r="A85" s="1">
        <v>1273102.0</v>
      </c>
      <c r="B85" s="1" t="s">
        <v>230</v>
      </c>
      <c r="C85" s="1" t="s">
        <v>218</v>
      </c>
      <c r="D85" s="1" t="s">
        <v>231</v>
      </c>
      <c r="E85" s="1" t="s">
        <v>232</v>
      </c>
      <c r="F85" s="1" t="s">
        <v>16</v>
      </c>
      <c r="G85" s="1" t="s">
        <v>17</v>
      </c>
      <c r="H85" s="1" t="s">
        <v>18</v>
      </c>
      <c r="I85" s="1" t="s">
        <v>44</v>
      </c>
      <c r="J85" s="1">
        <f>IFERROR(__xludf.DUMMYFUNCTION("""COMPUTED_VALUE"""),105.0)</f>
        <v>105</v>
      </c>
      <c r="K85" s="1">
        <v>35.0</v>
      </c>
      <c r="L85" s="1">
        <f>IFERROR(__xludf.DUMMYFUNCTION("""COMPUTED_VALUE"""),275.0)</f>
        <v>275</v>
      </c>
    </row>
    <row r="86">
      <c r="A86" s="1">
        <v>1272033.0</v>
      </c>
      <c r="B86" s="1" t="s">
        <v>233</v>
      </c>
      <c r="C86" s="1" t="s">
        <v>218</v>
      </c>
      <c r="D86" s="1" t="s">
        <v>234</v>
      </c>
      <c r="E86" s="1" t="s">
        <v>235</v>
      </c>
      <c r="F86" s="1" t="s">
        <v>16</v>
      </c>
      <c r="G86" s="1" t="s">
        <v>23</v>
      </c>
      <c r="H86" s="1" t="s">
        <v>18</v>
      </c>
      <c r="I86" s="1" t="s">
        <v>44</v>
      </c>
      <c r="J86" s="1">
        <f>IFERROR(__xludf.DUMMYFUNCTION("""COMPUTED_VALUE"""),74.0)</f>
        <v>74</v>
      </c>
      <c r="K86" s="1">
        <v>22.0</v>
      </c>
      <c r="L86" s="1">
        <f>IFERROR(__xludf.DUMMYFUNCTION("""COMPUTED_VALUE"""),98.0)</f>
        <v>98</v>
      </c>
    </row>
    <row r="87">
      <c r="A87" s="1">
        <v>1212198.0</v>
      </c>
      <c r="B87" s="1" t="s">
        <v>236</v>
      </c>
      <c r="C87" s="1" t="s">
        <v>218</v>
      </c>
      <c r="D87" s="1" t="s">
        <v>225</v>
      </c>
      <c r="E87" s="1" t="s">
        <v>237</v>
      </c>
      <c r="F87" s="1" t="s">
        <v>16</v>
      </c>
      <c r="G87" s="1" t="s">
        <v>23</v>
      </c>
      <c r="H87" s="1" t="s">
        <v>28</v>
      </c>
      <c r="I87" s="1" t="s">
        <v>40</v>
      </c>
      <c r="J87" s="1">
        <f>IFERROR(__xludf.DUMMYFUNCTION("""COMPUTED_VALUE"""),55.0)</f>
        <v>55</v>
      </c>
      <c r="K87" s="1">
        <v>13.0</v>
      </c>
      <c r="L87" s="1">
        <f>IFERROR(__xludf.DUMMYFUNCTION("""COMPUTED_VALUE"""),182.0)</f>
        <v>182</v>
      </c>
    </row>
    <row r="88">
      <c r="A88" s="1">
        <v>1275826.0</v>
      </c>
      <c r="B88" s="1" t="s">
        <v>238</v>
      </c>
      <c r="C88" s="1" t="s">
        <v>218</v>
      </c>
      <c r="D88" s="1" t="s">
        <v>239</v>
      </c>
      <c r="E88" s="1" t="s">
        <v>240</v>
      </c>
      <c r="F88" s="1" t="s">
        <v>16</v>
      </c>
      <c r="G88" s="1" t="s">
        <v>23</v>
      </c>
      <c r="H88" s="1" t="s">
        <v>18</v>
      </c>
      <c r="I88" s="1" t="s">
        <v>19</v>
      </c>
      <c r="J88" s="1">
        <f>IFERROR(__xludf.DUMMYFUNCTION("""COMPUTED_VALUE"""),45.0)</f>
        <v>45</v>
      </c>
      <c r="K88" s="1">
        <v>5.0</v>
      </c>
      <c r="L88" s="1">
        <f>IFERROR(__xludf.DUMMYFUNCTION("""COMPUTED_VALUE"""),19.0)</f>
        <v>19</v>
      </c>
    </row>
    <row r="89">
      <c r="A89" s="1">
        <v>1275276.0</v>
      </c>
      <c r="B89" s="1" t="s">
        <v>241</v>
      </c>
      <c r="C89" s="1" t="s">
        <v>218</v>
      </c>
      <c r="D89" s="1" t="s">
        <v>239</v>
      </c>
      <c r="E89" s="1" t="s">
        <v>242</v>
      </c>
      <c r="F89" s="1" t="s">
        <v>16</v>
      </c>
      <c r="G89" s="1" t="s">
        <v>17</v>
      </c>
      <c r="H89" s="1" t="s">
        <v>18</v>
      </c>
      <c r="I89" s="1" t="s">
        <v>59</v>
      </c>
      <c r="J89" s="1">
        <f>IFERROR(__xludf.DUMMYFUNCTION("""COMPUTED_VALUE"""),112.0)</f>
        <v>112</v>
      </c>
      <c r="K89" s="1">
        <v>56.0</v>
      </c>
      <c r="L89" s="1">
        <f>IFERROR(__xludf.DUMMYFUNCTION("""COMPUTED_VALUE"""),244.0)</f>
        <v>244</v>
      </c>
    </row>
    <row r="90">
      <c r="A90" s="1">
        <v>1205035.0</v>
      </c>
      <c r="B90" s="1" t="s">
        <v>243</v>
      </c>
      <c r="C90" s="1" t="s">
        <v>218</v>
      </c>
      <c r="D90" s="1" t="s">
        <v>244</v>
      </c>
      <c r="E90" s="1" t="s">
        <v>245</v>
      </c>
      <c r="F90" s="1" t="s">
        <v>16</v>
      </c>
      <c r="G90" s="1" t="s">
        <v>17</v>
      </c>
      <c r="H90" s="1" t="s">
        <v>28</v>
      </c>
      <c r="I90" s="1" t="s">
        <v>40</v>
      </c>
      <c r="J90" s="1">
        <f>IFERROR(__xludf.DUMMYFUNCTION("""COMPUTED_VALUE"""),107.0)</f>
        <v>107</v>
      </c>
      <c r="K90" s="1">
        <v>61.0</v>
      </c>
      <c r="L90" s="1">
        <f>IFERROR(__xludf.DUMMYFUNCTION("""COMPUTED_VALUE"""),335.0)</f>
        <v>335</v>
      </c>
    </row>
    <row r="91">
      <c r="A91" s="1">
        <v>1205142.0</v>
      </c>
      <c r="B91" s="1" t="s">
        <v>246</v>
      </c>
      <c r="C91" s="1" t="s">
        <v>218</v>
      </c>
      <c r="D91" s="1" t="s">
        <v>247</v>
      </c>
      <c r="E91" s="1" t="s">
        <v>248</v>
      </c>
      <c r="F91" s="1" t="s">
        <v>16</v>
      </c>
      <c r="G91" s="1" t="s">
        <v>23</v>
      </c>
      <c r="H91" s="1" t="s">
        <v>18</v>
      </c>
      <c r="I91" s="1" t="s">
        <v>249</v>
      </c>
      <c r="J91" s="1">
        <f>IFERROR(__xludf.DUMMYFUNCTION("""COMPUTED_VALUE"""),60.0)</f>
        <v>60</v>
      </c>
      <c r="K91" s="1">
        <v>20.0</v>
      </c>
      <c r="L91" s="1">
        <f>IFERROR(__xludf.DUMMYFUNCTION("""COMPUTED_VALUE"""),59.0)</f>
        <v>59</v>
      </c>
    </row>
    <row r="92">
      <c r="A92" s="1">
        <v>1214010.0</v>
      </c>
      <c r="B92" s="1" t="s">
        <v>250</v>
      </c>
      <c r="C92" s="1" t="s">
        <v>218</v>
      </c>
      <c r="D92" s="1" t="s">
        <v>251</v>
      </c>
      <c r="E92" s="1" t="s">
        <v>252</v>
      </c>
      <c r="F92" s="1" t="s">
        <v>16</v>
      </c>
      <c r="G92" s="1" t="s">
        <v>23</v>
      </c>
      <c r="H92" s="1" t="s">
        <v>18</v>
      </c>
      <c r="I92" s="1" t="s">
        <v>40</v>
      </c>
      <c r="J92" s="1">
        <f>IFERROR(__xludf.DUMMYFUNCTION("""COMPUTED_VALUE"""),50.0)</f>
        <v>50</v>
      </c>
      <c r="K92" s="1">
        <v>4.0</v>
      </c>
      <c r="L92" s="1">
        <f>IFERROR(__xludf.DUMMYFUNCTION("""COMPUTED_VALUE"""),182.0)</f>
        <v>182</v>
      </c>
    </row>
    <row r="93">
      <c r="A93" s="1">
        <v>1275232.0</v>
      </c>
      <c r="B93" s="1" t="s">
        <v>253</v>
      </c>
      <c r="C93" s="1" t="s">
        <v>218</v>
      </c>
      <c r="D93" s="1" t="s">
        <v>239</v>
      </c>
      <c r="E93" s="1" t="s">
        <v>254</v>
      </c>
      <c r="F93" s="1" t="s">
        <v>255</v>
      </c>
      <c r="G93" s="1" t="s">
        <v>17</v>
      </c>
      <c r="H93" s="1" t="s">
        <v>18</v>
      </c>
      <c r="I93" s="1" t="s">
        <v>59</v>
      </c>
      <c r="J93" s="1">
        <f>IFERROR(__xludf.DUMMYFUNCTION("""COMPUTED_VALUE"""),27.0)</f>
        <v>27</v>
      </c>
      <c r="K93" s="1">
        <v>14.0</v>
      </c>
      <c r="L93" s="1">
        <f>IFERROR(__xludf.DUMMYFUNCTION("""COMPUTED_VALUE"""),18.0)</f>
        <v>18</v>
      </c>
    </row>
    <row r="94">
      <c r="A94" s="1">
        <v>1275126.0</v>
      </c>
      <c r="B94" s="1" t="s">
        <v>256</v>
      </c>
      <c r="C94" s="1" t="s">
        <v>218</v>
      </c>
      <c r="D94" s="1" t="s">
        <v>239</v>
      </c>
      <c r="E94" s="1" t="s">
        <v>257</v>
      </c>
      <c r="F94" s="1" t="s">
        <v>16</v>
      </c>
      <c r="G94" s="1" t="s">
        <v>17</v>
      </c>
      <c r="H94" s="1" t="s">
        <v>18</v>
      </c>
      <c r="I94" s="1" t="s">
        <v>258</v>
      </c>
      <c r="J94" s="1">
        <f>IFERROR(__xludf.DUMMYFUNCTION("""COMPUTED_VALUE"""),106.0)</f>
        <v>106</v>
      </c>
      <c r="K94" s="1">
        <v>57.0</v>
      </c>
      <c r="L94" s="1">
        <f>IFERROR(__xludf.DUMMYFUNCTION("""COMPUTED_VALUE"""),104.0)</f>
        <v>104</v>
      </c>
    </row>
    <row r="95">
      <c r="A95" s="1">
        <v>1207073.0</v>
      </c>
      <c r="B95" s="1" t="s">
        <v>259</v>
      </c>
      <c r="C95" s="1" t="s">
        <v>218</v>
      </c>
      <c r="D95" s="1" t="s">
        <v>260</v>
      </c>
      <c r="E95" s="1" t="s">
        <v>261</v>
      </c>
      <c r="F95" s="1" t="s">
        <v>16</v>
      </c>
      <c r="G95" s="1" t="s">
        <v>23</v>
      </c>
      <c r="H95" s="1" t="s">
        <v>18</v>
      </c>
      <c r="I95" s="1" t="s">
        <v>19</v>
      </c>
      <c r="J95" s="1">
        <f>IFERROR(__xludf.DUMMYFUNCTION("""COMPUTED_VALUE"""),17.0)</f>
        <v>17</v>
      </c>
      <c r="K95" s="1">
        <v>3.0</v>
      </c>
      <c r="L95" s="1">
        <f>IFERROR(__xludf.DUMMYFUNCTION("""COMPUTED_VALUE"""),182.0)</f>
        <v>182</v>
      </c>
    </row>
    <row r="96">
      <c r="A96" s="1">
        <v>1203022.0</v>
      </c>
      <c r="B96" s="1" t="s">
        <v>262</v>
      </c>
      <c r="C96" s="1" t="s">
        <v>218</v>
      </c>
      <c r="D96" s="1" t="s">
        <v>263</v>
      </c>
      <c r="E96" s="1" t="s">
        <v>264</v>
      </c>
      <c r="F96" s="1" t="s">
        <v>16</v>
      </c>
      <c r="G96" s="1" t="s">
        <v>17</v>
      </c>
      <c r="H96" s="1" t="s">
        <v>28</v>
      </c>
      <c r="I96" s="1" t="s">
        <v>40</v>
      </c>
      <c r="J96" s="1">
        <f>IFERROR(__xludf.DUMMYFUNCTION("""COMPUTED_VALUE"""),123.0)</f>
        <v>123</v>
      </c>
      <c r="K96" s="1">
        <v>53.0</v>
      </c>
      <c r="L96" s="1">
        <f>IFERROR(__xludf.DUMMYFUNCTION("""COMPUTED_VALUE"""),358.0)</f>
        <v>358</v>
      </c>
    </row>
    <row r="97">
      <c r="A97" s="1">
        <v>1277015.0</v>
      </c>
      <c r="B97" s="1" t="s">
        <v>265</v>
      </c>
      <c r="C97" s="1" t="s">
        <v>218</v>
      </c>
      <c r="D97" s="1" t="s">
        <v>219</v>
      </c>
      <c r="E97" s="1" t="s">
        <v>266</v>
      </c>
      <c r="F97" s="1" t="s">
        <v>16</v>
      </c>
      <c r="G97" s="1" t="s">
        <v>23</v>
      </c>
      <c r="H97" s="1" t="s">
        <v>18</v>
      </c>
      <c r="I97" s="1" t="s">
        <v>74</v>
      </c>
      <c r="J97" s="1">
        <f>IFERROR(__xludf.DUMMYFUNCTION("""COMPUTED_VALUE"""),53.0)</f>
        <v>53</v>
      </c>
      <c r="K97" s="1">
        <v>23.0</v>
      </c>
      <c r="L97" s="1">
        <f>IFERROR(__xludf.DUMMYFUNCTION("""COMPUTED_VALUE"""),16.0)</f>
        <v>16</v>
      </c>
    </row>
    <row r="98">
      <c r="A98" s="1">
        <v>1276036.0</v>
      </c>
      <c r="B98" s="1" t="s">
        <v>267</v>
      </c>
      <c r="C98" s="1" t="s">
        <v>218</v>
      </c>
      <c r="D98" s="1" t="s">
        <v>268</v>
      </c>
      <c r="E98" s="1" t="s">
        <v>269</v>
      </c>
      <c r="F98" s="1" t="s">
        <v>16</v>
      </c>
      <c r="G98" s="1" t="s">
        <v>17</v>
      </c>
      <c r="H98" s="1" t="s">
        <v>18</v>
      </c>
      <c r="I98" s="1" t="s">
        <v>59</v>
      </c>
      <c r="J98" s="1">
        <f>IFERROR(__xludf.DUMMYFUNCTION("""COMPUTED_VALUE"""),143.0)</f>
        <v>143</v>
      </c>
      <c r="K98" s="1">
        <v>34.0</v>
      </c>
      <c r="L98" s="1">
        <f>IFERROR(__xludf.DUMMYFUNCTION("""COMPUTED_VALUE"""),196.0)</f>
        <v>196</v>
      </c>
    </row>
    <row r="99">
      <c r="A99" s="1">
        <v>1275928.0</v>
      </c>
      <c r="B99" s="1" t="s">
        <v>270</v>
      </c>
      <c r="C99" s="1" t="s">
        <v>218</v>
      </c>
      <c r="D99" s="1" t="s">
        <v>239</v>
      </c>
      <c r="E99" s="1" t="s">
        <v>271</v>
      </c>
      <c r="F99" s="1" t="s">
        <v>272</v>
      </c>
      <c r="G99" s="1" t="s">
        <v>17</v>
      </c>
      <c r="H99" s="1" t="s">
        <v>18</v>
      </c>
      <c r="I99" s="1" t="s">
        <v>44</v>
      </c>
      <c r="J99" s="1">
        <f>IFERROR(__xludf.DUMMYFUNCTION("""COMPUTED_VALUE"""),16.0)</f>
        <v>16</v>
      </c>
      <c r="K99" s="1">
        <v>5.0</v>
      </c>
      <c r="L99" s="1">
        <f>IFERROR(__xludf.DUMMYFUNCTION("""COMPUTED_VALUE"""),35.0)</f>
        <v>35</v>
      </c>
    </row>
    <row r="100">
      <c r="A100" s="1">
        <v>1275750.0</v>
      </c>
      <c r="B100" s="1" t="s">
        <v>273</v>
      </c>
      <c r="C100" s="1" t="s">
        <v>218</v>
      </c>
      <c r="D100" s="1" t="s">
        <v>239</v>
      </c>
      <c r="E100" s="1" t="s">
        <v>274</v>
      </c>
      <c r="F100" s="1" t="s">
        <v>16</v>
      </c>
      <c r="G100" s="1" t="s">
        <v>17</v>
      </c>
      <c r="H100" s="1" t="s">
        <v>18</v>
      </c>
      <c r="I100" s="1" t="s">
        <v>59</v>
      </c>
      <c r="J100" s="1">
        <f>IFERROR(__xludf.DUMMYFUNCTION("""COMPUTED_VALUE"""),100.0)</f>
        <v>100</v>
      </c>
      <c r="K100" s="1">
        <v>27.0</v>
      </c>
      <c r="L100" s="1">
        <f>IFERROR(__xludf.DUMMYFUNCTION("""COMPUTED_VALUE"""),75.0)</f>
        <v>75</v>
      </c>
    </row>
    <row r="101">
      <c r="A101" s="1">
        <v>1225002.0</v>
      </c>
      <c r="B101" s="1" t="s">
        <v>275</v>
      </c>
      <c r="C101" s="1" t="s">
        <v>218</v>
      </c>
      <c r="D101" s="1" t="s">
        <v>276</v>
      </c>
      <c r="E101" s="1" t="s">
        <v>277</v>
      </c>
      <c r="F101" s="1" t="s">
        <v>16</v>
      </c>
      <c r="G101" s="1" t="s">
        <v>98</v>
      </c>
      <c r="H101" s="1" t="s">
        <v>18</v>
      </c>
      <c r="I101" s="1" t="s">
        <v>40</v>
      </c>
      <c r="J101" s="1">
        <f>IFERROR(__xludf.DUMMYFUNCTION("""COMPUTED_VALUE"""),31.0)</f>
        <v>31</v>
      </c>
      <c r="K101" s="1">
        <v>20.0</v>
      </c>
      <c r="L101" s="1">
        <f>IFERROR(__xludf.DUMMYFUNCTION("""COMPUTED_VALUE"""),5.0)</f>
        <v>5</v>
      </c>
    </row>
    <row r="102">
      <c r="A102" s="1">
        <v>1209081.0</v>
      </c>
      <c r="B102" s="1" t="s">
        <v>278</v>
      </c>
      <c r="C102" s="1" t="s">
        <v>218</v>
      </c>
      <c r="D102" s="1" t="s">
        <v>279</v>
      </c>
      <c r="E102" s="1" t="s">
        <v>280</v>
      </c>
      <c r="F102" s="1" t="s">
        <v>16</v>
      </c>
      <c r="G102" s="1" t="s">
        <v>23</v>
      </c>
      <c r="H102" s="1" t="s">
        <v>18</v>
      </c>
      <c r="I102" s="1" t="s">
        <v>19</v>
      </c>
      <c r="J102" s="1">
        <f>IFERROR(__xludf.DUMMYFUNCTION("""COMPUTED_VALUE"""),93.0)</f>
        <v>93</v>
      </c>
      <c r="K102" s="1">
        <v>23.0</v>
      </c>
      <c r="L102" s="1">
        <f>IFERROR(__xludf.DUMMYFUNCTION("""COMPUTED_VALUE"""),94.0)</f>
        <v>94</v>
      </c>
    </row>
    <row r="103">
      <c r="A103" s="1">
        <v>1209021.0</v>
      </c>
      <c r="B103" s="1" t="s">
        <v>281</v>
      </c>
      <c r="C103" s="1" t="s">
        <v>218</v>
      </c>
      <c r="D103" s="1" t="s">
        <v>279</v>
      </c>
      <c r="E103" s="1" t="s">
        <v>282</v>
      </c>
      <c r="F103" s="1" t="s">
        <v>16</v>
      </c>
      <c r="G103" s="1" t="s">
        <v>17</v>
      </c>
      <c r="H103" s="1" t="s">
        <v>18</v>
      </c>
      <c r="I103" s="1" t="s">
        <v>113</v>
      </c>
      <c r="J103" s="1">
        <f>IFERROR(__xludf.DUMMYFUNCTION("""COMPUTED_VALUE"""),98.0)</f>
        <v>98</v>
      </c>
      <c r="K103" s="1">
        <v>42.0</v>
      </c>
      <c r="L103" s="1">
        <f>IFERROR(__xludf.DUMMYFUNCTION("""COMPUTED_VALUE"""),112.0)</f>
        <v>112</v>
      </c>
    </row>
    <row r="104">
      <c r="A104" s="1">
        <v>1213057.0</v>
      </c>
      <c r="B104" s="1" t="s">
        <v>283</v>
      </c>
      <c r="C104" s="1" t="s">
        <v>218</v>
      </c>
      <c r="D104" s="1" t="s">
        <v>222</v>
      </c>
      <c r="E104" s="1" t="s">
        <v>284</v>
      </c>
      <c r="F104" s="1" t="s">
        <v>16</v>
      </c>
      <c r="G104" s="1" t="s">
        <v>17</v>
      </c>
      <c r="H104" s="1" t="s">
        <v>18</v>
      </c>
      <c r="I104" s="1" t="s">
        <v>59</v>
      </c>
      <c r="J104" s="1">
        <f>IFERROR(__xludf.DUMMYFUNCTION("""COMPUTED_VALUE"""),114.0)</f>
        <v>114</v>
      </c>
      <c r="K104" s="1">
        <v>32.0</v>
      </c>
      <c r="L104" s="1">
        <f>IFERROR(__xludf.DUMMYFUNCTION("""COMPUTED_VALUE"""),215.0)</f>
        <v>215</v>
      </c>
    </row>
    <row r="105">
      <c r="A105" s="1">
        <v>1211126.0</v>
      </c>
      <c r="B105" s="1" t="s">
        <v>285</v>
      </c>
      <c r="C105" s="1" t="s">
        <v>218</v>
      </c>
      <c r="D105" s="1" t="s">
        <v>286</v>
      </c>
      <c r="E105" s="1" t="s">
        <v>287</v>
      </c>
      <c r="F105" s="1" t="s">
        <v>16</v>
      </c>
      <c r="G105" s="1" t="s">
        <v>17</v>
      </c>
      <c r="H105" s="1" t="s">
        <v>18</v>
      </c>
      <c r="I105" s="1" t="s">
        <v>44</v>
      </c>
      <c r="J105" s="1">
        <f>IFERROR(__xludf.DUMMYFUNCTION("""COMPUTED_VALUE"""),193.0)</f>
        <v>193</v>
      </c>
      <c r="K105" s="1">
        <v>32.0</v>
      </c>
      <c r="L105" s="1">
        <f>IFERROR(__xludf.DUMMYFUNCTION("""COMPUTED_VALUE"""),202.0)</f>
        <v>202</v>
      </c>
    </row>
    <row r="106">
      <c r="A106" s="1">
        <v>1208059.0</v>
      </c>
      <c r="B106" s="1" t="s">
        <v>288</v>
      </c>
      <c r="C106" s="1" t="s">
        <v>218</v>
      </c>
      <c r="D106" s="1" t="s">
        <v>228</v>
      </c>
      <c r="E106" s="1" t="s">
        <v>289</v>
      </c>
      <c r="F106" s="1" t="s">
        <v>16</v>
      </c>
      <c r="G106" s="1" t="s">
        <v>23</v>
      </c>
      <c r="H106" s="1" t="s">
        <v>18</v>
      </c>
      <c r="I106" s="1" t="s">
        <v>163</v>
      </c>
      <c r="J106" s="1">
        <f>IFERROR(__xludf.DUMMYFUNCTION("""COMPUTED_VALUE"""),82.0)</f>
        <v>82</v>
      </c>
      <c r="K106" s="1">
        <v>26.0</v>
      </c>
      <c r="L106" s="1">
        <f>IFERROR(__xludf.DUMMYFUNCTION("""COMPUTED_VALUE"""),76.0)</f>
        <v>76</v>
      </c>
    </row>
    <row r="107">
      <c r="A107" s="1">
        <v>1210021.0</v>
      </c>
      <c r="B107" s="1" t="s">
        <v>290</v>
      </c>
      <c r="C107" s="1" t="s">
        <v>218</v>
      </c>
      <c r="D107" s="1" t="s">
        <v>291</v>
      </c>
      <c r="E107" s="1" t="s">
        <v>292</v>
      </c>
      <c r="F107" s="1" t="s">
        <v>16</v>
      </c>
      <c r="G107" s="1" t="s">
        <v>23</v>
      </c>
      <c r="H107" s="1" t="s">
        <v>18</v>
      </c>
      <c r="I107" s="1" t="s">
        <v>44</v>
      </c>
      <c r="J107" s="1">
        <f>IFERROR(__xludf.DUMMYFUNCTION("""COMPUTED_VALUE"""),53.0)</f>
        <v>53</v>
      </c>
      <c r="K107" s="1">
        <v>20.0</v>
      </c>
      <c r="L107" s="1">
        <f>IFERROR(__xludf.DUMMYFUNCTION("""COMPUTED_VALUE"""),182.0)</f>
        <v>182</v>
      </c>
    </row>
    <row r="108">
      <c r="A108" s="1">
        <v>1275932.0</v>
      </c>
      <c r="B108" s="1" t="s">
        <v>293</v>
      </c>
      <c r="C108" s="1" t="s">
        <v>218</v>
      </c>
      <c r="D108" s="1" t="s">
        <v>239</v>
      </c>
      <c r="E108" s="1" t="s">
        <v>294</v>
      </c>
      <c r="F108" s="1" t="s">
        <v>32</v>
      </c>
      <c r="G108" s="1" t="s">
        <v>17</v>
      </c>
      <c r="H108" s="1" t="s">
        <v>18</v>
      </c>
      <c r="I108" s="1" t="s">
        <v>19</v>
      </c>
      <c r="J108" s="1">
        <f>IFERROR(__xludf.DUMMYFUNCTION("""COMPUTED_VALUE"""),10.0)</f>
        <v>10</v>
      </c>
      <c r="K108" s="1">
        <v>13.0</v>
      </c>
      <c r="L108" s="1">
        <f>IFERROR(__xludf.DUMMYFUNCTION("""COMPUTED_VALUE"""),33.0)</f>
        <v>33</v>
      </c>
    </row>
    <row r="109">
      <c r="A109" s="1">
        <v>1212201.0</v>
      </c>
      <c r="B109" s="1" t="s">
        <v>295</v>
      </c>
      <c r="C109" s="1" t="s">
        <v>218</v>
      </c>
      <c r="D109" s="1" t="s">
        <v>225</v>
      </c>
      <c r="E109" s="1" t="s">
        <v>296</v>
      </c>
      <c r="F109" s="1" t="s">
        <v>16</v>
      </c>
      <c r="G109" s="1" t="s">
        <v>23</v>
      </c>
      <c r="H109" s="1" t="s">
        <v>18</v>
      </c>
      <c r="I109" s="1" t="s">
        <v>19</v>
      </c>
      <c r="J109" s="1">
        <f>IFERROR(__xludf.DUMMYFUNCTION("""COMPUTED_VALUE"""),53.0)</f>
        <v>53</v>
      </c>
      <c r="K109" s="1">
        <v>10.0</v>
      </c>
      <c r="L109" s="1">
        <f>IFERROR(__xludf.DUMMYFUNCTION("""COMPUTED_VALUE"""),182.0)</f>
        <v>182</v>
      </c>
    </row>
    <row r="110">
      <c r="A110" s="1">
        <v>1275909.0</v>
      </c>
      <c r="B110" s="1" t="s">
        <v>297</v>
      </c>
      <c r="C110" s="1" t="s">
        <v>218</v>
      </c>
      <c r="D110" s="1" t="s">
        <v>239</v>
      </c>
      <c r="E110" s="1" t="s">
        <v>298</v>
      </c>
      <c r="F110" s="1" t="s">
        <v>16</v>
      </c>
      <c r="G110" s="1" t="s">
        <v>17</v>
      </c>
      <c r="H110" s="1" t="s">
        <v>18</v>
      </c>
      <c r="I110" s="1" t="s">
        <v>44</v>
      </c>
      <c r="J110" s="1">
        <f>IFERROR(__xludf.DUMMYFUNCTION("""COMPUTED_VALUE"""),144.0)</f>
        <v>144</v>
      </c>
      <c r="K110" s="1">
        <v>30.0</v>
      </c>
      <c r="L110" s="1">
        <f>IFERROR(__xludf.DUMMYFUNCTION("""COMPUTED_VALUE"""),95.0)</f>
        <v>95</v>
      </c>
    </row>
    <row r="111">
      <c r="A111" s="1">
        <v>1274034.0</v>
      </c>
      <c r="B111" s="1" t="s">
        <v>299</v>
      </c>
      <c r="C111" s="1" t="s">
        <v>218</v>
      </c>
      <c r="D111" s="1" t="s">
        <v>300</v>
      </c>
      <c r="E111" s="1" t="s">
        <v>301</v>
      </c>
      <c r="F111" s="1" t="s">
        <v>16</v>
      </c>
      <c r="G111" s="1" t="s">
        <v>17</v>
      </c>
      <c r="H111" s="1" t="s">
        <v>18</v>
      </c>
      <c r="I111" s="1" t="s">
        <v>113</v>
      </c>
      <c r="J111" s="1">
        <f>IFERROR(__xludf.DUMMYFUNCTION("""COMPUTED_VALUE"""),167.0)</f>
        <v>167</v>
      </c>
      <c r="K111" s="1">
        <v>55.0</v>
      </c>
      <c r="L111" s="1">
        <f>IFERROR(__xludf.DUMMYFUNCTION("""COMPUTED_VALUE"""),285.0)</f>
        <v>285</v>
      </c>
    </row>
    <row r="112">
      <c r="A112" s="1">
        <v>1275998.0</v>
      </c>
      <c r="B112" s="1" t="s">
        <v>302</v>
      </c>
      <c r="C112" s="1" t="s">
        <v>218</v>
      </c>
      <c r="D112" s="1" t="s">
        <v>239</v>
      </c>
      <c r="E112" s="1" t="s">
        <v>303</v>
      </c>
      <c r="F112" s="1" t="s">
        <v>55</v>
      </c>
      <c r="G112" s="1" t="s">
        <v>17</v>
      </c>
      <c r="H112" s="1" t="s">
        <v>18</v>
      </c>
      <c r="I112" s="1" t="s">
        <v>44</v>
      </c>
      <c r="J112" s="1">
        <f>IFERROR(__xludf.DUMMYFUNCTION("""COMPUTED_VALUE"""),76.0)</f>
        <v>76</v>
      </c>
      <c r="K112" s="1">
        <v>32.0</v>
      </c>
      <c r="L112" s="1">
        <f>IFERROR(__xludf.DUMMYFUNCTION("""COMPUTED_VALUE"""),263.0)</f>
        <v>263</v>
      </c>
    </row>
    <row r="113">
      <c r="A113" s="1">
        <v>1275841.0</v>
      </c>
      <c r="B113" s="1" t="s">
        <v>304</v>
      </c>
      <c r="C113" s="1" t="s">
        <v>218</v>
      </c>
      <c r="D113" s="1" t="s">
        <v>239</v>
      </c>
      <c r="E113" s="1" t="s">
        <v>305</v>
      </c>
      <c r="F113" s="1" t="s">
        <v>16</v>
      </c>
      <c r="G113" s="1" t="s">
        <v>17</v>
      </c>
      <c r="H113" s="1" t="s">
        <v>18</v>
      </c>
      <c r="I113" s="1" t="s">
        <v>44</v>
      </c>
      <c r="J113" s="1">
        <f>IFERROR(__xludf.DUMMYFUNCTION("""COMPUTED_VALUE"""),115.0)</f>
        <v>115</v>
      </c>
      <c r="K113" s="1">
        <v>28.0</v>
      </c>
      <c r="L113" s="1">
        <f>IFERROR(__xludf.DUMMYFUNCTION("""COMPUTED_VALUE"""),170.0)</f>
        <v>170</v>
      </c>
    </row>
    <row r="114">
      <c r="A114" s="1">
        <v>1275516.0</v>
      </c>
      <c r="B114" s="1" t="s">
        <v>306</v>
      </c>
      <c r="C114" s="1" t="s">
        <v>218</v>
      </c>
      <c r="D114" s="1" t="s">
        <v>239</v>
      </c>
      <c r="E114" s="1" t="s">
        <v>307</v>
      </c>
      <c r="F114" s="1" t="s">
        <v>16</v>
      </c>
      <c r="G114" s="1" t="s">
        <v>17</v>
      </c>
      <c r="H114" s="1" t="s">
        <v>18</v>
      </c>
      <c r="I114" s="1" t="s">
        <v>59</v>
      </c>
      <c r="J114" s="1">
        <f>IFERROR(__xludf.DUMMYFUNCTION("""COMPUTED_VALUE"""),163.0)</f>
        <v>163</v>
      </c>
      <c r="K114" s="1">
        <v>81.0</v>
      </c>
      <c r="L114" s="1">
        <f>IFERROR(__xludf.DUMMYFUNCTION("""COMPUTED_VALUE"""),432.0)</f>
        <v>432</v>
      </c>
    </row>
    <row r="115">
      <c r="A115" s="1">
        <v>1219016.0</v>
      </c>
      <c r="B115" s="1" t="s">
        <v>308</v>
      </c>
      <c r="C115" s="1" t="s">
        <v>218</v>
      </c>
      <c r="D115" s="1" t="s">
        <v>309</v>
      </c>
      <c r="E115" s="1" t="s">
        <v>310</v>
      </c>
      <c r="F115" s="1" t="s">
        <v>16</v>
      </c>
      <c r="G115" s="1" t="s">
        <v>23</v>
      </c>
      <c r="H115" s="1" t="s">
        <v>18</v>
      </c>
      <c r="I115" s="1" t="s">
        <v>163</v>
      </c>
      <c r="J115" s="1">
        <f>IFERROR(__xludf.DUMMYFUNCTION("""COMPUTED_VALUE"""),47.0)</f>
        <v>47</v>
      </c>
      <c r="K115" s="1">
        <v>8.0</v>
      </c>
      <c r="L115" s="1">
        <f>IFERROR(__xludf.DUMMYFUNCTION("""COMPUTED_VALUE"""),182.0)</f>
        <v>182</v>
      </c>
    </row>
    <row r="116">
      <c r="A116" s="1">
        <v>1278002.0</v>
      </c>
      <c r="B116" s="1" t="s">
        <v>311</v>
      </c>
      <c r="C116" s="1" t="s">
        <v>218</v>
      </c>
      <c r="D116" s="1" t="s">
        <v>312</v>
      </c>
      <c r="E116" s="1" t="s">
        <v>313</v>
      </c>
      <c r="F116" s="1" t="s">
        <v>16</v>
      </c>
      <c r="G116" s="1" t="s">
        <v>17</v>
      </c>
      <c r="H116" s="1" t="s">
        <v>18</v>
      </c>
      <c r="I116" s="1" t="s">
        <v>59</v>
      </c>
      <c r="J116" s="1">
        <f>IFERROR(__xludf.DUMMYFUNCTION("""COMPUTED_VALUE"""),107.0)</f>
        <v>107</v>
      </c>
      <c r="K116" s="1">
        <v>33.0</v>
      </c>
      <c r="L116" s="1">
        <f>IFERROR(__xludf.DUMMYFUNCTION("""COMPUTED_VALUE"""),88.0)</f>
        <v>88</v>
      </c>
    </row>
    <row r="117">
      <c r="A117" s="1">
        <v>1205061.0</v>
      </c>
      <c r="B117" s="1" t="s">
        <v>314</v>
      </c>
      <c r="C117" s="1" t="s">
        <v>218</v>
      </c>
      <c r="D117" s="1" t="s">
        <v>315</v>
      </c>
      <c r="E117" s="1" t="s">
        <v>316</v>
      </c>
      <c r="F117" s="1" t="s">
        <v>16</v>
      </c>
      <c r="G117" s="1" t="s">
        <v>17</v>
      </c>
      <c r="H117" s="1" t="s">
        <v>33</v>
      </c>
      <c r="I117" s="1" t="s">
        <v>258</v>
      </c>
      <c r="J117" s="1">
        <f>IFERROR(__xludf.DUMMYFUNCTION("""COMPUTED_VALUE"""),162.0)</f>
        <v>162</v>
      </c>
      <c r="K117" s="1">
        <v>26.0</v>
      </c>
      <c r="L117" s="1">
        <f>IFERROR(__xludf.DUMMYFUNCTION("""COMPUTED_VALUE"""),283.0)</f>
        <v>283</v>
      </c>
    </row>
    <row r="118">
      <c r="A118" s="1">
        <v>1219002.0</v>
      </c>
      <c r="B118" s="1" t="s">
        <v>317</v>
      </c>
      <c r="C118" s="1" t="s">
        <v>218</v>
      </c>
      <c r="D118" s="1" t="s">
        <v>309</v>
      </c>
      <c r="E118" s="1" t="s">
        <v>318</v>
      </c>
      <c r="F118" s="1" t="s">
        <v>16</v>
      </c>
      <c r="G118" s="1" t="s">
        <v>23</v>
      </c>
      <c r="H118" s="1" t="s">
        <v>18</v>
      </c>
      <c r="I118" s="1" t="s">
        <v>59</v>
      </c>
      <c r="J118" s="1">
        <f>IFERROR(__xludf.DUMMYFUNCTION("""COMPUTED_VALUE"""),54.0)</f>
        <v>54</v>
      </c>
      <c r="K118" s="1">
        <v>10.0</v>
      </c>
      <c r="L118" s="1">
        <f>IFERROR(__xludf.DUMMYFUNCTION("""COMPUTED_VALUE"""),89.0)</f>
        <v>89</v>
      </c>
    </row>
    <row r="119">
      <c r="A119" s="1">
        <v>1275922.0</v>
      </c>
      <c r="B119" s="1" t="s">
        <v>319</v>
      </c>
      <c r="C119" s="1" t="s">
        <v>218</v>
      </c>
      <c r="D119" s="1" t="s">
        <v>239</v>
      </c>
      <c r="E119" s="1" t="s">
        <v>320</v>
      </c>
      <c r="F119" s="1" t="s">
        <v>272</v>
      </c>
      <c r="G119" s="1" t="s">
        <v>27</v>
      </c>
      <c r="H119" s="1" t="s">
        <v>28</v>
      </c>
      <c r="I119" s="1" t="s">
        <v>139</v>
      </c>
      <c r="J119" s="1">
        <f>IFERROR(__xludf.DUMMYFUNCTION("""COMPUTED_VALUE"""),30.0)</f>
        <v>30</v>
      </c>
      <c r="K119" s="1">
        <v>11.0</v>
      </c>
      <c r="L119" s="1">
        <f>IFERROR(__xludf.DUMMYFUNCTION("""COMPUTED_VALUE"""),127.0)</f>
        <v>127</v>
      </c>
    </row>
    <row r="120">
      <c r="A120" s="1">
        <v>1271016.0</v>
      </c>
      <c r="B120" s="1" t="s">
        <v>321</v>
      </c>
      <c r="C120" s="1" t="s">
        <v>218</v>
      </c>
      <c r="D120" s="1" t="s">
        <v>322</v>
      </c>
      <c r="E120" s="1" t="s">
        <v>323</v>
      </c>
      <c r="F120" s="1" t="s">
        <v>16</v>
      </c>
      <c r="G120" s="1" t="s">
        <v>27</v>
      </c>
      <c r="H120" s="1" t="s">
        <v>28</v>
      </c>
      <c r="I120" s="1" t="s">
        <v>29</v>
      </c>
      <c r="J120" s="1">
        <f>IFERROR(__xludf.DUMMYFUNCTION("""COMPUTED_VALUE"""),196.0)</f>
        <v>196</v>
      </c>
      <c r="K120" s="1">
        <v>101.0</v>
      </c>
      <c r="L120" s="1">
        <f>IFERROR(__xludf.DUMMYFUNCTION("""COMPUTED_VALUE"""),472.0)</f>
        <v>472</v>
      </c>
    </row>
    <row r="121">
      <c r="A121" s="1">
        <v>1275804.0</v>
      </c>
      <c r="B121" s="1" t="s">
        <v>324</v>
      </c>
      <c r="C121" s="1" t="s">
        <v>218</v>
      </c>
      <c r="D121" s="1" t="s">
        <v>239</v>
      </c>
      <c r="E121" s="1" t="s">
        <v>325</v>
      </c>
      <c r="F121" s="1" t="s">
        <v>55</v>
      </c>
      <c r="G121" s="1" t="s">
        <v>17</v>
      </c>
      <c r="H121" s="1" t="s">
        <v>18</v>
      </c>
      <c r="I121" s="1" t="s">
        <v>44</v>
      </c>
      <c r="J121" s="1">
        <f>IFERROR(__xludf.DUMMYFUNCTION("""COMPUTED_VALUE"""),55.0)</f>
        <v>55</v>
      </c>
      <c r="K121" s="1">
        <v>8.0</v>
      </c>
      <c r="L121" s="1">
        <f>IFERROR(__xludf.DUMMYFUNCTION("""COMPUTED_VALUE"""),32.0)</f>
        <v>32</v>
      </c>
    </row>
    <row r="122">
      <c r="A122" s="1">
        <v>1275997.0</v>
      </c>
      <c r="B122" s="1" t="s">
        <v>326</v>
      </c>
      <c r="C122" s="1" t="s">
        <v>218</v>
      </c>
      <c r="D122" s="1" t="s">
        <v>239</v>
      </c>
      <c r="E122" s="1" t="s">
        <v>327</v>
      </c>
      <c r="F122" s="1" t="s">
        <v>16</v>
      </c>
      <c r="G122" s="1" t="s">
        <v>27</v>
      </c>
      <c r="H122" s="1" t="s">
        <v>18</v>
      </c>
      <c r="I122" s="1" t="s">
        <v>59</v>
      </c>
      <c r="J122" s="1">
        <f>IFERROR(__xludf.DUMMYFUNCTION("""COMPUTED_VALUE"""),327.0)</f>
        <v>327</v>
      </c>
      <c r="K122" s="1">
        <v>84.0</v>
      </c>
      <c r="L122" s="1">
        <f>IFERROR(__xludf.DUMMYFUNCTION("""COMPUTED_VALUE"""),158.0)</f>
        <v>158</v>
      </c>
    </row>
    <row r="123">
      <c r="A123" s="1">
        <v>1275141.0</v>
      </c>
      <c r="B123" s="1" t="s">
        <v>328</v>
      </c>
      <c r="C123" s="1" t="s">
        <v>218</v>
      </c>
      <c r="D123" s="1" t="s">
        <v>239</v>
      </c>
      <c r="E123" s="1" t="s">
        <v>329</v>
      </c>
      <c r="F123" s="1" t="s">
        <v>16</v>
      </c>
      <c r="G123" s="1" t="s">
        <v>17</v>
      </c>
      <c r="H123" s="1" t="s">
        <v>18</v>
      </c>
      <c r="I123" s="1" t="s">
        <v>95</v>
      </c>
      <c r="J123" s="1">
        <f>IFERROR(__xludf.DUMMYFUNCTION("""COMPUTED_VALUE"""),100.0)</f>
        <v>100</v>
      </c>
      <c r="K123" s="1">
        <v>28.0</v>
      </c>
      <c r="L123" s="1">
        <f>IFERROR(__xludf.DUMMYFUNCTION("""COMPUTED_VALUE"""),78.0)</f>
        <v>78</v>
      </c>
    </row>
    <row r="124">
      <c r="A124" s="1">
        <v>1207068.0</v>
      </c>
      <c r="B124" s="1" t="s">
        <v>330</v>
      </c>
      <c r="C124" s="1" t="s">
        <v>218</v>
      </c>
      <c r="D124" s="1" t="s">
        <v>260</v>
      </c>
      <c r="E124" s="1" t="s">
        <v>331</v>
      </c>
      <c r="F124" s="1" t="s">
        <v>16</v>
      </c>
      <c r="G124" s="1" t="s">
        <v>23</v>
      </c>
      <c r="H124" s="1" t="s">
        <v>18</v>
      </c>
      <c r="I124" s="1" t="s">
        <v>19</v>
      </c>
      <c r="J124" s="1">
        <f>IFERROR(__xludf.DUMMYFUNCTION("""COMPUTED_VALUE"""),50.0)</f>
        <v>50</v>
      </c>
      <c r="K124" s="1">
        <v>19.0</v>
      </c>
      <c r="L124" s="1">
        <f>IFERROR(__xludf.DUMMYFUNCTION("""COMPUTED_VALUE"""),9.0)</f>
        <v>9</v>
      </c>
    </row>
    <row r="125">
      <c r="A125" s="1">
        <v>1203044.0</v>
      </c>
      <c r="B125" s="1" t="s">
        <v>332</v>
      </c>
      <c r="C125" s="1" t="s">
        <v>218</v>
      </c>
      <c r="D125" s="1" t="s">
        <v>333</v>
      </c>
      <c r="E125" s="1" t="s">
        <v>334</v>
      </c>
      <c r="F125" s="1" t="s">
        <v>16</v>
      </c>
      <c r="G125" s="1" t="s">
        <v>17</v>
      </c>
      <c r="H125" s="1" t="s">
        <v>18</v>
      </c>
      <c r="I125" s="1" t="s">
        <v>40</v>
      </c>
      <c r="J125" s="1">
        <f>IFERROR(__xludf.DUMMYFUNCTION("""COMPUTED_VALUE"""),104.0)</f>
        <v>104</v>
      </c>
      <c r="K125" s="1">
        <v>58.0</v>
      </c>
      <c r="L125" s="1">
        <f>IFERROR(__xludf.DUMMYFUNCTION("""COMPUTED_VALUE"""),479.0)</f>
        <v>479</v>
      </c>
    </row>
    <row r="126">
      <c r="A126" s="1">
        <v>1275921.0</v>
      </c>
      <c r="B126" s="1" t="s">
        <v>335</v>
      </c>
      <c r="C126" s="1" t="s">
        <v>218</v>
      </c>
      <c r="D126" s="1" t="s">
        <v>239</v>
      </c>
      <c r="E126" s="1" t="s">
        <v>336</v>
      </c>
      <c r="F126" s="1" t="s">
        <v>255</v>
      </c>
      <c r="G126" s="1" t="s">
        <v>17</v>
      </c>
      <c r="H126" s="1" t="s">
        <v>18</v>
      </c>
      <c r="I126" s="1" t="s">
        <v>44</v>
      </c>
      <c r="J126" s="1">
        <f>IFERROR(__xludf.DUMMYFUNCTION("""COMPUTED_VALUE"""),28.0)</f>
        <v>28</v>
      </c>
      <c r="K126" s="1">
        <v>35.0</v>
      </c>
      <c r="L126" s="1">
        <f>IFERROR(__xludf.DUMMYFUNCTION("""COMPUTED_VALUE"""),91.0)</f>
        <v>91</v>
      </c>
    </row>
    <row r="127">
      <c r="A127" s="1">
        <v>1275783.0</v>
      </c>
      <c r="B127" s="1" t="s">
        <v>337</v>
      </c>
      <c r="C127" s="1" t="s">
        <v>218</v>
      </c>
      <c r="D127" s="1" t="s">
        <v>239</v>
      </c>
      <c r="E127" s="1" t="s">
        <v>338</v>
      </c>
      <c r="F127" s="1" t="s">
        <v>55</v>
      </c>
      <c r="G127" s="1" t="s">
        <v>17</v>
      </c>
      <c r="H127" s="1" t="s">
        <v>18</v>
      </c>
      <c r="I127" s="1" t="s">
        <v>44</v>
      </c>
      <c r="J127" s="1">
        <f>IFERROR(__xludf.DUMMYFUNCTION("""COMPUTED_VALUE"""),57.0)</f>
        <v>57</v>
      </c>
      <c r="K127" s="1">
        <v>18.0</v>
      </c>
      <c r="L127" s="1">
        <f>IFERROR(__xludf.DUMMYFUNCTION("""COMPUTED_VALUE"""),25.0)</f>
        <v>25</v>
      </c>
    </row>
    <row r="128">
      <c r="A128" s="1">
        <v>1212177.0</v>
      </c>
      <c r="B128" s="1" t="s">
        <v>339</v>
      </c>
      <c r="C128" s="1" t="s">
        <v>218</v>
      </c>
      <c r="D128" s="1" t="s">
        <v>225</v>
      </c>
      <c r="E128" s="1" t="s">
        <v>340</v>
      </c>
      <c r="F128" s="1" t="s">
        <v>16</v>
      </c>
      <c r="G128" s="1" t="s">
        <v>17</v>
      </c>
      <c r="H128" s="1" t="s">
        <v>18</v>
      </c>
      <c r="I128" s="1" t="s">
        <v>44</v>
      </c>
      <c r="J128" s="1">
        <f>IFERROR(__xludf.DUMMYFUNCTION("""COMPUTED_VALUE"""),100.0)</f>
        <v>100</v>
      </c>
      <c r="K128" s="1">
        <v>36.0</v>
      </c>
      <c r="L128" s="1">
        <f>IFERROR(__xludf.DUMMYFUNCTION("""COMPUTED_VALUE"""),38.0)</f>
        <v>38</v>
      </c>
    </row>
    <row r="129">
      <c r="A129" s="1">
        <v>1209076.0</v>
      </c>
      <c r="B129" s="1" t="s">
        <v>341</v>
      </c>
      <c r="C129" s="1" t="s">
        <v>218</v>
      </c>
      <c r="D129" s="1" t="s">
        <v>279</v>
      </c>
      <c r="E129" s="1" t="s">
        <v>342</v>
      </c>
      <c r="F129" s="1" t="s">
        <v>16</v>
      </c>
      <c r="G129" s="1" t="s">
        <v>17</v>
      </c>
      <c r="H129" s="1" t="s">
        <v>28</v>
      </c>
      <c r="I129" s="1" t="s">
        <v>40</v>
      </c>
      <c r="J129" s="1">
        <f>IFERROR(__xludf.DUMMYFUNCTION("""COMPUTED_VALUE"""),105.0)</f>
        <v>105</v>
      </c>
      <c r="K129" s="1">
        <v>30.0</v>
      </c>
      <c r="L129" s="1">
        <f>IFERROR(__xludf.DUMMYFUNCTION("""COMPUTED_VALUE"""),186.0)</f>
        <v>186</v>
      </c>
    </row>
    <row r="130">
      <c r="A130" s="1">
        <v>1218125.0</v>
      </c>
      <c r="B130" s="1" t="s">
        <v>343</v>
      </c>
      <c r="C130" s="1" t="s">
        <v>218</v>
      </c>
      <c r="D130" s="1" t="s">
        <v>344</v>
      </c>
      <c r="E130" s="1" t="s">
        <v>345</v>
      </c>
      <c r="F130" s="1" t="s">
        <v>16</v>
      </c>
      <c r="G130" s="1" t="s">
        <v>17</v>
      </c>
      <c r="H130" s="1" t="s">
        <v>28</v>
      </c>
      <c r="I130" s="1" t="s">
        <v>40</v>
      </c>
      <c r="J130" s="1">
        <f>IFERROR(__xludf.DUMMYFUNCTION("""COMPUTED_VALUE"""),148.0)</f>
        <v>148</v>
      </c>
      <c r="K130" s="1">
        <v>36.0</v>
      </c>
      <c r="L130" s="1">
        <f>IFERROR(__xludf.DUMMYFUNCTION("""COMPUTED_VALUE"""),317.0)</f>
        <v>317</v>
      </c>
    </row>
    <row r="131">
      <c r="A131" s="1">
        <v>1212186.0</v>
      </c>
      <c r="B131" s="1" t="s">
        <v>346</v>
      </c>
      <c r="C131" s="1" t="s">
        <v>218</v>
      </c>
      <c r="D131" s="1" t="s">
        <v>225</v>
      </c>
      <c r="E131" s="1" t="s">
        <v>347</v>
      </c>
      <c r="F131" s="1" t="s">
        <v>55</v>
      </c>
      <c r="G131" s="1" t="s">
        <v>17</v>
      </c>
      <c r="H131" s="1" t="s">
        <v>18</v>
      </c>
      <c r="I131" s="1" t="s">
        <v>44</v>
      </c>
      <c r="J131" s="1">
        <f>IFERROR(__xludf.DUMMYFUNCTION("""COMPUTED_VALUE"""),37.0)</f>
        <v>37</v>
      </c>
      <c r="K131" s="1">
        <v>21.0</v>
      </c>
      <c r="L131" s="1">
        <f>IFERROR(__xludf.DUMMYFUNCTION("""COMPUTED_VALUE"""),26.0)</f>
        <v>26</v>
      </c>
    </row>
    <row r="132">
      <c r="A132" s="1">
        <v>1275147.0</v>
      </c>
      <c r="B132" s="1" t="s">
        <v>348</v>
      </c>
      <c r="C132" s="1" t="s">
        <v>218</v>
      </c>
      <c r="D132" s="1" t="s">
        <v>225</v>
      </c>
      <c r="E132" s="1" t="s">
        <v>349</v>
      </c>
      <c r="F132" s="1" t="s">
        <v>16</v>
      </c>
      <c r="G132" s="1" t="s">
        <v>17</v>
      </c>
      <c r="H132" s="1" t="s">
        <v>18</v>
      </c>
      <c r="I132" s="1" t="s">
        <v>59</v>
      </c>
      <c r="J132" s="1">
        <f>IFERROR(__xludf.DUMMYFUNCTION("""COMPUTED_VALUE"""),127.0)</f>
        <v>127</v>
      </c>
      <c r="K132" s="1">
        <v>25.0</v>
      </c>
      <c r="L132" s="1">
        <f>IFERROR(__xludf.DUMMYFUNCTION("""COMPUTED_VALUE"""),29.0)</f>
        <v>29</v>
      </c>
    </row>
    <row r="133">
      <c r="A133" s="1">
        <v>1273033.0</v>
      </c>
      <c r="B133" s="1" t="s">
        <v>350</v>
      </c>
      <c r="C133" s="1" t="s">
        <v>218</v>
      </c>
      <c r="D133" s="1" t="s">
        <v>231</v>
      </c>
      <c r="E133" s="1" t="s">
        <v>351</v>
      </c>
      <c r="F133" s="1" t="s">
        <v>16</v>
      </c>
      <c r="G133" s="1" t="s">
        <v>17</v>
      </c>
      <c r="H133" s="1" t="s">
        <v>18</v>
      </c>
      <c r="I133" s="1" t="s">
        <v>249</v>
      </c>
      <c r="J133" s="1">
        <f>IFERROR(__xludf.DUMMYFUNCTION("""COMPUTED_VALUE"""),123.0)</f>
        <v>123</v>
      </c>
      <c r="K133" s="1">
        <v>30.0</v>
      </c>
      <c r="L133" s="1">
        <f>IFERROR(__xludf.DUMMYFUNCTION("""COMPUTED_VALUE"""),350.0)</f>
        <v>350</v>
      </c>
    </row>
    <row r="134">
      <c r="A134" s="1">
        <v>1275911.0</v>
      </c>
      <c r="B134" s="1" t="s">
        <v>352</v>
      </c>
      <c r="C134" s="1" t="s">
        <v>218</v>
      </c>
      <c r="D134" s="1" t="s">
        <v>239</v>
      </c>
      <c r="E134" s="1" t="s">
        <v>353</v>
      </c>
      <c r="F134" s="1" t="s">
        <v>16</v>
      </c>
      <c r="G134" s="1" t="s">
        <v>27</v>
      </c>
      <c r="H134" s="1" t="s">
        <v>18</v>
      </c>
      <c r="I134" s="1" t="s">
        <v>44</v>
      </c>
      <c r="J134" s="1">
        <f>IFERROR(__xludf.DUMMYFUNCTION("""COMPUTED_VALUE"""),255.0)</f>
        <v>255</v>
      </c>
      <c r="K134" s="1">
        <v>134.0</v>
      </c>
      <c r="L134" s="1">
        <f>IFERROR(__xludf.DUMMYFUNCTION("""COMPUTED_VALUE"""),141.0)</f>
        <v>141</v>
      </c>
    </row>
    <row r="135">
      <c r="A135" s="1">
        <v>1275035.0</v>
      </c>
      <c r="B135" s="1" t="s">
        <v>354</v>
      </c>
      <c r="C135" s="1" t="s">
        <v>218</v>
      </c>
      <c r="D135" s="1" t="s">
        <v>239</v>
      </c>
      <c r="E135" s="1" t="s">
        <v>355</v>
      </c>
      <c r="F135" s="1" t="s">
        <v>16</v>
      </c>
      <c r="G135" s="1" t="s">
        <v>27</v>
      </c>
      <c r="H135" s="1" t="s">
        <v>33</v>
      </c>
      <c r="I135" s="1" t="s">
        <v>74</v>
      </c>
      <c r="J135" s="1">
        <f>IFERROR(__xludf.DUMMYFUNCTION("""COMPUTED_VALUE"""),200.0)</f>
        <v>200</v>
      </c>
      <c r="K135" s="1">
        <v>61.0</v>
      </c>
      <c r="L135" s="1">
        <f>IFERROR(__xludf.DUMMYFUNCTION("""COMPUTED_VALUE"""),476.0)</f>
        <v>476</v>
      </c>
    </row>
    <row r="136">
      <c r="A136" s="1">
        <v>1212197.0</v>
      </c>
      <c r="B136" s="1" t="s">
        <v>356</v>
      </c>
      <c r="C136" s="1" t="s">
        <v>218</v>
      </c>
      <c r="D136" s="1" t="s">
        <v>225</v>
      </c>
      <c r="E136" s="1" t="s">
        <v>357</v>
      </c>
      <c r="F136" s="1" t="s">
        <v>55</v>
      </c>
      <c r="G136" s="1" t="s">
        <v>17</v>
      </c>
      <c r="H136" s="1" t="s">
        <v>18</v>
      </c>
      <c r="I136" s="1" t="s">
        <v>19</v>
      </c>
      <c r="J136" s="1">
        <f>IFERROR(__xludf.DUMMYFUNCTION("""COMPUTED_VALUE"""),30.0)</f>
        <v>30</v>
      </c>
      <c r="K136" s="1">
        <v>16.0</v>
      </c>
      <c r="L136" s="1">
        <f>IFERROR(__xludf.DUMMYFUNCTION("""COMPUTED_VALUE"""),182.0)</f>
        <v>182</v>
      </c>
    </row>
    <row r="137">
      <c r="A137" s="1">
        <v>1219003.0</v>
      </c>
      <c r="B137" s="1" t="s">
        <v>358</v>
      </c>
      <c r="C137" s="1" t="s">
        <v>218</v>
      </c>
      <c r="D137" s="1" t="s">
        <v>309</v>
      </c>
      <c r="E137" s="1" t="s">
        <v>359</v>
      </c>
      <c r="F137" s="1" t="s">
        <v>16</v>
      </c>
      <c r="G137" s="1" t="s">
        <v>17</v>
      </c>
      <c r="H137" s="1" t="s">
        <v>28</v>
      </c>
      <c r="I137" s="1" t="s">
        <v>40</v>
      </c>
      <c r="J137" s="1">
        <f>IFERROR(__xludf.DUMMYFUNCTION("""COMPUTED_VALUE"""),104.0)</f>
        <v>104</v>
      </c>
      <c r="K137" s="1">
        <v>24.0</v>
      </c>
      <c r="L137" s="1">
        <f>IFERROR(__xludf.DUMMYFUNCTION("""COMPUTED_VALUE"""),344.0)</f>
        <v>344</v>
      </c>
    </row>
    <row r="138">
      <c r="A138" s="1">
        <v>1207067.0</v>
      </c>
      <c r="B138" s="1" t="s">
        <v>360</v>
      </c>
      <c r="C138" s="1" t="s">
        <v>218</v>
      </c>
      <c r="D138" s="1" t="s">
        <v>260</v>
      </c>
      <c r="E138" s="1" t="s">
        <v>361</v>
      </c>
      <c r="F138" s="1" t="s">
        <v>16</v>
      </c>
      <c r="G138" s="1" t="s">
        <v>17</v>
      </c>
      <c r="H138" s="1" t="s">
        <v>18</v>
      </c>
      <c r="I138" s="1" t="s">
        <v>44</v>
      </c>
      <c r="J138" s="1">
        <f>IFERROR(__xludf.DUMMYFUNCTION("""COMPUTED_VALUE"""),100.0)</f>
        <v>100</v>
      </c>
      <c r="K138" s="1">
        <v>23.0</v>
      </c>
      <c r="L138" s="1">
        <f>IFERROR(__xludf.DUMMYFUNCTION("""COMPUTED_VALUE"""),93.0)</f>
        <v>93</v>
      </c>
    </row>
    <row r="139">
      <c r="A139" s="1">
        <v>1275874.0</v>
      </c>
      <c r="B139" s="1" t="s">
        <v>362</v>
      </c>
      <c r="C139" s="1" t="s">
        <v>218</v>
      </c>
      <c r="D139" s="1" t="s">
        <v>239</v>
      </c>
      <c r="E139" s="1" t="s">
        <v>363</v>
      </c>
      <c r="F139" s="1" t="s">
        <v>32</v>
      </c>
      <c r="G139" s="1" t="s">
        <v>27</v>
      </c>
      <c r="H139" s="1" t="s">
        <v>18</v>
      </c>
      <c r="I139" s="1" t="s">
        <v>34</v>
      </c>
      <c r="J139" s="1">
        <f>IFERROR(__xludf.DUMMYFUNCTION("""COMPUTED_VALUE"""),12.0)</f>
        <v>12</v>
      </c>
      <c r="K139" s="1">
        <v>16.0</v>
      </c>
      <c r="L139" s="1">
        <f>IFERROR(__xludf.DUMMYFUNCTION("""COMPUTED_VALUE"""),65.0)</f>
        <v>65</v>
      </c>
    </row>
    <row r="140">
      <c r="A140" s="1">
        <v>1275622.0</v>
      </c>
      <c r="B140" s="1" t="s">
        <v>364</v>
      </c>
      <c r="C140" s="1" t="s">
        <v>218</v>
      </c>
      <c r="D140" s="1" t="s">
        <v>239</v>
      </c>
      <c r="E140" s="1" t="s">
        <v>365</v>
      </c>
      <c r="F140" s="1" t="s">
        <v>16</v>
      </c>
      <c r="G140" s="1" t="s">
        <v>27</v>
      </c>
      <c r="H140" s="1" t="s">
        <v>18</v>
      </c>
      <c r="I140" s="1" t="s">
        <v>44</v>
      </c>
      <c r="J140" s="1">
        <f>IFERROR(__xludf.DUMMYFUNCTION("""COMPUTED_VALUE"""),224.0)</f>
        <v>224</v>
      </c>
      <c r="K140" s="1">
        <v>98.0</v>
      </c>
      <c r="L140" s="1">
        <f>IFERROR(__xludf.DUMMYFUNCTION("""COMPUTED_VALUE"""),458.0)</f>
        <v>458</v>
      </c>
    </row>
    <row r="141">
      <c r="A141" s="1">
        <v>1207052.0</v>
      </c>
      <c r="B141" s="1" t="s">
        <v>366</v>
      </c>
      <c r="C141" s="1" t="s">
        <v>218</v>
      </c>
      <c r="D141" s="1" t="s">
        <v>367</v>
      </c>
      <c r="E141" s="1" t="s">
        <v>368</v>
      </c>
      <c r="F141" s="1" t="s">
        <v>16</v>
      </c>
      <c r="G141" s="1" t="s">
        <v>23</v>
      </c>
      <c r="H141" s="1" t="s">
        <v>18</v>
      </c>
      <c r="I141" s="1" t="s">
        <v>113</v>
      </c>
      <c r="J141" s="1">
        <f>IFERROR(__xludf.DUMMYFUNCTION("""COMPUTED_VALUE"""),58.0)</f>
        <v>58</v>
      </c>
      <c r="K141" s="1">
        <v>24.0</v>
      </c>
      <c r="L141" s="1">
        <f>IFERROR(__xludf.DUMMYFUNCTION("""COMPUTED_VALUE"""),85.0)</f>
        <v>85</v>
      </c>
    </row>
    <row r="142">
      <c r="A142" s="1">
        <v>1212200.0</v>
      </c>
      <c r="B142" s="1" t="s">
        <v>369</v>
      </c>
      <c r="C142" s="1" t="s">
        <v>218</v>
      </c>
      <c r="D142" s="1" t="s">
        <v>225</v>
      </c>
      <c r="E142" s="1" t="s">
        <v>370</v>
      </c>
      <c r="F142" s="1" t="s">
        <v>16</v>
      </c>
      <c r="G142" s="1" t="s">
        <v>23</v>
      </c>
      <c r="H142" s="1" t="s">
        <v>18</v>
      </c>
      <c r="I142" s="1" t="s">
        <v>163</v>
      </c>
      <c r="J142" s="1">
        <f>IFERROR(__xludf.DUMMYFUNCTION("""COMPUTED_VALUE"""),60.0)</f>
        <v>60</v>
      </c>
      <c r="K142" s="1">
        <v>14.0</v>
      </c>
      <c r="L142" s="1">
        <f>IFERROR(__xludf.DUMMYFUNCTION("""COMPUTED_VALUE"""),182.0)</f>
        <v>182</v>
      </c>
    </row>
    <row r="143">
      <c r="A143" s="1">
        <v>1274058.0</v>
      </c>
      <c r="B143" s="1" t="s">
        <v>371</v>
      </c>
      <c r="C143" s="1" t="s">
        <v>218</v>
      </c>
      <c r="D143" s="1" t="s">
        <v>300</v>
      </c>
      <c r="E143" s="1" t="s">
        <v>372</v>
      </c>
      <c r="F143" s="1" t="s">
        <v>16</v>
      </c>
      <c r="G143" s="1" t="s">
        <v>17</v>
      </c>
      <c r="H143" s="1" t="s">
        <v>33</v>
      </c>
      <c r="I143" s="1" t="s">
        <v>65</v>
      </c>
      <c r="J143" s="1">
        <f>IFERROR(__xludf.DUMMYFUNCTION("""COMPUTED_VALUE"""),137.0)</f>
        <v>137</v>
      </c>
      <c r="K143" s="1">
        <v>36.0</v>
      </c>
      <c r="L143" s="1">
        <f>IFERROR(__xludf.DUMMYFUNCTION("""COMPUTED_VALUE"""),354.0)</f>
        <v>354</v>
      </c>
    </row>
    <row r="144">
      <c r="A144" s="1">
        <v>1276077.0</v>
      </c>
      <c r="B144" s="1" t="s">
        <v>373</v>
      </c>
      <c r="C144" s="1" t="s">
        <v>218</v>
      </c>
      <c r="D144" s="1" t="s">
        <v>268</v>
      </c>
      <c r="E144" s="1" t="s">
        <v>374</v>
      </c>
      <c r="F144" s="1" t="s">
        <v>16</v>
      </c>
      <c r="G144" s="1" t="s">
        <v>17</v>
      </c>
      <c r="H144" s="1" t="s">
        <v>18</v>
      </c>
      <c r="I144" s="1" t="s">
        <v>44</v>
      </c>
      <c r="J144" s="1">
        <f>IFERROR(__xludf.DUMMYFUNCTION("""COMPUTED_VALUE"""),132.0)</f>
        <v>132</v>
      </c>
      <c r="K144" s="1">
        <v>29.0</v>
      </c>
      <c r="L144" s="1">
        <f>IFERROR(__xludf.DUMMYFUNCTION("""COMPUTED_VALUE"""),209.0)</f>
        <v>209</v>
      </c>
    </row>
    <row r="145">
      <c r="A145" s="1">
        <v>1273011.0</v>
      </c>
      <c r="B145" s="1" t="s">
        <v>375</v>
      </c>
      <c r="C145" s="1" t="s">
        <v>218</v>
      </c>
      <c r="D145" s="1" t="s">
        <v>231</v>
      </c>
      <c r="E145" s="1" t="s">
        <v>376</v>
      </c>
      <c r="F145" s="1" t="s">
        <v>16</v>
      </c>
      <c r="G145" s="1" t="s">
        <v>27</v>
      </c>
      <c r="H145" s="1" t="s">
        <v>28</v>
      </c>
      <c r="I145" s="1" t="s">
        <v>29</v>
      </c>
      <c r="J145" s="1">
        <f>IFERROR(__xludf.DUMMYFUNCTION("""COMPUTED_VALUE"""),130.0)</f>
        <v>130</v>
      </c>
      <c r="K145" s="1">
        <v>55.0</v>
      </c>
      <c r="L145" s="1">
        <f>IFERROR(__xludf.DUMMYFUNCTION("""COMPUTED_VALUE"""),357.0)</f>
        <v>357</v>
      </c>
    </row>
    <row r="146">
      <c r="A146" s="1">
        <v>1271032.0</v>
      </c>
      <c r="B146" s="1" t="s">
        <v>377</v>
      </c>
      <c r="C146" s="1" t="s">
        <v>218</v>
      </c>
      <c r="D146" s="1" t="s">
        <v>322</v>
      </c>
      <c r="E146" s="1" t="s">
        <v>378</v>
      </c>
      <c r="F146" s="1" t="s">
        <v>16</v>
      </c>
      <c r="G146" s="1" t="s">
        <v>17</v>
      </c>
      <c r="H146" s="1" t="s">
        <v>18</v>
      </c>
      <c r="I146" s="1" t="s">
        <v>44</v>
      </c>
      <c r="J146" s="1">
        <f>IFERROR(__xludf.DUMMYFUNCTION("""COMPUTED_VALUE"""),112.0)</f>
        <v>112</v>
      </c>
      <c r="K146" s="1">
        <v>66.0</v>
      </c>
      <c r="L146" s="1">
        <f>IFERROR(__xludf.DUMMYFUNCTION("""COMPUTED_VALUE"""),215.0)</f>
        <v>215</v>
      </c>
    </row>
    <row r="147">
      <c r="A147" s="1">
        <v>1275163.0</v>
      </c>
      <c r="B147" s="1" t="s">
        <v>379</v>
      </c>
      <c r="C147" s="1" t="s">
        <v>218</v>
      </c>
      <c r="D147" s="1" t="s">
        <v>239</v>
      </c>
      <c r="E147" s="1" t="s">
        <v>380</v>
      </c>
      <c r="F147" s="1" t="s">
        <v>16</v>
      </c>
      <c r="G147" s="1" t="s">
        <v>17</v>
      </c>
      <c r="H147" s="1" t="s">
        <v>18</v>
      </c>
      <c r="I147" s="1" t="s">
        <v>59</v>
      </c>
      <c r="J147" s="1">
        <f>IFERROR(__xludf.DUMMYFUNCTION("""COMPUTED_VALUE"""),102.0)</f>
        <v>102</v>
      </c>
      <c r="K147" s="1">
        <v>64.0</v>
      </c>
      <c r="L147" s="1">
        <f>IFERROR(__xludf.DUMMYFUNCTION("""COMPUTED_VALUE"""),354.0)</f>
        <v>354</v>
      </c>
    </row>
    <row r="148">
      <c r="A148" s="1">
        <v>1275010.0</v>
      </c>
      <c r="B148" s="1" t="s">
        <v>381</v>
      </c>
      <c r="C148" s="1" t="s">
        <v>218</v>
      </c>
      <c r="D148" s="1" t="s">
        <v>239</v>
      </c>
      <c r="E148" s="1" t="s">
        <v>382</v>
      </c>
      <c r="F148" s="1" t="s">
        <v>16</v>
      </c>
      <c r="G148" s="1" t="s">
        <v>23</v>
      </c>
      <c r="H148" s="1" t="s">
        <v>18</v>
      </c>
      <c r="I148" s="1" t="s">
        <v>19</v>
      </c>
      <c r="J148" s="1">
        <f>IFERROR(__xludf.DUMMYFUNCTION("""COMPUTED_VALUE"""),36.0)</f>
        <v>36</v>
      </c>
      <c r="K148" s="1">
        <v>13.0</v>
      </c>
      <c r="L148" s="1">
        <f>IFERROR(__xludf.DUMMYFUNCTION("""COMPUTED_VALUE"""),182.0)</f>
        <v>182</v>
      </c>
    </row>
    <row r="149">
      <c r="A149" s="1">
        <v>1204056.0</v>
      </c>
      <c r="B149" s="1" t="s">
        <v>383</v>
      </c>
      <c r="C149" s="1" t="s">
        <v>218</v>
      </c>
      <c r="D149" s="1" t="s">
        <v>384</v>
      </c>
      <c r="E149" s="1" t="s">
        <v>385</v>
      </c>
      <c r="F149" s="1" t="s">
        <v>16</v>
      </c>
      <c r="G149" s="1" t="s">
        <v>17</v>
      </c>
      <c r="H149" s="1" t="s">
        <v>28</v>
      </c>
      <c r="I149" s="1" t="s">
        <v>40</v>
      </c>
      <c r="J149" s="1">
        <f>IFERROR(__xludf.DUMMYFUNCTION("""COMPUTED_VALUE"""),124.0)</f>
        <v>124</v>
      </c>
      <c r="K149" s="1">
        <v>38.0</v>
      </c>
      <c r="L149" s="1">
        <f>IFERROR(__xludf.DUMMYFUNCTION("""COMPUTED_VALUE"""),389.0)</f>
        <v>389</v>
      </c>
    </row>
    <row r="150">
      <c r="A150" s="1">
        <v>1212199.0</v>
      </c>
      <c r="B150" s="1" t="s">
        <v>386</v>
      </c>
      <c r="C150" s="1" t="s">
        <v>218</v>
      </c>
      <c r="D150" s="1" t="s">
        <v>225</v>
      </c>
      <c r="E150" s="1" t="s">
        <v>387</v>
      </c>
      <c r="F150" s="1" t="s">
        <v>16</v>
      </c>
      <c r="G150" s="1" t="s">
        <v>17</v>
      </c>
      <c r="H150" s="1" t="s">
        <v>18</v>
      </c>
      <c r="I150" s="1" t="s">
        <v>44</v>
      </c>
      <c r="J150" s="1">
        <f>IFERROR(__xludf.DUMMYFUNCTION("""COMPUTED_VALUE"""),101.0)</f>
        <v>101</v>
      </c>
      <c r="K150" s="1">
        <v>27.0</v>
      </c>
      <c r="L150" s="1">
        <f>IFERROR(__xludf.DUMMYFUNCTION("""COMPUTED_VALUE"""),182.0)</f>
        <v>182</v>
      </c>
    </row>
    <row r="151">
      <c r="A151" s="1">
        <v>1218158.0</v>
      </c>
      <c r="B151" s="1" t="s">
        <v>388</v>
      </c>
      <c r="C151" s="1" t="s">
        <v>218</v>
      </c>
      <c r="D151" s="1" t="s">
        <v>225</v>
      </c>
      <c r="E151" s="1" t="s">
        <v>389</v>
      </c>
      <c r="F151" s="1" t="s">
        <v>16</v>
      </c>
      <c r="G151" s="1" t="s">
        <v>27</v>
      </c>
      <c r="H151" s="1" t="s">
        <v>18</v>
      </c>
      <c r="I151" s="1" t="s">
        <v>59</v>
      </c>
      <c r="J151" s="1">
        <f>IFERROR(__xludf.DUMMYFUNCTION("""COMPUTED_VALUE"""),403.0)</f>
        <v>403</v>
      </c>
      <c r="K151" s="1">
        <v>67.0</v>
      </c>
      <c r="L151" s="1">
        <f>IFERROR(__xludf.DUMMYFUNCTION("""COMPUTED_VALUE"""),516.0)</f>
        <v>516</v>
      </c>
    </row>
    <row r="152">
      <c r="A152" s="1">
        <v>1211011.0</v>
      </c>
      <c r="B152" s="1" t="s">
        <v>390</v>
      </c>
      <c r="C152" s="1" t="s">
        <v>218</v>
      </c>
      <c r="D152" s="1" t="s">
        <v>286</v>
      </c>
      <c r="E152" s="1" t="s">
        <v>391</v>
      </c>
      <c r="F152" s="1" t="s">
        <v>16</v>
      </c>
      <c r="G152" s="1" t="s">
        <v>17</v>
      </c>
      <c r="H152" s="1" t="s">
        <v>28</v>
      </c>
      <c r="I152" s="1" t="s">
        <v>40</v>
      </c>
      <c r="J152" s="1">
        <f>IFERROR(__xludf.DUMMYFUNCTION("""COMPUTED_VALUE"""),110.0)</f>
        <v>110</v>
      </c>
      <c r="K152" s="1">
        <v>31.0</v>
      </c>
      <c r="L152" s="1">
        <f>IFERROR(__xludf.DUMMYFUNCTION("""COMPUTED_VALUE"""),360.0)</f>
        <v>360</v>
      </c>
    </row>
    <row r="153">
      <c r="A153" s="1">
        <v>1212067.0</v>
      </c>
      <c r="B153" s="1" t="s">
        <v>392</v>
      </c>
      <c r="C153" s="1" t="s">
        <v>218</v>
      </c>
      <c r="D153" s="1" t="s">
        <v>225</v>
      </c>
      <c r="E153" s="1" t="s">
        <v>393</v>
      </c>
      <c r="F153" s="1" t="s">
        <v>16</v>
      </c>
      <c r="G153" s="1" t="s">
        <v>23</v>
      </c>
      <c r="H153" s="1" t="s">
        <v>18</v>
      </c>
      <c r="I153" s="1" t="s">
        <v>59</v>
      </c>
      <c r="J153" s="1">
        <f>IFERROR(__xludf.DUMMYFUNCTION("""COMPUTED_VALUE"""),58.0)</f>
        <v>58</v>
      </c>
      <c r="K153" s="1">
        <v>18.0</v>
      </c>
      <c r="L153" s="1">
        <f>IFERROR(__xludf.DUMMYFUNCTION("""COMPUTED_VALUE"""),39.0)</f>
        <v>39</v>
      </c>
    </row>
    <row r="154">
      <c r="A154" s="1">
        <v>1213013.0</v>
      </c>
      <c r="B154" s="1" t="s">
        <v>394</v>
      </c>
      <c r="C154" s="1" t="s">
        <v>218</v>
      </c>
      <c r="D154" s="1" t="s">
        <v>222</v>
      </c>
      <c r="E154" s="1" t="s">
        <v>395</v>
      </c>
      <c r="F154" s="1" t="s">
        <v>16</v>
      </c>
      <c r="G154" s="1" t="s">
        <v>17</v>
      </c>
      <c r="H154" s="1" t="s">
        <v>28</v>
      </c>
      <c r="I154" s="1" t="s">
        <v>40</v>
      </c>
      <c r="J154" s="1">
        <f>IFERROR(__xludf.DUMMYFUNCTION("""COMPUTED_VALUE"""),120.0)</f>
        <v>120</v>
      </c>
      <c r="K154" s="1">
        <v>33.0</v>
      </c>
      <c r="L154" s="1">
        <f>IFERROR(__xludf.DUMMYFUNCTION("""COMPUTED_VALUE"""),261.0)</f>
        <v>261</v>
      </c>
    </row>
    <row r="155">
      <c r="A155" s="1">
        <v>1212171.0</v>
      </c>
      <c r="B155" s="1" t="s">
        <v>396</v>
      </c>
      <c r="C155" s="1" t="s">
        <v>218</v>
      </c>
      <c r="D155" s="1" t="s">
        <v>225</v>
      </c>
      <c r="E155" s="1" t="s">
        <v>397</v>
      </c>
      <c r="F155" s="1" t="s">
        <v>16</v>
      </c>
      <c r="G155" s="1" t="s">
        <v>17</v>
      </c>
      <c r="H155" s="1" t="s">
        <v>33</v>
      </c>
      <c r="I155" s="1" t="s">
        <v>59</v>
      </c>
      <c r="J155" s="1">
        <f>IFERROR(__xludf.DUMMYFUNCTION("""COMPUTED_VALUE"""),107.0)</f>
        <v>107</v>
      </c>
      <c r="K155" s="1">
        <v>22.0</v>
      </c>
      <c r="L155" s="1">
        <f>IFERROR(__xludf.DUMMYFUNCTION("""COMPUTED_VALUE"""),29.0)</f>
        <v>29</v>
      </c>
    </row>
    <row r="156">
      <c r="A156" s="1">
        <v>1275923.0</v>
      </c>
      <c r="B156" s="1" t="s">
        <v>398</v>
      </c>
      <c r="C156" s="1" t="s">
        <v>218</v>
      </c>
      <c r="D156" s="1" t="s">
        <v>239</v>
      </c>
      <c r="E156" s="1" t="s">
        <v>399</v>
      </c>
      <c r="F156" s="1" t="s">
        <v>16</v>
      </c>
      <c r="G156" s="1" t="s">
        <v>17</v>
      </c>
      <c r="H156" s="1" t="s">
        <v>18</v>
      </c>
      <c r="I156" s="1" t="s">
        <v>19</v>
      </c>
      <c r="J156" s="1">
        <f>IFERROR(__xludf.DUMMYFUNCTION("""COMPUTED_VALUE"""),200.0)</f>
        <v>200</v>
      </c>
      <c r="K156" s="1">
        <v>28.0</v>
      </c>
      <c r="L156" s="1">
        <f>IFERROR(__xludf.DUMMYFUNCTION("""COMPUTED_VALUE"""),146.0)</f>
        <v>146</v>
      </c>
    </row>
    <row r="157">
      <c r="A157" s="1">
        <v>1275050.0</v>
      </c>
      <c r="B157" s="1" t="s">
        <v>400</v>
      </c>
      <c r="C157" s="1" t="s">
        <v>218</v>
      </c>
      <c r="D157" s="1" t="s">
        <v>239</v>
      </c>
      <c r="E157" s="1" t="s">
        <v>401</v>
      </c>
      <c r="F157" s="1" t="s">
        <v>16</v>
      </c>
      <c r="G157" s="1" t="s">
        <v>23</v>
      </c>
      <c r="H157" s="1" t="s">
        <v>18</v>
      </c>
      <c r="I157" s="1" t="s">
        <v>59</v>
      </c>
      <c r="J157" s="1">
        <f>IFERROR(__xludf.DUMMYFUNCTION("""COMPUTED_VALUE"""),68.0)</f>
        <v>68</v>
      </c>
      <c r="K157" s="1">
        <v>34.0</v>
      </c>
      <c r="L157" s="1">
        <f>IFERROR(__xludf.DUMMYFUNCTION("""COMPUTED_VALUE"""),255.0)</f>
        <v>255</v>
      </c>
    </row>
    <row r="158">
      <c r="A158" s="1">
        <v>1275899.0</v>
      </c>
      <c r="B158" s="1" t="s">
        <v>402</v>
      </c>
      <c r="C158" s="1" t="s">
        <v>218</v>
      </c>
      <c r="D158" s="1" t="s">
        <v>239</v>
      </c>
      <c r="E158" s="1" t="s">
        <v>403</v>
      </c>
      <c r="F158" s="1" t="s">
        <v>16</v>
      </c>
      <c r="G158" s="1" t="s">
        <v>17</v>
      </c>
      <c r="H158" s="1" t="s">
        <v>18</v>
      </c>
      <c r="I158" s="1" t="s">
        <v>59</v>
      </c>
      <c r="J158" s="1">
        <f>IFERROR(__xludf.DUMMYFUNCTION("""COMPUTED_VALUE"""),106.0)</f>
        <v>106</v>
      </c>
      <c r="K158" s="1">
        <v>27.0</v>
      </c>
      <c r="L158" s="1">
        <f>IFERROR(__xludf.DUMMYFUNCTION("""COMPUTED_VALUE"""),39.0)</f>
        <v>39</v>
      </c>
    </row>
    <row r="159">
      <c r="A159" s="1">
        <v>1201016.0</v>
      </c>
      <c r="B159" s="1" t="s">
        <v>404</v>
      </c>
      <c r="C159" s="1" t="s">
        <v>218</v>
      </c>
      <c r="D159" s="1" t="s">
        <v>405</v>
      </c>
      <c r="E159" s="1" t="s">
        <v>406</v>
      </c>
      <c r="F159" s="1" t="s">
        <v>16</v>
      </c>
      <c r="G159" s="1" t="s">
        <v>17</v>
      </c>
      <c r="H159" s="1" t="s">
        <v>28</v>
      </c>
      <c r="I159" s="1" t="s">
        <v>40</v>
      </c>
      <c r="J159" s="1">
        <f>IFERROR(__xludf.DUMMYFUNCTION("""COMPUTED_VALUE"""),349.0)</f>
        <v>349</v>
      </c>
      <c r="K159" s="1">
        <v>42.0</v>
      </c>
      <c r="L159" s="1">
        <f>IFERROR(__xludf.DUMMYFUNCTION("""COMPUTED_VALUE"""),859.0)</f>
        <v>859</v>
      </c>
    </row>
    <row r="160">
      <c r="A160" s="1">
        <v>1275996.0</v>
      </c>
      <c r="B160" s="1" t="s">
        <v>407</v>
      </c>
      <c r="C160" s="1" t="s">
        <v>218</v>
      </c>
      <c r="D160" s="1" t="s">
        <v>239</v>
      </c>
      <c r="E160" s="1" t="s">
        <v>408</v>
      </c>
      <c r="F160" s="1" t="s">
        <v>16</v>
      </c>
      <c r="G160" s="1" t="s">
        <v>17</v>
      </c>
      <c r="H160" s="1" t="s">
        <v>18</v>
      </c>
      <c r="I160" s="1" t="s">
        <v>59</v>
      </c>
      <c r="J160" s="1">
        <f>IFERROR(__xludf.DUMMYFUNCTION("""COMPUTED_VALUE"""),109.0)</f>
        <v>109</v>
      </c>
      <c r="K160" s="1">
        <v>35.0</v>
      </c>
      <c r="L160" s="1">
        <f>IFERROR(__xludf.DUMMYFUNCTION("""COMPUTED_VALUE"""),153.0)</f>
        <v>153</v>
      </c>
    </row>
    <row r="161">
      <c r="A161" s="1">
        <v>1275655.0</v>
      </c>
      <c r="B161" s="1" t="s">
        <v>409</v>
      </c>
      <c r="C161" s="1" t="s">
        <v>218</v>
      </c>
      <c r="D161" s="1" t="s">
        <v>239</v>
      </c>
      <c r="E161" s="1" t="s">
        <v>410</v>
      </c>
      <c r="F161" s="1" t="s">
        <v>16</v>
      </c>
      <c r="G161" s="1" t="s">
        <v>150</v>
      </c>
      <c r="H161" s="1" t="s">
        <v>33</v>
      </c>
      <c r="I161" s="1" t="s">
        <v>411</v>
      </c>
      <c r="J161" s="1">
        <f>IFERROR(__xludf.DUMMYFUNCTION("""COMPUTED_VALUE"""),758.0)</f>
        <v>758</v>
      </c>
      <c r="K161" s="1">
        <v>158.0</v>
      </c>
      <c r="L161" s="1">
        <f>IFERROR(__xludf.DUMMYFUNCTION("""COMPUTED_VALUE"""),2489.0)</f>
        <v>2489</v>
      </c>
    </row>
    <row r="162">
      <c r="A162" s="1">
        <v>1273106.0</v>
      </c>
      <c r="B162" s="1" t="s">
        <v>412</v>
      </c>
      <c r="C162" s="1" t="s">
        <v>218</v>
      </c>
      <c r="D162" s="1" t="s">
        <v>231</v>
      </c>
      <c r="E162" s="1" t="s">
        <v>413</v>
      </c>
      <c r="F162" s="1" t="s">
        <v>16</v>
      </c>
      <c r="G162" s="1" t="s">
        <v>17</v>
      </c>
      <c r="H162" s="1" t="s">
        <v>18</v>
      </c>
      <c r="I162" s="1" t="s">
        <v>163</v>
      </c>
      <c r="J162" s="1">
        <f>IFERROR(__xludf.DUMMYFUNCTION("""COMPUTED_VALUE"""),101.0)</f>
        <v>101</v>
      </c>
      <c r="K162" s="1">
        <v>20.0</v>
      </c>
      <c r="L162" s="1">
        <f>IFERROR(__xludf.DUMMYFUNCTION("""COMPUTED_VALUE"""),151.0)</f>
        <v>151</v>
      </c>
    </row>
    <row r="163">
      <c r="A163" s="1">
        <v>1207069.0</v>
      </c>
      <c r="B163" s="1" t="s">
        <v>414</v>
      </c>
      <c r="C163" s="1" t="s">
        <v>218</v>
      </c>
      <c r="D163" s="1" t="s">
        <v>260</v>
      </c>
      <c r="E163" s="1" t="s">
        <v>415</v>
      </c>
      <c r="F163" s="1" t="s">
        <v>16</v>
      </c>
      <c r="G163" s="1" t="s">
        <v>23</v>
      </c>
      <c r="H163" s="1" t="s">
        <v>18</v>
      </c>
      <c r="I163" s="1" t="s">
        <v>44</v>
      </c>
      <c r="J163" s="1">
        <f>IFERROR(__xludf.DUMMYFUNCTION("""COMPUTED_VALUE"""),33.0)</f>
        <v>33</v>
      </c>
      <c r="K163" s="1">
        <v>12.0</v>
      </c>
      <c r="L163" s="1">
        <f>IFERROR(__xludf.DUMMYFUNCTION("""COMPUTED_VALUE"""),3.0)</f>
        <v>3</v>
      </c>
    </row>
    <row r="164">
      <c r="A164" s="1">
        <v>1208020.0</v>
      </c>
      <c r="B164" s="1" t="s">
        <v>416</v>
      </c>
      <c r="C164" s="1" t="s">
        <v>218</v>
      </c>
      <c r="D164" s="1" t="s">
        <v>228</v>
      </c>
      <c r="E164" s="1" t="s">
        <v>417</v>
      </c>
      <c r="F164" s="1" t="s">
        <v>16</v>
      </c>
      <c r="G164" s="1" t="s">
        <v>23</v>
      </c>
      <c r="H164" s="1" t="s">
        <v>18</v>
      </c>
      <c r="I164" s="1" t="s">
        <v>19</v>
      </c>
      <c r="J164" s="1">
        <f>IFERROR(__xludf.DUMMYFUNCTION("""COMPUTED_VALUE"""),62.0)</f>
        <v>62</v>
      </c>
      <c r="K164" s="1">
        <v>14.0</v>
      </c>
      <c r="L164" s="1">
        <f>IFERROR(__xludf.DUMMYFUNCTION("""COMPUTED_VALUE"""),40.0)</f>
        <v>40</v>
      </c>
    </row>
    <row r="165">
      <c r="A165" s="1">
        <v>1223018.0</v>
      </c>
      <c r="B165" s="1" t="s">
        <v>418</v>
      </c>
      <c r="C165" s="1" t="s">
        <v>218</v>
      </c>
      <c r="D165" s="1" t="s">
        <v>419</v>
      </c>
      <c r="E165" s="1" t="s">
        <v>420</v>
      </c>
      <c r="F165" s="1" t="s">
        <v>16</v>
      </c>
      <c r="G165" s="1" t="s">
        <v>23</v>
      </c>
      <c r="H165" s="1" t="s">
        <v>18</v>
      </c>
      <c r="I165" s="1" t="s">
        <v>19</v>
      </c>
      <c r="J165" s="1">
        <f>IFERROR(__xludf.DUMMYFUNCTION("""COMPUTED_VALUE"""),56.0)</f>
        <v>56</v>
      </c>
      <c r="K165" s="1">
        <v>22.0</v>
      </c>
      <c r="L165" s="1">
        <f>IFERROR(__xludf.DUMMYFUNCTION("""COMPUTED_VALUE"""),182.0)</f>
        <v>182</v>
      </c>
    </row>
    <row r="166">
      <c r="A166" s="1">
        <v>1218025.0</v>
      </c>
      <c r="B166" s="1" t="s">
        <v>421</v>
      </c>
      <c r="C166" s="1" t="s">
        <v>218</v>
      </c>
      <c r="D166" s="1" t="s">
        <v>344</v>
      </c>
      <c r="E166" s="1" t="s">
        <v>422</v>
      </c>
      <c r="F166" s="1" t="s">
        <v>16</v>
      </c>
      <c r="G166" s="1" t="s">
        <v>23</v>
      </c>
      <c r="H166" s="1" t="s">
        <v>18</v>
      </c>
      <c r="I166" s="1" t="s">
        <v>44</v>
      </c>
      <c r="J166" s="1">
        <f>IFERROR(__xludf.DUMMYFUNCTION("""COMPUTED_VALUE"""),50.0)</f>
        <v>50</v>
      </c>
      <c r="K166" s="1">
        <v>12.0</v>
      </c>
      <c r="L166" s="1">
        <f>IFERROR(__xludf.DUMMYFUNCTION("""COMPUTED_VALUE"""),11.0)</f>
        <v>11</v>
      </c>
    </row>
    <row r="167">
      <c r="A167" s="1">
        <v>1212184.0</v>
      </c>
      <c r="B167" s="1" t="s">
        <v>423</v>
      </c>
      <c r="C167" s="1" t="s">
        <v>218</v>
      </c>
      <c r="D167" s="1" t="s">
        <v>225</v>
      </c>
      <c r="E167" s="1" t="s">
        <v>424</v>
      </c>
      <c r="F167" s="1" t="s">
        <v>174</v>
      </c>
      <c r="G167" s="1" t="s">
        <v>17</v>
      </c>
      <c r="H167" s="1" t="s">
        <v>18</v>
      </c>
      <c r="I167" s="1" t="s">
        <v>19</v>
      </c>
      <c r="J167" s="1">
        <f>IFERROR(__xludf.DUMMYFUNCTION("""COMPUTED_VALUE"""),65.0)</f>
        <v>65</v>
      </c>
      <c r="K167" s="1">
        <v>15.0</v>
      </c>
      <c r="L167" s="1">
        <f>IFERROR(__xludf.DUMMYFUNCTION("""COMPUTED_VALUE"""),35.0)</f>
        <v>35</v>
      </c>
    </row>
    <row r="168">
      <c r="A168" s="1">
        <v>1273055.0</v>
      </c>
      <c r="B168" s="1" t="s">
        <v>425</v>
      </c>
      <c r="C168" s="1" t="s">
        <v>218</v>
      </c>
      <c r="D168" s="1" t="s">
        <v>231</v>
      </c>
      <c r="E168" s="1" t="s">
        <v>426</v>
      </c>
      <c r="F168" s="1" t="s">
        <v>16</v>
      </c>
      <c r="G168" s="1" t="s">
        <v>27</v>
      </c>
      <c r="H168" s="1" t="s">
        <v>18</v>
      </c>
      <c r="I168" s="1" t="s">
        <v>44</v>
      </c>
      <c r="J168" s="1">
        <f>IFERROR(__xludf.DUMMYFUNCTION("""COMPUTED_VALUE"""),237.0)</f>
        <v>237</v>
      </c>
      <c r="K168" s="1">
        <v>44.0</v>
      </c>
      <c r="L168" s="1">
        <f>IFERROR(__xludf.DUMMYFUNCTION("""COMPUTED_VALUE"""),562.0)</f>
        <v>562</v>
      </c>
    </row>
    <row r="169">
      <c r="A169" s="1">
        <v>1276092.0</v>
      </c>
      <c r="B169" s="1" t="s">
        <v>427</v>
      </c>
      <c r="C169" s="1" t="s">
        <v>218</v>
      </c>
      <c r="D169" s="1" t="s">
        <v>268</v>
      </c>
      <c r="E169" s="1" t="s">
        <v>428</v>
      </c>
      <c r="F169" s="1" t="s">
        <v>55</v>
      </c>
      <c r="G169" s="1" t="s">
        <v>17</v>
      </c>
      <c r="H169" s="1" t="s">
        <v>18</v>
      </c>
      <c r="I169" s="1" t="s">
        <v>19</v>
      </c>
      <c r="J169" s="1">
        <f>IFERROR(__xludf.DUMMYFUNCTION("""COMPUTED_VALUE"""),30.0)</f>
        <v>30</v>
      </c>
      <c r="K169" s="1">
        <v>16.0</v>
      </c>
      <c r="L169" s="1">
        <f>IFERROR(__xludf.DUMMYFUNCTION("""COMPUTED_VALUE"""),182.0)</f>
        <v>182</v>
      </c>
    </row>
    <row r="170">
      <c r="A170" s="1">
        <v>1208060.0</v>
      </c>
      <c r="B170" s="1" t="s">
        <v>429</v>
      </c>
      <c r="C170" s="1" t="s">
        <v>218</v>
      </c>
      <c r="D170" s="1" t="s">
        <v>228</v>
      </c>
      <c r="E170" s="1" t="s">
        <v>430</v>
      </c>
      <c r="F170" s="1" t="s">
        <v>16</v>
      </c>
      <c r="G170" s="1" t="s">
        <v>23</v>
      </c>
      <c r="H170" s="1" t="s">
        <v>18</v>
      </c>
      <c r="I170" s="1" t="s">
        <v>163</v>
      </c>
      <c r="J170" s="1">
        <f>IFERROR(__xludf.DUMMYFUNCTION("""COMPUTED_VALUE"""),50.0)</f>
        <v>50</v>
      </c>
      <c r="K170" s="1">
        <v>18.0</v>
      </c>
      <c r="L170" s="1">
        <f>IFERROR(__xludf.DUMMYFUNCTION("""COMPUTED_VALUE"""),37.0)</f>
        <v>37</v>
      </c>
    </row>
    <row r="171">
      <c r="A171" s="1">
        <v>1275265.0</v>
      </c>
      <c r="B171" s="1" t="s">
        <v>431</v>
      </c>
      <c r="C171" s="1" t="s">
        <v>218</v>
      </c>
      <c r="D171" s="1" t="s">
        <v>239</v>
      </c>
      <c r="E171" s="1" t="s">
        <v>432</v>
      </c>
      <c r="F171" s="1" t="s">
        <v>16</v>
      </c>
      <c r="G171" s="1" t="s">
        <v>17</v>
      </c>
      <c r="H171" s="1" t="s">
        <v>18</v>
      </c>
      <c r="I171" s="1" t="s">
        <v>59</v>
      </c>
      <c r="J171" s="1">
        <f>IFERROR(__xludf.DUMMYFUNCTION("""COMPUTED_VALUE"""),179.0)</f>
        <v>179</v>
      </c>
      <c r="K171" s="1">
        <v>47.0</v>
      </c>
      <c r="L171" s="1">
        <f>IFERROR(__xludf.DUMMYFUNCTION("""COMPUTED_VALUE"""),235.0)</f>
        <v>235</v>
      </c>
    </row>
    <row r="172">
      <c r="A172" s="1">
        <v>1274061.0</v>
      </c>
      <c r="B172" s="1" t="s">
        <v>433</v>
      </c>
      <c r="C172" s="1" t="s">
        <v>218</v>
      </c>
      <c r="D172" s="1" t="s">
        <v>300</v>
      </c>
      <c r="E172" s="1" t="s">
        <v>434</v>
      </c>
      <c r="F172" s="1" t="s">
        <v>16</v>
      </c>
      <c r="G172" s="1" t="s">
        <v>23</v>
      </c>
      <c r="H172" s="1" t="s">
        <v>18</v>
      </c>
      <c r="I172" s="1" t="s">
        <v>44</v>
      </c>
      <c r="J172" s="1">
        <f>IFERROR(__xludf.DUMMYFUNCTION("""COMPUTED_VALUE"""),50.0)</f>
        <v>50</v>
      </c>
      <c r="K172" s="1">
        <v>15.0</v>
      </c>
      <c r="L172" s="1">
        <f>IFERROR(__xludf.DUMMYFUNCTION("""COMPUTED_VALUE"""),41.0)</f>
        <v>41</v>
      </c>
    </row>
    <row r="173">
      <c r="A173" s="1">
        <v>1223006.0</v>
      </c>
      <c r="B173" s="1" t="s">
        <v>435</v>
      </c>
      <c r="C173" s="1" t="s">
        <v>218</v>
      </c>
      <c r="D173" s="1" t="s">
        <v>419</v>
      </c>
      <c r="E173" s="1" t="s">
        <v>436</v>
      </c>
      <c r="F173" s="1" t="s">
        <v>16</v>
      </c>
      <c r="G173" s="1" t="s">
        <v>23</v>
      </c>
      <c r="H173" s="1" t="s">
        <v>18</v>
      </c>
      <c r="I173" s="1" t="s">
        <v>44</v>
      </c>
      <c r="J173" s="1">
        <f>IFERROR(__xludf.DUMMYFUNCTION("""COMPUTED_VALUE"""),31.0)</f>
        <v>31</v>
      </c>
      <c r="K173" s="1">
        <v>12.0</v>
      </c>
      <c r="L173" s="1">
        <f>IFERROR(__xludf.DUMMYFUNCTION("""COMPUTED_VALUE"""),182.0)</f>
        <v>182</v>
      </c>
    </row>
    <row r="174">
      <c r="A174" s="1">
        <v>1205024.0</v>
      </c>
      <c r="B174" s="1" t="s">
        <v>437</v>
      </c>
      <c r="C174" s="1" t="s">
        <v>218</v>
      </c>
      <c r="D174" s="1" t="s">
        <v>438</v>
      </c>
      <c r="E174" s="1" t="s">
        <v>439</v>
      </c>
      <c r="F174" s="1" t="s">
        <v>16</v>
      </c>
      <c r="G174" s="1" t="s">
        <v>17</v>
      </c>
      <c r="H174" s="1" t="s">
        <v>28</v>
      </c>
      <c r="I174" s="1" t="s">
        <v>40</v>
      </c>
      <c r="J174" s="1">
        <f>IFERROR(__xludf.DUMMYFUNCTION("""COMPUTED_VALUE"""),108.0)</f>
        <v>108</v>
      </c>
      <c r="K174" s="1">
        <v>33.0</v>
      </c>
      <c r="L174" s="1">
        <f>IFERROR(__xludf.DUMMYFUNCTION("""COMPUTED_VALUE"""),252.0)</f>
        <v>252</v>
      </c>
    </row>
    <row r="175">
      <c r="A175" s="1">
        <v>1212181.0</v>
      </c>
      <c r="B175" s="1" t="s">
        <v>306</v>
      </c>
      <c r="C175" s="1" t="s">
        <v>218</v>
      </c>
      <c r="D175" s="1" t="s">
        <v>225</v>
      </c>
      <c r="E175" s="1" t="s">
        <v>440</v>
      </c>
      <c r="F175" s="1" t="s">
        <v>16</v>
      </c>
      <c r="G175" s="1" t="s">
        <v>17</v>
      </c>
      <c r="H175" s="1" t="s">
        <v>18</v>
      </c>
      <c r="I175" s="1" t="s">
        <v>19</v>
      </c>
      <c r="J175" s="1">
        <f>IFERROR(__xludf.DUMMYFUNCTION("""COMPUTED_VALUE"""),231.0)</f>
        <v>231</v>
      </c>
      <c r="K175" s="1">
        <v>28.0</v>
      </c>
      <c r="L175" s="1">
        <f>IFERROR(__xludf.DUMMYFUNCTION("""COMPUTED_VALUE"""),233.0)</f>
        <v>233</v>
      </c>
    </row>
    <row r="176">
      <c r="A176" s="1">
        <v>1212012.0</v>
      </c>
      <c r="B176" s="1" t="s">
        <v>441</v>
      </c>
      <c r="C176" s="1" t="s">
        <v>218</v>
      </c>
      <c r="D176" s="1" t="s">
        <v>225</v>
      </c>
      <c r="E176" s="1" t="s">
        <v>442</v>
      </c>
      <c r="F176" s="1" t="s">
        <v>16</v>
      </c>
      <c r="G176" s="1" t="s">
        <v>27</v>
      </c>
      <c r="H176" s="1" t="s">
        <v>28</v>
      </c>
      <c r="I176" s="1" t="s">
        <v>40</v>
      </c>
      <c r="J176" s="1">
        <f>IFERROR(__xludf.DUMMYFUNCTION("""COMPUTED_VALUE"""),211.0)</f>
        <v>211</v>
      </c>
      <c r="K176" s="1">
        <v>136.0</v>
      </c>
      <c r="L176" s="1">
        <f>IFERROR(__xludf.DUMMYFUNCTION("""COMPUTED_VALUE"""),668.0)</f>
        <v>668</v>
      </c>
    </row>
    <row r="177">
      <c r="A177" s="1">
        <v>1223002.0</v>
      </c>
      <c r="B177" s="1" t="s">
        <v>443</v>
      </c>
      <c r="C177" s="1" t="s">
        <v>218</v>
      </c>
      <c r="D177" s="1" t="s">
        <v>419</v>
      </c>
      <c r="E177" s="1" t="s">
        <v>444</v>
      </c>
      <c r="F177" s="1" t="s">
        <v>16</v>
      </c>
      <c r="G177" s="1" t="s">
        <v>17</v>
      </c>
      <c r="H177" s="1" t="s">
        <v>18</v>
      </c>
      <c r="I177" s="1" t="s">
        <v>40</v>
      </c>
      <c r="J177" s="1">
        <f>IFERROR(__xludf.DUMMYFUNCTION("""COMPUTED_VALUE"""),120.0)</f>
        <v>120</v>
      </c>
      <c r="K177" s="1">
        <v>26.0</v>
      </c>
      <c r="L177" s="1">
        <f>IFERROR(__xludf.DUMMYFUNCTION("""COMPUTED_VALUE"""),272.0)</f>
        <v>272</v>
      </c>
    </row>
    <row r="178">
      <c r="A178" s="1">
        <v>1213035.0</v>
      </c>
      <c r="B178" s="1" t="s">
        <v>445</v>
      </c>
      <c r="C178" s="1" t="s">
        <v>218</v>
      </c>
      <c r="D178" s="1" t="s">
        <v>222</v>
      </c>
      <c r="E178" s="1" t="s">
        <v>446</v>
      </c>
      <c r="F178" s="1" t="s">
        <v>16</v>
      </c>
      <c r="G178" s="1" t="s">
        <v>17</v>
      </c>
      <c r="H178" s="1" t="s">
        <v>18</v>
      </c>
      <c r="I178" s="1" t="s">
        <v>113</v>
      </c>
      <c r="J178" s="1">
        <f>IFERROR(__xludf.DUMMYFUNCTION("""COMPUTED_VALUE"""),102.0)</f>
        <v>102</v>
      </c>
      <c r="K178" s="1">
        <v>78.0</v>
      </c>
      <c r="L178" s="1">
        <f>IFERROR(__xludf.DUMMYFUNCTION("""COMPUTED_VALUE"""),212.0)</f>
        <v>212</v>
      </c>
    </row>
    <row r="179">
      <c r="A179" s="1">
        <v>1276090.0</v>
      </c>
      <c r="B179" s="1" t="s">
        <v>447</v>
      </c>
      <c r="C179" s="1" t="s">
        <v>218</v>
      </c>
      <c r="D179" s="1" t="s">
        <v>268</v>
      </c>
      <c r="E179" s="1" t="s">
        <v>448</v>
      </c>
      <c r="F179" s="1" t="s">
        <v>16</v>
      </c>
      <c r="G179" s="1" t="s">
        <v>23</v>
      </c>
      <c r="H179" s="1" t="s">
        <v>33</v>
      </c>
      <c r="I179" s="1" t="s">
        <v>19</v>
      </c>
      <c r="J179" s="1">
        <f>IFERROR(__xludf.DUMMYFUNCTION("""COMPUTED_VALUE"""),47.0)</f>
        <v>47</v>
      </c>
      <c r="K179" s="1">
        <v>15.0</v>
      </c>
      <c r="L179" s="1">
        <f>IFERROR(__xludf.DUMMYFUNCTION("""COMPUTED_VALUE"""),182.0)</f>
        <v>182</v>
      </c>
    </row>
    <row r="180">
      <c r="A180" s="1">
        <v>1218024.0</v>
      </c>
      <c r="B180" s="1" t="s">
        <v>449</v>
      </c>
      <c r="C180" s="1" t="s">
        <v>218</v>
      </c>
      <c r="D180" s="1" t="s">
        <v>344</v>
      </c>
      <c r="E180" s="1" t="s">
        <v>450</v>
      </c>
      <c r="F180" s="1" t="s">
        <v>16</v>
      </c>
      <c r="G180" s="1" t="s">
        <v>17</v>
      </c>
      <c r="H180" s="1" t="s">
        <v>18</v>
      </c>
      <c r="I180" s="1" t="s">
        <v>59</v>
      </c>
      <c r="J180" s="1">
        <f>IFERROR(__xludf.DUMMYFUNCTION("""COMPUTED_VALUE"""),172.0)</f>
        <v>172</v>
      </c>
      <c r="K180" s="1">
        <v>28.0</v>
      </c>
      <c r="L180" s="1">
        <f>IFERROR(__xludf.DUMMYFUNCTION("""COMPUTED_VALUE"""),129.0)</f>
        <v>129</v>
      </c>
    </row>
    <row r="181">
      <c r="A181" s="1">
        <v>1275930.0</v>
      </c>
      <c r="B181" s="1" t="s">
        <v>451</v>
      </c>
      <c r="C181" s="1" t="s">
        <v>218</v>
      </c>
      <c r="D181" s="1" t="s">
        <v>239</v>
      </c>
      <c r="E181" s="1" t="s">
        <v>452</v>
      </c>
      <c r="F181" s="1" t="s">
        <v>16</v>
      </c>
      <c r="G181" s="1" t="s">
        <v>17</v>
      </c>
      <c r="H181" s="1" t="s">
        <v>18</v>
      </c>
      <c r="I181" s="1" t="s">
        <v>19</v>
      </c>
      <c r="J181" s="1">
        <f>IFERROR(__xludf.DUMMYFUNCTION("""COMPUTED_VALUE"""),135.0)</f>
        <v>135</v>
      </c>
      <c r="K181" s="1">
        <v>72.0</v>
      </c>
      <c r="L181" s="1">
        <f>IFERROR(__xludf.DUMMYFUNCTION("""COMPUTED_VALUE"""),230.0)</f>
        <v>230</v>
      </c>
    </row>
    <row r="182">
      <c r="A182" s="1">
        <v>1212172.0</v>
      </c>
      <c r="B182" s="1" t="s">
        <v>453</v>
      </c>
      <c r="C182" s="1" t="s">
        <v>218</v>
      </c>
      <c r="D182" s="1" t="s">
        <v>225</v>
      </c>
      <c r="E182" s="1" t="s">
        <v>454</v>
      </c>
      <c r="F182" s="1" t="s">
        <v>16</v>
      </c>
      <c r="G182" s="1" t="s">
        <v>17</v>
      </c>
      <c r="H182" s="1" t="s">
        <v>18</v>
      </c>
      <c r="I182" s="1" t="s">
        <v>44</v>
      </c>
      <c r="J182" s="1">
        <f>IFERROR(__xludf.DUMMYFUNCTION("""COMPUTED_VALUE"""),100.0)</f>
        <v>100</v>
      </c>
      <c r="K182" s="1">
        <v>47.0</v>
      </c>
      <c r="L182" s="1">
        <f>IFERROR(__xludf.DUMMYFUNCTION("""COMPUTED_VALUE"""),208.0)</f>
        <v>208</v>
      </c>
    </row>
    <row r="183">
      <c r="A183" s="1">
        <v>1275094.0</v>
      </c>
      <c r="B183" s="1" t="s">
        <v>455</v>
      </c>
      <c r="C183" s="1" t="s">
        <v>218</v>
      </c>
      <c r="D183" s="1" t="s">
        <v>239</v>
      </c>
      <c r="E183" s="1" t="s">
        <v>456</v>
      </c>
      <c r="F183" s="1" t="s">
        <v>16</v>
      </c>
      <c r="G183" s="1" t="s">
        <v>17</v>
      </c>
      <c r="H183" s="1" t="s">
        <v>18</v>
      </c>
      <c r="I183" s="1" t="s">
        <v>59</v>
      </c>
      <c r="J183" s="1">
        <f>IFERROR(__xludf.DUMMYFUNCTION("""COMPUTED_VALUE"""),178.0)</f>
        <v>178</v>
      </c>
      <c r="K183" s="1">
        <v>55.0</v>
      </c>
      <c r="L183" s="1">
        <f>IFERROR(__xludf.DUMMYFUNCTION("""COMPUTED_VALUE"""),227.0)</f>
        <v>227</v>
      </c>
    </row>
    <row r="184">
      <c r="A184" s="1">
        <v>1277011.0</v>
      </c>
      <c r="B184" s="1" t="s">
        <v>457</v>
      </c>
      <c r="C184" s="1" t="s">
        <v>218</v>
      </c>
      <c r="D184" s="1" t="s">
        <v>219</v>
      </c>
      <c r="E184" s="1" t="s">
        <v>458</v>
      </c>
      <c r="F184" s="1" t="s">
        <v>16</v>
      </c>
      <c r="G184" s="1" t="s">
        <v>17</v>
      </c>
      <c r="H184" s="1" t="s">
        <v>28</v>
      </c>
      <c r="I184" s="1" t="s">
        <v>29</v>
      </c>
      <c r="J184" s="1">
        <f>IFERROR(__xludf.DUMMYFUNCTION("""COMPUTED_VALUE"""),151.0)</f>
        <v>151</v>
      </c>
      <c r="K184" s="1">
        <v>28.0</v>
      </c>
      <c r="L184" s="1">
        <f>IFERROR(__xludf.DUMMYFUNCTION("""COMPUTED_VALUE"""),477.0)</f>
        <v>477</v>
      </c>
    </row>
    <row r="185">
      <c r="A185" s="1">
        <v>1276040.0</v>
      </c>
      <c r="B185" s="1" t="s">
        <v>459</v>
      </c>
      <c r="C185" s="1" t="s">
        <v>218</v>
      </c>
      <c r="D185" s="1" t="s">
        <v>268</v>
      </c>
      <c r="E185" s="1" t="s">
        <v>460</v>
      </c>
      <c r="F185" s="1" t="s">
        <v>16</v>
      </c>
      <c r="G185" s="1" t="s">
        <v>17</v>
      </c>
      <c r="H185" s="1" t="s">
        <v>18</v>
      </c>
      <c r="I185" s="1" t="s">
        <v>74</v>
      </c>
      <c r="J185" s="1">
        <f>IFERROR(__xludf.DUMMYFUNCTION("""COMPUTED_VALUE"""),125.0)</f>
        <v>125</v>
      </c>
      <c r="K185" s="1">
        <v>27.0</v>
      </c>
      <c r="L185" s="1">
        <f>IFERROR(__xludf.DUMMYFUNCTION("""COMPUTED_VALUE"""),119.0)</f>
        <v>119</v>
      </c>
    </row>
    <row r="186">
      <c r="A186" s="1">
        <v>1275888.0</v>
      </c>
      <c r="B186" s="1" t="s">
        <v>461</v>
      </c>
      <c r="C186" s="1" t="s">
        <v>218</v>
      </c>
      <c r="D186" s="1" t="s">
        <v>239</v>
      </c>
      <c r="E186" s="1" t="s">
        <v>462</v>
      </c>
      <c r="F186" s="1" t="s">
        <v>16</v>
      </c>
      <c r="G186" s="1" t="s">
        <v>17</v>
      </c>
      <c r="H186" s="1" t="s">
        <v>18</v>
      </c>
      <c r="I186" s="1" t="s">
        <v>44</v>
      </c>
      <c r="J186" s="1">
        <f>IFERROR(__xludf.DUMMYFUNCTION("""COMPUTED_VALUE"""),130.0)</f>
        <v>130</v>
      </c>
      <c r="K186" s="1">
        <v>98.0</v>
      </c>
      <c r="L186" s="1">
        <f>IFERROR(__xludf.DUMMYFUNCTION("""COMPUTED_VALUE"""),203.0)</f>
        <v>203</v>
      </c>
    </row>
    <row r="187">
      <c r="A187" s="1">
        <v>1275724.0</v>
      </c>
      <c r="B187" s="1" t="s">
        <v>463</v>
      </c>
      <c r="C187" s="1" t="s">
        <v>218</v>
      </c>
      <c r="D187" s="1" t="s">
        <v>239</v>
      </c>
      <c r="E187" s="1" t="s">
        <v>464</v>
      </c>
      <c r="F187" s="1" t="s">
        <v>16</v>
      </c>
      <c r="G187" s="1" t="s">
        <v>23</v>
      </c>
      <c r="H187" s="1" t="s">
        <v>18</v>
      </c>
      <c r="I187" s="1" t="s">
        <v>44</v>
      </c>
      <c r="J187" s="1">
        <f>IFERROR(__xludf.DUMMYFUNCTION("""COMPUTED_VALUE"""),65.0)</f>
        <v>65</v>
      </c>
      <c r="K187" s="1">
        <v>33.0</v>
      </c>
      <c r="L187" s="1">
        <f>IFERROR(__xludf.DUMMYFUNCTION("""COMPUTED_VALUE"""),178.0)</f>
        <v>178</v>
      </c>
    </row>
    <row r="188">
      <c r="A188" s="1">
        <v>1212175.0</v>
      </c>
      <c r="B188" s="1" t="s">
        <v>465</v>
      </c>
      <c r="C188" s="1" t="s">
        <v>218</v>
      </c>
      <c r="D188" s="1" t="s">
        <v>225</v>
      </c>
      <c r="E188" s="1" t="s">
        <v>466</v>
      </c>
      <c r="F188" s="1" t="s">
        <v>16</v>
      </c>
      <c r="G188" s="1" t="s">
        <v>23</v>
      </c>
      <c r="H188" s="1" t="s">
        <v>18</v>
      </c>
      <c r="I188" s="1" t="s">
        <v>59</v>
      </c>
      <c r="J188" s="1">
        <f>IFERROR(__xludf.DUMMYFUNCTION("""COMPUTED_VALUE"""),110.0)</f>
        <v>110</v>
      </c>
      <c r="K188" s="1">
        <v>16.0</v>
      </c>
      <c r="L188" s="1">
        <f>IFERROR(__xludf.DUMMYFUNCTION("""COMPUTED_VALUE"""),20.0)</f>
        <v>20</v>
      </c>
    </row>
    <row r="189">
      <c r="A189" s="1">
        <v>1209010.0</v>
      </c>
      <c r="B189" s="1" t="s">
        <v>467</v>
      </c>
      <c r="C189" s="1" t="s">
        <v>218</v>
      </c>
      <c r="D189" s="1" t="s">
        <v>279</v>
      </c>
      <c r="E189" s="1" t="s">
        <v>468</v>
      </c>
      <c r="F189" s="1" t="s">
        <v>16</v>
      </c>
      <c r="G189" s="1" t="s">
        <v>17</v>
      </c>
      <c r="H189" s="1" t="s">
        <v>18</v>
      </c>
      <c r="I189" s="1" t="s">
        <v>113</v>
      </c>
      <c r="J189" s="1">
        <f>IFERROR(__xludf.DUMMYFUNCTION("""COMPUTED_VALUE"""),121.0)</f>
        <v>121</v>
      </c>
      <c r="K189" s="1">
        <v>19.0</v>
      </c>
      <c r="L189" s="1">
        <f>IFERROR(__xludf.DUMMYFUNCTION("""COMPUTED_VALUE"""),152.0)</f>
        <v>152</v>
      </c>
    </row>
    <row r="190">
      <c r="A190" s="1">
        <v>1212045.0</v>
      </c>
      <c r="B190" s="1" t="s">
        <v>469</v>
      </c>
      <c r="C190" s="1" t="s">
        <v>218</v>
      </c>
      <c r="D190" s="1" t="s">
        <v>225</v>
      </c>
      <c r="E190" s="1" t="s">
        <v>470</v>
      </c>
      <c r="F190" s="1" t="s">
        <v>16</v>
      </c>
      <c r="G190" s="1" t="s">
        <v>27</v>
      </c>
      <c r="H190" s="1" t="s">
        <v>18</v>
      </c>
      <c r="I190" s="1" t="s">
        <v>59</v>
      </c>
      <c r="J190" s="1">
        <f>IFERROR(__xludf.DUMMYFUNCTION("""COMPUTED_VALUE"""),402.0)</f>
        <v>402</v>
      </c>
      <c r="K190" s="1">
        <v>46.0</v>
      </c>
      <c r="L190" s="1">
        <f>IFERROR(__xludf.DUMMYFUNCTION("""COMPUTED_VALUE"""),555.0)</f>
        <v>555</v>
      </c>
    </row>
    <row r="191">
      <c r="A191" s="1">
        <v>1275933.0</v>
      </c>
      <c r="B191" s="1" t="s">
        <v>471</v>
      </c>
      <c r="C191" s="1" t="s">
        <v>218</v>
      </c>
      <c r="D191" s="1" t="s">
        <v>239</v>
      </c>
      <c r="E191" s="1" t="s">
        <v>472</v>
      </c>
      <c r="F191" s="1" t="s">
        <v>473</v>
      </c>
      <c r="G191" s="1" t="s">
        <v>27</v>
      </c>
      <c r="H191" s="1" t="s">
        <v>18</v>
      </c>
      <c r="I191" s="1" t="s">
        <v>139</v>
      </c>
      <c r="J191" s="1">
        <f>IFERROR(__xludf.DUMMYFUNCTION("""COMPUTED_VALUE"""),50.0)</f>
        <v>50</v>
      </c>
      <c r="K191" s="1">
        <v>20.0</v>
      </c>
      <c r="L191" s="1">
        <f>IFERROR(__xludf.DUMMYFUNCTION("""COMPUTED_VALUE"""),137.0)</f>
        <v>137</v>
      </c>
    </row>
    <row r="192">
      <c r="A192" s="1">
        <v>1273120.0</v>
      </c>
      <c r="B192" s="1" t="s">
        <v>474</v>
      </c>
      <c r="C192" s="1" t="s">
        <v>218</v>
      </c>
      <c r="D192" s="1" t="s">
        <v>231</v>
      </c>
      <c r="E192" s="1" t="s">
        <v>475</v>
      </c>
      <c r="F192" s="1" t="s">
        <v>16</v>
      </c>
      <c r="G192" s="1" t="s">
        <v>23</v>
      </c>
      <c r="H192" s="1" t="s">
        <v>18</v>
      </c>
      <c r="I192" s="1" t="s">
        <v>44</v>
      </c>
      <c r="J192" s="1">
        <f>IFERROR(__xludf.DUMMYFUNCTION("""COMPUTED_VALUE"""),51.0)</f>
        <v>51</v>
      </c>
      <c r="K192" s="1">
        <v>9.0</v>
      </c>
      <c r="L192" s="1">
        <f>IFERROR(__xludf.DUMMYFUNCTION("""COMPUTED_VALUE"""),182.0)</f>
        <v>182</v>
      </c>
    </row>
    <row r="193">
      <c r="A193" s="1">
        <v>1275100.0</v>
      </c>
      <c r="B193" s="1" t="s">
        <v>476</v>
      </c>
      <c r="C193" s="1" t="s">
        <v>218</v>
      </c>
      <c r="D193" s="1" t="s">
        <v>239</v>
      </c>
      <c r="E193" s="1" t="s">
        <v>477</v>
      </c>
      <c r="F193" s="1" t="s">
        <v>16</v>
      </c>
      <c r="G193" s="1" t="s">
        <v>17</v>
      </c>
      <c r="H193" s="1" t="s">
        <v>18</v>
      </c>
      <c r="I193" s="1" t="s">
        <v>59</v>
      </c>
      <c r="J193" s="1">
        <f>IFERROR(__xludf.DUMMYFUNCTION("""COMPUTED_VALUE"""),100.0)</f>
        <v>100</v>
      </c>
      <c r="K193" s="1">
        <v>40.0</v>
      </c>
      <c r="L193" s="1">
        <f>IFERROR(__xludf.DUMMYFUNCTION("""COMPUTED_VALUE"""),62.0)</f>
        <v>62</v>
      </c>
    </row>
    <row r="194">
      <c r="A194" s="1">
        <v>1208056.0</v>
      </c>
      <c r="B194" s="1" t="s">
        <v>478</v>
      </c>
      <c r="C194" s="1" t="s">
        <v>218</v>
      </c>
      <c r="D194" s="1" t="s">
        <v>228</v>
      </c>
      <c r="E194" s="1" t="s">
        <v>479</v>
      </c>
      <c r="F194" s="1" t="s">
        <v>16</v>
      </c>
      <c r="G194" s="1" t="s">
        <v>17</v>
      </c>
      <c r="H194" s="1" t="s">
        <v>18</v>
      </c>
      <c r="I194" s="1" t="s">
        <v>19</v>
      </c>
      <c r="J194" s="1">
        <f>IFERROR(__xludf.DUMMYFUNCTION("""COMPUTED_VALUE"""),111.0)</f>
        <v>111</v>
      </c>
      <c r="K194" s="1">
        <v>22.0</v>
      </c>
      <c r="L194" s="1">
        <f>IFERROR(__xludf.DUMMYFUNCTION("""COMPUTED_VALUE"""),157.0)</f>
        <v>157</v>
      </c>
    </row>
    <row r="195">
      <c r="A195" s="1">
        <v>1274012.0</v>
      </c>
      <c r="B195" s="1" t="s">
        <v>480</v>
      </c>
      <c r="C195" s="1" t="s">
        <v>218</v>
      </c>
      <c r="D195" s="1" t="s">
        <v>300</v>
      </c>
      <c r="E195" s="1" t="s">
        <v>481</v>
      </c>
      <c r="F195" s="1" t="s">
        <v>16</v>
      </c>
      <c r="G195" s="1" t="s">
        <v>27</v>
      </c>
      <c r="H195" s="1" t="s">
        <v>28</v>
      </c>
      <c r="I195" s="1" t="s">
        <v>29</v>
      </c>
      <c r="J195" s="1">
        <f>IFERROR(__xludf.DUMMYFUNCTION("""COMPUTED_VALUE"""),202.0)</f>
        <v>202</v>
      </c>
      <c r="K195" s="1">
        <v>73.0</v>
      </c>
      <c r="L195" s="1">
        <f>IFERROR(__xludf.DUMMYFUNCTION("""COMPUTED_VALUE"""),530.0)</f>
        <v>530</v>
      </c>
    </row>
    <row r="196">
      <c r="A196" s="1">
        <v>1275830.0</v>
      </c>
      <c r="B196" s="1" t="s">
        <v>482</v>
      </c>
      <c r="C196" s="1" t="s">
        <v>218</v>
      </c>
      <c r="D196" s="1" t="s">
        <v>239</v>
      </c>
      <c r="E196" s="1" t="s">
        <v>483</v>
      </c>
      <c r="F196" s="1" t="s">
        <v>16</v>
      </c>
      <c r="G196" s="1" t="s">
        <v>17</v>
      </c>
      <c r="H196" s="1" t="s">
        <v>18</v>
      </c>
      <c r="I196" s="1" t="s">
        <v>44</v>
      </c>
      <c r="J196" s="1">
        <f>IFERROR(__xludf.DUMMYFUNCTION("""COMPUTED_VALUE"""),223.0)</f>
        <v>223</v>
      </c>
      <c r="K196" s="1">
        <v>12.0</v>
      </c>
      <c r="L196" s="1">
        <f>IFERROR(__xludf.DUMMYFUNCTION("""COMPUTED_VALUE"""),97.0)</f>
        <v>97</v>
      </c>
    </row>
    <row r="197">
      <c r="A197" s="1">
        <v>1202028.0</v>
      </c>
      <c r="B197" s="1" t="s">
        <v>484</v>
      </c>
      <c r="C197" s="1" t="s">
        <v>218</v>
      </c>
      <c r="D197" s="1" t="s">
        <v>263</v>
      </c>
      <c r="E197" s="1" t="s">
        <v>485</v>
      </c>
      <c r="F197" s="1" t="s">
        <v>16</v>
      </c>
      <c r="G197" s="1" t="s">
        <v>17</v>
      </c>
      <c r="H197" s="1" t="s">
        <v>18</v>
      </c>
      <c r="I197" s="1" t="s">
        <v>59</v>
      </c>
      <c r="J197" s="1">
        <f>IFERROR(__xludf.DUMMYFUNCTION("""COMPUTED_VALUE"""),108.0)</f>
        <v>108</v>
      </c>
      <c r="K197" s="1">
        <v>37.0</v>
      </c>
      <c r="L197" s="1">
        <f>IFERROR(__xludf.DUMMYFUNCTION("""COMPUTED_VALUE"""),100.0)</f>
        <v>100</v>
      </c>
    </row>
    <row r="198">
      <c r="A198" s="1">
        <v>1275298.0</v>
      </c>
      <c r="B198" s="1" t="s">
        <v>486</v>
      </c>
      <c r="C198" s="1" t="s">
        <v>218</v>
      </c>
      <c r="D198" s="1" t="s">
        <v>239</v>
      </c>
      <c r="E198" s="1" t="s">
        <v>487</v>
      </c>
      <c r="F198" s="1" t="s">
        <v>16</v>
      </c>
      <c r="G198" s="1" t="s">
        <v>27</v>
      </c>
      <c r="H198" s="1" t="s">
        <v>18</v>
      </c>
      <c r="I198" s="1" t="s">
        <v>44</v>
      </c>
      <c r="J198" s="1">
        <f>IFERROR(__xludf.DUMMYFUNCTION("""COMPUTED_VALUE"""),261.0)</f>
        <v>261</v>
      </c>
      <c r="K198" s="1">
        <v>78.0</v>
      </c>
      <c r="L198" s="1">
        <f>IFERROR(__xludf.DUMMYFUNCTION("""COMPUTED_VALUE"""),448.0)</f>
        <v>448</v>
      </c>
    </row>
    <row r="199">
      <c r="A199" s="1">
        <v>1205046.0</v>
      </c>
      <c r="B199" s="1" t="s">
        <v>488</v>
      </c>
      <c r="C199" s="1" t="s">
        <v>218</v>
      </c>
      <c r="D199" s="1" t="s">
        <v>315</v>
      </c>
      <c r="E199" s="1" t="s">
        <v>489</v>
      </c>
      <c r="F199" s="1" t="s">
        <v>16</v>
      </c>
      <c r="G199" s="1" t="s">
        <v>17</v>
      </c>
      <c r="H199" s="1" t="s">
        <v>28</v>
      </c>
      <c r="I199" s="1" t="s">
        <v>40</v>
      </c>
      <c r="J199" s="1">
        <f>IFERROR(__xludf.DUMMYFUNCTION("""COMPUTED_VALUE"""),107.0)</f>
        <v>107</v>
      </c>
      <c r="K199" s="1">
        <v>90.0</v>
      </c>
      <c r="L199" s="1">
        <f>IFERROR(__xludf.DUMMYFUNCTION("""COMPUTED_VALUE"""),181.0)</f>
        <v>181</v>
      </c>
    </row>
    <row r="200">
      <c r="A200" s="1">
        <v>1222002.0</v>
      </c>
      <c r="B200" s="1" t="s">
        <v>490</v>
      </c>
      <c r="C200" s="1" t="s">
        <v>218</v>
      </c>
      <c r="D200" s="1" t="s">
        <v>367</v>
      </c>
      <c r="E200" s="1" t="s">
        <v>491</v>
      </c>
      <c r="F200" s="1" t="s">
        <v>16</v>
      </c>
      <c r="G200" s="1" t="s">
        <v>17</v>
      </c>
      <c r="H200" s="1" t="s">
        <v>28</v>
      </c>
      <c r="I200" s="1" t="s">
        <v>40</v>
      </c>
      <c r="J200" s="1">
        <f>IFERROR(__xludf.DUMMYFUNCTION("""COMPUTED_VALUE"""),133.0)</f>
        <v>133</v>
      </c>
      <c r="K200" s="1">
        <v>32.0</v>
      </c>
      <c r="L200" s="1">
        <f>IFERROR(__xludf.DUMMYFUNCTION("""COMPUTED_VALUE"""),205.0)</f>
        <v>205</v>
      </c>
    </row>
    <row r="201">
      <c r="A201" s="1">
        <v>1275929.0</v>
      </c>
      <c r="B201" s="1" t="s">
        <v>492</v>
      </c>
      <c r="C201" s="1" t="s">
        <v>218</v>
      </c>
      <c r="D201" s="1" t="s">
        <v>239</v>
      </c>
      <c r="E201" s="1" t="s">
        <v>493</v>
      </c>
      <c r="F201" s="1" t="s">
        <v>55</v>
      </c>
      <c r="G201" s="1" t="s">
        <v>17</v>
      </c>
      <c r="H201" s="1" t="s">
        <v>18</v>
      </c>
      <c r="I201" s="1" t="s">
        <v>44</v>
      </c>
      <c r="J201" s="1">
        <f>IFERROR(__xludf.DUMMYFUNCTION("""COMPUTED_VALUE"""),45.0)</f>
        <v>45</v>
      </c>
      <c r="K201" s="1">
        <v>20.0</v>
      </c>
      <c r="L201" s="1">
        <f>IFERROR(__xludf.DUMMYFUNCTION("""COMPUTED_VALUE"""),42.0)</f>
        <v>42</v>
      </c>
    </row>
    <row r="202">
      <c r="A202" s="1">
        <v>1216011.0</v>
      </c>
      <c r="B202" s="1" t="s">
        <v>494</v>
      </c>
      <c r="C202" s="1" t="s">
        <v>218</v>
      </c>
      <c r="D202" s="1" t="s">
        <v>495</v>
      </c>
      <c r="E202" s="1" t="s">
        <v>496</v>
      </c>
      <c r="F202" s="1" t="s">
        <v>16</v>
      </c>
      <c r="G202" s="1" t="s">
        <v>17</v>
      </c>
      <c r="H202" s="1" t="s">
        <v>28</v>
      </c>
      <c r="I202" s="1" t="s">
        <v>40</v>
      </c>
      <c r="J202" s="1">
        <f>IFERROR(__xludf.DUMMYFUNCTION("""COMPUTED_VALUE"""),100.0)</f>
        <v>100</v>
      </c>
      <c r="K202" s="1">
        <v>24.0</v>
      </c>
      <c r="L202" s="1">
        <f>IFERROR(__xludf.DUMMYFUNCTION("""COMPUTED_VALUE"""),145.0)</f>
        <v>145</v>
      </c>
    </row>
    <row r="203">
      <c r="A203" s="1">
        <v>1275309.0</v>
      </c>
      <c r="B203" s="1" t="s">
        <v>497</v>
      </c>
      <c r="C203" s="1" t="s">
        <v>218</v>
      </c>
      <c r="D203" s="1" t="s">
        <v>239</v>
      </c>
      <c r="E203" s="1" t="s">
        <v>498</v>
      </c>
      <c r="F203" s="1" t="s">
        <v>272</v>
      </c>
      <c r="G203" s="1" t="s">
        <v>17</v>
      </c>
      <c r="H203" s="1" t="s">
        <v>18</v>
      </c>
      <c r="I203" s="1" t="s">
        <v>59</v>
      </c>
      <c r="J203" s="1">
        <f>IFERROR(__xludf.DUMMYFUNCTION("""COMPUTED_VALUE"""),17.0)</f>
        <v>17</v>
      </c>
      <c r="K203" s="1">
        <v>6.0</v>
      </c>
      <c r="L203" s="1">
        <f>IFERROR(__xludf.DUMMYFUNCTION("""COMPUTED_VALUE"""),32.0)</f>
        <v>32</v>
      </c>
    </row>
    <row r="204">
      <c r="A204" s="1">
        <v>1214022.0</v>
      </c>
      <c r="B204" s="1" t="s">
        <v>499</v>
      </c>
      <c r="C204" s="1" t="s">
        <v>218</v>
      </c>
      <c r="D204" s="1" t="s">
        <v>251</v>
      </c>
      <c r="E204" s="1" t="s">
        <v>500</v>
      </c>
      <c r="F204" s="1" t="s">
        <v>16</v>
      </c>
      <c r="G204" s="1" t="s">
        <v>23</v>
      </c>
      <c r="H204" s="1" t="s">
        <v>18</v>
      </c>
      <c r="I204" s="1" t="s">
        <v>40</v>
      </c>
      <c r="J204" s="1">
        <f>IFERROR(__xludf.DUMMYFUNCTION("""COMPUTED_VALUE"""),38.0)</f>
        <v>38</v>
      </c>
      <c r="K204" s="1">
        <v>10.0</v>
      </c>
      <c r="L204" s="1">
        <f>IFERROR(__xludf.DUMMYFUNCTION("""COMPUTED_VALUE"""),182.0)</f>
        <v>182</v>
      </c>
    </row>
    <row r="205">
      <c r="A205" s="1">
        <v>1273107.0</v>
      </c>
      <c r="B205" s="1" t="s">
        <v>501</v>
      </c>
      <c r="C205" s="1" t="s">
        <v>218</v>
      </c>
      <c r="D205" s="1" t="s">
        <v>231</v>
      </c>
      <c r="E205" s="1" t="s">
        <v>502</v>
      </c>
      <c r="F205" s="1" t="s">
        <v>272</v>
      </c>
      <c r="G205" s="1" t="s">
        <v>17</v>
      </c>
      <c r="H205" s="1" t="s">
        <v>18</v>
      </c>
      <c r="I205" s="1" t="s">
        <v>19</v>
      </c>
      <c r="J205" s="1">
        <f>IFERROR(__xludf.DUMMYFUNCTION("""COMPUTED_VALUE"""),16.0)</f>
        <v>16</v>
      </c>
      <c r="K205" s="1">
        <v>3.0</v>
      </c>
      <c r="L205" s="1">
        <f>IFERROR(__xludf.DUMMYFUNCTION("""COMPUTED_VALUE"""),38.0)</f>
        <v>38</v>
      </c>
    </row>
    <row r="206">
      <c r="A206" s="1">
        <v>1275130.0</v>
      </c>
      <c r="B206" s="1" t="s">
        <v>503</v>
      </c>
      <c r="C206" s="1" t="s">
        <v>218</v>
      </c>
      <c r="D206" s="1" t="s">
        <v>239</v>
      </c>
      <c r="E206" s="1" t="s">
        <v>504</v>
      </c>
      <c r="F206" s="1" t="s">
        <v>16</v>
      </c>
      <c r="G206" s="1" t="s">
        <v>23</v>
      </c>
      <c r="H206" s="1" t="s">
        <v>18</v>
      </c>
      <c r="I206" s="1" t="s">
        <v>59</v>
      </c>
      <c r="J206" s="1">
        <f>IFERROR(__xludf.DUMMYFUNCTION("""COMPUTED_VALUE"""),60.0)</f>
        <v>60</v>
      </c>
      <c r="K206" s="1">
        <v>17.0</v>
      </c>
      <c r="L206" s="1">
        <f>IFERROR(__xludf.DUMMYFUNCTION("""COMPUTED_VALUE"""),187.0)</f>
        <v>187</v>
      </c>
    </row>
    <row r="207">
      <c r="A207" s="1">
        <v>1276079.0</v>
      </c>
      <c r="B207" s="1" t="s">
        <v>505</v>
      </c>
      <c r="C207" s="1" t="s">
        <v>218</v>
      </c>
      <c r="D207" s="1" t="s">
        <v>268</v>
      </c>
      <c r="E207" s="1" t="s">
        <v>506</v>
      </c>
      <c r="F207" s="1" t="s">
        <v>16</v>
      </c>
      <c r="G207" s="1" t="s">
        <v>23</v>
      </c>
      <c r="H207" s="1" t="s">
        <v>18</v>
      </c>
      <c r="I207" s="1" t="s">
        <v>44</v>
      </c>
      <c r="J207" s="1">
        <f>IFERROR(__xludf.DUMMYFUNCTION("""COMPUTED_VALUE"""),79.0)</f>
        <v>79</v>
      </c>
      <c r="K207" s="1">
        <v>23.0</v>
      </c>
      <c r="L207" s="1">
        <f>IFERROR(__xludf.DUMMYFUNCTION("""COMPUTED_VALUE"""),34.0)</f>
        <v>34</v>
      </c>
    </row>
    <row r="208">
      <c r="A208" s="1">
        <v>1203033.0</v>
      </c>
      <c r="B208" s="1" t="s">
        <v>507</v>
      </c>
      <c r="C208" s="1" t="s">
        <v>218</v>
      </c>
      <c r="D208" s="1" t="s">
        <v>508</v>
      </c>
      <c r="E208" s="1" t="s">
        <v>509</v>
      </c>
      <c r="F208" s="1" t="s">
        <v>16</v>
      </c>
      <c r="G208" s="1" t="s">
        <v>17</v>
      </c>
      <c r="H208" s="1" t="s">
        <v>18</v>
      </c>
      <c r="I208" s="1" t="s">
        <v>40</v>
      </c>
      <c r="J208" s="1">
        <f>IFERROR(__xludf.DUMMYFUNCTION("""COMPUTED_VALUE"""),110.0)</f>
        <v>110</v>
      </c>
      <c r="K208" s="1">
        <v>29.0</v>
      </c>
      <c r="L208" s="1">
        <f>IFERROR(__xludf.DUMMYFUNCTION("""COMPUTED_VALUE"""),226.0)</f>
        <v>226</v>
      </c>
    </row>
    <row r="209">
      <c r="A209" s="1">
        <v>1224002.0</v>
      </c>
      <c r="B209" s="1" t="s">
        <v>510</v>
      </c>
      <c r="C209" s="1" t="s">
        <v>218</v>
      </c>
      <c r="D209" s="1" t="s">
        <v>511</v>
      </c>
      <c r="E209" s="1" t="s">
        <v>512</v>
      </c>
      <c r="F209" s="1" t="s">
        <v>16</v>
      </c>
      <c r="G209" s="1" t="s">
        <v>23</v>
      </c>
      <c r="H209" s="1" t="s">
        <v>28</v>
      </c>
      <c r="I209" s="1" t="s">
        <v>40</v>
      </c>
      <c r="J209" s="1">
        <f>IFERROR(__xludf.DUMMYFUNCTION("""COMPUTED_VALUE"""),58.0)</f>
        <v>58</v>
      </c>
      <c r="K209" s="1">
        <v>27.0</v>
      </c>
      <c r="L209" s="1">
        <f>IFERROR(__xludf.DUMMYFUNCTION("""COMPUTED_VALUE"""),95.0)</f>
        <v>95</v>
      </c>
    </row>
    <row r="210">
      <c r="A210" s="1">
        <v>1213062.0</v>
      </c>
      <c r="B210" s="1" t="s">
        <v>513</v>
      </c>
      <c r="C210" s="1" t="s">
        <v>218</v>
      </c>
      <c r="D210" s="1" t="s">
        <v>222</v>
      </c>
      <c r="E210" s="1" t="s">
        <v>514</v>
      </c>
      <c r="F210" s="1" t="s">
        <v>16</v>
      </c>
      <c r="G210" s="1" t="s">
        <v>17</v>
      </c>
      <c r="H210" s="1" t="s">
        <v>18</v>
      </c>
      <c r="I210" s="1" t="s">
        <v>44</v>
      </c>
      <c r="J210" s="1">
        <f>IFERROR(__xludf.DUMMYFUNCTION("""COMPUTED_VALUE"""),230.0)</f>
        <v>230</v>
      </c>
      <c r="K210" s="1">
        <v>36.0</v>
      </c>
      <c r="L210" s="1">
        <f>IFERROR(__xludf.DUMMYFUNCTION("""COMPUTED_VALUE"""),182.0)</f>
        <v>182</v>
      </c>
    </row>
    <row r="211">
      <c r="A211" s="1">
        <v>1275772.0</v>
      </c>
      <c r="B211" s="1" t="s">
        <v>515</v>
      </c>
      <c r="C211" s="1" t="s">
        <v>218</v>
      </c>
      <c r="D211" s="1" t="s">
        <v>239</v>
      </c>
      <c r="E211" s="1" t="s">
        <v>516</v>
      </c>
      <c r="F211" s="1" t="s">
        <v>16</v>
      </c>
      <c r="G211" s="1" t="s">
        <v>17</v>
      </c>
      <c r="H211" s="1" t="s">
        <v>18</v>
      </c>
      <c r="I211" s="1" t="s">
        <v>59</v>
      </c>
      <c r="J211" s="1">
        <f>IFERROR(__xludf.DUMMYFUNCTION("""COMPUTED_VALUE"""),112.0)</f>
        <v>112</v>
      </c>
      <c r="K211" s="1">
        <v>35.0</v>
      </c>
      <c r="L211" s="1">
        <f>IFERROR(__xludf.DUMMYFUNCTION("""COMPUTED_VALUE"""),36.0)</f>
        <v>36</v>
      </c>
    </row>
    <row r="212">
      <c r="A212" s="1">
        <v>1209077.0</v>
      </c>
      <c r="B212" s="1" t="s">
        <v>517</v>
      </c>
      <c r="C212" s="1" t="s">
        <v>218</v>
      </c>
      <c r="D212" s="1" t="s">
        <v>279</v>
      </c>
      <c r="E212" s="1" t="s">
        <v>518</v>
      </c>
      <c r="F212" s="1" t="s">
        <v>16</v>
      </c>
      <c r="G212" s="1" t="s">
        <v>17</v>
      </c>
      <c r="H212" s="1" t="s">
        <v>28</v>
      </c>
      <c r="I212" s="1" t="s">
        <v>40</v>
      </c>
      <c r="J212" s="1">
        <f>IFERROR(__xludf.DUMMYFUNCTION("""COMPUTED_VALUE"""),103.0)</f>
        <v>103</v>
      </c>
      <c r="K212" s="1">
        <v>48.0</v>
      </c>
      <c r="L212" s="1">
        <f>IFERROR(__xludf.DUMMYFUNCTION("""COMPUTED_VALUE"""),186.0)</f>
        <v>186</v>
      </c>
    </row>
    <row r="213">
      <c r="A213" s="1">
        <v>1275913.0</v>
      </c>
      <c r="B213" s="1" t="s">
        <v>519</v>
      </c>
      <c r="C213" s="1" t="s">
        <v>218</v>
      </c>
      <c r="D213" s="1" t="s">
        <v>239</v>
      </c>
      <c r="E213" s="1" t="s">
        <v>520</v>
      </c>
      <c r="F213" s="1" t="s">
        <v>16</v>
      </c>
      <c r="G213" s="1" t="s">
        <v>17</v>
      </c>
      <c r="H213" s="1" t="s">
        <v>18</v>
      </c>
      <c r="I213" s="1" t="s">
        <v>34</v>
      </c>
      <c r="J213" s="1">
        <f>IFERROR(__xludf.DUMMYFUNCTION("""COMPUTED_VALUE"""),210.0)</f>
        <v>210</v>
      </c>
      <c r="K213" s="1">
        <v>55.0</v>
      </c>
      <c r="L213" s="1">
        <f>IFERROR(__xludf.DUMMYFUNCTION("""COMPUTED_VALUE"""),683.0)</f>
        <v>683</v>
      </c>
    </row>
    <row r="214">
      <c r="A214" s="1">
        <v>1274063.0</v>
      </c>
      <c r="B214" s="1" t="s">
        <v>521</v>
      </c>
      <c r="C214" s="1" t="s">
        <v>218</v>
      </c>
      <c r="D214" s="1" t="s">
        <v>300</v>
      </c>
      <c r="E214" s="1" t="s">
        <v>522</v>
      </c>
      <c r="F214" s="1" t="s">
        <v>16</v>
      </c>
      <c r="G214" s="1" t="s">
        <v>17</v>
      </c>
      <c r="H214" s="1" t="s">
        <v>18</v>
      </c>
      <c r="I214" s="1" t="s">
        <v>44</v>
      </c>
      <c r="J214" s="1">
        <f>IFERROR(__xludf.DUMMYFUNCTION("""COMPUTED_VALUE"""),133.0)</f>
        <v>133</v>
      </c>
      <c r="K214" s="1">
        <v>37.0</v>
      </c>
      <c r="L214" s="1">
        <f>IFERROR(__xludf.DUMMYFUNCTION("""COMPUTED_VALUE"""),159.0)</f>
        <v>159</v>
      </c>
    </row>
    <row r="215">
      <c r="A215" s="1">
        <v>1209065.0</v>
      </c>
      <c r="B215" s="1" t="s">
        <v>523</v>
      </c>
      <c r="C215" s="1" t="s">
        <v>218</v>
      </c>
      <c r="D215" s="1" t="s">
        <v>279</v>
      </c>
      <c r="E215" s="1" t="s">
        <v>524</v>
      </c>
      <c r="F215" s="1" t="s">
        <v>16</v>
      </c>
      <c r="G215" s="1" t="s">
        <v>23</v>
      </c>
      <c r="H215" s="1" t="s">
        <v>28</v>
      </c>
      <c r="I215" s="1" t="s">
        <v>40</v>
      </c>
      <c r="J215" s="1">
        <f>IFERROR(__xludf.DUMMYFUNCTION("""COMPUTED_VALUE"""),54.0)</f>
        <v>54</v>
      </c>
      <c r="K215" s="1">
        <v>13.0</v>
      </c>
      <c r="L215" s="1">
        <f>IFERROR(__xludf.DUMMYFUNCTION("""COMPUTED_VALUE"""),110.0)</f>
        <v>110</v>
      </c>
    </row>
    <row r="216">
      <c r="A216" s="1">
        <v>1275061.0</v>
      </c>
      <c r="B216" s="1" t="s">
        <v>525</v>
      </c>
      <c r="C216" s="1" t="s">
        <v>218</v>
      </c>
      <c r="D216" s="1" t="s">
        <v>239</v>
      </c>
      <c r="E216" s="1" t="s">
        <v>526</v>
      </c>
      <c r="F216" s="1" t="s">
        <v>16</v>
      </c>
      <c r="G216" s="1" t="s">
        <v>17</v>
      </c>
      <c r="H216" s="1" t="s">
        <v>18</v>
      </c>
      <c r="I216" s="1" t="s">
        <v>59</v>
      </c>
      <c r="J216" s="1">
        <f>IFERROR(__xludf.DUMMYFUNCTION("""COMPUTED_VALUE"""),100.0)</f>
        <v>100</v>
      </c>
      <c r="K216" s="1">
        <v>22.0</v>
      </c>
      <c r="L216" s="1">
        <f>IFERROR(__xludf.DUMMYFUNCTION("""COMPUTED_VALUE"""),117.0)</f>
        <v>117</v>
      </c>
    </row>
    <row r="217">
      <c r="A217" s="1">
        <v>1212093.0</v>
      </c>
      <c r="B217" s="1" t="s">
        <v>527</v>
      </c>
      <c r="C217" s="1" t="s">
        <v>218</v>
      </c>
      <c r="D217" s="1" t="s">
        <v>225</v>
      </c>
      <c r="E217" s="1" t="s">
        <v>528</v>
      </c>
      <c r="F217" s="1" t="s">
        <v>16</v>
      </c>
      <c r="G217" s="1" t="s">
        <v>17</v>
      </c>
      <c r="H217" s="1" t="s">
        <v>18</v>
      </c>
      <c r="I217" s="1" t="s">
        <v>59</v>
      </c>
      <c r="J217" s="1">
        <f>IFERROR(__xludf.DUMMYFUNCTION("""COMPUTED_VALUE"""),104.0)</f>
        <v>104</v>
      </c>
      <c r="K217" s="1">
        <v>33.0</v>
      </c>
      <c r="L217" s="1">
        <f>IFERROR(__xludf.DUMMYFUNCTION("""COMPUTED_VALUE"""),148.0)</f>
        <v>148</v>
      </c>
    </row>
    <row r="218">
      <c r="A218" s="1">
        <v>1211124.0</v>
      </c>
      <c r="B218" s="1" t="s">
        <v>529</v>
      </c>
      <c r="C218" s="1" t="s">
        <v>218</v>
      </c>
      <c r="D218" s="1" t="s">
        <v>286</v>
      </c>
      <c r="E218" s="1" t="s">
        <v>530</v>
      </c>
      <c r="F218" s="1" t="s">
        <v>16</v>
      </c>
      <c r="G218" s="1" t="s">
        <v>17</v>
      </c>
      <c r="H218" s="1" t="s">
        <v>18</v>
      </c>
      <c r="I218" s="1" t="s">
        <v>19</v>
      </c>
      <c r="J218" s="1">
        <f>IFERROR(__xludf.DUMMYFUNCTION("""COMPUTED_VALUE"""),164.0)</f>
        <v>164</v>
      </c>
      <c r="K218" s="1">
        <v>56.0</v>
      </c>
      <c r="L218" s="1">
        <f>IFERROR(__xludf.DUMMYFUNCTION("""COMPUTED_VALUE"""),348.0)</f>
        <v>348</v>
      </c>
    </row>
    <row r="219">
      <c r="A219" s="1">
        <v>1276075.0</v>
      </c>
      <c r="B219" s="1" t="s">
        <v>531</v>
      </c>
      <c r="C219" s="1" t="s">
        <v>218</v>
      </c>
      <c r="D219" s="1" t="s">
        <v>268</v>
      </c>
      <c r="E219" s="1" t="s">
        <v>532</v>
      </c>
      <c r="F219" s="1" t="s">
        <v>16</v>
      </c>
      <c r="G219" s="1" t="s">
        <v>17</v>
      </c>
      <c r="H219" s="1" t="s">
        <v>18</v>
      </c>
      <c r="I219" s="1" t="s">
        <v>44</v>
      </c>
      <c r="J219" s="1">
        <f>IFERROR(__xludf.DUMMYFUNCTION("""COMPUTED_VALUE"""),199.0)</f>
        <v>199</v>
      </c>
      <c r="K219" s="1">
        <v>49.0</v>
      </c>
      <c r="L219" s="1">
        <f>IFERROR(__xludf.DUMMYFUNCTION("""COMPUTED_VALUE"""),352.0)</f>
        <v>352</v>
      </c>
    </row>
    <row r="220">
      <c r="A220" s="1">
        <v>1277027.0</v>
      </c>
      <c r="B220" s="1" t="s">
        <v>533</v>
      </c>
      <c r="C220" s="1" t="s">
        <v>218</v>
      </c>
      <c r="D220" s="1" t="s">
        <v>219</v>
      </c>
      <c r="E220" s="1" t="s">
        <v>534</v>
      </c>
      <c r="F220" s="1" t="s">
        <v>16</v>
      </c>
      <c r="G220" s="1" t="s">
        <v>17</v>
      </c>
      <c r="H220" s="1" t="s">
        <v>18</v>
      </c>
      <c r="I220" s="1" t="s">
        <v>44</v>
      </c>
      <c r="J220" s="1">
        <f>IFERROR(__xludf.DUMMYFUNCTION("""COMPUTED_VALUE"""),111.0)</f>
        <v>111</v>
      </c>
      <c r="K220" s="1">
        <v>57.0</v>
      </c>
      <c r="L220" s="1">
        <f>IFERROR(__xludf.DUMMYFUNCTION("""COMPUTED_VALUE"""),114.0)</f>
        <v>114</v>
      </c>
    </row>
    <row r="221">
      <c r="A221" s="1">
        <v>1275013.0</v>
      </c>
      <c r="B221" s="1" t="s">
        <v>535</v>
      </c>
      <c r="C221" s="1" t="s">
        <v>218</v>
      </c>
      <c r="D221" s="1" t="s">
        <v>239</v>
      </c>
      <c r="E221" s="1" t="s">
        <v>536</v>
      </c>
      <c r="F221" s="1" t="s">
        <v>16</v>
      </c>
      <c r="G221" s="1" t="s">
        <v>27</v>
      </c>
      <c r="H221" s="1" t="s">
        <v>28</v>
      </c>
      <c r="I221" s="1" t="s">
        <v>29</v>
      </c>
      <c r="J221" s="1">
        <f>IFERROR(__xludf.DUMMYFUNCTION("""COMPUTED_VALUE"""),268.0)</f>
        <v>268</v>
      </c>
      <c r="K221" s="1">
        <v>95.0</v>
      </c>
      <c r="L221" s="1">
        <f>IFERROR(__xludf.DUMMYFUNCTION("""COMPUTED_VALUE"""),1404.0)</f>
        <v>1404</v>
      </c>
    </row>
    <row r="222">
      <c r="A222" s="1">
        <v>1275918.0</v>
      </c>
      <c r="B222" s="1" t="s">
        <v>537</v>
      </c>
      <c r="C222" s="1" t="s">
        <v>218</v>
      </c>
      <c r="D222" s="1" t="s">
        <v>239</v>
      </c>
      <c r="E222" s="1" t="s">
        <v>538</v>
      </c>
      <c r="F222" s="1" t="s">
        <v>539</v>
      </c>
      <c r="G222" s="1" t="s">
        <v>17</v>
      </c>
      <c r="H222" s="1" t="s">
        <v>18</v>
      </c>
      <c r="I222" s="1" t="s">
        <v>44</v>
      </c>
      <c r="J222" s="1">
        <f>IFERROR(__xludf.DUMMYFUNCTION("""COMPUTED_VALUE"""),69.0)</f>
        <v>69</v>
      </c>
      <c r="K222" s="1">
        <v>22.0</v>
      </c>
      <c r="L222" s="1">
        <f>IFERROR(__xludf.DUMMYFUNCTION("""COMPUTED_VALUE"""),184.0)</f>
        <v>184</v>
      </c>
    </row>
    <row r="223">
      <c r="A223" s="1">
        <v>1275936.0</v>
      </c>
      <c r="B223" s="1" t="s">
        <v>540</v>
      </c>
      <c r="C223" s="1" t="s">
        <v>218</v>
      </c>
      <c r="D223" s="1" t="s">
        <v>239</v>
      </c>
      <c r="E223" s="1" t="s">
        <v>541</v>
      </c>
      <c r="F223" s="1" t="s">
        <v>16</v>
      </c>
      <c r="G223" s="1" t="s">
        <v>17</v>
      </c>
      <c r="H223" s="1" t="s">
        <v>18</v>
      </c>
      <c r="I223" s="1" t="s">
        <v>19</v>
      </c>
      <c r="J223" s="1">
        <f>IFERROR(__xludf.DUMMYFUNCTION("""COMPUTED_VALUE"""),117.0)</f>
        <v>117</v>
      </c>
      <c r="K223" s="1">
        <v>23.0</v>
      </c>
      <c r="L223" s="1">
        <f>IFERROR(__xludf.DUMMYFUNCTION("""COMPUTED_VALUE"""),13.0)</f>
        <v>13</v>
      </c>
    </row>
    <row r="224">
      <c r="A224" s="1">
        <v>1203066.0</v>
      </c>
      <c r="B224" s="1" t="s">
        <v>542</v>
      </c>
      <c r="C224" s="1" t="s">
        <v>218</v>
      </c>
      <c r="D224" s="1" t="s">
        <v>508</v>
      </c>
      <c r="E224" s="1" t="s">
        <v>543</v>
      </c>
      <c r="F224" s="1" t="s">
        <v>16</v>
      </c>
      <c r="G224" s="1" t="s">
        <v>23</v>
      </c>
      <c r="H224" s="1" t="s">
        <v>18</v>
      </c>
      <c r="I224" s="1" t="s">
        <v>40</v>
      </c>
      <c r="J224" s="1">
        <f>IFERROR(__xludf.DUMMYFUNCTION("""COMPUTED_VALUE"""),51.0)</f>
        <v>51</v>
      </c>
      <c r="K224" s="1">
        <v>5.0</v>
      </c>
      <c r="L224" s="1">
        <f>IFERROR(__xludf.DUMMYFUNCTION("""COMPUTED_VALUE"""),182.0)</f>
        <v>182</v>
      </c>
    </row>
    <row r="225">
      <c r="A225" s="1">
        <v>1275852.0</v>
      </c>
      <c r="B225" s="1" t="s">
        <v>544</v>
      </c>
      <c r="C225" s="1" t="s">
        <v>218</v>
      </c>
      <c r="D225" s="1" t="s">
        <v>239</v>
      </c>
      <c r="E225" s="1" t="s">
        <v>545</v>
      </c>
      <c r="F225" s="1" t="s">
        <v>16</v>
      </c>
      <c r="G225" s="1" t="s">
        <v>27</v>
      </c>
      <c r="H225" s="1" t="s">
        <v>18</v>
      </c>
      <c r="I225" s="1" t="s">
        <v>19</v>
      </c>
      <c r="J225" s="1">
        <f>IFERROR(__xludf.DUMMYFUNCTION("""COMPUTED_VALUE"""),227.0)</f>
        <v>227</v>
      </c>
      <c r="K225" s="1">
        <v>136.0</v>
      </c>
      <c r="L225" s="1">
        <f>IFERROR(__xludf.DUMMYFUNCTION("""COMPUTED_VALUE"""),856.0)</f>
        <v>856</v>
      </c>
    </row>
    <row r="226">
      <c r="A226" s="1">
        <v>1275600.0</v>
      </c>
      <c r="B226" s="1" t="s">
        <v>546</v>
      </c>
      <c r="C226" s="1" t="s">
        <v>218</v>
      </c>
      <c r="D226" s="1" t="s">
        <v>239</v>
      </c>
      <c r="E226" s="1" t="s">
        <v>547</v>
      </c>
      <c r="F226" s="1" t="s">
        <v>16</v>
      </c>
      <c r="G226" s="1" t="s">
        <v>17</v>
      </c>
      <c r="H226" s="1" t="s">
        <v>18</v>
      </c>
      <c r="I226" s="1" t="s">
        <v>44</v>
      </c>
      <c r="J226" s="1">
        <f>IFERROR(__xludf.DUMMYFUNCTION("""COMPUTED_VALUE"""),116.0)</f>
        <v>116</v>
      </c>
      <c r="K226" s="1">
        <v>34.0</v>
      </c>
      <c r="L226" s="1">
        <f>IFERROR(__xludf.DUMMYFUNCTION("""COMPUTED_VALUE"""),135.0)</f>
        <v>135</v>
      </c>
    </row>
    <row r="227">
      <c r="A227" s="1">
        <v>1207015.0</v>
      </c>
      <c r="B227" s="1" t="s">
        <v>548</v>
      </c>
      <c r="C227" s="1" t="s">
        <v>218</v>
      </c>
      <c r="D227" s="1" t="s">
        <v>260</v>
      </c>
      <c r="E227" s="1" t="s">
        <v>549</v>
      </c>
      <c r="F227" s="1" t="s">
        <v>16</v>
      </c>
      <c r="G227" s="1" t="s">
        <v>27</v>
      </c>
      <c r="H227" s="1" t="s">
        <v>28</v>
      </c>
      <c r="I227" s="1" t="s">
        <v>40</v>
      </c>
      <c r="J227" s="1">
        <f>IFERROR(__xludf.DUMMYFUNCTION("""COMPUTED_VALUE"""),220.0)</f>
        <v>220</v>
      </c>
      <c r="K227" s="1">
        <v>97.0</v>
      </c>
      <c r="L227" s="1">
        <f>IFERROR(__xludf.DUMMYFUNCTION("""COMPUTED_VALUE"""),590.0)</f>
        <v>590</v>
      </c>
    </row>
    <row r="228">
      <c r="A228" s="1">
        <v>1273119.0</v>
      </c>
      <c r="B228" s="1" t="s">
        <v>550</v>
      </c>
      <c r="C228" s="1" t="s">
        <v>218</v>
      </c>
      <c r="D228" s="1" t="s">
        <v>231</v>
      </c>
      <c r="E228" s="1" t="s">
        <v>551</v>
      </c>
      <c r="F228" s="1" t="s">
        <v>16</v>
      </c>
      <c r="G228" s="1" t="s">
        <v>17</v>
      </c>
      <c r="H228" s="1" t="s">
        <v>18</v>
      </c>
      <c r="I228" s="1" t="s">
        <v>19</v>
      </c>
      <c r="J228" s="1">
        <f>IFERROR(__xludf.DUMMYFUNCTION("""COMPUTED_VALUE"""),183.0)</f>
        <v>183</v>
      </c>
      <c r="K228" s="1">
        <v>33.0</v>
      </c>
      <c r="L228" s="1">
        <f>IFERROR(__xludf.DUMMYFUNCTION("""COMPUTED_VALUE"""),182.0)</f>
        <v>182</v>
      </c>
    </row>
    <row r="229">
      <c r="A229" s="1">
        <v>1274062.0</v>
      </c>
      <c r="B229" s="1" t="s">
        <v>552</v>
      </c>
      <c r="C229" s="1" t="s">
        <v>218</v>
      </c>
      <c r="D229" s="1" t="s">
        <v>300</v>
      </c>
      <c r="E229" s="1" t="s">
        <v>553</v>
      </c>
      <c r="F229" s="1" t="s">
        <v>16</v>
      </c>
      <c r="G229" s="1" t="s">
        <v>23</v>
      </c>
      <c r="H229" s="1" t="s">
        <v>18</v>
      </c>
      <c r="I229" s="1" t="s">
        <v>59</v>
      </c>
      <c r="J229" s="1">
        <f>IFERROR(__xludf.DUMMYFUNCTION("""COMPUTED_VALUE"""),54.0)</f>
        <v>54</v>
      </c>
      <c r="K229" s="1">
        <v>9.0</v>
      </c>
      <c r="L229" s="1">
        <f>IFERROR(__xludf.DUMMYFUNCTION("""COMPUTED_VALUE"""),6.0)</f>
        <v>6</v>
      </c>
    </row>
    <row r="230">
      <c r="A230" s="1">
        <v>1211127.0</v>
      </c>
      <c r="B230" s="1" t="s">
        <v>554</v>
      </c>
      <c r="C230" s="1" t="s">
        <v>218</v>
      </c>
      <c r="D230" s="1" t="s">
        <v>286</v>
      </c>
      <c r="E230" s="1" t="s">
        <v>555</v>
      </c>
      <c r="F230" s="1" t="s">
        <v>55</v>
      </c>
      <c r="G230" s="1" t="s">
        <v>17</v>
      </c>
      <c r="H230" s="1" t="s">
        <v>18</v>
      </c>
      <c r="I230" s="1" t="s">
        <v>19</v>
      </c>
      <c r="J230" s="1">
        <f>IFERROR(__xludf.DUMMYFUNCTION("""COMPUTED_VALUE"""),28.0)</f>
        <v>28</v>
      </c>
      <c r="K230" s="1">
        <v>15.0</v>
      </c>
      <c r="L230" s="1">
        <f>IFERROR(__xludf.DUMMYFUNCTION("""COMPUTED_VALUE"""),33.0)</f>
        <v>33</v>
      </c>
    </row>
    <row r="231">
      <c r="A231" s="1">
        <v>1272010.0</v>
      </c>
      <c r="B231" s="1" t="s">
        <v>556</v>
      </c>
      <c r="C231" s="1" t="s">
        <v>218</v>
      </c>
      <c r="D231" s="1" t="s">
        <v>234</v>
      </c>
      <c r="E231" s="1" t="s">
        <v>557</v>
      </c>
      <c r="F231" s="1" t="s">
        <v>16</v>
      </c>
      <c r="G231" s="1" t="s">
        <v>17</v>
      </c>
      <c r="H231" s="1" t="s">
        <v>28</v>
      </c>
      <c r="I231" s="1" t="s">
        <v>29</v>
      </c>
      <c r="J231" s="1">
        <f>IFERROR(__xludf.DUMMYFUNCTION("""COMPUTED_VALUE"""),117.0)</f>
        <v>117</v>
      </c>
      <c r="K231" s="1">
        <v>33.0</v>
      </c>
      <c r="L231" s="1">
        <f>IFERROR(__xludf.DUMMYFUNCTION("""COMPUTED_VALUE"""),257.0)</f>
        <v>257</v>
      </c>
    </row>
    <row r="232">
      <c r="A232" s="1">
        <v>1275931.0</v>
      </c>
      <c r="B232" s="1" t="s">
        <v>558</v>
      </c>
      <c r="C232" s="1" t="s">
        <v>218</v>
      </c>
      <c r="D232" s="1" t="s">
        <v>239</v>
      </c>
      <c r="E232" s="1" t="s">
        <v>559</v>
      </c>
      <c r="F232" s="1" t="s">
        <v>16</v>
      </c>
      <c r="G232" s="1" t="s">
        <v>17</v>
      </c>
      <c r="H232" s="1" t="s">
        <v>18</v>
      </c>
      <c r="I232" s="1" t="s">
        <v>44</v>
      </c>
      <c r="J232" s="1">
        <f>IFERROR(__xludf.DUMMYFUNCTION("""COMPUTED_VALUE"""),175.0)</f>
        <v>175</v>
      </c>
      <c r="K232" s="1">
        <v>75.0</v>
      </c>
      <c r="L232" s="1">
        <f>IFERROR(__xludf.DUMMYFUNCTION("""COMPUTED_VALUE"""),118.0)</f>
        <v>118</v>
      </c>
    </row>
    <row r="233">
      <c r="A233" s="1">
        <v>1212179.0</v>
      </c>
      <c r="B233" s="1" t="s">
        <v>259</v>
      </c>
      <c r="C233" s="1" t="s">
        <v>218</v>
      </c>
      <c r="D233" s="1" t="s">
        <v>225</v>
      </c>
      <c r="E233" s="1" t="s">
        <v>560</v>
      </c>
      <c r="F233" s="1" t="s">
        <v>16</v>
      </c>
      <c r="G233" s="1" t="s">
        <v>17</v>
      </c>
      <c r="H233" s="1" t="s">
        <v>18</v>
      </c>
      <c r="I233" s="1" t="s">
        <v>44</v>
      </c>
      <c r="J233" s="1">
        <f>IFERROR(__xludf.DUMMYFUNCTION("""COMPUTED_VALUE"""),118.0)</f>
        <v>118</v>
      </c>
      <c r="K233" s="1">
        <v>22.0</v>
      </c>
      <c r="L233" s="1">
        <f>IFERROR(__xludf.DUMMYFUNCTION("""COMPUTED_VALUE"""),177.0)</f>
        <v>177</v>
      </c>
    </row>
    <row r="234">
      <c r="A234" s="1">
        <v>1275152.0</v>
      </c>
      <c r="B234" s="1" t="s">
        <v>561</v>
      </c>
      <c r="C234" s="1" t="s">
        <v>218</v>
      </c>
      <c r="D234" s="1" t="s">
        <v>239</v>
      </c>
      <c r="E234" s="1" t="s">
        <v>562</v>
      </c>
      <c r="F234" s="1" t="s">
        <v>16</v>
      </c>
      <c r="G234" s="1" t="s">
        <v>23</v>
      </c>
      <c r="H234" s="1" t="s">
        <v>18</v>
      </c>
      <c r="I234" s="1" t="s">
        <v>563</v>
      </c>
      <c r="J234" s="1">
        <f>IFERROR(__xludf.DUMMYFUNCTION("""COMPUTED_VALUE"""),50.0)</f>
        <v>50</v>
      </c>
      <c r="K234" s="1">
        <v>15.0</v>
      </c>
      <c r="L234" s="1">
        <f>IFERROR(__xludf.DUMMYFUNCTION("""COMPUTED_VALUE"""),52.0)</f>
        <v>52</v>
      </c>
    </row>
    <row r="235">
      <c r="A235" s="1">
        <v>1219015.0</v>
      </c>
      <c r="B235" s="1" t="s">
        <v>564</v>
      </c>
      <c r="C235" s="1" t="s">
        <v>218</v>
      </c>
      <c r="D235" s="1" t="s">
        <v>309</v>
      </c>
      <c r="E235" s="1" t="s">
        <v>565</v>
      </c>
      <c r="F235" s="1" t="s">
        <v>16</v>
      </c>
      <c r="G235" s="1" t="s">
        <v>23</v>
      </c>
      <c r="H235" s="1" t="s">
        <v>18</v>
      </c>
      <c r="I235" s="1" t="s">
        <v>19</v>
      </c>
      <c r="J235" s="1">
        <f>IFERROR(__xludf.DUMMYFUNCTION("""COMPUTED_VALUE"""),95.0)</f>
        <v>95</v>
      </c>
      <c r="K235" s="1">
        <v>11.0</v>
      </c>
      <c r="L235" s="1">
        <f>IFERROR(__xludf.DUMMYFUNCTION("""COMPUTED_VALUE"""),182.0)</f>
        <v>182</v>
      </c>
    </row>
    <row r="236">
      <c r="A236" s="1">
        <v>1203055.0</v>
      </c>
      <c r="B236" s="1" t="s">
        <v>566</v>
      </c>
      <c r="C236" s="1" t="s">
        <v>218</v>
      </c>
      <c r="D236" s="1" t="s">
        <v>567</v>
      </c>
      <c r="E236" s="1" t="s">
        <v>568</v>
      </c>
      <c r="F236" s="1" t="s">
        <v>16</v>
      </c>
      <c r="G236" s="1" t="s">
        <v>17</v>
      </c>
      <c r="H236" s="1" t="s">
        <v>28</v>
      </c>
      <c r="I236" s="1" t="s">
        <v>40</v>
      </c>
      <c r="J236" s="1">
        <f>IFERROR(__xludf.DUMMYFUNCTION("""COMPUTED_VALUE"""),106.0)</f>
        <v>106</v>
      </c>
      <c r="K236" s="1">
        <v>41.0</v>
      </c>
      <c r="L236" s="1">
        <f>IFERROR(__xludf.DUMMYFUNCTION("""COMPUTED_VALUE"""),400.0)</f>
        <v>400</v>
      </c>
    </row>
    <row r="237">
      <c r="A237" s="1">
        <v>1208064.0</v>
      </c>
      <c r="B237" s="1" t="s">
        <v>569</v>
      </c>
      <c r="C237" s="1" t="s">
        <v>218</v>
      </c>
      <c r="D237" s="1" t="s">
        <v>228</v>
      </c>
      <c r="E237" s="1" t="s">
        <v>570</v>
      </c>
      <c r="F237" s="1" t="s">
        <v>16</v>
      </c>
      <c r="G237" s="1" t="s">
        <v>23</v>
      </c>
      <c r="H237" s="1" t="s">
        <v>18</v>
      </c>
      <c r="I237" s="1" t="s">
        <v>44</v>
      </c>
      <c r="J237" s="1">
        <f>IFERROR(__xludf.DUMMYFUNCTION("""COMPUTED_VALUE"""),87.0)</f>
        <v>87</v>
      </c>
      <c r="K237" s="1">
        <v>23.0</v>
      </c>
      <c r="L237" s="1">
        <f>IFERROR(__xludf.DUMMYFUNCTION("""COMPUTED_VALUE"""),25.0)</f>
        <v>25</v>
      </c>
    </row>
    <row r="238">
      <c r="A238" s="1">
        <v>1275794.0</v>
      </c>
      <c r="B238" s="1" t="s">
        <v>571</v>
      </c>
      <c r="C238" s="1" t="s">
        <v>218</v>
      </c>
      <c r="D238" s="1" t="s">
        <v>225</v>
      </c>
      <c r="E238" s="1" t="s">
        <v>572</v>
      </c>
      <c r="F238" s="1" t="s">
        <v>16</v>
      </c>
      <c r="G238" s="1" t="s">
        <v>27</v>
      </c>
      <c r="H238" s="1" t="s">
        <v>28</v>
      </c>
      <c r="I238" s="1" t="s">
        <v>139</v>
      </c>
      <c r="J238" s="1">
        <f>IFERROR(__xludf.DUMMYFUNCTION("""COMPUTED_VALUE"""),260.0)</f>
        <v>260</v>
      </c>
      <c r="K238" s="1">
        <v>138.0</v>
      </c>
      <c r="L238" s="1">
        <f>IFERROR(__xludf.DUMMYFUNCTION("""COMPUTED_VALUE"""),641.0)</f>
        <v>641</v>
      </c>
    </row>
    <row r="239">
      <c r="A239" s="1">
        <v>1275011.0</v>
      </c>
      <c r="B239" s="1" t="s">
        <v>573</v>
      </c>
      <c r="C239" s="1" t="s">
        <v>218</v>
      </c>
      <c r="D239" s="1" t="s">
        <v>239</v>
      </c>
      <c r="E239" s="1" t="s">
        <v>574</v>
      </c>
      <c r="F239" s="1" t="s">
        <v>16</v>
      </c>
      <c r="G239" s="1" t="s">
        <v>17</v>
      </c>
      <c r="H239" s="1" t="s">
        <v>18</v>
      </c>
      <c r="I239" s="1" t="s">
        <v>19</v>
      </c>
      <c r="J239" s="1">
        <f>IFERROR(__xludf.DUMMYFUNCTION("""COMPUTED_VALUE"""),152.0)</f>
        <v>152</v>
      </c>
      <c r="K239" s="1">
        <v>60.0</v>
      </c>
      <c r="L239" s="1">
        <f>IFERROR(__xludf.DUMMYFUNCTION("""COMPUTED_VALUE"""),182.0)</f>
        <v>182</v>
      </c>
    </row>
    <row r="240">
      <c r="A240" s="1">
        <v>1219017.0</v>
      </c>
      <c r="B240" s="1" t="s">
        <v>575</v>
      </c>
      <c r="C240" s="1" t="s">
        <v>218</v>
      </c>
      <c r="D240" s="1" t="s">
        <v>309</v>
      </c>
      <c r="E240" s="1" t="s">
        <v>576</v>
      </c>
      <c r="F240" s="1" t="s">
        <v>16</v>
      </c>
      <c r="G240" s="1" t="s">
        <v>27</v>
      </c>
      <c r="H240" s="1" t="s">
        <v>18</v>
      </c>
      <c r="I240" s="1" t="s">
        <v>44</v>
      </c>
      <c r="J240" s="1">
        <f>IFERROR(__xludf.DUMMYFUNCTION("""COMPUTED_VALUE"""),254.0)</f>
        <v>254</v>
      </c>
      <c r="K240" s="1">
        <v>38.0</v>
      </c>
      <c r="L240" s="1">
        <f>IFERROR(__xludf.DUMMYFUNCTION("""COMPUTED_VALUE"""),182.0)</f>
        <v>182</v>
      </c>
    </row>
    <row r="241">
      <c r="A241" s="1">
        <v>1210010.0</v>
      </c>
      <c r="B241" s="1" t="s">
        <v>577</v>
      </c>
      <c r="C241" s="1" t="s">
        <v>218</v>
      </c>
      <c r="D241" s="1" t="s">
        <v>291</v>
      </c>
      <c r="E241" s="1" t="s">
        <v>578</v>
      </c>
      <c r="F241" s="1" t="s">
        <v>16</v>
      </c>
      <c r="G241" s="1" t="s">
        <v>17</v>
      </c>
      <c r="H241" s="1" t="s">
        <v>28</v>
      </c>
      <c r="I241" s="1" t="s">
        <v>40</v>
      </c>
      <c r="J241" s="1">
        <f>IFERROR(__xludf.DUMMYFUNCTION("""COMPUTED_VALUE"""),150.0)</f>
        <v>150</v>
      </c>
      <c r="K241" s="1">
        <v>26.0</v>
      </c>
      <c r="L241" s="1">
        <f>IFERROR(__xludf.DUMMYFUNCTION("""COMPUTED_VALUE"""),431.0)</f>
        <v>431</v>
      </c>
    </row>
    <row r="242">
      <c r="A242" s="1">
        <v>1223005.0</v>
      </c>
      <c r="B242" s="1" t="s">
        <v>579</v>
      </c>
      <c r="C242" s="1" t="s">
        <v>218</v>
      </c>
      <c r="D242" s="1" t="s">
        <v>419</v>
      </c>
      <c r="E242" s="1" t="s">
        <v>580</v>
      </c>
      <c r="F242" s="1" t="s">
        <v>16</v>
      </c>
      <c r="G242" s="1" t="s">
        <v>23</v>
      </c>
      <c r="H242" s="1" t="s">
        <v>33</v>
      </c>
      <c r="I242" s="1" t="s">
        <v>163</v>
      </c>
      <c r="J242" s="1">
        <f>IFERROR(__xludf.DUMMYFUNCTION("""COMPUTED_VALUE"""),70.0)</f>
        <v>70</v>
      </c>
      <c r="K242" s="1">
        <v>17.0</v>
      </c>
      <c r="L242" s="1">
        <f>IFERROR(__xludf.DUMMYFUNCTION("""COMPUTED_VALUE"""),32.0)</f>
        <v>32</v>
      </c>
    </row>
    <row r="243">
      <c r="A243" s="1">
        <v>1212136.0</v>
      </c>
      <c r="B243" s="1" t="s">
        <v>581</v>
      </c>
      <c r="C243" s="1" t="s">
        <v>218</v>
      </c>
      <c r="D243" s="1" t="s">
        <v>225</v>
      </c>
      <c r="E243" s="1" t="s">
        <v>582</v>
      </c>
      <c r="F243" s="1" t="s">
        <v>16</v>
      </c>
      <c r="G243" s="1" t="s">
        <v>17</v>
      </c>
      <c r="H243" s="1" t="s">
        <v>18</v>
      </c>
      <c r="I243" s="1" t="s">
        <v>59</v>
      </c>
      <c r="J243" s="1">
        <f>IFERROR(__xludf.DUMMYFUNCTION("""COMPUTED_VALUE"""),110.0)</f>
        <v>110</v>
      </c>
      <c r="K243" s="1">
        <v>40.0</v>
      </c>
      <c r="L243" s="1">
        <f>IFERROR(__xludf.DUMMYFUNCTION("""COMPUTED_VALUE"""),113.0)</f>
        <v>113</v>
      </c>
    </row>
    <row r="244">
      <c r="A244" s="1">
        <v>1221002.0</v>
      </c>
      <c r="B244" s="1" t="s">
        <v>583</v>
      </c>
      <c r="C244" s="1" t="s">
        <v>218</v>
      </c>
      <c r="D244" s="1" t="s">
        <v>567</v>
      </c>
      <c r="E244" s="1" t="s">
        <v>584</v>
      </c>
      <c r="F244" s="1" t="s">
        <v>16</v>
      </c>
      <c r="G244" s="1" t="s">
        <v>23</v>
      </c>
      <c r="H244" s="1" t="s">
        <v>18</v>
      </c>
      <c r="I244" s="1" t="s">
        <v>19</v>
      </c>
      <c r="J244" s="1">
        <f>IFERROR(__xludf.DUMMYFUNCTION("""COMPUTED_VALUE"""),62.0)</f>
        <v>62</v>
      </c>
      <c r="K244" s="1">
        <v>20.0</v>
      </c>
      <c r="L244" s="1">
        <f>IFERROR(__xludf.DUMMYFUNCTION("""COMPUTED_VALUE"""),96.0)</f>
        <v>96</v>
      </c>
    </row>
    <row r="245">
      <c r="A245" s="1">
        <v>1275046.0</v>
      </c>
      <c r="B245" s="1" t="s">
        <v>585</v>
      </c>
      <c r="C245" s="1" t="s">
        <v>218</v>
      </c>
      <c r="D245" s="1" t="s">
        <v>239</v>
      </c>
      <c r="E245" s="1" t="s">
        <v>586</v>
      </c>
      <c r="F245" s="1" t="s">
        <v>16</v>
      </c>
      <c r="G245" s="1" t="s">
        <v>27</v>
      </c>
      <c r="H245" s="1" t="s">
        <v>33</v>
      </c>
      <c r="I245" s="1" t="s">
        <v>65</v>
      </c>
      <c r="J245" s="1">
        <f>IFERROR(__xludf.DUMMYFUNCTION("""COMPUTED_VALUE"""),205.0)</f>
        <v>205</v>
      </c>
      <c r="K245" s="1">
        <v>55.0</v>
      </c>
      <c r="L245" s="1">
        <f>IFERROR(__xludf.DUMMYFUNCTION("""COMPUTED_VALUE"""),72.0)</f>
        <v>72</v>
      </c>
    </row>
    <row r="246">
      <c r="A246" s="1">
        <v>1225013.0</v>
      </c>
      <c r="B246" s="1" t="s">
        <v>587</v>
      </c>
      <c r="C246" s="1" t="s">
        <v>218</v>
      </c>
      <c r="D246" s="1" t="s">
        <v>276</v>
      </c>
      <c r="E246" s="1" t="s">
        <v>588</v>
      </c>
      <c r="F246" s="1" t="s">
        <v>16</v>
      </c>
      <c r="G246" s="1" t="s">
        <v>98</v>
      </c>
      <c r="H246" s="1" t="s">
        <v>18</v>
      </c>
      <c r="I246" s="1" t="s">
        <v>40</v>
      </c>
      <c r="J246" s="1">
        <f>IFERROR(__xludf.DUMMYFUNCTION("""COMPUTED_VALUE"""),84.0)</f>
        <v>84</v>
      </c>
      <c r="K246" s="1">
        <v>14.0</v>
      </c>
      <c r="L246" s="1">
        <f>IFERROR(__xludf.DUMMYFUNCTION("""COMPUTED_VALUE"""),182.0)</f>
        <v>182</v>
      </c>
    </row>
    <row r="247">
      <c r="A247" s="1">
        <v>1275898.0</v>
      </c>
      <c r="B247" s="1" t="s">
        <v>589</v>
      </c>
      <c r="C247" s="1" t="s">
        <v>218</v>
      </c>
      <c r="D247" s="1" t="s">
        <v>239</v>
      </c>
      <c r="E247" s="1" t="s">
        <v>590</v>
      </c>
      <c r="F247" s="1" t="s">
        <v>272</v>
      </c>
      <c r="G247" s="1" t="s">
        <v>17</v>
      </c>
      <c r="H247" s="1" t="s">
        <v>18</v>
      </c>
      <c r="I247" s="1" t="s">
        <v>44</v>
      </c>
      <c r="J247" s="1">
        <f>IFERROR(__xludf.DUMMYFUNCTION("""COMPUTED_VALUE"""),16.0)</f>
        <v>16</v>
      </c>
      <c r="K247" s="1">
        <v>19.0</v>
      </c>
      <c r="L247" s="1">
        <f>IFERROR(__xludf.DUMMYFUNCTION("""COMPUTED_VALUE"""),169.0)</f>
        <v>169</v>
      </c>
    </row>
    <row r="248">
      <c r="A248" s="1">
        <v>1218029.0</v>
      </c>
      <c r="B248" s="1" t="s">
        <v>591</v>
      </c>
      <c r="C248" s="1" t="s">
        <v>218</v>
      </c>
      <c r="D248" s="1" t="s">
        <v>344</v>
      </c>
      <c r="E248" s="1" t="s">
        <v>592</v>
      </c>
      <c r="F248" s="1" t="s">
        <v>16</v>
      </c>
      <c r="G248" s="1" t="s">
        <v>23</v>
      </c>
      <c r="H248" s="1" t="s">
        <v>18</v>
      </c>
      <c r="I248" s="1" t="s">
        <v>19</v>
      </c>
      <c r="J248" s="1">
        <f>IFERROR(__xludf.DUMMYFUNCTION("""COMPUTED_VALUE"""),47.0)</f>
        <v>47</v>
      </c>
      <c r="K248" s="1">
        <v>28.0</v>
      </c>
      <c r="L248" s="1">
        <f>IFERROR(__xludf.DUMMYFUNCTION("""COMPUTED_VALUE"""),1.0)</f>
        <v>1</v>
      </c>
    </row>
    <row r="249">
      <c r="A249" s="1">
        <v>1212185.0</v>
      </c>
      <c r="B249" s="1" t="s">
        <v>593</v>
      </c>
      <c r="C249" s="1" t="s">
        <v>218</v>
      </c>
      <c r="D249" s="1" t="s">
        <v>225</v>
      </c>
      <c r="E249" s="1" t="s">
        <v>594</v>
      </c>
      <c r="F249" s="1" t="s">
        <v>16</v>
      </c>
      <c r="G249" s="1" t="s">
        <v>17</v>
      </c>
      <c r="H249" s="1" t="s">
        <v>28</v>
      </c>
      <c r="I249" s="1" t="s">
        <v>40</v>
      </c>
      <c r="J249" s="1">
        <f>IFERROR(__xludf.DUMMYFUNCTION("""COMPUTED_VALUE"""),110.0)</f>
        <v>110</v>
      </c>
      <c r="K249" s="1">
        <v>21.0</v>
      </c>
      <c r="L249" s="1">
        <f>IFERROR(__xludf.DUMMYFUNCTION("""COMPUTED_VALUE"""),72.0)</f>
        <v>72</v>
      </c>
    </row>
    <row r="250">
      <c r="A250" s="1">
        <v>1275885.0</v>
      </c>
      <c r="B250" s="1" t="s">
        <v>595</v>
      </c>
      <c r="C250" s="1" t="s">
        <v>218</v>
      </c>
      <c r="D250" s="1" t="s">
        <v>239</v>
      </c>
      <c r="E250" s="1" t="s">
        <v>596</v>
      </c>
      <c r="F250" s="1" t="s">
        <v>16</v>
      </c>
      <c r="G250" s="1" t="s">
        <v>23</v>
      </c>
      <c r="H250" s="1" t="s">
        <v>18</v>
      </c>
      <c r="I250" s="1" t="s">
        <v>59</v>
      </c>
      <c r="J250" s="1">
        <f>IFERROR(__xludf.DUMMYFUNCTION("""COMPUTED_VALUE"""),62.0)</f>
        <v>62</v>
      </c>
      <c r="K250" s="1">
        <v>28.0</v>
      </c>
      <c r="L250" s="1">
        <f>IFERROR(__xludf.DUMMYFUNCTION("""COMPUTED_VALUE"""),81.0)</f>
        <v>81</v>
      </c>
    </row>
    <row r="251">
      <c r="A251" s="1">
        <v>1275633.0</v>
      </c>
      <c r="B251" s="1" t="s">
        <v>597</v>
      </c>
      <c r="C251" s="1" t="s">
        <v>218</v>
      </c>
      <c r="D251" s="1" t="s">
        <v>239</v>
      </c>
      <c r="E251" s="1" t="s">
        <v>598</v>
      </c>
      <c r="F251" s="1" t="s">
        <v>16</v>
      </c>
      <c r="G251" s="1" t="s">
        <v>17</v>
      </c>
      <c r="H251" s="1" t="s">
        <v>18</v>
      </c>
      <c r="I251" s="1" t="s">
        <v>44</v>
      </c>
      <c r="J251" s="1">
        <f>IFERROR(__xludf.DUMMYFUNCTION("""COMPUTED_VALUE"""),156.0)</f>
        <v>156</v>
      </c>
      <c r="K251" s="1">
        <v>66.0</v>
      </c>
      <c r="L251" s="1">
        <f>IFERROR(__xludf.DUMMYFUNCTION("""COMPUTED_VALUE"""),403.0)</f>
        <v>403</v>
      </c>
    </row>
    <row r="252">
      <c r="A252" s="1">
        <v>1275914.0</v>
      </c>
      <c r="B252" s="1" t="s">
        <v>599</v>
      </c>
      <c r="C252" s="1" t="s">
        <v>218</v>
      </c>
      <c r="D252" s="1" t="s">
        <v>239</v>
      </c>
      <c r="E252" s="1" t="s">
        <v>600</v>
      </c>
      <c r="F252" s="1" t="s">
        <v>272</v>
      </c>
      <c r="G252" s="1" t="s">
        <v>17</v>
      </c>
      <c r="H252" s="1" t="s">
        <v>18</v>
      </c>
      <c r="I252" s="1" t="s">
        <v>19</v>
      </c>
      <c r="J252" s="1">
        <f>IFERROR(__xludf.DUMMYFUNCTION("""COMPUTED_VALUE"""),16.0)</f>
        <v>16</v>
      </c>
      <c r="K252" s="1">
        <v>17.0</v>
      </c>
      <c r="L252" s="1">
        <f>IFERROR(__xludf.DUMMYFUNCTION("""COMPUTED_VALUE"""),51.0)</f>
        <v>51</v>
      </c>
    </row>
    <row r="253">
      <c r="A253" s="1">
        <v>1208016.0</v>
      </c>
      <c r="B253" s="1" t="s">
        <v>601</v>
      </c>
      <c r="C253" s="1" t="s">
        <v>218</v>
      </c>
      <c r="D253" s="1" t="s">
        <v>228</v>
      </c>
      <c r="E253" s="1" t="s">
        <v>602</v>
      </c>
      <c r="F253" s="1" t="s">
        <v>16</v>
      </c>
      <c r="G253" s="1" t="s">
        <v>17</v>
      </c>
      <c r="H253" s="1" t="s">
        <v>28</v>
      </c>
      <c r="I253" s="1" t="s">
        <v>40</v>
      </c>
      <c r="J253" s="1">
        <f>IFERROR(__xludf.DUMMYFUNCTION("""COMPUTED_VALUE"""),121.0)</f>
        <v>121</v>
      </c>
      <c r="K253" s="1">
        <v>42.0</v>
      </c>
      <c r="L253" s="1">
        <f>IFERROR(__xludf.DUMMYFUNCTION("""COMPUTED_VALUE"""),119.0)</f>
        <v>119</v>
      </c>
    </row>
    <row r="254">
      <c r="A254" s="1">
        <v>1271033.0</v>
      </c>
      <c r="B254" s="1" t="s">
        <v>603</v>
      </c>
      <c r="C254" s="1" t="s">
        <v>218</v>
      </c>
      <c r="D254" s="1" t="s">
        <v>322</v>
      </c>
      <c r="E254" s="1" t="s">
        <v>604</v>
      </c>
      <c r="F254" s="1" t="s">
        <v>16</v>
      </c>
      <c r="G254" s="1" t="s">
        <v>17</v>
      </c>
      <c r="H254" s="1" t="s">
        <v>18</v>
      </c>
      <c r="I254" s="1" t="s">
        <v>19</v>
      </c>
      <c r="J254" s="1">
        <f>IFERROR(__xludf.DUMMYFUNCTION("""COMPUTED_VALUE"""),110.0)</f>
        <v>110</v>
      </c>
      <c r="K254" s="1">
        <v>74.0</v>
      </c>
      <c r="L254" s="1">
        <f>IFERROR(__xludf.DUMMYFUNCTION("""COMPUTED_VALUE"""),157.0)</f>
        <v>157</v>
      </c>
    </row>
    <row r="255">
      <c r="A255" s="1">
        <v>1275889.0</v>
      </c>
      <c r="B255" s="1" t="s">
        <v>605</v>
      </c>
      <c r="C255" s="1" t="s">
        <v>218</v>
      </c>
      <c r="D255" s="1" t="s">
        <v>239</v>
      </c>
      <c r="E255" s="1" t="s">
        <v>606</v>
      </c>
      <c r="F255" s="1" t="s">
        <v>16</v>
      </c>
      <c r="G255" s="1" t="s">
        <v>150</v>
      </c>
      <c r="H255" s="1" t="s">
        <v>18</v>
      </c>
      <c r="I255" s="1" t="s">
        <v>44</v>
      </c>
      <c r="J255" s="1">
        <f>IFERROR(__xludf.DUMMYFUNCTION("""COMPUTED_VALUE"""),339.0)</f>
        <v>339</v>
      </c>
      <c r="K255" s="1">
        <v>121.0</v>
      </c>
      <c r="L255" s="1">
        <f>IFERROR(__xludf.DUMMYFUNCTION("""COMPUTED_VALUE"""),826.0)</f>
        <v>826</v>
      </c>
    </row>
    <row r="256">
      <c r="A256" s="1">
        <v>1214011.0</v>
      </c>
      <c r="B256" s="1" t="s">
        <v>607</v>
      </c>
      <c r="C256" s="1" t="s">
        <v>218</v>
      </c>
      <c r="D256" s="1" t="s">
        <v>251</v>
      </c>
      <c r="E256" s="1" t="s">
        <v>608</v>
      </c>
      <c r="F256" s="1" t="s">
        <v>16</v>
      </c>
      <c r="G256" s="1" t="s">
        <v>23</v>
      </c>
      <c r="H256" s="1" t="s">
        <v>18</v>
      </c>
      <c r="I256" s="1" t="s">
        <v>249</v>
      </c>
      <c r="J256" s="1">
        <f>IFERROR(__xludf.DUMMYFUNCTION("""COMPUTED_VALUE"""),50.0)</f>
        <v>50</v>
      </c>
      <c r="K256" s="1">
        <v>21.0</v>
      </c>
      <c r="L256" s="1">
        <f>IFERROR(__xludf.DUMMYFUNCTION("""COMPUTED_VALUE"""),21.0)</f>
        <v>21</v>
      </c>
    </row>
    <row r="257">
      <c r="A257" s="1">
        <v>1213058.0</v>
      </c>
      <c r="B257" s="1" t="s">
        <v>609</v>
      </c>
      <c r="C257" s="1" t="s">
        <v>218</v>
      </c>
      <c r="D257" s="1" t="s">
        <v>222</v>
      </c>
      <c r="E257" s="1" t="s">
        <v>610</v>
      </c>
      <c r="F257" s="1" t="s">
        <v>16</v>
      </c>
      <c r="G257" s="1" t="s">
        <v>23</v>
      </c>
      <c r="H257" s="1" t="s">
        <v>18</v>
      </c>
      <c r="I257" s="1" t="s">
        <v>44</v>
      </c>
      <c r="J257" s="1">
        <f>IFERROR(__xludf.DUMMYFUNCTION("""COMPUTED_VALUE"""),66.0)</f>
        <v>66</v>
      </c>
      <c r="K257" s="1">
        <v>19.0</v>
      </c>
      <c r="L257" s="1">
        <f>IFERROR(__xludf.DUMMYFUNCTION("""COMPUTED_VALUE"""),34.0)</f>
        <v>34</v>
      </c>
    </row>
    <row r="258">
      <c r="A258" s="1">
        <v>1273108.0</v>
      </c>
      <c r="B258" s="1" t="s">
        <v>611</v>
      </c>
      <c r="C258" s="1" t="s">
        <v>218</v>
      </c>
      <c r="D258" s="1" t="s">
        <v>231</v>
      </c>
      <c r="E258" s="1" t="s">
        <v>612</v>
      </c>
      <c r="F258" s="1" t="s">
        <v>16</v>
      </c>
      <c r="G258" s="1" t="s">
        <v>23</v>
      </c>
      <c r="H258" s="1" t="s">
        <v>18</v>
      </c>
      <c r="I258" s="1" t="s">
        <v>19</v>
      </c>
      <c r="J258" s="1">
        <f>IFERROR(__xludf.DUMMYFUNCTION("""COMPUTED_VALUE"""),44.0)</f>
        <v>44</v>
      </c>
      <c r="K258" s="1">
        <v>14.0</v>
      </c>
      <c r="L258" s="1">
        <f>IFERROR(__xludf.DUMMYFUNCTION("""COMPUTED_VALUE"""),47.0)</f>
        <v>47</v>
      </c>
    </row>
    <row r="259">
      <c r="A259" s="1">
        <v>1273022.0</v>
      </c>
      <c r="B259" s="1" t="s">
        <v>613</v>
      </c>
      <c r="C259" s="1" t="s">
        <v>218</v>
      </c>
      <c r="D259" s="1" t="s">
        <v>231</v>
      </c>
      <c r="E259" s="1" t="s">
        <v>614</v>
      </c>
      <c r="F259" s="1" t="s">
        <v>16</v>
      </c>
      <c r="G259" s="1" t="s">
        <v>17</v>
      </c>
      <c r="H259" s="1" t="s">
        <v>18</v>
      </c>
      <c r="I259" s="1" t="s">
        <v>74</v>
      </c>
      <c r="J259" s="1">
        <f>IFERROR(__xludf.DUMMYFUNCTION("""COMPUTED_VALUE"""),177.0)</f>
        <v>177</v>
      </c>
      <c r="K259" s="1">
        <v>31.0</v>
      </c>
      <c r="L259" s="1">
        <f>IFERROR(__xludf.DUMMYFUNCTION("""COMPUTED_VALUE"""),366.0)</f>
        <v>366</v>
      </c>
    </row>
    <row r="260">
      <c r="A260" s="1">
        <v>1275221.0</v>
      </c>
      <c r="B260" s="1" t="s">
        <v>615</v>
      </c>
      <c r="C260" s="1" t="s">
        <v>218</v>
      </c>
      <c r="D260" s="1" t="s">
        <v>239</v>
      </c>
      <c r="E260" s="1" t="s">
        <v>616</v>
      </c>
      <c r="F260" s="1" t="s">
        <v>174</v>
      </c>
      <c r="G260" s="1" t="s">
        <v>150</v>
      </c>
      <c r="H260" s="1" t="s">
        <v>18</v>
      </c>
      <c r="I260" s="1" t="s">
        <v>139</v>
      </c>
      <c r="J260" s="1">
        <f>IFERROR(__xludf.DUMMYFUNCTION("""COMPUTED_VALUE"""),450.0)</f>
        <v>450</v>
      </c>
      <c r="K260" s="1">
        <v>30.0</v>
      </c>
      <c r="L260" s="1">
        <f>IFERROR(__xludf.DUMMYFUNCTION("""COMPUTED_VALUE"""),441.0)</f>
        <v>441</v>
      </c>
    </row>
    <row r="261">
      <c r="A261" s="1">
        <v>1275890.0</v>
      </c>
      <c r="B261" s="1" t="s">
        <v>617</v>
      </c>
      <c r="C261" s="1" t="s">
        <v>218</v>
      </c>
      <c r="D261" s="1" t="s">
        <v>239</v>
      </c>
      <c r="E261" s="1" t="s">
        <v>618</v>
      </c>
      <c r="F261" s="1" t="s">
        <v>16</v>
      </c>
      <c r="G261" s="1" t="s">
        <v>17</v>
      </c>
      <c r="H261" s="1" t="s">
        <v>18</v>
      </c>
      <c r="I261" s="1" t="s">
        <v>44</v>
      </c>
      <c r="J261" s="1">
        <f>IFERROR(__xludf.DUMMYFUNCTION("""COMPUTED_VALUE"""),269.0)</f>
        <v>269</v>
      </c>
      <c r="K261" s="1">
        <v>91.0</v>
      </c>
      <c r="L261" s="1">
        <f>IFERROR(__xludf.DUMMYFUNCTION("""COMPUTED_VALUE"""),710.0)</f>
        <v>710</v>
      </c>
    </row>
    <row r="262">
      <c r="A262" s="1">
        <v>1202029.0</v>
      </c>
      <c r="B262" s="1" t="s">
        <v>619</v>
      </c>
      <c r="C262" s="1" t="s">
        <v>218</v>
      </c>
      <c r="D262" s="1" t="s">
        <v>263</v>
      </c>
      <c r="E262" s="1" t="s">
        <v>620</v>
      </c>
      <c r="F262" s="1" t="s">
        <v>16</v>
      </c>
      <c r="G262" s="1" t="s">
        <v>17</v>
      </c>
      <c r="H262" s="1" t="s">
        <v>18</v>
      </c>
      <c r="I262" s="1" t="s">
        <v>59</v>
      </c>
      <c r="J262" s="1">
        <f>IFERROR(__xludf.DUMMYFUNCTION("""COMPUTED_VALUE"""),102.0)</f>
        <v>102</v>
      </c>
      <c r="K262" s="1">
        <v>26.0</v>
      </c>
      <c r="L262" s="1">
        <f>IFERROR(__xludf.DUMMYFUNCTION("""COMPUTED_VALUE"""),182.0)</f>
        <v>182</v>
      </c>
    </row>
    <row r="263">
      <c r="A263" s="1">
        <v>1212183.0</v>
      </c>
      <c r="B263" s="1" t="s">
        <v>621</v>
      </c>
      <c r="C263" s="1" t="s">
        <v>218</v>
      </c>
      <c r="D263" s="1" t="s">
        <v>225</v>
      </c>
      <c r="E263" s="1" t="s">
        <v>622</v>
      </c>
      <c r="F263" s="1" t="s">
        <v>16</v>
      </c>
      <c r="G263" s="1" t="s">
        <v>17</v>
      </c>
      <c r="H263" s="1" t="s">
        <v>18</v>
      </c>
      <c r="I263" s="1" t="s">
        <v>44</v>
      </c>
      <c r="J263" s="1">
        <f>IFERROR(__xludf.DUMMYFUNCTION("""COMPUTED_VALUE"""),100.0)</f>
        <v>100</v>
      </c>
      <c r="K263" s="1">
        <v>30.0</v>
      </c>
      <c r="L263" s="1">
        <f>IFERROR(__xludf.DUMMYFUNCTION("""COMPUTED_VALUE"""),10.0)</f>
        <v>10</v>
      </c>
    </row>
    <row r="264">
      <c r="A264" s="1">
        <v>1205013.0</v>
      </c>
      <c r="B264" s="1" t="s">
        <v>623</v>
      </c>
      <c r="C264" s="1" t="s">
        <v>218</v>
      </c>
      <c r="D264" s="1" t="s">
        <v>247</v>
      </c>
      <c r="E264" s="1" t="s">
        <v>624</v>
      </c>
      <c r="F264" s="1" t="s">
        <v>16</v>
      </c>
      <c r="G264" s="1" t="s">
        <v>27</v>
      </c>
      <c r="H264" s="1" t="s">
        <v>28</v>
      </c>
      <c r="I264" s="1" t="s">
        <v>40</v>
      </c>
      <c r="J264" s="1">
        <f>IFERROR(__xludf.DUMMYFUNCTION("""COMPUTED_VALUE"""),204.0)</f>
        <v>204</v>
      </c>
      <c r="K264" s="1">
        <v>106.0</v>
      </c>
      <c r="L264" s="1">
        <f>IFERROR(__xludf.DUMMYFUNCTION("""COMPUTED_VALUE"""),738.0)</f>
        <v>738</v>
      </c>
    </row>
    <row r="265">
      <c r="A265" s="1">
        <v>1211033.0</v>
      </c>
      <c r="B265" s="1" t="s">
        <v>625</v>
      </c>
      <c r="C265" s="1" t="s">
        <v>218</v>
      </c>
      <c r="D265" s="1" t="s">
        <v>286</v>
      </c>
      <c r="E265" s="1" t="s">
        <v>626</v>
      </c>
      <c r="F265" s="1" t="s">
        <v>16</v>
      </c>
      <c r="G265" s="1" t="s">
        <v>17</v>
      </c>
      <c r="H265" s="1" t="s">
        <v>18</v>
      </c>
      <c r="I265" s="1" t="s">
        <v>139</v>
      </c>
      <c r="J265" s="1">
        <f>IFERROR(__xludf.DUMMYFUNCTION("""COMPUTED_VALUE"""),51.0)</f>
        <v>51</v>
      </c>
      <c r="K265" s="1">
        <v>17.0</v>
      </c>
      <c r="L265" s="1">
        <f>IFERROR(__xludf.DUMMYFUNCTION("""COMPUTED_VALUE"""),31.0)</f>
        <v>31</v>
      </c>
    </row>
    <row r="266">
      <c r="A266" s="1">
        <v>1206063.0</v>
      </c>
      <c r="B266" s="1" t="s">
        <v>627</v>
      </c>
      <c r="C266" s="1" t="s">
        <v>218</v>
      </c>
      <c r="D266" s="1" t="s">
        <v>367</v>
      </c>
      <c r="E266" s="1" t="s">
        <v>628</v>
      </c>
      <c r="F266" s="1" t="s">
        <v>16</v>
      </c>
      <c r="G266" s="1" t="s">
        <v>23</v>
      </c>
      <c r="H266" s="1" t="s">
        <v>18</v>
      </c>
      <c r="I266" s="1" t="s">
        <v>44</v>
      </c>
      <c r="J266" s="1">
        <f>IFERROR(__xludf.DUMMYFUNCTION("""COMPUTED_VALUE"""),108.0)</f>
        <v>108</v>
      </c>
      <c r="K266" s="1">
        <v>25.0</v>
      </c>
      <c r="L266" s="1">
        <f>IFERROR(__xludf.DUMMYFUNCTION("""COMPUTED_VALUE"""),151.0)</f>
        <v>151</v>
      </c>
    </row>
    <row r="267">
      <c r="A267" s="1">
        <v>1208057.0</v>
      </c>
      <c r="B267" s="1" t="s">
        <v>629</v>
      </c>
      <c r="C267" s="1" t="s">
        <v>218</v>
      </c>
      <c r="D267" s="1" t="s">
        <v>228</v>
      </c>
      <c r="E267" s="1" t="s">
        <v>630</v>
      </c>
      <c r="F267" s="1" t="s">
        <v>16</v>
      </c>
      <c r="G267" s="1" t="s">
        <v>23</v>
      </c>
      <c r="H267" s="1" t="s">
        <v>18</v>
      </c>
      <c r="I267" s="1" t="s">
        <v>19</v>
      </c>
      <c r="J267" s="1">
        <f>IFERROR(__xludf.DUMMYFUNCTION("""COMPUTED_VALUE"""),92.0)</f>
        <v>92</v>
      </c>
      <c r="K267" s="1">
        <v>25.0</v>
      </c>
      <c r="L267" s="1">
        <f>IFERROR(__xludf.DUMMYFUNCTION("""COMPUTED_VALUE"""),119.0)</f>
        <v>119</v>
      </c>
    </row>
    <row r="268">
      <c r="A268" s="1">
        <v>1213024.0</v>
      </c>
      <c r="B268" s="1" t="s">
        <v>631</v>
      </c>
      <c r="C268" s="1" t="s">
        <v>218</v>
      </c>
      <c r="D268" s="1" t="s">
        <v>222</v>
      </c>
      <c r="E268" s="1" t="s">
        <v>632</v>
      </c>
      <c r="F268" s="1" t="s">
        <v>16</v>
      </c>
      <c r="G268" s="1" t="s">
        <v>17</v>
      </c>
      <c r="H268" s="1" t="s">
        <v>18</v>
      </c>
      <c r="I268" s="1" t="s">
        <v>113</v>
      </c>
      <c r="J268" s="1">
        <f>IFERROR(__xludf.DUMMYFUNCTION("""COMPUTED_VALUE"""),106.0)</f>
        <v>106</v>
      </c>
      <c r="K268" s="1">
        <v>17.0</v>
      </c>
      <c r="L268" s="1">
        <f>IFERROR(__xludf.DUMMYFUNCTION("""COMPUTED_VALUE"""),160.0)</f>
        <v>160</v>
      </c>
    </row>
    <row r="269">
      <c r="A269" s="1">
        <v>1218013.0</v>
      </c>
      <c r="B269" s="1" t="s">
        <v>633</v>
      </c>
      <c r="C269" s="1" t="s">
        <v>218</v>
      </c>
      <c r="D269" s="1" t="s">
        <v>344</v>
      </c>
      <c r="E269" s="1" t="s">
        <v>634</v>
      </c>
      <c r="F269" s="1" t="s">
        <v>16</v>
      </c>
      <c r="G269" s="1" t="s">
        <v>23</v>
      </c>
      <c r="H269" s="1" t="s">
        <v>18</v>
      </c>
      <c r="I269" s="1" t="s">
        <v>59</v>
      </c>
      <c r="J269" s="1">
        <f>IFERROR(__xludf.DUMMYFUNCTION("""COMPUTED_VALUE"""),68.0)</f>
        <v>68</v>
      </c>
      <c r="K269" s="1">
        <v>23.0</v>
      </c>
      <c r="L269" s="1">
        <f>IFERROR(__xludf.DUMMYFUNCTION("""COMPUTED_VALUE"""),61.0)</f>
        <v>61</v>
      </c>
    </row>
    <row r="270">
      <c r="A270" s="1">
        <v>1276076.0</v>
      </c>
      <c r="B270" s="1" t="s">
        <v>635</v>
      </c>
      <c r="C270" s="1" t="s">
        <v>218</v>
      </c>
      <c r="D270" s="1" t="s">
        <v>268</v>
      </c>
      <c r="E270" s="1" t="s">
        <v>636</v>
      </c>
      <c r="F270" s="1" t="s">
        <v>16</v>
      </c>
      <c r="G270" s="1" t="s">
        <v>23</v>
      </c>
      <c r="H270" s="1" t="s">
        <v>18</v>
      </c>
      <c r="I270" s="1" t="s">
        <v>44</v>
      </c>
      <c r="J270" s="1">
        <f>IFERROR(__xludf.DUMMYFUNCTION("""COMPUTED_VALUE"""),68.0)</f>
        <v>68</v>
      </c>
      <c r="K270" s="1">
        <v>79.0</v>
      </c>
      <c r="L270" s="1">
        <f>IFERROR(__xludf.DUMMYFUNCTION("""COMPUTED_VALUE"""),54.0)</f>
        <v>54</v>
      </c>
    </row>
    <row r="271">
      <c r="A271" s="1">
        <v>1275072.0</v>
      </c>
      <c r="B271" s="1" t="s">
        <v>637</v>
      </c>
      <c r="C271" s="1" t="s">
        <v>218</v>
      </c>
      <c r="D271" s="1" t="s">
        <v>239</v>
      </c>
      <c r="E271" s="1" t="s">
        <v>638</v>
      </c>
      <c r="F271" s="1" t="s">
        <v>16</v>
      </c>
      <c r="G271" s="1" t="s">
        <v>27</v>
      </c>
      <c r="H271" s="1" t="s">
        <v>18</v>
      </c>
      <c r="I271" s="1" t="s">
        <v>249</v>
      </c>
      <c r="J271" s="1">
        <f>IFERROR(__xludf.DUMMYFUNCTION("""COMPUTED_VALUE"""),210.0)</f>
        <v>210</v>
      </c>
      <c r="K271" s="1">
        <v>73.0</v>
      </c>
      <c r="L271" s="1">
        <f>IFERROR(__xludf.DUMMYFUNCTION("""COMPUTED_VALUE"""),561.0)</f>
        <v>561</v>
      </c>
    </row>
    <row r="272">
      <c r="A272" s="1">
        <v>1202017.0</v>
      </c>
      <c r="B272" s="1" t="s">
        <v>639</v>
      </c>
      <c r="C272" s="1" t="s">
        <v>218</v>
      </c>
      <c r="D272" s="1" t="s">
        <v>263</v>
      </c>
      <c r="E272" s="1" t="s">
        <v>640</v>
      </c>
      <c r="F272" s="1" t="s">
        <v>16</v>
      </c>
      <c r="G272" s="1" t="s">
        <v>23</v>
      </c>
      <c r="H272" s="1" t="s">
        <v>28</v>
      </c>
      <c r="I272" s="1" t="s">
        <v>40</v>
      </c>
      <c r="J272" s="1">
        <f>IFERROR(__xludf.DUMMYFUNCTION("""COMPUTED_VALUE"""),28.0)</f>
        <v>28</v>
      </c>
      <c r="K272" s="1">
        <v>15.0</v>
      </c>
      <c r="L272" s="1">
        <f>IFERROR(__xludf.DUMMYFUNCTION("""COMPUTED_VALUE"""),292.0)</f>
        <v>292</v>
      </c>
    </row>
    <row r="273">
      <c r="A273" s="1">
        <v>1275012.0</v>
      </c>
      <c r="B273" s="1" t="s">
        <v>641</v>
      </c>
      <c r="C273" s="1" t="s">
        <v>218</v>
      </c>
      <c r="D273" s="1" t="s">
        <v>239</v>
      </c>
      <c r="E273" s="1" t="s">
        <v>642</v>
      </c>
      <c r="F273" s="1" t="s">
        <v>16</v>
      </c>
      <c r="G273" s="1" t="s">
        <v>17</v>
      </c>
      <c r="H273" s="1" t="s">
        <v>18</v>
      </c>
      <c r="I273" s="1" t="s">
        <v>29</v>
      </c>
      <c r="J273" s="1">
        <f>IFERROR(__xludf.DUMMYFUNCTION("""COMPUTED_VALUE"""),100.0)</f>
        <v>100</v>
      </c>
      <c r="K273" s="1">
        <v>25.0</v>
      </c>
      <c r="L273" s="1">
        <f>IFERROR(__xludf.DUMMYFUNCTION("""COMPUTED_VALUE"""),182.0)</f>
        <v>182</v>
      </c>
    </row>
    <row r="274">
      <c r="A274" s="1">
        <v>1276014.0</v>
      </c>
      <c r="B274" s="1" t="s">
        <v>643</v>
      </c>
      <c r="C274" s="1" t="s">
        <v>218</v>
      </c>
      <c r="D274" s="1" t="s">
        <v>268</v>
      </c>
      <c r="E274" s="1" t="s">
        <v>644</v>
      </c>
      <c r="F274" s="1" t="s">
        <v>16</v>
      </c>
      <c r="G274" s="1" t="s">
        <v>27</v>
      </c>
      <c r="H274" s="1" t="s">
        <v>28</v>
      </c>
      <c r="I274" s="1" t="s">
        <v>29</v>
      </c>
      <c r="J274" s="1">
        <f>IFERROR(__xludf.DUMMYFUNCTION("""COMPUTED_VALUE"""),205.0)</f>
        <v>205</v>
      </c>
      <c r="K274" s="1">
        <v>40.0</v>
      </c>
      <c r="L274" s="1">
        <f>IFERROR(__xludf.DUMMYFUNCTION("""COMPUTED_VALUE"""),421.0)</f>
        <v>421</v>
      </c>
    </row>
    <row r="275">
      <c r="A275" s="1">
        <v>1276078.0</v>
      </c>
      <c r="B275" s="1" t="s">
        <v>645</v>
      </c>
      <c r="C275" s="1" t="s">
        <v>218</v>
      </c>
      <c r="D275" s="1" t="s">
        <v>268</v>
      </c>
      <c r="E275" s="1" t="s">
        <v>646</v>
      </c>
      <c r="F275" s="1" t="s">
        <v>16</v>
      </c>
      <c r="G275" s="1" t="s">
        <v>17</v>
      </c>
      <c r="H275" s="1" t="s">
        <v>18</v>
      </c>
      <c r="I275" s="1" t="s">
        <v>59</v>
      </c>
      <c r="J275" s="1">
        <f>IFERROR(__xludf.DUMMYFUNCTION("""COMPUTED_VALUE"""),124.0)</f>
        <v>124</v>
      </c>
      <c r="K275" s="1">
        <v>31.0</v>
      </c>
      <c r="L275" s="1">
        <f>IFERROR(__xludf.DUMMYFUNCTION("""COMPUTED_VALUE"""),106.0)</f>
        <v>106</v>
      </c>
    </row>
    <row r="276">
      <c r="A276" s="1">
        <v>1275702.0</v>
      </c>
      <c r="B276" s="1" t="s">
        <v>647</v>
      </c>
      <c r="C276" s="1" t="s">
        <v>218</v>
      </c>
      <c r="D276" s="1" t="s">
        <v>239</v>
      </c>
      <c r="E276" s="1" t="s">
        <v>648</v>
      </c>
      <c r="F276" s="1" t="s">
        <v>16</v>
      </c>
      <c r="G276" s="1" t="s">
        <v>23</v>
      </c>
      <c r="H276" s="1" t="s">
        <v>18</v>
      </c>
      <c r="I276" s="1" t="s">
        <v>59</v>
      </c>
      <c r="J276" s="1">
        <f>IFERROR(__xludf.DUMMYFUNCTION("""COMPUTED_VALUE"""),77.0)</f>
        <v>77</v>
      </c>
      <c r="K276" s="1">
        <v>15.0</v>
      </c>
      <c r="L276" s="1">
        <f>IFERROR(__xludf.DUMMYFUNCTION("""COMPUTED_VALUE"""),47.0)</f>
        <v>47</v>
      </c>
    </row>
    <row r="277">
      <c r="A277" s="1">
        <v>1203067.0</v>
      </c>
      <c r="B277" s="1" t="s">
        <v>649</v>
      </c>
      <c r="C277" s="1" t="s">
        <v>218</v>
      </c>
      <c r="D277" s="1" t="s">
        <v>508</v>
      </c>
      <c r="E277" s="1" t="s">
        <v>650</v>
      </c>
      <c r="F277" s="1" t="s">
        <v>16</v>
      </c>
      <c r="G277" s="1" t="s">
        <v>23</v>
      </c>
      <c r="H277" s="1" t="s">
        <v>18</v>
      </c>
      <c r="I277" s="1" t="s">
        <v>65</v>
      </c>
      <c r="J277" s="1">
        <f>IFERROR(__xludf.DUMMYFUNCTION("""COMPUTED_VALUE"""),23.0)</f>
        <v>23</v>
      </c>
      <c r="K277" s="1">
        <v>9.0</v>
      </c>
      <c r="L277" s="1">
        <f>IFERROR(__xludf.DUMMYFUNCTION("""COMPUTED_VALUE"""),182.0)</f>
        <v>182</v>
      </c>
    </row>
    <row r="278">
      <c r="A278" s="1">
        <v>1276074.0</v>
      </c>
      <c r="B278" s="1" t="s">
        <v>651</v>
      </c>
      <c r="C278" s="1" t="s">
        <v>218</v>
      </c>
      <c r="D278" s="1" t="s">
        <v>268</v>
      </c>
      <c r="E278" s="1" t="s">
        <v>652</v>
      </c>
      <c r="F278" s="1" t="s">
        <v>16</v>
      </c>
      <c r="G278" s="1" t="s">
        <v>17</v>
      </c>
      <c r="H278" s="1" t="s">
        <v>18</v>
      </c>
      <c r="I278" s="1" t="s">
        <v>44</v>
      </c>
      <c r="J278" s="1">
        <f>IFERROR(__xludf.DUMMYFUNCTION("""COMPUTED_VALUE"""),118.0)</f>
        <v>118</v>
      </c>
      <c r="K278" s="1">
        <v>53.0</v>
      </c>
      <c r="L278" s="1">
        <f>IFERROR(__xludf.DUMMYFUNCTION("""COMPUTED_VALUE"""),117.0)</f>
        <v>117</v>
      </c>
    </row>
    <row r="279">
      <c r="A279" s="1">
        <v>1212174.0</v>
      </c>
      <c r="B279" s="1" t="s">
        <v>653</v>
      </c>
      <c r="C279" s="1" t="s">
        <v>218</v>
      </c>
      <c r="D279" s="1" t="s">
        <v>225</v>
      </c>
      <c r="E279" s="1" t="s">
        <v>654</v>
      </c>
      <c r="F279" s="1" t="s">
        <v>16</v>
      </c>
      <c r="G279" s="1" t="s">
        <v>23</v>
      </c>
      <c r="H279" s="1" t="s">
        <v>18</v>
      </c>
      <c r="I279" s="1" t="s">
        <v>59</v>
      </c>
      <c r="J279" s="1">
        <f>IFERROR(__xludf.DUMMYFUNCTION("""COMPUTED_VALUE"""),50.0)</f>
        <v>50</v>
      </c>
      <c r="K279" s="1">
        <v>15.0</v>
      </c>
      <c r="L279" s="1">
        <f>IFERROR(__xludf.DUMMYFUNCTION("""COMPUTED_VALUE"""),36.0)</f>
        <v>36</v>
      </c>
    </row>
    <row r="280">
      <c r="A280" s="1">
        <v>1208053.0</v>
      </c>
      <c r="B280" s="1" t="s">
        <v>655</v>
      </c>
      <c r="C280" s="1" t="s">
        <v>218</v>
      </c>
      <c r="D280" s="1" t="s">
        <v>228</v>
      </c>
      <c r="E280" s="1" t="s">
        <v>656</v>
      </c>
      <c r="F280" s="1" t="s">
        <v>16</v>
      </c>
      <c r="G280" s="1" t="s">
        <v>23</v>
      </c>
      <c r="H280" s="1" t="s">
        <v>18</v>
      </c>
      <c r="I280" s="1" t="s">
        <v>44</v>
      </c>
      <c r="J280" s="1">
        <f>IFERROR(__xludf.DUMMYFUNCTION("""COMPUTED_VALUE"""),65.0)</f>
        <v>65</v>
      </c>
      <c r="K280" s="1">
        <v>17.0</v>
      </c>
      <c r="L280" s="1">
        <f>IFERROR(__xludf.DUMMYFUNCTION("""COMPUTED_VALUE"""),46.0)</f>
        <v>46</v>
      </c>
    </row>
    <row r="281">
      <c r="A281" s="1">
        <v>1275999.0</v>
      </c>
      <c r="B281" s="1" t="s">
        <v>657</v>
      </c>
      <c r="C281" s="1" t="s">
        <v>218</v>
      </c>
      <c r="D281" s="1" t="s">
        <v>239</v>
      </c>
      <c r="E281" s="1" t="s">
        <v>658</v>
      </c>
      <c r="F281" s="1" t="s">
        <v>174</v>
      </c>
      <c r="G281" s="1" t="s">
        <v>17</v>
      </c>
      <c r="H281" s="1" t="s">
        <v>18</v>
      </c>
      <c r="I281" s="1" t="s">
        <v>59</v>
      </c>
      <c r="J281" s="1">
        <f>IFERROR(__xludf.DUMMYFUNCTION("""COMPUTED_VALUE"""),36.0)</f>
        <v>36</v>
      </c>
      <c r="K281" s="1">
        <v>19.0</v>
      </c>
      <c r="L281" s="1">
        <f>IFERROR(__xludf.DUMMYFUNCTION("""COMPUTED_VALUE"""),30.0)</f>
        <v>30</v>
      </c>
    </row>
    <row r="282">
      <c r="A282" s="1">
        <v>1218026.0</v>
      </c>
      <c r="B282" s="1" t="s">
        <v>659</v>
      </c>
      <c r="C282" s="1" t="s">
        <v>218</v>
      </c>
      <c r="D282" s="1" t="s">
        <v>344</v>
      </c>
      <c r="E282" s="1" t="s">
        <v>660</v>
      </c>
      <c r="F282" s="1" t="s">
        <v>16</v>
      </c>
      <c r="G282" s="1" t="s">
        <v>17</v>
      </c>
      <c r="H282" s="1" t="s">
        <v>18</v>
      </c>
      <c r="I282" s="1" t="s">
        <v>113</v>
      </c>
      <c r="J282" s="1">
        <f>IFERROR(__xludf.DUMMYFUNCTION("""COMPUTED_VALUE"""),100.0)</f>
        <v>100</v>
      </c>
      <c r="K282" s="1">
        <v>30.0</v>
      </c>
      <c r="L282" s="1">
        <f>IFERROR(__xludf.DUMMYFUNCTION("""COMPUTED_VALUE"""),190.0)</f>
        <v>190</v>
      </c>
    </row>
    <row r="283">
      <c r="A283" s="1">
        <v>1371400.0</v>
      </c>
      <c r="B283" s="1" t="s">
        <v>661</v>
      </c>
      <c r="C283" s="1" t="s">
        <v>662</v>
      </c>
      <c r="D283" s="1" t="s">
        <v>663</v>
      </c>
      <c r="E283" s="1" t="s">
        <v>664</v>
      </c>
      <c r="F283" s="1" t="s">
        <v>55</v>
      </c>
      <c r="G283" s="1" t="s">
        <v>17</v>
      </c>
      <c r="H283" s="1" t="s">
        <v>33</v>
      </c>
      <c r="I283" s="1" t="s">
        <v>59</v>
      </c>
      <c r="J283" s="1">
        <f>IFERROR(__xludf.DUMMYFUNCTION("""COMPUTED_VALUE"""),28.0)</f>
        <v>28</v>
      </c>
      <c r="K283" s="1">
        <v>12.0</v>
      </c>
      <c r="L283" s="1">
        <f>IFERROR(__xludf.DUMMYFUNCTION("""COMPUTED_VALUE"""),31.0)</f>
        <v>31</v>
      </c>
    </row>
    <row r="284">
      <c r="A284" s="1">
        <v>1376017.0</v>
      </c>
      <c r="B284" s="1" t="s">
        <v>665</v>
      </c>
      <c r="C284" s="1" t="s">
        <v>662</v>
      </c>
      <c r="D284" s="1" t="s">
        <v>666</v>
      </c>
      <c r="E284" s="1" t="s">
        <v>667</v>
      </c>
      <c r="F284" s="1" t="s">
        <v>55</v>
      </c>
      <c r="G284" s="1" t="s">
        <v>17</v>
      </c>
      <c r="H284" s="1" t="s">
        <v>18</v>
      </c>
      <c r="I284" s="1" t="s">
        <v>163</v>
      </c>
      <c r="J284" s="1">
        <f>IFERROR(__xludf.DUMMYFUNCTION("""COMPUTED_VALUE"""),43.0)</f>
        <v>43</v>
      </c>
      <c r="K284" s="1">
        <v>23.0</v>
      </c>
      <c r="L284" s="1">
        <f>IFERROR(__xludf.DUMMYFUNCTION("""COMPUTED_VALUE"""),97.0)</f>
        <v>97</v>
      </c>
    </row>
    <row r="285">
      <c r="A285" s="1">
        <v>1306015.0</v>
      </c>
      <c r="B285" s="1" t="s">
        <v>668</v>
      </c>
      <c r="C285" s="1" t="s">
        <v>662</v>
      </c>
      <c r="D285" s="1" t="s">
        <v>669</v>
      </c>
      <c r="E285" s="1" t="s">
        <v>670</v>
      </c>
      <c r="F285" s="1" t="s">
        <v>16</v>
      </c>
      <c r="G285" s="1" t="s">
        <v>27</v>
      </c>
      <c r="H285" s="1" t="s">
        <v>33</v>
      </c>
      <c r="I285" s="1" t="s">
        <v>139</v>
      </c>
      <c r="J285" s="1">
        <f>IFERROR(__xludf.DUMMYFUNCTION("""COMPUTED_VALUE"""),206.0)</f>
        <v>206</v>
      </c>
      <c r="K285" s="1">
        <v>81.0</v>
      </c>
      <c r="L285" s="1">
        <f>IFERROR(__xludf.DUMMYFUNCTION("""COMPUTED_VALUE"""),600.0)</f>
        <v>600</v>
      </c>
    </row>
    <row r="286">
      <c r="A286" s="1">
        <v>1305017.0</v>
      </c>
      <c r="B286" s="1" t="s">
        <v>671</v>
      </c>
      <c r="C286" s="1" t="s">
        <v>662</v>
      </c>
      <c r="D286" s="1" t="s">
        <v>672</v>
      </c>
      <c r="E286" s="1" t="s">
        <v>673</v>
      </c>
      <c r="F286" s="1" t="s">
        <v>16</v>
      </c>
      <c r="G286" s="1" t="s">
        <v>23</v>
      </c>
      <c r="H286" s="1" t="s">
        <v>18</v>
      </c>
      <c r="I286" s="1" t="s">
        <v>19</v>
      </c>
      <c r="J286" s="1">
        <f>IFERROR(__xludf.DUMMYFUNCTION("""COMPUTED_VALUE"""),51.0)</f>
        <v>51</v>
      </c>
      <c r="K286" s="1">
        <v>20.0</v>
      </c>
      <c r="L286" s="1">
        <f>IFERROR(__xludf.DUMMYFUNCTION("""COMPUTED_VALUE"""),74.0)</f>
        <v>74</v>
      </c>
    </row>
    <row r="287">
      <c r="A287" s="1">
        <v>1375025.0</v>
      </c>
      <c r="B287" s="1" t="s">
        <v>674</v>
      </c>
      <c r="C287" s="1" t="s">
        <v>662</v>
      </c>
      <c r="D287" s="1" t="s">
        <v>675</v>
      </c>
      <c r="E287" s="1" t="s">
        <v>676</v>
      </c>
      <c r="F287" s="1" t="s">
        <v>16</v>
      </c>
      <c r="G287" s="1" t="s">
        <v>23</v>
      </c>
      <c r="H287" s="1" t="s">
        <v>18</v>
      </c>
      <c r="I287" s="1" t="s">
        <v>74</v>
      </c>
      <c r="J287" s="1">
        <f>IFERROR(__xludf.DUMMYFUNCTION("""COMPUTED_VALUE"""),61.0)</f>
        <v>61</v>
      </c>
      <c r="K287" s="1">
        <v>32.0</v>
      </c>
      <c r="L287" s="1">
        <f>IFERROR(__xludf.DUMMYFUNCTION("""COMPUTED_VALUE"""),73.0)</f>
        <v>73</v>
      </c>
    </row>
    <row r="288">
      <c r="A288" s="1">
        <v>1371455.0</v>
      </c>
      <c r="B288" s="1" t="s">
        <v>677</v>
      </c>
      <c r="C288" s="1" t="s">
        <v>662</v>
      </c>
      <c r="D288" s="1" t="s">
        <v>663</v>
      </c>
      <c r="E288" s="1" t="s">
        <v>678</v>
      </c>
      <c r="F288" s="1" t="s">
        <v>55</v>
      </c>
      <c r="G288" s="1" t="s">
        <v>17</v>
      </c>
      <c r="H288" s="1" t="s">
        <v>18</v>
      </c>
      <c r="I288" s="1" t="s">
        <v>163</v>
      </c>
      <c r="J288" s="1">
        <f>IFERROR(__xludf.DUMMYFUNCTION("""COMPUTED_VALUE"""),45.0)</f>
        <v>45</v>
      </c>
      <c r="K288" s="1">
        <v>16.0</v>
      </c>
      <c r="L288" s="1">
        <f>IFERROR(__xludf.DUMMYFUNCTION("""COMPUTED_VALUE"""),73.0)</f>
        <v>73</v>
      </c>
    </row>
    <row r="289">
      <c r="A289" s="1">
        <v>1310011.0</v>
      </c>
      <c r="B289" s="1" t="s">
        <v>679</v>
      </c>
      <c r="C289" s="1" t="s">
        <v>662</v>
      </c>
      <c r="D289" s="1" t="s">
        <v>680</v>
      </c>
      <c r="E289" s="1" t="s">
        <v>681</v>
      </c>
      <c r="F289" s="1" t="s">
        <v>16</v>
      </c>
      <c r="G289" s="1" t="s">
        <v>23</v>
      </c>
      <c r="H289" s="1" t="s">
        <v>28</v>
      </c>
      <c r="I289" s="1" t="s">
        <v>40</v>
      </c>
      <c r="J289" s="1">
        <f>IFERROR(__xludf.DUMMYFUNCTION("""COMPUTED_VALUE"""),55.0)</f>
        <v>55</v>
      </c>
      <c r="K289" s="1">
        <v>46.0</v>
      </c>
      <c r="L289" s="1">
        <f>IFERROR(__xludf.DUMMYFUNCTION("""COMPUTED_VALUE"""),182.0)</f>
        <v>182</v>
      </c>
    </row>
    <row r="290">
      <c r="A290" s="1">
        <v>1371091.0</v>
      </c>
      <c r="B290" s="1" t="s">
        <v>682</v>
      </c>
      <c r="C290" s="1" t="s">
        <v>662</v>
      </c>
      <c r="D290" s="1" t="s">
        <v>663</v>
      </c>
      <c r="E290" s="1" t="s">
        <v>683</v>
      </c>
      <c r="F290" s="1" t="s">
        <v>16</v>
      </c>
      <c r="G290" s="1" t="s">
        <v>17</v>
      </c>
      <c r="H290" s="1" t="s">
        <v>18</v>
      </c>
      <c r="I290" s="1" t="s">
        <v>684</v>
      </c>
      <c r="J290" s="1">
        <f>IFERROR(__xludf.DUMMYFUNCTION("""COMPUTED_VALUE"""),100.0)</f>
        <v>100</v>
      </c>
      <c r="K290" s="1">
        <v>87.0</v>
      </c>
      <c r="L290" s="1">
        <f>IFERROR(__xludf.DUMMYFUNCTION("""COMPUTED_VALUE"""),273.0)</f>
        <v>273</v>
      </c>
    </row>
    <row r="291">
      <c r="A291" s="1">
        <v>1371422.0</v>
      </c>
      <c r="B291" s="1" t="s">
        <v>685</v>
      </c>
      <c r="C291" s="1" t="s">
        <v>662</v>
      </c>
      <c r="D291" s="1" t="s">
        <v>663</v>
      </c>
      <c r="E291" s="1" t="s">
        <v>686</v>
      </c>
      <c r="F291" s="1" t="s">
        <v>255</v>
      </c>
      <c r="G291" s="1" t="s">
        <v>17</v>
      </c>
      <c r="H291" s="1" t="s">
        <v>18</v>
      </c>
      <c r="I291" s="1" t="s">
        <v>59</v>
      </c>
      <c r="J291" s="1">
        <f>IFERROR(__xludf.DUMMYFUNCTION("""COMPUTED_VALUE"""),29.0)</f>
        <v>29</v>
      </c>
      <c r="K291" s="1">
        <v>26.0</v>
      </c>
      <c r="L291" s="1">
        <f>IFERROR(__xludf.DUMMYFUNCTION("""COMPUTED_VALUE"""),165.0)</f>
        <v>165</v>
      </c>
    </row>
    <row r="292">
      <c r="A292" s="1">
        <v>1308010.0</v>
      </c>
      <c r="B292" s="1" t="s">
        <v>687</v>
      </c>
      <c r="C292" s="1" t="s">
        <v>662</v>
      </c>
      <c r="D292" s="1" t="s">
        <v>688</v>
      </c>
      <c r="E292" s="1" t="s">
        <v>689</v>
      </c>
      <c r="F292" s="1" t="s">
        <v>16</v>
      </c>
      <c r="G292" s="1" t="s">
        <v>17</v>
      </c>
      <c r="H292" s="1" t="s">
        <v>28</v>
      </c>
      <c r="I292" s="1" t="s">
        <v>40</v>
      </c>
      <c r="J292" s="1">
        <f>IFERROR(__xludf.DUMMYFUNCTION("""COMPUTED_VALUE"""),100.0)</f>
        <v>100</v>
      </c>
      <c r="K292" s="1">
        <v>39.0</v>
      </c>
      <c r="L292" s="1">
        <f>IFERROR(__xludf.DUMMYFUNCTION("""COMPUTED_VALUE"""),366.0)</f>
        <v>366</v>
      </c>
    </row>
    <row r="293">
      <c r="A293" s="1">
        <v>1375040.0</v>
      </c>
      <c r="B293" s="1" t="s">
        <v>690</v>
      </c>
      <c r="C293" s="1" t="s">
        <v>662</v>
      </c>
      <c r="D293" s="1" t="s">
        <v>675</v>
      </c>
      <c r="E293" s="1" t="s">
        <v>691</v>
      </c>
      <c r="F293" s="1" t="s">
        <v>16</v>
      </c>
      <c r="G293" s="1" t="s">
        <v>17</v>
      </c>
      <c r="H293" s="1" t="s">
        <v>18</v>
      </c>
      <c r="I293" s="1" t="s">
        <v>684</v>
      </c>
      <c r="J293" s="1">
        <f>IFERROR(__xludf.DUMMYFUNCTION("""COMPUTED_VALUE"""),131.0)</f>
        <v>131</v>
      </c>
      <c r="K293" s="1">
        <v>57.0</v>
      </c>
      <c r="L293" s="1">
        <f>IFERROR(__xludf.DUMMYFUNCTION("""COMPUTED_VALUE"""),482.0)</f>
        <v>482</v>
      </c>
    </row>
    <row r="294">
      <c r="A294" s="1">
        <v>1372012.0</v>
      </c>
      <c r="B294" s="1" t="s">
        <v>692</v>
      </c>
      <c r="C294" s="1" t="s">
        <v>662</v>
      </c>
      <c r="D294" s="1" t="s">
        <v>693</v>
      </c>
      <c r="E294" s="1" t="s">
        <v>694</v>
      </c>
      <c r="F294" s="1" t="s">
        <v>16</v>
      </c>
      <c r="G294" s="1" t="s">
        <v>23</v>
      </c>
      <c r="H294" s="1" t="s">
        <v>18</v>
      </c>
      <c r="I294" s="1" t="s">
        <v>74</v>
      </c>
      <c r="J294" s="1">
        <f>IFERROR(__xludf.DUMMYFUNCTION("""COMPUTED_VALUE"""),97.0)</f>
        <v>97</v>
      </c>
      <c r="K294" s="1">
        <v>28.0</v>
      </c>
      <c r="L294" s="1">
        <f>IFERROR(__xludf.DUMMYFUNCTION("""COMPUTED_VALUE"""),165.0)</f>
        <v>165</v>
      </c>
    </row>
    <row r="295">
      <c r="A295" s="1">
        <v>1302011.0</v>
      </c>
      <c r="B295" s="1" t="s">
        <v>695</v>
      </c>
      <c r="C295" s="1" t="s">
        <v>662</v>
      </c>
      <c r="D295" s="1" t="s">
        <v>696</v>
      </c>
      <c r="E295" s="1" t="s">
        <v>697</v>
      </c>
      <c r="F295" s="1" t="s">
        <v>16</v>
      </c>
      <c r="G295" s="1" t="s">
        <v>17</v>
      </c>
      <c r="H295" s="1" t="s">
        <v>28</v>
      </c>
      <c r="I295" s="1" t="s">
        <v>40</v>
      </c>
      <c r="J295" s="1">
        <f>IFERROR(__xludf.DUMMYFUNCTION("""COMPUTED_VALUE"""),186.0)</f>
        <v>186</v>
      </c>
      <c r="K295" s="1">
        <v>63.0</v>
      </c>
      <c r="L295" s="1">
        <f>IFERROR(__xludf.DUMMYFUNCTION("""COMPUTED_VALUE"""),90.0)</f>
        <v>90</v>
      </c>
    </row>
    <row r="296">
      <c r="A296" s="1">
        <v>1376011.0</v>
      </c>
      <c r="B296" s="1" t="s">
        <v>698</v>
      </c>
      <c r="C296" s="1" t="s">
        <v>662</v>
      </c>
      <c r="D296" s="1" t="s">
        <v>666</v>
      </c>
      <c r="E296" s="1" t="s">
        <v>699</v>
      </c>
      <c r="F296" s="1" t="s">
        <v>16</v>
      </c>
      <c r="G296" s="1" t="s">
        <v>17</v>
      </c>
      <c r="H296" s="1" t="s">
        <v>18</v>
      </c>
      <c r="I296" s="1" t="s">
        <v>684</v>
      </c>
      <c r="J296" s="1">
        <f>IFERROR(__xludf.DUMMYFUNCTION("""COMPUTED_VALUE"""),100.0)</f>
        <v>100</v>
      </c>
      <c r="K296" s="1">
        <v>29.0</v>
      </c>
      <c r="L296" s="1">
        <f>IFERROR(__xludf.DUMMYFUNCTION("""COMPUTED_VALUE"""),223.0)</f>
        <v>223</v>
      </c>
    </row>
    <row r="297">
      <c r="A297" s="1">
        <v>1371123.0</v>
      </c>
      <c r="B297" s="1" t="s">
        <v>700</v>
      </c>
      <c r="C297" s="1" t="s">
        <v>662</v>
      </c>
      <c r="D297" s="1" t="s">
        <v>663</v>
      </c>
      <c r="E297" s="1" t="s">
        <v>701</v>
      </c>
      <c r="F297" s="1" t="s">
        <v>16</v>
      </c>
      <c r="G297" s="1" t="s">
        <v>17</v>
      </c>
      <c r="H297" s="1" t="s">
        <v>33</v>
      </c>
      <c r="I297" s="1" t="s">
        <v>65</v>
      </c>
      <c r="J297" s="1">
        <f>IFERROR(__xludf.DUMMYFUNCTION("""COMPUTED_VALUE"""),102.0)</f>
        <v>102</v>
      </c>
      <c r="K297" s="1">
        <v>32.0</v>
      </c>
      <c r="L297" s="1">
        <f>IFERROR(__xludf.DUMMYFUNCTION("""COMPUTED_VALUE"""),197.0)</f>
        <v>197</v>
      </c>
    </row>
    <row r="298">
      <c r="A298" s="1">
        <v>1372011.0</v>
      </c>
      <c r="B298" s="1" t="s">
        <v>702</v>
      </c>
      <c r="C298" s="1" t="s">
        <v>662</v>
      </c>
      <c r="D298" s="1" t="s">
        <v>693</v>
      </c>
      <c r="E298" s="1" t="s">
        <v>703</v>
      </c>
      <c r="F298" s="1" t="s">
        <v>16</v>
      </c>
      <c r="G298" s="1" t="s">
        <v>27</v>
      </c>
      <c r="H298" s="1" t="s">
        <v>28</v>
      </c>
      <c r="I298" s="1" t="s">
        <v>139</v>
      </c>
      <c r="J298" s="1">
        <f>IFERROR(__xludf.DUMMYFUNCTION("""COMPUTED_VALUE"""),251.0)</f>
        <v>251</v>
      </c>
      <c r="K298" s="1">
        <v>99.0</v>
      </c>
      <c r="L298" s="1">
        <f>IFERROR(__xludf.DUMMYFUNCTION("""COMPUTED_VALUE"""),513.0)</f>
        <v>513</v>
      </c>
    </row>
    <row r="299">
      <c r="A299" s="1">
        <v>1371446.0</v>
      </c>
      <c r="B299" s="1" t="s">
        <v>704</v>
      </c>
      <c r="C299" s="1" t="s">
        <v>662</v>
      </c>
      <c r="D299" s="1" t="s">
        <v>663</v>
      </c>
      <c r="E299" s="1" t="s">
        <v>705</v>
      </c>
      <c r="F299" s="1" t="s">
        <v>16</v>
      </c>
      <c r="G299" s="1" t="s">
        <v>17</v>
      </c>
      <c r="H299" s="1" t="s">
        <v>18</v>
      </c>
      <c r="I299" s="1" t="s">
        <v>163</v>
      </c>
      <c r="J299" s="1">
        <f>IFERROR(__xludf.DUMMYFUNCTION("""COMPUTED_VALUE"""),126.0)</f>
        <v>126</v>
      </c>
      <c r="K299" s="1">
        <v>112.0</v>
      </c>
      <c r="L299" s="1">
        <f>IFERROR(__xludf.DUMMYFUNCTION("""COMPUTED_VALUE"""),310.0)</f>
        <v>310</v>
      </c>
    </row>
    <row r="300">
      <c r="A300" s="1">
        <v>1372016.0</v>
      </c>
      <c r="B300" s="1" t="s">
        <v>706</v>
      </c>
      <c r="C300" s="1" t="s">
        <v>662</v>
      </c>
      <c r="D300" s="1" t="s">
        <v>693</v>
      </c>
      <c r="E300" s="1" t="s">
        <v>707</v>
      </c>
      <c r="F300" s="1" t="s">
        <v>16</v>
      </c>
      <c r="G300" s="1" t="s">
        <v>17</v>
      </c>
      <c r="H300" s="1" t="s">
        <v>18</v>
      </c>
      <c r="I300" s="1" t="s">
        <v>29</v>
      </c>
      <c r="J300" s="1">
        <f>IFERROR(__xludf.DUMMYFUNCTION("""COMPUTED_VALUE"""),139.0)</f>
        <v>139</v>
      </c>
      <c r="K300" s="1">
        <v>18.0</v>
      </c>
      <c r="L300" s="1">
        <f>IFERROR(__xludf.DUMMYFUNCTION("""COMPUTED_VALUE"""),30.0)</f>
        <v>30</v>
      </c>
    </row>
    <row r="301">
      <c r="A301" s="1">
        <v>1376016.0</v>
      </c>
      <c r="B301" s="1" t="s">
        <v>708</v>
      </c>
      <c r="C301" s="1" t="s">
        <v>662</v>
      </c>
      <c r="D301" s="1" t="s">
        <v>666</v>
      </c>
      <c r="E301" s="1" t="s">
        <v>709</v>
      </c>
      <c r="F301" s="1" t="s">
        <v>55</v>
      </c>
      <c r="G301" s="1" t="s">
        <v>17</v>
      </c>
      <c r="H301" s="1" t="s">
        <v>18</v>
      </c>
      <c r="I301" s="1" t="s">
        <v>44</v>
      </c>
      <c r="J301" s="1">
        <f>IFERROR(__xludf.DUMMYFUNCTION("""COMPUTED_VALUE"""),38.0)</f>
        <v>38</v>
      </c>
      <c r="K301" s="1">
        <v>15.0</v>
      </c>
      <c r="L301" s="1">
        <f>IFERROR(__xludf.DUMMYFUNCTION("""COMPUTED_VALUE"""),48.0)</f>
        <v>48</v>
      </c>
    </row>
    <row r="302">
      <c r="A302" s="1">
        <v>1309022.0</v>
      </c>
      <c r="B302" s="1" t="s">
        <v>682</v>
      </c>
      <c r="C302" s="1" t="s">
        <v>662</v>
      </c>
      <c r="D302" s="1" t="s">
        <v>710</v>
      </c>
      <c r="E302" s="1" t="s">
        <v>711</v>
      </c>
      <c r="F302" s="1" t="s">
        <v>16</v>
      </c>
      <c r="G302" s="1" t="s">
        <v>17</v>
      </c>
      <c r="H302" s="1" t="s">
        <v>18</v>
      </c>
      <c r="I302" s="1" t="s">
        <v>684</v>
      </c>
      <c r="J302" s="1">
        <f>IFERROR(__xludf.DUMMYFUNCTION("""COMPUTED_VALUE"""),110.0)</f>
        <v>110</v>
      </c>
      <c r="K302" s="1">
        <v>27.0</v>
      </c>
      <c r="L302" s="1">
        <f>IFERROR(__xludf.DUMMYFUNCTION("""COMPUTED_VALUE"""),265.0)</f>
        <v>265</v>
      </c>
    </row>
    <row r="303">
      <c r="A303" s="1">
        <v>1371466.0</v>
      </c>
      <c r="B303" s="1" t="s">
        <v>712</v>
      </c>
      <c r="C303" s="1" t="s">
        <v>662</v>
      </c>
      <c r="D303" s="1" t="s">
        <v>663</v>
      </c>
      <c r="E303" s="1" t="s">
        <v>713</v>
      </c>
      <c r="F303" s="1" t="s">
        <v>16</v>
      </c>
      <c r="G303" s="1" t="s">
        <v>17</v>
      </c>
      <c r="H303" s="1" t="s">
        <v>18</v>
      </c>
      <c r="I303" s="1" t="s">
        <v>19</v>
      </c>
      <c r="J303" s="1">
        <f>IFERROR(__xludf.DUMMYFUNCTION("""COMPUTED_VALUE"""),116.0)</f>
        <v>116</v>
      </c>
      <c r="K303" s="1">
        <v>81.0</v>
      </c>
      <c r="L303" s="1">
        <f>IFERROR(__xludf.DUMMYFUNCTION("""COMPUTED_VALUE"""),244.0)</f>
        <v>244</v>
      </c>
    </row>
    <row r="304">
      <c r="A304" s="1">
        <v>1303023.0</v>
      </c>
      <c r="B304" s="1" t="s">
        <v>714</v>
      </c>
      <c r="C304" s="1" t="s">
        <v>662</v>
      </c>
      <c r="D304" s="1" t="s">
        <v>715</v>
      </c>
      <c r="E304" s="1" t="s">
        <v>716</v>
      </c>
      <c r="F304" s="1" t="s">
        <v>16</v>
      </c>
      <c r="G304" s="1" t="s">
        <v>17</v>
      </c>
      <c r="H304" s="1" t="s">
        <v>18</v>
      </c>
      <c r="I304" s="1" t="s">
        <v>40</v>
      </c>
      <c r="J304" s="1">
        <f>IFERROR(__xludf.DUMMYFUNCTION("""COMPUTED_VALUE"""),101.0)</f>
        <v>101</v>
      </c>
      <c r="K304" s="1">
        <v>31.0</v>
      </c>
      <c r="L304" s="1">
        <f>IFERROR(__xludf.DUMMYFUNCTION("""COMPUTED_VALUE"""),359.0)</f>
        <v>359</v>
      </c>
    </row>
    <row r="305">
      <c r="A305" s="1">
        <v>1371251.0</v>
      </c>
      <c r="B305" s="1" t="s">
        <v>717</v>
      </c>
      <c r="C305" s="1" t="s">
        <v>662</v>
      </c>
      <c r="D305" s="1" t="s">
        <v>663</v>
      </c>
      <c r="E305" s="1" t="s">
        <v>718</v>
      </c>
      <c r="F305" s="1" t="s">
        <v>174</v>
      </c>
      <c r="G305" s="1" t="s">
        <v>17</v>
      </c>
      <c r="H305" s="1" t="s">
        <v>18</v>
      </c>
      <c r="I305" s="1" t="s">
        <v>59</v>
      </c>
      <c r="J305" s="1">
        <f>IFERROR(__xludf.DUMMYFUNCTION("""COMPUTED_VALUE"""),37.0)</f>
        <v>37</v>
      </c>
      <c r="K305" s="1">
        <v>24.0</v>
      </c>
      <c r="L305" s="1">
        <f>IFERROR(__xludf.DUMMYFUNCTION("""COMPUTED_VALUE"""),42.0)</f>
        <v>42</v>
      </c>
    </row>
    <row r="306">
      <c r="A306" s="1">
        <v>1374013.0</v>
      </c>
      <c r="B306" s="1" t="s">
        <v>719</v>
      </c>
      <c r="C306" s="1" t="s">
        <v>662</v>
      </c>
      <c r="D306" s="1" t="s">
        <v>720</v>
      </c>
      <c r="E306" s="1" t="s">
        <v>721</v>
      </c>
      <c r="F306" s="1" t="s">
        <v>16</v>
      </c>
      <c r="G306" s="1" t="s">
        <v>17</v>
      </c>
      <c r="H306" s="1" t="s">
        <v>28</v>
      </c>
      <c r="I306" s="1" t="s">
        <v>29</v>
      </c>
      <c r="J306" s="1">
        <f>IFERROR(__xludf.DUMMYFUNCTION("""COMPUTED_VALUE"""),162.0)</f>
        <v>162</v>
      </c>
      <c r="K306" s="1">
        <v>93.0</v>
      </c>
      <c r="L306" s="1">
        <f>IFERROR(__xludf.DUMMYFUNCTION("""COMPUTED_VALUE"""),494.0)</f>
        <v>494</v>
      </c>
    </row>
    <row r="307">
      <c r="A307" s="1">
        <v>1305016.0</v>
      </c>
      <c r="B307" s="1" t="s">
        <v>722</v>
      </c>
      <c r="C307" s="1" t="s">
        <v>662</v>
      </c>
      <c r="D307" s="1" t="s">
        <v>672</v>
      </c>
      <c r="E307" s="1" t="s">
        <v>723</v>
      </c>
      <c r="F307" s="1" t="s">
        <v>55</v>
      </c>
      <c r="G307" s="1" t="s">
        <v>17</v>
      </c>
      <c r="H307" s="1" t="s">
        <v>18</v>
      </c>
      <c r="I307" s="1" t="s">
        <v>44</v>
      </c>
      <c r="J307" s="1">
        <f>IFERROR(__xludf.DUMMYFUNCTION("""COMPUTED_VALUE"""),62.0)</f>
        <v>62</v>
      </c>
      <c r="K307" s="1">
        <v>19.0</v>
      </c>
      <c r="L307" s="1">
        <f>IFERROR(__xludf.DUMMYFUNCTION("""COMPUTED_VALUE"""),55.0)</f>
        <v>55</v>
      </c>
    </row>
    <row r="308">
      <c r="A308" s="1">
        <v>1377008.0</v>
      </c>
      <c r="B308" s="1" t="s">
        <v>724</v>
      </c>
      <c r="C308" s="1" t="s">
        <v>662</v>
      </c>
      <c r="D308" s="1" t="s">
        <v>669</v>
      </c>
      <c r="E308" s="1" t="s">
        <v>725</v>
      </c>
      <c r="F308" s="1" t="s">
        <v>55</v>
      </c>
      <c r="G308" s="1" t="s">
        <v>17</v>
      </c>
      <c r="H308" s="1" t="s">
        <v>18</v>
      </c>
      <c r="I308" s="1" t="s">
        <v>19</v>
      </c>
      <c r="J308" s="1">
        <f>IFERROR(__xludf.DUMMYFUNCTION("""COMPUTED_VALUE"""),32.0)</f>
        <v>32</v>
      </c>
      <c r="K308" s="1">
        <v>16.0</v>
      </c>
      <c r="L308" s="1">
        <f>IFERROR(__xludf.DUMMYFUNCTION("""COMPUTED_VALUE"""),37.0)</f>
        <v>37</v>
      </c>
    </row>
    <row r="309">
      <c r="A309" s="1">
        <v>1309024.0</v>
      </c>
      <c r="B309" s="1" t="s">
        <v>726</v>
      </c>
      <c r="C309" s="1" t="s">
        <v>662</v>
      </c>
      <c r="D309" s="1" t="s">
        <v>727</v>
      </c>
      <c r="E309" s="1" t="s">
        <v>728</v>
      </c>
      <c r="F309" s="1" t="s">
        <v>16</v>
      </c>
      <c r="G309" s="1" t="s">
        <v>23</v>
      </c>
      <c r="H309" s="1" t="s">
        <v>28</v>
      </c>
      <c r="I309" s="1" t="s">
        <v>40</v>
      </c>
      <c r="J309" s="1">
        <f>IFERROR(__xludf.DUMMYFUNCTION("""COMPUTED_VALUE"""),55.0)</f>
        <v>55</v>
      </c>
      <c r="K309" s="1">
        <v>28.0</v>
      </c>
      <c r="L309" s="1">
        <f>IFERROR(__xludf.DUMMYFUNCTION("""COMPUTED_VALUE"""),42.0)</f>
        <v>42</v>
      </c>
    </row>
    <row r="310">
      <c r="A310" s="1">
        <v>1371010.0</v>
      </c>
      <c r="B310" s="1" t="s">
        <v>729</v>
      </c>
      <c r="C310" s="1" t="s">
        <v>662</v>
      </c>
      <c r="D310" s="1" t="s">
        <v>663</v>
      </c>
      <c r="E310" s="1" t="s">
        <v>730</v>
      </c>
      <c r="F310" s="1" t="s">
        <v>16</v>
      </c>
      <c r="G310" s="1" t="s">
        <v>150</v>
      </c>
      <c r="H310" s="1" t="s">
        <v>33</v>
      </c>
      <c r="I310" s="1" t="s">
        <v>411</v>
      </c>
      <c r="J310" s="1">
        <f>IFERROR(__xludf.DUMMYFUNCTION("""COMPUTED_VALUE"""),800.0)</f>
        <v>800</v>
      </c>
      <c r="K310" s="1">
        <v>81.0</v>
      </c>
      <c r="L310" s="1">
        <f>IFERROR(__xludf.DUMMYFUNCTION("""COMPUTED_VALUE"""),2152.0)</f>
        <v>2152</v>
      </c>
    </row>
    <row r="311">
      <c r="A311" s="1">
        <v>1309023.0</v>
      </c>
      <c r="B311" s="1" t="s">
        <v>731</v>
      </c>
      <c r="C311" s="1" t="s">
        <v>662</v>
      </c>
      <c r="D311" s="1" t="s">
        <v>727</v>
      </c>
      <c r="E311" s="1" t="s">
        <v>732</v>
      </c>
      <c r="F311" s="1" t="s">
        <v>16</v>
      </c>
      <c r="G311" s="1" t="s">
        <v>23</v>
      </c>
      <c r="H311" s="1" t="s">
        <v>18</v>
      </c>
      <c r="I311" s="1" t="s">
        <v>19</v>
      </c>
      <c r="J311" s="1">
        <f>IFERROR(__xludf.DUMMYFUNCTION("""COMPUTED_VALUE"""),67.0)</f>
        <v>67</v>
      </c>
      <c r="K311" s="1">
        <v>28.0</v>
      </c>
      <c r="L311" s="1">
        <f>IFERROR(__xludf.DUMMYFUNCTION("""COMPUTED_VALUE"""),87.0)</f>
        <v>87</v>
      </c>
    </row>
    <row r="312">
      <c r="A312" s="1">
        <v>1371316.0</v>
      </c>
      <c r="B312" s="1" t="s">
        <v>733</v>
      </c>
      <c r="C312" s="1" t="s">
        <v>662</v>
      </c>
      <c r="D312" s="1" t="s">
        <v>663</v>
      </c>
      <c r="E312" s="1" t="s">
        <v>734</v>
      </c>
      <c r="F312" s="1" t="s">
        <v>174</v>
      </c>
      <c r="G312" s="1" t="s">
        <v>150</v>
      </c>
      <c r="H312" s="1" t="s">
        <v>28</v>
      </c>
      <c r="I312" s="1" t="s">
        <v>139</v>
      </c>
      <c r="J312" s="1">
        <f>IFERROR(__xludf.DUMMYFUNCTION("""COMPUTED_VALUE"""),268.0)</f>
        <v>268</v>
      </c>
      <c r="K312" s="1">
        <v>43.0</v>
      </c>
      <c r="L312" s="1">
        <f>IFERROR(__xludf.DUMMYFUNCTION("""COMPUTED_VALUE"""),321.0)</f>
        <v>321</v>
      </c>
    </row>
    <row r="313">
      <c r="A313" s="1">
        <v>1375051.0</v>
      </c>
      <c r="B313" s="1" t="s">
        <v>735</v>
      </c>
      <c r="C313" s="1" t="s">
        <v>662</v>
      </c>
      <c r="D313" s="1" t="s">
        <v>675</v>
      </c>
      <c r="E313" s="1" t="s">
        <v>736</v>
      </c>
      <c r="F313" s="1" t="s">
        <v>16</v>
      </c>
      <c r="G313" s="1" t="s">
        <v>23</v>
      </c>
      <c r="H313" s="1" t="s">
        <v>18</v>
      </c>
      <c r="I313" s="1" t="s">
        <v>684</v>
      </c>
      <c r="J313" s="1">
        <f>IFERROR(__xludf.DUMMYFUNCTION("""COMPUTED_VALUE"""),61.0)</f>
        <v>61</v>
      </c>
      <c r="K313" s="1">
        <v>27.0</v>
      </c>
      <c r="L313" s="1">
        <f>IFERROR(__xludf.DUMMYFUNCTION("""COMPUTED_VALUE"""),229.0)</f>
        <v>229</v>
      </c>
    </row>
    <row r="314">
      <c r="A314" s="1">
        <v>1304031.0</v>
      </c>
      <c r="B314" s="1" t="s">
        <v>737</v>
      </c>
      <c r="C314" s="1" t="s">
        <v>662</v>
      </c>
      <c r="D314" s="1" t="s">
        <v>738</v>
      </c>
      <c r="E314" s="1" t="s">
        <v>739</v>
      </c>
      <c r="F314" s="1" t="s">
        <v>16</v>
      </c>
      <c r="G314" s="1" t="s">
        <v>98</v>
      </c>
      <c r="H314" s="1" t="s">
        <v>28</v>
      </c>
      <c r="I314" s="1" t="s">
        <v>40</v>
      </c>
      <c r="J314" s="1">
        <f>IFERROR(__xludf.DUMMYFUNCTION("""COMPUTED_VALUE"""),50.0)</f>
        <v>50</v>
      </c>
      <c r="K314" s="1">
        <v>19.0</v>
      </c>
      <c r="L314" s="1">
        <f>IFERROR(__xludf.DUMMYFUNCTION("""COMPUTED_VALUE"""),182.0)</f>
        <v>182</v>
      </c>
    </row>
    <row r="315">
      <c r="A315" s="1">
        <v>1377003.0</v>
      </c>
      <c r="B315" s="1" t="s">
        <v>740</v>
      </c>
      <c r="C315" s="1" t="s">
        <v>662</v>
      </c>
      <c r="D315" s="1" t="s">
        <v>669</v>
      </c>
      <c r="E315" s="1" t="s">
        <v>741</v>
      </c>
      <c r="F315" s="1" t="s">
        <v>16</v>
      </c>
      <c r="G315" s="1" t="s">
        <v>23</v>
      </c>
      <c r="H315" s="1" t="s">
        <v>18</v>
      </c>
      <c r="I315" s="1" t="s">
        <v>59</v>
      </c>
      <c r="J315" s="1">
        <f>IFERROR(__xludf.DUMMYFUNCTION("""COMPUTED_VALUE"""),100.0)</f>
        <v>100</v>
      </c>
      <c r="K315" s="1">
        <v>27.0</v>
      </c>
      <c r="L315" s="1">
        <f>IFERROR(__xludf.DUMMYFUNCTION("""COMPUTED_VALUE"""),128.0)</f>
        <v>128</v>
      </c>
    </row>
    <row r="316">
      <c r="A316" s="1">
        <v>1305014.0</v>
      </c>
      <c r="B316" s="1" t="s">
        <v>742</v>
      </c>
      <c r="C316" s="1" t="s">
        <v>662</v>
      </c>
      <c r="D316" s="1" t="s">
        <v>672</v>
      </c>
      <c r="E316" s="1" t="s">
        <v>743</v>
      </c>
      <c r="F316" s="1" t="s">
        <v>16</v>
      </c>
      <c r="G316" s="1" t="s">
        <v>17</v>
      </c>
      <c r="H316" s="1" t="s">
        <v>28</v>
      </c>
      <c r="I316" s="1" t="s">
        <v>40</v>
      </c>
      <c r="J316" s="1">
        <f>IFERROR(__xludf.DUMMYFUNCTION("""COMPUTED_VALUE"""),176.0)</f>
        <v>176</v>
      </c>
      <c r="K316" s="1">
        <v>39.0</v>
      </c>
      <c r="L316" s="1">
        <f>IFERROR(__xludf.DUMMYFUNCTION("""COMPUTED_VALUE"""),450.0)</f>
        <v>450</v>
      </c>
    </row>
    <row r="317">
      <c r="A317" s="1">
        <v>1312025.0</v>
      </c>
      <c r="B317" s="1" t="s">
        <v>744</v>
      </c>
      <c r="C317" s="1" t="s">
        <v>662</v>
      </c>
      <c r="D317" s="1" t="s">
        <v>710</v>
      </c>
      <c r="E317" s="1" t="s">
        <v>745</v>
      </c>
      <c r="F317" s="1" t="s">
        <v>55</v>
      </c>
      <c r="G317" s="1" t="s">
        <v>17</v>
      </c>
      <c r="H317" s="1" t="s">
        <v>18</v>
      </c>
      <c r="I317" s="1" t="s">
        <v>163</v>
      </c>
      <c r="J317" s="1">
        <f>IFERROR(__xludf.DUMMYFUNCTION("""COMPUTED_VALUE"""),26.0)</f>
        <v>26</v>
      </c>
      <c r="K317" s="1">
        <v>21.0</v>
      </c>
      <c r="L317" s="1">
        <f>IFERROR(__xludf.DUMMYFUNCTION("""COMPUTED_VALUE"""),45.0)</f>
        <v>45</v>
      </c>
    </row>
    <row r="318">
      <c r="A318" s="1">
        <v>1375014.0</v>
      </c>
      <c r="B318" s="1" t="s">
        <v>746</v>
      </c>
      <c r="C318" s="1" t="s">
        <v>662</v>
      </c>
      <c r="D318" s="1" t="s">
        <v>675</v>
      </c>
      <c r="E318" s="1" t="s">
        <v>747</v>
      </c>
      <c r="F318" s="1" t="s">
        <v>16</v>
      </c>
      <c r="G318" s="1" t="s">
        <v>27</v>
      </c>
      <c r="H318" s="1" t="s">
        <v>28</v>
      </c>
      <c r="I318" s="1" t="s">
        <v>139</v>
      </c>
      <c r="J318" s="1">
        <f>IFERROR(__xludf.DUMMYFUNCTION("""COMPUTED_VALUE"""),311.0)</f>
        <v>311</v>
      </c>
      <c r="K318" s="1">
        <v>107.0</v>
      </c>
      <c r="L318" s="1">
        <f>IFERROR(__xludf.DUMMYFUNCTION("""COMPUTED_VALUE"""),583.0)</f>
        <v>583</v>
      </c>
    </row>
    <row r="319">
      <c r="A319" s="1">
        <v>1371454.0</v>
      </c>
      <c r="B319" s="1" t="s">
        <v>748</v>
      </c>
      <c r="C319" s="1" t="s">
        <v>662</v>
      </c>
      <c r="D319" s="1" t="s">
        <v>663</v>
      </c>
      <c r="E319" s="1" t="s">
        <v>749</v>
      </c>
      <c r="F319" s="1" t="s">
        <v>32</v>
      </c>
      <c r="G319" s="1" t="s">
        <v>27</v>
      </c>
      <c r="H319" s="1" t="s">
        <v>18</v>
      </c>
      <c r="I319" s="1" t="s">
        <v>684</v>
      </c>
      <c r="J319" s="1">
        <f>IFERROR(__xludf.DUMMYFUNCTION("""COMPUTED_VALUE"""),12.0)</f>
        <v>12</v>
      </c>
      <c r="K319" s="1">
        <v>9.0</v>
      </c>
      <c r="L319" s="1">
        <f>IFERROR(__xludf.DUMMYFUNCTION("""COMPUTED_VALUE"""),37.0)</f>
        <v>37</v>
      </c>
    </row>
    <row r="320">
      <c r="A320" s="1">
        <v>1372013.0</v>
      </c>
      <c r="B320" s="1" t="s">
        <v>750</v>
      </c>
      <c r="C320" s="1" t="s">
        <v>662</v>
      </c>
      <c r="D320" s="1" t="s">
        <v>693</v>
      </c>
      <c r="E320" s="1" t="s">
        <v>751</v>
      </c>
      <c r="F320" s="1" t="s">
        <v>55</v>
      </c>
      <c r="G320" s="1" t="s">
        <v>17</v>
      </c>
      <c r="H320" s="1" t="s">
        <v>18</v>
      </c>
      <c r="I320" s="1" t="s">
        <v>44</v>
      </c>
      <c r="J320" s="1">
        <f>IFERROR(__xludf.DUMMYFUNCTION("""COMPUTED_VALUE"""),59.0)</f>
        <v>59</v>
      </c>
      <c r="K320" s="1">
        <v>20.0</v>
      </c>
      <c r="L320" s="1">
        <f>IFERROR(__xludf.DUMMYFUNCTION("""COMPUTED_VALUE"""),85.0)</f>
        <v>85</v>
      </c>
    </row>
    <row r="321">
      <c r="A321" s="1">
        <v>1371464.0</v>
      </c>
      <c r="B321" s="1" t="s">
        <v>752</v>
      </c>
      <c r="C321" s="1" t="s">
        <v>662</v>
      </c>
      <c r="D321" s="1" t="s">
        <v>663</v>
      </c>
      <c r="E321" s="1" t="s">
        <v>753</v>
      </c>
      <c r="F321" s="1" t="s">
        <v>16</v>
      </c>
      <c r="G321" s="1" t="s">
        <v>27</v>
      </c>
      <c r="H321" s="1" t="s">
        <v>18</v>
      </c>
      <c r="I321" s="1" t="s">
        <v>34</v>
      </c>
      <c r="J321" s="1">
        <f>IFERROR(__xludf.DUMMYFUNCTION("""COMPUTED_VALUE"""),202.0)</f>
        <v>202</v>
      </c>
      <c r="K321" s="1">
        <v>63.0</v>
      </c>
      <c r="L321" s="1">
        <f>IFERROR(__xludf.DUMMYFUNCTION("""COMPUTED_VALUE"""),390.0)</f>
        <v>390</v>
      </c>
    </row>
    <row r="322">
      <c r="A322" s="1">
        <v>1371032.0</v>
      </c>
      <c r="B322" s="1" t="s">
        <v>754</v>
      </c>
      <c r="C322" s="1" t="s">
        <v>662</v>
      </c>
      <c r="D322" s="1" t="s">
        <v>663</v>
      </c>
      <c r="E322" s="1" t="s">
        <v>755</v>
      </c>
      <c r="F322" s="1" t="s">
        <v>16</v>
      </c>
      <c r="G322" s="1" t="s">
        <v>17</v>
      </c>
      <c r="H322" s="1" t="s">
        <v>18</v>
      </c>
      <c r="I322" s="1" t="s">
        <v>249</v>
      </c>
      <c r="J322" s="1">
        <f>IFERROR(__xludf.DUMMYFUNCTION("""COMPUTED_VALUE"""),151.0)</f>
        <v>151</v>
      </c>
      <c r="K322" s="1">
        <v>47.0</v>
      </c>
      <c r="L322" s="1">
        <f>IFERROR(__xludf.DUMMYFUNCTION("""COMPUTED_VALUE"""),459.0)</f>
        <v>459</v>
      </c>
    </row>
    <row r="323">
      <c r="A323" s="1">
        <v>1302015.0</v>
      </c>
      <c r="B323" s="1" t="s">
        <v>756</v>
      </c>
      <c r="C323" s="1" t="s">
        <v>662</v>
      </c>
      <c r="D323" s="1" t="s">
        <v>696</v>
      </c>
      <c r="E323" s="1" t="s">
        <v>757</v>
      </c>
      <c r="F323" s="1" t="s">
        <v>55</v>
      </c>
      <c r="G323" s="1" t="s">
        <v>17</v>
      </c>
      <c r="H323" s="1" t="s">
        <v>18</v>
      </c>
      <c r="I323" s="1" t="s">
        <v>19</v>
      </c>
      <c r="J323" s="1">
        <f>IFERROR(__xludf.DUMMYFUNCTION("""COMPUTED_VALUE"""),30.0)</f>
        <v>30</v>
      </c>
      <c r="K323" s="1">
        <v>20.0</v>
      </c>
      <c r="L323" s="1">
        <f>IFERROR(__xludf.DUMMYFUNCTION("""COMPUTED_VALUE"""),1.0)</f>
        <v>1</v>
      </c>
    </row>
    <row r="324">
      <c r="A324" s="1">
        <v>1371451.0</v>
      </c>
      <c r="B324" s="1" t="s">
        <v>758</v>
      </c>
      <c r="C324" s="1" t="s">
        <v>662</v>
      </c>
      <c r="D324" s="1" t="s">
        <v>663</v>
      </c>
      <c r="E324" s="1" t="s">
        <v>759</v>
      </c>
      <c r="F324" s="1" t="s">
        <v>55</v>
      </c>
      <c r="G324" s="1" t="s">
        <v>17</v>
      </c>
      <c r="H324" s="1" t="s">
        <v>18</v>
      </c>
      <c r="I324" s="1" t="s">
        <v>19</v>
      </c>
      <c r="J324" s="1">
        <f>IFERROR(__xludf.DUMMYFUNCTION("""COMPUTED_VALUE"""),32.0)</f>
        <v>32</v>
      </c>
      <c r="K324" s="1">
        <v>26.0</v>
      </c>
      <c r="L324" s="1">
        <f>IFERROR(__xludf.DUMMYFUNCTION("""COMPUTED_VALUE"""),136.0)</f>
        <v>136</v>
      </c>
    </row>
    <row r="325">
      <c r="A325" s="1">
        <v>1371460.0</v>
      </c>
      <c r="B325" s="1" t="s">
        <v>760</v>
      </c>
      <c r="C325" s="1" t="s">
        <v>662</v>
      </c>
      <c r="D325" s="1" t="s">
        <v>663</v>
      </c>
      <c r="E325" s="1" t="s">
        <v>761</v>
      </c>
      <c r="F325" s="1" t="s">
        <v>55</v>
      </c>
      <c r="G325" s="1" t="s">
        <v>17</v>
      </c>
      <c r="H325" s="1" t="s">
        <v>18</v>
      </c>
      <c r="I325" s="1" t="s">
        <v>44</v>
      </c>
      <c r="J325" s="1">
        <f>IFERROR(__xludf.DUMMYFUNCTION("""COMPUTED_VALUE"""),27.0)</f>
        <v>27</v>
      </c>
      <c r="K325" s="1">
        <v>14.0</v>
      </c>
      <c r="L325" s="1">
        <f>IFERROR(__xludf.DUMMYFUNCTION("""COMPUTED_VALUE"""),40.0)</f>
        <v>40</v>
      </c>
    </row>
    <row r="326">
      <c r="A326" s="1">
        <v>1308016.0</v>
      </c>
      <c r="B326" s="1" t="s">
        <v>762</v>
      </c>
      <c r="C326" s="1" t="s">
        <v>662</v>
      </c>
      <c r="D326" s="1" t="s">
        <v>763</v>
      </c>
      <c r="E326" s="1" t="s">
        <v>764</v>
      </c>
      <c r="F326" s="1" t="s">
        <v>16</v>
      </c>
      <c r="G326" s="1" t="s">
        <v>17</v>
      </c>
      <c r="H326" s="1" t="s">
        <v>28</v>
      </c>
      <c r="I326" s="1" t="s">
        <v>40</v>
      </c>
      <c r="J326" s="1">
        <f>IFERROR(__xludf.DUMMYFUNCTION("""COMPUTED_VALUE"""),144.0)</f>
        <v>144</v>
      </c>
      <c r="K326" s="1">
        <v>45.0</v>
      </c>
      <c r="L326" s="1">
        <f>IFERROR(__xludf.DUMMYFUNCTION("""COMPUTED_VALUE"""),371.0)</f>
        <v>371</v>
      </c>
    </row>
    <row r="327">
      <c r="A327" s="1">
        <v>1311002.0</v>
      </c>
      <c r="B327" s="1" t="s">
        <v>765</v>
      </c>
      <c r="C327" s="1" t="s">
        <v>662</v>
      </c>
      <c r="D327" s="1" t="s">
        <v>766</v>
      </c>
      <c r="E327" s="1" t="s">
        <v>767</v>
      </c>
      <c r="F327" s="1" t="s">
        <v>16</v>
      </c>
      <c r="G327" s="1" t="s">
        <v>23</v>
      </c>
      <c r="H327" s="1" t="s">
        <v>28</v>
      </c>
      <c r="I327" s="1" t="s">
        <v>40</v>
      </c>
      <c r="J327" s="1">
        <f>IFERROR(__xludf.DUMMYFUNCTION("""COMPUTED_VALUE"""),63.0)</f>
        <v>63</v>
      </c>
      <c r="K327" s="1">
        <v>12.0</v>
      </c>
      <c r="L327" s="1">
        <f>IFERROR(__xludf.DUMMYFUNCTION("""COMPUTED_VALUE"""),96.0)</f>
        <v>96</v>
      </c>
    </row>
    <row r="328">
      <c r="A328" s="1">
        <v>1375036.0</v>
      </c>
      <c r="B328" s="1" t="s">
        <v>768</v>
      </c>
      <c r="C328" s="1" t="s">
        <v>662</v>
      </c>
      <c r="D328" s="1" t="s">
        <v>675</v>
      </c>
      <c r="E328" s="1" t="s">
        <v>769</v>
      </c>
      <c r="F328" s="1" t="s">
        <v>770</v>
      </c>
      <c r="G328" s="1" t="s">
        <v>150</v>
      </c>
      <c r="H328" s="1" t="s">
        <v>33</v>
      </c>
      <c r="I328" s="1" t="s">
        <v>411</v>
      </c>
      <c r="J328" s="1">
        <f>IFERROR(__xludf.DUMMYFUNCTION("""COMPUTED_VALUE"""),151.0)</f>
        <v>151</v>
      </c>
      <c r="K328" s="1">
        <v>27.0</v>
      </c>
      <c r="L328" s="1">
        <f>IFERROR(__xludf.DUMMYFUNCTION("""COMPUTED_VALUE"""),660.0)</f>
        <v>660</v>
      </c>
    </row>
    <row r="329">
      <c r="A329" s="1">
        <v>1371456.0</v>
      </c>
      <c r="B329" s="1" t="s">
        <v>771</v>
      </c>
      <c r="C329" s="1" t="s">
        <v>662</v>
      </c>
      <c r="D329" s="1" t="s">
        <v>663</v>
      </c>
      <c r="E329" s="1" t="s">
        <v>772</v>
      </c>
      <c r="F329" s="1" t="s">
        <v>16</v>
      </c>
      <c r="G329" s="1" t="s">
        <v>17</v>
      </c>
      <c r="H329" s="1" t="s">
        <v>18</v>
      </c>
      <c r="I329" s="1" t="s">
        <v>684</v>
      </c>
      <c r="J329" s="1">
        <f>IFERROR(__xludf.DUMMYFUNCTION("""COMPUTED_VALUE"""),133.0)</f>
        <v>133</v>
      </c>
      <c r="K329" s="1">
        <v>61.0</v>
      </c>
      <c r="L329" s="1">
        <f>IFERROR(__xludf.DUMMYFUNCTION("""COMPUTED_VALUE"""),353.0)</f>
        <v>353</v>
      </c>
    </row>
    <row r="330">
      <c r="A330" s="1">
        <v>1305015.0</v>
      </c>
      <c r="B330" s="1" t="s">
        <v>773</v>
      </c>
      <c r="C330" s="1" t="s">
        <v>662</v>
      </c>
      <c r="D330" s="1" t="s">
        <v>672</v>
      </c>
      <c r="E330" s="1" t="s">
        <v>774</v>
      </c>
      <c r="F330" s="1" t="s">
        <v>55</v>
      </c>
      <c r="G330" s="1" t="s">
        <v>17</v>
      </c>
      <c r="H330" s="1" t="s">
        <v>18</v>
      </c>
      <c r="I330" s="1" t="s">
        <v>19</v>
      </c>
      <c r="J330" s="1">
        <f>IFERROR(__xludf.DUMMYFUNCTION("""COMPUTED_VALUE"""),32.0)</f>
        <v>32</v>
      </c>
      <c r="K330" s="1">
        <v>19.0</v>
      </c>
      <c r="L330" s="1">
        <f>IFERROR(__xludf.DUMMYFUNCTION("""COMPUTED_VALUE"""),71.0)</f>
        <v>71</v>
      </c>
    </row>
    <row r="331">
      <c r="A331" s="1">
        <v>1377007.0</v>
      </c>
      <c r="B331" s="1" t="s">
        <v>775</v>
      </c>
      <c r="C331" s="1" t="s">
        <v>662</v>
      </c>
      <c r="D331" s="1" t="s">
        <v>669</v>
      </c>
      <c r="E331" s="1" t="s">
        <v>776</v>
      </c>
      <c r="F331" s="1" t="s">
        <v>16</v>
      </c>
      <c r="G331" s="1" t="s">
        <v>23</v>
      </c>
      <c r="H331" s="1" t="s">
        <v>28</v>
      </c>
      <c r="I331" s="1" t="s">
        <v>29</v>
      </c>
      <c r="J331" s="1">
        <f>IFERROR(__xludf.DUMMYFUNCTION("""COMPUTED_VALUE"""),74.0)</f>
        <v>74</v>
      </c>
      <c r="K331" s="1">
        <v>25.0</v>
      </c>
      <c r="L331" s="1">
        <f>IFERROR(__xludf.DUMMYFUNCTION("""COMPUTED_VALUE"""),176.0)</f>
        <v>176</v>
      </c>
    </row>
    <row r="332">
      <c r="A332" s="1">
        <v>1301010.0</v>
      </c>
      <c r="B332" s="1" t="s">
        <v>777</v>
      </c>
      <c r="C332" s="1" t="s">
        <v>662</v>
      </c>
      <c r="D332" s="1" t="s">
        <v>778</v>
      </c>
      <c r="E332" s="1" t="s">
        <v>779</v>
      </c>
      <c r="F332" s="1" t="s">
        <v>16</v>
      </c>
      <c r="G332" s="1" t="s">
        <v>23</v>
      </c>
      <c r="H332" s="1" t="s">
        <v>18</v>
      </c>
      <c r="I332" s="1" t="s">
        <v>40</v>
      </c>
      <c r="J332" s="1">
        <f>IFERROR(__xludf.DUMMYFUNCTION("""COMPUTED_VALUE"""),51.0)</f>
        <v>51</v>
      </c>
      <c r="K332" s="1">
        <v>28.0</v>
      </c>
      <c r="L332" s="1">
        <f>IFERROR(__xludf.DUMMYFUNCTION("""COMPUTED_VALUE"""),70.0)</f>
        <v>70</v>
      </c>
    </row>
    <row r="333">
      <c r="A333" s="1">
        <v>1371462.0</v>
      </c>
      <c r="B333" s="1" t="s">
        <v>780</v>
      </c>
      <c r="C333" s="1" t="s">
        <v>662</v>
      </c>
      <c r="D333" s="1" t="s">
        <v>663</v>
      </c>
      <c r="E333" s="1" t="s">
        <v>781</v>
      </c>
      <c r="F333" s="1" t="s">
        <v>16</v>
      </c>
      <c r="G333" s="1" t="s">
        <v>17</v>
      </c>
      <c r="H333" s="1" t="s">
        <v>18</v>
      </c>
      <c r="I333" s="1" t="s">
        <v>19</v>
      </c>
      <c r="J333" s="1">
        <f>IFERROR(__xludf.DUMMYFUNCTION("""COMPUTED_VALUE"""),100.0)</f>
        <v>100</v>
      </c>
      <c r="K333" s="1">
        <v>39.0</v>
      </c>
      <c r="L333" s="1">
        <f>IFERROR(__xludf.DUMMYFUNCTION("""COMPUTED_VALUE"""),134.0)</f>
        <v>134</v>
      </c>
    </row>
    <row r="334">
      <c r="A334" s="1">
        <v>1371112.0</v>
      </c>
      <c r="B334" s="1" t="s">
        <v>782</v>
      </c>
      <c r="C334" s="1" t="s">
        <v>662</v>
      </c>
      <c r="D334" s="1" t="s">
        <v>663</v>
      </c>
      <c r="E334" s="1" t="s">
        <v>783</v>
      </c>
      <c r="F334" s="1" t="s">
        <v>16</v>
      </c>
      <c r="G334" s="1" t="s">
        <v>17</v>
      </c>
      <c r="H334" s="1" t="s">
        <v>18</v>
      </c>
      <c r="I334" s="1" t="s">
        <v>59</v>
      </c>
      <c r="J334" s="1">
        <f>IFERROR(__xludf.DUMMYFUNCTION("""COMPUTED_VALUE"""),100.0)</f>
        <v>100</v>
      </c>
      <c r="K334" s="1">
        <v>34.0</v>
      </c>
      <c r="L334" s="1">
        <f>IFERROR(__xludf.DUMMYFUNCTION("""COMPUTED_VALUE"""),144.0)</f>
        <v>144</v>
      </c>
    </row>
    <row r="335">
      <c r="A335" s="1">
        <v>1371444.0</v>
      </c>
      <c r="B335" s="1" t="s">
        <v>784</v>
      </c>
      <c r="C335" s="1" t="s">
        <v>662</v>
      </c>
      <c r="D335" s="1" t="s">
        <v>663</v>
      </c>
      <c r="E335" s="1" t="s">
        <v>785</v>
      </c>
      <c r="F335" s="1" t="s">
        <v>16</v>
      </c>
      <c r="G335" s="1" t="s">
        <v>17</v>
      </c>
      <c r="H335" s="1" t="s">
        <v>28</v>
      </c>
      <c r="I335" s="1" t="s">
        <v>29</v>
      </c>
      <c r="J335" s="1">
        <f>IFERROR(__xludf.DUMMYFUNCTION("""COMPUTED_VALUE"""),111.0)</f>
        <v>111</v>
      </c>
      <c r="K335" s="1">
        <v>4.0</v>
      </c>
      <c r="L335" s="1">
        <f>IFERROR(__xludf.DUMMYFUNCTION("""COMPUTED_VALUE"""),372.0)</f>
        <v>372</v>
      </c>
    </row>
    <row r="336">
      <c r="A336" s="1">
        <v>1372014.0</v>
      </c>
      <c r="B336" s="1" t="s">
        <v>786</v>
      </c>
      <c r="C336" s="1" t="s">
        <v>662</v>
      </c>
      <c r="D336" s="1" t="s">
        <v>693</v>
      </c>
      <c r="E336" s="1" t="s">
        <v>787</v>
      </c>
      <c r="F336" s="1" t="s">
        <v>55</v>
      </c>
      <c r="G336" s="1" t="s">
        <v>17</v>
      </c>
      <c r="H336" s="1" t="s">
        <v>18</v>
      </c>
      <c r="I336" s="1" t="s">
        <v>19</v>
      </c>
      <c r="J336" s="1">
        <f>IFERROR(__xludf.DUMMYFUNCTION("""COMPUTED_VALUE"""),42.0)</f>
        <v>42</v>
      </c>
      <c r="K336" s="1">
        <v>13.0</v>
      </c>
      <c r="L336" s="1">
        <f>IFERROR(__xludf.DUMMYFUNCTION("""COMPUTED_VALUE"""),182.0)</f>
        <v>182</v>
      </c>
    </row>
    <row r="337">
      <c r="A337" s="1">
        <v>1304017.0</v>
      </c>
      <c r="B337" s="1" t="s">
        <v>788</v>
      </c>
      <c r="C337" s="1" t="s">
        <v>662</v>
      </c>
      <c r="D337" s="1" t="s">
        <v>738</v>
      </c>
      <c r="E337" s="1" t="s">
        <v>789</v>
      </c>
      <c r="F337" s="1" t="s">
        <v>55</v>
      </c>
      <c r="G337" s="1" t="s">
        <v>17</v>
      </c>
      <c r="H337" s="1" t="s">
        <v>18</v>
      </c>
      <c r="I337" s="1" t="s">
        <v>163</v>
      </c>
      <c r="J337" s="1">
        <f>IFERROR(__xludf.DUMMYFUNCTION("""COMPUTED_VALUE"""),27.0)</f>
        <v>27</v>
      </c>
      <c r="K337" s="1">
        <v>8.0</v>
      </c>
      <c r="L337" s="1">
        <f>IFERROR(__xludf.DUMMYFUNCTION("""COMPUTED_VALUE"""),40.0)</f>
        <v>40</v>
      </c>
    </row>
    <row r="338">
      <c r="A338" s="1">
        <v>1371463.0</v>
      </c>
      <c r="B338" s="1" t="s">
        <v>790</v>
      </c>
      <c r="C338" s="1" t="s">
        <v>662</v>
      </c>
      <c r="D338" s="1" t="s">
        <v>663</v>
      </c>
      <c r="E338" s="1" t="s">
        <v>791</v>
      </c>
      <c r="F338" s="1" t="s">
        <v>255</v>
      </c>
      <c r="G338" s="1" t="s">
        <v>17</v>
      </c>
      <c r="H338" s="1" t="s">
        <v>18</v>
      </c>
      <c r="I338" s="1" t="s">
        <v>19</v>
      </c>
      <c r="J338" s="1">
        <f>IFERROR(__xludf.DUMMYFUNCTION("""COMPUTED_VALUE"""),25.0)</f>
        <v>25</v>
      </c>
      <c r="K338" s="1">
        <v>16.0</v>
      </c>
      <c r="L338" s="1">
        <f>IFERROR(__xludf.DUMMYFUNCTION("""COMPUTED_VALUE"""),53.0)</f>
        <v>53</v>
      </c>
    </row>
    <row r="339">
      <c r="A339" s="1">
        <v>1309011.0</v>
      </c>
      <c r="B339" s="1" t="s">
        <v>792</v>
      </c>
      <c r="C339" s="1" t="s">
        <v>662</v>
      </c>
      <c r="D339" s="1" t="s">
        <v>727</v>
      </c>
      <c r="E339" s="1" t="s">
        <v>793</v>
      </c>
      <c r="F339" s="1" t="s">
        <v>16</v>
      </c>
      <c r="G339" s="1" t="s">
        <v>17</v>
      </c>
      <c r="H339" s="1" t="s">
        <v>28</v>
      </c>
      <c r="I339" s="1" t="s">
        <v>40</v>
      </c>
      <c r="J339" s="1">
        <f>IFERROR(__xludf.DUMMYFUNCTION("""COMPUTED_VALUE"""),184.0)</f>
        <v>184</v>
      </c>
      <c r="K339" s="1">
        <v>101.0</v>
      </c>
      <c r="L339" s="1">
        <f>IFERROR(__xludf.DUMMYFUNCTION("""COMPUTED_VALUE"""),322.0)</f>
        <v>322</v>
      </c>
    </row>
    <row r="340">
      <c r="A340" s="1">
        <v>1371465.0</v>
      </c>
      <c r="B340" s="1" t="s">
        <v>794</v>
      </c>
      <c r="C340" s="1" t="s">
        <v>662</v>
      </c>
      <c r="D340" s="1" t="s">
        <v>663</v>
      </c>
      <c r="E340" s="1" t="s">
        <v>795</v>
      </c>
      <c r="F340" s="1" t="s">
        <v>55</v>
      </c>
      <c r="G340" s="1" t="s">
        <v>17</v>
      </c>
      <c r="H340" s="1" t="s">
        <v>18</v>
      </c>
      <c r="I340" s="1" t="s">
        <v>19</v>
      </c>
      <c r="J340" s="1">
        <f>IFERROR(__xludf.DUMMYFUNCTION("""COMPUTED_VALUE"""),29.0)</f>
        <v>29</v>
      </c>
      <c r="K340" s="1">
        <v>15.0</v>
      </c>
      <c r="L340" s="1">
        <f>IFERROR(__xludf.DUMMYFUNCTION("""COMPUTED_VALUE"""),126.0)</f>
        <v>126</v>
      </c>
    </row>
    <row r="341">
      <c r="A341" s="1">
        <v>1376015.0</v>
      </c>
      <c r="B341" s="1" t="s">
        <v>796</v>
      </c>
      <c r="C341" s="1" t="s">
        <v>662</v>
      </c>
      <c r="D341" s="1" t="s">
        <v>666</v>
      </c>
      <c r="E341" s="1" t="s">
        <v>797</v>
      </c>
      <c r="F341" s="1" t="s">
        <v>16</v>
      </c>
      <c r="G341" s="1" t="s">
        <v>17</v>
      </c>
      <c r="H341" s="1" t="s">
        <v>28</v>
      </c>
      <c r="I341" s="1" t="s">
        <v>29</v>
      </c>
      <c r="J341" s="1">
        <f>IFERROR(__xludf.DUMMYFUNCTION("""COMPUTED_VALUE"""),179.0)</f>
        <v>179</v>
      </c>
      <c r="K341" s="1">
        <v>71.0</v>
      </c>
      <c r="L341" s="1">
        <f>IFERROR(__xludf.DUMMYFUNCTION("""COMPUTED_VALUE"""),596.0)</f>
        <v>596</v>
      </c>
    </row>
    <row r="342">
      <c r="A342" s="1">
        <v>1303012.0</v>
      </c>
      <c r="B342" s="1" t="s">
        <v>798</v>
      </c>
      <c r="C342" s="1" t="s">
        <v>662</v>
      </c>
      <c r="D342" s="1" t="s">
        <v>680</v>
      </c>
      <c r="E342" s="1" t="s">
        <v>799</v>
      </c>
      <c r="F342" s="1" t="s">
        <v>16</v>
      </c>
      <c r="G342" s="1" t="s">
        <v>17</v>
      </c>
      <c r="H342" s="1" t="s">
        <v>28</v>
      </c>
      <c r="I342" s="1" t="s">
        <v>40</v>
      </c>
      <c r="J342" s="1">
        <f>IFERROR(__xludf.DUMMYFUNCTION("""COMPUTED_VALUE"""),112.0)</f>
        <v>112</v>
      </c>
      <c r="K342" s="1">
        <v>44.0</v>
      </c>
      <c r="L342" s="1">
        <f>IFERROR(__xludf.DUMMYFUNCTION("""COMPUTED_VALUE"""),275.0)</f>
        <v>275</v>
      </c>
    </row>
    <row r="343">
      <c r="A343" s="1">
        <v>1371478.0</v>
      </c>
      <c r="B343" s="1" t="s">
        <v>800</v>
      </c>
      <c r="C343" s="1" t="s">
        <v>662</v>
      </c>
      <c r="D343" s="1" t="s">
        <v>663</v>
      </c>
      <c r="E343" s="1" t="s">
        <v>801</v>
      </c>
      <c r="F343" s="1" t="s">
        <v>32</v>
      </c>
      <c r="G343" s="1" t="s">
        <v>27</v>
      </c>
      <c r="H343" s="1" t="s">
        <v>18</v>
      </c>
      <c r="I343" s="1" t="s">
        <v>34</v>
      </c>
      <c r="J343" s="1">
        <f>IFERROR(__xludf.DUMMYFUNCTION("""COMPUTED_VALUE"""),14.0)</f>
        <v>14</v>
      </c>
      <c r="K343" s="1">
        <v>21.0</v>
      </c>
      <c r="L343" s="1">
        <f>IFERROR(__xludf.DUMMYFUNCTION("""COMPUTED_VALUE"""),182.0)</f>
        <v>182</v>
      </c>
    </row>
    <row r="344">
      <c r="A344" s="1">
        <v>1371459.0</v>
      </c>
      <c r="B344" s="1" t="s">
        <v>802</v>
      </c>
      <c r="C344" s="1" t="s">
        <v>662</v>
      </c>
      <c r="D344" s="1" t="s">
        <v>663</v>
      </c>
      <c r="E344" s="1" t="s">
        <v>803</v>
      </c>
      <c r="F344" s="1" t="s">
        <v>272</v>
      </c>
      <c r="G344" s="1" t="s">
        <v>17</v>
      </c>
      <c r="H344" s="1" t="s">
        <v>18</v>
      </c>
      <c r="I344" s="1" t="s">
        <v>44</v>
      </c>
      <c r="J344" s="1">
        <f>IFERROR(__xludf.DUMMYFUNCTION("""COMPUTED_VALUE"""),16.0)</f>
        <v>16</v>
      </c>
      <c r="K344" s="1">
        <v>16.0</v>
      </c>
      <c r="L344" s="1">
        <f>IFERROR(__xludf.DUMMYFUNCTION("""COMPUTED_VALUE"""),86.0)</f>
        <v>86</v>
      </c>
    </row>
    <row r="345">
      <c r="A345" s="1">
        <v>1306057.0</v>
      </c>
      <c r="B345" s="1" t="s">
        <v>804</v>
      </c>
      <c r="C345" s="1" t="s">
        <v>662</v>
      </c>
      <c r="D345" s="1" t="s">
        <v>805</v>
      </c>
      <c r="E345" s="1" t="s">
        <v>806</v>
      </c>
      <c r="F345" s="1" t="s">
        <v>473</v>
      </c>
      <c r="G345" s="1" t="s">
        <v>27</v>
      </c>
      <c r="H345" s="1" t="s">
        <v>18</v>
      </c>
      <c r="I345" s="1" t="s">
        <v>139</v>
      </c>
      <c r="J345" s="1">
        <f>IFERROR(__xludf.DUMMYFUNCTION("""COMPUTED_VALUE"""),76.0)</f>
        <v>76</v>
      </c>
      <c r="K345" s="1">
        <v>51.0</v>
      </c>
      <c r="L345" s="1">
        <f>IFERROR(__xludf.DUMMYFUNCTION("""COMPUTED_VALUE"""),116.0)</f>
        <v>116</v>
      </c>
    </row>
    <row r="346">
      <c r="A346" s="1">
        <v>1373012.0</v>
      </c>
      <c r="B346" s="1" t="s">
        <v>807</v>
      </c>
      <c r="C346" s="1" t="s">
        <v>662</v>
      </c>
      <c r="D346" s="1" t="s">
        <v>808</v>
      </c>
      <c r="E346" s="1" t="s">
        <v>809</v>
      </c>
      <c r="F346" s="1" t="s">
        <v>16</v>
      </c>
      <c r="G346" s="1" t="s">
        <v>17</v>
      </c>
      <c r="H346" s="1" t="s">
        <v>28</v>
      </c>
      <c r="I346" s="1" t="s">
        <v>29</v>
      </c>
      <c r="J346" s="1">
        <f>IFERROR(__xludf.DUMMYFUNCTION("""COMPUTED_VALUE"""),104.0)</f>
        <v>104</v>
      </c>
      <c r="K346" s="1">
        <v>33.0</v>
      </c>
      <c r="L346" s="1">
        <f>IFERROR(__xludf.DUMMYFUNCTION("""COMPUTED_VALUE"""),488.0)</f>
        <v>488</v>
      </c>
    </row>
    <row r="347">
      <c r="A347" s="1">
        <v>1371457.0</v>
      </c>
      <c r="B347" s="1" t="s">
        <v>810</v>
      </c>
      <c r="C347" s="1" t="s">
        <v>662</v>
      </c>
      <c r="D347" s="1" t="s">
        <v>663</v>
      </c>
      <c r="E347" s="1" t="s">
        <v>811</v>
      </c>
      <c r="F347" s="1" t="s">
        <v>272</v>
      </c>
      <c r="G347" s="1" t="s">
        <v>17</v>
      </c>
      <c r="H347" s="1" t="s">
        <v>18</v>
      </c>
      <c r="I347" s="1" t="s">
        <v>19</v>
      </c>
      <c r="J347" s="1">
        <f>IFERROR(__xludf.DUMMYFUNCTION("""COMPUTED_VALUE"""),23.0)</f>
        <v>23</v>
      </c>
      <c r="K347" s="1">
        <v>15.0</v>
      </c>
      <c r="L347" s="1">
        <f>IFERROR(__xludf.DUMMYFUNCTION("""COMPUTED_VALUE"""),110.0)</f>
        <v>110</v>
      </c>
    </row>
    <row r="348">
      <c r="A348" s="1">
        <v>1312036.0</v>
      </c>
      <c r="B348" s="1" t="s">
        <v>812</v>
      </c>
      <c r="C348" s="1" t="s">
        <v>662</v>
      </c>
      <c r="D348" s="1" t="s">
        <v>710</v>
      </c>
      <c r="E348" s="1" t="s">
        <v>813</v>
      </c>
      <c r="F348" s="1" t="s">
        <v>16</v>
      </c>
      <c r="G348" s="1" t="s">
        <v>98</v>
      </c>
      <c r="H348" s="1" t="s">
        <v>18</v>
      </c>
      <c r="I348" s="1" t="s">
        <v>40</v>
      </c>
      <c r="J348" s="1">
        <f>IFERROR(__xludf.DUMMYFUNCTION("""COMPUTED_VALUE"""),16.0)</f>
        <v>16</v>
      </c>
      <c r="K348" s="1">
        <v>10.0</v>
      </c>
      <c r="L348" s="1">
        <f>IFERROR(__xludf.DUMMYFUNCTION("""COMPUTED_VALUE"""),182.0)</f>
        <v>182</v>
      </c>
    </row>
    <row r="349">
      <c r="A349" s="1">
        <v>1312024.0</v>
      </c>
      <c r="B349" s="1" t="s">
        <v>814</v>
      </c>
      <c r="C349" s="1" t="s">
        <v>662</v>
      </c>
      <c r="D349" s="1" t="s">
        <v>710</v>
      </c>
      <c r="E349" s="1" t="s">
        <v>815</v>
      </c>
      <c r="F349" s="1" t="s">
        <v>16</v>
      </c>
      <c r="G349" s="1" t="s">
        <v>17</v>
      </c>
      <c r="H349" s="1" t="s">
        <v>28</v>
      </c>
      <c r="I349" s="1" t="s">
        <v>40</v>
      </c>
      <c r="J349" s="1">
        <f>IFERROR(__xludf.DUMMYFUNCTION("""COMPUTED_VALUE"""),156.0)</f>
        <v>156</v>
      </c>
      <c r="K349" s="1">
        <v>75.0</v>
      </c>
      <c r="L349" s="1">
        <f>IFERROR(__xludf.DUMMYFUNCTION("""COMPUTED_VALUE"""),394.0)</f>
        <v>394</v>
      </c>
    </row>
    <row r="350">
      <c r="A350" s="1">
        <v>1306056.0</v>
      </c>
      <c r="B350" s="1" t="s">
        <v>816</v>
      </c>
      <c r="C350" s="1" t="s">
        <v>662</v>
      </c>
      <c r="D350" s="1" t="s">
        <v>805</v>
      </c>
      <c r="E350" s="1" t="s">
        <v>817</v>
      </c>
      <c r="F350" s="1" t="s">
        <v>16</v>
      </c>
      <c r="G350" s="1" t="s">
        <v>17</v>
      </c>
      <c r="H350" s="1" t="s">
        <v>28</v>
      </c>
      <c r="I350" s="1" t="s">
        <v>40</v>
      </c>
      <c r="J350" s="1">
        <f>IFERROR(__xludf.DUMMYFUNCTION("""COMPUTED_VALUE"""),181.0)</f>
        <v>181</v>
      </c>
      <c r="K350" s="1">
        <v>42.0</v>
      </c>
      <c r="L350" s="1">
        <f>IFERROR(__xludf.DUMMYFUNCTION("""COMPUTED_VALUE"""),269.0)</f>
        <v>269</v>
      </c>
    </row>
    <row r="351">
      <c r="A351" s="1">
        <v>1307017.0</v>
      </c>
      <c r="B351" s="1" t="s">
        <v>818</v>
      </c>
      <c r="C351" s="1" t="s">
        <v>662</v>
      </c>
      <c r="D351" s="1" t="s">
        <v>763</v>
      </c>
      <c r="E351" s="1" t="s">
        <v>819</v>
      </c>
      <c r="F351" s="1" t="s">
        <v>55</v>
      </c>
      <c r="G351" s="1" t="s">
        <v>17</v>
      </c>
      <c r="H351" s="1" t="s">
        <v>18</v>
      </c>
      <c r="I351" s="1" t="s">
        <v>163</v>
      </c>
      <c r="J351" s="1">
        <f>IFERROR(__xludf.DUMMYFUNCTION("""COMPUTED_VALUE"""),40.0)</f>
        <v>40</v>
      </c>
      <c r="K351" s="1">
        <v>21.0</v>
      </c>
      <c r="L351" s="1">
        <f>IFERROR(__xludf.DUMMYFUNCTION("""COMPUTED_VALUE"""),110.0)</f>
        <v>110</v>
      </c>
    </row>
    <row r="352">
      <c r="A352" s="1">
        <v>1377005.0</v>
      </c>
      <c r="B352" s="1" t="s">
        <v>820</v>
      </c>
      <c r="C352" s="1" t="s">
        <v>662</v>
      </c>
      <c r="D352" s="1" t="s">
        <v>669</v>
      </c>
      <c r="E352" s="1" t="s">
        <v>821</v>
      </c>
      <c r="F352" s="1" t="s">
        <v>16</v>
      </c>
      <c r="G352" s="1" t="s">
        <v>23</v>
      </c>
      <c r="H352" s="1" t="s">
        <v>18</v>
      </c>
      <c r="I352" s="1" t="s">
        <v>19</v>
      </c>
      <c r="J352" s="1">
        <f>IFERROR(__xludf.DUMMYFUNCTION("""COMPUTED_VALUE"""),68.0)</f>
        <v>68</v>
      </c>
      <c r="K352" s="1">
        <v>26.0</v>
      </c>
      <c r="L352" s="1">
        <f>IFERROR(__xludf.DUMMYFUNCTION("""COMPUTED_VALUE"""),101.0)</f>
        <v>101</v>
      </c>
    </row>
    <row r="353">
      <c r="A353" s="1">
        <v>1302013.0</v>
      </c>
      <c r="B353" s="1" t="s">
        <v>822</v>
      </c>
      <c r="C353" s="1" t="s">
        <v>662</v>
      </c>
      <c r="D353" s="1" t="s">
        <v>696</v>
      </c>
      <c r="E353" s="1" t="s">
        <v>823</v>
      </c>
      <c r="F353" s="1" t="s">
        <v>16</v>
      </c>
      <c r="G353" s="1" t="s">
        <v>23</v>
      </c>
      <c r="H353" s="1" t="s">
        <v>18</v>
      </c>
      <c r="I353" s="1" t="s">
        <v>40</v>
      </c>
      <c r="J353" s="1">
        <f>IFERROR(__xludf.DUMMYFUNCTION("""COMPUTED_VALUE"""),62.0)</f>
        <v>62</v>
      </c>
      <c r="K353" s="1">
        <v>18.0</v>
      </c>
      <c r="L353" s="1">
        <f>IFERROR(__xludf.DUMMYFUNCTION("""COMPUTED_VALUE"""),247.0)</f>
        <v>247</v>
      </c>
    </row>
    <row r="354">
      <c r="A354" s="1">
        <v>1311013.0</v>
      </c>
      <c r="B354" s="1" t="s">
        <v>824</v>
      </c>
      <c r="C354" s="1" t="s">
        <v>662</v>
      </c>
      <c r="D354" s="1" t="s">
        <v>766</v>
      </c>
      <c r="E354" s="1" t="s">
        <v>825</v>
      </c>
      <c r="F354" s="1" t="s">
        <v>16</v>
      </c>
      <c r="G354" s="1" t="s">
        <v>17</v>
      </c>
      <c r="H354" s="1" t="s">
        <v>28</v>
      </c>
      <c r="I354" s="1" t="s">
        <v>40</v>
      </c>
      <c r="J354" s="1">
        <f>IFERROR(__xludf.DUMMYFUNCTION("""COMPUTED_VALUE"""),166.0)</f>
        <v>166</v>
      </c>
      <c r="K354" s="1">
        <v>72.0</v>
      </c>
      <c r="L354" s="1">
        <f>IFERROR(__xludf.DUMMYFUNCTION("""COMPUTED_VALUE"""),541.0)</f>
        <v>541</v>
      </c>
    </row>
    <row r="355">
      <c r="A355" s="1">
        <v>1371305.0</v>
      </c>
      <c r="B355" s="1" t="s">
        <v>826</v>
      </c>
      <c r="C355" s="1" t="s">
        <v>662</v>
      </c>
      <c r="D355" s="1" t="s">
        <v>663</v>
      </c>
      <c r="E355" s="1" t="s">
        <v>827</v>
      </c>
      <c r="F355" s="1" t="s">
        <v>16</v>
      </c>
      <c r="G355" s="1" t="s">
        <v>17</v>
      </c>
      <c r="H355" s="1" t="s">
        <v>18</v>
      </c>
      <c r="I355" s="1" t="s">
        <v>19</v>
      </c>
      <c r="J355" s="1">
        <f>IFERROR(__xludf.DUMMYFUNCTION("""COMPUTED_VALUE"""),144.0)</f>
        <v>144</v>
      </c>
      <c r="K355" s="1">
        <v>115.0</v>
      </c>
      <c r="L355" s="1">
        <f>IFERROR(__xludf.DUMMYFUNCTION("""COMPUTED_VALUE"""),535.0)</f>
        <v>535</v>
      </c>
    </row>
    <row r="356">
      <c r="A356" s="1">
        <v>1374024.0</v>
      </c>
      <c r="B356" s="1" t="s">
        <v>828</v>
      </c>
      <c r="C356" s="1" t="s">
        <v>662</v>
      </c>
      <c r="D356" s="1" t="s">
        <v>720</v>
      </c>
      <c r="E356" s="1" t="s">
        <v>829</v>
      </c>
      <c r="F356" s="1" t="s">
        <v>16</v>
      </c>
      <c r="G356" s="1" t="s">
        <v>23</v>
      </c>
      <c r="H356" s="1" t="s">
        <v>18</v>
      </c>
      <c r="I356" s="1" t="s">
        <v>684</v>
      </c>
      <c r="J356" s="1">
        <f>IFERROR(__xludf.DUMMYFUNCTION("""COMPUTED_VALUE"""),50.0)</f>
        <v>50</v>
      </c>
      <c r="K356" s="1">
        <v>31.0</v>
      </c>
      <c r="L356" s="1">
        <f>IFERROR(__xludf.DUMMYFUNCTION("""COMPUTED_VALUE"""),153.0)</f>
        <v>153</v>
      </c>
    </row>
    <row r="357">
      <c r="A357" s="1">
        <v>1304014.0</v>
      </c>
      <c r="B357" s="1" t="s">
        <v>830</v>
      </c>
      <c r="C357" s="1" t="s">
        <v>662</v>
      </c>
      <c r="D357" s="1" t="s">
        <v>738</v>
      </c>
      <c r="E357" s="1" t="s">
        <v>831</v>
      </c>
      <c r="F357" s="1" t="s">
        <v>16</v>
      </c>
      <c r="G357" s="1" t="s">
        <v>17</v>
      </c>
      <c r="H357" s="1" t="s">
        <v>28</v>
      </c>
      <c r="I357" s="1" t="s">
        <v>40</v>
      </c>
      <c r="J357" s="1">
        <f>IFERROR(__xludf.DUMMYFUNCTION("""COMPUTED_VALUE"""),130.0)</f>
        <v>130</v>
      </c>
      <c r="K357" s="1">
        <v>35.0</v>
      </c>
      <c r="L357" s="1">
        <f>IFERROR(__xludf.DUMMYFUNCTION("""COMPUTED_VALUE"""),384.0)</f>
        <v>384</v>
      </c>
    </row>
    <row r="358">
      <c r="A358" s="1">
        <v>1302012.0</v>
      </c>
      <c r="B358" s="1" t="s">
        <v>832</v>
      </c>
      <c r="C358" s="1" t="s">
        <v>662</v>
      </c>
      <c r="D358" s="1" t="s">
        <v>696</v>
      </c>
      <c r="E358" s="1" t="s">
        <v>833</v>
      </c>
      <c r="F358" s="1" t="s">
        <v>16</v>
      </c>
      <c r="G358" s="1" t="s">
        <v>17</v>
      </c>
      <c r="H358" s="1" t="s">
        <v>18</v>
      </c>
      <c r="I358" s="1" t="s">
        <v>44</v>
      </c>
      <c r="J358" s="1">
        <f>IFERROR(__xludf.DUMMYFUNCTION("""COMPUTED_VALUE"""),130.0)</f>
        <v>130</v>
      </c>
      <c r="K358" s="1">
        <v>30.0</v>
      </c>
      <c r="L358" s="1">
        <f>IFERROR(__xludf.DUMMYFUNCTION("""COMPUTED_VALUE"""),258.0)</f>
        <v>258</v>
      </c>
    </row>
    <row r="359">
      <c r="A359" s="1">
        <v>1371021.0</v>
      </c>
      <c r="B359" s="1" t="s">
        <v>834</v>
      </c>
      <c r="C359" s="1" t="s">
        <v>662</v>
      </c>
      <c r="D359" s="1" t="s">
        <v>663</v>
      </c>
      <c r="E359" s="1" t="s">
        <v>835</v>
      </c>
      <c r="F359" s="1" t="s">
        <v>16</v>
      </c>
      <c r="G359" s="1" t="s">
        <v>17</v>
      </c>
      <c r="H359" s="1" t="s">
        <v>18</v>
      </c>
      <c r="I359" s="1" t="s">
        <v>74</v>
      </c>
      <c r="J359" s="1">
        <f>IFERROR(__xludf.DUMMYFUNCTION("""COMPUTED_VALUE"""),251.0)</f>
        <v>251</v>
      </c>
      <c r="K359" s="1">
        <v>52.0</v>
      </c>
      <c r="L359" s="1">
        <f>IFERROR(__xludf.DUMMYFUNCTION("""COMPUTED_VALUE"""),568.0)</f>
        <v>568</v>
      </c>
    </row>
    <row r="360">
      <c r="A360" s="1">
        <v>1375053.0</v>
      </c>
      <c r="B360" s="1" t="s">
        <v>836</v>
      </c>
      <c r="C360" s="1" t="s">
        <v>662</v>
      </c>
      <c r="D360" s="1" t="s">
        <v>675</v>
      </c>
      <c r="E360" s="1" t="s">
        <v>837</v>
      </c>
      <c r="F360" s="1" t="s">
        <v>16</v>
      </c>
      <c r="G360" s="1" t="s">
        <v>17</v>
      </c>
      <c r="H360" s="1" t="s">
        <v>28</v>
      </c>
      <c r="I360" s="1" t="s">
        <v>29</v>
      </c>
      <c r="J360" s="1">
        <f>IFERROR(__xludf.DUMMYFUNCTION("""COMPUTED_VALUE"""),100.0)</f>
        <v>100</v>
      </c>
      <c r="K360" s="1">
        <v>82.0</v>
      </c>
      <c r="L360" s="1">
        <f>IFERROR(__xludf.DUMMYFUNCTION("""COMPUTED_VALUE"""),215.0)</f>
        <v>215</v>
      </c>
    </row>
    <row r="361">
      <c r="A361" s="1">
        <v>1404014.0</v>
      </c>
      <c r="B361" s="1" t="s">
        <v>838</v>
      </c>
      <c r="C361" s="1" t="s">
        <v>839</v>
      </c>
      <c r="D361" s="1" t="s">
        <v>840</v>
      </c>
      <c r="E361" s="1" t="s">
        <v>841</v>
      </c>
      <c r="F361" s="1" t="s">
        <v>16</v>
      </c>
      <c r="G361" s="1" t="s">
        <v>17</v>
      </c>
      <c r="H361" s="1" t="s">
        <v>28</v>
      </c>
      <c r="I361" s="1" t="s">
        <v>40</v>
      </c>
      <c r="J361" s="1">
        <f>IFERROR(__xludf.DUMMYFUNCTION("""COMPUTED_VALUE"""),130.0)</f>
        <v>130</v>
      </c>
      <c r="K361" s="1">
        <v>33.0</v>
      </c>
      <c r="L361" s="1">
        <f>IFERROR(__xludf.DUMMYFUNCTION("""COMPUTED_VALUE"""),436.0)</f>
        <v>436</v>
      </c>
    </row>
    <row r="362">
      <c r="A362" s="1">
        <v>1471079.0</v>
      </c>
      <c r="B362" s="1" t="s">
        <v>842</v>
      </c>
      <c r="C362" s="1" t="s">
        <v>839</v>
      </c>
      <c r="D362" s="1" t="s">
        <v>843</v>
      </c>
      <c r="E362" s="1" t="s">
        <v>844</v>
      </c>
      <c r="F362" s="1" t="s">
        <v>16</v>
      </c>
      <c r="G362" s="1" t="s">
        <v>17</v>
      </c>
      <c r="H362" s="1" t="s">
        <v>18</v>
      </c>
      <c r="I362" s="1" t="s">
        <v>19</v>
      </c>
      <c r="J362" s="1">
        <f>IFERROR(__xludf.DUMMYFUNCTION("""COMPUTED_VALUE"""),180.0)</f>
        <v>180</v>
      </c>
      <c r="K362" s="1">
        <v>95.0</v>
      </c>
      <c r="L362" s="1">
        <f>IFERROR(__xludf.DUMMYFUNCTION("""COMPUTED_VALUE"""),483.0)</f>
        <v>483</v>
      </c>
    </row>
    <row r="363">
      <c r="A363" s="1">
        <v>1401012.0</v>
      </c>
      <c r="B363" s="1" t="s">
        <v>845</v>
      </c>
      <c r="C363" s="1" t="s">
        <v>839</v>
      </c>
      <c r="D363" s="1" t="s">
        <v>846</v>
      </c>
      <c r="E363" s="1" t="s">
        <v>847</v>
      </c>
      <c r="F363" s="1" t="s">
        <v>55</v>
      </c>
      <c r="G363" s="1" t="s">
        <v>17</v>
      </c>
      <c r="H363" s="1" t="s">
        <v>18</v>
      </c>
      <c r="I363" s="1" t="s">
        <v>19</v>
      </c>
      <c r="J363" s="1">
        <f>IFERROR(__xludf.DUMMYFUNCTION("""COMPUTED_VALUE"""),64.0)</f>
        <v>64</v>
      </c>
      <c r="K363" s="1">
        <v>26.0</v>
      </c>
      <c r="L363" s="1">
        <f>IFERROR(__xludf.DUMMYFUNCTION("""COMPUTED_VALUE"""),55.0)</f>
        <v>55</v>
      </c>
    </row>
    <row r="364">
      <c r="A364" s="1">
        <v>1471150.0</v>
      </c>
      <c r="B364" s="1" t="s">
        <v>848</v>
      </c>
      <c r="C364" s="1" t="s">
        <v>839</v>
      </c>
      <c r="D364" s="1" t="s">
        <v>843</v>
      </c>
      <c r="E364" s="1" t="s">
        <v>849</v>
      </c>
      <c r="F364" s="1" t="s">
        <v>16</v>
      </c>
      <c r="G364" s="1" t="s">
        <v>17</v>
      </c>
      <c r="H364" s="1" t="s">
        <v>18</v>
      </c>
      <c r="I364" s="1" t="s">
        <v>59</v>
      </c>
      <c r="J364" s="1">
        <f>IFERROR(__xludf.DUMMYFUNCTION("""COMPUTED_VALUE"""),123.0)</f>
        <v>123</v>
      </c>
      <c r="K364" s="1">
        <v>54.0</v>
      </c>
      <c r="L364" s="1">
        <f>IFERROR(__xludf.DUMMYFUNCTION("""COMPUTED_VALUE"""),197.0)</f>
        <v>197</v>
      </c>
    </row>
    <row r="365">
      <c r="A365" s="1">
        <v>1471387.0</v>
      </c>
      <c r="B365" s="1" t="s">
        <v>850</v>
      </c>
      <c r="C365" s="1" t="s">
        <v>839</v>
      </c>
      <c r="D365" s="1" t="s">
        <v>843</v>
      </c>
      <c r="E365" s="1" t="s">
        <v>851</v>
      </c>
      <c r="F365" s="1" t="s">
        <v>55</v>
      </c>
      <c r="G365" s="1" t="s">
        <v>17</v>
      </c>
      <c r="H365" s="1" t="s">
        <v>18</v>
      </c>
      <c r="I365" s="1" t="s">
        <v>44</v>
      </c>
      <c r="J365" s="1">
        <f>IFERROR(__xludf.DUMMYFUNCTION("""COMPUTED_VALUE"""),74.0)</f>
        <v>74</v>
      </c>
      <c r="K365" s="1">
        <v>23.0</v>
      </c>
      <c r="L365" s="1">
        <f>IFERROR(__xludf.DUMMYFUNCTION("""COMPUTED_VALUE"""),205.0)</f>
        <v>205</v>
      </c>
    </row>
    <row r="366">
      <c r="A366" s="1">
        <v>1408055.0</v>
      </c>
      <c r="B366" s="1" t="s">
        <v>852</v>
      </c>
      <c r="C366" s="1" t="s">
        <v>839</v>
      </c>
      <c r="D366" s="1" t="s">
        <v>853</v>
      </c>
      <c r="E366" s="1" t="s">
        <v>854</v>
      </c>
      <c r="F366" s="1" t="s">
        <v>16</v>
      </c>
      <c r="G366" s="1" t="s">
        <v>23</v>
      </c>
      <c r="H366" s="1" t="s">
        <v>18</v>
      </c>
      <c r="I366" s="1" t="s">
        <v>19</v>
      </c>
      <c r="J366" s="1">
        <f>IFERROR(__xludf.DUMMYFUNCTION("""COMPUTED_VALUE"""),85.0)</f>
        <v>85</v>
      </c>
      <c r="K366" s="1">
        <v>34.0</v>
      </c>
      <c r="L366" s="1">
        <f>IFERROR(__xludf.DUMMYFUNCTION("""COMPUTED_VALUE"""),132.0)</f>
        <v>132</v>
      </c>
    </row>
    <row r="367">
      <c r="A367" s="1">
        <v>1473024.0</v>
      </c>
      <c r="B367" s="1" t="s">
        <v>855</v>
      </c>
      <c r="C367" s="1" t="s">
        <v>839</v>
      </c>
      <c r="D367" s="1" t="s">
        <v>856</v>
      </c>
      <c r="E367" s="1" t="s">
        <v>857</v>
      </c>
      <c r="F367" s="1" t="s">
        <v>16</v>
      </c>
      <c r="G367" s="1" t="s">
        <v>23</v>
      </c>
      <c r="H367" s="1" t="s">
        <v>18</v>
      </c>
      <c r="I367" s="1" t="s">
        <v>113</v>
      </c>
      <c r="J367" s="1">
        <f>IFERROR(__xludf.DUMMYFUNCTION("""COMPUTED_VALUE"""),77.0)</f>
        <v>77</v>
      </c>
      <c r="K367" s="1">
        <v>15.0</v>
      </c>
      <c r="L367" s="1">
        <f>IFERROR(__xludf.DUMMYFUNCTION("""COMPUTED_VALUE"""),79.0)</f>
        <v>79</v>
      </c>
    </row>
    <row r="368">
      <c r="A368" s="1">
        <v>1403024.0</v>
      </c>
      <c r="B368" s="1" t="s">
        <v>858</v>
      </c>
      <c r="C368" s="1" t="s">
        <v>839</v>
      </c>
      <c r="D368" s="1" t="s">
        <v>859</v>
      </c>
      <c r="E368" s="1" t="s">
        <v>860</v>
      </c>
      <c r="F368" s="1" t="s">
        <v>16</v>
      </c>
      <c r="G368" s="1" t="s">
        <v>23</v>
      </c>
      <c r="H368" s="1" t="s">
        <v>28</v>
      </c>
      <c r="I368" s="1" t="s">
        <v>40</v>
      </c>
      <c r="J368" s="1">
        <f>IFERROR(__xludf.DUMMYFUNCTION("""COMPUTED_VALUE"""),50.0)</f>
        <v>50</v>
      </c>
      <c r="K368" s="1">
        <v>22.0</v>
      </c>
      <c r="L368" s="1">
        <f>IFERROR(__xludf.DUMMYFUNCTION("""COMPUTED_VALUE"""),176.0)</f>
        <v>176</v>
      </c>
    </row>
    <row r="369">
      <c r="A369" s="1">
        <v>1406016.0</v>
      </c>
      <c r="B369" s="1" t="s">
        <v>861</v>
      </c>
      <c r="C369" s="1" t="s">
        <v>839</v>
      </c>
      <c r="D369" s="1" t="s">
        <v>862</v>
      </c>
      <c r="E369" s="1" t="s">
        <v>863</v>
      </c>
      <c r="F369" s="1" t="s">
        <v>16</v>
      </c>
      <c r="G369" s="1" t="s">
        <v>17</v>
      </c>
      <c r="H369" s="1" t="s">
        <v>28</v>
      </c>
      <c r="I369" s="1" t="s">
        <v>40</v>
      </c>
      <c r="J369" s="1">
        <f>IFERROR(__xludf.DUMMYFUNCTION("""COMPUTED_VALUE"""),119.0)</f>
        <v>119</v>
      </c>
      <c r="K369" s="1">
        <v>47.0</v>
      </c>
      <c r="L369" s="1">
        <f>IFERROR(__xludf.DUMMYFUNCTION("""COMPUTED_VALUE"""),292.0)</f>
        <v>292</v>
      </c>
    </row>
    <row r="370">
      <c r="A370" s="1">
        <v>1406043.0</v>
      </c>
      <c r="B370" s="1" t="s">
        <v>864</v>
      </c>
      <c r="C370" s="1" t="s">
        <v>839</v>
      </c>
      <c r="D370" s="1" t="s">
        <v>862</v>
      </c>
      <c r="E370" s="1" t="s">
        <v>865</v>
      </c>
      <c r="F370" s="1" t="s">
        <v>16</v>
      </c>
      <c r="G370" s="1" t="s">
        <v>23</v>
      </c>
      <c r="H370" s="1" t="s">
        <v>18</v>
      </c>
      <c r="I370" s="1" t="s">
        <v>44</v>
      </c>
      <c r="J370" s="1">
        <f>IFERROR(__xludf.DUMMYFUNCTION("""COMPUTED_VALUE"""),79.0)</f>
        <v>79</v>
      </c>
      <c r="K370" s="1">
        <v>21.0</v>
      </c>
      <c r="L370" s="1">
        <f>IFERROR(__xludf.DUMMYFUNCTION("""COMPUTED_VALUE"""),78.0)</f>
        <v>78</v>
      </c>
    </row>
    <row r="371">
      <c r="A371" s="1">
        <v>1403048.0</v>
      </c>
      <c r="B371" s="1" t="s">
        <v>866</v>
      </c>
      <c r="C371" s="1" t="s">
        <v>839</v>
      </c>
      <c r="D371" s="1" t="s">
        <v>859</v>
      </c>
      <c r="E371" s="1" t="s">
        <v>867</v>
      </c>
      <c r="F371" s="1" t="s">
        <v>55</v>
      </c>
      <c r="G371" s="1" t="s">
        <v>17</v>
      </c>
      <c r="H371" s="1" t="s">
        <v>18</v>
      </c>
      <c r="I371" s="1" t="s">
        <v>19</v>
      </c>
      <c r="J371" s="1">
        <f>IFERROR(__xludf.DUMMYFUNCTION("""COMPUTED_VALUE"""),12.0)</f>
        <v>12</v>
      </c>
      <c r="K371" s="1">
        <v>16.0</v>
      </c>
      <c r="L371" s="1">
        <f>IFERROR(__xludf.DUMMYFUNCTION("""COMPUTED_VALUE"""),182.0)</f>
        <v>182</v>
      </c>
    </row>
    <row r="372">
      <c r="A372" s="1">
        <v>1471215.0</v>
      </c>
      <c r="B372" s="1" t="s">
        <v>868</v>
      </c>
      <c r="C372" s="1" t="s">
        <v>839</v>
      </c>
      <c r="D372" s="1" t="s">
        <v>843</v>
      </c>
      <c r="E372" s="1" t="s">
        <v>869</v>
      </c>
      <c r="F372" s="1" t="s">
        <v>16</v>
      </c>
      <c r="G372" s="1" t="s">
        <v>17</v>
      </c>
      <c r="H372" s="1" t="s">
        <v>18</v>
      </c>
      <c r="I372" s="1" t="s">
        <v>563</v>
      </c>
      <c r="J372" s="1">
        <f>IFERROR(__xludf.DUMMYFUNCTION("""COMPUTED_VALUE"""),50.0)</f>
        <v>50</v>
      </c>
      <c r="K372" s="1">
        <v>21.0</v>
      </c>
      <c r="L372" s="1">
        <f>IFERROR(__xludf.DUMMYFUNCTION("""COMPUTED_VALUE"""),76.0)</f>
        <v>76</v>
      </c>
    </row>
    <row r="373">
      <c r="A373" s="1">
        <v>1409033.0</v>
      </c>
      <c r="B373" s="1" t="s">
        <v>870</v>
      </c>
      <c r="C373" s="1" t="s">
        <v>839</v>
      </c>
      <c r="D373" s="1" t="s">
        <v>871</v>
      </c>
      <c r="E373" s="1" t="s">
        <v>872</v>
      </c>
      <c r="F373" s="1" t="s">
        <v>16</v>
      </c>
      <c r="G373" s="1" t="s">
        <v>17</v>
      </c>
      <c r="H373" s="1" t="s">
        <v>18</v>
      </c>
      <c r="I373" s="1" t="s">
        <v>19</v>
      </c>
      <c r="J373" s="1">
        <f>IFERROR(__xludf.DUMMYFUNCTION("""COMPUTED_VALUE"""),119.0)</f>
        <v>119</v>
      </c>
      <c r="K373" s="1">
        <v>27.0</v>
      </c>
      <c r="L373" s="1">
        <f>IFERROR(__xludf.DUMMYFUNCTION("""COMPUTED_VALUE"""),182.0)</f>
        <v>182</v>
      </c>
    </row>
    <row r="374">
      <c r="A374" s="1">
        <v>1402013.0</v>
      </c>
      <c r="B374" s="1" t="s">
        <v>873</v>
      </c>
      <c r="C374" s="1" t="s">
        <v>839</v>
      </c>
      <c r="D374" s="1" t="s">
        <v>874</v>
      </c>
      <c r="E374" s="1" t="s">
        <v>875</v>
      </c>
      <c r="F374" s="1" t="s">
        <v>16</v>
      </c>
      <c r="G374" s="1" t="s">
        <v>23</v>
      </c>
      <c r="H374" s="1" t="s">
        <v>18</v>
      </c>
      <c r="I374" s="1" t="s">
        <v>44</v>
      </c>
      <c r="J374" s="1">
        <f>IFERROR(__xludf.DUMMYFUNCTION("""COMPUTED_VALUE"""),64.0)</f>
        <v>64</v>
      </c>
      <c r="K374" s="1">
        <v>23.0</v>
      </c>
      <c r="L374" s="1">
        <f>IFERROR(__xludf.DUMMYFUNCTION("""COMPUTED_VALUE"""),85.0)</f>
        <v>85</v>
      </c>
    </row>
    <row r="375">
      <c r="A375" s="1">
        <v>1407016.0</v>
      </c>
      <c r="B375" s="1" t="s">
        <v>876</v>
      </c>
      <c r="C375" s="1" t="s">
        <v>839</v>
      </c>
      <c r="D375" s="1" t="s">
        <v>877</v>
      </c>
      <c r="E375" s="1" t="s">
        <v>878</v>
      </c>
      <c r="F375" s="1" t="s">
        <v>55</v>
      </c>
      <c r="G375" s="1" t="s">
        <v>17</v>
      </c>
      <c r="H375" s="1" t="s">
        <v>18</v>
      </c>
      <c r="I375" s="1" t="s">
        <v>163</v>
      </c>
      <c r="J375" s="1">
        <f>IFERROR(__xludf.DUMMYFUNCTION("""COMPUTED_VALUE"""),24.0)</f>
        <v>24</v>
      </c>
      <c r="K375" s="1">
        <v>20.0</v>
      </c>
      <c r="L375" s="1">
        <f>IFERROR(__xludf.DUMMYFUNCTION("""COMPUTED_VALUE"""),103.0)</f>
        <v>103</v>
      </c>
    </row>
    <row r="376">
      <c r="A376" s="1">
        <v>1406057.0</v>
      </c>
      <c r="B376" s="1" t="s">
        <v>879</v>
      </c>
      <c r="C376" s="1" t="s">
        <v>839</v>
      </c>
      <c r="D376" s="1" t="s">
        <v>862</v>
      </c>
      <c r="E376" s="1" t="s">
        <v>880</v>
      </c>
      <c r="F376" s="1" t="s">
        <v>16</v>
      </c>
      <c r="G376" s="1" t="s">
        <v>17</v>
      </c>
      <c r="H376" s="1" t="s">
        <v>18</v>
      </c>
      <c r="I376" s="1" t="s">
        <v>19</v>
      </c>
      <c r="J376" s="1">
        <f>IFERROR(__xludf.DUMMYFUNCTION("""COMPUTED_VALUE"""),100.0)</f>
        <v>100</v>
      </c>
      <c r="K376" s="1">
        <v>24.0</v>
      </c>
      <c r="L376" s="1">
        <f>IFERROR(__xludf.DUMMYFUNCTION("""COMPUTED_VALUE"""),182.0)</f>
        <v>182</v>
      </c>
    </row>
    <row r="377">
      <c r="A377" s="1">
        <v>1471022.0</v>
      </c>
      <c r="B377" s="1" t="s">
        <v>881</v>
      </c>
      <c r="C377" s="1" t="s">
        <v>839</v>
      </c>
      <c r="D377" s="1" t="s">
        <v>843</v>
      </c>
      <c r="E377" s="1" t="s">
        <v>882</v>
      </c>
      <c r="F377" s="1" t="s">
        <v>16</v>
      </c>
      <c r="G377" s="1" t="s">
        <v>23</v>
      </c>
      <c r="H377" s="1" t="s">
        <v>18</v>
      </c>
      <c r="I377" s="1" t="s">
        <v>74</v>
      </c>
      <c r="J377" s="1">
        <f>IFERROR(__xludf.DUMMYFUNCTION("""COMPUTED_VALUE"""),57.0)</f>
        <v>57</v>
      </c>
      <c r="K377" s="1">
        <v>30.0</v>
      </c>
      <c r="L377" s="1">
        <f>IFERROR(__xludf.DUMMYFUNCTION("""COMPUTED_VALUE"""),54.0)</f>
        <v>54</v>
      </c>
    </row>
    <row r="378">
      <c r="A378" s="1">
        <v>1471391.0</v>
      </c>
      <c r="B378" s="1" t="s">
        <v>883</v>
      </c>
      <c r="C378" s="1" t="s">
        <v>839</v>
      </c>
      <c r="D378" s="1" t="s">
        <v>843</v>
      </c>
      <c r="E378" s="1" t="s">
        <v>884</v>
      </c>
      <c r="F378" s="1" t="s">
        <v>272</v>
      </c>
      <c r="G378" s="1" t="s">
        <v>17</v>
      </c>
      <c r="H378" s="1" t="s">
        <v>18</v>
      </c>
      <c r="I378" s="1" t="s">
        <v>44</v>
      </c>
      <c r="J378" s="1">
        <f>IFERROR(__xludf.DUMMYFUNCTION("""COMPUTED_VALUE"""),16.0)</f>
        <v>16</v>
      </c>
      <c r="K378" s="1">
        <v>17.0</v>
      </c>
      <c r="L378" s="1">
        <f>IFERROR(__xludf.DUMMYFUNCTION("""COMPUTED_VALUE"""),63.0)</f>
        <v>63</v>
      </c>
    </row>
    <row r="379">
      <c r="A379" s="1">
        <v>1471399.0</v>
      </c>
      <c r="B379" s="1" t="s">
        <v>885</v>
      </c>
      <c r="C379" s="1" t="s">
        <v>839</v>
      </c>
      <c r="D379" s="1" t="s">
        <v>843</v>
      </c>
      <c r="E379" s="1" t="s">
        <v>886</v>
      </c>
      <c r="F379" s="1" t="s">
        <v>16</v>
      </c>
      <c r="G379" s="1" t="s">
        <v>17</v>
      </c>
      <c r="H379" s="1" t="s">
        <v>18</v>
      </c>
      <c r="I379" s="1" t="s">
        <v>19</v>
      </c>
      <c r="J379" s="1">
        <f>IFERROR(__xludf.DUMMYFUNCTION("""COMPUTED_VALUE"""),100.0)</f>
        <v>100</v>
      </c>
      <c r="K379" s="1">
        <v>28.0</v>
      </c>
      <c r="L379" s="1">
        <f>IFERROR(__xludf.DUMMYFUNCTION("""COMPUTED_VALUE"""),75.0)</f>
        <v>75</v>
      </c>
    </row>
    <row r="380">
      <c r="A380" s="1">
        <v>1471091.0</v>
      </c>
      <c r="B380" s="1" t="s">
        <v>887</v>
      </c>
      <c r="C380" s="1" t="s">
        <v>839</v>
      </c>
      <c r="D380" s="1" t="s">
        <v>843</v>
      </c>
      <c r="E380" s="1" t="s">
        <v>888</v>
      </c>
      <c r="F380" s="1" t="s">
        <v>16</v>
      </c>
      <c r="G380" s="1" t="s">
        <v>17</v>
      </c>
      <c r="H380" s="1" t="s">
        <v>28</v>
      </c>
      <c r="I380" s="1" t="s">
        <v>139</v>
      </c>
      <c r="J380" s="1">
        <f>IFERROR(__xludf.DUMMYFUNCTION("""COMPUTED_VALUE"""),100.0)</f>
        <v>100</v>
      </c>
      <c r="K380" s="1">
        <v>33.0</v>
      </c>
      <c r="L380" s="1">
        <f>IFERROR(__xludf.DUMMYFUNCTION("""COMPUTED_VALUE"""),378.0)</f>
        <v>378</v>
      </c>
    </row>
    <row r="381">
      <c r="A381" s="1">
        <v>1409019.0</v>
      </c>
      <c r="B381" s="1" t="s">
        <v>889</v>
      </c>
      <c r="C381" s="1" t="s">
        <v>839</v>
      </c>
      <c r="D381" s="1" t="s">
        <v>871</v>
      </c>
      <c r="E381" s="1" t="s">
        <v>890</v>
      </c>
      <c r="F381" s="1" t="s">
        <v>55</v>
      </c>
      <c r="G381" s="1" t="s">
        <v>17</v>
      </c>
      <c r="H381" s="1" t="s">
        <v>18</v>
      </c>
      <c r="I381" s="1" t="s">
        <v>44</v>
      </c>
      <c r="J381" s="1">
        <f>IFERROR(__xludf.DUMMYFUNCTION("""COMPUTED_VALUE"""),54.0)</f>
        <v>54</v>
      </c>
      <c r="K381" s="1">
        <v>17.0</v>
      </c>
      <c r="L381" s="1">
        <f>IFERROR(__xludf.DUMMYFUNCTION("""COMPUTED_VALUE"""),37.0)</f>
        <v>37</v>
      </c>
    </row>
    <row r="382">
      <c r="A382" s="1">
        <v>1408079.0</v>
      </c>
      <c r="B382" s="1" t="s">
        <v>891</v>
      </c>
      <c r="C382" s="1" t="s">
        <v>839</v>
      </c>
      <c r="D382" s="1" t="s">
        <v>853</v>
      </c>
      <c r="E382" s="1" t="s">
        <v>892</v>
      </c>
      <c r="F382" s="1" t="s">
        <v>16</v>
      </c>
      <c r="G382" s="1" t="s">
        <v>23</v>
      </c>
      <c r="H382" s="1" t="s">
        <v>18</v>
      </c>
      <c r="I382" s="1" t="s">
        <v>19</v>
      </c>
      <c r="J382" s="1">
        <f>IFERROR(__xludf.DUMMYFUNCTION("""COMPUTED_VALUE"""),54.0)</f>
        <v>54</v>
      </c>
      <c r="K382" s="1">
        <v>25.0</v>
      </c>
      <c r="L382" s="1">
        <f>IFERROR(__xludf.DUMMYFUNCTION("""COMPUTED_VALUE"""),35.0)</f>
        <v>35</v>
      </c>
    </row>
    <row r="383">
      <c r="A383" s="1">
        <v>1471392.0</v>
      </c>
      <c r="B383" s="1" t="s">
        <v>893</v>
      </c>
      <c r="C383" s="1" t="s">
        <v>839</v>
      </c>
      <c r="D383" s="1" t="s">
        <v>843</v>
      </c>
      <c r="E383" s="1" t="s">
        <v>894</v>
      </c>
      <c r="F383" s="1" t="s">
        <v>16</v>
      </c>
      <c r="G383" s="1" t="s">
        <v>23</v>
      </c>
      <c r="H383" s="1" t="s">
        <v>18</v>
      </c>
      <c r="I383" s="1" t="s">
        <v>34</v>
      </c>
      <c r="J383" s="1">
        <f>IFERROR(__xludf.DUMMYFUNCTION("""COMPUTED_VALUE"""),54.0)</f>
        <v>54</v>
      </c>
      <c r="K383" s="1">
        <v>23.0</v>
      </c>
      <c r="L383" s="1">
        <f>IFERROR(__xludf.DUMMYFUNCTION("""COMPUTED_VALUE"""),110.0)</f>
        <v>110</v>
      </c>
    </row>
    <row r="384">
      <c r="A384" s="1">
        <v>1406031.0</v>
      </c>
      <c r="B384" s="1" t="s">
        <v>895</v>
      </c>
      <c r="C384" s="1" t="s">
        <v>839</v>
      </c>
      <c r="D384" s="1" t="s">
        <v>862</v>
      </c>
      <c r="E384" s="1" t="s">
        <v>896</v>
      </c>
      <c r="F384" s="1" t="s">
        <v>16</v>
      </c>
      <c r="G384" s="1" t="s">
        <v>23</v>
      </c>
      <c r="H384" s="1" t="s">
        <v>18</v>
      </c>
      <c r="I384" s="1" t="s">
        <v>113</v>
      </c>
      <c r="J384" s="1">
        <f>IFERROR(__xludf.DUMMYFUNCTION("""COMPUTED_VALUE"""),50.0)</f>
        <v>50</v>
      </c>
      <c r="K384" s="1">
        <v>13.0</v>
      </c>
      <c r="L384" s="1">
        <f>IFERROR(__xludf.DUMMYFUNCTION("""COMPUTED_VALUE"""),100.0)</f>
        <v>100</v>
      </c>
    </row>
    <row r="385">
      <c r="A385" s="1">
        <v>1410043.0</v>
      </c>
      <c r="B385" s="1" t="s">
        <v>897</v>
      </c>
      <c r="C385" s="1" t="s">
        <v>839</v>
      </c>
      <c r="D385" s="1" t="s">
        <v>898</v>
      </c>
      <c r="E385" s="1" t="s">
        <v>899</v>
      </c>
      <c r="F385" s="1" t="s">
        <v>16</v>
      </c>
      <c r="G385" s="1" t="s">
        <v>17</v>
      </c>
      <c r="H385" s="1" t="s">
        <v>28</v>
      </c>
      <c r="I385" s="1" t="s">
        <v>40</v>
      </c>
      <c r="J385" s="1">
        <f>IFERROR(__xludf.DUMMYFUNCTION("""COMPUTED_VALUE"""),187.0)</f>
        <v>187</v>
      </c>
      <c r="K385" s="1">
        <v>28.0</v>
      </c>
      <c r="L385" s="1">
        <f>IFERROR(__xludf.DUMMYFUNCTION("""COMPUTED_VALUE"""),257.0)</f>
        <v>257</v>
      </c>
    </row>
    <row r="386">
      <c r="A386" s="1">
        <v>1408080.0</v>
      </c>
      <c r="B386" s="1" t="s">
        <v>900</v>
      </c>
      <c r="C386" s="1" t="s">
        <v>839</v>
      </c>
      <c r="D386" s="1" t="s">
        <v>853</v>
      </c>
      <c r="E386" s="1" t="s">
        <v>901</v>
      </c>
      <c r="F386" s="1" t="s">
        <v>16</v>
      </c>
      <c r="G386" s="1" t="s">
        <v>17</v>
      </c>
      <c r="H386" s="1" t="s">
        <v>18</v>
      </c>
      <c r="I386" s="1" t="s">
        <v>44</v>
      </c>
      <c r="J386" s="1">
        <f>IFERROR(__xludf.DUMMYFUNCTION("""COMPUTED_VALUE"""),127.0)</f>
        <v>127</v>
      </c>
      <c r="K386" s="1">
        <v>17.0</v>
      </c>
      <c r="L386" s="1">
        <f>IFERROR(__xludf.DUMMYFUNCTION("""COMPUTED_VALUE"""),146.0)</f>
        <v>146</v>
      </c>
    </row>
    <row r="387">
      <c r="A387" s="1">
        <v>1471237.0</v>
      </c>
      <c r="B387" s="1" t="s">
        <v>902</v>
      </c>
      <c r="C387" s="1" t="s">
        <v>839</v>
      </c>
      <c r="D387" s="1" t="s">
        <v>843</v>
      </c>
      <c r="E387" s="1" t="s">
        <v>903</v>
      </c>
      <c r="F387" s="1" t="s">
        <v>16</v>
      </c>
      <c r="G387" s="1" t="s">
        <v>17</v>
      </c>
      <c r="H387" s="1" t="s">
        <v>18</v>
      </c>
      <c r="I387" s="1" t="s">
        <v>19</v>
      </c>
      <c r="J387" s="1">
        <f>IFERROR(__xludf.DUMMYFUNCTION("""COMPUTED_VALUE"""),100.0)</f>
        <v>100</v>
      </c>
      <c r="K387" s="1">
        <v>24.0</v>
      </c>
      <c r="L387" s="1">
        <f>IFERROR(__xludf.DUMMYFUNCTION("""COMPUTED_VALUE"""),100.0)</f>
        <v>100</v>
      </c>
    </row>
    <row r="388">
      <c r="A388" s="1">
        <v>1402014.0</v>
      </c>
      <c r="B388" s="1" t="s">
        <v>904</v>
      </c>
      <c r="C388" s="1" t="s">
        <v>839</v>
      </c>
      <c r="D388" s="1" t="s">
        <v>874</v>
      </c>
      <c r="E388" s="1" t="s">
        <v>905</v>
      </c>
      <c r="F388" s="1" t="s">
        <v>55</v>
      </c>
      <c r="G388" s="1" t="s">
        <v>17</v>
      </c>
      <c r="H388" s="1" t="s">
        <v>18</v>
      </c>
      <c r="I388" s="1" t="s">
        <v>44</v>
      </c>
      <c r="J388" s="1">
        <f>IFERROR(__xludf.DUMMYFUNCTION("""COMPUTED_VALUE"""),39.0)</f>
        <v>39</v>
      </c>
      <c r="K388" s="1">
        <v>13.0</v>
      </c>
      <c r="L388" s="1">
        <f>IFERROR(__xludf.DUMMYFUNCTION("""COMPUTED_VALUE"""),62.0)</f>
        <v>62</v>
      </c>
    </row>
    <row r="389">
      <c r="A389" s="1">
        <v>1471396.0</v>
      </c>
      <c r="B389" s="1" t="s">
        <v>906</v>
      </c>
      <c r="C389" s="1" t="s">
        <v>839</v>
      </c>
      <c r="D389" s="1" t="s">
        <v>843</v>
      </c>
      <c r="E389" s="1" t="s">
        <v>907</v>
      </c>
      <c r="F389" s="1" t="s">
        <v>16</v>
      </c>
      <c r="G389" s="1" t="s">
        <v>17</v>
      </c>
      <c r="H389" s="1" t="s">
        <v>18</v>
      </c>
      <c r="I389" s="1" t="s">
        <v>44</v>
      </c>
      <c r="J389" s="1">
        <f>IFERROR(__xludf.DUMMYFUNCTION("""COMPUTED_VALUE"""),123.0)</f>
        <v>123</v>
      </c>
      <c r="K389" s="1">
        <v>57.0</v>
      </c>
      <c r="L389" s="1">
        <f>IFERROR(__xludf.DUMMYFUNCTION("""COMPUTED_VALUE"""),387.0)</f>
        <v>387</v>
      </c>
    </row>
    <row r="390">
      <c r="A390" s="1">
        <v>1403035.0</v>
      </c>
      <c r="B390" s="1" t="s">
        <v>908</v>
      </c>
      <c r="C390" s="1" t="s">
        <v>839</v>
      </c>
      <c r="D390" s="1" t="s">
        <v>859</v>
      </c>
      <c r="E390" s="1" t="s">
        <v>909</v>
      </c>
      <c r="F390" s="1" t="s">
        <v>16</v>
      </c>
      <c r="G390" s="1" t="s">
        <v>23</v>
      </c>
      <c r="H390" s="1" t="s">
        <v>28</v>
      </c>
      <c r="I390" s="1" t="s">
        <v>40</v>
      </c>
      <c r="J390" s="1">
        <f>IFERROR(__xludf.DUMMYFUNCTION("""COMPUTED_VALUE"""),60.0)</f>
        <v>60</v>
      </c>
      <c r="K390" s="1">
        <v>20.0</v>
      </c>
      <c r="L390" s="1">
        <f>IFERROR(__xludf.DUMMYFUNCTION("""COMPUTED_VALUE"""),158.0)</f>
        <v>158</v>
      </c>
    </row>
    <row r="391">
      <c r="A391" s="1">
        <v>1406046.0</v>
      </c>
      <c r="B391" s="1" t="s">
        <v>910</v>
      </c>
      <c r="C391" s="1" t="s">
        <v>839</v>
      </c>
      <c r="D391" s="1" t="s">
        <v>862</v>
      </c>
      <c r="E391" s="1" t="s">
        <v>911</v>
      </c>
      <c r="F391" s="1" t="s">
        <v>55</v>
      </c>
      <c r="G391" s="1" t="s">
        <v>17</v>
      </c>
      <c r="H391" s="1" t="s">
        <v>18</v>
      </c>
      <c r="I391" s="1" t="s">
        <v>19</v>
      </c>
      <c r="J391" s="1">
        <f>IFERROR(__xludf.DUMMYFUNCTION("""COMPUTED_VALUE"""),42.0)</f>
        <v>42</v>
      </c>
      <c r="K391" s="1">
        <v>16.0</v>
      </c>
      <c r="L391" s="1">
        <f>IFERROR(__xludf.DUMMYFUNCTION("""COMPUTED_VALUE"""),93.0)</f>
        <v>93</v>
      </c>
    </row>
    <row r="392">
      <c r="A392" s="1">
        <v>1401011.0</v>
      </c>
      <c r="B392" s="1" t="s">
        <v>912</v>
      </c>
      <c r="C392" s="1" t="s">
        <v>839</v>
      </c>
      <c r="D392" s="1" t="s">
        <v>846</v>
      </c>
      <c r="E392" s="1" t="s">
        <v>913</v>
      </c>
      <c r="F392" s="1" t="s">
        <v>16</v>
      </c>
      <c r="G392" s="1" t="s">
        <v>17</v>
      </c>
      <c r="H392" s="1" t="s">
        <v>28</v>
      </c>
      <c r="I392" s="1" t="s">
        <v>40</v>
      </c>
      <c r="J392" s="1">
        <f>IFERROR(__xludf.DUMMYFUNCTION("""COMPUTED_VALUE"""),113.0)</f>
        <v>113</v>
      </c>
      <c r="K392" s="1">
        <v>63.0</v>
      </c>
      <c r="L392" s="1">
        <f>IFERROR(__xludf.DUMMYFUNCTION("""COMPUTED_VALUE"""),199.0)</f>
        <v>199</v>
      </c>
    </row>
    <row r="393">
      <c r="A393" s="1">
        <v>1408067.0</v>
      </c>
      <c r="B393" s="1" t="s">
        <v>914</v>
      </c>
      <c r="C393" s="1" t="s">
        <v>839</v>
      </c>
      <c r="D393" s="1" t="s">
        <v>853</v>
      </c>
      <c r="E393" s="1" t="s">
        <v>915</v>
      </c>
      <c r="F393" s="1" t="s">
        <v>16</v>
      </c>
      <c r="G393" s="1" t="s">
        <v>23</v>
      </c>
      <c r="H393" s="1" t="s">
        <v>18</v>
      </c>
      <c r="I393" s="1" t="s">
        <v>44</v>
      </c>
      <c r="J393" s="1">
        <f>IFERROR(__xludf.DUMMYFUNCTION("""COMPUTED_VALUE"""),79.0)</f>
        <v>79</v>
      </c>
      <c r="K393" s="1">
        <v>21.0</v>
      </c>
      <c r="L393" s="1">
        <f>IFERROR(__xludf.DUMMYFUNCTION("""COMPUTED_VALUE"""),95.0)</f>
        <v>95</v>
      </c>
    </row>
    <row r="394">
      <c r="A394" s="1">
        <v>1471055.0</v>
      </c>
      <c r="B394" s="1" t="s">
        <v>916</v>
      </c>
      <c r="C394" s="1" t="s">
        <v>839</v>
      </c>
      <c r="D394" s="1" t="s">
        <v>843</v>
      </c>
      <c r="E394" s="1" t="s">
        <v>917</v>
      </c>
      <c r="F394" s="1" t="s">
        <v>16</v>
      </c>
      <c r="G394" s="1" t="s">
        <v>27</v>
      </c>
      <c r="H394" s="1" t="s">
        <v>18</v>
      </c>
      <c r="I394" s="1" t="s">
        <v>59</v>
      </c>
      <c r="J394" s="1">
        <f>IFERROR(__xludf.DUMMYFUNCTION("""COMPUTED_VALUE"""),200.0)</f>
        <v>200</v>
      </c>
      <c r="K394" s="1">
        <v>108.0</v>
      </c>
      <c r="L394" s="1">
        <f>IFERROR(__xludf.DUMMYFUNCTION("""COMPUTED_VALUE"""),546.0)</f>
        <v>546</v>
      </c>
    </row>
    <row r="395">
      <c r="A395" s="1">
        <v>1471386.0</v>
      </c>
      <c r="B395" s="1" t="s">
        <v>918</v>
      </c>
      <c r="C395" s="1" t="s">
        <v>839</v>
      </c>
      <c r="D395" s="1" t="s">
        <v>843</v>
      </c>
      <c r="E395" s="1" t="s">
        <v>919</v>
      </c>
      <c r="F395" s="1" t="s">
        <v>55</v>
      </c>
      <c r="G395" s="1" t="s">
        <v>17</v>
      </c>
      <c r="H395" s="1" t="s">
        <v>18</v>
      </c>
      <c r="I395" s="1" t="s">
        <v>44</v>
      </c>
      <c r="J395" s="1">
        <f>IFERROR(__xludf.DUMMYFUNCTION("""COMPUTED_VALUE"""),27.0)</f>
        <v>27</v>
      </c>
      <c r="K395" s="1">
        <v>14.0</v>
      </c>
      <c r="L395" s="1">
        <f>IFERROR(__xludf.DUMMYFUNCTION("""COMPUTED_VALUE"""),43.0)</f>
        <v>43</v>
      </c>
    </row>
    <row r="396">
      <c r="A396" s="1">
        <v>1473079.0</v>
      </c>
      <c r="B396" s="1" t="s">
        <v>920</v>
      </c>
      <c r="C396" s="1" t="s">
        <v>839</v>
      </c>
      <c r="D396" s="1" t="s">
        <v>856</v>
      </c>
      <c r="E396" s="1" t="s">
        <v>921</v>
      </c>
      <c r="F396" s="1" t="s">
        <v>16</v>
      </c>
      <c r="G396" s="1" t="s">
        <v>23</v>
      </c>
      <c r="H396" s="1" t="s">
        <v>18</v>
      </c>
      <c r="I396" s="1" t="s">
        <v>19</v>
      </c>
      <c r="J396" s="1">
        <f>IFERROR(__xludf.DUMMYFUNCTION("""COMPUTED_VALUE"""),52.0)</f>
        <v>52</v>
      </c>
      <c r="K396" s="1">
        <v>24.0</v>
      </c>
      <c r="L396" s="1">
        <f>IFERROR(__xludf.DUMMYFUNCTION("""COMPUTED_VALUE"""),182.0)</f>
        <v>182</v>
      </c>
    </row>
    <row r="397">
      <c r="A397" s="1">
        <v>1408011.0</v>
      </c>
      <c r="B397" s="1" t="s">
        <v>922</v>
      </c>
      <c r="C397" s="1" t="s">
        <v>839</v>
      </c>
      <c r="D397" s="1" t="s">
        <v>853</v>
      </c>
      <c r="E397" s="1" t="s">
        <v>923</v>
      </c>
      <c r="F397" s="1" t="s">
        <v>16</v>
      </c>
      <c r="G397" s="1" t="s">
        <v>27</v>
      </c>
      <c r="H397" s="1" t="s">
        <v>28</v>
      </c>
      <c r="I397" s="1" t="s">
        <v>40</v>
      </c>
      <c r="J397" s="1">
        <f>IFERROR(__xludf.DUMMYFUNCTION("""COMPUTED_VALUE"""),208.0)</f>
        <v>208</v>
      </c>
      <c r="K397" s="1">
        <v>73.0</v>
      </c>
      <c r="L397" s="1">
        <f>IFERROR(__xludf.DUMMYFUNCTION("""COMPUTED_VALUE"""),787.0)</f>
        <v>787</v>
      </c>
    </row>
    <row r="398">
      <c r="A398" s="1">
        <v>1471371.0</v>
      </c>
      <c r="B398" s="1" t="s">
        <v>924</v>
      </c>
      <c r="C398" s="1" t="s">
        <v>839</v>
      </c>
      <c r="D398" s="1" t="s">
        <v>843</v>
      </c>
      <c r="E398" s="1" t="s">
        <v>925</v>
      </c>
      <c r="F398" s="1" t="s">
        <v>16</v>
      </c>
      <c r="G398" s="1" t="s">
        <v>17</v>
      </c>
      <c r="H398" s="1" t="s">
        <v>18</v>
      </c>
      <c r="I398" s="1" t="s">
        <v>19</v>
      </c>
      <c r="J398" s="1">
        <f>IFERROR(__xludf.DUMMYFUNCTION("""COMPUTED_VALUE"""),102.0)</f>
        <v>102</v>
      </c>
      <c r="K398" s="1">
        <v>23.0</v>
      </c>
      <c r="L398" s="1">
        <f>IFERROR(__xludf.DUMMYFUNCTION("""COMPUTED_VALUE"""),69.0)</f>
        <v>69</v>
      </c>
    </row>
    <row r="399">
      <c r="A399" s="1">
        <v>1407014.0</v>
      </c>
      <c r="B399" s="1" t="s">
        <v>926</v>
      </c>
      <c r="C399" s="1" t="s">
        <v>839</v>
      </c>
      <c r="D399" s="1" t="s">
        <v>877</v>
      </c>
      <c r="E399" s="1" t="s">
        <v>927</v>
      </c>
      <c r="F399" s="1" t="s">
        <v>16</v>
      </c>
      <c r="G399" s="1" t="s">
        <v>17</v>
      </c>
      <c r="H399" s="1" t="s">
        <v>18</v>
      </c>
      <c r="I399" s="1" t="s">
        <v>44</v>
      </c>
      <c r="J399" s="1">
        <f>IFERROR(__xludf.DUMMYFUNCTION("""COMPUTED_VALUE"""),102.0)</f>
        <v>102</v>
      </c>
      <c r="K399" s="1">
        <v>38.0</v>
      </c>
      <c r="L399" s="1">
        <f>IFERROR(__xludf.DUMMYFUNCTION("""COMPUTED_VALUE"""),164.0)</f>
        <v>164</v>
      </c>
    </row>
    <row r="400">
      <c r="A400" s="1">
        <v>1471395.0</v>
      </c>
      <c r="B400" s="1" t="s">
        <v>928</v>
      </c>
      <c r="C400" s="1" t="s">
        <v>839</v>
      </c>
      <c r="D400" s="1" t="s">
        <v>843</v>
      </c>
      <c r="E400" s="1" t="s">
        <v>929</v>
      </c>
      <c r="F400" s="1" t="s">
        <v>55</v>
      </c>
      <c r="G400" s="1" t="s">
        <v>17</v>
      </c>
      <c r="H400" s="1" t="s">
        <v>18</v>
      </c>
      <c r="I400" s="1" t="s">
        <v>44</v>
      </c>
      <c r="J400" s="1">
        <f>IFERROR(__xludf.DUMMYFUNCTION("""COMPUTED_VALUE"""),50.0)</f>
        <v>50</v>
      </c>
      <c r="K400" s="1">
        <v>23.0</v>
      </c>
      <c r="L400" s="1">
        <f>IFERROR(__xludf.DUMMYFUNCTION("""COMPUTED_VALUE"""),130.0)</f>
        <v>130</v>
      </c>
    </row>
    <row r="401">
      <c r="A401" s="1">
        <v>1407012.0</v>
      </c>
      <c r="B401" s="1" t="s">
        <v>930</v>
      </c>
      <c r="C401" s="1" t="s">
        <v>839</v>
      </c>
      <c r="D401" s="1" t="s">
        <v>877</v>
      </c>
      <c r="E401" s="1" t="s">
        <v>931</v>
      </c>
      <c r="F401" s="1" t="s">
        <v>16</v>
      </c>
      <c r="G401" s="1" t="s">
        <v>17</v>
      </c>
      <c r="H401" s="1" t="s">
        <v>18</v>
      </c>
      <c r="I401" s="1" t="s">
        <v>44</v>
      </c>
      <c r="J401" s="1">
        <f>IFERROR(__xludf.DUMMYFUNCTION("""COMPUTED_VALUE"""),145.0)</f>
        <v>145</v>
      </c>
      <c r="K401" s="1">
        <v>84.0</v>
      </c>
      <c r="L401" s="1">
        <f>IFERROR(__xludf.DUMMYFUNCTION("""COMPUTED_VALUE"""),169.0)</f>
        <v>169</v>
      </c>
    </row>
    <row r="402">
      <c r="A402" s="1">
        <v>1471398.0</v>
      </c>
      <c r="B402" s="1" t="s">
        <v>932</v>
      </c>
      <c r="C402" s="1" t="s">
        <v>839</v>
      </c>
      <c r="D402" s="1" t="s">
        <v>843</v>
      </c>
      <c r="E402" s="1" t="s">
        <v>933</v>
      </c>
      <c r="F402" s="1" t="s">
        <v>16</v>
      </c>
      <c r="G402" s="1" t="s">
        <v>17</v>
      </c>
      <c r="H402" s="1" t="s">
        <v>28</v>
      </c>
      <c r="I402" s="1" t="s">
        <v>29</v>
      </c>
      <c r="J402" s="1">
        <f>IFERROR(__xludf.DUMMYFUNCTION("""COMPUTED_VALUE"""),102.0)</f>
        <v>102</v>
      </c>
      <c r="K402" s="1">
        <v>37.0</v>
      </c>
      <c r="L402" s="1">
        <f>IFERROR(__xludf.DUMMYFUNCTION("""COMPUTED_VALUE"""),416.0)</f>
        <v>416</v>
      </c>
    </row>
    <row r="403">
      <c r="A403" s="1">
        <v>1403013.0</v>
      </c>
      <c r="B403" s="1" t="s">
        <v>934</v>
      </c>
      <c r="C403" s="1" t="s">
        <v>839</v>
      </c>
      <c r="D403" s="1" t="s">
        <v>859</v>
      </c>
      <c r="E403" s="1" t="s">
        <v>935</v>
      </c>
      <c r="F403" s="1" t="s">
        <v>16</v>
      </c>
      <c r="G403" s="1" t="s">
        <v>17</v>
      </c>
      <c r="H403" s="1" t="s">
        <v>28</v>
      </c>
      <c r="I403" s="1" t="s">
        <v>40</v>
      </c>
      <c r="J403" s="1">
        <f>IFERROR(__xludf.DUMMYFUNCTION("""COMPUTED_VALUE"""),265.0)</f>
        <v>265</v>
      </c>
      <c r="K403" s="1">
        <v>37.0</v>
      </c>
      <c r="L403" s="1">
        <f>IFERROR(__xludf.DUMMYFUNCTION("""COMPUTED_VALUE"""),210.0)</f>
        <v>210</v>
      </c>
    </row>
    <row r="404">
      <c r="A404" s="1">
        <v>1471067.0</v>
      </c>
      <c r="B404" s="1" t="s">
        <v>936</v>
      </c>
      <c r="C404" s="1" t="s">
        <v>839</v>
      </c>
      <c r="D404" s="1" t="s">
        <v>843</v>
      </c>
      <c r="E404" s="1" t="s">
        <v>937</v>
      </c>
      <c r="F404" s="1" t="s">
        <v>16</v>
      </c>
      <c r="G404" s="1" t="s">
        <v>27</v>
      </c>
      <c r="H404" s="1" t="s">
        <v>18</v>
      </c>
      <c r="I404" s="1" t="s">
        <v>19</v>
      </c>
      <c r="J404" s="1">
        <f>IFERROR(__xludf.DUMMYFUNCTION("""COMPUTED_VALUE"""),200.0)</f>
        <v>200</v>
      </c>
      <c r="K404" s="1">
        <v>111.0</v>
      </c>
      <c r="L404" s="1">
        <f>IFERROR(__xludf.DUMMYFUNCTION("""COMPUTED_VALUE"""),585.0)</f>
        <v>585</v>
      </c>
    </row>
    <row r="405">
      <c r="A405" s="1">
        <v>1471390.0</v>
      </c>
      <c r="B405" s="1" t="s">
        <v>938</v>
      </c>
      <c r="C405" s="1" t="s">
        <v>839</v>
      </c>
      <c r="D405" s="1" t="s">
        <v>843</v>
      </c>
      <c r="E405" s="1" t="s">
        <v>939</v>
      </c>
      <c r="F405" s="1" t="s">
        <v>16</v>
      </c>
      <c r="G405" s="1" t="s">
        <v>27</v>
      </c>
      <c r="H405" s="1" t="s">
        <v>18</v>
      </c>
      <c r="I405" s="1" t="s">
        <v>44</v>
      </c>
      <c r="J405" s="1">
        <f>IFERROR(__xludf.DUMMYFUNCTION("""COMPUTED_VALUE"""),261.0)</f>
        <v>261</v>
      </c>
      <c r="K405" s="1">
        <v>96.0</v>
      </c>
      <c r="L405" s="1">
        <f>IFERROR(__xludf.DUMMYFUNCTION("""COMPUTED_VALUE"""),474.0)</f>
        <v>474</v>
      </c>
    </row>
    <row r="406">
      <c r="A406" s="1">
        <v>1471394.0</v>
      </c>
      <c r="B406" s="1" t="s">
        <v>940</v>
      </c>
      <c r="C406" s="1" t="s">
        <v>839</v>
      </c>
      <c r="D406" s="1" t="s">
        <v>843</v>
      </c>
      <c r="E406" s="1" t="s">
        <v>941</v>
      </c>
      <c r="F406" s="1" t="s">
        <v>272</v>
      </c>
      <c r="G406" s="1" t="s">
        <v>17</v>
      </c>
      <c r="H406" s="1" t="s">
        <v>18</v>
      </c>
      <c r="I406" s="1" t="s">
        <v>44</v>
      </c>
      <c r="J406" s="1">
        <f>IFERROR(__xludf.DUMMYFUNCTION("""COMPUTED_VALUE"""),16.0)</f>
        <v>16</v>
      </c>
      <c r="K406" s="1">
        <v>24.0</v>
      </c>
      <c r="L406" s="1">
        <f>IFERROR(__xludf.DUMMYFUNCTION("""COMPUTED_VALUE"""),70.0)</f>
        <v>70</v>
      </c>
    </row>
    <row r="407">
      <c r="A407" s="1">
        <v>1471146.0</v>
      </c>
      <c r="B407" s="1" t="s">
        <v>942</v>
      </c>
      <c r="C407" s="1" t="s">
        <v>839</v>
      </c>
      <c r="D407" s="1" t="s">
        <v>843</v>
      </c>
      <c r="E407" s="1" t="s">
        <v>943</v>
      </c>
      <c r="F407" s="1" t="s">
        <v>174</v>
      </c>
      <c r="G407" s="1" t="s">
        <v>150</v>
      </c>
      <c r="H407" s="1" t="s">
        <v>28</v>
      </c>
      <c r="I407" s="1" t="s">
        <v>139</v>
      </c>
      <c r="J407" s="1">
        <f>IFERROR(__xludf.DUMMYFUNCTION("""COMPUTED_VALUE"""),284.0)</f>
        <v>284</v>
      </c>
      <c r="K407" s="1">
        <v>29.0</v>
      </c>
      <c r="L407" s="1">
        <f>IFERROR(__xludf.DUMMYFUNCTION("""COMPUTED_VALUE"""),441.0)</f>
        <v>441</v>
      </c>
    </row>
    <row r="408">
      <c r="A408" s="1">
        <v>1407013.0</v>
      </c>
      <c r="B408" s="1" t="s">
        <v>944</v>
      </c>
      <c r="C408" s="1" t="s">
        <v>839</v>
      </c>
      <c r="D408" s="1" t="s">
        <v>877</v>
      </c>
      <c r="E408" s="1" t="s">
        <v>945</v>
      </c>
      <c r="F408" s="1" t="s">
        <v>16</v>
      </c>
      <c r="G408" s="1" t="s">
        <v>23</v>
      </c>
      <c r="H408" s="1" t="s">
        <v>18</v>
      </c>
      <c r="I408" s="1" t="s">
        <v>19</v>
      </c>
      <c r="J408" s="1">
        <f>IFERROR(__xludf.DUMMYFUNCTION("""COMPUTED_VALUE"""),53.0)</f>
        <v>53</v>
      </c>
      <c r="K408" s="1">
        <v>24.0</v>
      </c>
      <c r="L408" s="1">
        <f>IFERROR(__xludf.DUMMYFUNCTION("""COMPUTED_VALUE"""),75.0)</f>
        <v>75</v>
      </c>
    </row>
    <row r="409">
      <c r="A409" s="1">
        <v>1404026.0</v>
      </c>
      <c r="B409" s="1" t="s">
        <v>946</v>
      </c>
      <c r="C409" s="1" t="s">
        <v>839</v>
      </c>
      <c r="D409" s="1" t="s">
        <v>840</v>
      </c>
      <c r="E409" s="1" t="s">
        <v>947</v>
      </c>
      <c r="F409" s="1" t="s">
        <v>16</v>
      </c>
      <c r="G409" s="1" t="s">
        <v>23</v>
      </c>
      <c r="H409" s="1" t="s">
        <v>18</v>
      </c>
      <c r="I409" s="1" t="s">
        <v>19</v>
      </c>
      <c r="J409" s="1">
        <f>IFERROR(__xludf.DUMMYFUNCTION("""COMPUTED_VALUE"""),65.0)</f>
        <v>65</v>
      </c>
      <c r="K409" s="1">
        <v>20.0</v>
      </c>
      <c r="L409" s="1">
        <f>IFERROR(__xludf.DUMMYFUNCTION("""COMPUTED_VALUE"""),100.0)</f>
        <v>100</v>
      </c>
    </row>
    <row r="410">
      <c r="A410" s="1">
        <v>1409013.0</v>
      </c>
      <c r="B410" s="1" t="s">
        <v>948</v>
      </c>
      <c r="C410" s="1" t="s">
        <v>839</v>
      </c>
      <c r="D410" s="1" t="s">
        <v>871</v>
      </c>
      <c r="E410" s="1" t="s">
        <v>949</v>
      </c>
      <c r="F410" s="1" t="s">
        <v>16</v>
      </c>
      <c r="G410" s="1" t="s">
        <v>23</v>
      </c>
      <c r="H410" s="1" t="s">
        <v>33</v>
      </c>
      <c r="I410" s="1" t="s">
        <v>44</v>
      </c>
      <c r="J410" s="1">
        <f>IFERROR(__xludf.DUMMYFUNCTION("""COMPUTED_VALUE"""),60.0)</f>
        <v>60</v>
      </c>
      <c r="K410" s="1">
        <v>29.0</v>
      </c>
      <c r="L410" s="1">
        <f>IFERROR(__xludf.DUMMYFUNCTION("""COMPUTED_VALUE"""),105.0)</f>
        <v>105</v>
      </c>
    </row>
    <row r="411">
      <c r="A411" s="1">
        <v>1404027.0</v>
      </c>
      <c r="B411" s="1" t="s">
        <v>950</v>
      </c>
      <c r="C411" s="1" t="s">
        <v>839</v>
      </c>
      <c r="D411" s="1" t="s">
        <v>840</v>
      </c>
      <c r="E411" s="1" t="s">
        <v>951</v>
      </c>
      <c r="F411" s="1" t="s">
        <v>16</v>
      </c>
      <c r="G411" s="1" t="s">
        <v>23</v>
      </c>
      <c r="H411" s="1" t="s">
        <v>18</v>
      </c>
      <c r="I411" s="1" t="s">
        <v>44</v>
      </c>
      <c r="J411" s="1">
        <f>IFERROR(__xludf.DUMMYFUNCTION("""COMPUTED_VALUE"""),70.0)</f>
        <v>70</v>
      </c>
      <c r="K411" s="1">
        <v>21.0</v>
      </c>
      <c r="L411" s="1">
        <f>IFERROR(__xludf.DUMMYFUNCTION("""COMPUTED_VALUE"""),85.0)</f>
        <v>85</v>
      </c>
    </row>
    <row r="412">
      <c r="A412" s="1">
        <v>1408032.0</v>
      </c>
      <c r="B412" s="1" t="s">
        <v>952</v>
      </c>
      <c r="C412" s="1" t="s">
        <v>839</v>
      </c>
      <c r="D412" s="1" t="s">
        <v>853</v>
      </c>
      <c r="E412" s="1" t="s">
        <v>953</v>
      </c>
      <c r="F412" s="1" t="s">
        <v>16</v>
      </c>
      <c r="G412" s="1" t="s">
        <v>17</v>
      </c>
      <c r="H412" s="1" t="s">
        <v>28</v>
      </c>
      <c r="I412" s="1" t="s">
        <v>40</v>
      </c>
      <c r="J412" s="1">
        <f>IFERROR(__xludf.DUMMYFUNCTION("""COMPUTED_VALUE"""),218.0)</f>
        <v>218</v>
      </c>
      <c r="K412" s="1">
        <v>63.0</v>
      </c>
      <c r="L412" s="1">
        <f>IFERROR(__xludf.DUMMYFUNCTION("""COMPUTED_VALUE"""),306.0)</f>
        <v>306</v>
      </c>
    </row>
    <row r="413">
      <c r="A413" s="1">
        <v>1406045.0</v>
      </c>
      <c r="B413" s="1" t="s">
        <v>954</v>
      </c>
      <c r="C413" s="1" t="s">
        <v>839</v>
      </c>
      <c r="D413" s="1" t="s">
        <v>862</v>
      </c>
      <c r="E413" s="1" t="s">
        <v>955</v>
      </c>
      <c r="F413" s="1" t="s">
        <v>55</v>
      </c>
      <c r="G413" s="1" t="s">
        <v>17</v>
      </c>
      <c r="H413" s="1" t="s">
        <v>18</v>
      </c>
      <c r="I413" s="1" t="s">
        <v>163</v>
      </c>
      <c r="J413" s="1">
        <f>IFERROR(__xludf.DUMMYFUNCTION("""COMPUTED_VALUE"""),37.0)</f>
        <v>37</v>
      </c>
      <c r="K413" s="1">
        <v>11.0</v>
      </c>
      <c r="L413" s="1">
        <f>IFERROR(__xludf.DUMMYFUNCTION("""COMPUTED_VALUE"""),21.0)</f>
        <v>21</v>
      </c>
    </row>
    <row r="414">
      <c r="A414" s="1">
        <v>1471397.0</v>
      </c>
      <c r="B414" s="1" t="s">
        <v>956</v>
      </c>
      <c r="C414" s="1" t="s">
        <v>839</v>
      </c>
      <c r="D414" s="1" t="s">
        <v>843</v>
      </c>
      <c r="E414" s="1" t="s">
        <v>957</v>
      </c>
      <c r="F414" s="1" t="s">
        <v>16</v>
      </c>
      <c r="G414" s="1" t="s">
        <v>17</v>
      </c>
      <c r="H414" s="1" t="s">
        <v>18</v>
      </c>
      <c r="I414" s="1" t="s">
        <v>44</v>
      </c>
      <c r="J414" s="1">
        <f>IFERROR(__xludf.DUMMYFUNCTION("""COMPUTED_VALUE"""),189.0)</f>
        <v>189</v>
      </c>
      <c r="K414" s="1">
        <v>110.0</v>
      </c>
      <c r="L414" s="1">
        <f>IFERROR(__xludf.DUMMYFUNCTION("""COMPUTED_VALUE"""),432.0)</f>
        <v>432</v>
      </c>
    </row>
    <row r="415">
      <c r="A415" s="1">
        <v>1409018.0</v>
      </c>
      <c r="B415" s="1" t="s">
        <v>958</v>
      </c>
      <c r="C415" s="1" t="s">
        <v>839</v>
      </c>
      <c r="D415" s="1" t="s">
        <v>871</v>
      </c>
      <c r="E415" s="1" t="s">
        <v>959</v>
      </c>
      <c r="F415" s="1" t="s">
        <v>16</v>
      </c>
      <c r="G415" s="1" t="s">
        <v>23</v>
      </c>
      <c r="H415" s="1" t="s">
        <v>18</v>
      </c>
      <c r="I415" s="1" t="s">
        <v>19</v>
      </c>
      <c r="J415" s="1">
        <f>IFERROR(__xludf.DUMMYFUNCTION("""COMPUTED_VALUE"""),62.0)</f>
        <v>62</v>
      </c>
      <c r="K415" s="1">
        <v>15.0</v>
      </c>
      <c r="L415" s="1">
        <f>IFERROR(__xludf.DUMMYFUNCTION("""COMPUTED_VALUE"""),27.0)</f>
        <v>27</v>
      </c>
    </row>
    <row r="416">
      <c r="A416" s="1">
        <v>1473013.0</v>
      </c>
      <c r="B416" s="1" t="s">
        <v>960</v>
      </c>
      <c r="C416" s="1" t="s">
        <v>839</v>
      </c>
      <c r="D416" s="1" t="s">
        <v>856</v>
      </c>
      <c r="E416" s="1" t="s">
        <v>961</v>
      </c>
      <c r="F416" s="1" t="s">
        <v>16</v>
      </c>
      <c r="G416" s="1" t="s">
        <v>27</v>
      </c>
      <c r="H416" s="1" t="s">
        <v>28</v>
      </c>
      <c r="I416" s="1" t="s">
        <v>29</v>
      </c>
      <c r="J416" s="1">
        <f>IFERROR(__xludf.DUMMYFUNCTION("""COMPUTED_VALUE"""),301.0)</f>
        <v>301</v>
      </c>
      <c r="K416" s="1">
        <v>61.0</v>
      </c>
      <c r="L416" s="1">
        <f>IFERROR(__xludf.DUMMYFUNCTION("""COMPUTED_VALUE"""),1154.0)</f>
        <v>1154</v>
      </c>
    </row>
    <row r="417">
      <c r="A417" s="1">
        <v>1405015.0</v>
      </c>
      <c r="B417" s="1" t="s">
        <v>962</v>
      </c>
      <c r="C417" s="1" t="s">
        <v>839</v>
      </c>
      <c r="D417" s="1" t="s">
        <v>963</v>
      </c>
      <c r="E417" s="1" t="s">
        <v>964</v>
      </c>
      <c r="F417" s="1" t="s">
        <v>16</v>
      </c>
      <c r="G417" s="1" t="s">
        <v>17</v>
      </c>
      <c r="H417" s="1" t="s">
        <v>28</v>
      </c>
      <c r="I417" s="1" t="s">
        <v>40</v>
      </c>
      <c r="J417" s="1">
        <f>IFERROR(__xludf.DUMMYFUNCTION("""COMPUTED_VALUE"""),170.0)</f>
        <v>170</v>
      </c>
      <c r="K417" s="1">
        <v>41.0</v>
      </c>
      <c r="L417" s="1">
        <f>IFERROR(__xludf.DUMMYFUNCTION("""COMPUTED_VALUE"""),864.0)</f>
        <v>864</v>
      </c>
    </row>
    <row r="418">
      <c r="A418" s="1">
        <v>1405032.0</v>
      </c>
      <c r="B418" s="1" t="s">
        <v>965</v>
      </c>
      <c r="C418" s="1" t="s">
        <v>839</v>
      </c>
      <c r="D418" s="1" t="s">
        <v>963</v>
      </c>
      <c r="E418" s="1" t="s">
        <v>966</v>
      </c>
      <c r="F418" s="1" t="s">
        <v>16</v>
      </c>
      <c r="G418" s="1" t="s">
        <v>23</v>
      </c>
      <c r="H418" s="1" t="s">
        <v>18</v>
      </c>
      <c r="I418" s="1" t="s">
        <v>40</v>
      </c>
      <c r="J418" s="1">
        <f>IFERROR(__xludf.DUMMYFUNCTION("""COMPUTED_VALUE"""),50.0)</f>
        <v>50</v>
      </c>
      <c r="K418" s="1">
        <v>11.0</v>
      </c>
      <c r="L418" s="1">
        <f>IFERROR(__xludf.DUMMYFUNCTION("""COMPUTED_VALUE"""),182.0)</f>
        <v>182</v>
      </c>
    </row>
    <row r="419">
      <c r="A419" s="1">
        <v>1471161.0</v>
      </c>
      <c r="B419" s="1" t="s">
        <v>967</v>
      </c>
      <c r="C419" s="1" t="s">
        <v>839</v>
      </c>
      <c r="D419" s="1" t="s">
        <v>843</v>
      </c>
      <c r="E419" s="1" t="s">
        <v>968</v>
      </c>
      <c r="F419" s="1" t="s">
        <v>16</v>
      </c>
      <c r="G419" s="1" t="s">
        <v>23</v>
      </c>
      <c r="H419" s="1" t="s">
        <v>18</v>
      </c>
      <c r="I419" s="1" t="s">
        <v>44</v>
      </c>
      <c r="J419" s="1">
        <f>IFERROR(__xludf.DUMMYFUNCTION("""COMPUTED_VALUE"""),56.0)</f>
        <v>56</v>
      </c>
      <c r="K419" s="1">
        <v>20.0</v>
      </c>
      <c r="L419" s="1">
        <f>IFERROR(__xludf.DUMMYFUNCTION("""COMPUTED_VALUE"""),99.0)</f>
        <v>99</v>
      </c>
    </row>
    <row r="420">
      <c r="A420" s="1">
        <v>1402015.0</v>
      </c>
      <c r="B420" s="1" t="s">
        <v>969</v>
      </c>
      <c r="C420" s="1" t="s">
        <v>839</v>
      </c>
      <c r="D420" s="1" t="s">
        <v>874</v>
      </c>
      <c r="E420" s="1" t="s">
        <v>970</v>
      </c>
      <c r="F420" s="1" t="s">
        <v>16</v>
      </c>
      <c r="G420" s="1" t="s">
        <v>23</v>
      </c>
      <c r="H420" s="1" t="s">
        <v>18</v>
      </c>
      <c r="I420" s="1" t="s">
        <v>44</v>
      </c>
      <c r="J420" s="1">
        <f>IFERROR(__xludf.DUMMYFUNCTION("""COMPUTED_VALUE"""),56.0)</f>
        <v>56</v>
      </c>
      <c r="K420" s="1">
        <v>22.0</v>
      </c>
      <c r="L420" s="1">
        <f>IFERROR(__xludf.DUMMYFUNCTION("""COMPUTED_VALUE"""),45.0)</f>
        <v>45</v>
      </c>
    </row>
    <row r="421">
      <c r="A421" s="1">
        <v>1471011.0</v>
      </c>
      <c r="B421" s="1" t="s">
        <v>971</v>
      </c>
      <c r="C421" s="1" t="s">
        <v>839</v>
      </c>
      <c r="D421" s="1" t="s">
        <v>843</v>
      </c>
      <c r="E421" s="1" t="s">
        <v>972</v>
      </c>
      <c r="F421" s="1" t="s">
        <v>16</v>
      </c>
      <c r="G421" s="1" t="s">
        <v>27</v>
      </c>
      <c r="H421" s="1" t="s">
        <v>28</v>
      </c>
      <c r="I421" s="1" t="s">
        <v>139</v>
      </c>
      <c r="J421" s="1">
        <f>IFERROR(__xludf.DUMMYFUNCTION("""COMPUTED_VALUE"""),539.0)</f>
        <v>539</v>
      </c>
      <c r="K421" s="1">
        <v>146.0</v>
      </c>
      <c r="L421" s="1">
        <f>IFERROR(__xludf.DUMMYFUNCTION("""COMPUTED_VALUE"""),1487.0)</f>
        <v>1487</v>
      </c>
    </row>
    <row r="422">
      <c r="A422" s="1">
        <v>1472080.0</v>
      </c>
      <c r="B422" s="1" t="s">
        <v>973</v>
      </c>
      <c r="C422" s="1" t="s">
        <v>839</v>
      </c>
      <c r="D422" s="1" t="s">
        <v>856</v>
      </c>
      <c r="E422" s="1" t="s">
        <v>974</v>
      </c>
      <c r="F422" s="1" t="s">
        <v>16</v>
      </c>
      <c r="G422" s="1" t="s">
        <v>17</v>
      </c>
      <c r="H422" s="1" t="s">
        <v>18</v>
      </c>
      <c r="I422" s="1" t="s">
        <v>44</v>
      </c>
      <c r="J422" s="1">
        <f>IFERROR(__xludf.DUMMYFUNCTION("""COMPUTED_VALUE"""),145.0)</f>
        <v>145</v>
      </c>
      <c r="K422" s="1">
        <v>41.0</v>
      </c>
      <c r="L422" s="1">
        <f>IFERROR(__xludf.DUMMYFUNCTION("""COMPUTED_VALUE"""),182.0)</f>
        <v>182</v>
      </c>
    </row>
    <row r="423">
      <c r="A423" s="1">
        <v>1407017.0</v>
      </c>
      <c r="B423" s="1" t="s">
        <v>975</v>
      </c>
      <c r="C423" s="1" t="s">
        <v>839</v>
      </c>
      <c r="D423" s="1" t="s">
        <v>877</v>
      </c>
      <c r="E423" s="1" t="s">
        <v>976</v>
      </c>
      <c r="F423" s="1" t="s">
        <v>16</v>
      </c>
      <c r="G423" s="1" t="s">
        <v>23</v>
      </c>
      <c r="H423" s="1" t="s">
        <v>33</v>
      </c>
      <c r="I423" s="1" t="s">
        <v>19</v>
      </c>
      <c r="J423" s="1">
        <f>IFERROR(__xludf.DUMMYFUNCTION("""COMPUTED_VALUE"""),32.0)</f>
        <v>32</v>
      </c>
      <c r="K423" s="1">
        <v>9.0</v>
      </c>
      <c r="L423" s="1">
        <f>IFERROR(__xludf.DUMMYFUNCTION("""COMPUTED_VALUE"""),18.0)</f>
        <v>18</v>
      </c>
    </row>
    <row r="424">
      <c r="A424" s="1">
        <v>1471383.0</v>
      </c>
      <c r="B424" s="1" t="s">
        <v>977</v>
      </c>
      <c r="C424" s="1" t="s">
        <v>839</v>
      </c>
      <c r="D424" s="1" t="s">
        <v>843</v>
      </c>
      <c r="E424" s="1" t="s">
        <v>978</v>
      </c>
      <c r="F424" s="1" t="s">
        <v>16</v>
      </c>
      <c r="G424" s="1" t="s">
        <v>17</v>
      </c>
      <c r="H424" s="1" t="s">
        <v>18</v>
      </c>
      <c r="I424" s="1" t="s">
        <v>19</v>
      </c>
      <c r="J424" s="1">
        <f>IFERROR(__xludf.DUMMYFUNCTION("""COMPUTED_VALUE"""),152.0)</f>
        <v>152</v>
      </c>
      <c r="K424" s="1">
        <v>40.0</v>
      </c>
      <c r="L424" s="1">
        <f>IFERROR(__xludf.DUMMYFUNCTION("""COMPUTED_VALUE"""),77.0)</f>
        <v>77</v>
      </c>
    </row>
    <row r="425">
      <c r="A425" s="1">
        <v>1471226.0</v>
      </c>
      <c r="B425" s="1" t="s">
        <v>979</v>
      </c>
      <c r="C425" s="1" t="s">
        <v>839</v>
      </c>
      <c r="D425" s="1" t="s">
        <v>843</v>
      </c>
      <c r="E425" s="1" t="s">
        <v>980</v>
      </c>
      <c r="F425" s="1" t="s">
        <v>16</v>
      </c>
      <c r="G425" s="1" t="s">
        <v>150</v>
      </c>
      <c r="H425" s="1" t="s">
        <v>18</v>
      </c>
      <c r="I425" s="1" t="s">
        <v>19</v>
      </c>
      <c r="J425" s="1">
        <f>IFERROR(__xludf.DUMMYFUNCTION("""COMPUTED_VALUE"""),371.0)</f>
        <v>371</v>
      </c>
      <c r="K425" s="1">
        <v>134.0</v>
      </c>
      <c r="L425" s="1">
        <f>IFERROR(__xludf.DUMMYFUNCTION("""COMPUTED_VALUE"""),1255.0)</f>
        <v>1255</v>
      </c>
    </row>
    <row r="426">
      <c r="A426" s="1">
        <v>1471389.0</v>
      </c>
      <c r="B426" s="1" t="s">
        <v>981</v>
      </c>
      <c r="C426" s="1" t="s">
        <v>839</v>
      </c>
      <c r="D426" s="1" t="s">
        <v>843</v>
      </c>
      <c r="E426" s="1" t="s">
        <v>982</v>
      </c>
      <c r="F426" s="1" t="s">
        <v>55</v>
      </c>
      <c r="G426" s="1" t="s">
        <v>17</v>
      </c>
      <c r="H426" s="1" t="s">
        <v>18</v>
      </c>
      <c r="I426" s="1" t="s">
        <v>44</v>
      </c>
      <c r="J426" s="1">
        <f>IFERROR(__xludf.DUMMYFUNCTION("""COMPUTED_VALUE"""),25.0)</f>
        <v>25</v>
      </c>
      <c r="K426" s="1">
        <v>14.0</v>
      </c>
      <c r="L426" s="1">
        <f>IFERROR(__xludf.DUMMYFUNCTION("""COMPUTED_VALUE"""),19.0)</f>
        <v>19</v>
      </c>
    </row>
    <row r="427">
      <c r="A427" s="1">
        <v>1409014.0</v>
      </c>
      <c r="B427" s="1" t="s">
        <v>983</v>
      </c>
      <c r="C427" s="1" t="s">
        <v>839</v>
      </c>
      <c r="D427" s="1" t="s">
        <v>871</v>
      </c>
      <c r="E427" s="1" t="s">
        <v>984</v>
      </c>
      <c r="F427" s="1" t="s">
        <v>16</v>
      </c>
      <c r="G427" s="1" t="s">
        <v>23</v>
      </c>
      <c r="H427" s="1" t="s">
        <v>18</v>
      </c>
      <c r="I427" s="1" t="s">
        <v>19</v>
      </c>
      <c r="J427" s="1">
        <f>IFERROR(__xludf.DUMMYFUNCTION("""COMPUTED_VALUE"""),58.0)</f>
        <v>58</v>
      </c>
      <c r="K427" s="1">
        <v>30.0</v>
      </c>
      <c r="L427" s="1">
        <f>IFERROR(__xludf.DUMMYFUNCTION("""COMPUTED_VALUE"""),82.0)</f>
        <v>82</v>
      </c>
    </row>
    <row r="428">
      <c r="A428" s="1">
        <v>1473081.0</v>
      </c>
      <c r="B428" s="1" t="s">
        <v>985</v>
      </c>
      <c r="C428" s="1" t="s">
        <v>839</v>
      </c>
      <c r="D428" s="1" t="s">
        <v>856</v>
      </c>
      <c r="E428" s="1" t="s">
        <v>986</v>
      </c>
      <c r="F428" s="1" t="s">
        <v>16</v>
      </c>
      <c r="G428" s="1" t="s">
        <v>17</v>
      </c>
      <c r="H428" s="1" t="s">
        <v>18</v>
      </c>
      <c r="I428" s="1" t="s">
        <v>44</v>
      </c>
      <c r="J428" s="1">
        <f>IFERROR(__xludf.DUMMYFUNCTION("""COMPUTED_VALUE"""),108.0)</f>
        <v>108</v>
      </c>
      <c r="K428" s="1">
        <v>22.0</v>
      </c>
      <c r="L428" s="1">
        <f>IFERROR(__xludf.DUMMYFUNCTION("""COMPUTED_VALUE"""),182.0)</f>
        <v>182</v>
      </c>
    </row>
    <row r="429">
      <c r="A429" s="1">
        <v>1404025.0</v>
      </c>
      <c r="B429" s="1" t="s">
        <v>987</v>
      </c>
      <c r="C429" s="1" t="s">
        <v>839</v>
      </c>
      <c r="D429" s="1" t="s">
        <v>840</v>
      </c>
      <c r="E429" s="1" t="s">
        <v>988</v>
      </c>
      <c r="F429" s="1" t="s">
        <v>16</v>
      </c>
      <c r="G429" s="1" t="s">
        <v>17</v>
      </c>
      <c r="H429" s="1" t="s">
        <v>18</v>
      </c>
      <c r="I429" s="1" t="s">
        <v>19</v>
      </c>
      <c r="J429" s="1">
        <f>IFERROR(__xludf.DUMMYFUNCTION("""COMPUTED_VALUE"""),201.0)</f>
        <v>201</v>
      </c>
      <c r="K429" s="1">
        <v>35.0</v>
      </c>
      <c r="L429" s="1">
        <f>IFERROR(__xludf.DUMMYFUNCTION("""COMPUTED_VALUE"""),196.0)</f>
        <v>196</v>
      </c>
    </row>
    <row r="430">
      <c r="A430" s="1">
        <v>1405017.0</v>
      </c>
      <c r="B430" s="1" t="s">
        <v>989</v>
      </c>
      <c r="C430" s="1" t="s">
        <v>839</v>
      </c>
      <c r="D430" s="1" t="s">
        <v>963</v>
      </c>
      <c r="E430" s="1" t="s">
        <v>990</v>
      </c>
      <c r="F430" s="1" t="s">
        <v>16</v>
      </c>
      <c r="G430" s="1" t="s">
        <v>23</v>
      </c>
      <c r="H430" s="1" t="s">
        <v>28</v>
      </c>
      <c r="I430" s="1" t="s">
        <v>40</v>
      </c>
      <c r="J430" s="1">
        <f>IFERROR(__xludf.DUMMYFUNCTION("""COMPUTED_VALUE"""),60.0)</f>
        <v>60</v>
      </c>
      <c r="K430" s="1">
        <v>36.0</v>
      </c>
      <c r="L430" s="1">
        <f>IFERROR(__xludf.DUMMYFUNCTION("""COMPUTED_VALUE"""),125.0)</f>
        <v>125</v>
      </c>
    </row>
    <row r="431">
      <c r="A431" s="1">
        <v>1471033.0</v>
      </c>
      <c r="B431" s="1" t="s">
        <v>991</v>
      </c>
      <c r="C431" s="1" t="s">
        <v>839</v>
      </c>
      <c r="D431" s="1" t="s">
        <v>843</v>
      </c>
      <c r="E431" s="1" t="s">
        <v>992</v>
      </c>
      <c r="F431" s="1" t="s">
        <v>16</v>
      </c>
      <c r="G431" s="1" t="s">
        <v>17</v>
      </c>
      <c r="H431" s="1" t="s">
        <v>33</v>
      </c>
      <c r="I431" s="1" t="s">
        <v>65</v>
      </c>
      <c r="J431" s="1">
        <f>IFERROR(__xludf.DUMMYFUNCTION("""COMPUTED_VALUE"""),100.0)</f>
        <v>100</v>
      </c>
      <c r="K431" s="1">
        <v>28.0</v>
      </c>
      <c r="L431" s="1">
        <f>IFERROR(__xludf.DUMMYFUNCTION("""COMPUTED_VALUE"""),163.0)</f>
        <v>163</v>
      </c>
    </row>
    <row r="432">
      <c r="A432" s="1">
        <v>1471384.0</v>
      </c>
      <c r="B432" s="1" t="s">
        <v>993</v>
      </c>
      <c r="C432" s="1" t="s">
        <v>839</v>
      </c>
      <c r="D432" s="1" t="s">
        <v>843</v>
      </c>
      <c r="E432" s="1" t="s">
        <v>994</v>
      </c>
      <c r="F432" s="1" t="s">
        <v>16</v>
      </c>
      <c r="G432" s="1" t="s">
        <v>17</v>
      </c>
      <c r="H432" s="1" t="s">
        <v>18</v>
      </c>
      <c r="I432" s="1" t="s">
        <v>44</v>
      </c>
      <c r="J432" s="1">
        <f>IFERROR(__xludf.DUMMYFUNCTION("""COMPUTED_VALUE"""),201.0)</f>
        <v>201</v>
      </c>
      <c r="K432" s="1">
        <v>100.0</v>
      </c>
      <c r="L432" s="1">
        <f>IFERROR(__xludf.DUMMYFUNCTION("""COMPUTED_VALUE"""),417.0)</f>
        <v>417</v>
      </c>
    </row>
    <row r="433">
      <c r="A433" s="1">
        <v>1407011.0</v>
      </c>
      <c r="B433" s="1" t="s">
        <v>995</v>
      </c>
      <c r="C433" s="1" t="s">
        <v>839</v>
      </c>
      <c r="D433" s="1" t="s">
        <v>877</v>
      </c>
      <c r="E433" s="1" t="s">
        <v>996</v>
      </c>
      <c r="F433" s="1" t="s">
        <v>16</v>
      </c>
      <c r="G433" s="1" t="s">
        <v>17</v>
      </c>
      <c r="H433" s="1" t="s">
        <v>28</v>
      </c>
      <c r="I433" s="1" t="s">
        <v>40</v>
      </c>
      <c r="J433" s="1">
        <f>IFERROR(__xludf.DUMMYFUNCTION("""COMPUTED_VALUE"""),96.0)</f>
        <v>96</v>
      </c>
      <c r="K433" s="1">
        <v>60.0</v>
      </c>
      <c r="L433" s="1">
        <f>IFERROR(__xludf.DUMMYFUNCTION("""COMPUTED_VALUE"""),544.0)</f>
        <v>544</v>
      </c>
    </row>
    <row r="434">
      <c r="A434" s="1">
        <v>1471259.0</v>
      </c>
      <c r="B434" s="1" t="s">
        <v>997</v>
      </c>
      <c r="C434" s="1" t="s">
        <v>839</v>
      </c>
      <c r="D434" s="1" t="s">
        <v>843</v>
      </c>
      <c r="E434" s="1" t="s">
        <v>998</v>
      </c>
      <c r="F434" s="1" t="s">
        <v>55</v>
      </c>
      <c r="G434" s="1" t="s">
        <v>17</v>
      </c>
      <c r="H434" s="1" t="s">
        <v>18</v>
      </c>
      <c r="I434" s="1" t="s">
        <v>19</v>
      </c>
      <c r="J434" s="1">
        <f>IFERROR(__xludf.DUMMYFUNCTION("""COMPUTED_VALUE"""),28.0)</f>
        <v>28</v>
      </c>
      <c r="K434" s="1">
        <v>21.0</v>
      </c>
      <c r="L434" s="1">
        <f>IFERROR(__xludf.DUMMYFUNCTION("""COMPUTED_VALUE"""),89.0)</f>
        <v>89</v>
      </c>
    </row>
    <row r="435">
      <c r="A435" s="1">
        <v>1402012.0</v>
      </c>
      <c r="B435" s="1" t="s">
        <v>999</v>
      </c>
      <c r="C435" s="1" t="s">
        <v>839</v>
      </c>
      <c r="D435" s="1" t="s">
        <v>874</v>
      </c>
      <c r="E435" s="1" t="s">
        <v>1000</v>
      </c>
      <c r="F435" s="1" t="s">
        <v>16</v>
      </c>
      <c r="G435" s="1" t="s">
        <v>17</v>
      </c>
      <c r="H435" s="1" t="s">
        <v>28</v>
      </c>
      <c r="I435" s="1" t="s">
        <v>40</v>
      </c>
      <c r="J435" s="1">
        <f>IFERROR(__xludf.DUMMYFUNCTION("""COMPUTED_VALUE"""),144.0)</f>
        <v>144</v>
      </c>
      <c r="K435" s="1">
        <v>52.0</v>
      </c>
      <c r="L435" s="1">
        <f>IFERROR(__xludf.DUMMYFUNCTION("""COMPUTED_VALUE"""),458.0)</f>
        <v>458</v>
      </c>
    </row>
    <row r="436">
      <c r="A436" s="1">
        <v>1473078.0</v>
      </c>
      <c r="B436" s="1" t="s">
        <v>1001</v>
      </c>
      <c r="C436" s="1" t="s">
        <v>839</v>
      </c>
      <c r="D436" s="1" t="s">
        <v>856</v>
      </c>
      <c r="E436" s="1" t="s">
        <v>1002</v>
      </c>
      <c r="F436" s="1" t="s">
        <v>16</v>
      </c>
      <c r="G436" s="1" t="s">
        <v>23</v>
      </c>
      <c r="H436" s="1" t="s">
        <v>18</v>
      </c>
      <c r="I436" s="1" t="s">
        <v>65</v>
      </c>
      <c r="J436" s="1">
        <f>IFERROR(__xludf.DUMMYFUNCTION("""COMPUTED_VALUE"""),53.0)</f>
        <v>53</v>
      </c>
      <c r="K436" s="1">
        <v>7.0</v>
      </c>
      <c r="L436" s="1">
        <f>IFERROR(__xludf.DUMMYFUNCTION("""COMPUTED_VALUE"""),20.0)</f>
        <v>20</v>
      </c>
    </row>
    <row r="437">
      <c r="A437" s="1">
        <v>1471135.0</v>
      </c>
      <c r="B437" s="1" t="s">
        <v>1003</v>
      </c>
      <c r="C437" s="1" t="s">
        <v>839</v>
      </c>
      <c r="D437" s="1" t="s">
        <v>843</v>
      </c>
      <c r="E437" s="1" t="s">
        <v>1004</v>
      </c>
      <c r="F437" s="1" t="s">
        <v>16</v>
      </c>
      <c r="G437" s="1" t="s">
        <v>17</v>
      </c>
      <c r="H437" s="1" t="s">
        <v>18</v>
      </c>
      <c r="I437" s="1" t="s">
        <v>684</v>
      </c>
      <c r="J437" s="1">
        <f>IFERROR(__xludf.DUMMYFUNCTION("""COMPUTED_VALUE"""),124.0)</f>
        <v>124</v>
      </c>
      <c r="K437" s="1">
        <v>92.0</v>
      </c>
      <c r="L437" s="1">
        <f>IFERROR(__xludf.DUMMYFUNCTION("""COMPUTED_VALUE"""),575.0)</f>
        <v>575</v>
      </c>
    </row>
    <row r="438">
      <c r="A438" s="1">
        <v>1406058.0</v>
      </c>
      <c r="B438" s="1" t="s">
        <v>1005</v>
      </c>
      <c r="C438" s="1" t="s">
        <v>839</v>
      </c>
      <c r="D438" s="1" t="s">
        <v>862</v>
      </c>
      <c r="E438" s="1" t="s">
        <v>1006</v>
      </c>
      <c r="F438" s="1" t="s">
        <v>16</v>
      </c>
      <c r="G438" s="1" t="s">
        <v>23</v>
      </c>
      <c r="H438" s="1" t="s">
        <v>18</v>
      </c>
      <c r="I438" s="1" t="s">
        <v>19</v>
      </c>
      <c r="J438" s="1">
        <f>IFERROR(__xludf.DUMMYFUNCTION("""COMPUTED_VALUE"""),50.0)</f>
        <v>50</v>
      </c>
      <c r="K438" s="1">
        <v>14.0</v>
      </c>
      <c r="L438" s="1">
        <f>IFERROR(__xludf.DUMMYFUNCTION("""COMPUTED_VALUE"""),182.0)</f>
        <v>182</v>
      </c>
    </row>
    <row r="439">
      <c r="A439" s="1">
        <v>1406044.0</v>
      </c>
      <c r="B439" s="1" t="s">
        <v>1007</v>
      </c>
      <c r="C439" s="1" t="s">
        <v>839</v>
      </c>
      <c r="D439" s="1" t="s">
        <v>862</v>
      </c>
      <c r="E439" s="1" t="s">
        <v>1008</v>
      </c>
      <c r="F439" s="1" t="s">
        <v>55</v>
      </c>
      <c r="G439" s="1" t="s">
        <v>17</v>
      </c>
      <c r="H439" s="1" t="s">
        <v>18</v>
      </c>
      <c r="I439" s="1" t="s">
        <v>163</v>
      </c>
      <c r="J439" s="1">
        <f>IFERROR(__xludf.DUMMYFUNCTION("""COMPUTED_VALUE"""),38.0)</f>
        <v>38</v>
      </c>
      <c r="K439" s="1">
        <v>17.0</v>
      </c>
      <c r="L439" s="1">
        <f>IFERROR(__xludf.DUMMYFUNCTION("""COMPUTED_VALUE"""),51.0)</f>
        <v>51</v>
      </c>
    </row>
    <row r="440">
      <c r="A440" s="1">
        <v>1409022.0</v>
      </c>
      <c r="B440" s="1" t="s">
        <v>1009</v>
      </c>
      <c r="C440" s="1" t="s">
        <v>839</v>
      </c>
      <c r="D440" s="1" t="s">
        <v>871</v>
      </c>
      <c r="E440" s="1" t="s">
        <v>1010</v>
      </c>
      <c r="F440" s="1" t="s">
        <v>16</v>
      </c>
      <c r="G440" s="1" t="s">
        <v>17</v>
      </c>
      <c r="H440" s="1" t="s">
        <v>28</v>
      </c>
      <c r="I440" s="1" t="s">
        <v>40</v>
      </c>
      <c r="J440" s="1">
        <f>IFERROR(__xludf.DUMMYFUNCTION("""COMPUTED_VALUE"""),121.0)</f>
        <v>121</v>
      </c>
      <c r="K440" s="1">
        <v>24.0</v>
      </c>
      <c r="L440" s="1">
        <f>IFERROR(__xludf.DUMMYFUNCTION("""COMPUTED_VALUE"""),236.0)</f>
        <v>236</v>
      </c>
    </row>
    <row r="441">
      <c r="A441" s="1">
        <v>1471382.0</v>
      </c>
      <c r="B441" s="1" t="s">
        <v>1011</v>
      </c>
      <c r="C441" s="1" t="s">
        <v>839</v>
      </c>
      <c r="D441" s="1" t="s">
        <v>843</v>
      </c>
      <c r="E441" s="1" t="s">
        <v>1012</v>
      </c>
      <c r="F441" s="1" t="s">
        <v>16</v>
      </c>
      <c r="G441" s="1" t="s">
        <v>17</v>
      </c>
      <c r="H441" s="1" t="s">
        <v>18</v>
      </c>
      <c r="I441" s="1" t="s">
        <v>19</v>
      </c>
      <c r="J441" s="1">
        <f>IFERROR(__xludf.DUMMYFUNCTION("""COMPUTED_VALUE"""),100.0)</f>
        <v>100</v>
      </c>
      <c r="K441" s="1">
        <v>87.0</v>
      </c>
      <c r="L441" s="1">
        <f>IFERROR(__xludf.DUMMYFUNCTION("""COMPUTED_VALUE"""),260.0)</f>
        <v>260</v>
      </c>
    </row>
    <row r="442">
      <c r="A442" s="1">
        <v>1509031.0</v>
      </c>
      <c r="B442" s="1" t="s">
        <v>1013</v>
      </c>
      <c r="C442" s="1" t="s">
        <v>1014</v>
      </c>
      <c r="D442" s="1" t="s">
        <v>1015</v>
      </c>
      <c r="E442" s="1" t="s">
        <v>1016</v>
      </c>
      <c r="F442" s="1" t="s">
        <v>16</v>
      </c>
      <c r="G442" s="1" t="s">
        <v>23</v>
      </c>
      <c r="H442" s="1" t="s">
        <v>18</v>
      </c>
      <c r="I442" s="1" t="s">
        <v>19</v>
      </c>
      <c r="J442" s="1">
        <f>IFERROR(__xludf.DUMMYFUNCTION("""COMPUTED_VALUE"""),90.0)</f>
        <v>90</v>
      </c>
      <c r="K442" s="1">
        <v>22.0</v>
      </c>
      <c r="L442" s="1">
        <f>IFERROR(__xludf.DUMMYFUNCTION("""COMPUTED_VALUE"""),71.0)</f>
        <v>71</v>
      </c>
    </row>
    <row r="443">
      <c r="A443" s="1">
        <v>1505028.0</v>
      </c>
      <c r="B443" s="1" t="s">
        <v>1017</v>
      </c>
      <c r="C443" s="1" t="s">
        <v>1014</v>
      </c>
      <c r="D443" s="1" t="s">
        <v>1018</v>
      </c>
      <c r="E443" s="1" t="s">
        <v>1019</v>
      </c>
      <c r="F443" s="1" t="s">
        <v>16</v>
      </c>
      <c r="G443" s="1" t="s">
        <v>23</v>
      </c>
      <c r="H443" s="1" t="s">
        <v>28</v>
      </c>
      <c r="I443" s="1" t="s">
        <v>40</v>
      </c>
      <c r="J443" s="1">
        <f>IFERROR(__xludf.DUMMYFUNCTION("""COMPUTED_VALUE"""),54.0)</f>
        <v>54</v>
      </c>
      <c r="K443" s="1">
        <v>25.0</v>
      </c>
      <c r="L443" s="1">
        <f>IFERROR(__xludf.DUMMYFUNCTION("""COMPUTED_VALUE"""),150.0)</f>
        <v>150</v>
      </c>
    </row>
    <row r="444">
      <c r="A444" s="1">
        <v>1509043.0</v>
      </c>
      <c r="B444" s="1" t="s">
        <v>1020</v>
      </c>
      <c r="C444" s="1" t="s">
        <v>1014</v>
      </c>
      <c r="D444" s="1" t="s">
        <v>1015</v>
      </c>
      <c r="E444" s="1" t="s">
        <v>1021</v>
      </c>
      <c r="F444" s="1" t="s">
        <v>16</v>
      </c>
      <c r="G444" s="1" t="s">
        <v>1022</v>
      </c>
      <c r="H444" s="1" t="s">
        <v>18</v>
      </c>
      <c r="I444" s="1" t="s">
        <v>40</v>
      </c>
      <c r="J444" s="1">
        <f>IFERROR(__xludf.DUMMYFUNCTION("""COMPUTED_VALUE"""),14.0)</f>
        <v>14</v>
      </c>
      <c r="K444" s="1">
        <v>8.0</v>
      </c>
      <c r="L444" s="1">
        <f>IFERROR(__xludf.DUMMYFUNCTION("""COMPUTED_VALUE"""),182.0)</f>
        <v>182</v>
      </c>
    </row>
    <row r="445">
      <c r="A445" s="1">
        <v>1507010.0</v>
      </c>
      <c r="B445" s="1" t="s">
        <v>1023</v>
      </c>
      <c r="C445" s="1" t="s">
        <v>1014</v>
      </c>
      <c r="D445" s="1" t="s">
        <v>1024</v>
      </c>
      <c r="E445" s="1" t="s">
        <v>1025</v>
      </c>
      <c r="F445" s="1" t="s">
        <v>16</v>
      </c>
      <c r="G445" s="1" t="s">
        <v>17</v>
      </c>
      <c r="H445" s="1" t="s">
        <v>28</v>
      </c>
      <c r="I445" s="1" t="s">
        <v>40</v>
      </c>
      <c r="J445" s="1">
        <f>IFERROR(__xludf.DUMMYFUNCTION("""COMPUTED_VALUE"""),134.0)</f>
        <v>134</v>
      </c>
      <c r="K445" s="1">
        <v>28.0</v>
      </c>
      <c r="L445" s="1">
        <f>IFERROR(__xludf.DUMMYFUNCTION("""COMPUTED_VALUE"""),455.0)</f>
        <v>455</v>
      </c>
    </row>
    <row r="446">
      <c r="A446" s="1">
        <v>1571158.0</v>
      </c>
      <c r="B446" s="1" t="s">
        <v>1026</v>
      </c>
      <c r="C446" s="1" t="s">
        <v>1014</v>
      </c>
      <c r="D446" s="1" t="s">
        <v>1027</v>
      </c>
      <c r="E446" s="1" t="s">
        <v>1028</v>
      </c>
      <c r="F446" s="1" t="s">
        <v>16</v>
      </c>
      <c r="G446" s="1" t="s">
        <v>17</v>
      </c>
      <c r="H446" s="1" t="s">
        <v>28</v>
      </c>
      <c r="I446" s="1" t="s">
        <v>29</v>
      </c>
      <c r="J446" s="1">
        <f>IFERROR(__xludf.DUMMYFUNCTION("""COMPUTED_VALUE"""),180.0)</f>
        <v>180</v>
      </c>
      <c r="K446" s="1">
        <v>72.0</v>
      </c>
      <c r="L446" s="1">
        <f>IFERROR(__xludf.DUMMYFUNCTION("""COMPUTED_VALUE"""),652.0)</f>
        <v>652</v>
      </c>
    </row>
    <row r="447">
      <c r="A447" s="1">
        <v>1571162.0</v>
      </c>
      <c r="B447" s="1" t="s">
        <v>1029</v>
      </c>
      <c r="C447" s="1" t="s">
        <v>1014</v>
      </c>
      <c r="D447" s="1" t="s">
        <v>1027</v>
      </c>
      <c r="E447" s="1" t="s">
        <v>1030</v>
      </c>
      <c r="F447" s="1" t="s">
        <v>16</v>
      </c>
      <c r="G447" s="1" t="s">
        <v>17</v>
      </c>
      <c r="H447" s="1" t="s">
        <v>18</v>
      </c>
      <c r="I447" s="1" t="s">
        <v>44</v>
      </c>
      <c r="J447" s="1">
        <f>IFERROR(__xludf.DUMMYFUNCTION("""COMPUTED_VALUE"""),106.0)</f>
        <v>106</v>
      </c>
      <c r="K447" s="1">
        <v>59.0</v>
      </c>
      <c r="L447" s="1">
        <f>IFERROR(__xludf.DUMMYFUNCTION("""COMPUTED_VALUE"""),201.0)</f>
        <v>201</v>
      </c>
    </row>
    <row r="448">
      <c r="A448" s="1">
        <v>1571159.0</v>
      </c>
      <c r="B448" s="1" t="s">
        <v>1031</v>
      </c>
      <c r="C448" s="1" t="s">
        <v>1014</v>
      </c>
      <c r="D448" s="1" t="s">
        <v>1027</v>
      </c>
      <c r="E448" s="1" t="s">
        <v>1032</v>
      </c>
      <c r="F448" s="1" t="s">
        <v>16</v>
      </c>
      <c r="G448" s="1" t="s">
        <v>17</v>
      </c>
      <c r="H448" s="1" t="s">
        <v>18</v>
      </c>
      <c r="I448" s="1" t="s">
        <v>44</v>
      </c>
      <c r="J448" s="1">
        <f>IFERROR(__xludf.DUMMYFUNCTION("""COMPUTED_VALUE"""),108.0)</f>
        <v>108</v>
      </c>
      <c r="K448" s="1">
        <v>26.0</v>
      </c>
      <c r="L448" s="1">
        <f>IFERROR(__xludf.DUMMYFUNCTION("""COMPUTED_VALUE"""),423.0)</f>
        <v>423</v>
      </c>
    </row>
    <row r="449">
      <c r="A449" s="1">
        <v>1571163.0</v>
      </c>
      <c r="B449" s="1" t="s">
        <v>1033</v>
      </c>
      <c r="C449" s="1" t="s">
        <v>1014</v>
      </c>
      <c r="D449" s="1" t="s">
        <v>1027</v>
      </c>
      <c r="E449" s="1" t="s">
        <v>1034</v>
      </c>
      <c r="F449" s="1" t="s">
        <v>16</v>
      </c>
      <c r="G449" s="1" t="s">
        <v>17</v>
      </c>
      <c r="H449" s="1" t="s">
        <v>18</v>
      </c>
      <c r="I449" s="1" t="s">
        <v>19</v>
      </c>
      <c r="J449" s="1">
        <f>IFERROR(__xludf.DUMMYFUNCTION("""COMPUTED_VALUE"""),100.0)</f>
        <v>100</v>
      </c>
      <c r="K449" s="1">
        <v>47.0</v>
      </c>
      <c r="L449" s="1">
        <f>IFERROR(__xludf.DUMMYFUNCTION("""COMPUTED_VALUE"""),239.0)</f>
        <v>239</v>
      </c>
    </row>
    <row r="450">
      <c r="A450" s="1">
        <v>1509013.0</v>
      </c>
      <c r="B450" s="1" t="s">
        <v>1035</v>
      </c>
      <c r="C450" s="1" t="s">
        <v>1014</v>
      </c>
      <c r="D450" s="1" t="s">
        <v>1015</v>
      </c>
      <c r="E450" s="1" t="s">
        <v>1036</v>
      </c>
      <c r="F450" s="1" t="s">
        <v>16</v>
      </c>
      <c r="G450" s="1" t="s">
        <v>27</v>
      </c>
      <c r="H450" s="1" t="s">
        <v>28</v>
      </c>
      <c r="I450" s="1" t="s">
        <v>40</v>
      </c>
      <c r="J450" s="1">
        <f>IFERROR(__xludf.DUMMYFUNCTION("""COMPUTED_VALUE"""),220.0)</f>
        <v>220</v>
      </c>
      <c r="K450" s="1">
        <v>95.0</v>
      </c>
      <c r="L450" s="1">
        <f>IFERROR(__xludf.DUMMYFUNCTION("""COMPUTED_VALUE"""),817.0)</f>
        <v>817</v>
      </c>
    </row>
    <row r="451">
      <c r="A451" s="1">
        <v>1509028.0</v>
      </c>
      <c r="B451" s="1" t="s">
        <v>569</v>
      </c>
      <c r="C451" s="1" t="s">
        <v>1014</v>
      </c>
      <c r="D451" s="1" t="s">
        <v>1015</v>
      </c>
      <c r="E451" s="1" t="s">
        <v>1037</v>
      </c>
      <c r="F451" s="1" t="s">
        <v>16</v>
      </c>
      <c r="G451" s="1" t="s">
        <v>17</v>
      </c>
      <c r="H451" s="1" t="s">
        <v>18</v>
      </c>
      <c r="I451" s="1" t="s">
        <v>44</v>
      </c>
      <c r="J451" s="1">
        <f>IFERROR(__xludf.DUMMYFUNCTION("""COMPUTED_VALUE"""),116.0)</f>
        <v>116</v>
      </c>
      <c r="K451" s="1">
        <v>32.0</v>
      </c>
      <c r="L451" s="1">
        <f>IFERROR(__xludf.DUMMYFUNCTION("""COMPUTED_VALUE"""),144.0)</f>
        <v>144</v>
      </c>
    </row>
    <row r="452">
      <c r="A452" s="1">
        <v>1508013.0</v>
      </c>
      <c r="B452" s="1" t="s">
        <v>1038</v>
      </c>
      <c r="C452" s="1" t="s">
        <v>1014</v>
      </c>
      <c r="D452" s="1" t="s">
        <v>1039</v>
      </c>
      <c r="E452" s="1" t="s">
        <v>1040</v>
      </c>
      <c r="F452" s="1" t="s">
        <v>16</v>
      </c>
      <c r="G452" s="1" t="s">
        <v>17</v>
      </c>
      <c r="H452" s="1" t="s">
        <v>28</v>
      </c>
      <c r="I452" s="1" t="s">
        <v>40</v>
      </c>
      <c r="J452" s="1">
        <f>IFERROR(__xludf.DUMMYFUNCTION("""COMPUTED_VALUE"""),130.0)</f>
        <v>130</v>
      </c>
      <c r="K452" s="1">
        <v>67.0</v>
      </c>
      <c r="L452" s="1">
        <f>IFERROR(__xludf.DUMMYFUNCTION("""COMPUTED_VALUE"""),157.0)</f>
        <v>157</v>
      </c>
    </row>
    <row r="453">
      <c r="A453" s="1">
        <v>1502015.0</v>
      </c>
      <c r="B453" s="1" t="s">
        <v>1041</v>
      </c>
      <c r="C453" s="1" t="s">
        <v>1014</v>
      </c>
      <c r="D453" s="1" t="s">
        <v>1042</v>
      </c>
      <c r="E453" s="1" t="s">
        <v>1043</v>
      </c>
      <c r="F453" s="1" t="s">
        <v>16</v>
      </c>
      <c r="G453" s="1" t="s">
        <v>17</v>
      </c>
      <c r="H453" s="1" t="s">
        <v>18</v>
      </c>
      <c r="I453" s="1" t="s">
        <v>19</v>
      </c>
      <c r="J453" s="1">
        <f>IFERROR(__xludf.DUMMYFUNCTION("""COMPUTED_VALUE"""),100.0)</f>
        <v>100</v>
      </c>
      <c r="K453" s="1">
        <v>26.0</v>
      </c>
      <c r="L453" s="1">
        <f>IFERROR(__xludf.DUMMYFUNCTION("""COMPUTED_VALUE"""),106.0)</f>
        <v>106</v>
      </c>
    </row>
    <row r="454">
      <c r="A454" s="1">
        <v>1571023.0</v>
      </c>
      <c r="B454" s="1" t="s">
        <v>1044</v>
      </c>
      <c r="C454" s="1" t="s">
        <v>1014</v>
      </c>
      <c r="D454" s="1" t="s">
        <v>1027</v>
      </c>
      <c r="E454" s="1" t="s">
        <v>1045</v>
      </c>
      <c r="F454" s="1" t="s">
        <v>16</v>
      </c>
      <c r="G454" s="1" t="s">
        <v>17</v>
      </c>
      <c r="H454" s="1" t="s">
        <v>33</v>
      </c>
      <c r="I454" s="1" t="s">
        <v>74</v>
      </c>
      <c r="J454" s="1">
        <f>IFERROR(__xludf.DUMMYFUNCTION("""COMPUTED_VALUE"""),194.0)</f>
        <v>194</v>
      </c>
      <c r="K454" s="1">
        <v>47.0</v>
      </c>
      <c r="L454" s="1">
        <f>IFERROR(__xludf.DUMMYFUNCTION("""COMPUTED_VALUE"""),571.0)</f>
        <v>571</v>
      </c>
    </row>
    <row r="455">
      <c r="A455" s="1">
        <v>1507013.0</v>
      </c>
      <c r="B455" s="1" t="s">
        <v>1046</v>
      </c>
      <c r="C455" s="1" t="s">
        <v>1014</v>
      </c>
      <c r="D455" s="1" t="s">
        <v>1024</v>
      </c>
      <c r="E455" s="1" t="s">
        <v>1047</v>
      </c>
      <c r="F455" s="1" t="s">
        <v>16</v>
      </c>
      <c r="G455" s="1" t="s">
        <v>23</v>
      </c>
      <c r="H455" s="1" t="s">
        <v>28</v>
      </c>
      <c r="I455" s="1" t="s">
        <v>40</v>
      </c>
      <c r="J455" s="1">
        <f>IFERROR(__xludf.DUMMYFUNCTION("""COMPUTED_VALUE"""),58.0)</f>
        <v>58</v>
      </c>
      <c r="K455" s="1">
        <v>17.0</v>
      </c>
      <c r="L455" s="1">
        <f>IFERROR(__xludf.DUMMYFUNCTION("""COMPUTED_VALUE"""),181.0)</f>
        <v>181</v>
      </c>
    </row>
    <row r="456">
      <c r="A456" s="1">
        <v>1571165.0</v>
      </c>
      <c r="B456" s="1" t="s">
        <v>1048</v>
      </c>
      <c r="C456" s="1" t="s">
        <v>1014</v>
      </c>
      <c r="D456" s="1" t="s">
        <v>1027</v>
      </c>
      <c r="E456" s="1" t="s">
        <v>1049</v>
      </c>
      <c r="F456" s="1" t="s">
        <v>16</v>
      </c>
      <c r="G456" s="1" t="s">
        <v>23</v>
      </c>
      <c r="H456" s="1" t="s">
        <v>18</v>
      </c>
      <c r="I456" s="1" t="s">
        <v>19</v>
      </c>
      <c r="J456" s="1">
        <f>IFERROR(__xludf.DUMMYFUNCTION("""COMPUTED_VALUE"""),55.0)</f>
        <v>55</v>
      </c>
      <c r="K456" s="1">
        <v>19.0</v>
      </c>
      <c r="L456" s="1">
        <f>IFERROR(__xludf.DUMMYFUNCTION("""COMPUTED_VALUE"""),78.0)</f>
        <v>78</v>
      </c>
    </row>
    <row r="457">
      <c r="A457" s="1">
        <v>1506022.0</v>
      </c>
      <c r="B457" s="1" t="s">
        <v>1050</v>
      </c>
      <c r="C457" s="1" t="s">
        <v>1014</v>
      </c>
      <c r="D457" s="1" t="s">
        <v>1051</v>
      </c>
      <c r="E457" s="1" t="s">
        <v>1052</v>
      </c>
      <c r="F457" s="1" t="s">
        <v>16</v>
      </c>
      <c r="G457" s="1" t="s">
        <v>98</v>
      </c>
      <c r="H457" s="1" t="s">
        <v>18</v>
      </c>
      <c r="I457" s="1" t="s">
        <v>40</v>
      </c>
      <c r="J457" s="1">
        <f>IFERROR(__xludf.DUMMYFUNCTION("""COMPUTED_VALUE"""),102.0)</f>
        <v>102</v>
      </c>
      <c r="K457" s="1">
        <v>1.0</v>
      </c>
      <c r="L457" s="1">
        <f>IFERROR(__xludf.DUMMYFUNCTION("""COMPUTED_VALUE"""),182.0)</f>
        <v>182</v>
      </c>
    </row>
    <row r="458">
      <c r="A458" s="1">
        <v>1503036.0</v>
      </c>
      <c r="B458" s="1" t="s">
        <v>1053</v>
      </c>
      <c r="C458" s="1" t="s">
        <v>1014</v>
      </c>
      <c r="D458" s="1" t="s">
        <v>1054</v>
      </c>
      <c r="E458" s="1" t="s">
        <v>1055</v>
      </c>
      <c r="F458" s="1" t="s">
        <v>16</v>
      </c>
      <c r="G458" s="1" t="s">
        <v>17</v>
      </c>
      <c r="H458" s="1" t="s">
        <v>28</v>
      </c>
      <c r="I458" s="1" t="s">
        <v>40</v>
      </c>
      <c r="J458" s="1">
        <f>IFERROR(__xludf.DUMMYFUNCTION("""COMPUTED_VALUE"""),137.0)</f>
        <v>137</v>
      </c>
      <c r="K458" s="1">
        <v>27.0</v>
      </c>
      <c r="L458" s="1">
        <f>IFERROR(__xludf.DUMMYFUNCTION("""COMPUTED_VALUE"""),392.0)</f>
        <v>392</v>
      </c>
    </row>
    <row r="459">
      <c r="A459" s="1">
        <v>1571169.0</v>
      </c>
      <c r="B459" s="1" t="s">
        <v>1056</v>
      </c>
      <c r="C459" s="1" t="s">
        <v>1014</v>
      </c>
      <c r="D459" s="1" t="s">
        <v>1027</v>
      </c>
      <c r="E459" s="1" t="s">
        <v>1057</v>
      </c>
      <c r="F459" s="1" t="s">
        <v>16</v>
      </c>
      <c r="G459" s="1" t="s">
        <v>23</v>
      </c>
      <c r="H459" s="1" t="s">
        <v>18</v>
      </c>
      <c r="I459" s="1" t="s">
        <v>29</v>
      </c>
      <c r="J459" s="1">
        <f>IFERROR(__xludf.DUMMYFUNCTION("""COMPUTED_VALUE"""),50.0)</f>
        <v>50</v>
      </c>
      <c r="K459" s="1">
        <v>25.0</v>
      </c>
      <c r="L459" s="1">
        <f>IFERROR(__xludf.DUMMYFUNCTION("""COMPUTED_VALUE"""),68.0)</f>
        <v>68</v>
      </c>
    </row>
    <row r="460">
      <c r="A460" s="1">
        <v>1504017.0</v>
      </c>
      <c r="B460" s="1" t="s">
        <v>1058</v>
      </c>
      <c r="C460" s="1" t="s">
        <v>1014</v>
      </c>
      <c r="D460" s="1" t="s">
        <v>1027</v>
      </c>
      <c r="E460" s="1" t="s">
        <v>1059</v>
      </c>
      <c r="F460" s="1" t="s">
        <v>16</v>
      </c>
      <c r="G460" s="1" t="s">
        <v>17</v>
      </c>
      <c r="H460" s="1" t="s">
        <v>18</v>
      </c>
      <c r="I460" s="1" t="s">
        <v>163</v>
      </c>
      <c r="J460" s="1">
        <f>IFERROR(__xludf.DUMMYFUNCTION("""COMPUTED_VALUE"""),154.0)</f>
        <v>154</v>
      </c>
      <c r="K460" s="1">
        <v>85.0</v>
      </c>
      <c r="L460" s="1">
        <f>IFERROR(__xludf.DUMMYFUNCTION("""COMPUTED_VALUE"""),170.0)</f>
        <v>170</v>
      </c>
    </row>
    <row r="461">
      <c r="A461" s="1">
        <v>1571168.0</v>
      </c>
      <c r="B461" s="1" t="s">
        <v>1060</v>
      </c>
      <c r="C461" s="1" t="s">
        <v>1014</v>
      </c>
      <c r="D461" s="1" t="s">
        <v>1027</v>
      </c>
      <c r="E461" s="1" t="s">
        <v>1061</v>
      </c>
      <c r="F461" s="1" t="s">
        <v>16</v>
      </c>
      <c r="G461" s="1" t="s">
        <v>17</v>
      </c>
      <c r="H461" s="1" t="s">
        <v>18</v>
      </c>
      <c r="I461" s="1" t="s">
        <v>19</v>
      </c>
      <c r="J461" s="1">
        <f>IFERROR(__xludf.DUMMYFUNCTION("""COMPUTED_VALUE"""),100.0)</f>
        <v>100</v>
      </c>
      <c r="K461" s="1">
        <v>35.0</v>
      </c>
      <c r="L461" s="1">
        <f>IFERROR(__xludf.DUMMYFUNCTION("""COMPUTED_VALUE"""),155.0)</f>
        <v>155</v>
      </c>
    </row>
    <row r="462">
      <c r="A462" s="1">
        <v>1571045.0</v>
      </c>
      <c r="B462" s="1" t="s">
        <v>1062</v>
      </c>
      <c r="C462" s="1" t="s">
        <v>1014</v>
      </c>
      <c r="D462" s="1" t="s">
        <v>1027</v>
      </c>
      <c r="E462" s="1" t="s">
        <v>1063</v>
      </c>
      <c r="F462" s="1" t="s">
        <v>16</v>
      </c>
      <c r="G462" s="1" t="s">
        <v>17</v>
      </c>
      <c r="H462" s="1" t="s">
        <v>18</v>
      </c>
      <c r="I462" s="1" t="s">
        <v>19</v>
      </c>
      <c r="J462" s="1">
        <f>IFERROR(__xludf.DUMMYFUNCTION("""COMPUTED_VALUE"""),100.0)</f>
        <v>100</v>
      </c>
      <c r="K462" s="1">
        <v>39.0</v>
      </c>
      <c r="L462" s="1">
        <f>IFERROR(__xludf.DUMMYFUNCTION("""COMPUTED_VALUE"""),462.0)</f>
        <v>462</v>
      </c>
    </row>
    <row r="463">
      <c r="A463" s="1">
        <v>1503039.0</v>
      </c>
      <c r="B463" s="1" t="s">
        <v>1064</v>
      </c>
      <c r="C463" s="1" t="s">
        <v>1014</v>
      </c>
      <c r="D463" s="1" t="s">
        <v>1054</v>
      </c>
      <c r="E463" s="1" t="s">
        <v>1065</v>
      </c>
      <c r="F463" s="1" t="s">
        <v>16</v>
      </c>
      <c r="G463" s="1" t="s">
        <v>17</v>
      </c>
      <c r="H463" s="1" t="s">
        <v>18</v>
      </c>
      <c r="I463" s="1" t="s">
        <v>19</v>
      </c>
      <c r="J463" s="1">
        <f>IFERROR(__xludf.DUMMYFUNCTION("""COMPUTED_VALUE"""),101.0)</f>
        <v>101</v>
      </c>
      <c r="K463" s="1">
        <v>24.0</v>
      </c>
      <c r="L463" s="1">
        <f>IFERROR(__xludf.DUMMYFUNCTION("""COMPUTED_VALUE"""),205.0)</f>
        <v>205</v>
      </c>
    </row>
    <row r="464">
      <c r="A464" s="1">
        <v>1505016.0</v>
      </c>
      <c r="B464" s="1" t="s">
        <v>1066</v>
      </c>
      <c r="C464" s="1" t="s">
        <v>1014</v>
      </c>
      <c r="D464" s="1" t="s">
        <v>1018</v>
      </c>
      <c r="E464" s="1" t="s">
        <v>1067</v>
      </c>
      <c r="F464" s="1" t="s">
        <v>16</v>
      </c>
      <c r="G464" s="1" t="s">
        <v>17</v>
      </c>
      <c r="H464" s="1" t="s">
        <v>28</v>
      </c>
      <c r="I464" s="1" t="s">
        <v>40</v>
      </c>
      <c r="J464" s="1">
        <f>IFERROR(__xludf.DUMMYFUNCTION("""COMPUTED_VALUE"""),114.0)</f>
        <v>114</v>
      </c>
      <c r="K464" s="1">
        <v>29.0</v>
      </c>
      <c r="L464" s="1">
        <f>IFERROR(__xludf.DUMMYFUNCTION("""COMPUTED_VALUE"""),238.0)</f>
        <v>238</v>
      </c>
    </row>
    <row r="465">
      <c r="A465" s="1">
        <v>1571147.0</v>
      </c>
      <c r="B465" s="1" t="s">
        <v>1068</v>
      </c>
      <c r="C465" s="1" t="s">
        <v>1014</v>
      </c>
      <c r="D465" s="1" t="s">
        <v>1027</v>
      </c>
      <c r="E465" s="1" t="s">
        <v>1069</v>
      </c>
      <c r="F465" s="1" t="s">
        <v>16</v>
      </c>
      <c r="G465" s="1" t="s">
        <v>27</v>
      </c>
      <c r="H465" s="1" t="s">
        <v>18</v>
      </c>
      <c r="I465" s="1" t="s">
        <v>19</v>
      </c>
      <c r="J465" s="1">
        <f>IFERROR(__xludf.DUMMYFUNCTION("""COMPUTED_VALUE"""),108.0)</f>
        <v>108</v>
      </c>
      <c r="K465" s="1">
        <v>80.0</v>
      </c>
      <c r="L465" s="1">
        <f>IFERROR(__xludf.DUMMYFUNCTION("""COMPUTED_VALUE"""),363.0)</f>
        <v>363</v>
      </c>
    </row>
    <row r="466">
      <c r="A466" s="1">
        <v>1505027.0</v>
      </c>
      <c r="B466" s="1" t="s">
        <v>1070</v>
      </c>
      <c r="C466" s="1" t="s">
        <v>1014</v>
      </c>
      <c r="D466" s="1" t="s">
        <v>1018</v>
      </c>
      <c r="E466" s="1" t="s">
        <v>1071</v>
      </c>
      <c r="F466" s="1" t="s">
        <v>16</v>
      </c>
      <c r="G466" s="1" t="s">
        <v>23</v>
      </c>
      <c r="H466" s="1" t="s">
        <v>28</v>
      </c>
      <c r="I466" s="1" t="s">
        <v>40</v>
      </c>
      <c r="J466" s="1">
        <f>IFERROR(__xludf.DUMMYFUNCTION("""COMPUTED_VALUE"""),51.0)</f>
        <v>51</v>
      </c>
      <c r="K466" s="1">
        <v>15.0</v>
      </c>
      <c r="L466" s="1">
        <f>IFERROR(__xludf.DUMMYFUNCTION("""COMPUTED_VALUE"""),152.0)</f>
        <v>152</v>
      </c>
    </row>
    <row r="467">
      <c r="A467" s="1">
        <v>1509029.0</v>
      </c>
      <c r="B467" s="1" t="s">
        <v>1072</v>
      </c>
      <c r="C467" s="1" t="s">
        <v>1014</v>
      </c>
      <c r="D467" s="1" t="s">
        <v>1015</v>
      </c>
      <c r="E467" s="1" t="s">
        <v>1073</v>
      </c>
      <c r="F467" s="1" t="s">
        <v>55</v>
      </c>
      <c r="G467" s="1" t="s">
        <v>17</v>
      </c>
      <c r="H467" s="1" t="s">
        <v>18</v>
      </c>
      <c r="I467" s="1" t="s">
        <v>163</v>
      </c>
      <c r="J467" s="1">
        <f>IFERROR(__xludf.DUMMYFUNCTION("""COMPUTED_VALUE"""),47.0)</f>
        <v>47</v>
      </c>
      <c r="K467" s="1">
        <v>27.0</v>
      </c>
      <c r="L467" s="1">
        <f>IFERROR(__xludf.DUMMYFUNCTION("""COMPUTED_VALUE"""),18.0)</f>
        <v>18</v>
      </c>
    </row>
    <row r="468">
      <c r="A468" s="1">
        <v>1506011.0</v>
      </c>
      <c r="B468" s="1" t="s">
        <v>1074</v>
      </c>
      <c r="C468" s="1" t="s">
        <v>1014</v>
      </c>
      <c r="D468" s="1" t="s">
        <v>1051</v>
      </c>
      <c r="E468" s="1" t="s">
        <v>1075</v>
      </c>
      <c r="F468" s="1" t="s">
        <v>16</v>
      </c>
      <c r="G468" s="1" t="s">
        <v>17</v>
      </c>
      <c r="H468" s="1" t="s">
        <v>28</v>
      </c>
      <c r="I468" s="1" t="s">
        <v>40</v>
      </c>
      <c r="J468" s="1">
        <f>IFERROR(__xludf.DUMMYFUNCTION("""COMPUTED_VALUE"""),103.0)</f>
        <v>103</v>
      </c>
      <c r="K468" s="1">
        <v>31.0</v>
      </c>
      <c r="L468" s="1">
        <f>IFERROR(__xludf.DUMMYFUNCTION("""COMPUTED_VALUE"""),225.0)</f>
        <v>225</v>
      </c>
    </row>
    <row r="469">
      <c r="A469" s="1">
        <v>1571164.0</v>
      </c>
      <c r="B469" s="1" t="s">
        <v>1076</v>
      </c>
      <c r="C469" s="1" t="s">
        <v>1014</v>
      </c>
      <c r="D469" s="1" t="s">
        <v>1027</v>
      </c>
      <c r="E469" s="1" t="s">
        <v>1077</v>
      </c>
      <c r="F469" s="1" t="s">
        <v>16</v>
      </c>
      <c r="G469" s="1" t="s">
        <v>23</v>
      </c>
      <c r="H469" s="1" t="s">
        <v>18</v>
      </c>
      <c r="I469" s="1" t="s">
        <v>59</v>
      </c>
      <c r="J469" s="1">
        <f>IFERROR(__xludf.DUMMYFUNCTION("""COMPUTED_VALUE"""),36.0)</f>
        <v>36</v>
      </c>
      <c r="K469" s="1">
        <v>17.0</v>
      </c>
      <c r="L469" s="1">
        <f>IFERROR(__xludf.DUMMYFUNCTION("""COMPUTED_VALUE"""),22.0)</f>
        <v>22</v>
      </c>
    </row>
    <row r="470">
      <c r="A470" s="1">
        <v>1571180.0</v>
      </c>
      <c r="B470" s="1" t="s">
        <v>1078</v>
      </c>
      <c r="C470" s="1" t="s">
        <v>1014</v>
      </c>
      <c r="D470" s="1" t="s">
        <v>1027</v>
      </c>
      <c r="E470" s="1" t="s">
        <v>1079</v>
      </c>
      <c r="F470" s="1" t="s">
        <v>16</v>
      </c>
      <c r="G470" s="1" t="s">
        <v>17</v>
      </c>
      <c r="H470" s="1" t="s">
        <v>18</v>
      </c>
      <c r="I470" s="1" t="s">
        <v>19</v>
      </c>
      <c r="J470" s="1">
        <f>IFERROR(__xludf.DUMMYFUNCTION("""COMPUTED_VALUE"""),100.0)</f>
        <v>100</v>
      </c>
      <c r="K470" s="1">
        <v>28.0</v>
      </c>
      <c r="L470" s="1">
        <f>IFERROR(__xludf.DUMMYFUNCTION("""COMPUTED_VALUE"""),182.0)</f>
        <v>182</v>
      </c>
    </row>
    <row r="471">
      <c r="A471" s="1">
        <v>1504018.0</v>
      </c>
      <c r="B471" s="1" t="s">
        <v>1080</v>
      </c>
      <c r="C471" s="1" t="s">
        <v>1014</v>
      </c>
      <c r="D471" s="1" t="s">
        <v>1081</v>
      </c>
      <c r="E471" s="1" t="s">
        <v>1082</v>
      </c>
      <c r="F471" s="1" t="s">
        <v>16</v>
      </c>
      <c r="G471" s="1" t="s">
        <v>17</v>
      </c>
      <c r="H471" s="1" t="s">
        <v>18</v>
      </c>
      <c r="I471" s="1" t="s">
        <v>19</v>
      </c>
      <c r="J471" s="1">
        <f>IFERROR(__xludf.DUMMYFUNCTION("""COMPUTED_VALUE"""),116.0)</f>
        <v>116</v>
      </c>
      <c r="K471" s="1">
        <v>23.0</v>
      </c>
      <c r="L471" s="1">
        <f>IFERROR(__xludf.DUMMYFUNCTION("""COMPUTED_VALUE"""),174.0)</f>
        <v>174</v>
      </c>
    </row>
    <row r="472">
      <c r="A472" s="1">
        <v>1501012.0</v>
      </c>
      <c r="B472" s="1" t="s">
        <v>1083</v>
      </c>
      <c r="C472" s="1" t="s">
        <v>1014</v>
      </c>
      <c r="D472" s="1" t="s">
        <v>1084</v>
      </c>
      <c r="E472" s="1" t="s">
        <v>1085</v>
      </c>
      <c r="F472" s="1" t="s">
        <v>16</v>
      </c>
      <c r="G472" s="1" t="s">
        <v>17</v>
      </c>
      <c r="H472" s="1" t="s">
        <v>28</v>
      </c>
      <c r="I472" s="1" t="s">
        <v>29</v>
      </c>
      <c r="J472" s="1">
        <f>IFERROR(__xludf.DUMMYFUNCTION("""COMPUTED_VALUE"""),145.0)</f>
        <v>145</v>
      </c>
      <c r="K472" s="1">
        <v>21.0</v>
      </c>
      <c r="L472" s="1">
        <f>IFERROR(__xludf.DUMMYFUNCTION("""COMPUTED_VALUE"""),278.0)</f>
        <v>278</v>
      </c>
    </row>
    <row r="473">
      <c r="A473" s="1">
        <v>1571161.0</v>
      </c>
      <c r="B473" s="1" t="s">
        <v>918</v>
      </c>
      <c r="C473" s="1" t="s">
        <v>1014</v>
      </c>
      <c r="D473" s="1" t="s">
        <v>1027</v>
      </c>
      <c r="E473" s="1" t="s">
        <v>1086</v>
      </c>
      <c r="F473" s="1" t="s">
        <v>55</v>
      </c>
      <c r="G473" s="1" t="s">
        <v>17</v>
      </c>
      <c r="H473" s="1" t="s">
        <v>18</v>
      </c>
      <c r="I473" s="1" t="s">
        <v>44</v>
      </c>
      <c r="J473" s="1">
        <f>IFERROR(__xludf.DUMMYFUNCTION("""COMPUTED_VALUE"""),73.0)</f>
        <v>73</v>
      </c>
      <c r="K473" s="1">
        <v>26.0</v>
      </c>
      <c r="L473" s="1">
        <f>IFERROR(__xludf.DUMMYFUNCTION("""COMPUTED_VALUE"""),117.0)</f>
        <v>117</v>
      </c>
    </row>
    <row r="474">
      <c r="A474" s="1">
        <v>1502019.0</v>
      </c>
      <c r="B474" s="1" t="s">
        <v>1087</v>
      </c>
      <c r="C474" s="1" t="s">
        <v>1014</v>
      </c>
      <c r="D474" s="1" t="s">
        <v>1042</v>
      </c>
      <c r="E474" s="1" t="s">
        <v>1088</v>
      </c>
      <c r="F474" s="1" t="s">
        <v>16</v>
      </c>
      <c r="G474" s="1" t="s">
        <v>23</v>
      </c>
      <c r="H474" s="1" t="s">
        <v>33</v>
      </c>
      <c r="I474" s="1" t="s">
        <v>19</v>
      </c>
      <c r="J474" s="1">
        <f>IFERROR(__xludf.DUMMYFUNCTION("""COMPUTED_VALUE"""),72.0)</f>
        <v>72</v>
      </c>
      <c r="K474" s="1">
        <v>28.0</v>
      </c>
      <c r="L474" s="1">
        <f>IFERROR(__xludf.DUMMYFUNCTION("""COMPUTED_VALUE"""),35.0)</f>
        <v>35</v>
      </c>
    </row>
    <row r="475">
      <c r="A475" s="1">
        <v>1571012.0</v>
      </c>
      <c r="B475" s="1" t="s">
        <v>1089</v>
      </c>
      <c r="C475" s="1" t="s">
        <v>1014</v>
      </c>
      <c r="D475" s="1" t="s">
        <v>1027</v>
      </c>
      <c r="E475" s="1" t="s">
        <v>1090</v>
      </c>
      <c r="F475" s="1" t="s">
        <v>16</v>
      </c>
      <c r="G475" s="1" t="s">
        <v>27</v>
      </c>
      <c r="H475" s="1" t="s">
        <v>28</v>
      </c>
      <c r="I475" s="1" t="s">
        <v>139</v>
      </c>
      <c r="J475" s="1">
        <f>IFERROR(__xludf.DUMMYFUNCTION("""COMPUTED_VALUE"""),393.0)</f>
        <v>393</v>
      </c>
      <c r="K475" s="1">
        <v>44.0</v>
      </c>
      <c r="L475" s="1">
        <f>IFERROR(__xludf.DUMMYFUNCTION("""COMPUTED_VALUE"""),584.0)</f>
        <v>584</v>
      </c>
    </row>
    <row r="476">
      <c r="A476" s="1">
        <v>1572003.0</v>
      </c>
      <c r="B476" s="1" t="s">
        <v>449</v>
      </c>
      <c r="C476" s="1" t="s">
        <v>1014</v>
      </c>
      <c r="D476" s="1" t="s">
        <v>1084</v>
      </c>
      <c r="E476" s="1" t="s">
        <v>1091</v>
      </c>
      <c r="F476" s="1" t="s">
        <v>16</v>
      </c>
      <c r="G476" s="1" t="s">
        <v>23</v>
      </c>
      <c r="H476" s="1" t="s">
        <v>18</v>
      </c>
      <c r="I476" s="1" t="s">
        <v>44</v>
      </c>
      <c r="J476" s="1">
        <f>IFERROR(__xludf.DUMMYFUNCTION("""COMPUTED_VALUE"""),53.0)</f>
        <v>53</v>
      </c>
      <c r="K476" s="1">
        <v>12.0</v>
      </c>
      <c r="L476" s="1">
        <f>IFERROR(__xludf.DUMMYFUNCTION("""COMPUTED_VALUE"""),2.0)</f>
        <v>2</v>
      </c>
    </row>
    <row r="477">
      <c r="A477" s="1">
        <v>1502014.0</v>
      </c>
      <c r="B477" s="1" t="s">
        <v>1092</v>
      </c>
      <c r="C477" s="1" t="s">
        <v>1014</v>
      </c>
      <c r="D477" s="1" t="s">
        <v>1042</v>
      </c>
      <c r="E477" s="1" t="s">
        <v>1093</v>
      </c>
      <c r="F477" s="1" t="s">
        <v>16</v>
      </c>
      <c r="G477" s="1" t="s">
        <v>17</v>
      </c>
      <c r="H477" s="1" t="s">
        <v>28</v>
      </c>
      <c r="I477" s="1" t="s">
        <v>40</v>
      </c>
      <c r="J477" s="1">
        <f>IFERROR(__xludf.DUMMYFUNCTION("""COMPUTED_VALUE"""),141.0)</f>
        <v>141</v>
      </c>
      <c r="K477" s="1">
        <v>32.0</v>
      </c>
      <c r="L477" s="1">
        <f>IFERROR(__xludf.DUMMYFUNCTION("""COMPUTED_VALUE"""),595.0)</f>
        <v>595</v>
      </c>
    </row>
    <row r="478">
      <c r="A478" s="1">
        <v>1502018.0</v>
      </c>
      <c r="B478" s="1" t="s">
        <v>1094</v>
      </c>
      <c r="C478" s="1" t="s">
        <v>1014</v>
      </c>
      <c r="D478" s="1" t="s">
        <v>1042</v>
      </c>
      <c r="E478" s="1" t="s">
        <v>1095</v>
      </c>
      <c r="F478" s="1" t="s">
        <v>16</v>
      </c>
      <c r="G478" s="1" t="s">
        <v>23</v>
      </c>
      <c r="H478" s="1" t="s">
        <v>18</v>
      </c>
      <c r="I478" s="1" t="s">
        <v>19</v>
      </c>
      <c r="J478" s="1">
        <f>IFERROR(__xludf.DUMMYFUNCTION("""COMPUTED_VALUE"""),62.0)</f>
        <v>62</v>
      </c>
      <c r="K478" s="1">
        <v>21.0</v>
      </c>
      <c r="L478" s="1">
        <f>IFERROR(__xludf.DUMMYFUNCTION("""COMPUTED_VALUE"""),12.0)</f>
        <v>12</v>
      </c>
    </row>
    <row r="479">
      <c r="A479" s="1">
        <v>1571034.0</v>
      </c>
      <c r="B479" s="1" t="s">
        <v>1096</v>
      </c>
      <c r="C479" s="1" t="s">
        <v>1014</v>
      </c>
      <c r="D479" s="1" t="s">
        <v>1027</v>
      </c>
      <c r="E479" s="1" t="s">
        <v>1097</v>
      </c>
      <c r="F479" s="1" t="s">
        <v>16</v>
      </c>
      <c r="G479" s="1" t="s">
        <v>17</v>
      </c>
      <c r="H479" s="1" t="s">
        <v>18</v>
      </c>
      <c r="I479" s="1" t="s">
        <v>65</v>
      </c>
      <c r="J479" s="1">
        <f>IFERROR(__xludf.DUMMYFUNCTION("""COMPUTED_VALUE"""),199.0)</f>
        <v>199</v>
      </c>
      <c r="K479" s="1">
        <v>40.0</v>
      </c>
      <c r="L479" s="1">
        <f>IFERROR(__xludf.DUMMYFUNCTION("""COMPUTED_VALUE"""),498.0)</f>
        <v>498</v>
      </c>
    </row>
    <row r="480">
      <c r="A480" s="1">
        <v>1504015.0</v>
      </c>
      <c r="B480" s="1" t="s">
        <v>1098</v>
      </c>
      <c r="C480" s="1" t="s">
        <v>1014</v>
      </c>
      <c r="D480" s="1" t="s">
        <v>1081</v>
      </c>
      <c r="E480" s="1" t="s">
        <v>1099</v>
      </c>
      <c r="F480" s="1" t="s">
        <v>16</v>
      </c>
      <c r="G480" s="1" t="s">
        <v>17</v>
      </c>
      <c r="H480" s="1" t="s">
        <v>28</v>
      </c>
      <c r="I480" s="1" t="s">
        <v>40</v>
      </c>
      <c r="J480" s="1">
        <f>IFERROR(__xludf.DUMMYFUNCTION("""COMPUTED_VALUE"""),160.0)</f>
        <v>160</v>
      </c>
      <c r="K480" s="1">
        <v>42.0</v>
      </c>
      <c r="L480" s="1">
        <f>IFERROR(__xludf.DUMMYFUNCTION("""COMPUTED_VALUE"""),437.0)</f>
        <v>437</v>
      </c>
    </row>
    <row r="481">
      <c r="A481" s="1">
        <v>1571136.0</v>
      </c>
      <c r="B481" s="1" t="s">
        <v>1100</v>
      </c>
      <c r="C481" s="1" t="s">
        <v>1014</v>
      </c>
      <c r="D481" s="1" t="s">
        <v>1027</v>
      </c>
      <c r="E481" s="1" t="s">
        <v>1101</v>
      </c>
      <c r="F481" s="1" t="s">
        <v>174</v>
      </c>
      <c r="G481" s="1" t="s">
        <v>27</v>
      </c>
      <c r="H481" s="1" t="s">
        <v>28</v>
      </c>
      <c r="I481" s="1" t="s">
        <v>139</v>
      </c>
      <c r="J481" s="1">
        <f>IFERROR(__xludf.DUMMYFUNCTION("""COMPUTED_VALUE"""),240.0)</f>
        <v>240</v>
      </c>
      <c r="K481" s="1">
        <v>28.0</v>
      </c>
      <c r="L481" s="1">
        <f>IFERROR(__xludf.DUMMYFUNCTION("""COMPUTED_VALUE"""),399.0)</f>
        <v>399</v>
      </c>
    </row>
    <row r="482">
      <c r="A482" s="1">
        <v>1508002.0</v>
      </c>
      <c r="B482" s="1" t="s">
        <v>1102</v>
      </c>
      <c r="C482" s="1" t="s">
        <v>1014</v>
      </c>
      <c r="D482" s="1" t="s">
        <v>1039</v>
      </c>
      <c r="E482" s="1" t="s">
        <v>1103</v>
      </c>
      <c r="F482" s="1" t="s">
        <v>16</v>
      </c>
      <c r="G482" s="1" t="s">
        <v>23</v>
      </c>
      <c r="H482" s="1" t="s">
        <v>18</v>
      </c>
      <c r="I482" s="1" t="s">
        <v>44</v>
      </c>
      <c r="J482" s="1">
        <f>IFERROR(__xludf.DUMMYFUNCTION("""COMPUTED_VALUE"""),51.0)</f>
        <v>51</v>
      </c>
      <c r="K482" s="1">
        <v>8.0</v>
      </c>
      <c r="L482" s="1">
        <f>IFERROR(__xludf.DUMMYFUNCTION("""COMPUTED_VALUE"""),21.0)</f>
        <v>21</v>
      </c>
    </row>
    <row r="483">
      <c r="A483" s="1">
        <v>1509042.0</v>
      </c>
      <c r="B483" s="1" t="s">
        <v>1104</v>
      </c>
      <c r="C483" s="1" t="s">
        <v>1014</v>
      </c>
      <c r="D483" s="1" t="s">
        <v>1015</v>
      </c>
      <c r="E483" s="1" t="s">
        <v>1105</v>
      </c>
      <c r="F483" s="1" t="s">
        <v>16</v>
      </c>
      <c r="G483" s="1" t="s">
        <v>23</v>
      </c>
      <c r="H483" s="1" t="s">
        <v>18</v>
      </c>
      <c r="I483" s="1" t="s">
        <v>40</v>
      </c>
      <c r="J483" s="1">
        <f>IFERROR(__xludf.DUMMYFUNCTION("""COMPUTED_VALUE"""),20.0)</f>
        <v>20</v>
      </c>
      <c r="K483" s="1">
        <v>8.0</v>
      </c>
      <c r="L483" s="1">
        <f>IFERROR(__xludf.DUMMYFUNCTION("""COMPUTED_VALUE"""),182.0)</f>
        <v>182</v>
      </c>
    </row>
    <row r="484">
      <c r="A484" s="1">
        <v>1671337.0</v>
      </c>
      <c r="B484" s="1" t="s">
        <v>1106</v>
      </c>
      <c r="C484" s="1" t="s">
        <v>1107</v>
      </c>
      <c r="D484" s="1" t="s">
        <v>1108</v>
      </c>
      <c r="E484" s="1" t="s">
        <v>1109</v>
      </c>
      <c r="F484" s="1" t="s">
        <v>55</v>
      </c>
      <c r="G484" s="1" t="s">
        <v>17</v>
      </c>
      <c r="H484" s="1" t="s">
        <v>18</v>
      </c>
      <c r="I484" s="1" t="s">
        <v>19</v>
      </c>
      <c r="J484" s="1">
        <f>IFERROR(__xludf.DUMMYFUNCTION("""COMPUTED_VALUE"""),25.0)</f>
        <v>25</v>
      </c>
      <c r="K484" s="1">
        <v>9.0</v>
      </c>
      <c r="L484" s="1">
        <f>IFERROR(__xludf.DUMMYFUNCTION("""COMPUTED_VALUE"""),25.0)</f>
        <v>25</v>
      </c>
    </row>
    <row r="485">
      <c r="A485" s="1">
        <v>1671347.0</v>
      </c>
      <c r="B485" s="1" t="s">
        <v>1110</v>
      </c>
      <c r="C485" s="1" t="s">
        <v>1107</v>
      </c>
      <c r="D485" s="1" t="s">
        <v>1108</v>
      </c>
      <c r="E485" s="1" t="s">
        <v>1111</v>
      </c>
      <c r="F485" s="1" t="s">
        <v>16</v>
      </c>
      <c r="G485" s="1" t="s">
        <v>27</v>
      </c>
      <c r="H485" s="1" t="s">
        <v>28</v>
      </c>
      <c r="I485" s="1" t="s">
        <v>139</v>
      </c>
      <c r="J485" s="1">
        <f>IFERROR(__xludf.DUMMYFUNCTION("""COMPUTED_VALUE"""),306.0)</f>
        <v>306</v>
      </c>
      <c r="K485" s="1">
        <v>81.0</v>
      </c>
      <c r="L485" s="1">
        <f>IFERROR(__xludf.DUMMYFUNCTION("""COMPUTED_VALUE"""),519.0)</f>
        <v>519</v>
      </c>
    </row>
    <row r="486">
      <c r="A486" s="1">
        <v>1672026.0</v>
      </c>
      <c r="B486" s="1" t="s">
        <v>1112</v>
      </c>
      <c r="C486" s="1" t="s">
        <v>1107</v>
      </c>
      <c r="D486" s="1" t="s">
        <v>1113</v>
      </c>
      <c r="E486" s="1" t="s">
        <v>1114</v>
      </c>
      <c r="F486" s="1" t="s">
        <v>16</v>
      </c>
      <c r="G486" s="1" t="s">
        <v>17</v>
      </c>
      <c r="H486" s="1" t="s">
        <v>18</v>
      </c>
      <c r="I486" s="1" t="s">
        <v>113</v>
      </c>
      <c r="J486" s="1">
        <f>IFERROR(__xludf.DUMMYFUNCTION("""COMPUTED_VALUE"""),100.0)</f>
        <v>100</v>
      </c>
      <c r="K486" s="1">
        <v>28.0</v>
      </c>
      <c r="L486" s="1">
        <f>IFERROR(__xludf.DUMMYFUNCTION("""COMPUTED_VALUE"""),188.0)</f>
        <v>188</v>
      </c>
    </row>
    <row r="487">
      <c r="A487" s="1">
        <v>1607016.0</v>
      </c>
      <c r="B487" s="1" t="s">
        <v>1115</v>
      </c>
      <c r="C487" s="1" t="s">
        <v>1107</v>
      </c>
      <c r="D487" s="1" t="s">
        <v>1116</v>
      </c>
      <c r="E487" s="1" t="s">
        <v>1117</v>
      </c>
      <c r="F487" s="1" t="s">
        <v>16</v>
      </c>
      <c r="G487" s="1" t="s">
        <v>23</v>
      </c>
      <c r="H487" s="1" t="s">
        <v>28</v>
      </c>
      <c r="I487" s="1" t="s">
        <v>40</v>
      </c>
      <c r="J487" s="1">
        <f>IFERROR(__xludf.DUMMYFUNCTION("""COMPUTED_VALUE"""),50.0)</f>
        <v>50</v>
      </c>
      <c r="K487" s="1">
        <v>20.0</v>
      </c>
      <c r="L487" s="1">
        <f>IFERROR(__xludf.DUMMYFUNCTION("""COMPUTED_VALUE"""),8.0)</f>
        <v>8</v>
      </c>
    </row>
    <row r="488">
      <c r="A488" s="1">
        <v>1604032.0</v>
      </c>
      <c r="B488" s="1" t="s">
        <v>1118</v>
      </c>
      <c r="C488" s="1" t="s">
        <v>1107</v>
      </c>
      <c r="D488" s="1" t="s">
        <v>1119</v>
      </c>
      <c r="E488" s="1" t="s">
        <v>1120</v>
      </c>
      <c r="F488" s="1" t="s">
        <v>55</v>
      </c>
      <c r="G488" s="1" t="s">
        <v>17</v>
      </c>
      <c r="H488" s="1" t="s">
        <v>18</v>
      </c>
      <c r="I488" s="1" t="s">
        <v>19</v>
      </c>
      <c r="J488" s="1">
        <f>IFERROR(__xludf.DUMMYFUNCTION("""COMPUTED_VALUE"""),30.0)</f>
        <v>30</v>
      </c>
      <c r="K488" s="1">
        <v>11.0</v>
      </c>
      <c r="L488" s="1">
        <f>IFERROR(__xludf.DUMMYFUNCTION("""COMPUTED_VALUE"""),182.0)</f>
        <v>182</v>
      </c>
    </row>
    <row r="489">
      <c r="A489" s="1">
        <v>1606032.0</v>
      </c>
      <c r="B489" s="1" t="s">
        <v>1121</v>
      </c>
      <c r="C489" s="1" t="s">
        <v>1107</v>
      </c>
      <c r="D489" s="1" t="s">
        <v>1122</v>
      </c>
      <c r="E489" s="1" t="s">
        <v>1123</v>
      </c>
      <c r="F489" s="1" t="s">
        <v>16</v>
      </c>
      <c r="G489" s="1" t="s">
        <v>17</v>
      </c>
      <c r="H489" s="1" t="s">
        <v>28</v>
      </c>
      <c r="I489" s="1" t="s">
        <v>40</v>
      </c>
      <c r="J489" s="1">
        <f>IFERROR(__xludf.DUMMYFUNCTION("""COMPUTED_VALUE"""),104.0)</f>
        <v>104</v>
      </c>
      <c r="K489" s="1">
        <v>26.0</v>
      </c>
      <c r="L489" s="1">
        <f>IFERROR(__xludf.DUMMYFUNCTION("""COMPUTED_VALUE"""),139.0)</f>
        <v>139</v>
      </c>
    </row>
    <row r="490">
      <c r="A490" s="1">
        <v>1674032.0</v>
      </c>
      <c r="B490" s="1" t="s">
        <v>1124</v>
      </c>
      <c r="C490" s="1" t="s">
        <v>1107</v>
      </c>
      <c r="D490" s="1" t="s">
        <v>1125</v>
      </c>
      <c r="E490" s="1" t="s">
        <v>1126</v>
      </c>
      <c r="F490" s="1" t="s">
        <v>16</v>
      </c>
      <c r="G490" s="1" t="s">
        <v>17</v>
      </c>
      <c r="H490" s="1" t="s">
        <v>28</v>
      </c>
      <c r="I490" s="1" t="s">
        <v>29</v>
      </c>
      <c r="J490" s="1">
        <f>IFERROR(__xludf.DUMMYFUNCTION("""COMPUTED_VALUE"""),121.0)</f>
        <v>121</v>
      </c>
      <c r="K490" s="1">
        <v>24.0</v>
      </c>
      <c r="L490" s="1">
        <f>IFERROR(__xludf.DUMMYFUNCTION("""COMPUTED_VALUE"""),348.0)</f>
        <v>348</v>
      </c>
    </row>
    <row r="491">
      <c r="A491" s="1">
        <v>1671083.0</v>
      </c>
      <c r="B491" s="1" t="s">
        <v>1127</v>
      </c>
      <c r="C491" s="1" t="s">
        <v>1107</v>
      </c>
      <c r="D491" s="1" t="s">
        <v>1108</v>
      </c>
      <c r="E491" s="1" t="s">
        <v>1128</v>
      </c>
      <c r="F491" s="1" t="s">
        <v>16</v>
      </c>
      <c r="G491" s="1" t="s">
        <v>27</v>
      </c>
      <c r="H491" s="1" t="s">
        <v>18</v>
      </c>
      <c r="I491" s="1" t="s">
        <v>59</v>
      </c>
      <c r="J491" s="1">
        <f>IFERROR(__xludf.DUMMYFUNCTION("""COMPUTED_VALUE"""),200.0)</f>
        <v>200</v>
      </c>
      <c r="K491" s="1">
        <v>97.0</v>
      </c>
      <c r="L491" s="1">
        <f>IFERROR(__xludf.DUMMYFUNCTION("""COMPUTED_VALUE"""),620.0)</f>
        <v>620</v>
      </c>
    </row>
    <row r="492">
      <c r="A492" s="1">
        <v>1671341.0</v>
      </c>
      <c r="B492" s="1" t="s">
        <v>1129</v>
      </c>
      <c r="C492" s="1" t="s">
        <v>1107</v>
      </c>
      <c r="D492" s="1" t="s">
        <v>1108</v>
      </c>
      <c r="E492" s="1" t="s">
        <v>1130</v>
      </c>
      <c r="F492" s="1" t="s">
        <v>55</v>
      </c>
      <c r="G492" s="1" t="s">
        <v>17</v>
      </c>
      <c r="H492" s="1" t="s">
        <v>18</v>
      </c>
      <c r="I492" s="1" t="s">
        <v>59</v>
      </c>
      <c r="J492" s="1">
        <f>IFERROR(__xludf.DUMMYFUNCTION("""COMPUTED_VALUE"""),25.0)</f>
        <v>25</v>
      </c>
      <c r="K492" s="1">
        <v>13.0</v>
      </c>
      <c r="L492" s="1">
        <f>IFERROR(__xludf.DUMMYFUNCTION("""COMPUTED_VALUE"""),29.0)</f>
        <v>29</v>
      </c>
    </row>
    <row r="493">
      <c r="A493" s="1">
        <v>1603063.0</v>
      </c>
      <c r="B493" s="1" t="s">
        <v>1131</v>
      </c>
      <c r="C493" s="1" t="s">
        <v>1107</v>
      </c>
      <c r="D493" s="1" t="s">
        <v>1132</v>
      </c>
      <c r="E493" s="1" t="s">
        <v>1133</v>
      </c>
      <c r="F493" s="1" t="s">
        <v>16</v>
      </c>
      <c r="G493" s="1" t="s">
        <v>27</v>
      </c>
      <c r="H493" s="1" t="s">
        <v>28</v>
      </c>
      <c r="I493" s="1" t="s">
        <v>40</v>
      </c>
      <c r="J493" s="1">
        <f>IFERROR(__xludf.DUMMYFUNCTION("""COMPUTED_VALUE"""),264.0)</f>
        <v>264</v>
      </c>
      <c r="K493" s="1">
        <v>47.0</v>
      </c>
      <c r="L493" s="1">
        <f>IFERROR(__xludf.DUMMYFUNCTION("""COMPUTED_VALUE"""),509.0)</f>
        <v>509</v>
      </c>
    </row>
    <row r="494">
      <c r="A494" s="1">
        <v>1671324.0</v>
      </c>
      <c r="B494" s="1" t="s">
        <v>1134</v>
      </c>
      <c r="C494" s="1" t="s">
        <v>1107</v>
      </c>
      <c r="D494" s="1" t="s">
        <v>1108</v>
      </c>
      <c r="E494" s="1" t="s">
        <v>1135</v>
      </c>
      <c r="F494" s="1" t="s">
        <v>55</v>
      </c>
      <c r="G494" s="1" t="s">
        <v>17</v>
      </c>
      <c r="H494" s="1" t="s">
        <v>18</v>
      </c>
      <c r="I494" s="1" t="s">
        <v>59</v>
      </c>
      <c r="J494" s="1">
        <f>IFERROR(__xludf.DUMMYFUNCTION("""COMPUTED_VALUE"""),43.0)</f>
        <v>43</v>
      </c>
      <c r="K494" s="1">
        <v>18.0</v>
      </c>
      <c r="L494" s="1">
        <f>IFERROR(__xludf.DUMMYFUNCTION("""COMPUTED_VALUE"""),152.0)</f>
        <v>152</v>
      </c>
    </row>
    <row r="495">
      <c r="A495" s="1">
        <v>1601089.0</v>
      </c>
      <c r="B495" s="1" t="s">
        <v>1136</v>
      </c>
      <c r="C495" s="1" t="s">
        <v>1107</v>
      </c>
      <c r="D495" s="1" t="s">
        <v>1137</v>
      </c>
      <c r="E495" s="1" t="s">
        <v>1138</v>
      </c>
      <c r="F495" s="1" t="s">
        <v>55</v>
      </c>
      <c r="G495" s="1" t="s">
        <v>17</v>
      </c>
      <c r="H495" s="1" t="s">
        <v>18</v>
      </c>
      <c r="I495" s="1" t="s">
        <v>44</v>
      </c>
      <c r="J495" s="1">
        <f>IFERROR(__xludf.DUMMYFUNCTION("""COMPUTED_VALUE"""),31.0)</f>
        <v>31</v>
      </c>
      <c r="K495" s="1">
        <v>27.0</v>
      </c>
      <c r="L495" s="1">
        <f>IFERROR(__xludf.DUMMYFUNCTION("""COMPUTED_VALUE"""),29.0)</f>
        <v>29</v>
      </c>
    </row>
    <row r="496">
      <c r="A496" s="1">
        <v>1608051.0</v>
      </c>
      <c r="B496" s="1" t="s">
        <v>1139</v>
      </c>
      <c r="C496" s="1" t="s">
        <v>1107</v>
      </c>
      <c r="D496" s="1" t="s">
        <v>1140</v>
      </c>
      <c r="E496" s="1" t="s">
        <v>1141</v>
      </c>
      <c r="F496" s="1" t="s">
        <v>16</v>
      </c>
      <c r="G496" s="1" t="s">
        <v>23</v>
      </c>
      <c r="H496" s="1" t="s">
        <v>28</v>
      </c>
      <c r="I496" s="1" t="s">
        <v>40</v>
      </c>
      <c r="J496" s="1">
        <f>IFERROR(__xludf.DUMMYFUNCTION("""COMPUTED_VALUE"""),105.0)</f>
        <v>105</v>
      </c>
      <c r="K496" s="1">
        <v>26.0</v>
      </c>
      <c r="L496" s="1">
        <f>IFERROR(__xludf.DUMMYFUNCTION("""COMPUTED_VALUE"""),431.0)</f>
        <v>431</v>
      </c>
    </row>
    <row r="497">
      <c r="A497" s="1">
        <v>1671072.0</v>
      </c>
      <c r="B497" s="1" t="s">
        <v>1142</v>
      </c>
      <c r="C497" s="1" t="s">
        <v>1107</v>
      </c>
      <c r="D497" s="1" t="s">
        <v>1116</v>
      </c>
      <c r="E497" s="1" t="s">
        <v>1143</v>
      </c>
      <c r="F497" s="1" t="s">
        <v>16</v>
      </c>
      <c r="G497" s="1" t="s">
        <v>17</v>
      </c>
      <c r="H497" s="1" t="s">
        <v>33</v>
      </c>
      <c r="I497" s="1" t="s">
        <v>411</v>
      </c>
      <c r="J497" s="1">
        <f>IFERROR(__xludf.DUMMYFUNCTION("""COMPUTED_VALUE"""),103.0)</f>
        <v>103</v>
      </c>
      <c r="K497" s="1">
        <v>48.0</v>
      </c>
      <c r="L497" s="1">
        <f>IFERROR(__xludf.DUMMYFUNCTION("""COMPUTED_VALUE"""),219.0)</f>
        <v>219</v>
      </c>
    </row>
    <row r="498">
      <c r="A498" s="1">
        <v>1601035.0</v>
      </c>
      <c r="B498" s="1" t="s">
        <v>1144</v>
      </c>
      <c r="C498" s="1" t="s">
        <v>1107</v>
      </c>
      <c r="D498" s="1" t="s">
        <v>1137</v>
      </c>
      <c r="E498" s="1" t="s">
        <v>1145</v>
      </c>
      <c r="F498" s="1" t="s">
        <v>16</v>
      </c>
      <c r="G498" s="1" t="s">
        <v>17</v>
      </c>
      <c r="H498" s="1" t="s">
        <v>18</v>
      </c>
      <c r="I498" s="1" t="s">
        <v>249</v>
      </c>
      <c r="J498" s="1">
        <f>IFERROR(__xludf.DUMMYFUNCTION("""COMPUTED_VALUE"""),120.0)</f>
        <v>120</v>
      </c>
      <c r="K498" s="1">
        <v>28.0</v>
      </c>
      <c r="L498" s="1">
        <f>IFERROR(__xludf.DUMMYFUNCTION("""COMPUTED_VALUE"""),100.0)</f>
        <v>100</v>
      </c>
    </row>
    <row r="499">
      <c r="A499" s="1">
        <v>1606011.0</v>
      </c>
      <c r="B499" s="1" t="s">
        <v>1146</v>
      </c>
      <c r="C499" s="1" t="s">
        <v>1107</v>
      </c>
      <c r="D499" s="1" t="s">
        <v>1122</v>
      </c>
      <c r="E499" s="1" t="s">
        <v>1147</v>
      </c>
      <c r="F499" s="1" t="s">
        <v>16</v>
      </c>
      <c r="G499" s="1" t="s">
        <v>27</v>
      </c>
      <c r="H499" s="1" t="s">
        <v>28</v>
      </c>
      <c r="I499" s="1" t="s">
        <v>40</v>
      </c>
      <c r="J499" s="1">
        <f>IFERROR(__xludf.DUMMYFUNCTION("""COMPUTED_VALUE"""),321.0)</f>
        <v>321</v>
      </c>
      <c r="K499" s="1">
        <v>101.0</v>
      </c>
      <c r="L499" s="1">
        <f>IFERROR(__xludf.DUMMYFUNCTION("""COMPUTED_VALUE"""),943.0)</f>
        <v>943</v>
      </c>
    </row>
    <row r="500">
      <c r="A500" s="1">
        <v>1674003.0</v>
      </c>
      <c r="B500" s="1" t="s">
        <v>1148</v>
      </c>
      <c r="C500" s="1" t="s">
        <v>1107</v>
      </c>
      <c r="D500" s="1" t="s">
        <v>1125</v>
      </c>
      <c r="E500" s="1" t="s">
        <v>1149</v>
      </c>
      <c r="F500" s="1" t="s">
        <v>16</v>
      </c>
      <c r="G500" s="1" t="s">
        <v>17</v>
      </c>
      <c r="H500" s="1" t="s">
        <v>18</v>
      </c>
      <c r="I500" s="1" t="s">
        <v>19</v>
      </c>
      <c r="J500" s="1">
        <f>IFERROR(__xludf.DUMMYFUNCTION("""COMPUTED_VALUE"""),100.0)</f>
        <v>100</v>
      </c>
      <c r="K500" s="1">
        <v>25.0</v>
      </c>
      <c r="L500" s="1">
        <f>IFERROR(__xludf.DUMMYFUNCTION("""COMPUTED_VALUE"""),170.0)</f>
        <v>170</v>
      </c>
    </row>
    <row r="501">
      <c r="A501" s="1">
        <v>1671265.0</v>
      </c>
      <c r="B501" s="1" t="s">
        <v>1150</v>
      </c>
      <c r="C501" s="1" t="s">
        <v>1107</v>
      </c>
      <c r="D501" s="1" t="s">
        <v>1108</v>
      </c>
      <c r="E501" s="1" t="s">
        <v>1151</v>
      </c>
      <c r="F501" s="1" t="s">
        <v>16</v>
      </c>
      <c r="G501" s="1" t="s">
        <v>27</v>
      </c>
      <c r="H501" s="1" t="s">
        <v>28</v>
      </c>
      <c r="I501" s="1" t="s">
        <v>29</v>
      </c>
      <c r="J501" s="1">
        <f>IFERROR(__xludf.DUMMYFUNCTION("""COMPUTED_VALUE"""),253.0)</f>
        <v>253</v>
      </c>
      <c r="K501" s="1">
        <v>92.0</v>
      </c>
      <c r="L501" s="1">
        <f>IFERROR(__xludf.DUMMYFUNCTION("""COMPUTED_VALUE"""),780.0)</f>
        <v>780</v>
      </c>
    </row>
    <row r="502">
      <c r="A502" s="1">
        <v>1603090.0</v>
      </c>
      <c r="B502" s="1" t="s">
        <v>1152</v>
      </c>
      <c r="C502" s="1" t="s">
        <v>1107</v>
      </c>
      <c r="D502" s="1" t="s">
        <v>1132</v>
      </c>
      <c r="E502" s="1" t="s">
        <v>1153</v>
      </c>
      <c r="F502" s="1" t="s">
        <v>55</v>
      </c>
      <c r="G502" s="1" t="s">
        <v>17</v>
      </c>
      <c r="H502" s="1" t="s">
        <v>18</v>
      </c>
      <c r="I502" s="1" t="s">
        <v>163</v>
      </c>
      <c r="J502" s="1">
        <f>IFERROR(__xludf.DUMMYFUNCTION("""COMPUTED_VALUE"""),54.0)</f>
        <v>54</v>
      </c>
      <c r="K502" s="1">
        <v>32.0</v>
      </c>
      <c r="L502" s="1">
        <f>IFERROR(__xludf.DUMMYFUNCTION("""COMPUTED_VALUE"""),46.0)</f>
        <v>46</v>
      </c>
    </row>
    <row r="503">
      <c r="A503" s="1">
        <v>1671094.0</v>
      </c>
      <c r="B503" s="1" t="s">
        <v>1154</v>
      </c>
      <c r="C503" s="1" t="s">
        <v>1107</v>
      </c>
      <c r="D503" s="1" t="s">
        <v>1108</v>
      </c>
      <c r="E503" s="1" t="s">
        <v>1155</v>
      </c>
      <c r="F503" s="1" t="s">
        <v>16</v>
      </c>
      <c r="G503" s="1" t="s">
        <v>17</v>
      </c>
      <c r="H503" s="1" t="s">
        <v>18</v>
      </c>
      <c r="I503" s="1" t="s">
        <v>44</v>
      </c>
      <c r="J503" s="1">
        <f>IFERROR(__xludf.DUMMYFUNCTION("""COMPUTED_VALUE"""),103.0)</f>
        <v>103</v>
      </c>
      <c r="K503" s="1">
        <v>34.0</v>
      </c>
      <c r="L503" s="1">
        <f>IFERROR(__xludf.DUMMYFUNCTION("""COMPUTED_VALUE"""),60.0)</f>
        <v>60</v>
      </c>
    </row>
    <row r="504">
      <c r="A504" s="1">
        <v>1603085.0</v>
      </c>
      <c r="B504" s="1" t="s">
        <v>1156</v>
      </c>
      <c r="C504" s="1" t="s">
        <v>1107</v>
      </c>
      <c r="D504" s="1" t="s">
        <v>1157</v>
      </c>
      <c r="E504" s="1" t="s">
        <v>1158</v>
      </c>
      <c r="F504" s="1" t="s">
        <v>16</v>
      </c>
      <c r="G504" s="1" t="s">
        <v>23</v>
      </c>
      <c r="H504" s="1" t="s">
        <v>28</v>
      </c>
      <c r="I504" s="1" t="s">
        <v>40</v>
      </c>
      <c r="J504" s="1">
        <f>IFERROR(__xludf.DUMMYFUNCTION("""COMPUTED_VALUE"""),90.0)</f>
        <v>90</v>
      </c>
      <c r="K504" s="1">
        <v>21.0</v>
      </c>
      <c r="L504" s="1">
        <f>IFERROR(__xludf.DUMMYFUNCTION("""COMPUTED_VALUE"""),407.0)</f>
        <v>407</v>
      </c>
    </row>
    <row r="505">
      <c r="A505" s="1">
        <v>1671328.0</v>
      </c>
      <c r="B505" s="1" t="s">
        <v>1159</v>
      </c>
      <c r="C505" s="1" t="s">
        <v>1107</v>
      </c>
      <c r="D505" s="1" t="s">
        <v>1108</v>
      </c>
      <c r="E505" s="1" t="s">
        <v>1160</v>
      </c>
      <c r="F505" s="1" t="s">
        <v>32</v>
      </c>
      <c r="G505" s="1" t="s">
        <v>17</v>
      </c>
      <c r="H505" s="1" t="s">
        <v>28</v>
      </c>
      <c r="I505" s="1" t="s">
        <v>139</v>
      </c>
      <c r="J505" s="1">
        <f>IFERROR(__xludf.DUMMYFUNCTION("""COMPUTED_VALUE"""),21.0)</f>
        <v>21</v>
      </c>
      <c r="K505" s="1">
        <v>17.0</v>
      </c>
      <c r="L505" s="1">
        <f>IFERROR(__xludf.DUMMYFUNCTION("""COMPUTED_VALUE"""),141.0)</f>
        <v>141</v>
      </c>
    </row>
    <row r="506">
      <c r="A506" s="1">
        <v>1671024.0</v>
      </c>
      <c r="B506" s="1" t="s">
        <v>1161</v>
      </c>
      <c r="C506" s="1" t="s">
        <v>1107</v>
      </c>
      <c r="D506" s="1" t="s">
        <v>1108</v>
      </c>
      <c r="E506" s="1" t="s">
        <v>1162</v>
      </c>
      <c r="F506" s="1" t="s">
        <v>16</v>
      </c>
      <c r="G506" s="1" t="s">
        <v>17</v>
      </c>
      <c r="H506" s="1" t="s">
        <v>18</v>
      </c>
      <c r="I506" s="1" t="s">
        <v>113</v>
      </c>
      <c r="J506" s="1">
        <f>IFERROR(__xludf.DUMMYFUNCTION("""COMPUTED_VALUE"""),100.0)</f>
        <v>100</v>
      </c>
      <c r="K506" s="1">
        <v>36.0</v>
      </c>
      <c r="L506" s="1">
        <f>IFERROR(__xludf.DUMMYFUNCTION("""COMPUTED_VALUE"""),143.0)</f>
        <v>143</v>
      </c>
    </row>
    <row r="507">
      <c r="A507" s="1">
        <v>1601086.0</v>
      </c>
      <c r="B507" s="1" t="s">
        <v>1163</v>
      </c>
      <c r="C507" s="1" t="s">
        <v>1107</v>
      </c>
      <c r="D507" s="1" t="s">
        <v>1137</v>
      </c>
      <c r="E507" s="1" t="s">
        <v>1164</v>
      </c>
      <c r="F507" s="1" t="s">
        <v>55</v>
      </c>
      <c r="G507" s="1" t="s">
        <v>17</v>
      </c>
      <c r="H507" s="1" t="s">
        <v>18</v>
      </c>
      <c r="I507" s="1" t="s">
        <v>19</v>
      </c>
      <c r="J507" s="1">
        <f>IFERROR(__xludf.DUMMYFUNCTION("""COMPUTED_VALUE"""),31.0)</f>
        <v>31</v>
      </c>
      <c r="K507" s="1">
        <v>13.0</v>
      </c>
      <c r="L507" s="1">
        <f>IFERROR(__xludf.DUMMYFUNCTION("""COMPUTED_VALUE"""),43.0)</f>
        <v>43</v>
      </c>
    </row>
    <row r="508">
      <c r="A508" s="1">
        <v>1603087.0</v>
      </c>
      <c r="B508" s="1" t="s">
        <v>1165</v>
      </c>
      <c r="C508" s="1" t="s">
        <v>1107</v>
      </c>
      <c r="D508" s="1" t="s">
        <v>1132</v>
      </c>
      <c r="E508" s="1" t="s">
        <v>1166</v>
      </c>
      <c r="F508" s="1" t="s">
        <v>16</v>
      </c>
      <c r="G508" s="1" t="s">
        <v>23</v>
      </c>
      <c r="H508" s="1" t="s">
        <v>18</v>
      </c>
      <c r="I508" s="1" t="s">
        <v>40</v>
      </c>
      <c r="J508" s="1">
        <f>IFERROR(__xludf.DUMMYFUNCTION("""COMPUTED_VALUE"""),50.0)</f>
        <v>50</v>
      </c>
      <c r="K508" s="1">
        <v>11.0</v>
      </c>
      <c r="L508" s="1">
        <f>IFERROR(__xludf.DUMMYFUNCTION("""COMPUTED_VALUE"""),62.0)</f>
        <v>62</v>
      </c>
    </row>
    <row r="509">
      <c r="A509" s="1">
        <v>1609083.0</v>
      </c>
      <c r="B509" s="1" t="s">
        <v>1167</v>
      </c>
      <c r="C509" s="1" t="s">
        <v>1107</v>
      </c>
      <c r="D509" s="1" t="s">
        <v>1168</v>
      </c>
      <c r="E509" s="1" t="s">
        <v>1169</v>
      </c>
      <c r="F509" s="1" t="s">
        <v>16</v>
      </c>
      <c r="G509" s="1" t="s">
        <v>17</v>
      </c>
      <c r="H509" s="1" t="s">
        <v>28</v>
      </c>
      <c r="I509" s="1" t="s">
        <v>40</v>
      </c>
      <c r="J509" s="1">
        <f>IFERROR(__xludf.DUMMYFUNCTION("""COMPUTED_VALUE"""),132.0)</f>
        <v>132</v>
      </c>
      <c r="K509" s="1">
        <v>29.0</v>
      </c>
      <c r="L509" s="1">
        <f>IFERROR(__xludf.DUMMYFUNCTION("""COMPUTED_VALUE"""),470.0)</f>
        <v>470</v>
      </c>
    </row>
    <row r="510">
      <c r="A510" s="1">
        <v>1674007.0</v>
      </c>
      <c r="B510" s="1" t="s">
        <v>1170</v>
      </c>
      <c r="C510" s="1" t="s">
        <v>1107</v>
      </c>
      <c r="D510" s="1" t="s">
        <v>1125</v>
      </c>
      <c r="E510" s="1" t="s">
        <v>1171</v>
      </c>
      <c r="F510" s="1" t="s">
        <v>55</v>
      </c>
      <c r="G510" s="1" t="s">
        <v>17</v>
      </c>
      <c r="H510" s="1" t="s">
        <v>18</v>
      </c>
      <c r="I510" s="1" t="s">
        <v>163</v>
      </c>
      <c r="J510" s="1">
        <f>IFERROR(__xludf.DUMMYFUNCTION("""COMPUTED_VALUE"""),34.0)</f>
        <v>34</v>
      </c>
      <c r="K510" s="1">
        <v>15.0</v>
      </c>
      <c r="L510" s="1">
        <f>IFERROR(__xludf.DUMMYFUNCTION("""COMPUTED_VALUE"""),45.0)</f>
        <v>45</v>
      </c>
    </row>
    <row r="511">
      <c r="A511" s="1">
        <v>1671301.0</v>
      </c>
      <c r="B511" s="1" t="s">
        <v>1172</v>
      </c>
      <c r="C511" s="1" t="s">
        <v>1107</v>
      </c>
      <c r="D511" s="1" t="s">
        <v>1108</v>
      </c>
      <c r="E511" s="1" t="s">
        <v>1173</v>
      </c>
      <c r="F511" s="1" t="s">
        <v>16</v>
      </c>
      <c r="G511" s="1" t="s">
        <v>17</v>
      </c>
      <c r="H511" s="1" t="s">
        <v>18</v>
      </c>
      <c r="I511" s="1" t="s">
        <v>684</v>
      </c>
      <c r="J511" s="1">
        <f>IFERROR(__xludf.DUMMYFUNCTION("""COMPUTED_VALUE"""),120.0)</f>
        <v>120</v>
      </c>
      <c r="K511" s="1">
        <v>46.0</v>
      </c>
      <c r="L511" s="1">
        <f>IFERROR(__xludf.DUMMYFUNCTION("""COMPUTED_VALUE"""),438.0)</f>
        <v>438</v>
      </c>
    </row>
    <row r="512">
      <c r="A512" s="1">
        <v>1671350.0</v>
      </c>
      <c r="B512" s="1" t="s">
        <v>1174</v>
      </c>
      <c r="C512" s="1" t="s">
        <v>1107</v>
      </c>
      <c r="D512" s="1" t="s">
        <v>1108</v>
      </c>
      <c r="E512" s="1" t="s">
        <v>1175</v>
      </c>
      <c r="F512" s="1" t="s">
        <v>16</v>
      </c>
      <c r="G512" s="1" t="s">
        <v>23</v>
      </c>
      <c r="H512" s="1" t="s">
        <v>28</v>
      </c>
      <c r="I512" s="1" t="s">
        <v>29</v>
      </c>
      <c r="J512" s="1">
        <f>IFERROR(__xludf.DUMMYFUNCTION("""COMPUTED_VALUE"""),50.0)</f>
        <v>50</v>
      </c>
      <c r="K512" s="1">
        <v>21.0</v>
      </c>
      <c r="L512" s="1">
        <f>IFERROR(__xludf.DUMMYFUNCTION("""COMPUTED_VALUE"""),129.0)</f>
        <v>129</v>
      </c>
    </row>
    <row r="513">
      <c r="A513" s="1">
        <v>1602015.0</v>
      </c>
      <c r="B513" s="1" t="s">
        <v>1176</v>
      </c>
      <c r="C513" s="1" t="s">
        <v>1107</v>
      </c>
      <c r="D513" s="1" t="s">
        <v>1177</v>
      </c>
      <c r="E513" s="1" t="s">
        <v>1178</v>
      </c>
      <c r="F513" s="1" t="s">
        <v>16</v>
      </c>
      <c r="G513" s="1" t="s">
        <v>23</v>
      </c>
      <c r="H513" s="1" t="s">
        <v>28</v>
      </c>
      <c r="I513" s="1" t="s">
        <v>40</v>
      </c>
      <c r="J513" s="1">
        <f>IFERROR(__xludf.DUMMYFUNCTION("""COMPUTED_VALUE"""),60.0)</f>
        <v>60</v>
      </c>
      <c r="K513" s="1">
        <v>23.0</v>
      </c>
      <c r="L513" s="1">
        <f>IFERROR(__xludf.DUMMYFUNCTION("""COMPUTED_VALUE"""),182.0)</f>
        <v>182</v>
      </c>
    </row>
    <row r="514">
      <c r="A514" s="1">
        <v>1671332.0</v>
      </c>
      <c r="B514" s="1" t="s">
        <v>1179</v>
      </c>
      <c r="C514" s="1" t="s">
        <v>1107</v>
      </c>
      <c r="D514" s="1" t="s">
        <v>1108</v>
      </c>
      <c r="E514" s="1" t="s">
        <v>1180</v>
      </c>
      <c r="F514" s="1" t="s">
        <v>16</v>
      </c>
      <c r="G514" s="1" t="s">
        <v>17</v>
      </c>
      <c r="H514" s="1" t="s">
        <v>18</v>
      </c>
      <c r="I514" s="1" t="s">
        <v>163</v>
      </c>
      <c r="J514" s="1">
        <f>IFERROR(__xludf.DUMMYFUNCTION("""COMPUTED_VALUE"""),103.0)</f>
        <v>103</v>
      </c>
      <c r="K514" s="1">
        <v>63.0</v>
      </c>
      <c r="L514" s="1">
        <f>IFERROR(__xludf.DUMMYFUNCTION("""COMPUTED_VALUE"""),110.0)</f>
        <v>110</v>
      </c>
    </row>
    <row r="515">
      <c r="A515" s="1">
        <v>1604020.0</v>
      </c>
      <c r="B515" s="1" t="s">
        <v>1181</v>
      </c>
      <c r="C515" s="1" t="s">
        <v>1107</v>
      </c>
      <c r="D515" s="1" t="s">
        <v>1119</v>
      </c>
      <c r="E515" s="1" t="s">
        <v>1182</v>
      </c>
      <c r="F515" s="1" t="s">
        <v>16</v>
      </c>
      <c r="G515" s="1" t="s">
        <v>23</v>
      </c>
      <c r="H515" s="1" t="s">
        <v>18</v>
      </c>
      <c r="I515" s="1" t="s">
        <v>74</v>
      </c>
      <c r="J515" s="1">
        <f>IFERROR(__xludf.DUMMYFUNCTION("""COMPUTED_VALUE"""),69.0)</f>
        <v>69</v>
      </c>
      <c r="K515" s="1">
        <v>27.0</v>
      </c>
      <c r="L515" s="1">
        <f>IFERROR(__xludf.DUMMYFUNCTION("""COMPUTED_VALUE"""),144.0)</f>
        <v>144</v>
      </c>
    </row>
    <row r="516">
      <c r="A516" s="1">
        <v>1671046.0</v>
      </c>
      <c r="B516" s="1" t="s">
        <v>1183</v>
      </c>
      <c r="C516" s="1" t="s">
        <v>1107</v>
      </c>
      <c r="D516" s="1" t="s">
        <v>1108</v>
      </c>
      <c r="E516" s="1" t="s">
        <v>1184</v>
      </c>
      <c r="F516" s="1" t="s">
        <v>16</v>
      </c>
      <c r="G516" s="1" t="s">
        <v>17</v>
      </c>
      <c r="H516" s="1" t="s">
        <v>18</v>
      </c>
      <c r="I516" s="1" t="s">
        <v>44</v>
      </c>
      <c r="J516" s="1">
        <f>IFERROR(__xludf.DUMMYFUNCTION("""COMPUTED_VALUE"""),101.0)</f>
        <v>101</v>
      </c>
      <c r="K516" s="1">
        <v>49.0</v>
      </c>
      <c r="L516" s="1">
        <f>IFERROR(__xludf.DUMMYFUNCTION("""COMPUTED_VALUE"""),331.0)</f>
        <v>331</v>
      </c>
    </row>
    <row r="517">
      <c r="A517" s="1">
        <v>1601100.0</v>
      </c>
      <c r="B517" s="1" t="s">
        <v>1185</v>
      </c>
      <c r="C517" s="1" t="s">
        <v>1107</v>
      </c>
      <c r="D517" s="1" t="s">
        <v>1137</v>
      </c>
      <c r="E517" s="1" t="s">
        <v>1186</v>
      </c>
      <c r="F517" s="1" t="s">
        <v>55</v>
      </c>
      <c r="G517" s="1" t="s">
        <v>17</v>
      </c>
      <c r="H517" s="1" t="s">
        <v>18</v>
      </c>
      <c r="I517" s="1" t="s">
        <v>19</v>
      </c>
      <c r="J517" s="1">
        <f>IFERROR(__xludf.DUMMYFUNCTION("""COMPUTED_VALUE"""),29.0)</f>
        <v>29</v>
      </c>
      <c r="K517" s="1">
        <v>7.0</v>
      </c>
      <c r="L517" s="1">
        <f>IFERROR(__xludf.DUMMYFUNCTION("""COMPUTED_VALUE"""),182.0)</f>
        <v>182</v>
      </c>
    </row>
    <row r="518">
      <c r="A518" s="1">
        <v>1603089.0</v>
      </c>
      <c r="B518" s="1" t="s">
        <v>1187</v>
      </c>
      <c r="C518" s="1" t="s">
        <v>1107</v>
      </c>
      <c r="D518" s="1" t="s">
        <v>1132</v>
      </c>
      <c r="E518" s="1" t="s">
        <v>1188</v>
      </c>
      <c r="F518" s="1" t="s">
        <v>16</v>
      </c>
      <c r="G518" s="1" t="s">
        <v>23</v>
      </c>
      <c r="H518" s="1" t="s">
        <v>18</v>
      </c>
      <c r="I518" s="1" t="s">
        <v>40</v>
      </c>
      <c r="J518" s="1">
        <f>IFERROR(__xludf.DUMMYFUNCTION("""COMPUTED_VALUE"""),52.0)</f>
        <v>52</v>
      </c>
      <c r="K518" s="1">
        <v>16.0</v>
      </c>
      <c r="L518" s="1">
        <f>IFERROR(__xludf.DUMMYFUNCTION("""COMPUTED_VALUE"""),135.0)</f>
        <v>135</v>
      </c>
    </row>
    <row r="519">
      <c r="A519" s="1">
        <v>1672015.0</v>
      </c>
      <c r="B519" s="1" t="s">
        <v>1189</v>
      </c>
      <c r="C519" s="1" t="s">
        <v>1107</v>
      </c>
      <c r="D519" s="1" t="s">
        <v>1113</v>
      </c>
      <c r="E519" s="1" t="s">
        <v>1190</v>
      </c>
      <c r="F519" s="1" t="s">
        <v>16</v>
      </c>
      <c r="G519" s="1" t="s">
        <v>17</v>
      </c>
      <c r="H519" s="1" t="s">
        <v>28</v>
      </c>
      <c r="I519" s="1" t="s">
        <v>29</v>
      </c>
      <c r="J519" s="1">
        <f>IFERROR(__xludf.DUMMYFUNCTION("""COMPUTED_VALUE"""),163.0)</f>
        <v>163</v>
      </c>
      <c r="K519" s="1">
        <v>34.0</v>
      </c>
      <c r="L519" s="1">
        <f>IFERROR(__xludf.DUMMYFUNCTION("""COMPUTED_VALUE"""),652.0)</f>
        <v>652</v>
      </c>
    </row>
    <row r="520">
      <c r="A520" s="1">
        <v>1671335.0</v>
      </c>
      <c r="B520" s="1" t="s">
        <v>1191</v>
      </c>
      <c r="C520" s="1" t="s">
        <v>1107</v>
      </c>
      <c r="D520" s="1" t="s">
        <v>1108</v>
      </c>
      <c r="E520" s="1" t="s">
        <v>1192</v>
      </c>
      <c r="F520" s="1" t="s">
        <v>16</v>
      </c>
      <c r="G520" s="1" t="s">
        <v>17</v>
      </c>
      <c r="H520" s="1" t="s">
        <v>18</v>
      </c>
      <c r="I520" s="1" t="s">
        <v>44</v>
      </c>
      <c r="J520" s="1">
        <f>IFERROR(__xludf.DUMMYFUNCTION("""COMPUTED_VALUE"""),112.0)</f>
        <v>112</v>
      </c>
      <c r="K520" s="1">
        <v>100.0</v>
      </c>
      <c r="L520" s="1">
        <f>IFERROR(__xludf.DUMMYFUNCTION("""COMPUTED_VALUE"""),548.0)</f>
        <v>548</v>
      </c>
    </row>
    <row r="521">
      <c r="A521" s="1">
        <v>1607015.0</v>
      </c>
      <c r="B521" s="1" t="s">
        <v>1193</v>
      </c>
      <c r="C521" s="1" t="s">
        <v>1107</v>
      </c>
      <c r="D521" s="1" t="s">
        <v>1116</v>
      </c>
      <c r="E521" s="1" t="s">
        <v>1194</v>
      </c>
      <c r="F521" s="1" t="s">
        <v>16</v>
      </c>
      <c r="G521" s="1" t="s">
        <v>98</v>
      </c>
      <c r="H521" s="1" t="s">
        <v>18</v>
      </c>
      <c r="I521" s="1" t="s">
        <v>40</v>
      </c>
      <c r="J521" s="1">
        <f>IFERROR(__xludf.DUMMYFUNCTION("""COMPUTED_VALUE"""),30.0)</f>
        <v>30</v>
      </c>
      <c r="K521" s="1">
        <v>13.0</v>
      </c>
      <c r="L521" s="1">
        <f>IFERROR(__xludf.DUMMYFUNCTION("""COMPUTED_VALUE"""),58.0)</f>
        <v>58</v>
      </c>
    </row>
    <row r="522">
      <c r="A522" s="1">
        <v>1609011.0</v>
      </c>
      <c r="B522" s="1" t="s">
        <v>1195</v>
      </c>
      <c r="C522" s="1" t="s">
        <v>1107</v>
      </c>
      <c r="D522" s="1" t="s">
        <v>1168</v>
      </c>
      <c r="E522" s="1" t="s">
        <v>1196</v>
      </c>
      <c r="F522" s="1" t="s">
        <v>16</v>
      </c>
      <c r="G522" s="1" t="s">
        <v>23</v>
      </c>
      <c r="H522" s="1" t="s">
        <v>28</v>
      </c>
      <c r="I522" s="1" t="s">
        <v>40</v>
      </c>
      <c r="J522" s="1">
        <f>IFERROR(__xludf.DUMMYFUNCTION("""COMPUTED_VALUE"""),60.0)</f>
        <v>60</v>
      </c>
      <c r="K522" s="1">
        <v>26.0</v>
      </c>
      <c r="L522" s="1">
        <f>IFERROR(__xludf.DUMMYFUNCTION("""COMPUTED_VALUE"""),418.0)</f>
        <v>418</v>
      </c>
    </row>
    <row r="523">
      <c r="A523" s="1">
        <v>1671340.0</v>
      </c>
      <c r="B523" s="1" t="s">
        <v>1197</v>
      </c>
      <c r="C523" s="1" t="s">
        <v>1107</v>
      </c>
      <c r="D523" s="1" t="s">
        <v>1108</v>
      </c>
      <c r="E523" s="1" t="s">
        <v>1198</v>
      </c>
      <c r="F523" s="1" t="s">
        <v>55</v>
      </c>
      <c r="G523" s="1" t="s">
        <v>17</v>
      </c>
      <c r="H523" s="1" t="s">
        <v>18</v>
      </c>
      <c r="I523" s="1" t="s">
        <v>59</v>
      </c>
      <c r="J523" s="1">
        <f>IFERROR(__xludf.DUMMYFUNCTION("""COMPUTED_VALUE"""),34.0)</f>
        <v>34</v>
      </c>
      <c r="K523" s="1">
        <v>20.0</v>
      </c>
      <c r="L523" s="1">
        <f>IFERROR(__xludf.DUMMYFUNCTION("""COMPUTED_VALUE"""),114.0)</f>
        <v>114</v>
      </c>
    </row>
    <row r="524">
      <c r="A524" s="1">
        <v>1671325.0</v>
      </c>
      <c r="B524" s="1" t="s">
        <v>1199</v>
      </c>
      <c r="C524" s="1" t="s">
        <v>1107</v>
      </c>
      <c r="D524" s="1" t="s">
        <v>1108</v>
      </c>
      <c r="E524" s="1" t="s">
        <v>1200</v>
      </c>
      <c r="F524" s="1" t="s">
        <v>16</v>
      </c>
      <c r="G524" s="1" t="s">
        <v>17</v>
      </c>
      <c r="H524" s="1" t="s">
        <v>18</v>
      </c>
      <c r="I524" s="1" t="s">
        <v>44</v>
      </c>
      <c r="J524" s="1">
        <f>IFERROR(__xludf.DUMMYFUNCTION("""COMPUTED_VALUE"""),250.0)</f>
        <v>250</v>
      </c>
      <c r="K524" s="1">
        <v>105.0</v>
      </c>
      <c r="L524" s="1">
        <f>IFERROR(__xludf.DUMMYFUNCTION("""COMPUTED_VALUE"""),421.0)</f>
        <v>421</v>
      </c>
    </row>
    <row r="525">
      <c r="A525" s="1">
        <v>1603101.0</v>
      </c>
      <c r="B525" s="1" t="s">
        <v>1201</v>
      </c>
      <c r="C525" s="1" t="s">
        <v>1107</v>
      </c>
      <c r="D525" s="1" t="s">
        <v>1132</v>
      </c>
      <c r="E525" s="1" t="s">
        <v>1202</v>
      </c>
      <c r="F525" s="1" t="s">
        <v>16</v>
      </c>
      <c r="G525" s="1" t="s">
        <v>23</v>
      </c>
      <c r="H525" s="1" t="s">
        <v>18</v>
      </c>
      <c r="I525" s="1" t="s">
        <v>44</v>
      </c>
      <c r="J525" s="1">
        <f>IFERROR(__xludf.DUMMYFUNCTION("""COMPUTED_VALUE"""),52.0)</f>
        <v>52</v>
      </c>
      <c r="K525" s="1">
        <v>26.0</v>
      </c>
      <c r="L525" s="1">
        <f>IFERROR(__xludf.DUMMYFUNCTION("""COMPUTED_VALUE"""),182.0)</f>
        <v>182</v>
      </c>
    </row>
    <row r="526">
      <c r="A526" s="1">
        <v>1674010.0</v>
      </c>
      <c r="B526" s="1" t="s">
        <v>1203</v>
      </c>
      <c r="C526" s="1" t="s">
        <v>1107</v>
      </c>
      <c r="D526" s="1" t="s">
        <v>1204</v>
      </c>
      <c r="E526" s="1" t="s">
        <v>1205</v>
      </c>
      <c r="F526" s="1" t="s">
        <v>16</v>
      </c>
      <c r="G526" s="1" t="s">
        <v>17</v>
      </c>
      <c r="H526" s="1" t="s">
        <v>28</v>
      </c>
      <c r="I526" s="1" t="s">
        <v>40</v>
      </c>
      <c r="J526" s="1">
        <f>IFERROR(__xludf.DUMMYFUNCTION("""COMPUTED_VALUE"""),111.0)</f>
        <v>111</v>
      </c>
      <c r="K526" s="1">
        <v>64.0</v>
      </c>
      <c r="L526" s="1">
        <f>IFERROR(__xludf.DUMMYFUNCTION("""COMPUTED_VALUE"""),598.0)</f>
        <v>598</v>
      </c>
    </row>
    <row r="527">
      <c r="A527" s="1">
        <v>1671061.0</v>
      </c>
      <c r="B527" s="1" t="s">
        <v>1206</v>
      </c>
      <c r="C527" s="1" t="s">
        <v>1107</v>
      </c>
      <c r="D527" s="1" t="s">
        <v>1108</v>
      </c>
      <c r="E527" s="1" t="s">
        <v>1207</v>
      </c>
      <c r="F527" s="1" t="s">
        <v>174</v>
      </c>
      <c r="G527" s="1" t="s">
        <v>150</v>
      </c>
      <c r="H527" s="1" t="s">
        <v>28</v>
      </c>
      <c r="I527" s="1" t="s">
        <v>139</v>
      </c>
      <c r="J527" s="1">
        <f>IFERROR(__xludf.DUMMYFUNCTION("""COMPUTED_VALUE"""),182.0)</f>
        <v>182</v>
      </c>
      <c r="K527" s="1">
        <v>35.0</v>
      </c>
      <c r="L527" s="1">
        <f>IFERROR(__xludf.DUMMYFUNCTION("""COMPUTED_VALUE"""),421.0)</f>
        <v>421</v>
      </c>
    </row>
    <row r="528">
      <c r="A528" s="1">
        <v>1609012.0</v>
      </c>
      <c r="B528" s="1" t="s">
        <v>1208</v>
      </c>
      <c r="C528" s="1" t="s">
        <v>1107</v>
      </c>
      <c r="D528" s="1" t="s">
        <v>1168</v>
      </c>
      <c r="E528" s="1" t="s">
        <v>1209</v>
      </c>
      <c r="F528" s="1" t="s">
        <v>16</v>
      </c>
      <c r="G528" s="1" t="s">
        <v>17</v>
      </c>
      <c r="H528" s="1" t="s">
        <v>18</v>
      </c>
      <c r="I528" s="1" t="s">
        <v>19</v>
      </c>
      <c r="J528" s="1">
        <f>IFERROR(__xludf.DUMMYFUNCTION("""COMPUTED_VALUE"""),175.0)</f>
        <v>175</v>
      </c>
      <c r="K528" s="1">
        <v>21.0</v>
      </c>
      <c r="L528" s="1">
        <f>IFERROR(__xludf.DUMMYFUNCTION("""COMPUTED_VALUE"""),454.0)</f>
        <v>454</v>
      </c>
    </row>
    <row r="529">
      <c r="A529" s="1">
        <v>1610005.0</v>
      </c>
      <c r="B529" s="1" t="s">
        <v>1210</v>
      </c>
      <c r="C529" s="1" t="s">
        <v>1107</v>
      </c>
      <c r="D529" s="1" t="s">
        <v>1211</v>
      </c>
      <c r="E529" s="1" t="s">
        <v>1212</v>
      </c>
      <c r="F529" s="1" t="s">
        <v>16</v>
      </c>
      <c r="G529" s="1" t="s">
        <v>23</v>
      </c>
      <c r="H529" s="1" t="s">
        <v>18</v>
      </c>
      <c r="I529" s="1" t="s">
        <v>19</v>
      </c>
      <c r="J529" s="1">
        <f>IFERROR(__xludf.DUMMYFUNCTION("""COMPUTED_VALUE"""),100.0)</f>
        <v>100</v>
      </c>
      <c r="K529" s="1">
        <v>26.0</v>
      </c>
      <c r="L529" s="1">
        <f>IFERROR(__xludf.DUMMYFUNCTION("""COMPUTED_VALUE"""),34.0)</f>
        <v>34</v>
      </c>
    </row>
    <row r="530">
      <c r="A530" s="1">
        <v>1603030.0</v>
      </c>
      <c r="B530" s="1" t="s">
        <v>1213</v>
      </c>
      <c r="C530" s="1" t="s">
        <v>1107</v>
      </c>
      <c r="D530" s="1" t="s">
        <v>1132</v>
      </c>
      <c r="E530" s="1" t="s">
        <v>1214</v>
      </c>
      <c r="F530" s="1" t="s">
        <v>16</v>
      </c>
      <c r="G530" s="1" t="s">
        <v>17</v>
      </c>
      <c r="H530" s="1" t="s">
        <v>18</v>
      </c>
      <c r="I530" s="1" t="s">
        <v>113</v>
      </c>
      <c r="J530" s="1">
        <f>IFERROR(__xludf.DUMMYFUNCTION("""COMPUTED_VALUE"""),100.0)</f>
        <v>100</v>
      </c>
      <c r="K530" s="1">
        <v>31.0</v>
      </c>
      <c r="L530" s="1">
        <f>IFERROR(__xludf.DUMMYFUNCTION("""COMPUTED_VALUE"""),240.0)</f>
        <v>240</v>
      </c>
    </row>
    <row r="531">
      <c r="A531" s="1">
        <v>1607012.0</v>
      </c>
      <c r="B531" s="1" t="s">
        <v>1215</v>
      </c>
      <c r="C531" s="1" t="s">
        <v>1107</v>
      </c>
      <c r="D531" s="1" t="s">
        <v>1116</v>
      </c>
      <c r="E531" s="1" t="s">
        <v>1216</v>
      </c>
      <c r="F531" s="1" t="s">
        <v>16</v>
      </c>
      <c r="G531" s="1" t="s">
        <v>17</v>
      </c>
      <c r="H531" s="1" t="s">
        <v>28</v>
      </c>
      <c r="I531" s="1" t="s">
        <v>40</v>
      </c>
      <c r="J531" s="1">
        <f>IFERROR(__xludf.DUMMYFUNCTION("""COMPUTED_VALUE"""),119.0)</f>
        <v>119</v>
      </c>
      <c r="K531" s="1">
        <v>60.0</v>
      </c>
      <c r="L531" s="1">
        <f>IFERROR(__xludf.DUMMYFUNCTION("""COMPUTED_VALUE"""),177.0)</f>
        <v>177</v>
      </c>
    </row>
    <row r="532">
      <c r="A532" s="1">
        <v>1671342.0</v>
      </c>
      <c r="B532" s="1" t="s">
        <v>1217</v>
      </c>
      <c r="C532" s="1" t="s">
        <v>1107</v>
      </c>
      <c r="D532" s="1" t="s">
        <v>1108</v>
      </c>
      <c r="E532" s="1" t="s">
        <v>1218</v>
      </c>
      <c r="F532" s="1" t="s">
        <v>16</v>
      </c>
      <c r="G532" s="1" t="s">
        <v>17</v>
      </c>
      <c r="H532" s="1" t="s">
        <v>18</v>
      </c>
      <c r="I532" s="1" t="s">
        <v>44</v>
      </c>
      <c r="J532" s="1">
        <f>IFERROR(__xludf.DUMMYFUNCTION("""COMPUTED_VALUE"""),107.0)</f>
        <v>107</v>
      </c>
      <c r="K532" s="1">
        <v>25.0</v>
      </c>
      <c r="L532" s="1">
        <f>IFERROR(__xludf.DUMMYFUNCTION("""COMPUTED_VALUE"""),119.0)</f>
        <v>119</v>
      </c>
    </row>
    <row r="533">
      <c r="A533" s="1">
        <v>1671333.0</v>
      </c>
      <c r="B533" s="1" t="s">
        <v>1219</v>
      </c>
      <c r="C533" s="1" t="s">
        <v>1107</v>
      </c>
      <c r="D533" s="1" t="s">
        <v>1108</v>
      </c>
      <c r="E533" s="1" t="s">
        <v>1220</v>
      </c>
      <c r="F533" s="1" t="s">
        <v>16</v>
      </c>
      <c r="G533" s="1" t="s">
        <v>17</v>
      </c>
      <c r="H533" s="1" t="s">
        <v>18</v>
      </c>
      <c r="I533" s="1" t="s">
        <v>44</v>
      </c>
      <c r="J533" s="1">
        <f>IFERROR(__xludf.DUMMYFUNCTION("""COMPUTED_VALUE"""),140.0)</f>
        <v>140</v>
      </c>
      <c r="K533" s="1">
        <v>29.0</v>
      </c>
      <c r="L533" s="1">
        <f>IFERROR(__xludf.DUMMYFUNCTION("""COMPUTED_VALUE"""),212.0)</f>
        <v>212</v>
      </c>
    </row>
    <row r="534">
      <c r="A534" s="1">
        <v>1612011.0</v>
      </c>
      <c r="B534" s="1" t="s">
        <v>1221</v>
      </c>
      <c r="C534" s="1" t="s">
        <v>1107</v>
      </c>
      <c r="D534" s="1" t="s">
        <v>1157</v>
      </c>
      <c r="E534" s="1" t="s">
        <v>1222</v>
      </c>
      <c r="F534" s="1" t="s">
        <v>16</v>
      </c>
      <c r="G534" s="1" t="s">
        <v>98</v>
      </c>
      <c r="H534" s="1" t="s">
        <v>18</v>
      </c>
      <c r="I534" s="1" t="s">
        <v>40</v>
      </c>
      <c r="J534" s="1">
        <f>IFERROR(__xludf.DUMMYFUNCTION("""COMPUTED_VALUE"""),30.0)</f>
        <v>30</v>
      </c>
      <c r="K534" s="1">
        <v>8.0</v>
      </c>
      <c r="L534" s="1">
        <f>IFERROR(__xludf.DUMMYFUNCTION("""COMPUTED_VALUE"""),182.0)</f>
        <v>182</v>
      </c>
    </row>
    <row r="535">
      <c r="A535" s="1">
        <v>1601013.0</v>
      </c>
      <c r="B535" s="1" t="s">
        <v>1223</v>
      </c>
      <c r="C535" s="1" t="s">
        <v>1107</v>
      </c>
      <c r="D535" s="1" t="s">
        <v>1137</v>
      </c>
      <c r="E535" s="1" t="s">
        <v>1224</v>
      </c>
      <c r="F535" s="1" t="s">
        <v>16</v>
      </c>
      <c r="G535" s="1" t="s">
        <v>17</v>
      </c>
      <c r="H535" s="1" t="s">
        <v>28</v>
      </c>
      <c r="I535" s="1" t="s">
        <v>40</v>
      </c>
      <c r="J535" s="1">
        <f>IFERROR(__xludf.DUMMYFUNCTION("""COMPUTED_VALUE"""),170.0)</f>
        <v>170</v>
      </c>
      <c r="K535" s="1">
        <v>90.0</v>
      </c>
      <c r="L535" s="1">
        <f>IFERROR(__xludf.DUMMYFUNCTION("""COMPUTED_VALUE"""),679.0)</f>
        <v>679</v>
      </c>
    </row>
    <row r="536">
      <c r="A536" s="1">
        <v>1671348.0</v>
      </c>
      <c r="B536" s="1" t="s">
        <v>1225</v>
      </c>
      <c r="C536" s="1" t="s">
        <v>1107</v>
      </c>
      <c r="D536" s="1" t="s">
        <v>1108</v>
      </c>
      <c r="E536" s="1" t="s">
        <v>1226</v>
      </c>
      <c r="F536" s="1" t="s">
        <v>55</v>
      </c>
      <c r="G536" s="1" t="s">
        <v>17</v>
      </c>
      <c r="H536" s="1" t="s">
        <v>18</v>
      </c>
      <c r="I536" s="1" t="s">
        <v>44</v>
      </c>
      <c r="J536" s="1">
        <f>IFERROR(__xludf.DUMMYFUNCTION("""COMPUTED_VALUE"""),25.0)</f>
        <v>25</v>
      </c>
      <c r="K536" s="1">
        <v>8.0</v>
      </c>
      <c r="L536" s="1">
        <f>IFERROR(__xludf.DUMMYFUNCTION("""COMPUTED_VALUE"""),46.0)</f>
        <v>46</v>
      </c>
    </row>
    <row r="537">
      <c r="A537" s="1">
        <v>1607014.0</v>
      </c>
      <c r="B537" s="1" t="s">
        <v>1227</v>
      </c>
      <c r="C537" s="1" t="s">
        <v>1107</v>
      </c>
      <c r="D537" s="1" t="s">
        <v>1116</v>
      </c>
      <c r="E537" s="1" t="s">
        <v>1228</v>
      </c>
      <c r="F537" s="1" t="s">
        <v>16</v>
      </c>
      <c r="G537" s="1" t="s">
        <v>17</v>
      </c>
      <c r="H537" s="1" t="s">
        <v>18</v>
      </c>
      <c r="I537" s="1" t="s">
        <v>44</v>
      </c>
      <c r="J537" s="1">
        <f>IFERROR(__xludf.DUMMYFUNCTION("""COMPUTED_VALUE"""),153.0)</f>
        <v>153</v>
      </c>
      <c r="K537" s="1">
        <v>124.0</v>
      </c>
      <c r="L537" s="1">
        <f>IFERROR(__xludf.DUMMYFUNCTION("""COMPUTED_VALUE"""),210.0)</f>
        <v>210</v>
      </c>
    </row>
    <row r="538">
      <c r="A538" s="1">
        <v>1605043.0</v>
      </c>
      <c r="B538" s="1" t="s">
        <v>1229</v>
      </c>
      <c r="C538" s="1" t="s">
        <v>1107</v>
      </c>
      <c r="D538" s="1" t="s">
        <v>1230</v>
      </c>
      <c r="E538" s="1" t="s">
        <v>1231</v>
      </c>
      <c r="F538" s="1" t="s">
        <v>16</v>
      </c>
      <c r="G538" s="1" t="s">
        <v>23</v>
      </c>
      <c r="H538" s="1" t="s">
        <v>28</v>
      </c>
      <c r="I538" s="1" t="s">
        <v>40</v>
      </c>
      <c r="J538" s="1">
        <f>IFERROR(__xludf.DUMMYFUNCTION("""COMPUTED_VALUE"""),88.0)</f>
        <v>88</v>
      </c>
      <c r="K538" s="1">
        <v>35.0</v>
      </c>
      <c r="L538" s="1">
        <f>IFERROR(__xludf.DUMMYFUNCTION("""COMPUTED_VALUE"""),347.0)</f>
        <v>347</v>
      </c>
    </row>
    <row r="539">
      <c r="A539" s="1">
        <v>1671243.0</v>
      </c>
      <c r="B539" s="1" t="s">
        <v>1232</v>
      </c>
      <c r="C539" s="1" t="s">
        <v>1107</v>
      </c>
      <c r="D539" s="1" t="s">
        <v>1108</v>
      </c>
      <c r="E539" s="1" t="s">
        <v>1233</v>
      </c>
      <c r="F539" s="1" t="s">
        <v>16</v>
      </c>
      <c r="G539" s="1" t="s">
        <v>17</v>
      </c>
      <c r="H539" s="1" t="s">
        <v>18</v>
      </c>
      <c r="I539" s="1" t="s">
        <v>59</v>
      </c>
      <c r="J539" s="1">
        <f>IFERROR(__xludf.DUMMYFUNCTION("""COMPUTED_VALUE"""),181.0)</f>
        <v>181</v>
      </c>
      <c r="K539" s="1">
        <v>50.0</v>
      </c>
      <c r="L539" s="1">
        <f>IFERROR(__xludf.DUMMYFUNCTION("""COMPUTED_VALUE"""),247.0)</f>
        <v>247</v>
      </c>
    </row>
    <row r="540">
      <c r="A540" s="1">
        <v>1611042.0</v>
      </c>
      <c r="B540" s="1" t="s">
        <v>1234</v>
      </c>
      <c r="C540" s="1" t="s">
        <v>1107</v>
      </c>
      <c r="D540" s="1" t="s">
        <v>1235</v>
      </c>
      <c r="E540" s="1" t="s">
        <v>1236</v>
      </c>
      <c r="F540" s="1" t="s">
        <v>16</v>
      </c>
      <c r="G540" s="1" t="s">
        <v>17</v>
      </c>
      <c r="H540" s="1" t="s">
        <v>28</v>
      </c>
      <c r="I540" s="1" t="s">
        <v>40</v>
      </c>
      <c r="J540" s="1">
        <f>IFERROR(__xludf.DUMMYFUNCTION("""COMPUTED_VALUE"""),123.0)</f>
        <v>123</v>
      </c>
      <c r="K540" s="1">
        <v>53.0</v>
      </c>
      <c r="L540" s="1">
        <f>IFERROR(__xludf.DUMMYFUNCTION("""COMPUTED_VALUE"""),313.0)</f>
        <v>313</v>
      </c>
    </row>
    <row r="541">
      <c r="A541" s="1">
        <v>1671361.0</v>
      </c>
      <c r="B541" s="1" t="s">
        <v>1237</v>
      </c>
      <c r="C541" s="1" t="s">
        <v>1107</v>
      </c>
      <c r="D541" s="1" t="s">
        <v>1108</v>
      </c>
      <c r="E541" s="1" t="s">
        <v>1238</v>
      </c>
      <c r="F541" s="1" t="s">
        <v>16</v>
      </c>
      <c r="G541" s="1" t="s">
        <v>17</v>
      </c>
      <c r="H541" s="1" t="s">
        <v>18</v>
      </c>
      <c r="I541" s="1" t="s">
        <v>44</v>
      </c>
      <c r="J541" s="1">
        <f>IFERROR(__xludf.DUMMYFUNCTION("""COMPUTED_VALUE"""),130.0)</f>
        <v>130</v>
      </c>
      <c r="K541" s="1">
        <v>32.0</v>
      </c>
      <c r="L541" s="1">
        <f>IFERROR(__xludf.DUMMYFUNCTION("""COMPUTED_VALUE"""),182.0)</f>
        <v>182</v>
      </c>
    </row>
    <row r="542">
      <c r="A542" s="1">
        <v>1672074.0</v>
      </c>
      <c r="B542" s="1" t="s">
        <v>1239</v>
      </c>
      <c r="C542" s="1" t="s">
        <v>1107</v>
      </c>
      <c r="D542" s="1" t="s">
        <v>1113</v>
      </c>
      <c r="E542" s="1" t="s">
        <v>1240</v>
      </c>
      <c r="F542" s="1" t="s">
        <v>16</v>
      </c>
      <c r="G542" s="1" t="s">
        <v>17</v>
      </c>
      <c r="H542" s="1" t="s">
        <v>18</v>
      </c>
      <c r="I542" s="1" t="s">
        <v>44</v>
      </c>
      <c r="J542" s="1">
        <f>IFERROR(__xludf.DUMMYFUNCTION("""COMPUTED_VALUE"""),210.0)</f>
        <v>210</v>
      </c>
      <c r="K542" s="1">
        <v>31.0</v>
      </c>
      <c r="L542" s="1">
        <f>IFERROR(__xludf.DUMMYFUNCTION("""COMPUTED_VALUE"""),479.0)</f>
        <v>479</v>
      </c>
    </row>
    <row r="543">
      <c r="A543" s="1">
        <v>1671013.0</v>
      </c>
      <c r="B543" s="1" t="s">
        <v>1241</v>
      </c>
      <c r="C543" s="1" t="s">
        <v>1107</v>
      </c>
      <c r="D543" s="1" t="s">
        <v>1108</v>
      </c>
      <c r="E543" s="1" t="s">
        <v>1242</v>
      </c>
      <c r="F543" s="1" t="s">
        <v>16</v>
      </c>
      <c r="G543" s="1" t="s">
        <v>150</v>
      </c>
      <c r="H543" s="1" t="s">
        <v>33</v>
      </c>
      <c r="I543" s="1" t="s">
        <v>411</v>
      </c>
      <c r="J543" s="1">
        <f>IFERROR(__xludf.DUMMYFUNCTION("""COMPUTED_VALUE"""),926.0)</f>
        <v>926</v>
      </c>
      <c r="K543" s="1">
        <v>155.0</v>
      </c>
      <c r="L543" s="1">
        <f>IFERROR(__xludf.DUMMYFUNCTION("""COMPUTED_VALUE"""),3030.0)</f>
        <v>3030</v>
      </c>
    </row>
    <row r="544">
      <c r="A544" s="1">
        <v>1671343.0</v>
      </c>
      <c r="B544" s="1" t="s">
        <v>1243</v>
      </c>
      <c r="C544" s="1" t="s">
        <v>1107</v>
      </c>
      <c r="D544" s="1" t="s">
        <v>1108</v>
      </c>
      <c r="E544" s="1" t="s">
        <v>1244</v>
      </c>
      <c r="F544" s="1" t="s">
        <v>16</v>
      </c>
      <c r="G544" s="1" t="s">
        <v>17</v>
      </c>
      <c r="H544" s="1" t="s">
        <v>18</v>
      </c>
      <c r="I544" s="1" t="s">
        <v>19</v>
      </c>
      <c r="J544" s="1">
        <f>IFERROR(__xludf.DUMMYFUNCTION("""COMPUTED_VALUE"""),100.0)</f>
        <v>100</v>
      </c>
      <c r="K544" s="1">
        <v>29.0</v>
      </c>
      <c r="L544" s="1">
        <f>IFERROR(__xludf.DUMMYFUNCTION("""COMPUTED_VALUE"""),336.0)</f>
        <v>336</v>
      </c>
    </row>
    <row r="545">
      <c r="A545" s="1">
        <v>1607017.0</v>
      </c>
      <c r="B545" s="1" t="s">
        <v>1245</v>
      </c>
      <c r="C545" s="1" t="s">
        <v>1107</v>
      </c>
      <c r="D545" s="1" t="s">
        <v>1116</v>
      </c>
      <c r="E545" s="1" t="s">
        <v>1246</v>
      </c>
      <c r="F545" s="1" t="s">
        <v>16</v>
      </c>
      <c r="G545" s="1" t="s">
        <v>17</v>
      </c>
      <c r="H545" s="1" t="s">
        <v>18</v>
      </c>
      <c r="I545" s="1" t="s">
        <v>44</v>
      </c>
      <c r="J545" s="1">
        <f>IFERROR(__xludf.DUMMYFUNCTION("""COMPUTED_VALUE"""),164.0)</f>
        <v>164</v>
      </c>
      <c r="K545" s="1">
        <v>25.0</v>
      </c>
      <c r="L545" s="1">
        <f>IFERROR(__xludf.DUMMYFUNCTION("""COMPUTED_VALUE"""),55.0)</f>
        <v>55</v>
      </c>
    </row>
    <row r="546">
      <c r="A546" s="1">
        <v>1674008.0</v>
      </c>
      <c r="B546" s="1" t="s">
        <v>1247</v>
      </c>
      <c r="C546" s="1" t="s">
        <v>1107</v>
      </c>
      <c r="D546" s="1" t="s">
        <v>1125</v>
      </c>
      <c r="E546" s="1" t="s">
        <v>1248</v>
      </c>
      <c r="F546" s="1" t="s">
        <v>16</v>
      </c>
      <c r="G546" s="1" t="s">
        <v>23</v>
      </c>
      <c r="H546" s="1" t="s">
        <v>28</v>
      </c>
      <c r="I546" s="1" t="s">
        <v>29</v>
      </c>
      <c r="J546" s="1">
        <f>IFERROR(__xludf.DUMMYFUNCTION("""COMPUTED_VALUE"""),50.0)</f>
        <v>50</v>
      </c>
      <c r="K546" s="1">
        <v>14.0</v>
      </c>
      <c r="L546" s="1">
        <f>IFERROR(__xludf.DUMMYFUNCTION("""COMPUTED_VALUE"""),30.0)</f>
        <v>30</v>
      </c>
    </row>
    <row r="547">
      <c r="A547" s="1">
        <v>1609046.0</v>
      </c>
      <c r="B547" s="1" t="s">
        <v>1249</v>
      </c>
      <c r="C547" s="1" t="s">
        <v>1107</v>
      </c>
      <c r="D547" s="1" t="s">
        <v>1168</v>
      </c>
      <c r="E547" s="1" t="s">
        <v>1250</v>
      </c>
      <c r="F547" s="1" t="s">
        <v>16</v>
      </c>
      <c r="G547" s="1" t="s">
        <v>23</v>
      </c>
      <c r="H547" s="1" t="s">
        <v>18</v>
      </c>
      <c r="I547" s="1" t="s">
        <v>59</v>
      </c>
      <c r="J547" s="1">
        <f>IFERROR(__xludf.DUMMYFUNCTION("""COMPUTED_VALUE"""),119.0)</f>
        <v>119</v>
      </c>
      <c r="K547" s="1">
        <v>30.0</v>
      </c>
      <c r="L547" s="1">
        <f>IFERROR(__xludf.DUMMYFUNCTION("""COMPUTED_VALUE"""),122.0)</f>
        <v>122</v>
      </c>
    </row>
    <row r="548">
      <c r="A548" s="1">
        <v>1606022.0</v>
      </c>
      <c r="B548" s="1" t="s">
        <v>1251</v>
      </c>
      <c r="C548" s="1" t="s">
        <v>1107</v>
      </c>
      <c r="D548" s="1" t="s">
        <v>1122</v>
      </c>
      <c r="E548" s="1" t="s">
        <v>1252</v>
      </c>
      <c r="F548" s="1" t="s">
        <v>16</v>
      </c>
      <c r="G548" s="1" t="s">
        <v>17</v>
      </c>
      <c r="H548" s="1" t="s">
        <v>28</v>
      </c>
      <c r="I548" s="1" t="s">
        <v>40</v>
      </c>
      <c r="J548" s="1">
        <f>IFERROR(__xludf.DUMMYFUNCTION("""COMPUTED_VALUE"""),112.0)</f>
        <v>112</v>
      </c>
      <c r="K548" s="1">
        <v>34.0</v>
      </c>
      <c r="L548" s="1">
        <f>IFERROR(__xludf.DUMMYFUNCTION("""COMPUTED_VALUE"""),276.0)</f>
        <v>276</v>
      </c>
    </row>
    <row r="549">
      <c r="A549" s="1">
        <v>1671276.0</v>
      </c>
      <c r="B549" s="1" t="s">
        <v>1253</v>
      </c>
      <c r="C549" s="1" t="s">
        <v>1107</v>
      </c>
      <c r="D549" s="1" t="s">
        <v>1108</v>
      </c>
      <c r="E549" s="1" t="s">
        <v>1254</v>
      </c>
      <c r="F549" s="1" t="s">
        <v>16</v>
      </c>
      <c r="G549" s="1" t="s">
        <v>17</v>
      </c>
      <c r="H549" s="1" t="s">
        <v>18</v>
      </c>
      <c r="I549" s="1" t="s">
        <v>249</v>
      </c>
      <c r="J549" s="1">
        <f>IFERROR(__xludf.DUMMYFUNCTION("""COMPUTED_VALUE"""),103.0)</f>
        <v>103</v>
      </c>
      <c r="K549" s="1">
        <v>37.0</v>
      </c>
      <c r="L549" s="1">
        <f>IFERROR(__xludf.DUMMYFUNCTION("""COMPUTED_VALUE"""),421.0)</f>
        <v>421</v>
      </c>
    </row>
    <row r="550">
      <c r="A550" s="1">
        <v>1671336.0</v>
      </c>
      <c r="B550" s="1" t="s">
        <v>1255</v>
      </c>
      <c r="C550" s="1" t="s">
        <v>1107</v>
      </c>
      <c r="D550" s="1" t="s">
        <v>1108</v>
      </c>
      <c r="E550" s="1" t="s">
        <v>1256</v>
      </c>
      <c r="F550" s="1" t="s">
        <v>16</v>
      </c>
      <c r="G550" s="1" t="s">
        <v>23</v>
      </c>
      <c r="H550" s="1" t="s">
        <v>18</v>
      </c>
      <c r="I550" s="1" t="s">
        <v>44</v>
      </c>
      <c r="J550" s="1">
        <f>IFERROR(__xludf.DUMMYFUNCTION("""COMPUTED_VALUE"""),104.0)</f>
        <v>104</v>
      </c>
      <c r="K550" s="1">
        <v>43.0</v>
      </c>
      <c r="L550" s="1">
        <f>IFERROR(__xludf.DUMMYFUNCTION("""COMPUTED_VALUE"""),75.0)</f>
        <v>75</v>
      </c>
    </row>
    <row r="551">
      <c r="A551" s="1">
        <v>1604016.0</v>
      </c>
      <c r="B551" s="1" t="s">
        <v>1257</v>
      </c>
      <c r="C551" s="1" t="s">
        <v>1107</v>
      </c>
      <c r="D551" s="1" t="s">
        <v>1119</v>
      </c>
      <c r="E551" s="1" t="s">
        <v>1258</v>
      </c>
      <c r="F551" s="1" t="s">
        <v>16</v>
      </c>
      <c r="G551" s="1" t="s">
        <v>17</v>
      </c>
      <c r="H551" s="1" t="s">
        <v>28</v>
      </c>
      <c r="I551" s="1" t="s">
        <v>40</v>
      </c>
      <c r="J551" s="1">
        <f>IFERROR(__xludf.DUMMYFUNCTION("""COMPUTED_VALUE"""),204.0)</f>
        <v>204</v>
      </c>
      <c r="K551" s="1">
        <v>30.0</v>
      </c>
      <c r="L551" s="1">
        <f>IFERROR(__xludf.DUMMYFUNCTION("""COMPUTED_VALUE"""),385.0)</f>
        <v>385</v>
      </c>
    </row>
    <row r="552">
      <c r="A552" s="1">
        <v>1671339.0</v>
      </c>
      <c r="B552" s="1" t="s">
        <v>1259</v>
      </c>
      <c r="C552" s="1" t="s">
        <v>1107</v>
      </c>
      <c r="D552" s="1" t="s">
        <v>1108</v>
      </c>
      <c r="E552" s="1" t="s">
        <v>1260</v>
      </c>
      <c r="F552" s="1" t="s">
        <v>55</v>
      </c>
      <c r="G552" s="1" t="s">
        <v>17</v>
      </c>
      <c r="H552" s="1" t="s">
        <v>18</v>
      </c>
      <c r="I552" s="1" t="s">
        <v>44</v>
      </c>
      <c r="J552" s="1">
        <f>IFERROR(__xludf.DUMMYFUNCTION("""COMPUTED_VALUE"""),25.0)</f>
        <v>25</v>
      </c>
      <c r="K552" s="1">
        <v>17.0</v>
      </c>
      <c r="L552" s="1">
        <f>IFERROR(__xludf.DUMMYFUNCTION("""COMPUTED_VALUE"""),46.0)</f>
        <v>46</v>
      </c>
    </row>
    <row r="553">
      <c r="A553" s="1">
        <v>1671035.0</v>
      </c>
      <c r="B553" s="1" t="s">
        <v>1261</v>
      </c>
      <c r="C553" s="1" t="s">
        <v>1107</v>
      </c>
      <c r="D553" s="1" t="s">
        <v>1108</v>
      </c>
      <c r="E553" s="1" t="s">
        <v>1262</v>
      </c>
      <c r="F553" s="1" t="s">
        <v>16</v>
      </c>
      <c r="G553" s="1" t="s">
        <v>17</v>
      </c>
      <c r="H553" s="1" t="s">
        <v>33</v>
      </c>
      <c r="I553" s="1" t="s">
        <v>74</v>
      </c>
      <c r="J553" s="1">
        <f>IFERROR(__xludf.DUMMYFUNCTION("""COMPUTED_VALUE"""),192.0)</f>
        <v>192</v>
      </c>
      <c r="K553" s="1">
        <v>69.0</v>
      </c>
      <c r="L553" s="1">
        <f>IFERROR(__xludf.DUMMYFUNCTION("""COMPUTED_VALUE"""),548.0)</f>
        <v>548</v>
      </c>
    </row>
    <row r="554">
      <c r="A554" s="1">
        <v>1671331.0</v>
      </c>
      <c r="B554" s="1" t="s">
        <v>1263</v>
      </c>
      <c r="C554" s="1" t="s">
        <v>1107</v>
      </c>
      <c r="D554" s="1" t="s">
        <v>1108</v>
      </c>
      <c r="E554" s="1" t="s">
        <v>1264</v>
      </c>
      <c r="F554" s="1" t="s">
        <v>16</v>
      </c>
      <c r="G554" s="1" t="s">
        <v>17</v>
      </c>
      <c r="H554" s="1" t="s">
        <v>33</v>
      </c>
      <c r="I554" s="1" t="s">
        <v>65</v>
      </c>
      <c r="J554" s="1">
        <f>IFERROR(__xludf.DUMMYFUNCTION("""COMPUTED_VALUE"""),185.0)</f>
        <v>185</v>
      </c>
      <c r="K554" s="1">
        <v>43.0</v>
      </c>
      <c r="L554" s="1">
        <f>IFERROR(__xludf.DUMMYFUNCTION("""COMPUTED_VALUE"""),345.0)</f>
        <v>345</v>
      </c>
    </row>
    <row r="555">
      <c r="A555" s="1">
        <v>1674002.0</v>
      </c>
      <c r="B555" s="1" t="s">
        <v>1265</v>
      </c>
      <c r="C555" s="1" t="s">
        <v>1107</v>
      </c>
      <c r="D555" s="1" t="s">
        <v>1125</v>
      </c>
      <c r="E555" s="1" t="s">
        <v>1266</v>
      </c>
      <c r="F555" s="1" t="s">
        <v>16</v>
      </c>
      <c r="G555" s="1" t="s">
        <v>17</v>
      </c>
      <c r="H555" s="1" t="s">
        <v>18</v>
      </c>
      <c r="I555" s="1" t="s">
        <v>19</v>
      </c>
      <c r="J555" s="1">
        <f>IFERROR(__xludf.DUMMYFUNCTION("""COMPUTED_VALUE"""),280.0)</f>
        <v>280</v>
      </c>
      <c r="K555" s="1">
        <v>34.0</v>
      </c>
      <c r="L555" s="1">
        <f>IFERROR(__xludf.DUMMYFUNCTION("""COMPUTED_VALUE"""),206.0)</f>
        <v>206</v>
      </c>
    </row>
    <row r="556">
      <c r="A556" s="1">
        <v>1674005.0</v>
      </c>
      <c r="B556" s="1" t="s">
        <v>1267</v>
      </c>
      <c r="C556" s="1" t="s">
        <v>1107</v>
      </c>
      <c r="D556" s="1" t="s">
        <v>1125</v>
      </c>
      <c r="E556" s="1" t="s">
        <v>1268</v>
      </c>
      <c r="F556" s="1" t="s">
        <v>55</v>
      </c>
      <c r="G556" s="1" t="s">
        <v>17</v>
      </c>
      <c r="H556" s="1" t="s">
        <v>18</v>
      </c>
      <c r="I556" s="1" t="s">
        <v>163</v>
      </c>
      <c r="J556" s="1">
        <f>IFERROR(__xludf.DUMMYFUNCTION("""COMPUTED_VALUE"""),93.0)</f>
        <v>93</v>
      </c>
      <c r="K556" s="1">
        <v>16.0</v>
      </c>
      <c r="L556" s="1">
        <f>IFERROR(__xludf.DUMMYFUNCTION("""COMPUTED_VALUE"""),129.0)</f>
        <v>129</v>
      </c>
    </row>
    <row r="557">
      <c r="A557" s="1">
        <v>1603088.0</v>
      </c>
      <c r="B557" s="1" t="s">
        <v>1269</v>
      </c>
      <c r="C557" s="1" t="s">
        <v>1107</v>
      </c>
      <c r="D557" s="1" t="s">
        <v>1132</v>
      </c>
      <c r="E557" s="1" t="s">
        <v>1270</v>
      </c>
      <c r="F557" s="1" t="s">
        <v>16</v>
      </c>
      <c r="G557" s="1" t="s">
        <v>23</v>
      </c>
      <c r="H557" s="1" t="s">
        <v>18</v>
      </c>
      <c r="I557" s="1" t="s">
        <v>40</v>
      </c>
      <c r="J557" s="1">
        <f>IFERROR(__xludf.DUMMYFUNCTION("""COMPUTED_VALUE"""),50.0)</f>
        <v>50</v>
      </c>
      <c r="K557" s="1">
        <v>14.0</v>
      </c>
      <c r="L557" s="1">
        <f>IFERROR(__xludf.DUMMYFUNCTION("""COMPUTED_VALUE"""),168.0)</f>
        <v>168</v>
      </c>
    </row>
    <row r="558">
      <c r="A558" s="1">
        <v>1602014.0</v>
      </c>
      <c r="B558" s="1" t="s">
        <v>1271</v>
      </c>
      <c r="C558" s="1" t="s">
        <v>1107</v>
      </c>
      <c r="D558" s="1" t="s">
        <v>1177</v>
      </c>
      <c r="E558" s="1" t="s">
        <v>1272</v>
      </c>
      <c r="F558" s="1" t="s">
        <v>16</v>
      </c>
      <c r="G558" s="1" t="s">
        <v>17</v>
      </c>
      <c r="H558" s="1" t="s">
        <v>28</v>
      </c>
      <c r="I558" s="1" t="s">
        <v>40</v>
      </c>
      <c r="J558" s="1">
        <f>IFERROR(__xludf.DUMMYFUNCTION("""COMPUTED_VALUE"""),216.0)</f>
        <v>216</v>
      </c>
      <c r="K558" s="1">
        <v>31.0</v>
      </c>
      <c r="L558" s="1">
        <f>IFERROR(__xludf.DUMMYFUNCTION("""COMPUTED_VALUE"""),468.0)</f>
        <v>468</v>
      </c>
    </row>
    <row r="559">
      <c r="A559" s="1">
        <v>1672002.0</v>
      </c>
      <c r="B559" s="1" t="s">
        <v>1273</v>
      </c>
      <c r="C559" s="1" t="s">
        <v>1107</v>
      </c>
      <c r="D559" s="1" t="s">
        <v>1113</v>
      </c>
      <c r="E559" s="1" t="s">
        <v>1274</v>
      </c>
      <c r="F559" s="1" t="s">
        <v>16</v>
      </c>
      <c r="G559" s="1" t="s">
        <v>23</v>
      </c>
      <c r="H559" s="1" t="s">
        <v>18</v>
      </c>
      <c r="I559" s="1" t="s">
        <v>44</v>
      </c>
      <c r="J559" s="1">
        <f>IFERROR(__xludf.DUMMYFUNCTION("""COMPUTED_VALUE"""),121.0)</f>
        <v>121</v>
      </c>
      <c r="K559" s="1">
        <v>26.0</v>
      </c>
      <c r="L559" s="1">
        <f>IFERROR(__xludf.DUMMYFUNCTION("""COMPUTED_VALUE"""),110.0)</f>
        <v>110</v>
      </c>
    </row>
    <row r="560">
      <c r="A560" s="1">
        <v>1601088.0</v>
      </c>
      <c r="B560" s="1" t="s">
        <v>1275</v>
      </c>
      <c r="C560" s="1" t="s">
        <v>1107</v>
      </c>
      <c r="D560" s="1" t="s">
        <v>1137</v>
      </c>
      <c r="E560" s="1" t="s">
        <v>1276</v>
      </c>
      <c r="F560" s="1" t="s">
        <v>55</v>
      </c>
      <c r="G560" s="1" t="s">
        <v>17</v>
      </c>
      <c r="H560" s="1" t="s">
        <v>18</v>
      </c>
      <c r="I560" s="1" t="s">
        <v>19</v>
      </c>
      <c r="J560" s="1">
        <f>IFERROR(__xludf.DUMMYFUNCTION("""COMPUTED_VALUE"""),26.0)</f>
        <v>26</v>
      </c>
      <c r="K560" s="1">
        <v>8.0</v>
      </c>
      <c r="L560" s="1">
        <f>IFERROR(__xludf.DUMMYFUNCTION("""COMPUTED_VALUE"""),21.0)</f>
        <v>21</v>
      </c>
    </row>
    <row r="561">
      <c r="A561" s="1">
        <v>1601002.0</v>
      </c>
      <c r="B561" s="1" t="s">
        <v>1277</v>
      </c>
      <c r="C561" s="1" t="s">
        <v>1107</v>
      </c>
      <c r="D561" s="1" t="s">
        <v>1137</v>
      </c>
      <c r="E561" s="1" t="s">
        <v>1278</v>
      </c>
      <c r="F561" s="1" t="s">
        <v>16</v>
      </c>
      <c r="G561" s="1" t="s">
        <v>17</v>
      </c>
      <c r="H561" s="1" t="s">
        <v>18</v>
      </c>
      <c r="I561" s="1" t="s">
        <v>74</v>
      </c>
      <c r="J561" s="1">
        <f>IFERROR(__xludf.DUMMYFUNCTION("""COMPUTED_VALUE"""),99.0)</f>
        <v>99</v>
      </c>
      <c r="K561" s="1">
        <v>26.0</v>
      </c>
      <c r="L561" s="1">
        <f>IFERROR(__xludf.DUMMYFUNCTION("""COMPUTED_VALUE"""),267.0)</f>
        <v>267</v>
      </c>
    </row>
    <row r="562">
      <c r="A562" s="1">
        <v>1610003.0</v>
      </c>
      <c r="B562" s="1" t="s">
        <v>1279</v>
      </c>
      <c r="C562" s="1" t="s">
        <v>1107</v>
      </c>
      <c r="D562" s="1" t="s">
        <v>1211</v>
      </c>
      <c r="E562" s="1" t="s">
        <v>1280</v>
      </c>
      <c r="F562" s="1" t="s">
        <v>16</v>
      </c>
      <c r="G562" s="1" t="s">
        <v>17</v>
      </c>
      <c r="H562" s="1" t="s">
        <v>28</v>
      </c>
      <c r="I562" s="1" t="s">
        <v>40</v>
      </c>
      <c r="J562" s="1">
        <f>IFERROR(__xludf.DUMMYFUNCTION("""COMPUTED_VALUE"""),100.0)</f>
        <v>100</v>
      </c>
      <c r="K562" s="1">
        <v>33.0</v>
      </c>
      <c r="L562" s="1">
        <f>IFERROR(__xludf.DUMMYFUNCTION("""COMPUTED_VALUE"""),336.0)</f>
        <v>336</v>
      </c>
    </row>
    <row r="563">
      <c r="A563" s="1">
        <v>1671323.0</v>
      </c>
      <c r="B563" s="1" t="s">
        <v>1281</v>
      </c>
      <c r="C563" s="1" t="s">
        <v>1107</v>
      </c>
      <c r="D563" s="1" t="s">
        <v>1108</v>
      </c>
      <c r="E563" s="1" t="s">
        <v>1282</v>
      </c>
      <c r="F563" s="1" t="s">
        <v>272</v>
      </c>
      <c r="G563" s="1" t="s">
        <v>27</v>
      </c>
      <c r="H563" s="1" t="s">
        <v>28</v>
      </c>
      <c r="I563" s="1" t="s">
        <v>139</v>
      </c>
      <c r="J563" s="1">
        <f>IFERROR(__xludf.DUMMYFUNCTION("""COMPUTED_VALUE"""),37.0)</f>
        <v>37</v>
      </c>
      <c r="K563" s="1">
        <v>23.0</v>
      </c>
      <c r="L563" s="1">
        <f>IFERROR(__xludf.DUMMYFUNCTION("""COMPUTED_VALUE"""),193.0)</f>
        <v>193</v>
      </c>
    </row>
    <row r="564">
      <c r="A564" s="1">
        <v>1611002.0</v>
      </c>
      <c r="B564" s="1" t="s">
        <v>1283</v>
      </c>
      <c r="C564" s="1" t="s">
        <v>1107</v>
      </c>
      <c r="D564" s="1" t="s">
        <v>1235</v>
      </c>
      <c r="E564" s="1" t="s">
        <v>1284</v>
      </c>
      <c r="F564" s="1" t="s">
        <v>16</v>
      </c>
      <c r="G564" s="1" t="s">
        <v>98</v>
      </c>
      <c r="H564" s="1" t="s">
        <v>18</v>
      </c>
      <c r="I564" s="1" t="s">
        <v>40</v>
      </c>
      <c r="J564" s="1">
        <f>IFERROR(__xludf.DUMMYFUNCTION("""COMPUTED_VALUE"""),58.0)</f>
        <v>58</v>
      </c>
      <c r="K564" s="1">
        <v>12.0</v>
      </c>
      <c r="L564" s="1">
        <f>IFERROR(__xludf.DUMMYFUNCTION("""COMPUTED_VALUE"""),116.0)</f>
        <v>116</v>
      </c>
    </row>
    <row r="565">
      <c r="A565" s="1">
        <v>1673031.0</v>
      </c>
      <c r="B565" s="1" t="s">
        <v>1285</v>
      </c>
      <c r="C565" s="1" t="s">
        <v>1107</v>
      </c>
      <c r="D565" s="1" t="s">
        <v>1286</v>
      </c>
      <c r="E565" s="1" t="s">
        <v>1287</v>
      </c>
      <c r="F565" s="1" t="s">
        <v>16</v>
      </c>
      <c r="G565" s="1" t="s">
        <v>17</v>
      </c>
      <c r="H565" s="1" t="s">
        <v>28</v>
      </c>
      <c r="I565" s="1" t="s">
        <v>29</v>
      </c>
      <c r="J565" s="1">
        <f>IFERROR(__xludf.DUMMYFUNCTION("""COMPUTED_VALUE"""),170.0)</f>
        <v>170</v>
      </c>
      <c r="K565" s="1">
        <v>27.0</v>
      </c>
      <c r="L565" s="1">
        <f>IFERROR(__xludf.DUMMYFUNCTION("""COMPUTED_VALUE"""),399.0)</f>
        <v>399</v>
      </c>
    </row>
    <row r="566">
      <c r="A566" s="1">
        <v>1610004.0</v>
      </c>
      <c r="B566" s="1" t="s">
        <v>1288</v>
      </c>
      <c r="C566" s="1" t="s">
        <v>1107</v>
      </c>
      <c r="D566" s="1" t="s">
        <v>1211</v>
      </c>
      <c r="E566" s="1" t="s">
        <v>1289</v>
      </c>
      <c r="F566" s="1" t="s">
        <v>16</v>
      </c>
      <c r="G566" s="1" t="s">
        <v>23</v>
      </c>
      <c r="H566" s="1" t="s">
        <v>18</v>
      </c>
      <c r="I566" s="1" t="s">
        <v>19</v>
      </c>
      <c r="J566" s="1">
        <f>IFERROR(__xludf.DUMMYFUNCTION("""COMPUTED_VALUE"""),50.0)</f>
        <v>50</v>
      </c>
      <c r="K566" s="1">
        <v>18.0</v>
      </c>
      <c r="L566" s="1">
        <f>IFERROR(__xludf.DUMMYFUNCTION("""COMPUTED_VALUE"""),62.0)</f>
        <v>62</v>
      </c>
    </row>
    <row r="567">
      <c r="A567" s="1">
        <v>1671050.0</v>
      </c>
      <c r="B567" s="1" t="s">
        <v>1290</v>
      </c>
      <c r="C567" s="1" t="s">
        <v>1107</v>
      </c>
      <c r="D567" s="1" t="s">
        <v>1108</v>
      </c>
      <c r="E567" s="1" t="s">
        <v>1291</v>
      </c>
      <c r="F567" s="1" t="s">
        <v>16</v>
      </c>
      <c r="G567" s="1" t="s">
        <v>27</v>
      </c>
      <c r="H567" s="1" t="s">
        <v>18</v>
      </c>
      <c r="I567" s="1" t="s">
        <v>59</v>
      </c>
      <c r="J567" s="1">
        <f>IFERROR(__xludf.DUMMYFUNCTION("""COMPUTED_VALUE"""),311.0)</f>
        <v>311</v>
      </c>
      <c r="K567" s="1">
        <v>61.0</v>
      </c>
      <c r="L567" s="1">
        <f>IFERROR(__xludf.DUMMYFUNCTION("""COMPUTED_VALUE"""),841.0)</f>
        <v>841</v>
      </c>
    </row>
    <row r="568">
      <c r="A568" s="1">
        <v>1605044.0</v>
      </c>
      <c r="B568" s="1" t="s">
        <v>1292</v>
      </c>
      <c r="C568" s="1" t="s">
        <v>1107</v>
      </c>
      <c r="D568" s="1" t="s">
        <v>1204</v>
      </c>
      <c r="E568" s="1" t="s">
        <v>1293</v>
      </c>
      <c r="F568" s="1" t="s">
        <v>16</v>
      </c>
      <c r="G568" s="1" t="s">
        <v>23</v>
      </c>
      <c r="H568" s="1" t="s">
        <v>28</v>
      </c>
      <c r="I568" s="1" t="s">
        <v>40</v>
      </c>
      <c r="J568" s="1">
        <f>IFERROR(__xludf.DUMMYFUNCTION("""COMPUTED_VALUE"""),52.0)</f>
        <v>52</v>
      </c>
      <c r="K568" s="1">
        <v>16.0</v>
      </c>
      <c r="L568" s="1">
        <f>IFERROR(__xludf.DUMMYFUNCTION("""COMPUTED_VALUE"""),142.0)</f>
        <v>142</v>
      </c>
    </row>
    <row r="569">
      <c r="A569" s="1">
        <v>1671327.0</v>
      </c>
      <c r="B569" s="1" t="s">
        <v>1294</v>
      </c>
      <c r="C569" s="1" t="s">
        <v>1107</v>
      </c>
      <c r="D569" s="1" t="s">
        <v>1108</v>
      </c>
      <c r="E569" s="1" t="s">
        <v>1295</v>
      </c>
      <c r="F569" s="1" t="s">
        <v>16</v>
      </c>
      <c r="G569" s="1" t="s">
        <v>23</v>
      </c>
      <c r="H569" s="1" t="s">
        <v>18</v>
      </c>
      <c r="I569" s="1" t="s">
        <v>59</v>
      </c>
      <c r="J569" s="1">
        <f>IFERROR(__xludf.DUMMYFUNCTION("""COMPUTED_VALUE"""),50.0)</f>
        <v>50</v>
      </c>
      <c r="K569" s="1">
        <v>38.0</v>
      </c>
      <c r="L569" s="1">
        <f>IFERROR(__xludf.DUMMYFUNCTION("""COMPUTED_VALUE"""),82.0)</f>
        <v>82</v>
      </c>
    </row>
    <row r="570">
      <c r="A570" s="1">
        <v>1601084.0</v>
      </c>
      <c r="B570" s="1" t="s">
        <v>1296</v>
      </c>
      <c r="C570" s="1" t="s">
        <v>1107</v>
      </c>
      <c r="D570" s="1" t="s">
        <v>1137</v>
      </c>
      <c r="E570" s="1" t="s">
        <v>1297</v>
      </c>
      <c r="F570" s="1" t="s">
        <v>255</v>
      </c>
      <c r="G570" s="1" t="s">
        <v>17</v>
      </c>
      <c r="H570" s="1" t="s">
        <v>18</v>
      </c>
      <c r="I570" s="1" t="s">
        <v>44</v>
      </c>
      <c r="J570" s="1">
        <f>IFERROR(__xludf.DUMMYFUNCTION("""COMPUTED_VALUE"""),24.0)</f>
        <v>24</v>
      </c>
      <c r="K570" s="1">
        <v>15.0</v>
      </c>
      <c r="L570" s="1">
        <f>IFERROR(__xludf.DUMMYFUNCTION("""COMPUTED_VALUE"""),22.0)</f>
        <v>22</v>
      </c>
    </row>
    <row r="571">
      <c r="A571" s="1">
        <v>1771073.0</v>
      </c>
      <c r="B571" s="1" t="s">
        <v>1298</v>
      </c>
      <c r="C571" s="1" t="s">
        <v>1299</v>
      </c>
      <c r="D571" s="1" t="s">
        <v>1300</v>
      </c>
      <c r="E571" s="1" t="s">
        <v>1301</v>
      </c>
      <c r="F571" s="1" t="s">
        <v>55</v>
      </c>
      <c r="G571" s="1" t="s">
        <v>17</v>
      </c>
      <c r="H571" s="1" t="s">
        <v>18</v>
      </c>
      <c r="I571" s="1" t="s">
        <v>29</v>
      </c>
      <c r="J571" s="1">
        <f>IFERROR(__xludf.DUMMYFUNCTION("""COMPUTED_VALUE"""),36.0)</f>
        <v>36</v>
      </c>
      <c r="K571" s="1">
        <v>20.0</v>
      </c>
      <c r="L571" s="1">
        <f>IFERROR(__xludf.DUMMYFUNCTION("""COMPUTED_VALUE"""),182.0)</f>
        <v>182</v>
      </c>
    </row>
    <row r="572">
      <c r="A572" s="1">
        <v>1702015.0</v>
      </c>
      <c r="B572" s="1" t="s">
        <v>1302</v>
      </c>
      <c r="C572" s="1" t="s">
        <v>1299</v>
      </c>
      <c r="D572" s="1" t="s">
        <v>1303</v>
      </c>
      <c r="E572" s="1" t="s">
        <v>1304</v>
      </c>
      <c r="F572" s="1" t="s">
        <v>16</v>
      </c>
      <c r="G572" s="1" t="s">
        <v>17</v>
      </c>
      <c r="H572" s="1" t="s">
        <v>28</v>
      </c>
      <c r="I572" s="1" t="s">
        <v>40</v>
      </c>
      <c r="J572" s="1">
        <f>IFERROR(__xludf.DUMMYFUNCTION("""COMPUTED_VALUE"""),122.0)</f>
        <v>122</v>
      </c>
      <c r="K572" s="1">
        <v>47.0</v>
      </c>
      <c r="L572" s="1">
        <f>IFERROR(__xludf.DUMMYFUNCTION("""COMPUTED_VALUE"""),528.0)</f>
        <v>528</v>
      </c>
    </row>
    <row r="573">
      <c r="A573" s="1">
        <v>1709038.0</v>
      </c>
      <c r="B573" s="1" t="s">
        <v>1305</v>
      </c>
      <c r="C573" s="1" t="s">
        <v>1299</v>
      </c>
      <c r="D573" s="1" t="s">
        <v>1306</v>
      </c>
      <c r="E573" s="1" t="s">
        <v>1307</v>
      </c>
      <c r="F573" s="1" t="s">
        <v>16</v>
      </c>
      <c r="G573" s="1" t="s">
        <v>23</v>
      </c>
      <c r="H573" s="1" t="s">
        <v>28</v>
      </c>
      <c r="I573" s="1" t="s">
        <v>40</v>
      </c>
      <c r="J573" s="1">
        <f>IFERROR(__xludf.DUMMYFUNCTION("""COMPUTED_VALUE"""),64.0)</f>
        <v>64</v>
      </c>
      <c r="K573" s="1">
        <v>31.0</v>
      </c>
      <c r="L573" s="1">
        <f>IFERROR(__xludf.DUMMYFUNCTION("""COMPUTED_VALUE"""),269.0)</f>
        <v>269</v>
      </c>
    </row>
    <row r="574">
      <c r="A574" s="1">
        <v>1702047.0</v>
      </c>
      <c r="B574" s="1" t="s">
        <v>1308</v>
      </c>
      <c r="C574" s="1" t="s">
        <v>1299</v>
      </c>
      <c r="D574" s="1" t="s">
        <v>1303</v>
      </c>
      <c r="E574" s="1" t="s">
        <v>1309</v>
      </c>
      <c r="F574" s="1" t="s">
        <v>16</v>
      </c>
      <c r="G574" s="1" t="s">
        <v>23</v>
      </c>
      <c r="H574" s="1" t="s">
        <v>18</v>
      </c>
      <c r="I574" s="1" t="s">
        <v>19</v>
      </c>
      <c r="J574" s="1">
        <f>IFERROR(__xludf.DUMMYFUNCTION("""COMPUTED_VALUE"""),67.0)</f>
        <v>67</v>
      </c>
      <c r="K574" s="1">
        <v>4.0</v>
      </c>
      <c r="L574" s="1">
        <f>IFERROR(__xludf.DUMMYFUNCTION("""COMPUTED_VALUE"""),182.0)</f>
        <v>182</v>
      </c>
    </row>
    <row r="575">
      <c r="A575" s="1">
        <v>1771036.0</v>
      </c>
      <c r="B575" s="1" t="s">
        <v>1310</v>
      </c>
      <c r="C575" s="1" t="s">
        <v>1299</v>
      </c>
      <c r="D575" s="1" t="s">
        <v>1300</v>
      </c>
      <c r="E575" s="1" t="s">
        <v>1311</v>
      </c>
      <c r="F575" s="1" t="s">
        <v>16</v>
      </c>
      <c r="G575" s="1" t="s">
        <v>17</v>
      </c>
      <c r="H575" s="1" t="s">
        <v>18</v>
      </c>
      <c r="I575" s="1" t="s">
        <v>59</v>
      </c>
      <c r="J575" s="1">
        <f>IFERROR(__xludf.DUMMYFUNCTION("""COMPUTED_VALUE"""),100.0)</f>
        <v>100</v>
      </c>
      <c r="K575" s="1">
        <v>33.0</v>
      </c>
      <c r="L575" s="1">
        <f>IFERROR(__xludf.DUMMYFUNCTION("""COMPUTED_VALUE"""),266.0)</f>
        <v>266</v>
      </c>
    </row>
    <row r="576">
      <c r="A576" s="1">
        <v>1703016.0</v>
      </c>
      <c r="B576" s="1" t="s">
        <v>1312</v>
      </c>
      <c r="C576" s="1" t="s">
        <v>1299</v>
      </c>
      <c r="D576" s="1" t="s">
        <v>1313</v>
      </c>
      <c r="E576" s="1" t="s">
        <v>1314</v>
      </c>
      <c r="F576" s="1" t="s">
        <v>16</v>
      </c>
      <c r="G576" s="1" t="s">
        <v>17</v>
      </c>
      <c r="H576" s="1" t="s">
        <v>18</v>
      </c>
      <c r="I576" s="1" t="s">
        <v>40</v>
      </c>
      <c r="J576" s="1">
        <f>IFERROR(__xludf.DUMMYFUNCTION("""COMPUTED_VALUE"""),121.0)</f>
        <v>121</v>
      </c>
      <c r="K576" s="1">
        <v>22.0</v>
      </c>
      <c r="L576" s="1">
        <f>IFERROR(__xludf.DUMMYFUNCTION("""COMPUTED_VALUE"""),564.0)</f>
        <v>564</v>
      </c>
    </row>
    <row r="577">
      <c r="A577" s="1">
        <v>1701016.0</v>
      </c>
      <c r="B577" s="1" t="s">
        <v>1315</v>
      </c>
      <c r="C577" s="1" t="s">
        <v>1299</v>
      </c>
      <c r="D577" s="1" t="s">
        <v>1316</v>
      </c>
      <c r="E577" s="1" t="s">
        <v>1317</v>
      </c>
      <c r="F577" s="1" t="s">
        <v>16</v>
      </c>
      <c r="G577" s="1" t="s">
        <v>23</v>
      </c>
      <c r="H577" s="1" t="s">
        <v>18</v>
      </c>
      <c r="I577" s="1" t="s">
        <v>19</v>
      </c>
      <c r="J577" s="1">
        <f>IFERROR(__xludf.DUMMYFUNCTION("""COMPUTED_VALUE"""),90.0)</f>
        <v>90</v>
      </c>
      <c r="K577" s="1">
        <v>36.0</v>
      </c>
      <c r="L577" s="1">
        <f>IFERROR(__xludf.DUMMYFUNCTION("""COMPUTED_VALUE"""),135.0)</f>
        <v>135</v>
      </c>
    </row>
    <row r="578">
      <c r="A578" s="1">
        <v>1771051.0</v>
      </c>
      <c r="B578" s="1" t="s">
        <v>1318</v>
      </c>
      <c r="C578" s="1" t="s">
        <v>1299</v>
      </c>
      <c r="D578" s="1" t="s">
        <v>1300</v>
      </c>
      <c r="E578" s="1" t="s">
        <v>1319</v>
      </c>
      <c r="F578" s="1" t="s">
        <v>16</v>
      </c>
      <c r="G578" s="1" t="s">
        <v>17</v>
      </c>
      <c r="H578" s="1" t="s">
        <v>33</v>
      </c>
      <c r="I578" s="1" t="s">
        <v>65</v>
      </c>
      <c r="J578" s="1">
        <f>IFERROR(__xludf.DUMMYFUNCTION("""COMPUTED_VALUE"""),100.0)</f>
        <v>100</v>
      </c>
      <c r="K578" s="1">
        <v>47.0</v>
      </c>
      <c r="L578" s="1">
        <f>IFERROR(__xludf.DUMMYFUNCTION("""COMPUTED_VALUE"""),458.0)</f>
        <v>458</v>
      </c>
    </row>
    <row r="579">
      <c r="A579" s="1">
        <v>1705018.0</v>
      </c>
      <c r="B579" s="1" t="s">
        <v>1320</v>
      </c>
      <c r="C579" s="1" t="s">
        <v>1299</v>
      </c>
      <c r="D579" s="1" t="s">
        <v>1321</v>
      </c>
      <c r="E579" s="1" t="s">
        <v>1322</v>
      </c>
      <c r="F579" s="1" t="s">
        <v>16</v>
      </c>
      <c r="G579" s="1" t="s">
        <v>17</v>
      </c>
      <c r="H579" s="1" t="s">
        <v>28</v>
      </c>
      <c r="I579" s="1" t="s">
        <v>40</v>
      </c>
      <c r="J579" s="1">
        <f>IFERROR(__xludf.DUMMYFUNCTION("""COMPUTED_VALUE"""),100.0)</f>
        <v>100</v>
      </c>
      <c r="K579" s="1">
        <v>23.0</v>
      </c>
      <c r="L579" s="1">
        <f>IFERROR(__xludf.DUMMYFUNCTION("""COMPUTED_VALUE"""),298.0)</f>
        <v>298</v>
      </c>
    </row>
    <row r="580">
      <c r="A580" s="1">
        <v>1703046.0</v>
      </c>
      <c r="B580" s="1" t="s">
        <v>1323</v>
      </c>
      <c r="C580" s="1" t="s">
        <v>1299</v>
      </c>
      <c r="D580" s="1" t="s">
        <v>1313</v>
      </c>
      <c r="E580" s="1" t="s">
        <v>1324</v>
      </c>
      <c r="F580" s="1" t="s">
        <v>16</v>
      </c>
      <c r="G580" s="1" t="s">
        <v>23</v>
      </c>
      <c r="H580" s="1" t="s">
        <v>28</v>
      </c>
      <c r="I580" s="1" t="s">
        <v>40</v>
      </c>
      <c r="J580" s="1">
        <f>IFERROR(__xludf.DUMMYFUNCTION("""COMPUTED_VALUE"""),50.0)</f>
        <v>50</v>
      </c>
      <c r="K580" s="1">
        <v>33.0</v>
      </c>
      <c r="L580" s="1">
        <f>IFERROR(__xludf.DUMMYFUNCTION("""COMPUTED_VALUE"""),141.0)</f>
        <v>141</v>
      </c>
    </row>
    <row r="581">
      <c r="A581" s="1">
        <v>1771007.0</v>
      </c>
      <c r="B581" s="1" t="s">
        <v>1325</v>
      </c>
      <c r="C581" s="1" t="s">
        <v>1299</v>
      </c>
      <c r="D581" s="1" t="s">
        <v>1300</v>
      </c>
      <c r="E581" s="1" t="s">
        <v>1326</v>
      </c>
      <c r="F581" s="1" t="s">
        <v>16</v>
      </c>
      <c r="G581" s="1" t="s">
        <v>17</v>
      </c>
      <c r="H581" s="1" t="s">
        <v>18</v>
      </c>
      <c r="I581" s="1" t="s">
        <v>19</v>
      </c>
      <c r="J581" s="1">
        <f>IFERROR(__xludf.DUMMYFUNCTION("""COMPUTED_VALUE"""),119.0)</f>
        <v>119</v>
      </c>
      <c r="K581" s="1">
        <v>38.0</v>
      </c>
      <c r="L581" s="1">
        <f>IFERROR(__xludf.DUMMYFUNCTION("""COMPUTED_VALUE"""),267.0)</f>
        <v>267</v>
      </c>
    </row>
    <row r="582">
      <c r="A582" s="1">
        <v>1771009.0</v>
      </c>
      <c r="B582" s="1" t="s">
        <v>1327</v>
      </c>
      <c r="C582" s="1" t="s">
        <v>1299</v>
      </c>
      <c r="D582" s="1" t="s">
        <v>1300</v>
      </c>
      <c r="E582" s="1" t="s">
        <v>1328</v>
      </c>
      <c r="F582" s="1" t="s">
        <v>16</v>
      </c>
      <c r="G582" s="1" t="s">
        <v>17</v>
      </c>
      <c r="H582" s="1" t="s">
        <v>18</v>
      </c>
      <c r="I582" s="1" t="s">
        <v>19</v>
      </c>
      <c r="J582" s="1">
        <f>IFERROR(__xludf.DUMMYFUNCTION("""COMPUTED_VALUE"""),115.0)</f>
        <v>115</v>
      </c>
      <c r="K582" s="1">
        <v>75.0</v>
      </c>
      <c r="L582" s="1">
        <f>IFERROR(__xludf.DUMMYFUNCTION("""COMPUTED_VALUE"""),104.0)</f>
        <v>104</v>
      </c>
    </row>
    <row r="583">
      <c r="A583" s="1">
        <v>1708010.0</v>
      </c>
      <c r="B583" s="1" t="s">
        <v>1329</v>
      </c>
      <c r="C583" s="1" t="s">
        <v>1299</v>
      </c>
      <c r="D583" s="1" t="s">
        <v>1330</v>
      </c>
      <c r="E583" s="1" t="s">
        <v>1331</v>
      </c>
      <c r="F583" s="1" t="s">
        <v>16</v>
      </c>
      <c r="G583" s="1" t="s">
        <v>17</v>
      </c>
      <c r="H583" s="1" t="s">
        <v>28</v>
      </c>
      <c r="I583" s="1" t="s">
        <v>40</v>
      </c>
      <c r="J583" s="1">
        <f>IFERROR(__xludf.DUMMYFUNCTION("""COMPUTED_VALUE"""),137.0)</f>
        <v>137</v>
      </c>
      <c r="K583" s="1">
        <v>35.0</v>
      </c>
      <c r="L583" s="1">
        <f>IFERROR(__xludf.DUMMYFUNCTION("""COMPUTED_VALUE"""),353.0)</f>
        <v>353</v>
      </c>
    </row>
    <row r="584">
      <c r="A584" s="1">
        <v>1771062.0</v>
      </c>
      <c r="B584" s="1" t="s">
        <v>1332</v>
      </c>
      <c r="C584" s="1" t="s">
        <v>1299</v>
      </c>
      <c r="D584" s="1" t="s">
        <v>1300</v>
      </c>
      <c r="E584" s="1" t="s">
        <v>1333</v>
      </c>
      <c r="F584" s="1" t="s">
        <v>16</v>
      </c>
      <c r="G584" s="1" t="s">
        <v>17</v>
      </c>
      <c r="H584" s="1" t="s">
        <v>18</v>
      </c>
      <c r="I584" s="1" t="s">
        <v>44</v>
      </c>
      <c r="J584" s="1">
        <f>IFERROR(__xludf.DUMMYFUNCTION("""COMPUTED_VALUE"""),135.0)</f>
        <v>135</v>
      </c>
      <c r="K584" s="1">
        <v>34.0</v>
      </c>
      <c r="L584" s="1">
        <f>IFERROR(__xludf.DUMMYFUNCTION("""COMPUTED_VALUE"""),326.0)</f>
        <v>326</v>
      </c>
    </row>
    <row r="585">
      <c r="A585" s="1">
        <v>1701014.0</v>
      </c>
      <c r="B585" s="1" t="s">
        <v>1334</v>
      </c>
      <c r="C585" s="1" t="s">
        <v>1299</v>
      </c>
      <c r="D585" s="1" t="s">
        <v>1316</v>
      </c>
      <c r="E585" s="1" t="s">
        <v>1335</v>
      </c>
      <c r="F585" s="1" t="s">
        <v>16</v>
      </c>
      <c r="G585" s="1" t="s">
        <v>17</v>
      </c>
      <c r="H585" s="1" t="s">
        <v>28</v>
      </c>
      <c r="I585" s="1" t="s">
        <v>40</v>
      </c>
      <c r="J585" s="1">
        <f>IFERROR(__xludf.DUMMYFUNCTION("""COMPUTED_VALUE"""),188.0)</f>
        <v>188</v>
      </c>
      <c r="K585" s="1">
        <v>28.0</v>
      </c>
      <c r="L585" s="1">
        <f>IFERROR(__xludf.DUMMYFUNCTION("""COMPUTED_VALUE"""),369.0)</f>
        <v>369</v>
      </c>
    </row>
    <row r="586">
      <c r="A586" s="1">
        <v>1771025.0</v>
      </c>
      <c r="B586" s="1" t="s">
        <v>1336</v>
      </c>
      <c r="C586" s="1" t="s">
        <v>1299</v>
      </c>
      <c r="D586" s="1" t="s">
        <v>1300</v>
      </c>
      <c r="E586" s="1" t="s">
        <v>1337</v>
      </c>
      <c r="F586" s="1" t="s">
        <v>174</v>
      </c>
      <c r="G586" s="1" t="s">
        <v>27</v>
      </c>
      <c r="H586" s="1" t="s">
        <v>28</v>
      </c>
      <c r="I586" s="1" t="s">
        <v>139</v>
      </c>
      <c r="J586" s="1">
        <f>IFERROR(__xludf.DUMMYFUNCTION("""COMPUTED_VALUE"""),194.0)</f>
        <v>194</v>
      </c>
      <c r="K586" s="1">
        <v>33.0</v>
      </c>
      <c r="L586" s="1">
        <f>IFERROR(__xludf.DUMMYFUNCTION("""COMPUTED_VALUE"""),356.0)</f>
        <v>356</v>
      </c>
    </row>
    <row r="587">
      <c r="A587" s="1">
        <v>1707026.0</v>
      </c>
      <c r="B587" s="1" t="s">
        <v>1338</v>
      </c>
      <c r="C587" s="1" t="s">
        <v>1299</v>
      </c>
      <c r="D587" s="1" t="s">
        <v>1339</v>
      </c>
      <c r="E587" s="1" t="s">
        <v>1340</v>
      </c>
      <c r="F587" s="1" t="s">
        <v>16</v>
      </c>
      <c r="G587" s="1" t="s">
        <v>17</v>
      </c>
      <c r="H587" s="1" t="s">
        <v>28</v>
      </c>
      <c r="I587" s="1" t="s">
        <v>40</v>
      </c>
      <c r="J587" s="1">
        <f>IFERROR(__xludf.DUMMYFUNCTION("""COMPUTED_VALUE"""),102.0)</f>
        <v>102</v>
      </c>
      <c r="K587" s="1">
        <v>28.0</v>
      </c>
      <c r="L587" s="1">
        <f>IFERROR(__xludf.DUMMYFUNCTION("""COMPUTED_VALUE"""),158.0)</f>
        <v>158</v>
      </c>
    </row>
    <row r="588">
      <c r="A588" s="1">
        <v>1771040.0</v>
      </c>
      <c r="B588" s="1" t="s">
        <v>1341</v>
      </c>
      <c r="C588" s="1" t="s">
        <v>1299</v>
      </c>
      <c r="D588" s="1" t="s">
        <v>1300</v>
      </c>
      <c r="E588" s="1" t="s">
        <v>1342</v>
      </c>
      <c r="F588" s="1" t="s">
        <v>16</v>
      </c>
      <c r="G588" s="1" t="s">
        <v>23</v>
      </c>
      <c r="H588" s="1" t="s">
        <v>18</v>
      </c>
      <c r="I588" s="1" t="s">
        <v>74</v>
      </c>
      <c r="J588" s="1">
        <f>IFERROR(__xludf.DUMMYFUNCTION("""COMPUTED_VALUE"""),53.0)</f>
        <v>53</v>
      </c>
      <c r="K588" s="1">
        <v>44.0</v>
      </c>
      <c r="L588" s="1">
        <f>IFERROR(__xludf.DUMMYFUNCTION("""COMPUTED_VALUE"""),237.0)</f>
        <v>237</v>
      </c>
    </row>
    <row r="589">
      <c r="A589" s="1">
        <v>1704028.0</v>
      </c>
      <c r="B589" s="1" t="s">
        <v>1343</v>
      </c>
      <c r="C589" s="1" t="s">
        <v>1299</v>
      </c>
      <c r="D589" s="1" t="s">
        <v>1344</v>
      </c>
      <c r="E589" s="1" t="s">
        <v>1345</v>
      </c>
      <c r="F589" s="1" t="s">
        <v>16</v>
      </c>
      <c r="G589" s="1" t="s">
        <v>17</v>
      </c>
      <c r="H589" s="1" t="s">
        <v>28</v>
      </c>
      <c r="I589" s="1" t="s">
        <v>40</v>
      </c>
      <c r="J589" s="1">
        <f>IFERROR(__xludf.DUMMYFUNCTION("""COMPUTED_VALUE"""),111.0)</f>
        <v>111</v>
      </c>
      <c r="K589" s="1">
        <v>20.0</v>
      </c>
      <c r="L589" s="1">
        <f>IFERROR(__xludf.DUMMYFUNCTION("""COMPUTED_VALUE"""),339.0)</f>
        <v>339</v>
      </c>
    </row>
    <row r="590">
      <c r="A590" s="1">
        <v>1703027.0</v>
      </c>
      <c r="B590" s="1" t="s">
        <v>1346</v>
      </c>
      <c r="C590" s="1" t="s">
        <v>1299</v>
      </c>
      <c r="D590" s="1" t="s">
        <v>1313</v>
      </c>
      <c r="E590" s="1" t="s">
        <v>1347</v>
      </c>
      <c r="F590" s="1" t="s">
        <v>16</v>
      </c>
      <c r="G590" s="1" t="s">
        <v>23</v>
      </c>
      <c r="H590" s="1" t="s">
        <v>18</v>
      </c>
      <c r="I590" s="1" t="s">
        <v>40</v>
      </c>
      <c r="J590" s="1">
        <f>IFERROR(__xludf.DUMMYFUNCTION("""COMPUTED_VALUE"""),16.0)</f>
        <v>16</v>
      </c>
      <c r="K590" s="1">
        <v>22.0</v>
      </c>
      <c r="L590" s="1">
        <f>IFERROR(__xludf.DUMMYFUNCTION("""COMPUTED_VALUE"""),17.0)</f>
        <v>17</v>
      </c>
    </row>
    <row r="591">
      <c r="A591" s="1">
        <v>1771002.0</v>
      </c>
      <c r="B591" s="1" t="s">
        <v>1348</v>
      </c>
      <c r="C591" s="1" t="s">
        <v>1299</v>
      </c>
      <c r="D591" s="1" t="s">
        <v>1300</v>
      </c>
      <c r="E591" s="1" t="s">
        <v>1349</v>
      </c>
      <c r="F591" s="1" t="s">
        <v>16</v>
      </c>
      <c r="G591" s="1" t="s">
        <v>17</v>
      </c>
      <c r="H591" s="1" t="s">
        <v>28</v>
      </c>
      <c r="I591" s="1" t="s">
        <v>29</v>
      </c>
      <c r="J591" s="1">
        <f>IFERROR(__xludf.DUMMYFUNCTION("""COMPUTED_VALUE"""),138.0)</f>
        <v>138</v>
      </c>
      <c r="K591" s="1">
        <v>42.0</v>
      </c>
      <c r="L591" s="1">
        <f>IFERROR(__xludf.DUMMYFUNCTION("""COMPUTED_VALUE"""),335.0)</f>
        <v>335</v>
      </c>
    </row>
    <row r="592">
      <c r="A592" s="1">
        <v>1703045.0</v>
      </c>
      <c r="B592" s="1" t="s">
        <v>1350</v>
      </c>
      <c r="C592" s="1" t="s">
        <v>1299</v>
      </c>
      <c r="D592" s="1" t="s">
        <v>1313</v>
      </c>
      <c r="E592" s="1" t="s">
        <v>1351</v>
      </c>
      <c r="F592" s="1" t="s">
        <v>16</v>
      </c>
      <c r="G592" s="1" t="s">
        <v>23</v>
      </c>
      <c r="H592" s="1" t="s">
        <v>18</v>
      </c>
      <c r="I592" s="1" t="s">
        <v>249</v>
      </c>
      <c r="J592" s="1">
        <f>IFERROR(__xludf.DUMMYFUNCTION("""COMPUTED_VALUE"""),55.0)</f>
        <v>55</v>
      </c>
      <c r="K592" s="1">
        <v>26.0</v>
      </c>
      <c r="L592" s="1">
        <f>IFERROR(__xludf.DUMMYFUNCTION("""COMPUTED_VALUE"""),116.0)</f>
        <v>116</v>
      </c>
    </row>
    <row r="593">
      <c r="A593" s="1">
        <v>1706019.0</v>
      </c>
      <c r="B593" s="1" t="s">
        <v>1352</v>
      </c>
      <c r="C593" s="1" t="s">
        <v>1299</v>
      </c>
      <c r="D593" s="1" t="s">
        <v>1353</v>
      </c>
      <c r="E593" s="1" t="s">
        <v>1354</v>
      </c>
      <c r="F593" s="1" t="s">
        <v>16</v>
      </c>
      <c r="G593" s="1" t="s">
        <v>17</v>
      </c>
      <c r="H593" s="1" t="s">
        <v>28</v>
      </c>
      <c r="I593" s="1" t="s">
        <v>40</v>
      </c>
      <c r="J593" s="1">
        <f>IFERROR(__xludf.DUMMYFUNCTION("""COMPUTED_VALUE"""),165.0)</f>
        <v>165</v>
      </c>
      <c r="K593" s="1">
        <v>45.0</v>
      </c>
      <c r="L593" s="1">
        <f>IFERROR(__xludf.DUMMYFUNCTION("""COMPUTED_VALUE"""),491.0)</f>
        <v>491</v>
      </c>
    </row>
    <row r="594">
      <c r="A594" s="1">
        <v>1706020.0</v>
      </c>
      <c r="B594" s="1" t="s">
        <v>1355</v>
      </c>
      <c r="C594" s="1" t="s">
        <v>1299</v>
      </c>
      <c r="D594" s="1" t="s">
        <v>1353</v>
      </c>
      <c r="E594" s="1" t="s">
        <v>1356</v>
      </c>
      <c r="F594" s="1" t="s">
        <v>55</v>
      </c>
      <c r="G594" s="1" t="s">
        <v>17</v>
      </c>
      <c r="H594" s="1" t="s">
        <v>18</v>
      </c>
      <c r="I594" s="1" t="s">
        <v>19</v>
      </c>
      <c r="J594" s="1">
        <f>IFERROR(__xludf.DUMMYFUNCTION("""COMPUTED_VALUE"""),28.0)</f>
        <v>28</v>
      </c>
      <c r="K594" s="1">
        <v>21.0</v>
      </c>
      <c r="L594" s="1">
        <f>IFERROR(__xludf.DUMMYFUNCTION("""COMPUTED_VALUE"""),48.0)</f>
        <v>48</v>
      </c>
    </row>
    <row r="595">
      <c r="A595" s="1">
        <v>1702035.0</v>
      </c>
      <c r="B595" s="1" t="s">
        <v>1357</v>
      </c>
      <c r="C595" s="1" t="s">
        <v>1299</v>
      </c>
      <c r="D595" s="1" t="s">
        <v>1303</v>
      </c>
      <c r="E595" s="1" t="s">
        <v>1358</v>
      </c>
      <c r="F595" s="1" t="s">
        <v>16</v>
      </c>
      <c r="G595" s="1" t="s">
        <v>23</v>
      </c>
      <c r="H595" s="1" t="s">
        <v>18</v>
      </c>
      <c r="I595" s="1" t="s">
        <v>19</v>
      </c>
      <c r="J595" s="1">
        <f>IFERROR(__xludf.DUMMYFUNCTION("""COMPUTED_VALUE"""),89.0)</f>
        <v>89</v>
      </c>
      <c r="K595" s="1">
        <v>13.0</v>
      </c>
      <c r="L595" s="1">
        <f>IFERROR(__xludf.DUMMYFUNCTION("""COMPUTED_VALUE"""),123.0)</f>
        <v>123</v>
      </c>
    </row>
    <row r="596">
      <c r="A596" s="1">
        <v>1771014.0</v>
      </c>
      <c r="B596" s="1" t="s">
        <v>1359</v>
      </c>
      <c r="C596" s="1" t="s">
        <v>1299</v>
      </c>
      <c r="D596" s="1" t="s">
        <v>1300</v>
      </c>
      <c r="E596" s="1" t="s">
        <v>1360</v>
      </c>
      <c r="F596" s="1" t="s">
        <v>16</v>
      </c>
      <c r="G596" s="1" t="s">
        <v>27</v>
      </c>
      <c r="H596" s="1" t="s">
        <v>28</v>
      </c>
      <c r="I596" s="1" t="s">
        <v>139</v>
      </c>
      <c r="J596" s="1">
        <f>IFERROR(__xludf.DUMMYFUNCTION("""COMPUTED_VALUE"""),240.0)</f>
        <v>240</v>
      </c>
      <c r="K596" s="1">
        <v>52.0</v>
      </c>
      <c r="L596" s="1">
        <f>IFERROR(__xludf.DUMMYFUNCTION("""COMPUTED_VALUE"""),699.0)</f>
        <v>699</v>
      </c>
    </row>
    <row r="597">
      <c r="A597" s="1">
        <v>1803010.0</v>
      </c>
      <c r="B597" s="1" t="s">
        <v>1361</v>
      </c>
      <c r="C597" s="1" t="s">
        <v>1362</v>
      </c>
      <c r="D597" s="1" t="s">
        <v>1363</v>
      </c>
      <c r="E597" s="1" t="s">
        <v>1364</v>
      </c>
      <c r="F597" s="1" t="s">
        <v>16</v>
      </c>
      <c r="G597" s="1" t="s">
        <v>17</v>
      </c>
      <c r="H597" s="1" t="s">
        <v>28</v>
      </c>
      <c r="I597" s="1" t="s">
        <v>40</v>
      </c>
      <c r="J597" s="1">
        <f>IFERROR(__xludf.DUMMYFUNCTION("""COMPUTED_VALUE"""),154.0)</f>
        <v>154</v>
      </c>
      <c r="K597" s="1">
        <v>38.0</v>
      </c>
      <c r="L597" s="1">
        <f>IFERROR(__xludf.DUMMYFUNCTION("""COMPUTED_VALUE"""),545.0)</f>
        <v>545</v>
      </c>
    </row>
    <row r="598">
      <c r="A598" s="1">
        <v>1803033.0</v>
      </c>
      <c r="B598" s="1" t="s">
        <v>1365</v>
      </c>
      <c r="C598" s="1" t="s">
        <v>1362</v>
      </c>
      <c r="D598" s="1" t="s">
        <v>1366</v>
      </c>
      <c r="E598" s="1" t="s">
        <v>1367</v>
      </c>
      <c r="F598" s="1" t="s">
        <v>16</v>
      </c>
      <c r="G598" s="1" t="s">
        <v>17</v>
      </c>
      <c r="H598" s="1" t="s">
        <v>18</v>
      </c>
      <c r="I598" s="1" t="s">
        <v>44</v>
      </c>
      <c r="J598" s="1">
        <f>IFERROR(__xludf.DUMMYFUNCTION("""COMPUTED_VALUE"""),100.0)</f>
        <v>100</v>
      </c>
      <c r="K598" s="1">
        <v>58.0</v>
      </c>
      <c r="L598" s="1">
        <f>IFERROR(__xludf.DUMMYFUNCTION("""COMPUTED_VALUE"""),179.0)</f>
        <v>179</v>
      </c>
    </row>
    <row r="599">
      <c r="A599" s="1">
        <v>1871282.0</v>
      </c>
      <c r="B599" s="1" t="s">
        <v>1368</v>
      </c>
      <c r="C599" s="1" t="s">
        <v>1362</v>
      </c>
      <c r="D599" s="1" t="s">
        <v>1369</v>
      </c>
      <c r="E599" s="1" t="s">
        <v>1370</v>
      </c>
      <c r="F599" s="1" t="s">
        <v>16</v>
      </c>
      <c r="G599" s="1" t="s">
        <v>17</v>
      </c>
      <c r="H599" s="1" t="s">
        <v>18</v>
      </c>
      <c r="I599" s="1" t="s">
        <v>59</v>
      </c>
      <c r="J599" s="1">
        <f>IFERROR(__xludf.DUMMYFUNCTION("""COMPUTED_VALUE"""),175.0)</f>
        <v>175</v>
      </c>
      <c r="K599" s="1">
        <v>48.0</v>
      </c>
      <c r="L599" s="1">
        <f>IFERROR(__xludf.DUMMYFUNCTION("""COMPUTED_VALUE"""),600.0)</f>
        <v>600</v>
      </c>
    </row>
    <row r="600">
      <c r="A600" s="1">
        <v>1803048.0</v>
      </c>
      <c r="B600" s="1" t="s">
        <v>1371</v>
      </c>
      <c r="C600" s="1" t="s">
        <v>1362</v>
      </c>
      <c r="D600" s="1" t="s">
        <v>1366</v>
      </c>
      <c r="E600" s="1" t="s">
        <v>1372</v>
      </c>
      <c r="F600" s="1" t="s">
        <v>16</v>
      </c>
      <c r="G600" s="1" t="s">
        <v>23</v>
      </c>
      <c r="H600" s="1" t="s">
        <v>18</v>
      </c>
      <c r="I600" s="1" t="s">
        <v>44</v>
      </c>
      <c r="J600" s="1">
        <f>IFERROR(__xludf.DUMMYFUNCTION("""COMPUTED_VALUE"""),40.0)</f>
        <v>40</v>
      </c>
      <c r="K600" s="1">
        <v>17.0</v>
      </c>
      <c r="L600" s="1">
        <f>IFERROR(__xludf.DUMMYFUNCTION("""COMPUTED_VALUE"""),182.0)</f>
        <v>182</v>
      </c>
    </row>
    <row r="601">
      <c r="A601" s="1">
        <v>1803034.0</v>
      </c>
      <c r="B601" s="1" t="s">
        <v>1373</v>
      </c>
      <c r="C601" s="1" t="s">
        <v>1362</v>
      </c>
      <c r="D601" s="1" t="s">
        <v>1366</v>
      </c>
      <c r="E601" s="1" t="s">
        <v>1374</v>
      </c>
      <c r="F601" s="1" t="s">
        <v>55</v>
      </c>
      <c r="G601" s="1" t="s">
        <v>17</v>
      </c>
      <c r="H601" s="1" t="s">
        <v>18</v>
      </c>
      <c r="I601" s="1" t="s">
        <v>19</v>
      </c>
      <c r="J601" s="1">
        <f>IFERROR(__xludf.DUMMYFUNCTION("""COMPUTED_VALUE"""),41.0)</f>
        <v>41</v>
      </c>
      <c r="K601" s="1">
        <v>19.0</v>
      </c>
      <c r="L601" s="1">
        <f>IFERROR(__xludf.DUMMYFUNCTION("""COMPUTED_VALUE"""),48.0)</f>
        <v>48</v>
      </c>
    </row>
    <row r="602">
      <c r="A602" s="1">
        <v>1808015.0</v>
      </c>
      <c r="B602" s="1" t="s">
        <v>1375</v>
      </c>
      <c r="C602" s="1" t="s">
        <v>1362</v>
      </c>
      <c r="D602" s="1" t="s">
        <v>1376</v>
      </c>
      <c r="E602" s="1" t="s">
        <v>1377</v>
      </c>
      <c r="F602" s="1" t="s">
        <v>16</v>
      </c>
      <c r="G602" s="1" t="s">
        <v>27</v>
      </c>
      <c r="H602" s="1" t="s">
        <v>28</v>
      </c>
      <c r="I602" s="1" t="s">
        <v>40</v>
      </c>
      <c r="J602" s="1">
        <f>IFERROR(__xludf.DUMMYFUNCTION("""COMPUTED_VALUE"""),158.0)</f>
        <v>158</v>
      </c>
      <c r="K602" s="1">
        <v>72.0</v>
      </c>
      <c r="L602" s="1">
        <f>IFERROR(__xludf.DUMMYFUNCTION("""COMPUTED_VALUE"""),411.0)</f>
        <v>411</v>
      </c>
    </row>
    <row r="603">
      <c r="A603" s="1">
        <v>1806039.0</v>
      </c>
      <c r="B603" s="1" t="s">
        <v>1378</v>
      </c>
      <c r="C603" s="1" t="s">
        <v>1362</v>
      </c>
      <c r="D603" s="1" t="s">
        <v>1379</v>
      </c>
      <c r="E603" s="1" t="s">
        <v>1380</v>
      </c>
      <c r="F603" s="1" t="s">
        <v>16</v>
      </c>
      <c r="G603" s="1" t="s">
        <v>17</v>
      </c>
      <c r="H603" s="1" t="s">
        <v>33</v>
      </c>
      <c r="I603" s="1" t="s">
        <v>19</v>
      </c>
      <c r="J603" s="1">
        <f>IFERROR(__xludf.DUMMYFUNCTION("""COMPUTED_VALUE"""),107.0)</f>
        <v>107</v>
      </c>
      <c r="K603" s="1">
        <v>25.0</v>
      </c>
      <c r="L603" s="1">
        <f>IFERROR(__xludf.DUMMYFUNCTION("""COMPUTED_VALUE"""),115.0)</f>
        <v>115</v>
      </c>
    </row>
    <row r="604">
      <c r="A604" s="1">
        <v>1805046.0</v>
      </c>
      <c r="B604" s="1" t="s">
        <v>1381</v>
      </c>
      <c r="C604" s="1" t="s">
        <v>1362</v>
      </c>
      <c r="D604" s="1" t="s">
        <v>1382</v>
      </c>
      <c r="E604" s="1" t="s">
        <v>1383</v>
      </c>
      <c r="F604" s="1" t="s">
        <v>16</v>
      </c>
      <c r="G604" s="1" t="s">
        <v>17</v>
      </c>
      <c r="H604" s="1" t="s">
        <v>18</v>
      </c>
      <c r="I604" s="1" t="s">
        <v>19</v>
      </c>
      <c r="J604" s="1">
        <f>IFERROR(__xludf.DUMMYFUNCTION("""COMPUTED_VALUE"""),113.0)</f>
        <v>113</v>
      </c>
      <c r="K604" s="1">
        <v>24.0</v>
      </c>
      <c r="L604" s="1">
        <f>IFERROR(__xludf.DUMMYFUNCTION("""COMPUTED_VALUE"""),117.0)</f>
        <v>117</v>
      </c>
    </row>
    <row r="605">
      <c r="A605" s="1">
        <v>1801016.0</v>
      </c>
      <c r="B605" s="1" t="s">
        <v>1384</v>
      </c>
      <c r="C605" s="1" t="s">
        <v>1362</v>
      </c>
      <c r="D605" s="1" t="s">
        <v>1385</v>
      </c>
      <c r="E605" s="1" t="s">
        <v>1386</v>
      </c>
      <c r="F605" s="1" t="s">
        <v>55</v>
      </c>
      <c r="G605" s="1" t="s">
        <v>17</v>
      </c>
      <c r="H605" s="1" t="s">
        <v>18</v>
      </c>
      <c r="I605" s="1" t="s">
        <v>44</v>
      </c>
      <c r="J605" s="1">
        <f>IFERROR(__xludf.DUMMYFUNCTION("""COMPUTED_VALUE"""),49.0)</f>
        <v>49</v>
      </c>
      <c r="K605" s="1">
        <v>18.0</v>
      </c>
      <c r="L605" s="1">
        <f>IFERROR(__xludf.DUMMYFUNCTION("""COMPUTED_VALUE"""),86.0)</f>
        <v>86</v>
      </c>
    </row>
    <row r="606">
      <c r="A606" s="1">
        <v>1871448.0</v>
      </c>
      <c r="B606" s="1" t="s">
        <v>1387</v>
      </c>
      <c r="C606" s="1" t="s">
        <v>1362</v>
      </c>
      <c r="D606" s="1" t="s">
        <v>1369</v>
      </c>
      <c r="E606" s="1" t="s">
        <v>1388</v>
      </c>
      <c r="F606" s="1" t="s">
        <v>272</v>
      </c>
      <c r="G606" s="1" t="s">
        <v>17</v>
      </c>
      <c r="H606" s="1" t="s">
        <v>18</v>
      </c>
      <c r="I606" s="1" t="s">
        <v>19</v>
      </c>
      <c r="J606" s="1">
        <f>IFERROR(__xludf.DUMMYFUNCTION("""COMPUTED_VALUE"""),15.0)</f>
        <v>15</v>
      </c>
      <c r="K606" s="1">
        <v>21.0</v>
      </c>
      <c r="L606" s="1">
        <f>IFERROR(__xludf.DUMMYFUNCTION("""COMPUTED_VALUE"""),49.0)</f>
        <v>49</v>
      </c>
    </row>
    <row r="607">
      <c r="A607" s="1">
        <v>1808018.0</v>
      </c>
      <c r="B607" s="1" t="s">
        <v>1389</v>
      </c>
      <c r="C607" s="1" t="s">
        <v>1362</v>
      </c>
      <c r="D607" s="1" t="s">
        <v>1376</v>
      </c>
      <c r="E607" s="1" t="s">
        <v>1390</v>
      </c>
      <c r="F607" s="1" t="s">
        <v>16</v>
      </c>
      <c r="G607" s="1" t="s">
        <v>23</v>
      </c>
      <c r="H607" s="1" t="s">
        <v>18</v>
      </c>
      <c r="I607" s="1" t="s">
        <v>44</v>
      </c>
      <c r="J607" s="1">
        <f>IFERROR(__xludf.DUMMYFUNCTION("""COMPUTED_VALUE"""),56.0)</f>
        <v>56</v>
      </c>
      <c r="K607" s="1">
        <v>21.0</v>
      </c>
      <c r="L607" s="1">
        <f>IFERROR(__xludf.DUMMYFUNCTION("""COMPUTED_VALUE"""),35.0)</f>
        <v>35</v>
      </c>
    </row>
    <row r="608">
      <c r="A608" s="1">
        <v>1804011.0</v>
      </c>
      <c r="B608" s="1" t="s">
        <v>1391</v>
      </c>
      <c r="C608" s="1" t="s">
        <v>1362</v>
      </c>
      <c r="D608" s="1" t="s">
        <v>1392</v>
      </c>
      <c r="E608" s="1" t="s">
        <v>1393</v>
      </c>
      <c r="F608" s="1" t="s">
        <v>16</v>
      </c>
      <c r="G608" s="1" t="s">
        <v>17</v>
      </c>
      <c r="H608" s="1" t="s">
        <v>28</v>
      </c>
      <c r="I608" s="1" t="s">
        <v>40</v>
      </c>
      <c r="J608" s="1">
        <f>IFERROR(__xludf.DUMMYFUNCTION("""COMPUTED_VALUE"""),112.0)</f>
        <v>112</v>
      </c>
      <c r="K608" s="1">
        <v>95.0</v>
      </c>
      <c r="L608" s="1">
        <f>IFERROR(__xludf.DUMMYFUNCTION("""COMPUTED_VALUE"""),518.0)</f>
        <v>518</v>
      </c>
    </row>
    <row r="609">
      <c r="A609" s="1">
        <v>1807016.0</v>
      </c>
      <c r="B609" s="1" t="s">
        <v>1394</v>
      </c>
      <c r="C609" s="1" t="s">
        <v>1362</v>
      </c>
      <c r="D609" s="1" t="s">
        <v>1395</v>
      </c>
      <c r="E609" s="1" t="s">
        <v>1396</v>
      </c>
      <c r="F609" s="1" t="s">
        <v>16</v>
      </c>
      <c r="G609" s="1" t="s">
        <v>17</v>
      </c>
      <c r="H609" s="1" t="s">
        <v>18</v>
      </c>
      <c r="I609" s="1" t="s">
        <v>59</v>
      </c>
      <c r="J609" s="1">
        <f>IFERROR(__xludf.DUMMYFUNCTION("""COMPUTED_VALUE"""),107.0)</f>
        <v>107</v>
      </c>
      <c r="K609" s="1">
        <v>28.0</v>
      </c>
      <c r="L609" s="1">
        <f>IFERROR(__xludf.DUMMYFUNCTION("""COMPUTED_VALUE"""),217.0)</f>
        <v>217</v>
      </c>
    </row>
    <row r="610">
      <c r="A610" s="1">
        <v>1871447.0</v>
      </c>
      <c r="B610" s="1" t="s">
        <v>1397</v>
      </c>
      <c r="C610" s="1" t="s">
        <v>1362</v>
      </c>
      <c r="D610" s="1" t="s">
        <v>1369</v>
      </c>
      <c r="E610" s="1" t="s">
        <v>1398</v>
      </c>
      <c r="F610" s="1" t="s">
        <v>16</v>
      </c>
      <c r="G610" s="1" t="s">
        <v>17</v>
      </c>
      <c r="H610" s="1" t="s">
        <v>18</v>
      </c>
      <c r="I610" s="1" t="s">
        <v>44</v>
      </c>
      <c r="J610" s="1">
        <f>IFERROR(__xludf.DUMMYFUNCTION("""COMPUTED_VALUE"""),105.0)</f>
        <v>105</v>
      </c>
      <c r="K610" s="1">
        <v>24.0</v>
      </c>
      <c r="L610" s="1">
        <f>IFERROR(__xludf.DUMMYFUNCTION("""COMPUTED_VALUE"""),230.0)</f>
        <v>230</v>
      </c>
    </row>
    <row r="611">
      <c r="A611" s="1">
        <v>1871416.0</v>
      </c>
      <c r="B611" s="1" t="s">
        <v>1399</v>
      </c>
      <c r="C611" s="1" t="s">
        <v>1362</v>
      </c>
      <c r="D611" s="1" t="s">
        <v>1369</v>
      </c>
      <c r="E611" s="1" t="s">
        <v>1400</v>
      </c>
      <c r="F611" s="1" t="s">
        <v>16</v>
      </c>
      <c r="G611" s="1" t="s">
        <v>17</v>
      </c>
      <c r="H611" s="1" t="s">
        <v>18</v>
      </c>
      <c r="I611" s="1" t="s">
        <v>44</v>
      </c>
      <c r="J611" s="1">
        <f>IFERROR(__xludf.DUMMYFUNCTION("""COMPUTED_VALUE"""),172.0)</f>
        <v>172</v>
      </c>
      <c r="K611" s="1">
        <v>34.0</v>
      </c>
      <c r="L611" s="1">
        <f>IFERROR(__xludf.DUMMYFUNCTION("""COMPUTED_VALUE"""),401.0)</f>
        <v>401</v>
      </c>
    </row>
    <row r="612">
      <c r="A612" s="1">
        <v>1871439.0</v>
      </c>
      <c r="B612" s="1" t="s">
        <v>1401</v>
      </c>
      <c r="C612" s="1" t="s">
        <v>1362</v>
      </c>
      <c r="D612" s="1" t="s">
        <v>1369</v>
      </c>
      <c r="E612" s="1" t="s">
        <v>1402</v>
      </c>
      <c r="F612" s="1" t="s">
        <v>55</v>
      </c>
      <c r="G612" s="1" t="s">
        <v>17</v>
      </c>
      <c r="H612" s="1" t="s">
        <v>18</v>
      </c>
      <c r="I612" s="1" t="s">
        <v>44</v>
      </c>
      <c r="J612" s="1">
        <f>IFERROR(__xludf.DUMMYFUNCTION("""COMPUTED_VALUE"""),41.0)</f>
        <v>41</v>
      </c>
      <c r="K612" s="1">
        <v>17.0</v>
      </c>
      <c r="L612" s="1">
        <f>IFERROR(__xludf.DUMMYFUNCTION("""COMPUTED_VALUE"""),104.0)</f>
        <v>104</v>
      </c>
    </row>
    <row r="613">
      <c r="A613" s="1">
        <v>1803036.0</v>
      </c>
      <c r="B613" s="1" t="s">
        <v>1403</v>
      </c>
      <c r="C613" s="1" t="s">
        <v>1362</v>
      </c>
      <c r="D613" s="1" t="s">
        <v>1366</v>
      </c>
      <c r="E613" s="1" t="s">
        <v>1404</v>
      </c>
      <c r="F613" s="1" t="s">
        <v>16</v>
      </c>
      <c r="G613" s="1" t="s">
        <v>17</v>
      </c>
      <c r="H613" s="1" t="s">
        <v>18</v>
      </c>
      <c r="I613" s="1" t="s">
        <v>19</v>
      </c>
      <c r="J613" s="1">
        <f>IFERROR(__xludf.DUMMYFUNCTION("""COMPUTED_VALUE"""),160.0)</f>
        <v>160</v>
      </c>
      <c r="K613" s="1">
        <v>59.0</v>
      </c>
      <c r="L613" s="1">
        <f>IFERROR(__xludf.DUMMYFUNCTION("""COMPUTED_VALUE"""),227.0)</f>
        <v>227</v>
      </c>
    </row>
    <row r="614">
      <c r="A614" s="1">
        <v>1813001.0</v>
      </c>
      <c r="B614" s="1" t="s">
        <v>1405</v>
      </c>
      <c r="C614" s="1" t="s">
        <v>1362</v>
      </c>
      <c r="D614" s="1" t="s">
        <v>1406</v>
      </c>
      <c r="E614" s="1" t="s">
        <v>1407</v>
      </c>
      <c r="F614" s="1" t="s">
        <v>16</v>
      </c>
      <c r="G614" s="1" t="s">
        <v>23</v>
      </c>
      <c r="H614" s="1" t="s">
        <v>18</v>
      </c>
      <c r="I614" s="1" t="s">
        <v>40</v>
      </c>
      <c r="J614" s="1">
        <f>IFERROR(__xludf.DUMMYFUNCTION("""COMPUTED_VALUE"""),27.0)</f>
        <v>27</v>
      </c>
      <c r="K614" s="1">
        <v>16.0</v>
      </c>
      <c r="L614" s="1">
        <f>IFERROR(__xludf.DUMMYFUNCTION("""COMPUTED_VALUE"""),120.0)</f>
        <v>120</v>
      </c>
    </row>
    <row r="615">
      <c r="A615" s="1">
        <v>1871026.0</v>
      </c>
      <c r="B615" s="1" t="s">
        <v>1408</v>
      </c>
      <c r="C615" s="1" t="s">
        <v>1362</v>
      </c>
      <c r="D615" s="1" t="s">
        <v>1369</v>
      </c>
      <c r="E615" s="1" t="s">
        <v>1409</v>
      </c>
      <c r="F615" s="1" t="s">
        <v>16</v>
      </c>
      <c r="G615" s="1" t="s">
        <v>17</v>
      </c>
      <c r="H615" s="1" t="s">
        <v>18</v>
      </c>
      <c r="I615" s="1" t="s">
        <v>74</v>
      </c>
      <c r="J615" s="1">
        <f>IFERROR(__xludf.DUMMYFUNCTION("""COMPUTED_VALUE"""),113.0)</f>
        <v>113</v>
      </c>
      <c r="K615" s="1">
        <v>22.0</v>
      </c>
      <c r="L615" s="1">
        <f>IFERROR(__xludf.DUMMYFUNCTION("""COMPUTED_VALUE"""),256.0)</f>
        <v>256</v>
      </c>
    </row>
    <row r="616">
      <c r="A616" s="1">
        <v>1805045.0</v>
      </c>
      <c r="B616" s="1" t="s">
        <v>1410</v>
      </c>
      <c r="C616" s="1" t="s">
        <v>1362</v>
      </c>
      <c r="D616" s="1" t="s">
        <v>1382</v>
      </c>
      <c r="E616" s="1" t="s">
        <v>1411</v>
      </c>
      <c r="F616" s="1" t="s">
        <v>16</v>
      </c>
      <c r="G616" s="1" t="s">
        <v>17</v>
      </c>
      <c r="H616" s="1" t="s">
        <v>18</v>
      </c>
      <c r="I616" s="1" t="s">
        <v>44</v>
      </c>
      <c r="J616" s="1">
        <f>IFERROR(__xludf.DUMMYFUNCTION("""COMPUTED_VALUE"""),167.0)</f>
        <v>167</v>
      </c>
      <c r="K616" s="1">
        <v>78.0</v>
      </c>
      <c r="L616" s="1">
        <f>IFERROR(__xludf.DUMMYFUNCTION("""COMPUTED_VALUE"""),313.0)</f>
        <v>313</v>
      </c>
    </row>
    <row r="617">
      <c r="A617" s="1">
        <v>1805060.0</v>
      </c>
      <c r="B617" s="1" t="s">
        <v>1412</v>
      </c>
      <c r="C617" s="1" t="s">
        <v>1362</v>
      </c>
      <c r="D617" s="1" t="s">
        <v>1382</v>
      </c>
      <c r="E617" s="1" t="s">
        <v>1413</v>
      </c>
      <c r="F617" s="1" t="s">
        <v>16</v>
      </c>
      <c r="G617" s="1" t="s">
        <v>23</v>
      </c>
      <c r="H617" s="1" t="s">
        <v>18</v>
      </c>
      <c r="I617" s="1" t="s">
        <v>44</v>
      </c>
      <c r="J617" s="1">
        <f>IFERROR(__xludf.DUMMYFUNCTION("""COMPUTED_VALUE"""),50.0)</f>
        <v>50</v>
      </c>
      <c r="K617" s="1">
        <v>16.0</v>
      </c>
      <c r="L617" s="1">
        <f>IFERROR(__xludf.DUMMYFUNCTION("""COMPUTED_VALUE"""),182.0)</f>
        <v>182</v>
      </c>
    </row>
    <row r="618">
      <c r="A618" s="1">
        <v>1812003.0</v>
      </c>
      <c r="B618" s="1" t="s">
        <v>1414</v>
      </c>
      <c r="C618" s="1" t="s">
        <v>1362</v>
      </c>
      <c r="D618" s="1" t="s">
        <v>1415</v>
      </c>
      <c r="E618" s="1" t="s">
        <v>1416</v>
      </c>
      <c r="F618" s="1" t="s">
        <v>16</v>
      </c>
      <c r="G618" s="1" t="s">
        <v>23</v>
      </c>
      <c r="H618" s="1" t="s">
        <v>28</v>
      </c>
      <c r="I618" s="1" t="s">
        <v>40</v>
      </c>
      <c r="J618" s="1">
        <f>IFERROR(__xludf.DUMMYFUNCTION("""COMPUTED_VALUE"""),50.0)</f>
        <v>50</v>
      </c>
      <c r="K618" s="1">
        <v>20.0</v>
      </c>
      <c r="L618" s="1">
        <f>IFERROR(__xludf.DUMMYFUNCTION("""COMPUTED_VALUE"""),105.0)</f>
        <v>105</v>
      </c>
    </row>
    <row r="619">
      <c r="A619" s="1">
        <v>1805023.0</v>
      </c>
      <c r="B619" s="1" t="s">
        <v>1417</v>
      </c>
      <c r="C619" s="1" t="s">
        <v>1362</v>
      </c>
      <c r="D619" s="1" t="s">
        <v>1382</v>
      </c>
      <c r="E619" s="1" t="s">
        <v>1418</v>
      </c>
      <c r="F619" s="1" t="s">
        <v>16</v>
      </c>
      <c r="G619" s="1" t="s">
        <v>27</v>
      </c>
      <c r="H619" s="1" t="s">
        <v>18</v>
      </c>
      <c r="I619" s="1" t="s">
        <v>19</v>
      </c>
      <c r="J619" s="1">
        <f>IFERROR(__xludf.DUMMYFUNCTION("""COMPUTED_VALUE"""),207.0)</f>
        <v>207</v>
      </c>
      <c r="K619" s="1">
        <v>38.0</v>
      </c>
      <c r="L619" s="1">
        <f>IFERROR(__xludf.DUMMYFUNCTION("""COMPUTED_VALUE"""),370.0)</f>
        <v>370</v>
      </c>
    </row>
    <row r="620">
      <c r="A620" s="1">
        <v>1804012.0</v>
      </c>
      <c r="B620" s="1" t="s">
        <v>1419</v>
      </c>
      <c r="C620" s="1" t="s">
        <v>1362</v>
      </c>
      <c r="D620" s="1" t="s">
        <v>1392</v>
      </c>
      <c r="E620" s="1" t="s">
        <v>1420</v>
      </c>
      <c r="F620" s="1" t="s">
        <v>16</v>
      </c>
      <c r="G620" s="1" t="s">
        <v>17</v>
      </c>
      <c r="H620" s="1" t="s">
        <v>18</v>
      </c>
      <c r="I620" s="1" t="s">
        <v>163</v>
      </c>
      <c r="J620" s="1">
        <f>IFERROR(__xludf.DUMMYFUNCTION("""COMPUTED_VALUE"""),130.0)</f>
        <v>130</v>
      </c>
      <c r="K620" s="1">
        <v>26.0</v>
      </c>
      <c r="L620" s="1">
        <f>IFERROR(__xludf.DUMMYFUNCTION("""COMPUTED_VALUE"""),111.0)</f>
        <v>111</v>
      </c>
    </row>
    <row r="621">
      <c r="A621" s="1">
        <v>1871438.0</v>
      </c>
      <c r="B621" s="1" t="s">
        <v>1421</v>
      </c>
      <c r="C621" s="1" t="s">
        <v>1362</v>
      </c>
      <c r="D621" s="1" t="s">
        <v>1369</v>
      </c>
      <c r="E621" s="1" t="s">
        <v>1422</v>
      </c>
      <c r="F621" s="1" t="s">
        <v>16</v>
      </c>
      <c r="G621" s="1" t="s">
        <v>17</v>
      </c>
      <c r="H621" s="1" t="s">
        <v>33</v>
      </c>
      <c r="I621" s="1" t="s">
        <v>65</v>
      </c>
      <c r="J621" s="1">
        <f>IFERROR(__xludf.DUMMYFUNCTION("""COMPUTED_VALUE"""),122.0)</f>
        <v>122</v>
      </c>
      <c r="K621" s="1">
        <v>35.0</v>
      </c>
      <c r="L621" s="1">
        <f>IFERROR(__xludf.DUMMYFUNCTION("""COMPUTED_VALUE"""),161.0)</f>
        <v>161</v>
      </c>
    </row>
    <row r="622">
      <c r="A622" s="1">
        <v>1872031.0</v>
      </c>
      <c r="B622" s="1" t="s">
        <v>1423</v>
      </c>
      <c r="C622" s="1" t="s">
        <v>1362</v>
      </c>
      <c r="D622" s="1" t="s">
        <v>1424</v>
      </c>
      <c r="E622" s="1" t="s">
        <v>1425</v>
      </c>
      <c r="F622" s="1" t="s">
        <v>16</v>
      </c>
      <c r="G622" s="1" t="s">
        <v>23</v>
      </c>
      <c r="H622" s="1" t="s">
        <v>18</v>
      </c>
      <c r="I622" s="1" t="s">
        <v>59</v>
      </c>
      <c r="J622" s="1">
        <f>IFERROR(__xludf.DUMMYFUNCTION("""COMPUTED_VALUE"""),78.0)</f>
        <v>78</v>
      </c>
      <c r="K622" s="1">
        <v>26.0</v>
      </c>
      <c r="L622" s="1">
        <f>IFERROR(__xludf.DUMMYFUNCTION("""COMPUTED_VALUE"""),183.0)</f>
        <v>183</v>
      </c>
    </row>
    <row r="623">
      <c r="A623" s="1">
        <v>1871442.0</v>
      </c>
      <c r="B623" s="1" t="s">
        <v>1426</v>
      </c>
      <c r="C623" s="1" t="s">
        <v>1362</v>
      </c>
      <c r="D623" s="1" t="s">
        <v>1369</v>
      </c>
      <c r="E623" s="1" t="s">
        <v>1427</v>
      </c>
      <c r="F623" s="1" t="s">
        <v>55</v>
      </c>
      <c r="G623" s="1" t="s">
        <v>17</v>
      </c>
      <c r="H623" s="1" t="s">
        <v>18</v>
      </c>
      <c r="I623" s="1" t="s">
        <v>44</v>
      </c>
      <c r="J623" s="1">
        <f>IFERROR(__xludf.DUMMYFUNCTION("""COMPUTED_VALUE"""),73.0)</f>
        <v>73</v>
      </c>
      <c r="K623" s="1">
        <v>8.0</v>
      </c>
      <c r="L623" s="1">
        <f>IFERROR(__xludf.DUMMYFUNCTION("""COMPUTED_VALUE"""),145.0)</f>
        <v>145</v>
      </c>
    </row>
    <row r="624">
      <c r="A624" s="1">
        <v>1806037.0</v>
      </c>
      <c r="B624" s="1" t="s">
        <v>1428</v>
      </c>
      <c r="C624" s="1" t="s">
        <v>1362</v>
      </c>
      <c r="D624" s="1" t="s">
        <v>1379</v>
      </c>
      <c r="E624" s="1" t="s">
        <v>1429</v>
      </c>
      <c r="F624" s="1" t="s">
        <v>16</v>
      </c>
      <c r="G624" s="1" t="s">
        <v>23</v>
      </c>
      <c r="H624" s="1" t="s">
        <v>18</v>
      </c>
      <c r="I624" s="1" t="s">
        <v>249</v>
      </c>
      <c r="J624" s="1">
        <f>IFERROR(__xludf.DUMMYFUNCTION("""COMPUTED_VALUE"""),63.0)</f>
        <v>63</v>
      </c>
      <c r="K624" s="1">
        <v>44.0</v>
      </c>
      <c r="L624" s="1">
        <f>IFERROR(__xludf.DUMMYFUNCTION("""COMPUTED_VALUE"""),50.0)</f>
        <v>50</v>
      </c>
    </row>
    <row r="625">
      <c r="A625" s="1">
        <v>1871180.0</v>
      </c>
      <c r="B625" s="1" t="s">
        <v>1430</v>
      </c>
      <c r="C625" s="1" t="s">
        <v>1362</v>
      </c>
      <c r="D625" s="1" t="s">
        <v>1369</v>
      </c>
      <c r="E625" s="1" t="s">
        <v>1431</v>
      </c>
      <c r="F625" s="1" t="s">
        <v>16</v>
      </c>
      <c r="G625" s="1" t="s">
        <v>27</v>
      </c>
      <c r="H625" s="1" t="s">
        <v>18</v>
      </c>
      <c r="I625" s="1" t="s">
        <v>258</v>
      </c>
      <c r="J625" s="1">
        <f>IFERROR(__xludf.DUMMYFUNCTION("""COMPUTED_VALUE"""),200.0)</f>
        <v>200</v>
      </c>
      <c r="K625" s="1">
        <v>94.0</v>
      </c>
      <c r="L625" s="1">
        <f>IFERROR(__xludf.DUMMYFUNCTION("""COMPUTED_VALUE"""),759.0)</f>
        <v>759</v>
      </c>
    </row>
    <row r="626">
      <c r="A626" s="1">
        <v>1809002.0</v>
      </c>
      <c r="B626" s="1" t="s">
        <v>1432</v>
      </c>
      <c r="C626" s="1" t="s">
        <v>1362</v>
      </c>
      <c r="D626" s="1" t="s">
        <v>1433</v>
      </c>
      <c r="E626" s="1" t="s">
        <v>1434</v>
      </c>
      <c r="F626" s="1" t="s">
        <v>16</v>
      </c>
      <c r="G626" s="1" t="s">
        <v>17</v>
      </c>
      <c r="H626" s="1" t="s">
        <v>28</v>
      </c>
      <c r="I626" s="1" t="s">
        <v>40</v>
      </c>
      <c r="J626" s="1">
        <f>IFERROR(__xludf.DUMMYFUNCTION("""COMPUTED_VALUE"""),107.0)</f>
        <v>107</v>
      </c>
      <c r="K626" s="1">
        <v>26.0</v>
      </c>
      <c r="L626" s="1">
        <f>IFERROR(__xludf.DUMMYFUNCTION("""COMPUTED_VALUE"""),115.0)</f>
        <v>115</v>
      </c>
    </row>
    <row r="627">
      <c r="A627" s="1">
        <v>1804014.0</v>
      </c>
      <c r="B627" s="1" t="s">
        <v>1435</v>
      </c>
      <c r="C627" s="1" t="s">
        <v>1362</v>
      </c>
      <c r="D627" s="1" t="s">
        <v>1392</v>
      </c>
      <c r="E627" s="1" t="s">
        <v>1436</v>
      </c>
      <c r="F627" s="1" t="s">
        <v>55</v>
      </c>
      <c r="G627" s="1" t="s">
        <v>17</v>
      </c>
      <c r="H627" s="1" t="s">
        <v>18</v>
      </c>
      <c r="I627" s="1" t="s">
        <v>59</v>
      </c>
      <c r="J627" s="1">
        <f>IFERROR(__xludf.DUMMYFUNCTION("""COMPUTED_VALUE"""),75.0)</f>
        <v>75</v>
      </c>
      <c r="K627" s="1">
        <v>14.0</v>
      </c>
      <c r="L627" s="1">
        <f>IFERROR(__xludf.DUMMYFUNCTION("""COMPUTED_VALUE"""),21.0)</f>
        <v>21</v>
      </c>
    </row>
    <row r="628">
      <c r="A628" s="1">
        <v>1802016.0</v>
      </c>
      <c r="B628" s="1" t="s">
        <v>1437</v>
      </c>
      <c r="C628" s="1" t="s">
        <v>1362</v>
      </c>
      <c r="D628" s="1" t="s">
        <v>1438</v>
      </c>
      <c r="E628" s="1" t="s">
        <v>1439</v>
      </c>
      <c r="F628" s="1" t="s">
        <v>16</v>
      </c>
      <c r="G628" s="1" t="s">
        <v>23</v>
      </c>
      <c r="H628" s="1" t="s">
        <v>18</v>
      </c>
      <c r="I628" s="1" t="s">
        <v>59</v>
      </c>
      <c r="J628" s="1">
        <f>IFERROR(__xludf.DUMMYFUNCTION("""COMPUTED_VALUE"""),77.0)</f>
        <v>77</v>
      </c>
      <c r="K628" s="1">
        <v>33.0</v>
      </c>
      <c r="L628" s="1">
        <f>IFERROR(__xludf.DUMMYFUNCTION("""COMPUTED_VALUE"""),192.0)</f>
        <v>192</v>
      </c>
    </row>
    <row r="629">
      <c r="A629" s="1">
        <v>1805048.0</v>
      </c>
      <c r="B629" s="1" t="s">
        <v>1440</v>
      </c>
      <c r="C629" s="1" t="s">
        <v>1362</v>
      </c>
      <c r="D629" s="1" t="s">
        <v>1382</v>
      </c>
      <c r="E629" s="1" t="s">
        <v>1441</v>
      </c>
      <c r="F629" s="1" t="s">
        <v>16</v>
      </c>
      <c r="G629" s="1" t="s">
        <v>17</v>
      </c>
      <c r="H629" s="1" t="s">
        <v>18</v>
      </c>
      <c r="I629" s="1" t="s">
        <v>44</v>
      </c>
      <c r="J629" s="1">
        <f>IFERROR(__xludf.DUMMYFUNCTION("""COMPUTED_VALUE"""),117.0)</f>
        <v>117</v>
      </c>
      <c r="K629" s="1">
        <v>33.0</v>
      </c>
      <c r="L629" s="1">
        <f>IFERROR(__xludf.DUMMYFUNCTION("""COMPUTED_VALUE"""),156.0)</f>
        <v>156</v>
      </c>
    </row>
    <row r="630">
      <c r="A630" s="1">
        <v>1805024.0</v>
      </c>
      <c r="B630" s="1" t="s">
        <v>1442</v>
      </c>
      <c r="C630" s="1" t="s">
        <v>1362</v>
      </c>
      <c r="D630" s="1" t="s">
        <v>1382</v>
      </c>
      <c r="E630" s="1" t="s">
        <v>1443</v>
      </c>
      <c r="F630" s="1" t="s">
        <v>16</v>
      </c>
      <c r="G630" s="1" t="s">
        <v>17</v>
      </c>
      <c r="H630" s="1" t="s">
        <v>18</v>
      </c>
      <c r="I630" s="1" t="s">
        <v>44</v>
      </c>
      <c r="J630" s="1">
        <f>IFERROR(__xludf.DUMMYFUNCTION("""COMPUTED_VALUE"""),135.0)</f>
        <v>135</v>
      </c>
      <c r="K630" s="1">
        <v>29.0</v>
      </c>
      <c r="L630" s="1">
        <f>IFERROR(__xludf.DUMMYFUNCTION("""COMPUTED_VALUE"""),275.0)</f>
        <v>275</v>
      </c>
    </row>
    <row r="631">
      <c r="A631" s="1">
        <v>1871048.0</v>
      </c>
      <c r="B631" s="1" t="s">
        <v>1444</v>
      </c>
      <c r="C631" s="1" t="s">
        <v>1362</v>
      </c>
      <c r="D631" s="1" t="s">
        <v>1369</v>
      </c>
      <c r="E631" s="1" t="s">
        <v>1445</v>
      </c>
      <c r="F631" s="1" t="s">
        <v>16</v>
      </c>
      <c r="G631" s="1" t="s">
        <v>17</v>
      </c>
      <c r="H631" s="1" t="s">
        <v>28</v>
      </c>
      <c r="I631" s="1" t="s">
        <v>29</v>
      </c>
      <c r="J631" s="1">
        <f>IFERROR(__xludf.DUMMYFUNCTION("""COMPUTED_VALUE"""),100.0)</f>
        <v>100</v>
      </c>
      <c r="K631" s="1">
        <v>52.0</v>
      </c>
      <c r="L631" s="1">
        <f>IFERROR(__xludf.DUMMYFUNCTION("""COMPUTED_VALUE"""),281.0)</f>
        <v>281</v>
      </c>
    </row>
    <row r="632">
      <c r="A632" s="1">
        <v>1871020.0</v>
      </c>
      <c r="B632" s="1" t="s">
        <v>1446</v>
      </c>
      <c r="C632" s="1" t="s">
        <v>1362</v>
      </c>
      <c r="D632" s="1" t="s">
        <v>1424</v>
      </c>
      <c r="E632" s="1" t="s">
        <v>1447</v>
      </c>
      <c r="F632" s="1" t="s">
        <v>16</v>
      </c>
      <c r="G632" s="1" t="s">
        <v>17</v>
      </c>
      <c r="H632" s="1" t="s">
        <v>18</v>
      </c>
      <c r="I632" s="1" t="s">
        <v>59</v>
      </c>
      <c r="J632" s="1">
        <f>IFERROR(__xludf.DUMMYFUNCTION("""COMPUTED_VALUE"""),199.0)</f>
        <v>199</v>
      </c>
      <c r="K632" s="1">
        <v>31.0</v>
      </c>
      <c r="L632" s="1">
        <f>IFERROR(__xludf.DUMMYFUNCTION("""COMPUTED_VALUE"""),293.0)</f>
        <v>293</v>
      </c>
    </row>
    <row r="633">
      <c r="A633" s="1">
        <v>1871234.0</v>
      </c>
      <c r="B633" s="1" t="s">
        <v>1448</v>
      </c>
      <c r="C633" s="1" t="s">
        <v>1362</v>
      </c>
      <c r="D633" s="1" t="s">
        <v>1369</v>
      </c>
      <c r="E633" s="1" t="s">
        <v>1449</v>
      </c>
      <c r="F633" s="1" t="s">
        <v>16</v>
      </c>
      <c r="G633" s="1" t="s">
        <v>17</v>
      </c>
      <c r="H633" s="1" t="s">
        <v>18</v>
      </c>
      <c r="I633" s="1" t="s">
        <v>59</v>
      </c>
      <c r="J633" s="1">
        <f>IFERROR(__xludf.DUMMYFUNCTION("""COMPUTED_VALUE"""),155.0)</f>
        <v>155</v>
      </c>
      <c r="K633" s="1">
        <v>23.0</v>
      </c>
      <c r="L633" s="1">
        <f>IFERROR(__xludf.DUMMYFUNCTION("""COMPUTED_VALUE"""),265.0)</f>
        <v>265</v>
      </c>
    </row>
    <row r="634">
      <c r="A634" s="1">
        <v>1808016.0</v>
      </c>
      <c r="B634" s="1" t="s">
        <v>1450</v>
      </c>
      <c r="C634" s="1" t="s">
        <v>1362</v>
      </c>
      <c r="D634" s="1" t="s">
        <v>1376</v>
      </c>
      <c r="E634" s="1" t="s">
        <v>1451</v>
      </c>
      <c r="F634" s="1" t="s">
        <v>16</v>
      </c>
      <c r="G634" s="1" t="s">
        <v>23</v>
      </c>
      <c r="H634" s="1" t="s">
        <v>18</v>
      </c>
      <c r="I634" s="1" t="s">
        <v>19</v>
      </c>
      <c r="J634" s="1">
        <f>IFERROR(__xludf.DUMMYFUNCTION("""COMPUTED_VALUE"""),99.0)</f>
        <v>99</v>
      </c>
      <c r="K634" s="1">
        <v>28.0</v>
      </c>
      <c r="L634" s="1">
        <f>IFERROR(__xludf.DUMMYFUNCTION("""COMPUTED_VALUE"""),134.0)</f>
        <v>134</v>
      </c>
    </row>
    <row r="635">
      <c r="A635" s="1">
        <v>1802038.0</v>
      </c>
      <c r="B635" s="1" t="s">
        <v>1452</v>
      </c>
      <c r="C635" s="1" t="s">
        <v>1362</v>
      </c>
      <c r="D635" s="1" t="s">
        <v>1363</v>
      </c>
      <c r="E635" s="1" t="s">
        <v>1453</v>
      </c>
      <c r="F635" s="1" t="s">
        <v>16</v>
      </c>
      <c r="G635" s="1" t="s">
        <v>17</v>
      </c>
      <c r="H635" s="1" t="s">
        <v>18</v>
      </c>
      <c r="I635" s="1" t="s">
        <v>19</v>
      </c>
      <c r="J635" s="1">
        <f>IFERROR(__xludf.DUMMYFUNCTION("""COMPUTED_VALUE"""),202.0)</f>
        <v>202</v>
      </c>
      <c r="K635" s="1">
        <v>60.0</v>
      </c>
      <c r="L635" s="1">
        <f>IFERROR(__xludf.DUMMYFUNCTION("""COMPUTED_VALUE"""),496.0)</f>
        <v>496</v>
      </c>
    </row>
    <row r="636">
      <c r="A636" s="1">
        <v>1807014.0</v>
      </c>
      <c r="B636" s="1" t="s">
        <v>1454</v>
      </c>
      <c r="C636" s="1" t="s">
        <v>1362</v>
      </c>
      <c r="D636" s="1" t="s">
        <v>1395</v>
      </c>
      <c r="E636" s="1" t="s">
        <v>1455</v>
      </c>
      <c r="F636" s="1" t="s">
        <v>16</v>
      </c>
      <c r="G636" s="1" t="s">
        <v>17</v>
      </c>
      <c r="H636" s="1" t="s">
        <v>28</v>
      </c>
      <c r="I636" s="1" t="s">
        <v>40</v>
      </c>
      <c r="J636" s="1">
        <f>IFERROR(__xludf.DUMMYFUNCTION("""COMPUTED_VALUE"""),106.0)</f>
        <v>106</v>
      </c>
      <c r="K636" s="1">
        <v>38.0</v>
      </c>
      <c r="L636" s="1">
        <f>IFERROR(__xludf.DUMMYFUNCTION("""COMPUTED_VALUE"""),325.0)</f>
        <v>325</v>
      </c>
    </row>
    <row r="637">
      <c r="A637" s="1">
        <v>1871446.0</v>
      </c>
      <c r="B637" s="1" t="s">
        <v>1456</v>
      </c>
      <c r="C637" s="1" t="s">
        <v>1362</v>
      </c>
      <c r="D637" s="1" t="s">
        <v>1369</v>
      </c>
      <c r="E637" s="1" t="s">
        <v>1457</v>
      </c>
      <c r="F637" s="1" t="s">
        <v>55</v>
      </c>
      <c r="G637" s="1" t="s">
        <v>17</v>
      </c>
      <c r="H637" s="1" t="s">
        <v>18</v>
      </c>
      <c r="I637" s="1" t="s">
        <v>44</v>
      </c>
      <c r="J637" s="1">
        <f>IFERROR(__xludf.DUMMYFUNCTION("""COMPUTED_VALUE"""),35.0)</f>
        <v>35</v>
      </c>
      <c r="K637" s="1">
        <v>16.0</v>
      </c>
      <c r="L637" s="1">
        <f>IFERROR(__xludf.DUMMYFUNCTION("""COMPUTED_VALUE"""),79.0)</f>
        <v>79</v>
      </c>
    </row>
    <row r="638">
      <c r="A638" s="1">
        <v>1804013.0</v>
      </c>
      <c r="B638" s="1" t="s">
        <v>1458</v>
      </c>
      <c r="C638" s="1" t="s">
        <v>1362</v>
      </c>
      <c r="D638" s="1" t="s">
        <v>1392</v>
      </c>
      <c r="E638" s="1" t="s">
        <v>1459</v>
      </c>
      <c r="F638" s="1" t="s">
        <v>55</v>
      </c>
      <c r="G638" s="1" t="s">
        <v>17</v>
      </c>
      <c r="H638" s="1" t="s">
        <v>18</v>
      </c>
      <c r="I638" s="1" t="s">
        <v>19</v>
      </c>
      <c r="J638" s="1">
        <f>IFERROR(__xludf.DUMMYFUNCTION("""COMPUTED_VALUE"""),29.0)</f>
        <v>29</v>
      </c>
      <c r="K638" s="1">
        <v>16.0</v>
      </c>
      <c r="L638" s="1">
        <f>IFERROR(__xludf.DUMMYFUNCTION("""COMPUTED_VALUE"""),44.0)</f>
        <v>44</v>
      </c>
    </row>
    <row r="639">
      <c r="A639" s="1">
        <v>1805047.0</v>
      </c>
      <c r="B639" s="1" t="s">
        <v>1460</v>
      </c>
      <c r="C639" s="1" t="s">
        <v>1362</v>
      </c>
      <c r="D639" s="1" t="s">
        <v>1382</v>
      </c>
      <c r="E639" s="1" t="s">
        <v>1461</v>
      </c>
      <c r="F639" s="1" t="s">
        <v>55</v>
      </c>
      <c r="G639" s="1" t="s">
        <v>17</v>
      </c>
      <c r="H639" s="1" t="s">
        <v>18</v>
      </c>
      <c r="I639" s="1" t="s">
        <v>44</v>
      </c>
      <c r="J639" s="1">
        <f>IFERROR(__xludf.DUMMYFUNCTION("""COMPUTED_VALUE"""),59.0)</f>
        <v>59</v>
      </c>
      <c r="K639" s="1">
        <v>15.0</v>
      </c>
      <c r="L639" s="1">
        <f>IFERROR(__xludf.DUMMYFUNCTION("""COMPUTED_VALUE"""),98.0)</f>
        <v>98</v>
      </c>
    </row>
    <row r="640">
      <c r="A640" s="1">
        <v>1803021.0</v>
      </c>
      <c r="B640" s="1" t="s">
        <v>1462</v>
      </c>
      <c r="C640" s="1" t="s">
        <v>1362</v>
      </c>
      <c r="D640" s="1" t="s">
        <v>1366</v>
      </c>
      <c r="E640" s="1" t="s">
        <v>1463</v>
      </c>
      <c r="F640" s="1" t="s">
        <v>16</v>
      </c>
      <c r="G640" s="1" t="s">
        <v>17</v>
      </c>
      <c r="H640" s="1" t="s">
        <v>28</v>
      </c>
      <c r="I640" s="1" t="s">
        <v>40</v>
      </c>
      <c r="J640" s="1">
        <f>IFERROR(__xludf.DUMMYFUNCTION("""COMPUTED_VALUE"""),166.0)</f>
        <v>166</v>
      </c>
      <c r="K640" s="1">
        <v>38.0</v>
      </c>
      <c r="L640" s="1">
        <f>IFERROR(__xludf.DUMMYFUNCTION("""COMPUTED_VALUE"""),446.0)</f>
        <v>446</v>
      </c>
    </row>
    <row r="641">
      <c r="A641" s="1">
        <v>1810003.0</v>
      </c>
      <c r="B641" s="1" t="s">
        <v>1464</v>
      </c>
      <c r="C641" s="1" t="s">
        <v>1362</v>
      </c>
      <c r="D641" s="1" t="s">
        <v>1363</v>
      </c>
      <c r="E641" s="1" t="s">
        <v>1465</v>
      </c>
      <c r="F641" s="1" t="s">
        <v>16</v>
      </c>
      <c r="G641" s="1" t="s">
        <v>23</v>
      </c>
      <c r="H641" s="1" t="s">
        <v>18</v>
      </c>
      <c r="I641" s="1" t="s">
        <v>163</v>
      </c>
      <c r="J641" s="1">
        <f>IFERROR(__xludf.DUMMYFUNCTION("""COMPUTED_VALUE"""),135.0)</f>
        <v>135</v>
      </c>
      <c r="K641" s="1">
        <v>40.0</v>
      </c>
      <c r="L641" s="1">
        <f>IFERROR(__xludf.DUMMYFUNCTION("""COMPUTED_VALUE"""),200.0)</f>
        <v>200</v>
      </c>
    </row>
    <row r="642">
      <c r="A642" s="1">
        <v>1871405.0</v>
      </c>
      <c r="B642" s="1" t="s">
        <v>1466</v>
      </c>
      <c r="C642" s="1" t="s">
        <v>1362</v>
      </c>
      <c r="D642" s="1" t="s">
        <v>1369</v>
      </c>
      <c r="E642" s="1" t="s">
        <v>1467</v>
      </c>
      <c r="F642" s="1" t="s">
        <v>16</v>
      </c>
      <c r="G642" s="1" t="s">
        <v>150</v>
      </c>
      <c r="H642" s="1" t="s">
        <v>18</v>
      </c>
      <c r="I642" s="1" t="s">
        <v>44</v>
      </c>
      <c r="J642" s="1">
        <f>IFERROR(__xludf.DUMMYFUNCTION("""COMPUTED_VALUE"""),574.0)</f>
        <v>574</v>
      </c>
      <c r="K642" s="1">
        <v>54.0</v>
      </c>
      <c r="L642" s="1">
        <f>IFERROR(__xludf.DUMMYFUNCTION("""COMPUTED_VALUE"""),1050.0)</f>
        <v>1050</v>
      </c>
    </row>
    <row r="643">
      <c r="A643" s="1">
        <v>1804015.0</v>
      </c>
      <c r="B643" s="1" t="s">
        <v>569</v>
      </c>
      <c r="C643" s="1" t="s">
        <v>1362</v>
      </c>
      <c r="D643" s="1" t="s">
        <v>1392</v>
      </c>
      <c r="E643" s="1" t="s">
        <v>1468</v>
      </c>
      <c r="F643" s="1" t="s">
        <v>16</v>
      </c>
      <c r="G643" s="1" t="s">
        <v>17</v>
      </c>
      <c r="H643" s="1" t="s">
        <v>18</v>
      </c>
      <c r="I643" s="1" t="s">
        <v>19</v>
      </c>
      <c r="J643" s="1">
        <f>IFERROR(__xludf.DUMMYFUNCTION("""COMPUTED_VALUE"""),103.0)</f>
        <v>103</v>
      </c>
      <c r="K643" s="1">
        <v>25.0</v>
      </c>
      <c r="L643" s="1">
        <f>IFERROR(__xludf.DUMMYFUNCTION("""COMPUTED_VALUE"""),120.0)</f>
        <v>120</v>
      </c>
    </row>
    <row r="644">
      <c r="A644" s="1">
        <v>1808017.0</v>
      </c>
      <c r="B644" s="1" t="s">
        <v>1469</v>
      </c>
      <c r="C644" s="1" t="s">
        <v>1362</v>
      </c>
      <c r="D644" s="1" t="s">
        <v>1376</v>
      </c>
      <c r="E644" s="1" t="s">
        <v>1470</v>
      </c>
      <c r="F644" s="1" t="s">
        <v>16</v>
      </c>
      <c r="G644" s="1" t="s">
        <v>23</v>
      </c>
      <c r="H644" s="1" t="s">
        <v>18</v>
      </c>
      <c r="I644" s="1" t="s">
        <v>44</v>
      </c>
      <c r="J644" s="1">
        <f>IFERROR(__xludf.DUMMYFUNCTION("""COMPUTED_VALUE"""),60.0)</f>
        <v>60</v>
      </c>
      <c r="K644" s="1">
        <v>24.0</v>
      </c>
      <c r="L644" s="1">
        <f>IFERROR(__xludf.DUMMYFUNCTION("""COMPUTED_VALUE"""),107.0)</f>
        <v>107</v>
      </c>
    </row>
    <row r="645">
      <c r="A645" s="1">
        <v>1801017.0</v>
      </c>
      <c r="B645" s="1" t="s">
        <v>1471</v>
      </c>
      <c r="C645" s="1" t="s">
        <v>1362</v>
      </c>
      <c r="D645" s="1" t="s">
        <v>1369</v>
      </c>
      <c r="E645" s="1" t="s">
        <v>1472</v>
      </c>
      <c r="F645" s="1" t="s">
        <v>16</v>
      </c>
      <c r="G645" s="1" t="s">
        <v>150</v>
      </c>
      <c r="H645" s="1" t="s">
        <v>28</v>
      </c>
      <c r="I645" s="1" t="s">
        <v>139</v>
      </c>
      <c r="J645" s="1">
        <f>IFERROR(__xludf.DUMMYFUNCTION("""COMPUTED_VALUE"""),625.0)</f>
        <v>625</v>
      </c>
      <c r="K645" s="1">
        <v>52.0</v>
      </c>
      <c r="L645" s="1">
        <f>IFERROR(__xludf.DUMMYFUNCTION("""COMPUTED_VALUE"""),1352.0)</f>
        <v>1352</v>
      </c>
    </row>
    <row r="646">
      <c r="A646" s="1">
        <v>1805034.0</v>
      </c>
      <c r="B646" s="1" t="s">
        <v>1473</v>
      </c>
      <c r="C646" s="1" t="s">
        <v>1362</v>
      </c>
      <c r="D646" s="1" t="s">
        <v>1382</v>
      </c>
      <c r="E646" s="1" t="s">
        <v>1474</v>
      </c>
      <c r="F646" s="1" t="s">
        <v>16</v>
      </c>
      <c r="G646" s="1" t="s">
        <v>17</v>
      </c>
      <c r="H646" s="1" t="s">
        <v>28</v>
      </c>
      <c r="I646" s="1" t="s">
        <v>40</v>
      </c>
      <c r="J646" s="1">
        <f>IFERROR(__xludf.DUMMYFUNCTION("""COMPUTED_VALUE"""),92.0)</f>
        <v>92</v>
      </c>
      <c r="K646" s="1">
        <v>27.0</v>
      </c>
      <c r="L646" s="1">
        <f>IFERROR(__xludf.DUMMYFUNCTION("""COMPUTED_VALUE"""),525.0)</f>
        <v>525</v>
      </c>
    </row>
    <row r="647">
      <c r="A647" s="1">
        <v>1812014.0</v>
      </c>
      <c r="B647" s="1" t="s">
        <v>1475</v>
      </c>
      <c r="C647" s="1" t="s">
        <v>1362</v>
      </c>
      <c r="D647" s="1" t="s">
        <v>1415</v>
      </c>
      <c r="E647" s="1" t="s">
        <v>1476</v>
      </c>
      <c r="F647" s="1" t="s">
        <v>55</v>
      </c>
      <c r="G647" s="1" t="s">
        <v>17</v>
      </c>
      <c r="H647" s="1" t="s">
        <v>18</v>
      </c>
      <c r="I647" s="1" t="s">
        <v>19</v>
      </c>
      <c r="J647" s="1">
        <f>IFERROR(__xludf.DUMMYFUNCTION("""COMPUTED_VALUE"""),62.0)</f>
        <v>62</v>
      </c>
      <c r="K647" s="1">
        <v>14.0</v>
      </c>
      <c r="L647" s="1">
        <f>IFERROR(__xludf.DUMMYFUNCTION("""COMPUTED_VALUE"""),182.0)</f>
        <v>182</v>
      </c>
    </row>
    <row r="648">
      <c r="A648" s="1">
        <v>1871440.0</v>
      </c>
      <c r="B648" s="1" t="s">
        <v>1477</v>
      </c>
      <c r="C648" s="1" t="s">
        <v>1362</v>
      </c>
      <c r="D648" s="1" t="s">
        <v>1369</v>
      </c>
      <c r="E648" s="1" t="s">
        <v>1478</v>
      </c>
      <c r="F648" s="1" t="s">
        <v>55</v>
      </c>
      <c r="G648" s="1" t="s">
        <v>17</v>
      </c>
      <c r="H648" s="1" t="s">
        <v>18</v>
      </c>
      <c r="I648" s="1" t="s">
        <v>44</v>
      </c>
      <c r="J648" s="1">
        <f>IFERROR(__xludf.DUMMYFUNCTION("""COMPUTED_VALUE"""),52.0)</f>
        <v>52</v>
      </c>
      <c r="K648" s="1">
        <v>14.0</v>
      </c>
      <c r="L648" s="1">
        <f>IFERROR(__xludf.DUMMYFUNCTION("""COMPUTED_VALUE"""),82.0)</f>
        <v>82</v>
      </c>
    </row>
    <row r="649">
      <c r="A649" s="1">
        <v>1809003.0</v>
      </c>
      <c r="B649" s="1" t="s">
        <v>1479</v>
      </c>
      <c r="C649" s="1" t="s">
        <v>1362</v>
      </c>
      <c r="D649" s="1" t="s">
        <v>1433</v>
      </c>
      <c r="E649" s="1" t="s">
        <v>1480</v>
      </c>
      <c r="F649" s="1" t="s">
        <v>16</v>
      </c>
      <c r="G649" s="1" t="s">
        <v>17</v>
      </c>
      <c r="H649" s="1" t="s">
        <v>18</v>
      </c>
      <c r="I649" s="1" t="s">
        <v>19</v>
      </c>
      <c r="J649" s="1">
        <f>IFERROR(__xludf.DUMMYFUNCTION("""COMPUTED_VALUE"""),100.0)</f>
        <v>100</v>
      </c>
      <c r="K649" s="1">
        <v>33.0</v>
      </c>
      <c r="L649" s="1">
        <f>IFERROR(__xludf.DUMMYFUNCTION("""COMPUTED_VALUE"""),120.0)</f>
        <v>120</v>
      </c>
    </row>
    <row r="650">
      <c r="A650" s="1">
        <v>1805012.0</v>
      </c>
      <c r="B650" s="1" t="s">
        <v>1481</v>
      </c>
      <c r="C650" s="1" t="s">
        <v>1362</v>
      </c>
      <c r="D650" s="1" t="s">
        <v>1382</v>
      </c>
      <c r="E650" s="1" t="s">
        <v>1482</v>
      </c>
      <c r="F650" s="1" t="s">
        <v>16</v>
      </c>
      <c r="G650" s="1" t="s">
        <v>17</v>
      </c>
      <c r="H650" s="1" t="s">
        <v>18</v>
      </c>
      <c r="I650" s="1" t="s">
        <v>19</v>
      </c>
      <c r="J650" s="1">
        <f>IFERROR(__xludf.DUMMYFUNCTION("""COMPUTED_VALUE"""),136.0)</f>
        <v>136</v>
      </c>
      <c r="K650" s="1">
        <v>37.0</v>
      </c>
      <c r="L650" s="1">
        <f>IFERROR(__xludf.DUMMYFUNCTION("""COMPUTED_VALUE"""),149.0)</f>
        <v>149</v>
      </c>
    </row>
    <row r="651">
      <c r="A651" s="1">
        <v>1810004.0</v>
      </c>
      <c r="B651" s="1" t="s">
        <v>1483</v>
      </c>
      <c r="C651" s="1" t="s">
        <v>1362</v>
      </c>
      <c r="D651" s="1" t="s">
        <v>1363</v>
      </c>
      <c r="E651" s="1" t="s">
        <v>1484</v>
      </c>
      <c r="F651" s="1" t="s">
        <v>55</v>
      </c>
      <c r="G651" s="1" t="s">
        <v>17</v>
      </c>
      <c r="H651" s="1" t="s">
        <v>18</v>
      </c>
      <c r="I651" s="1" t="s">
        <v>44</v>
      </c>
      <c r="J651" s="1">
        <f>IFERROR(__xludf.DUMMYFUNCTION("""COMPUTED_VALUE"""),30.0)</f>
        <v>30</v>
      </c>
      <c r="K651" s="1">
        <v>26.0</v>
      </c>
      <c r="L651" s="1">
        <f>IFERROR(__xludf.DUMMYFUNCTION("""COMPUTED_VALUE"""),31.0)</f>
        <v>31</v>
      </c>
    </row>
    <row r="652">
      <c r="A652" s="1">
        <v>1872066.0</v>
      </c>
      <c r="B652" s="1" t="s">
        <v>1485</v>
      </c>
      <c r="C652" s="1" t="s">
        <v>1362</v>
      </c>
      <c r="D652" s="1" t="s">
        <v>1424</v>
      </c>
      <c r="E652" s="1" t="s">
        <v>1486</v>
      </c>
      <c r="F652" s="1" t="s">
        <v>16</v>
      </c>
      <c r="G652" s="1" t="s">
        <v>23</v>
      </c>
      <c r="H652" s="1" t="s">
        <v>18</v>
      </c>
      <c r="I652" s="1" t="s">
        <v>44</v>
      </c>
      <c r="J652" s="1">
        <f>IFERROR(__xludf.DUMMYFUNCTION("""COMPUTED_VALUE"""),71.0)</f>
        <v>71</v>
      </c>
      <c r="K652" s="1">
        <v>20.0</v>
      </c>
      <c r="L652" s="1">
        <f>IFERROR(__xludf.DUMMYFUNCTION("""COMPUTED_VALUE"""),182.0)</f>
        <v>182</v>
      </c>
    </row>
    <row r="653">
      <c r="A653" s="1">
        <v>1871427.0</v>
      </c>
      <c r="B653" s="1" t="s">
        <v>1487</v>
      </c>
      <c r="C653" s="1" t="s">
        <v>1362</v>
      </c>
      <c r="D653" s="1" t="s">
        <v>1369</v>
      </c>
      <c r="E653" s="1" t="s">
        <v>1488</v>
      </c>
      <c r="F653" s="1" t="s">
        <v>16</v>
      </c>
      <c r="G653" s="1" t="s">
        <v>17</v>
      </c>
      <c r="H653" s="1" t="s">
        <v>18</v>
      </c>
      <c r="I653" s="1" t="s">
        <v>44</v>
      </c>
      <c r="J653" s="1">
        <f>IFERROR(__xludf.DUMMYFUNCTION("""COMPUTED_VALUE"""),191.0)</f>
        <v>191</v>
      </c>
      <c r="K653" s="1">
        <v>39.0</v>
      </c>
      <c r="L653" s="1">
        <f>IFERROR(__xludf.DUMMYFUNCTION("""COMPUTED_VALUE"""),320.0)</f>
        <v>320</v>
      </c>
    </row>
    <row r="654">
      <c r="A654" s="1">
        <v>1871176.0</v>
      </c>
      <c r="B654" s="1" t="s">
        <v>1489</v>
      </c>
      <c r="C654" s="1" t="s">
        <v>1362</v>
      </c>
      <c r="D654" s="1" t="s">
        <v>1433</v>
      </c>
      <c r="E654" s="1" t="s">
        <v>1490</v>
      </c>
      <c r="F654" s="1" t="s">
        <v>174</v>
      </c>
      <c r="G654" s="1" t="s">
        <v>27</v>
      </c>
      <c r="H654" s="1" t="s">
        <v>28</v>
      </c>
      <c r="I654" s="1" t="s">
        <v>139</v>
      </c>
      <c r="J654" s="1">
        <f>IFERROR(__xludf.DUMMYFUNCTION("""COMPUTED_VALUE"""),162.0)</f>
        <v>162</v>
      </c>
      <c r="K654" s="1">
        <v>46.0</v>
      </c>
      <c r="L654" s="1">
        <f>IFERROR(__xludf.DUMMYFUNCTION("""COMPUTED_VALUE"""),293.0)</f>
        <v>293</v>
      </c>
    </row>
    <row r="655">
      <c r="A655" s="1">
        <v>1872065.0</v>
      </c>
      <c r="B655" s="1" t="s">
        <v>1491</v>
      </c>
      <c r="C655" s="1" t="s">
        <v>1362</v>
      </c>
      <c r="D655" s="1" t="s">
        <v>1424</v>
      </c>
      <c r="E655" s="1" t="s">
        <v>1492</v>
      </c>
      <c r="F655" s="1" t="s">
        <v>55</v>
      </c>
      <c r="G655" s="1" t="s">
        <v>17</v>
      </c>
      <c r="H655" s="1" t="s">
        <v>18</v>
      </c>
      <c r="I655" s="1" t="s">
        <v>59</v>
      </c>
      <c r="J655" s="1">
        <f>IFERROR(__xludf.DUMMYFUNCTION("""COMPUTED_VALUE"""),27.0)</f>
        <v>27</v>
      </c>
      <c r="K655" s="1">
        <v>13.0</v>
      </c>
      <c r="L655" s="1">
        <f>IFERROR(__xludf.DUMMYFUNCTION("""COMPUTED_VALUE"""),70.0)</f>
        <v>70</v>
      </c>
    </row>
    <row r="656">
      <c r="A656" s="1">
        <v>1811013.0</v>
      </c>
      <c r="B656" s="1" t="s">
        <v>1493</v>
      </c>
      <c r="C656" s="1" t="s">
        <v>1362</v>
      </c>
      <c r="D656" s="1" t="s">
        <v>1494</v>
      </c>
      <c r="E656" s="1" t="s">
        <v>1495</v>
      </c>
      <c r="F656" s="1" t="s">
        <v>16</v>
      </c>
      <c r="G656" s="1" t="s">
        <v>23</v>
      </c>
      <c r="H656" s="1" t="s">
        <v>18</v>
      </c>
      <c r="I656" s="1" t="s">
        <v>19</v>
      </c>
      <c r="J656" s="1">
        <f>IFERROR(__xludf.DUMMYFUNCTION("""COMPUTED_VALUE"""),60.0)</f>
        <v>60</v>
      </c>
      <c r="K656" s="1">
        <v>21.0</v>
      </c>
      <c r="L656" s="1">
        <f>IFERROR(__xludf.DUMMYFUNCTION("""COMPUTED_VALUE"""),182.0)</f>
        <v>182</v>
      </c>
    </row>
    <row r="657">
      <c r="A657" s="1">
        <v>1801015.0</v>
      </c>
      <c r="B657" s="1" t="s">
        <v>1496</v>
      </c>
      <c r="C657" s="1" t="s">
        <v>1362</v>
      </c>
      <c r="D657" s="1" t="s">
        <v>1385</v>
      </c>
      <c r="E657" s="1" t="s">
        <v>1497</v>
      </c>
      <c r="F657" s="1" t="s">
        <v>16</v>
      </c>
      <c r="G657" s="1" t="s">
        <v>17</v>
      </c>
      <c r="H657" s="1" t="s">
        <v>28</v>
      </c>
      <c r="I657" s="1" t="s">
        <v>40</v>
      </c>
      <c r="J657" s="1">
        <f>IFERROR(__xludf.DUMMYFUNCTION("""COMPUTED_VALUE"""),136.0)</f>
        <v>136</v>
      </c>
      <c r="K657" s="1">
        <v>26.0</v>
      </c>
      <c r="L657" s="1">
        <f>IFERROR(__xludf.DUMMYFUNCTION("""COMPUTED_VALUE"""),335.0)</f>
        <v>335</v>
      </c>
    </row>
    <row r="658">
      <c r="A658" s="1">
        <v>1806013.0</v>
      </c>
      <c r="B658" s="1" t="s">
        <v>1498</v>
      </c>
      <c r="C658" s="1" t="s">
        <v>1362</v>
      </c>
      <c r="D658" s="1" t="s">
        <v>1379</v>
      </c>
      <c r="E658" s="1" t="s">
        <v>1499</v>
      </c>
      <c r="F658" s="1" t="s">
        <v>16</v>
      </c>
      <c r="G658" s="1" t="s">
        <v>17</v>
      </c>
      <c r="H658" s="1" t="s">
        <v>28</v>
      </c>
      <c r="I658" s="1" t="s">
        <v>40</v>
      </c>
      <c r="J658" s="1">
        <f>IFERROR(__xludf.DUMMYFUNCTION("""COMPUTED_VALUE"""),127.0)</f>
        <v>127</v>
      </c>
      <c r="K658" s="1">
        <v>29.0</v>
      </c>
      <c r="L658" s="1">
        <f>IFERROR(__xludf.DUMMYFUNCTION("""COMPUTED_VALUE"""),199.0)</f>
        <v>199</v>
      </c>
    </row>
    <row r="659">
      <c r="A659" s="1">
        <v>1872064.0</v>
      </c>
      <c r="B659" s="1" t="s">
        <v>1500</v>
      </c>
      <c r="C659" s="1" t="s">
        <v>1362</v>
      </c>
      <c r="D659" s="1" t="s">
        <v>1424</v>
      </c>
      <c r="E659" s="1" t="s">
        <v>1501</v>
      </c>
      <c r="F659" s="1" t="s">
        <v>16</v>
      </c>
      <c r="G659" s="1" t="s">
        <v>17</v>
      </c>
      <c r="H659" s="1" t="s">
        <v>18</v>
      </c>
      <c r="I659" s="1" t="s">
        <v>59</v>
      </c>
      <c r="J659" s="1">
        <f>IFERROR(__xludf.DUMMYFUNCTION("""COMPUTED_VALUE"""),103.0)</f>
        <v>103</v>
      </c>
      <c r="K659" s="1">
        <v>26.0</v>
      </c>
      <c r="L659" s="1">
        <f>IFERROR(__xludf.DUMMYFUNCTION("""COMPUTED_VALUE"""),62.0)</f>
        <v>62</v>
      </c>
    </row>
    <row r="660">
      <c r="A660" s="1">
        <v>1871449.0</v>
      </c>
      <c r="B660" s="1" t="s">
        <v>1502</v>
      </c>
      <c r="C660" s="1" t="s">
        <v>1362</v>
      </c>
      <c r="D660" s="1" t="s">
        <v>1369</v>
      </c>
      <c r="E660" s="1" t="s">
        <v>1503</v>
      </c>
      <c r="F660" s="1" t="s">
        <v>16</v>
      </c>
      <c r="G660" s="1" t="s">
        <v>17</v>
      </c>
      <c r="H660" s="1" t="s">
        <v>18</v>
      </c>
      <c r="I660" s="1" t="s">
        <v>19</v>
      </c>
      <c r="J660" s="1">
        <f>IFERROR(__xludf.DUMMYFUNCTION("""COMPUTED_VALUE"""),144.0)</f>
        <v>144</v>
      </c>
      <c r="K660" s="1">
        <v>78.0</v>
      </c>
      <c r="L660" s="1">
        <f>IFERROR(__xludf.DUMMYFUNCTION("""COMPUTED_VALUE"""),10.0)</f>
        <v>10</v>
      </c>
    </row>
    <row r="661">
      <c r="A661" s="1">
        <v>1806038.0</v>
      </c>
      <c r="B661" s="1" t="s">
        <v>1504</v>
      </c>
      <c r="C661" s="1" t="s">
        <v>1362</v>
      </c>
      <c r="D661" s="1" t="s">
        <v>1379</v>
      </c>
      <c r="E661" s="1" t="s">
        <v>1505</v>
      </c>
      <c r="F661" s="1" t="s">
        <v>16</v>
      </c>
      <c r="G661" s="1" t="s">
        <v>23</v>
      </c>
      <c r="H661" s="1" t="s">
        <v>18</v>
      </c>
      <c r="I661" s="1" t="s">
        <v>19</v>
      </c>
      <c r="J661" s="1">
        <f>IFERROR(__xludf.DUMMYFUNCTION("""COMPUTED_VALUE"""),58.0)</f>
        <v>58</v>
      </c>
      <c r="K661" s="1">
        <v>33.0</v>
      </c>
      <c r="L661" s="1">
        <f>IFERROR(__xludf.DUMMYFUNCTION("""COMPUTED_VALUE"""),95.0)</f>
        <v>95</v>
      </c>
    </row>
    <row r="662">
      <c r="A662" s="1">
        <v>1872016.0</v>
      </c>
      <c r="B662" s="1" t="s">
        <v>1506</v>
      </c>
      <c r="C662" s="1" t="s">
        <v>1362</v>
      </c>
      <c r="D662" s="1" t="s">
        <v>1424</v>
      </c>
      <c r="E662" s="1" t="s">
        <v>1507</v>
      </c>
      <c r="F662" s="1" t="s">
        <v>16</v>
      </c>
      <c r="G662" s="1" t="s">
        <v>27</v>
      </c>
      <c r="H662" s="1" t="s">
        <v>28</v>
      </c>
      <c r="I662" s="1" t="s">
        <v>29</v>
      </c>
      <c r="J662" s="1">
        <f>IFERROR(__xludf.DUMMYFUNCTION("""COMPUTED_VALUE"""),280.0)</f>
        <v>280</v>
      </c>
      <c r="K662" s="1">
        <v>95.0</v>
      </c>
      <c r="L662" s="1">
        <f>IFERROR(__xludf.DUMMYFUNCTION("""COMPUTED_VALUE"""),973.0)</f>
        <v>973</v>
      </c>
    </row>
    <row r="663">
      <c r="A663" s="1">
        <v>1872053.0</v>
      </c>
      <c r="B663" s="1" t="s">
        <v>1508</v>
      </c>
      <c r="C663" s="1" t="s">
        <v>1362</v>
      </c>
      <c r="D663" s="1" t="s">
        <v>1424</v>
      </c>
      <c r="E663" s="1" t="s">
        <v>1509</v>
      </c>
      <c r="F663" s="1" t="s">
        <v>55</v>
      </c>
      <c r="G663" s="1" t="s">
        <v>17</v>
      </c>
      <c r="H663" s="1" t="s">
        <v>18</v>
      </c>
      <c r="I663" s="1" t="s">
        <v>59</v>
      </c>
      <c r="J663" s="1">
        <f>IFERROR(__xludf.DUMMYFUNCTION("""COMPUTED_VALUE"""),60.0)</f>
        <v>60</v>
      </c>
      <c r="K663" s="1">
        <v>24.0</v>
      </c>
      <c r="L663" s="1">
        <f>IFERROR(__xludf.DUMMYFUNCTION("""COMPUTED_VALUE"""),81.0)</f>
        <v>81</v>
      </c>
    </row>
    <row r="664">
      <c r="A664" s="1">
        <v>1871443.0</v>
      </c>
      <c r="B664" s="1" t="s">
        <v>1510</v>
      </c>
      <c r="C664" s="1" t="s">
        <v>1362</v>
      </c>
      <c r="D664" s="1" t="s">
        <v>1369</v>
      </c>
      <c r="E664" s="1" t="s">
        <v>1511</v>
      </c>
      <c r="F664" s="1" t="s">
        <v>55</v>
      </c>
      <c r="G664" s="1" t="s">
        <v>17</v>
      </c>
      <c r="H664" s="1" t="s">
        <v>18</v>
      </c>
      <c r="I664" s="1" t="s">
        <v>19</v>
      </c>
      <c r="J664" s="1">
        <f>IFERROR(__xludf.DUMMYFUNCTION("""COMPUTED_VALUE"""),39.0)</f>
        <v>39</v>
      </c>
      <c r="K664" s="1">
        <v>25.0</v>
      </c>
      <c r="L664" s="1">
        <f>IFERROR(__xludf.DUMMYFUNCTION("""COMPUTED_VALUE"""),106.0)</f>
        <v>106</v>
      </c>
    </row>
    <row r="665">
      <c r="A665" s="1">
        <v>1812002.0</v>
      </c>
      <c r="B665" s="1" t="s">
        <v>1512</v>
      </c>
      <c r="C665" s="1" t="s">
        <v>1362</v>
      </c>
      <c r="D665" s="1" t="s">
        <v>1415</v>
      </c>
      <c r="E665" s="1" t="s">
        <v>1513</v>
      </c>
      <c r="F665" s="1" t="s">
        <v>16</v>
      </c>
      <c r="G665" s="1" t="s">
        <v>23</v>
      </c>
      <c r="H665" s="1" t="s">
        <v>18</v>
      </c>
      <c r="I665" s="1" t="s">
        <v>44</v>
      </c>
      <c r="J665" s="1">
        <f>IFERROR(__xludf.DUMMYFUNCTION("""COMPUTED_VALUE"""),60.0)</f>
        <v>60</v>
      </c>
      <c r="K665" s="1">
        <v>20.0</v>
      </c>
      <c r="L665" s="1">
        <f>IFERROR(__xludf.DUMMYFUNCTION("""COMPUTED_VALUE"""),112.0)</f>
        <v>112</v>
      </c>
    </row>
    <row r="666">
      <c r="A666" s="1">
        <v>1871223.0</v>
      </c>
      <c r="B666" s="1" t="s">
        <v>1514</v>
      </c>
      <c r="C666" s="1" t="s">
        <v>1362</v>
      </c>
      <c r="D666" s="1" t="s">
        <v>1369</v>
      </c>
      <c r="E666" s="1" t="s">
        <v>1515</v>
      </c>
      <c r="F666" s="1" t="s">
        <v>272</v>
      </c>
      <c r="G666" s="1" t="s">
        <v>17</v>
      </c>
      <c r="H666" s="1" t="s">
        <v>18</v>
      </c>
      <c r="I666" s="1" t="s">
        <v>59</v>
      </c>
      <c r="J666" s="1">
        <f>IFERROR(__xludf.DUMMYFUNCTION("""COMPUTED_VALUE"""),20.0)</f>
        <v>20</v>
      </c>
      <c r="K666" s="1">
        <v>16.0</v>
      </c>
      <c r="L666" s="1">
        <f>IFERROR(__xludf.DUMMYFUNCTION("""COMPUTED_VALUE"""),15.0)</f>
        <v>15</v>
      </c>
    </row>
    <row r="667">
      <c r="A667" s="1">
        <v>1806036.0</v>
      </c>
      <c r="B667" s="1" t="s">
        <v>1516</v>
      </c>
      <c r="C667" s="1" t="s">
        <v>1362</v>
      </c>
      <c r="D667" s="1" t="s">
        <v>1379</v>
      </c>
      <c r="E667" s="1" t="s">
        <v>1517</v>
      </c>
      <c r="F667" s="1" t="s">
        <v>16</v>
      </c>
      <c r="G667" s="1" t="s">
        <v>23</v>
      </c>
      <c r="H667" s="1" t="s">
        <v>18</v>
      </c>
      <c r="I667" s="1" t="s">
        <v>44</v>
      </c>
      <c r="J667" s="1">
        <f>IFERROR(__xludf.DUMMYFUNCTION("""COMPUTED_VALUE"""),59.0)</f>
        <v>59</v>
      </c>
      <c r="K667" s="1">
        <v>24.0</v>
      </c>
      <c r="L667" s="1">
        <f>IFERROR(__xludf.DUMMYFUNCTION("""COMPUTED_VALUE"""),54.0)</f>
        <v>54</v>
      </c>
    </row>
    <row r="668">
      <c r="A668" s="1">
        <v>1871002.0</v>
      </c>
      <c r="B668" s="1" t="s">
        <v>1518</v>
      </c>
      <c r="C668" s="1" t="s">
        <v>1362</v>
      </c>
      <c r="D668" s="1" t="s">
        <v>1363</v>
      </c>
      <c r="E668" s="1" t="s">
        <v>1519</v>
      </c>
      <c r="F668" s="1" t="s">
        <v>16</v>
      </c>
      <c r="G668" s="1" t="s">
        <v>23</v>
      </c>
      <c r="H668" s="1" t="s">
        <v>18</v>
      </c>
      <c r="I668" s="1" t="s">
        <v>163</v>
      </c>
      <c r="J668" s="1">
        <f>IFERROR(__xludf.DUMMYFUNCTION("""COMPUTED_VALUE"""),68.0)</f>
        <v>68</v>
      </c>
      <c r="K668" s="1">
        <v>34.0</v>
      </c>
      <c r="L668" s="1">
        <f>IFERROR(__xludf.DUMMYFUNCTION("""COMPUTED_VALUE"""),145.0)</f>
        <v>145</v>
      </c>
    </row>
    <row r="669">
      <c r="A669" s="1">
        <v>1811002.0</v>
      </c>
      <c r="B669" s="1" t="s">
        <v>1520</v>
      </c>
      <c r="C669" s="1" t="s">
        <v>1362</v>
      </c>
      <c r="D669" s="1" t="s">
        <v>1494</v>
      </c>
      <c r="E669" s="1" t="s">
        <v>1521</v>
      </c>
      <c r="F669" s="1" t="s">
        <v>16</v>
      </c>
      <c r="G669" s="1" t="s">
        <v>17</v>
      </c>
      <c r="H669" s="1" t="s">
        <v>28</v>
      </c>
      <c r="I669" s="1" t="s">
        <v>40</v>
      </c>
      <c r="J669" s="1">
        <f>IFERROR(__xludf.DUMMYFUNCTION("""COMPUTED_VALUE"""),100.0)</f>
        <v>100</v>
      </c>
      <c r="K669" s="1">
        <v>22.0</v>
      </c>
      <c r="L669" s="1">
        <f>IFERROR(__xludf.DUMMYFUNCTION("""COMPUTED_VALUE"""),236.0)</f>
        <v>236</v>
      </c>
    </row>
    <row r="670">
      <c r="A670" s="1">
        <v>1802027.0</v>
      </c>
      <c r="B670" s="1" t="s">
        <v>1522</v>
      </c>
      <c r="C670" s="1" t="s">
        <v>1362</v>
      </c>
      <c r="D670" s="1" t="s">
        <v>1438</v>
      </c>
      <c r="E670" s="1" t="s">
        <v>1523</v>
      </c>
      <c r="F670" s="1" t="s">
        <v>16</v>
      </c>
      <c r="G670" s="1" t="s">
        <v>17</v>
      </c>
      <c r="H670" s="1" t="s">
        <v>28</v>
      </c>
      <c r="I670" s="1" t="s">
        <v>40</v>
      </c>
      <c r="J670" s="1">
        <f>IFERROR(__xludf.DUMMYFUNCTION("""COMPUTED_VALUE"""),114.0)</f>
        <v>114</v>
      </c>
      <c r="K670" s="1">
        <v>36.0</v>
      </c>
      <c r="L670" s="1">
        <f>IFERROR(__xludf.DUMMYFUNCTION("""COMPUTED_VALUE"""),350.0)</f>
        <v>350</v>
      </c>
    </row>
    <row r="671">
      <c r="A671" s="1">
        <v>1806035.0</v>
      </c>
      <c r="B671" s="1" t="s">
        <v>1524</v>
      </c>
      <c r="C671" s="1" t="s">
        <v>1362</v>
      </c>
      <c r="D671" s="1" t="s">
        <v>1379</v>
      </c>
      <c r="E671" s="1" t="s">
        <v>1525</v>
      </c>
      <c r="F671" s="1" t="s">
        <v>16</v>
      </c>
      <c r="G671" s="1" t="s">
        <v>17</v>
      </c>
      <c r="H671" s="1" t="s">
        <v>18</v>
      </c>
      <c r="I671" s="1" t="s">
        <v>44</v>
      </c>
      <c r="J671" s="1">
        <f>IFERROR(__xludf.DUMMYFUNCTION("""COMPUTED_VALUE"""),184.0)</f>
        <v>184</v>
      </c>
      <c r="K671" s="1">
        <v>80.0</v>
      </c>
      <c r="L671" s="1">
        <f>IFERROR(__xludf.DUMMYFUNCTION("""COMPUTED_VALUE"""),336.0)</f>
        <v>336</v>
      </c>
    </row>
    <row r="672">
      <c r="A672" s="1">
        <v>1872042.0</v>
      </c>
      <c r="B672" s="1" t="s">
        <v>1526</v>
      </c>
      <c r="C672" s="1" t="s">
        <v>1362</v>
      </c>
      <c r="D672" s="1" t="s">
        <v>1424</v>
      </c>
      <c r="E672" s="1" t="s">
        <v>1527</v>
      </c>
      <c r="F672" s="1" t="s">
        <v>16</v>
      </c>
      <c r="G672" s="1" t="s">
        <v>17</v>
      </c>
      <c r="H672" s="1" t="s">
        <v>18</v>
      </c>
      <c r="I672" s="1" t="s">
        <v>59</v>
      </c>
      <c r="J672" s="1">
        <f>IFERROR(__xludf.DUMMYFUNCTION("""COMPUTED_VALUE"""),201.0)</f>
        <v>201</v>
      </c>
      <c r="K672" s="1">
        <v>42.0</v>
      </c>
      <c r="L672" s="1">
        <f>IFERROR(__xludf.DUMMYFUNCTION("""COMPUTED_VALUE"""),481.0)</f>
        <v>481</v>
      </c>
    </row>
    <row r="673">
      <c r="A673" s="1">
        <v>1805049.0</v>
      </c>
      <c r="B673" s="1" t="s">
        <v>1528</v>
      </c>
      <c r="C673" s="1" t="s">
        <v>1362</v>
      </c>
      <c r="D673" s="1" t="s">
        <v>1382</v>
      </c>
      <c r="E673" s="1" t="s">
        <v>1529</v>
      </c>
      <c r="F673" s="1" t="s">
        <v>55</v>
      </c>
      <c r="G673" s="1" t="s">
        <v>17</v>
      </c>
      <c r="H673" s="1" t="s">
        <v>18</v>
      </c>
      <c r="I673" s="1" t="s">
        <v>19</v>
      </c>
      <c r="J673" s="1">
        <f>IFERROR(__xludf.DUMMYFUNCTION("""COMPUTED_VALUE"""),57.0)</f>
        <v>57</v>
      </c>
      <c r="K673" s="1">
        <v>13.0</v>
      </c>
      <c r="L673" s="1">
        <f>IFERROR(__xludf.DUMMYFUNCTION("""COMPUTED_VALUE"""),124.0)</f>
        <v>124</v>
      </c>
    </row>
    <row r="674">
      <c r="A674" s="1">
        <v>1810005.0</v>
      </c>
      <c r="B674" s="1" t="s">
        <v>1530</v>
      </c>
      <c r="C674" s="1" t="s">
        <v>1362</v>
      </c>
      <c r="D674" s="1" t="s">
        <v>1363</v>
      </c>
      <c r="E674" s="1" t="s">
        <v>1531</v>
      </c>
      <c r="F674" s="1" t="s">
        <v>55</v>
      </c>
      <c r="G674" s="1" t="s">
        <v>17</v>
      </c>
      <c r="H674" s="1" t="s">
        <v>18</v>
      </c>
      <c r="I674" s="1" t="s">
        <v>19</v>
      </c>
      <c r="J674" s="1">
        <f>IFERROR(__xludf.DUMMYFUNCTION("""COMPUTED_VALUE"""),28.0)</f>
        <v>28</v>
      </c>
      <c r="K674" s="1">
        <v>15.0</v>
      </c>
      <c r="L674" s="1">
        <f>IFERROR(__xludf.DUMMYFUNCTION("""COMPUTED_VALUE"""),81.0)</f>
        <v>81</v>
      </c>
    </row>
    <row r="675">
      <c r="A675" s="1">
        <v>1803035.0</v>
      </c>
      <c r="B675" s="1" t="s">
        <v>1532</v>
      </c>
      <c r="C675" s="1" t="s">
        <v>1362</v>
      </c>
      <c r="D675" s="1" t="s">
        <v>1366</v>
      </c>
      <c r="E675" s="1" t="s">
        <v>1533</v>
      </c>
      <c r="F675" s="1" t="s">
        <v>16</v>
      </c>
      <c r="G675" s="1" t="s">
        <v>17</v>
      </c>
      <c r="H675" s="1" t="s">
        <v>18</v>
      </c>
      <c r="I675" s="1" t="s">
        <v>139</v>
      </c>
      <c r="J675" s="1">
        <f>IFERROR(__xludf.DUMMYFUNCTION("""COMPUTED_VALUE"""),100.0)</f>
        <v>100</v>
      </c>
      <c r="K675" s="1">
        <v>22.0</v>
      </c>
      <c r="L675" s="1">
        <f>IFERROR(__xludf.DUMMYFUNCTION("""COMPUTED_VALUE"""),225.0)</f>
        <v>225</v>
      </c>
    </row>
    <row r="676">
      <c r="A676" s="1">
        <v>1872067.0</v>
      </c>
      <c r="B676" s="1" t="s">
        <v>1534</v>
      </c>
      <c r="C676" s="1" t="s">
        <v>1362</v>
      </c>
      <c r="D676" s="1" t="s">
        <v>1424</v>
      </c>
      <c r="E676" s="1" t="s">
        <v>1535</v>
      </c>
      <c r="F676" s="1" t="s">
        <v>16</v>
      </c>
      <c r="G676" s="1" t="s">
        <v>23</v>
      </c>
      <c r="H676" s="1" t="s">
        <v>28</v>
      </c>
      <c r="I676" s="1" t="s">
        <v>29</v>
      </c>
      <c r="J676" s="1">
        <f>IFERROR(__xludf.DUMMYFUNCTION("""COMPUTED_VALUE"""),52.0)</f>
        <v>52</v>
      </c>
      <c r="K676" s="1">
        <v>7.0</v>
      </c>
      <c r="L676" s="1">
        <f>IFERROR(__xludf.DUMMYFUNCTION("""COMPUTED_VALUE"""),60.0)</f>
        <v>60</v>
      </c>
    </row>
    <row r="677">
      <c r="A677" s="1">
        <v>1971043.0</v>
      </c>
      <c r="B677" s="1" t="s">
        <v>1536</v>
      </c>
      <c r="C677" s="1" t="s">
        <v>1537</v>
      </c>
      <c r="D677" s="1" t="s">
        <v>1538</v>
      </c>
      <c r="E677" s="1" t="s">
        <v>1539</v>
      </c>
      <c r="F677" s="1" t="s">
        <v>16</v>
      </c>
      <c r="G677" s="1" t="s">
        <v>17</v>
      </c>
      <c r="H677" s="1" t="s">
        <v>18</v>
      </c>
      <c r="I677" s="1" t="s">
        <v>44</v>
      </c>
      <c r="J677" s="1">
        <f>IFERROR(__xludf.DUMMYFUNCTION("""COMPUTED_VALUE"""),190.0)</f>
        <v>190</v>
      </c>
      <c r="K677" s="1">
        <v>83.0</v>
      </c>
      <c r="L677" s="1">
        <f>IFERROR(__xludf.DUMMYFUNCTION("""COMPUTED_VALUE"""),500.0)</f>
        <v>500</v>
      </c>
    </row>
    <row r="678">
      <c r="A678" s="1">
        <v>1904016.0</v>
      </c>
      <c r="B678" s="1" t="s">
        <v>1540</v>
      </c>
      <c r="C678" s="1" t="s">
        <v>1537</v>
      </c>
      <c r="D678" s="1" t="s">
        <v>1541</v>
      </c>
      <c r="E678" s="1" t="s">
        <v>1542</v>
      </c>
      <c r="F678" s="1" t="s">
        <v>16</v>
      </c>
      <c r="G678" s="1" t="s">
        <v>23</v>
      </c>
      <c r="H678" s="1" t="s">
        <v>18</v>
      </c>
      <c r="I678" s="1" t="s">
        <v>65</v>
      </c>
      <c r="J678" s="1">
        <f>IFERROR(__xludf.DUMMYFUNCTION("""COMPUTED_VALUE"""),72.0)</f>
        <v>72</v>
      </c>
      <c r="K678" s="1">
        <v>20.0</v>
      </c>
      <c r="L678" s="1">
        <f>IFERROR(__xludf.DUMMYFUNCTION("""COMPUTED_VALUE"""),6.0)</f>
        <v>6</v>
      </c>
    </row>
    <row r="679">
      <c r="A679" s="1">
        <v>1901043.0</v>
      </c>
      <c r="B679" s="1" t="s">
        <v>1543</v>
      </c>
      <c r="C679" s="1" t="s">
        <v>1537</v>
      </c>
      <c r="D679" s="1" t="s">
        <v>1544</v>
      </c>
      <c r="E679" s="1" t="s">
        <v>1545</v>
      </c>
      <c r="F679" s="1" t="s">
        <v>16</v>
      </c>
      <c r="G679" s="1" t="s">
        <v>27</v>
      </c>
      <c r="H679" s="1" t="s">
        <v>28</v>
      </c>
      <c r="I679" s="1" t="s">
        <v>139</v>
      </c>
      <c r="J679" s="1">
        <f>IFERROR(__xludf.DUMMYFUNCTION("""COMPUTED_VALUE"""),212.0)</f>
        <v>212</v>
      </c>
      <c r="K679" s="1">
        <v>74.0</v>
      </c>
      <c r="L679" s="1">
        <f>IFERROR(__xludf.DUMMYFUNCTION("""COMPUTED_VALUE"""),767.0)</f>
        <v>767</v>
      </c>
    </row>
    <row r="680">
      <c r="A680" s="1">
        <v>1901031.0</v>
      </c>
      <c r="B680" s="1" t="s">
        <v>1546</v>
      </c>
      <c r="C680" s="1" t="s">
        <v>1537</v>
      </c>
      <c r="D680" s="1" t="s">
        <v>1544</v>
      </c>
      <c r="E680" s="1" t="s">
        <v>1547</v>
      </c>
      <c r="F680" s="1" t="s">
        <v>16</v>
      </c>
      <c r="G680" s="1" t="s">
        <v>17</v>
      </c>
      <c r="H680" s="1" t="s">
        <v>18</v>
      </c>
      <c r="I680" s="1" t="s">
        <v>44</v>
      </c>
      <c r="J680" s="1">
        <f>IFERROR(__xludf.DUMMYFUNCTION("""COMPUTED_VALUE"""),110.0)</f>
        <v>110</v>
      </c>
      <c r="K680" s="1">
        <v>54.0</v>
      </c>
      <c r="L680" s="1">
        <f>IFERROR(__xludf.DUMMYFUNCTION("""COMPUTED_VALUE"""),331.0)</f>
        <v>331</v>
      </c>
    </row>
    <row r="681">
      <c r="A681" s="1">
        <v>1971006.0</v>
      </c>
      <c r="B681" s="1" t="s">
        <v>1548</v>
      </c>
      <c r="C681" s="1" t="s">
        <v>1537</v>
      </c>
      <c r="D681" s="1" t="s">
        <v>1538</v>
      </c>
      <c r="E681" s="1" t="s">
        <v>1549</v>
      </c>
      <c r="F681" s="1" t="s">
        <v>55</v>
      </c>
      <c r="G681" s="1" t="s">
        <v>17</v>
      </c>
      <c r="H681" s="1" t="s">
        <v>18</v>
      </c>
      <c r="I681" s="1" t="s">
        <v>19</v>
      </c>
      <c r="J681" s="1">
        <f>IFERROR(__xludf.DUMMYFUNCTION("""COMPUTED_VALUE"""),24.0)</f>
        <v>24</v>
      </c>
      <c r="K681" s="1">
        <v>15.0</v>
      </c>
      <c r="L681" s="1">
        <f>IFERROR(__xludf.DUMMYFUNCTION("""COMPUTED_VALUE"""),48.0)</f>
        <v>48</v>
      </c>
    </row>
    <row r="682">
      <c r="A682" s="1">
        <v>1971003.0</v>
      </c>
      <c r="B682" s="1" t="s">
        <v>1550</v>
      </c>
      <c r="C682" s="1" t="s">
        <v>1537</v>
      </c>
      <c r="D682" s="1" t="s">
        <v>1538</v>
      </c>
      <c r="E682" s="1" t="s">
        <v>1551</v>
      </c>
      <c r="F682" s="1" t="s">
        <v>55</v>
      </c>
      <c r="G682" s="1" t="s">
        <v>17</v>
      </c>
      <c r="H682" s="1" t="s">
        <v>18</v>
      </c>
      <c r="I682" s="1" t="s">
        <v>44</v>
      </c>
      <c r="J682" s="1">
        <f>IFERROR(__xludf.DUMMYFUNCTION("""COMPUTED_VALUE"""),55.0)</f>
        <v>55</v>
      </c>
      <c r="K682" s="1">
        <v>14.0</v>
      </c>
      <c r="L682" s="1">
        <f>IFERROR(__xludf.DUMMYFUNCTION("""COMPUTED_VALUE"""),72.0)</f>
        <v>72</v>
      </c>
    </row>
    <row r="683">
      <c r="A683" s="1">
        <v>1971054.0</v>
      </c>
      <c r="B683" s="1" t="s">
        <v>1552</v>
      </c>
      <c r="C683" s="1" t="s">
        <v>1537</v>
      </c>
      <c r="D683" s="1" t="s">
        <v>1538</v>
      </c>
      <c r="E683" s="1" t="s">
        <v>1553</v>
      </c>
      <c r="F683" s="1" t="s">
        <v>16</v>
      </c>
      <c r="G683" s="1" t="s">
        <v>23</v>
      </c>
      <c r="H683" s="1" t="s">
        <v>18</v>
      </c>
      <c r="I683" s="1" t="s">
        <v>74</v>
      </c>
      <c r="J683" s="1">
        <f>IFERROR(__xludf.DUMMYFUNCTION("""COMPUTED_VALUE"""),57.0)</f>
        <v>57</v>
      </c>
      <c r="K683" s="1">
        <v>2.0</v>
      </c>
      <c r="L683" s="1">
        <f>IFERROR(__xludf.DUMMYFUNCTION("""COMPUTED_VALUE"""),182.0)</f>
        <v>182</v>
      </c>
    </row>
    <row r="684">
      <c r="A684" s="1">
        <v>1904013.0</v>
      </c>
      <c r="B684" s="1" t="s">
        <v>1554</v>
      </c>
      <c r="C684" s="1" t="s">
        <v>1537</v>
      </c>
      <c r="D684" s="1" t="s">
        <v>1541</v>
      </c>
      <c r="E684" s="1" t="s">
        <v>1555</v>
      </c>
      <c r="F684" s="1" t="s">
        <v>16</v>
      </c>
      <c r="G684" s="1" t="s">
        <v>17</v>
      </c>
      <c r="H684" s="1" t="s">
        <v>28</v>
      </c>
      <c r="I684" s="1" t="s">
        <v>40</v>
      </c>
      <c r="J684" s="1">
        <f>IFERROR(__xludf.DUMMYFUNCTION("""COMPUTED_VALUE"""),101.0)</f>
        <v>101</v>
      </c>
      <c r="K684" s="1">
        <v>83.0</v>
      </c>
      <c r="L684" s="1">
        <f>IFERROR(__xludf.DUMMYFUNCTION("""COMPUTED_VALUE"""),412.0)</f>
        <v>412</v>
      </c>
    </row>
    <row r="685">
      <c r="A685" s="1">
        <v>1905026.0</v>
      </c>
      <c r="B685" s="1" t="s">
        <v>1556</v>
      </c>
      <c r="C685" s="1" t="s">
        <v>1537</v>
      </c>
      <c r="D685" s="1" t="s">
        <v>1557</v>
      </c>
      <c r="E685" s="1" t="s">
        <v>1558</v>
      </c>
      <c r="F685" s="1" t="s">
        <v>16</v>
      </c>
      <c r="G685" s="1" t="s">
        <v>23</v>
      </c>
      <c r="H685" s="1" t="s">
        <v>28</v>
      </c>
      <c r="I685" s="1" t="s">
        <v>40</v>
      </c>
      <c r="J685" s="1">
        <f>IFERROR(__xludf.DUMMYFUNCTION("""COMPUTED_VALUE"""),53.0)</f>
        <v>53</v>
      </c>
      <c r="K685" s="1">
        <v>21.0</v>
      </c>
      <c r="L685" s="1">
        <f>IFERROR(__xludf.DUMMYFUNCTION("""COMPUTED_VALUE"""),135.0)</f>
        <v>135</v>
      </c>
    </row>
    <row r="686">
      <c r="A686" s="1">
        <v>1905024.0</v>
      </c>
      <c r="B686" s="1" t="s">
        <v>1559</v>
      </c>
      <c r="C686" s="1" t="s">
        <v>1537</v>
      </c>
      <c r="D686" s="1" t="s">
        <v>1557</v>
      </c>
      <c r="E686" s="1" t="s">
        <v>1560</v>
      </c>
      <c r="F686" s="1" t="s">
        <v>16</v>
      </c>
      <c r="G686" s="1" t="s">
        <v>17</v>
      </c>
      <c r="H686" s="1" t="s">
        <v>28</v>
      </c>
      <c r="I686" s="1" t="s">
        <v>40</v>
      </c>
      <c r="J686" s="1">
        <f>IFERROR(__xludf.DUMMYFUNCTION("""COMPUTED_VALUE"""),103.0)</f>
        <v>103</v>
      </c>
      <c r="K686" s="1">
        <v>27.0</v>
      </c>
      <c r="L686" s="1">
        <f>IFERROR(__xludf.DUMMYFUNCTION("""COMPUTED_VALUE"""),384.0)</f>
        <v>384</v>
      </c>
    </row>
    <row r="687">
      <c r="A687" s="1">
        <v>1901046.0</v>
      </c>
      <c r="B687" s="1" t="s">
        <v>1561</v>
      </c>
      <c r="C687" s="1" t="s">
        <v>1537</v>
      </c>
      <c r="D687" s="1" t="s">
        <v>1544</v>
      </c>
      <c r="E687" s="1" t="s">
        <v>1562</v>
      </c>
      <c r="F687" s="1" t="s">
        <v>16</v>
      </c>
      <c r="G687" s="1" t="s">
        <v>98</v>
      </c>
      <c r="H687" s="1" t="s">
        <v>28</v>
      </c>
      <c r="I687" s="1" t="s">
        <v>40</v>
      </c>
      <c r="J687" s="1">
        <f>IFERROR(__xludf.DUMMYFUNCTION("""COMPUTED_VALUE"""),32.0)</f>
        <v>32</v>
      </c>
      <c r="K687" s="1">
        <v>27.0</v>
      </c>
      <c r="L687" s="1">
        <f>IFERROR(__xludf.DUMMYFUNCTION("""COMPUTED_VALUE"""),73.0)</f>
        <v>73</v>
      </c>
    </row>
    <row r="688">
      <c r="A688" s="1">
        <v>1971021.0</v>
      </c>
      <c r="B688" s="1" t="s">
        <v>1563</v>
      </c>
      <c r="C688" s="1" t="s">
        <v>1537</v>
      </c>
      <c r="D688" s="1" t="s">
        <v>1538</v>
      </c>
      <c r="E688" s="1" t="s">
        <v>1564</v>
      </c>
      <c r="F688" s="1" t="s">
        <v>16</v>
      </c>
      <c r="G688" s="1" t="s">
        <v>17</v>
      </c>
      <c r="H688" s="1" t="s">
        <v>28</v>
      </c>
      <c r="I688" s="1" t="s">
        <v>29</v>
      </c>
      <c r="J688" s="1">
        <f>IFERROR(__xludf.DUMMYFUNCTION("""COMPUTED_VALUE"""),111.0)</f>
        <v>111</v>
      </c>
      <c r="K688" s="1">
        <v>98.0</v>
      </c>
      <c r="L688" s="1">
        <f>IFERROR(__xludf.DUMMYFUNCTION("""COMPUTED_VALUE"""),663.0)</f>
        <v>663</v>
      </c>
    </row>
    <row r="689">
      <c r="A689" s="1">
        <v>1902011.0</v>
      </c>
      <c r="B689" s="1" t="s">
        <v>1565</v>
      </c>
      <c r="C689" s="1" t="s">
        <v>1537</v>
      </c>
      <c r="D689" s="1" t="s">
        <v>1566</v>
      </c>
      <c r="E689" s="1" t="s">
        <v>1567</v>
      </c>
      <c r="F689" s="1" t="s">
        <v>16</v>
      </c>
      <c r="G689" s="1" t="s">
        <v>23</v>
      </c>
      <c r="H689" s="1" t="s">
        <v>18</v>
      </c>
      <c r="I689" s="1" t="s">
        <v>19</v>
      </c>
      <c r="J689" s="1">
        <f>IFERROR(__xludf.DUMMYFUNCTION("""COMPUTED_VALUE"""),50.0)</f>
        <v>50</v>
      </c>
      <c r="K689" s="1">
        <v>21.0</v>
      </c>
      <c r="L689" s="1">
        <f>IFERROR(__xludf.DUMMYFUNCTION("""COMPUTED_VALUE"""),34.0)</f>
        <v>34</v>
      </c>
    </row>
    <row r="690">
      <c r="A690" s="1">
        <v>1904015.0</v>
      </c>
      <c r="B690" s="1" t="s">
        <v>1568</v>
      </c>
      <c r="C690" s="1" t="s">
        <v>1537</v>
      </c>
      <c r="D690" s="1" t="s">
        <v>1541</v>
      </c>
      <c r="E690" s="1" t="s">
        <v>1569</v>
      </c>
      <c r="F690" s="1" t="s">
        <v>16</v>
      </c>
      <c r="G690" s="1" t="s">
        <v>98</v>
      </c>
      <c r="H690" s="1" t="s">
        <v>28</v>
      </c>
      <c r="I690" s="1" t="s">
        <v>40</v>
      </c>
      <c r="J690" s="1">
        <f>IFERROR(__xludf.DUMMYFUNCTION("""COMPUTED_VALUE"""),28.0)</f>
        <v>28</v>
      </c>
      <c r="K690" s="1">
        <v>23.0</v>
      </c>
      <c r="L690" s="1">
        <f>IFERROR(__xludf.DUMMYFUNCTION("""COMPUTED_VALUE"""),182.0)</f>
        <v>182</v>
      </c>
    </row>
    <row r="691">
      <c r="A691" s="1">
        <v>1901020.0</v>
      </c>
      <c r="B691" s="1" t="s">
        <v>1570</v>
      </c>
      <c r="C691" s="1" t="s">
        <v>1537</v>
      </c>
      <c r="D691" s="1" t="s">
        <v>1544</v>
      </c>
      <c r="E691" s="1" t="s">
        <v>1571</v>
      </c>
      <c r="F691" s="1" t="s">
        <v>174</v>
      </c>
      <c r="G691" s="1" t="s">
        <v>27</v>
      </c>
      <c r="H691" s="1" t="s">
        <v>28</v>
      </c>
      <c r="I691" s="1" t="s">
        <v>139</v>
      </c>
      <c r="J691" s="1">
        <f>IFERROR(__xludf.DUMMYFUNCTION("""COMPUTED_VALUE"""),149.0)</f>
        <v>149</v>
      </c>
      <c r="K691" s="1">
        <v>21.0</v>
      </c>
      <c r="L691" s="1">
        <f>IFERROR(__xludf.DUMMYFUNCTION("""COMPUTED_VALUE"""),182.0)</f>
        <v>182</v>
      </c>
    </row>
    <row r="692">
      <c r="A692" s="1">
        <v>1971005.0</v>
      </c>
      <c r="B692" s="1" t="s">
        <v>1572</v>
      </c>
      <c r="C692" s="1" t="s">
        <v>1537</v>
      </c>
      <c r="D692" s="1" t="s">
        <v>1538</v>
      </c>
      <c r="E692" s="1" t="s">
        <v>1573</v>
      </c>
      <c r="F692" s="1" t="s">
        <v>55</v>
      </c>
      <c r="G692" s="1" t="s">
        <v>17</v>
      </c>
      <c r="H692" s="1" t="s">
        <v>18</v>
      </c>
      <c r="I692" s="1" t="s">
        <v>44</v>
      </c>
      <c r="J692" s="1">
        <f>IFERROR(__xludf.DUMMYFUNCTION("""COMPUTED_VALUE"""),32.0)</f>
        <v>32</v>
      </c>
      <c r="K692" s="1">
        <v>12.0</v>
      </c>
      <c r="L692" s="1">
        <f>IFERROR(__xludf.DUMMYFUNCTION("""COMPUTED_VALUE"""),28.0)</f>
        <v>28</v>
      </c>
    </row>
    <row r="693">
      <c r="A693" s="1">
        <v>1904014.0</v>
      </c>
      <c r="B693" s="1" t="s">
        <v>1574</v>
      </c>
      <c r="C693" s="1" t="s">
        <v>1537</v>
      </c>
      <c r="D693" s="1" t="s">
        <v>1541</v>
      </c>
      <c r="E693" s="1" t="s">
        <v>1575</v>
      </c>
      <c r="F693" s="1" t="s">
        <v>16</v>
      </c>
      <c r="G693" s="1" t="s">
        <v>17</v>
      </c>
      <c r="H693" s="1" t="s">
        <v>18</v>
      </c>
      <c r="I693" s="1" t="s">
        <v>44</v>
      </c>
      <c r="J693" s="1">
        <f>IFERROR(__xludf.DUMMYFUNCTION("""COMPUTED_VALUE"""),107.0)</f>
        <v>107</v>
      </c>
      <c r="K693" s="1">
        <v>73.0</v>
      </c>
      <c r="L693" s="1">
        <f>IFERROR(__xludf.DUMMYFUNCTION("""COMPUTED_VALUE"""),187.0)</f>
        <v>187</v>
      </c>
    </row>
    <row r="694">
      <c r="A694" s="1">
        <v>1903002.0</v>
      </c>
      <c r="B694" s="1" t="s">
        <v>1576</v>
      </c>
      <c r="C694" s="1" t="s">
        <v>1537</v>
      </c>
      <c r="D694" s="1" t="s">
        <v>1577</v>
      </c>
      <c r="E694" s="1" t="s">
        <v>1578</v>
      </c>
      <c r="F694" s="1" t="s">
        <v>16</v>
      </c>
      <c r="G694" s="1" t="s">
        <v>23</v>
      </c>
      <c r="H694" s="1" t="s">
        <v>18</v>
      </c>
      <c r="I694" s="1" t="s">
        <v>44</v>
      </c>
      <c r="J694" s="1">
        <f>IFERROR(__xludf.DUMMYFUNCTION("""COMPUTED_VALUE"""),50.0)</f>
        <v>50</v>
      </c>
      <c r="K694" s="1">
        <v>22.0</v>
      </c>
      <c r="L694" s="1">
        <f>IFERROR(__xludf.DUMMYFUNCTION("""COMPUTED_VALUE"""),71.0)</f>
        <v>71</v>
      </c>
    </row>
    <row r="695">
      <c r="A695" s="1">
        <v>1971002.0</v>
      </c>
      <c r="B695" s="1" t="s">
        <v>1579</v>
      </c>
      <c r="C695" s="1" t="s">
        <v>1537</v>
      </c>
      <c r="D695" s="1" t="s">
        <v>1538</v>
      </c>
      <c r="E695" s="1" t="s">
        <v>1580</v>
      </c>
      <c r="F695" s="1" t="s">
        <v>16</v>
      </c>
      <c r="G695" s="1" t="s">
        <v>17</v>
      </c>
      <c r="H695" s="1" t="s">
        <v>18</v>
      </c>
      <c r="I695" s="1" t="s">
        <v>44</v>
      </c>
      <c r="J695" s="1">
        <f>IFERROR(__xludf.DUMMYFUNCTION("""COMPUTED_VALUE"""),106.0)</f>
        <v>106</v>
      </c>
      <c r="K695" s="1">
        <v>39.0</v>
      </c>
      <c r="L695" s="1">
        <f>IFERROR(__xludf.DUMMYFUNCTION("""COMPUTED_VALUE"""),93.0)</f>
        <v>93</v>
      </c>
    </row>
    <row r="696">
      <c r="A696" s="1">
        <v>1902010.0</v>
      </c>
      <c r="B696" s="1" t="s">
        <v>1581</v>
      </c>
      <c r="C696" s="1" t="s">
        <v>1537</v>
      </c>
      <c r="D696" s="1" t="s">
        <v>1566</v>
      </c>
      <c r="E696" s="1" t="s">
        <v>1582</v>
      </c>
      <c r="F696" s="1" t="s">
        <v>16</v>
      </c>
      <c r="G696" s="1" t="s">
        <v>17</v>
      </c>
      <c r="H696" s="1" t="s">
        <v>28</v>
      </c>
      <c r="I696" s="1" t="s">
        <v>40</v>
      </c>
      <c r="J696" s="1">
        <f>IFERROR(__xludf.DUMMYFUNCTION("""COMPUTED_VALUE"""),177.0)</f>
        <v>177</v>
      </c>
      <c r="K696" s="1">
        <v>70.0</v>
      </c>
      <c r="L696" s="1">
        <f>IFERROR(__xludf.DUMMYFUNCTION("""COMPUTED_VALUE"""),617.0)</f>
        <v>617</v>
      </c>
    </row>
    <row r="697">
      <c r="A697" s="1">
        <v>1901044.0</v>
      </c>
      <c r="B697" s="1" t="s">
        <v>1583</v>
      </c>
      <c r="C697" s="1" t="s">
        <v>1537</v>
      </c>
      <c r="D697" s="1" t="s">
        <v>1544</v>
      </c>
      <c r="E697" s="1" t="s">
        <v>1584</v>
      </c>
      <c r="F697" s="1" t="s">
        <v>16</v>
      </c>
      <c r="G697" s="1" t="s">
        <v>23</v>
      </c>
      <c r="H697" s="1" t="s">
        <v>18</v>
      </c>
      <c r="I697" s="1" t="s">
        <v>40</v>
      </c>
      <c r="J697" s="1">
        <f>IFERROR(__xludf.DUMMYFUNCTION("""COMPUTED_VALUE"""),50.0)</f>
        <v>50</v>
      </c>
      <c r="K697" s="1">
        <v>26.0</v>
      </c>
      <c r="L697" s="1">
        <f>IFERROR(__xludf.DUMMYFUNCTION("""COMPUTED_VALUE"""),154.0)</f>
        <v>154</v>
      </c>
    </row>
    <row r="698">
      <c r="A698" s="1">
        <v>1903013.0</v>
      </c>
      <c r="B698" s="1" t="s">
        <v>1585</v>
      </c>
      <c r="C698" s="1" t="s">
        <v>1537</v>
      </c>
      <c r="D698" s="1" t="s">
        <v>1577</v>
      </c>
      <c r="E698" s="1" t="s">
        <v>1586</v>
      </c>
      <c r="F698" s="1" t="s">
        <v>16</v>
      </c>
      <c r="G698" s="1" t="s">
        <v>17</v>
      </c>
      <c r="H698" s="1" t="s">
        <v>28</v>
      </c>
      <c r="I698" s="1" t="s">
        <v>40</v>
      </c>
      <c r="J698" s="1">
        <f>IFERROR(__xludf.DUMMYFUNCTION("""COMPUTED_VALUE"""),130.0)</f>
        <v>130</v>
      </c>
      <c r="K698" s="1">
        <v>30.0</v>
      </c>
      <c r="L698" s="1">
        <f>IFERROR(__xludf.DUMMYFUNCTION("""COMPUTED_VALUE"""),532.0)</f>
        <v>532</v>
      </c>
    </row>
    <row r="699">
      <c r="A699" s="1">
        <v>1902042.0</v>
      </c>
      <c r="B699" s="1" t="s">
        <v>1587</v>
      </c>
      <c r="C699" s="1" t="s">
        <v>1537</v>
      </c>
      <c r="D699" s="1" t="s">
        <v>1544</v>
      </c>
      <c r="E699" s="1" t="s">
        <v>1588</v>
      </c>
      <c r="F699" s="1" t="s">
        <v>16</v>
      </c>
      <c r="G699" s="1" t="s">
        <v>17</v>
      </c>
      <c r="H699" s="1" t="s">
        <v>18</v>
      </c>
      <c r="I699" s="1" t="s">
        <v>19</v>
      </c>
      <c r="J699" s="1">
        <f>IFERROR(__xludf.DUMMYFUNCTION("""COMPUTED_VALUE"""),105.0)</f>
        <v>105</v>
      </c>
      <c r="K699" s="1">
        <v>35.0</v>
      </c>
      <c r="L699" s="1">
        <f>IFERROR(__xludf.DUMMYFUNCTION("""COMPUTED_VALUE"""),79.0)</f>
        <v>79</v>
      </c>
    </row>
    <row r="700">
      <c r="A700" s="1">
        <v>1902012.0</v>
      </c>
      <c r="B700" s="1" t="s">
        <v>1589</v>
      </c>
      <c r="C700" s="1" t="s">
        <v>1537</v>
      </c>
      <c r="D700" s="1" t="s">
        <v>1566</v>
      </c>
      <c r="E700" s="1" t="s">
        <v>1590</v>
      </c>
      <c r="F700" s="1" t="s">
        <v>16</v>
      </c>
      <c r="G700" s="1" t="s">
        <v>23</v>
      </c>
      <c r="H700" s="1" t="s">
        <v>18</v>
      </c>
      <c r="I700" s="1" t="s">
        <v>163</v>
      </c>
      <c r="J700" s="1">
        <f>IFERROR(__xludf.DUMMYFUNCTION("""COMPUTED_VALUE"""),66.0)</f>
        <v>66</v>
      </c>
      <c r="K700" s="1">
        <v>23.0</v>
      </c>
      <c r="L700" s="1">
        <f>IFERROR(__xludf.DUMMYFUNCTION("""COMPUTED_VALUE"""),145.0)</f>
        <v>145</v>
      </c>
    </row>
    <row r="701">
      <c r="A701" s="1">
        <v>1971004.0</v>
      </c>
      <c r="B701" s="1" t="s">
        <v>1591</v>
      </c>
      <c r="C701" s="1" t="s">
        <v>1537</v>
      </c>
      <c r="D701" s="1" t="s">
        <v>1538</v>
      </c>
      <c r="E701" s="1" t="s">
        <v>1592</v>
      </c>
      <c r="F701" s="1" t="s">
        <v>16</v>
      </c>
      <c r="G701" s="1" t="s">
        <v>17</v>
      </c>
      <c r="H701" s="1" t="s">
        <v>18</v>
      </c>
      <c r="I701" s="1" t="s">
        <v>44</v>
      </c>
      <c r="J701" s="1">
        <f>IFERROR(__xludf.DUMMYFUNCTION("""COMPUTED_VALUE"""),101.0)</f>
        <v>101</v>
      </c>
      <c r="K701" s="1">
        <v>44.0</v>
      </c>
      <c r="L701" s="1">
        <f>IFERROR(__xludf.DUMMYFUNCTION("""COMPUTED_VALUE"""),58.0)</f>
        <v>58</v>
      </c>
    </row>
    <row r="702">
      <c r="A702" s="1">
        <v>1906014.0</v>
      </c>
      <c r="B702" s="1" t="s">
        <v>1593</v>
      </c>
      <c r="C702" s="1" t="s">
        <v>1537</v>
      </c>
      <c r="D702" s="1" t="s">
        <v>1594</v>
      </c>
      <c r="E702" s="1" t="s">
        <v>1595</v>
      </c>
      <c r="F702" s="1" t="s">
        <v>16</v>
      </c>
      <c r="G702" s="1" t="s">
        <v>17</v>
      </c>
      <c r="H702" s="1" t="s">
        <v>28</v>
      </c>
      <c r="I702" s="1" t="s">
        <v>40</v>
      </c>
      <c r="J702" s="1">
        <f>IFERROR(__xludf.DUMMYFUNCTION("""COMPUTED_VALUE"""),104.0)</f>
        <v>104</v>
      </c>
      <c r="K702" s="1">
        <v>35.0</v>
      </c>
      <c r="L702" s="1">
        <f>IFERROR(__xludf.DUMMYFUNCTION("""COMPUTED_VALUE"""),472.0)</f>
        <v>472</v>
      </c>
    </row>
    <row r="703">
      <c r="A703" s="1">
        <v>1903005.0</v>
      </c>
      <c r="B703" s="1" t="s">
        <v>1596</v>
      </c>
      <c r="C703" s="1" t="s">
        <v>1537</v>
      </c>
      <c r="D703" s="1" t="s">
        <v>1577</v>
      </c>
      <c r="E703" s="1" t="s">
        <v>1597</v>
      </c>
      <c r="F703" s="1" t="s">
        <v>16</v>
      </c>
      <c r="G703" s="1" t="s">
        <v>23</v>
      </c>
      <c r="H703" s="1" t="s">
        <v>18</v>
      </c>
      <c r="I703" s="1" t="s">
        <v>44</v>
      </c>
      <c r="J703" s="1">
        <f>IFERROR(__xludf.DUMMYFUNCTION("""COMPUTED_VALUE"""),67.0)</f>
        <v>67</v>
      </c>
      <c r="K703" s="1">
        <v>6.0</v>
      </c>
      <c r="L703" s="1">
        <f>IFERROR(__xludf.DUMMYFUNCTION("""COMPUTED_VALUE"""),13.0)</f>
        <v>13</v>
      </c>
    </row>
    <row r="704">
      <c r="A704" s="1">
        <v>1901016.0</v>
      </c>
      <c r="B704" s="1" t="s">
        <v>1598</v>
      </c>
      <c r="C704" s="1" t="s">
        <v>1537</v>
      </c>
      <c r="D704" s="1" t="s">
        <v>1544</v>
      </c>
      <c r="E704" s="1" t="s">
        <v>1599</v>
      </c>
      <c r="F704" s="1" t="s">
        <v>16</v>
      </c>
      <c r="G704" s="1" t="s">
        <v>17</v>
      </c>
      <c r="H704" s="1" t="s">
        <v>28</v>
      </c>
      <c r="I704" s="1" t="s">
        <v>40</v>
      </c>
      <c r="J704" s="1">
        <f>IFERROR(__xludf.DUMMYFUNCTION("""COMPUTED_VALUE"""),163.0)</f>
        <v>163</v>
      </c>
      <c r="K704" s="1">
        <v>56.0</v>
      </c>
      <c r="L704" s="1">
        <f>IFERROR(__xludf.DUMMYFUNCTION("""COMPUTED_VALUE"""),645.0)</f>
        <v>645</v>
      </c>
    </row>
    <row r="705">
      <c r="A705" s="1">
        <v>2171062.0</v>
      </c>
      <c r="B705" s="1" t="s">
        <v>1600</v>
      </c>
      <c r="C705" s="1" t="s">
        <v>1601</v>
      </c>
      <c r="D705" s="1" t="s">
        <v>1602</v>
      </c>
      <c r="E705" s="1" t="s">
        <v>1603</v>
      </c>
      <c r="F705" s="1" t="s">
        <v>16</v>
      </c>
      <c r="G705" s="1" t="s">
        <v>17</v>
      </c>
      <c r="H705" s="1" t="s">
        <v>18</v>
      </c>
      <c r="I705" s="1" t="s">
        <v>44</v>
      </c>
      <c r="J705" s="1">
        <f>IFERROR(__xludf.DUMMYFUNCTION("""COMPUTED_VALUE"""),127.0)</f>
        <v>127</v>
      </c>
      <c r="K705" s="1">
        <v>33.0</v>
      </c>
      <c r="L705" s="1">
        <f>IFERROR(__xludf.DUMMYFUNCTION("""COMPUTED_VALUE"""),42.0)</f>
        <v>42</v>
      </c>
    </row>
    <row r="706">
      <c r="A706" s="1">
        <v>2071114.0</v>
      </c>
      <c r="B706" s="1" t="s">
        <v>1604</v>
      </c>
      <c r="C706" s="1" t="s">
        <v>1601</v>
      </c>
      <c r="D706" s="1" t="s">
        <v>1602</v>
      </c>
      <c r="E706" s="1" t="s">
        <v>1605</v>
      </c>
      <c r="F706" s="1" t="s">
        <v>16</v>
      </c>
      <c r="G706" s="1" t="s">
        <v>27</v>
      </c>
      <c r="H706" s="1" t="s">
        <v>28</v>
      </c>
      <c r="I706" s="1" t="s">
        <v>29</v>
      </c>
      <c r="J706" s="1">
        <f>IFERROR(__xludf.DUMMYFUNCTION("""COMPUTED_VALUE"""),227.0)</f>
        <v>227</v>
      </c>
      <c r="K706" s="1">
        <v>60.0</v>
      </c>
      <c r="L706" s="1">
        <f>IFERROR(__xludf.DUMMYFUNCTION("""COMPUTED_VALUE"""),485.0)</f>
        <v>485</v>
      </c>
    </row>
    <row r="707">
      <c r="A707" s="1">
        <v>2071054.0</v>
      </c>
      <c r="B707" s="1" t="s">
        <v>1606</v>
      </c>
      <c r="C707" s="1" t="s">
        <v>1601</v>
      </c>
      <c r="D707" s="1" t="s">
        <v>1602</v>
      </c>
      <c r="E707" s="1" t="s">
        <v>1607</v>
      </c>
      <c r="F707" s="1" t="s">
        <v>55</v>
      </c>
      <c r="G707" s="1" t="s">
        <v>17</v>
      </c>
      <c r="H707" s="1" t="s">
        <v>18</v>
      </c>
      <c r="I707" s="1" t="s">
        <v>44</v>
      </c>
      <c r="J707" s="1">
        <f>IFERROR(__xludf.DUMMYFUNCTION("""COMPUTED_VALUE"""),29.0)</f>
        <v>29</v>
      </c>
      <c r="K707" s="1">
        <v>18.0</v>
      </c>
      <c r="L707" s="1">
        <f>IFERROR(__xludf.DUMMYFUNCTION("""COMPUTED_VALUE"""),40.0)</f>
        <v>40</v>
      </c>
    </row>
    <row r="708">
      <c r="A708" s="1">
        <v>2003011.0</v>
      </c>
      <c r="B708" s="1" t="s">
        <v>1608</v>
      </c>
      <c r="C708" s="1" t="s">
        <v>1601</v>
      </c>
      <c r="D708" s="1" t="s">
        <v>1609</v>
      </c>
      <c r="E708" s="1" t="s">
        <v>1610</v>
      </c>
      <c r="F708" s="1" t="s">
        <v>16</v>
      </c>
      <c r="G708" s="1" t="s">
        <v>17</v>
      </c>
      <c r="H708" s="1" t="s">
        <v>28</v>
      </c>
      <c r="I708" s="1" t="s">
        <v>40</v>
      </c>
      <c r="J708" s="1">
        <f>IFERROR(__xludf.DUMMYFUNCTION("""COMPUTED_VALUE"""),140.0)</f>
        <v>140</v>
      </c>
      <c r="K708" s="1">
        <v>41.0</v>
      </c>
      <c r="L708" s="1">
        <f>IFERROR(__xludf.DUMMYFUNCTION("""COMPUTED_VALUE"""),360.0)</f>
        <v>360</v>
      </c>
    </row>
    <row r="709">
      <c r="A709" s="1">
        <v>2004136.0</v>
      </c>
      <c r="B709" s="1" t="s">
        <v>1611</v>
      </c>
      <c r="C709" s="1" t="s">
        <v>1601</v>
      </c>
      <c r="D709" s="1" t="s">
        <v>1612</v>
      </c>
      <c r="E709" s="1" t="s">
        <v>1613</v>
      </c>
      <c r="F709" s="1" t="s">
        <v>16</v>
      </c>
      <c r="G709" s="1" t="s">
        <v>23</v>
      </c>
      <c r="H709" s="1" t="s">
        <v>28</v>
      </c>
      <c r="I709" s="1" t="s">
        <v>40</v>
      </c>
      <c r="J709" s="1">
        <f>IFERROR(__xludf.DUMMYFUNCTION("""COMPUTED_VALUE"""),58.0)</f>
        <v>58</v>
      </c>
      <c r="K709" s="1">
        <v>11.0</v>
      </c>
      <c r="L709" s="1">
        <f>IFERROR(__xludf.DUMMYFUNCTION("""COMPUTED_VALUE"""),155.0)</f>
        <v>155</v>
      </c>
    </row>
    <row r="710">
      <c r="A710" s="1">
        <v>2101003.0</v>
      </c>
      <c r="B710" s="1" t="s">
        <v>1614</v>
      </c>
      <c r="C710" s="1" t="s">
        <v>1601</v>
      </c>
      <c r="D710" s="1" t="s">
        <v>1615</v>
      </c>
      <c r="E710" s="1" t="s">
        <v>1616</v>
      </c>
      <c r="F710" s="1" t="s">
        <v>16</v>
      </c>
      <c r="G710" s="1" t="s">
        <v>98</v>
      </c>
      <c r="H710" s="1" t="s">
        <v>28</v>
      </c>
      <c r="I710" s="1" t="s">
        <v>40</v>
      </c>
      <c r="J710" s="1">
        <f>IFERROR(__xludf.DUMMYFUNCTION("""COMPUTED_VALUE"""),25.0)</f>
        <v>25</v>
      </c>
      <c r="K710" s="1">
        <v>21.0</v>
      </c>
      <c r="L710" s="1">
        <f>IFERROR(__xludf.DUMMYFUNCTION("""COMPUTED_VALUE"""),31.0)</f>
        <v>31</v>
      </c>
    </row>
    <row r="711">
      <c r="A711" s="1">
        <v>2071053.0</v>
      </c>
      <c r="B711" s="1" t="s">
        <v>1617</v>
      </c>
      <c r="C711" s="1" t="s">
        <v>1601</v>
      </c>
      <c r="D711" s="1" t="s">
        <v>1602</v>
      </c>
      <c r="E711" s="1" t="s">
        <v>1618</v>
      </c>
      <c r="F711" s="1" t="s">
        <v>16</v>
      </c>
      <c r="G711" s="1" t="s">
        <v>17</v>
      </c>
      <c r="H711" s="1" t="s">
        <v>18</v>
      </c>
      <c r="I711" s="1" t="s">
        <v>44</v>
      </c>
      <c r="J711" s="1">
        <f>IFERROR(__xludf.DUMMYFUNCTION("""COMPUTED_VALUE"""),125.0)</f>
        <v>125</v>
      </c>
      <c r="K711" s="1">
        <v>35.0</v>
      </c>
      <c r="L711" s="1">
        <f>IFERROR(__xludf.DUMMYFUNCTION("""COMPUTED_VALUE"""),200.0)</f>
        <v>200</v>
      </c>
    </row>
    <row r="712">
      <c r="A712" s="1">
        <v>2071012.0</v>
      </c>
      <c r="B712" s="1" t="s">
        <v>1619</v>
      </c>
      <c r="C712" s="1" t="s">
        <v>1601</v>
      </c>
      <c r="D712" s="1" t="s">
        <v>1602</v>
      </c>
      <c r="E712" s="1" t="s">
        <v>1620</v>
      </c>
      <c r="F712" s="1" t="s">
        <v>16</v>
      </c>
      <c r="G712" s="1" t="s">
        <v>27</v>
      </c>
      <c r="H712" s="1" t="s">
        <v>18</v>
      </c>
      <c r="I712" s="1" t="s">
        <v>59</v>
      </c>
      <c r="J712" s="1">
        <f>IFERROR(__xludf.DUMMYFUNCTION("""COMPUTED_VALUE"""),200.0)</f>
        <v>200</v>
      </c>
      <c r="K712" s="1">
        <v>100.0</v>
      </c>
      <c r="L712" s="1">
        <f>IFERROR(__xludf.DUMMYFUNCTION("""COMPUTED_VALUE"""),556.0)</f>
        <v>556</v>
      </c>
    </row>
    <row r="713">
      <c r="A713" s="1">
        <v>2171077.0</v>
      </c>
      <c r="B713" s="1" t="s">
        <v>1621</v>
      </c>
      <c r="C713" s="1" t="s">
        <v>1601</v>
      </c>
      <c r="D713" s="1" t="s">
        <v>1602</v>
      </c>
      <c r="E713" s="1" t="s">
        <v>1622</v>
      </c>
      <c r="F713" s="1" t="s">
        <v>16</v>
      </c>
      <c r="G713" s="1" t="s">
        <v>23</v>
      </c>
      <c r="H713" s="1" t="s">
        <v>18</v>
      </c>
      <c r="I713" s="1" t="s">
        <v>19</v>
      </c>
      <c r="J713" s="1">
        <f>IFERROR(__xludf.DUMMYFUNCTION("""COMPUTED_VALUE"""),50.0)</f>
        <v>50</v>
      </c>
      <c r="K713" s="1">
        <v>16.0</v>
      </c>
      <c r="L713" s="1">
        <f>IFERROR(__xludf.DUMMYFUNCTION("""COMPUTED_VALUE"""),18.0)</f>
        <v>18</v>
      </c>
    </row>
    <row r="714">
      <c r="A714" s="1">
        <v>2072023.0</v>
      </c>
      <c r="B714" s="1" t="s">
        <v>1623</v>
      </c>
      <c r="C714" s="1" t="s">
        <v>1601</v>
      </c>
      <c r="D714" s="1" t="s">
        <v>1624</v>
      </c>
      <c r="E714" s="1" t="s">
        <v>1625</v>
      </c>
      <c r="F714" s="1" t="s">
        <v>16</v>
      </c>
      <c r="G714" s="1" t="s">
        <v>27</v>
      </c>
      <c r="H714" s="1" t="s">
        <v>18</v>
      </c>
      <c r="I714" s="1" t="s">
        <v>95</v>
      </c>
      <c r="J714" s="1">
        <f>IFERROR(__xludf.DUMMYFUNCTION("""COMPUTED_VALUE"""),209.0)</f>
        <v>209</v>
      </c>
      <c r="K714" s="1">
        <v>77.0</v>
      </c>
      <c r="L714" s="1">
        <f>IFERROR(__xludf.DUMMYFUNCTION("""COMPUTED_VALUE"""),414.0)</f>
        <v>414</v>
      </c>
    </row>
    <row r="715">
      <c r="A715" s="1">
        <v>2002002.0</v>
      </c>
      <c r="B715" s="1" t="s">
        <v>1626</v>
      </c>
      <c r="C715" s="1" t="s">
        <v>1601</v>
      </c>
      <c r="D715" s="1" t="s">
        <v>1627</v>
      </c>
      <c r="E715" s="1" t="s">
        <v>1628</v>
      </c>
      <c r="F715" s="1" t="s">
        <v>16</v>
      </c>
      <c r="G715" s="1" t="s">
        <v>17</v>
      </c>
      <c r="H715" s="1" t="s">
        <v>28</v>
      </c>
      <c r="I715" s="1" t="s">
        <v>40</v>
      </c>
      <c r="J715" s="1">
        <f>IFERROR(__xludf.DUMMYFUNCTION("""COMPUTED_VALUE"""),139.0)</f>
        <v>139</v>
      </c>
      <c r="K715" s="1">
        <v>31.0</v>
      </c>
      <c r="L715" s="1">
        <f>IFERROR(__xludf.DUMMYFUNCTION("""COMPUTED_VALUE"""),159.0)</f>
        <v>159</v>
      </c>
    </row>
    <row r="716">
      <c r="A716" s="1">
        <v>2071034.0</v>
      </c>
      <c r="B716" s="1" t="s">
        <v>1629</v>
      </c>
      <c r="C716" s="1" t="s">
        <v>1601</v>
      </c>
      <c r="D716" s="1" t="s">
        <v>1602</v>
      </c>
      <c r="E716" s="1" t="s">
        <v>1630</v>
      </c>
      <c r="F716" s="1" t="s">
        <v>16</v>
      </c>
      <c r="G716" s="1" t="s">
        <v>27</v>
      </c>
      <c r="H716" s="1" t="s">
        <v>18</v>
      </c>
      <c r="I716" s="1" t="s">
        <v>34</v>
      </c>
      <c r="J716" s="1">
        <f>IFERROR(__xludf.DUMMYFUNCTION("""COMPUTED_VALUE"""),219.0)</f>
        <v>219</v>
      </c>
      <c r="K716" s="1">
        <v>101.0</v>
      </c>
      <c r="L716" s="1">
        <f>IFERROR(__xludf.DUMMYFUNCTION("""COMPUTED_VALUE"""),417.0)</f>
        <v>417</v>
      </c>
    </row>
    <row r="717">
      <c r="A717" s="1">
        <v>2071057.0</v>
      </c>
      <c r="B717" s="1" t="s">
        <v>1631</v>
      </c>
      <c r="C717" s="1" t="s">
        <v>1601</v>
      </c>
      <c r="D717" s="1" t="s">
        <v>1602</v>
      </c>
      <c r="E717" s="1" t="s">
        <v>1632</v>
      </c>
      <c r="F717" s="1" t="s">
        <v>55</v>
      </c>
      <c r="G717" s="1" t="s">
        <v>17</v>
      </c>
      <c r="H717" s="1" t="s">
        <v>18</v>
      </c>
      <c r="I717" s="1" t="s">
        <v>44</v>
      </c>
      <c r="J717" s="1">
        <f>IFERROR(__xludf.DUMMYFUNCTION("""COMPUTED_VALUE"""),36.0)</f>
        <v>36</v>
      </c>
      <c r="K717" s="1">
        <v>19.0</v>
      </c>
      <c r="L717" s="1">
        <f>IFERROR(__xludf.DUMMYFUNCTION("""COMPUTED_VALUE"""),61.0)</f>
        <v>61</v>
      </c>
    </row>
    <row r="718">
      <c r="A718" s="1">
        <v>2003056.0</v>
      </c>
      <c r="B718" s="1" t="s">
        <v>1633</v>
      </c>
      <c r="C718" s="1" t="s">
        <v>1601</v>
      </c>
      <c r="D718" s="1" t="s">
        <v>1609</v>
      </c>
      <c r="E718" s="1" t="s">
        <v>1634</v>
      </c>
      <c r="F718" s="1" t="s">
        <v>16</v>
      </c>
      <c r="G718" s="1" t="s">
        <v>23</v>
      </c>
      <c r="H718" s="1" t="s">
        <v>18</v>
      </c>
      <c r="I718" s="1" t="s">
        <v>563</v>
      </c>
      <c r="J718" s="1">
        <f>IFERROR(__xludf.DUMMYFUNCTION("""COMPUTED_VALUE"""),53.0)</f>
        <v>53</v>
      </c>
      <c r="K718" s="1">
        <v>15.0</v>
      </c>
      <c r="L718" s="1">
        <f>IFERROR(__xludf.DUMMYFUNCTION("""COMPUTED_VALUE"""),26.0)</f>
        <v>26</v>
      </c>
    </row>
    <row r="719">
      <c r="A719" s="1">
        <v>2171083.0</v>
      </c>
      <c r="B719" s="1" t="s">
        <v>1635</v>
      </c>
      <c r="C719" s="1" t="s">
        <v>1601</v>
      </c>
      <c r="D719" s="1" t="s">
        <v>1602</v>
      </c>
      <c r="E719" s="1" t="s">
        <v>1636</v>
      </c>
      <c r="F719" s="1" t="s">
        <v>16</v>
      </c>
      <c r="G719" s="1" t="s">
        <v>17</v>
      </c>
      <c r="H719" s="1" t="s">
        <v>18</v>
      </c>
      <c r="I719" s="1" t="s">
        <v>19</v>
      </c>
      <c r="J719" s="1">
        <f>IFERROR(__xludf.DUMMYFUNCTION("""COMPUTED_VALUE"""),125.0)</f>
        <v>125</v>
      </c>
      <c r="K719" s="1">
        <v>35.0</v>
      </c>
      <c r="L719" s="1">
        <f>IFERROR(__xludf.DUMMYFUNCTION("""COMPUTED_VALUE"""),182.0)</f>
        <v>182</v>
      </c>
    </row>
    <row r="720">
      <c r="A720" s="1">
        <v>2071103.0</v>
      </c>
      <c r="B720" s="1" t="s">
        <v>1637</v>
      </c>
      <c r="C720" s="1" t="s">
        <v>1601</v>
      </c>
      <c r="D720" s="1" t="s">
        <v>1602</v>
      </c>
      <c r="E720" s="1" t="s">
        <v>1638</v>
      </c>
      <c r="F720" s="1" t="s">
        <v>16</v>
      </c>
      <c r="G720" s="1" t="s">
        <v>27</v>
      </c>
      <c r="H720" s="1" t="s">
        <v>18</v>
      </c>
      <c r="I720" s="1" t="s">
        <v>44</v>
      </c>
      <c r="J720" s="1">
        <f>IFERROR(__xludf.DUMMYFUNCTION("""COMPUTED_VALUE"""),257.0)</f>
        <v>257</v>
      </c>
      <c r="K720" s="1">
        <v>112.0</v>
      </c>
      <c r="L720" s="1">
        <f>IFERROR(__xludf.DUMMYFUNCTION("""COMPUTED_VALUE"""),617.0)</f>
        <v>617</v>
      </c>
    </row>
    <row r="721">
      <c r="A721" s="1">
        <v>2071015.0</v>
      </c>
      <c r="B721" s="1" t="s">
        <v>1639</v>
      </c>
      <c r="C721" s="1" t="s">
        <v>1601</v>
      </c>
      <c r="D721" s="1" t="s">
        <v>1602</v>
      </c>
      <c r="E721" s="1" t="s">
        <v>1640</v>
      </c>
      <c r="F721" s="1" t="s">
        <v>16</v>
      </c>
      <c r="G721" s="1" t="s">
        <v>17</v>
      </c>
      <c r="H721" s="1" t="s">
        <v>18</v>
      </c>
      <c r="I721" s="1" t="s">
        <v>249</v>
      </c>
      <c r="J721" s="1">
        <f>IFERROR(__xludf.DUMMYFUNCTION("""COMPUTED_VALUE"""),107.0)</f>
        <v>107</v>
      </c>
      <c r="K721" s="1">
        <v>62.0</v>
      </c>
      <c r="L721" s="1">
        <f>IFERROR(__xludf.DUMMYFUNCTION("""COMPUTED_VALUE"""),283.0)</f>
        <v>283</v>
      </c>
    </row>
    <row r="722">
      <c r="A722" s="1">
        <v>2171065.0</v>
      </c>
      <c r="B722" s="1" t="s">
        <v>1641</v>
      </c>
      <c r="C722" s="1" t="s">
        <v>1601</v>
      </c>
      <c r="D722" s="1" t="s">
        <v>1602</v>
      </c>
      <c r="E722" s="1" t="s">
        <v>1642</v>
      </c>
      <c r="F722" s="1" t="s">
        <v>16</v>
      </c>
      <c r="G722" s="1" t="s">
        <v>27</v>
      </c>
      <c r="H722" s="1" t="s">
        <v>18</v>
      </c>
      <c r="I722" s="1" t="s">
        <v>19</v>
      </c>
      <c r="J722" s="1">
        <f>IFERROR(__xludf.DUMMYFUNCTION("""COMPUTED_VALUE"""),229.0)</f>
        <v>229</v>
      </c>
      <c r="K722" s="1">
        <v>22.0</v>
      </c>
      <c r="L722" s="1">
        <f>IFERROR(__xludf.DUMMYFUNCTION("""COMPUTED_VALUE"""),53.0)</f>
        <v>53</v>
      </c>
    </row>
    <row r="723">
      <c r="A723" s="1">
        <v>2002010.0</v>
      </c>
      <c r="B723" s="1" t="s">
        <v>1643</v>
      </c>
      <c r="C723" s="1" t="s">
        <v>1601</v>
      </c>
      <c r="D723" s="1" t="s">
        <v>1627</v>
      </c>
      <c r="E723" s="1" t="s">
        <v>1644</v>
      </c>
      <c r="F723" s="1" t="s">
        <v>174</v>
      </c>
      <c r="G723" s="1" t="s">
        <v>27</v>
      </c>
      <c r="H723" s="1" t="s">
        <v>28</v>
      </c>
      <c r="I723" s="1" t="s">
        <v>139</v>
      </c>
      <c r="J723" s="1">
        <f>IFERROR(__xludf.DUMMYFUNCTION("""COMPUTED_VALUE"""),119.0)</f>
        <v>119</v>
      </c>
      <c r="K723" s="1">
        <v>46.0</v>
      </c>
      <c r="L723" s="1">
        <f>IFERROR(__xludf.DUMMYFUNCTION("""COMPUTED_VALUE"""),168.0)</f>
        <v>168</v>
      </c>
    </row>
    <row r="724">
      <c r="A724" s="1">
        <v>2105005.0</v>
      </c>
      <c r="B724" s="1" t="s">
        <v>1645</v>
      </c>
      <c r="C724" s="1" t="s">
        <v>1601</v>
      </c>
      <c r="D724" s="1" t="s">
        <v>1646</v>
      </c>
      <c r="E724" s="1" t="s">
        <v>1647</v>
      </c>
      <c r="F724" s="1" t="s">
        <v>16</v>
      </c>
      <c r="G724" s="1" t="s">
        <v>23</v>
      </c>
      <c r="H724" s="1" t="s">
        <v>18</v>
      </c>
      <c r="I724" s="1" t="s">
        <v>40</v>
      </c>
      <c r="J724" s="1">
        <f>IFERROR(__xludf.DUMMYFUNCTION("""COMPUTED_VALUE"""),65.0)</f>
        <v>65</v>
      </c>
      <c r="K724" s="1">
        <v>18.0</v>
      </c>
      <c r="L724" s="1">
        <f>IFERROR(__xludf.DUMMYFUNCTION("""COMPUTED_VALUE"""),68.0)</f>
        <v>68</v>
      </c>
    </row>
    <row r="725">
      <c r="A725" s="1">
        <v>2003125.0</v>
      </c>
      <c r="B725" s="1" t="s">
        <v>1648</v>
      </c>
      <c r="C725" s="1" t="s">
        <v>1601</v>
      </c>
      <c r="D725" s="1" t="s">
        <v>1646</v>
      </c>
      <c r="E725" s="1" t="s">
        <v>1649</v>
      </c>
      <c r="F725" s="1" t="s">
        <v>16</v>
      </c>
      <c r="G725" s="1" t="s">
        <v>23</v>
      </c>
      <c r="H725" s="1" t="s">
        <v>28</v>
      </c>
      <c r="I725" s="1" t="s">
        <v>40</v>
      </c>
      <c r="J725" s="1">
        <f>IFERROR(__xludf.DUMMYFUNCTION("""COMPUTED_VALUE"""),50.0)</f>
        <v>50</v>
      </c>
      <c r="K725" s="1">
        <v>21.0</v>
      </c>
      <c r="L725" s="1">
        <f>IFERROR(__xludf.DUMMYFUNCTION("""COMPUTED_VALUE"""),122.0)</f>
        <v>122</v>
      </c>
    </row>
    <row r="726">
      <c r="A726" s="1">
        <v>2071037.0</v>
      </c>
      <c r="B726" s="1" t="s">
        <v>1650</v>
      </c>
      <c r="C726" s="1" t="s">
        <v>1601</v>
      </c>
      <c r="D726" s="1" t="s">
        <v>1602</v>
      </c>
      <c r="E726" s="1" t="s">
        <v>1651</v>
      </c>
      <c r="F726" s="1" t="s">
        <v>16</v>
      </c>
      <c r="G726" s="1" t="s">
        <v>17</v>
      </c>
      <c r="H726" s="1" t="s">
        <v>18</v>
      </c>
      <c r="I726" s="1" t="s">
        <v>19</v>
      </c>
      <c r="J726" s="1">
        <f>IFERROR(__xludf.DUMMYFUNCTION("""COMPUTED_VALUE"""),127.0)</f>
        <v>127</v>
      </c>
      <c r="K726" s="1">
        <v>20.0</v>
      </c>
      <c r="L726" s="1">
        <f>IFERROR(__xludf.DUMMYFUNCTION("""COMPUTED_VALUE"""),83.0)</f>
        <v>83</v>
      </c>
    </row>
    <row r="727">
      <c r="A727" s="1">
        <v>2171078.0</v>
      </c>
      <c r="B727" s="1" t="s">
        <v>1652</v>
      </c>
      <c r="C727" s="1" t="s">
        <v>1601</v>
      </c>
      <c r="D727" s="1" t="s">
        <v>1602</v>
      </c>
      <c r="E727" s="1" t="s">
        <v>1653</v>
      </c>
      <c r="F727" s="1" t="s">
        <v>16</v>
      </c>
      <c r="G727" s="1" t="s">
        <v>17</v>
      </c>
      <c r="H727" s="1" t="s">
        <v>18</v>
      </c>
      <c r="I727" s="1" t="s">
        <v>19</v>
      </c>
      <c r="J727" s="1">
        <f>IFERROR(__xludf.DUMMYFUNCTION("""COMPUTED_VALUE"""),118.0)</f>
        <v>118</v>
      </c>
      <c r="K727" s="1">
        <v>39.0</v>
      </c>
      <c r="L727" s="1">
        <f>IFERROR(__xludf.DUMMYFUNCTION("""COMPUTED_VALUE"""),182.0)</f>
        <v>182</v>
      </c>
    </row>
    <row r="728">
      <c r="A728" s="1">
        <v>2072012.0</v>
      </c>
      <c r="B728" s="1" t="s">
        <v>1654</v>
      </c>
      <c r="C728" s="1" t="s">
        <v>1601</v>
      </c>
      <c r="D728" s="1" t="s">
        <v>1624</v>
      </c>
      <c r="E728" s="1" t="s">
        <v>1655</v>
      </c>
      <c r="F728" s="1" t="s">
        <v>16</v>
      </c>
      <c r="G728" s="1" t="s">
        <v>17</v>
      </c>
      <c r="H728" s="1" t="s">
        <v>28</v>
      </c>
      <c r="I728" s="1" t="s">
        <v>29</v>
      </c>
      <c r="J728" s="1">
        <f>IFERROR(__xludf.DUMMYFUNCTION("""COMPUTED_VALUE"""),134.0)</f>
        <v>134</v>
      </c>
      <c r="K728" s="1">
        <v>42.0</v>
      </c>
      <c r="L728" s="1">
        <f>IFERROR(__xludf.DUMMYFUNCTION("""COMPUTED_VALUE"""),457.0)</f>
        <v>457</v>
      </c>
    </row>
    <row r="729">
      <c r="A729" s="1">
        <v>2171061.0</v>
      </c>
      <c r="B729" s="1" t="s">
        <v>1656</v>
      </c>
      <c r="C729" s="1" t="s">
        <v>1601</v>
      </c>
      <c r="D729" s="1" t="s">
        <v>1602</v>
      </c>
      <c r="E729" s="1" t="s">
        <v>1657</v>
      </c>
      <c r="F729" s="1" t="s">
        <v>16</v>
      </c>
      <c r="G729" s="1" t="s">
        <v>23</v>
      </c>
      <c r="H729" s="1" t="s">
        <v>33</v>
      </c>
      <c r="I729" s="1" t="s">
        <v>65</v>
      </c>
      <c r="J729" s="1">
        <f>IFERROR(__xludf.DUMMYFUNCTION("""COMPUTED_VALUE"""),82.0)</f>
        <v>82</v>
      </c>
      <c r="K729" s="1">
        <v>22.0</v>
      </c>
      <c r="L729" s="1">
        <f>IFERROR(__xludf.DUMMYFUNCTION("""COMPUTED_VALUE"""),53.0)</f>
        <v>53</v>
      </c>
    </row>
    <row r="730">
      <c r="A730" s="1">
        <v>2071023.0</v>
      </c>
      <c r="B730" s="1" t="s">
        <v>1658</v>
      </c>
      <c r="C730" s="1" t="s">
        <v>1601</v>
      </c>
      <c r="D730" s="1" t="s">
        <v>1602</v>
      </c>
      <c r="E730" s="1" t="s">
        <v>1659</v>
      </c>
      <c r="F730" s="1" t="s">
        <v>16</v>
      </c>
      <c r="G730" s="1" t="s">
        <v>17</v>
      </c>
      <c r="H730" s="1" t="s">
        <v>18</v>
      </c>
      <c r="I730" s="1" t="s">
        <v>59</v>
      </c>
      <c r="J730" s="1">
        <f>IFERROR(__xludf.DUMMYFUNCTION("""COMPUTED_VALUE"""),122.0)</f>
        <v>122</v>
      </c>
      <c r="K730" s="1">
        <v>63.0</v>
      </c>
      <c r="L730" s="1">
        <f>IFERROR(__xludf.DUMMYFUNCTION("""COMPUTED_VALUE"""),370.0)</f>
        <v>370</v>
      </c>
    </row>
    <row r="731">
      <c r="A731" s="1">
        <v>2072002.0</v>
      </c>
      <c r="B731" s="1" t="s">
        <v>1660</v>
      </c>
      <c r="C731" s="1" t="s">
        <v>1601</v>
      </c>
      <c r="D731" s="1" t="s">
        <v>1624</v>
      </c>
      <c r="E731" s="1" t="s">
        <v>1661</v>
      </c>
      <c r="F731" s="1" t="s">
        <v>16</v>
      </c>
      <c r="G731" s="1" t="s">
        <v>27</v>
      </c>
      <c r="H731" s="1" t="s">
        <v>28</v>
      </c>
      <c r="I731" s="1" t="s">
        <v>139</v>
      </c>
      <c r="J731" s="1">
        <f>IFERROR(__xludf.DUMMYFUNCTION("""COMPUTED_VALUE"""),232.0)</f>
        <v>232</v>
      </c>
      <c r="K731" s="1">
        <v>95.0</v>
      </c>
      <c r="L731" s="1">
        <f>IFERROR(__xludf.DUMMYFUNCTION("""COMPUTED_VALUE"""),828.0)</f>
        <v>828</v>
      </c>
    </row>
    <row r="732">
      <c r="A732" s="1">
        <v>2005002.0</v>
      </c>
      <c r="B732" s="1" t="s">
        <v>1662</v>
      </c>
      <c r="C732" s="1" t="s">
        <v>1601</v>
      </c>
      <c r="D732" s="1" t="s">
        <v>1646</v>
      </c>
      <c r="E732" s="1" t="s">
        <v>1663</v>
      </c>
      <c r="F732" s="1" t="s">
        <v>16</v>
      </c>
      <c r="G732" s="1" t="s">
        <v>23</v>
      </c>
      <c r="H732" s="1" t="s">
        <v>28</v>
      </c>
      <c r="I732" s="1" t="s">
        <v>40</v>
      </c>
      <c r="J732" s="1">
        <f>IFERROR(__xludf.DUMMYFUNCTION("""COMPUTED_VALUE"""),18.0)</f>
        <v>18</v>
      </c>
      <c r="K732" s="1">
        <v>14.0</v>
      </c>
      <c r="L732" s="1">
        <f>IFERROR(__xludf.DUMMYFUNCTION("""COMPUTED_VALUE"""),85.0)</f>
        <v>85</v>
      </c>
    </row>
    <row r="733">
      <c r="A733" s="1">
        <v>2171064.0</v>
      </c>
      <c r="B733" s="1" t="s">
        <v>1664</v>
      </c>
      <c r="C733" s="1" t="s">
        <v>1601</v>
      </c>
      <c r="D733" s="1" t="s">
        <v>1602</v>
      </c>
      <c r="E733" s="1" t="s">
        <v>1665</v>
      </c>
      <c r="F733" s="1" t="s">
        <v>16</v>
      </c>
      <c r="G733" s="1" t="s">
        <v>23</v>
      </c>
      <c r="H733" s="1" t="s">
        <v>18</v>
      </c>
      <c r="I733" s="1" t="s">
        <v>44</v>
      </c>
      <c r="J733" s="1">
        <f>IFERROR(__xludf.DUMMYFUNCTION("""COMPUTED_VALUE"""),52.0)</f>
        <v>52</v>
      </c>
      <c r="K733" s="1">
        <v>24.0</v>
      </c>
      <c r="L733" s="1">
        <f>IFERROR(__xludf.DUMMYFUNCTION("""COMPUTED_VALUE"""),86.0)</f>
        <v>86</v>
      </c>
    </row>
    <row r="734">
      <c r="A734" s="1">
        <v>2004012.0</v>
      </c>
      <c r="B734" s="1" t="s">
        <v>1666</v>
      </c>
      <c r="C734" s="1" t="s">
        <v>1601</v>
      </c>
      <c r="D734" s="1" t="s">
        <v>1612</v>
      </c>
      <c r="E734" s="1" t="s">
        <v>1667</v>
      </c>
      <c r="F734" s="1" t="s">
        <v>16</v>
      </c>
      <c r="G734" s="1" t="s">
        <v>17</v>
      </c>
      <c r="H734" s="1" t="s">
        <v>28</v>
      </c>
      <c r="I734" s="1" t="s">
        <v>40</v>
      </c>
      <c r="J734" s="1">
        <f>IFERROR(__xludf.DUMMYFUNCTION("""COMPUTED_VALUE"""),100.0)</f>
        <v>100</v>
      </c>
      <c r="K734" s="1">
        <v>23.0</v>
      </c>
      <c r="L734" s="1">
        <f>IFERROR(__xludf.DUMMYFUNCTION("""COMPUTED_VALUE"""),108.0)</f>
        <v>108</v>
      </c>
    </row>
    <row r="735">
      <c r="A735" s="1">
        <v>2001045.0</v>
      </c>
      <c r="B735" s="1" t="s">
        <v>1668</v>
      </c>
      <c r="C735" s="1" t="s">
        <v>1601</v>
      </c>
      <c r="D735" s="1" t="s">
        <v>1615</v>
      </c>
      <c r="E735" s="1" t="s">
        <v>1669</v>
      </c>
      <c r="F735" s="1" t="s">
        <v>16</v>
      </c>
      <c r="G735" s="1" t="s">
        <v>17</v>
      </c>
      <c r="H735" s="1" t="s">
        <v>18</v>
      </c>
      <c r="I735" s="1" t="s">
        <v>44</v>
      </c>
      <c r="J735" s="1">
        <f>IFERROR(__xludf.DUMMYFUNCTION("""COMPUTED_VALUE"""),100.0)</f>
        <v>100</v>
      </c>
      <c r="K735" s="1">
        <v>47.0</v>
      </c>
      <c r="L735" s="1">
        <f>IFERROR(__xludf.DUMMYFUNCTION("""COMPUTED_VALUE"""),316.0)</f>
        <v>316</v>
      </c>
    </row>
    <row r="736">
      <c r="A736" s="1">
        <v>2071050.0</v>
      </c>
      <c r="B736" s="1" t="s">
        <v>1670</v>
      </c>
      <c r="C736" s="1" t="s">
        <v>1601</v>
      </c>
      <c r="D736" s="1" t="s">
        <v>1602</v>
      </c>
      <c r="E736" s="1" t="s">
        <v>1671</v>
      </c>
      <c r="F736" s="1" t="s">
        <v>16</v>
      </c>
      <c r="G736" s="1" t="s">
        <v>17</v>
      </c>
      <c r="H736" s="1" t="s">
        <v>18</v>
      </c>
      <c r="I736" s="1" t="s">
        <v>44</v>
      </c>
      <c r="J736" s="1">
        <f>IFERROR(__xludf.DUMMYFUNCTION("""COMPUTED_VALUE"""),168.0)</f>
        <v>168</v>
      </c>
      <c r="K736" s="1">
        <v>40.0</v>
      </c>
      <c r="L736" s="1">
        <f>IFERROR(__xludf.DUMMYFUNCTION("""COMPUTED_VALUE"""),396.0)</f>
        <v>396</v>
      </c>
    </row>
    <row r="737">
      <c r="A737" s="1">
        <v>2071059.0</v>
      </c>
      <c r="B737" s="1" t="s">
        <v>1672</v>
      </c>
      <c r="C737" s="1" t="s">
        <v>1601</v>
      </c>
      <c r="D737" s="1" t="s">
        <v>1602</v>
      </c>
      <c r="E737" s="1" t="s">
        <v>1673</v>
      </c>
      <c r="F737" s="1" t="s">
        <v>16</v>
      </c>
      <c r="G737" s="1" t="s">
        <v>17</v>
      </c>
      <c r="H737" s="1" t="s">
        <v>18</v>
      </c>
      <c r="I737" s="1" t="s">
        <v>59</v>
      </c>
      <c r="J737" s="1">
        <f>IFERROR(__xludf.DUMMYFUNCTION("""COMPUTED_VALUE"""),111.0)</f>
        <v>111</v>
      </c>
      <c r="K737" s="1">
        <v>24.0</v>
      </c>
      <c r="L737" s="1">
        <f>IFERROR(__xludf.DUMMYFUNCTION("""COMPUTED_VALUE"""),182.0)</f>
        <v>182</v>
      </c>
    </row>
    <row r="738">
      <c r="A738" s="1">
        <v>2071056.0</v>
      </c>
      <c r="B738" s="1" t="s">
        <v>1674</v>
      </c>
      <c r="C738" s="1" t="s">
        <v>1601</v>
      </c>
      <c r="D738" s="1" t="s">
        <v>1602</v>
      </c>
      <c r="E738" s="1" t="s">
        <v>1675</v>
      </c>
      <c r="F738" s="1" t="s">
        <v>16</v>
      </c>
      <c r="G738" s="1" t="s">
        <v>17</v>
      </c>
      <c r="H738" s="1" t="s">
        <v>18</v>
      </c>
      <c r="I738" s="1" t="s">
        <v>44</v>
      </c>
      <c r="J738" s="1">
        <f>IFERROR(__xludf.DUMMYFUNCTION("""COMPUTED_VALUE"""),121.0)</f>
        <v>121</v>
      </c>
      <c r="K738" s="1">
        <v>40.0</v>
      </c>
      <c r="L738" s="1">
        <f>IFERROR(__xludf.DUMMYFUNCTION("""COMPUTED_VALUE"""),194.0)</f>
        <v>194</v>
      </c>
    </row>
    <row r="739">
      <c r="A739" s="1">
        <v>2001013.0</v>
      </c>
      <c r="B739" s="1" t="s">
        <v>1676</v>
      </c>
      <c r="C739" s="1" t="s">
        <v>1601</v>
      </c>
      <c r="D739" s="1" t="s">
        <v>1615</v>
      </c>
      <c r="E739" s="1" t="s">
        <v>1677</v>
      </c>
      <c r="F739" s="1" t="s">
        <v>16</v>
      </c>
      <c r="G739" s="1" t="s">
        <v>17</v>
      </c>
      <c r="H739" s="1" t="s">
        <v>28</v>
      </c>
      <c r="I739" s="1" t="s">
        <v>40</v>
      </c>
      <c r="J739" s="1">
        <f>IFERROR(__xludf.DUMMYFUNCTION("""COMPUTED_VALUE"""),210.0)</f>
        <v>210</v>
      </c>
      <c r="K739" s="1">
        <v>70.0</v>
      </c>
      <c r="L739" s="1">
        <f>IFERROR(__xludf.DUMMYFUNCTION("""COMPUTED_VALUE"""),543.0)</f>
        <v>543</v>
      </c>
    </row>
    <row r="740">
      <c r="A740" s="1">
        <v>3173084.0</v>
      </c>
      <c r="B740" s="1" t="s">
        <v>1678</v>
      </c>
      <c r="C740" s="1" t="s">
        <v>1679</v>
      </c>
      <c r="D740" s="1" t="s">
        <v>1680</v>
      </c>
      <c r="E740" s="1" t="s">
        <v>1681</v>
      </c>
      <c r="F740" s="1" t="s">
        <v>16</v>
      </c>
      <c r="G740" s="1" t="s">
        <v>27</v>
      </c>
      <c r="H740" s="1" t="s">
        <v>33</v>
      </c>
      <c r="I740" s="1" t="s">
        <v>74</v>
      </c>
      <c r="J740" s="1">
        <f>IFERROR(__xludf.DUMMYFUNCTION("""COMPUTED_VALUE"""),251.0)</f>
        <v>251</v>
      </c>
      <c r="K740" s="1">
        <v>34.0</v>
      </c>
      <c r="L740" s="1">
        <f>IFERROR(__xludf.DUMMYFUNCTION("""COMPUTED_VALUE"""),435.0)</f>
        <v>435</v>
      </c>
    </row>
    <row r="741">
      <c r="A741" s="1">
        <v>3172765.0</v>
      </c>
      <c r="B741" s="1" t="s">
        <v>1682</v>
      </c>
      <c r="C741" s="1" t="s">
        <v>1679</v>
      </c>
      <c r="D741" s="1" t="s">
        <v>1680</v>
      </c>
      <c r="E741" s="1" t="s">
        <v>1683</v>
      </c>
      <c r="F741" s="1" t="s">
        <v>55</v>
      </c>
      <c r="G741" s="1" t="s">
        <v>17</v>
      </c>
      <c r="H741" s="1" t="s">
        <v>18</v>
      </c>
      <c r="I741" s="1" t="s">
        <v>19</v>
      </c>
      <c r="J741" s="1">
        <f>IFERROR(__xludf.DUMMYFUNCTION("""COMPUTED_VALUE"""),41.0)</f>
        <v>41</v>
      </c>
      <c r="K741" s="1">
        <v>23.0</v>
      </c>
      <c r="L741" s="1">
        <f>IFERROR(__xludf.DUMMYFUNCTION("""COMPUTED_VALUE"""),13.0)</f>
        <v>13</v>
      </c>
    </row>
    <row r="742">
      <c r="A742" s="1">
        <v>3171574.0</v>
      </c>
      <c r="B742" s="1" t="s">
        <v>1684</v>
      </c>
      <c r="C742" s="1" t="s">
        <v>1679</v>
      </c>
      <c r="D742" s="1" t="s">
        <v>1685</v>
      </c>
      <c r="E742" s="1" t="s">
        <v>1686</v>
      </c>
      <c r="F742" s="1" t="s">
        <v>16</v>
      </c>
      <c r="G742" s="1" t="s">
        <v>17</v>
      </c>
      <c r="H742" s="1" t="s">
        <v>18</v>
      </c>
      <c r="I742" s="1" t="s">
        <v>59</v>
      </c>
      <c r="J742" s="1">
        <f>IFERROR(__xludf.DUMMYFUNCTION("""COMPUTED_VALUE"""),111.0)</f>
        <v>111</v>
      </c>
      <c r="K742" s="1">
        <v>72.0</v>
      </c>
      <c r="L742" s="1">
        <f>IFERROR(__xludf.DUMMYFUNCTION("""COMPUTED_VALUE"""),221.0)</f>
        <v>221</v>
      </c>
    </row>
    <row r="743">
      <c r="A743" s="1">
        <v>3173671.0</v>
      </c>
      <c r="B743" s="1" t="s">
        <v>1687</v>
      </c>
      <c r="C743" s="1" t="s">
        <v>1679</v>
      </c>
      <c r="D743" s="1" t="s">
        <v>1688</v>
      </c>
      <c r="E743" s="1" t="s">
        <v>1689</v>
      </c>
      <c r="F743" s="1" t="s">
        <v>32</v>
      </c>
      <c r="G743" s="1" t="s">
        <v>150</v>
      </c>
      <c r="H743" s="1" t="s">
        <v>18</v>
      </c>
      <c r="I743" s="1" t="s">
        <v>34</v>
      </c>
      <c r="J743" s="1">
        <f>IFERROR(__xludf.DUMMYFUNCTION("""COMPUTED_VALUE"""),15.0)</f>
        <v>15</v>
      </c>
      <c r="K743" s="1">
        <v>22.0</v>
      </c>
      <c r="L743" s="1">
        <f>IFERROR(__xludf.DUMMYFUNCTION("""COMPUTED_VALUE"""),600.0)</f>
        <v>600</v>
      </c>
    </row>
    <row r="744">
      <c r="A744" s="1">
        <v>3171768.0</v>
      </c>
      <c r="B744" s="1" t="s">
        <v>1690</v>
      </c>
      <c r="C744" s="1" t="s">
        <v>1679</v>
      </c>
      <c r="D744" s="1" t="s">
        <v>1688</v>
      </c>
      <c r="E744" s="1" t="s">
        <v>1691</v>
      </c>
      <c r="F744" s="1" t="s">
        <v>16</v>
      </c>
      <c r="G744" s="1" t="s">
        <v>17</v>
      </c>
      <c r="H744" s="1" t="s">
        <v>18</v>
      </c>
      <c r="I744" s="1" t="s">
        <v>19</v>
      </c>
      <c r="J744" s="1">
        <f>IFERROR(__xludf.DUMMYFUNCTION("""COMPUTED_VALUE"""),114.0)</f>
        <v>114</v>
      </c>
      <c r="K744" s="1">
        <v>79.0</v>
      </c>
      <c r="L744" s="1">
        <f>IFERROR(__xludf.DUMMYFUNCTION("""COMPUTED_VALUE"""),205.0)</f>
        <v>205</v>
      </c>
    </row>
    <row r="745">
      <c r="A745" s="1">
        <v>3174508.0</v>
      </c>
      <c r="B745" s="1" t="s">
        <v>1692</v>
      </c>
      <c r="C745" s="1" t="s">
        <v>1679</v>
      </c>
      <c r="D745" s="1" t="s">
        <v>1693</v>
      </c>
      <c r="E745" s="1" t="s">
        <v>1694</v>
      </c>
      <c r="F745" s="1" t="s">
        <v>16</v>
      </c>
      <c r="G745" s="1" t="s">
        <v>27</v>
      </c>
      <c r="H745" s="1" t="s">
        <v>18</v>
      </c>
      <c r="I745" s="1" t="s">
        <v>19</v>
      </c>
      <c r="J745" s="1">
        <f>IFERROR(__xludf.DUMMYFUNCTION("""COMPUTED_VALUE"""),200.0)</f>
        <v>200</v>
      </c>
      <c r="K745" s="1">
        <v>102.0</v>
      </c>
      <c r="L745" s="1">
        <f>IFERROR(__xludf.DUMMYFUNCTION("""COMPUTED_VALUE"""),247.0)</f>
        <v>247</v>
      </c>
    </row>
    <row r="746">
      <c r="A746" s="1">
        <v>3172516.0</v>
      </c>
      <c r="B746" s="1" t="s">
        <v>1695</v>
      </c>
      <c r="C746" s="1" t="s">
        <v>1679</v>
      </c>
      <c r="D746" s="1" t="s">
        <v>1680</v>
      </c>
      <c r="E746" s="1" t="s">
        <v>1696</v>
      </c>
      <c r="F746" s="1" t="s">
        <v>16</v>
      </c>
      <c r="G746" s="1" t="s">
        <v>17</v>
      </c>
      <c r="H746" s="1" t="s">
        <v>18</v>
      </c>
      <c r="I746" s="1" t="s">
        <v>59</v>
      </c>
      <c r="J746" s="1">
        <f>IFERROR(__xludf.DUMMYFUNCTION("""COMPUTED_VALUE"""),140.0)</f>
        <v>140</v>
      </c>
      <c r="K746" s="1">
        <v>53.0</v>
      </c>
      <c r="L746" s="1">
        <f>IFERROR(__xludf.DUMMYFUNCTION("""COMPUTED_VALUE"""),272.0)</f>
        <v>272</v>
      </c>
    </row>
    <row r="747">
      <c r="A747" s="1">
        <v>3172750.0</v>
      </c>
      <c r="B747" s="1" t="s">
        <v>1697</v>
      </c>
      <c r="C747" s="1" t="s">
        <v>1679</v>
      </c>
      <c r="D747" s="1" t="s">
        <v>1680</v>
      </c>
      <c r="E747" s="1" t="s">
        <v>1698</v>
      </c>
      <c r="F747" s="1" t="s">
        <v>55</v>
      </c>
      <c r="G747" s="1" t="s">
        <v>17</v>
      </c>
      <c r="H747" s="1" t="s">
        <v>18</v>
      </c>
      <c r="I747" s="1" t="s">
        <v>44</v>
      </c>
      <c r="J747" s="1">
        <f>IFERROR(__xludf.DUMMYFUNCTION("""COMPUTED_VALUE"""),75.0)</f>
        <v>75</v>
      </c>
      <c r="K747" s="1">
        <v>18.0</v>
      </c>
      <c r="L747" s="1">
        <f>IFERROR(__xludf.DUMMYFUNCTION("""COMPUTED_VALUE"""),56.0)</f>
        <v>56</v>
      </c>
    </row>
    <row r="748">
      <c r="A748" s="1">
        <v>3175407.0</v>
      </c>
      <c r="B748" s="1" t="s">
        <v>1699</v>
      </c>
      <c r="C748" s="1" t="s">
        <v>1679</v>
      </c>
      <c r="D748" s="1" t="s">
        <v>1700</v>
      </c>
      <c r="E748" s="1" t="s">
        <v>1701</v>
      </c>
      <c r="F748" s="1" t="s">
        <v>16</v>
      </c>
      <c r="G748" s="1" t="s">
        <v>27</v>
      </c>
      <c r="H748" s="1" t="s">
        <v>18</v>
      </c>
      <c r="I748" s="1" t="s">
        <v>19</v>
      </c>
      <c r="J748" s="1">
        <f>IFERROR(__xludf.DUMMYFUNCTION("""COMPUTED_VALUE"""),194.0)</f>
        <v>194</v>
      </c>
      <c r="K748" s="1">
        <v>109.0</v>
      </c>
      <c r="L748" s="1">
        <f>IFERROR(__xludf.DUMMYFUNCTION("""COMPUTED_VALUE"""),428.0)</f>
        <v>428</v>
      </c>
    </row>
    <row r="749">
      <c r="A749" s="1">
        <v>3172761.0</v>
      </c>
      <c r="B749" s="1" t="s">
        <v>1702</v>
      </c>
      <c r="C749" s="1" t="s">
        <v>1679</v>
      </c>
      <c r="D749" s="1" t="s">
        <v>1680</v>
      </c>
      <c r="E749" s="1" t="s">
        <v>1703</v>
      </c>
      <c r="F749" s="1" t="s">
        <v>16</v>
      </c>
      <c r="G749" s="1" t="s">
        <v>17</v>
      </c>
      <c r="H749" s="1" t="s">
        <v>28</v>
      </c>
      <c r="I749" s="1" t="s">
        <v>139</v>
      </c>
      <c r="J749" s="1">
        <f>IFERROR(__xludf.DUMMYFUNCTION("""COMPUTED_VALUE"""),86.0)</f>
        <v>86</v>
      </c>
      <c r="K749" s="1">
        <v>21.0</v>
      </c>
      <c r="L749" s="1">
        <f>IFERROR(__xludf.DUMMYFUNCTION("""COMPUTED_VALUE"""),194.0)</f>
        <v>194</v>
      </c>
    </row>
    <row r="750">
      <c r="A750" s="1">
        <v>3174525.0</v>
      </c>
      <c r="B750" s="1" t="s">
        <v>1704</v>
      </c>
      <c r="C750" s="1" t="s">
        <v>1679</v>
      </c>
      <c r="D750" s="1" t="s">
        <v>1693</v>
      </c>
      <c r="E750" s="1" t="s">
        <v>1705</v>
      </c>
      <c r="F750" s="1" t="s">
        <v>16</v>
      </c>
      <c r="G750" s="1" t="s">
        <v>23</v>
      </c>
      <c r="H750" s="1" t="s">
        <v>28</v>
      </c>
      <c r="I750" s="1" t="s">
        <v>139</v>
      </c>
      <c r="J750" s="1">
        <f>IFERROR(__xludf.DUMMYFUNCTION("""COMPUTED_VALUE"""),54.0)</f>
        <v>54</v>
      </c>
      <c r="K750" s="1">
        <v>23.0</v>
      </c>
      <c r="L750" s="1">
        <f>IFERROR(__xludf.DUMMYFUNCTION("""COMPUTED_VALUE"""),268.0)</f>
        <v>268</v>
      </c>
    </row>
    <row r="751">
      <c r="A751" s="1">
        <v>3174510.0</v>
      </c>
      <c r="B751" s="1" t="s">
        <v>1706</v>
      </c>
      <c r="C751" s="1" t="s">
        <v>1679</v>
      </c>
      <c r="D751" s="1" t="s">
        <v>1693</v>
      </c>
      <c r="E751" s="1" t="s">
        <v>1707</v>
      </c>
      <c r="F751" s="1" t="s">
        <v>16</v>
      </c>
      <c r="G751" s="1" t="s">
        <v>23</v>
      </c>
      <c r="H751" s="1" t="s">
        <v>18</v>
      </c>
      <c r="I751" s="1" t="s">
        <v>19</v>
      </c>
      <c r="J751" s="1">
        <f>IFERROR(__xludf.DUMMYFUNCTION("""COMPUTED_VALUE"""),50.0)</f>
        <v>50</v>
      </c>
      <c r="K751" s="1">
        <v>33.0</v>
      </c>
      <c r="L751" s="1">
        <f>IFERROR(__xludf.DUMMYFUNCTION("""COMPUTED_VALUE"""),126.0)</f>
        <v>126</v>
      </c>
    </row>
    <row r="752">
      <c r="A752" s="1">
        <v>3173543.0</v>
      </c>
      <c r="B752" s="1" t="s">
        <v>1708</v>
      </c>
      <c r="C752" s="1" t="s">
        <v>1679</v>
      </c>
      <c r="D752" s="1" t="s">
        <v>1688</v>
      </c>
      <c r="E752" s="1" t="s">
        <v>1709</v>
      </c>
      <c r="F752" s="1" t="s">
        <v>16</v>
      </c>
      <c r="G752" s="1" t="s">
        <v>27</v>
      </c>
      <c r="H752" s="1" t="s">
        <v>18</v>
      </c>
      <c r="I752" s="1" t="s">
        <v>59</v>
      </c>
      <c r="J752" s="1">
        <f>IFERROR(__xludf.DUMMYFUNCTION("""COMPUTED_VALUE"""),109.0)</f>
        <v>109</v>
      </c>
      <c r="K752" s="1">
        <v>75.0</v>
      </c>
      <c r="L752" s="1">
        <f>IFERROR(__xludf.DUMMYFUNCTION("""COMPUTED_VALUE"""),58.0)</f>
        <v>58</v>
      </c>
    </row>
    <row r="753">
      <c r="A753" s="1">
        <v>3171798.0</v>
      </c>
      <c r="B753" s="1" t="s">
        <v>1710</v>
      </c>
      <c r="C753" s="1" t="s">
        <v>1679</v>
      </c>
      <c r="D753" s="1" t="s">
        <v>1685</v>
      </c>
      <c r="E753" s="1" t="s">
        <v>1711</v>
      </c>
      <c r="F753" s="1" t="s">
        <v>16</v>
      </c>
      <c r="G753" s="1" t="s">
        <v>17</v>
      </c>
      <c r="H753" s="1" t="s">
        <v>18</v>
      </c>
      <c r="I753" s="1" t="s">
        <v>163</v>
      </c>
      <c r="J753" s="1">
        <f>IFERROR(__xludf.DUMMYFUNCTION("""COMPUTED_VALUE"""),103.0)</f>
        <v>103</v>
      </c>
      <c r="K753" s="1">
        <v>34.0</v>
      </c>
      <c r="L753" s="1">
        <f>IFERROR(__xludf.DUMMYFUNCTION("""COMPUTED_VALUE"""),98.0)</f>
        <v>98</v>
      </c>
    </row>
    <row r="754">
      <c r="A754" s="1">
        <v>3171724.0</v>
      </c>
      <c r="B754" s="1" t="s">
        <v>1712</v>
      </c>
      <c r="C754" s="1" t="s">
        <v>1679</v>
      </c>
      <c r="D754" s="1" t="s">
        <v>1685</v>
      </c>
      <c r="E754" s="1" t="s">
        <v>1713</v>
      </c>
      <c r="F754" s="1" t="s">
        <v>55</v>
      </c>
      <c r="G754" s="1" t="s">
        <v>27</v>
      </c>
      <c r="H754" s="1" t="s">
        <v>18</v>
      </c>
      <c r="I754" s="1" t="s">
        <v>19</v>
      </c>
      <c r="J754" s="1">
        <f>IFERROR(__xludf.DUMMYFUNCTION("""COMPUTED_VALUE"""),75.0)</f>
        <v>75</v>
      </c>
      <c r="K754" s="1">
        <v>44.0</v>
      </c>
      <c r="L754" s="1">
        <f>IFERROR(__xludf.DUMMYFUNCTION("""COMPUTED_VALUE"""),282.0)</f>
        <v>282</v>
      </c>
    </row>
    <row r="755">
      <c r="A755" s="1">
        <v>3174351.0</v>
      </c>
      <c r="B755" s="1" t="s">
        <v>1714</v>
      </c>
      <c r="C755" s="1" t="s">
        <v>1679</v>
      </c>
      <c r="D755" s="1" t="s">
        <v>1693</v>
      </c>
      <c r="E755" s="1" t="s">
        <v>1715</v>
      </c>
      <c r="F755" s="1" t="s">
        <v>16</v>
      </c>
      <c r="G755" s="1" t="s">
        <v>27</v>
      </c>
      <c r="H755" s="1" t="s">
        <v>18</v>
      </c>
      <c r="I755" s="1" t="s">
        <v>19</v>
      </c>
      <c r="J755" s="1">
        <f>IFERROR(__xludf.DUMMYFUNCTION("""COMPUTED_VALUE"""),183.0)</f>
        <v>183</v>
      </c>
      <c r="K755" s="1">
        <v>99.0</v>
      </c>
      <c r="L755" s="1">
        <f>IFERROR(__xludf.DUMMYFUNCTION("""COMPUTED_VALUE"""),957.0)</f>
        <v>957</v>
      </c>
    </row>
    <row r="756">
      <c r="A756" s="1">
        <v>3173696.0</v>
      </c>
      <c r="B756" s="1" t="s">
        <v>1716</v>
      </c>
      <c r="C756" s="1" t="s">
        <v>1679</v>
      </c>
      <c r="D756" s="1" t="s">
        <v>1688</v>
      </c>
      <c r="E756" s="1" t="s">
        <v>1717</v>
      </c>
      <c r="F756" s="1" t="s">
        <v>16</v>
      </c>
      <c r="G756" s="1" t="s">
        <v>17</v>
      </c>
      <c r="H756" s="1" t="s">
        <v>18</v>
      </c>
      <c r="I756" s="1" t="s">
        <v>44</v>
      </c>
      <c r="J756" s="1">
        <f>IFERROR(__xludf.DUMMYFUNCTION("""COMPUTED_VALUE"""),101.0)</f>
        <v>101</v>
      </c>
      <c r="K756" s="1">
        <v>65.0</v>
      </c>
      <c r="L756" s="1">
        <f>IFERROR(__xludf.DUMMYFUNCTION("""COMPUTED_VALUE"""),180.0)</f>
        <v>180</v>
      </c>
    </row>
    <row r="757">
      <c r="A757" s="1">
        <v>3175416.0</v>
      </c>
      <c r="B757" s="1" t="s">
        <v>1718</v>
      </c>
      <c r="C757" s="1" t="s">
        <v>1679</v>
      </c>
      <c r="D757" s="1" t="s">
        <v>1700</v>
      </c>
      <c r="E757" s="1" t="s">
        <v>1719</v>
      </c>
      <c r="F757" s="1" t="s">
        <v>16</v>
      </c>
      <c r="G757" s="1" t="s">
        <v>23</v>
      </c>
      <c r="H757" s="1" t="s">
        <v>28</v>
      </c>
      <c r="I757" s="1" t="s">
        <v>139</v>
      </c>
      <c r="J757" s="1">
        <f>IFERROR(__xludf.DUMMYFUNCTION("""COMPUTED_VALUE"""),57.0)</f>
        <v>57</v>
      </c>
      <c r="K757" s="1">
        <v>22.0</v>
      </c>
      <c r="L757" s="1">
        <f>IFERROR(__xludf.DUMMYFUNCTION("""COMPUTED_VALUE"""),95.0)</f>
        <v>95</v>
      </c>
    </row>
    <row r="758">
      <c r="A758" s="1">
        <v>3171802.0</v>
      </c>
      <c r="B758" s="1" t="s">
        <v>1720</v>
      </c>
      <c r="C758" s="1" t="s">
        <v>1679</v>
      </c>
      <c r="D758" s="1" t="s">
        <v>1685</v>
      </c>
      <c r="E758" s="1" t="s">
        <v>1721</v>
      </c>
      <c r="F758" s="1" t="s">
        <v>255</v>
      </c>
      <c r="G758" s="1" t="s">
        <v>17</v>
      </c>
      <c r="H758" s="1" t="s">
        <v>18</v>
      </c>
      <c r="I758" s="1" t="s">
        <v>44</v>
      </c>
      <c r="J758" s="1">
        <f>IFERROR(__xludf.DUMMYFUNCTION("""COMPUTED_VALUE"""),28.0)</f>
        <v>28</v>
      </c>
      <c r="K758" s="1">
        <v>21.0</v>
      </c>
      <c r="L758" s="1">
        <f>IFERROR(__xludf.DUMMYFUNCTION("""COMPUTED_VALUE"""),43.0)</f>
        <v>43</v>
      </c>
    </row>
    <row r="759">
      <c r="A759" s="1">
        <v>3172094.0</v>
      </c>
      <c r="B759" s="1" t="s">
        <v>1722</v>
      </c>
      <c r="C759" s="1" t="s">
        <v>1679</v>
      </c>
      <c r="D759" s="1" t="s">
        <v>1680</v>
      </c>
      <c r="E759" s="1" t="s">
        <v>1723</v>
      </c>
      <c r="F759" s="1" t="s">
        <v>16</v>
      </c>
      <c r="G759" s="1" t="s">
        <v>27</v>
      </c>
      <c r="H759" s="1" t="s">
        <v>18</v>
      </c>
      <c r="I759" s="1" t="s">
        <v>258</v>
      </c>
      <c r="J759" s="1">
        <f>IFERROR(__xludf.DUMMYFUNCTION("""COMPUTED_VALUE"""),201.0)</f>
        <v>201</v>
      </c>
      <c r="K759" s="1">
        <v>128.0</v>
      </c>
      <c r="L759" s="1">
        <f>IFERROR(__xludf.DUMMYFUNCTION("""COMPUTED_VALUE"""),433.0)</f>
        <v>433</v>
      </c>
    </row>
    <row r="760">
      <c r="A760" s="1">
        <v>3171789.0</v>
      </c>
      <c r="B760" s="1" t="s">
        <v>1724</v>
      </c>
      <c r="C760" s="1" t="s">
        <v>1679</v>
      </c>
      <c r="D760" s="1" t="s">
        <v>1685</v>
      </c>
      <c r="E760" s="1" t="s">
        <v>1725</v>
      </c>
      <c r="F760" s="1" t="s">
        <v>16</v>
      </c>
      <c r="G760" s="1" t="s">
        <v>27</v>
      </c>
      <c r="H760" s="1" t="s">
        <v>18</v>
      </c>
      <c r="I760" s="1" t="s">
        <v>44</v>
      </c>
      <c r="J760" s="1">
        <f>IFERROR(__xludf.DUMMYFUNCTION("""COMPUTED_VALUE"""),206.0)</f>
        <v>206</v>
      </c>
      <c r="K760" s="1">
        <v>114.0</v>
      </c>
      <c r="L760" s="1">
        <f>IFERROR(__xludf.DUMMYFUNCTION("""COMPUTED_VALUE"""),452.0)</f>
        <v>452</v>
      </c>
    </row>
    <row r="761">
      <c r="A761" s="1">
        <v>3175330.0</v>
      </c>
      <c r="B761" s="1" t="s">
        <v>1726</v>
      </c>
      <c r="C761" s="1" t="s">
        <v>1679</v>
      </c>
      <c r="D761" s="1" t="s">
        <v>1700</v>
      </c>
      <c r="E761" s="1" t="s">
        <v>1727</v>
      </c>
      <c r="F761" s="1" t="s">
        <v>16</v>
      </c>
      <c r="G761" s="1" t="s">
        <v>27</v>
      </c>
      <c r="H761" s="1" t="s">
        <v>18</v>
      </c>
      <c r="I761" s="1" t="s">
        <v>59</v>
      </c>
      <c r="J761" s="1">
        <f>IFERROR(__xludf.DUMMYFUNCTION("""COMPUTED_VALUE"""),200.0)</f>
        <v>200</v>
      </c>
      <c r="K761" s="1">
        <v>121.0</v>
      </c>
      <c r="L761" s="1">
        <f>IFERROR(__xludf.DUMMYFUNCTION("""COMPUTED_VALUE"""),553.0)</f>
        <v>553</v>
      </c>
    </row>
    <row r="762">
      <c r="A762" s="1">
        <v>3173697.0</v>
      </c>
      <c r="B762" s="1" t="s">
        <v>1728</v>
      </c>
      <c r="C762" s="1" t="s">
        <v>1679</v>
      </c>
      <c r="D762" s="1" t="s">
        <v>1688</v>
      </c>
      <c r="E762" s="1" t="s">
        <v>1729</v>
      </c>
      <c r="F762" s="1" t="s">
        <v>32</v>
      </c>
      <c r="G762" s="1" t="s">
        <v>27</v>
      </c>
      <c r="H762" s="1" t="s">
        <v>18</v>
      </c>
      <c r="I762" s="1" t="s">
        <v>95</v>
      </c>
      <c r="J762" s="1">
        <f>IFERROR(__xludf.DUMMYFUNCTION("""COMPUTED_VALUE"""),12.0)</f>
        <v>12</v>
      </c>
      <c r="K762" s="1">
        <v>20.0</v>
      </c>
      <c r="L762" s="1">
        <f>IFERROR(__xludf.DUMMYFUNCTION("""COMPUTED_VALUE"""),43.0)</f>
        <v>43</v>
      </c>
    </row>
    <row r="763">
      <c r="A763" s="1">
        <v>3172762.0</v>
      </c>
      <c r="B763" s="1" t="s">
        <v>1730</v>
      </c>
      <c r="C763" s="1" t="s">
        <v>1679</v>
      </c>
      <c r="D763" s="1" t="s">
        <v>1680</v>
      </c>
      <c r="E763" s="1" t="s">
        <v>1731</v>
      </c>
      <c r="F763" s="1" t="s">
        <v>16</v>
      </c>
      <c r="G763" s="1" t="s">
        <v>23</v>
      </c>
      <c r="H763" s="1" t="s">
        <v>18</v>
      </c>
      <c r="I763" s="1" t="s">
        <v>139</v>
      </c>
      <c r="J763" s="1">
        <f>IFERROR(__xludf.DUMMYFUNCTION("""COMPUTED_VALUE"""),54.0)</f>
        <v>54</v>
      </c>
      <c r="K763" s="1">
        <v>23.0</v>
      </c>
      <c r="L763" s="1">
        <f>IFERROR(__xludf.DUMMYFUNCTION("""COMPUTED_VALUE"""),264.0)</f>
        <v>264</v>
      </c>
    </row>
    <row r="764">
      <c r="A764" s="1">
        <v>3173014.0</v>
      </c>
      <c r="B764" s="1" t="s">
        <v>1732</v>
      </c>
      <c r="C764" s="1" t="s">
        <v>1679</v>
      </c>
      <c r="D764" s="1" t="s">
        <v>1688</v>
      </c>
      <c r="E764" s="1" t="s">
        <v>1733</v>
      </c>
      <c r="F764" s="1" t="s">
        <v>16</v>
      </c>
      <c r="G764" s="1" t="s">
        <v>150</v>
      </c>
      <c r="H764" s="1" t="s">
        <v>33</v>
      </c>
      <c r="I764" s="1" t="s">
        <v>411</v>
      </c>
      <c r="J764" s="1">
        <f>IFERROR(__xludf.DUMMYFUNCTION("""COMPUTED_VALUE"""),1542.0)</f>
        <v>1542</v>
      </c>
      <c r="K764" s="1">
        <v>81.0</v>
      </c>
      <c r="L764" s="1">
        <f>IFERROR(__xludf.DUMMYFUNCTION("""COMPUTED_VALUE"""),6325.0)</f>
        <v>6325</v>
      </c>
    </row>
    <row r="765">
      <c r="A765" s="1">
        <v>3174052.0</v>
      </c>
      <c r="B765" s="1" t="s">
        <v>1734</v>
      </c>
      <c r="C765" s="1" t="s">
        <v>1679</v>
      </c>
      <c r="D765" s="1" t="s">
        <v>1693</v>
      </c>
      <c r="E765" s="1" t="s">
        <v>1735</v>
      </c>
      <c r="F765" s="1" t="s">
        <v>16</v>
      </c>
      <c r="G765" s="1" t="s">
        <v>27</v>
      </c>
      <c r="H765" s="1" t="s">
        <v>18</v>
      </c>
      <c r="I765" s="1" t="s">
        <v>44</v>
      </c>
      <c r="J765" s="1">
        <f>IFERROR(__xludf.DUMMYFUNCTION("""COMPUTED_VALUE"""),224.0)</f>
        <v>224</v>
      </c>
      <c r="K765" s="1">
        <v>123.0</v>
      </c>
      <c r="L765" s="1">
        <f>IFERROR(__xludf.DUMMYFUNCTION("""COMPUTED_VALUE"""),801.0)</f>
        <v>801</v>
      </c>
    </row>
    <row r="766">
      <c r="A766" s="1">
        <v>3171511.0</v>
      </c>
      <c r="B766" s="1" t="s">
        <v>1736</v>
      </c>
      <c r="C766" s="1" t="s">
        <v>1679</v>
      </c>
      <c r="D766" s="1" t="s">
        <v>1685</v>
      </c>
      <c r="E766" s="1" t="s">
        <v>1737</v>
      </c>
      <c r="F766" s="1" t="s">
        <v>255</v>
      </c>
      <c r="G766" s="1" t="s">
        <v>27</v>
      </c>
      <c r="H766" s="1" t="s">
        <v>18</v>
      </c>
      <c r="I766" s="1" t="s">
        <v>44</v>
      </c>
      <c r="J766" s="1">
        <f>IFERROR(__xludf.DUMMYFUNCTION("""COMPUTED_VALUE"""),79.0)</f>
        <v>79</v>
      </c>
      <c r="K766" s="1">
        <v>56.0</v>
      </c>
      <c r="L766" s="1">
        <f>IFERROR(__xludf.DUMMYFUNCTION("""COMPUTED_VALUE"""),324.0)</f>
        <v>324</v>
      </c>
    </row>
    <row r="767">
      <c r="A767" s="1">
        <v>3175411.0</v>
      </c>
      <c r="B767" s="1" t="s">
        <v>1738</v>
      </c>
      <c r="C767" s="1" t="s">
        <v>1679</v>
      </c>
      <c r="D767" s="1" t="s">
        <v>1700</v>
      </c>
      <c r="E767" s="1" t="s">
        <v>1739</v>
      </c>
      <c r="F767" s="1" t="s">
        <v>16</v>
      </c>
      <c r="G767" s="1" t="s">
        <v>17</v>
      </c>
      <c r="H767" s="1" t="s">
        <v>18</v>
      </c>
      <c r="I767" s="1" t="s">
        <v>19</v>
      </c>
      <c r="J767" s="1">
        <f>IFERROR(__xludf.DUMMYFUNCTION("""COMPUTED_VALUE"""),107.0)</f>
        <v>107</v>
      </c>
      <c r="K767" s="1">
        <v>34.0</v>
      </c>
      <c r="L767" s="1">
        <f>IFERROR(__xludf.DUMMYFUNCTION("""COMPUTED_VALUE"""),244.0)</f>
        <v>244</v>
      </c>
    </row>
    <row r="768">
      <c r="A768" s="1">
        <v>3173116.0</v>
      </c>
      <c r="B768" s="1" t="s">
        <v>1740</v>
      </c>
      <c r="C768" s="1" t="s">
        <v>1679</v>
      </c>
      <c r="D768" s="1" t="s">
        <v>1688</v>
      </c>
      <c r="E768" s="1" t="s">
        <v>1741</v>
      </c>
      <c r="F768" s="1" t="s">
        <v>16</v>
      </c>
      <c r="G768" s="1" t="s">
        <v>23</v>
      </c>
      <c r="H768" s="1" t="s">
        <v>18</v>
      </c>
      <c r="I768" s="1" t="s">
        <v>59</v>
      </c>
      <c r="J768" s="1">
        <f>IFERROR(__xludf.DUMMYFUNCTION("""COMPUTED_VALUE"""),51.0)</f>
        <v>51</v>
      </c>
      <c r="K768" s="1">
        <v>40.0</v>
      </c>
      <c r="L768" s="1">
        <f>IFERROR(__xludf.DUMMYFUNCTION("""COMPUTED_VALUE"""),212.0)</f>
        <v>212</v>
      </c>
    </row>
    <row r="769">
      <c r="A769" s="1">
        <v>3171782.0</v>
      </c>
      <c r="B769" s="1" t="s">
        <v>1742</v>
      </c>
      <c r="C769" s="1" t="s">
        <v>1679</v>
      </c>
      <c r="D769" s="1" t="s">
        <v>1685</v>
      </c>
      <c r="E769" s="1" t="s">
        <v>1743</v>
      </c>
      <c r="F769" s="1" t="s">
        <v>16</v>
      </c>
      <c r="G769" s="1" t="s">
        <v>17</v>
      </c>
      <c r="H769" s="1" t="s">
        <v>18</v>
      </c>
      <c r="I769" s="1" t="s">
        <v>59</v>
      </c>
      <c r="J769" s="1">
        <f>IFERROR(__xludf.DUMMYFUNCTION("""COMPUTED_VALUE"""),114.0)</f>
        <v>114</v>
      </c>
      <c r="K769" s="1">
        <v>32.0</v>
      </c>
      <c r="L769" s="1">
        <f>IFERROR(__xludf.DUMMYFUNCTION("""COMPUTED_VALUE"""),132.0)</f>
        <v>132</v>
      </c>
    </row>
    <row r="770">
      <c r="A770" s="1">
        <v>3171632.0</v>
      </c>
      <c r="B770" s="1" t="s">
        <v>1744</v>
      </c>
      <c r="C770" s="1" t="s">
        <v>1679</v>
      </c>
      <c r="D770" s="1" t="s">
        <v>1685</v>
      </c>
      <c r="E770" s="1" t="s">
        <v>1745</v>
      </c>
      <c r="F770" s="1" t="s">
        <v>16</v>
      </c>
      <c r="G770" s="1" t="s">
        <v>17</v>
      </c>
      <c r="H770" s="1" t="s">
        <v>18</v>
      </c>
      <c r="I770" s="1" t="s">
        <v>59</v>
      </c>
      <c r="J770" s="1">
        <f>IFERROR(__xludf.DUMMYFUNCTION("""COMPUTED_VALUE"""),113.0)</f>
        <v>113</v>
      </c>
      <c r="K770" s="1">
        <v>34.0</v>
      </c>
      <c r="L770" s="1">
        <f>IFERROR(__xludf.DUMMYFUNCTION("""COMPUTED_VALUE"""),33.0)</f>
        <v>33</v>
      </c>
    </row>
    <row r="771">
      <c r="A771" s="1">
        <v>3174015.0</v>
      </c>
      <c r="B771" s="1" t="s">
        <v>1746</v>
      </c>
      <c r="C771" s="1" t="s">
        <v>1679</v>
      </c>
      <c r="D771" s="1" t="s">
        <v>1693</v>
      </c>
      <c r="E771" s="1" t="s">
        <v>1747</v>
      </c>
      <c r="F771" s="1" t="s">
        <v>16</v>
      </c>
      <c r="G771" s="1" t="s">
        <v>27</v>
      </c>
      <c r="H771" s="1" t="s">
        <v>18</v>
      </c>
      <c r="I771" s="1" t="s">
        <v>59</v>
      </c>
      <c r="J771" s="1">
        <f>IFERROR(__xludf.DUMMYFUNCTION("""COMPUTED_VALUE"""),206.0)</f>
        <v>206</v>
      </c>
      <c r="K771" s="1">
        <v>118.0</v>
      </c>
      <c r="L771" s="1">
        <f>IFERROR(__xludf.DUMMYFUNCTION("""COMPUTED_VALUE"""),627.0)</f>
        <v>627</v>
      </c>
    </row>
    <row r="772">
      <c r="A772" s="1">
        <v>3172013.0</v>
      </c>
      <c r="B772" s="1" t="s">
        <v>1748</v>
      </c>
      <c r="C772" s="1" t="s">
        <v>1679</v>
      </c>
      <c r="D772" s="1" t="s">
        <v>1680</v>
      </c>
      <c r="E772" s="1" t="s">
        <v>1749</v>
      </c>
      <c r="F772" s="1" t="s">
        <v>16</v>
      </c>
      <c r="G772" s="1" t="s">
        <v>150</v>
      </c>
      <c r="H772" s="1" t="s">
        <v>33</v>
      </c>
      <c r="I772" s="1" t="s">
        <v>411</v>
      </c>
      <c r="J772" s="1">
        <f>IFERROR(__xludf.DUMMYFUNCTION("""COMPUTED_VALUE"""),514.0)</f>
        <v>514</v>
      </c>
      <c r="K772" s="1">
        <v>131.0</v>
      </c>
      <c r="L772" s="1">
        <f>IFERROR(__xludf.DUMMYFUNCTION("""COMPUTED_VALUE"""),2216.0)</f>
        <v>2216</v>
      </c>
    </row>
    <row r="773">
      <c r="A773" s="1">
        <v>3173704.0</v>
      </c>
      <c r="B773" s="1" t="s">
        <v>1750</v>
      </c>
      <c r="C773" s="1" t="s">
        <v>1679</v>
      </c>
      <c r="D773" s="1" t="s">
        <v>1688</v>
      </c>
      <c r="E773" s="1" t="s">
        <v>1751</v>
      </c>
      <c r="F773" s="1" t="s">
        <v>1752</v>
      </c>
      <c r="G773" s="1" t="s">
        <v>17</v>
      </c>
      <c r="H773" s="1" t="s">
        <v>18</v>
      </c>
      <c r="I773" s="1" t="s">
        <v>19</v>
      </c>
      <c r="J773" s="1">
        <f>IFERROR(__xludf.DUMMYFUNCTION("""COMPUTED_VALUE"""),19.0)</f>
        <v>19</v>
      </c>
      <c r="K773" s="1">
        <v>23.0</v>
      </c>
      <c r="L773" s="1">
        <f>IFERROR(__xludf.DUMMYFUNCTION("""COMPUTED_VALUE"""),25.0)</f>
        <v>25</v>
      </c>
    </row>
    <row r="774">
      <c r="A774" s="1">
        <v>3175031.0</v>
      </c>
      <c r="B774" s="1" t="s">
        <v>1753</v>
      </c>
      <c r="C774" s="1" t="s">
        <v>1679</v>
      </c>
      <c r="D774" s="1" t="s">
        <v>1700</v>
      </c>
      <c r="E774" s="1" t="s">
        <v>1754</v>
      </c>
      <c r="F774" s="1" t="s">
        <v>16</v>
      </c>
      <c r="G774" s="1" t="s">
        <v>27</v>
      </c>
      <c r="H774" s="1" t="s">
        <v>18</v>
      </c>
      <c r="I774" s="1" t="s">
        <v>249</v>
      </c>
      <c r="J774" s="1">
        <f>IFERROR(__xludf.DUMMYFUNCTION("""COMPUTED_VALUE"""),202.0)</f>
        <v>202</v>
      </c>
      <c r="K774" s="1">
        <v>48.0</v>
      </c>
      <c r="L774" s="1">
        <f>IFERROR(__xludf.DUMMYFUNCTION("""COMPUTED_VALUE"""),259.0)</f>
        <v>259</v>
      </c>
    </row>
    <row r="775">
      <c r="A775" s="1">
        <v>3172531.0</v>
      </c>
      <c r="B775" s="1" t="s">
        <v>1755</v>
      </c>
      <c r="C775" s="1" t="s">
        <v>1679</v>
      </c>
      <c r="D775" s="1" t="s">
        <v>1680</v>
      </c>
      <c r="E775" s="1" t="s">
        <v>1756</v>
      </c>
      <c r="F775" s="1" t="s">
        <v>16</v>
      </c>
      <c r="G775" s="1" t="s">
        <v>17</v>
      </c>
      <c r="H775" s="1" t="s">
        <v>18</v>
      </c>
      <c r="I775" s="1" t="s">
        <v>59</v>
      </c>
      <c r="J775" s="1">
        <f>IFERROR(__xludf.DUMMYFUNCTION("""COMPUTED_VALUE"""),100.0)</f>
        <v>100</v>
      </c>
      <c r="K775" s="1">
        <v>21.0</v>
      </c>
      <c r="L775" s="1">
        <f>IFERROR(__xludf.DUMMYFUNCTION("""COMPUTED_VALUE"""),221.0)</f>
        <v>221</v>
      </c>
    </row>
    <row r="776">
      <c r="A776" s="1">
        <v>3171450.0</v>
      </c>
      <c r="B776" s="1" t="s">
        <v>1757</v>
      </c>
      <c r="C776" s="1" t="s">
        <v>1679</v>
      </c>
      <c r="D776" s="1" t="s">
        <v>1685</v>
      </c>
      <c r="E776" s="1" t="s">
        <v>1758</v>
      </c>
      <c r="F776" s="1" t="s">
        <v>16</v>
      </c>
      <c r="G776" s="1" t="s">
        <v>17</v>
      </c>
      <c r="H776" s="1" t="s">
        <v>18</v>
      </c>
      <c r="I776" s="1" t="s">
        <v>59</v>
      </c>
      <c r="J776" s="1">
        <f>IFERROR(__xludf.DUMMYFUNCTION("""COMPUTED_VALUE"""),105.0)</f>
        <v>105</v>
      </c>
      <c r="K776" s="1">
        <v>75.0</v>
      </c>
      <c r="L776" s="1">
        <f>IFERROR(__xludf.DUMMYFUNCTION("""COMPUTED_VALUE"""),260.0)</f>
        <v>260</v>
      </c>
    </row>
    <row r="777">
      <c r="A777" s="1">
        <v>3171072.0</v>
      </c>
      <c r="B777" s="1" t="s">
        <v>1759</v>
      </c>
      <c r="C777" s="1" t="s">
        <v>1679</v>
      </c>
      <c r="D777" s="1" t="s">
        <v>1685</v>
      </c>
      <c r="E777" s="1" t="s">
        <v>1760</v>
      </c>
      <c r="F777" s="1" t="s">
        <v>16</v>
      </c>
      <c r="G777" s="1" t="s">
        <v>150</v>
      </c>
      <c r="H777" s="1" t="s">
        <v>33</v>
      </c>
      <c r="I777" s="1" t="s">
        <v>34</v>
      </c>
      <c r="J777" s="1">
        <f>IFERROR(__xludf.DUMMYFUNCTION("""COMPUTED_VALUE"""),267.0)</f>
        <v>267</v>
      </c>
      <c r="K777" s="1">
        <v>69.0</v>
      </c>
      <c r="L777" s="1">
        <f>IFERROR(__xludf.DUMMYFUNCTION("""COMPUTED_VALUE"""),867.0)</f>
        <v>867</v>
      </c>
    </row>
    <row r="778">
      <c r="A778" s="1">
        <v>3175413.0</v>
      </c>
      <c r="B778" s="1" t="s">
        <v>1761</v>
      </c>
      <c r="C778" s="1" t="s">
        <v>1679</v>
      </c>
      <c r="D778" s="1" t="s">
        <v>1700</v>
      </c>
      <c r="E778" s="1" t="s">
        <v>1762</v>
      </c>
      <c r="F778" s="1" t="s">
        <v>16</v>
      </c>
      <c r="G778" s="1" t="s">
        <v>23</v>
      </c>
      <c r="H778" s="1" t="s">
        <v>28</v>
      </c>
      <c r="I778" s="1" t="s">
        <v>139</v>
      </c>
      <c r="J778" s="1">
        <f>IFERROR(__xludf.DUMMYFUNCTION("""COMPUTED_VALUE"""),50.0)</f>
        <v>50</v>
      </c>
      <c r="K778" s="1">
        <v>42.0</v>
      </c>
      <c r="L778" s="1">
        <f>IFERROR(__xludf.DUMMYFUNCTION("""COMPUTED_VALUE"""),137.0)</f>
        <v>137</v>
      </c>
    </row>
    <row r="779">
      <c r="A779" s="1">
        <v>3173723.0</v>
      </c>
      <c r="B779" s="1" t="s">
        <v>1763</v>
      </c>
      <c r="C779" s="1" t="s">
        <v>1679</v>
      </c>
      <c r="D779" s="1" t="s">
        <v>1688</v>
      </c>
      <c r="E779" s="1" t="s">
        <v>1764</v>
      </c>
      <c r="F779" s="1" t="s">
        <v>16</v>
      </c>
      <c r="G779" s="1" t="s">
        <v>17</v>
      </c>
      <c r="H779" s="1" t="s">
        <v>18</v>
      </c>
      <c r="I779" s="1" t="s">
        <v>19</v>
      </c>
      <c r="J779" s="1">
        <f>IFERROR(__xludf.DUMMYFUNCTION("""COMPUTED_VALUE"""),100.0)</f>
        <v>100</v>
      </c>
      <c r="K779" s="1">
        <v>84.0</v>
      </c>
      <c r="L779" s="1">
        <f>IFERROR(__xludf.DUMMYFUNCTION("""COMPUTED_VALUE"""),182.0)</f>
        <v>182</v>
      </c>
    </row>
    <row r="780">
      <c r="A780" s="1">
        <v>3173612.0</v>
      </c>
      <c r="B780" s="1" t="s">
        <v>1765</v>
      </c>
      <c r="C780" s="1" t="s">
        <v>1679</v>
      </c>
      <c r="D780" s="1" t="s">
        <v>1688</v>
      </c>
      <c r="E780" s="1" t="s">
        <v>1766</v>
      </c>
      <c r="F780" s="1" t="s">
        <v>1752</v>
      </c>
      <c r="G780" s="1" t="s">
        <v>17</v>
      </c>
      <c r="H780" s="1" t="s">
        <v>18</v>
      </c>
      <c r="I780" s="1" t="s">
        <v>19</v>
      </c>
      <c r="J780" s="1">
        <f>IFERROR(__xludf.DUMMYFUNCTION("""COMPUTED_VALUE"""),15.0)</f>
        <v>15</v>
      </c>
      <c r="K780" s="1">
        <v>13.0</v>
      </c>
      <c r="L780" s="1">
        <f>IFERROR(__xludf.DUMMYFUNCTION("""COMPUTED_VALUE"""),44.0)</f>
        <v>44</v>
      </c>
    </row>
    <row r="781">
      <c r="A781" s="1">
        <v>3173698.0</v>
      </c>
      <c r="B781" s="1" t="s">
        <v>1767</v>
      </c>
      <c r="C781" s="1" t="s">
        <v>1679</v>
      </c>
      <c r="D781" s="1" t="s">
        <v>1688</v>
      </c>
      <c r="E781" s="1" t="s">
        <v>1768</v>
      </c>
      <c r="F781" s="1" t="s">
        <v>16</v>
      </c>
      <c r="G781" s="1" t="s">
        <v>23</v>
      </c>
      <c r="H781" s="1" t="s">
        <v>28</v>
      </c>
      <c r="I781" s="1" t="s">
        <v>139</v>
      </c>
      <c r="J781" s="1">
        <f>IFERROR(__xludf.DUMMYFUNCTION("""COMPUTED_VALUE"""),60.0)</f>
        <v>60</v>
      </c>
      <c r="K781" s="1">
        <v>26.0</v>
      </c>
      <c r="L781" s="1">
        <f>IFERROR(__xludf.DUMMYFUNCTION("""COMPUTED_VALUE"""),210.0)</f>
        <v>210</v>
      </c>
    </row>
    <row r="782">
      <c r="A782" s="1">
        <v>3171746.0</v>
      </c>
      <c r="B782" s="1" t="s">
        <v>1769</v>
      </c>
      <c r="C782" s="1" t="s">
        <v>1679</v>
      </c>
      <c r="D782" s="1" t="s">
        <v>1685</v>
      </c>
      <c r="E782" s="1" t="s">
        <v>1770</v>
      </c>
      <c r="F782" s="1" t="s">
        <v>16</v>
      </c>
      <c r="G782" s="1" t="s">
        <v>17</v>
      </c>
      <c r="H782" s="1" t="s">
        <v>18</v>
      </c>
      <c r="I782" s="1" t="s">
        <v>19</v>
      </c>
      <c r="J782" s="1">
        <f>IFERROR(__xludf.DUMMYFUNCTION("""COMPUTED_VALUE"""),101.0)</f>
        <v>101</v>
      </c>
      <c r="K782" s="1">
        <v>24.0</v>
      </c>
      <c r="L782" s="1">
        <f>IFERROR(__xludf.DUMMYFUNCTION("""COMPUTED_VALUE"""),122.0)</f>
        <v>122</v>
      </c>
    </row>
    <row r="783">
      <c r="A783" s="1">
        <v>3172748.0</v>
      </c>
      <c r="B783" s="1" t="s">
        <v>1771</v>
      </c>
      <c r="C783" s="1" t="s">
        <v>1679</v>
      </c>
      <c r="D783" s="1" t="s">
        <v>1680</v>
      </c>
      <c r="E783" s="1" t="s">
        <v>1772</v>
      </c>
      <c r="F783" s="1" t="s">
        <v>16</v>
      </c>
      <c r="G783" s="1" t="s">
        <v>17</v>
      </c>
      <c r="H783" s="1" t="s">
        <v>18</v>
      </c>
      <c r="I783" s="1" t="s">
        <v>44</v>
      </c>
      <c r="J783" s="1">
        <f>IFERROR(__xludf.DUMMYFUNCTION("""COMPUTED_VALUE"""),100.0)</f>
        <v>100</v>
      </c>
      <c r="K783" s="1">
        <v>40.0</v>
      </c>
      <c r="L783" s="1">
        <f>IFERROR(__xludf.DUMMYFUNCTION("""COMPUTED_VALUE"""),326.0)</f>
        <v>326</v>
      </c>
    </row>
    <row r="784">
      <c r="A784" s="1">
        <v>3174420.0</v>
      </c>
      <c r="B784" s="1" t="s">
        <v>1773</v>
      </c>
      <c r="C784" s="1" t="s">
        <v>1679</v>
      </c>
      <c r="D784" s="1" t="s">
        <v>1693</v>
      </c>
      <c r="E784" s="1" t="s">
        <v>1774</v>
      </c>
      <c r="F784" s="1" t="s">
        <v>16</v>
      </c>
      <c r="G784" s="1" t="s">
        <v>17</v>
      </c>
      <c r="H784" s="1" t="s">
        <v>18</v>
      </c>
      <c r="I784" s="1" t="s">
        <v>19</v>
      </c>
      <c r="J784" s="1">
        <f>IFERROR(__xludf.DUMMYFUNCTION("""COMPUTED_VALUE"""),102.0)</f>
        <v>102</v>
      </c>
      <c r="K784" s="1">
        <v>101.0</v>
      </c>
      <c r="L784" s="1">
        <f>IFERROR(__xludf.DUMMYFUNCTION("""COMPUTED_VALUE"""),212.0)</f>
        <v>212</v>
      </c>
    </row>
    <row r="785">
      <c r="A785" s="1">
        <v>3172206.0</v>
      </c>
      <c r="B785" s="1" t="s">
        <v>1775</v>
      </c>
      <c r="C785" s="1" t="s">
        <v>1679</v>
      </c>
      <c r="D785" s="1" t="s">
        <v>1680</v>
      </c>
      <c r="E785" s="1" t="s">
        <v>1776</v>
      </c>
      <c r="F785" s="1" t="s">
        <v>16</v>
      </c>
      <c r="G785" s="1" t="s">
        <v>27</v>
      </c>
      <c r="H785" s="1" t="s">
        <v>18</v>
      </c>
      <c r="I785" s="1" t="s">
        <v>19</v>
      </c>
      <c r="J785" s="1">
        <f>IFERROR(__xludf.DUMMYFUNCTION("""COMPUTED_VALUE"""),214.0)</f>
        <v>214</v>
      </c>
      <c r="K785" s="1">
        <v>81.0</v>
      </c>
      <c r="L785" s="1">
        <f>IFERROR(__xludf.DUMMYFUNCTION("""COMPUTED_VALUE"""),860.0)</f>
        <v>860</v>
      </c>
    </row>
    <row r="786">
      <c r="A786" s="1">
        <v>3175352.0</v>
      </c>
      <c r="B786" s="1" t="s">
        <v>1777</v>
      </c>
      <c r="C786" s="1" t="s">
        <v>1679</v>
      </c>
      <c r="D786" s="1" t="s">
        <v>1700</v>
      </c>
      <c r="E786" s="1" t="s">
        <v>1778</v>
      </c>
      <c r="F786" s="1" t="s">
        <v>16</v>
      </c>
      <c r="G786" s="1" t="s">
        <v>27</v>
      </c>
      <c r="H786" s="1" t="s">
        <v>18</v>
      </c>
      <c r="I786" s="1" t="s">
        <v>19</v>
      </c>
      <c r="J786" s="1">
        <f>IFERROR(__xludf.DUMMYFUNCTION("""COMPUTED_VALUE"""),200.0)</f>
        <v>200</v>
      </c>
      <c r="K786" s="1">
        <v>98.0</v>
      </c>
      <c r="L786" s="1">
        <f>IFERROR(__xludf.DUMMYFUNCTION("""COMPUTED_VALUE"""),1158.0)</f>
        <v>1158</v>
      </c>
    </row>
    <row r="787">
      <c r="A787" s="1">
        <v>3171786.0</v>
      </c>
      <c r="B787" s="1" t="s">
        <v>1779</v>
      </c>
      <c r="C787" s="1" t="s">
        <v>1679</v>
      </c>
      <c r="D787" s="1" t="s">
        <v>1685</v>
      </c>
      <c r="E787" s="1" t="s">
        <v>1780</v>
      </c>
      <c r="F787" s="1" t="s">
        <v>16</v>
      </c>
      <c r="G787" s="1" t="s">
        <v>27</v>
      </c>
      <c r="H787" s="1" t="s">
        <v>18</v>
      </c>
      <c r="I787" s="1" t="s">
        <v>44</v>
      </c>
      <c r="J787" s="1">
        <f>IFERROR(__xludf.DUMMYFUNCTION("""COMPUTED_VALUE"""),260.0)</f>
        <v>260</v>
      </c>
      <c r="K787" s="1">
        <v>41.0</v>
      </c>
      <c r="L787" s="1">
        <f>IFERROR(__xludf.DUMMYFUNCTION("""COMPUTED_VALUE"""),959.0)</f>
        <v>959</v>
      </c>
    </row>
    <row r="788">
      <c r="A788" s="1">
        <v>3175414.0</v>
      </c>
      <c r="B788" s="1" t="s">
        <v>1781</v>
      </c>
      <c r="C788" s="1" t="s">
        <v>1679</v>
      </c>
      <c r="D788" s="1" t="s">
        <v>1700</v>
      </c>
      <c r="E788" s="1" t="s">
        <v>1782</v>
      </c>
      <c r="F788" s="1" t="s">
        <v>16</v>
      </c>
      <c r="G788" s="1" t="s">
        <v>17</v>
      </c>
      <c r="H788" s="1" t="s">
        <v>28</v>
      </c>
      <c r="I788" s="1" t="s">
        <v>139</v>
      </c>
      <c r="J788" s="1">
        <f>IFERROR(__xludf.DUMMYFUNCTION("""COMPUTED_VALUE"""),102.0)</f>
        <v>102</v>
      </c>
      <c r="K788" s="1">
        <v>51.0</v>
      </c>
      <c r="L788" s="1">
        <f>IFERROR(__xludf.DUMMYFUNCTION("""COMPUTED_VALUE"""),233.0)</f>
        <v>233</v>
      </c>
    </row>
    <row r="789">
      <c r="A789" s="1">
        <v>3173036.0</v>
      </c>
      <c r="B789" s="1" t="s">
        <v>1783</v>
      </c>
      <c r="C789" s="1" t="s">
        <v>1679</v>
      </c>
      <c r="D789" s="1" t="s">
        <v>1688</v>
      </c>
      <c r="E789" s="1" t="s">
        <v>1784</v>
      </c>
      <c r="F789" s="1" t="s">
        <v>16</v>
      </c>
      <c r="G789" s="1" t="s">
        <v>27</v>
      </c>
      <c r="H789" s="1" t="s">
        <v>33</v>
      </c>
      <c r="I789" s="1" t="s">
        <v>95</v>
      </c>
      <c r="J789" s="1">
        <f>IFERROR(__xludf.DUMMYFUNCTION("""COMPUTED_VALUE"""),217.0)</f>
        <v>217</v>
      </c>
      <c r="K789" s="1">
        <v>91.0</v>
      </c>
      <c r="L789" s="1">
        <f>IFERROR(__xludf.DUMMYFUNCTION("""COMPUTED_VALUE"""),705.0)</f>
        <v>705</v>
      </c>
    </row>
    <row r="790">
      <c r="A790" s="1">
        <v>3173441.0</v>
      </c>
      <c r="B790" s="1" t="s">
        <v>1785</v>
      </c>
      <c r="C790" s="1" t="s">
        <v>1679</v>
      </c>
      <c r="D790" s="1" t="s">
        <v>1688</v>
      </c>
      <c r="E790" s="1" t="s">
        <v>1786</v>
      </c>
      <c r="F790" s="1" t="s">
        <v>16</v>
      </c>
      <c r="G790" s="1" t="s">
        <v>17</v>
      </c>
      <c r="H790" s="1" t="s">
        <v>18</v>
      </c>
      <c r="I790" s="1" t="s">
        <v>59</v>
      </c>
      <c r="J790" s="1">
        <f>IFERROR(__xludf.DUMMYFUNCTION("""COMPUTED_VALUE"""),102.0)</f>
        <v>102</v>
      </c>
      <c r="K790" s="1">
        <v>76.0</v>
      </c>
      <c r="L790" s="1">
        <f>IFERROR(__xludf.DUMMYFUNCTION("""COMPUTED_VALUE"""),518.0)</f>
        <v>518</v>
      </c>
    </row>
    <row r="791">
      <c r="A791" s="1">
        <v>3171056.0</v>
      </c>
      <c r="B791" s="1" t="s">
        <v>1787</v>
      </c>
      <c r="C791" s="1" t="s">
        <v>1679</v>
      </c>
      <c r="D791" s="1" t="s">
        <v>1685</v>
      </c>
      <c r="E791" s="1" t="s">
        <v>1788</v>
      </c>
      <c r="F791" s="1" t="s">
        <v>1789</v>
      </c>
      <c r="G791" s="1" t="s">
        <v>150</v>
      </c>
      <c r="H791" s="1" t="s">
        <v>18</v>
      </c>
      <c r="I791" s="1" t="s">
        <v>44</v>
      </c>
      <c r="J791" s="1">
        <f>IFERROR(__xludf.DUMMYFUNCTION("""COMPUTED_VALUE"""),186.0)</f>
        <v>186</v>
      </c>
      <c r="K791" s="1">
        <v>89.0</v>
      </c>
      <c r="L791" s="1">
        <f>IFERROR(__xludf.DUMMYFUNCTION("""COMPUTED_VALUE"""),260.0)</f>
        <v>260</v>
      </c>
    </row>
    <row r="792">
      <c r="A792" s="1">
        <v>3171665.0</v>
      </c>
      <c r="B792" s="1" t="s">
        <v>1790</v>
      </c>
      <c r="C792" s="1" t="s">
        <v>1679</v>
      </c>
      <c r="D792" s="1" t="s">
        <v>1685</v>
      </c>
      <c r="E792" s="1" t="s">
        <v>1791</v>
      </c>
      <c r="F792" s="1" t="s">
        <v>16</v>
      </c>
      <c r="G792" s="1" t="s">
        <v>27</v>
      </c>
      <c r="H792" s="1" t="s">
        <v>18</v>
      </c>
      <c r="I792" s="1" t="s">
        <v>19</v>
      </c>
      <c r="J792" s="1">
        <f>IFERROR(__xludf.DUMMYFUNCTION("""COMPUTED_VALUE"""),215.0)</f>
        <v>215</v>
      </c>
      <c r="K792" s="1">
        <v>113.0</v>
      </c>
      <c r="L792" s="1">
        <f>IFERROR(__xludf.DUMMYFUNCTION("""COMPUTED_VALUE"""),437.0)</f>
        <v>437</v>
      </c>
    </row>
    <row r="793">
      <c r="A793" s="1">
        <v>3175408.0</v>
      </c>
      <c r="B793" s="1" t="s">
        <v>1792</v>
      </c>
      <c r="C793" s="1" t="s">
        <v>1679</v>
      </c>
      <c r="D793" s="1" t="s">
        <v>1700</v>
      </c>
      <c r="E793" s="1" t="s">
        <v>1793</v>
      </c>
      <c r="F793" s="1" t="s">
        <v>16</v>
      </c>
      <c r="G793" s="1" t="s">
        <v>17</v>
      </c>
      <c r="H793" s="1" t="s">
        <v>18</v>
      </c>
      <c r="I793" s="1" t="s">
        <v>44</v>
      </c>
      <c r="J793" s="1">
        <f>IFERROR(__xludf.DUMMYFUNCTION("""COMPUTED_VALUE"""),137.0)</f>
        <v>137</v>
      </c>
      <c r="K793" s="1">
        <v>35.0</v>
      </c>
      <c r="L793" s="1">
        <f>IFERROR(__xludf.DUMMYFUNCTION("""COMPUTED_VALUE"""),176.0)</f>
        <v>176</v>
      </c>
    </row>
    <row r="794">
      <c r="A794" s="1">
        <v>3174515.0</v>
      </c>
      <c r="B794" s="1" t="s">
        <v>1794</v>
      </c>
      <c r="C794" s="1" t="s">
        <v>1679</v>
      </c>
      <c r="D794" s="1" t="s">
        <v>1693</v>
      </c>
      <c r="E794" s="1" t="s">
        <v>1795</v>
      </c>
      <c r="F794" s="1" t="s">
        <v>272</v>
      </c>
      <c r="G794" s="1" t="s">
        <v>150</v>
      </c>
      <c r="H794" s="1" t="s">
        <v>18</v>
      </c>
      <c r="I794" s="1" t="s">
        <v>44</v>
      </c>
      <c r="J794" s="1">
        <f>IFERROR(__xludf.DUMMYFUNCTION("""COMPUTED_VALUE"""),25.0)</f>
        <v>25</v>
      </c>
      <c r="K794" s="1">
        <v>31.0</v>
      </c>
      <c r="L794" s="1">
        <f>IFERROR(__xludf.DUMMYFUNCTION("""COMPUTED_VALUE"""),242.0)</f>
        <v>242</v>
      </c>
    </row>
    <row r="795">
      <c r="A795" s="1">
        <v>3174030.0</v>
      </c>
      <c r="B795" s="1" t="s">
        <v>1796</v>
      </c>
      <c r="C795" s="1" t="s">
        <v>1679</v>
      </c>
      <c r="D795" s="1" t="s">
        <v>1693</v>
      </c>
      <c r="E795" s="1" t="s">
        <v>1797</v>
      </c>
      <c r="F795" s="1" t="s">
        <v>16</v>
      </c>
      <c r="G795" s="1" t="s">
        <v>17</v>
      </c>
      <c r="H795" s="1" t="s">
        <v>18</v>
      </c>
      <c r="I795" s="1" t="s">
        <v>59</v>
      </c>
      <c r="J795" s="1">
        <f>IFERROR(__xludf.DUMMYFUNCTION("""COMPUTED_VALUE"""),206.0)</f>
        <v>206</v>
      </c>
      <c r="K795" s="1">
        <v>34.0</v>
      </c>
      <c r="L795" s="1">
        <f>IFERROR(__xludf.DUMMYFUNCTION("""COMPUTED_VALUE"""),200.0)</f>
        <v>200</v>
      </c>
    </row>
    <row r="796">
      <c r="A796" s="1">
        <v>3172035.0</v>
      </c>
      <c r="B796" s="1" t="s">
        <v>1798</v>
      </c>
      <c r="C796" s="1" t="s">
        <v>1679</v>
      </c>
      <c r="D796" s="1" t="s">
        <v>1680</v>
      </c>
      <c r="E796" s="1" t="s">
        <v>1799</v>
      </c>
      <c r="F796" s="1" t="s">
        <v>16</v>
      </c>
      <c r="G796" s="1" t="s">
        <v>23</v>
      </c>
      <c r="H796" s="1" t="s">
        <v>18</v>
      </c>
      <c r="I796" s="1" t="s">
        <v>34</v>
      </c>
      <c r="J796" s="1">
        <f>IFERROR(__xludf.DUMMYFUNCTION("""COMPUTED_VALUE"""),154.0)</f>
        <v>154</v>
      </c>
      <c r="K796" s="1">
        <v>26.0</v>
      </c>
      <c r="L796" s="1">
        <f>IFERROR(__xludf.DUMMYFUNCTION("""COMPUTED_VALUE"""),144.0)</f>
        <v>144</v>
      </c>
    </row>
    <row r="797">
      <c r="A797" s="1">
        <v>3175064.0</v>
      </c>
      <c r="B797" s="1" t="s">
        <v>1800</v>
      </c>
      <c r="C797" s="1" t="s">
        <v>1679</v>
      </c>
      <c r="D797" s="1" t="s">
        <v>1700</v>
      </c>
      <c r="E797" s="1" t="s">
        <v>1801</v>
      </c>
      <c r="F797" s="1" t="s">
        <v>1802</v>
      </c>
      <c r="G797" s="1" t="s">
        <v>150</v>
      </c>
      <c r="H797" s="1" t="s">
        <v>33</v>
      </c>
      <c r="I797" s="1" t="s">
        <v>411</v>
      </c>
      <c r="J797" s="1">
        <f>IFERROR(__xludf.DUMMYFUNCTION("""COMPUTED_VALUE"""),146.0)</f>
        <v>146</v>
      </c>
      <c r="K797" s="1">
        <v>37.0</v>
      </c>
      <c r="L797" s="1">
        <f>IFERROR(__xludf.DUMMYFUNCTION("""COMPUTED_VALUE"""),743.0)</f>
        <v>743</v>
      </c>
    </row>
    <row r="798">
      <c r="A798" s="1">
        <v>3171785.0</v>
      </c>
      <c r="B798" s="1" t="s">
        <v>1803</v>
      </c>
      <c r="C798" s="1" t="s">
        <v>1679</v>
      </c>
      <c r="D798" s="1" t="s">
        <v>1685</v>
      </c>
      <c r="E798" s="1" t="s">
        <v>1804</v>
      </c>
      <c r="F798" s="1" t="s">
        <v>16</v>
      </c>
      <c r="G798" s="1" t="s">
        <v>17</v>
      </c>
      <c r="H798" s="1" t="s">
        <v>33</v>
      </c>
      <c r="I798" s="1" t="s">
        <v>65</v>
      </c>
      <c r="J798" s="1">
        <f>IFERROR(__xludf.DUMMYFUNCTION("""COMPUTED_VALUE"""),4.0)</f>
        <v>4</v>
      </c>
      <c r="K798" s="1">
        <v>55.0</v>
      </c>
      <c r="L798" s="1">
        <f>IFERROR(__xludf.DUMMYFUNCTION("""COMPUTED_VALUE"""),248.0)</f>
        <v>248</v>
      </c>
    </row>
    <row r="799">
      <c r="A799" s="1">
        <v>3171792.0</v>
      </c>
      <c r="B799" s="1" t="s">
        <v>1805</v>
      </c>
      <c r="C799" s="1" t="s">
        <v>1679</v>
      </c>
      <c r="D799" s="1" t="s">
        <v>1685</v>
      </c>
      <c r="E799" s="1" t="s">
        <v>1806</v>
      </c>
      <c r="F799" s="1" t="s">
        <v>16</v>
      </c>
      <c r="G799" s="1" t="s">
        <v>23</v>
      </c>
      <c r="H799" s="1" t="s">
        <v>28</v>
      </c>
      <c r="I799" s="1" t="s">
        <v>139</v>
      </c>
      <c r="J799" s="1">
        <f>IFERROR(__xludf.DUMMYFUNCTION("""COMPUTED_VALUE"""),50.0)</f>
        <v>50</v>
      </c>
      <c r="K799" s="1">
        <v>47.0</v>
      </c>
      <c r="L799" s="1">
        <f>IFERROR(__xludf.DUMMYFUNCTION("""COMPUTED_VALUE"""),87.0)</f>
        <v>87</v>
      </c>
    </row>
    <row r="800">
      <c r="A800" s="1">
        <v>3171804.0</v>
      </c>
      <c r="B800" s="1" t="s">
        <v>1807</v>
      </c>
      <c r="C800" s="1" t="s">
        <v>1679</v>
      </c>
      <c r="D800" s="1" t="s">
        <v>1685</v>
      </c>
      <c r="E800" s="1" t="s">
        <v>1808</v>
      </c>
      <c r="F800" s="1" t="s">
        <v>272</v>
      </c>
      <c r="G800" s="1" t="s">
        <v>17</v>
      </c>
      <c r="H800" s="1" t="s">
        <v>18</v>
      </c>
      <c r="I800" s="1" t="s">
        <v>19</v>
      </c>
      <c r="J800" s="1">
        <f>IFERROR(__xludf.DUMMYFUNCTION("""COMPUTED_VALUE"""),25.0)</f>
        <v>25</v>
      </c>
      <c r="K800" s="1">
        <v>27.0</v>
      </c>
      <c r="L800" s="1">
        <f>IFERROR(__xludf.DUMMYFUNCTION("""COMPUTED_VALUE"""),92.0)</f>
        <v>92</v>
      </c>
    </row>
    <row r="801">
      <c r="A801" s="1">
        <v>3172590.0</v>
      </c>
      <c r="B801" s="1" t="s">
        <v>1809</v>
      </c>
      <c r="C801" s="1" t="s">
        <v>1679</v>
      </c>
      <c r="D801" s="1" t="s">
        <v>1680</v>
      </c>
      <c r="E801" s="1" t="s">
        <v>1810</v>
      </c>
      <c r="F801" s="1" t="s">
        <v>16</v>
      </c>
      <c r="G801" s="1" t="s">
        <v>17</v>
      </c>
      <c r="H801" s="1" t="s">
        <v>18</v>
      </c>
      <c r="I801" s="1" t="s">
        <v>59</v>
      </c>
      <c r="J801" s="1">
        <f>IFERROR(__xludf.DUMMYFUNCTION("""COMPUTED_VALUE"""),100.0)</f>
        <v>100</v>
      </c>
      <c r="K801" s="1">
        <v>31.0</v>
      </c>
      <c r="L801" s="1">
        <f>IFERROR(__xludf.DUMMYFUNCTION("""COMPUTED_VALUE"""),177.0)</f>
        <v>177</v>
      </c>
    </row>
    <row r="802">
      <c r="A802" s="1">
        <v>3171801.0</v>
      </c>
      <c r="B802" s="1" t="s">
        <v>1811</v>
      </c>
      <c r="C802" s="1" t="s">
        <v>1679</v>
      </c>
      <c r="D802" s="1" t="s">
        <v>1685</v>
      </c>
      <c r="E802" s="1" t="s">
        <v>1812</v>
      </c>
      <c r="F802" s="1" t="s">
        <v>16</v>
      </c>
      <c r="G802" s="1" t="s">
        <v>23</v>
      </c>
      <c r="H802" s="1" t="s">
        <v>28</v>
      </c>
      <c r="I802" s="1" t="s">
        <v>139</v>
      </c>
      <c r="J802" s="1">
        <f>IFERROR(__xludf.DUMMYFUNCTION("""COMPUTED_VALUE"""),58.0)</f>
        <v>58</v>
      </c>
      <c r="K802" s="1">
        <v>16.0</v>
      </c>
      <c r="L802" s="1">
        <f>IFERROR(__xludf.DUMMYFUNCTION("""COMPUTED_VALUE"""),215.0)</f>
        <v>215</v>
      </c>
    </row>
    <row r="803">
      <c r="A803" s="1">
        <v>3175418.0</v>
      </c>
      <c r="B803" s="1" t="s">
        <v>1813</v>
      </c>
      <c r="C803" s="1" t="s">
        <v>1679</v>
      </c>
      <c r="D803" s="1" t="s">
        <v>1700</v>
      </c>
      <c r="E803" s="1" t="s">
        <v>1814</v>
      </c>
      <c r="F803" s="1" t="s">
        <v>16</v>
      </c>
      <c r="G803" s="1" t="s">
        <v>27</v>
      </c>
      <c r="H803" s="1" t="s">
        <v>18</v>
      </c>
      <c r="I803" s="1" t="s">
        <v>1815</v>
      </c>
      <c r="J803" s="1">
        <f>IFERROR(__xludf.DUMMYFUNCTION("""COMPUTED_VALUE"""),136.0)</f>
        <v>136</v>
      </c>
      <c r="K803" s="1">
        <v>36.0</v>
      </c>
      <c r="L803" s="1">
        <f>IFERROR(__xludf.DUMMYFUNCTION("""COMPUTED_VALUE"""),1.0)</f>
        <v>1</v>
      </c>
    </row>
    <row r="804">
      <c r="A804" s="1">
        <v>3171023.0</v>
      </c>
      <c r="B804" s="1" t="s">
        <v>1816</v>
      </c>
      <c r="C804" s="1" t="s">
        <v>1679</v>
      </c>
      <c r="D804" s="1" t="s">
        <v>1685</v>
      </c>
      <c r="E804" s="1" t="s">
        <v>1817</v>
      </c>
      <c r="F804" s="1" t="s">
        <v>16</v>
      </c>
      <c r="G804" s="1" t="s">
        <v>27</v>
      </c>
      <c r="H804" s="1" t="s">
        <v>18</v>
      </c>
      <c r="I804" s="1" t="s">
        <v>113</v>
      </c>
      <c r="J804" s="1">
        <f>IFERROR(__xludf.DUMMYFUNCTION("""COMPUTED_VALUE"""),228.0)</f>
        <v>228</v>
      </c>
      <c r="K804" s="1">
        <v>65.0</v>
      </c>
      <c r="L804" s="1">
        <f>IFERROR(__xludf.DUMMYFUNCTION("""COMPUTED_VALUE"""),962.0)</f>
        <v>962</v>
      </c>
    </row>
    <row r="805">
      <c r="A805" s="1">
        <v>3172759.0</v>
      </c>
      <c r="B805" s="1" t="s">
        <v>1818</v>
      </c>
      <c r="C805" s="1" t="s">
        <v>1679</v>
      </c>
      <c r="D805" s="1" t="s">
        <v>1680</v>
      </c>
      <c r="E805" s="1" t="s">
        <v>1819</v>
      </c>
      <c r="F805" s="1" t="s">
        <v>16</v>
      </c>
      <c r="G805" s="1" t="s">
        <v>17</v>
      </c>
      <c r="H805" s="1" t="s">
        <v>18</v>
      </c>
      <c r="I805" s="1" t="s">
        <v>19</v>
      </c>
      <c r="J805" s="1">
        <f>IFERROR(__xludf.DUMMYFUNCTION("""COMPUTED_VALUE"""),119.0)</f>
        <v>119</v>
      </c>
      <c r="K805" s="1">
        <v>41.0</v>
      </c>
      <c r="L805" s="1">
        <f>IFERROR(__xludf.DUMMYFUNCTION("""COMPUTED_VALUE"""),626.0)</f>
        <v>626</v>
      </c>
    </row>
    <row r="806">
      <c r="A806" s="1">
        <v>3171504.0</v>
      </c>
      <c r="B806" s="1" t="s">
        <v>1820</v>
      </c>
      <c r="C806" s="1" t="s">
        <v>1679</v>
      </c>
      <c r="D806" s="1" t="s">
        <v>1685</v>
      </c>
      <c r="E806" s="1" t="s">
        <v>1821</v>
      </c>
      <c r="F806" s="1" t="s">
        <v>16</v>
      </c>
      <c r="G806" s="1" t="s">
        <v>27</v>
      </c>
      <c r="H806" s="1" t="s">
        <v>18</v>
      </c>
      <c r="I806" s="1" t="s">
        <v>19</v>
      </c>
      <c r="J806" s="1">
        <f>IFERROR(__xludf.DUMMYFUNCTION("""COMPUTED_VALUE"""),230.0)</f>
        <v>230</v>
      </c>
      <c r="K806" s="1">
        <v>138.0</v>
      </c>
      <c r="L806" s="1">
        <f>IFERROR(__xludf.DUMMYFUNCTION("""COMPUTED_VALUE"""),960.0)</f>
        <v>960</v>
      </c>
    </row>
    <row r="807">
      <c r="A807" s="1">
        <v>3173634.0</v>
      </c>
      <c r="B807" s="1" t="s">
        <v>1822</v>
      </c>
      <c r="C807" s="1" t="s">
        <v>1679</v>
      </c>
      <c r="D807" s="1" t="s">
        <v>1688</v>
      </c>
      <c r="E807" s="1" t="s">
        <v>1823</v>
      </c>
      <c r="F807" s="1" t="s">
        <v>255</v>
      </c>
      <c r="G807" s="1" t="s">
        <v>17</v>
      </c>
      <c r="H807" s="1" t="s">
        <v>18</v>
      </c>
      <c r="I807" s="1" t="s">
        <v>59</v>
      </c>
      <c r="J807" s="1">
        <f>IFERROR(__xludf.DUMMYFUNCTION("""COMPUTED_VALUE"""),25.0)</f>
        <v>25</v>
      </c>
      <c r="K807" s="1">
        <v>16.0</v>
      </c>
      <c r="L807" s="1">
        <f>IFERROR(__xludf.DUMMYFUNCTION("""COMPUTED_VALUE"""),27.0)</f>
        <v>27</v>
      </c>
    </row>
    <row r="808">
      <c r="A808" s="1">
        <v>3101002.0</v>
      </c>
      <c r="B808" s="1" t="s">
        <v>1824</v>
      </c>
      <c r="C808" s="1" t="s">
        <v>1679</v>
      </c>
      <c r="D808" s="1" t="s">
        <v>1825</v>
      </c>
      <c r="E808" s="1" t="s">
        <v>1826</v>
      </c>
      <c r="F808" s="1" t="s">
        <v>16</v>
      </c>
      <c r="G808" s="1" t="s">
        <v>16</v>
      </c>
      <c r="H808" s="1" t="s">
        <v>23</v>
      </c>
      <c r="I808" s="1" t="s">
        <v>28</v>
      </c>
      <c r="J808" s="1">
        <f>IFERROR(__xludf.DUMMYFUNCTION("""COMPUTED_VALUE"""),1966.0)</f>
        <v>1966</v>
      </c>
      <c r="K808" s="1">
        <v>50.0</v>
      </c>
      <c r="L808" s="1">
        <f>IFERROR(__xludf.DUMMYFUNCTION("""COMPUTED_VALUE"""),24.0)</f>
        <v>24</v>
      </c>
    </row>
    <row r="809">
      <c r="A809" s="1">
        <v>3174542.0</v>
      </c>
      <c r="B809" s="1" t="s">
        <v>1828</v>
      </c>
      <c r="C809" s="1" t="s">
        <v>1679</v>
      </c>
      <c r="D809" s="1" t="s">
        <v>1693</v>
      </c>
      <c r="E809" s="1" t="s">
        <v>1829</v>
      </c>
      <c r="F809" s="1" t="s">
        <v>16</v>
      </c>
      <c r="G809" s="1" t="s">
        <v>23</v>
      </c>
      <c r="H809" s="1" t="s">
        <v>18</v>
      </c>
      <c r="I809" s="1" t="s">
        <v>19</v>
      </c>
      <c r="J809" s="1">
        <f>IFERROR(__xludf.DUMMYFUNCTION("""COMPUTED_VALUE"""),59.0)</f>
        <v>59</v>
      </c>
      <c r="K809" s="1">
        <v>69.0</v>
      </c>
      <c r="L809" s="1">
        <f>IFERROR(__xludf.DUMMYFUNCTION("""COMPUTED_VALUE"""),182.0)</f>
        <v>182</v>
      </c>
    </row>
    <row r="810">
      <c r="A810" s="1">
        <v>3174453.0</v>
      </c>
      <c r="B810" s="1" t="s">
        <v>1830</v>
      </c>
      <c r="C810" s="1" t="s">
        <v>1679</v>
      </c>
      <c r="D810" s="1" t="s">
        <v>1693</v>
      </c>
      <c r="E810" s="1" t="s">
        <v>1831</v>
      </c>
      <c r="F810" s="1" t="s">
        <v>16</v>
      </c>
      <c r="G810" s="1" t="s">
        <v>17</v>
      </c>
      <c r="H810" s="1" t="s">
        <v>18</v>
      </c>
      <c r="I810" s="1" t="s">
        <v>59</v>
      </c>
      <c r="J810" s="1">
        <f>IFERROR(__xludf.DUMMYFUNCTION("""COMPUTED_VALUE"""),145.0)</f>
        <v>145</v>
      </c>
      <c r="K810" s="1">
        <v>36.0</v>
      </c>
      <c r="L810" s="1">
        <f>IFERROR(__xludf.DUMMYFUNCTION("""COMPUTED_VALUE"""),213.0)</f>
        <v>213</v>
      </c>
    </row>
    <row r="811">
      <c r="A811" s="1">
        <v>3172758.0</v>
      </c>
      <c r="B811" s="1" t="s">
        <v>1832</v>
      </c>
      <c r="C811" s="1" t="s">
        <v>1679</v>
      </c>
      <c r="D811" s="1" t="s">
        <v>1680</v>
      </c>
      <c r="E811" s="1" t="s">
        <v>1833</v>
      </c>
      <c r="F811" s="1" t="s">
        <v>255</v>
      </c>
      <c r="G811" s="1" t="s">
        <v>150</v>
      </c>
      <c r="H811" s="1" t="s">
        <v>18</v>
      </c>
      <c r="I811" s="1" t="s">
        <v>44</v>
      </c>
      <c r="J811" s="1">
        <f>IFERROR(__xludf.DUMMYFUNCTION("""COMPUTED_VALUE"""),154.0)</f>
        <v>154</v>
      </c>
      <c r="K811" s="1">
        <v>79.0</v>
      </c>
      <c r="L811" s="1">
        <f>IFERROR(__xludf.DUMMYFUNCTION("""COMPUTED_VALUE"""),300.0)</f>
        <v>300</v>
      </c>
    </row>
    <row r="812">
      <c r="A812" s="1">
        <v>3172301.0</v>
      </c>
      <c r="B812" s="1" t="s">
        <v>1834</v>
      </c>
      <c r="C812" s="1" t="s">
        <v>1679</v>
      </c>
      <c r="D812" s="1" t="s">
        <v>1680</v>
      </c>
      <c r="E812" s="1" t="s">
        <v>1835</v>
      </c>
      <c r="F812" s="1" t="s">
        <v>255</v>
      </c>
      <c r="G812" s="1" t="s">
        <v>17</v>
      </c>
      <c r="H812" s="1" t="s">
        <v>18</v>
      </c>
      <c r="I812" s="1" t="s">
        <v>59</v>
      </c>
      <c r="J812" s="1">
        <f>IFERROR(__xludf.DUMMYFUNCTION("""COMPUTED_VALUE"""),35.0)</f>
        <v>35</v>
      </c>
      <c r="K812" s="1">
        <v>21.0</v>
      </c>
      <c r="L812" s="1">
        <f>IFERROR(__xludf.DUMMYFUNCTION("""COMPUTED_VALUE"""),81.0)</f>
        <v>81</v>
      </c>
    </row>
    <row r="813">
      <c r="A813" s="1">
        <v>3171784.0</v>
      </c>
      <c r="B813" s="1" t="s">
        <v>1836</v>
      </c>
      <c r="C813" s="1" t="s">
        <v>1679</v>
      </c>
      <c r="D813" s="1" t="s">
        <v>1685</v>
      </c>
      <c r="E813" s="1" t="s">
        <v>1837</v>
      </c>
      <c r="F813" s="1" t="s">
        <v>16</v>
      </c>
      <c r="G813" s="1" t="s">
        <v>17</v>
      </c>
      <c r="H813" s="1" t="s">
        <v>18</v>
      </c>
      <c r="I813" s="1" t="s">
        <v>44</v>
      </c>
      <c r="J813" s="1">
        <f>IFERROR(__xludf.DUMMYFUNCTION("""COMPUTED_VALUE"""),101.0)</f>
        <v>101</v>
      </c>
      <c r="K813" s="1">
        <v>27.0</v>
      </c>
      <c r="L813" s="1">
        <f>IFERROR(__xludf.DUMMYFUNCTION("""COMPUTED_VALUE"""),138.0)</f>
        <v>138</v>
      </c>
    </row>
    <row r="814">
      <c r="A814" s="1">
        <v>3175374.0</v>
      </c>
      <c r="B814" s="1" t="s">
        <v>1838</v>
      </c>
      <c r="C814" s="1" t="s">
        <v>1679</v>
      </c>
      <c r="D814" s="1" t="s">
        <v>1700</v>
      </c>
      <c r="E814" s="1" t="s">
        <v>1839</v>
      </c>
      <c r="F814" s="1" t="s">
        <v>16</v>
      </c>
      <c r="G814" s="1" t="s">
        <v>17</v>
      </c>
      <c r="H814" s="1" t="s">
        <v>18</v>
      </c>
      <c r="I814" s="1" t="s">
        <v>19</v>
      </c>
      <c r="J814" s="1">
        <f>IFERROR(__xludf.DUMMYFUNCTION("""COMPUTED_VALUE"""),104.0)</f>
        <v>104</v>
      </c>
      <c r="K814" s="1">
        <v>69.0</v>
      </c>
      <c r="L814" s="1">
        <f>IFERROR(__xludf.DUMMYFUNCTION("""COMPUTED_VALUE"""),142.0)</f>
        <v>142</v>
      </c>
    </row>
    <row r="815">
      <c r="A815" s="1">
        <v>3173051.0</v>
      </c>
      <c r="B815" s="1" t="s">
        <v>1840</v>
      </c>
      <c r="C815" s="1" t="s">
        <v>1679</v>
      </c>
      <c r="D815" s="1" t="s">
        <v>1688</v>
      </c>
      <c r="E815" s="1" t="s">
        <v>1841</v>
      </c>
      <c r="F815" s="1" t="s">
        <v>16</v>
      </c>
      <c r="G815" s="1" t="s">
        <v>27</v>
      </c>
      <c r="H815" s="1" t="s">
        <v>18</v>
      </c>
      <c r="I815" s="1" t="s">
        <v>249</v>
      </c>
      <c r="J815" s="1">
        <f>IFERROR(__xludf.DUMMYFUNCTION("""COMPUTED_VALUE"""),250.0)</f>
        <v>250</v>
      </c>
      <c r="K815" s="1">
        <v>119.0</v>
      </c>
      <c r="L815" s="1">
        <f>IFERROR(__xludf.DUMMYFUNCTION("""COMPUTED_VALUE"""),304.0)</f>
        <v>304</v>
      </c>
    </row>
    <row r="816">
      <c r="A816" s="1">
        <v>3173506.0</v>
      </c>
      <c r="B816" s="1" t="s">
        <v>1842</v>
      </c>
      <c r="C816" s="1" t="s">
        <v>1679</v>
      </c>
      <c r="D816" s="1" t="s">
        <v>1688</v>
      </c>
      <c r="E816" s="1" t="s">
        <v>1843</v>
      </c>
      <c r="F816" s="1" t="s">
        <v>16</v>
      </c>
      <c r="G816" s="1" t="s">
        <v>27</v>
      </c>
      <c r="H816" s="1" t="s">
        <v>18</v>
      </c>
      <c r="I816" s="1" t="s">
        <v>59</v>
      </c>
      <c r="J816" s="1">
        <f>IFERROR(__xludf.DUMMYFUNCTION("""COMPUTED_VALUE"""),204.0)</f>
        <v>204</v>
      </c>
      <c r="K816" s="1">
        <v>189.0</v>
      </c>
      <c r="L816" s="1">
        <f>IFERROR(__xludf.DUMMYFUNCTION("""COMPUTED_VALUE"""),198.0)</f>
        <v>198</v>
      </c>
    </row>
    <row r="817">
      <c r="A817" s="1">
        <v>3171691.0</v>
      </c>
      <c r="B817" s="1" t="s">
        <v>1844</v>
      </c>
      <c r="C817" s="1" t="s">
        <v>1679</v>
      </c>
      <c r="D817" s="1" t="s">
        <v>1685</v>
      </c>
      <c r="E817" s="1" t="s">
        <v>1845</v>
      </c>
      <c r="F817" s="1" t="s">
        <v>32</v>
      </c>
      <c r="G817" s="1" t="s">
        <v>27</v>
      </c>
      <c r="H817" s="1" t="s">
        <v>18</v>
      </c>
      <c r="I817" s="1" t="s">
        <v>59</v>
      </c>
      <c r="J817" s="1">
        <f>IFERROR(__xludf.DUMMYFUNCTION("""COMPUTED_VALUE"""),3.0)</f>
        <v>3</v>
      </c>
      <c r="K817" s="1">
        <v>20.0</v>
      </c>
      <c r="L817" s="1">
        <f>IFERROR(__xludf.DUMMYFUNCTION("""COMPUTED_VALUE"""),75.0)</f>
        <v>75</v>
      </c>
    </row>
    <row r="818">
      <c r="A818" s="1">
        <v>3174063.0</v>
      </c>
      <c r="B818" s="1" t="s">
        <v>1846</v>
      </c>
      <c r="C818" s="1" t="s">
        <v>1679</v>
      </c>
      <c r="D818" s="1" t="s">
        <v>1693</v>
      </c>
      <c r="E818" s="1" t="s">
        <v>1847</v>
      </c>
      <c r="F818" s="1" t="s">
        <v>1789</v>
      </c>
      <c r="G818" s="1" t="s">
        <v>150</v>
      </c>
      <c r="H818" s="1" t="s">
        <v>33</v>
      </c>
      <c r="I818" s="1" t="s">
        <v>411</v>
      </c>
      <c r="J818" s="1">
        <f>IFERROR(__xludf.DUMMYFUNCTION("""COMPUTED_VALUE"""),350.0)</f>
        <v>350</v>
      </c>
      <c r="K818" s="1">
        <v>96.0</v>
      </c>
      <c r="L818" s="1">
        <f>IFERROR(__xludf.DUMMYFUNCTION("""COMPUTED_VALUE"""),1268.0)</f>
        <v>1268</v>
      </c>
    </row>
    <row r="819">
      <c r="A819" s="1">
        <v>3171790.0</v>
      </c>
      <c r="B819" s="1" t="s">
        <v>1848</v>
      </c>
      <c r="C819" s="1" t="s">
        <v>1679</v>
      </c>
      <c r="D819" s="1" t="s">
        <v>1685</v>
      </c>
      <c r="E819" s="1" t="s">
        <v>1849</v>
      </c>
      <c r="F819" s="1" t="s">
        <v>16</v>
      </c>
      <c r="G819" s="1" t="s">
        <v>17</v>
      </c>
      <c r="H819" s="1" t="s">
        <v>28</v>
      </c>
      <c r="I819" s="1" t="s">
        <v>139</v>
      </c>
      <c r="J819" s="1">
        <f>IFERROR(__xludf.DUMMYFUNCTION("""COMPUTED_VALUE"""),100.0)</f>
        <v>100</v>
      </c>
      <c r="K819" s="1">
        <v>26.0</v>
      </c>
      <c r="L819" s="1">
        <f>IFERROR(__xludf.DUMMYFUNCTION("""COMPUTED_VALUE"""),262.0)</f>
        <v>262</v>
      </c>
    </row>
    <row r="820">
      <c r="A820" s="1">
        <v>3172061.0</v>
      </c>
      <c r="B820" s="1" t="s">
        <v>1850</v>
      </c>
      <c r="C820" s="1" t="s">
        <v>1679</v>
      </c>
      <c r="D820" s="1" t="s">
        <v>1680</v>
      </c>
      <c r="E820" s="1" t="s">
        <v>1851</v>
      </c>
      <c r="F820" s="1" t="s">
        <v>16</v>
      </c>
      <c r="G820" s="1" t="s">
        <v>27</v>
      </c>
      <c r="H820" s="1" t="s">
        <v>33</v>
      </c>
      <c r="I820" s="1" t="s">
        <v>563</v>
      </c>
      <c r="J820" s="1">
        <f>IFERROR(__xludf.DUMMYFUNCTION("""COMPUTED_VALUE"""),203.0)</f>
        <v>203</v>
      </c>
      <c r="K820" s="1">
        <v>122.0</v>
      </c>
      <c r="L820" s="1">
        <f>IFERROR(__xludf.DUMMYFUNCTION("""COMPUTED_VALUE"""),725.0)</f>
        <v>725</v>
      </c>
    </row>
    <row r="821">
      <c r="A821" s="1">
        <v>3172137.0</v>
      </c>
      <c r="B821" s="1" t="s">
        <v>1852</v>
      </c>
      <c r="C821" s="1" t="s">
        <v>1679</v>
      </c>
      <c r="D821" s="1" t="s">
        <v>1680</v>
      </c>
      <c r="E821" s="1" t="s">
        <v>1853</v>
      </c>
      <c r="F821" s="1" t="s">
        <v>55</v>
      </c>
      <c r="G821" s="1" t="s">
        <v>17</v>
      </c>
      <c r="H821" s="1" t="s">
        <v>18</v>
      </c>
      <c r="I821" s="1" t="s">
        <v>19</v>
      </c>
      <c r="J821" s="1">
        <f>IFERROR(__xludf.DUMMYFUNCTION("""COMPUTED_VALUE"""),40.0)</f>
        <v>40</v>
      </c>
      <c r="K821" s="1">
        <v>26.0</v>
      </c>
      <c r="L821" s="1">
        <f>IFERROR(__xludf.DUMMYFUNCTION("""COMPUTED_VALUE"""),49.0)</f>
        <v>49</v>
      </c>
    </row>
    <row r="822">
      <c r="A822" s="1">
        <v>3174522.0</v>
      </c>
      <c r="B822" s="1" t="s">
        <v>1854</v>
      </c>
      <c r="C822" s="1" t="s">
        <v>1679</v>
      </c>
      <c r="D822" s="1" t="s">
        <v>1693</v>
      </c>
      <c r="E822" s="1" t="s">
        <v>1855</v>
      </c>
      <c r="F822" s="1" t="s">
        <v>16</v>
      </c>
      <c r="G822" s="1" t="s">
        <v>27</v>
      </c>
      <c r="H822" s="1" t="s">
        <v>18</v>
      </c>
      <c r="I822" s="1" t="s">
        <v>19</v>
      </c>
      <c r="J822" s="1">
        <f>IFERROR(__xludf.DUMMYFUNCTION("""COMPUTED_VALUE"""),200.0)</f>
        <v>200</v>
      </c>
      <c r="K822" s="1">
        <v>94.0</v>
      </c>
      <c r="L822" s="1">
        <f>IFERROR(__xludf.DUMMYFUNCTION("""COMPUTED_VALUE"""),245.0)</f>
        <v>245</v>
      </c>
    </row>
    <row r="823">
      <c r="A823" s="1">
        <v>3172769.0</v>
      </c>
      <c r="B823" s="1" t="s">
        <v>1856</v>
      </c>
      <c r="C823" s="1" t="s">
        <v>1679</v>
      </c>
      <c r="D823" s="1" t="s">
        <v>1680</v>
      </c>
      <c r="E823" s="1" t="s">
        <v>1857</v>
      </c>
      <c r="F823" s="1" t="s">
        <v>16</v>
      </c>
      <c r="G823" s="1" t="s">
        <v>17</v>
      </c>
      <c r="H823" s="1" t="s">
        <v>18</v>
      </c>
      <c r="I823" s="1" t="s">
        <v>44</v>
      </c>
      <c r="J823" s="1">
        <f>IFERROR(__xludf.DUMMYFUNCTION("""COMPUTED_VALUE"""),95.0)</f>
        <v>95</v>
      </c>
      <c r="K823" s="1">
        <v>25.0</v>
      </c>
      <c r="L823" s="1">
        <f>IFERROR(__xludf.DUMMYFUNCTION("""COMPUTED_VALUE"""),31.0)</f>
        <v>31</v>
      </c>
    </row>
    <row r="824">
      <c r="A824" s="1">
        <v>3175304.0</v>
      </c>
      <c r="B824" s="1" t="s">
        <v>1858</v>
      </c>
      <c r="C824" s="1" t="s">
        <v>1679</v>
      </c>
      <c r="D824" s="1" t="s">
        <v>1700</v>
      </c>
      <c r="E824" s="1" t="s">
        <v>1859</v>
      </c>
      <c r="F824" s="1" t="s">
        <v>16</v>
      </c>
      <c r="G824" s="1" t="s">
        <v>17</v>
      </c>
      <c r="H824" s="1" t="s">
        <v>18</v>
      </c>
      <c r="I824" s="1" t="s">
        <v>19</v>
      </c>
      <c r="J824" s="1">
        <f>IFERROR(__xludf.DUMMYFUNCTION("""COMPUTED_VALUE"""),104.0)</f>
        <v>104</v>
      </c>
      <c r="K824" s="1">
        <v>114.0</v>
      </c>
      <c r="L824" s="1">
        <f>IFERROR(__xludf.DUMMYFUNCTION("""COMPUTED_VALUE"""),241.0)</f>
        <v>241</v>
      </c>
    </row>
    <row r="825">
      <c r="A825" s="1">
        <v>3172724.0</v>
      </c>
      <c r="B825" s="1" t="s">
        <v>1860</v>
      </c>
      <c r="C825" s="1" t="s">
        <v>1679</v>
      </c>
      <c r="D825" s="1" t="s">
        <v>1680</v>
      </c>
      <c r="E825" s="1" t="s">
        <v>1861</v>
      </c>
      <c r="F825" s="1" t="s">
        <v>16</v>
      </c>
      <c r="G825" s="1" t="s">
        <v>27</v>
      </c>
      <c r="H825" s="1" t="s">
        <v>33</v>
      </c>
      <c r="I825" s="1" t="s">
        <v>44</v>
      </c>
      <c r="J825" s="1">
        <f>IFERROR(__xludf.DUMMYFUNCTION("""COMPUTED_VALUE"""),230.0)</f>
        <v>230</v>
      </c>
      <c r="K825" s="1">
        <v>82.0</v>
      </c>
      <c r="L825" s="1">
        <f>IFERROR(__xludf.DUMMYFUNCTION("""COMPUTED_VALUE"""),810.0)</f>
        <v>810</v>
      </c>
    </row>
    <row r="826">
      <c r="A826" s="1">
        <v>3171045.0</v>
      </c>
      <c r="B826" s="1" t="s">
        <v>1862</v>
      </c>
      <c r="C826" s="1" t="s">
        <v>1679</v>
      </c>
      <c r="D826" s="1" t="s">
        <v>1685</v>
      </c>
      <c r="E826" s="1" t="s">
        <v>1863</v>
      </c>
      <c r="F826" s="1" t="s">
        <v>16</v>
      </c>
      <c r="G826" s="1" t="s">
        <v>17</v>
      </c>
      <c r="H826" s="1" t="s">
        <v>18</v>
      </c>
      <c r="I826" s="1" t="s">
        <v>59</v>
      </c>
      <c r="J826" s="1">
        <f>IFERROR(__xludf.DUMMYFUNCTION("""COMPUTED_VALUE"""),132.0)</f>
        <v>132</v>
      </c>
      <c r="K826" s="1">
        <v>97.0</v>
      </c>
      <c r="L826" s="1">
        <f>IFERROR(__xludf.DUMMYFUNCTION("""COMPUTED_VALUE"""),520.0)</f>
        <v>520</v>
      </c>
    </row>
    <row r="827">
      <c r="A827" s="1">
        <v>3171783.0</v>
      </c>
      <c r="B827" s="1" t="s">
        <v>1864</v>
      </c>
      <c r="C827" s="1" t="s">
        <v>1679</v>
      </c>
      <c r="D827" s="1" t="s">
        <v>1685</v>
      </c>
      <c r="E827" s="1" t="s">
        <v>1865</v>
      </c>
      <c r="F827" s="1" t="s">
        <v>55</v>
      </c>
      <c r="G827" s="1" t="s">
        <v>27</v>
      </c>
      <c r="H827" s="1" t="s">
        <v>18</v>
      </c>
      <c r="I827" s="1" t="s">
        <v>44</v>
      </c>
      <c r="J827" s="1">
        <f>IFERROR(__xludf.DUMMYFUNCTION("""COMPUTED_VALUE"""),72.0)</f>
        <v>72</v>
      </c>
      <c r="K827" s="1">
        <v>42.0</v>
      </c>
      <c r="L827" s="1">
        <f>IFERROR(__xludf.DUMMYFUNCTION("""COMPUTED_VALUE"""),445.0)</f>
        <v>445</v>
      </c>
    </row>
    <row r="828">
      <c r="A828" s="1">
        <v>3174519.0</v>
      </c>
      <c r="B828" s="1" t="s">
        <v>1866</v>
      </c>
      <c r="C828" s="1" t="s">
        <v>1679</v>
      </c>
      <c r="D828" s="1" t="s">
        <v>1693</v>
      </c>
      <c r="E828" s="1" t="s">
        <v>1867</v>
      </c>
      <c r="F828" s="1" t="s">
        <v>16</v>
      </c>
      <c r="G828" s="1" t="s">
        <v>17</v>
      </c>
      <c r="H828" s="1" t="s">
        <v>18</v>
      </c>
      <c r="I828" s="1" t="s">
        <v>44</v>
      </c>
      <c r="J828" s="1">
        <f>IFERROR(__xludf.DUMMYFUNCTION("""COMPUTED_VALUE"""),92.0)</f>
        <v>92</v>
      </c>
      <c r="K828" s="1">
        <v>75.0</v>
      </c>
      <c r="L828" s="1">
        <f>IFERROR(__xludf.DUMMYFUNCTION("""COMPUTED_VALUE"""),465.0)</f>
        <v>465</v>
      </c>
    </row>
    <row r="829">
      <c r="A829" s="1">
        <v>3173699.0</v>
      </c>
      <c r="B829" s="1" t="s">
        <v>1868</v>
      </c>
      <c r="C829" s="1" t="s">
        <v>1679</v>
      </c>
      <c r="D829" s="1" t="s">
        <v>1688</v>
      </c>
      <c r="E829" s="1" t="s">
        <v>1869</v>
      </c>
      <c r="F829" s="1" t="s">
        <v>16</v>
      </c>
      <c r="G829" s="1" t="s">
        <v>23</v>
      </c>
      <c r="H829" s="1" t="s">
        <v>28</v>
      </c>
      <c r="I829" s="1" t="s">
        <v>139</v>
      </c>
      <c r="J829" s="1">
        <f>IFERROR(__xludf.DUMMYFUNCTION("""COMPUTED_VALUE"""),50.0)</f>
        <v>50</v>
      </c>
      <c r="K829" s="1">
        <v>26.0</v>
      </c>
      <c r="L829" s="1">
        <f>IFERROR(__xludf.DUMMYFUNCTION("""COMPUTED_VALUE"""),153.0)</f>
        <v>153</v>
      </c>
    </row>
    <row r="830">
      <c r="A830" s="1">
        <v>3173656.0</v>
      </c>
      <c r="B830" s="1" t="s">
        <v>1870</v>
      </c>
      <c r="C830" s="1" t="s">
        <v>1679</v>
      </c>
      <c r="D830" s="1" t="s">
        <v>1688</v>
      </c>
      <c r="E830" s="1" t="s">
        <v>1871</v>
      </c>
      <c r="F830" s="1" t="s">
        <v>16</v>
      </c>
      <c r="G830" s="1" t="s">
        <v>27</v>
      </c>
      <c r="H830" s="1" t="s">
        <v>18</v>
      </c>
      <c r="I830" s="1" t="s">
        <v>19</v>
      </c>
      <c r="J830" s="1">
        <f>IFERROR(__xludf.DUMMYFUNCTION("""COMPUTED_VALUE"""),139.0)</f>
        <v>139</v>
      </c>
      <c r="K830" s="1">
        <v>74.0</v>
      </c>
      <c r="L830" s="1">
        <f>IFERROR(__xludf.DUMMYFUNCTION("""COMPUTED_VALUE"""),723.0)</f>
        <v>723</v>
      </c>
    </row>
    <row r="831">
      <c r="A831" s="1">
        <v>3174509.0</v>
      </c>
      <c r="B831" s="1" t="s">
        <v>1872</v>
      </c>
      <c r="C831" s="1" t="s">
        <v>1679</v>
      </c>
      <c r="D831" s="1" t="s">
        <v>1700</v>
      </c>
      <c r="E831" s="1" t="s">
        <v>1873</v>
      </c>
      <c r="F831" s="1" t="s">
        <v>55</v>
      </c>
      <c r="G831" s="1" t="s">
        <v>17</v>
      </c>
      <c r="H831" s="1" t="s">
        <v>18</v>
      </c>
      <c r="I831" s="1" t="s">
        <v>249</v>
      </c>
      <c r="J831" s="1">
        <f>IFERROR(__xludf.DUMMYFUNCTION("""COMPUTED_VALUE"""),41.0)</f>
        <v>41</v>
      </c>
      <c r="K831" s="1">
        <v>14.0</v>
      </c>
      <c r="L831" s="1">
        <f>IFERROR(__xludf.DUMMYFUNCTION("""COMPUTED_VALUE"""),129.0)</f>
        <v>129</v>
      </c>
    </row>
    <row r="832">
      <c r="A832" s="1">
        <v>3174497.0</v>
      </c>
      <c r="B832" s="1" t="s">
        <v>1874</v>
      </c>
      <c r="C832" s="1" t="s">
        <v>1679</v>
      </c>
      <c r="D832" s="1" t="s">
        <v>1693</v>
      </c>
      <c r="E832" s="1" t="s">
        <v>1875</v>
      </c>
      <c r="F832" s="1" t="s">
        <v>55</v>
      </c>
      <c r="G832" s="1" t="s">
        <v>17</v>
      </c>
      <c r="H832" s="1" t="s">
        <v>18</v>
      </c>
      <c r="I832" s="1" t="s">
        <v>19</v>
      </c>
      <c r="J832" s="1">
        <f>IFERROR(__xludf.DUMMYFUNCTION("""COMPUTED_VALUE"""),34.0)</f>
        <v>34</v>
      </c>
      <c r="K832" s="1">
        <v>19.0</v>
      </c>
      <c r="L832" s="1">
        <f>IFERROR(__xludf.DUMMYFUNCTION("""COMPUTED_VALUE"""),36.0)</f>
        <v>36</v>
      </c>
    </row>
    <row r="833">
      <c r="A833" s="1">
        <v>3174531.0</v>
      </c>
      <c r="B833" s="1" t="s">
        <v>1876</v>
      </c>
      <c r="C833" s="1" t="s">
        <v>1679</v>
      </c>
      <c r="D833" s="1" t="s">
        <v>1693</v>
      </c>
      <c r="E833" s="1" t="s">
        <v>1877</v>
      </c>
      <c r="F833" s="1" t="s">
        <v>16</v>
      </c>
      <c r="G833" s="1" t="s">
        <v>17</v>
      </c>
      <c r="H833" s="1" t="s">
        <v>18</v>
      </c>
      <c r="I833" s="1" t="s">
        <v>44</v>
      </c>
      <c r="J833" s="1">
        <f>IFERROR(__xludf.DUMMYFUNCTION("""COMPUTED_VALUE"""),108.0)</f>
        <v>108</v>
      </c>
      <c r="K833" s="1">
        <v>32.0</v>
      </c>
      <c r="L833" s="1">
        <f>IFERROR(__xludf.DUMMYFUNCTION("""COMPUTED_VALUE"""),182.0)</f>
        <v>182</v>
      </c>
    </row>
    <row r="834">
      <c r="A834" s="1">
        <v>3172505.0</v>
      </c>
      <c r="B834" s="1" t="s">
        <v>1878</v>
      </c>
      <c r="C834" s="1" t="s">
        <v>1679</v>
      </c>
      <c r="D834" s="1" t="s">
        <v>1680</v>
      </c>
      <c r="E834" s="1" t="s">
        <v>1879</v>
      </c>
      <c r="F834" s="1" t="s">
        <v>16</v>
      </c>
      <c r="G834" s="1" t="s">
        <v>27</v>
      </c>
      <c r="H834" s="1" t="s">
        <v>18</v>
      </c>
      <c r="I834" s="1" t="s">
        <v>684</v>
      </c>
      <c r="J834" s="1">
        <f>IFERROR(__xludf.DUMMYFUNCTION("""COMPUTED_VALUE"""),202.0)</f>
        <v>202</v>
      </c>
      <c r="K834" s="1">
        <v>115.0</v>
      </c>
      <c r="L834" s="1">
        <f>IFERROR(__xludf.DUMMYFUNCTION("""COMPUTED_VALUE"""),446.0)</f>
        <v>446</v>
      </c>
    </row>
    <row r="835">
      <c r="A835" s="1">
        <v>3171806.0</v>
      </c>
      <c r="B835" s="1" t="s">
        <v>1880</v>
      </c>
      <c r="C835" s="1" t="s">
        <v>1679</v>
      </c>
      <c r="D835" s="1" t="s">
        <v>1685</v>
      </c>
      <c r="E835" s="1" t="s">
        <v>1881</v>
      </c>
      <c r="F835" s="1" t="s">
        <v>16</v>
      </c>
      <c r="G835" s="1" t="s">
        <v>23</v>
      </c>
      <c r="H835" s="1" t="s">
        <v>18</v>
      </c>
      <c r="I835" s="1" t="s">
        <v>19</v>
      </c>
      <c r="J835" s="1">
        <f>IFERROR(__xludf.DUMMYFUNCTION("""COMPUTED_VALUE"""),103.0)</f>
        <v>103</v>
      </c>
      <c r="K835" s="1">
        <v>128.0</v>
      </c>
      <c r="L835" s="1">
        <f>IFERROR(__xludf.DUMMYFUNCTION("""COMPUTED_VALUE"""),312.0)</f>
        <v>312</v>
      </c>
    </row>
    <row r="836">
      <c r="A836" s="1">
        <v>3171912.0</v>
      </c>
      <c r="B836" s="1" t="s">
        <v>1882</v>
      </c>
      <c r="C836" s="1" t="s">
        <v>1679</v>
      </c>
      <c r="D836" s="1" t="s">
        <v>1685</v>
      </c>
      <c r="E836" s="1" t="s">
        <v>1883</v>
      </c>
      <c r="F836" s="1" t="s">
        <v>1884</v>
      </c>
      <c r="G836" s="1" t="s">
        <v>17</v>
      </c>
      <c r="H836" s="1" t="s">
        <v>18</v>
      </c>
      <c r="I836" s="1" t="s">
        <v>19</v>
      </c>
      <c r="J836" s="1">
        <f>IFERROR(__xludf.DUMMYFUNCTION("""COMPUTED_VALUE"""),31.0)</f>
        <v>31</v>
      </c>
      <c r="K836" s="1">
        <v>33.0</v>
      </c>
      <c r="L836" s="1">
        <f>IFERROR(__xludf.DUMMYFUNCTION("""COMPUTED_VALUE"""),182.0)</f>
        <v>182</v>
      </c>
    </row>
    <row r="837">
      <c r="A837" s="1">
        <v>3175396.0</v>
      </c>
      <c r="B837" s="1" t="s">
        <v>1885</v>
      </c>
      <c r="C837" s="1" t="s">
        <v>1679</v>
      </c>
      <c r="D837" s="1" t="s">
        <v>1700</v>
      </c>
      <c r="E837" s="1" t="s">
        <v>1886</v>
      </c>
      <c r="F837" s="1" t="s">
        <v>16</v>
      </c>
      <c r="G837" s="1" t="s">
        <v>23</v>
      </c>
      <c r="H837" s="1" t="s">
        <v>18</v>
      </c>
      <c r="I837" s="1" t="s">
        <v>19</v>
      </c>
      <c r="J837" s="1">
        <f>IFERROR(__xludf.DUMMYFUNCTION("""COMPUTED_VALUE"""),54.0)</f>
        <v>54</v>
      </c>
      <c r="K837" s="1">
        <v>30.0</v>
      </c>
      <c r="L837" s="1">
        <f>IFERROR(__xludf.DUMMYFUNCTION("""COMPUTED_VALUE"""),153.0)</f>
        <v>153</v>
      </c>
    </row>
    <row r="838">
      <c r="A838" s="1">
        <v>3173073.0</v>
      </c>
      <c r="B838" s="1" t="s">
        <v>1887</v>
      </c>
      <c r="C838" s="1" t="s">
        <v>1679</v>
      </c>
      <c r="D838" s="1" t="s">
        <v>1688</v>
      </c>
      <c r="E838" s="1" t="s">
        <v>1888</v>
      </c>
      <c r="F838" s="1" t="s">
        <v>16</v>
      </c>
      <c r="G838" s="1" t="s">
        <v>27</v>
      </c>
      <c r="H838" s="1" t="s">
        <v>18</v>
      </c>
      <c r="I838" s="1" t="s">
        <v>684</v>
      </c>
      <c r="J838" s="1">
        <f>IFERROR(__xludf.DUMMYFUNCTION("""COMPUTED_VALUE"""),367.0)</f>
        <v>367</v>
      </c>
      <c r="K838" s="1">
        <v>114.0</v>
      </c>
      <c r="L838" s="1">
        <f>IFERROR(__xludf.DUMMYFUNCTION("""COMPUTED_VALUE"""),1054.0)</f>
        <v>1054</v>
      </c>
    </row>
    <row r="839">
      <c r="A839" s="1">
        <v>3171413.0</v>
      </c>
      <c r="B839" s="1" t="s">
        <v>1889</v>
      </c>
      <c r="C839" s="1" t="s">
        <v>1679</v>
      </c>
      <c r="D839" s="1" t="s">
        <v>1685</v>
      </c>
      <c r="E839" s="1" t="s">
        <v>1890</v>
      </c>
      <c r="F839" s="1" t="s">
        <v>55</v>
      </c>
      <c r="G839" s="1" t="s">
        <v>17</v>
      </c>
      <c r="H839" s="1" t="s">
        <v>18</v>
      </c>
      <c r="I839" s="1" t="s">
        <v>44</v>
      </c>
      <c r="J839" s="1">
        <f>IFERROR(__xludf.DUMMYFUNCTION("""COMPUTED_VALUE"""),37.0)</f>
        <v>37</v>
      </c>
      <c r="K839" s="1">
        <v>31.0</v>
      </c>
      <c r="L839" s="1">
        <f>IFERROR(__xludf.DUMMYFUNCTION("""COMPUTED_VALUE"""),42.0)</f>
        <v>42</v>
      </c>
    </row>
    <row r="840">
      <c r="A840" s="1">
        <v>3172756.0</v>
      </c>
      <c r="B840" s="1" t="s">
        <v>1891</v>
      </c>
      <c r="C840" s="1" t="s">
        <v>1679</v>
      </c>
      <c r="D840" s="1" t="s">
        <v>1680</v>
      </c>
      <c r="E840" s="1" t="s">
        <v>1892</v>
      </c>
      <c r="F840" s="1" t="s">
        <v>55</v>
      </c>
      <c r="G840" s="1" t="s">
        <v>17</v>
      </c>
      <c r="H840" s="1" t="s">
        <v>18</v>
      </c>
      <c r="I840" s="1" t="s">
        <v>44</v>
      </c>
      <c r="J840" s="1">
        <f>IFERROR(__xludf.DUMMYFUNCTION("""COMPUTED_VALUE"""),20.0)</f>
        <v>20</v>
      </c>
      <c r="K840" s="1">
        <v>27.0</v>
      </c>
      <c r="L840" s="1">
        <f>IFERROR(__xludf.DUMMYFUNCTION("""COMPUTED_VALUE"""),56.0)</f>
        <v>56</v>
      </c>
    </row>
    <row r="841">
      <c r="A841" s="1">
        <v>3173532.0</v>
      </c>
      <c r="B841" s="1" t="s">
        <v>1893</v>
      </c>
      <c r="C841" s="1" t="s">
        <v>1679</v>
      </c>
      <c r="D841" s="1" t="s">
        <v>1688</v>
      </c>
      <c r="E841" s="1" t="s">
        <v>1894</v>
      </c>
      <c r="F841" s="1" t="s">
        <v>1752</v>
      </c>
      <c r="G841" s="1" t="s">
        <v>27</v>
      </c>
      <c r="H841" s="1" t="s">
        <v>18</v>
      </c>
      <c r="I841" s="1" t="s">
        <v>19</v>
      </c>
      <c r="J841" s="1">
        <f>IFERROR(__xludf.DUMMYFUNCTION("""COMPUTED_VALUE"""),25.0)</f>
        <v>25</v>
      </c>
      <c r="K841" s="1">
        <v>30.0</v>
      </c>
      <c r="L841" s="1">
        <f>IFERROR(__xludf.DUMMYFUNCTION("""COMPUTED_VALUE"""),181.0)</f>
        <v>181</v>
      </c>
    </row>
    <row r="842">
      <c r="A842" s="1">
        <v>3175075.0</v>
      </c>
      <c r="B842" s="1" t="s">
        <v>1895</v>
      </c>
      <c r="C842" s="1" t="s">
        <v>1679</v>
      </c>
      <c r="D842" s="1" t="s">
        <v>1700</v>
      </c>
      <c r="E842" s="1" t="s">
        <v>1896</v>
      </c>
      <c r="F842" s="1" t="s">
        <v>16</v>
      </c>
      <c r="G842" s="1" t="s">
        <v>17</v>
      </c>
      <c r="H842" s="1" t="s">
        <v>18</v>
      </c>
      <c r="I842" s="1" t="s">
        <v>19</v>
      </c>
      <c r="J842" s="1">
        <f>IFERROR(__xludf.DUMMYFUNCTION("""COMPUTED_VALUE"""),116.0)</f>
        <v>116</v>
      </c>
      <c r="K842" s="1">
        <v>52.0</v>
      </c>
      <c r="L842" s="1">
        <f>IFERROR(__xludf.DUMMYFUNCTION("""COMPUTED_VALUE"""),142.0)</f>
        <v>142</v>
      </c>
    </row>
    <row r="843">
      <c r="A843" s="1">
        <v>3172766.0</v>
      </c>
      <c r="B843" s="1" t="s">
        <v>1897</v>
      </c>
      <c r="C843" s="1" t="s">
        <v>1679</v>
      </c>
      <c r="D843" s="1" t="s">
        <v>1680</v>
      </c>
      <c r="E843" s="1" t="s">
        <v>1898</v>
      </c>
      <c r="F843" s="1" t="s">
        <v>16</v>
      </c>
      <c r="G843" s="1" t="s">
        <v>23</v>
      </c>
      <c r="H843" s="1" t="s">
        <v>18</v>
      </c>
      <c r="I843" s="1" t="s">
        <v>34</v>
      </c>
      <c r="J843" s="1">
        <f>IFERROR(__xludf.DUMMYFUNCTION("""COMPUTED_VALUE"""),50.0)</f>
        <v>50</v>
      </c>
      <c r="K843" s="1">
        <v>26.0</v>
      </c>
      <c r="L843" s="1">
        <f>IFERROR(__xludf.DUMMYFUNCTION("""COMPUTED_VALUE"""),130.0)</f>
        <v>130</v>
      </c>
    </row>
    <row r="844">
      <c r="A844" s="1">
        <v>3171713.0</v>
      </c>
      <c r="B844" s="1" t="s">
        <v>1381</v>
      </c>
      <c r="C844" s="1" t="s">
        <v>1679</v>
      </c>
      <c r="D844" s="1" t="s">
        <v>1685</v>
      </c>
      <c r="E844" s="1" t="s">
        <v>1899</v>
      </c>
      <c r="F844" s="1" t="s">
        <v>16</v>
      </c>
      <c r="G844" s="1" t="s">
        <v>17</v>
      </c>
      <c r="H844" s="1" t="s">
        <v>18</v>
      </c>
      <c r="I844" s="1" t="s">
        <v>19</v>
      </c>
      <c r="J844" s="1">
        <f>IFERROR(__xludf.DUMMYFUNCTION("""COMPUTED_VALUE"""),111.0)</f>
        <v>111</v>
      </c>
      <c r="K844" s="1">
        <v>23.0</v>
      </c>
      <c r="L844" s="1">
        <f>IFERROR(__xludf.DUMMYFUNCTION("""COMPUTED_VALUE"""),243.0)</f>
        <v>243</v>
      </c>
    </row>
    <row r="845">
      <c r="A845" s="1">
        <v>3175409.0</v>
      </c>
      <c r="B845" s="1" t="s">
        <v>1900</v>
      </c>
      <c r="C845" s="1" t="s">
        <v>1679</v>
      </c>
      <c r="D845" s="1" t="s">
        <v>1700</v>
      </c>
      <c r="E845" s="1" t="s">
        <v>1901</v>
      </c>
      <c r="F845" s="1" t="s">
        <v>55</v>
      </c>
      <c r="G845" s="1" t="s">
        <v>17</v>
      </c>
      <c r="H845" s="1" t="s">
        <v>18</v>
      </c>
      <c r="I845" s="1" t="s">
        <v>44</v>
      </c>
      <c r="J845" s="1">
        <f>IFERROR(__xludf.DUMMYFUNCTION("""COMPUTED_VALUE"""),66.0)</f>
        <v>66</v>
      </c>
      <c r="K845" s="1">
        <v>21.0</v>
      </c>
      <c r="L845" s="1">
        <f>IFERROR(__xludf.DUMMYFUNCTION("""COMPUTED_VALUE"""),179.0)</f>
        <v>179</v>
      </c>
    </row>
    <row r="846">
      <c r="A846" s="1">
        <v>3174282.0</v>
      </c>
      <c r="B846" s="1" t="s">
        <v>1902</v>
      </c>
      <c r="C846" s="1" t="s">
        <v>1679</v>
      </c>
      <c r="D846" s="1" t="s">
        <v>1693</v>
      </c>
      <c r="E846" s="1" t="s">
        <v>1903</v>
      </c>
      <c r="F846" s="1" t="s">
        <v>1884</v>
      </c>
      <c r="G846" s="1" t="s">
        <v>150</v>
      </c>
      <c r="H846" s="1" t="s">
        <v>33</v>
      </c>
      <c r="I846" s="1" t="s">
        <v>411</v>
      </c>
      <c r="J846" s="1">
        <f>IFERROR(__xludf.DUMMYFUNCTION("""COMPUTED_VALUE"""),403.0)</f>
        <v>403</v>
      </c>
      <c r="K846" s="1">
        <v>52.0</v>
      </c>
      <c r="L846" s="1">
        <f>IFERROR(__xludf.DUMMYFUNCTION("""COMPUTED_VALUE"""),2458.0)</f>
        <v>2458</v>
      </c>
    </row>
    <row r="847">
      <c r="A847" s="1">
        <v>3172083.0</v>
      </c>
      <c r="B847" s="1" t="s">
        <v>1904</v>
      </c>
      <c r="C847" s="1" t="s">
        <v>1679</v>
      </c>
      <c r="D847" s="1" t="s">
        <v>1680</v>
      </c>
      <c r="E847" s="1" t="s">
        <v>1905</v>
      </c>
      <c r="F847" s="1" t="s">
        <v>16</v>
      </c>
      <c r="G847" s="1" t="s">
        <v>17</v>
      </c>
      <c r="H847" s="1" t="s">
        <v>18</v>
      </c>
      <c r="I847" s="1" t="s">
        <v>74</v>
      </c>
      <c r="J847" s="1">
        <f>IFERROR(__xludf.DUMMYFUNCTION("""COMPUTED_VALUE"""),100.0)</f>
        <v>100</v>
      </c>
      <c r="K847" s="1">
        <v>27.0</v>
      </c>
      <c r="L847" s="1">
        <f>IFERROR(__xludf.DUMMYFUNCTION("""COMPUTED_VALUE"""),88.0)</f>
        <v>88</v>
      </c>
    </row>
    <row r="848">
      <c r="A848" s="1">
        <v>3172749.0</v>
      </c>
      <c r="B848" s="1" t="s">
        <v>1906</v>
      </c>
      <c r="C848" s="1" t="s">
        <v>1679</v>
      </c>
      <c r="D848" s="1" t="s">
        <v>1680</v>
      </c>
      <c r="E848" s="1" t="s">
        <v>1907</v>
      </c>
      <c r="F848" s="1" t="s">
        <v>1908</v>
      </c>
      <c r="G848" s="1" t="s">
        <v>150</v>
      </c>
      <c r="H848" s="1" t="s">
        <v>33</v>
      </c>
      <c r="I848" s="1" t="s">
        <v>411</v>
      </c>
      <c r="J848" s="1">
        <f>IFERROR(__xludf.DUMMYFUNCTION("""COMPUTED_VALUE"""),287.0)</f>
        <v>287</v>
      </c>
      <c r="K848" s="1">
        <v>61.0</v>
      </c>
      <c r="L848" s="1">
        <f>IFERROR(__xludf.DUMMYFUNCTION("""COMPUTED_VALUE"""),1673.0)</f>
        <v>1673</v>
      </c>
    </row>
    <row r="849">
      <c r="A849" s="1">
        <v>3175326.0</v>
      </c>
      <c r="B849" s="1" t="s">
        <v>1909</v>
      </c>
      <c r="C849" s="1" t="s">
        <v>1679</v>
      </c>
      <c r="D849" s="1" t="s">
        <v>1700</v>
      </c>
      <c r="E849" s="1" t="s">
        <v>1910</v>
      </c>
      <c r="F849" s="1" t="s">
        <v>16</v>
      </c>
      <c r="G849" s="1" t="s">
        <v>17</v>
      </c>
      <c r="H849" s="1" t="s">
        <v>18</v>
      </c>
      <c r="I849" s="1" t="s">
        <v>59</v>
      </c>
      <c r="J849" s="1">
        <f>IFERROR(__xludf.DUMMYFUNCTION("""COMPUTED_VALUE"""),188.0)</f>
        <v>188</v>
      </c>
      <c r="K849" s="1">
        <v>66.0</v>
      </c>
      <c r="L849" s="1">
        <f>IFERROR(__xludf.DUMMYFUNCTION("""COMPUTED_VALUE"""),669.0)</f>
        <v>669</v>
      </c>
    </row>
    <row r="850">
      <c r="A850" s="1">
        <v>3171791.0</v>
      </c>
      <c r="B850" s="1" t="s">
        <v>1911</v>
      </c>
      <c r="C850" s="1" t="s">
        <v>1679</v>
      </c>
      <c r="D850" s="1" t="s">
        <v>1685</v>
      </c>
      <c r="E850" s="1" t="s">
        <v>1912</v>
      </c>
      <c r="F850" s="1" t="s">
        <v>16</v>
      </c>
      <c r="G850" s="1" t="s">
        <v>17</v>
      </c>
      <c r="H850" s="1" t="s">
        <v>28</v>
      </c>
      <c r="I850" s="1" t="s">
        <v>139</v>
      </c>
      <c r="J850" s="1">
        <f>IFERROR(__xludf.DUMMYFUNCTION("""COMPUTED_VALUE"""),100.0)</f>
        <v>100</v>
      </c>
      <c r="K850" s="1">
        <v>37.0</v>
      </c>
      <c r="L850" s="1">
        <f>IFERROR(__xludf.DUMMYFUNCTION("""COMPUTED_VALUE"""),192.0)</f>
        <v>192</v>
      </c>
    </row>
    <row r="851">
      <c r="A851" s="1">
        <v>3172746.0</v>
      </c>
      <c r="B851" s="1" t="s">
        <v>1913</v>
      </c>
      <c r="C851" s="1" t="s">
        <v>1679</v>
      </c>
      <c r="D851" s="1" t="s">
        <v>1680</v>
      </c>
      <c r="E851" s="1" t="s">
        <v>1914</v>
      </c>
      <c r="F851" s="1" t="s">
        <v>174</v>
      </c>
      <c r="G851" s="1" t="s">
        <v>150</v>
      </c>
      <c r="H851" s="1" t="s">
        <v>28</v>
      </c>
      <c r="I851" s="1" t="s">
        <v>139</v>
      </c>
      <c r="J851" s="1">
        <f>IFERROR(__xludf.DUMMYFUNCTION("""COMPUTED_VALUE"""),534.0)</f>
        <v>534</v>
      </c>
      <c r="K851" s="1">
        <v>53.0</v>
      </c>
      <c r="L851" s="1">
        <f>IFERROR(__xludf.DUMMYFUNCTION("""COMPUTED_VALUE"""),422.0)</f>
        <v>422</v>
      </c>
    </row>
    <row r="852">
      <c r="A852" s="1">
        <v>3173105.0</v>
      </c>
      <c r="B852" s="1" t="s">
        <v>1915</v>
      </c>
      <c r="C852" s="1" t="s">
        <v>1679</v>
      </c>
      <c r="D852" s="1" t="s">
        <v>1688</v>
      </c>
      <c r="E852" s="1" t="s">
        <v>1916</v>
      </c>
      <c r="F852" s="1" t="s">
        <v>16</v>
      </c>
      <c r="G852" s="1" t="s">
        <v>17</v>
      </c>
      <c r="H852" s="1" t="s">
        <v>18</v>
      </c>
      <c r="I852" s="1" t="s">
        <v>59</v>
      </c>
      <c r="J852" s="1">
        <f>IFERROR(__xludf.DUMMYFUNCTION("""COMPUTED_VALUE"""),109.0)</f>
        <v>109</v>
      </c>
      <c r="K852" s="1">
        <v>40.0</v>
      </c>
      <c r="L852" s="1">
        <f>IFERROR(__xludf.DUMMYFUNCTION("""COMPUTED_VALUE"""),478.0)</f>
        <v>478</v>
      </c>
    </row>
    <row r="853">
      <c r="A853" s="1">
        <v>3171621.0</v>
      </c>
      <c r="B853" s="1" t="s">
        <v>1917</v>
      </c>
      <c r="C853" s="1" t="s">
        <v>1679</v>
      </c>
      <c r="D853" s="1" t="s">
        <v>1685</v>
      </c>
      <c r="E853" s="1" t="s">
        <v>1918</v>
      </c>
      <c r="F853" s="1" t="s">
        <v>16</v>
      </c>
      <c r="G853" s="1" t="s">
        <v>23</v>
      </c>
      <c r="H853" s="1" t="s">
        <v>18</v>
      </c>
      <c r="I853" s="1" t="s">
        <v>19</v>
      </c>
      <c r="J853" s="1">
        <f>IFERROR(__xludf.DUMMYFUNCTION("""COMPUTED_VALUE"""),58.0)</f>
        <v>58</v>
      </c>
      <c r="K853" s="1">
        <v>35.0</v>
      </c>
      <c r="L853" s="1">
        <f>IFERROR(__xludf.DUMMYFUNCTION("""COMPUTED_VALUE"""),213.0)</f>
        <v>213</v>
      </c>
    </row>
    <row r="854">
      <c r="A854" s="1">
        <v>3172753.0</v>
      </c>
      <c r="B854" s="1" t="s">
        <v>1919</v>
      </c>
      <c r="C854" s="1" t="s">
        <v>1679</v>
      </c>
      <c r="D854" s="1" t="s">
        <v>1680</v>
      </c>
      <c r="E854" s="1" t="s">
        <v>1920</v>
      </c>
      <c r="F854" s="1" t="s">
        <v>16</v>
      </c>
      <c r="G854" s="1" t="s">
        <v>17</v>
      </c>
      <c r="H854" s="1" t="s">
        <v>18</v>
      </c>
      <c r="I854" s="1" t="s">
        <v>19</v>
      </c>
      <c r="J854" s="1">
        <f>IFERROR(__xludf.DUMMYFUNCTION("""COMPUTED_VALUE"""),110.0)</f>
        <v>110</v>
      </c>
      <c r="K854" s="1">
        <v>91.0</v>
      </c>
      <c r="L854" s="1">
        <f>IFERROR(__xludf.DUMMYFUNCTION("""COMPUTED_VALUE"""),349.0)</f>
        <v>349</v>
      </c>
    </row>
    <row r="855">
      <c r="A855" s="1">
        <v>3173695.0</v>
      </c>
      <c r="B855" s="1" t="s">
        <v>1921</v>
      </c>
      <c r="C855" s="1" t="s">
        <v>1679</v>
      </c>
      <c r="D855" s="1" t="s">
        <v>1688</v>
      </c>
      <c r="E855" s="1" t="s">
        <v>1922</v>
      </c>
      <c r="F855" s="1" t="s">
        <v>55</v>
      </c>
      <c r="G855" s="1" t="s">
        <v>17</v>
      </c>
      <c r="H855" s="1" t="s">
        <v>18</v>
      </c>
      <c r="I855" s="1" t="s">
        <v>19</v>
      </c>
      <c r="J855" s="1">
        <f>IFERROR(__xludf.DUMMYFUNCTION("""COMPUTED_VALUE"""),34.0)</f>
        <v>34</v>
      </c>
      <c r="K855" s="1">
        <v>30.0</v>
      </c>
      <c r="L855" s="1">
        <f>IFERROR(__xludf.DUMMYFUNCTION("""COMPUTED_VALUE"""),220.0)</f>
        <v>220</v>
      </c>
    </row>
    <row r="856">
      <c r="A856" s="1">
        <v>3171781.0</v>
      </c>
      <c r="B856" s="1" t="s">
        <v>1923</v>
      </c>
      <c r="C856" s="1" t="s">
        <v>1679</v>
      </c>
      <c r="D856" s="1" t="s">
        <v>1685</v>
      </c>
      <c r="E856" s="1" t="s">
        <v>1924</v>
      </c>
      <c r="F856" s="1" t="s">
        <v>16</v>
      </c>
      <c r="G856" s="1" t="s">
        <v>17</v>
      </c>
      <c r="H856" s="1" t="s">
        <v>18</v>
      </c>
      <c r="I856" s="1" t="s">
        <v>684</v>
      </c>
      <c r="J856" s="1">
        <f>IFERROR(__xludf.DUMMYFUNCTION("""COMPUTED_VALUE"""),111.0)</f>
        <v>111</v>
      </c>
      <c r="K856" s="1">
        <v>33.0</v>
      </c>
      <c r="L856" s="1">
        <f>IFERROR(__xludf.DUMMYFUNCTION("""COMPUTED_VALUE"""),21.0)</f>
        <v>21</v>
      </c>
    </row>
    <row r="857">
      <c r="A857" s="1">
        <v>3175016.0</v>
      </c>
      <c r="B857" s="1" t="s">
        <v>1925</v>
      </c>
      <c r="C857" s="1" t="s">
        <v>1679</v>
      </c>
      <c r="D857" s="1" t="s">
        <v>1700</v>
      </c>
      <c r="E857" s="1" t="s">
        <v>1926</v>
      </c>
      <c r="F857" s="1" t="s">
        <v>16</v>
      </c>
      <c r="G857" s="1" t="s">
        <v>27</v>
      </c>
      <c r="H857" s="1" t="s">
        <v>18</v>
      </c>
      <c r="I857" s="1" t="s">
        <v>139</v>
      </c>
      <c r="J857" s="1">
        <f>IFERROR(__xludf.DUMMYFUNCTION("""COMPUTED_VALUE"""),818.0)</f>
        <v>818</v>
      </c>
      <c r="K857" s="1">
        <v>85.0</v>
      </c>
      <c r="L857" s="1">
        <f>IFERROR(__xludf.DUMMYFUNCTION("""COMPUTED_VALUE"""),1773.0)</f>
        <v>1773</v>
      </c>
    </row>
    <row r="858">
      <c r="A858" s="1">
        <v>3172752.0</v>
      </c>
      <c r="B858" s="1" t="s">
        <v>1927</v>
      </c>
      <c r="C858" s="1" t="s">
        <v>1679</v>
      </c>
      <c r="D858" s="1" t="s">
        <v>1680</v>
      </c>
      <c r="E858" s="1" t="s">
        <v>1928</v>
      </c>
      <c r="F858" s="1" t="s">
        <v>1884</v>
      </c>
      <c r="G858" s="1" t="s">
        <v>17</v>
      </c>
      <c r="H858" s="1" t="s">
        <v>18</v>
      </c>
      <c r="I858" s="1" t="s">
        <v>44</v>
      </c>
      <c r="J858" s="1">
        <f>IFERROR(__xludf.DUMMYFUNCTION("""COMPUTED_VALUE"""),21.0)</f>
        <v>21</v>
      </c>
      <c r="K858" s="1">
        <v>42.0</v>
      </c>
      <c r="L858" s="1">
        <f>IFERROR(__xludf.DUMMYFUNCTION("""COMPUTED_VALUE"""),82.0)</f>
        <v>82</v>
      </c>
    </row>
    <row r="859">
      <c r="A859" s="1">
        <v>3172520.0</v>
      </c>
      <c r="B859" s="1" t="s">
        <v>1929</v>
      </c>
      <c r="C859" s="1" t="s">
        <v>1679</v>
      </c>
      <c r="D859" s="1" t="s">
        <v>1680</v>
      </c>
      <c r="E859" s="1" t="s">
        <v>1930</v>
      </c>
      <c r="F859" s="1" t="s">
        <v>16</v>
      </c>
      <c r="G859" s="1" t="s">
        <v>17</v>
      </c>
      <c r="H859" s="1" t="s">
        <v>18</v>
      </c>
      <c r="I859" s="1" t="s">
        <v>59</v>
      </c>
      <c r="J859" s="1">
        <f>IFERROR(__xludf.DUMMYFUNCTION("""COMPUTED_VALUE"""),100.0)</f>
        <v>100</v>
      </c>
      <c r="K859" s="1">
        <v>31.0</v>
      </c>
      <c r="L859" s="1">
        <f>IFERROR(__xludf.DUMMYFUNCTION("""COMPUTED_VALUE"""),125.0)</f>
        <v>125</v>
      </c>
    </row>
    <row r="860">
      <c r="A860" s="1">
        <v>3174518.0</v>
      </c>
      <c r="B860" s="1" t="s">
        <v>1931</v>
      </c>
      <c r="C860" s="1" t="s">
        <v>1679</v>
      </c>
      <c r="D860" s="1" t="s">
        <v>1693</v>
      </c>
      <c r="E860" s="1" t="s">
        <v>1932</v>
      </c>
      <c r="F860" s="1" t="s">
        <v>16</v>
      </c>
      <c r="G860" s="1" t="s">
        <v>17</v>
      </c>
      <c r="H860" s="1" t="s">
        <v>28</v>
      </c>
      <c r="I860" s="1" t="s">
        <v>139</v>
      </c>
      <c r="J860" s="1">
        <f>IFERROR(__xludf.DUMMYFUNCTION("""COMPUTED_VALUE"""),116.0)</f>
        <v>116</v>
      </c>
      <c r="K860" s="1">
        <v>34.0</v>
      </c>
      <c r="L860" s="1">
        <f>IFERROR(__xludf.DUMMYFUNCTION("""COMPUTED_VALUE"""),258.0)</f>
        <v>258</v>
      </c>
    </row>
    <row r="861">
      <c r="A861" s="1">
        <v>3171435.0</v>
      </c>
      <c r="B861" s="1" t="s">
        <v>1933</v>
      </c>
      <c r="C861" s="1" t="s">
        <v>1679</v>
      </c>
      <c r="D861" s="1" t="s">
        <v>1680</v>
      </c>
      <c r="E861" s="1" t="s">
        <v>1934</v>
      </c>
      <c r="F861" s="1" t="s">
        <v>1935</v>
      </c>
      <c r="G861" s="1" t="s">
        <v>27</v>
      </c>
      <c r="H861" s="1" t="s">
        <v>33</v>
      </c>
      <c r="I861" s="1" t="s">
        <v>411</v>
      </c>
      <c r="J861" s="1">
        <f>IFERROR(__xludf.DUMMYFUNCTION("""COMPUTED_VALUE"""),185.0)</f>
        <v>185</v>
      </c>
      <c r="K861" s="1">
        <v>25.0</v>
      </c>
      <c r="L861" s="1">
        <f>IFERROR(__xludf.DUMMYFUNCTION("""COMPUTED_VALUE"""),327.0)</f>
        <v>327</v>
      </c>
    </row>
    <row r="862">
      <c r="A862" s="1">
        <v>3173700.0</v>
      </c>
      <c r="B862" s="1" t="s">
        <v>1936</v>
      </c>
      <c r="C862" s="1" t="s">
        <v>1679</v>
      </c>
      <c r="D862" s="1" t="s">
        <v>1688</v>
      </c>
      <c r="E862" s="1" t="s">
        <v>1937</v>
      </c>
      <c r="F862" s="1" t="s">
        <v>16</v>
      </c>
      <c r="G862" s="1" t="s">
        <v>23</v>
      </c>
      <c r="H862" s="1" t="s">
        <v>28</v>
      </c>
      <c r="I862" s="1" t="s">
        <v>139</v>
      </c>
      <c r="J862" s="1">
        <f>IFERROR(__xludf.DUMMYFUNCTION("""COMPUTED_VALUE"""),50.0)</f>
        <v>50</v>
      </c>
      <c r="K862" s="1">
        <v>28.0</v>
      </c>
      <c r="L862" s="1">
        <f>IFERROR(__xludf.DUMMYFUNCTION("""COMPUTED_VALUE"""),179.0)</f>
        <v>179</v>
      </c>
    </row>
    <row r="863">
      <c r="A863" s="1">
        <v>3173706.0</v>
      </c>
      <c r="B863" s="1" t="s">
        <v>1938</v>
      </c>
      <c r="C863" s="1" t="s">
        <v>1679</v>
      </c>
      <c r="D863" s="1" t="s">
        <v>1688</v>
      </c>
      <c r="E863" s="1" t="s">
        <v>1939</v>
      </c>
      <c r="F863" s="1" t="s">
        <v>16</v>
      </c>
      <c r="G863" s="1" t="s">
        <v>27</v>
      </c>
      <c r="H863" s="1" t="s">
        <v>18</v>
      </c>
      <c r="I863" s="1" t="s">
        <v>19</v>
      </c>
      <c r="J863" s="1">
        <f>IFERROR(__xludf.DUMMYFUNCTION("""COMPUTED_VALUE"""),145.0)</f>
        <v>145</v>
      </c>
      <c r="K863" s="1">
        <v>122.0</v>
      </c>
      <c r="L863" s="1">
        <f>IFERROR(__xludf.DUMMYFUNCTION("""COMPUTED_VALUE"""),2392.0)</f>
        <v>2392</v>
      </c>
    </row>
    <row r="864">
      <c r="A864" s="1">
        <v>3173580.0</v>
      </c>
      <c r="B864" s="1" t="s">
        <v>1940</v>
      </c>
      <c r="C864" s="1" t="s">
        <v>1679</v>
      </c>
      <c r="D864" s="1" t="s">
        <v>1688</v>
      </c>
      <c r="E864" s="1" t="s">
        <v>1941</v>
      </c>
      <c r="F864" s="1" t="s">
        <v>16</v>
      </c>
      <c r="G864" s="1" t="s">
        <v>17</v>
      </c>
      <c r="H864" s="1" t="s">
        <v>18</v>
      </c>
      <c r="I864" s="1" t="s">
        <v>59</v>
      </c>
      <c r="J864" s="1">
        <f>IFERROR(__xludf.DUMMYFUNCTION("""COMPUTED_VALUE"""),120.0)</f>
        <v>120</v>
      </c>
      <c r="K864" s="1">
        <v>98.0</v>
      </c>
      <c r="L864" s="1">
        <f>IFERROR(__xludf.DUMMYFUNCTION("""COMPUTED_VALUE"""),323.0)</f>
        <v>323</v>
      </c>
    </row>
    <row r="865">
      <c r="A865" s="1">
        <v>3171735.0</v>
      </c>
      <c r="B865" s="1" t="s">
        <v>1942</v>
      </c>
      <c r="C865" s="1" t="s">
        <v>1679</v>
      </c>
      <c r="D865" s="1" t="s">
        <v>1685</v>
      </c>
      <c r="E865" s="1" t="s">
        <v>1943</v>
      </c>
      <c r="F865" s="1" t="s">
        <v>16</v>
      </c>
      <c r="G865" s="1" t="s">
        <v>17</v>
      </c>
      <c r="H865" s="1" t="s">
        <v>18</v>
      </c>
      <c r="I865" s="1" t="s">
        <v>19</v>
      </c>
      <c r="J865" s="1">
        <f>IFERROR(__xludf.DUMMYFUNCTION("""COMPUTED_VALUE"""),51.0)</f>
        <v>51</v>
      </c>
      <c r="K865" s="1">
        <v>46.0</v>
      </c>
      <c r="L865" s="1">
        <f>IFERROR(__xludf.DUMMYFUNCTION("""COMPUTED_VALUE"""),348.0)</f>
        <v>348</v>
      </c>
    </row>
    <row r="866">
      <c r="A866" s="1">
        <v>3175410.0</v>
      </c>
      <c r="B866" s="1" t="s">
        <v>1944</v>
      </c>
      <c r="C866" s="1" t="s">
        <v>1679</v>
      </c>
      <c r="D866" s="1" t="s">
        <v>1700</v>
      </c>
      <c r="E866" s="1" t="s">
        <v>1945</v>
      </c>
      <c r="F866" s="1" t="s">
        <v>16</v>
      </c>
      <c r="G866" s="1" t="s">
        <v>17</v>
      </c>
      <c r="H866" s="1" t="s">
        <v>18</v>
      </c>
      <c r="I866" s="1" t="s">
        <v>19</v>
      </c>
      <c r="J866" s="1">
        <f>IFERROR(__xludf.DUMMYFUNCTION("""COMPUTED_VALUE"""),172.0)</f>
        <v>172</v>
      </c>
      <c r="K866" s="1">
        <v>48.0</v>
      </c>
      <c r="L866" s="1">
        <f>IFERROR(__xludf.DUMMYFUNCTION("""COMPUTED_VALUE"""),107.0)</f>
        <v>107</v>
      </c>
    </row>
    <row r="867">
      <c r="A867" s="1">
        <v>3174416.0</v>
      </c>
      <c r="B867" s="1" t="s">
        <v>1946</v>
      </c>
      <c r="C867" s="1" t="s">
        <v>1679</v>
      </c>
      <c r="D867" s="1" t="s">
        <v>1693</v>
      </c>
      <c r="E867" s="1" t="s">
        <v>1947</v>
      </c>
      <c r="F867" s="1" t="s">
        <v>16</v>
      </c>
      <c r="G867" s="1" t="s">
        <v>17</v>
      </c>
      <c r="H867" s="1" t="s">
        <v>18</v>
      </c>
      <c r="I867" s="1" t="s">
        <v>59</v>
      </c>
      <c r="J867" s="1">
        <f>IFERROR(__xludf.DUMMYFUNCTION("""COMPUTED_VALUE"""),100.0)</f>
        <v>100</v>
      </c>
      <c r="K867" s="1">
        <v>62.0</v>
      </c>
      <c r="L867" s="1">
        <f>IFERROR(__xludf.DUMMYFUNCTION("""COMPUTED_VALUE"""),54.0)</f>
        <v>54</v>
      </c>
    </row>
    <row r="868">
      <c r="A868" s="1">
        <v>3172757.0</v>
      </c>
      <c r="B868" s="1" t="s">
        <v>1948</v>
      </c>
      <c r="C868" s="1" t="s">
        <v>1679</v>
      </c>
      <c r="D868" s="1" t="s">
        <v>1680</v>
      </c>
      <c r="E868" s="1" t="s">
        <v>1949</v>
      </c>
      <c r="F868" s="1" t="s">
        <v>16</v>
      </c>
      <c r="G868" s="1" t="s">
        <v>27</v>
      </c>
      <c r="H868" s="1" t="s">
        <v>33</v>
      </c>
      <c r="I868" s="1" t="s">
        <v>34</v>
      </c>
      <c r="J868" s="1">
        <f>IFERROR(__xludf.DUMMYFUNCTION("""COMPUTED_VALUE"""),222.0)</f>
        <v>222</v>
      </c>
      <c r="K868" s="1">
        <v>62.0</v>
      </c>
      <c r="L868" s="1">
        <f>IFERROR(__xludf.DUMMYFUNCTION("""COMPUTED_VALUE"""),269.0)</f>
        <v>269</v>
      </c>
    </row>
    <row r="869">
      <c r="A869" s="1">
        <v>3173705.0</v>
      </c>
      <c r="B869" s="1" t="s">
        <v>1950</v>
      </c>
      <c r="C869" s="1" t="s">
        <v>1679</v>
      </c>
      <c r="D869" s="1" t="s">
        <v>1688</v>
      </c>
      <c r="E869" s="1" t="s">
        <v>1951</v>
      </c>
      <c r="F869" s="1" t="s">
        <v>16</v>
      </c>
      <c r="G869" s="1" t="s">
        <v>23</v>
      </c>
      <c r="H869" s="1" t="s">
        <v>18</v>
      </c>
      <c r="I869" s="1" t="s">
        <v>139</v>
      </c>
      <c r="J869" s="1">
        <f>IFERROR(__xludf.DUMMYFUNCTION("""COMPUTED_VALUE"""),51.0)</f>
        <v>51</v>
      </c>
      <c r="K869" s="1">
        <v>27.0</v>
      </c>
      <c r="L869" s="1">
        <f>IFERROR(__xludf.DUMMYFUNCTION("""COMPUTED_VALUE"""),227.0)</f>
        <v>227</v>
      </c>
    </row>
    <row r="870">
      <c r="A870" s="1">
        <v>3172771.0</v>
      </c>
      <c r="B870" s="1" t="s">
        <v>1952</v>
      </c>
      <c r="C870" s="1" t="s">
        <v>1679</v>
      </c>
      <c r="D870" s="1" t="s">
        <v>1680</v>
      </c>
      <c r="E870" s="1" t="s">
        <v>1953</v>
      </c>
      <c r="F870" s="1" t="s">
        <v>16</v>
      </c>
      <c r="G870" s="1" t="s">
        <v>23</v>
      </c>
      <c r="H870" s="1" t="s">
        <v>28</v>
      </c>
      <c r="I870" s="1" t="s">
        <v>139</v>
      </c>
      <c r="J870" s="1">
        <f>IFERROR(__xludf.DUMMYFUNCTION("""COMPUTED_VALUE"""),56.0)</f>
        <v>56</v>
      </c>
      <c r="K870" s="1">
        <v>25.0</v>
      </c>
      <c r="L870" s="1">
        <f>IFERROR(__xludf.DUMMYFUNCTION("""COMPUTED_VALUE"""),237.0)</f>
        <v>237</v>
      </c>
    </row>
    <row r="871">
      <c r="A871" s="1">
        <v>3172126.0</v>
      </c>
      <c r="B871" s="1" t="s">
        <v>1954</v>
      </c>
      <c r="C871" s="1" t="s">
        <v>1679</v>
      </c>
      <c r="D871" s="1" t="s">
        <v>1680</v>
      </c>
      <c r="E871" s="1" t="s">
        <v>1955</v>
      </c>
      <c r="F871" s="1" t="s">
        <v>16</v>
      </c>
      <c r="G871" s="1" t="s">
        <v>27</v>
      </c>
      <c r="H871" s="1" t="s">
        <v>28</v>
      </c>
      <c r="I871" s="1" t="s">
        <v>139</v>
      </c>
      <c r="J871" s="1">
        <f>IFERROR(__xludf.DUMMYFUNCTION("""COMPUTED_VALUE"""),295.0)</f>
        <v>295</v>
      </c>
      <c r="K871" s="1">
        <v>55.0</v>
      </c>
      <c r="L871" s="1">
        <f>IFERROR(__xludf.DUMMYFUNCTION("""COMPUTED_VALUE"""),387.0)</f>
        <v>387</v>
      </c>
    </row>
    <row r="872">
      <c r="A872" s="1">
        <v>3175417.0</v>
      </c>
      <c r="B872" s="1" t="s">
        <v>1956</v>
      </c>
      <c r="C872" s="1" t="s">
        <v>1679</v>
      </c>
      <c r="D872" s="1" t="s">
        <v>1700</v>
      </c>
      <c r="E872" s="1" t="s">
        <v>1957</v>
      </c>
      <c r="F872" s="1" t="s">
        <v>272</v>
      </c>
      <c r="G872" s="1" t="s">
        <v>17</v>
      </c>
      <c r="H872" s="1" t="s">
        <v>18</v>
      </c>
      <c r="I872" s="1" t="s">
        <v>163</v>
      </c>
      <c r="J872" s="1">
        <f>IFERROR(__xludf.DUMMYFUNCTION("""COMPUTED_VALUE"""),24.0)</f>
        <v>24</v>
      </c>
      <c r="K872" s="1">
        <v>18.0</v>
      </c>
      <c r="L872" s="1">
        <f>IFERROR(__xludf.DUMMYFUNCTION("""COMPUTED_VALUE"""),63.0)</f>
        <v>63</v>
      </c>
    </row>
    <row r="873">
      <c r="A873" s="1">
        <v>3175341.0</v>
      </c>
      <c r="B873" s="1" t="s">
        <v>1958</v>
      </c>
      <c r="C873" s="1" t="s">
        <v>1679</v>
      </c>
      <c r="D873" s="1" t="s">
        <v>1700</v>
      </c>
      <c r="E873" s="1" t="s">
        <v>1959</v>
      </c>
      <c r="F873" s="1" t="s">
        <v>16</v>
      </c>
      <c r="G873" s="1" t="s">
        <v>27</v>
      </c>
      <c r="H873" s="1" t="s">
        <v>18</v>
      </c>
      <c r="I873" s="1" t="s">
        <v>19</v>
      </c>
      <c r="J873" s="1">
        <f>IFERROR(__xludf.DUMMYFUNCTION("""COMPUTED_VALUE"""),206.0)</f>
        <v>206</v>
      </c>
      <c r="K873" s="1">
        <v>61.0</v>
      </c>
      <c r="L873" s="1">
        <f>IFERROR(__xludf.DUMMYFUNCTION("""COMPUTED_VALUE"""),719.0)</f>
        <v>719</v>
      </c>
    </row>
    <row r="874">
      <c r="A874" s="1">
        <v>3173701.0</v>
      </c>
      <c r="B874" s="1" t="s">
        <v>1960</v>
      </c>
      <c r="C874" s="1" t="s">
        <v>1679</v>
      </c>
      <c r="D874" s="1" t="s">
        <v>1688</v>
      </c>
      <c r="E874" s="1" t="s">
        <v>1961</v>
      </c>
      <c r="F874" s="1" t="s">
        <v>16</v>
      </c>
      <c r="G874" s="1" t="s">
        <v>23</v>
      </c>
      <c r="H874" s="1" t="s">
        <v>28</v>
      </c>
      <c r="I874" s="1" t="s">
        <v>139</v>
      </c>
      <c r="J874" s="1">
        <f>IFERROR(__xludf.DUMMYFUNCTION("""COMPUTED_VALUE"""),50.0)</f>
        <v>50</v>
      </c>
      <c r="K874" s="1">
        <v>12.0</v>
      </c>
      <c r="L874" s="1">
        <f>IFERROR(__xludf.DUMMYFUNCTION("""COMPUTED_VALUE"""),113.0)</f>
        <v>113</v>
      </c>
    </row>
    <row r="875">
      <c r="A875" s="1">
        <v>3173025.0</v>
      </c>
      <c r="B875" s="1" t="s">
        <v>1962</v>
      </c>
      <c r="C875" s="1" t="s">
        <v>1679</v>
      </c>
      <c r="D875" s="1" t="s">
        <v>1688</v>
      </c>
      <c r="E875" s="1" t="s">
        <v>1963</v>
      </c>
      <c r="F875" s="1" t="s">
        <v>16</v>
      </c>
      <c r="G875" s="1" t="s">
        <v>150</v>
      </c>
      <c r="H875" s="1" t="s">
        <v>33</v>
      </c>
      <c r="I875" s="1" t="s">
        <v>74</v>
      </c>
      <c r="J875" s="1">
        <f>IFERROR(__xludf.DUMMYFUNCTION("""COMPUTED_VALUE"""),568.0)</f>
        <v>568</v>
      </c>
      <c r="K875" s="1">
        <v>58.0</v>
      </c>
      <c r="L875" s="1">
        <f>IFERROR(__xludf.DUMMYFUNCTION("""COMPUTED_VALUE"""),2933.0)</f>
        <v>2933</v>
      </c>
    </row>
    <row r="876">
      <c r="A876" s="1">
        <v>3173120.0</v>
      </c>
      <c r="B876" s="1" t="s">
        <v>1964</v>
      </c>
      <c r="C876" s="1" t="s">
        <v>1679</v>
      </c>
      <c r="D876" s="1" t="s">
        <v>1688</v>
      </c>
      <c r="E876" s="1" t="s">
        <v>1965</v>
      </c>
      <c r="F876" s="1" t="s">
        <v>55</v>
      </c>
      <c r="G876" s="1" t="s">
        <v>27</v>
      </c>
      <c r="H876" s="1" t="s">
        <v>18</v>
      </c>
      <c r="I876" s="1" t="s">
        <v>44</v>
      </c>
      <c r="J876" s="1">
        <f>IFERROR(__xludf.DUMMYFUNCTION("""COMPUTED_VALUE"""),61.0)</f>
        <v>61</v>
      </c>
      <c r="K876" s="1">
        <v>60.0</v>
      </c>
      <c r="L876" s="1">
        <f>IFERROR(__xludf.DUMMYFUNCTION("""COMPUTED_VALUE"""),463.0)</f>
        <v>463</v>
      </c>
    </row>
    <row r="877">
      <c r="A877" s="1">
        <v>3171911.0</v>
      </c>
      <c r="B877" s="1" t="s">
        <v>1966</v>
      </c>
      <c r="C877" s="1" t="s">
        <v>1679</v>
      </c>
      <c r="D877" s="1" t="s">
        <v>1685</v>
      </c>
      <c r="E877" s="1" t="s">
        <v>1967</v>
      </c>
      <c r="F877" s="1" t="s">
        <v>55</v>
      </c>
      <c r="G877" s="1" t="s">
        <v>17</v>
      </c>
      <c r="H877" s="1" t="s">
        <v>18</v>
      </c>
      <c r="I877" s="1" t="s">
        <v>19</v>
      </c>
      <c r="J877" s="1">
        <f>IFERROR(__xludf.DUMMYFUNCTION("""COMPUTED_VALUE"""),23.0)</f>
        <v>23</v>
      </c>
      <c r="K877" s="1">
        <v>29.0</v>
      </c>
      <c r="L877" s="1">
        <f>IFERROR(__xludf.DUMMYFUNCTION("""COMPUTED_VALUE"""),182.0)</f>
        <v>182</v>
      </c>
    </row>
    <row r="878">
      <c r="A878" s="1">
        <v>3171643.0</v>
      </c>
      <c r="B878" s="1" t="s">
        <v>1968</v>
      </c>
      <c r="C878" s="1" t="s">
        <v>1679</v>
      </c>
      <c r="D878" s="1" t="s">
        <v>1685</v>
      </c>
      <c r="E878" s="1" t="s">
        <v>1969</v>
      </c>
      <c r="F878" s="1" t="s">
        <v>1970</v>
      </c>
      <c r="G878" s="1" t="s">
        <v>17</v>
      </c>
      <c r="H878" s="1" t="s">
        <v>18</v>
      </c>
      <c r="I878" s="1" t="s">
        <v>59</v>
      </c>
      <c r="J878" s="1">
        <f>IFERROR(__xludf.DUMMYFUNCTION("""COMPUTED_VALUE"""),34.0)</f>
        <v>34</v>
      </c>
      <c r="K878" s="1">
        <v>45.0</v>
      </c>
      <c r="L878" s="1">
        <f>IFERROR(__xludf.DUMMYFUNCTION("""COMPUTED_VALUE"""),206.0)</f>
        <v>206</v>
      </c>
    </row>
    <row r="879">
      <c r="A879" s="1">
        <v>3174026.0</v>
      </c>
      <c r="B879" s="1" t="s">
        <v>1971</v>
      </c>
      <c r="C879" s="1" t="s">
        <v>1679</v>
      </c>
      <c r="D879" s="1" t="s">
        <v>1693</v>
      </c>
      <c r="E879" s="1" t="s">
        <v>1972</v>
      </c>
      <c r="F879" s="1" t="s">
        <v>16</v>
      </c>
      <c r="G879" s="1" t="s">
        <v>27</v>
      </c>
      <c r="H879" s="1" t="s">
        <v>18</v>
      </c>
      <c r="I879" s="1" t="s">
        <v>113</v>
      </c>
      <c r="J879" s="1">
        <f>IFERROR(__xludf.DUMMYFUNCTION("""COMPUTED_VALUE"""),600.0)</f>
        <v>600</v>
      </c>
      <c r="K879" s="1">
        <v>117.0</v>
      </c>
      <c r="L879" s="1">
        <f>IFERROR(__xludf.DUMMYFUNCTION("""COMPUTED_VALUE"""),1335.0)</f>
        <v>1335</v>
      </c>
    </row>
    <row r="880">
      <c r="A880" s="1">
        <v>3172024.0</v>
      </c>
      <c r="B880" s="1" t="s">
        <v>1973</v>
      </c>
      <c r="C880" s="1" t="s">
        <v>1679</v>
      </c>
      <c r="D880" s="1" t="s">
        <v>1680</v>
      </c>
      <c r="E880" s="1" t="s">
        <v>1974</v>
      </c>
      <c r="F880" s="1" t="s">
        <v>16</v>
      </c>
      <c r="G880" s="1" t="s">
        <v>27</v>
      </c>
      <c r="H880" s="1" t="s">
        <v>28</v>
      </c>
      <c r="I880" s="1" t="s">
        <v>139</v>
      </c>
      <c r="J880" s="1">
        <f>IFERROR(__xludf.DUMMYFUNCTION("""COMPUTED_VALUE"""),299.0)</f>
        <v>299</v>
      </c>
      <c r="K880" s="1">
        <v>78.0</v>
      </c>
      <c r="L880" s="1">
        <f>IFERROR(__xludf.DUMMYFUNCTION("""COMPUTED_VALUE"""),315.0)</f>
        <v>315</v>
      </c>
    </row>
    <row r="881">
      <c r="A881" s="1">
        <v>3175042.0</v>
      </c>
      <c r="B881" s="1" t="s">
        <v>1975</v>
      </c>
      <c r="C881" s="1" t="s">
        <v>1679</v>
      </c>
      <c r="D881" s="1" t="s">
        <v>1700</v>
      </c>
      <c r="E881" s="1" t="s">
        <v>1976</v>
      </c>
      <c r="F881" s="1" t="s">
        <v>16</v>
      </c>
      <c r="G881" s="1" t="s">
        <v>17</v>
      </c>
      <c r="H881" s="1" t="s">
        <v>18</v>
      </c>
      <c r="I881" s="1" t="s">
        <v>113</v>
      </c>
      <c r="J881" s="1">
        <f>IFERROR(__xludf.DUMMYFUNCTION("""COMPUTED_VALUE"""),184.0)</f>
        <v>184</v>
      </c>
      <c r="K881" s="1">
        <v>93.0</v>
      </c>
      <c r="L881" s="1">
        <f>IFERROR(__xludf.DUMMYFUNCTION("""COMPUTED_VALUE"""),412.0)</f>
        <v>412</v>
      </c>
    </row>
    <row r="882">
      <c r="A882" s="1">
        <v>3175412.0</v>
      </c>
      <c r="B882" s="1" t="s">
        <v>1977</v>
      </c>
      <c r="C882" s="1" t="s">
        <v>1679</v>
      </c>
      <c r="D882" s="1" t="s">
        <v>1700</v>
      </c>
      <c r="E882" s="1" t="s">
        <v>1978</v>
      </c>
      <c r="F882" s="1" t="s">
        <v>16</v>
      </c>
      <c r="G882" s="1" t="s">
        <v>17</v>
      </c>
      <c r="H882" s="1" t="s">
        <v>28</v>
      </c>
      <c r="I882" s="1" t="s">
        <v>139</v>
      </c>
      <c r="J882" s="1">
        <f>IFERROR(__xludf.DUMMYFUNCTION("""COMPUTED_VALUE"""),117.0)</f>
        <v>117</v>
      </c>
      <c r="K882" s="1">
        <v>40.0</v>
      </c>
      <c r="L882" s="1">
        <f>IFERROR(__xludf.DUMMYFUNCTION("""COMPUTED_VALUE"""),500.0)</f>
        <v>500</v>
      </c>
    </row>
    <row r="883">
      <c r="A883" s="1">
        <v>3172553.0</v>
      </c>
      <c r="B883" s="1" t="s">
        <v>1410</v>
      </c>
      <c r="C883" s="1" t="s">
        <v>1679</v>
      </c>
      <c r="D883" s="1" t="s">
        <v>1680</v>
      </c>
      <c r="E883" s="1" t="s">
        <v>1979</v>
      </c>
      <c r="F883" s="1" t="s">
        <v>16</v>
      </c>
      <c r="G883" s="1" t="s">
        <v>27</v>
      </c>
      <c r="H883" s="1" t="s">
        <v>18</v>
      </c>
      <c r="I883" s="1" t="s">
        <v>19</v>
      </c>
      <c r="J883" s="1">
        <f>IFERROR(__xludf.DUMMYFUNCTION("""COMPUTED_VALUE"""),200.0)</f>
        <v>200</v>
      </c>
      <c r="K883" s="1">
        <v>106.0</v>
      </c>
      <c r="L883" s="1">
        <f>IFERROR(__xludf.DUMMYFUNCTION("""COMPUTED_VALUE"""),107.0)</f>
        <v>107</v>
      </c>
    </row>
    <row r="884">
      <c r="A884" s="1">
        <v>3171800.0</v>
      </c>
      <c r="B884" s="1" t="s">
        <v>1980</v>
      </c>
      <c r="C884" s="1" t="s">
        <v>1679</v>
      </c>
      <c r="D884" s="1" t="s">
        <v>1685</v>
      </c>
      <c r="E884" s="1" t="s">
        <v>1981</v>
      </c>
      <c r="F884" s="1" t="s">
        <v>16</v>
      </c>
      <c r="G884" s="1" t="s">
        <v>23</v>
      </c>
      <c r="H884" s="1" t="s">
        <v>18</v>
      </c>
      <c r="I884" s="1" t="s">
        <v>139</v>
      </c>
      <c r="J884" s="1">
        <f>IFERROR(__xludf.DUMMYFUNCTION("""COMPUTED_VALUE"""),70.0)</f>
        <v>70</v>
      </c>
      <c r="K884" s="1">
        <v>25.0</v>
      </c>
      <c r="L884" s="1">
        <f>IFERROR(__xludf.DUMMYFUNCTION("""COMPUTED_VALUE"""),137.0)</f>
        <v>137</v>
      </c>
    </row>
    <row r="885">
      <c r="A885" s="1">
        <v>3171012.0</v>
      </c>
      <c r="B885" s="1" t="s">
        <v>1982</v>
      </c>
      <c r="C885" s="1" t="s">
        <v>1679</v>
      </c>
      <c r="D885" s="1" t="s">
        <v>1685</v>
      </c>
      <c r="E885" s="1" t="s">
        <v>1983</v>
      </c>
      <c r="F885" s="1" t="s">
        <v>16</v>
      </c>
      <c r="G885" s="1" t="s">
        <v>150</v>
      </c>
      <c r="H885" s="1" t="s">
        <v>33</v>
      </c>
      <c r="I885" s="1" t="s">
        <v>411</v>
      </c>
      <c r="J885" s="1">
        <f>IFERROR(__xludf.DUMMYFUNCTION("""COMPUTED_VALUE"""),854.0)</f>
        <v>854</v>
      </c>
      <c r="K885" s="1">
        <v>87.0</v>
      </c>
      <c r="L885" s="1">
        <f>IFERROR(__xludf.DUMMYFUNCTION("""COMPUTED_VALUE"""),3736.0)</f>
        <v>3736</v>
      </c>
    </row>
    <row r="886">
      <c r="A886" s="1">
        <v>3174527.0</v>
      </c>
      <c r="B886" s="1" t="s">
        <v>1984</v>
      </c>
      <c r="C886" s="1" t="s">
        <v>1679</v>
      </c>
      <c r="D886" s="1" t="s">
        <v>1693</v>
      </c>
      <c r="E886" s="1" t="s">
        <v>1985</v>
      </c>
      <c r="F886" s="1" t="s">
        <v>32</v>
      </c>
      <c r="G886" s="1" t="s">
        <v>150</v>
      </c>
      <c r="H886" s="1" t="s">
        <v>18</v>
      </c>
      <c r="I886" s="1" t="s">
        <v>44</v>
      </c>
      <c r="J886" s="1">
        <f>IFERROR(__xludf.DUMMYFUNCTION("""COMPUTED_VALUE"""),14.0)</f>
        <v>14</v>
      </c>
      <c r="K886" s="1">
        <v>15.0</v>
      </c>
      <c r="L886" s="1">
        <f>IFERROR(__xludf.DUMMYFUNCTION("""COMPUTED_VALUE"""),234.0)</f>
        <v>234</v>
      </c>
    </row>
    <row r="887">
      <c r="A887" s="1">
        <v>3171461.0</v>
      </c>
      <c r="B887" s="1" t="s">
        <v>1986</v>
      </c>
      <c r="C887" s="1" t="s">
        <v>1679</v>
      </c>
      <c r="D887" s="1" t="s">
        <v>1685</v>
      </c>
      <c r="E887" s="1" t="s">
        <v>1987</v>
      </c>
      <c r="F887" s="1" t="s">
        <v>16</v>
      </c>
      <c r="G887" s="1" t="s">
        <v>27</v>
      </c>
      <c r="H887" s="1" t="s">
        <v>18</v>
      </c>
      <c r="I887" s="1" t="s">
        <v>59</v>
      </c>
      <c r="J887" s="1">
        <f>IFERROR(__xludf.DUMMYFUNCTION("""COMPUTED_VALUE"""),203.0)</f>
        <v>203</v>
      </c>
      <c r="K887" s="1">
        <v>66.0</v>
      </c>
      <c r="L887" s="1">
        <f>IFERROR(__xludf.DUMMYFUNCTION("""COMPUTED_VALUE"""),142.0)</f>
        <v>142</v>
      </c>
    </row>
    <row r="888">
      <c r="A888" s="1">
        <v>3174517.0</v>
      </c>
      <c r="B888" s="1" t="s">
        <v>1988</v>
      </c>
      <c r="C888" s="1" t="s">
        <v>1679</v>
      </c>
      <c r="D888" s="1" t="s">
        <v>1693</v>
      </c>
      <c r="E888" s="1" t="s">
        <v>1989</v>
      </c>
      <c r="F888" s="1" t="s">
        <v>16</v>
      </c>
      <c r="G888" s="1" t="s">
        <v>17</v>
      </c>
      <c r="H888" s="1" t="s">
        <v>18</v>
      </c>
      <c r="I888" s="1" t="s">
        <v>139</v>
      </c>
      <c r="J888" s="1">
        <f>IFERROR(__xludf.DUMMYFUNCTION("""COMPUTED_VALUE"""),98.0)</f>
        <v>98</v>
      </c>
      <c r="K888" s="1">
        <v>28.0</v>
      </c>
      <c r="L888" s="1">
        <f>IFERROR(__xludf.DUMMYFUNCTION("""COMPUTED_VALUE"""),147.0)</f>
        <v>147</v>
      </c>
    </row>
    <row r="889">
      <c r="A889" s="1">
        <v>3173712.0</v>
      </c>
      <c r="B889" s="1" t="s">
        <v>1990</v>
      </c>
      <c r="C889" s="1" t="s">
        <v>1679</v>
      </c>
      <c r="D889" s="1" t="s">
        <v>1688</v>
      </c>
      <c r="E889" s="1" t="s">
        <v>1991</v>
      </c>
      <c r="F889" s="1" t="s">
        <v>16</v>
      </c>
      <c r="G889" s="1" t="s">
        <v>27</v>
      </c>
      <c r="H889" s="1" t="s">
        <v>18</v>
      </c>
      <c r="I889" s="1" t="s">
        <v>44</v>
      </c>
      <c r="J889" s="1">
        <f>IFERROR(__xludf.DUMMYFUNCTION("""COMPUTED_VALUE"""),211.0)</f>
        <v>211</v>
      </c>
      <c r="K889" s="1">
        <v>160.0</v>
      </c>
      <c r="L889" s="1">
        <f>IFERROR(__xludf.DUMMYFUNCTION("""COMPUTED_VALUE"""),219.0)</f>
        <v>219</v>
      </c>
    </row>
    <row r="890">
      <c r="A890" s="1">
        <v>3173623.0</v>
      </c>
      <c r="B890" s="1" t="s">
        <v>1992</v>
      </c>
      <c r="C890" s="1" t="s">
        <v>1679</v>
      </c>
      <c r="D890" s="1" t="s">
        <v>1688</v>
      </c>
      <c r="E890" s="1" t="s">
        <v>1993</v>
      </c>
      <c r="F890" s="1" t="s">
        <v>272</v>
      </c>
      <c r="G890" s="1" t="s">
        <v>27</v>
      </c>
      <c r="H890" s="1" t="s">
        <v>18</v>
      </c>
      <c r="I890" s="1" t="s">
        <v>19</v>
      </c>
      <c r="J890" s="1">
        <f>IFERROR(__xludf.DUMMYFUNCTION("""COMPUTED_VALUE"""),18.0)</f>
        <v>18</v>
      </c>
      <c r="K890" s="1">
        <v>33.0</v>
      </c>
      <c r="L890" s="1">
        <f>IFERROR(__xludf.DUMMYFUNCTION("""COMPUTED_VALUE"""),263.0)</f>
        <v>263</v>
      </c>
    </row>
    <row r="891">
      <c r="A891" s="1">
        <v>3172751.0</v>
      </c>
      <c r="B891" s="1" t="s">
        <v>1994</v>
      </c>
      <c r="C891" s="1" t="s">
        <v>1679</v>
      </c>
      <c r="D891" s="1" t="s">
        <v>1680</v>
      </c>
      <c r="E891" s="1" t="s">
        <v>1995</v>
      </c>
      <c r="F891" s="1" t="s">
        <v>32</v>
      </c>
      <c r="G891" s="1" t="s">
        <v>27</v>
      </c>
      <c r="H891" s="1" t="s">
        <v>18</v>
      </c>
      <c r="I891" s="1" t="s">
        <v>563</v>
      </c>
      <c r="J891" s="1">
        <f>IFERROR(__xludf.DUMMYFUNCTION("""COMPUTED_VALUE"""),12.0)</f>
        <v>12</v>
      </c>
      <c r="K891" s="1">
        <v>18.0</v>
      </c>
      <c r="L891" s="1">
        <f>IFERROR(__xludf.DUMMYFUNCTION("""COMPUTED_VALUE"""),85.0)</f>
        <v>85</v>
      </c>
    </row>
    <row r="892">
      <c r="A892" s="1">
        <v>3171757.0</v>
      </c>
      <c r="B892" s="1" t="s">
        <v>1996</v>
      </c>
      <c r="C892" s="1" t="s">
        <v>1679</v>
      </c>
      <c r="D892" s="1" t="s">
        <v>1685</v>
      </c>
      <c r="E892" s="1" t="s">
        <v>1997</v>
      </c>
      <c r="F892" s="1" t="s">
        <v>55</v>
      </c>
      <c r="G892" s="1" t="s">
        <v>17</v>
      </c>
      <c r="H892" s="1" t="s">
        <v>18</v>
      </c>
      <c r="I892" s="1" t="s">
        <v>19</v>
      </c>
      <c r="J892" s="1">
        <f>IFERROR(__xludf.DUMMYFUNCTION("""COMPUTED_VALUE"""),27.0)</f>
        <v>27</v>
      </c>
      <c r="K892" s="1">
        <v>33.0</v>
      </c>
      <c r="L892" s="1">
        <f>IFERROR(__xludf.DUMMYFUNCTION("""COMPUTED_VALUE"""),144.0)</f>
        <v>144</v>
      </c>
    </row>
    <row r="893">
      <c r="A893" s="1">
        <v>3171805.0</v>
      </c>
      <c r="B893" s="1" t="s">
        <v>1998</v>
      </c>
      <c r="C893" s="1" t="s">
        <v>1679</v>
      </c>
      <c r="D893" s="1" t="s">
        <v>1685</v>
      </c>
      <c r="E893" s="1" t="s">
        <v>1999</v>
      </c>
      <c r="F893" s="1" t="s">
        <v>16</v>
      </c>
      <c r="G893" s="1" t="s">
        <v>17</v>
      </c>
      <c r="H893" s="1" t="s">
        <v>18</v>
      </c>
      <c r="I893" s="1" t="s">
        <v>44</v>
      </c>
      <c r="J893" s="1">
        <f>IFERROR(__xludf.DUMMYFUNCTION("""COMPUTED_VALUE"""),108.0)</f>
        <v>108</v>
      </c>
      <c r="K893" s="1">
        <v>59.0</v>
      </c>
      <c r="L893" s="1">
        <f>IFERROR(__xludf.DUMMYFUNCTION("""COMPUTED_VALUE"""),182.0)</f>
        <v>182</v>
      </c>
    </row>
    <row r="894">
      <c r="A894" s="1">
        <v>3174431.0</v>
      </c>
      <c r="B894" s="1" t="s">
        <v>2000</v>
      </c>
      <c r="C894" s="1" t="s">
        <v>1679</v>
      </c>
      <c r="D894" s="1" t="s">
        <v>1693</v>
      </c>
      <c r="E894" s="1" t="s">
        <v>2001</v>
      </c>
      <c r="F894" s="1" t="s">
        <v>16</v>
      </c>
      <c r="G894" s="1" t="s">
        <v>27</v>
      </c>
      <c r="H894" s="1" t="s">
        <v>18</v>
      </c>
      <c r="I894" s="1" t="s">
        <v>19</v>
      </c>
      <c r="J894" s="1">
        <f>IFERROR(__xludf.DUMMYFUNCTION("""COMPUTED_VALUE"""),311.0)</f>
        <v>311</v>
      </c>
      <c r="K894" s="1">
        <v>95.0</v>
      </c>
      <c r="L894" s="1">
        <f>IFERROR(__xludf.DUMMYFUNCTION("""COMPUTED_VALUE"""),800.0)</f>
        <v>800</v>
      </c>
    </row>
    <row r="895">
      <c r="A895" s="1">
        <v>3172755.0</v>
      </c>
      <c r="B895" s="1" t="s">
        <v>2002</v>
      </c>
      <c r="C895" s="1" t="s">
        <v>1679</v>
      </c>
      <c r="D895" s="1" t="s">
        <v>1680</v>
      </c>
      <c r="E895" s="1" t="s">
        <v>2003</v>
      </c>
      <c r="F895" s="1" t="s">
        <v>1884</v>
      </c>
      <c r="G895" s="1" t="s">
        <v>27</v>
      </c>
      <c r="H895" s="1" t="s">
        <v>18</v>
      </c>
      <c r="I895" s="1" t="s">
        <v>44</v>
      </c>
      <c r="J895" s="1">
        <f>IFERROR(__xludf.DUMMYFUNCTION("""COMPUTED_VALUE"""),81.0)</f>
        <v>81</v>
      </c>
      <c r="K895" s="1">
        <v>50.0</v>
      </c>
      <c r="L895" s="1">
        <f>IFERROR(__xludf.DUMMYFUNCTION("""COMPUTED_VALUE"""),233.0)</f>
        <v>233</v>
      </c>
    </row>
    <row r="896">
      <c r="A896" s="1">
        <v>3171803.0</v>
      </c>
      <c r="B896" s="1" t="s">
        <v>2004</v>
      </c>
      <c r="C896" s="1" t="s">
        <v>1679</v>
      </c>
      <c r="D896" s="1" t="s">
        <v>1685</v>
      </c>
      <c r="E896" s="1" t="s">
        <v>2005</v>
      </c>
      <c r="F896" s="1" t="s">
        <v>16</v>
      </c>
      <c r="G896" s="1" t="s">
        <v>23</v>
      </c>
      <c r="H896" s="1" t="s">
        <v>28</v>
      </c>
      <c r="I896" s="1" t="s">
        <v>139</v>
      </c>
      <c r="J896" s="1">
        <f>IFERROR(__xludf.DUMMYFUNCTION("""COMPUTED_VALUE"""),62.0)</f>
        <v>62</v>
      </c>
      <c r="K896" s="1">
        <v>29.0</v>
      </c>
      <c r="L896" s="1">
        <f>IFERROR(__xludf.DUMMYFUNCTION("""COMPUTED_VALUE"""),210.0)</f>
        <v>210</v>
      </c>
    </row>
    <row r="897">
      <c r="A897" s="1">
        <v>3172243.0</v>
      </c>
      <c r="B897" s="1" t="s">
        <v>2006</v>
      </c>
      <c r="C897" s="1" t="s">
        <v>1679</v>
      </c>
      <c r="D897" s="1" t="s">
        <v>1680</v>
      </c>
      <c r="E897" s="1" t="s">
        <v>2007</v>
      </c>
      <c r="F897" s="1" t="s">
        <v>16</v>
      </c>
      <c r="G897" s="1" t="s">
        <v>27</v>
      </c>
      <c r="H897" s="1" t="s">
        <v>18</v>
      </c>
      <c r="I897" s="1" t="s">
        <v>19</v>
      </c>
      <c r="J897" s="1">
        <f>IFERROR(__xludf.DUMMYFUNCTION("""COMPUTED_VALUE"""),277.0)</f>
        <v>277</v>
      </c>
      <c r="K897" s="1">
        <v>110.0</v>
      </c>
      <c r="L897" s="1">
        <f>IFERROR(__xludf.DUMMYFUNCTION("""COMPUTED_VALUE"""),745.0)</f>
        <v>745</v>
      </c>
    </row>
    <row r="898">
      <c r="A898" s="1">
        <v>3175363.0</v>
      </c>
      <c r="B898" s="1" t="s">
        <v>2008</v>
      </c>
      <c r="C898" s="1" t="s">
        <v>1679</v>
      </c>
      <c r="D898" s="1" t="s">
        <v>1700</v>
      </c>
      <c r="E898" s="1" t="s">
        <v>2009</v>
      </c>
      <c r="F898" s="1" t="s">
        <v>55</v>
      </c>
      <c r="G898" s="1" t="s">
        <v>17</v>
      </c>
      <c r="H898" s="1" t="s">
        <v>18</v>
      </c>
      <c r="I898" s="1" t="s">
        <v>19</v>
      </c>
      <c r="J898" s="1">
        <f>IFERROR(__xludf.DUMMYFUNCTION("""COMPUTED_VALUE"""),59.0)</f>
        <v>59</v>
      </c>
      <c r="K898" s="1">
        <v>24.0</v>
      </c>
      <c r="L898" s="1">
        <f>IFERROR(__xludf.DUMMYFUNCTION("""COMPUTED_VALUE"""),44.0)</f>
        <v>44</v>
      </c>
    </row>
    <row r="899">
      <c r="A899" s="1">
        <v>3171793.0</v>
      </c>
      <c r="B899" s="1" t="s">
        <v>2010</v>
      </c>
      <c r="C899" s="1" t="s">
        <v>1679</v>
      </c>
      <c r="D899" s="1" t="s">
        <v>1685</v>
      </c>
      <c r="E899" s="1" t="s">
        <v>2011</v>
      </c>
      <c r="F899" s="1" t="s">
        <v>16</v>
      </c>
      <c r="G899" s="1" t="s">
        <v>23</v>
      </c>
      <c r="H899" s="1" t="s">
        <v>28</v>
      </c>
      <c r="I899" s="1" t="s">
        <v>139</v>
      </c>
      <c r="J899" s="1">
        <f>IFERROR(__xludf.DUMMYFUNCTION("""COMPUTED_VALUE"""),57.0)</f>
        <v>57</v>
      </c>
      <c r="K899" s="1">
        <v>38.0</v>
      </c>
      <c r="L899" s="1">
        <f>IFERROR(__xludf.DUMMYFUNCTION("""COMPUTED_VALUE"""),196.0)</f>
        <v>196</v>
      </c>
    </row>
    <row r="900">
      <c r="A900" s="1">
        <v>3171807.0</v>
      </c>
      <c r="B900" s="1" t="s">
        <v>2012</v>
      </c>
      <c r="C900" s="1" t="s">
        <v>1679</v>
      </c>
      <c r="D900" s="1" t="s">
        <v>1685</v>
      </c>
      <c r="E900" s="1" t="s">
        <v>2013</v>
      </c>
      <c r="F900" s="1" t="s">
        <v>16</v>
      </c>
      <c r="G900" s="1" t="s">
        <v>17</v>
      </c>
      <c r="H900" s="1" t="s">
        <v>18</v>
      </c>
      <c r="I900" s="1" t="s">
        <v>19</v>
      </c>
      <c r="J900" s="1">
        <f>IFERROR(__xludf.DUMMYFUNCTION("""COMPUTED_VALUE"""),101.0)</f>
        <v>101</v>
      </c>
      <c r="K900" s="1">
        <v>43.0</v>
      </c>
      <c r="L900" s="1">
        <f>IFERROR(__xludf.DUMMYFUNCTION("""COMPUTED_VALUE"""),182.0)</f>
        <v>182</v>
      </c>
    </row>
    <row r="901">
      <c r="A901" s="1">
        <v>3173040.0</v>
      </c>
      <c r="B901" s="1" t="s">
        <v>2014</v>
      </c>
      <c r="C901" s="1" t="s">
        <v>1679</v>
      </c>
      <c r="D901" s="1" t="s">
        <v>1688</v>
      </c>
      <c r="E901" s="1" t="s">
        <v>2015</v>
      </c>
      <c r="F901" s="1" t="s">
        <v>16</v>
      </c>
      <c r="G901" s="1" t="s">
        <v>27</v>
      </c>
      <c r="H901" s="1" t="s">
        <v>18</v>
      </c>
      <c r="I901" s="1" t="s">
        <v>19</v>
      </c>
      <c r="J901" s="1">
        <f>IFERROR(__xludf.DUMMYFUNCTION("""COMPUTED_VALUE"""),236.0)</f>
        <v>236</v>
      </c>
      <c r="K901" s="1">
        <v>125.0</v>
      </c>
      <c r="L901" s="1">
        <f>IFERROR(__xludf.DUMMYFUNCTION("""COMPUTED_VALUE"""),674.0)</f>
        <v>674</v>
      </c>
    </row>
    <row r="902">
      <c r="A902" s="1">
        <v>3173474.0</v>
      </c>
      <c r="B902" s="1" t="s">
        <v>2016</v>
      </c>
      <c r="C902" s="1" t="s">
        <v>1679</v>
      </c>
      <c r="D902" s="1" t="s">
        <v>1688</v>
      </c>
      <c r="E902" s="1" t="s">
        <v>2017</v>
      </c>
      <c r="F902" s="1" t="s">
        <v>16</v>
      </c>
      <c r="G902" s="1" t="s">
        <v>17</v>
      </c>
      <c r="H902" s="1" t="s">
        <v>18</v>
      </c>
      <c r="I902" s="1" t="s">
        <v>113</v>
      </c>
      <c r="J902" s="1">
        <f>IFERROR(__xludf.DUMMYFUNCTION("""COMPUTED_VALUE"""),100.0)</f>
        <v>100</v>
      </c>
      <c r="K902" s="1">
        <v>41.0</v>
      </c>
      <c r="L902" s="1">
        <f>IFERROR(__xludf.DUMMYFUNCTION("""COMPUTED_VALUE"""),268.0)</f>
        <v>268</v>
      </c>
    </row>
    <row r="903">
      <c r="A903" s="1">
        <v>3171680.0</v>
      </c>
      <c r="B903" s="1" t="s">
        <v>2018</v>
      </c>
      <c r="C903" s="1" t="s">
        <v>1679</v>
      </c>
      <c r="D903" s="1" t="s">
        <v>1685</v>
      </c>
      <c r="E903" s="1" t="s">
        <v>2019</v>
      </c>
      <c r="F903" s="1" t="s">
        <v>16</v>
      </c>
      <c r="G903" s="1" t="s">
        <v>17</v>
      </c>
      <c r="H903" s="1" t="s">
        <v>18</v>
      </c>
      <c r="I903" s="1" t="s">
        <v>19</v>
      </c>
      <c r="J903" s="1">
        <f>IFERROR(__xludf.DUMMYFUNCTION("""COMPUTED_VALUE"""),38.0)</f>
        <v>38</v>
      </c>
      <c r="K903" s="1">
        <v>34.0</v>
      </c>
      <c r="L903" s="1">
        <f>IFERROR(__xludf.DUMMYFUNCTION("""COMPUTED_VALUE"""),212.0)</f>
        <v>212</v>
      </c>
    </row>
    <row r="904">
      <c r="A904" s="1">
        <v>3171795.0</v>
      </c>
      <c r="B904" s="1" t="s">
        <v>2020</v>
      </c>
      <c r="C904" s="1" t="s">
        <v>1679</v>
      </c>
      <c r="D904" s="1" t="s">
        <v>1685</v>
      </c>
      <c r="E904" s="1" t="s">
        <v>2021</v>
      </c>
      <c r="F904" s="1" t="s">
        <v>16</v>
      </c>
      <c r="G904" s="1" t="s">
        <v>27</v>
      </c>
      <c r="H904" s="1" t="s">
        <v>28</v>
      </c>
      <c r="I904" s="1" t="s">
        <v>139</v>
      </c>
      <c r="J904" s="1">
        <f>IFERROR(__xludf.DUMMYFUNCTION("""COMPUTED_VALUE"""),401.0)</f>
        <v>401</v>
      </c>
      <c r="K904" s="1">
        <v>94.0</v>
      </c>
      <c r="L904" s="1">
        <f>IFERROR(__xludf.DUMMYFUNCTION("""COMPUTED_VALUE"""),869.0)</f>
        <v>869</v>
      </c>
    </row>
    <row r="905">
      <c r="A905" s="1">
        <v>3174041.0</v>
      </c>
      <c r="B905" s="1" t="s">
        <v>2022</v>
      </c>
      <c r="C905" s="1" t="s">
        <v>1679</v>
      </c>
      <c r="D905" s="1" t="s">
        <v>1693</v>
      </c>
      <c r="E905" s="1" t="s">
        <v>2023</v>
      </c>
      <c r="F905" s="1" t="s">
        <v>174</v>
      </c>
      <c r="G905" s="1" t="s">
        <v>150</v>
      </c>
      <c r="H905" s="1" t="s">
        <v>33</v>
      </c>
      <c r="I905" s="1" t="s">
        <v>411</v>
      </c>
      <c r="J905" s="1">
        <f>IFERROR(__xludf.DUMMYFUNCTION("""COMPUTED_VALUE"""),3.0)</f>
        <v>3</v>
      </c>
      <c r="K905" s="1">
        <v>26.0</v>
      </c>
      <c r="L905" s="1">
        <f>IFERROR(__xludf.DUMMYFUNCTION("""COMPUTED_VALUE"""),398.0)</f>
        <v>398</v>
      </c>
    </row>
    <row r="906">
      <c r="A906" s="1">
        <v>3172050.0</v>
      </c>
      <c r="B906" s="1" t="s">
        <v>2024</v>
      </c>
      <c r="C906" s="1" t="s">
        <v>1679</v>
      </c>
      <c r="D906" s="1" t="s">
        <v>1680</v>
      </c>
      <c r="E906" s="1" t="s">
        <v>2025</v>
      </c>
      <c r="F906" s="1" t="s">
        <v>16</v>
      </c>
      <c r="G906" s="1" t="s">
        <v>17</v>
      </c>
      <c r="H906" s="1" t="s">
        <v>18</v>
      </c>
      <c r="I906" s="1" t="s">
        <v>74</v>
      </c>
      <c r="J906" s="1">
        <f>IFERROR(__xludf.DUMMYFUNCTION("""COMPUTED_VALUE"""),126.0)</f>
        <v>126</v>
      </c>
      <c r="K906" s="1">
        <v>33.0</v>
      </c>
      <c r="L906" s="1">
        <f>IFERROR(__xludf.DUMMYFUNCTION("""COMPUTED_VALUE"""),198.0)</f>
        <v>198</v>
      </c>
    </row>
    <row r="907">
      <c r="A907" s="1">
        <v>3175181.0</v>
      </c>
      <c r="B907" s="1" t="s">
        <v>2026</v>
      </c>
      <c r="C907" s="1" t="s">
        <v>1679</v>
      </c>
      <c r="D907" s="1" t="s">
        <v>1700</v>
      </c>
      <c r="E907" s="1" t="s">
        <v>2027</v>
      </c>
      <c r="F907" s="1" t="s">
        <v>16</v>
      </c>
      <c r="G907" s="1" t="s">
        <v>17</v>
      </c>
      <c r="H907" s="1" t="s">
        <v>18</v>
      </c>
      <c r="I907" s="1" t="s">
        <v>19</v>
      </c>
      <c r="J907" s="1">
        <f>IFERROR(__xludf.DUMMYFUNCTION("""COMPUTED_VALUE"""),105.0)</f>
        <v>105</v>
      </c>
      <c r="K907" s="1">
        <v>46.0</v>
      </c>
      <c r="L907" s="1">
        <f>IFERROR(__xludf.DUMMYFUNCTION("""COMPUTED_VALUE"""),168.0)</f>
        <v>168</v>
      </c>
    </row>
    <row r="908">
      <c r="A908" s="1">
        <v>3172702.0</v>
      </c>
      <c r="B908" s="1" t="s">
        <v>2028</v>
      </c>
      <c r="C908" s="1" t="s">
        <v>1679</v>
      </c>
      <c r="D908" s="1" t="s">
        <v>1680</v>
      </c>
      <c r="E908" s="1" t="s">
        <v>2029</v>
      </c>
      <c r="F908" s="1" t="s">
        <v>16</v>
      </c>
      <c r="G908" s="1" t="s">
        <v>17</v>
      </c>
      <c r="H908" s="1" t="s">
        <v>18</v>
      </c>
      <c r="I908" s="1" t="s">
        <v>19</v>
      </c>
      <c r="J908" s="1">
        <f>IFERROR(__xludf.DUMMYFUNCTION("""COMPUTED_VALUE"""),101.0)</f>
        <v>101</v>
      </c>
      <c r="K908" s="1">
        <v>43.0</v>
      </c>
      <c r="L908" s="1">
        <f>IFERROR(__xludf.DUMMYFUNCTION("""COMPUTED_VALUE"""),72.0)</f>
        <v>72</v>
      </c>
    </row>
    <row r="909">
      <c r="A909" s="1">
        <v>3171034.0</v>
      </c>
      <c r="B909" s="1" t="s">
        <v>2030</v>
      </c>
      <c r="C909" s="1" t="s">
        <v>1679</v>
      </c>
      <c r="D909" s="1" t="s">
        <v>1685</v>
      </c>
      <c r="E909" s="1" t="s">
        <v>2031</v>
      </c>
      <c r="F909" s="1" t="s">
        <v>16</v>
      </c>
      <c r="G909" s="1" t="s">
        <v>27</v>
      </c>
      <c r="H909" s="1" t="s">
        <v>33</v>
      </c>
      <c r="I909" s="1" t="s">
        <v>95</v>
      </c>
      <c r="J909" s="1">
        <f>IFERROR(__xludf.DUMMYFUNCTION("""COMPUTED_VALUE"""),198.0)</f>
        <v>198</v>
      </c>
      <c r="K909" s="1">
        <v>93.0</v>
      </c>
      <c r="L909" s="1">
        <f>IFERROR(__xludf.DUMMYFUNCTION("""COMPUTED_VALUE"""),766.0)</f>
        <v>766</v>
      </c>
    </row>
    <row r="910">
      <c r="A910" s="1">
        <v>3171515.0</v>
      </c>
      <c r="B910" s="1" t="s">
        <v>2032</v>
      </c>
      <c r="C910" s="1" t="s">
        <v>1679</v>
      </c>
      <c r="D910" s="1" t="s">
        <v>1685</v>
      </c>
      <c r="E910" s="1" t="s">
        <v>2033</v>
      </c>
      <c r="F910" s="1" t="s">
        <v>16</v>
      </c>
      <c r="G910" s="1" t="s">
        <v>27</v>
      </c>
      <c r="H910" s="1" t="s">
        <v>18</v>
      </c>
      <c r="I910" s="1" t="s">
        <v>19</v>
      </c>
      <c r="J910" s="1">
        <f>IFERROR(__xludf.DUMMYFUNCTION("""COMPUTED_VALUE"""),203.0)</f>
        <v>203</v>
      </c>
      <c r="K910" s="1">
        <v>122.0</v>
      </c>
      <c r="L910" s="1">
        <f>IFERROR(__xludf.DUMMYFUNCTION("""COMPUTED_VALUE"""),182.0)</f>
        <v>182</v>
      </c>
    </row>
    <row r="911">
      <c r="A911" s="1">
        <v>3173645.0</v>
      </c>
      <c r="B911" s="1" t="s">
        <v>2034</v>
      </c>
      <c r="C911" s="1" t="s">
        <v>1679</v>
      </c>
      <c r="D911" s="1" t="s">
        <v>1688</v>
      </c>
      <c r="E911" s="1" t="s">
        <v>2035</v>
      </c>
      <c r="F911" s="1" t="s">
        <v>16</v>
      </c>
      <c r="G911" s="1" t="s">
        <v>17</v>
      </c>
      <c r="H911" s="1" t="s">
        <v>18</v>
      </c>
      <c r="I911" s="1" t="s">
        <v>19</v>
      </c>
      <c r="J911" s="1">
        <f>IFERROR(__xludf.DUMMYFUNCTION("""COMPUTED_VALUE"""),99.0)</f>
        <v>99</v>
      </c>
      <c r="K911" s="1">
        <v>30.0</v>
      </c>
      <c r="L911" s="1">
        <f>IFERROR(__xludf.DUMMYFUNCTION("""COMPUTED_VALUE"""),164.0)</f>
        <v>164</v>
      </c>
    </row>
    <row r="912">
      <c r="A912" s="1">
        <v>3174544.0</v>
      </c>
      <c r="B912" s="1" t="s">
        <v>2036</v>
      </c>
      <c r="C912" s="1" t="s">
        <v>1679</v>
      </c>
      <c r="D912" s="1" t="s">
        <v>1693</v>
      </c>
      <c r="E912" s="1" t="s">
        <v>2037</v>
      </c>
      <c r="F912" s="1" t="s">
        <v>2038</v>
      </c>
      <c r="G912" s="1" t="s">
        <v>17</v>
      </c>
      <c r="H912" s="1" t="s">
        <v>18</v>
      </c>
      <c r="I912" s="1" t="s">
        <v>34</v>
      </c>
      <c r="J912" s="1">
        <f>IFERROR(__xludf.DUMMYFUNCTION("""COMPUTED_VALUE"""),26.0)</f>
        <v>26</v>
      </c>
      <c r="K912" s="1">
        <v>28.0</v>
      </c>
      <c r="L912" s="1">
        <f>IFERROR(__xludf.DUMMYFUNCTION("""COMPUTED_VALUE"""),182.0)</f>
        <v>182</v>
      </c>
    </row>
    <row r="913">
      <c r="A913" s="1">
        <v>3174486.0</v>
      </c>
      <c r="B913" s="1" t="s">
        <v>2039</v>
      </c>
      <c r="C913" s="1" t="s">
        <v>1679</v>
      </c>
      <c r="D913" s="1" t="s">
        <v>1693</v>
      </c>
      <c r="E913" s="1" t="s">
        <v>2040</v>
      </c>
      <c r="F913" s="1" t="s">
        <v>16</v>
      </c>
      <c r="G913" s="1" t="s">
        <v>27</v>
      </c>
      <c r="H913" s="1" t="s">
        <v>18</v>
      </c>
      <c r="I913" s="1" t="s">
        <v>19</v>
      </c>
      <c r="J913" s="1">
        <f>IFERROR(__xludf.DUMMYFUNCTION("""COMPUTED_VALUE"""),220.0)</f>
        <v>220</v>
      </c>
      <c r="K913" s="1">
        <v>111.0</v>
      </c>
      <c r="L913" s="1">
        <f>IFERROR(__xludf.DUMMYFUNCTION("""COMPUTED_VALUE"""),571.0)</f>
        <v>571</v>
      </c>
    </row>
    <row r="914">
      <c r="A914" s="1">
        <v>3172495.0</v>
      </c>
      <c r="B914" s="1" t="s">
        <v>2041</v>
      </c>
      <c r="C914" s="1" t="s">
        <v>1679</v>
      </c>
      <c r="D914" s="1" t="s">
        <v>1680</v>
      </c>
      <c r="E914" s="1" t="s">
        <v>2042</v>
      </c>
      <c r="F914" s="1" t="s">
        <v>16</v>
      </c>
      <c r="G914" s="1" t="s">
        <v>27</v>
      </c>
      <c r="H914" s="1" t="s">
        <v>18</v>
      </c>
      <c r="I914" s="1" t="s">
        <v>19</v>
      </c>
      <c r="J914" s="1">
        <f>IFERROR(__xludf.DUMMYFUNCTION("""COMPUTED_VALUE"""),200.0)</f>
        <v>200</v>
      </c>
      <c r="K914" s="1">
        <v>133.0</v>
      </c>
      <c r="L914" s="1">
        <f>IFERROR(__xludf.DUMMYFUNCTION("""COMPUTED_VALUE"""),533.0)</f>
        <v>533</v>
      </c>
    </row>
    <row r="915">
      <c r="A915" s="1">
        <v>3175385.0</v>
      </c>
      <c r="B915" s="1" t="s">
        <v>2043</v>
      </c>
      <c r="C915" s="1" t="s">
        <v>1679</v>
      </c>
      <c r="D915" s="1" t="s">
        <v>1700</v>
      </c>
      <c r="E915" s="1" t="s">
        <v>2044</v>
      </c>
      <c r="F915" s="1" t="s">
        <v>16</v>
      </c>
      <c r="G915" s="1" t="s">
        <v>27</v>
      </c>
      <c r="H915" s="1" t="s">
        <v>18</v>
      </c>
      <c r="I915" s="1" t="s">
        <v>19</v>
      </c>
      <c r="J915" s="1">
        <f>IFERROR(__xludf.DUMMYFUNCTION("""COMPUTED_VALUE"""),151.0)</f>
        <v>151</v>
      </c>
      <c r="K915" s="1">
        <v>121.0</v>
      </c>
      <c r="L915" s="1">
        <f>IFERROR(__xludf.DUMMYFUNCTION("""COMPUTED_VALUE"""),954.0)</f>
        <v>954</v>
      </c>
    </row>
    <row r="916">
      <c r="A916" s="1">
        <v>3173062.0</v>
      </c>
      <c r="B916" s="1" t="s">
        <v>2045</v>
      </c>
      <c r="C916" s="1" t="s">
        <v>1679</v>
      </c>
      <c r="D916" s="1" t="s">
        <v>1688</v>
      </c>
      <c r="E916" s="1" t="s">
        <v>2046</v>
      </c>
      <c r="F916" s="1" t="s">
        <v>16</v>
      </c>
      <c r="G916" s="1" t="s">
        <v>27</v>
      </c>
      <c r="H916" s="1" t="s">
        <v>18</v>
      </c>
      <c r="I916" s="1" t="s">
        <v>258</v>
      </c>
      <c r="J916" s="1">
        <f>IFERROR(__xludf.DUMMYFUNCTION("""COMPUTED_VALUE"""),206.0)</f>
        <v>206</v>
      </c>
      <c r="K916" s="1">
        <v>79.0</v>
      </c>
      <c r="L916" s="1">
        <f>IFERROR(__xludf.DUMMYFUNCTION("""COMPUTED_VALUE"""),678.0)</f>
        <v>678</v>
      </c>
    </row>
    <row r="917">
      <c r="A917" s="1">
        <v>3173521.0</v>
      </c>
      <c r="B917" s="1" t="s">
        <v>2047</v>
      </c>
      <c r="C917" s="1" t="s">
        <v>1679</v>
      </c>
      <c r="D917" s="1" t="s">
        <v>1688</v>
      </c>
      <c r="E917" s="1" t="s">
        <v>2048</v>
      </c>
      <c r="F917" s="1" t="s">
        <v>16</v>
      </c>
      <c r="G917" s="1" t="s">
        <v>150</v>
      </c>
      <c r="H917" s="1" t="s">
        <v>28</v>
      </c>
      <c r="I917" s="1" t="s">
        <v>139</v>
      </c>
      <c r="J917" s="1">
        <f>IFERROR(__xludf.DUMMYFUNCTION("""COMPUTED_VALUE"""),437.0)</f>
        <v>437</v>
      </c>
      <c r="K917" s="1">
        <v>125.0</v>
      </c>
      <c r="L917" s="1">
        <f>IFERROR(__xludf.DUMMYFUNCTION("""COMPUTED_VALUE"""),1065.0)</f>
        <v>1065</v>
      </c>
    </row>
    <row r="918">
      <c r="A918" s="1">
        <v>3171702.0</v>
      </c>
      <c r="B918" s="1" t="s">
        <v>2049</v>
      </c>
      <c r="C918" s="1" t="s">
        <v>1679</v>
      </c>
      <c r="D918" s="1" t="s">
        <v>1685</v>
      </c>
      <c r="E918" s="1" t="s">
        <v>2050</v>
      </c>
      <c r="F918" s="1" t="s">
        <v>16</v>
      </c>
      <c r="G918" s="1" t="s">
        <v>17</v>
      </c>
      <c r="H918" s="1" t="s">
        <v>18</v>
      </c>
      <c r="I918" s="1" t="s">
        <v>19</v>
      </c>
      <c r="J918" s="1">
        <f>IFERROR(__xludf.DUMMYFUNCTION("""COMPUTED_VALUE"""),128.0)</f>
        <v>128</v>
      </c>
      <c r="K918" s="1">
        <v>71.0</v>
      </c>
      <c r="L918" s="1">
        <f>IFERROR(__xludf.DUMMYFUNCTION("""COMPUTED_VALUE"""),355.0)</f>
        <v>355</v>
      </c>
    </row>
    <row r="919">
      <c r="A919" s="1">
        <v>3171796.0</v>
      </c>
      <c r="B919" s="1" t="s">
        <v>2051</v>
      </c>
      <c r="C919" s="1" t="s">
        <v>1679</v>
      </c>
      <c r="D919" s="1" t="s">
        <v>1685</v>
      </c>
      <c r="E919" s="1" t="s">
        <v>2052</v>
      </c>
      <c r="F919" s="1" t="s">
        <v>16</v>
      </c>
      <c r="G919" s="1" t="s">
        <v>23</v>
      </c>
      <c r="H919" s="1" t="s">
        <v>18</v>
      </c>
      <c r="I919" s="1" t="s">
        <v>19</v>
      </c>
      <c r="J919" s="1">
        <f>IFERROR(__xludf.DUMMYFUNCTION("""COMPUTED_VALUE"""),50.0)</f>
        <v>50</v>
      </c>
      <c r="K919" s="1">
        <v>23.0</v>
      </c>
      <c r="L919" s="1">
        <f>IFERROR(__xludf.DUMMYFUNCTION("""COMPUTED_VALUE"""),131.0)</f>
        <v>131</v>
      </c>
    </row>
    <row r="920">
      <c r="A920" s="1">
        <v>3174260.0</v>
      </c>
      <c r="B920" s="1" t="s">
        <v>2053</v>
      </c>
      <c r="C920" s="1" t="s">
        <v>1679</v>
      </c>
      <c r="D920" s="1" t="s">
        <v>1693</v>
      </c>
      <c r="E920" s="1" t="s">
        <v>2054</v>
      </c>
      <c r="F920" s="1" t="s">
        <v>55</v>
      </c>
      <c r="G920" s="1" t="s">
        <v>150</v>
      </c>
      <c r="H920" s="1" t="s">
        <v>33</v>
      </c>
      <c r="I920" s="1" t="s">
        <v>411</v>
      </c>
      <c r="J920" s="1">
        <f>IFERROR(__xludf.DUMMYFUNCTION("""COMPUTED_VALUE"""),258.0)</f>
        <v>258</v>
      </c>
      <c r="K920" s="1">
        <v>52.0</v>
      </c>
      <c r="L920" s="1">
        <f>IFERROR(__xludf.DUMMYFUNCTION("""COMPUTED_VALUE"""),1418.0)</f>
        <v>1418</v>
      </c>
    </row>
    <row r="921">
      <c r="A921" s="1">
        <v>3174523.0</v>
      </c>
      <c r="B921" s="1" t="s">
        <v>2055</v>
      </c>
      <c r="C921" s="1" t="s">
        <v>1679</v>
      </c>
      <c r="D921" s="1" t="s">
        <v>1680</v>
      </c>
      <c r="E921" s="1" t="s">
        <v>2056</v>
      </c>
      <c r="F921" s="1" t="s">
        <v>16</v>
      </c>
      <c r="G921" s="1" t="s">
        <v>23</v>
      </c>
      <c r="H921" s="1" t="s">
        <v>18</v>
      </c>
      <c r="I921" s="1" t="s">
        <v>139</v>
      </c>
      <c r="J921" s="1">
        <f>IFERROR(__xludf.DUMMYFUNCTION("""COMPUTED_VALUE"""),50.0)</f>
        <v>50</v>
      </c>
      <c r="K921" s="1">
        <v>26.0</v>
      </c>
      <c r="L921" s="1">
        <f>IFERROR(__xludf.DUMMYFUNCTION("""COMPUTED_VALUE"""),195.0)</f>
        <v>195</v>
      </c>
    </row>
    <row r="922">
      <c r="A922" s="1">
        <v>3173707.0</v>
      </c>
      <c r="B922" s="1" t="s">
        <v>2057</v>
      </c>
      <c r="C922" s="1" t="s">
        <v>1679</v>
      </c>
      <c r="D922" s="1" t="s">
        <v>1688</v>
      </c>
      <c r="E922" s="1" t="s">
        <v>2058</v>
      </c>
      <c r="F922" s="1" t="s">
        <v>32</v>
      </c>
      <c r="G922" s="1" t="s">
        <v>27</v>
      </c>
      <c r="H922" s="1" t="s">
        <v>18</v>
      </c>
      <c r="I922" s="1" t="s">
        <v>19</v>
      </c>
      <c r="J922" s="1">
        <f>IFERROR(__xludf.DUMMYFUNCTION("""COMPUTED_VALUE"""),12.0)</f>
        <v>12</v>
      </c>
      <c r="K922" s="1">
        <v>19.0</v>
      </c>
      <c r="L922" s="1">
        <f>IFERROR(__xludf.DUMMYFUNCTION("""COMPUTED_VALUE"""),74.0)</f>
        <v>74</v>
      </c>
    </row>
    <row r="923">
      <c r="A923" s="1">
        <v>3172072.0</v>
      </c>
      <c r="B923" s="1" t="s">
        <v>2059</v>
      </c>
      <c r="C923" s="1" t="s">
        <v>1679</v>
      </c>
      <c r="D923" s="1" t="s">
        <v>1680</v>
      </c>
      <c r="E923" s="1" t="s">
        <v>2060</v>
      </c>
      <c r="F923" s="1" t="s">
        <v>16</v>
      </c>
      <c r="G923" s="1" t="s">
        <v>150</v>
      </c>
      <c r="H923" s="1" t="s">
        <v>33</v>
      </c>
      <c r="I923" s="1" t="s">
        <v>65</v>
      </c>
      <c r="J923" s="1">
        <f>IFERROR(__xludf.DUMMYFUNCTION("""COMPUTED_VALUE"""),766.0)</f>
        <v>766</v>
      </c>
      <c r="K923" s="1">
        <v>132.0</v>
      </c>
      <c r="L923" s="1">
        <f>IFERROR(__xludf.DUMMYFUNCTION("""COMPUTED_VALUE"""),2696.0)</f>
        <v>2696</v>
      </c>
    </row>
    <row r="924">
      <c r="A924" s="1">
        <v>3174074.0</v>
      </c>
      <c r="B924" s="1" t="s">
        <v>2061</v>
      </c>
      <c r="C924" s="1" t="s">
        <v>1679</v>
      </c>
      <c r="D924" s="1" t="s">
        <v>1693</v>
      </c>
      <c r="E924" s="1" t="s">
        <v>2062</v>
      </c>
      <c r="F924" s="1" t="s">
        <v>16</v>
      </c>
      <c r="G924" s="1" t="s">
        <v>27</v>
      </c>
      <c r="H924" s="1" t="s">
        <v>28</v>
      </c>
      <c r="I924" s="1" t="s">
        <v>139</v>
      </c>
      <c r="J924" s="1">
        <f>IFERROR(__xludf.DUMMYFUNCTION("""COMPUTED_VALUE"""),410.0)</f>
        <v>410</v>
      </c>
      <c r="K924" s="1">
        <v>110.0</v>
      </c>
      <c r="L924" s="1">
        <f>IFERROR(__xludf.DUMMYFUNCTION("""COMPUTED_VALUE"""),1086.0)</f>
        <v>1086</v>
      </c>
    </row>
    <row r="925">
      <c r="A925" s="1">
        <v>3175315.0</v>
      </c>
      <c r="B925" s="1" t="s">
        <v>2063</v>
      </c>
      <c r="C925" s="1" t="s">
        <v>1679</v>
      </c>
      <c r="D925" s="1" t="s">
        <v>1700</v>
      </c>
      <c r="E925" s="1" t="s">
        <v>2064</v>
      </c>
      <c r="F925" s="1" t="s">
        <v>16</v>
      </c>
      <c r="G925" s="1" t="s">
        <v>17</v>
      </c>
      <c r="H925" s="1" t="s">
        <v>18</v>
      </c>
      <c r="I925" s="1" t="s">
        <v>59</v>
      </c>
      <c r="J925" s="1">
        <f>IFERROR(__xludf.DUMMYFUNCTION("""COMPUTED_VALUE"""),138.0)</f>
        <v>138</v>
      </c>
      <c r="K925" s="1">
        <v>47.0</v>
      </c>
      <c r="L925" s="1">
        <f>IFERROR(__xludf.DUMMYFUNCTION("""COMPUTED_VALUE"""),102.0)</f>
        <v>102</v>
      </c>
    </row>
    <row r="926">
      <c r="A926" s="1">
        <v>3172735.0</v>
      </c>
      <c r="B926" s="1" t="s">
        <v>2065</v>
      </c>
      <c r="C926" s="1" t="s">
        <v>1679</v>
      </c>
      <c r="D926" s="1" t="s">
        <v>1680</v>
      </c>
      <c r="E926" s="1" t="s">
        <v>2066</v>
      </c>
      <c r="F926" s="1" t="s">
        <v>174</v>
      </c>
      <c r="G926" s="1" t="s">
        <v>17</v>
      </c>
      <c r="H926" s="1" t="s">
        <v>18</v>
      </c>
      <c r="I926" s="1" t="s">
        <v>684</v>
      </c>
      <c r="J926" s="1">
        <f>IFERROR(__xludf.DUMMYFUNCTION("""COMPUTED_VALUE"""),37.0)</f>
        <v>37</v>
      </c>
      <c r="K926" s="1">
        <v>19.0</v>
      </c>
      <c r="L926" s="1">
        <f>IFERROR(__xludf.DUMMYFUNCTION("""COMPUTED_VALUE"""),11.0)</f>
        <v>11</v>
      </c>
    </row>
    <row r="927">
      <c r="A927" s="1">
        <v>3171060.0</v>
      </c>
      <c r="B927" s="1" t="s">
        <v>2067</v>
      </c>
      <c r="C927" s="1" t="s">
        <v>1679</v>
      </c>
      <c r="D927" s="1" t="s">
        <v>1685</v>
      </c>
      <c r="E927" s="1" t="s">
        <v>2068</v>
      </c>
      <c r="F927" s="1" t="s">
        <v>174</v>
      </c>
      <c r="G927" s="1" t="s">
        <v>17</v>
      </c>
      <c r="H927" s="1" t="s">
        <v>18</v>
      </c>
      <c r="I927" s="1" t="s">
        <v>59</v>
      </c>
      <c r="J927" s="1">
        <f>IFERROR(__xludf.DUMMYFUNCTION("""COMPUTED_VALUE"""),30.0)</f>
        <v>30</v>
      </c>
      <c r="K927" s="1">
        <v>13.0</v>
      </c>
      <c r="L927" s="1">
        <f>IFERROR(__xludf.DUMMYFUNCTION("""COMPUTED_VALUE"""),90.0)</f>
        <v>90</v>
      </c>
    </row>
    <row r="928">
      <c r="A928" s="1">
        <v>3215067.0</v>
      </c>
      <c r="B928" s="1" t="s">
        <v>2069</v>
      </c>
      <c r="C928" s="1" t="s">
        <v>2070</v>
      </c>
      <c r="D928" s="1" t="s">
        <v>2071</v>
      </c>
      <c r="E928" s="1" t="s">
        <v>2072</v>
      </c>
      <c r="F928" s="1" t="s">
        <v>16</v>
      </c>
      <c r="G928" s="1" t="s">
        <v>17</v>
      </c>
      <c r="H928" s="1" t="s">
        <v>18</v>
      </c>
      <c r="I928" s="1" t="s">
        <v>19</v>
      </c>
      <c r="J928" s="1">
        <f>IFERROR(__xludf.DUMMYFUNCTION("""COMPUTED_VALUE"""),115.0)</f>
        <v>115</v>
      </c>
      <c r="K928" s="1">
        <v>52.0</v>
      </c>
      <c r="L928" s="1">
        <f>IFERROR(__xludf.DUMMYFUNCTION("""COMPUTED_VALUE"""),460.0)</f>
        <v>460</v>
      </c>
    </row>
    <row r="929">
      <c r="A929" s="1">
        <v>3208057.0</v>
      </c>
      <c r="B929" s="1" t="s">
        <v>2073</v>
      </c>
      <c r="C929" s="1" t="s">
        <v>2070</v>
      </c>
      <c r="D929" s="1" t="s">
        <v>2074</v>
      </c>
      <c r="E929" s="1" t="s">
        <v>2075</v>
      </c>
      <c r="F929" s="1" t="s">
        <v>16</v>
      </c>
      <c r="G929" s="1" t="s">
        <v>23</v>
      </c>
      <c r="H929" s="1" t="s">
        <v>18</v>
      </c>
      <c r="I929" s="1" t="s">
        <v>44</v>
      </c>
      <c r="J929" s="1">
        <f>IFERROR(__xludf.DUMMYFUNCTION("""COMPUTED_VALUE"""),61.0)</f>
        <v>61</v>
      </c>
      <c r="K929" s="1">
        <v>23.0</v>
      </c>
      <c r="L929" s="1">
        <f>IFERROR(__xludf.DUMMYFUNCTION("""COMPUTED_VALUE"""),57.0)</f>
        <v>57</v>
      </c>
    </row>
    <row r="930">
      <c r="A930" s="1">
        <v>3278018.0</v>
      </c>
      <c r="B930" s="1" t="s">
        <v>2076</v>
      </c>
      <c r="C930" s="1" t="s">
        <v>2070</v>
      </c>
      <c r="D930" s="1" t="s">
        <v>2077</v>
      </c>
      <c r="E930" s="1" t="s">
        <v>2078</v>
      </c>
      <c r="F930" s="1" t="s">
        <v>16</v>
      </c>
      <c r="G930" s="1" t="s">
        <v>23</v>
      </c>
      <c r="H930" s="1" t="s">
        <v>18</v>
      </c>
      <c r="I930" s="1" t="s">
        <v>19</v>
      </c>
      <c r="J930" s="1">
        <f>IFERROR(__xludf.DUMMYFUNCTION("""COMPUTED_VALUE"""),50.0)</f>
        <v>50</v>
      </c>
      <c r="K930" s="1">
        <v>27.0</v>
      </c>
      <c r="L930" s="1">
        <f>IFERROR(__xludf.DUMMYFUNCTION("""COMPUTED_VALUE"""),125.0)</f>
        <v>125</v>
      </c>
    </row>
    <row r="931">
      <c r="A931" s="1">
        <v>3216414.0</v>
      </c>
      <c r="B931" s="1" t="s">
        <v>285</v>
      </c>
      <c r="C931" s="1" t="s">
        <v>2070</v>
      </c>
      <c r="D931" s="1" t="s">
        <v>2079</v>
      </c>
      <c r="E931" s="1" t="s">
        <v>2080</v>
      </c>
      <c r="F931" s="1" t="s">
        <v>16</v>
      </c>
      <c r="G931" s="1" t="s">
        <v>17</v>
      </c>
      <c r="H931" s="1" t="s">
        <v>18</v>
      </c>
      <c r="I931" s="1" t="s">
        <v>44</v>
      </c>
      <c r="J931" s="1">
        <f>IFERROR(__xludf.DUMMYFUNCTION("""COMPUTED_VALUE"""),102.0)</f>
        <v>102</v>
      </c>
      <c r="K931" s="1">
        <v>28.0</v>
      </c>
      <c r="L931" s="1">
        <f>IFERROR(__xludf.DUMMYFUNCTION("""COMPUTED_VALUE"""),164.0)</f>
        <v>164</v>
      </c>
    </row>
    <row r="932">
      <c r="A932" s="1">
        <v>3276169.0</v>
      </c>
      <c r="B932" s="1" t="s">
        <v>2081</v>
      </c>
      <c r="C932" s="1" t="s">
        <v>2070</v>
      </c>
      <c r="D932" s="1" t="s">
        <v>2082</v>
      </c>
      <c r="E932" s="1" t="s">
        <v>2083</v>
      </c>
      <c r="F932" s="1" t="s">
        <v>16</v>
      </c>
      <c r="G932" s="1" t="s">
        <v>17</v>
      </c>
      <c r="H932" s="1" t="s">
        <v>18</v>
      </c>
      <c r="I932" s="1" t="s">
        <v>44</v>
      </c>
      <c r="J932" s="1">
        <f>IFERROR(__xludf.DUMMYFUNCTION("""COMPUTED_VALUE"""),96.0)</f>
        <v>96</v>
      </c>
      <c r="K932" s="1">
        <v>28.0</v>
      </c>
      <c r="L932" s="1">
        <f>IFERROR(__xludf.DUMMYFUNCTION("""COMPUTED_VALUE"""),182.0)</f>
        <v>182</v>
      </c>
    </row>
    <row r="933">
      <c r="A933" s="1">
        <v>3202014.0</v>
      </c>
      <c r="B933" s="1" t="s">
        <v>2084</v>
      </c>
      <c r="C933" s="1" t="s">
        <v>2070</v>
      </c>
      <c r="D933" s="1" t="s">
        <v>2085</v>
      </c>
      <c r="E933" s="1" t="s">
        <v>2086</v>
      </c>
      <c r="F933" s="1" t="s">
        <v>16</v>
      </c>
      <c r="G933" s="1" t="s">
        <v>27</v>
      </c>
      <c r="H933" s="1" t="s">
        <v>28</v>
      </c>
      <c r="I933" s="1" t="s">
        <v>40</v>
      </c>
      <c r="J933" s="1">
        <f>IFERROR(__xludf.DUMMYFUNCTION("""COMPUTED_VALUE"""),326.0)</f>
        <v>326</v>
      </c>
      <c r="K933" s="1">
        <v>120.0</v>
      </c>
      <c r="L933" s="1">
        <f>IFERROR(__xludf.DUMMYFUNCTION("""COMPUTED_VALUE"""),466.0)</f>
        <v>466</v>
      </c>
    </row>
    <row r="934">
      <c r="A934" s="1">
        <v>3273420.0</v>
      </c>
      <c r="B934" s="1" t="s">
        <v>2087</v>
      </c>
      <c r="C934" s="1" t="s">
        <v>2070</v>
      </c>
      <c r="D934" s="1" t="s">
        <v>2088</v>
      </c>
      <c r="E934" s="1" t="s">
        <v>2089</v>
      </c>
      <c r="F934" s="1" t="s">
        <v>16</v>
      </c>
      <c r="G934" s="1" t="s">
        <v>27</v>
      </c>
      <c r="H934" s="1" t="s">
        <v>18</v>
      </c>
      <c r="I934" s="1" t="s">
        <v>19</v>
      </c>
      <c r="J934" s="1">
        <f>IFERROR(__xludf.DUMMYFUNCTION("""COMPUTED_VALUE"""),275.0)</f>
        <v>275</v>
      </c>
      <c r="K934" s="1">
        <v>139.0</v>
      </c>
      <c r="L934" s="1">
        <f>IFERROR(__xludf.DUMMYFUNCTION("""COMPUTED_VALUE"""),975.0)</f>
        <v>975</v>
      </c>
    </row>
    <row r="935">
      <c r="A935" s="1">
        <v>3204154.0</v>
      </c>
      <c r="B935" s="1" t="s">
        <v>2090</v>
      </c>
      <c r="C935" s="1" t="s">
        <v>2070</v>
      </c>
      <c r="D935" s="1" t="s">
        <v>2091</v>
      </c>
      <c r="E935" s="1" t="s">
        <v>2092</v>
      </c>
      <c r="F935" s="1" t="s">
        <v>16</v>
      </c>
      <c r="G935" s="1" t="s">
        <v>23</v>
      </c>
      <c r="H935" s="1" t="s">
        <v>18</v>
      </c>
      <c r="I935" s="1" t="s">
        <v>563</v>
      </c>
      <c r="J935" s="1">
        <f>IFERROR(__xludf.DUMMYFUNCTION("""COMPUTED_VALUE"""),52.0)</f>
        <v>52</v>
      </c>
      <c r="K935" s="1">
        <v>25.0</v>
      </c>
      <c r="L935" s="1">
        <f>IFERROR(__xludf.DUMMYFUNCTION("""COMPUTED_VALUE"""),136.0)</f>
        <v>136</v>
      </c>
    </row>
    <row r="936">
      <c r="A936" s="1">
        <v>3203038.0</v>
      </c>
      <c r="B936" s="1" t="s">
        <v>2093</v>
      </c>
      <c r="C936" s="1" t="s">
        <v>2070</v>
      </c>
      <c r="D936" s="1" t="s">
        <v>2094</v>
      </c>
      <c r="E936" s="1" t="s">
        <v>2095</v>
      </c>
      <c r="F936" s="1" t="s">
        <v>16</v>
      </c>
      <c r="G936" s="1" t="s">
        <v>17</v>
      </c>
      <c r="H936" s="1" t="s">
        <v>18</v>
      </c>
      <c r="I936" s="1" t="s">
        <v>163</v>
      </c>
      <c r="J936" s="1">
        <f>IFERROR(__xludf.DUMMYFUNCTION("""COMPUTED_VALUE"""),202.0)</f>
        <v>202</v>
      </c>
      <c r="K936" s="1">
        <v>28.0</v>
      </c>
      <c r="L936" s="1">
        <f>IFERROR(__xludf.DUMMYFUNCTION("""COMPUTED_VALUE"""),370.0)</f>
        <v>370</v>
      </c>
    </row>
    <row r="937">
      <c r="A937" s="1">
        <v>3201247.0</v>
      </c>
      <c r="B937" s="1" t="s">
        <v>2096</v>
      </c>
      <c r="C937" s="1" t="s">
        <v>2070</v>
      </c>
      <c r="D937" s="1" t="s">
        <v>2097</v>
      </c>
      <c r="E937" s="1" t="s">
        <v>2098</v>
      </c>
      <c r="F937" s="1" t="s">
        <v>16</v>
      </c>
      <c r="G937" s="1" t="s">
        <v>27</v>
      </c>
      <c r="H937" s="1" t="s">
        <v>18</v>
      </c>
      <c r="I937" s="1" t="s">
        <v>44</v>
      </c>
      <c r="J937" s="1">
        <f>IFERROR(__xludf.DUMMYFUNCTION("""COMPUTED_VALUE"""),200.0)</f>
        <v>200</v>
      </c>
      <c r="K937" s="1">
        <v>83.0</v>
      </c>
      <c r="L937" s="1">
        <f>IFERROR(__xludf.DUMMYFUNCTION("""COMPUTED_VALUE"""),382.0)</f>
        <v>382</v>
      </c>
    </row>
    <row r="938">
      <c r="A938" s="1">
        <v>3216126.0</v>
      </c>
      <c r="B938" s="1" t="s">
        <v>2099</v>
      </c>
      <c r="C938" s="1" t="s">
        <v>2070</v>
      </c>
      <c r="D938" s="1" t="s">
        <v>2079</v>
      </c>
      <c r="E938" s="1" t="s">
        <v>2100</v>
      </c>
      <c r="F938" s="1" t="s">
        <v>16</v>
      </c>
      <c r="G938" s="1" t="s">
        <v>17</v>
      </c>
      <c r="H938" s="1" t="s">
        <v>18</v>
      </c>
      <c r="I938" s="1" t="s">
        <v>19</v>
      </c>
      <c r="J938" s="1">
        <f>IFERROR(__xludf.DUMMYFUNCTION("""COMPUTED_VALUE"""),189.0)</f>
        <v>189</v>
      </c>
      <c r="K938" s="1">
        <v>80.0</v>
      </c>
      <c r="L938" s="1">
        <f>IFERROR(__xludf.DUMMYFUNCTION("""COMPUTED_VALUE"""),526.0)</f>
        <v>526</v>
      </c>
    </row>
    <row r="939">
      <c r="A939" s="1">
        <v>3215182.0</v>
      </c>
      <c r="B939" s="1" t="s">
        <v>2101</v>
      </c>
      <c r="C939" s="1" t="s">
        <v>2070</v>
      </c>
      <c r="D939" s="1" t="s">
        <v>2071</v>
      </c>
      <c r="E939" s="1" t="s">
        <v>2102</v>
      </c>
      <c r="F939" s="1" t="s">
        <v>16</v>
      </c>
      <c r="G939" s="1" t="s">
        <v>17</v>
      </c>
      <c r="H939" s="1" t="s">
        <v>18</v>
      </c>
      <c r="I939" s="1" t="s">
        <v>19</v>
      </c>
      <c r="J939" s="1">
        <f>IFERROR(__xludf.DUMMYFUNCTION("""COMPUTED_VALUE"""),175.0)</f>
        <v>175</v>
      </c>
      <c r="K939" s="1">
        <v>28.0</v>
      </c>
      <c r="L939" s="1">
        <f>IFERROR(__xludf.DUMMYFUNCTION("""COMPUTED_VALUE"""),182.0)</f>
        <v>182</v>
      </c>
    </row>
    <row r="940">
      <c r="A940" s="1">
        <v>3204101.0</v>
      </c>
      <c r="B940" s="1" t="s">
        <v>2103</v>
      </c>
      <c r="C940" s="1" t="s">
        <v>2070</v>
      </c>
      <c r="D940" s="1" t="s">
        <v>2091</v>
      </c>
      <c r="E940" s="1" t="s">
        <v>2104</v>
      </c>
      <c r="F940" s="1" t="s">
        <v>16</v>
      </c>
      <c r="G940" s="1" t="s">
        <v>17</v>
      </c>
      <c r="H940" s="1" t="s">
        <v>28</v>
      </c>
      <c r="I940" s="1" t="s">
        <v>40</v>
      </c>
      <c r="J940" s="1">
        <f>IFERROR(__xludf.DUMMYFUNCTION("""COMPUTED_VALUE"""),136.0)</f>
        <v>136</v>
      </c>
      <c r="K940" s="1">
        <v>32.0</v>
      </c>
      <c r="L940" s="1">
        <f>IFERROR(__xludf.DUMMYFUNCTION("""COMPUTED_VALUE"""),332.0)</f>
        <v>332</v>
      </c>
    </row>
    <row r="941">
      <c r="A941" s="1">
        <v>3209053.0</v>
      </c>
      <c r="B941" s="1" t="s">
        <v>2105</v>
      </c>
      <c r="C941" s="1" t="s">
        <v>2070</v>
      </c>
      <c r="D941" s="1" t="s">
        <v>2106</v>
      </c>
      <c r="E941" s="1" t="s">
        <v>2107</v>
      </c>
      <c r="F941" s="1" t="s">
        <v>16</v>
      </c>
      <c r="G941" s="1" t="s">
        <v>17</v>
      </c>
      <c r="H941" s="1" t="s">
        <v>18</v>
      </c>
      <c r="I941" s="1" t="s">
        <v>19</v>
      </c>
      <c r="J941" s="1">
        <f>IFERROR(__xludf.DUMMYFUNCTION("""COMPUTED_VALUE"""),117.0)</f>
        <v>117</v>
      </c>
      <c r="K941" s="1">
        <v>28.0</v>
      </c>
      <c r="L941" s="1">
        <f>IFERROR(__xludf.DUMMYFUNCTION("""COMPUTED_VALUE"""),260.0)</f>
        <v>260</v>
      </c>
    </row>
    <row r="942">
      <c r="A942" s="1">
        <v>3215162.0</v>
      </c>
      <c r="B942" s="1" t="s">
        <v>2108</v>
      </c>
      <c r="C942" s="1" t="s">
        <v>2070</v>
      </c>
      <c r="D942" s="1" t="s">
        <v>2071</v>
      </c>
      <c r="E942" s="1" t="s">
        <v>2109</v>
      </c>
      <c r="F942" s="1" t="s">
        <v>16</v>
      </c>
      <c r="G942" s="1" t="s">
        <v>17</v>
      </c>
      <c r="H942" s="1" t="s">
        <v>18</v>
      </c>
      <c r="I942" s="1" t="s">
        <v>44</v>
      </c>
      <c r="J942" s="1">
        <f>IFERROR(__xludf.DUMMYFUNCTION("""COMPUTED_VALUE"""),100.0)</f>
        <v>100</v>
      </c>
      <c r="K942" s="1">
        <v>21.0</v>
      </c>
      <c r="L942" s="1">
        <f>IFERROR(__xludf.DUMMYFUNCTION("""COMPUTED_VALUE"""),140.0)</f>
        <v>140</v>
      </c>
    </row>
    <row r="943">
      <c r="A943" s="1">
        <v>3208060.0</v>
      </c>
      <c r="B943" s="1" t="s">
        <v>2110</v>
      </c>
      <c r="C943" s="1" t="s">
        <v>2070</v>
      </c>
      <c r="D943" s="1" t="s">
        <v>2074</v>
      </c>
      <c r="E943" s="1" t="s">
        <v>2111</v>
      </c>
      <c r="F943" s="1" t="s">
        <v>16</v>
      </c>
      <c r="G943" s="1" t="s">
        <v>17</v>
      </c>
      <c r="H943" s="1" t="s">
        <v>18</v>
      </c>
      <c r="I943" s="1" t="s">
        <v>44</v>
      </c>
      <c r="J943" s="1">
        <f>IFERROR(__xludf.DUMMYFUNCTION("""COMPUTED_VALUE"""),145.0)</f>
        <v>145</v>
      </c>
      <c r="K943" s="1">
        <v>20.0</v>
      </c>
      <c r="L943" s="1">
        <f>IFERROR(__xludf.DUMMYFUNCTION("""COMPUTED_VALUE"""),133.0)</f>
        <v>133</v>
      </c>
    </row>
    <row r="944">
      <c r="A944" s="1">
        <v>3215169.0</v>
      </c>
      <c r="B944" s="1" t="s">
        <v>2112</v>
      </c>
      <c r="C944" s="1" t="s">
        <v>2070</v>
      </c>
      <c r="D944" s="1" t="s">
        <v>2071</v>
      </c>
      <c r="E944" s="1" t="s">
        <v>2113</v>
      </c>
      <c r="F944" s="1" t="s">
        <v>16</v>
      </c>
      <c r="G944" s="1" t="s">
        <v>17</v>
      </c>
      <c r="H944" s="1" t="s">
        <v>18</v>
      </c>
      <c r="I944" s="1" t="s">
        <v>44</v>
      </c>
      <c r="J944" s="1">
        <f>IFERROR(__xludf.DUMMYFUNCTION("""COMPUTED_VALUE"""),129.0)</f>
        <v>129</v>
      </c>
      <c r="K944" s="1">
        <v>32.0</v>
      </c>
      <c r="L944" s="1">
        <f>IFERROR(__xludf.DUMMYFUNCTION("""COMPUTED_VALUE"""),46.0)</f>
        <v>46</v>
      </c>
    </row>
    <row r="945">
      <c r="A945" s="1">
        <v>3216318.0</v>
      </c>
      <c r="B945" s="1" t="s">
        <v>2114</v>
      </c>
      <c r="C945" s="1" t="s">
        <v>2070</v>
      </c>
      <c r="D945" s="1" t="s">
        <v>2079</v>
      </c>
      <c r="E945" s="1" t="s">
        <v>2115</v>
      </c>
      <c r="F945" s="1" t="s">
        <v>16</v>
      </c>
      <c r="G945" s="1" t="s">
        <v>27</v>
      </c>
      <c r="H945" s="1" t="s">
        <v>18</v>
      </c>
      <c r="I945" s="1" t="s">
        <v>19</v>
      </c>
      <c r="J945" s="1">
        <f>IFERROR(__xludf.DUMMYFUNCTION("""COMPUTED_VALUE"""),250.0)</f>
        <v>250</v>
      </c>
      <c r="K945" s="1">
        <v>102.0</v>
      </c>
      <c r="L945" s="1">
        <f>IFERROR(__xludf.DUMMYFUNCTION("""COMPUTED_VALUE"""),592.0)</f>
        <v>592</v>
      </c>
    </row>
    <row r="946">
      <c r="A946" s="1">
        <v>3209040.0</v>
      </c>
      <c r="B946" s="1" t="s">
        <v>2116</v>
      </c>
      <c r="C946" s="1" t="s">
        <v>2070</v>
      </c>
      <c r="D946" s="1" t="s">
        <v>2106</v>
      </c>
      <c r="E946" s="1" t="s">
        <v>2117</v>
      </c>
      <c r="F946" s="1" t="s">
        <v>16</v>
      </c>
      <c r="G946" s="1" t="s">
        <v>27</v>
      </c>
      <c r="H946" s="1" t="s">
        <v>28</v>
      </c>
      <c r="I946" s="1" t="s">
        <v>40</v>
      </c>
      <c r="J946" s="1">
        <f>IFERROR(__xludf.DUMMYFUNCTION("""COMPUTED_VALUE"""),254.0)</f>
        <v>254</v>
      </c>
      <c r="K946" s="1">
        <v>112.0</v>
      </c>
      <c r="L946" s="1">
        <f>IFERROR(__xludf.DUMMYFUNCTION("""COMPUTED_VALUE"""),766.0)</f>
        <v>766</v>
      </c>
    </row>
    <row r="947">
      <c r="A947" s="1">
        <v>3275141.0</v>
      </c>
      <c r="B947" s="1" t="s">
        <v>2118</v>
      </c>
      <c r="C947" s="1" t="s">
        <v>2070</v>
      </c>
      <c r="D947" s="1" t="s">
        <v>2119</v>
      </c>
      <c r="E947" s="1" t="s">
        <v>2120</v>
      </c>
      <c r="F947" s="1" t="s">
        <v>16</v>
      </c>
      <c r="G947" s="1" t="s">
        <v>17</v>
      </c>
      <c r="H947" s="1" t="s">
        <v>18</v>
      </c>
      <c r="I947" s="1" t="s">
        <v>19</v>
      </c>
      <c r="J947" s="1">
        <f>IFERROR(__xludf.DUMMYFUNCTION("""COMPUTED_VALUE"""),131.0)</f>
        <v>131</v>
      </c>
      <c r="K947" s="1">
        <v>42.0</v>
      </c>
      <c r="L947" s="1">
        <f>IFERROR(__xludf.DUMMYFUNCTION("""COMPUTED_VALUE"""),265.0)</f>
        <v>265</v>
      </c>
    </row>
    <row r="948">
      <c r="A948" s="1">
        <v>3273030.0</v>
      </c>
      <c r="B948" s="1" t="s">
        <v>2121</v>
      </c>
      <c r="C948" s="1" t="s">
        <v>2070</v>
      </c>
      <c r="D948" s="1" t="s">
        <v>2088</v>
      </c>
      <c r="E948" s="1" t="s">
        <v>2122</v>
      </c>
      <c r="F948" s="1" t="s">
        <v>16</v>
      </c>
      <c r="G948" s="1" t="s">
        <v>27</v>
      </c>
      <c r="H948" s="1" t="s">
        <v>33</v>
      </c>
      <c r="I948" s="1" t="s">
        <v>563</v>
      </c>
      <c r="J948" s="1">
        <f>IFERROR(__xludf.DUMMYFUNCTION("""COMPUTED_VALUE"""),200.0)</f>
        <v>200</v>
      </c>
      <c r="K948" s="1">
        <v>104.0</v>
      </c>
      <c r="L948" s="1">
        <f>IFERROR(__xludf.DUMMYFUNCTION("""COMPUTED_VALUE"""),212.0)</f>
        <v>212</v>
      </c>
    </row>
    <row r="949">
      <c r="A949" s="1">
        <v>3274064.0</v>
      </c>
      <c r="B949" s="1" t="s">
        <v>2123</v>
      </c>
      <c r="C949" s="1" t="s">
        <v>2070</v>
      </c>
      <c r="D949" s="1" t="s">
        <v>2124</v>
      </c>
      <c r="E949" s="1" t="s">
        <v>2125</v>
      </c>
      <c r="F949" s="1" t="s">
        <v>16</v>
      </c>
      <c r="G949" s="1" t="s">
        <v>17</v>
      </c>
      <c r="H949" s="1" t="s">
        <v>18</v>
      </c>
      <c r="I949" s="1" t="s">
        <v>44</v>
      </c>
      <c r="J949" s="1">
        <f>IFERROR(__xludf.DUMMYFUNCTION("""COMPUTED_VALUE"""),113.0)</f>
        <v>113</v>
      </c>
      <c r="K949" s="1">
        <v>34.0</v>
      </c>
      <c r="L949" s="1">
        <f>IFERROR(__xludf.DUMMYFUNCTION("""COMPUTED_VALUE"""),160.0)</f>
        <v>160</v>
      </c>
    </row>
    <row r="950">
      <c r="A950" s="1">
        <v>3213061.0</v>
      </c>
      <c r="B950" s="1" t="s">
        <v>2126</v>
      </c>
      <c r="C950" s="1" t="s">
        <v>2070</v>
      </c>
      <c r="D950" s="1" t="s">
        <v>2127</v>
      </c>
      <c r="E950" s="1" t="s">
        <v>2128</v>
      </c>
      <c r="F950" s="1" t="s">
        <v>16</v>
      </c>
      <c r="G950" s="1" t="s">
        <v>17</v>
      </c>
      <c r="H950" s="1" t="s">
        <v>18</v>
      </c>
      <c r="I950" s="1" t="s">
        <v>19</v>
      </c>
      <c r="J950" s="1">
        <f>IFERROR(__xludf.DUMMYFUNCTION("""COMPUTED_VALUE"""),103.0)</f>
        <v>103</v>
      </c>
      <c r="K950" s="1">
        <v>23.0</v>
      </c>
      <c r="L950" s="1">
        <f>IFERROR(__xludf.DUMMYFUNCTION("""COMPUTED_VALUE"""),182.0)</f>
        <v>182</v>
      </c>
    </row>
    <row r="951">
      <c r="A951" s="1">
        <v>3201130.0</v>
      </c>
      <c r="B951" s="1" t="s">
        <v>2129</v>
      </c>
      <c r="C951" s="1" t="s">
        <v>2070</v>
      </c>
      <c r="D951" s="1" t="s">
        <v>2097</v>
      </c>
      <c r="E951" s="1" t="s">
        <v>2130</v>
      </c>
      <c r="F951" s="1" t="s">
        <v>55</v>
      </c>
      <c r="G951" s="1" t="s">
        <v>17</v>
      </c>
      <c r="H951" s="1" t="s">
        <v>18</v>
      </c>
      <c r="I951" s="1" t="s">
        <v>19</v>
      </c>
      <c r="J951" s="1">
        <f>IFERROR(__xludf.DUMMYFUNCTION("""COMPUTED_VALUE"""),57.0)</f>
        <v>57</v>
      </c>
      <c r="K951" s="1">
        <v>20.0</v>
      </c>
      <c r="L951" s="1">
        <f>IFERROR(__xludf.DUMMYFUNCTION("""COMPUTED_VALUE"""),165.0)</f>
        <v>165</v>
      </c>
    </row>
    <row r="952">
      <c r="A952" s="1">
        <v>3273121.0</v>
      </c>
      <c r="B952" s="1" t="s">
        <v>2131</v>
      </c>
      <c r="C952" s="1" t="s">
        <v>2070</v>
      </c>
      <c r="D952" s="1" t="s">
        <v>2088</v>
      </c>
      <c r="E952" s="1" t="s">
        <v>2132</v>
      </c>
      <c r="F952" s="1" t="s">
        <v>16</v>
      </c>
      <c r="G952" s="1" t="s">
        <v>17</v>
      </c>
      <c r="H952" s="1" t="s">
        <v>18</v>
      </c>
      <c r="I952" s="1" t="s">
        <v>59</v>
      </c>
      <c r="J952" s="1">
        <f>IFERROR(__xludf.DUMMYFUNCTION("""COMPUTED_VALUE"""),102.0)</f>
        <v>102</v>
      </c>
      <c r="K952" s="1">
        <v>30.0</v>
      </c>
      <c r="L952" s="1">
        <f>IFERROR(__xludf.DUMMYFUNCTION("""COMPUTED_VALUE"""),405.0)</f>
        <v>405</v>
      </c>
    </row>
    <row r="953">
      <c r="A953" s="1">
        <v>3216397.0</v>
      </c>
      <c r="B953" s="1" t="s">
        <v>2133</v>
      </c>
      <c r="C953" s="1" t="s">
        <v>2070</v>
      </c>
      <c r="D953" s="1" t="s">
        <v>2079</v>
      </c>
      <c r="E953" s="1" t="s">
        <v>2134</v>
      </c>
      <c r="F953" s="1" t="s">
        <v>16</v>
      </c>
      <c r="G953" s="1" t="s">
        <v>23</v>
      </c>
      <c r="H953" s="1" t="s">
        <v>18</v>
      </c>
      <c r="I953" s="1" t="s">
        <v>44</v>
      </c>
      <c r="J953" s="1">
        <f>IFERROR(__xludf.DUMMYFUNCTION("""COMPUTED_VALUE"""),55.0)</f>
        <v>55</v>
      </c>
      <c r="K953" s="1">
        <v>20.0</v>
      </c>
      <c r="L953" s="1">
        <f>IFERROR(__xludf.DUMMYFUNCTION("""COMPUTED_VALUE"""),134.0)</f>
        <v>134</v>
      </c>
    </row>
    <row r="954">
      <c r="A954" s="1">
        <v>3275024.0</v>
      </c>
      <c r="B954" s="1" t="s">
        <v>2135</v>
      </c>
      <c r="C954" s="1" t="s">
        <v>2070</v>
      </c>
      <c r="D954" s="1" t="s">
        <v>2119</v>
      </c>
      <c r="E954" s="1" t="s">
        <v>2136</v>
      </c>
      <c r="F954" s="1" t="s">
        <v>16</v>
      </c>
      <c r="G954" s="1" t="s">
        <v>17</v>
      </c>
      <c r="H954" s="1" t="s">
        <v>18</v>
      </c>
      <c r="I954" s="1" t="s">
        <v>59</v>
      </c>
      <c r="J954" s="1">
        <f>IFERROR(__xludf.DUMMYFUNCTION("""COMPUTED_VALUE"""),106.0)</f>
        <v>106</v>
      </c>
      <c r="K954" s="1">
        <v>42.0</v>
      </c>
      <c r="L954" s="1">
        <f>IFERROR(__xludf.DUMMYFUNCTION("""COMPUTED_VALUE"""),106.0)</f>
        <v>106</v>
      </c>
    </row>
    <row r="955">
      <c r="A955" s="1">
        <v>3201083.0</v>
      </c>
      <c r="B955" s="1" t="s">
        <v>2137</v>
      </c>
      <c r="C955" s="1" t="s">
        <v>2070</v>
      </c>
      <c r="D955" s="1" t="s">
        <v>2097</v>
      </c>
      <c r="E955" s="1" t="s">
        <v>2138</v>
      </c>
      <c r="F955" s="1" t="s">
        <v>16</v>
      </c>
      <c r="G955" s="1" t="s">
        <v>27</v>
      </c>
      <c r="H955" s="1" t="s">
        <v>28</v>
      </c>
      <c r="I955" s="1" t="s">
        <v>40</v>
      </c>
      <c r="J955" s="1">
        <f>IFERROR(__xludf.DUMMYFUNCTION("""COMPUTED_VALUE"""),380.0)</f>
        <v>380</v>
      </c>
      <c r="K955" s="1">
        <v>69.0</v>
      </c>
      <c r="L955" s="1">
        <f>IFERROR(__xludf.DUMMYFUNCTION("""COMPUTED_VALUE"""),733.0)</f>
        <v>733</v>
      </c>
    </row>
    <row r="956">
      <c r="A956" s="1">
        <v>3276151.0</v>
      </c>
      <c r="B956" s="1" t="s">
        <v>2139</v>
      </c>
      <c r="C956" s="1" t="s">
        <v>2070</v>
      </c>
      <c r="D956" s="1" t="s">
        <v>2082</v>
      </c>
      <c r="E956" s="1" t="s">
        <v>2140</v>
      </c>
      <c r="F956" s="1" t="s">
        <v>16</v>
      </c>
      <c r="G956" s="1" t="s">
        <v>17</v>
      </c>
      <c r="H956" s="1" t="s">
        <v>18</v>
      </c>
      <c r="I956" s="1" t="s">
        <v>44</v>
      </c>
      <c r="J956" s="1">
        <f>IFERROR(__xludf.DUMMYFUNCTION("""COMPUTED_VALUE"""),130.0)</f>
        <v>130</v>
      </c>
      <c r="K956" s="1">
        <v>102.0</v>
      </c>
      <c r="L956" s="1">
        <f>IFERROR(__xludf.DUMMYFUNCTION("""COMPUTED_VALUE"""),385.0)</f>
        <v>385</v>
      </c>
    </row>
    <row r="957">
      <c r="A957" s="1">
        <v>3275065.0</v>
      </c>
      <c r="B957" s="1" t="s">
        <v>2141</v>
      </c>
      <c r="C957" s="1" t="s">
        <v>2070</v>
      </c>
      <c r="D957" s="1" t="s">
        <v>2119</v>
      </c>
      <c r="E957" s="1" t="s">
        <v>2142</v>
      </c>
      <c r="F957" s="1" t="s">
        <v>16</v>
      </c>
      <c r="G957" s="1" t="s">
        <v>17</v>
      </c>
      <c r="H957" s="1" t="s">
        <v>18</v>
      </c>
      <c r="I957" s="1" t="s">
        <v>44</v>
      </c>
      <c r="J957" s="1">
        <f>IFERROR(__xludf.DUMMYFUNCTION("""COMPUTED_VALUE"""),107.0)</f>
        <v>107</v>
      </c>
      <c r="K957" s="1">
        <v>54.0</v>
      </c>
      <c r="L957" s="1">
        <f>IFERROR(__xludf.DUMMYFUNCTION("""COMPUTED_VALUE"""),261.0)</f>
        <v>261</v>
      </c>
    </row>
    <row r="958">
      <c r="A958" s="1">
        <v>3217042.0</v>
      </c>
      <c r="B958" s="1" t="s">
        <v>2143</v>
      </c>
      <c r="C958" s="1" t="s">
        <v>2070</v>
      </c>
      <c r="D958" s="1" t="s">
        <v>2144</v>
      </c>
      <c r="E958" s="1" t="s">
        <v>2145</v>
      </c>
      <c r="F958" s="1" t="s">
        <v>174</v>
      </c>
      <c r="G958" s="1" t="s">
        <v>150</v>
      </c>
      <c r="H958" s="1" t="s">
        <v>28</v>
      </c>
      <c r="I958" s="1" t="s">
        <v>139</v>
      </c>
      <c r="J958" s="1">
        <f>IFERROR(__xludf.DUMMYFUNCTION("""COMPUTED_VALUE"""),284.0)</f>
        <v>284</v>
      </c>
      <c r="K958" s="1">
        <v>34.0</v>
      </c>
      <c r="L958" s="1">
        <f>IFERROR(__xludf.DUMMYFUNCTION("""COMPUTED_VALUE"""),439.0)</f>
        <v>439</v>
      </c>
    </row>
    <row r="959">
      <c r="A959" s="1">
        <v>3274016.0</v>
      </c>
      <c r="B959" s="1" t="s">
        <v>2146</v>
      </c>
      <c r="C959" s="1" t="s">
        <v>2070</v>
      </c>
      <c r="D959" s="1" t="s">
        <v>2124</v>
      </c>
      <c r="E959" s="1" t="s">
        <v>2147</v>
      </c>
      <c r="F959" s="1" t="s">
        <v>16</v>
      </c>
      <c r="G959" s="1" t="s">
        <v>27</v>
      </c>
      <c r="H959" s="1" t="s">
        <v>28</v>
      </c>
      <c r="I959" s="1" t="s">
        <v>29</v>
      </c>
      <c r="J959" s="1">
        <f>IFERROR(__xludf.DUMMYFUNCTION("""COMPUTED_VALUE"""),418.0)</f>
        <v>418</v>
      </c>
      <c r="K959" s="1">
        <v>114.0</v>
      </c>
      <c r="L959" s="1">
        <f>IFERROR(__xludf.DUMMYFUNCTION("""COMPUTED_VALUE"""),1232.0)</f>
        <v>1232</v>
      </c>
    </row>
    <row r="960">
      <c r="A960" s="1">
        <v>3279002.0</v>
      </c>
      <c r="B960" s="1" t="s">
        <v>2148</v>
      </c>
      <c r="C960" s="1" t="s">
        <v>2070</v>
      </c>
      <c r="D960" s="1" t="s">
        <v>2149</v>
      </c>
      <c r="E960" s="1" t="s">
        <v>2150</v>
      </c>
      <c r="F960" s="1" t="s">
        <v>16</v>
      </c>
      <c r="G960" s="1" t="s">
        <v>23</v>
      </c>
      <c r="H960" s="1" t="s">
        <v>18</v>
      </c>
      <c r="I960" s="1" t="s">
        <v>44</v>
      </c>
      <c r="J960" s="1">
        <f>IFERROR(__xludf.DUMMYFUNCTION("""COMPUTED_VALUE"""),90.0)</f>
        <v>90</v>
      </c>
      <c r="K960" s="1">
        <v>38.0</v>
      </c>
      <c r="L960" s="1">
        <f>IFERROR(__xludf.DUMMYFUNCTION("""COMPUTED_VALUE"""),172.0)</f>
        <v>172</v>
      </c>
    </row>
    <row r="961">
      <c r="A961" s="1">
        <v>3202086.0</v>
      </c>
      <c r="B961" s="1" t="s">
        <v>2151</v>
      </c>
      <c r="C961" s="1" t="s">
        <v>2070</v>
      </c>
      <c r="D961" s="1" t="s">
        <v>2085</v>
      </c>
      <c r="E961" s="1" t="s">
        <v>2152</v>
      </c>
      <c r="F961" s="1" t="s">
        <v>16</v>
      </c>
      <c r="G961" s="1" t="s">
        <v>17</v>
      </c>
      <c r="H961" s="1" t="s">
        <v>18</v>
      </c>
      <c r="I961" s="1" t="s">
        <v>19</v>
      </c>
      <c r="J961" s="1">
        <f>IFERROR(__xludf.DUMMYFUNCTION("""COMPUTED_VALUE"""),164.0)</f>
        <v>164</v>
      </c>
      <c r="K961" s="1">
        <v>54.0</v>
      </c>
      <c r="L961" s="1">
        <f>IFERROR(__xludf.DUMMYFUNCTION("""COMPUTED_VALUE"""),218.0)</f>
        <v>218</v>
      </c>
    </row>
    <row r="962">
      <c r="A962" s="1">
        <v>3204170.0</v>
      </c>
      <c r="B962" s="1" t="s">
        <v>2153</v>
      </c>
      <c r="C962" s="1" t="s">
        <v>2070</v>
      </c>
      <c r="D962" s="1" t="s">
        <v>2091</v>
      </c>
      <c r="E962" s="1" t="s">
        <v>2154</v>
      </c>
      <c r="F962" s="1" t="s">
        <v>16</v>
      </c>
      <c r="G962" s="1" t="s">
        <v>23</v>
      </c>
      <c r="H962" s="1" t="s">
        <v>18</v>
      </c>
      <c r="I962" s="1" t="s">
        <v>40</v>
      </c>
      <c r="J962" s="1">
        <f>IFERROR(__xludf.DUMMYFUNCTION("""COMPUTED_VALUE"""),57.0)</f>
        <v>57</v>
      </c>
      <c r="K962" s="1">
        <v>20.0</v>
      </c>
      <c r="L962" s="1">
        <f>IFERROR(__xludf.DUMMYFUNCTION("""COMPUTED_VALUE"""),182.0)</f>
        <v>182</v>
      </c>
    </row>
    <row r="963">
      <c r="A963" s="1">
        <v>3203052.0</v>
      </c>
      <c r="B963" s="1" t="s">
        <v>2155</v>
      </c>
      <c r="C963" s="1" t="s">
        <v>2070</v>
      </c>
      <c r="D963" s="1" t="s">
        <v>2094</v>
      </c>
      <c r="E963" s="1" t="s">
        <v>2156</v>
      </c>
      <c r="F963" s="1" t="s">
        <v>16</v>
      </c>
      <c r="G963" s="1" t="s">
        <v>23</v>
      </c>
      <c r="H963" s="1" t="s">
        <v>18</v>
      </c>
      <c r="I963" s="1" t="s">
        <v>40</v>
      </c>
      <c r="J963" s="1">
        <f>IFERROR(__xludf.DUMMYFUNCTION("""COMPUTED_VALUE"""),56.0)</f>
        <v>56</v>
      </c>
      <c r="K963" s="1">
        <v>10.0</v>
      </c>
      <c r="L963" s="1">
        <f>IFERROR(__xludf.DUMMYFUNCTION("""COMPUTED_VALUE"""),182.0)</f>
        <v>182</v>
      </c>
    </row>
    <row r="964">
      <c r="A964" s="1">
        <v>3275229.0</v>
      </c>
      <c r="B964" s="1" t="s">
        <v>2157</v>
      </c>
      <c r="C964" s="1" t="s">
        <v>2070</v>
      </c>
      <c r="D964" s="1" t="s">
        <v>2119</v>
      </c>
      <c r="E964" s="1" t="s">
        <v>2158</v>
      </c>
      <c r="F964" s="1" t="s">
        <v>16</v>
      </c>
      <c r="G964" s="1" t="s">
        <v>17</v>
      </c>
      <c r="H964" s="1" t="s">
        <v>18</v>
      </c>
      <c r="I964" s="1" t="s">
        <v>19</v>
      </c>
      <c r="J964" s="1">
        <f>IFERROR(__xludf.DUMMYFUNCTION("""COMPUTED_VALUE"""),107.0)</f>
        <v>107</v>
      </c>
      <c r="K964" s="1">
        <v>36.0</v>
      </c>
      <c r="L964" s="1">
        <f>IFERROR(__xludf.DUMMYFUNCTION("""COMPUTED_VALUE"""),130.0)</f>
        <v>130</v>
      </c>
    </row>
    <row r="965">
      <c r="A965" s="1">
        <v>3275067.0</v>
      </c>
      <c r="B965" s="1" t="s">
        <v>2159</v>
      </c>
      <c r="C965" s="1" t="s">
        <v>2070</v>
      </c>
      <c r="D965" s="1" t="s">
        <v>2119</v>
      </c>
      <c r="E965" s="1" t="s">
        <v>2160</v>
      </c>
      <c r="F965" s="1" t="s">
        <v>16</v>
      </c>
      <c r="G965" s="1" t="s">
        <v>23</v>
      </c>
      <c r="H965" s="1" t="s">
        <v>28</v>
      </c>
      <c r="I965" s="1" t="s">
        <v>29</v>
      </c>
      <c r="J965" s="1">
        <f>IFERROR(__xludf.DUMMYFUNCTION("""COMPUTED_VALUE"""),72.0)</f>
        <v>72</v>
      </c>
      <c r="K965" s="1">
        <v>29.0</v>
      </c>
      <c r="L965" s="1">
        <f>IFERROR(__xludf.DUMMYFUNCTION("""COMPUTED_VALUE"""),26.0)</f>
        <v>26</v>
      </c>
    </row>
    <row r="966">
      <c r="A966" s="1">
        <v>3207045.0</v>
      </c>
      <c r="B966" s="1" t="s">
        <v>2161</v>
      </c>
      <c r="C966" s="1" t="s">
        <v>2070</v>
      </c>
      <c r="D966" s="1" t="s">
        <v>2162</v>
      </c>
      <c r="E966" s="1" t="s">
        <v>2163</v>
      </c>
      <c r="F966" s="1" t="s">
        <v>16</v>
      </c>
      <c r="G966" s="1" t="s">
        <v>23</v>
      </c>
      <c r="H966" s="1" t="s">
        <v>18</v>
      </c>
      <c r="I966" s="1" t="s">
        <v>59</v>
      </c>
      <c r="J966" s="1">
        <f>IFERROR(__xludf.DUMMYFUNCTION("""COMPUTED_VALUE"""),78.0)</f>
        <v>78</v>
      </c>
      <c r="K966" s="1">
        <v>26.0</v>
      </c>
      <c r="L966" s="1">
        <f>IFERROR(__xludf.DUMMYFUNCTION("""COMPUTED_VALUE"""),30.0)</f>
        <v>30</v>
      </c>
    </row>
    <row r="967">
      <c r="A967" s="1">
        <v>3207056.0</v>
      </c>
      <c r="B967" s="1" t="s">
        <v>2164</v>
      </c>
      <c r="C967" s="1" t="s">
        <v>2070</v>
      </c>
      <c r="D967" s="1" t="s">
        <v>2162</v>
      </c>
      <c r="E967" s="1" t="s">
        <v>2165</v>
      </c>
      <c r="F967" s="1" t="s">
        <v>16</v>
      </c>
      <c r="G967" s="1" t="s">
        <v>23</v>
      </c>
      <c r="H967" s="1" t="s">
        <v>18</v>
      </c>
      <c r="I967" s="1" t="s">
        <v>59</v>
      </c>
      <c r="J967" s="1">
        <f>IFERROR(__xludf.DUMMYFUNCTION("""COMPUTED_VALUE"""),92.0)</f>
        <v>92</v>
      </c>
      <c r="K967" s="1">
        <v>17.0</v>
      </c>
      <c r="L967" s="1">
        <f>IFERROR(__xludf.DUMMYFUNCTION("""COMPUTED_VALUE"""),80.0)</f>
        <v>80</v>
      </c>
    </row>
    <row r="968">
      <c r="A968" s="1">
        <v>3276147.0</v>
      </c>
      <c r="B968" s="1" t="s">
        <v>2166</v>
      </c>
      <c r="C968" s="1" t="s">
        <v>2070</v>
      </c>
      <c r="D968" s="1" t="s">
        <v>2082</v>
      </c>
      <c r="E968" s="1" t="s">
        <v>2167</v>
      </c>
      <c r="F968" s="1" t="s">
        <v>55</v>
      </c>
      <c r="G968" s="1" t="s">
        <v>17</v>
      </c>
      <c r="H968" s="1" t="s">
        <v>18</v>
      </c>
      <c r="I968" s="1" t="s">
        <v>44</v>
      </c>
      <c r="J968" s="1">
        <f>IFERROR(__xludf.DUMMYFUNCTION("""COMPUTED_VALUE"""),30.0)</f>
        <v>30</v>
      </c>
      <c r="K968" s="1">
        <v>24.0</v>
      </c>
      <c r="L968" s="1">
        <f>IFERROR(__xludf.DUMMYFUNCTION("""COMPUTED_VALUE"""),28.0)</f>
        <v>28</v>
      </c>
    </row>
    <row r="969">
      <c r="A969" s="1">
        <v>3209052.0</v>
      </c>
      <c r="B969" s="1" t="s">
        <v>2168</v>
      </c>
      <c r="C969" s="1" t="s">
        <v>2070</v>
      </c>
      <c r="D969" s="1" t="s">
        <v>2106</v>
      </c>
      <c r="E969" s="1" t="s">
        <v>2169</v>
      </c>
      <c r="F969" s="1" t="s">
        <v>16</v>
      </c>
      <c r="G969" s="1" t="s">
        <v>17</v>
      </c>
      <c r="H969" s="1" t="s">
        <v>18</v>
      </c>
      <c r="I969" s="1" t="s">
        <v>684</v>
      </c>
      <c r="J969" s="1">
        <f>IFERROR(__xludf.DUMMYFUNCTION("""COMPUTED_VALUE"""),113.0)</f>
        <v>113</v>
      </c>
      <c r="K969" s="1">
        <v>22.0</v>
      </c>
      <c r="L969" s="1">
        <f>IFERROR(__xludf.DUMMYFUNCTION("""COMPUTED_VALUE"""),188.0)</f>
        <v>188</v>
      </c>
    </row>
    <row r="970">
      <c r="A970" s="1">
        <v>3201242.0</v>
      </c>
      <c r="B970" s="1" t="s">
        <v>2170</v>
      </c>
      <c r="C970" s="1" t="s">
        <v>2070</v>
      </c>
      <c r="D970" s="1" t="s">
        <v>2097</v>
      </c>
      <c r="E970" s="1" t="s">
        <v>2171</v>
      </c>
      <c r="F970" s="1" t="s">
        <v>55</v>
      </c>
      <c r="G970" s="1" t="s">
        <v>17</v>
      </c>
      <c r="H970" s="1" t="s">
        <v>18</v>
      </c>
      <c r="I970" s="1" t="s">
        <v>19</v>
      </c>
      <c r="J970" s="1">
        <f>IFERROR(__xludf.DUMMYFUNCTION("""COMPUTED_VALUE"""),54.0)</f>
        <v>54</v>
      </c>
      <c r="K970" s="1">
        <v>23.0</v>
      </c>
      <c r="L970" s="1">
        <f>IFERROR(__xludf.DUMMYFUNCTION("""COMPUTED_VALUE"""),160.0)</f>
        <v>160</v>
      </c>
    </row>
    <row r="971">
      <c r="A971" s="1">
        <v>3201246.0</v>
      </c>
      <c r="B971" s="1" t="s">
        <v>2172</v>
      </c>
      <c r="C971" s="1" t="s">
        <v>2070</v>
      </c>
      <c r="D971" s="1" t="s">
        <v>2173</v>
      </c>
      <c r="E971" s="1" t="s">
        <v>2174</v>
      </c>
      <c r="F971" s="1" t="s">
        <v>55</v>
      </c>
      <c r="G971" s="1" t="s">
        <v>17</v>
      </c>
      <c r="H971" s="1" t="s">
        <v>18</v>
      </c>
      <c r="I971" s="1" t="s">
        <v>19</v>
      </c>
      <c r="J971" s="1">
        <f>IFERROR(__xludf.DUMMYFUNCTION("""COMPUTED_VALUE"""),34.0)</f>
        <v>34</v>
      </c>
      <c r="K971" s="1">
        <v>20.0</v>
      </c>
      <c r="L971" s="1">
        <f>IFERROR(__xludf.DUMMYFUNCTION("""COMPUTED_VALUE"""),52.0)</f>
        <v>52</v>
      </c>
    </row>
    <row r="972">
      <c r="A972" s="1">
        <v>3213047.0</v>
      </c>
      <c r="B972" s="1" t="s">
        <v>2175</v>
      </c>
      <c r="C972" s="1" t="s">
        <v>2070</v>
      </c>
      <c r="D972" s="1" t="s">
        <v>2127</v>
      </c>
      <c r="E972" s="1" t="s">
        <v>2176</v>
      </c>
      <c r="F972" s="1" t="s">
        <v>16</v>
      </c>
      <c r="G972" s="1" t="s">
        <v>23</v>
      </c>
      <c r="H972" s="1" t="s">
        <v>18</v>
      </c>
      <c r="I972" s="1" t="s">
        <v>19</v>
      </c>
      <c r="J972" s="1">
        <f>IFERROR(__xludf.DUMMYFUNCTION("""COMPUTED_VALUE"""),55.0)</f>
        <v>55</v>
      </c>
      <c r="K972" s="1">
        <v>24.0</v>
      </c>
      <c r="L972" s="1">
        <f>IFERROR(__xludf.DUMMYFUNCTION("""COMPUTED_VALUE"""),42.0)</f>
        <v>42</v>
      </c>
    </row>
    <row r="973">
      <c r="A973" s="1">
        <v>3203053.0</v>
      </c>
      <c r="B973" s="1" t="s">
        <v>2177</v>
      </c>
      <c r="C973" s="1" t="s">
        <v>2070</v>
      </c>
      <c r="D973" s="1" t="s">
        <v>2094</v>
      </c>
      <c r="E973" s="1" t="s">
        <v>2178</v>
      </c>
      <c r="F973" s="1" t="s">
        <v>16</v>
      </c>
      <c r="G973" s="1" t="s">
        <v>17</v>
      </c>
      <c r="H973" s="1" t="s">
        <v>18</v>
      </c>
      <c r="I973" s="1" t="s">
        <v>44</v>
      </c>
      <c r="J973" s="1">
        <f>IFERROR(__xludf.DUMMYFUNCTION("""COMPUTED_VALUE"""),84.0)</f>
        <v>84</v>
      </c>
      <c r="K973" s="1">
        <v>34.0</v>
      </c>
      <c r="L973" s="1">
        <f>IFERROR(__xludf.DUMMYFUNCTION("""COMPUTED_VALUE"""),182.0)</f>
        <v>182</v>
      </c>
    </row>
    <row r="974">
      <c r="A974" s="1">
        <v>3271126.0</v>
      </c>
      <c r="B974" s="1" t="s">
        <v>2179</v>
      </c>
      <c r="C974" s="1" t="s">
        <v>2070</v>
      </c>
      <c r="D974" s="1" t="s">
        <v>2173</v>
      </c>
      <c r="E974" s="1" t="s">
        <v>2180</v>
      </c>
      <c r="F974" s="1" t="s">
        <v>16</v>
      </c>
      <c r="G974" s="1" t="s">
        <v>17</v>
      </c>
      <c r="H974" s="1" t="s">
        <v>18</v>
      </c>
      <c r="I974" s="1" t="s">
        <v>44</v>
      </c>
      <c r="J974" s="1">
        <f>IFERROR(__xludf.DUMMYFUNCTION("""COMPUTED_VALUE"""),104.0)</f>
        <v>104</v>
      </c>
      <c r="K974" s="1">
        <v>63.0</v>
      </c>
      <c r="L974" s="1">
        <f>IFERROR(__xludf.DUMMYFUNCTION("""COMPUTED_VALUE"""),503.0)</f>
        <v>503</v>
      </c>
    </row>
    <row r="975">
      <c r="A975" s="1">
        <v>3214040.0</v>
      </c>
      <c r="B975" s="1" t="s">
        <v>2181</v>
      </c>
      <c r="C975" s="1" t="s">
        <v>2070</v>
      </c>
      <c r="D975" s="1" t="s">
        <v>2182</v>
      </c>
      <c r="E975" s="1" t="s">
        <v>2183</v>
      </c>
      <c r="F975" s="1" t="s">
        <v>16</v>
      </c>
      <c r="G975" s="1" t="s">
        <v>23</v>
      </c>
      <c r="H975" s="1" t="s">
        <v>18</v>
      </c>
      <c r="I975" s="1" t="s">
        <v>44</v>
      </c>
      <c r="J975" s="1">
        <f>IFERROR(__xludf.DUMMYFUNCTION("""COMPUTED_VALUE"""),75.0)</f>
        <v>75</v>
      </c>
      <c r="K975" s="1">
        <v>21.0</v>
      </c>
      <c r="L975" s="1">
        <f>IFERROR(__xludf.DUMMYFUNCTION("""COMPUTED_VALUE"""),133.0)</f>
        <v>133</v>
      </c>
    </row>
    <row r="976">
      <c r="A976" s="1">
        <v>3213010.0</v>
      </c>
      <c r="B976" s="1" t="s">
        <v>2184</v>
      </c>
      <c r="C976" s="1" t="s">
        <v>2070</v>
      </c>
      <c r="D976" s="1" t="s">
        <v>2127</v>
      </c>
      <c r="E976" s="1" t="s">
        <v>2185</v>
      </c>
      <c r="F976" s="1" t="s">
        <v>16</v>
      </c>
      <c r="G976" s="1" t="s">
        <v>27</v>
      </c>
      <c r="H976" s="1" t="s">
        <v>28</v>
      </c>
      <c r="I976" s="1" t="s">
        <v>40</v>
      </c>
      <c r="J976" s="1">
        <f>IFERROR(__xludf.DUMMYFUNCTION("""COMPUTED_VALUE"""),250.0)</f>
        <v>250</v>
      </c>
      <c r="K976" s="1">
        <v>101.0</v>
      </c>
      <c r="L976" s="1">
        <f>IFERROR(__xludf.DUMMYFUNCTION("""COMPUTED_VALUE"""),551.0)</f>
        <v>551</v>
      </c>
    </row>
    <row r="977">
      <c r="A977" s="1">
        <v>3275052.0</v>
      </c>
      <c r="B977" s="1" t="s">
        <v>2186</v>
      </c>
      <c r="C977" s="1" t="s">
        <v>2070</v>
      </c>
      <c r="D977" s="1" t="s">
        <v>2119</v>
      </c>
      <c r="E977" s="1" t="s">
        <v>2187</v>
      </c>
      <c r="F977" s="1" t="s">
        <v>16</v>
      </c>
      <c r="G977" s="1" t="s">
        <v>17</v>
      </c>
      <c r="H977" s="1" t="s">
        <v>18</v>
      </c>
      <c r="I977" s="1" t="s">
        <v>19</v>
      </c>
      <c r="J977" s="1">
        <f>IFERROR(__xludf.DUMMYFUNCTION("""COMPUTED_VALUE"""),100.0)</f>
        <v>100</v>
      </c>
      <c r="K977" s="1">
        <v>30.0</v>
      </c>
      <c r="L977" s="1">
        <f>IFERROR(__xludf.DUMMYFUNCTION("""COMPUTED_VALUE"""),110.0)</f>
        <v>110</v>
      </c>
    </row>
    <row r="978">
      <c r="A978" s="1">
        <v>3212058.0</v>
      </c>
      <c r="B978" s="1" t="s">
        <v>2188</v>
      </c>
      <c r="C978" s="1" t="s">
        <v>2070</v>
      </c>
      <c r="D978" s="1" t="s">
        <v>2189</v>
      </c>
      <c r="E978" s="1" t="s">
        <v>2190</v>
      </c>
      <c r="F978" s="1" t="s">
        <v>55</v>
      </c>
      <c r="G978" s="1" t="s">
        <v>17</v>
      </c>
      <c r="H978" s="1" t="s">
        <v>18</v>
      </c>
      <c r="I978" s="1" t="s">
        <v>19</v>
      </c>
      <c r="J978" s="1">
        <f>IFERROR(__xludf.DUMMYFUNCTION("""COMPUTED_VALUE"""),33.0)</f>
        <v>33</v>
      </c>
      <c r="K978" s="1">
        <v>15.0</v>
      </c>
      <c r="L978" s="1">
        <f>IFERROR(__xludf.DUMMYFUNCTION("""COMPUTED_VALUE"""),30.0)</f>
        <v>30</v>
      </c>
    </row>
    <row r="979">
      <c r="A979" s="1">
        <v>3215089.0</v>
      </c>
      <c r="B979" s="1" t="s">
        <v>2191</v>
      </c>
      <c r="C979" s="1" t="s">
        <v>2070</v>
      </c>
      <c r="D979" s="1" t="s">
        <v>2071</v>
      </c>
      <c r="E979" s="1" t="s">
        <v>2192</v>
      </c>
      <c r="F979" s="1" t="s">
        <v>16</v>
      </c>
      <c r="G979" s="1" t="s">
        <v>23</v>
      </c>
      <c r="H979" s="1" t="s">
        <v>18</v>
      </c>
      <c r="I979" s="1" t="s">
        <v>19</v>
      </c>
      <c r="J979" s="1">
        <f>IFERROR(__xludf.DUMMYFUNCTION("""COMPUTED_VALUE"""),61.0)</f>
        <v>61</v>
      </c>
      <c r="K979" s="1">
        <v>21.0</v>
      </c>
      <c r="L979" s="1">
        <f>IFERROR(__xludf.DUMMYFUNCTION("""COMPUTED_VALUE"""),65.0)</f>
        <v>65</v>
      </c>
    </row>
    <row r="980">
      <c r="A980" s="1">
        <v>3216415.0</v>
      </c>
      <c r="B980" s="1" t="s">
        <v>2193</v>
      </c>
      <c r="C980" s="1" t="s">
        <v>2070</v>
      </c>
      <c r="D980" s="1" t="s">
        <v>2079</v>
      </c>
      <c r="E980" s="1" t="s">
        <v>2194</v>
      </c>
      <c r="F980" s="1" t="s">
        <v>16</v>
      </c>
      <c r="G980" s="1" t="s">
        <v>17</v>
      </c>
      <c r="H980" s="1" t="s">
        <v>18</v>
      </c>
      <c r="I980" s="1" t="s">
        <v>19</v>
      </c>
      <c r="J980" s="1">
        <f>IFERROR(__xludf.DUMMYFUNCTION("""COMPUTED_VALUE"""),100.0)</f>
        <v>100</v>
      </c>
      <c r="K980" s="1">
        <v>32.0</v>
      </c>
      <c r="L980" s="1">
        <f>IFERROR(__xludf.DUMMYFUNCTION("""COMPUTED_VALUE"""),130.0)</f>
        <v>130</v>
      </c>
    </row>
    <row r="981">
      <c r="A981" s="1">
        <v>3208061.0</v>
      </c>
      <c r="B981" s="1" t="s">
        <v>2195</v>
      </c>
      <c r="C981" s="1" t="s">
        <v>2070</v>
      </c>
      <c r="D981" s="1" t="s">
        <v>2074</v>
      </c>
      <c r="E981" s="1" t="s">
        <v>2196</v>
      </c>
      <c r="F981" s="1" t="s">
        <v>1884</v>
      </c>
      <c r="G981" s="1" t="s">
        <v>27</v>
      </c>
      <c r="H981" s="1" t="s">
        <v>18</v>
      </c>
      <c r="I981" s="1" t="s">
        <v>44</v>
      </c>
      <c r="J981" s="1">
        <f>IFERROR(__xludf.DUMMYFUNCTION("""COMPUTED_VALUE"""),75.0)</f>
        <v>75</v>
      </c>
      <c r="K981" s="1">
        <v>33.0</v>
      </c>
      <c r="L981" s="1">
        <f>IFERROR(__xludf.DUMMYFUNCTION("""COMPUTED_VALUE"""),134.0)</f>
        <v>134</v>
      </c>
    </row>
    <row r="982">
      <c r="A982" s="1">
        <v>3202051.0</v>
      </c>
      <c r="B982" s="1" t="s">
        <v>2197</v>
      </c>
      <c r="C982" s="1" t="s">
        <v>2070</v>
      </c>
      <c r="D982" s="1" t="s">
        <v>2085</v>
      </c>
      <c r="E982" s="1" t="s">
        <v>2198</v>
      </c>
      <c r="F982" s="1" t="s">
        <v>16</v>
      </c>
      <c r="G982" s="1" t="s">
        <v>17</v>
      </c>
      <c r="H982" s="1" t="s">
        <v>28</v>
      </c>
      <c r="I982" s="1" t="s">
        <v>139</v>
      </c>
      <c r="J982" s="1">
        <f>IFERROR(__xludf.DUMMYFUNCTION("""COMPUTED_VALUE"""),180.0)</f>
        <v>180</v>
      </c>
      <c r="K982" s="1">
        <v>31.0</v>
      </c>
      <c r="L982" s="1">
        <f>IFERROR(__xludf.DUMMYFUNCTION("""COMPUTED_VALUE"""),183.0)</f>
        <v>183</v>
      </c>
    </row>
    <row r="983">
      <c r="A983" s="1">
        <v>3273442.0</v>
      </c>
      <c r="B983" s="1" t="s">
        <v>2199</v>
      </c>
      <c r="C983" s="1" t="s">
        <v>2070</v>
      </c>
      <c r="D983" s="1" t="s">
        <v>2091</v>
      </c>
      <c r="E983" s="1" t="s">
        <v>2200</v>
      </c>
      <c r="F983" s="1" t="s">
        <v>16</v>
      </c>
      <c r="G983" s="1" t="s">
        <v>23</v>
      </c>
      <c r="H983" s="1" t="s">
        <v>18</v>
      </c>
      <c r="I983" s="1" t="s">
        <v>19</v>
      </c>
      <c r="J983" s="1">
        <f>IFERROR(__xludf.DUMMYFUNCTION("""COMPUTED_VALUE"""),51.0)</f>
        <v>51</v>
      </c>
      <c r="K983" s="1">
        <v>48.0</v>
      </c>
      <c r="L983" s="1">
        <f>IFERROR(__xludf.DUMMYFUNCTION("""COMPUTED_VALUE"""),236.0)</f>
        <v>236</v>
      </c>
    </row>
    <row r="984">
      <c r="A984" s="1">
        <v>3216420.0</v>
      </c>
      <c r="B984" s="1" t="s">
        <v>2201</v>
      </c>
      <c r="C984" s="1" t="s">
        <v>2070</v>
      </c>
      <c r="D984" s="1" t="s">
        <v>2079</v>
      </c>
      <c r="E984" s="1" t="s">
        <v>2202</v>
      </c>
      <c r="F984" s="1" t="s">
        <v>16</v>
      </c>
      <c r="G984" s="1" t="s">
        <v>17</v>
      </c>
      <c r="H984" s="1" t="s">
        <v>18</v>
      </c>
      <c r="I984" s="1" t="s">
        <v>44</v>
      </c>
      <c r="J984" s="1">
        <f>IFERROR(__xludf.DUMMYFUNCTION("""COMPUTED_VALUE"""),116.0)</f>
        <v>116</v>
      </c>
      <c r="K984" s="1">
        <v>53.0</v>
      </c>
      <c r="L984" s="1">
        <f>IFERROR(__xludf.DUMMYFUNCTION("""COMPUTED_VALUE"""),185.0)</f>
        <v>185</v>
      </c>
    </row>
    <row r="985">
      <c r="A985" s="1">
        <v>3212071.0</v>
      </c>
      <c r="B985" s="1" t="s">
        <v>2203</v>
      </c>
      <c r="C985" s="1" t="s">
        <v>2070</v>
      </c>
      <c r="D985" s="1" t="s">
        <v>2189</v>
      </c>
      <c r="E985" s="1" t="s">
        <v>2204</v>
      </c>
      <c r="F985" s="1" t="s">
        <v>16</v>
      </c>
      <c r="G985" s="1" t="s">
        <v>23</v>
      </c>
      <c r="H985" s="1" t="s">
        <v>18</v>
      </c>
      <c r="I985" s="1" t="s">
        <v>684</v>
      </c>
      <c r="J985" s="1">
        <f>IFERROR(__xludf.DUMMYFUNCTION("""COMPUTED_VALUE"""),53.0)</f>
        <v>53</v>
      </c>
      <c r="K985" s="1">
        <v>19.0</v>
      </c>
      <c r="L985" s="1">
        <f>IFERROR(__xludf.DUMMYFUNCTION("""COMPUTED_VALUE"""),182.0)</f>
        <v>182</v>
      </c>
    </row>
    <row r="986">
      <c r="A986" s="1">
        <v>3216152.0</v>
      </c>
      <c r="B986" s="1" t="s">
        <v>2205</v>
      </c>
      <c r="C986" s="1" t="s">
        <v>2070</v>
      </c>
      <c r="D986" s="1" t="s">
        <v>2079</v>
      </c>
      <c r="E986" s="1" t="s">
        <v>2206</v>
      </c>
      <c r="F986" s="1" t="s">
        <v>16</v>
      </c>
      <c r="G986" s="1" t="s">
        <v>27</v>
      </c>
      <c r="H986" s="1" t="s">
        <v>18</v>
      </c>
      <c r="I986" s="1" t="s">
        <v>19</v>
      </c>
      <c r="J986" s="1">
        <f>IFERROR(__xludf.DUMMYFUNCTION("""COMPUTED_VALUE"""),216.0)</f>
        <v>216</v>
      </c>
      <c r="K986" s="1">
        <v>67.0</v>
      </c>
      <c r="L986" s="1">
        <f>IFERROR(__xludf.DUMMYFUNCTION("""COMPUTED_VALUE"""),400.0)</f>
        <v>400</v>
      </c>
    </row>
    <row r="987">
      <c r="A987" s="1">
        <v>3276152.0</v>
      </c>
      <c r="B987" s="1" t="s">
        <v>2207</v>
      </c>
      <c r="C987" s="1" t="s">
        <v>2070</v>
      </c>
      <c r="D987" s="1" t="s">
        <v>2082</v>
      </c>
      <c r="E987" s="1" t="s">
        <v>2208</v>
      </c>
      <c r="F987" s="1" t="s">
        <v>16</v>
      </c>
      <c r="G987" s="1" t="s">
        <v>17</v>
      </c>
      <c r="H987" s="1" t="s">
        <v>18</v>
      </c>
      <c r="I987" s="1" t="s">
        <v>19</v>
      </c>
      <c r="J987" s="1">
        <f>IFERROR(__xludf.DUMMYFUNCTION("""COMPUTED_VALUE"""),101.0)</f>
        <v>101</v>
      </c>
      <c r="K987" s="1">
        <v>29.0</v>
      </c>
      <c r="L987" s="1">
        <f>IFERROR(__xludf.DUMMYFUNCTION("""COMPUTED_VALUE"""),122.0)</f>
        <v>122</v>
      </c>
    </row>
    <row r="988">
      <c r="A988" s="1">
        <v>3213049.0</v>
      </c>
      <c r="B988" s="1" t="s">
        <v>2209</v>
      </c>
      <c r="C988" s="1" t="s">
        <v>2070</v>
      </c>
      <c r="D988" s="1" t="s">
        <v>2127</v>
      </c>
      <c r="E988" s="1" t="s">
        <v>2210</v>
      </c>
      <c r="F988" s="1" t="s">
        <v>55</v>
      </c>
      <c r="G988" s="1" t="s">
        <v>17</v>
      </c>
      <c r="H988" s="1" t="s">
        <v>18</v>
      </c>
      <c r="I988" s="1" t="s">
        <v>44</v>
      </c>
      <c r="J988" s="1">
        <f>IFERROR(__xludf.DUMMYFUNCTION("""COMPUTED_VALUE"""),33.0)</f>
        <v>33</v>
      </c>
      <c r="K988" s="1">
        <v>11.0</v>
      </c>
      <c r="L988" s="1">
        <f>IFERROR(__xludf.DUMMYFUNCTION("""COMPUTED_VALUE"""),44.0)</f>
        <v>44</v>
      </c>
    </row>
    <row r="989">
      <c r="A989" s="1">
        <v>3216462.0</v>
      </c>
      <c r="B989" s="1" t="s">
        <v>2211</v>
      </c>
      <c r="C989" s="1" t="s">
        <v>2070</v>
      </c>
      <c r="D989" s="1" t="s">
        <v>2079</v>
      </c>
      <c r="E989" s="1" t="s">
        <v>2212</v>
      </c>
      <c r="F989" s="1" t="s">
        <v>16</v>
      </c>
      <c r="G989" s="1" t="s">
        <v>23</v>
      </c>
      <c r="H989" s="1" t="s">
        <v>18</v>
      </c>
      <c r="I989" s="1" t="s">
        <v>44</v>
      </c>
      <c r="J989" s="1">
        <f>IFERROR(__xludf.DUMMYFUNCTION("""COMPUTED_VALUE"""),50.0)</f>
        <v>50</v>
      </c>
      <c r="K989" s="1">
        <v>18.0</v>
      </c>
      <c r="L989" s="1">
        <f>IFERROR(__xludf.DUMMYFUNCTION("""COMPUTED_VALUE"""),182.0)</f>
        <v>182</v>
      </c>
    </row>
    <row r="990">
      <c r="A990" s="1">
        <v>3205021.0</v>
      </c>
      <c r="B990" s="1" t="s">
        <v>2213</v>
      </c>
      <c r="C990" s="1" t="s">
        <v>2070</v>
      </c>
      <c r="D990" s="1" t="s">
        <v>2214</v>
      </c>
      <c r="E990" s="1" t="s">
        <v>2215</v>
      </c>
      <c r="F990" s="1" t="s">
        <v>16</v>
      </c>
      <c r="G990" s="1" t="s">
        <v>17</v>
      </c>
      <c r="H990" s="1" t="s">
        <v>33</v>
      </c>
      <c r="I990" s="1" t="s">
        <v>74</v>
      </c>
      <c r="J990" s="1">
        <f>IFERROR(__xludf.DUMMYFUNCTION("""COMPUTED_VALUE"""),164.0)</f>
        <v>164</v>
      </c>
      <c r="K990" s="1">
        <v>46.0</v>
      </c>
      <c r="L990" s="1">
        <f>IFERROR(__xludf.DUMMYFUNCTION("""COMPUTED_VALUE"""),310.0)</f>
        <v>310</v>
      </c>
    </row>
    <row r="991">
      <c r="A991" s="1">
        <v>3277021.0</v>
      </c>
      <c r="B991" s="1" t="s">
        <v>2216</v>
      </c>
      <c r="C991" s="1" t="s">
        <v>2070</v>
      </c>
      <c r="D991" s="1" t="s">
        <v>2217</v>
      </c>
      <c r="E991" s="1" t="s">
        <v>2218</v>
      </c>
      <c r="F991" s="1" t="s">
        <v>16</v>
      </c>
      <c r="G991" s="1" t="s">
        <v>17</v>
      </c>
      <c r="H991" s="1" t="s">
        <v>18</v>
      </c>
      <c r="I991" s="1" t="s">
        <v>44</v>
      </c>
      <c r="J991" s="1">
        <f>IFERROR(__xludf.DUMMYFUNCTION("""COMPUTED_VALUE"""),190.0)</f>
        <v>190</v>
      </c>
      <c r="K991" s="1">
        <v>75.0</v>
      </c>
      <c r="L991" s="1">
        <f>IFERROR(__xludf.DUMMYFUNCTION("""COMPUTED_VALUE"""),340.0)</f>
        <v>340</v>
      </c>
    </row>
    <row r="992">
      <c r="A992" s="1">
        <v>3209144.0</v>
      </c>
      <c r="B992" s="1" t="s">
        <v>2219</v>
      </c>
      <c r="C992" s="1" t="s">
        <v>2070</v>
      </c>
      <c r="D992" s="1" t="s">
        <v>2106</v>
      </c>
      <c r="E992" s="1" t="s">
        <v>2220</v>
      </c>
      <c r="F992" s="1" t="s">
        <v>16</v>
      </c>
      <c r="G992" s="1" t="s">
        <v>17</v>
      </c>
      <c r="H992" s="1" t="s">
        <v>18</v>
      </c>
      <c r="I992" s="1" t="s">
        <v>19</v>
      </c>
      <c r="J992" s="1">
        <f>IFERROR(__xludf.DUMMYFUNCTION("""COMPUTED_VALUE"""),126.0)</f>
        <v>126</v>
      </c>
      <c r="K992" s="1">
        <v>49.0</v>
      </c>
      <c r="L992" s="1">
        <f>IFERROR(__xludf.DUMMYFUNCTION("""COMPUTED_VALUE"""),182.0)</f>
        <v>182</v>
      </c>
    </row>
    <row r="993">
      <c r="A993" s="1">
        <v>3271013.0</v>
      </c>
      <c r="B993" s="1" t="s">
        <v>2221</v>
      </c>
      <c r="C993" s="1" t="s">
        <v>2070</v>
      </c>
      <c r="D993" s="1" t="s">
        <v>2173</v>
      </c>
      <c r="E993" s="1" t="s">
        <v>2222</v>
      </c>
      <c r="F993" s="1" t="s">
        <v>16</v>
      </c>
      <c r="G993" s="1" t="s">
        <v>27</v>
      </c>
      <c r="H993" s="1" t="s">
        <v>18</v>
      </c>
      <c r="I993" s="1" t="s">
        <v>59</v>
      </c>
      <c r="J993" s="1">
        <f>IFERROR(__xludf.DUMMYFUNCTION("""COMPUTED_VALUE"""),336.0)</f>
        <v>336</v>
      </c>
      <c r="K993" s="1">
        <v>135.0</v>
      </c>
      <c r="L993" s="1">
        <f>IFERROR(__xludf.DUMMYFUNCTION("""COMPUTED_VALUE"""),1248.0)</f>
        <v>1248</v>
      </c>
    </row>
    <row r="994">
      <c r="A994" s="1">
        <v>3276028.0</v>
      </c>
      <c r="B994" s="1" t="s">
        <v>2223</v>
      </c>
      <c r="C994" s="1" t="s">
        <v>2070</v>
      </c>
      <c r="D994" s="1" t="s">
        <v>2082</v>
      </c>
      <c r="E994" s="1" t="s">
        <v>2224</v>
      </c>
      <c r="F994" s="1" t="s">
        <v>16</v>
      </c>
      <c r="G994" s="1" t="s">
        <v>17</v>
      </c>
      <c r="H994" s="1" t="s">
        <v>18</v>
      </c>
      <c r="I994" s="1" t="s">
        <v>44</v>
      </c>
      <c r="J994" s="1">
        <f>IFERROR(__xludf.DUMMYFUNCTION("""COMPUTED_VALUE"""),117.0)</f>
        <v>117</v>
      </c>
      <c r="K994" s="1">
        <v>62.0</v>
      </c>
      <c r="L994" s="1">
        <f>IFERROR(__xludf.DUMMYFUNCTION("""COMPUTED_VALUE"""),251.0)</f>
        <v>251</v>
      </c>
    </row>
    <row r="995">
      <c r="A995" s="1">
        <v>3204130.0</v>
      </c>
      <c r="B995" s="1" t="s">
        <v>2225</v>
      </c>
      <c r="C995" s="1" t="s">
        <v>2070</v>
      </c>
      <c r="D995" s="1" t="s">
        <v>2088</v>
      </c>
      <c r="E995" s="1" t="s">
        <v>2226</v>
      </c>
      <c r="F995" s="1" t="s">
        <v>272</v>
      </c>
      <c r="G995" s="1" t="s">
        <v>17</v>
      </c>
      <c r="H995" s="1" t="s">
        <v>18</v>
      </c>
      <c r="I995" s="1" t="s">
        <v>19</v>
      </c>
      <c r="J995" s="1">
        <f>IFERROR(__xludf.DUMMYFUNCTION("""COMPUTED_VALUE"""),16.0)</f>
        <v>16</v>
      </c>
      <c r="K995" s="1">
        <v>25.0</v>
      </c>
      <c r="L995" s="1">
        <f>IFERROR(__xludf.DUMMYFUNCTION("""COMPUTED_VALUE"""),52.0)</f>
        <v>52</v>
      </c>
    </row>
    <row r="996">
      <c r="A996" s="1">
        <v>3210014.0</v>
      </c>
      <c r="B996" s="1" t="s">
        <v>2227</v>
      </c>
      <c r="C996" s="1" t="s">
        <v>2070</v>
      </c>
      <c r="D996" s="1" t="s">
        <v>2228</v>
      </c>
      <c r="E996" s="1" t="s">
        <v>2229</v>
      </c>
      <c r="F996" s="1" t="s">
        <v>16</v>
      </c>
      <c r="G996" s="1" t="s">
        <v>17</v>
      </c>
      <c r="H996" s="1" t="s">
        <v>28</v>
      </c>
      <c r="I996" s="1" t="s">
        <v>40</v>
      </c>
      <c r="J996" s="1">
        <f>IFERROR(__xludf.DUMMYFUNCTION("""COMPUTED_VALUE"""),218.0)</f>
        <v>218</v>
      </c>
      <c r="K996" s="1">
        <v>53.0</v>
      </c>
      <c r="L996" s="1">
        <f>IFERROR(__xludf.DUMMYFUNCTION("""COMPUTED_VALUE"""),417.0)</f>
        <v>417</v>
      </c>
    </row>
    <row r="997">
      <c r="A997" s="1">
        <v>3216351.0</v>
      </c>
      <c r="B997" s="1" t="s">
        <v>2230</v>
      </c>
      <c r="C997" s="1" t="s">
        <v>2070</v>
      </c>
      <c r="D997" s="1" t="s">
        <v>2079</v>
      </c>
      <c r="E997" s="1" t="s">
        <v>2231</v>
      </c>
      <c r="F997" s="1" t="s">
        <v>16</v>
      </c>
      <c r="G997" s="1" t="s">
        <v>17</v>
      </c>
      <c r="H997" s="1" t="s">
        <v>18</v>
      </c>
      <c r="I997" s="1" t="s">
        <v>19</v>
      </c>
      <c r="J997" s="1">
        <f>IFERROR(__xludf.DUMMYFUNCTION("""COMPUTED_VALUE"""),102.0)</f>
        <v>102</v>
      </c>
      <c r="K997" s="1">
        <v>28.0</v>
      </c>
      <c r="L997" s="1">
        <f>IFERROR(__xludf.DUMMYFUNCTION("""COMPUTED_VALUE"""),148.0)</f>
        <v>148</v>
      </c>
    </row>
    <row r="998">
      <c r="A998" s="1">
        <v>3201229.0</v>
      </c>
      <c r="B998" s="1" t="s">
        <v>2232</v>
      </c>
      <c r="C998" s="1" t="s">
        <v>2070</v>
      </c>
      <c r="D998" s="1" t="s">
        <v>2097</v>
      </c>
      <c r="E998" s="1" t="s">
        <v>2233</v>
      </c>
      <c r="F998" s="1" t="s">
        <v>16</v>
      </c>
      <c r="G998" s="1" t="s">
        <v>17</v>
      </c>
      <c r="H998" s="1" t="s">
        <v>18</v>
      </c>
      <c r="I998" s="1" t="s">
        <v>19</v>
      </c>
      <c r="J998" s="1">
        <f>IFERROR(__xludf.DUMMYFUNCTION("""COMPUTED_VALUE"""),115.0)</f>
        <v>115</v>
      </c>
      <c r="K998" s="1">
        <v>28.0</v>
      </c>
      <c r="L998" s="1">
        <f>IFERROR(__xludf.DUMMYFUNCTION("""COMPUTED_VALUE"""),249.0)</f>
        <v>249</v>
      </c>
    </row>
    <row r="999">
      <c r="A999" s="1">
        <v>3205023.0</v>
      </c>
      <c r="B999" s="1" t="s">
        <v>2234</v>
      </c>
      <c r="C999" s="1" t="s">
        <v>2070</v>
      </c>
      <c r="D999" s="1" t="s">
        <v>2214</v>
      </c>
      <c r="E999" s="1" t="s">
        <v>2235</v>
      </c>
      <c r="F999" s="1" t="s">
        <v>16</v>
      </c>
      <c r="G999" s="1" t="s">
        <v>23</v>
      </c>
      <c r="H999" s="1" t="s">
        <v>18</v>
      </c>
      <c r="I999" s="1" t="s">
        <v>59</v>
      </c>
      <c r="J999" s="1">
        <f>IFERROR(__xludf.DUMMYFUNCTION("""COMPUTED_VALUE"""),112.0)</f>
        <v>112</v>
      </c>
      <c r="K999" s="1">
        <v>44.0</v>
      </c>
      <c r="L999" s="1">
        <f>IFERROR(__xludf.DUMMYFUNCTION("""COMPUTED_VALUE"""),88.0)</f>
        <v>88</v>
      </c>
    </row>
    <row r="1000">
      <c r="A1000" s="1">
        <v>3205026.0</v>
      </c>
      <c r="B1000" s="1" t="s">
        <v>2236</v>
      </c>
      <c r="C1000" s="1" t="s">
        <v>2070</v>
      </c>
      <c r="D1000" s="1" t="s">
        <v>2214</v>
      </c>
      <c r="E1000" s="1" t="s">
        <v>2237</v>
      </c>
      <c r="F1000" s="1" t="s">
        <v>16</v>
      </c>
      <c r="G1000" s="1" t="s">
        <v>17</v>
      </c>
      <c r="H1000" s="1" t="s">
        <v>18</v>
      </c>
      <c r="I1000" s="1" t="s">
        <v>19</v>
      </c>
      <c r="J1000" s="1">
        <f>IFERROR(__xludf.DUMMYFUNCTION("""COMPUTED_VALUE"""),99.0)</f>
        <v>99</v>
      </c>
      <c r="K1000" s="1">
        <v>35.0</v>
      </c>
      <c r="L1000" s="1">
        <f>IFERROR(__xludf.DUMMYFUNCTION("""COMPUTED_VALUE"""),246.0)</f>
        <v>246</v>
      </c>
    </row>
    <row r="1001">
      <c r="A1001" s="1">
        <v>3204137.0</v>
      </c>
      <c r="B1001" s="1" t="s">
        <v>2238</v>
      </c>
      <c r="C1001" s="1" t="s">
        <v>2070</v>
      </c>
      <c r="D1001" s="1" t="s">
        <v>2088</v>
      </c>
      <c r="E1001" s="1" t="s">
        <v>2239</v>
      </c>
      <c r="F1001" s="1" t="s">
        <v>16</v>
      </c>
      <c r="G1001" s="1" t="s">
        <v>23</v>
      </c>
      <c r="H1001" s="1" t="s">
        <v>18</v>
      </c>
      <c r="I1001" s="1" t="s">
        <v>19</v>
      </c>
      <c r="J1001" s="1">
        <f>IFERROR(__xludf.DUMMYFUNCTION("""COMPUTED_VALUE"""),63.0)</f>
        <v>63</v>
      </c>
      <c r="K1001" s="1">
        <v>72.0</v>
      </c>
      <c r="L1001" s="1">
        <f>IFERROR(__xludf.DUMMYFUNCTION("""COMPUTED_VALUE"""),182.0)</f>
        <v>182</v>
      </c>
    </row>
    <row r="1002">
      <c r="A1002" s="1">
        <v>3273561.0</v>
      </c>
      <c r="B1002" s="1" t="s">
        <v>2240</v>
      </c>
      <c r="C1002" s="1" t="s">
        <v>2070</v>
      </c>
      <c r="D1002" s="1" t="s">
        <v>2088</v>
      </c>
      <c r="E1002" s="1" t="s">
        <v>2241</v>
      </c>
      <c r="F1002" s="1" t="s">
        <v>16</v>
      </c>
      <c r="G1002" s="1" t="s">
        <v>17</v>
      </c>
      <c r="H1002" s="1" t="s">
        <v>18</v>
      </c>
      <c r="I1002" s="1" t="s">
        <v>19</v>
      </c>
      <c r="J1002" s="1">
        <f>IFERROR(__xludf.DUMMYFUNCTION("""COMPUTED_VALUE"""),99.0)</f>
        <v>99</v>
      </c>
      <c r="K1002" s="1">
        <v>37.0</v>
      </c>
      <c r="L1002" s="1">
        <f>IFERROR(__xludf.DUMMYFUNCTION("""COMPUTED_VALUE"""),182.0)</f>
        <v>182</v>
      </c>
    </row>
    <row r="1003">
      <c r="A1003" s="1">
        <v>3201035.0</v>
      </c>
      <c r="B1003" s="1" t="s">
        <v>2242</v>
      </c>
      <c r="C1003" s="1" t="s">
        <v>2070</v>
      </c>
      <c r="D1003" s="1" t="s">
        <v>2082</v>
      </c>
      <c r="E1003" s="1" t="s">
        <v>2243</v>
      </c>
      <c r="F1003" s="1" t="s">
        <v>16</v>
      </c>
      <c r="G1003" s="1" t="s">
        <v>17</v>
      </c>
      <c r="H1003" s="1" t="s">
        <v>18</v>
      </c>
      <c r="I1003" s="1" t="s">
        <v>59</v>
      </c>
      <c r="J1003" s="1">
        <f>IFERROR(__xludf.DUMMYFUNCTION("""COMPUTED_VALUE"""),118.0)</f>
        <v>118</v>
      </c>
      <c r="K1003" s="1">
        <v>52.0</v>
      </c>
      <c r="L1003" s="1">
        <f>IFERROR(__xludf.DUMMYFUNCTION("""COMPUTED_VALUE"""),514.0)</f>
        <v>514</v>
      </c>
    </row>
    <row r="1004">
      <c r="A1004" s="1">
        <v>3273052.0</v>
      </c>
      <c r="B1004" s="1" t="s">
        <v>2244</v>
      </c>
      <c r="C1004" s="1" t="s">
        <v>2070</v>
      </c>
      <c r="D1004" s="1" t="s">
        <v>2088</v>
      </c>
      <c r="E1004" s="1" t="s">
        <v>2245</v>
      </c>
      <c r="F1004" s="1" t="s">
        <v>16</v>
      </c>
      <c r="G1004" s="1" t="s">
        <v>27</v>
      </c>
      <c r="H1004" s="1" t="s">
        <v>18</v>
      </c>
      <c r="I1004" s="1" t="s">
        <v>258</v>
      </c>
      <c r="J1004" s="1">
        <f>IFERROR(__xludf.DUMMYFUNCTION("""COMPUTED_VALUE"""),320.0)</f>
        <v>320</v>
      </c>
      <c r="K1004" s="1">
        <v>58.0</v>
      </c>
      <c r="L1004" s="1">
        <f>IFERROR(__xludf.DUMMYFUNCTION("""COMPUTED_VALUE"""),1254.0)</f>
        <v>1254</v>
      </c>
    </row>
    <row r="1005">
      <c r="A1005" s="1">
        <v>3274100.0</v>
      </c>
      <c r="B1005" s="1" t="s">
        <v>2246</v>
      </c>
      <c r="C1005" s="1" t="s">
        <v>2070</v>
      </c>
      <c r="D1005" s="1" t="s">
        <v>2124</v>
      </c>
      <c r="E1005" s="1" t="s">
        <v>2247</v>
      </c>
      <c r="F1005" s="1" t="s">
        <v>16</v>
      </c>
      <c r="G1005" s="1" t="s">
        <v>23</v>
      </c>
      <c r="H1005" s="1" t="s">
        <v>18</v>
      </c>
      <c r="I1005" s="1" t="s">
        <v>59</v>
      </c>
      <c r="J1005" s="1">
        <f>IFERROR(__xludf.DUMMYFUNCTION("""COMPUTED_VALUE"""),51.0)</f>
        <v>51</v>
      </c>
      <c r="K1005" s="1">
        <v>38.0</v>
      </c>
      <c r="L1005" s="1">
        <f>IFERROR(__xludf.DUMMYFUNCTION("""COMPUTED_VALUE"""),46.0)</f>
        <v>46</v>
      </c>
    </row>
    <row r="1006">
      <c r="A1006" s="1">
        <v>3214034.0</v>
      </c>
      <c r="B1006" s="1" t="s">
        <v>2248</v>
      </c>
      <c r="C1006" s="1" t="s">
        <v>2070</v>
      </c>
      <c r="D1006" s="1" t="s">
        <v>2182</v>
      </c>
      <c r="E1006" s="1" t="s">
        <v>2249</v>
      </c>
      <c r="F1006" s="1" t="s">
        <v>16</v>
      </c>
      <c r="G1006" s="1" t="s">
        <v>17</v>
      </c>
      <c r="H1006" s="1" t="s">
        <v>18</v>
      </c>
      <c r="I1006" s="1" t="s">
        <v>44</v>
      </c>
      <c r="J1006" s="1">
        <f>IFERROR(__xludf.DUMMYFUNCTION("""COMPUTED_VALUE"""),149.0)</f>
        <v>149</v>
      </c>
      <c r="K1006" s="1">
        <v>91.0</v>
      </c>
      <c r="L1006" s="1">
        <f>IFERROR(__xludf.DUMMYFUNCTION("""COMPUTED_VALUE"""),330.0)</f>
        <v>330</v>
      </c>
    </row>
    <row r="1007">
      <c r="A1007" s="1">
        <v>3201152.0</v>
      </c>
      <c r="B1007" s="1" t="s">
        <v>2250</v>
      </c>
      <c r="C1007" s="1" t="s">
        <v>2070</v>
      </c>
      <c r="D1007" s="1" t="s">
        <v>2097</v>
      </c>
      <c r="E1007" s="1" t="s">
        <v>2251</v>
      </c>
      <c r="F1007" s="1" t="s">
        <v>16</v>
      </c>
      <c r="G1007" s="1" t="s">
        <v>17</v>
      </c>
      <c r="H1007" s="1" t="s">
        <v>18</v>
      </c>
      <c r="I1007" s="1" t="s">
        <v>19</v>
      </c>
      <c r="J1007" s="1">
        <f>IFERROR(__xludf.DUMMYFUNCTION("""COMPUTED_VALUE"""),107.0)</f>
        <v>107</v>
      </c>
      <c r="K1007" s="1">
        <v>37.0</v>
      </c>
      <c r="L1007" s="1">
        <f>IFERROR(__xludf.DUMMYFUNCTION("""COMPUTED_VALUE"""),165.0)</f>
        <v>165</v>
      </c>
    </row>
    <row r="1008">
      <c r="A1008" s="1">
        <v>3273176.0</v>
      </c>
      <c r="B1008" s="1" t="s">
        <v>2252</v>
      </c>
      <c r="C1008" s="1" t="s">
        <v>2070</v>
      </c>
      <c r="D1008" s="1" t="s">
        <v>2088</v>
      </c>
      <c r="E1008" s="1" t="s">
        <v>2253</v>
      </c>
      <c r="F1008" s="1" t="s">
        <v>16</v>
      </c>
      <c r="G1008" s="1" t="s">
        <v>23</v>
      </c>
      <c r="H1008" s="1" t="s">
        <v>18</v>
      </c>
      <c r="I1008" s="1" t="s">
        <v>74</v>
      </c>
      <c r="J1008" s="1">
        <f>IFERROR(__xludf.DUMMYFUNCTION("""COMPUTED_VALUE"""),108.0)</f>
        <v>108</v>
      </c>
      <c r="K1008" s="1">
        <v>29.0</v>
      </c>
      <c r="L1008" s="1">
        <f>IFERROR(__xludf.DUMMYFUNCTION("""COMPUTED_VALUE"""),92.0)</f>
        <v>92</v>
      </c>
    </row>
    <row r="1009">
      <c r="A1009" s="1">
        <v>3274134.0</v>
      </c>
      <c r="B1009" s="1" t="s">
        <v>2254</v>
      </c>
      <c r="C1009" s="1" t="s">
        <v>2070</v>
      </c>
      <c r="D1009" s="1" t="s">
        <v>2124</v>
      </c>
      <c r="E1009" s="1" t="s">
        <v>2255</v>
      </c>
      <c r="F1009" s="1" t="s">
        <v>16</v>
      </c>
      <c r="G1009" s="1" t="s">
        <v>17</v>
      </c>
      <c r="H1009" s="1" t="s">
        <v>18</v>
      </c>
      <c r="I1009" s="1" t="s">
        <v>19</v>
      </c>
      <c r="J1009" s="1">
        <f>IFERROR(__xludf.DUMMYFUNCTION("""COMPUTED_VALUE"""),100.0)</f>
        <v>100</v>
      </c>
      <c r="K1009" s="1">
        <v>47.0</v>
      </c>
      <c r="L1009" s="1">
        <f>IFERROR(__xludf.DUMMYFUNCTION("""COMPUTED_VALUE"""),176.0)</f>
        <v>176</v>
      </c>
    </row>
    <row r="1010">
      <c r="A1010" s="1">
        <v>3216072.0</v>
      </c>
      <c r="B1010" s="1" t="s">
        <v>2256</v>
      </c>
      <c r="C1010" s="1" t="s">
        <v>2070</v>
      </c>
      <c r="D1010" s="1" t="s">
        <v>2079</v>
      </c>
      <c r="E1010" s="1" t="s">
        <v>2257</v>
      </c>
      <c r="F1010" s="1" t="s">
        <v>16</v>
      </c>
      <c r="G1010" s="1" t="s">
        <v>17</v>
      </c>
      <c r="H1010" s="1" t="s">
        <v>18</v>
      </c>
      <c r="I1010" s="1" t="s">
        <v>59</v>
      </c>
      <c r="J1010" s="1">
        <f>IFERROR(__xludf.DUMMYFUNCTION("""COMPUTED_VALUE"""),120.0)</f>
        <v>120</v>
      </c>
      <c r="K1010" s="1">
        <v>33.0</v>
      </c>
      <c r="L1010" s="1">
        <f>IFERROR(__xludf.DUMMYFUNCTION("""COMPUTED_VALUE"""),228.0)</f>
        <v>228</v>
      </c>
    </row>
    <row r="1011">
      <c r="A1011" s="1">
        <v>3204086.0</v>
      </c>
      <c r="B1011" s="1" t="s">
        <v>2258</v>
      </c>
      <c r="C1011" s="1" t="s">
        <v>2070</v>
      </c>
      <c r="D1011" s="1" t="s">
        <v>2091</v>
      </c>
      <c r="E1011" s="1" t="s">
        <v>2259</v>
      </c>
      <c r="F1011" s="1" t="s">
        <v>16</v>
      </c>
      <c r="G1011" s="1" t="s">
        <v>27</v>
      </c>
      <c r="H1011" s="1" t="s">
        <v>28</v>
      </c>
      <c r="I1011" s="1" t="s">
        <v>139</v>
      </c>
      <c r="J1011" s="1">
        <f>IFERROR(__xludf.DUMMYFUNCTION("""COMPUTED_VALUE"""),617.0)</f>
        <v>617</v>
      </c>
      <c r="K1011" s="1">
        <v>133.0</v>
      </c>
      <c r="L1011" s="1">
        <f>IFERROR(__xludf.DUMMYFUNCTION("""COMPUTED_VALUE"""),997.0)</f>
        <v>997</v>
      </c>
    </row>
    <row r="1012">
      <c r="A1012" s="1">
        <v>3274031.0</v>
      </c>
      <c r="B1012" s="1" t="s">
        <v>2260</v>
      </c>
      <c r="C1012" s="1" t="s">
        <v>2070</v>
      </c>
      <c r="D1012" s="1" t="s">
        <v>2124</v>
      </c>
      <c r="E1012" s="1" t="s">
        <v>2261</v>
      </c>
      <c r="F1012" s="1" t="s">
        <v>16</v>
      </c>
      <c r="G1012" s="1" t="s">
        <v>17</v>
      </c>
      <c r="H1012" s="1" t="s">
        <v>18</v>
      </c>
      <c r="I1012" s="1" t="s">
        <v>19</v>
      </c>
      <c r="J1012" s="1">
        <f>IFERROR(__xludf.DUMMYFUNCTION("""COMPUTED_VALUE"""),101.0)</f>
        <v>101</v>
      </c>
      <c r="K1012" s="1">
        <v>22.0</v>
      </c>
      <c r="L1012" s="1">
        <f>IFERROR(__xludf.DUMMYFUNCTION("""COMPUTED_VALUE"""),63.0)</f>
        <v>63</v>
      </c>
    </row>
    <row r="1013">
      <c r="A1013" s="1">
        <v>3277019.0</v>
      </c>
      <c r="B1013" s="1" t="s">
        <v>2262</v>
      </c>
      <c r="C1013" s="1" t="s">
        <v>2070</v>
      </c>
      <c r="D1013" s="1" t="s">
        <v>2217</v>
      </c>
      <c r="E1013" s="1" t="s">
        <v>2263</v>
      </c>
      <c r="F1013" s="1" t="s">
        <v>16</v>
      </c>
      <c r="G1013" s="1" t="s">
        <v>17</v>
      </c>
      <c r="H1013" s="1" t="s">
        <v>18</v>
      </c>
      <c r="I1013" s="1" t="s">
        <v>44</v>
      </c>
      <c r="J1013" s="1">
        <f>IFERROR(__xludf.DUMMYFUNCTION("""COMPUTED_VALUE"""),138.0)</f>
        <v>138</v>
      </c>
      <c r="K1013" s="1">
        <v>37.0</v>
      </c>
      <c r="L1013" s="1">
        <f>IFERROR(__xludf.DUMMYFUNCTION("""COMPUTED_VALUE"""),225.0)</f>
        <v>225</v>
      </c>
    </row>
    <row r="1014">
      <c r="A1014" s="1">
        <v>3216421.0</v>
      </c>
      <c r="B1014" s="1" t="s">
        <v>2264</v>
      </c>
      <c r="C1014" s="1" t="s">
        <v>2070</v>
      </c>
      <c r="D1014" s="1" t="s">
        <v>2079</v>
      </c>
      <c r="E1014" s="1" t="s">
        <v>2265</v>
      </c>
      <c r="F1014" s="1" t="s">
        <v>16</v>
      </c>
      <c r="G1014" s="1" t="s">
        <v>23</v>
      </c>
      <c r="H1014" s="1" t="s">
        <v>18</v>
      </c>
      <c r="I1014" s="1" t="s">
        <v>19</v>
      </c>
      <c r="J1014" s="1">
        <f>IFERROR(__xludf.DUMMYFUNCTION("""COMPUTED_VALUE"""),50.0)</f>
        <v>50</v>
      </c>
      <c r="K1014" s="1">
        <v>22.0</v>
      </c>
      <c r="L1014" s="1">
        <f>IFERROR(__xludf.DUMMYFUNCTION("""COMPUTED_VALUE"""),64.0)</f>
        <v>64</v>
      </c>
    </row>
    <row r="1015">
      <c r="A1015" s="1">
        <v>3216426.0</v>
      </c>
      <c r="B1015" s="1" t="s">
        <v>2266</v>
      </c>
      <c r="C1015" s="1" t="s">
        <v>2070</v>
      </c>
      <c r="D1015" s="1" t="s">
        <v>2079</v>
      </c>
      <c r="E1015" s="1" t="s">
        <v>2267</v>
      </c>
      <c r="F1015" s="1" t="s">
        <v>16</v>
      </c>
      <c r="G1015" s="1" t="s">
        <v>17</v>
      </c>
      <c r="H1015" s="1" t="s">
        <v>18</v>
      </c>
      <c r="I1015" s="1" t="s">
        <v>44</v>
      </c>
      <c r="J1015" s="1">
        <f>IFERROR(__xludf.DUMMYFUNCTION("""COMPUTED_VALUE"""),110.0)</f>
        <v>110</v>
      </c>
      <c r="K1015" s="1">
        <v>24.0</v>
      </c>
      <c r="L1015" s="1">
        <f>IFERROR(__xludf.DUMMYFUNCTION("""COMPUTED_VALUE"""),42.0)</f>
        <v>42</v>
      </c>
    </row>
    <row r="1016">
      <c r="A1016" s="1">
        <v>3201251.0</v>
      </c>
      <c r="B1016" s="1" t="s">
        <v>2268</v>
      </c>
      <c r="C1016" s="1" t="s">
        <v>2070</v>
      </c>
      <c r="D1016" s="1" t="s">
        <v>2173</v>
      </c>
      <c r="E1016" s="1" t="s">
        <v>2269</v>
      </c>
      <c r="F1016" s="1" t="s">
        <v>16</v>
      </c>
      <c r="G1016" s="1" t="s">
        <v>17</v>
      </c>
      <c r="H1016" s="1" t="s">
        <v>18</v>
      </c>
      <c r="I1016" s="1" t="s">
        <v>44</v>
      </c>
      <c r="J1016" s="1">
        <f>IFERROR(__xludf.DUMMYFUNCTION("""COMPUTED_VALUE"""),104.0)</f>
        <v>104</v>
      </c>
      <c r="K1016" s="1">
        <v>52.0</v>
      </c>
      <c r="L1016" s="1">
        <f>IFERROR(__xludf.DUMMYFUNCTION("""COMPUTED_VALUE"""),268.0)</f>
        <v>268</v>
      </c>
    </row>
    <row r="1017">
      <c r="A1017" s="1">
        <v>3218001.0</v>
      </c>
      <c r="B1017" s="1" t="s">
        <v>2270</v>
      </c>
      <c r="C1017" s="1" t="s">
        <v>2070</v>
      </c>
      <c r="D1017" s="1" t="s">
        <v>2271</v>
      </c>
      <c r="E1017" s="1" t="s">
        <v>2272</v>
      </c>
      <c r="F1017" s="1" t="s">
        <v>16</v>
      </c>
      <c r="G1017" s="1" t="s">
        <v>17</v>
      </c>
      <c r="H1017" s="1" t="s">
        <v>28</v>
      </c>
      <c r="I1017" s="1" t="s">
        <v>40</v>
      </c>
      <c r="J1017" s="1">
        <f>IFERROR(__xludf.DUMMYFUNCTION("""COMPUTED_VALUE"""),247.0)</f>
        <v>247</v>
      </c>
      <c r="K1017" s="1">
        <v>29.0</v>
      </c>
      <c r="L1017" s="1">
        <f>IFERROR(__xludf.DUMMYFUNCTION("""COMPUTED_VALUE"""),467.0)</f>
        <v>467</v>
      </c>
    </row>
    <row r="1018">
      <c r="A1018" s="1">
        <v>3275263.0</v>
      </c>
      <c r="B1018" s="1" t="s">
        <v>2273</v>
      </c>
      <c r="C1018" s="1" t="s">
        <v>2070</v>
      </c>
      <c r="D1018" s="1" t="s">
        <v>2119</v>
      </c>
      <c r="E1018" s="1" t="s">
        <v>2274</v>
      </c>
      <c r="F1018" s="1" t="s">
        <v>16</v>
      </c>
      <c r="G1018" s="1" t="s">
        <v>17</v>
      </c>
      <c r="H1018" s="1" t="s">
        <v>18</v>
      </c>
      <c r="I1018" s="1" t="s">
        <v>19</v>
      </c>
      <c r="J1018" s="1">
        <f>IFERROR(__xludf.DUMMYFUNCTION("""COMPUTED_VALUE"""),107.0)</f>
        <v>107</v>
      </c>
      <c r="K1018" s="1">
        <v>28.0</v>
      </c>
      <c r="L1018" s="1">
        <f>IFERROR(__xludf.DUMMYFUNCTION("""COMPUTED_VALUE"""),287.0)</f>
        <v>287</v>
      </c>
    </row>
    <row r="1019">
      <c r="A1019" s="1">
        <v>3208024.0</v>
      </c>
      <c r="B1019" s="1" t="s">
        <v>2275</v>
      </c>
      <c r="C1019" s="1" t="s">
        <v>2070</v>
      </c>
      <c r="D1019" s="1" t="s">
        <v>2074</v>
      </c>
      <c r="E1019" s="1" t="s">
        <v>2276</v>
      </c>
      <c r="F1019" s="1" t="s">
        <v>16</v>
      </c>
      <c r="G1019" s="1" t="s">
        <v>17</v>
      </c>
      <c r="H1019" s="1" t="s">
        <v>18</v>
      </c>
      <c r="I1019" s="1" t="s">
        <v>59</v>
      </c>
      <c r="J1019" s="1">
        <f>IFERROR(__xludf.DUMMYFUNCTION("""COMPUTED_VALUE"""),120.0)</f>
        <v>120</v>
      </c>
      <c r="K1019" s="1">
        <v>30.0</v>
      </c>
      <c r="L1019" s="1">
        <f>IFERROR(__xludf.DUMMYFUNCTION("""COMPUTED_VALUE"""),189.0)</f>
        <v>189</v>
      </c>
    </row>
    <row r="1020">
      <c r="A1020" s="1">
        <v>3212042.0</v>
      </c>
      <c r="B1020" s="1" t="s">
        <v>2277</v>
      </c>
      <c r="C1020" s="1" t="s">
        <v>2070</v>
      </c>
      <c r="D1020" s="1" t="s">
        <v>2189</v>
      </c>
      <c r="E1020" s="1" t="s">
        <v>2278</v>
      </c>
      <c r="F1020" s="1" t="s">
        <v>16</v>
      </c>
      <c r="G1020" s="1" t="s">
        <v>17</v>
      </c>
      <c r="H1020" s="1" t="s">
        <v>33</v>
      </c>
      <c r="I1020" s="1" t="s">
        <v>65</v>
      </c>
      <c r="J1020" s="1">
        <f>IFERROR(__xludf.DUMMYFUNCTION("""COMPUTED_VALUE"""),132.0)</f>
        <v>132</v>
      </c>
      <c r="K1020" s="1">
        <v>30.0</v>
      </c>
      <c r="L1020" s="1">
        <f>IFERROR(__xludf.DUMMYFUNCTION("""COMPUTED_VALUE"""),304.0)</f>
        <v>304</v>
      </c>
    </row>
    <row r="1021">
      <c r="A1021" s="1">
        <v>3201240.0</v>
      </c>
      <c r="B1021" s="1" t="s">
        <v>2279</v>
      </c>
      <c r="C1021" s="1" t="s">
        <v>2070</v>
      </c>
      <c r="D1021" s="1" t="s">
        <v>2173</v>
      </c>
      <c r="E1021" s="1" t="s">
        <v>2280</v>
      </c>
      <c r="F1021" s="1" t="s">
        <v>16</v>
      </c>
      <c r="G1021" s="1" t="s">
        <v>17</v>
      </c>
      <c r="H1021" s="1" t="s">
        <v>18</v>
      </c>
      <c r="I1021" s="1" t="s">
        <v>19</v>
      </c>
      <c r="J1021" s="1">
        <f>IFERROR(__xludf.DUMMYFUNCTION("""COMPUTED_VALUE"""),112.0)</f>
        <v>112</v>
      </c>
      <c r="K1021" s="1">
        <v>26.0</v>
      </c>
      <c r="L1021" s="1">
        <f>IFERROR(__xludf.DUMMYFUNCTION("""COMPUTED_VALUE"""),132.0)</f>
        <v>132</v>
      </c>
    </row>
    <row r="1022">
      <c r="A1022" s="1">
        <v>3275062.0</v>
      </c>
      <c r="B1022" s="1" t="s">
        <v>2281</v>
      </c>
      <c r="C1022" s="1" t="s">
        <v>2070</v>
      </c>
      <c r="D1022" s="1" t="s">
        <v>2119</v>
      </c>
      <c r="E1022" s="1" t="s">
        <v>2282</v>
      </c>
      <c r="F1022" s="1" t="s">
        <v>16</v>
      </c>
      <c r="G1022" s="1" t="s">
        <v>17</v>
      </c>
      <c r="H1022" s="1" t="s">
        <v>18</v>
      </c>
      <c r="I1022" s="1" t="s">
        <v>19</v>
      </c>
      <c r="J1022" s="1">
        <f>IFERROR(__xludf.DUMMYFUNCTION("""COMPUTED_VALUE"""),101.0)</f>
        <v>101</v>
      </c>
      <c r="K1022" s="1">
        <v>44.0</v>
      </c>
      <c r="L1022" s="1">
        <f>IFERROR(__xludf.DUMMYFUNCTION("""COMPUTED_VALUE"""),188.0)</f>
        <v>188</v>
      </c>
    </row>
    <row r="1023">
      <c r="A1023" s="1">
        <v>3210049.0</v>
      </c>
      <c r="B1023" s="1" t="s">
        <v>2283</v>
      </c>
      <c r="C1023" s="1" t="s">
        <v>2070</v>
      </c>
      <c r="D1023" s="1" t="s">
        <v>2228</v>
      </c>
      <c r="E1023" s="1" t="s">
        <v>2284</v>
      </c>
      <c r="F1023" s="1" t="s">
        <v>16</v>
      </c>
      <c r="G1023" s="1" t="s">
        <v>23</v>
      </c>
      <c r="H1023" s="1" t="s">
        <v>18</v>
      </c>
      <c r="I1023" s="1" t="s">
        <v>40</v>
      </c>
      <c r="J1023" s="1">
        <f>IFERROR(__xludf.DUMMYFUNCTION("""COMPUTED_VALUE"""),50.0)</f>
        <v>50</v>
      </c>
      <c r="K1023" s="1">
        <v>10.0</v>
      </c>
      <c r="L1023" s="1">
        <f>IFERROR(__xludf.DUMMYFUNCTION("""COMPUTED_VALUE"""),182.0)</f>
        <v>182</v>
      </c>
    </row>
    <row r="1024">
      <c r="A1024" s="1">
        <v>3211039.0</v>
      </c>
      <c r="B1024" s="1" t="s">
        <v>2285</v>
      </c>
      <c r="C1024" s="1" t="s">
        <v>2070</v>
      </c>
      <c r="D1024" s="1" t="s">
        <v>2286</v>
      </c>
      <c r="E1024" s="1" t="s">
        <v>2287</v>
      </c>
      <c r="F1024" s="1" t="s">
        <v>16</v>
      </c>
      <c r="G1024" s="1" t="s">
        <v>17</v>
      </c>
      <c r="H1024" s="1" t="s">
        <v>18</v>
      </c>
      <c r="I1024" s="1" t="s">
        <v>19</v>
      </c>
      <c r="J1024" s="1">
        <f>IFERROR(__xludf.DUMMYFUNCTION("""COMPUTED_VALUE"""),102.0)</f>
        <v>102</v>
      </c>
      <c r="K1024" s="1">
        <v>17.0</v>
      </c>
      <c r="L1024" s="1">
        <f>IFERROR(__xludf.DUMMYFUNCTION("""COMPUTED_VALUE"""),182.0)</f>
        <v>182</v>
      </c>
    </row>
    <row r="1025">
      <c r="A1025" s="1">
        <v>3272014.0</v>
      </c>
      <c r="B1025" s="1" t="s">
        <v>2288</v>
      </c>
      <c r="C1025" s="1" t="s">
        <v>2070</v>
      </c>
      <c r="D1025" s="1" t="s">
        <v>2289</v>
      </c>
      <c r="E1025" s="1" t="s">
        <v>2290</v>
      </c>
      <c r="F1025" s="1" t="s">
        <v>16</v>
      </c>
      <c r="G1025" s="1" t="s">
        <v>27</v>
      </c>
      <c r="H1025" s="1" t="s">
        <v>28</v>
      </c>
      <c r="I1025" s="1" t="s">
        <v>29</v>
      </c>
      <c r="J1025" s="1">
        <f>IFERROR(__xludf.DUMMYFUNCTION("""COMPUTED_VALUE"""),538.0)</f>
        <v>538</v>
      </c>
      <c r="K1025" s="1">
        <v>108.0</v>
      </c>
      <c r="L1025" s="1">
        <f>IFERROR(__xludf.DUMMYFUNCTION("""COMPUTED_VALUE"""),1509.0)</f>
        <v>1509</v>
      </c>
    </row>
    <row r="1026">
      <c r="A1026" s="1">
        <v>3214032.0</v>
      </c>
      <c r="B1026" s="1" t="s">
        <v>2291</v>
      </c>
      <c r="C1026" s="1" t="s">
        <v>2070</v>
      </c>
      <c r="D1026" s="1" t="s">
        <v>2182</v>
      </c>
      <c r="E1026" s="1" t="s">
        <v>2292</v>
      </c>
      <c r="F1026" s="1" t="s">
        <v>16</v>
      </c>
      <c r="G1026" s="1" t="s">
        <v>27</v>
      </c>
      <c r="H1026" s="1" t="s">
        <v>18</v>
      </c>
      <c r="I1026" s="1" t="s">
        <v>44</v>
      </c>
      <c r="J1026" s="1">
        <f>IFERROR(__xludf.DUMMYFUNCTION("""COMPUTED_VALUE"""),247.0)</f>
        <v>247</v>
      </c>
      <c r="K1026" s="1">
        <v>58.0</v>
      </c>
      <c r="L1026" s="1">
        <f>IFERROR(__xludf.DUMMYFUNCTION("""COMPUTED_VALUE"""),605.0)</f>
        <v>605</v>
      </c>
    </row>
    <row r="1027">
      <c r="A1027" s="1">
        <v>3213032.0</v>
      </c>
      <c r="B1027" s="1" t="s">
        <v>2293</v>
      </c>
      <c r="C1027" s="1" t="s">
        <v>2070</v>
      </c>
      <c r="D1027" s="1" t="s">
        <v>2127</v>
      </c>
      <c r="E1027" s="1" t="s">
        <v>2294</v>
      </c>
      <c r="F1027" s="1" t="s">
        <v>16</v>
      </c>
      <c r="G1027" s="1" t="s">
        <v>23</v>
      </c>
      <c r="H1027" s="1" t="s">
        <v>18</v>
      </c>
      <c r="I1027" s="1" t="s">
        <v>563</v>
      </c>
      <c r="J1027" s="1">
        <f>IFERROR(__xludf.DUMMYFUNCTION("""COMPUTED_VALUE"""),65.0)</f>
        <v>65</v>
      </c>
      <c r="K1027" s="1">
        <v>13.0</v>
      </c>
      <c r="L1027" s="1">
        <f>IFERROR(__xludf.DUMMYFUNCTION("""COMPUTED_VALUE"""),71.0)</f>
        <v>71</v>
      </c>
    </row>
    <row r="1028">
      <c r="A1028" s="1">
        <v>3277018.0</v>
      </c>
      <c r="B1028" s="1" t="s">
        <v>2295</v>
      </c>
      <c r="C1028" s="1" t="s">
        <v>2070</v>
      </c>
      <c r="D1028" s="1" t="s">
        <v>2217</v>
      </c>
      <c r="E1028" s="1" t="s">
        <v>2296</v>
      </c>
      <c r="F1028" s="1" t="s">
        <v>16</v>
      </c>
      <c r="G1028" s="1" t="s">
        <v>17</v>
      </c>
      <c r="H1028" s="1" t="s">
        <v>18</v>
      </c>
      <c r="I1028" s="1" t="s">
        <v>59</v>
      </c>
      <c r="J1028" s="1">
        <f>IFERROR(__xludf.DUMMYFUNCTION("""COMPUTED_VALUE"""),100.0)</f>
        <v>100</v>
      </c>
      <c r="K1028" s="1">
        <v>39.0</v>
      </c>
      <c r="L1028" s="1">
        <f>IFERROR(__xludf.DUMMYFUNCTION("""COMPUTED_VALUE"""),158.0)</f>
        <v>158</v>
      </c>
    </row>
    <row r="1029">
      <c r="A1029" s="1">
        <v>3216408.0</v>
      </c>
      <c r="B1029" s="1" t="s">
        <v>2297</v>
      </c>
      <c r="C1029" s="1" t="s">
        <v>2070</v>
      </c>
      <c r="D1029" s="1" t="s">
        <v>2079</v>
      </c>
      <c r="E1029" s="1" t="s">
        <v>2298</v>
      </c>
      <c r="F1029" s="1" t="s">
        <v>16</v>
      </c>
      <c r="G1029" s="1" t="s">
        <v>17</v>
      </c>
      <c r="H1029" s="1" t="s">
        <v>18</v>
      </c>
      <c r="I1029" s="1" t="s">
        <v>19</v>
      </c>
      <c r="J1029" s="1">
        <f>IFERROR(__xludf.DUMMYFUNCTION("""COMPUTED_VALUE"""),104.0)</f>
        <v>104</v>
      </c>
      <c r="K1029" s="1">
        <v>27.0</v>
      </c>
      <c r="L1029" s="1">
        <f>IFERROR(__xludf.DUMMYFUNCTION("""COMPUTED_VALUE"""),257.0)</f>
        <v>257</v>
      </c>
    </row>
    <row r="1030">
      <c r="A1030" s="1">
        <v>3215112.0</v>
      </c>
      <c r="B1030" s="1" t="s">
        <v>2299</v>
      </c>
      <c r="C1030" s="1" t="s">
        <v>2070</v>
      </c>
      <c r="D1030" s="1" t="s">
        <v>2071</v>
      </c>
      <c r="E1030" s="1" t="s">
        <v>2300</v>
      </c>
      <c r="F1030" s="1" t="s">
        <v>55</v>
      </c>
      <c r="G1030" s="1" t="s">
        <v>17</v>
      </c>
      <c r="H1030" s="1" t="s">
        <v>18</v>
      </c>
      <c r="I1030" s="1" t="s">
        <v>19</v>
      </c>
      <c r="J1030" s="1">
        <f>IFERROR(__xludf.DUMMYFUNCTION("""COMPUTED_VALUE"""),66.0)</f>
        <v>66</v>
      </c>
      <c r="K1030" s="1">
        <v>23.0</v>
      </c>
      <c r="L1030" s="1">
        <f>IFERROR(__xludf.DUMMYFUNCTION("""COMPUTED_VALUE"""),45.0)</f>
        <v>45</v>
      </c>
    </row>
    <row r="1031">
      <c r="A1031" s="1">
        <v>3216416.0</v>
      </c>
      <c r="B1031" s="1" t="s">
        <v>2301</v>
      </c>
      <c r="C1031" s="1" t="s">
        <v>2070</v>
      </c>
      <c r="D1031" s="1" t="s">
        <v>2079</v>
      </c>
      <c r="E1031" s="1" t="s">
        <v>2302</v>
      </c>
      <c r="F1031" s="1" t="s">
        <v>16</v>
      </c>
      <c r="G1031" s="1" t="s">
        <v>17</v>
      </c>
      <c r="H1031" s="1" t="s">
        <v>18</v>
      </c>
      <c r="I1031" s="1" t="s">
        <v>19</v>
      </c>
      <c r="J1031" s="1">
        <f>IFERROR(__xludf.DUMMYFUNCTION("""COMPUTED_VALUE"""),100.0)</f>
        <v>100</v>
      </c>
      <c r="K1031" s="1">
        <v>65.0</v>
      </c>
      <c r="L1031" s="1">
        <f>IFERROR(__xludf.DUMMYFUNCTION("""COMPUTED_VALUE"""),205.0)</f>
        <v>205</v>
      </c>
    </row>
    <row r="1032">
      <c r="A1032" s="1">
        <v>3216434.0</v>
      </c>
      <c r="B1032" s="1" t="s">
        <v>2303</v>
      </c>
      <c r="C1032" s="1" t="s">
        <v>2070</v>
      </c>
      <c r="D1032" s="1" t="s">
        <v>2079</v>
      </c>
      <c r="E1032" s="1" t="s">
        <v>2304</v>
      </c>
      <c r="F1032" s="1" t="s">
        <v>16</v>
      </c>
      <c r="G1032" s="1" t="s">
        <v>23</v>
      </c>
      <c r="H1032" s="1" t="s">
        <v>18</v>
      </c>
      <c r="I1032" s="1" t="s">
        <v>163</v>
      </c>
      <c r="J1032" s="1">
        <f>IFERROR(__xludf.DUMMYFUNCTION("""COMPUTED_VALUE"""),46.0)</f>
        <v>46</v>
      </c>
      <c r="K1032" s="1">
        <v>27.0</v>
      </c>
      <c r="L1032" s="1">
        <f>IFERROR(__xludf.DUMMYFUNCTION("""COMPUTED_VALUE"""),60.0)</f>
        <v>60</v>
      </c>
    </row>
    <row r="1033">
      <c r="A1033" s="1">
        <v>3203015.0</v>
      </c>
      <c r="B1033" s="1" t="s">
        <v>2305</v>
      </c>
      <c r="C1033" s="1" t="s">
        <v>2070</v>
      </c>
      <c r="D1033" s="1" t="s">
        <v>2094</v>
      </c>
      <c r="E1033" s="1" t="s">
        <v>2306</v>
      </c>
      <c r="F1033" s="1" t="s">
        <v>16</v>
      </c>
      <c r="G1033" s="1" t="s">
        <v>27</v>
      </c>
      <c r="H1033" s="1" t="s">
        <v>28</v>
      </c>
      <c r="I1033" s="1" t="s">
        <v>40</v>
      </c>
      <c r="J1033" s="1">
        <f>IFERROR(__xludf.DUMMYFUNCTION("""COMPUTED_VALUE"""),467.0)</f>
        <v>467</v>
      </c>
      <c r="K1033" s="1">
        <v>41.0</v>
      </c>
      <c r="L1033" s="1">
        <f>IFERROR(__xludf.DUMMYFUNCTION("""COMPUTED_VALUE"""),1431.0)</f>
        <v>1431</v>
      </c>
    </row>
    <row r="1034">
      <c r="A1034" s="1">
        <v>3273464.0</v>
      </c>
      <c r="B1034" s="1" t="s">
        <v>2307</v>
      </c>
      <c r="C1034" s="1" t="s">
        <v>2070</v>
      </c>
      <c r="D1034" s="1" t="s">
        <v>2088</v>
      </c>
      <c r="E1034" s="1" t="s">
        <v>2308</v>
      </c>
      <c r="F1034" s="1" t="s">
        <v>32</v>
      </c>
      <c r="G1034" s="1" t="s">
        <v>150</v>
      </c>
      <c r="H1034" s="1" t="s">
        <v>18</v>
      </c>
      <c r="I1034" s="1" t="s">
        <v>34</v>
      </c>
      <c r="J1034" s="1">
        <f>IFERROR(__xludf.DUMMYFUNCTION("""COMPUTED_VALUE"""),13.0)</f>
        <v>13</v>
      </c>
      <c r="K1034" s="1">
        <v>20.0</v>
      </c>
      <c r="L1034" s="1">
        <f>IFERROR(__xludf.DUMMYFUNCTION("""COMPUTED_VALUE"""),142.0)</f>
        <v>142</v>
      </c>
    </row>
    <row r="1035">
      <c r="A1035" s="1">
        <v>3276039.0</v>
      </c>
      <c r="B1035" s="1" t="s">
        <v>2309</v>
      </c>
      <c r="C1035" s="1" t="s">
        <v>2070</v>
      </c>
      <c r="D1035" s="1" t="s">
        <v>2082</v>
      </c>
      <c r="E1035" s="1" t="s">
        <v>2310</v>
      </c>
      <c r="F1035" s="1" t="s">
        <v>16</v>
      </c>
      <c r="G1035" s="1" t="s">
        <v>17</v>
      </c>
      <c r="H1035" s="1" t="s">
        <v>33</v>
      </c>
      <c r="I1035" s="1" t="s">
        <v>65</v>
      </c>
      <c r="J1035" s="1">
        <f>IFERROR(__xludf.DUMMYFUNCTION("""COMPUTED_VALUE"""),157.0)</f>
        <v>157</v>
      </c>
      <c r="K1035" s="1">
        <v>67.0</v>
      </c>
      <c r="L1035" s="1">
        <f>IFERROR(__xludf.DUMMYFUNCTION("""COMPUTED_VALUE"""),164.0)</f>
        <v>164</v>
      </c>
    </row>
    <row r="1036">
      <c r="A1036" s="1">
        <v>3201271.0</v>
      </c>
      <c r="B1036" s="1" t="s">
        <v>2311</v>
      </c>
      <c r="C1036" s="1" t="s">
        <v>2070</v>
      </c>
      <c r="D1036" s="1" t="s">
        <v>2097</v>
      </c>
      <c r="E1036" s="1" t="s">
        <v>2312</v>
      </c>
      <c r="F1036" s="1" t="s">
        <v>16</v>
      </c>
      <c r="G1036" s="1" t="s">
        <v>17</v>
      </c>
      <c r="H1036" s="1" t="s">
        <v>18</v>
      </c>
      <c r="I1036" s="1" t="s">
        <v>44</v>
      </c>
      <c r="J1036" s="1">
        <f>IFERROR(__xludf.DUMMYFUNCTION("""COMPUTED_VALUE"""),126.0)</f>
        <v>126</v>
      </c>
      <c r="K1036" s="1">
        <v>29.0</v>
      </c>
      <c r="L1036" s="1">
        <f>IFERROR(__xludf.DUMMYFUNCTION("""COMPUTED_VALUE"""),182.0)</f>
        <v>182</v>
      </c>
    </row>
    <row r="1037">
      <c r="A1037" s="1">
        <v>3216174.0</v>
      </c>
      <c r="B1037" s="1" t="s">
        <v>2313</v>
      </c>
      <c r="C1037" s="1" t="s">
        <v>2070</v>
      </c>
      <c r="D1037" s="1" t="s">
        <v>2119</v>
      </c>
      <c r="E1037" s="1" t="s">
        <v>2314</v>
      </c>
      <c r="F1037" s="1" t="s">
        <v>16</v>
      </c>
      <c r="G1037" s="1" t="s">
        <v>17</v>
      </c>
      <c r="H1037" s="1" t="s">
        <v>18</v>
      </c>
      <c r="I1037" s="1" t="s">
        <v>59</v>
      </c>
      <c r="J1037" s="1">
        <f>IFERROR(__xludf.DUMMYFUNCTION("""COMPUTED_VALUE"""),119.0)</f>
        <v>119</v>
      </c>
      <c r="K1037" s="1">
        <v>48.0</v>
      </c>
      <c r="L1037" s="1">
        <f>IFERROR(__xludf.DUMMYFUNCTION("""COMPUTED_VALUE"""),129.0)</f>
        <v>129</v>
      </c>
    </row>
    <row r="1038">
      <c r="A1038" s="1">
        <v>3216443.0</v>
      </c>
      <c r="B1038" s="1" t="s">
        <v>2315</v>
      </c>
      <c r="C1038" s="1" t="s">
        <v>2070</v>
      </c>
      <c r="D1038" s="1" t="s">
        <v>2079</v>
      </c>
      <c r="E1038" s="1" t="s">
        <v>2316</v>
      </c>
      <c r="F1038" s="1" t="s">
        <v>16</v>
      </c>
      <c r="G1038" s="1" t="s">
        <v>17</v>
      </c>
      <c r="H1038" s="1" t="s">
        <v>18</v>
      </c>
      <c r="I1038" s="1" t="s">
        <v>19</v>
      </c>
      <c r="J1038" s="1">
        <f>IFERROR(__xludf.DUMMYFUNCTION("""COMPUTED_VALUE"""),100.0)</f>
        <v>100</v>
      </c>
      <c r="K1038" s="1">
        <v>40.0</v>
      </c>
      <c r="L1038" s="1">
        <f>IFERROR(__xludf.DUMMYFUNCTION("""COMPUTED_VALUE"""),127.0)</f>
        <v>127</v>
      </c>
    </row>
    <row r="1039">
      <c r="A1039" s="1">
        <v>3206055.0</v>
      </c>
      <c r="B1039" s="1" t="s">
        <v>2317</v>
      </c>
      <c r="C1039" s="1" t="s">
        <v>2070</v>
      </c>
      <c r="D1039" s="1" t="s">
        <v>2077</v>
      </c>
      <c r="E1039" s="1" t="s">
        <v>2318</v>
      </c>
      <c r="F1039" s="1" t="s">
        <v>16</v>
      </c>
      <c r="G1039" s="1" t="s">
        <v>23</v>
      </c>
      <c r="H1039" s="1" t="s">
        <v>18</v>
      </c>
      <c r="I1039" s="1" t="s">
        <v>684</v>
      </c>
      <c r="J1039" s="1">
        <f>IFERROR(__xludf.DUMMYFUNCTION("""COMPUTED_VALUE"""),70.0)</f>
        <v>70</v>
      </c>
      <c r="K1039" s="1">
        <v>29.0</v>
      </c>
      <c r="L1039" s="1">
        <f>IFERROR(__xludf.DUMMYFUNCTION("""COMPUTED_VALUE"""),41.0)</f>
        <v>41</v>
      </c>
    </row>
    <row r="1040">
      <c r="A1040" s="1">
        <v>3215161.0</v>
      </c>
      <c r="B1040" s="1" t="s">
        <v>2319</v>
      </c>
      <c r="C1040" s="1" t="s">
        <v>2070</v>
      </c>
      <c r="D1040" s="1" t="s">
        <v>2071</v>
      </c>
      <c r="E1040" s="1" t="s">
        <v>2320</v>
      </c>
      <c r="F1040" s="1" t="s">
        <v>16</v>
      </c>
      <c r="G1040" s="1" t="s">
        <v>17</v>
      </c>
      <c r="H1040" s="1" t="s">
        <v>18</v>
      </c>
      <c r="I1040" s="1" t="s">
        <v>44</v>
      </c>
      <c r="J1040" s="1">
        <f>IFERROR(__xludf.DUMMYFUNCTION("""COMPUTED_VALUE"""),111.0)</f>
        <v>111</v>
      </c>
      <c r="K1040" s="1">
        <v>30.0</v>
      </c>
      <c r="L1040" s="1">
        <f>IFERROR(__xludf.DUMMYFUNCTION("""COMPUTED_VALUE"""),193.0)</f>
        <v>193</v>
      </c>
    </row>
    <row r="1041">
      <c r="A1041" s="1">
        <v>3201245.0</v>
      </c>
      <c r="B1041" s="1" t="s">
        <v>2321</v>
      </c>
      <c r="C1041" s="1" t="s">
        <v>2070</v>
      </c>
      <c r="D1041" s="1" t="s">
        <v>2097</v>
      </c>
      <c r="E1041" s="1" t="s">
        <v>2322</v>
      </c>
      <c r="F1041" s="1" t="s">
        <v>16</v>
      </c>
      <c r="G1041" s="1" t="s">
        <v>17</v>
      </c>
      <c r="H1041" s="1" t="s">
        <v>18</v>
      </c>
      <c r="I1041" s="1" t="s">
        <v>19</v>
      </c>
      <c r="J1041" s="1">
        <f>IFERROR(__xludf.DUMMYFUNCTION("""COMPUTED_VALUE"""),128.0)</f>
        <v>128</v>
      </c>
      <c r="K1041" s="1">
        <v>129.0</v>
      </c>
      <c r="L1041" s="1">
        <f>IFERROR(__xludf.DUMMYFUNCTION("""COMPUTED_VALUE"""),121.0)</f>
        <v>121</v>
      </c>
    </row>
    <row r="1042">
      <c r="A1042" s="1">
        <v>3205027.0</v>
      </c>
      <c r="B1042" s="1" t="s">
        <v>2323</v>
      </c>
      <c r="C1042" s="1" t="s">
        <v>2070</v>
      </c>
      <c r="D1042" s="1" t="s">
        <v>2214</v>
      </c>
      <c r="E1042" s="1" t="s">
        <v>2324</v>
      </c>
      <c r="F1042" s="1" t="s">
        <v>16</v>
      </c>
      <c r="G1042" s="1" t="s">
        <v>23</v>
      </c>
      <c r="H1042" s="1" t="s">
        <v>18</v>
      </c>
      <c r="I1042" s="1" t="s">
        <v>44</v>
      </c>
      <c r="J1042" s="1">
        <f>IFERROR(__xludf.DUMMYFUNCTION("""COMPUTED_VALUE"""),90.0)</f>
        <v>90</v>
      </c>
      <c r="K1042" s="1">
        <v>28.0</v>
      </c>
      <c r="L1042" s="1">
        <f>IFERROR(__xludf.DUMMYFUNCTION("""COMPUTED_VALUE"""),75.0)</f>
        <v>75</v>
      </c>
    </row>
    <row r="1043">
      <c r="A1043" s="1">
        <v>3276167.0</v>
      </c>
      <c r="B1043" s="1" t="s">
        <v>2325</v>
      </c>
      <c r="C1043" s="1" t="s">
        <v>2070</v>
      </c>
      <c r="D1043" s="1" t="s">
        <v>2082</v>
      </c>
      <c r="E1043" s="1" t="s">
        <v>2326</v>
      </c>
      <c r="F1043" s="1" t="s">
        <v>16</v>
      </c>
      <c r="G1043" s="1" t="s">
        <v>17</v>
      </c>
      <c r="H1043" s="1" t="s">
        <v>18</v>
      </c>
      <c r="I1043" s="1" t="s">
        <v>19</v>
      </c>
      <c r="J1043" s="1">
        <f>IFERROR(__xludf.DUMMYFUNCTION("""COMPUTED_VALUE"""),111.0)</f>
        <v>111</v>
      </c>
      <c r="K1043" s="1">
        <v>45.0</v>
      </c>
      <c r="L1043" s="1">
        <f>IFERROR(__xludf.DUMMYFUNCTION("""COMPUTED_VALUE"""),182.0)</f>
        <v>182</v>
      </c>
    </row>
    <row r="1044">
      <c r="A1044" s="1">
        <v>3271035.0</v>
      </c>
      <c r="B1044" s="1" t="s">
        <v>2327</v>
      </c>
      <c r="C1044" s="1" t="s">
        <v>2070</v>
      </c>
      <c r="D1044" s="1" t="s">
        <v>2097</v>
      </c>
      <c r="E1044" s="1" t="s">
        <v>2328</v>
      </c>
      <c r="F1044" s="1" t="s">
        <v>16</v>
      </c>
      <c r="G1044" s="1" t="s">
        <v>17</v>
      </c>
      <c r="H1044" s="1" t="s">
        <v>18</v>
      </c>
      <c r="I1044" s="1" t="s">
        <v>563</v>
      </c>
      <c r="J1044" s="1">
        <f>IFERROR(__xludf.DUMMYFUNCTION("""COMPUTED_VALUE"""),143.0)</f>
        <v>143</v>
      </c>
      <c r="K1044" s="1">
        <v>32.0</v>
      </c>
      <c r="L1044" s="1">
        <f>IFERROR(__xludf.DUMMYFUNCTION("""COMPUTED_VALUE"""),327.0)</f>
        <v>327</v>
      </c>
    </row>
    <row r="1045">
      <c r="A1045" s="1">
        <v>3210036.0</v>
      </c>
      <c r="B1045" s="1" t="s">
        <v>2329</v>
      </c>
      <c r="C1045" s="1" t="s">
        <v>2070</v>
      </c>
      <c r="D1045" s="1" t="s">
        <v>2228</v>
      </c>
      <c r="E1045" s="1" t="s">
        <v>2330</v>
      </c>
      <c r="F1045" s="1" t="s">
        <v>255</v>
      </c>
      <c r="G1045" s="1" t="s">
        <v>17</v>
      </c>
      <c r="H1045" s="1" t="s">
        <v>18</v>
      </c>
      <c r="I1045" s="1" t="s">
        <v>59</v>
      </c>
      <c r="J1045" s="1">
        <f>IFERROR(__xludf.DUMMYFUNCTION("""COMPUTED_VALUE"""),25.0)</f>
        <v>25</v>
      </c>
      <c r="K1045" s="1">
        <v>21.0</v>
      </c>
      <c r="L1045" s="1">
        <f>IFERROR(__xludf.DUMMYFUNCTION("""COMPUTED_VALUE"""),68.0)</f>
        <v>68</v>
      </c>
    </row>
    <row r="1046">
      <c r="A1046" s="1">
        <v>3201150.0</v>
      </c>
      <c r="B1046" s="1" t="s">
        <v>2331</v>
      </c>
      <c r="C1046" s="1" t="s">
        <v>2070</v>
      </c>
      <c r="D1046" s="1" t="s">
        <v>2097</v>
      </c>
      <c r="E1046" s="1" t="s">
        <v>2332</v>
      </c>
      <c r="F1046" s="1" t="s">
        <v>16</v>
      </c>
      <c r="G1046" s="1" t="s">
        <v>17</v>
      </c>
      <c r="H1046" s="1" t="s">
        <v>18</v>
      </c>
      <c r="I1046" s="1" t="s">
        <v>19</v>
      </c>
      <c r="J1046" s="1">
        <f>IFERROR(__xludf.DUMMYFUNCTION("""COMPUTED_VALUE"""),105.0)</f>
        <v>105</v>
      </c>
      <c r="K1046" s="1">
        <v>43.0</v>
      </c>
      <c r="L1046" s="1">
        <f>IFERROR(__xludf.DUMMYFUNCTION("""COMPUTED_VALUE"""),344.0)</f>
        <v>344</v>
      </c>
    </row>
    <row r="1047">
      <c r="A1047" s="1">
        <v>3201231.0</v>
      </c>
      <c r="B1047" s="1" t="s">
        <v>2333</v>
      </c>
      <c r="C1047" s="1" t="s">
        <v>2070</v>
      </c>
      <c r="D1047" s="1" t="s">
        <v>2097</v>
      </c>
      <c r="E1047" s="1" t="s">
        <v>2334</v>
      </c>
      <c r="F1047" s="1" t="s">
        <v>16</v>
      </c>
      <c r="G1047" s="1" t="s">
        <v>17</v>
      </c>
      <c r="H1047" s="1" t="s">
        <v>18</v>
      </c>
      <c r="I1047" s="1" t="s">
        <v>44</v>
      </c>
      <c r="J1047" s="1">
        <f>IFERROR(__xludf.DUMMYFUNCTION("""COMPUTED_VALUE"""),108.0)</f>
        <v>108</v>
      </c>
      <c r="K1047" s="1">
        <v>42.0</v>
      </c>
      <c r="L1047" s="1">
        <f>IFERROR(__xludf.DUMMYFUNCTION("""COMPUTED_VALUE"""),282.0)</f>
        <v>282</v>
      </c>
    </row>
    <row r="1048">
      <c r="A1048" s="1">
        <v>3201050.0</v>
      </c>
      <c r="B1048" s="1" t="s">
        <v>2335</v>
      </c>
      <c r="C1048" s="1" t="s">
        <v>2070</v>
      </c>
      <c r="D1048" s="1" t="s">
        <v>2097</v>
      </c>
      <c r="E1048" s="1" t="s">
        <v>2336</v>
      </c>
      <c r="F1048" s="1" t="s">
        <v>16</v>
      </c>
      <c r="G1048" s="1" t="s">
        <v>27</v>
      </c>
      <c r="H1048" s="1" t="s">
        <v>28</v>
      </c>
      <c r="I1048" s="1" t="s">
        <v>40</v>
      </c>
      <c r="J1048" s="1">
        <f>IFERROR(__xludf.DUMMYFUNCTION("""COMPUTED_VALUE"""),421.0)</f>
        <v>421</v>
      </c>
      <c r="K1048" s="1">
        <v>81.0</v>
      </c>
      <c r="L1048" s="1">
        <f>IFERROR(__xludf.DUMMYFUNCTION("""COMPUTED_VALUE"""),813.0)</f>
        <v>813</v>
      </c>
    </row>
    <row r="1049">
      <c r="A1049" s="1">
        <v>3273074.0</v>
      </c>
      <c r="B1049" s="1" t="s">
        <v>2337</v>
      </c>
      <c r="C1049" s="1" t="s">
        <v>2070</v>
      </c>
      <c r="D1049" s="1" t="s">
        <v>2088</v>
      </c>
      <c r="E1049" s="1" t="s">
        <v>2338</v>
      </c>
      <c r="F1049" s="1" t="s">
        <v>16</v>
      </c>
      <c r="G1049" s="1" t="s">
        <v>27</v>
      </c>
      <c r="H1049" s="1" t="s">
        <v>18</v>
      </c>
      <c r="I1049" s="1" t="s">
        <v>249</v>
      </c>
      <c r="J1049" s="1">
        <f>IFERROR(__xludf.DUMMYFUNCTION("""COMPUTED_VALUE"""),350.0)</f>
        <v>350</v>
      </c>
      <c r="K1049" s="1">
        <v>140.0</v>
      </c>
      <c r="L1049" s="1">
        <f>IFERROR(__xludf.DUMMYFUNCTION("""COMPUTED_VALUE"""),1656.0)</f>
        <v>1656</v>
      </c>
    </row>
    <row r="1050">
      <c r="A1050" s="1">
        <v>3209133.0</v>
      </c>
      <c r="B1050" s="1" t="s">
        <v>1746</v>
      </c>
      <c r="C1050" s="1" t="s">
        <v>2070</v>
      </c>
      <c r="D1050" s="1" t="s">
        <v>2106</v>
      </c>
      <c r="E1050" s="1" t="s">
        <v>2339</v>
      </c>
      <c r="F1050" s="1" t="s">
        <v>16</v>
      </c>
      <c r="G1050" s="1" t="s">
        <v>27</v>
      </c>
      <c r="H1050" s="1" t="s">
        <v>18</v>
      </c>
      <c r="I1050" s="1" t="s">
        <v>19</v>
      </c>
      <c r="J1050" s="1">
        <f>IFERROR(__xludf.DUMMYFUNCTION("""COMPUTED_VALUE"""),265.0)</f>
        <v>265</v>
      </c>
      <c r="K1050" s="1">
        <v>92.0</v>
      </c>
      <c r="L1050" s="1">
        <f>IFERROR(__xludf.DUMMYFUNCTION("""COMPUTED_VALUE"""),472.0)</f>
        <v>472</v>
      </c>
    </row>
    <row r="1051">
      <c r="A1051" s="1">
        <v>3201196.0</v>
      </c>
      <c r="B1051" s="1" t="s">
        <v>2340</v>
      </c>
      <c r="C1051" s="1" t="s">
        <v>2070</v>
      </c>
      <c r="D1051" s="1" t="s">
        <v>2082</v>
      </c>
      <c r="E1051" s="1" t="s">
        <v>2341</v>
      </c>
      <c r="F1051" s="1" t="s">
        <v>16</v>
      </c>
      <c r="G1051" s="1" t="s">
        <v>17</v>
      </c>
      <c r="H1051" s="1" t="s">
        <v>18</v>
      </c>
      <c r="I1051" s="1" t="s">
        <v>19</v>
      </c>
      <c r="J1051" s="1">
        <f>IFERROR(__xludf.DUMMYFUNCTION("""COMPUTED_VALUE"""),111.0)</f>
        <v>111</v>
      </c>
      <c r="K1051" s="1">
        <v>89.0</v>
      </c>
      <c r="L1051" s="1">
        <f>IFERROR(__xludf.DUMMYFUNCTION("""COMPUTED_VALUE"""),256.0)</f>
        <v>256</v>
      </c>
    </row>
    <row r="1052">
      <c r="A1052" s="1">
        <v>3273201.0</v>
      </c>
      <c r="B1052" s="1" t="s">
        <v>2342</v>
      </c>
      <c r="C1052" s="1" t="s">
        <v>2070</v>
      </c>
      <c r="D1052" s="1" t="s">
        <v>2088</v>
      </c>
      <c r="E1052" s="1" t="s">
        <v>2343</v>
      </c>
      <c r="F1052" s="1" t="s">
        <v>473</v>
      </c>
      <c r="G1052" s="1" t="s">
        <v>150</v>
      </c>
      <c r="H1052" s="1" t="s">
        <v>33</v>
      </c>
      <c r="I1052" s="1" t="s">
        <v>411</v>
      </c>
      <c r="J1052" s="1">
        <f>IFERROR(__xludf.DUMMYFUNCTION("""COMPUTED_VALUE"""),7.0)</f>
        <v>7</v>
      </c>
      <c r="K1052" s="1">
        <v>37.0</v>
      </c>
      <c r="L1052" s="1">
        <f>IFERROR(__xludf.DUMMYFUNCTION("""COMPUTED_VALUE"""),369.0)</f>
        <v>369</v>
      </c>
    </row>
    <row r="1053">
      <c r="A1053" s="1">
        <v>3279004.0</v>
      </c>
      <c r="B1053" s="1" t="s">
        <v>2344</v>
      </c>
      <c r="C1053" s="1" t="s">
        <v>2070</v>
      </c>
      <c r="D1053" s="1" t="s">
        <v>2149</v>
      </c>
      <c r="E1053" s="1" t="s">
        <v>2345</v>
      </c>
      <c r="F1053" s="1" t="s">
        <v>16</v>
      </c>
      <c r="G1053" s="1" t="s">
        <v>23</v>
      </c>
      <c r="H1053" s="1" t="s">
        <v>18</v>
      </c>
      <c r="I1053" s="1" t="s">
        <v>29</v>
      </c>
      <c r="J1053" s="1">
        <f>IFERROR(__xludf.DUMMYFUNCTION("""COMPUTED_VALUE"""),111.0)</f>
        <v>111</v>
      </c>
      <c r="K1053" s="1">
        <v>21.0</v>
      </c>
      <c r="L1053" s="1">
        <f>IFERROR(__xludf.DUMMYFUNCTION("""COMPUTED_VALUE"""),24.0)</f>
        <v>24</v>
      </c>
    </row>
    <row r="1054">
      <c r="A1054" s="1">
        <v>3275094.0</v>
      </c>
      <c r="B1054" s="1" t="s">
        <v>2346</v>
      </c>
      <c r="C1054" s="1" t="s">
        <v>2070</v>
      </c>
      <c r="D1054" s="1" t="s">
        <v>2119</v>
      </c>
      <c r="E1054" s="1" t="s">
        <v>2347</v>
      </c>
      <c r="F1054" s="1" t="s">
        <v>16</v>
      </c>
      <c r="G1054" s="1" t="s">
        <v>27</v>
      </c>
      <c r="H1054" s="1" t="s">
        <v>18</v>
      </c>
      <c r="I1054" s="1" t="s">
        <v>19</v>
      </c>
      <c r="J1054" s="1">
        <f>IFERROR(__xludf.DUMMYFUNCTION("""COMPUTED_VALUE"""),205.0)</f>
        <v>205</v>
      </c>
      <c r="K1054" s="1">
        <v>56.0</v>
      </c>
      <c r="L1054" s="1">
        <f>IFERROR(__xludf.DUMMYFUNCTION("""COMPUTED_VALUE"""),712.0)</f>
        <v>712</v>
      </c>
    </row>
    <row r="1055">
      <c r="A1055" s="1">
        <v>3215160.0</v>
      </c>
      <c r="B1055" s="1" t="s">
        <v>2348</v>
      </c>
      <c r="C1055" s="1" t="s">
        <v>2070</v>
      </c>
      <c r="D1055" s="1" t="s">
        <v>2071</v>
      </c>
      <c r="E1055" s="1" t="s">
        <v>2349</v>
      </c>
      <c r="F1055" s="1" t="s">
        <v>16</v>
      </c>
      <c r="G1055" s="1" t="s">
        <v>17</v>
      </c>
      <c r="H1055" s="1" t="s">
        <v>18</v>
      </c>
      <c r="I1055" s="1" t="s">
        <v>44</v>
      </c>
      <c r="J1055" s="1">
        <f>IFERROR(__xludf.DUMMYFUNCTION("""COMPUTED_VALUE"""),100.0)</f>
        <v>100</v>
      </c>
      <c r="K1055" s="1">
        <v>46.0</v>
      </c>
      <c r="L1055" s="1">
        <f>IFERROR(__xludf.DUMMYFUNCTION("""COMPUTED_VALUE"""),237.0)</f>
        <v>237</v>
      </c>
    </row>
    <row r="1056">
      <c r="A1056" s="1">
        <v>3217004.0</v>
      </c>
      <c r="B1056" s="1" t="s">
        <v>2350</v>
      </c>
      <c r="C1056" s="1" t="s">
        <v>2070</v>
      </c>
      <c r="D1056" s="1" t="s">
        <v>2144</v>
      </c>
      <c r="E1056" s="1" t="s">
        <v>2351</v>
      </c>
      <c r="F1056" s="1" t="s">
        <v>16</v>
      </c>
      <c r="G1056" s="1" t="s">
        <v>17</v>
      </c>
      <c r="H1056" s="1" t="s">
        <v>28</v>
      </c>
      <c r="I1056" s="1" t="s">
        <v>40</v>
      </c>
      <c r="J1056" s="1">
        <f>IFERROR(__xludf.DUMMYFUNCTION("""COMPUTED_VALUE"""),99.0)</f>
        <v>99</v>
      </c>
      <c r="K1056" s="1">
        <v>31.0</v>
      </c>
      <c r="L1056" s="1">
        <f>IFERROR(__xludf.DUMMYFUNCTION("""COMPUTED_VALUE"""),223.0)</f>
        <v>223</v>
      </c>
    </row>
    <row r="1057">
      <c r="A1057" s="1">
        <v>3215146.0</v>
      </c>
      <c r="B1057" s="1" t="s">
        <v>2352</v>
      </c>
      <c r="C1057" s="1" t="s">
        <v>2070</v>
      </c>
      <c r="D1057" s="1" t="s">
        <v>2071</v>
      </c>
      <c r="E1057" s="1" t="s">
        <v>2353</v>
      </c>
      <c r="F1057" s="1" t="s">
        <v>16</v>
      </c>
      <c r="G1057" s="1" t="s">
        <v>17</v>
      </c>
      <c r="H1057" s="1" t="s">
        <v>28</v>
      </c>
      <c r="I1057" s="1" t="s">
        <v>40</v>
      </c>
      <c r="J1057" s="1">
        <f>IFERROR(__xludf.DUMMYFUNCTION("""COMPUTED_VALUE"""),118.0)</f>
        <v>118</v>
      </c>
      <c r="K1057" s="1">
        <v>34.0</v>
      </c>
      <c r="L1057" s="1">
        <f>IFERROR(__xludf.DUMMYFUNCTION("""COMPUTED_VALUE"""),269.0)</f>
        <v>269</v>
      </c>
    </row>
    <row r="1058">
      <c r="A1058" s="1">
        <v>3216285.0</v>
      </c>
      <c r="B1058" s="1" t="s">
        <v>2354</v>
      </c>
      <c r="C1058" s="1" t="s">
        <v>2070</v>
      </c>
      <c r="D1058" s="1" t="s">
        <v>2119</v>
      </c>
      <c r="E1058" s="1" t="s">
        <v>2355</v>
      </c>
      <c r="F1058" s="1" t="s">
        <v>16</v>
      </c>
      <c r="G1058" s="1" t="s">
        <v>17</v>
      </c>
      <c r="H1058" s="1" t="s">
        <v>18</v>
      </c>
      <c r="I1058" s="1" t="s">
        <v>59</v>
      </c>
      <c r="J1058" s="1">
        <f>IFERROR(__xludf.DUMMYFUNCTION("""COMPUTED_VALUE"""),100.0)</f>
        <v>100</v>
      </c>
      <c r="K1058" s="1">
        <v>33.0</v>
      </c>
      <c r="L1058" s="1">
        <f>IFERROR(__xludf.DUMMYFUNCTION("""COMPUTED_VALUE"""),195.0)</f>
        <v>195</v>
      </c>
    </row>
    <row r="1059">
      <c r="A1059" s="1">
        <v>3202084.0</v>
      </c>
      <c r="B1059" s="1" t="s">
        <v>2356</v>
      </c>
      <c r="C1059" s="1" t="s">
        <v>2070</v>
      </c>
      <c r="D1059" s="1" t="s">
        <v>2085</v>
      </c>
      <c r="E1059" s="1" t="s">
        <v>2357</v>
      </c>
      <c r="F1059" s="1" t="s">
        <v>16</v>
      </c>
      <c r="G1059" s="1" t="s">
        <v>17</v>
      </c>
      <c r="H1059" s="1" t="s">
        <v>18</v>
      </c>
      <c r="I1059" s="1" t="s">
        <v>19</v>
      </c>
      <c r="J1059" s="1">
        <f>IFERROR(__xludf.DUMMYFUNCTION("""COMPUTED_VALUE"""),166.0)</f>
        <v>166</v>
      </c>
      <c r="K1059" s="1">
        <v>58.0</v>
      </c>
      <c r="L1059" s="1">
        <f>IFERROR(__xludf.DUMMYFUNCTION("""COMPUTED_VALUE"""),173.0)</f>
        <v>173</v>
      </c>
    </row>
    <row r="1060">
      <c r="A1060" s="1">
        <v>3209014.0</v>
      </c>
      <c r="B1060" s="1" t="s">
        <v>2358</v>
      </c>
      <c r="C1060" s="1" t="s">
        <v>2070</v>
      </c>
      <c r="D1060" s="1" t="s">
        <v>2106</v>
      </c>
      <c r="E1060" s="1" t="s">
        <v>2359</v>
      </c>
      <c r="F1060" s="1" t="s">
        <v>16</v>
      </c>
      <c r="G1060" s="1" t="s">
        <v>27</v>
      </c>
      <c r="H1060" s="1" t="s">
        <v>28</v>
      </c>
      <c r="I1060" s="1" t="s">
        <v>40</v>
      </c>
      <c r="J1060" s="1">
        <f>IFERROR(__xludf.DUMMYFUNCTION("""COMPUTED_VALUE"""),306.0)</f>
        <v>306</v>
      </c>
      <c r="K1060" s="1">
        <v>82.0</v>
      </c>
      <c r="L1060" s="1">
        <f>IFERROR(__xludf.DUMMYFUNCTION("""COMPUTED_VALUE"""),733.0)</f>
        <v>733</v>
      </c>
    </row>
    <row r="1061">
      <c r="A1061" s="1">
        <v>3215045.0</v>
      </c>
      <c r="B1061" s="1" t="s">
        <v>2360</v>
      </c>
      <c r="C1061" s="1" t="s">
        <v>2070</v>
      </c>
      <c r="D1061" s="1" t="s">
        <v>2071</v>
      </c>
      <c r="E1061" s="1" t="s">
        <v>2361</v>
      </c>
      <c r="F1061" s="1" t="s">
        <v>16</v>
      </c>
      <c r="G1061" s="1" t="s">
        <v>17</v>
      </c>
      <c r="H1061" s="1" t="s">
        <v>18</v>
      </c>
      <c r="I1061" s="1" t="s">
        <v>19</v>
      </c>
      <c r="J1061" s="1">
        <f>IFERROR(__xludf.DUMMYFUNCTION("""COMPUTED_VALUE"""),173.0)</f>
        <v>173</v>
      </c>
      <c r="K1061" s="1">
        <v>44.0</v>
      </c>
      <c r="L1061" s="1">
        <f>IFERROR(__xludf.DUMMYFUNCTION("""COMPUTED_VALUE"""),571.0)</f>
        <v>571</v>
      </c>
    </row>
    <row r="1062">
      <c r="A1062" s="1">
        <v>3216393.0</v>
      </c>
      <c r="B1062" s="1" t="s">
        <v>2362</v>
      </c>
      <c r="C1062" s="1" t="s">
        <v>2070</v>
      </c>
      <c r="D1062" s="1" t="s">
        <v>2079</v>
      </c>
      <c r="E1062" s="1" t="s">
        <v>2363</v>
      </c>
      <c r="F1062" s="1" t="s">
        <v>16</v>
      </c>
      <c r="G1062" s="1" t="s">
        <v>27</v>
      </c>
      <c r="H1062" s="1" t="s">
        <v>18</v>
      </c>
      <c r="I1062" s="1" t="s">
        <v>44</v>
      </c>
      <c r="J1062" s="1">
        <f>IFERROR(__xludf.DUMMYFUNCTION("""COMPUTED_VALUE"""),200.0)</f>
        <v>200</v>
      </c>
      <c r="K1062" s="1">
        <v>76.0</v>
      </c>
      <c r="L1062" s="1">
        <f>IFERROR(__xludf.DUMMYFUNCTION("""COMPUTED_VALUE"""),344.0)</f>
        <v>344</v>
      </c>
    </row>
    <row r="1063">
      <c r="A1063" s="1">
        <v>3209054.0</v>
      </c>
      <c r="B1063" s="1" t="s">
        <v>2364</v>
      </c>
      <c r="C1063" s="1" t="s">
        <v>2070</v>
      </c>
      <c r="D1063" s="1" t="s">
        <v>2106</v>
      </c>
      <c r="E1063" s="1" t="s">
        <v>2365</v>
      </c>
      <c r="F1063" s="1" t="s">
        <v>16</v>
      </c>
      <c r="G1063" s="1" t="s">
        <v>27</v>
      </c>
      <c r="H1063" s="1" t="s">
        <v>18</v>
      </c>
      <c r="I1063" s="1" t="s">
        <v>19</v>
      </c>
      <c r="J1063" s="1">
        <f>IFERROR(__xludf.DUMMYFUNCTION("""COMPUTED_VALUE"""),195.0)</f>
        <v>195</v>
      </c>
      <c r="K1063" s="1">
        <v>68.0</v>
      </c>
      <c r="L1063" s="1">
        <f>IFERROR(__xludf.DUMMYFUNCTION("""COMPUTED_VALUE"""),486.0)</f>
        <v>486</v>
      </c>
    </row>
    <row r="1064">
      <c r="A1064" s="1">
        <v>3271166.0</v>
      </c>
      <c r="B1064" s="1" t="s">
        <v>2366</v>
      </c>
      <c r="C1064" s="1" t="s">
        <v>2070</v>
      </c>
      <c r="D1064" s="1" t="s">
        <v>2173</v>
      </c>
      <c r="E1064" s="1" t="s">
        <v>2367</v>
      </c>
      <c r="F1064" s="1" t="s">
        <v>16</v>
      </c>
      <c r="G1064" s="1" t="s">
        <v>23</v>
      </c>
      <c r="H1064" s="1" t="s">
        <v>18</v>
      </c>
      <c r="I1064" s="1" t="s">
        <v>65</v>
      </c>
      <c r="J1064" s="1">
        <f>IFERROR(__xludf.DUMMYFUNCTION("""COMPUTED_VALUE"""),65.0)</f>
        <v>65</v>
      </c>
      <c r="K1064" s="1">
        <v>20.0</v>
      </c>
      <c r="L1064" s="1">
        <f>IFERROR(__xludf.DUMMYFUNCTION("""COMPUTED_VALUE"""),30.0)</f>
        <v>30</v>
      </c>
    </row>
    <row r="1065">
      <c r="A1065" s="1">
        <v>3272051.0</v>
      </c>
      <c r="B1065" s="1" t="s">
        <v>2368</v>
      </c>
      <c r="C1065" s="1" t="s">
        <v>2070</v>
      </c>
      <c r="D1065" s="1" t="s">
        <v>2289</v>
      </c>
      <c r="E1065" s="1" t="s">
        <v>2369</v>
      </c>
      <c r="F1065" s="1" t="s">
        <v>16</v>
      </c>
      <c r="G1065" s="1" t="s">
        <v>17</v>
      </c>
      <c r="H1065" s="1" t="s">
        <v>18</v>
      </c>
      <c r="I1065" s="1" t="s">
        <v>59</v>
      </c>
      <c r="J1065" s="1">
        <f>IFERROR(__xludf.DUMMYFUNCTION("""COMPUTED_VALUE"""),174.0)</f>
        <v>174</v>
      </c>
      <c r="K1065" s="1">
        <v>40.0</v>
      </c>
      <c r="L1065" s="1">
        <f>IFERROR(__xludf.DUMMYFUNCTION("""COMPUTED_VALUE"""),472.0)</f>
        <v>472</v>
      </c>
    </row>
    <row r="1066">
      <c r="A1066" s="1">
        <v>3215012.0</v>
      </c>
      <c r="B1066" s="1" t="s">
        <v>2370</v>
      </c>
      <c r="C1066" s="1" t="s">
        <v>2070</v>
      </c>
      <c r="D1066" s="1" t="s">
        <v>2071</v>
      </c>
      <c r="E1066" s="1" t="s">
        <v>2371</v>
      </c>
      <c r="F1066" s="1" t="s">
        <v>16</v>
      </c>
      <c r="G1066" s="1" t="s">
        <v>27</v>
      </c>
      <c r="H1066" s="1" t="s">
        <v>28</v>
      </c>
      <c r="I1066" s="1" t="s">
        <v>40</v>
      </c>
      <c r="J1066" s="1">
        <f>IFERROR(__xludf.DUMMYFUNCTION("""COMPUTED_VALUE"""),374.0)</f>
        <v>374</v>
      </c>
      <c r="K1066" s="1">
        <v>75.0</v>
      </c>
      <c r="L1066" s="1">
        <f>IFERROR(__xludf.DUMMYFUNCTION("""COMPUTED_VALUE"""),1417.0)</f>
        <v>1417</v>
      </c>
    </row>
    <row r="1067">
      <c r="A1067" s="1">
        <v>3216389.0</v>
      </c>
      <c r="B1067" s="1" t="s">
        <v>2372</v>
      </c>
      <c r="C1067" s="1" t="s">
        <v>2070</v>
      </c>
      <c r="D1067" s="1" t="s">
        <v>2119</v>
      </c>
      <c r="E1067" s="1" t="s">
        <v>2373</v>
      </c>
      <c r="F1067" s="1" t="s">
        <v>16</v>
      </c>
      <c r="G1067" s="1" t="s">
        <v>17</v>
      </c>
      <c r="H1067" s="1" t="s">
        <v>18</v>
      </c>
      <c r="I1067" s="1" t="s">
        <v>44</v>
      </c>
      <c r="J1067" s="1">
        <f>IFERROR(__xludf.DUMMYFUNCTION("""COMPUTED_VALUE"""),114.0)</f>
        <v>114</v>
      </c>
      <c r="K1067" s="1">
        <v>73.0</v>
      </c>
      <c r="L1067" s="1">
        <f>IFERROR(__xludf.DUMMYFUNCTION("""COMPUTED_VALUE"""),549.0)</f>
        <v>549</v>
      </c>
    </row>
    <row r="1068">
      <c r="A1068" s="1">
        <v>3205039.0</v>
      </c>
      <c r="B1068" s="1" t="s">
        <v>2374</v>
      </c>
      <c r="C1068" s="1" t="s">
        <v>2070</v>
      </c>
      <c r="D1068" s="1" t="s">
        <v>2214</v>
      </c>
      <c r="E1068" s="1" t="s">
        <v>2375</v>
      </c>
      <c r="F1068" s="1" t="s">
        <v>16</v>
      </c>
      <c r="G1068" s="1" t="s">
        <v>23</v>
      </c>
      <c r="H1068" s="1" t="s">
        <v>18</v>
      </c>
      <c r="I1068" s="1" t="s">
        <v>19</v>
      </c>
      <c r="J1068" s="1">
        <f>IFERROR(__xludf.DUMMYFUNCTION("""COMPUTED_VALUE"""),65.0)</f>
        <v>65</v>
      </c>
      <c r="K1068" s="1">
        <v>19.0</v>
      </c>
      <c r="L1068" s="1">
        <f>IFERROR(__xludf.DUMMYFUNCTION("""COMPUTED_VALUE"""),182.0)</f>
        <v>182</v>
      </c>
    </row>
    <row r="1069">
      <c r="A1069" s="1">
        <v>3215134.0</v>
      </c>
      <c r="B1069" s="1" t="s">
        <v>2376</v>
      </c>
      <c r="C1069" s="1" t="s">
        <v>2070</v>
      </c>
      <c r="D1069" s="1" t="s">
        <v>2071</v>
      </c>
      <c r="E1069" s="1" t="s">
        <v>2377</v>
      </c>
      <c r="F1069" s="1" t="s">
        <v>16</v>
      </c>
      <c r="G1069" s="1" t="s">
        <v>17</v>
      </c>
      <c r="H1069" s="1" t="s">
        <v>18</v>
      </c>
      <c r="I1069" s="1" t="s">
        <v>19</v>
      </c>
      <c r="J1069" s="1">
        <f>IFERROR(__xludf.DUMMYFUNCTION("""COMPUTED_VALUE"""),179.0)</f>
        <v>179</v>
      </c>
      <c r="K1069" s="1">
        <v>46.0</v>
      </c>
      <c r="L1069" s="1">
        <f>IFERROR(__xludf.DUMMYFUNCTION("""COMPUTED_VALUE"""),243.0)</f>
        <v>243</v>
      </c>
    </row>
    <row r="1070">
      <c r="A1070" s="1">
        <v>3215164.0</v>
      </c>
      <c r="B1070" s="1" t="s">
        <v>2378</v>
      </c>
      <c r="C1070" s="1" t="s">
        <v>2070</v>
      </c>
      <c r="D1070" s="1" t="s">
        <v>2071</v>
      </c>
      <c r="E1070" s="1" t="s">
        <v>2379</v>
      </c>
      <c r="F1070" s="1" t="s">
        <v>16</v>
      </c>
      <c r="G1070" s="1" t="s">
        <v>23</v>
      </c>
      <c r="H1070" s="1" t="s">
        <v>18</v>
      </c>
      <c r="I1070" s="1" t="s">
        <v>44</v>
      </c>
      <c r="J1070" s="1">
        <f>IFERROR(__xludf.DUMMYFUNCTION("""COMPUTED_VALUE"""),90.0)</f>
        <v>90</v>
      </c>
      <c r="K1070" s="1">
        <v>23.0</v>
      </c>
      <c r="L1070" s="1">
        <f>IFERROR(__xludf.DUMMYFUNCTION("""COMPUTED_VALUE"""),47.0)</f>
        <v>47</v>
      </c>
    </row>
    <row r="1071">
      <c r="A1071" s="1">
        <v>3216463.0</v>
      </c>
      <c r="B1071" s="1" t="s">
        <v>2380</v>
      </c>
      <c r="C1071" s="1" t="s">
        <v>2070</v>
      </c>
      <c r="D1071" s="1" t="s">
        <v>2079</v>
      </c>
      <c r="E1071" s="1" t="s">
        <v>2381</v>
      </c>
      <c r="F1071" s="1" t="s">
        <v>16</v>
      </c>
      <c r="G1071" s="1" t="s">
        <v>17</v>
      </c>
      <c r="H1071" s="1" t="s">
        <v>18</v>
      </c>
      <c r="I1071" s="1" t="s">
        <v>44</v>
      </c>
      <c r="J1071" s="1">
        <f>IFERROR(__xludf.DUMMYFUNCTION("""COMPUTED_VALUE"""),107.0)</f>
        <v>107</v>
      </c>
      <c r="K1071" s="1">
        <v>16.0</v>
      </c>
      <c r="L1071" s="1">
        <f>IFERROR(__xludf.DUMMYFUNCTION("""COMPUTED_VALUE"""),182.0)</f>
        <v>182</v>
      </c>
    </row>
    <row r="1072">
      <c r="A1072" s="1">
        <v>3204016.0</v>
      </c>
      <c r="B1072" s="1" t="s">
        <v>2382</v>
      </c>
      <c r="C1072" s="1" t="s">
        <v>2070</v>
      </c>
      <c r="D1072" s="1" t="s">
        <v>2091</v>
      </c>
      <c r="E1072" s="1" t="s">
        <v>2383</v>
      </c>
      <c r="F1072" s="1" t="s">
        <v>16</v>
      </c>
      <c r="G1072" s="1" t="s">
        <v>27</v>
      </c>
      <c r="H1072" s="1" t="s">
        <v>28</v>
      </c>
      <c r="I1072" s="1" t="s">
        <v>40</v>
      </c>
      <c r="J1072" s="1">
        <f>IFERROR(__xludf.DUMMYFUNCTION("""COMPUTED_VALUE"""),383.0)</f>
        <v>383</v>
      </c>
      <c r="K1072" s="1">
        <v>113.0</v>
      </c>
      <c r="L1072" s="1">
        <f>IFERROR(__xludf.DUMMYFUNCTION("""COMPUTED_VALUE"""),690.0)</f>
        <v>690</v>
      </c>
    </row>
    <row r="1073">
      <c r="A1073" s="1">
        <v>3273517.0</v>
      </c>
      <c r="B1073" s="1" t="s">
        <v>2384</v>
      </c>
      <c r="C1073" s="1" t="s">
        <v>2070</v>
      </c>
      <c r="D1073" s="1" t="s">
        <v>2091</v>
      </c>
      <c r="E1073" s="1" t="s">
        <v>2385</v>
      </c>
      <c r="F1073" s="1" t="s">
        <v>16</v>
      </c>
      <c r="G1073" s="1" t="s">
        <v>17</v>
      </c>
      <c r="H1073" s="1" t="s">
        <v>18</v>
      </c>
      <c r="I1073" s="1" t="s">
        <v>44</v>
      </c>
      <c r="J1073" s="1">
        <f>IFERROR(__xludf.DUMMYFUNCTION("""COMPUTED_VALUE"""),166.0)</f>
        <v>166</v>
      </c>
      <c r="K1073" s="1">
        <v>46.0</v>
      </c>
      <c r="L1073" s="1">
        <f>IFERROR(__xludf.DUMMYFUNCTION("""COMPUTED_VALUE"""),846.0)</f>
        <v>846</v>
      </c>
    </row>
    <row r="1074">
      <c r="A1074" s="1">
        <v>3201230.0</v>
      </c>
      <c r="B1074" s="1" t="s">
        <v>2386</v>
      </c>
      <c r="C1074" s="1" t="s">
        <v>2070</v>
      </c>
      <c r="D1074" s="1" t="s">
        <v>2097</v>
      </c>
      <c r="E1074" s="1" t="s">
        <v>2387</v>
      </c>
      <c r="F1074" s="1" t="s">
        <v>16</v>
      </c>
      <c r="G1074" s="1" t="s">
        <v>27</v>
      </c>
      <c r="H1074" s="1" t="s">
        <v>18</v>
      </c>
      <c r="I1074" s="1" t="s">
        <v>19</v>
      </c>
      <c r="J1074" s="1">
        <f>IFERROR(__xludf.DUMMYFUNCTION("""COMPUTED_VALUE"""),225.0)</f>
        <v>225</v>
      </c>
      <c r="K1074" s="1">
        <v>46.0</v>
      </c>
      <c r="L1074" s="1">
        <f>IFERROR(__xludf.DUMMYFUNCTION("""COMPUTED_VALUE"""),863.0)</f>
        <v>863</v>
      </c>
    </row>
    <row r="1075">
      <c r="A1075" s="1">
        <v>3206083.0</v>
      </c>
      <c r="B1075" s="1" t="s">
        <v>2388</v>
      </c>
      <c r="C1075" s="1" t="s">
        <v>2070</v>
      </c>
      <c r="D1075" s="1" t="s">
        <v>2077</v>
      </c>
      <c r="E1075" s="1" t="s">
        <v>2389</v>
      </c>
      <c r="F1075" s="1" t="s">
        <v>55</v>
      </c>
      <c r="G1075" s="1" t="s">
        <v>17</v>
      </c>
      <c r="H1075" s="1" t="s">
        <v>18</v>
      </c>
      <c r="I1075" s="1" t="s">
        <v>59</v>
      </c>
      <c r="J1075" s="1">
        <f>IFERROR(__xludf.DUMMYFUNCTION("""COMPUTED_VALUE"""),30.0)</f>
        <v>30</v>
      </c>
      <c r="K1075" s="1">
        <v>25.0</v>
      </c>
      <c r="L1075" s="1">
        <f>IFERROR(__xludf.DUMMYFUNCTION("""COMPUTED_VALUE"""),75.0)</f>
        <v>75</v>
      </c>
    </row>
    <row r="1076">
      <c r="A1076" s="1">
        <v>3272075.0</v>
      </c>
      <c r="B1076" s="1" t="s">
        <v>2390</v>
      </c>
      <c r="C1076" s="1" t="s">
        <v>2070</v>
      </c>
      <c r="D1076" s="1" t="s">
        <v>2289</v>
      </c>
      <c r="E1076" s="1" t="s">
        <v>2391</v>
      </c>
      <c r="F1076" s="1" t="s">
        <v>16</v>
      </c>
      <c r="G1076" s="1" t="s">
        <v>23</v>
      </c>
      <c r="H1076" s="1" t="s">
        <v>28</v>
      </c>
      <c r="I1076" s="1" t="s">
        <v>29</v>
      </c>
      <c r="J1076" s="1">
        <f>IFERROR(__xludf.DUMMYFUNCTION("""COMPUTED_VALUE"""),50.0)</f>
        <v>50</v>
      </c>
      <c r="K1076" s="1">
        <v>20.0</v>
      </c>
      <c r="L1076" s="1">
        <f>IFERROR(__xludf.DUMMYFUNCTION("""COMPUTED_VALUE"""),167.0)</f>
        <v>167</v>
      </c>
    </row>
    <row r="1077">
      <c r="A1077" s="1">
        <v>3201256.0</v>
      </c>
      <c r="B1077" s="1" t="s">
        <v>2392</v>
      </c>
      <c r="C1077" s="1" t="s">
        <v>2070</v>
      </c>
      <c r="D1077" s="1" t="s">
        <v>2082</v>
      </c>
      <c r="E1077" s="1" t="s">
        <v>2393</v>
      </c>
      <c r="F1077" s="1" t="s">
        <v>16</v>
      </c>
      <c r="G1077" s="1" t="s">
        <v>150</v>
      </c>
      <c r="H1077" s="1" t="s">
        <v>18</v>
      </c>
      <c r="I1077" s="1" t="s">
        <v>34</v>
      </c>
      <c r="J1077" s="1">
        <f>IFERROR(__xludf.DUMMYFUNCTION("""COMPUTED_VALUE"""),300.0)</f>
        <v>300</v>
      </c>
      <c r="K1077" s="1">
        <v>147.0</v>
      </c>
      <c r="L1077" s="1">
        <f>IFERROR(__xludf.DUMMYFUNCTION("""COMPUTED_VALUE"""),120.0)</f>
        <v>120</v>
      </c>
    </row>
    <row r="1078">
      <c r="A1078" s="1">
        <v>3277023.0</v>
      </c>
      <c r="B1078" s="1" t="s">
        <v>2394</v>
      </c>
      <c r="C1078" s="1" t="s">
        <v>2070</v>
      </c>
      <c r="D1078" s="1" t="s">
        <v>2217</v>
      </c>
      <c r="E1078" s="1" t="s">
        <v>2395</v>
      </c>
      <c r="F1078" s="1" t="s">
        <v>16</v>
      </c>
      <c r="G1078" s="1" t="s">
        <v>23</v>
      </c>
      <c r="H1078" s="1" t="s">
        <v>18</v>
      </c>
      <c r="I1078" s="1" t="s">
        <v>44</v>
      </c>
      <c r="J1078" s="1">
        <f>IFERROR(__xludf.DUMMYFUNCTION("""COMPUTED_VALUE"""),86.0)</f>
        <v>86</v>
      </c>
      <c r="K1078" s="1">
        <v>30.0</v>
      </c>
      <c r="L1078" s="1">
        <f>IFERROR(__xludf.DUMMYFUNCTION("""COMPUTED_VALUE"""),16.0)</f>
        <v>16</v>
      </c>
    </row>
    <row r="1079">
      <c r="A1079" s="1">
        <v>3204172.0</v>
      </c>
      <c r="B1079" s="1" t="s">
        <v>2396</v>
      </c>
      <c r="C1079" s="1" t="s">
        <v>2070</v>
      </c>
      <c r="D1079" s="1" t="s">
        <v>2091</v>
      </c>
      <c r="E1079" s="1" t="s">
        <v>2397</v>
      </c>
      <c r="F1079" s="1" t="s">
        <v>16</v>
      </c>
      <c r="G1079" s="1" t="s">
        <v>23</v>
      </c>
      <c r="H1079" s="1" t="s">
        <v>18</v>
      </c>
      <c r="I1079" s="1" t="s">
        <v>40</v>
      </c>
      <c r="J1079" s="1">
        <f>IFERROR(__xludf.DUMMYFUNCTION("""COMPUTED_VALUE"""),54.0)</f>
        <v>54</v>
      </c>
      <c r="K1079" s="1">
        <v>26.0</v>
      </c>
      <c r="L1079" s="1">
        <f>IFERROR(__xludf.DUMMYFUNCTION("""COMPUTED_VALUE"""),182.0)</f>
        <v>182</v>
      </c>
    </row>
    <row r="1080">
      <c r="A1080" s="1">
        <v>3275196.0</v>
      </c>
      <c r="B1080" s="1" t="s">
        <v>2398</v>
      </c>
      <c r="C1080" s="1" t="s">
        <v>2070</v>
      </c>
      <c r="D1080" s="1" t="s">
        <v>2119</v>
      </c>
      <c r="E1080" s="1" t="s">
        <v>2399</v>
      </c>
      <c r="F1080" s="1" t="s">
        <v>16</v>
      </c>
      <c r="G1080" s="1" t="s">
        <v>17</v>
      </c>
      <c r="H1080" s="1" t="s">
        <v>18</v>
      </c>
      <c r="I1080" s="1" t="s">
        <v>19</v>
      </c>
      <c r="J1080" s="1">
        <f>IFERROR(__xludf.DUMMYFUNCTION("""COMPUTED_VALUE"""),101.0)</f>
        <v>101</v>
      </c>
      <c r="K1080" s="1">
        <v>71.0</v>
      </c>
      <c r="L1080" s="1">
        <f>IFERROR(__xludf.DUMMYFUNCTION("""COMPUTED_VALUE"""),228.0)</f>
        <v>228</v>
      </c>
    </row>
    <row r="1081">
      <c r="A1081" s="1">
        <v>3216444.0</v>
      </c>
      <c r="B1081" s="1" t="s">
        <v>2400</v>
      </c>
      <c r="C1081" s="1" t="s">
        <v>2070</v>
      </c>
      <c r="D1081" s="1" t="s">
        <v>2079</v>
      </c>
      <c r="E1081" s="1" t="s">
        <v>2401</v>
      </c>
      <c r="F1081" s="1" t="s">
        <v>16</v>
      </c>
      <c r="G1081" s="1" t="s">
        <v>17</v>
      </c>
      <c r="H1081" s="1" t="s">
        <v>18</v>
      </c>
      <c r="I1081" s="1" t="s">
        <v>163</v>
      </c>
      <c r="J1081" s="1">
        <f>IFERROR(__xludf.DUMMYFUNCTION("""COMPUTED_VALUE"""),101.0)</f>
        <v>101</v>
      </c>
      <c r="K1081" s="1">
        <v>28.0</v>
      </c>
      <c r="L1081" s="1">
        <f>IFERROR(__xludf.DUMMYFUNCTION("""COMPUTED_VALUE"""),103.0)</f>
        <v>103</v>
      </c>
    </row>
    <row r="1082">
      <c r="A1082" s="1">
        <v>3278081.0</v>
      </c>
      <c r="B1082" s="1" t="s">
        <v>2402</v>
      </c>
      <c r="C1082" s="1" t="s">
        <v>2070</v>
      </c>
      <c r="D1082" s="1" t="s">
        <v>2077</v>
      </c>
      <c r="E1082" s="1" t="s">
        <v>2403</v>
      </c>
      <c r="F1082" s="1" t="s">
        <v>16</v>
      </c>
      <c r="G1082" s="1" t="s">
        <v>17</v>
      </c>
      <c r="H1082" s="1" t="s">
        <v>18</v>
      </c>
      <c r="I1082" s="1" t="s">
        <v>19</v>
      </c>
      <c r="J1082" s="1">
        <f>IFERROR(__xludf.DUMMYFUNCTION("""COMPUTED_VALUE"""),106.0)</f>
        <v>106</v>
      </c>
      <c r="K1082" s="1">
        <v>29.0</v>
      </c>
      <c r="L1082" s="1">
        <f>IFERROR(__xludf.DUMMYFUNCTION("""COMPUTED_VALUE"""),277.0)</f>
        <v>277</v>
      </c>
    </row>
    <row r="1083">
      <c r="A1083" s="1">
        <v>3216374.0</v>
      </c>
      <c r="B1083" s="1" t="s">
        <v>2404</v>
      </c>
      <c r="C1083" s="1" t="s">
        <v>2070</v>
      </c>
      <c r="D1083" s="1" t="s">
        <v>2079</v>
      </c>
      <c r="E1083" s="1" t="s">
        <v>2405</v>
      </c>
      <c r="F1083" s="1" t="s">
        <v>16</v>
      </c>
      <c r="G1083" s="1" t="s">
        <v>17</v>
      </c>
      <c r="H1083" s="1" t="s">
        <v>18</v>
      </c>
      <c r="I1083" s="1" t="s">
        <v>44</v>
      </c>
      <c r="J1083" s="1">
        <f>IFERROR(__xludf.DUMMYFUNCTION("""COMPUTED_VALUE"""),175.0)</f>
        <v>175</v>
      </c>
      <c r="K1083" s="1">
        <v>28.0</v>
      </c>
      <c r="L1083" s="1">
        <f>IFERROR(__xludf.DUMMYFUNCTION("""COMPUTED_VALUE"""),11.0)</f>
        <v>11</v>
      </c>
    </row>
    <row r="1084">
      <c r="A1084" s="1">
        <v>3271164.0</v>
      </c>
      <c r="B1084" s="1" t="s">
        <v>2406</v>
      </c>
      <c r="C1084" s="1" t="s">
        <v>2070</v>
      </c>
      <c r="D1084" s="1" t="s">
        <v>2173</v>
      </c>
      <c r="E1084" s="1" t="s">
        <v>2407</v>
      </c>
      <c r="F1084" s="1" t="s">
        <v>16</v>
      </c>
      <c r="G1084" s="1" t="s">
        <v>17</v>
      </c>
      <c r="H1084" s="1" t="s">
        <v>18</v>
      </c>
      <c r="I1084" s="1" t="s">
        <v>44</v>
      </c>
      <c r="J1084" s="1">
        <f>IFERROR(__xludf.DUMMYFUNCTION("""COMPUTED_VALUE"""),120.0)</f>
        <v>120</v>
      </c>
      <c r="K1084" s="1">
        <v>35.0</v>
      </c>
      <c r="L1084" s="1">
        <f>IFERROR(__xludf.DUMMYFUNCTION("""COMPUTED_VALUE"""),151.0)</f>
        <v>151</v>
      </c>
    </row>
    <row r="1085">
      <c r="A1085" s="1">
        <v>3271072.0</v>
      </c>
      <c r="B1085" s="1" t="s">
        <v>2408</v>
      </c>
      <c r="C1085" s="1" t="s">
        <v>2070</v>
      </c>
      <c r="D1085" s="1" t="s">
        <v>2173</v>
      </c>
      <c r="E1085" s="1" t="s">
        <v>2409</v>
      </c>
      <c r="F1085" s="1" t="s">
        <v>16</v>
      </c>
      <c r="G1085" s="1" t="s">
        <v>17</v>
      </c>
      <c r="H1085" s="1" t="s">
        <v>18</v>
      </c>
      <c r="I1085" s="1" t="s">
        <v>44</v>
      </c>
      <c r="J1085" s="1">
        <f>IFERROR(__xludf.DUMMYFUNCTION("""COMPUTED_VALUE"""),103.0)</f>
        <v>103</v>
      </c>
      <c r="K1085" s="1">
        <v>76.0</v>
      </c>
      <c r="L1085" s="1">
        <f>IFERROR(__xludf.DUMMYFUNCTION("""COMPUTED_VALUE"""),296.0)</f>
        <v>296</v>
      </c>
    </row>
    <row r="1086">
      <c r="A1086" s="1">
        <v>3201232.0</v>
      </c>
      <c r="B1086" s="1" t="s">
        <v>2410</v>
      </c>
      <c r="C1086" s="1" t="s">
        <v>2070</v>
      </c>
      <c r="D1086" s="1" t="s">
        <v>2097</v>
      </c>
      <c r="E1086" s="1" t="s">
        <v>2411</v>
      </c>
      <c r="F1086" s="1" t="s">
        <v>16</v>
      </c>
      <c r="G1086" s="1" t="s">
        <v>27</v>
      </c>
      <c r="H1086" s="1" t="s">
        <v>28</v>
      </c>
      <c r="I1086" s="1" t="s">
        <v>40</v>
      </c>
      <c r="J1086" s="1">
        <f>IFERROR(__xludf.DUMMYFUNCTION("""COMPUTED_VALUE"""),299.0)</f>
        <v>299</v>
      </c>
      <c r="K1086" s="1">
        <v>38.0</v>
      </c>
      <c r="L1086" s="1">
        <f>IFERROR(__xludf.DUMMYFUNCTION("""COMPUTED_VALUE"""),213.0)</f>
        <v>213</v>
      </c>
    </row>
    <row r="1087">
      <c r="A1087" s="1">
        <v>3204124.0</v>
      </c>
      <c r="B1087" s="1" t="s">
        <v>2412</v>
      </c>
      <c r="C1087" s="1" t="s">
        <v>2070</v>
      </c>
      <c r="D1087" s="1" t="s">
        <v>2088</v>
      </c>
      <c r="E1087" s="1" t="s">
        <v>2413</v>
      </c>
      <c r="F1087" s="1" t="s">
        <v>32</v>
      </c>
      <c r="G1087" s="1" t="s">
        <v>27</v>
      </c>
      <c r="H1087" s="1" t="s">
        <v>18</v>
      </c>
      <c r="I1087" s="1" t="s">
        <v>19</v>
      </c>
      <c r="J1087" s="1">
        <f>IFERROR(__xludf.DUMMYFUNCTION("""COMPUTED_VALUE"""),13.0)</f>
        <v>13</v>
      </c>
      <c r="K1087" s="1">
        <v>24.0</v>
      </c>
      <c r="L1087" s="1">
        <f>IFERROR(__xludf.DUMMYFUNCTION("""COMPUTED_VALUE"""),157.0)</f>
        <v>157</v>
      </c>
    </row>
    <row r="1088">
      <c r="A1088" s="1">
        <v>3211026.0</v>
      </c>
      <c r="B1088" s="1" t="s">
        <v>2414</v>
      </c>
      <c r="C1088" s="1" t="s">
        <v>2070</v>
      </c>
      <c r="D1088" s="1" t="s">
        <v>2286</v>
      </c>
      <c r="E1088" s="1" t="s">
        <v>2415</v>
      </c>
      <c r="F1088" s="1" t="s">
        <v>16</v>
      </c>
      <c r="G1088" s="1" t="s">
        <v>17</v>
      </c>
      <c r="H1088" s="1" t="s">
        <v>18</v>
      </c>
      <c r="I1088" s="1" t="s">
        <v>19</v>
      </c>
      <c r="J1088" s="1">
        <f>IFERROR(__xludf.DUMMYFUNCTION("""COMPUTED_VALUE"""),126.0)</f>
        <v>126</v>
      </c>
      <c r="K1088" s="1">
        <v>103.0</v>
      </c>
      <c r="L1088" s="1">
        <f>IFERROR(__xludf.DUMMYFUNCTION("""COMPUTED_VALUE"""),310.0)</f>
        <v>310</v>
      </c>
    </row>
    <row r="1089">
      <c r="A1089" s="1">
        <v>3272062.0</v>
      </c>
      <c r="B1089" s="1" t="s">
        <v>2416</v>
      </c>
      <c r="C1089" s="1" t="s">
        <v>2070</v>
      </c>
      <c r="D1089" s="1" t="s">
        <v>2289</v>
      </c>
      <c r="E1089" s="1" t="s">
        <v>2417</v>
      </c>
      <c r="F1089" s="1" t="s">
        <v>16</v>
      </c>
      <c r="G1089" s="1" t="s">
        <v>17</v>
      </c>
      <c r="H1089" s="1" t="s">
        <v>18</v>
      </c>
      <c r="I1089" s="1" t="s">
        <v>19</v>
      </c>
      <c r="J1089" s="1">
        <f>IFERROR(__xludf.DUMMYFUNCTION("""COMPUTED_VALUE"""),161.0)</f>
        <v>161</v>
      </c>
      <c r="K1089" s="1">
        <v>32.0</v>
      </c>
      <c r="L1089" s="1">
        <f>IFERROR(__xludf.DUMMYFUNCTION("""COMPUTED_VALUE"""),312.0)</f>
        <v>312</v>
      </c>
    </row>
    <row r="1090">
      <c r="A1090" s="1">
        <v>3216402.0</v>
      </c>
      <c r="B1090" s="1" t="s">
        <v>2418</v>
      </c>
      <c r="C1090" s="1" t="s">
        <v>2070</v>
      </c>
      <c r="D1090" s="1" t="s">
        <v>2119</v>
      </c>
      <c r="E1090" s="1" t="s">
        <v>2419</v>
      </c>
      <c r="F1090" s="1" t="s">
        <v>16</v>
      </c>
      <c r="G1090" s="1" t="s">
        <v>17</v>
      </c>
      <c r="H1090" s="1" t="s">
        <v>18</v>
      </c>
      <c r="I1090" s="1" t="s">
        <v>44</v>
      </c>
      <c r="J1090" s="1">
        <f>IFERROR(__xludf.DUMMYFUNCTION("""COMPUTED_VALUE"""),116.0)</f>
        <v>116</v>
      </c>
      <c r="K1090" s="1">
        <v>53.0</v>
      </c>
      <c r="L1090" s="1">
        <f>IFERROR(__xludf.DUMMYFUNCTION("""COMPUTED_VALUE"""),468.0)</f>
        <v>468</v>
      </c>
    </row>
    <row r="1091">
      <c r="A1091" s="1">
        <v>3273547.0</v>
      </c>
      <c r="B1091" s="1" t="s">
        <v>2420</v>
      </c>
      <c r="C1091" s="1" t="s">
        <v>2070</v>
      </c>
      <c r="D1091" s="1" t="s">
        <v>2088</v>
      </c>
      <c r="E1091" s="1" t="s">
        <v>2421</v>
      </c>
      <c r="F1091" s="1" t="s">
        <v>16</v>
      </c>
      <c r="G1091" s="1" t="s">
        <v>17</v>
      </c>
      <c r="H1091" s="1" t="s">
        <v>18</v>
      </c>
      <c r="I1091" s="1" t="s">
        <v>44</v>
      </c>
      <c r="J1091" s="1">
        <f>IFERROR(__xludf.DUMMYFUNCTION("""COMPUTED_VALUE"""),110.0)</f>
        <v>110</v>
      </c>
      <c r="K1091" s="1">
        <v>49.0</v>
      </c>
      <c r="L1091" s="1">
        <f>IFERROR(__xludf.DUMMYFUNCTION("""COMPUTED_VALUE"""),67.0)</f>
        <v>67</v>
      </c>
    </row>
    <row r="1092">
      <c r="A1092" s="1">
        <v>3216465.0</v>
      </c>
      <c r="B1092" s="1" t="s">
        <v>2422</v>
      </c>
      <c r="C1092" s="1" t="s">
        <v>2070</v>
      </c>
      <c r="D1092" s="1" t="s">
        <v>2079</v>
      </c>
      <c r="E1092" s="1" t="s">
        <v>2423</v>
      </c>
      <c r="F1092" s="1" t="s">
        <v>16</v>
      </c>
      <c r="G1092" s="1" t="s">
        <v>17</v>
      </c>
      <c r="H1092" s="1" t="s">
        <v>18</v>
      </c>
      <c r="I1092" s="1" t="s">
        <v>19</v>
      </c>
      <c r="J1092" s="1">
        <f>IFERROR(__xludf.DUMMYFUNCTION("""COMPUTED_VALUE"""),101.0)</f>
        <v>101</v>
      </c>
      <c r="K1092" s="1">
        <v>29.0</v>
      </c>
      <c r="L1092" s="1">
        <f>IFERROR(__xludf.DUMMYFUNCTION("""COMPUTED_VALUE"""),182.0)</f>
        <v>182</v>
      </c>
    </row>
    <row r="1093">
      <c r="A1093" s="1">
        <v>3201072.0</v>
      </c>
      <c r="B1093" s="1" t="s">
        <v>2424</v>
      </c>
      <c r="C1093" s="1" t="s">
        <v>2070</v>
      </c>
      <c r="D1093" s="1" t="s">
        <v>2082</v>
      </c>
      <c r="E1093" s="1" t="s">
        <v>2425</v>
      </c>
      <c r="F1093" s="1" t="s">
        <v>16</v>
      </c>
      <c r="G1093" s="1" t="s">
        <v>27</v>
      </c>
      <c r="H1093" s="1" t="s">
        <v>18</v>
      </c>
      <c r="I1093" s="1" t="s">
        <v>19</v>
      </c>
      <c r="J1093" s="1">
        <f>IFERROR(__xludf.DUMMYFUNCTION("""COMPUTED_VALUE"""),202.0)</f>
        <v>202</v>
      </c>
      <c r="K1093" s="1">
        <v>114.0</v>
      </c>
      <c r="L1093" s="1">
        <f>IFERROR(__xludf.DUMMYFUNCTION("""COMPUTED_VALUE"""),901.0)</f>
        <v>901</v>
      </c>
    </row>
    <row r="1094">
      <c r="A1094" s="1">
        <v>3273096.0</v>
      </c>
      <c r="B1094" s="1" t="s">
        <v>2426</v>
      </c>
      <c r="C1094" s="1" t="s">
        <v>2070</v>
      </c>
      <c r="D1094" s="1" t="s">
        <v>2088</v>
      </c>
      <c r="E1094" s="1" t="s">
        <v>2427</v>
      </c>
      <c r="F1094" s="1" t="s">
        <v>16</v>
      </c>
      <c r="G1094" s="1" t="s">
        <v>17</v>
      </c>
      <c r="H1094" s="1" t="s">
        <v>18</v>
      </c>
      <c r="I1094" s="1" t="s">
        <v>19</v>
      </c>
      <c r="J1094" s="1">
        <f>IFERROR(__xludf.DUMMYFUNCTION("""COMPUTED_VALUE"""),103.0)</f>
        <v>103</v>
      </c>
      <c r="K1094" s="1">
        <v>44.0</v>
      </c>
      <c r="L1094" s="1">
        <f>IFERROR(__xludf.DUMMYFUNCTION("""COMPUTED_VALUE"""),320.0)</f>
        <v>320</v>
      </c>
    </row>
    <row r="1095">
      <c r="A1095" s="1">
        <v>3276135.0</v>
      </c>
      <c r="B1095" s="1" t="s">
        <v>2428</v>
      </c>
      <c r="C1095" s="1" t="s">
        <v>2070</v>
      </c>
      <c r="D1095" s="1" t="s">
        <v>2082</v>
      </c>
      <c r="E1095" s="1" t="s">
        <v>2429</v>
      </c>
      <c r="F1095" s="1" t="s">
        <v>16</v>
      </c>
      <c r="G1095" s="1" t="s">
        <v>17</v>
      </c>
      <c r="H1095" s="1" t="s">
        <v>18</v>
      </c>
      <c r="I1095" s="1" t="s">
        <v>44</v>
      </c>
      <c r="J1095" s="1">
        <f>IFERROR(__xludf.DUMMYFUNCTION("""COMPUTED_VALUE"""),100.0)</f>
        <v>100</v>
      </c>
      <c r="K1095" s="1">
        <v>30.0</v>
      </c>
      <c r="L1095" s="1">
        <f>IFERROR(__xludf.DUMMYFUNCTION("""COMPUTED_VALUE"""),178.0)</f>
        <v>178</v>
      </c>
    </row>
    <row r="1096">
      <c r="A1096" s="1">
        <v>3275403.0</v>
      </c>
      <c r="B1096" s="1" t="s">
        <v>2430</v>
      </c>
      <c r="C1096" s="1" t="s">
        <v>2070</v>
      </c>
      <c r="D1096" s="1" t="s">
        <v>2119</v>
      </c>
      <c r="E1096" s="1" t="s">
        <v>2431</v>
      </c>
      <c r="F1096" s="1" t="s">
        <v>55</v>
      </c>
      <c r="G1096" s="1" t="s">
        <v>17</v>
      </c>
      <c r="H1096" s="1" t="s">
        <v>18</v>
      </c>
      <c r="I1096" s="1" t="s">
        <v>44</v>
      </c>
      <c r="J1096" s="1">
        <f>IFERROR(__xludf.DUMMYFUNCTION("""COMPUTED_VALUE"""),45.0)</f>
        <v>45</v>
      </c>
      <c r="K1096" s="1">
        <v>13.0</v>
      </c>
      <c r="L1096" s="1">
        <f>IFERROR(__xludf.DUMMYFUNCTION("""COMPUTED_VALUE"""),79.0)</f>
        <v>79</v>
      </c>
    </row>
    <row r="1097">
      <c r="A1097" s="1">
        <v>3201218.0</v>
      </c>
      <c r="B1097" s="1" t="s">
        <v>2432</v>
      </c>
      <c r="C1097" s="1" t="s">
        <v>2070</v>
      </c>
      <c r="D1097" s="1" t="s">
        <v>2173</v>
      </c>
      <c r="E1097" s="1" t="s">
        <v>2433</v>
      </c>
      <c r="F1097" s="1" t="s">
        <v>16</v>
      </c>
      <c r="G1097" s="1" t="s">
        <v>17</v>
      </c>
      <c r="H1097" s="1" t="s">
        <v>18</v>
      </c>
      <c r="I1097" s="1" t="s">
        <v>59</v>
      </c>
      <c r="J1097" s="1">
        <f>IFERROR(__xludf.DUMMYFUNCTION("""COMPUTED_VALUE"""),106.0)</f>
        <v>106</v>
      </c>
      <c r="K1097" s="1">
        <v>28.0</v>
      </c>
      <c r="L1097" s="1">
        <f>IFERROR(__xludf.DUMMYFUNCTION("""COMPUTED_VALUE"""),330.0)</f>
        <v>330</v>
      </c>
    </row>
    <row r="1098">
      <c r="A1098" s="1">
        <v>3273405.0</v>
      </c>
      <c r="B1098" s="1" t="s">
        <v>2434</v>
      </c>
      <c r="C1098" s="1" t="s">
        <v>2070</v>
      </c>
      <c r="D1098" s="1" t="s">
        <v>2088</v>
      </c>
      <c r="E1098" s="1" t="s">
        <v>2435</v>
      </c>
      <c r="F1098" s="1" t="s">
        <v>16</v>
      </c>
      <c r="G1098" s="1" t="s">
        <v>27</v>
      </c>
      <c r="H1098" s="1" t="s">
        <v>28</v>
      </c>
      <c r="I1098" s="1" t="s">
        <v>29</v>
      </c>
      <c r="J1098" s="1">
        <f>IFERROR(__xludf.DUMMYFUNCTION("""COMPUTED_VALUE"""),213.0)</f>
        <v>213</v>
      </c>
      <c r="K1098" s="1">
        <v>38.0</v>
      </c>
      <c r="L1098" s="1">
        <f>IFERROR(__xludf.DUMMYFUNCTION("""COMPUTED_VALUE"""),358.0)</f>
        <v>358</v>
      </c>
    </row>
    <row r="1099">
      <c r="A1099" s="1">
        <v>3204123.0</v>
      </c>
      <c r="B1099" s="1" t="s">
        <v>2436</v>
      </c>
      <c r="C1099" s="1" t="s">
        <v>2070</v>
      </c>
      <c r="D1099" s="1" t="s">
        <v>2088</v>
      </c>
      <c r="E1099" s="1" t="s">
        <v>2437</v>
      </c>
      <c r="F1099" s="1" t="s">
        <v>16</v>
      </c>
      <c r="G1099" s="1" t="s">
        <v>17</v>
      </c>
      <c r="H1099" s="1" t="s">
        <v>18</v>
      </c>
      <c r="I1099" s="1" t="s">
        <v>19</v>
      </c>
      <c r="J1099" s="1">
        <f>IFERROR(__xludf.DUMMYFUNCTION("""COMPUTED_VALUE"""),120.0)</f>
        <v>120</v>
      </c>
      <c r="K1099" s="1">
        <v>27.0</v>
      </c>
      <c r="L1099" s="1">
        <f>IFERROR(__xludf.DUMMYFUNCTION("""COMPUTED_VALUE"""),120.0)</f>
        <v>120</v>
      </c>
    </row>
    <row r="1100">
      <c r="A1100" s="1">
        <v>3214038.0</v>
      </c>
      <c r="B1100" s="1" t="s">
        <v>2438</v>
      </c>
      <c r="C1100" s="1" t="s">
        <v>2070</v>
      </c>
      <c r="D1100" s="1" t="s">
        <v>2182</v>
      </c>
      <c r="E1100" s="1" t="s">
        <v>2439</v>
      </c>
      <c r="F1100" s="1" t="s">
        <v>16</v>
      </c>
      <c r="G1100" s="1" t="s">
        <v>17</v>
      </c>
      <c r="H1100" s="1" t="s">
        <v>18</v>
      </c>
      <c r="I1100" s="1" t="s">
        <v>44</v>
      </c>
      <c r="J1100" s="1">
        <f>IFERROR(__xludf.DUMMYFUNCTION("""COMPUTED_VALUE"""),88.0)</f>
        <v>88</v>
      </c>
      <c r="K1100" s="1">
        <v>26.0</v>
      </c>
      <c r="L1100" s="1">
        <f>IFERROR(__xludf.DUMMYFUNCTION("""COMPUTED_VALUE"""),133.0)</f>
        <v>133</v>
      </c>
    </row>
    <row r="1101">
      <c r="A1101" s="1">
        <v>3211027.0</v>
      </c>
      <c r="B1101" s="1" t="s">
        <v>2440</v>
      </c>
      <c r="C1101" s="1" t="s">
        <v>2070</v>
      </c>
      <c r="D1101" s="1" t="s">
        <v>2286</v>
      </c>
      <c r="E1101" s="1" t="s">
        <v>2441</v>
      </c>
      <c r="F1101" s="1" t="s">
        <v>16</v>
      </c>
      <c r="G1101" s="1" t="s">
        <v>23</v>
      </c>
      <c r="H1101" s="1" t="s">
        <v>18</v>
      </c>
      <c r="I1101" s="1" t="s">
        <v>44</v>
      </c>
      <c r="J1101" s="1">
        <f>IFERROR(__xludf.DUMMYFUNCTION("""COMPUTED_VALUE"""),63.0)</f>
        <v>63</v>
      </c>
      <c r="K1101" s="1">
        <v>26.0</v>
      </c>
      <c r="L1101" s="1">
        <f>IFERROR(__xludf.DUMMYFUNCTION("""COMPUTED_VALUE"""),86.0)</f>
        <v>86</v>
      </c>
    </row>
    <row r="1102">
      <c r="A1102" s="1">
        <v>3276166.0</v>
      </c>
      <c r="B1102" s="1" t="s">
        <v>2442</v>
      </c>
      <c r="C1102" s="1" t="s">
        <v>2070</v>
      </c>
      <c r="D1102" s="1" t="s">
        <v>2082</v>
      </c>
      <c r="E1102" s="1" t="s">
        <v>2443</v>
      </c>
      <c r="F1102" s="1" t="s">
        <v>16</v>
      </c>
      <c r="G1102" s="1" t="s">
        <v>17</v>
      </c>
      <c r="H1102" s="1" t="s">
        <v>18</v>
      </c>
      <c r="I1102" s="1" t="s">
        <v>19</v>
      </c>
      <c r="J1102" s="1">
        <f>IFERROR(__xludf.DUMMYFUNCTION("""COMPUTED_VALUE"""),191.0)</f>
        <v>191</v>
      </c>
      <c r="K1102" s="1">
        <v>22.0</v>
      </c>
      <c r="L1102" s="1">
        <f>IFERROR(__xludf.DUMMYFUNCTION("""COMPUTED_VALUE"""),182.0)</f>
        <v>182</v>
      </c>
    </row>
    <row r="1103">
      <c r="A1103" s="1">
        <v>3204169.0</v>
      </c>
      <c r="B1103" s="1" t="s">
        <v>2444</v>
      </c>
      <c r="C1103" s="1" t="s">
        <v>2070</v>
      </c>
      <c r="D1103" s="1" t="s">
        <v>2091</v>
      </c>
      <c r="E1103" s="1" t="s">
        <v>2445</v>
      </c>
      <c r="F1103" s="1" t="s">
        <v>16</v>
      </c>
      <c r="G1103" s="1" t="s">
        <v>23</v>
      </c>
      <c r="H1103" s="1" t="s">
        <v>18</v>
      </c>
      <c r="I1103" s="1" t="s">
        <v>684</v>
      </c>
      <c r="J1103" s="1">
        <f>IFERROR(__xludf.DUMMYFUNCTION("""COMPUTED_VALUE"""),64.0)</f>
        <v>64</v>
      </c>
      <c r="K1103" s="1">
        <v>31.0</v>
      </c>
      <c r="L1103" s="1">
        <f>IFERROR(__xludf.DUMMYFUNCTION("""COMPUTED_VALUE"""),182.0)</f>
        <v>182</v>
      </c>
    </row>
    <row r="1104">
      <c r="A1104" s="1">
        <v>3275115.0</v>
      </c>
      <c r="B1104" s="1" t="s">
        <v>2446</v>
      </c>
      <c r="C1104" s="1" t="s">
        <v>2070</v>
      </c>
      <c r="D1104" s="1" t="s">
        <v>2119</v>
      </c>
      <c r="E1104" s="1" t="s">
        <v>2447</v>
      </c>
      <c r="F1104" s="1" t="s">
        <v>16</v>
      </c>
      <c r="G1104" s="1" t="s">
        <v>27</v>
      </c>
      <c r="H1104" s="1" t="s">
        <v>18</v>
      </c>
      <c r="I1104" s="1" t="s">
        <v>19</v>
      </c>
      <c r="J1104" s="1">
        <f>IFERROR(__xludf.DUMMYFUNCTION("""COMPUTED_VALUE"""),410.0)</f>
        <v>410</v>
      </c>
      <c r="K1104" s="1">
        <v>120.0</v>
      </c>
      <c r="L1104" s="1">
        <f>IFERROR(__xludf.DUMMYFUNCTION("""COMPUTED_VALUE"""),1037.0)</f>
        <v>1037</v>
      </c>
    </row>
    <row r="1105">
      <c r="A1105" s="1">
        <v>3216385.0</v>
      </c>
      <c r="B1105" s="1" t="s">
        <v>2448</v>
      </c>
      <c r="C1105" s="1" t="s">
        <v>2070</v>
      </c>
      <c r="D1105" s="1" t="s">
        <v>2079</v>
      </c>
      <c r="E1105" s="1" t="s">
        <v>2449</v>
      </c>
      <c r="F1105" s="1" t="s">
        <v>16</v>
      </c>
      <c r="G1105" s="1" t="s">
        <v>17</v>
      </c>
      <c r="H1105" s="1" t="s">
        <v>18</v>
      </c>
      <c r="I1105" s="1" t="s">
        <v>44</v>
      </c>
      <c r="J1105" s="1">
        <f>IFERROR(__xludf.DUMMYFUNCTION("""COMPUTED_VALUE"""),116.0)</f>
        <v>116</v>
      </c>
      <c r="K1105" s="1">
        <v>34.0</v>
      </c>
      <c r="L1105" s="1">
        <f>IFERROR(__xludf.DUMMYFUNCTION("""COMPUTED_VALUE"""),143.0)</f>
        <v>143</v>
      </c>
    </row>
    <row r="1106">
      <c r="A1106" s="1">
        <v>3201236.0</v>
      </c>
      <c r="B1106" s="1" t="s">
        <v>2450</v>
      </c>
      <c r="C1106" s="1" t="s">
        <v>2070</v>
      </c>
      <c r="D1106" s="1" t="s">
        <v>2173</v>
      </c>
      <c r="E1106" s="1" t="s">
        <v>2451</v>
      </c>
      <c r="F1106" s="1" t="s">
        <v>16</v>
      </c>
      <c r="G1106" s="1" t="s">
        <v>17</v>
      </c>
      <c r="H1106" s="1" t="s">
        <v>18</v>
      </c>
      <c r="I1106" s="1" t="s">
        <v>44</v>
      </c>
      <c r="J1106" s="1">
        <f>IFERROR(__xludf.DUMMYFUNCTION("""COMPUTED_VALUE"""),124.0)</f>
        <v>124</v>
      </c>
      <c r="K1106" s="1">
        <v>47.0</v>
      </c>
      <c r="L1106" s="1">
        <f>IFERROR(__xludf.DUMMYFUNCTION("""COMPUTED_VALUE"""),318.0)</f>
        <v>318</v>
      </c>
    </row>
    <row r="1107">
      <c r="A1107" s="1">
        <v>3278021.0</v>
      </c>
      <c r="B1107" s="1" t="s">
        <v>2452</v>
      </c>
      <c r="C1107" s="1" t="s">
        <v>2070</v>
      </c>
      <c r="D1107" s="1" t="s">
        <v>2077</v>
      </c>
      <c r="E1107" s="1" t="s">
        <v>2453</v>
      </c>
      <c r="F1107" s="1" t="s">
        <v>55</v>
      </c>
      <c r="G1107" s="1" t="s">
        <v>17</v>
      </c>
      <c r="H1107" s="1" t="s">
        <v>18</v>
      </c>
      <c r="I1107" s="1" t="s">
        <v>19</v>
      </c>
      <c r="J1107" s="1">
        <f>IFERROR(__xludf.DUMMYFUNCTION("""COMPUTED_VALUE"""),67.0)</f>
        <v>67</v>
      </c>
      <c r="K1107" s="1">
        <v>25.0</v>
      </c>
      <c r="L1107" s="1">
        <f>IFERROR(__xludf.DUMMYFUNCTION("""COMPUTED_VALUE"""),44.0)</f>
        <v>44</v>
      </c>
    </row>
    <row r="1108">
      <c r="A1108" s="1">
        <v>3201249.0</v>
      </c>
      <c r="B1108" s="1" t="s">
        <v>2454</v>
      </c>
      <c r="C1108" s="1" t="s">
        <v>2070</v>
      </c>
      <c r="D1108" s="1" t="s">
        <v>2097</v>
      </c>
      <c r="E1108" s="1" t="s">
        <v>2455</v>
      </c>
      <c r="F1108" s="1" t="s">
        <v>16</v>
      </c>
      <c r="G1108" s="1" t="s">
        <v>17</v>
      </c>
      <c r="H1108" s="1" t="s">
        <v>18</v>
      </c>
      <c r="I1108" s="1" t="s">
        <v>19</v>
      </c>
      <c r="J1108" s="1">
        <f>IFERROR(__xludf.DUMMYFUNCTION("""COMPUTED_VALUE"""),100.0)</f>
        <v>100</v>
      </c>
      <c r="K1108" s="1">
        <v>27.0</v>
      </c>
      <c r="L1108" s="1">
        <f>IFERROR(__xludf.DUMMYFUNCTION("""COMPUTED_VALUE"""),62.0)</f>
        <v>62</v>
      </c>
    </row>
    <row r="1109">
      <c r="A1109" s="1">
        <v>3275415.0</v>
      </c>
      <c r="B1109" s="1" t="s">
        <v>2456</v>
      </c>
      <c r="C1109" s="1" t="s">
        <v>2070</v>
      </c>
      <c r="D1109" s="1" t="s">
        <v>2119</v>
      </c>
      <c r="E1109" s="1" t="s">
        <v>2457</v>
      </c>
      <c r="F1109" s="1" t="s">
        <v>16</v>
      </c>
      <c r="G1109" s="1" t="s">
        <v>23</v>
      </c>
      <c r="H1109" s="1" t="s">
        <v>18</v>
      </c>
      <c r="I1109" s="1" t="s">
        <v>19</v>
      </c>
      <c r="J1109" s="1">
        <f>IFERROR(__xludf.DUMMYFUNCTION("""COMPUTED_VALUE"""),31.0)</f>
        <v>31</v>
      </c>
      <c r="K1109" s="1">
        <v>2.0</v>
      </c>
      <c r="L1109" s="1">
        <f>IFERROR(__xludf.DUMMYFUNCTION("""COMPUTED_VALUE"""),182.0)</f>
        <v>182</v>
      </c>
    </row>
    <row r="1110">
      <c r="A1110" s="1">
        <v>3275390.0</v>
      </c>
      <c r="B1110" s="1" t="s">
        <v>2458</v>
      </c>
      <c r="C1110" s="1" t="s">
        <v>2070</v>
      </c>
      <c r="D1110" s="1" t="s">
        <v>2119</v>
      </c>
      <c r="E1110" s="1" t="s">
        <v>2459</v>
      </c>
      <c r="F1110" s="1" t="s">
        <v>55</v>
      </c>
      <c r="G1110" s="1" t="s">
        <v>17</v>
      </c>
      <c r="H1110" s="1" t="s">
        <v>18</v>
      </c>
      <c r="I1110" s="1" t="s">
        <v>19</v>
      </c>
      <c r="J1110" s="1">
        <f>IFERROR(__xludf.DUMMYFUNCTION("""COMPUTED_VALUE"""),60.0)</f>
        <v>60</v>
      </c>
      <c r="K1110" s="1">
        <v>27.0</v>
      </c>
      <c r="L1110" s="1">
        <f>IFERROR(__xludf.DUMMYFUNCTION("""COMPUTED_VALUE"""),143.0)</f>
        <v>143</v>
      </c>
    </row>
    <row r="1111">
      <c r="A1111" s="1">
        <v>3213044.0</v>
      </c>
      <c r="B1111" s="1" t="s">
        <v>2460</v>
      </c>
      <c r="C1111" s="1" t="s">
        <v>2070</v>
      </c>
      <c r="D1111" s="1" t="s">
        <v>2127</v>
      </c>
      <c r="E1111" s="1" t="s">
        <v>2461</v>
      </c>
      <c r="F1111" s="1" t="s">
        <v>16</v>
      </c>
      <c r="G1111" s="1" t="s">
        <v>17</v>
      </c>
      <c r="H1111" s="1" t="s">
        <v>18</v>
      </c>
      <c r="I1111" s="1" t="s">
        <v>19</v>
      </c>
      <c r="J1111" s="1">
        <f>IFERROR(__xludf.DUMMYFUNCTION("""COMPUTED_VALUE"""),100.0)</f>
        <v>100</v>
      </c>
      <c r="K1111" s="1">
        <v>21.0</v>
      </c>
      <c r="L1111" s="1">
        <f>IFERROR(__xludf.DUMMYFUNCTION("""COMPUTED_VALUE"""),55.0)</f>
        <v>55</v>
      </c>
    </row>
    <row r="1112">
      <c r="A1112" s="1">
        <v>3275307.0</v>
      </c>
      <c r="B1112" s="1" t="s">
        <v>2462</v>
      </c>
      <c r="C1112" s="1" t="s">
        <v>2070</v>
      </c>
      <c r="D1112" s="1" t="s">
        <v>2119</v>
      </c>
      <c r="E1112" s="1" t="s">
        <v>2463</v>
      </c>
      <c r="F1112" s="1" t="s">
        <v>16</v>
      </c>
      <c r="G1112" s="1" t="s">
        <v>17</v>
      </c>
      <c r="H1112" s="1" t="s">
        <v>18</v>
      </c>
      <c r="I1112" s="1" t="s">
        <v>19</v>
      </c>
      <c r="J1112" s="1">
        <f>IFERROR(__xludf.DUMMYFUNCTION("""COMPUTED_VALUE"""),101.0)</f>
        <v>101</v>
      </c>
      <c r="K1112" s="1">
        <v>30.0</v>
      </c>
      <c r="L1112" s="1">
        <f>IFERROR(__xludf.DUMMYFUNCTION("""COMPUTED_VALUE"""),231.0)</f>
        <v>231</v>
      </c>
    </row>
    <row r="1113">
      <c r="A1113" s="1">
        <v>3201244.0</v>
      </c>
      <c r="B1113" s="1" t="s">
        <v>2464</v>
      </c>
      <c r="C1113" s="1" t="s">
        <v>2070</v>
      </c>
      <c r="D1113" s="1" t="s">
        <v>2097</v>
      </c>
      <c r="E1113" s="1" t="s">
        <v>2465</v>
      </c>
      <c r="F1113" s="1" t="s">
        <v>16</v>
      </c>
      <c r="G1113" s="1" t="s">
        <v>17</v>
      </c>
      <c r="H1113" s="1" t="s">
        <v>18</v>
      </c>
      <c r="I1113" s="1" t="s">
        <v>44</v>
      </c>
      <c r="J1113" s="1">
        <f>IFERROR(__xludf.DUMMYFUNCTION("""COMPUTED_VALUE"""),148.0)</f>
        <v>148</v>
      </c>
      <c r="K1113" s="1">
        <v>71.0</v>
      </c>
      <c r="L1113" s="1">
        <f>IFERROR(__xludf.DUMMYFUNCTION("""COMPUTED_VALUE"""),220.0)</f>
        <v>220</v>
      </c>
    </row>
    <row r="1114">
      <c r="A1114" s="1">
        <v>3217008.0</v>
      </c>
      <c r="B1114" s="1" t="s">
        <v>2466</v>
      </c>
      <c r="C1114" s="1" t="s">
        <v>2070</v>
      </c>
      <c r="D1114" s="1" t="s">
        <v>2144</v>
      </c>
      <c r="E1114" s="1" t="s">
        <v>2467</v>
      </c>
      <c r="F1114" s="1" t="s">
        <v>55</v>
      </c>
      <c r="G1114" s="1" t="s">
        <v>17</v>
      </c>
      <c r="H1114" s="1" t="s">
        <v>18</v>
      </c>
      <c r="I1114" s="1" t="s">
        <v>19</v>
      </c>
      <c r="J1114" s="1">
        <f>IFERROR(__xludf.DUMMYFUNCTION("""COMPUTED_VALUE"""),74.0)</f>
        <v>74</v>
      </c>
      <c r="K1114" s="1">
        <v>23.0</v>
      </c>
      <c r="L1114" s="1">
        <f>IFERROR(__xludf.DUMMYFUNCTION("""COMPUTED_VALUE"""),56.0)</f>
        <v>56</v>
      </c>
    </row>
    <row r="1115">
      <c r="A1115" s="1">
        <v>3273558.0</v>
      </c>
      <c r="B1115" s="1" t="s">
        <v>2468</v>
      </c>
      <c r="C1115" s="1" t="s">
        <v>2070</v>
      </c>
      <c r="D1115" s="1" t="s">
        <v>2088</v>
      </c>
      <c r="E1115" s="1" t="s">
        <v>2469</v>
      </c>
      <c r="F1115" s="1" t="s">
        <v>1884</v>
      </c>
      <c r="G1115" s="1" t="s">
        <v>17</v>
      </c>
      <c r="H1115" s="1" t="s">
        <v>18</v>
      </c>
      <c r="I1115" s="1" t="s">
        <v>44</v>
      </c>
      <c r="J1115" s="1">
        <f>IFERROR(__xludf.DUMMYFUNCTION("""COMPUTED_VALUE"""),31.0)</f>
        <v>31</v>
      </c>
      <c r="K1115" s="1">
        <v>45.0</v>
      </c>
      <c r="L1115" s="1">
        <f>IFERROR(__xludf.DUMMYFUNCTION("""COMPUTED_VALUE"""),182.0)</f>
        <v>182</v>
      </c>
    </row>
    <row r="1116">
      <c r="A1116" s="1">
        <v>3209036.0</v>
      </c>
      <c r="B1116" s="1" t="s">
        <v>2470</v>
      </c>
      <c r="C1116" s="1" t="s">
        <v>2070</v>
      </c>
      <c r="D1116" s="1" t="s">
        <v>2106</v>
      </c>
      <c r="E1116" s="1" t="s">
        <v>2471</v>
      </c>
      <c r="F1116" s="1" t="s">
        <v>473</v>
      </c>
      <c r="G1116" s="1" t="s">
        <v>27</v>
      </c>
      <c r="H1116" s="1" t="s">
        <v>28</v>
      </c>
      <c r="I1116" s="1" t="s">
        <v>139</v>
      </c>
      <c r="J1116" s="1">
        <f>IFERROR(__xludf.DUMMYFUNCTION("""COMPUTED_VALUE"""),102.0)</f>
        <v>102</v>
      </c>
      <c r="K1116" s="1">
        <v>44.0</v>
      </c>
      <c r="L1116" s="1">
        <f>IFERROR(__xludf.DUMMYFUNCTION("""COMPUTED_VALUE"""),215.0)</f>
        <v>215</v>
      </c>
    </row>
    <row r="1117">
      <c r="A1117" s="1">
        <v>3275035.0</v>
      </c>
      <c r="B1117" s="1" t="s">
        <v>2472</v>
      </c>
      <c r="C1117" s="1" t="s">
        <v>2070</v>
      </c>
      <c r="D1117" s="1" t="s">
        <v>2119</v>
      </c>
      <c r="E1117" s="1" t="s">
        <v>2473</v>
      </c>
      <c r="F1117" s="1" t="s">
        <v>16</v>
      </c>
      <c r="G1117" s="1" t="s">
        <v>17</v>
      </c>
      <c r="H1117" s="1" t="s">
        <v>18</v>
      </c>
      <c r="I1117" s="1" t="s">
        <v>19</v>
      </c>
      <c r="J1117" s="1">
        <f>IFERROR(__xludf.DUMMYFUNCTION("""COMPUTED_VALUE"""),58.0)</f>
        <v>58</v>
      </c>
      <c r="K1117" s="1">
        <v>38.0</v>
      </c>
      <c r="L1117" s="1">
        <f>IFERROR(__xludf.DUMMYFUNCTION("""COMPUTED_VALUE"""),37.0)</f>
        <v>37</v>
      </c>
    </row>
    <row r="1118">
      <c r="A1118" s="1">
        <v>3276149.0</v>
      </c>
      <c r="B1118" s="1" t="s">
        <v>2474</v>
      </c>
      <c r="C1118" s="1" t="s">
        <v>2070</v>
      </c>
      <c r="D1118" s="1" t="s">
        <v>2082</v>
      </c>
      <c r="E1118" s="1" t="s">
        <v>2475</v>
      </c>
      <c r="F1118" s="1" t="s">
        <v>55</v>
      </c>
      <c r="G1118" s="1" t="s">
        <v>17</v>
      </c>
      <c r="H1118" s="1" t="s">
        <v>18</v>
      </c>
      <c r="I1118" s="1" t="s">
        <v>44</v>
      </c>
      <c r="J1118" s="1">
        <f>IFERROR(__xludf.DUMMYFUNCTION("""COMPUTED_VALUE"""),35.0)</f>
        <v>35</v>
      </c>
      <c r="K1118" s="1">
        <v>16.0</v>
      </c>
      <c r="L1118" s="1">
        <f>IFERROR(__xludf.DUMMYFUNCTION("""COMPUTED_VALUE"""),54.0)</f>
        <v>54</v>
      </c>
    </row>
    <row r="1119">
      <c r="A1119" s="1">
        <v>3216440.0</v>
      </c>
      <c r="B1119" s="1" t="s">
        <v>2476</v>
      </c>
      <c r="C1119" s="1" t="s">
        <v>2070</v>
      </c>
      <c r="D1119" s="1" t="s">
        <v>2079</v>
      </c>
      <c r="E1119" s="1" t="s">
        <v>2477</v>
      </c>
      <c r="F1119" s="1" t="s">
        <v>16</v>
      </c>
      <c r="G1119" s="1" t="s">
        <v>23</v>
      </c>
      <c r="H1119" s="1" t="s">
        <v>28</v>
      </c>
      <c r="I1119" s="1" t="s">
        <v>40</v>
      </c>
      <c r="J1119" s="1">
        <f>IFERROR(__xludf.DUMMYFUNCTION("""COMPUTED_VALUE"""),50.0)</f>
        <v>50</v>
      </c>
      <c r="K1119" s="1">
        <v>12.0</v>
      </c>
      <c r="L1119" s="1">
        <f>IFERROR(__xludf.DUMMYFUNCTION("""COMPUTED_VALUE"""),141.0)</f>
        <v>141</v>
      </c>
    </row>
    <row r="1120">
      <c r="A1120" s="1">
        <v>3273026.0</v>
      </c>
      <c r="B1120" s="1" t="s">
        <v>2478</v>
      </c>
      <c r="C1120" s="1" t="s">
        <v>2070</v>
      </c>
      <c r="D1120" s="1" t="s">
        <v>2088</v>
      </c>
      <c r="E1120" s="1" t="s">
        <v>2479</v>
      </c>
      <c r="F1120" s="1" t="s">
        <v>16</v>
      </c>
      <c r="G1120" s="1" t="s">
        <v>27</v>
      </c>
      <c r="H1120" s="1" t="s">
        <v>18</v>
      </c>
      <c r="I1120" s="1" t="s">
        <v>65</v>
      </c>
      <c r="J1120" s="1">
        <f>IFERROR(__xludf.DUMMYFUNCTION("""COMPUTED_VALUE"""),220.0)</f>
        <v>220</v>
      </c>
      <c r="K1120" s="1">
        <v>63.0</v>
      </c>
      <c r="L1120" s="1">
        <f>IFERROR(__xludf.DUMMYFUNCTION("""COMPUTED_VALUE"""),468.0)</f>
        <v>468</v>
      </c>
    </row>
    <row r="1121">
      <c r="A1121" s="1">
        <v>3215056.0</v>
      </c>
      <c r="B1121" s="1" t="s">
        <v>278</v>
      </c>
      <c r="C1121" s="1" t="s">
        <v>2070</v>
      </c>
      <c r="D1121" s="1" t="s">
        <v>2071</v>
      </c>
      <c r="E1121" s="1" t="s">
        <v>2480</v>
      </c>
      <c r="F1121" s="1" t="s">
        <v>16</v>
      </c>
      <c r="G1121" s="1" t="s">
        <v>17</v>
      </c>
      <c r="H1121" s="1" t="s">
        <v>18</v>
      </c>
      <c r="I1121" s="1" t="s">
        <v>44</v>
      </c>
      <c r="J1121" s="1">
        <f>IFERROR(__xludf.DUMMYFUNCTION("""COMPUTED_VALUE"""),146.0)</f>
        <v>146</v>
      </c>
      <c r="K1121" s="1">
        <v>29.0</v>
      </c>
      <c r="L1121" s="1">
        <f>IFERROR(__xludf.DUMMYFUNCTION("""COMPUTED_VALUE"""),387.0)</f>
        <v>387</v>
      </c>
    </row>
    <row r="1122">
      <c r="A1122" s="1">
        <v>3216413.0</v>
      </c>
      <c r="B1122" s="1" t="s">
        <v>2481</v>
      </c>
      <c r="C1122" s="1" t="s">
        <v>2070</v>
      </c>
      <c r="D1122" s="1" t="s">
        <v>2079</v>
      </c>
      <c r="E1122" s="1" t="s">
        <v>2482</v>
      </c>
      <c r="F1122" s="1" t="s">
        <v>16</v>
      </c>
      <c r="G1122" s="1" t="s">
        <v>17</v>
      </c>
      <c r="H1122" s="1" t="s">
        <v>18</v>
      </c>
      <c r="I1122" s="1" t="s">
        <v>44</v>
      </c>
      <c r="J1122" s="1">
        <f>IFERROR(__xludf.DUMMYFUNCTION("""COMPUTED_VALUE"""),106.0)</f>
        <v>106</v>
      </c>
      <c r="K1122" s="1">
        <v>24.0</v>
      </c>
      <c r="L1122" s="1">
        <f>IFERROR(__xludf.DUMMYFUNCTION("""COMPUTED_VALUE"""),216.0)</f>
        <v>216</v>
      </c>
    </row>
    <row r="1123">
      <c r="A1123" s="1">
        <v>3216448.0</v>
      </c>
      <c r="B1123" s="1" t="s">
        <v>2483</v>
      </c>
      <c r="C1123" s="1" t="s">
        <v>2070</v>
      </c>
      <c r="D1123" s="1" t="s">
        <v>2119</v>
      </c>
      <c r="E1123" s="1" t="s">
        <v>2484</v>
      </c>
      <c r="F1123" s="1" t="s">
        <v>16</v>
      </c>
      <c r="G1123" s="1" t="s">
        <v>17</v>
      </c>
      <c r="H1123" s="1" t="s">
        <v>18</v>
      </c>
      <c r="I1123" s="1" t="s">
        <v>19</v>
      </c>
      <c r="J1123" s="1">
        <f>IFERROR(__xludf.DUMMYFUNCTION("""COMPUTED_VALUE"""),100.0)</f>
        <v>100</v>
      </c>
      <c r="K1123" s="1">
        <v>77.0</v>
      </c>
      <c r="L1123" s="1">
        <f>IFERROR(__xludf.DUMMYFUNCTION("""COMPUTED_VALUE"""),29.0)</f>
        <v>29</v>
      </c>
    </row>
    <row r="1124">
      <c r="A1124" s="1">
        <v>3201126.0</v>
      </c>
      <c r="B1124" s="1" t="s">
        <v>2485</v>
      </c>
      <c r="C1124" s="1" t="s">
        <v>2070</v>
      </c>
      <c r="D1124" s="1" t="s">
        <v>2082</v>
      </c>
      <c r="E1124" s="1" t="s">
        <v>2486</v>
      </c>
      <c r="F1124" s="1" t="s">
        <v>16</v>
      </c>
      <c r="G1124" s="1" t="s">
        <v>27</v>
      </c>
      <c r="H1124" s="1" t="s">
        <v>18</v>
      </c>
      <c r="I1124" s="1" t="s">
        <v>59</v>
      </c>
      <c r="J1124" s="1">
        <f>IFERROR(__xludf.DUMMYFUNCTION("""COMPUTED_VALUE"""),277.0)</f>
        <v>277</v>
      </c>
      <c r="K1124" s="1">
        <v>107.0</v>
      </c>
      <c r="L1124" s="1">
        <f>IFERROR(__xludf.DUMMYFUNCTION("""COMPUTED_VALUE"""),877.0)</f>
        <v>877</v>
      </c>
    </row>
    <row r="1125">
      <c r="A1125" s="1">
        <v>3273110.0</v>
      </c>
      <c r="B1125" s="1" t="s">
        <v>2487</v>
      </c>
      <c r="C1125" s="1" t="s">
        <v>2070</v>
      </c>
      <c r="D1125" s="1" t="s">
        <v>2088</v>
      </c>
      <c r="E1125" s="1" t="s">
        <v>2488</v>
      </c>
      <c r="F1125" s="1" t="s">
        <v>16</v>
      </c>
      <c r="G1125" s="1" t="s">
        <v>23</v>
      </c>
      <c r="H1125" s="1" t="s">
        <v>18</v>
      </c>
      <c r="I1125" s="1" t="s">
        <v>59</v>
      </c>
      <c r="J1125" s="1">
        <f>IFERROR(__xludf.DUMMYFUNCTION("""COMPUTED_VALUE"""),50.0)</f>
        <v>50</v>
      </c>
      <c r="K1125" s="1">
        <v>29.0</v>
      </c>
      <c r="L1125" s="1">
        <f>IFERROR(__xludf.DUMMYFUNCTION("""COMPUTED_VALUE"""),117.0)</f>
        <v>117</v>
      </c>
    </row>
    <row r="1126">
      <c r="A1126" s="1">
        <v>3214035.0</v>
      </c>
      <c r="B1126" s="1" t="s">
        <v>2489</v>
      </c>
      <c r="C1126" s="1" t="s">
        <v>2070</v>
      </c>
      <c r="D1126" s="1" t="s">
        <v>2182</v>
      </c>
      <c r="E1126" s="1" t="s">
        <v>2490</v>
      </c>
      <c r="F1126" s="1" t="s">
        <v>16</v>
      </c>
      <c r="G1126" s="1" t="s">
        <v>17</v>
      </c>
      <c r="H1126" s="1" t="s">
        <v>18</v>
      </c>
      <c r="I1126" s="1" t="s">
        <v>44</v>
      </c>
      <c r="J1126" s="1">
        <f>IFERROR(__xludf.DUMMYFUNCTION("""COMPUTED_VALUE"""),145.0)</f>
        <v>145</v>
      </c>
      <c r="K1126" s="1">
        <v>38.0</v>
      </c>
      <c r="L1126" s="1">
        <f>IFERROR(__xludf.DUMMYFUNCTION("""COMPUTED_VALUE"""),259.0)</f>
        <v>259</v>
      </c>
    </row>
    <row r="1127">
      <c r="A1127" s="1">
        <v>3203039.0</v>
      </c>
      <c r="B1127" s="1" t="s">
        <v>2491</v>
      </c>
      <c r="C1127" s="1" t="s">
        <v>2070</v>
      </c>
      <c r="D1127" s="1" t="s">
        <v>2094</v>
      </c>
      <c r="E1127" s="1" t="s">
        <v>2492</v>
      </c>
      <c r="F1127" s="1" t="s">
        <v>16</v>
      </c>
      <c r="G1127" s="1" t="s">
        <v>17</v>
      </c>
      <c r="H1127" s="1" t="s">
        <v>28</v>
      </c>
      <c r="I1127" s="1" t="s">
        <v>40</v>
      </c>
      <c r="J1127" s="1">
        <f>IFERROR(__xludf.DUMMYFUNCTION("""COMPUTED_VALUE"""),158.0)</f>
        <v>158</v>
      </c>
      <c r="K1127" s="1">
        <v>56.0</v>
      </c>
      <c r="L1127" s="1">
        <f>IFERROR(__xludf.DUMMYFUNCTION("""COMPUTED_VALUE"""),228.0)</f>
        <v>228</v>
      </c>
    </row>
    <row r="1128">
      <c r="A1128" s="1">
        <v>3275013.0</v>
      </c>
      <c r="B1128" s="1" t="s">
        <v>2493</v>
      </c>
      <c r="C1128" s="1" t="s">
        <v>2070</v>
      </c>
      <c r="D1128" s="1" t="s">
        <v>2119</v>
      </c>
      <c r="E1128" s="1" t="s">
        <v>2494</v>
      </c>
      <c r="F1128" s="1" t="s">
        <v>16</v>
      </c>
      <c r="G1128" s="1" t="s">
        <v>27</v>
      </c>
      <c r="H1128" s="1" t="s">
        <v>28</v>
      </c>
      <c r="I1128" s="1" t="s">
        <v>29</v>
      </c>
      <c r="J1128" s="1">
        <f>IFERROR(__xludf.DUMMYFUNCTION("""COMPUTED_VALUE"""),606.0)</f>
        <v>606</v>
      </c>
      <c r="K1128" s="1">
        <v>128.0</v>
      </c>
      <c r="L1128" s="1">
        <f>IFERROR(__xludf.DUMMYFUNCTION("""COMPUTED_VALUE"""),1597.0)</f>
        <v>1597</v>
      </c>
    </row>
    <row r="1129">
      <c r="A1129" s="1">
        <v>3273540.0</v>
      </c>
      <c r="B1129" s="1" t="s">
        <v>2495</v>
      </c>
      <c r="C1129" s="1" t="s">
        <v>2070</v>
      </c>
      <c r="D1129" s="1" t="s">
        <v>2088</v>
      </c>
      <c r="E1129" s="1" t="s">
        <v>2496</v>
      </c>
      <c r="F1129" s="1" t="s">
        <v>32</v>
      </c>
      <c r="G1129" s="1" t="s">
        <v>27</v>
      </c>
      <c r="H1129" s="1" t="s">
        <v>28</v>
      </c>
      <c r="I1129" s="1" t="s">
        <v>29</v>
      </c>
      <c r="J1129" s="1">
        <f>IFERROR(__xludf.DUMMYFUNCTION("""COMPUTED_VALUE"""),13.0)</f>
        <v>13</v>
      </c>
      <c r="K1129" s="1">
        <v>17.0</v>
      </c>
      <c r="L1129" s="1">
        <f>IFERROR(__xludf.DUMMYFUNCTION("""COMPUTED_VALUE"""),149.0)</f>
        <v>149</v>
      </c>
    </row>
    <row r="1130">
      <c r="A1130" s="1">
        <v>3216424.0</v>
      </c>
      <c r="B1130" s="1" t="s">
        <v>2497</v>
      </c>
      <c r="C1130" s="1" t="s">
        <v>2070</v>
      </c>
      <c r="D1130" s="1" t="s">
        <v>2079</v>
      </c>
      <c r="E1130" s="1" t="s">
        <v>2498</v>
      </c>
      <c r="F1130" s="1" t="s">
        <v>55</v>
      </c>
      <c r="G1130" s="1" t="s">
        <v>17</v>
      </c>
      <c r="H1130" s="1" t="s">
        <v>18</v>
      </c>
      <c r="I1130" s="1" t="s">
        <v>44</v>
      </c>
      <c r="J1130" s="1">
        <f>IFERROR(__xludf.DUMMYFUNCTION("""COMPUTED_VALUE"""),39.0)</f>
        <v>39</v>
      </c>
      <c r="K1130" s="1">
        <v>19.0</v>
      </c>
      <c r="L1130" s="1">
        <f>IFERROR(__xludf.DUMMYFUNCTION("""COMPUTED_VALUE"""),9.0)</f>
        <v>9</v>
      </c>
    </row>
    <row r="1131">
      <c r="A1131" s="1">
        <v>3207057.0</v>
      </c>
      <c r="B1131" s="1" t="s">
        <v>2499</v>
      </c>
      <c r="C1131" s="1" t="s">
        <v>2070</v>
      </c>
      <c r="D1131" s="1" t="s">
        <v>2162</v>
      </c>
      <c r="E1131" s="1" t="s">
        <v>2500</v>
      </c>
      <c r="F1131" s="1" t="s">
        <v>16</v>
      </c>
      <c r="G1131" s="1" t="s">
        <v>17</v>
      </c>
      <c r="H1131" s="1" t="s">
        <v>18</v>
      </c>
      <c r="I1131" s="1" t="s">
        <v>19</v>
      </c>
      <c r="J1131" s="1">
        <f>IFERROR(__xludf.DUMMYFUNCTION("""COMPUTED_VALUE"""),216.0)</f>
        <v>216</v>
      </c>
      <c r="K1131" s="1">
        <v>35.0</v>
      </c>
      <c r="L1131" s="1">
        <f>IFERROR(__xludf.DUMMYFUNCTION("""COMPUTED_VALUE"""),237.0)</f>
        <v>237</v>
      </c>
    </row>
    <row r="1132">
      <c r="A1132" s="1">
        <v>3273559.0</v>
      </c>
      <c r="B1132" s="1" t="s">
        <v>2501</v>
      </c>
      <c r="C1132" s="1" t="s">
        <v>2070</v>
      </c>
      <c r="D1132" s="1" t="s">
        <v>2088</v>
      </c>
      <c r="E1132" s="1" t="s">
        <v>2502</v>
      </c>
      <c r="F1132" s="1" t="s">
        <v>16</v>
      </c>
      <c r="G1132" s="1" t="s">
        <v>27</v>
      </c>
      <c r="H1132" s="1" t="s">
        <v>18</v>
      </c>
      <c r="I1132" s="1" t="s">
        <v>19</v>
      </c>
      <c r="J1132" s="1">
        <f>IFERROR(__xludf.DUMMYFUNCTION("""COMPUTED_VALUE"""),144.0)</f>
        <v>144</v>
      </c>
      <c r="K1132" s="1">
        <v>92.0</v>
      </c>
      <c r="L1132" s="1">
        <f>IFERROR(__xludf.DUMMYFUNCTION("""COMPUTED_VALUE"""),182.0)</f>
        <v>182</v>
      </c>
    </row>
    <row r="1133">
      <c r="A1133" s="1">
        <v>3277031.0</v>
      </c>
      <c r="B1133" s="1" t="s">
        <v>2503</v>
      </c>
      <c r="C1133" s="1" t="s">
        <v>2070</v>
      </c>
      <c r="D1133" s="1" t="s">
        <v>2217</v>
      </c>
      <c r="E1133" s="1" t="s">
        <v>2504</v>
      </c>
      <c r="F1133" s="1" t="s">
        <v>16</v>
      </c>
      <c r="G1133" s="1" t="s">
        <v>27</v>
      </c>
      <c r="H1133" s="1" t="s">
        <v>33</v>
      </c>
      <c r="I1133" s="1" t="s">
        <v>74</v>
      </c>
      <c r="J1133" s="1">
        <f>IFERROR(__xludf.DUMMYFUNCTION("""COMPUTED_VALUE"""),453.0)</f>
        <v>453</v>
      </c>
      <c r="K1133" s="1">
        <v>127.0</v>
      </c>
      <c r="L1133" s="1">
        <f>IFERROR(__xludf.DUMMYFUNCTION("""COMPUTED_VALUE"""),1422.0)</f>
        <v>1422</v>
      </c>
    </row>
    <row r="1134">
      <c r="A1134" s="1">
        <v>3273539.0</v>
      </c>
      <c r="B1134" s="1" t="s">
        <v>2505</v>
      </c>
      <c r="C1134" s="1" t="s">
        <v>2070</v>
      </c>
      <c r="D1134" s="1" t="s">
        <v>2088</v>
      </c>
      <c r="E1134" s="1" t="s">
        <v>2506</v>
      </c>
      <c r="F1134" s="1" t="s">
        <v>16</v>
      </c>
      <c r="G1134" s="1" t="s">
        <v>27</v>
      </c>
      <c r="H1134" s="1" t="s">
        <v>18</v>
      </c>
      <c r="I1134" s="1" t="s">
        <v>19</v>
      </c>
      <c r="J1134" s="1">
        <f>IFERROR(__xludf.DUMMYFUNCTION("""COMPUTED_VALUE"""),210.0)</f>
        <v>210</v>
      </c>
      <c r="K1134" s="1">
        <v>132.0</v>
      </c>
      <c r="L1134" s="1">
        <f>IFERROR(__xludf.DUMMYFUNCTION("""COMPUTED_VALUE"""),449.0)</f>
        <v>449</v>
      </c>
    </row>
    <row r="1135">
      <c r="A1135" s="1">
        <v>3214037.0</v>
      </c>
      <c r="B1135" s="1" t="s">
        <v>2507</v>
      </c>
      <c r="C1135" s="1" t="s">
        <v>2070</v>
      </c>
      <c r="D1135" s="1" t="s">
        <v>2182</v>
      </c>
      <c r="E1135" s="1" t="s">
        <v>2508</v>
      </c>
      <c r="F1135" s="1" t="s">
        <v>16</v>
      </c>
      <c r="G1135" s="1" t="s">
        <v>17</v>
      </c>
      <c r="H1135" s="1" t="s">
        <v>18</v>
      </c>
      <c r="I1135" s="1" t="s">
        <v>44</v>
      </c>
      <c r="J1135" s="1">
        <f>IFERROR(__xludf.DUMMYFUNCTION("""COMPUTED_VALUE"""),130.0)</f>
        <v>130</v>
      </c>
      <c r="K1135" s="1">
        <v>32.0</v>
      </c>
      <c r="L1135" s="1">
        <f>IFERROR(__xludf.DUMMYFUNCTION("""COMPUTED_VALUE"""),126.0)</f>
        <v>126</v>
      </c>
    </row>
    <row r="1136">
      <c r="A1136" s="1">
        <v>3212056.0</v>
      </c>
      <c r="B1136" s="1" t="s">
        <v>2509</v>
      </c>
      <c r="C1136" s="1" t="s">
        <v>2070</v>
      </c>
      <c r="D1136" s="1" t="s">
        <v>2189</v>
      </c>
      <c r="E1136" s="1" t="s">
        <v>2510</v>
      </c>
      <c r="F1136" s="1" t="s">
        <v>16</v>
      </c>
      <c r="G1136" s="1" t="s">
        <v>23</v>
      </c>
      <c r="H1136" s="1" t="s">
        <v>28</v>
      </c>
      <c r="I1136" s="1" t="s">
        <v>40</v>
      </c>
      <c r="J1136" s="1">
        <f>IFERROR(__xludf.DUMMYFUNCTION("""COMPUTED_VALUE"""),115.0)</f>
        <v>115</v>
      </c>
      <c r="K1136" s="1">
        <v>25.0</v>
      </c>
      <c r="L1136" s="1">
        <f>IFERROR(__xludf.DUMMYFUNCTION("""COMPUTED_VALUE"""),148.0)</f>
        <v>148</v>
      </c>
    </row>
    <row r="1137">
      <c r="A1137" s="1">
        <v>3210038.0</v>
      </c>
      <c r="B1137" s="1" t="s">
        <v>2511</v>
      </c>
      <c r="C1137" s="1" t="s">
        <v>2070</v>
      </c>
      <c r="D1137" s="1" t="s">
        <v>2228</v>
      </c>
      <c r="E1137" s="1" t="s">
        <v>2512</v>
      </c>
      <c r="F1137" s="1" t="s">
        <v>16</v>
      </c>
      <c r="G1137" s="1" t="s">
        <v>17</v>
      </c>
      <c r="H1137" s="1" t="s">
        <v>18</v>
      </c>
      <c r="I1137" s="1" t="s">
        <v>19</v>
      </c>
      <c r="J1137" s="1">
        <f>IFERROR(__xludf.DUMMYFUNCTION("""COMPUTED_VALUE"""),105.0)</f>
        <v>105</v>
      </c>
      <c r="K1137" s="1">
        <v>19.0</v>
      </c>
      <c r="L1137" s="1">
        <f>IFERROR(__xludf.DUMMYFUNCTION("""COMPUTED_VALUE"""),182.0)</f>
        <v>182</v>
      </c>
    </row>
    <row r="1138">
      <c r="A1138" s="1">
        <v>3216218.0</v>
      </c>
      <c r="B1138" s="1" t="s">
        <v>2513</v>
      </c>
      <c r="C1138" s="1" t="s">
        <v>2070</v>
      </c>
      <c r="D1138" s="1" t="s">
        <v>2119</v>
      </c>
      <c r="E1138" s="1" t="s">
        <v>2514</v>
      </c>
      <c r="F1138" s="1" t="s">
        <v>16</v>
      </c>
      <c r="G1138" s="1" t="s">
        <v>27</v>
      </c>
      <c r="H1138" s="1" t="s">
        <v>18</v>
      </c>
      <c r="I1138" s="1" t="s">
        <v>19</v>
      </c>
      <c r="J1138" s="1">
        <f>IFERROR(__xludf.DUMMYFUNCTION("""COMPUTED_VALUE"""),228.0)</f>
        <v>228</v>
      </c>
      <c r="K1138" s="1">
        <v>74.0</v>
      </c>
      <c r="L1138" s="1">
        <f>IFERROR(__xludf.DUMMYFUNCTION("""COMPUTED_VALUE"""),69.0)</f>
        <v>69</v>
      </c>
    </row>
    <row r="1139">
      <c r="A1139" s="1">
        <v>3205024.0</v>
      </c>
      <c r="B1139" s="1" t="s">
        <v>2515</v>
      </c>
      <c r="C1139" s="1" t="s">
        <v>2070</v>
      </c>
      <c r="D1139" s="1" t="s">
        <v>2214</v>
      </c>
      <c r="E1139" s="1" t="s">
        <v>2516</v>
      </c>
      <c r="F1139" s="1" t="s">
        <v>16</v>
      </c>
      <c r="G1139" s="1" t="s">
        <v>23</v>
      </c>
      <c r="H1139" s="1" t="s">
        <v>18</v>
      </c>
      <c r="I1139" s="1" t="s">
        <v>44</v>
      </c>
      <c r="J1139" s="1">
        <f>IFERROR(__xludf.DUMMYFUNCTION("""COMPUTED_VALUE"""),50.0)</f>
        <v>50</v>
      </c>
      <c r="K1139" s="1">
        <v>47.0</v>
      </c>
      <c r="L1139" s="1">
        <f>IFERROR(__xludf.DUMMYFUNCTION("""COMPUTED_VALUE"""),35.0)</f>
        <v>35</v>
      </c>
    </row>
    <row r="1140">
      <c r="A1140" s="1">
        <v>3275066.0</v>
      </c>
      <c r="B1140" s="1" t="s">
        <v>2517</v>
      </c>
      <c r="C1140" s="1" t="s">
        <v>2070</v>
      </c>
      <c r="D1140" s="1" t="s">
        <v>2119</v>
      </c>
      <c r="E1140" s="1" t="s">
        <v>2518</v>
      </c>
      <c r="F1140" s="1" t="s">
        <v>16</v>
      </c>
      <c r="G1140" s="1" t="s">
        <v>23</v>
      </c>
      <c r="H1140" s="1" t="s">
        <v>28</v>
      </c>
      <c r="I1140" s="1" t="s">
        <v>29</v>
      </c>
      <c r="J1140" s="1">
        <f>IFERROR(__xludf.DUMMYFUNCTION("""COMPUTED_VALUE"""),52.0)</f>
        <v>52</v>
      </c>
      <c r="K1140" s="1">
        <v>36.0</v>
      </c>
      <c r="L1140" s="1">
        <f>IFERROR(__xludf.DUMMYFUNCTION("""COMPUTED_VALUE"""),49.0)</f>
        <v>49</v>
      </c>
    </row>
    <row r="1141">
      <c r="A1141" s="1">
        <v>3207023.0</v>
      </c>
      <c r="B1141" s="1" t="s">
        <v>2519</v>
      </c>
      <c r="C1141" s="1" t="s">
        <v>2070</v>
      </c>
      <c r="D1141" s="1" t="s">
        <v>2149</v>
      </c>
      <c r="E1141" s="1" t="s">
        <v>2520</v>
      </c>
      <c r="F1141" s="1" t="s">
        <v>16</v>
      </c>
      <c r="G1141" s="1" t="s">
        <v>27</v>
      </c>
      <c r="H1141" s="1" t="s">
        <v>28</v>
      </c>
      <c r="I1141" s="1" t="s">
        <v>29</v>
      </c>
      <c r="J1141" s="1">
        <f>IFERROR(__xludf.DUMMYFUNCTION("""COMPUTED_VALUE"""),256.0)</f>
        <v>256</v>
      </c>
      <c r="K1141" s="1">
        <v>105.0</v>
      </c>
      <c r="L1141" s="1">
        <f>IFERROR(__xludf.DUMMYFUNCTION("""COMPUTED_VALUE"""),651.0)</f>
        <v>651</v>
      </c>
    </row>
    <row r="1142">
      <c r="A1142" s="1">
        <v>3202073.0</v>
      </c>
      <c r="B1142" s="1" t="s">
        <v>2521</v>
      </c>
      <c r="C1142" s="1" t="s">
        <v>2070</v>
      </c>
      <c r="D1142" s="1" t="s">
        <v>2085</v>
      </c>
      <c r="E1142" s="1" t="s">
        <v>2522</v>
      </c>
      <c r="F1142" s="1" t="s">
        <v>16</v>
      </c>
      <c r="G1142" s="1" t="s">
        <v>17</v>
      </c>
      <c r="H1142" s="1" t="s">
        <v>18</v>
      </c>
      <c r="I1142" s="1" t="s">
        <v>19</v>
      </c>
      <c r="J1142" s="1">
        <f>IFERROR(__xludf.DUMMYFUNCTION("""COMPUTED_VALUE"""),174.0)</f>
        <v>174</v>
      </c>
      <c r="K1142" s="1">
        <v>24.0</v>
      </c>
      <c r="L1142" s="1">
        <f>IFERROR(__xludf.DUMMYFUNCTION("""COMPUTED_VALUE"""),320.0)</f>
        <v>320</v>
      </c>
    </row>
    <row r="1143">
      <c r="A1143" s="1">
        <v>3208058.0</v>
      </c>
      <c r="B1143" s="1" t="s">
        <v>2523</v>
      </c>
      <c r="C1143" s="1" t="s">
        <v>2070</v>
      </c>
      <c r="D1143" s="1" t="s">
        <v>2074</v>
      </c>
      <c r="E1143" s="1" t="s">
        <v>2524</v>
      </c>
      <c r="F1143" s="1" t="s">
        <v>16</v>
      </c>
      <c r="G1143" s="1" t="s">
        <v>17</v>
      </c>
      <c r="H1143" s="1" t="s">
        <v>18</v>
      </c>
      <c r="I1143" s="1" t="s">
        <v>44</v>
      </c>
      <c r="J1143" s="1">
        <f>IFERROR(__xludf.DUMMYFUNCTION("""COMPUTED_VALUE"""),159.0)</f>
        <v>159</v>
      </c>
      <c r="K1143" s="1">
        <v>45.0</v>
      </c>
      <c r="L1143" s="1">
        <f>IFERROR(__xludf.DUMMYFUNCTION("""COMPUTED_VALUE"""),238.0)</f>
        <v>238</v>
      </c>
    </row>
    <row r="1144">
      <c r="A1144" s="1">
        <v>3217002.0</v>
      </c>
      <c r="B1144" s="1" t="s">
        <v>2525</v>
      </c>
      <c r="C1144" s="1" t="s">
        <v>2070</v>
      </c>
      <c r="D1144" s="1" t="s">
        <v>2144</v>
      </c>
      <c r="E1144" s="1" t="s">
        <v>2526</v>
      </c>
      <c r="F1144" s="1" t="s">
        <v>16</v>
      </c>
      <c r="G1144" s="1" t="s">
        <v>17</v>
      </c>
      <c r="H1144" s="1" t="s">
        <v>28</v>
      </c>
      <c r="I1144" s="1" t="s">
        <v>40</v>
      </c>
      <c r="J1144" s="1">
        <f>IFERROR(__xludf.DUMMYFUNCTION("""COMPUTED_VALUE"""),142.0)</f>
        <v>142</v>
      </c>
      <c r="K1144" s="1">
        <v>31.0</v>
      </c>
      <c r="L1144" s="1">
        <f>IFERROR(__xludf.DUMMYFUNCTION("""COMPUTED_VALUE"""),418.0)</f>
        <v>418</v>
      </c>
    </row>
    <row r="1145">
      <c r="A1145" s="1">
        <v>3274135.0</v>
      </c>
      <c r="B1145" s="1" t="s">
        <v>2527</v>
      </c>
      <c r="C1145" s="1" t="s">
        <v>2070</v>
      </c>
      <c r="D1145" s="1" t="s">
        <v>2106</v>
      </c>
      <c r="E1145" s="1" t="s">
        <v>2528</v>
      </c>
      <c r="F1145" s="1" t="s">
        <v>16</v>
      </c>
      <c r="G1145" s="1" t="s">
        <v>17</v>
      </c>
      <c r="H1145" s="1" t="s">
        <v>18</v>
      </c>
      <c r="I1145" s="1" t="s">
        <v>19</v>
      </c>
      <c r="J1145" s="1">
        <f>IFERROR(__xludf.DUMMYFUNCTION("""COMPUTED_VALUE"""),102.0)</f>
        <v>102</v>
      </c>
      <c r="K1145" s="1">
        <v>18.0</v>
      </c>
      <c r="L1145" s="1">
        <f>IFERROR(__xludf.DUMMYFUNCTION("""COMPUTED_VALUE"""),241.0)</f>
        <v>241</v>
      </c>
    </row>
    <row r="1146">
      <c r="A1146" s="1">
        <v>3217007.0</v>
      </c>
      <c r="B1146" s="1" t="s">
        <v>2529</v>
      </c>
      <c r="C1146" s="1" t="s">
        <v>2070</v>
      </c>
      <c r="D1146" s="1" t="s">
        <v>2144</v>
      </c>
      <c r="E1146" s="1" t="s">
        <v>2530</v>
      </c>
      <c r="F1146" s="1" t="s">
        <v>16</v>
      </c>
      <c r="G1146" s="1" t="s">
        <v>17</v>
      </c>
      <c r="H1146" s="1" t="s">
        <v>28</v>
      </c>
      <c r="I1146" s="1" t="s">
        <v>40</v>
      </c>
      <c r="J1146" s="1">
        <f>IFERROR(__xludf.DUMMYFUNCTION("""COMPUTED_VALUE"""),101.0)</f>
        <v>101</v>
      </c>
      <c r="K1146" s="1">
        <v>27.0</v>
      </c>
      <c r="L1146" s="1">
        <f>IFERROR(__xludf.DUMMYFUNCTION("""COMPUTED_VALUE"""),253.0)</f>
        <v>253</v>
      </c>
    </row>
    <row r="1147">
      <c r="A1147" s="1">
        <v>3203041.0</v>
      </c>
      <c r="B1147" s="1" t="s">
        <v>2531</v>
      </c>
      <c r="C1147" s="1" t="s">
        <v>2070</v>
      </c>
      <c r="D1147" s="1" t="s">
        <v>2094</v>
      </c>
      <c r="E1147" s="1" t="s">
        <v>2532</v>
      </c>
      <c r="F1147" s="1" t="s">
        <v>16</v>
      </c>
      <c r="G1147" s="1" t="s">
        <v>23</v>
      </c>
      <c r="H1147" s="1" t="s">
        <v>18</v>
      </c>
      <c r="I1147" s="1" t="s">
        <v>65</v>
      </c>
      <c r="J1147" s="1">
        <f>IFERROR(__xludf.DUMMYFUNCTION("""COMPUTED_VALUE"""),50.0)</f>
        <v>50</v>
      </c>
      <c r="K1147" s="1">
        <v>21.0</v>
      </c>
      <c r="L1147" s="1">
        <f>IFERROR(__xludf.DUMMYFUNCTION("""COMPUTED_VALUE"""),51.0)</f>
        <v>51</v>
      </c>
    </row>
    <row r="1148">
      <c r="A1148" s="1">
        <v>3201273.0</v>
      </c>
      <c r="B1148" s="1" t="s">
        <v>2533</v>
      </c>
      <c r="C1148" s="1" t="s">
        <v>2070</v>
      </c>
      <c r="D1148" s="1" t="s">
        <v>2097</v>
      </c>
      <c r="E1148" s="1" t="s">
        <v>2534</v>
      </c>
      <c r="F1148" s="1" t="s">
        <v>16</v>
      </c>
      <c r="G1148" s="1" t="s">
        <v>17</v>
      </c>
      <c r="H1148" s="1" t="s">
        <v>18</v>
      </c>
      <c r="I1148" s="1" t="s">
        <v>19</v>
      </c>
      <c r="J1148" s="1">
        <f>IFERROR(__xludf.DUMMYFUNCTION("""COMPUTED_VALUE"""),100.0)</f>
        <v>100</v>
      </c>
      <c r="K1148" s="1">
        <v>39.0</v>
      </c>
      <c r="L1148" s="1">
        <f>IFERROR(__xludf.DUMMYFUNCTION("""COMPUTED_VALUE"""),182.0)</f>
        <v>182</v>
      </c>
    </row>
    <row r="1149">
      <c r="A1149" s="1">
        <v>3271115.0</v>
      </c>
      <c r="B1149" s="1" t="s">
        <v>2535</v>
      </c>
      <c r="C1149" s="1" t="s">
        <v>2070</v>
      </c>
      <c r="D1149" s="1" t="s">
        <v>2173</v>
      </c>
      <c r="E1149" s="1" t="s">
        <v>2536</v>
      </c>
      <c r="F1149" s="1" t="s">
        <v>16</v>
      </c>
      <c r="G1149" s="1" t="s">
        <v>27</v>
      </c>
      <c r="H1149" s="1" t="s">
        <v>18</v>
      </c>
      <c r="I1149" s="1" t="s">
        <v>44</v>
      </c>
      <c r="J1149" s="1">
        <f>IFERROR(__xludf.DUMMYFUNCTION("""COMPUTED_VALUE"""),200.0)</f>
        <v>200</v>
      </c>
      <c r="K1149" s="1">
        <v>65.0</v>
      </c>
      <c r="L1149" s="1">
        <f>IFERROR(__xludf.DUMMYFUNCTION("""COMPUTED_VALUE"""),609.0)</f>
        <v>609</v>
      </c>
    </row>
    <row r="1150">
      <c r="A1150" s="1">
        <v>3271163.0</v>
      </c>
      <c r="B1150" s="1" t="s">
        <v>2537</v>
      </c>
      <c r="C1150" s="1" t="s">
        <v>2070</v>
      </c>
      <c r="D1150" s="1" t="s">
        <v>2173</v>
      </c>
      <c r="E1150" s="1" t="s">
        <v>2538</v>
      </c>
      <c r="F1150" s="1" t="s">
        <v>16</v>
      </c>
      <c r="G1150" s="1" t="s">
        <v>17</v>
      </c>
      <c r="H1150" s="1" t="s">
        <v>18</v>
      </c>
      <c r="I1150" s="1" t="s">
        <v>44</v>
      </c>
      <c r="J1150" s="1">
        <f>IFERROR(__xludf.DUMMYFUNCTION("""COMPUTED_VALUE"""),113.0)</f>
        <v>113</v>
      </c>
      <c r="K1150" s="1">
        <v>53.0</v>
      </c>
      <c r="L1150" s="1">
        <f>IFERROR(__xludf.DUMMYFUNCTION("""COMPUTED_VALUE"""),138.0)</f>
        <v>138</v>
      </c>
    </row>
    <row r="1151">
      <c r="A1151" s="1">
        <v>3276154.0</v>
      </c>
      <c r="B1151" s="1" t="s">
        <v>1771</v>
      </c>
      <c r="C1151" s="1" t="s">
        <v>2070</v>
      </c>
      <c r="D1151" s="1" t="s">
        <v>2082</v>
      </c>
      <c r="E1151" s="1" t="s">
        <v>2539</v>
      </c>
      <c r="F1151" s="1" t="s">
        <v>16</v>
      </c>
      <c r="G1151" s="1" t="s">
        <v>27</v>
      </c>
      <c r="H1151" s="1" t="s">
        <v>18</v>
      </c>
      <c r="I1151" s="1" t="s">
        <v>44</v>
      </c>
      <c r="J1151" s="1">
        <f>IFERROR(__xludf.DUMMYFUNCTION("""COMPUTED_VALUE"""),221.0)</f>
        <v>221</v>
      </c>
      <c r="K1151" s="1">
        <v>40.0</v>
      </c>
      <c r="L1151" s="1">
        <f>IFERROR(__xludf.DUMMYFUNCTION("""COMPUTED_VALUE"""),162.0)</f>
        <v>162</v>
      </c>
    </row>
    <row r="1152">
      <c r="A1152" s="1">
        <v>3212031.0</v>
      </c>
      <c r="B1152" s="1" t="s">
        <v>2540</v>
      </c>
      <c r="C1152" s="1" t="s">
        <v>2070</v>
      </c>
      <c r="D1152" s="1" t="s">
        <v>2189</v>
      </c>
      <c r="E1152" s="1" t="s">
        <v>2541</v>
      </c>
      <c r="F1152" s="1" t="s">
        <v>16</v>
      </c>
      <c r="G1152" s="1" t="s">
        <v>17</v>
      </c>
      <c r="H1152" s="1" t="s">
        <v>28</v>
      </c>
      <c r="I1152" s="1" t="s">
        <v>40</v>
      </c>
      <c r="J1152" s="1">
        <f>IFERROR(__xludf.DUMMYFUNCTION("""COMPUTED_VALUE"""),120.0)</f>
        <v>120</v>
      </c>
      <c r="K1152" s="1">
        <v>38.0</v>
      </c>
      <c r="L1152" s="1">
        <f>IFERROR(__xludf.DUMMYFUNCTION("""COMPUTED_VALUE"""),443.0)</f>
        <v>443</v>
      </c>
    </row>
    <row r="1153">
      <c r="A1153" s="1">
        <v>3275039.0</v>
      </c>
      <c r="B1153" s="1" t="s">
        <v>2542</v>
      </c>
      <c r="C1153" s="1" t="s">
        <v>2070</v>
      </c>
      <c r="D1153" s="1" t="s">
        <v>2119</v>
      </c>
      <c r="E1153" s="1" t="s">
        <v>2543</v>
      </c>
      <c r="F1153" s="1" t="s">
        <v>16</v>
      </c>
      <c r="G1153" s="1" t="s">
        <v>17</v>
      </c>
      <c r="H1153" s="1" t="s">
        <v>18</v>
      </c>
      <c r="I1153" s="1" t="s">
        <v>19</v>
      </c>
      <c r="J1153" s="1">
        <f>IFERROR(__xludf.DUMMYFUNCTION("""COMPUTED_VALUE"""),103.0)</f>
        <v>103</v>
      </c>
      <c r="K1153" s="1">
        <v>41.0</v>
      </c>
      <c r="L1153" s="1">
        <f>IFERROR(__xludf.DUMMYFUNCTION("""COMPUTED_VALUE"""),156.0)</f>
        <v>156</v>
      </c>
    </row>
    <row r="1154">
      <c r="A1154" s="1">
        <v>3216406.0</v>
      </c>
      <c r="B1154" s="1" t="s">
        <v>2544</v>
      </c>
      <c r="C1154" s="1" t="s">
        <v>2070</v>
      </c>
      <c r="D1154" s="1" t="s">
        <v>2079</v>
      </c>
      <c r="E1154" s="1" t="s">
        <v>2545</v>
      </c>
      <c r="F1154" s="1" t="s">
        <v>16</v>
      </c>
      <c r="G1154" s="1" t="s">
        <v>17</v>
      </c>
      <c r="H1154" s="1" t="s">
        <v>18</v>
      </c>
      <c r="I1154" s="1" t="s">
        <v>44</v>
      </c>
      <c r="J1154" s="1">
        <f>IFERROR(__xludf.DUMMYFUNCTION("""COMPUTED_VALUE"""),100.0)</f>
        <v>100</v>
      </c>
      <c r="K1154" s="1">
        <v>27.0</v>
      </c>
      <c r="L1154" s="1">
        <f>IFERROR(__xludf.DUMMYFUNCTION("""COMPUTED_VALUE"""),118.0)</f>
        <v>118</v>
      </c>
    </row>
    <row r="1155">
      <c r="A1155" s="1">
        <v>3275060.0</v>
      </c>
      <c r="B1155" s="1" t="s">
        <v>2546</v>
      </c>
      <c r="C1155" s="1" t="s">
        <v>2070</v>
      </c>
      <c r="D1155" s="1" t="s">
        <v>2119</v>
      </c>
      <c r="E1155" s="1" t="s">
        <v>2547</v>
      </c>
      <c r="F1155" s="1" t="s">
        <v>16</v>
      </c>
      <c r="G1155" s="1" t="s">
        <v>17</v>
      </c>
      <c r="H1155" s="1" t="s">
        <v>18</v>
      </c>
      <c r="I1155" s="1" t="s">
        <v>19</v>
      </c>
      <c r="J1155" s="1">
        <f>IFERROR(__xludf.DUMMYFUNCTION("""COMPUTED_VALUE"""),103.0)</f>
        <v>103</v>
      </c>
      <c r="K1155" s="1">
        <v>23.0</v>
      </c>
      <c r="L1155" s="1">
        <f>IFERROR(__xludf.DUMMYFUNCTION("""COMPUTED_VALUE"""),215.0)</f>
        <v>215</v>
      </c>
    </row>
    <row r="1156">
      <c r="A1156" s="1">
        <v>3215078.0</v>
      </c>
      <c r="B1156" s="1" t="s">
        <v>2548</v>
      </c>
      <c r="C1156" s="1" t="s">
        <v>2070</v>
      </c>
      <c r="D1156" s="1" t="s">
        <v>2071</v>
      </c>
      <c r="E1156" s="1" t="s">
        <v>2549</v>
      </c>
      <c r="F1156" s="1" t="s">
        <v>16</v>
      </c>
      <c r="G1156" s="1" t="s">
        <v>17</v>
      </c>
      <c r="H1156" s="1" t="s">
        <v>18</v>
      </c>
      <c r="I1156" s="1" t="s">
        <v>59</v>
      </c>
      <c r="J1156" s="1">
        <f>IFERROR(__xludf.DUMMYFUNCTION("""COMPUTED_VALUE"""),130.0)</f>
        <v>130</v>
      </c>
      <c r="K1156" s="1">
        <v>33.0</v>
      </c>
      <c r="L1156" s="1">
        <f>IFERROR(__xludf.DUMMYFUNCTION("""COMPUTED_VALUE"""),269.0)</f>
        <v>269</v>
      </c>
    </row>
    <row r="1157">
      <c r="A1157" s="1">
        <v>3274136.0</v>
      </c>
      <c r="B1157" s="1" t="s">
        <v>2550</v>
      </c>
      <c r="C1157" s="1" t="s">
        <v>2070</v>
      </c>
      <c r="D1157" s="1" t="s">
        <v>2106</v>
      </c>
      <c r="E1157" s="1" t="s">
        <v>2551</v>
      </c>
      <c r="F1157" s="1" t="s">
        <v>1884</v>
      </c>
      <c r="G1157" s="1" t="s">
        <v>27</v>
      </c>
      <c r="H1157" s="1" t="s">
        <v>18</v>
      </c>
      <c r="I1157" s="1" t="s">
        <v>19</v>
      </c>
      <c r="J1157" s="1">
        <f>IFERROR(__xludf.DUMMYFUNCTION("""COMPUTED_VALUE"""),75.0)</f>
        <v>75</v>
      </c>
      <c r="K1157" s="1">
        <v>42.0</v>
      </c>
      <c r="L1157" s="1">
        <f>IFERROR(__xludf.DUMMYFUNCTION("""COMPUTED_VALUE"""),184.0)</f>
        <v>184</v>
      </c>
    </row>
    <row r="1158">
      <c r="A1158" s="1">
        <v>3216438.0</v>
      </c>
      <c r="B1158" s="1" t="s">
        <v>2552</v>
      </c>
      <c r="C1158" s="1" t="s">
        <v>2070</v>
      </c>
      <c r="D1158" s="1" t="s">
        <v>2079</v>
      </c>
      <c r="E1158" s="1" t="s">
        <v>2553</v>
      </c>
      <c r="F1158" s="1" t="s">
        <v>16</v>
      </c>
      <c r="G1158" s="1" t="s">
        <v>23</v>
      </c>
      <c r="H1158" s="1" t="s">
        <v>18</v>
      </c>
      <c r="I1158" s="1" t="s">
        <v>19</v>
      </c>
      <c r="J1158" s="1">
        <f>IFERROR(__xludf.DUMMYFUNCTION("""COMPUTED_VALUE"""),98.0)</f>
        <v>98</v>
      </c>
      <c r="K1158" s="1">
        <v>24.0</v>
      </c>
      <c r="L1158" s="1">
        <f>IFERROR(__xludf.DUMMYFUNCTION("""COMPUTED_VALUE"""),50.0)</f>
        <v>50</v>
      </c>
    </row>
    <row r="1159">
      <c r="A1159" s="1">
        <v>3209055.0</v>
      </c>
      <c r="B1159" s="1" t="s">
        <v>2554</v>
      </c>
      <c r="C1159" s="1" t="s">
        <v>2070</v>
      </c>
      <c r="D1159" s="1" t="s">
        <v>2106</v>
      </c>
      <c r="E1159" s="1" t="s">
        <v>2555</v>
      </c>
      <c r="F1159" s="1" t="s">
        <v>16</v>
      </c>
      <c r="G1159" s="1" t="s">
        <v>23</v>
      </c>
      <c r="H1159" s="1" t="s">
        <v>18</v>
      </c>
      <c r="I1159" s="1" t="s">
        <v>44</v>
      </c>
      <c r="J1159" s="1">
        <f>IFERROR(__xludf.DUMMYFUNCTION("""COMPUTED_VALUE"""),75.0)</f>
        <v>75</v>
      </c>
      <c r="K1159" s="1">
        <v>24.0</v>
      </c>
      <c r="L1159" s="1">
        <f>IFERROR(__xludf.DUMMYFUNCTION("""COMPUTED_VALUE"""),47.0)</f>
        <v>47</v>
      </c>
    </row>
    <row r="1160">
      <c r="A1160" s="1">
        <v>3202040.0</v>
      </c>
      <c r="B1160" s="1" t="s">
        <v>2556</v>
      </c>
      <c r="C1160" s="1" t="s">
        <v>2070</v>
      </c>
      <c r="D1160" s="1" t="s">
        <v>2085</v>
      </c>
      <c r="E1160" s="1" t="s">
        <v>2557</v>
      </c>
      <c r="F1160" s="1" t="s">
        <v>16</v>
      </c>
      <c r="G1160" s="1" t="s">
        <v>17</v>
      </c>
      <c r="H1160" s="1" t="s">
        <v>28</v>
      </c>
      <c r="I1160" s="1" t="s">
        <v>40</v>
      </c>
      <c r="J1160" s="1">
        <f>IFERROR(__xludf.DUMMYFUNCTION("""COMPUTED_VALUE"""),244.0)</f>
        <v>244</v>
      </c>
      <c r="K1160" s="1">
        <v>30.0</v>
      </c>
      <c r="L1160" s="1">
        <f>IFERROR(__xludf.DUMMYFUNCTION("""COMPUTED_VALUE"""),464.0)</f>
        <v>464</v>
      </c>
    </row>
    <row r="1161">
      <c r="A1161" s="1">
        <v>3273431.0</v>
      </c>
      <c r="B1161" s="1" t="s">
        <v>2558</v>
      </c>
      <c r="C1161" s="1" t="s">
        <v>2070</v>
      </c>
      <c r="D1161" s="1" t="s">
        <v>2088</v>
      </c>
      <c r="E1161" s="1" t="s">
        <v>2559</v>
      </c>
      <c r="F1161" s="1" t="s">
        <v>255</v>
      </c>
      <c r="G1161" s="1" t="s">
        <v>17</v>
      </c>
      <c r="H1161" s="1" t="s">
        <v>18</v>
      </c>
      <c r="I1161" s="1" t="s">
        <v>59</v>
      </c>
      <c r="J1161" s="1">
        <f>IFERROR(__xludf.DUMMYFUNCTION("""COMPUTED_VALUE"""),29.0)</f>
        <v>29</v>
      </c>
      <c r="K1161" s="1">
        <v>37.0</v>
      </c>
      <c r="L1161" s="1">
        <f>IFERROR(__xludf.DUMMYFUNCTION("""COMPUTED_VALUE"""),171.0)</f>
        <v>171</v>
      </c>
    </row>
    <row r="1162">
      <c r="A1162" s="1">
        <v>3275057.0</v>
      </c>
      <c r="B1162" s="1" t="s">
        <v>2560</v>
      </c>
      <c r="C1162" s="1" t="s">
        <v>2070</v>
      </c>
      <c r="D1162" s="1" t="s">
        <v>2119</v>
      </c>
      <c r="E1162" s="1" t="s">
        <v>2561</v>
      </c>
      <c r="F1162" s="1" t="s">
        <v>16</v>
      </c>
      <c r="G1162" s="1" t="s">
        <v>17</v>
      </c>
      <c r="H1162" s="1" t="s">
        <v>18</v>
      </c>
      <c r="I1162" s="1" t="s">
        <v>44</v>
      </c>
      <c r="J1162" s="1">
        <f>IFERROR(__xludf.DUMMYFUNCTION("""COMPUTED_VALUE"""),100.0)</f>
        <v>100</v>
      </c>
      <c r="K1162" s="1">
        <v>32.0</v>
      </c>
      <c r="L1162" s="1">
        <f>IFERROR(__xludf.DUMMYFUNCTION("""COMPUTED_VALUE"""),142.0)</f>
        <v>142</v>
      </c>
    </row>
    <row r="1163">
      <c r="A1163" s="1">
        <v>3216435.0</v>
      </c>
      <c r="B1163" s="1" t="s">
        <v>2562</v>
      </c>
      <c r="C1163" s="1" t="s">
        <v>2070</v>
      </c>
      <c r="D1163" s="1" t="s">
        <v>2079</v>
      </c>
      <c r="E1163" s="1" t="s">
        <v>2563</v>
      </c>
      <c r="F1163" s="1" t="s">
        <v>16</v>
      </c>
      <c r="G1163" s="1" t="s">
        <v>23</v>
      </c>
      <c r="H1163" s="1" t="s">
        <v>18</v>
      </c>
      <c r="I1163" s="1" t="s">
        <v>19</v>
      </c>
      <c r="J1163" s="1">
        <f>IFERROR(__xludf.DUMMYFUNCTION("""COMPUTED_VALUE"""),73.0)</f>
        <v>73</v>
      </c>
      <c r="K1163" s="1">
        <v>24.0</v>
      </c>
      <c r="L1163" s="1">
        <f>IFERROR(__xludf.DUMMYFUNCTION("""COMPUTED_VALUE"""),62.0)</f>
        <v>62</v>
      </c>
    </row>
    <row r="1164">
      <c r="A1164" s="1">
        <v>3204134.0</v>
      </c>
      <c r="B1164" s="1" t="s">
        <v>2564</v>
      </c>
      <c r="C1164" s="1" t="s">
        <v>2070</v>
      </c>
      <c r="D1164" s="1" t="s">
        <v>2091</v>
      </c>
      <c r="E1164" s="1" t="s">
        <v>2565</v>
      </c>
      <c r="F1164" s="1" t="s">
        <v>16</v>
      </c>
      <c r="G1164" s="1" t="s">
        <v>23</v>
      </c>
      <c r="H1164" s="1" t="s">
        <v>28</v>
      </c>
      <c r="I1164" s="1" t="s">
        <v>139</v>
      </c>
      <c r="J1164" s="1">
        <f>IFERROR(__xludf.DUMMYFUNCTION("""COMPUTED_VALUE"""),63.0)</f>
        <v>63</v>
      </c>
      <c r="K1164" s="1">
        <v>27.0</v>
      </c>
      <c r="L1164" s="1">
        <f>IFERROR(__xludf.DUMMYFUNCTION("""COMPUTED_VALUE"""),133.0)</f>
        <v>133</v>
      </c>
    </row>
    <row r="1165">
      <c r="A1165" s="1">
        <v>3275414.0</v>
      </c>
      <c r="B1165" s="1" t="s">
        <v>2566</v>
      </c>
      <c r="C1165" s="1" t="s">
        <v>2070</v>
      </c>
      <c r="D1165" s="1" t="s">
        <v>2119</v>
      </c>
      <c r="E1165" s="1" t="s">
        <v>2567</v>
      </c>
      <c r="F1165" s="1" t="s">
        <v>16</v>
      </c>
      <c r="G1165" s="1" t="s">
        <v>17</v>
      </c>
      <c r="H1165" s="1" t="s">
        <v>18</v>
      </c>
      <c r="I1165" s="1" t="s">
        <v>19</v>
      </c>
      <c r="J1165" s="1">
        <f>IFERROR(__xludf.DUMMYFUNCTION("""COMPUTED_VALUE"""),133.0)</f>
        <v>133</v>
      </c>
      <c r="K1165" s="1">
        <v>24.0</v>
      </c>
      <c r="L1165" s="1">
        <f>IFERROR(__xludf.DUMMYFUNCTION("""COMPUTED_VALUE"""),182.0)</f>
        <v>182</v>
      </c>
    </row>
    <row r="1166">
      <c r="A1166" s="1">
        <v>3273562.0</v>
      </c>
      <c r="B1166" s="1" t="s">
        <v>2568</v>
      </c>
      <c r="C1166" s="1" t="s">
        <v>2070</v>
      </c>
      <c r="D1166" s="1" t="s">
        <v>2088</v>
      </c>
      <c r="E1166" s="1" t="s">
        <v>2569</v>
      </c>
      <c r="F1166" s="1" t="s">
        <v>16</v>
      </c>
      <c r="G1166" s="1" t="s">
        <v>17</v>
      </c>
      <c r="H1166" s="1" t="s">
        <v>18</v>
      </c>
      <c r="I1166" s="1" t="s">
        <v>19</v>
      </c>
      <c r="J1166" s="1">
        <f>IFERROR(__xludf.DUMMYFUNCTION("""COMPUTED_VALUE"""),100.0)</f>
        <v>100</v>
      </c>
      <c r="K1166" s="1">
        <v>21.0</v>
      </c>
      <c r="L1166" s="1">
        <f>IFERROR(__xludf.DUMMYFUNCTION("""COMPUTED_VALUE"""),182.0)</f>
        <v>182</v>
      </c>
    </row>
    <row r="1167">
      <c r="A1167" s="1">
        <v>3275130.0</v>
      </c>
      <c r="B1167" s="1" t="s">
        <v>2570</v>
      </c>
      <c r="C1167" s="1" t="s">
        <v>2070</v>
      </c>
      <c r="D1167" s="1" t="s">
        <v>2119</v>
      </c>
      <c r="E1167" s="1" t="s">
        <v>2571</v>
      </c>
      <c r="F1167" s="1" t="s">
        <v>16</v>
      </c>
      <c r="G1167" s="1" t="s">
        <v>17</v>
      </c>
      <c r="H1167" s="1" t="s">
        <v>18</v>
      </c>
      <c r="I1167" s="1" t="s">
        <v>59</v>
      </c>
      <c r="J1167" s="1">
        <f>IFERROR(__xludf.DUMMYFUNCTION("""COMPUTED_VALUE"""),105.0)</f>
        <v>105</v>
      </c>
      <c r="K1167" s="1">
        <v>40.0</v>
      </c>
      <c r="L1167" s="1">
        <f>IFERROR(__xludf.DUMMYFUNCTION("""COMPUTED_VALUE"""),197.0)</f>
        <v>197</v>
      </c>
    </row>
    <row r="1168">
      <c r="A1168" s="1">
        <v>3278016.0</v>
      </c>
      <c r="B1168" s="1" t="s">
        <v>2572</v>
      </c>
      <c r="C1168" s="1" t="s">
        <v>2070</v>
      </c>
      <c r="D1168" s="1" t="s">
        <v>2077</v>
      </c>
      <c r="E1168" s="1" t="s">
        <v>2573</v>
      </c>
      <c r="F1168" s="1" t="s">
        <v>55</v>
      </c>
      <c r="G1168" s="1" t="s">
        <v>17</v>
      </c>
      <c r="H1168" s="1" t="s">
        <v>18</v>
      </c>
      <c r="I1168" s="1" t="s">
        <v>19</v>
      </c>
      <c r="J1168" s="1">
        <f>IFERROR(__xludf.DUMMYFUNCTION("""COMPUTED_VALUE"""),26.0)</f>
        <v>26</v>
      </c>
      <c r="K1168" s="1">
        <v>11.0</v>
      </c>
      <c r="L1168" s="1">
        <f>IFERROR(__xludf.DUMMYFUNCTION("""COMPUTED_VALUE"""),17.0)</f>
        <v>17</v>
      </c>
    </row>
    <row r="1169">
      <c r="A1169" s="1">
        <v>3205010.0</v>
      </c>
      <c r="B1169" s="1" t="s">
        <v>2574</v>
      </c>
      <c r="C1169" s="1" t="s">
        <v>2070</v>
      </c>
      <c r="D1169" s="1" t="s">
        <v>2214</v>
      </c>
      <c r="E1169" s="1" t="s">
        <v>2575</v>
      </c>
      <c r="F1169" s="1" t="s">
        <v>16</v>
      </c>
      <c r="G1169" s="1" t="s">
        <v>27</v>
      </c>
      <c r="H1169" s="1" t="s">
        <v>28</v>
      </c>
      <c r="I1169" s="1" t="s">
        <v>40</v>
      </c>
      <c r="J1169" s="1">
        <f>IFERROR(__xludf.DUMMYFUNCTION("""COMPUTED_VALUE"""),432.0)</f>
        <v>432</v>
      </c>
      <c r="K1169" s="1">
        <v>103.0</v>
      </c>
      <c r="L1169" s="1">
        <f>IFERROR(__xludf.DUMMYFUNCTION("""COMPUTED_VALUE"""),1095.0)</f>
        <v>1095</v>
      </c>
    </row>
    <row r="1170">
      <c r="A1170" s="1">
        <v>3216386.0</v>
      </c>
      <c r="B1170" s="1" t="s">
        <v>2576</v>
      </c>
      <c r="C1170" s="1" t="s">
        <v>2070</v>
      </c>
      <c r="D1170" s="1" t="s">
        <v>2079</v>
      </c>
      <c r="E1170" s="1" t="s">
        <v>2577</v>
      </c>
      <c r="F1170" s="1" t="s">
        <v>16</v>
      </c>
      <c r="G1170" s="1" t="s">
        <v>17</v>
      </c>
      <c r="H1170" s="1" t="s">
        <v>18</v>
      </c>
      <c r="I1170" s="1" t="s">
        <v>44</v>
      </c>
      <c r="J1170" s="1">
        <f>IFERROR(__xludf.DUMMYFUNCTION("""COMPUTED_VALUE"""),135.0)</f>
        <v>135</v>
      </c>
      <c r="K1170" s="1">
        <v>32.0</v>
      </c>
      <c r="L1170" s="1">
        <f>IFERROR(__xludf.DUMMYFUNCTION("""COMPUTED_VALUE"""),211.0)</f>
        <v>211</v>
      </c>
    </row>
    <row r="1171">
      <c r="A1171" s="1">
        <v>3275053.0</v>
      </c>
      <c r="B1171" s="1" t="s">
        <v>2578</v>
      </c>
      <c r="C1171" s="1" t="s">
        <v>2070</v>
      </c>
      <c r="D1171" s="1" t="s">
        <v>2119</v>
      </c>
      <c r="E1171" s="1" t="s">
        <v>2579</v>
      </c>
      <c r="F1171" s="1" t="s">
        <v>16</v>
      </c>
      <c r="G1171" s="1" t="s">
        <v>17</v>
      </c>
      <c r="H1171" s="1" t="s">
        <v>18</v>
      </c>
      <c r="I1171" s="1" t="s">
        <v>44</v>
      </c>
      <c r="J1171" s="1">
        <f>IFERROR(__xludf.DUMMYFUNCTION("""COMPUTED_VALUE"""),95.0)</f>
        <v>95</v>
      </c>
      <c r="K1171" s="1">
        <v>36.0</v>
      </c>
      <c r="L1171" s="1">
        <f>IFERROR(__xludf.DUMMYFUNCTION("""COMPUTED_VALUE"""),203.0)</f>
        <v>203</v>
      </c>
    </row>
    <row r="1172">
      <c r="A1172" s="1">
        <v>3215163.0</v>
      </c>
      <c r="B1172" s="1" t="s">
        <v>2580</v>
      </c>
      <c r="C1172" s="1" t="s">
        <v>2070</v>
      </c>
      <c r="D1172" s="1" t="s">
        <v>2071</v>
      </c>
      <c r="E1172" s="1" t="s">
        <v>2581</v>
      </c>
      <c r="F1172" s="1" t="s">
        <v>16</v>
      </c>
      <c r="G1172" s="1" t="s">
        <v>23</v>
      </c>
      <c r="H1172" s="1" t="s">
        <v>18</v>
      </c>
      <c r="I1172" s="1" t="s">
        <v>44</v>
      </c>
      <c r="J1172" s="1">
        <f>IFERROR(__xludf.DUMMYFUNCTION("""COMPUTED_VALUE"""),51.0)</f>
        <v>51</v>
      </c>
      <c r="K1172" s="1">
        <v>18.0</v>
      </c>
      <c r="L1172" s="1">
        <f>IFERROR(__xludf.DUMMYFUNCTION("""COMPUTED_VALUE"""),79.0)</f>
        <v>79</v>
      </c>
    </row>
    <row r="1173">
      <c r="A1173" s="1">
        <v>3215170.0</v>
      </c>
      <c r="B1173" s="1" t="s">
        <v>2582</v>
      </c>
      <c r="C1173" s="1" t="s">
        <v>2070</v>
      </c>
      <c r="D1173" s="1" t="s">
        <v>2071</v>
      </c>
      <c r="E1173" s="1" t="s">
        <v>2583</v>
      </c>
      <c r="F1173" s="1" t="s">
        <v>16</v>
      </c>
      <c r="G1173" s="1" t="s">
        <v>17</v>
      </c>
      <c r="H1173" s="1" t="s">
        <v>18</v>
      </c>
      <c r="I1173" s="1" t="s">
        <v>19</v>
      </c>
      <c r="J1173" s="1">
        <f>IFERROR(__xludf.DUMMYFUNCTION("""COMPUTED_VALUE"""),110.0)</f>
        <v>110</v>
      </c>
      <c r="K1173" s="1">
        <v>41.0</v>
      </c>
      <c r="L1173" s="1">
        <f>IFERROR(__xludf.DUMMYFUNCTION("""COMPUTED_VALUE"""),212.0)</f>
        <v>212</v>
      </c>
    </row>
    <row r="1174">
      <c r="A1174" s="1">
        <v>3202088.0</v>
      </c>
      <c r="B1174" s="1" t="s">
        <v>2584</v>
      </c>
      <c r="C1174" s="1" t="s">
        <v>2070</v>
      </c>
      <c r="D1174" s="1" t="s">
        <v>2085</v>
      </c>
      <c r="E1174" s="1" t="s">
        <v>2585</v>
      </c>
      <c r="F1174" s="1" t="s">
        <v>16</v>
      </c>
      <c r="G1174" s="1" t="s">
        <v>17</v>
      </c>
      <c r="H1174" s="1" t="s">
        <v>18</v>
      </c>
      <c r="I1174" s="1" t="s">
        <v>19</v>
      </c>
      <c r="J1174" s="1">
        <f>IFERROR(__xludf.DUMMYFUNCTION("""COMPUTED_VALUE"""),111.0)</f>
        <v>111</v>
      </c>
      <c r="K1174" s="1">
        <v>37.0</v>
      </c>
      <c r="L1174" s="1">
        <f>IFERROR(__xludf.DUMMYFUNCTION("""COMPUTED_VALUE"""),98.0)</f>
        <v>98</v>
      </c>
    </row>
    <row r="1175">
      <c r="A1175" s="1">
        <v>3216329.0</v>
      </c>
      <c r="B1175" s="1" t="s">
        <v>2586</v>
      </c>
      <c r="C1175" s="1" t="s">
        <v>2070</v>
      </c>
      <c r="D1175" s="1" t="s">
        <v>2119</v>
      </c>
      <c r="E1175" s="1" t="s">
        <v>2587</v>
      </c>
      <c r="F1175" s="1" t="s">
        <v>16</v>
      </c>
      <c r="G1175" s="1" t="s">
        <v>27</v>
      </c>
      <c r="H1175" s="1" t="s">
        <v>18</v>
      </c>
      <c r="I1175" s="1" t="s">
        <v>19</v>
      </c>
      <c r="J1175" s="1">
        <f>IFERROR(__xludf.DUMMYFUNCTION("""COMPUTED_VALUE"""),108.0)</f>
        <v>108</v>
      </c>
      <c r="K1175" s="1">
        <v>70.0</v>
      </c>
      <c r="L1175" s="1">
        <f>IFERROR(__xludf.DUMMYFUNCTION("""COMPUTED_VALUE"""),540.0)</f>
        <v>540</v>
      </c>
    </row>
    <row r="1176">
      <c r="A1176" s="1">
        <v>3210037.0</v>
      </c>
      <c r="B1176" s="1" t="s">
        <v>2588</v>
      </c>
      <c r="C1176" s="1" t="s">
        <v>2070</v>
      </c>
      <c r="D1176" s="1" t="s">
        <v>2228</v>
      </c>
      <c r="E1176" s="1" t="s">
        <v>2589</v>
      </c>
      <c r="F1176" s="1" t="s">
        <v>16</v>
      </c>
      <c r="G1176" s="1" t="s">
        <v>17</v>
      </c>
      <c r="H1176" s="1" t="s">
        <v>18</v>
      </c>
      <c r="I1176" s="1" t="s">
        <v>44</v>
      </c>
      <c r="J1176" s="1">
        <f>IFERROR(__xludf.DUMMYFUNCTION("""COMPUTED_VALUE"""),228.0)</f>
        <v>228</v>
      </c>
      <c r="K1176" s="1">
        <v>20.0</v>
      </c>
      <c r="L1176" s="1">
        <f>IFERROR(__xludf.DUMMYFUNCTION("""COMPUTED_VALUE"""),139.0)</f>
        <v>139</v>
      </c>
    </row>
    <row r="1177">
      <c r="A1177" s="1">
        <v>3201252.0</v>
      </c>
      <c r="B1177" s="1" t="s">
        <v>2590</v>
      </c>
      <c r="C1177" s="1" t="s">
        <v>2070</v>
      </c>
      <c r="D1177" s="1" t="s">
        <v>2097</v>
      </c>
      <c r="E1177" s="1" t="s">
        <v>2591</v>
      </c>
      <c r="F1177" s="1" t="s">
        <v>16</v>
      </c>
      <c r="G1177" s="1" t="s">
        <v>17</v>
      </c>
      <c r="H1177" s="1" t="s">
        <v>18</v>
      </c>
      <c r="I1177" s="1" t="s">
        <v>44</v>
      </c>
      <c r="J1177" s="1">
        <f>IFERROR(__xludf.DUMMYFUNCTION("""COMPUTED_VALUE"""),130.0)</f>
        <v>130</v>
      </c>
      <c r="K1177" s="1">
        <v>35.0</v>
      </c>
      <c r="L1177" s="1">
        <f>IFERROR(__xludf.DUMMYFUNCTION("""COMPUTED_VALUE"""),96.0)</f>
        <v>96</v>
      </c>
    </row>
    <row r="1178">
      <c r="A1178" s="1">
        <v>3201258.0</v>
      </c>
      <c r="B1178" s="1" t="s">
        <v>2592</v>
      </c>
      <c r="C1178" s="1" t="s">
        <v>2070</v>
      </c>
      <c r="D1178" s="1" t="s">
        <v>2097</v>
      </c>
      <c r="E1178" s="1" t="s">
        <v>2593</v>
      </c>
      <c r="F1178" s="1" t="s">
        <v>16</v>
      </c>
      <c r="G1178" s="1" t="s">
        <v>27</v>
      </c>
      <c r="H1178" s="1" t="s">
        <v>18</v>
      </c>
      <c r="I1178" s="1" t="s">
        <v>44</v>
      </c>
      <c r="J1178" s="1">
        <f>IFERROR(__xludf.DUMMYFUNCTION("""COMPUTED_VALUE"""),210.0)</f>
        <v>210</v>
      </c>
      <c r="K1178" s="1">
        <v>30.0</v>
      </c>
      <c r="L1178" s="1">
        <f>IFERROR(__xludf.DUMMYFUNCTION("""COMPUTED_VALUE"""),182.0)</f>
        <v>182</v>
      </c>
    </row>
    <row r="1179">
      <c r="A1179" s="1">
        <v>3209051.0</v>
      </c>
      <c r="B1179" s="1" t="s">
        <v>2594</v>
      </c>
      <c r="C1179" s="1" t="s">
        <v>2070</v>
      </c>
      <c r="D1179" s="1" t="s">
        <v>2106</v>
      </c>
      <c r="E1179" s="1" t="s">
        <v>2595</v>
      </c>
      <c r="F1179" s="1" t="s">
        <v>16</v>
      </c>
      <c r="G1179" s="1" t="s">
        <v>27</v>
      </c>
      <c r="H1179" s="1" t="s">
        <v>18</v>
      </c>
      <c r="I1179" s="1" t="s">
        <v>19</v>
      </c>
      <c r="J1179" s="1">
        <f>IFERROR(__xludf.DUMMYFUNCTION("""COMPUTED_VALUE"""),740.0)</f>
        <v>740</v>
      </c>
      <c r="K1179" s="1">
        <v>106.0</v>
      </c>
      <c r="L1179" s="1">
        <f>IFERROR(__xludf.DUMMYFUNCTION("""COMPUTED_VALUE"""),1282.0)</f>
        <v>1282</v>
      </c>
    </row>
    <row r="1180">
      <c r="A1180" s="1">
        <v>3216340.0</v>
      </c>
      <c r="B1180" s="1" t="s">
        <v>2596</v>
      </c>
      <c r="C1180" s="1" t="s">
        <v>2070</v>
      </c>
      <c r="D1180" s="1" t="s">
        <v>2079</v>
      </c>
      <c r="E1180" s="1" t="s">
        <v>2597</v>
      </c>
      <c r="F1180" s="1" t="s">
        <v>16</v>
      </c>
      <c r="G1180" s="1" t="s">
        <v>17</v>
      </c>
      <c r="H1180" s="1" t="s">
        <v>18</v>
      </c>
      <c r="I1180" s="1" t="s">
        <v>59</v>
      </c>
      <c r="J1180" s="1">
        <f>IFERROR(__xludf.DUMMYFUNCTION("""COMPUTED_VALUE"""),109.0)</f>
        <v>109</v>
      </c>
      <c r="K1180" s="1">
        <v>28.0</v>
      </c>
      <c r="L1180" s="1">
        <f>IFERROR(__xludf.DUMMYFUNCTION("""COMPUTED_VALUE"""),222.0)</f>
        <v>222</v>
      </c>
    </row>
    <row r="1181">
      <c r="A1181" s="1">
        <v>3212073.0</v>
      </c>
      <c r="B1181" s="1" t="s">
        <v>2598</v>
      </c>
      <c r="C1181" s="1" t="s">
        <v>2070</v>
      </c>
      <c r="D1181" s="1" t="s">
        <v>2189</v>
      </c>
      <c r="E1181" s="1" t="s">
        <v>2599</v>
      </c>
      <c r="F1181" s="1" t="s">
        <v>16</v>
      </c>
      <c r="G1181" s="1" t="s">
        <v>17</v>
      </c>
      <c r="H1181" s="1" t="s">
        <v>18</v>
      </c>
      <c r="I1181" s="1" t="s">
        <v>19</v>
      </c>
      <c r="J1181" s="1">
        <f>IFERROR(__xludf.DUMMYFUNCTION("""COMPUTED_VALUE"""),150.0)</f>
        <v>150</v>
      </c>
      <c r="K1181" s="1">
        <v>26.0</v>
      </c>
      <c r="L1181" s="1">
        <f>IFERROR(__xludf.DUMMYFUNCTION("""COMPUTED_VALUE"""),182.0)</f>
        <v>182</v>
      </c>
    </row>
    <row r="1182">
      <c r="A1182" s="1">
        <v>3278095.0</v>
      </c>
      <c r="B1182" s="1" t="s">
        <v>2600</v>
      </c>
      <c r="C1182" s="1" t="s">
        <v>2070</v>
      </c>
      <c r="D1182" s="1" t="s">
        <v>2077</v>
      </c>
      <c r="E1182" s="1" t="s">
        <v>2601</v>
      </c>
      <c r="F1182" s="1" t="s">
        <v>16</v>
      </c>
      <c r="G1182" s="1" t="s">
        <v>23</v>
      </c>
      <c r="H1182" s="1" t="s">
        <v>18</v>
      </c>
      <c r="I1182" s="1" t="s">
        <v>29</v>
      </c>
      <c r="J1182" s="1">
        <f>IFERROR(__xludf.DUMMYFUNCTION("""COMPUTED_VALUE"""),102.0)</f>
        <v>102</v>
      </c>
      <c r="K1182" s="1">
        <v>1.0</v>
      </c>
      <c r="L1182" s="1">
        <f>IFERROR(__xludf.DUMMYFUNCTION("""COMPUTED_VALUE"""),182.0)</f>
        <v>182</v>
      </c>
    </row>
    <row r="1183">
      <c r="A1183" s="1">
        <v>3201024.0</v>
      </c>
      <c r="B1183" s="1" t="s">
        <v>2602</v>
      </c>
      <c r="C1183" s="1" t="s">
        <v>2070</v>
      </c>
      <c r="D1183" s="1" t="s">
        <v>2097</v>
      </c>
      <c r="E1183" s="1" t="s">
        <v>2603</v>
      </c>
      <c r="F1183" s="1" t="s">
        <v>473</v>
      </c>
      <c r="G1183" s="1" t="s">
        <v>150</v>
      </c>
      <c r="H1183" s="1" t="s">
        <v>33</v>
      </c>
      <c r="I1183" s="1" t="s">
        <v>411</v>
      </c>
      <c r="J1183" s="1">
        <f>IFERROR(__xludf.DUMMYFUNCTION("""COMPUTED_VALUE"""),175.0)</f>
        <v>175</v>
      </c>
      <c r="K1183" s="1">
        <v>43.0</v>
      </c>
      <c r="L1183" s="1">
        <f>IFERROR(__xludf.DUMMYFUNCTION("""COMPUTED_VALUE"""),475.0)</f>
        <v>475</v>
      </c>
    </row>
    <row r="1184">
      <c r="A1184" s="1">
        <v>3204041.0</v>
      </c>
      <c r="B1184" s="1" t="s">
        <v>2604</v>
      </c>
      <c r="C1184" s="1" t="s">
        <v>2070</v>
      </c>
      <c r="D1184" s="1" t="s">
        <v>2088</v>
      </c>
      <c r="E1184" s="1" t="s">
        <v>2605</v>
      </c>
      <c r="F1184" s="1" t="s">
        <v>16</v>
      </c>
      <c r="G1184" s="1" t="s">
        <v>17</v>
      </c>
      <c r="H1184" s="1" t="s">
        <v>18</v>
      </c>
      <c r="I1184" s="1" t="s">
        <v>19</v>
      </c>
      <c r="J1184" s="1">
        <f>IFERROR(__xludf.DUMMYFUNCTION("""COMPUTED_VALUE"""),100.0)</f>
        <v>100</v>
      </c>
      <c r="K1184" s="1">
        <v>44.0</v>
      </c>
      <c r="L1184" s="1">
        <f>IFERROR(__xludf.DUMMYFUNCTION("""COMPUTED_VALUE"""),226.0)</f>
        <v>226</v>
      </c>
    </row>
    <row r="1185">
      <c r="A1185" s="1">
        <v>3274090.0</v>
      </c>
      <c r="B1185" s="1" t="s">
        <v>2606</v>
      </c>
      <c r="C1185" s="1" t="s">
        <v>2070</v>
      </c>
      <c r="D1185" s="1" t="s">
        <v>2124</v>
      </c>
      <c r="E1185" s="1" t="s">
        <v>2607</v>
      </c>
      <c r="F1185" s="1" t="s">
        <v>16</v>
      </c>
      <c r="G1185" s="1" t="s">
        <v>17</v>
      </c>
      <c r="H1185" s="1" t="s">
        <v>18</v>
      </c>
      <c r="I1185" s="1" t="s">
        <v>19</v>
      </c>
      <c r="J1185" s="1">
        <f>IFERROR(__xludf.DUMMYFUNCTION("""COMPUTED_VALUE"""),190.0)</f>
        <v>190</v>
      </c>
      <c r="K1185" s="1">
        <v>55.0</v>
      </c>
      <c r="L1185" s="1">
        <f>IFERROR(__xludf.DUMMYFUNCTION("""COMPUTED_VALUE"""),291.0)</f>
        <v>291</v>
      </c>
    </row>
    <row r="1186">
      <c r="A1186" s="1">
        <v>3278017.0</v>
      </c>
      <c r="B1186" s="1" t="s">
        <v>2608</v>
      </c>
      <c r="C1186" s="1" t="s">
        <v>2070</v>
      </c>
      <c r="D1186" s="1" t="s">
        <v>2077</v>
      </c>
      <c r="E1186" s="1" t="s">
        <v>2609</v>
      </c>
      <c r="F1186" s="1" t="s">
        <v>55</v>
      </c>
      <c r="G1186" s="1" t="s">
        <v>17</v>
      </c>
      <c r="H1186" s="1" t="s">
        <v>18</v>
      </c>
      <c r="I1186" s="1" t="s">
        <v>44</v>
      </c>
      <c r="J1186" s="1">
        <f>IFERROR(__xludf.DUMMYFUNCTION("""COMPUTED_VALUE"""),27.0)</f>
        <v>27</v>
      </c>
      <c r="K1186" s="1">
        <v>15.0</v>
      </c>
      <c r="L1186" s="1">
        <f>IFERROR(__xludf.DUMMYFUNCTION("""COMPUTED_VALUE"""),65.0)</f>
        <v>65</v>
      </c>
    </row>
    <row r="1187">
      <c r="A1187" s="1">
        <v>3214033.0</v>
      </c>
      <c r="B1187" s="1" t="s">
        <v>2610</v>
      </c>
      <c r="C1187" s="1" t="s">
        <v>2070</v>
      </c>
      <c r="D1187" s="1" t="s">
        <v>2182</v>
      </c>
      <c r="E1187" s="1" t="s">
        <v>2611</v>
      </c>
      <c r="F1187" s="1" t="s">
        <v>16</v>
      </c>
      <c r="G1187" s="1" t="s">
        <v>17</v>
      </c>
      <c r="H1187" s="1" t="s">
        <v>18</v>
      </c>
      <c r="I1187" s="1" t="s">
        <v>44</v>
      </c>
      <c r="J1187" s="1">
        <f>IFERROR(__xludf.DUMMYFUNCTION("""COMPUTED_VALUE"""),134.0)</f>
        <v>134</v>
      </c>
      <c r="K1187" s="1">
        <v>31.0</v>
      </c>
      <c r="L1187" s="1">
        <f>IFERROR(__xludf.DUMMYFUNCTION("""COMPUTED_VALUE"""),315.0)</f>
        <v>315</v>
      </c>
    </row>
    <row r="1188">
      <c r="A1188" s="1">
        <v>3212055.0</v>
      </c>
      <c r="B1188" s="1" t="s">
        <v>2612</v>
      </c>
      <c r="C1188" s="1" t="s">
        <v>2070</v>
      </c>
      <c r="D1188" s="1" t="s">
        <v>2189</v>
      </c>
      <c r="E1188" s="1" t="s">
        <v>2613</v>
      </c>
      <c r="F1188" s="1" t="s">
        <v>16</v>
      </c>
      <c r="G1188" s="1" t="s">
        <v>23</v>
      </c>
      <c r="H1188" s="1" t="s">
        <v>18</v>
      </c>
      <c r="I1188" s="1" t="s">
        <v>113</v>
      </c>
      <c r="J1188" s="1">
        <f>IFERROR(__xludf.DUMMYFUNCTION("""COMPUTED_VALUE"""),50.0)</f>
        <v>50</v>
      </c>
      <c r="K1188" s="1">
        <v>25.0</v>
      </c>
      <c r="L1188" s="1">
        <f>IFERROR(__xludf.DUMMYFUNCTION("""COMPUTED_VALUE"""),85.0)</f>
        <v>85</v>
      </c>
    </row>
    <row r="1189">
      <c r="A1189" s="1">
        <v>3204168.0</v>
      </c>
      <c r="B1189" s="1" t="s">
        <v>2614</v>
      </c>
      <c r="C1189" s="1" t="s">
        <v>2070</v>
      </c>
      <c r="D1189" s="1" t="s">
        <v>2091</v>
      </c>
      <c r="E1189" s="1" t="s">
        <v>2615</v>
      </c>
      <c r="F1189" s="1" t="s">
        <v>16</v>
      </c>
      <c r="G1189" s="1" t="s">
        <v>17</v>
      </c>
      <c r="H1189" s="1" t="s">
        <v>18</v>
      </c>
      <c r="I1189" s="1" t="s">
        <v>19</v>
      </c>
      <c r="J1189" s="1">
        <f>IFERROR(__xludf.DUMMYFUNCTION("""COMPUTED_VALUE"""),120.0)</f>
        <v>120</v>
      </c>
      <c r="K1189" s="1">
        <v>42.0</v>
      </c>
      <c r="L1189" s="1">
        <f>IFERROR(__xludf.DUMMYFUNCTION("""COMPUTED_VALUE"""),182.0)</f>
        <v>182</v>
      </c>
    </row>
    <row r="1190">
      <c r="A1190" s="1">
        <v>3201141.0</v>
      </c>
      <c r="B1190" s="1" t="s">
        <v>2616</v>
      </c>
      <c r="C1190" s="1" t="s">
        <v>2070</v>
      </c>
      <c r="D1190" s="1" t="s">
        <v>2082</v>
      </c>
      <c r="E1190" s="1" t="s">
        <v>2617</v>
      </c>
      <c r="F1190" s="1" t="s">
        <v>55</v>
      </c>
      <c r="G1190" s="1" t="s">
        <v>17</v>
      </c>
      <c r="H1190" s="1" t="s">
        <v>18</v>
      </c>
      <c r="I1190" s="1" t="s">
        <v>59</v>
      </c>
      <c r="J1190" s="1">
        <f>IFERROR(__xludf.DUMMYFUNCTION("""COMPUTED_VALUE"""),66.0)</f>
        <v>66</v>
      </c>
      <c r="K1190" s="1">
        <v>27.0</v>
      </c>
      <c r="L1190" s="1">
        <f>IFERROR(__xludf.DUMMYFUNCTION("""COMPUTED_VALUE"""),182.0)</f>
        <v>182</v>
      </c>
    </row>
    <row r="1191">
      <c r="A1191" s="1">
        <v>3273165.0</v>
      </c>
      <c r="B1191" s="1" t="s">
        <v>2618</v>
      </c>
      <c r="C1191" s="1" t="s">
        <v>2070</v>
      </c>
      <c r="D1191" s="1" t="s">
        <v>2088</v>
      </c>
      <c r="E1191" s="1" t="s">
        <v>2619</v>
      </c>
      <c r="F1191" s="1" t="s">
        <v>55</v>
      </c>
      <c r="G1191" s="1" t="s">
        <v>27</v>
      </c>
      <c r="H1191" s="1" t="s">
        <v>18</v>
      </c>
      <c r="I1191" s="1" t="s">
        <v>44</v>
      </c>
      <c r="J1191" s="1">
        <f>IFERROR(__xludf.DUMMYFUNCTION("""COMPUTED_VALUE"""),100.0)</f>
        <v>100</v>
      </c>
      <c r="K1191" s="1">
        <v>77.0</v>
      </c>
      <c r="L1191" s="1">
        <f>IFERROR(__xludf.DUMMYFUNCTION("""COMPUTED_VALUE"""),506.0)</f>
        <v>506</v>
      </c>
    </row>
    <row r="1192">
      <c r="A1192" s="1">
        <v>3216445.0</v>
      </c>
      <c r="B1192" s="1" t="s">
        <v>2620</v>
      </c>
      <c r="C1192" s="1" t="s">
        <v>2070</v>
      </c>
      <c r="D1192" s="1" t="s">
        <v>2119</v>
      </c>
      <c r="E1192" s="1" t="s">
        <v>2621</v>
      </c>
      <c r="F1192" s="1" t="s">
        <v>16</v>
      </c>
      <c r="G1192" s="1" t="s">
        <v>17</v>
      </c>
      <c r="H1192" s="1" t="s">
        <v>18</v>
      </c>
      <c r="I1192" s="1" t="s">
        <v>19</v>
      </c>
      <c r="J1192" s="1">
        <f>IFERROR(__xludf.DUMMYFUNCTION("""COMPUTED_VALUE"""),103.0)</f>
        <v>103</v>
      </c>
      <c r="K1192" s="1">
        <v>42.0</v>
      </c>
      <c r="L1192" s="1">
        <f>IFERROR(__xludf.DUMMYFUNCTION("""COMPUTED_VALUE"""),106.0)</f>
        <v>106</v>
      </c>
    </row>
    <row r="1193">
      <c r="A1193" s="1">
        <v>3275061.0</v>
      </c>
      <c r="B1193" s="1" t="s">
        <v>2622</v>
      </c>
      <c r="C1193" s="1" t="s">
        <v>2070</v>
      </c>
      <c r="D1193" s="1" t="s">
        <v>2119</v>
      </c>
      <c r="E1193" s="1" t="s">
        <v>2623</v>
      </c>
      <c r="F1193" s="1" t="s">
        <v>16</v>
      </c>
      <c r="G1193" s="1" t="s">
        <v>17</v>
      </c>
      <c r="H1193" s="1" t="s">
        <v>18</v>
      </c>
      <c r="I1193" s="1" t="s">
        <v>19</v>
      </c>
      <c r="J1193" s="1">
        <f>IFERROR(__xludf.DUMMYFUNCTION("""COMPUTED_VALUE"""),104.0)</f>
        <v>104</v>
      </c>
      <c r="K1193" s="1">
        <v>27.0</v>
      </c>
      <c r="L1193" s="1">
        <f>IFERROR(__xludf.DUMMYFUNCTION("""COMPUTED_VALUE"""),177.0)</f>
        <v>177</v>
      </c>
    </row>
    <row r="1194">
      <c r="A1194" s="1">
        <v>3206023.0</v>
      </c>
      <c r="B1194" s="1" t="s">
        <v>2624</v>
      </c>
      <c r="C1194" s="1" t="s">
        <v>2070</v>
      </c>
      <c r="D1194" s="1" t="s">
        <v>2625</v>
      </c>
      <c r="E1194" s="1" t="s">
        <v>2626</v>
      </c>
      <c r="F1194" s="1" t="s">
        <v>16</v>
      </c>
      <c r="G1194" s="1" t="s">
        <v>17</v>
      </c>
      <c r="H1194" s="1" t="s">
        <v>28</v>
      </c>
      <c r="I1194" s="1" t="s">
        <v>40</v>
      </c>
      <c r="J1194" s="1">
        <f>IFERROR(__xludf.DUMMYFUNCTION("""COMPUTED_VALUE"""),240.0)</f>
        <v>240</v>
      </c>
      <c r="K1194" s="1">
        <v>47.0</v>
      </c>
      <c r="L1194" s="1">
        <f>IFERROR(__xludf.DUMMYFUNCTION("""COMPUTED_VALUE"""),855.0)</f>
        <v>855</v>
      </c>
    </row>
    <row r="1195">
      <c r="A1195" s="1">
        <v>3201243.0</v>
      </c>
      <c r="B1195" s="1" t="s">
        <v>2627</v>
      </c>
      <c r="C1195" s="1" t="s">
        <v>2070</v>
      </c>
      <c r="D1195" s="1" t="s">
        <v>2173</v>
      </c>
      <c r="E1195" s="1" t="s">
        <v>2628</v>
      </c>
      <c r="F1195" s="1" t="s">
        <v>55</v>
      </c>
      <c r="G1195" s="1" t="s">
        <v>17</v>
      </c>
      <c r="H1195" s="1" t="s">
        <v>18</v>
      </c>
      <c r="I1195" s="1" t="s">
        <v>19</v>
      </c>
      <c r="J1195" s="1">
        <f>IFERROR(__xludf.DUMMYFUNCTION("""COMPUTED_VALUE"""),40.0)</f>
        <v>40</v>
      </c>
      <c r="K1195" s="1">
        <v>18.0</v>
      </c>
      <c r="L1195" s="1">
        <f>IFERROR(__xludf.DUMMYFUNCTION("""COMPUTED_VALUE"""),24.0)</f>
        <v>24</v>
      </c>
    </row>
    <row r="1196">
      <c r="A1196" s="1">
        <v>3204133.0</v>
      </c>
      <c r="B1196" s="1" t="s">
        <v>2629</v>
      </c>
      <c r="C1196" s="1" t="s">
        <v>2070</v>
      </c>
      <c r="D1196" s="1" t="s">
        <v>2091</v>
      </c>
      <c r="E1196" s="1" t="s">
        <v>2630</v>
      </c>
      <c r="F1196" s="1" t="s">
        <v>16</v>
      </c>
      <c r="G1196" s="1" t="s">
        <v>17</v>
      </c>
      <c r="H1196" s="1" t="s">
        <v>18</v>
      </c>
      <c r="I1196" s="1" t="s">
        <v>44</v>
      </c>
      <c r="J1196" s="1">
        <f>IFERROR(__xludf.DUMMYFUNCTION("""COMPUTED_VALUE"""),109.0)</f>
        <v>109</v>
      </c>
      <c r="K1196" s="1">
        <v>57.0</v>
      </c>
      <c r="L1196" s="1">
        <f>IFERROR(__xludf.DUMMYFUNCTION("""COMPUTED_VALUE"""),181.0)</f>
        <v>181</v>
      </c>
    </row>
    <row r="1197">
      <c r="A1197" s="1">
        <v>3216449.0</v>
      </c>
      <c r="B1197" s="1" t="s">
        <v>2631</v>
      </c>
      <c r="C1197" s="1" t="s">
        <v>2070</v>
      </c>
      <c r="D1197" s="1" t="s">
        <v>2079</v>
      </c>
      <c r="E1197" s="1" t="s">
        <v>2632</v>
      </c>
      <c r="F1197" s="1" t="s">
        <v>16</v>
      </c>
      <c r="G1197" s="1" t="s">
        <v>17</v>
      </c>
      <c r="H1197" s="1" t="s">
        <v>18</v>
      </c>
      <c r="I1197" s="1" t="s">
        <v>19</v>
      </c>
      <c r="J1197" s="1">
        <f>IFERROR(__xludf.DUMMYFUNCTION("""COMPUTED_VALUE"""),292.0)</f>
        <v>292</v>
      </c>
      <c r="K1197" s="1">
        <v>43.0</v>
      </c>
      <c r="L1197" s="1">
        <f>IFERROR(__xludf.DUMMYFUNCTION("""COMPUTED_VALUE"""),41.0)</f>
        <v>41</v>
      </c>
    </row>
    <row r="1198">
      <c r="A1198" s="1">
        <v>3204075.0</v>
      </c>
      <c r="B1198" s="1" t="s">
        <v>2633</v>
      </c>
      <c r="C1198" s="1" t="s">
        <v>2070</v>
      </c>
      <c r="D1198" s="1" t="s">
        <v>2217</v>
      </c>
      <c r="E1198" s="1" t="s">
        <v>2634</v>
      </c>
      <c r="F1198" s="1" t="s">
        <v>16</v>
      </c>
      <c r="G1198" s="1" t="s">
        <v>17</v>
      </c>
      <c r="H1198" s="1" t="s">
        <v>18</v>
      </c>
      <c r="I1198" s="1" t="s">
        <v>59</v>
      </c>
      <c r="J1198" s="1">
        <f>IFERROR(__xludf.DUMMYFUNCTION("""COMPUTED_VALUE"""),263.0)</f>
        <v>263</v>
      </c>
      <c r="K1198" s="1">
        <v>218.0</v>
      </c>
      <c r="L1198" s="1">
        <f>IFERROR(__xludf.DUMMYFUNCTION("""COMPUTED_VALUE"""),125.0)</f>
        <v>125</v>
      </c>
    </row>
    <row r="1199">
      <c r="A1199" s="1">
        <v>3274020.0</v>
      </c>
      <c r="B1199" s="1" t="s">
        <v>2635</v>
      </c>
      <c r="C1199" s="1" t="s">
        <v>2070</v>
      </c>
      <c r="D1199" s="1" t="s">
        <v>2124</v>
      </c>
      <c r="E1199" s="1" t="s">
        <v>2636</v>
      </c>
      <c r="F1199" s="1" t="s">
        <v>16</v>
      </c>
      <c r="G1199" s="1" t="s">
        <v>27</v>
      </c>
      <c r="H1199" s="1" t="s">
        <v>33</v>
      </c>
      <c r="I1199" s="1" t="s">
        <v>74</v>
      </c>
      <c r="J1199" s="1">
        <f>IFERROR(__xludf.DUMMYFUNCTION("""COMPUTED_VALUE"""),210.0)</f>
        <v>210</v>
      </c>
      <c r="K1199" s="1">
        <v>41.0</v>
      </c>
      <c r="L1199" s="1">
        <f>IFERROR(__xludf.DUMMYFUNCTION("""COMPUTED_VALUE"""),647.0)</f>
        <v>647</v>
      </c>
    </row>
    <row r="1200">
      <c r="A1200" s="1">
        <v>3279003.0</v>
      </c>
      <c r="B1200" s="1" t="s">
        <v>2637</v>
      </c>
      <c r="C1200" s="1" t="s">
        <v>2070</v>
      </c>
      <c r="D1200" s="1" t="s">
        <v>2149</v>
      </c>
      <c r="E1200" s="1" t="s">
        <v>2638</v>
      </c>
      <c r="F1200" s="1" t="s">
        <v>16</v>
      </c>
      <c r="G1200" s="1" t="s">
        <v>23</v>
      </c>
      <c r="H1200" s="1" t="s">
        <v>18</v>
      </c>
      <c r="I1200" s="1" t="s">
        <v>44</v>
      </c>
      <c r="J1200" s="1">
        <f>IFERROR(__xludf.DUMMYFUNCTION("""COMPUTED_VALUE"""),83.0)</f>
        <v>83</v>
      </c>
      <c r="K1200" s="1">
        <v>25.0</v>
      </c>
      <c r="L1200" s="1">
        <f>IFERROR(__xludf.DUMMYFUNCTION("""COMPUTED_VALUE"""),152.0)</f>
        <v>152</v>
      </c>
    </row>
    <row r="1201">
      <c r="A1201" s="1">
        <v>3204171.0</v>
      </c>
      <c r="B1201" s="1" t="s">
        <v>2639</v>
      </c>
      <c r="C1201" s="1" t="s">
        <v>2070</v>
      </c>
      <c r="D1201" s="1" t="s">
        <v>2091</v>
      </c>
      <c r="E1201" s="1" t="s">
        <v>2640</v>
      </c>
      <c r="F1201" s="1" t="s">
        <v>16</v>
      </c>
      <c r="G1201" s="1" t="s">
        <v>23</v>
      </c>
      <c r="H1201" s="1" t="s">
        <v>18</v>
      </c>
      <c r="I1201" s="1" t="s">
        <v>40</v>
      </c>
      <c r="J1201" s="1">
        <f>IFERROR(__xludf.DUMMYFUNCTION("""COMPUTED_VALUE"""),54.0)</f>
        <v>54</v>
      </c>
      <c r="K1201" s="1">
        <v>18.0</v>
      </c>
      <c r="L1201" s="1">
        <f>IFERROR(__xludf.DUMMYFUNCTION("""COMPUTED_VALUE"""),182.0)</f>
        <v>182</v>
      </c>
    </row>
    <row r="1202">
      <c r="A1202" s="1">
        <v>3217134.0</v>
      </c>
      <c r="B1202" s="1" t="s">
        <v>2641</v>
      </c>
      <c r="C1202" s="1" t="s">
        <v>2070</v>
      </c>
      <c r="D1202" s="1" t="s">
        <v>2144</v>
      </c>
      <c r="E1202" s="1" t="s">
        <v>2642</v>
      </c>
      <c r="F1202" s="1" t="s">
        <v>55</v>
      </c>
      <c r="G1202" s="1" t="s">
        <v>17</v>
      </c>
      <c r="H1202" s="1" t="s">
        <v>18</v>
      </c>
      <c r="I1202" s="1" t="s">
        <v>44</v>
      </c>
      <c r="J1202" s="1">
        <f>IFERROR(__xludf.DUMMYFUNCTION("""COMPUTED_VALUE"""),31.0)</f>
        <v>31</v>
      </c>
      <c r="K1202" s="1">
        <v>22.0</v>
      </c>
      <c r="L1202" s="1">
        <f>IFERROR(__xludf.DUMMYFUNCTION("""COMPUTED_VALUE"""),182.0)</f>
        <v>182</v>
      </c>
    </row>
    <row r="1203">
      <c r="A1203" s="1">
        <v>3216252.0</v>
      </c>
      <c r="B1203" s="1" t="s">
        <v>2643</v>
      </c>
      <c r="C1203" s="1" t="s">
        <v>2070</v>
      </c>
      <c r="D1203" s="1" t="s">
        <v>2079</v>
      </c>
      <c r="E1203" s="1" t="s">
        <v>2644</v>
      </c>
      <c r="F1203" s="1" t="s">
        <v>16</v>
      </c>
      <c r="G1203" s="1" t="s">
        <v>27</v>
      </c>
      <c r="H1203" s="1" t="s">
        <v>28</v>
      </c>
      <c r="I1203" s="1" t="s">
        <v>40</v>
      </c>
      <c r="J1203" s="1">
        <f>IFERROR(__xludf.DUMMYFUNCTION("""COMPUTED_VALUE"""),256.0)</f>
        <v>256</v>
      </c>
      <c r="K1203" s="1">
        <v>118.0</v>
      </c>
      <c r="L1203" s="1">
        <f>IFERROR(__xludf.DUMMYFUNCTION("""COMPUTED_VALUE"""),861.0)</f>
        <v>861</v>
      </c>
    </row>
    <row r="1204">
      <c r="A1204" s="1">
        <v>3275068.0</v>
      </c>
      <c r="B1204" s="1" t="s">
        <v>2645</v>
      </c>
      <c r="C1204" s="1" t="s">
        <v>2070</v>
      </c>
      <c r="D1204" s="1" t="s">
        <v>2119</v>
      </c>
      <c r="E1204" s="1" t="s">
        <v>2646</v>
      </c>
      <c r="F1204" s="1" t="s">
        <v>16</v>
      </c>
      <c r="G1204" s="1" t="s">
        <v>23</v>
      </c>
      <c r="H1204" s="1" t="s">
        <v>28</v>
      </c>
      <c r="I1204" s="1" t="s">
        <v>29</v>
      </c>
      <c r="J1204" s="1">
        <f>IFERROR(__xludf.DUMMYFUNCTION("""COMPUTED_VALUE"""),69.0)</f>
        <v>69</v>
      </c>
      <c r="K1204" s="1">
        <v>37.0</v>
      </c>
      <c r="L1204" s="1">
        <f>IFERROR(__xludf.DUMMYFUNCTION("""COMPUTED_VALUE"""),4.0)</f>
        <v>4</v>
      </c>
    </row>
    <row r="1205">
      <c r="A1205" s="1">
        <v>3208013.0</v>
      </c>
      <c r="B1205" s="1" t="s">
        <v>2647</v>
      </c>
      <c r="C1205" s="1" t="s">
        <v>2070</v>
      </c>
      <c r="D1205" s="1" t="s">
        <v>2074</v>
      </c>
      <c r="E1205" s="1" t="s">
        <v>2648</v>
      </c>
      <c r="F1205" s="1" t="s">
        <v>16</v>
      </c>
      <c r="G1205" s="1" t="s">
        <v>27</v>
      </c>
      <c r="H1205" s="1" t="s">
        <v>33</v>
      </c>
      <c r="I1205" s="1" t="s">
        <v>40</v>
      </c>
      <c r="J1205" s="1">
        <f>IFERROR(__xludf.DUMMYFUNCTION("""COMPUTED_VALUE"""),216.0)</f>
        <v>216</v>
      </c>
      <c r="K1205" s="1">
        <v>73.0</v>
      </c>
      <c r="L1205" s="1">
        <f>IFERROR(__xludf.DUMMYFUNCTION("""COMPUTED_VALUE"""),445.0)</f>
        <v>445</v>
      </c>
    </row>
    <row r="1206">
      <c r="A1206" s="1">
        <v>3208046.0</v>
      </c>
      <c r="B1206" s="1" t="s">
        <v>2649</v>
      </c>
      <c r="C1206" s="1" t="s">
        <v>2070</v>
      </c>
      <c r="D1206" s="1" t="s">
        <v>2074</v>
      </c>
      <c r="E1206" s="1" t="s">
        <v>2650</v>
      </c>
      <c r="F1206" s="1" t="s">
        <v>16</v>
      </c>
      <c r="G1206" s="1" t="s">
        <v>17</v>
      </c>
      <c r="H1206" s="1" t="s">
        <v>18</v>
      </c>
      <c r="I1206" s="1" t="s">
        <v>44</v>
      </c>
      <c r="J1206" s="1">
        <f>IFERROR(__xludf.DUMMYFUNCTION("""COMPUTED_VALUE"""),185.0)</f>
        <v>185</v>
      </c>
      <c r="K1206" s="1">
        <v>19.0</v>
      </c>
      <c r="L1206" s="1">
        <f>IFERROR(__xludf.DUMMYFUNCTION("""COMPUTED_VALUE"""),328.0)</f>
        <v>328</v>
      </c>
    </row>
    <row r="1207">
      <c r="A1207" s="1">
        <v>3275392.0</v>
      </c>
      <c r="B1207" s="1" t="s">
        <v>2651</v>
      </c>
      <c r="C1207" s="1" t="s">
        <v>2070</v>
      </c>
      <c r="D1207" s="1" t="s">
        <v>2119</v>
      </c>
      <c r="E1207" s="1" t="s">
        <v>2652</v>
      </c>
      <c r="F1207" s="1" t="s">
        <v>16</v>
      </c>
      <c r="G1207" s="1" t="s">
        <v>27</v>
      </c>
      <c r="H1207" s="1" t="s">
        <v>18</v>
      </c>
      <c r="I1207" s="1" t="s">
        <v>44</v>
      </c>
      <c r="J1207" s="1">
        <f>IFERROR(__xludf.DUMMYFUNCTION("""COMPUTED_VALUE"""),250.0)</f>
        <v>250</v>
      </c>
      <c r="K1207" s="1">
        <v>121.0</v>
      </c>
      <c r="L1207" s="1">
        <f>IFERROR(__xludf.DUMMYFUNCTION("""COMPUTED_VALUE"""),558.0)</f>
        <v>558</v>
      </c>
    </row>
    <row r="1208">
      <c r="A1208" s="1">
        <v>3271139.0</v>
      </c>
      <c r="B1208" s="1" t="s">
        <v>2653</v>
      </c>
      <c r="C1208" s="1" t="s">
        <v>2070</v>
      </c>
      <c r="D1208" s="1" t="s">
        <v>2097</v>
      </c>
      <c r="E1208" s="1" t="s">
        <v>2654</v>
      </c>
      <c r="F1208" s="1" t="s">
        <v>16</v>
      </c>
      <c r="G1208" s="1" t="s">
        <v>17</v>
      </c>
      <c r="H1208" s="1" t="s">
        <v>18</v>
      </c>
      <c r="I1208" s="1" t="s">
        <v>44</v>
      </c>
      <c r="J1208" s="1">
        <f>IFERROR(__xludf.DUMMYFUNCTION("""COMPUTED_VALUE"""),110.0)</f>
        <v>110</v>
      </c>
      <c r="K1208" s="1">
        <v>49.0</v>
      </c>
      <c r="L1208" s="1">
        <f>IFERROR(__xludf.DUMMYFUNCTION("""COMPUTED_VALUE"""),173.0)</f>
        <v>173</v>
      </c>
    </row>
    <row r="1209">
      <c r="A1209" s="1">
        <v>3275373.0</v>
      </c>
      <c r="B1209" s="1" t="s">
        <v>2655</v>
      </c>
      <c r="C1209" s="1" t="s">
        <v>2070</v>
      </c>
      <c r="D1209" s="1" t="s">
        <v>2119</v>
      </c>
      <c r="E1209" s="1" t="s">
        <v>2656</v>
      </c>
      <c r="F1209" s="1" t="s">
        <v>16</v>
      </c>
      <c r="G1209" s="1" t="s">
        <v>17</v>
      </c>
      <c r="H1209" s="1" t="s">
        <v>18</v>
      </c>
      <c r="I1209" s="1" t="s">
        <v>44</v>
      </c>
      <c r="J1209" s="1">
        <f>IFERROR(__xludf.DUMMYFUNCTION("""COMPUTED_VALUE"""),114.0)</f>
        <v>114</v>
      </c>
      <c r="K1209" s="1">
        <v>56.0</v>
      </c>
      <c r="L1209" s="1">
        <f>IFERROR(__xludf.DUMMYFUNCTION("""COMPUTED_VALUE"""),356.0)</f>
        <v>356</v>
      </c>
    </row>
    <row r="1210">
      <c r="A1210" s="1">
        <v>3201238.0</v>
      </c>
      <c r="B1210" s="1" t="s">
        <v>2657</v>
      </c>
      <c r="C1210" s="1" t="s">
        <v>2070</v>
      </c>
      <c r="D1210" s="1" t="s">
        <v>2097</v>
      </c>
      <c r="E1210" s="1" t="s">
        <v>2658</v>
      </c>
      <c r="F1210" s="1" t="s">
        <v>16</v>
      </c>
      <c r="G1210" s="1" t="s">
        <v>17</v>
      </c>
      <c r="H1210" s="1" t="s">
        <v>18</v>
      </c>
      <c r="I1210" s="1" t="s">
        <v>44</v>
      </c>
      <c r="J1210" s="1">
        <f>IFERROR(__xludf.DUMMYFUNCTION("""COMPUTED_VALUE"""),193.0)</f>
        <v>193</v>
      </c>
      <c r="K1210" s="1">
        <v>46.0</v>
      </c>
      <c r="L1210" s="1">
        <f>IFERROR(__xludf.DUMMYFUNCTION("""COMPUTED_VALUE"""),433.0)</f>
        <v>433</v>
      </c>
    </row>
    <row r="1211">
      <c r="A1211" s="1">
        <v>3275064.0</v>
      </c>
      <c r="B1211" s="1" t="s">
        <v>2659</v>
      </c>
      <c r="C1211" s="1" t="s">
        <v>2070</v>
      </c>
      <c r="D1211" s="1" t="s">
        <v>2119</v>
      </c>
      <c r="E1211" s="1" t="s">
        <v>2660</v>
      </c>
      <c r="F1211" s="1" t="s">
        <v>16</v>
      </c>
      <c r="G1211" s="1" t="s">
        <v>23</v>
      </c>
      <c r="H1211" s="1" t="s">
        <v>18</v>
      </c>
      <c r="I1211" s="1" t="s">
        <v>44</v>
      </c>
      <c r="J1211" s="1">
        <f>IFERROR(__xludf.DUMMYFUNCTION("""COMPUTED_VALUE"""),65.0)</f>
        <v>65</v>
      </c>
      <c r="K1211" s="1">
        <v>29.0</v>
      </c>
      <c r="L1211" s="1">
        <f>IFERROR(__xludf.DUMMYFUNCTION("""COMPUTED_VALUE"""),36.0)</f>
        <v>36</v>
      </c>
    </row>
    <row r="1212">
      <c r="A1212" s="1">
        <v>3213021.0</v>
      </c>
      <c r="B1212" s="1" t="s">
        <v>2661</v>
      </c>
      <c r="C1212" s="1" t="s">
        <v>2070</v>
      </c>
      <c r="D1212" s="1" t="s">
        <v>2127</v>
      </c>
      <c r="E1212" s="1" t="s">
        <v>2662</v>
      </c>
      <c r="F1212" s="1" t="s">
        <v>16</v>
      </c>
      <c r="G1212" s="1" t="s">
        <v>23</v>
      </c>
      <c r="H1212" s="1" t="s">
        <v>18</v>
      </c>
      <c r="I1212" s="1" t="s">
        <v>113</v>
      </c>
      <c r="J1212" s="1">
        <f>IFERROR(__xludf.DUMMYFUNCTION("""COMPUTED_VALUE"""),105.0)</f>
        <v>105</v>
      </c>
      <c r="K1212" s="1">
        <v>27.0</v>
      </c>
      <c r="L1212" s="1">
        <f>IFERROR(__xludf.DUMMYFUNCTION("""COMPUTED_VALUE"""),283.0)</f>
        <v>283</v>
      </c>
    </row>
    <row r="1213">
      <c r="A1213" s="1">
        <v>3276017.0</v>
      </c>
      <c r="B1213" s="1" t="s">
        <v>2663</v>
      </c>
      <c r="C1213" s="1" t="s">
        <v>2070</v>
      </c>
      <c r="D1213" s="1" t="s">
        <v>2082</v>
      </c>
      <c r="E1213" s="1" t="s">
        <v>2664</v>
      </c>
      <c r="F1213" s="1" t="s">
        <v>16</v>
      </c>
      <c r="G1213" s="1" t="s">
        <v>27</v>
      </c>
      <c r="H1213" s="1" t="s">
        <v>18</v>
      </c>
      <c r="I1213" s="1" t="s">
        <v>19</v>
      </c>
      <c r="J1213" s="1">
        <f>IFERROR(__xludf.DUMMYFUNCTION("""COMPUTED_VALUE"""),210.0)</f>
        <v>210</v>
      </c>
      <c r="K1213" s="1">
        <v>48.0</v>
      </c>
      <c r="L1213" s="1">
        <f>IFERROR(__xludf.DUMMYFUNCTION("""COMPUTED_VALUE"""),542.0)</f>
        <v>542</v>
      </c>
    </row>
    <row r="1214">
      <c r="A1214" s="1">
        <v>3275046.0</v>
      </c>
      <c r="B1214" s="1" t="s">
        <v>2665</v>
      </c>
      <c r="C1214" s="1" t="s">
        <v>2070</v>
      </c>
      <c r="D1214" s="1" t="s">
        <v>2119</v>
      </c>
      <c r="E1214" s="1" t="s">
        <v>2666</v>
      </c>
      <c r="F1214" s="1" t="s">
        <v>16</v>
      </c>
      <c r="G1214" s="1" t="s">
        <v>27</v>
      </c>
      <c r="H1214" s="1" t="s">
        <v>18</v>
      </c>
      <c r="I1214" s="1" t="s">
        <v>44</v>
      </c>
      <c r="J1214" s="1">
        <f>IFERROR(__xludf.DUMMYFUNCTION("""COMPUTED_VALUE"""),184.0)</f>
        <v>184</v>
      </c>
      <c r="K1214" s="1">
        <v>70.0</v>
      </c>
      <c r="L1214" s="1">
        <f>IFERROR(__xludf.DUMMYFUNCTION("""COMPUTED_VALUE"""),628.0)</f>
        <v>628</v>
      </c>
    </row>
    <row r="1215">
      <c r="A1215" s="1">
        <v>3278015.0</v>
      </c>
      <c r="B1215" s="1" t="s">
        <v>2667</v>
      </c>
      <c r="C1215" s="1" t="s">
        <v>2070</v>
      </c>
      <c r="D1215" s="1" t="s">
        <v>2077</v>
      </c>
      <c r="E1215" s="1" t="s">
        <v>2668</v>
      </c>
      <c r="F1215" s="1" t="s">
        <v>55</v>
      </c>
      <c r="G1215" s="1" t="s">
        <v>17</v>
      </c>
      <c r="H1215" s="1" t="s">
        <v>18</v>
      </c>
      <c r="I1215" s="1" t="s">
        <v>19</v>
      </c>
      <c r="J1215" s="1">
        <f>IFERROR(__xludf.DUMMYFUNCTION("""COMPUTED_VALUE"""),30.0)</f>
        <v>30</v>
      </c>
      <c r="K1215" s="1">
        <v>14.0</v>
      </c>
      <c r="L1215" s="1">
        <f>IFERROR(__xludf.DUMMYFUNCTION("""COMPUTED_VALUE"""),11.0)</f>
        <v>11</v>
      </c>
    </row>
    <row r="1216">
      <c r="A1216" s="1">
        <v>3216407.0</v>
      </c>
      <c r="B1216" s="1" t="s">
        <v>2669</v>
      </c>
      <c r="C1216" s="1" t="s">
        <v>2070</v>
      </c>
      <c r="D1216" s="1" t="s">
        <v>2079</v>
      </c>
      <c r="E1216" s="1" t="s">
        <v>2670</v>
      </c>
      <c r="F1216" s="1" t="s">
        <v>16</v>
      </c>
      <c r="G1216" s="1" t="s">
        <v>23</v>
      </c>
      <c r="H1216" s="1" t="s">
        <v>18</v>
      </c>
      <c r="I1216" s="1" t="s">
        <v>44</v>
      </c>
      <c r="J1216" s="1">
        <f>IFERROR(__xludf.DUMMYFUNCTION("""COMPUTED_VALUE"""),30.0)</f>
        <v>30</v>
      </c>
      <c r="K1216" s="1">
        <v>18.0</v>
      </c>
      <c r="L1216" s="1">
        <f>IFERROR(__xludf.DUMMYFUNCTION("""COMPUTED_VALUE"""),6.0)</f>
        <v>6</v>
      </c>
    </row>
    <row r="1217">
      <c r="A1217" s="1">
        <v>3275070.0</v>
      </c>
      <c r="B1217" s="1" t="s">
        <v>2671</v>
      </c>
      <c r="C1217" s="1" t="s">
        <v>2070</v>
      </c>
      <c r="D1217" s="1" t="s">
        <v>2119</v>
      </c>
      <c r="E1217" s="1" t="s">
        <v>2672</v>
      </c>
      <c r="F1217" s="1" t="s">
        <v>16</v>
      </c>
      <c r="G1217" s="1" t="s">
        <v>23</v>
      </c>
      <c r="H1217" s="1" t="s">
        <v>28</v>
      </c>
      <c r="I1217" s="1" t="s">
        <v>29</v>
      </c>
      <c r="J1217" s="1">
        <f>IFERROR(__xludf.DUMMYFUNCTION("""COMPUTED_VALUE"""),50.0)</f>
        <v>50</v>
      </c>
      <c r="K1217" s="1">
        <v>26.0</v>
      </c>
      <c r="L1217" s="1">
        <f>IFERROR(__xludf.DUMMYFUNCTION("""COMPUTED_VALUE"""),182.0)</f>
        <v>182</v>
      </c>
    </row>
    <row r="1218">
      <c r="A1218" s="1">
        <v>3215100.0</v>
      </c>
      <c r="B1218" s="1" t="s">
        <v>2673</v>
      </c>
      <c r="C1218" s="1" t="s">
        <v>2070</v>
      </c>
      <c r="D1218" s="1" t="s">
        <v>2071</v>
      </c>
      <c r="E1218" s="1" t="s">
        <v>2674</v>
      </c>
      <c r="F1218" s="1" t="s">
        <v>16</v>
      </c>
      <c r="G1218" s="1" t="s">
        <v>23</v>
      </c>
      <c r="H1218" s="1" t="s">
        <v>18</v>
      </c>
      <c r="I1218" s="1" t="s">
        <v>19</v>
      </c>
      <c r="J1218" s="1">
        <f>IFERROR(__xludf.DUMMYFUNCTION("""COMPUTED_VALUE"""),55.0)</f>
        <v>55</v>
      </c>
      <c r="K1218" s="1">
        <v>22.0</v>
      </c>
      <c r="L1218" s="1">
        <f>IFERROR(__xludf.DUMMYFUNCTION("""COMPUTED_VALUE"""),21.0)</f>
        <v>21</v>
      </c>
    </row>
    <row r="1219">
      <c r="A1219" s="1">
        <v>3273145.0</v>
      </c>
      <c r="B1219" s="1" t="s">
        <v>2675</v>
      </c>
      <c r="C1219" s="1" t="s">
        <v>2070</v>
      </c>
      <c r="D1219" s="1" t="s">
        <v>2088</v>
      </c>
      <c r="E1219" s="1" t="s">
        <v>2676</v>
      </c>
      <c r="F1219" s="1" t="s">
        <v>16</v>
      </c>
      <c r="G1219" s="1" t="s">
        <v>17</v>
      </c>
      <c r="H1219" s="1" t="s">
        <v>18</v>
      </c>
      <c r="I1219" s="1" t="s">
        <v>44</v>
      </c>
      <c r="J1219" s="1">
        <f>IFERROR(__xludf.DUMMYFUNCTION("""COMPUTED_VALUE"""),270.0)</f>
        <v>270</v>
      </c>
      <c r="K1219" s="1">
        <v>83.0</v>
      </c>
      <c r="L1219" s="1">
        <f>IFERROR(__xludf.DUMMYFUNCTION("""COMPUTED_VALUE"""),545.0)</f>
        <v>545</v>
      </c>
    </row>
    <row r="1220">
      <c r="A1220" s="1">
        <v>3273542.0</v>
      </c>
      <c r="B1220" s="1" t="s">
        <v>2677</v>
      </c>
      <c r="C1220" s="1" t="s">
        <v>2070</v>
      </c>
      <c r="D1220" s="1" t="s">
        <v>2088</v>
      </c>
      <c r="E1220" s="1" t="s">
        <v>2678</v>
      </c>
      <c r="F1220" s="1" t="s">
        <v>16</v>
      </c>
      <c r="G1220" s="1" t="s">
        <v>150</v>
      </c>
      <c r="H1220" s="1" t="s">
        <v>18</v>
      </c>
      <c r="I1220" s="1" t="s">
        <v>19</v>
      </c>
      <c r="J1220" s="1">
        <f>IFERROR(__xludf.DUMMYFUNCTION("""COMPUTED_VALUE"""),450.0)</f>
        <v>450</v>
      </c>
      <c r="K1220" s="1">
        <v>140.0</v>
      </c>
      <c r="L1220" s="1">
        <f>IFERROR(__xludf.DUMMYFUNCTION("""COMPUTED_VALUE"""),641.0)</f>
        <v>641</v>
      </c>
    </row>
    <row r="1221">
      <c r="A1221" s="1">
        <v>3201257.0</v>
      </c>
      <c r="B1221" s="1" t="s">
        <v>2679</v>
      </c>
      <c r="C1221" s="1" t="s">
        <v>2070</v>
      </c>
      <c r="D1221" s="1" t="s">
        <v>2173</v>
      </c>
      <c r="E1221" s="1" t="s">
        <v>2680</v>
      </c>
      <c r="F1221" s="1" t="s">
        <v>16</v>
      </c>
      <c r="G1221" s="1" t="s">
        <v>17</v>
      </c>
      <c r="H1221" s="1" t="s">
        <v>18</v>
      </c>
      <c r="I1221" s="1" t="s">
        <v>19</v>
      </c>
      <c r="J1221" s="1">
        <f>IFERROR(__xludf.DUMMYFUNCTION("""COMPUTED_VALUE"""),100.0)</f>
        <v>100</v>
      </c>
      <c r="K1221" s="1">
        <v>27.0</v>
      </c>
      <c r="L1221" s="1">
        <f>IFERROR(__xludf.DUMMYFUNCTION("""COMPUTED_VALUE"""),72.0)</f>
        <v>72</v>
      </c>
    </row>
    <row r="1222">
      <c r="A1222" s="1">
        <v>3202087.0</v>
      </c>
      <c r="B1222" s="1" t="s">
        <v>2681</v>
      </c>
      <c r="C1222" s="1" t="s">
        <v>2070</v>
      </c>
      <c r="D1222" s="1" t="s">
        <v>2085</v>
      </c>
      <c r="E1222" s="1" t="s">
        <v>2682</v>
      </c>
      <c r="F1222" s="1" t="s">
        <v>16</v>
      </c>
      <c r="G1222" s="1" t="s">
        <v>23</v>
      </c>
      <c r="H1222" s="1" t="s">
        <v>28</v>
      </c>
      <c r="I1222" s="1" t="s">
        <v>40</v>
      </c>
      <c r="J1222" s="1">
        <f>IFERROR(__xludf.DUMMYFUNCTION("""COMPUTED_VALUE"""),54.0)</f>
        <v>54</v>
      </c>
      <c r="K1222" s="1">
        <v>18.0</v>
      </c>
      <c r="L1222" s="1">
        <f>IFERROR(__xludf.DUMMYFUNCTION("""COMPUTED_VALUE"""),125.0)</f>
        <v>125</v>
      </c>
    </row>
    <row r="1223">
      <c r="A1223" s="1">
        <v>3202062.0</v>
      </c>
      <c r="B1223" s="1" t="s">
        <v>2683</v>
      </c>
      <c r="C1223" s="1" t="s">
        <v>2070</v>
      </c>
      <c r="D1223" s="1" t="s">
        <v>2085</v>
      </c>
      <c r="E1223" s="1" t="s">
        <v>2684</v>
      </c>
      <c r="F1223" s="1" t="s">
        <v>16</v>
      </c>
      <c r="G1223" s="1" t="s">
        <v>17</v>
      </c>
      <c r="H1223" s="1" t="s">
        <v>18</v>
      </c>
      <c r="I1223" s="1" t="s">
        <v>19</v>
      </c>
      <c r="J1223" s="1">
        <f>IFERROR(__xludf.DUMMYFUNCTION("""COMPUTED_VALUE"""),215.0)</f>
        <v>215</v>
      </c>
      <c r="K1223" s="1">
        <v>88.0</v>
      </c>
      <c r="L1223" s="1">
        <f>IFERROR(__xludf.DUMMYFUNCTION("""COMPUTED_VALUE"""),408.0)</f>
        <v>408</v>
      </c>
    </row>
    <row r="1224">
      <c r="A1224" s="1">
        <v>3273453.0</v>
      </c>
      <c r="B1224" s="1" t="s">
        <v>2685</v>
      </c>
      <c r="C1224" s="1" t="s">
        <v>2070</v>
      </c>
      <c r="D1224" s="1" t="s">
        <v>2088</v>
      </c>
      <c r="E1224" s="1" t="s">
        <v>2686</v>
      </c>
      <c r="F1224" s="1" t="s">
        <v>539</v>
      </c>
      <c r="G1224" s="1" t="s">
        <v>17</v>
      </c>
      <c r="H1224" s="1" t="s">
        <v>18</v>
      </c>
      <c r="I1224" s="1" t="s">
        <v>59</v>
      </c>
      <c r="J1224" s="1">
        <f>IFERROR(__xludf.DUMMYFUNCTION("""COMPUTED_VALUE"""),32.0)</f>
        <v>32</v>
      </c>
      <c r="K1224" s="1">
        <v>35.0</v>
      </c>
      <c r="L1224" s="1">
        <f>IFERROR(__xludf.DUMMYFUNCTION("""COMPUTED_VALUE"""),349.0)</f>
        <v>349</v>
      </c>
    </row>
    <row r="1225">
      <c r="A1225" s="1">
        <v>3217121.0</v>
      </c>
      <c r="B1225" s="1" t="s">
        <v>2687</v>
      </c>
      <c r="C1225" s="1" t="s">
        <v>2070</v>
      </c>
      <c r="D1225" s="1" t="s">
        <v>2144</v>
      </c>
      <c r="E1225" s="1" t="s">
        <v>2688</v>
      </c>
      <c r="F1225" s="1" t="s">
        <v>16</v>
      </c>
      <c r="G1225" s="1" t="s">
        <v>17</v>
      </c>
      <c r="H1225" s="1" t="s">
        <v>18</v>
      </c>
      <c r="I1225" s="1" t="s">
        <v>249</v>
      </c>
      <c r="J1225" s="1">
        <f>IFERROR(__xludf.DUMMYFUNCTION("""COMPUTED_VALUE"""),169.0)</f>
        <v>169</v>
      </c>
      <c r="K1225" s="1">
        <v>40.0</v>
      </c>
      <c r="L1225" s="1">
        <f>IFERROR(__xludf.DUMMYFUNCTION("""COMPUTED_VALUE"""),426.0)</f>
        <v>426</v>
      </c>
    </row>
    <row r="1226">
      <c r="A1226" s="1">
        <v>3216464.0</v>
      </c>
      <c r="B1226" s="1" t="s">
        <v>2689</v>
      </c>
      <c r="C1226" s="1" t="s">
        <v>2070</v>
      </c>
      <c r="D1226" s="1" t="s">
        <v>2079</v>
      </c>
      <c r="E1226" s="1" t="s">
        <v>2690</v>
      </c>
      <c r="F1226" s="1" t="s">
        <v>16</v>
      </c>
      <c r="G1226" s="1" t="s">
        <v>17</v>
      </c>
      <c r="H1226" s="1" t="s">
        <v>18</v>
      </c>
      <c r="I1226" s="1" t="s">
        <v>19</v>
      </c>
      <c r="J1226" s="1">
        <f>IFERROR(__xludf.DUMMYFUNCTION("""COMPUTED_VALUE"""),98.0)</f>
        <v>98</v>
      </c>
      <c r="K1226" s="1">
        <v>29.0</v>
      </c>
      <c r="L1226" s="1">
        <f>IFERROR(__xludf.DUMMYFUNCTION("""COMPUTED_VALUE"""),182.0)</f>
        <v>182</v>
      </c>
    </row>
    <row r="1227">
      <c r="A1227" s="1">
        <v>3216163.0</v>
      </c>
      <c r="B1227" s="1" t="s">
        <v>2663</v>
      </c>
      <c r="C1227" s="1" t="s">
        <v>2070</v>
      </c>
      <c r="D1227" s="1" t="s">
        <v>2079</v>
      </c>
      <c r="E1227" s="1" t="s">
        <v>2691</v>
      </c>
      <c r="F1227" s="1" t="s">
        <v>16</v>
      </c>
      <c r="G1227" s="1" t="s">
        <v>27</v>
      </c>
      <c r="H1227" s="1" t="s">
        <v>18</v>
      </c>
      <c r="I1227" s="1" t="s">
        <v>59</v>
      </c>
      <c r="J1227" s="1">
        <f>IFERROR(__xludf.DUMMYFUNCTION("""COMPUTED_VALUE"""),200.0)</f>
        <v>200</v>
      </c>
      <c r="K1227" s="1">
        <v>87.0</v>
      </c>
      <c r="L1227" s="1">
        <f>IFERROR(__xludf.DUMMYFUNCTION("""COMPUTED_VALUE"""),588.0)</f>
        <v>588</v>
      </c>
    </row>
    <row r="1228">
      <c r="A1228" s="1">
        <v>3216425.0</v>
      </c>
      <c r="B1228" s="1" t="s">
        <v>288</v>
      </c>
      <c r="C1228" s="1" t="s">
        <v>2070</v>
      </c>
      <c r="D1228" s="1" t="s">
        <v>2079</v>
      </c>
      <c r="E1228" s="1" t="s">
        <v>2692</v>
      </c>
      <c r="F1228" s="1" t="s">
        <v>16</v>
      </c>
      <c r="G1228" s="1" t="s">
        <v>23</v>
      </c>
      <c r="H1228" s="1" t="s">
        <v>18</v>
      </c>
      <c r="I1228" s="1" t="s">
        <v>19</v>
      </c>
      <c r="J1228" s="1">
        <f>IFERROR(__xludf.DUMMYFUNCTION("""COMPUTED_VALUE"""),52.0)</f>
        <v>52</v>
      </c>
      <c r="K1228" s="1">
        <v>18.0</v>
      </c>
      <c r="L1228" s="1">
        <f>IFERROR(__xludf.DUMMYFUNCTION("""COMPUTED_VALUE"""),102.0)</f>
        <v>102</v>
      </c>
    </row>
    <row r="1229">
      <c r="A1229" s="1">
        <v>3201233.0</v>
      </c>
      <c r="B1229" s="1" t="s">
        <v>2693</v>
      </c>
      <c r="C1229" s="1" t="s">
        <v>2070</v>
      </c>
      <c r="D1229" s="1" t="s">
        <v>2097</v>
      </c>
      <c r="E1229" s="1" t="s">
        <v>2694</v>
      </c>
      <c r="F1229" s="1" t="s">
        <v>16</v>
      </c>
      <c r="G1229" s="1" t="s">
        <v>17</v>
      </c>
      <c r="H1229" s="1" t="s">
        <v>18</v>
      </c>
      <c r="I1229" s="1" t="s">
        <v>59</v>
      </c>
      <c r="J1229" s="1">
        <f>IFERROR(__xludf.DUMMYFUNCTION("""COMPUTED_VALUE"""),155.0)</f>
        <v>155</v>
      </c>
      <c r="K1229" s="1">
        <v>32.0</v>
      </c>
      <c r="L1229" s="1">
        <f>IFERROR(__xludf.DUMMYFUNCTION("""COMPUTED_VALUE"""),333.0)</f>
        <v>333</v>
      </c>
    </row>
    <row r="1230">
      <c r="A1230" s="1">
        <v>3212059.0</v>
      </c>
      <c r="B1230" s="1" t="s">
        <v>2695</v>
      </c>
      <c r="C1230" s="1" t="s">
        <v>2070</v>
      </c>
      <c r="D1230" s="1" t="s">
        <v>2189</v>
      </c>
      <c r="E1230" s="1" t="s">
        <v>2696</v>
      </c>
      <c r="F1230" s="1" t="s">
        <v>16</v>
      </c>
      <c r="G1230" s="1" t="s">
        <v>27</v>
      </c>
      <c r="H1230" s="1" t="s">
        <v>18</v>
      </c>
      <c r="I1230" s="1" t="s">
        <v>19</v>
      </c>
      <c r="J1230" s="1">
        <f>IFERROR(__xludf.DUMMYFUNCTION("""COMPUTED_VALUE"""),552.0)</f>
        <v>552</v>
      </c>
      <c r="K1230" s="1">
        <v>31.0</v>
      </c>
      <c r="L1230" s="1">
        <f>IFERROR(__xludf.DUMMYFUNCTION("""COMPUTED_VALUE"""),78.0)</f>
        <v>78</v>
      </c>
    </row>
    <row r="1231">
      <c r="A1231" s="1">
        <v>3205038.0</v>
      </c>
      <c r="B1231" s="1" t="s">
        <v>2697</v>
      </c>
      <c r="C1231" s="1" t="s">
        <v>2070</v>
      </c>
      <c r="D1231" s="1" t="s">
        <v>2214</v>
      </c>
      <c r="E1231" s="1" t="s">
        <v>2698</v>
      </c>
      <c r="F1231" s="1" t="s">
        <v>16</v>
      </c>
      <c r="G1231" s="1" t="s">
        <v>23</v>
      </c>
      <c r="H1231" s="1" t="s">
        <v>28</v>
      </c>
      <c r="I1231" s="1" t="s">
        <v>40</v>
      </c>
      <c r="J1231" s="1">
        <f>IFERROR(__xludf.DUMMYFUNCTION("""COMPUTED_VALUE"""),56.0)</f>
        <v>56</v>
      </c>
      <c r="K1231" s="1">
        <v>8.0</v>
      </c>
      <c r="L1231" s="1">
        <f>IFERROR(__xludf.DUMMYFUNCTION("""COMPUTED_VALUE"""),182.0)</f>
        <v>182</v>
      </c>
    </row>
    <row r="1232">
      <c r="A1232" s="1">
        <v>3206011.0</v>
      </c>
      <c r="B1232" s="1" t="s">
        <v>2699</v>
      </c>
      <c r="C1232" s="1" t="s">
        <v>2070</v>
      </c>
      <c r="D1232" s="1" t="s">
        <v>2077</v>
      </c>
      <c r="E1232" s="1" t="s">
        <v>2700</v>
      </c>
      <c r="F1232" s="1" t="s">
        <v>16</v>
      </c>
      <c r="G1232" s="1" t="s">
        <v>27</v>
      </c>
      <c r="H1232" s="1" t="s">
        <v>28</v>
      </c>
      <c r="I1232" s="1" t="s">
        <v>29</v>
      </c>
      <c r="J1232" s="1">
        <f>IFERROR(__xludf.DUMMYFUNCTION("""COMPUTED_VALUE"""),465.0)</f>
        <v>465</v>
      </c>
      <c r="K1232" s="1">
        <v>39.0</v>
      </c>
      <c r="L1232" s="1">
        <f>IFERROR(__xludf.DUMMYFUNCTION("""COMPUTED_VALUE"""),392.0)</f>
        <v>392</v>
      </c>
    </row>
    <row r="1233">
      <c r="A1233" s="1">
        <v>3271162.0</v>
      </c>
      <c r="B1233" s="1" t="s">
        <v>2701</v>
      </c>
      <c r="C1233" s="1" t="s">
        <v>2070</v>
      </c>
      <c r="D1233" s="1" t="s">
        <v>2173</v>
      </c>
      <c r="E1233" s="1" t="s">
        <v>2702</v>
      </c>
      <c r="F1233" s="1" t="s">
        <v>55</v>
      </c>
      <c r="G1233" s="1" t="s">
        <v>17</v>
      </c>
      <c r="H1233" s="1" t="s">
        <v>18</v>
      </c>
      <c r="I1233" s="1" t="s">
        <v>44</v>
      </c>
      <c r="J1233" s="1">
        <f>IFERROR(__xludf.DUMMYFUNCTION("""COMPUTED_VALUE"""),34.0)</f>
        <v>34</v>
      </c>
      <c r="K1233" s="1">
        <v>17.0</v>
      </c>
      <c r="L1233" s="1">
        <f>IFERROR(__xludf.DUMMYFUNCTION("""COMPUTED_VALUE"""),166.0)</f>
        <v>166</v>
      </c>
    </row>
    <row r="1234">
      <c r="A1234" s="1">
        <v>3216399.0</v>
      </c>
      <c r="B1234" s="1" t="s">
        <v>2703</v>
      </c>
      <c r="C1234" s="1" t="s">
        <v>2070</v>
      </c>
      <c r="D1234" s="1" t="s">
        <v>2079</v>
      </c>
      <c r="E1234" s="1" t="s">
        <v>2704</v>
      </c>
      <c r="F1234" s="1" t="s">
        <v>16</v>
      </c>
      <c r="G1234" s="1" t="s">
        <v>17</v>
      </c>
      <c r="H1234" s="1" t="s">
        <v>18</v>
      </c>
      <c r="I1234" s="1" t="s">
        <v>19</v>
      </c>
      <c r="J1234" s="1">
        <f>IFERROR(__xludf.DUMMYFUNCTION("""COMPUTED_VALUE"""),104.0)</f>
        <v>104</v>
      </c>
      <c r="K1234" s="1">
        <v>26.0</v>
      </c>
      <c r="L1234" s="1">
        <f>IFERROR(__xludf.DUMMYFUNCTION("""COMPUTED_VALUE"""),37.0)</f>
        <v>37</v>
      </c>
    </row>
    <row r="1235">
      <c r="A1235" s="1">
        <v>3271024.0</v>
      </c>
      <c r="B1235" s="1" t="s">
        <v>2705</v>
      </c>
      <c r="C1235" s="1" t="s">
        <v>2070</v>
      </c>
      <c r="D1235" s="1" t="s">
        <v>2173</v>
      </c>
      <c r="E1235" s="1" t="s">
        <v>2706</v>
      </c>
      <c r="F1235" s="1" t="s">
        <v>16</v>
      </c>
      <c r="G1235" s="1" t="s">
        <v>17</v>
      </c>
      <c r="H1235" s="1" t="s">
        <v>33</v>
      </c>
      <c r="I1235" s="1" t="s">
        <v>74</v>
      </c>
      <c r="J1235" s="1">
        <f>IFERROR(__xludf.DUMMYFUNCTION("""COMPUTED_VALUE"""),152.0)</f>
        <v>152</v>
      </c>
      <c r="K1235" s="1">
        <v>38.0</v>
      </c>
      <c r="L1235" s="1">
        <f>IFERROR(__xludf.DUMMYFUNCTION("""COMPUTED_VALUE"""),375.0)</f>
        <v>375</v>
      </c>
    </row>
    <row r="1236">
      <c r="A1236" s="1">
        <v>3216466.0</v>
      </c>
      <c r="B1236" s="1" t="s">
        <v>2707</v>
      </c>
      <c r="C1236" s="1" t="s">
        <v>2070</v>
      </c>
      <c r="D1236" s="1" t="s">
        <v>2079</v>
      </c>
      <c r="E1236" s="1" t="s">
        <v>2708</v>
      </c>
      <c r="F1236" s="1" t="s">
        <v>16</v>
      </c>
      <c r="G1236" s="1" t="s">
        <v>17</v>
      </c>
      <c r="H1236" s="1" t="s">
        <v>18</v>
      </c>
      <c r="I1236" s="1" t="s">
        <v>34</v>
      </c>
      <c r="J1236" s="1">
        <f>IFERROR(__xludf.DUMMYFUNCTION("""COMPUTED_VALUE"""),112.0)</f>
        <v>112</v>
      </c>
      <c r="K1236" s="1">
        <v>14.0</v>
      </c>
      <c r="L1236" s="1">
        <f>IFERROR(__xludf.DUMMYFUNCTION("""COMPUTED_VALUE"""),182.0)</f>
        <v>182</v>
      </c>
    </row>
    <row r="1237">
      <c r="A1237" s="1">
        <v>3210025.0</v>
      </c>
      <c r="B1237" s="1" t="s">
        <v>2709</v>
      </c>
      <c r="C1237" s="1" t="s">
        <v>2070</v>
      </c>
      <c r="D1237" s="1" t="s">
        <v>2228</v>
      </c>
      <c r="E1237" s="1" t="s">
        <v>2710</v>
      </c>
      <c r="F1237" s="1" t="s">
        <v>16</v>
      </c>
      <c r="G1237" s="1" t="s">
        <v>27</v>
      </c>
      <c r="H1237" s="1" t="s">
        <v>28</v>
      </c>
      <c r="I1237" s="1" t="s">
        <v>40</v>
      </c>
      <c r="J1237" s="1">
        <f>IFERROR(__xludf.DUMMYFUNCTION("""COMPUTED_VALUE"""),259.0)</f>
        <v>259</v>
      </c>
      <c r="K1237" s="1">
        <v>65.0</v>
      </c>
      <c r="L1237" s="1">
        <f>IFERROR(__xludf.DUMMYFUNCTION("""COMPUTED_VALUE"""),619.0)</f>
        <v>619</v>
      </c>
    </row>
    <row r="1238">
      <c r="A1238" s="1">
        <v>3216362.0</v>
      </c>
      <c r="B1238" s="1" t="s">
        <v>2711</v>
      </c>
      <c r="C1238" s="1" t="s">
        <v>2070</v>
      </c>
      <c r="D1238" s="1" t="s">
        <v>2079</v>
      </c>
      <c r="E1238" s="1" t="s">
        <v>2712</v>
      </c>
      <c r="F1238" s="1" t="s">
        <v>16</v>
      </c>
      <c r="G1238" s="1" t="s">
        <v>17</v>
      </c>
      <c r="H1238" s="1" t="s">
        <v>18</v>
      </c>
      <c r="I1238" s="1" t="s">
        <v>19</v>
      </c>
      <c r="J1238" s="1">
        <f>IFERROR(__xludf.DUMMYFUNCTION("""COMPUTED_VALUE"""),128.0)</f>
        <v>128</v>
      </c>
      <c r="K1238" s="1">
        <v>37.0</v>
      </c>
      <c r="L1238" s="1">
        <f>IFERROR(__xludf.DUMMYFUNCTION("""COMPUTED_VALUE"""),350.0)</f>
        <v>350</v>
      </c>
    </row>
    <row r="1239">
      <c r="A1239" s="1">
        <v>3215158.0</v>
      </c>
      <c r="B1239" s="1" t="s">
        <v>2713</v>
      </c>
      <c r="C1239" s="1" t="s">
        <v>2070</v>
      </c>
      <c r="D1239" s="1" t="s">
        <v>2071</v>
      </c>
      <c r="E1239" s="1" t="s">
        <v>2714</v>
      </c>
      <c r="F1239" s="1" t="s">
        <v>16</v>
      </c>
      <c r="G1239" s="1" t="s">
        <v>17</v>
      </c>
      <c r="H1239" s="1" t="s">
        <v>18</v>
      </c>
      <c r="I1239" s="1" t="s">
        <v>44</v>
      </c>
      <c r="J1239" s="1">
        <f>IFERROR(__xludf.DUMMYFUNCTION("""COMPUTED_VALUE"""),193.0)</f>
        <v>193</v>
      </c>
      <c r="K1239" s="1">
        <v>57.0</v>
      </c>
      <c r="L1239" s="1">
        <f>IFERROR(__xludf.DUMMYFUNCTION("""COMPUTED_VALUE"""),243.0)</f>
        <v>243</v>
      </c>
    </row>
    <row r="1240">
      <c r="A1240" s="1">
        <v>3216432.0</v>
      </c>
      <c r="B1240" s="1" t="s">
        <v>2715</v>
      </c>
      <c r="C1240" s="1" t="s">
        <v>2070</v>
      </c>
      <c r="D1240" s="1" t="s">
        <v>2079</v>
      </c>
      <c r="E1240" s="1" t="s">
        <v>2716</v>
      </c>
      <c r="F1240" s="1" t="s">
        <v>55</v>
      </c>
      <c r="G1240" s="1" t="s">
        <v>17</v>
      </c>
      <c r="H1240" s="1" t="s">
        <v>18</v>
      </c>
      <c r="I1240" s="1" t="s">
        <v>163</v>
      </c>
      <c r="J1240" s="1">
        <f>IFERROR(__xludf.DUMMYFUNCTION("""COMPUTED_VALUE"""),45.0)</f>
        <v>45</v>
      </c>
      <c r="K1240" s="1">
        <v>23.0</v>
      </c>
      <c r="L1240" s="1">
        <f>IFERROR(__xludf.DUMMYFUNCTION("""COMPUTED_VALUE"""),13.0)</f>
        <v>13</v>
      </c>
    </row>
    <row r="1241">
      <c r="A1241" s="1">
        <v>3201254.0</v>
      </c>
      <c r="B1241" s="1" t="s">
        <v>2717</v>
      </c>
      <c r="C1241" s="1" t="s">
        <v>2070</v>
      </c>
      <c r="D1241" s="1" t="s">
        <v>2173</v>
      </c>
      <c r="E1241" s="1" t="s">
        <v>2718</v>
      </c>
      <c r="F1241" s="1" t="s">
        <v>16</v>
      </c>
      <c r="G1241" s="1" t="s">
        <v>17</v>
      </c>
      <c r="H1241" s="1" t="s">
        <v>18</v>
      </c>
      <c r="I1241" s="1" t="s">
        <v>19</v>
      </c>
      <c r="J1241" s="1">
        <f>IFERROR(__xludf.DUMMYFUNCTION("""COMPUTED_VALUE"""),112.0)</f>
        <v>112</v>
      </c>
      <c r="K1241" s="1">
        <v>49.0</v>
      </c>
      <c r="L1241" s="1">
        <f>IFERROR(__xludf.DUMMYFUNCTION("""COMPUTED_VALUE"""),173.0)</f>
        <v>173</v>
      </c>
    </row>
    <row r="1242">
      <c r="A1242" s="1">
        <v>3201046.0</v>
      </c>
      <c r="B1242" s="1" t="s">
        <v>2719</v>
      </c>
      <c r="C1242" s="1" t="s">
        <v>2070</v>
      </c>
      <c r="D1242" s="1" t="s">
        <v>2097</v>
      </c>
      <c r="E1242" s="1" t="s">
        <v>2720</v>
      </c>
      <c r="F1242" s="1" t="s">
        <v>16</v>
      </c>
      <c r="G1242" s="1" t="s">
        <v>27</v>
      </c>
      <c r="H1242" s="1" t="s">
        <v>28</v>
      </c>
      <c r="I1242" s="1" t="s">
        <v>40</v>
      </c>
      <c r="J1242" s="1">
        <f>IFERROR(__xludf.DUMMYFUNCTION("""COMPUTED_VALUE"""),515.0)</f>
        <v>515</v>
      </c>
      <c r="K1242" s="1">
        <v>103.0</v>
      </c>
      <c r="L1242" s="1">
        <f>IFERROR(__xludf.DUMMYFUNCTION("""COMPUTED_VALUE"""),795.0)</f>
        <v>795</v>
      </c>
    </row>
    <row r="1243">
      <c r="A1243" s="1">
        <v>3273063.0</v>
      </c>
      <c r="B1243" s="1" t="s">
        <v>2721</v>
      </c>
      <c r="C1243" s="1" t="s">
        <v>2070</v>
      </c>
      <c r="D1243" s="1" t="s">
        <v>2088</v>
      </c>
      <c r="E1243" s="1" t="s">
        <v>2722</v>
      </c>
      <c r="F1243" s="1" t="s">
        <v>16</v>
      </c>
      <c r="G1243" s="1" t="s">
        <v>17</v>
      </c>
      <c r="H1243" s="1" t="s">
        <v>18</v>
      </c>
      <c r="I1243" s="1" t="s">
        <v>249</v>
      </c>
      <c r="J1243" s="1">
        <f>IFERROR(__xludf.DUMMYFUNCTION("""COMPUTED_VALUE"""),202.0)</f>
        <v>202</v>
      </c>
      <c r="K1243" s="1">
        <v>41.0</v>
      </c>
      <c r="L1243" s="1">
        <f>IFERROR(__xludf.DUMMYFUNCTION("""COMPUTED_VALUE"""),581.0)</f>
        <v>581</v>
      </c>
    </row>
    <row r="1244">
      <c r="A1244" s="1">
        <v>3274111.0</v>
      </c>
      <c r="B1244" s="1" t="s">
        <v>2723</v>
      </c>
      <c r="C1244" s="1" t="s">
        <v>2070</v>
      </c>
      <c r="D1244" s="1" t="s">
        <v>2124</v>
      </c>
      <c r="E1244" s="1" t="s">
        <v>2724</v>
      </c>
      <c r="F1244" s="1" t="s">
        <v>16</v>
      </c>
      <c r="G1244" s="1" t="s">
        <v>23</v>
      </c>
      <c r="H1244" s="1" t="s">
        <v>18</v>
      </c>
      <c r="I1244" s="1" t="s">
        <v>684</v>
      </c>
      <c r="J1244" s="1">
        <f>IFERROR(__xludf.DUMMYFUNCTION("""COMPUTED_VALUE"""),49.0)</f>
        <v>49</v>
      </c>
      <c r="K1244" s="1">
        <v>13.0</v>
      </c>
      <c r="L1244" s="1">
        <f>IFERROR(__xludf.DUMMYFUNCTION("""COMPUTED_VALUE"""),65.0)</f>
        <v>65</v>
      </c>
    </row>
    <row r="1245">
      <c r="A1245" s="1">
        <v>3208059.0</v>
      </c>
      <c r="B1245" s="1" t="s">
        <v>2725</v>
      </c>
      <c r="C1245" s="1" t="s">
        <v>2070</v>
      </c>
      <c r="D1245" s="1" t="s">
        <v>2074</v>
      </c>
      <c r="E1245" s="1" t="s">
        <v>2726</v>
      </c>
      <c r="F1245" s="1" t="s">
        <v>16</v>
      </c>
      <c r="G1245" s="1" t="s">
        <v>17</v>
      </c>
      <c r="H1245" s="1" t="s">
        <v>28</v>
      </c>
      <c r="I1245" s="1" t="s">
        <v>40</v>
      </c>
      <c r="J1245" s="1">
        <f>IFERROR(__xludf.DUMMYFUNCTION("""COMPUTED_VALUE"""),110.0)</f>
        <v>110</v>
      </c>
      <c r="K1245" s="1">
        <v>28.0</v>
      </c>
      <c r="L1245" s="1">
        <f>IFERROR(__xludf.DUMMYFUNCTION("""COMPUTED_VALUE"""),109.0)</f>
        <v>109</v>
      </c>
    </row>
    <row r="1246">
      <c r="A1246" s="1">
        <v>3201185.0</v>
      </c>
      <c r="B1246" s="1" t="s">
        <v>2727</v>
      </c>
      <c r="C1246" s="1" t="s">
        <v>2070</v>
      </c>
      <c r="D1246" s="1" t="s">
        <v>2082</v>
      </c>
      <c r="E1246" s="1" t="s">
        <v>2728</v>
      </c>
      <c r="F1246" s="1" t="s">
        <v>16</v>
      </c>
      <c r="G1246" s="1" t="s">
        <v>27</v>
      </c>
      <c r="H1246" s="1" t="s">
        <v>18</v>
      </c>
      <c r="I1246" s="1" t="s">
        <v>19</v>
      </c>
      <c r="J1246" s="1">
        <f>IFERROR(__xludf.DUMMYFUNCTION("""COMPUTED_VALUE"""),203.0)</f>
        <v>203</v>
      </c>
      <c r="K1246" s="1">
        <v>65.0</v>
      </c>
      <c r="L1246" s="1">
        <f>IFERROR(__xludf.DUMMYFUNCTION("""COMPUTED_VALUE"""),416.0)</f>
        <v>416</v>
      </c>
    </row>
    <row r="1247">
      <c r="A1247" s="1">
        <v>3273191.0</v>
      </c>
      <c r="B1247" s="1" t="s">
        <v>2729</v>
      </c>
      <c r="C1247" s="1" t="s">
        <v>2070</v>
      </c>
      <c r="D1247" s="1" t="s">
        <v>2088</v>
      </c>
      <c r="E1247" s="1" t="s">
        <v>2730</v>
      </c>
      <c r="F1247" s="1" t="s">
        <v>272</v>
      </c>
      <c r="G1247" s="1" t="s">
        <v>150</v>
      </c>
      <c r="H1247" s="1" t="s">
        <v>33</v>
      </c>
      <c r="I1247" s="1" t="s">
        <v>411</v>
      </c>
      <c r="J1247" s="1">
        <f>IFERROR(__xludf.DUMMYFUNCTION("""COMPUTED_VALUE"""),88.0)</f>
        <v>88</v>
      </c>
      <c r="K1247" s="1">
        <v>37.0</v>
      </c>
      <c r="L1247" s="1">
        <f>IFERROR(__xludf.DUMMYFUNCTION("""COMPUTED_VALUE"""),428.0)</f>
        <v>428</v>
      </c>
    </row>
    <row r="1248">
      <c r="A1248" s="1">
        <v>3216447.0</v>
      </c>
      <c r="B1248" s="1" t="s">
        <v>2731</v>
      </c>
      <c r="C1248" s="1" t="s">
        <v>2070</v>
      </c>
      <c r="D1248" s="1" t="s">
        <v>2079</v>
      </c>
      <c r="E1248" s="1" t="s">
        <v>2732</v>
      </c>
      <c r="F1248" s="1" t="s">
        <v>55</v>
      </c>
      <c r="G1248" s="1" t="s">
        <v>23</v>
      </c>
      <c r="H1248" s="1" t="s">
        <v>18</v>
      </c>
      <c r="I1248" s="1" t="s">
        <v>19</v>
      </c>
      <c r="J1248" s="1">
        <f>IFERROR(__xludf.DUMMYFUNCTION("""COMPUTED_VALUE"""),17.0)</f>
        <v>17</v>
      </c>
      <c r="K1248" s="1">
        <v>4.0</v>
      </c>
      <c r="L1248" s="1">
        <f>IFERROR(__xludf.DUMMYFUNCTION("""COMPUTED_VALUE"""),182.0)</f>
        <v>182</v>
      </c>
    </row>
    <row r="1249">
      <c r="A1249" s="1">
        <v>3276153.0</v>
      </c>
      <c r="B1249" s="1" t="s">
        <v>2733</v>
      </c>
      <c r="C1249" s="1" t="s">
        <v>2070</v>
      </c>
      <c r="D1249" s="1" t="s">
        <v>2082</v>
      </c>
      <c r="E1249" s="1" t="s">
        <v>2734</v>
      </c>
      <c r="F1249" s="1" t="s">
        <v>16</v>
      </c>
      <c r="G1249" s="1" t="s">
        <v>17</v>
      </c>
      <c r="H1249" s="1" t="s">
        <v>18</v>
      </c>
      <c r="I1249" s="1" t="s">
        <v>44</v>
      </c>
      <c r="J1249" s="1">
        <f>IFERROR(__xludf.DUMMYFUNCTION("""COMPUTED_VALUE"""),195.0)</f>
        <v>195</v>
      </c>
      <c r="K1249" s="1">
        <v>48.0</v>
      </c>
      <c r="L1249" s="1">
        <f>IFERROR(__xludf.DUMMYFUNCTION("""COMPUTED_VALUE"""),38.0)</f>
        <v>38</v>
      </c>
    </row>
    <row r="1250">
      <c r="A1250" s="1">
        <v>3201259.0</v>
      </c>
      <c r="B1250" s="1" t="s">
        <v>2735</v>
      </c>
      <c r="C1250" s="1" t="s">
        <v>2070</v>
      </c>
      <c r="D1250" s="1" t="s">
        <v>2097</v>
      </c>
      <c r="E1250" s="1" t="s">
        <v>2736</v>
      </c>
      <c r="F1250" s="1" t="s">
        <v>16</v>
      </c>
      <c r="G1250" s="1" t="s">
        <v>17</v>
      </c>
      <c r="H1250" s="1" t="s">
        <v>18</v>
      </c>
      <c r="I1250" s="1" t="s">
        <v>19</v>
      </c>
      <c r="J1250" s="1">
        <f>IFERROR(__xludf.DUMMYFUNCTION("""COMPUTED_VALUE"""),121.0)</f>
        <v>121</v>
      </c>
      <c r="K1250" s="1">
        <v>30.0</v>
      </c>
      <c r="L1250" s="1">
        <f>IFERROR(__xludf.DUMMYFUNCTION("""COMPUTED_VALUE"""),68.0)</f>
        <v>68</v>
      </c>
    </row>
    <row r="1251">
      <c r="A1251" s="1">
        <v>3275083.0</v>
      </c>
      <c r="B1251" s="1" t="s">
        <v>2737</v>
      </c>
      <c r="C1251" s="1" t="s">
        <v>2070</v>
      </c>
      <c r="D1251" s="1" t="s">
        <v>2119</v>
      </c>
      <c r="E1251" s="1" t="s">
        <v>2738</v>
      </c>
      <c r="F1251" s="1" t="s">
        <v>16</v>
      </c>
      <c r="G1251" s="1" t="s">
        <v>23</v>
      </c>
      <c r="H1251" s="1" t="s">
        <v>18</v>
      </c>
      <c r="I1251" s="1" t="s">
        <v>59</v>
      </c>
      <c r="J1251" s="1">
        <f>IFERROR(__xludf.DUMMYFUNCTION("""COMPUTED_VALUE"""),54.0)</f>
        <v>54</v>
      </c>
      <c r="K1251" s="1">
        <v>22.0</v>
      </c>
      <c r="L1251" s="1">
        <f>IFERROR(__xludf.DUMMYFUNCTION("""COMPUTED_VALUE"""),152.0)</f>
        <v>152</v>
      </c>
    </row>
    <row r="1252">
      <c r="A1252" s="1">
        <v>3278082.0</v>
      </c>
      <c r="B1252" s="1" t="s">
        <v>2161</v>
      </c>
      <c r="C1252" s="1" t="s">
        <v>2070</v>
      </c>
      <c r="D1252" s="1" t="s">
        <v>2077</v>
      </c>
      <c r="E1252" s="1" t="s">
        <v>2739</v>
      </c>
      <c r="F1252" s="1" t="s">
        <v>16</v>
      </c>
      <c r="G1252" s="1" t="s">
        <v>17</v>
      </c>
      <c r="H1252" s="1" t="s">
        <v>18</v>
      </c>
      <c r="I1252" s="1" t="s">
        <v>19</v>
      </c>
      <c r="J1252" s="1">
        <f>IFERROR(__xludf.DUMMYFUNCTION("""COMPUTED_VALUE"""),100.0)</f>
        <v>100</v>
      </c>
      <c r="K1252" s="1">
        <v>35.0</v>
      </c>
      <c r="L1252" s="1">
        <f>IFERROR(__xludf.DUMMYFUNCTION("""COMPUTED_VALUE"""),46.0)</f>
        <v>46</v>
      </c>
    </row>
    <row r="1253">
      <c r="A1253" s="1">
        <v>3275054.0</v>
      </c>
      <c r="B1253" s="1" t="s">
        <v>2740</v>
      </c>
      <c r="C1253" s="1" t="s">
        <v>2070</v>
      </c>
      <c r="D1253" s="1" t="s">
        <v>2079</v>
      </c>
      <c r="E1253" s="1" t="s">
        <v>2741</v>
      </c>
      <c r="F1253" s="1" t="s">
        <v>16</v>
      </c>
      <c r="G1253" s="1" t="s">
        <v>17</v>
      </c>
      <c r="H1253" s="1" t="s">
        <v>18</v>
      </c>
      <c r="I1253" s="1" t="s">
        <v>19</v>
      </c>
      <c r="J1253" s="1">
        <f>IFERROR(__xludf.DUMMYFUNCTION("""COMPUTED_VALUE"""),100.0)</f>
        <v>100</v>
      </c>
      <c r="K1253" s="1">
        <v>30.0</v>
      </c>
      <c r="L1253" s="1">
        <f>IFERROR(__xludf.DUMMYFUNCTION("""COMPUTED_VALUE"""),58.0)</f>
        <v>58</v>
      </c>
    </row>
    <row r="1254">
      <c r="A1254" s="1">
        <v>3201272.0</v>
      </c>
      <c r="B1254" s="1" t="s">
        <v>2742</v>
      </c>
      <c r="C1254" s="1" t="s">
        <v>2070</v>
      </c>
      <c r="D1254" s="1" t="s">
        <v>2097</v>
      </c>
      <c r="E1254" s="1" t="s">
        <v>2743</v>
      </c>
      <c r="F1254" s="1" t="s">
        <v>16</v>
      </c>
      <c r="G1254" s="1" t="s">
        <v>17</v>
      </c>
      <c r="H1254" s="1" t="s">
        <v>18</v>
      </c>
      <c r="I1254" s="1" t="s">
        <v>19</v>
      </c>
      <c r="J1254" s="1">
        <f>IFERROR(__xludf.DUMMYFUNCTION("""COMPUTED_VALUE"""),110.0)</f>
        <v>110</v>
      </c>
      <c r="K1254" s="1">
        <v>36.0</v>
      </c>
      <c r="L1254" s="1">
        <f>IFERROR(__xludf.DUMMYFUNCTION("""COMPUTED_VALUE"""),182.0)</f>
        <v>182</v>
      </c>
    </row>
    <row r="1255">
      <c r="A1255" s="1">
        <v>3204090.0</v>
      </c>
      <c r="B1255" s="1" t="s">
        <v>2744</v>
      </c>
      <c r="C1255" s="1" t="s">
        <v>2070</v>
      </c>
      <c r="D1255" s="1" t="s">
        <v>2091</v>
      </c>
      <c r="E1255" s="1" t="s">
        <v>2745</v>
      </c>
      <c r="F1255" s="1" t="s">
        <v>16</v>
      </c>
      <c r="G1255" s="1" t="s">
        <v>27</v>
      </c>
      <c r="H1255" s="1" t="s">
        <v>28</v>
      </c>
      <c r="I1255" s="1" t="s">
        <v>40</v>
      </c>
      <c r="J1255" s="1">
        <f>IFERROR(__xludf.DUMMYFUNCTION("""COMPUTED_VALUE"""),259.0)</f>
        <v>259</v>
      </c>
      <c r="K1255" s="1">
        <v>37.0</v>
      </c>
      <c r="L1255" s="1">
        <f>IFERROR(__xludf.DUMMYFUNCTION("""COMPUTED_VALUE"""),528.0)</f>
        <v>528</v>
      </c>
    </row>
    <row r="1256">
      <c r="A1256" s="1">
        <v>3274053.0</v>
      </c>
      <c r="B1256" s="1" t="s">
        <v>2746</v>
      </c>
      <c r="C1256" s="1" t="s">
        <v>2070</v>
      </c>
      <c r="D1256" s="1" t="s">
        <v>2124</v>
      </c>
      <c r="E1256" s="1" t="s">
        <v>2747</v>
      </c>
      <c r="F1256" s="1" t="s">
        <v>16</v>
      </c>
      <c r="G1256" s="1" t="s">
        <v>17</v>
      </c>
      <c r="H1256" s="1" t="s">
        <v>18</v>
      </c>
      <c r="I1256" s="1" t="s">
        <v>113</v>
      </c>
      <c r="J1256" s="1">
        <f>IFERROR(__xludf.DUMMYFUNCTION("""COMPUTED_VALUE"""),127.0)</f>
        <v>127</v>
      </c>
      <c r="K1256" s="1">
        <v>39.0</v>
      </c>
      <c r="L1256" s="1">
        <f>IFERROR(__xludf.DUMMYFUNCTION("""COMPUTED_VALUE"""),265.0)</f>
        <v>265</v>
      </c>
    </row>
    <row r="1257">
      <c r="A1257" s="1">
        <v>3216388.0</v>
      </c>
      <c r="B1257" s="1" t="s">
        <v>2748</v>
      </c>
      <c r="C1257" s="1" t="s">
        <v>2070</v>
      </c>
      <c r="D1257" s="1" t="s">
        <v>2079</v>
      </c>
      <c r="E1257" s="1" t="s">
        <v>2749</v>
      </c>
      <c r="F1257" s="1" t="s">
        <v>16</v>
      </c>
      <c r="G1257" s="1" t="s">
        <v>17</v>
      </c>
      <c r="H1257" s="1" t="s">
        <v>18</v>
      </c>
      <c r="I1257" s="1" t="s">
        <v>44</v>
      </c>
      <c r="J1257" s="1">
        <f>IFERROR(__xludf.DUMMYFUNCTION("""COMPUTED_VALUE"""),237.0)</f>
        <v>237</v>
      </c>
      <c r="K1257" s="1">
        <v>26.0</v>
      </c>
      <c r="L1257" s="1">
        <f>IFERROR(__xludf.DUMMYFUNCTION("""COMPUTED_VALUE"""),538.0)</f>
        <v>538</v>
      </c>
    </row>
    <row r="1258">
      <c r="A1258" s="1">
        <v>3216439.0</v>
      </c>
      <c r="B1258" s="1" t="s">
        <v>2750</v>
      </c>
      <c r="C1258" s="1" t="s">
        <v>2070</v>
      </c>
      <c r="D1258" s="1" t="s">
        <v>2079</v>
      </c>
      <c r="E1258" s="1" t="s">
        <v>2751</v>
      </c>
      <c r="F1258" s="1" t="s">
        <v>16</v>
      </c>
      <c r="G1258" s="1" t="s">
        <v>23</v>
      </c>
      <c r="H1258" s="1" t="s">
        <v>18</v>
      </c>
      <c r="I1258" s="1" t="s">
        <v>163</v>
      </c>
      <c r="J1258" s="1">
        <f>IFERROR(__xludf.DUMMYFUNCTION("""COMPUTED_VALUE"""),49.0)</f>
        <v>49</v>
      </c>
      <c r="K1258" s="1">
        <v>20.0</v>
      </c>
      <c r="L1258" s="1">
        <f>IFERROR(__xludf.DUMMYFUNCTION("""COMPUTED_VALUE"""),14.0)</f>
        <v>14</v>
      </c>
    </row>
    <row r="1259">
      <c r="A1259" s="1">
        <v>3275274.0</v>
      </c>
      <c r="B1259" s="1" t="s">
        <v>2752</v>
      </c>
      <c r="C1259" s="1" t="s">
        <v>2070</v>
      </c>
      <c r="D1259" s="1" t="s">
        <v>2119</v>
      </c>
      <c r="E1259" s="1" t="s">
        <v>2753</v>
      </c>
      <c r="F1259" s="1" t="s">
        <v>16</v>
      </c>
      <c r="G1259" s="1" t="s">
        <v>17</v>
      </c>
      <c r="H1259" s="1" t="s">
        <v>18</v>
      </c>
      <c r="I1259" s="1" t="s">
        <v>19</v>
      </c>
      <c r="J1259" s="1">
        <f>IFERROR(__xludf.DUMMYFUNCTION("""COMPUTED_VALUE"""),96.0)</f>
        <v>96</v>
      </c>
      <c r="K1259" s="1">
        <v>37.0</v>
      </c>
      <c r="L1259" s="1">
        <f>IFERROR(__xludf.DUMMYFUNCTION("""COMPUTED_VALUE"""),236.0)</f>
        <v>236</v>
      </c>
    </row>
    <row r="1260">
      <c r="A1260" s="1">
        <v>3204129.0</v>
      </c>
      <c r="B1260" s="1" t="s">
        <v>2754</v>
      </c>
      <c r="C1260" s="1" t="s">
        <v>2070</v>
      </c>
      <c r="D1260" s="1" t="s">
        <v>2088</v>
      </c>
      <c r="E1260" s="1" t="s">
        <v>2755</v>
      </c>
      <c r="F1260" s="1" t="s">
        <v>55</v>
      </c>
      <c r="G1260" s="1" t="s">
        <v>17</v>
      </c>
      <c r="H1260" s="1" t="s">
        <v>18</v>
      </c>
      <c r="I1260" s="1" t="s">
        <v>19</v>
      </c>
      <c r="J1260" s="1">
        <f>IFERROR(__xludf.DUMMYFUNCTION("""COMPUTED_VALUE"""),40.0)</f>
        <v>40</v>
      </c>
      <c r="K1260" s="1">
        <v>34.0</v>
      </c>
      <c r="L1260" s="1">
        <f>IFERROR(__xludf.DUMMYFUNCTION("""COMPUTED_VALUE"""),221.0)</f>
        <v>221</v>
      </c>
    </row>
    <row r="1261">
      <c r="A1261" s="1">
        <v>3208065.0</v>
      </c>
      <c r="B1261" s="1" t="s">
        <v>2756</v>
      </c>
      <c r="C1261" s="1" t="s">
        <v>2070</v>
      </c>
      <c r="D1261" s="1" t="s">
        <v>2074</v>
      </c>
      <c r="E1261" s="1" t="s">
        <v>2757</v>
      </c>
      <c r="F1261" s="1" t="s">
        <v>16</v>
      </c>
      <c r="G1261" s="1" t="s">
        <v>17</v>
      </c>
      <c r="H1261" s="1" t="s">
        <v>18</v>
      </c>
      <c r="I1261" s="1" t="s">
        <v>44</v>
      </c>
      <c r="J1261" s="1">
        <f>IFERROR(__xludf.DUMMYFUNCTION("""COMPUTED_VALUE"""),152.0)</f>
        <v>152</v>
      </c>
      <c r="K1261" s="1">
        <v>32.0</v>
      </c>
      <c r="L1261" s="1">
        <f>IFERROR(__xludf.DUMMYFUNCTION("""COMPUTED_VALUE"""),93.0)</f>
        <v>93</v>
      </c>
    </row>
    <row r="1262">
      <c r="A1262" s="1">
        <v>3208035.0</v>
      </c>
      <c r="B1262" s="1" t="s">
        <v>2758</v>
      </c>
      <c r="C1262" s="1" t="s">
        <v>2070</v>
      </c>
      <c r="D1262" s="1" t="s">
        <v>2074</v>
      </c>
      <c r="E1262" s="1" t="s">
        <v>2759</v>
      </c>
      <c r="F1262" s="1" t="s">
        <v>16</v>
      </c>
      <c r="G1262" s="1" t="s">
        <v>17</v>
      </c>
      <c r="H1262" s="1" t="s">
        <v>18</v>
      </c>
      <c r="I1262" s="1" t="s">
        <v>59</v>
      </c>
      <c r="J1262" s="1">
        <f>IFERROR(__xludf.DUMMYFUNCTION("""COMPUTED_VALUE"""),102.0)</f>
        <v>102</v>
      </c>
      <c r="K1262" s="1">
        <v>28.0</v>
      </c>
      <c r="L1262" s="1">
        <f>IFERROR(__xludf.DUMMYFUNCTION("""COMPUTED_VALUE"""),313.0)</f>
        <v>313</v>
      </c>
    </row>
    <row r="1263">
      <c r="A1263" s="1">
        <v>3214031.0</v>
      </c>
      <c r="B1263" s="1" t="s">
        <v>2760</v>
      </c>
      <c r="C1263" s="1" t="s">
        <v>2070</v>
      </c>
      <c r="D1263" s="1" t="s">
        <v>2182</v>
      </c>
      <c r="E1263" s="1" t="s">
        <v>2761</v>
      </c>
      <c r="F1263" s="1" t="s">
        <v>16</v>
      </c>
      <c r="G1263" s="1" t="s">
        <v>27</v>
      </c>
      <c r="H1263" s="1" t="s">
        <v>18</v>
      </c>
      <c r="I1263" s="1" t="s">
        <v>44</v>
      </c>
      <c r="J1263" s="1">
        <f>IFERROR(__xludf.DUMMYFUNCTION("""COMPUTED_VALUE"""),261.0)</f>
        <v>261</v>
      </c>
      <c r="K1263" s="1">
        <v>57.0</v>
      </c>
      <c r="L1263" s="1">
        <f>IFERROR(__xludf.DUMMYFUNCTION("""COMPUTED_VALUE"""),513.0)</f>
        <v>513</v>
      </c>
    </row>
    <row r="1264">
      <c r="A1264" s="1">
        <v>3201241.0</v>
      </c>
      <c r="B1264" s="1" t="s">
        <v>2762</v>
      </c>
      <c r="C1264" s="1" t="s">
        <v>2070</v>
      </c>
      <c r="D1264" s="1" t="s">
        <v>2173</v>
      </c>
      <c r="E1264" s="1" t="s">
        <v>2763</v>
      </c>
      <c r="F1264" s="1" t="s">
        <v>16</v>
      </c>
      <c r="G1264" s="1" t="s">
        <v>17</v>
      </c>
      <c r="H1264" s="1" t="s">
        <v>18</v>
      </c>
      <c r="I1264" s="1" t="s">
        <v>44</v>
      </c>
      <c r="J1264" s="1">
        <f>IFERROR(__xludf.DUMMYFUNCTION("""COMPUTED_VALUE"""),201.0)</f>
        <v>201</v>
      </c>
      <c r="K1264" s="1">
        <v>42.0</v>
      </c>
      <c r="L1264" s="1">
        <f>IFERROR(__xludf.DUMMYFUNCTION("""COMPUTED_VALUE"""),343.0)</f>
        <v>343</v>
      </c>
    </row>
    <row r="1265">
      <c r="A1265" s="1">
        <v>3216423.0</v>
      </c>
      <c r="B1265" s="1" t="s">
        <v>2230</v>
      </c>
      <c r="C1265" s="1" t="s">
        <v>2070</v>
      </c>
      <c r="D1265" s="1" t="s">
        <v>2119</v>
      </c>
      <c r="E1265" s="1" t="s">
        <v>2764</v>
      </c>
      <c r="F1265" s="1" t="s">
        <v>16</v>
      </c>
      <c r="G1265" s="1" t="s">
        <v>17</v>
      </c>
      <c r="H1265" s="1" t="s">
        <v>18</v>
      </c>
      <c r="I1265" s="1" t="s">
        <v>19</v>
      </c>
      <c r="J1265" s="1">
        <f>IFERROR(__xludf.DUMMYFUNCTION("""COMPUTED_VALUE"""),101.0)</f>
        <v>101</v>
      </c>
      <c r="K1265" s="1">
        <v>25.0</v>
      </c>
      <c r="L1265" s="1">
        <f>IFERROR(__xludf.DUMMYFUNCTION("""COMPUTED_VALUE"""),154.0)</f>
        <v>154</v>
      </c>
    </row>
    <row r="1266">
      <c r="A1266" s="1">
        <v>3278093.0</v>
      </c>
      <c r="B1266" s="1" t="s">
        <v>2765</v>
      </c>
      <c r="C1266" s="1" t="s">
        <v>2070</v>
      </c>
      <c r="D1266" s="1" t="s">
        <v>2077</v>
      </c>
      <c r="E1266" s="1" t="s">
        <v>2766</v>
      </c>
      <c r="F1266" s="1" t="s">
        <v>16</v>
      </c>
      <c r="G1266" s="1" t="s">
        <v>17</v>
      </c>
      <c r="H1266" s="1" t="s">
        <v>18</v>
      </c>
      <c r="I1266" s="1" t="s">
        <v>19</v>
      </c>
      <c r="J1266" s="1">
        <f>IFERROR(__xludf.DUMMYFUNCTION("""COMPUTED_VALUE"""),111.0)</f>
        <v>111</v>
      </c>
      <c r="K1266" s="1">
        <v>25.0</v>
      </c>
      <c r="L1266" s="1">
        <f>IFERROR(__xludf.DUMMYFUNCTION("""COMPUTED_VALUE"""),182.0)</f>
        <v>182</v>
      </c>
    </row>
    <row r="1267">
      <c r="A1267" s="1">
        <v>3272036.0</v>
      </c>
      <c r="B1267" s="1" t="s">
        <v>2767</v>
      </c>
      <c r="C1267" s="1" t="s">
        <v>2070</v>
      </c>
      <c r="D1267" s="1" t="s">
        <v>2289</v>
      </c>
      <c r="E1267" s="1" t="s">
        <v>2768</v>
      </c>
      <c r="F1267" s="1" t="s">
        <v>16</v>
      </c>
      <c r="G1267" s="1" t="s">
        <v>23</v>
      </c>
      <c r="H1267" s="1" t="s">
        <v>18</v>
      </c>
      <c r="I1267" s="1" t="s">
        <v>59</v>
      </c>
      <c r="J1267" s="1">
        <f>IFERROR(__xludf.DUMMYFUNCTION("""COMPUTED_VALUE"""),63.0)</f>
        <v>63</v>
      </c>
      <c r="K1267" s="1">
        <v>28.0</v>
      </c>
      <c r="L1267" s="1">
        <f>IFERROR(__xludf.DUMMYFUNCTION("""COMPUTED_VALUE"""),146.0)</f>
        <v>146</v>
      </c>
    </row>
    <row r="1268">
      <c r="A1268" s="1">
        <v>3216450.0</v>
      </c>
      <c r="B1268" s="1" t="s">
        <v>2769</v>
      </c>
      <c r="C1268" s="1" t="s">
        <v>2070</v>
      </c>
      <c r="D1268" s="1" t="s">
        <v>2079</v>
      </c>
      <c r="E1268" s="1" t="s">
        <v>2770</v>
      </c>
      <c r="F1268" s="1" t="s">
        <v>16</v>
      </c>
      <c r="G1268" s="1" t="s">
        <v>27</v>
      </c>
      <c r="H1268" s="1" t="s">
        <v>18</v>
      </c>
      <c r="I1268" s="1" t="s">
        <v>19</v>
      </c>
      <c r="J1268" s="1">
        <f>IFERROR(__xludf.DUMMYFUNCTION("""COMPUTED_VALUE"""),149.0)</f>
        <v>149</v>
      </c>
      <c r="K1268" s="1">
        <v>94.0</v>
      </c>
      <c r="L1268" s="1">
        <f>IFERROR(__xludf.DUMMYFUNCTION("""COMPUTED_VALUE"""),235.0)</f>
        <v>235</v>
      </c>
    </row>
    <row r="1269">
      <c r="A1269" s="1">
        <v>3214011.0</v>
      </c>
      <c r="B1269" s="1" t="s">
        <v>2771</v>
      </c>
      <c r="C1269" s="1" t="s">
        <v>2070</v>
      </c>
      <c r="D1269" s="1" t="s">
        <v>2182</v>
      </c>
      <c r="E1269" s="1" t="s">
        <v>2772</v>
      </c>
      <c r="F1269" s="1" t="s">
        <v>16</v>
      </c>
      <c r="G1269" s="1" t="s">
        <v>27</v>
      </c>
      <c r="H1269" s="1" t="s">
        <v>28</v>
      </c>
      <c r="I1269" s="1" t="s">
        <v>40</v>
      </c>
      <c r="J1269" s="1">
        <f>IFERROR(__xludf.DUMMYFUNCTION("""COMPUTED_VALUE"""),261.0)</f>
        <v>261</v>
      </c>
      <c r="K1269" s="1">
        <v>108.0</v>
      </c>
      <c r="L1269" s="1">
        <f>IFERROR(__xludf.DUMMYFUNCTION("""COMPUTED_VALUE"""),752.0)</f>
        <v>752</v>
      </c>
    </row>
    <row r="1270">
      <c r="A1270" s="1">
        <v>3213045.0</v>
      </c>
      <c r="B1270" s="1" t="s">
        <v>2773</v>
      </c>
      <c r="C1270" s="1" t="s">
        <v>2070</v>
      </c>
      <c r="D1270" s="1" t="s">
        <v>2127</v>
      </c>
      <c r="E1270" s="1" t="s">
        <v>2774</v>
      </c>
      <c r="F1270" s="1" t="s">
        <v>16</v>
      </c>
      <c r="G1270" s="1" t="s">
        <v>17</v>
      </c>
      <c r="H1270" s="1" t="s">
        <v>18</v>
      </c>
      <c r="I1270" s="1" t="s">
        <v>44</v>
      </c>
      <c r="J1270" s="1">
        <f>IFERROR(__xludf.DUMMYFUNCTION("""COMPUTED_VALUE"""),100.0)</f>
        <v>100</v>
      </c>
      <c r="K1270" s="1">
        <v>32.0</v>
      </c>
      <c r="L1270" s="1">
        <f>IFERROR(__xludf.DUMMYFUNCTION("""COMPUTED_VALUE"""),185.0)</f>
        <v>185</v>
      </c>
    </row>
    <row r="1271">
      <c r="A1271" s="1">
        <v>3215123.0</v>
      </c>
      <c r="B1271" s="1" t="s">
        <v>2775</v>
      </c>
      <c r="C1271" s="1" t="s">
        <v>2070</v>
      </c>
      <c r="D1271" s="1" t="s">
        <v>2071</v>
      </c>
      <c r="E1271" s="1" t="s">
        <v>2776</v>
      </c>
      <c r="F1271" s="1" t="s">
        <v>16</v>
      </c>
      <c r="G1271" s="1" t="s">
        <v>17</v>
      </c>
      <c r="H1271" s="1" t="s">
        <v>18</v>
      </c>
      <c r="I1271" s="1" t="s">
        <v>19</v>
      </c>
      <c r="J1271" s="1">
        <f>IFERROR(__xludf.DUMMYFUNCTION("""COMPUTED_VALUE"""),143.0)</f>
        <v>143</v>
      </c>
      <c r="K1271" s="1">
        <v>46.0</v>
      </c>
      <c r="L1271" s="1">
        <f>IFERROR(__xludf.DUMMYFUNCTION("""COMPUTED_VALUE"""),490.0)</f>
        <v>490</v>
      </c>
    </row>
    <row r="1272">
      <c r="A1272" s="1">
        <v>3216417.0</v>
      </c>
      <c r="B1272" s="1" t="s">
        <v>2777</v>
      </c>
      <c r="C1272" s="1" t="s">
        <v>2070</v>
      </c>
      <c r="D1272" s="1" t="s">
        <v>2079</v>
      </c>
      <c r="E1272" s="1" t="s">
        <v>2778</v>
      </c>
      <c r="F1272" s="1" t="s">
        <v>16</v>
      </c>
      <c r="G1272" s="1" t="s">
        <v>17</v>
      </c>
      <c r="H1272" s="1" t="s">
        <v>18</v>
      </c>
      <c r="I1272" s="1" t="s">
        <v>44</v>
      </c>
      <c r="J1272" s="1">
        <f>IFERROR(__xludf.DUMMYFUNCTION("""COMPUTED_VALUE"""),201.0)</f>
        <v>201</v>
      </c>
      <c r="K1272" s="1">
        <v>34.0</v>
      </c>
      <c r="L1272" s="1">
        <f>IFERROR(__xludf.DUMMYFUNCTION("""COMPUTED_VALUE"""),63.0)</f>
        <v>63</v>
      </c>
    </row>
    <row r="1273">
      <c r="A1273" s="1">
        <v>3206084.0</v>
      </c>
      <c r="B1273" s="1" t="s">
        <v>2779</v>
      </c>
      <c r="C1273" s="1" t="s">
        <v>2070</v>
      </c>
      <c r="D1273" s="1" t="s">
        <v>2625</v>
      </c>
      <c r="E1273" s="1" t="s">
        <v>2780</v>
      </c>
      <c r="F1273" s="1" t="s">
        <v>55</v>
      </c>
      <c r="G1273" s="1" t="s">
        <v>17</v>
      </c>
      <c r="H1273" s="1" t="s">
        <v>18</v>
      </c>
      <c r="I1273" s="1" t="s">
        <v>44</v>
      </c>
      <c r="J1273" s="1">
        <f>IFERROR(__xludf.DUMMYFUNCTION("""COMPUTED_VALUE"""),55.0)</f>
        <v>55</v>
      </c>
      <c r="K1273" s="1">
        <v>16.0</v>
      </c>
      <c r="L1273" s="1">
        <f>IFERROR(__xludf.DUMMYFUNCTION("""COMPUTED_VALUE"""),110.0)</f>
        <v>110</v>
      </c>
    </row>
    <row r="1274">
      <c r="A1274" s="1">
        <v>3217132.0</v>
      </c>
      <c r="B1274" s="1" t="s">
        <v>2781</v>
      </c>
      <c r="C1274" s="1" t="s">
        <v>2070</v>
      </c>
      <c r="D1274" s="1" t="s">
        <v>2144</v>
      </c>
      <c r="E1274" s="1" t="s">
        <v>2782</v>
      </c>
      <c r="F1274" s="1" t="s">
        <v>55</v>
      </c>
      <c r="G1274" s="1" t="s">
        <v>17</v>
      </c>
      <c r="H1274" s="1" t="s">
        <v>18</v>
      </c>
      <c r="I1274" s="1" t="s">
        <v>19</v>
      </c>
      <c r="J1274" s="1">
        <f>IFERROR(__xludf.DUMMYFUNCTION("""COMPUTED_VALUE"""),31.0)</f>
        <v>31</v>
      </c>
      <c r="K1274" s="1">
        <v>28.0</v>
      </c>
      <c r="L1274" s="1">
        <f>IFERROR(__xludf.DUMMYFUNCTION("""COMPUTED_VALUE"""),182.0)</f>
        <v>182</v>
      </c>
    </row>
    <row r="1275">
      <c r="A1275" s="1">
        <v>3203037.0</v>
      </c>
      <c r="B1275" s="1" t="s">
        <v>2783</v>
      </c>
      <c r="C1275" s="1" t="s">
        <v>2070</v>
      </c>
      <c r="D1275" s="1" t="s">
        <v>2094</v>
      </c>
      <c r="E1275" s="1" t="s">
        <v>2784</v>
      </c>
      <c r="F1275" s="1" t="s">
        <v>16</v>
      </c>
      <c r="G1275" s="1" t="s">
        <v>17</v>
      </c>
      <c r="H1275" s="1" t="s">
        <v>28</v>
      </c>
      <c r="I1275" s="1" t="s">
        <v>40</v>
      </c>
      <c r="J1275" s="1">
        <f>IFERROR(__xludf.DUMMYFUNCTION("""COMPUTED_VALUE"""),170.0)</f>
        <v>170</v>
      </c>
      <c r="K1275" s="1">
        <v>92.0</v>
      </c>
      <c r="L1275" s="1">
        <f>IFERROR(__xludf.DUMMYFUNCTION("""COMPUTED_VALUE"""),261.0)</f>
        <v>261</v>
      </c>
    </row>
    <row r="1276">
      <c r="A1276" s="1">
        <v>3273486.0</v>
      </c>
      <c r="B1276" s="1" t="s">
        <v>2785</v>
      </c>
      <c r="C1276" s="1" t="s">
        <v>2070</v>
      </c>
      <c r="D1276" s="1" t="s">
        <v>2088</v>
      </c>
      <c r="E1276" s="1" t="s">
        <v>2786</v>
      </c>
      <c r="F1276" s="1" t="s">
        <v>16</v>
      </c>
      <c r="G1276" s="1" t="s">
        <v>150</v>
      </c>
      <c r="H1276" s="1" t="s">
        <v>18</v>
      </c>
      <c r="I1276" s="1" t="s">
        <v>19</v>
      </c>
      <c r="J1276" s="1">
        <f>IFERROR(__xludf.DUMMYFUNCTION("""COMPUTED_VALUE"""),500.0)</f>
        <v>500</v>
      </c>
      <c r="K1276" s="1">
        <v>138.0</v>
      </c>
      <c r="L1276" s="1">
        <f>IFERROR(__xludf.DUMMYFUNCTION("""COMPUTED_VALUE"""),1573.0)</f>
        <v>1573</v>
      </c>
    </row>
    <row r="1277">
      <c r="A1277" s="1">
        <v>3278014.0</v>
      </c>
      <c r="B1277" s="1" t="s">
        <v>2787</v>
      </c>
      <c r="C1277" s="1" t="s">
        <v>2070</v>
      </c>
      <c r="D1277" s="1" t="s">
        <v>2077</v>
      </c>
      <c r="E1277" s="1" t="s">
        <v>2788</v>
      </c>
      <c r="F1277" s="1" t="s">
        <v>16</v>
      </c>
      <c r="G1277" s="1" t="s">
        <v>17</v>
      </c>
      <c r="H1277" s="1" t="s">
        <v>18</v>
      </c>
      <c r="I1277" s="1" t="s">
        <v>44</v>
      </c>
      <c r="J1277" s="1">
        <f>IFERROR(__xludf.DUMMYFUNCTION("""COMPUTED_VALUE"""),190.0)</f>
        <v>190</v>
      </c>
      <c r="K1277" s="1">
        <v>48.0</v>
      </c>
      <c r="L1277" s="1">
        <f>IFERROR(__xludf.DUMMYFUNCTION("""COMPUTED_VALUE"""),490.0)</f>
        <v>490</v>
      </c>
    </row>
    <row r="1278">
      <c r="A1278" s="1">
        <v>3216185.0</v>
      </c>
      <c r="B1278" s="1" t="s">
        <v>2789</v>
      </c>
      <c r="C1278" s="1" t="s">
        <v>2070</v>
      </c>
      <c r="D1278" s="1" t="s">
        <v>2079</v>
      </c>
      <c r="E1278" s="1" t="s">
        <v>2790</v>
      </c>
      <c r="F1278" s="1" t="s">
        <v>16</v>
      </c>
      <c r="G1278" s="1" t="s">
        <v>17</v>
      </c>
      <c r="H1278" s="1" t="s">
        <v>18</v>
      </c>
      <c r="I1278" s="1" t="s">
        <v>19</v>
      </c>
      <c r="J1278" s="1">
        <f>IFERROR(__xludf.DUMMYFUNCTION("""COMPUTED_VALUE"""),104.0)</f>
        <v>104</v>
      </c>
      <c r="K1278" s="1">
        <v>29.0</v>
      </c>
      <c r="L1278" s="1">
        <f>IFERROR(__xludf.DUMMYFUNCTION("""COMPUTED_VALUE"""),84.0)</f>
        <v>84</v>
      </c>
    </row>
    <row r="1279">
      <c r="A1279" s="1">
        <v>3215165.0</v>
      </c>
      <c r="B1279" s="1" t="s">
        <v>2791</v>
      </c>
      <c r="C1279" s="1" t="s">
        <v>2070</v>
      </c>
      <c r="D1279" s="1" t="s">
        <v>2071</v>
      </c>
      <c r="E1279" s="1" t="s">
        <v>2792</v>
      </c>
      <c r="F1279" s="1" t="s">
        <v>16</v>
      </c>
      <c r="G1279" s="1" t="s">
        <v>23</v>
      </c>
      <c r="H1279" s="1" t="s">
        <v>18</v>
      </c>
      <c r="I1279" s="1" t="s">
        <v>44</v>
      </c>
      <c r="J1279" s="1">
        <f>IFERROR(__xludf.DUMMYFUNCTION("""COMPUTED_VALUE"""),94.0)</f>
        <v>94</v>
      </c>
      <c r="K1279" s="1">
        <v>24.0</v>
      </c>
      <c r="L1279" s="1">
        <f>IFERROR(__xludf.DUMMYFUNCTION("""COMPUTED_VALUE"""),126.0)</f>
        <v>126</v>
      </c>
    </row>
    <row r="1280">
      <c r="A1280" s="1">
        <v>3206070.0</v>
      </c>
      <c r="B1280" s="1" t="s">
        <v>2793</v>
      </c>
      <c r="C1280" s="1" t="s">
        <v>2070</v>
      </c>
      <c r="D1280" s="1" t="s">
        <v>2077</v>
      </c>
      <c r="E1280" s="1" t="s">
        <v>2794</v>
      </c>
      <c r="F1280" s="1" t="s">
        <v>16</v>
      </c>
      <c r="G1280" s="1" t="s">
        <v>17</v>
      </c>
      <c r="H1280" s="1" t="s">
        <v>18</v>
      </c>
      <c r="I1280" s="1" t="s">
        <v>44</v>
      </c>
      <c r="J1280" s="1">
        <f>IFERROR(__xludf.DUMMYFUNCTION("""COMPUTED_VALUE"""),199.0)</f>
        <v>199</v>
      </c>
      <c r="K1280" s="1">
        <v>95.0</v>
      </c>
      <c r="L1280" s="1">
        <f>IFERROR(__xludf.DUMMYFUNCTION("""COMPUTED_VALUE"""),624.0)</f>
        <v>624</v>
      </c>
    </row>
    <row r="1281">
      <c r="A1281" s="1">
        <v>3216451.0</v>
      </c>
      <c r="B1281" s="1" t="s">
        <v>2795</v>
      </c>
      <c r="C1281" s="1" t="s">
        <v>2070</v>
      </c>
      <c r="D1281" s="1" t="s">
        <v>2079</v>
      </c>
      <c r="E1281" s="1" t="s">
        <v>2796</v>
      </c>
      <c r="F1281" s="1" t="s">
        <v>16</v>
      </c>
      <c r="G1281" s="1" t="s">
        <v>17</v>
      </c>
      <c r="H1281" s="1" t="s">
        <v>18</v>
      </c>
      <c r="I1281" s="1" t="s">
        <v>44</v>
      </c>
      <c r="J1281" s="1">
        <f>IFERROR(__xludf.DUMMYFUNCTION("""COMPUTED_VALUE"""),100.0)</f>
        <v>100</v>
      </c>
      <c r="K1281" s="1">
        <v>56.0</v>
      </c>
      <c r="L1281" s="1">
        <f>IFERROR(__xludf.DUMMYFUNCTION("""COMPUTED_VALUE"""),182.0)</f>
        <v>182</v>
      </c>
    </row>
    <row r="1282">
      <c r="A1282" s="1">
        <v>3271046.0</v>
      </c>
      <c r="B1282" s="1" t="s">
        <v>2797</v>
      </c>
      <c r="C1282" s="1" t="s">
        <v>2070</v>
      </c>
      <c r="D1282" s="1" t="s">
        <v>2173</v>
      </c>
      <c r="E1282" s="1" t="s">
        <v>2798</v>
      </c>
      <c r="F1282" s="1" t="s">
        <v>174</v>
      </c>
      <c r="G1282" s="1" t="s">
        <v>150</v>
      </c>
      <c r="H1282" s="1" t="s">
        <v>33</v>
      </c>
      <c r="I1282" s="1" t="s">
        <v>411</v>
      </c>
      <c r="J1282" s="1">
        <f>IFERROR(__xludf.DUMMYFUNCTION("""COMPUTED_VALUE"""),507.0)</f>
        <v>507</v>
      </c>
      <c r="K1282" s="1">
        <v>35.0</v>
      </c>
      <c r="L1282" s="1">
        <f>IFERROR(__xludf.DUMMYFUNCTION("""COMPUTED_VALUE"""),912.0)</f>
        <v>912</v>
      </c>
    </row>
    <row r="1283">
      <c r="A1283" s="1">
        <v>3272025.0</v>
      </c>
      <c r="B1283" s="1" t="s">
        <v>2799</v>
      </c>
      <c r="C1283" s="1" t="s">
        <v>2070</v>
      </c>
      <c r="D1283" s="1" t="s">
        <v>2289</v>
      </c>
      <c r="E1283" s="1" t="s">
        <v>2800</v>
      </c>
      <c r="F1283" s="1" t="s">
        <v>16</v>
      </c>
      <c r="G1283" s="1" t="s">
        <v>17</v>
      </c>
      <c r="H1283" s="1" t="s">
        <v>33</v>
      </c>
      <c r="I1283" s="1" t="s">
        <v>65</v>
      </c>
      <c r="J1283" s="1">
        <f>IFERROR(__xludf.DUMMYFUNCTION("""COMPUTED_VALUE"""),139.0)</f>
        <v>139</v>
      </c>
      <c r="K1283" s="1">
        <v>76.0</v>
      </c>
      <c r="L1283" s="1">
        <f>IFERROR(__xludf.DUMMYFUNCTION("""COMPUTED_VALUE"""),388.0)</f>
        <v>388</v>
      </c>
    </row>
    <row r="1284">
      <c r="A1284" s="1">
        <v>3211015.0</v>
      </c>
      <c r="B1284" s="1" t="s">
        <v>2801</v>
      </c>
      <c r="C1284" s="1" t="s">
        <v>2070</v>
      </c>
      <c r="D1284" s="1" t="s">
        <v>2286</v>
      </c>
      <c r="E1284" s="1" t="s">
        <v>2802</v>
      </c>
      <c r="F1284" s="1" t="s">
        <v>16</v>
      </c>
      <c r="G1284" s="1" t="s">
        <v>27</v>
      </c>
      <c r="H1284" s="1" t="s">
        <v>28</v>
      </c>
      <c r="I1284" s="1" t="s">
        <v>40</v>
      </c>
      <c r="J1284" s="1">
        <f>IFERROR(__xludf.DUMMYFUNCTION("""COMPUTED_VALUE"""),227.0)</f>
        <v>227</v>
      </c>
      <c r="K1284" s="1">
        <v>52.0</v>
      </c>
      <c r="L1284" s="1">
        <f>IFERROR(__xludf.DUMMYFUNCTION("""COMPUTED_VALUE"""),1147.0)</f>
        <v>1147</v>
      </c>
    </row>
    <row r="1285">
      <c r="A1285" s="1">
        <v>3271161.0</v>
      </c>
      <c r="B1285" s="1" t="s">
        <v>2803</v>
      </c>
      <c r="C1285" s="1" t="s">
        <v>2070</v>
      </c>
      <c r="D1285" s="1" t="s">
        <v>2173</v>
      </c>
      <c r="E1285" s="1" t="s">
        <v>2804</v>
      </c>
      <c r="F1285" s="1" t="s">
        <v>16</v>
      </c>
      <c r="G1285" s="1" t="s">
        <v>17</v>
      </c>
      <c r="H1285" s="1" t="s">
        <v>18</v>
      </c>
      <c r="I1285" s="1" t="s">
        <v>44</v>
      </c>
      <c r="J1285" s="1">
        <f>IFERROR(__xludf.DUMMYFUNCTION("""COMPUTED_VALUE"""),109.0)</f>
        <v>109</v>
      </c>
      <c r="K1285" s="1">
        <v>57.0</v>
      </c>
      <c r="L1285" s="1">
        <f>IFERROR(__xludf.DUMMYFUNCTION("""COMPUTED_VALUE"""),638.0)</f>
        <v>638</v>
      </c>
    </row>
    <row r="1286">
      <c r="A1286" s="1">
        <v>3216427.0</v>
      </c>
      <c r="B1286" s="1" t="s">
        <v>2805</v>
      </c>
      <c r="C1286" s="1" t="s">
        <v>2070</v>
      </c>
      <c r="D1286" s="1" t="s">
        <v>2119</v>
      </c>
      <c r="E1286" s="1" t="s">
        <v>2806</v>
      </c>
      <c r="F1286" s="1" t="s">
        <v>16</v>
      </c>
      <c r="G1286" s="1" t="s">
        <v>17</v>
      </c>
      <c r="H1286" s="1" t="s">
        <v>18</v>
      </c>
      <c r="I1286" s="1" t="s">
        <v>19</v>
      </c>
      <c r="J1286" s="1">
        <f>IFERROR(__xludf.DUMMYFUNCTION("""COMPUTED_VALUE"""),101.0)</f>
        <v>101</v>
      </c>
      <c r="K1286" s="1">
        <v>22.0</v>
      </c>
      <c r="L1286" s="1">
        <f>IFERROR(__xludf.DUMMYFUNCTION("""COMPUTED_VALUE"""),106.0)</f>
        <v>106</v>
      </c>
    </row>
    <row r="1287">
      <c r="A1287" s="1">
        <v>3216441.0</v>
      </c>
      <c r="B1287" s="1" t="s">
        <v>2807</v>
      </c>
      <c r="C1287" s="1" t="s">
        <v>2070</v>
      </c>
      <c r="D1287" s="1" t="s">
        <v>2079</v>
      </c>
      <c r="E1287" s="1" t="s">
        <v>2808</v>
      </c>
      <c r="F1287" s="1" t="s">
        <v>16</v>
      </c>
      <c r="G1287" s="1" t="s">
        <v>17</v>
      </c>
      <c r="H1287" s="1" t="s">
        <v>18</v>
      </c>
      <c r="I1287" s="1" t="s">
        <v>19</v>
      </c>
      <c r="J1287" s="1">
        <f>IFERROR(__xludf.DUMMYFUNCTION("""COMPUTED_VALUE"""),131.0)</f>
        <v>131</v>
      </c>
      <c r="K1287" s="1">
        <v>31.0</v>
      </c>
      <c r="L1287" s="1">
        <f>IFERROR(__xludf.DUMMYFUNCTION("""COMPUTED_VALUE"""),333.0)</f>
        <v>333</v>
      </c>
    </row>
    <row r="1288">
      <c r="A1288" s="1">
        <v>3201061.0</v>
      </c>
      <c r="B1288" s="1" t="s">
        <v>2809</v>
      </c>
      <c r="C1288" s="1" t="s">
        <v>2070</v>
      </c>
      <c r="D1288" s="1" t="s">
        <v>2082</v>
      </c>
      <c r="E1288" s="1" t="s">
        <v>2810</v>
      </c>
      <c r="F1288" s="1" t="s">
        <v>16</v>
      </c>
      <c r="G1288" s="1" t="s">
        <v>17</v>
      </c>
      <c r="H1288" s="1" t="s">
        <v>18</v>
      </c>
      <c r="I1288" s="1" t="s">
        <v>59</v>
      </c>
      <c r="J1288" s="1">
        <f>IFERROR(__xludf.DUMMYFUNCTION("""COMPUTED_VALUE"""),118.0)</f>
        <v>118</v>
      </c>
      <c r="K1288" s="1">
        <v>26.0</v>
      </c>
      <c r="L1288" s="1">
        <f>IFERROR(__xludf.DUMMYFUNCTION("""COMPUTED_VALUE"""),360.0)</f>
        <v>360</v>
      </c>
    </row>
    <row r="1289">
      <c r="A1289" s="1">
        <v>3273085.0</v>
      </c>
      <c r="B1289" s="1" t="s">
        <v>2811</v>
      </c>
      <c r="C1289" s="1" t="s">
        <v>2070</v>
      </c>
      <c r="D1289" s="1" t="s">
        <v>2088</v>
      </c>
      <c r="E1289" s="1" t="s">
        <v>2812</v>
      </c>
      <c r="F1289" s="1" t="s">
        <v>16</v>
      </c>
      <c r="G1289" s="1" t="s">
        <v>27</v>
      </c>
      <c r="H1289" s="1" t="s">
        <v>18</v>
      </c>
      <c r="I1289" s="1" t="s">
        <v>59</v>
      </c>
      <c r="J1289" s="1">
        <f>IFERROR(__xludf.DUMMYFUNCTION("""COMPUTED_VALUE"""),508.0)</f>
        <v>508</v>
      </c>
      <c r="K1289" s="1">
        <v>117.0</v>
      </c>
      <c r="L1289" s="1">
        <f>IFERROR(__xludf.DUMMYFUNCTION("""COMPUTED_VALUE"""),959.0)</f>
        <v>959</v>
      </c>
    </row>
    <row r="1290">
      <c r="A1290" s="1">
        <v>3276124.0</v>
      </c>
      <c r="B1290" s="1" t="s">
        <v>2813</v>
      </c>
      <c r="C1290" s="1" t="s">
        <v>2070</v>
      </c>
      <c r="D1290" s="1" t="s">
        <v>2082</v>
      </c>
      <c r="E1290" s="1" t="s">
        <v>2814</v>
      </c>
      <c r="F1290" s="1" t="s">
        <v>16</v>
      </c>
      <c r="G1290" s="1" t="s">
        <v>17</v>
      </c>
      <c r="H1290" s="1" t="s">
        <v>28</v>
      </c>
      <c r="I1290" s="1" t="s">
        <v>29</v>
      </c>
      <c r="J1290" s="1">
        <f>IFERROR(__xludf.DUMMYFUNCTION("""COMPUTED_VALUE"""),229.0)</f>
        <v>229</v>
      </c>
      <c r="K1290" s="1">
        <v>47.0</v>
      </c>
      <c r="L1290" s="1">
        <f>IFERROR(__xludf.DUMMYFUNCTION("""COMPUTED_VALUE"""),490.0)</f>
        <v>490</v>
      </c>
    </row>
    <row r="1291">
      <c r="A1291" s="1">
        <v>3216396.0</v>
      </c>
      <c r="B1291" s="1" t="s">
        <v>2815</v>
      </c>
      <c r="C1291" s="1" t="s">
        <v>2070</v>
      </c>
      <c r="D1291" s="1" t="s">
        <v>2119</v>
      </c>
      <c r="E1291" s="1" t="s">
        <v>2816</v>
      </c>
      <c r="F1291" s="1" t="s">
        <v>16</v>
      </c>
      <c r="G1291" s="1" t="s">
        <v>23</v>
      </c>
      <c r="H1291" s="1" t="s">
        <v>18</v>
      </c>
      <c r="I1291" s="1" t="s">
        <v>44</v>
      </c>
      <c r="J1291" s="1">
        <f>IFERROR(__xludf.DUMMYFUNCTION("""COMPUTED_VALUE"""),50.0)</f>
        <v>50</v>
      </c>
      <c r="K1291" s="1">
        <v>20.0</v>
      </c>
      <c r="L1291" s="1">
        <f>IFERROR(__xludf.DUMMYFUNCTION("""COMPUTED_VALUE"""),133.0)</f>
        <v>133</v>
      </c>
    </row>
    <row r="1292">
      <c r="A1292" s="1">
        <v>3215167.0</v>
      </c>
      <c r="B1292" s="1" t="s">
        <v>2817</v>
      </c>
      <c r="C1292" s="1" t="s">
        <v>2070</v>
      </c>
      <c r="D1292" s="1" t="s">
        <v>2071</v>
      </c>
      <c r="E1292" s="1" t="s">
        <v>2818</v>
      </c>
      <c r="F1292" s="1" t="s">
        <v>16</v>
      </c>
      <c r="G1292" s="1" t="s">
        <v>17</v>
      </c>
      <c r="H1292" s="1" t="s">
        <v>18</v>
      </c>
      <c r="I1292" s="1" t="s">
        <v>44</v>
      </c>
      <c r="J1292" s="1">
        <f>IFERROR(__xludf.DUMMYFUNCTION("""COMPUTED_VALUE"""),172.0)</f>
        <v>172</v>
      </c>
      <c r="K1292" s="1">
        <v>26.0</v>
      </c>
      <c r="L1292" s="1">
        <f>IFERROR(__xludf.DUMMYFUNCTION("""COMPUTED_VALUE"""),34.0)</f>
        <v>34</v>
      </c>
    </row>
    <row r="1293">
      <c r="A1293" s="1">
        <v>3212060.0</v>
      </c>
      <c r="B1293" s="1" t="s">
        <v>2819</v>
      </c>
      <c r="C1293" s="1" t="s">
        <v>2070</v>
      </c>
      <c r="D1293" s="1" t="s">
        <v>2189</v>
      </c>
      <c r="E1293" s="1" t="s">
        <v>2820</v>
      </c>
      <c r="F1293" s="1" t="s">
        <v>16</v>
      </c>
      <c r="G1293" s="1" t="s">
        <v>17</v>
      </c>
      <c r="H1293" s="1" t="s">
        <v>18</v>
      </c>
      <c r="I1293" s="1" t="s">
        <v>19</v>
      </c>
      <c r="J1293" s="1">
        <f>IFERROR(__xludf.DUMMYFUNCTION("""COMPUTED_VALUE"""),100.0)</f>
        <v>100</v>
      </c>
      <c r="K1293" s="1">
        <v>27.0</v>
      </c>
      <c r="L1293" s="1">
        <f>IFERROR(__xludf.DUMMYFUNCTION("""COMPUTED_VALUE"""),48.0)</f>
        <v>48</v>
      </c>
    </row>
    <row r="1294">
      <c r="A1294" s="1">
        <v>3217133.0</v>
      </c>
      <c r="B1294" s="1" t="s">
        <v>2821</v>
      </c>
      <c r="C1294" s="1" t="s">
        <v>2070</v>
      </c>
      <c r="D1294" s="1" t="s">
        <v>2144</v>
      </c>
      <c r="E1294" s="1" t="s">
        <v>2822</v>
      </c>
      <c r="F1294" s="1" t="s">
        <v>55</v>
      </c>
      <c r="G1294" s="1" t="s">
        <v>17</v>
      </c>
      <c r="H1294" s="1" t="s">
        <v>18</v>
      </c>
      <c r="I1294" s="1" t="s">
        <v>19</v>
      </c>
      <c r="J1294" s="1">
        <f>IFERROR(__xludf.DUMMYFUNCTION("""COMPUTED_VALUE"""),45.0)</f>
        <v>45</v>
      </c>
      <c r="K1294" s="1">
        <v>26.0</v>
      </c>
      <c r="L1294" s="1">
        <f>IFERROR(__xludf.DUMMYFUNCTION("""COMPUTED_VALUE"""),182.0)</f>
        <v>182</v>
      </c>
    </row>
    <row r="1295">
      <c r="A1295" s="1">
        <v>3208076.0</v>
      </c>
      <c r="B1295" s="1" t="s">
        <v>2823</v>
      </c>
      <c r="C1295" s="1" t="s">
        <v>2070</v>
      </c>
      <c r="D1295" s="1" t="s">
        <v>2074</v>
      </c>
      <c r="E1295" s="1" t="s">
        <v>2824</v>
      </c>
      <c r="F1295" s="1" t="s">
        <v>16</v>
      </c>
      <c r="G1295" s="1" t="s">
        <v>23</v>
      </c>
      <c r="H1295" s="1" t="s">
        <v>18</v>
      </c>
      <c r="I1295" s="1" t="s">
        <v>19</v>
      </c>
      <c r="J1295" s="1">
        <f>IFERROR(__xludf.DUMMYFUNCTION("""COMPUTED_VALUE"""),61.0)</f>
        <v>61</v>
      </c>
      <c r="K1295" s="1">
        <v>35.0</v>
      </c>
      <c r="L1295" s="1">
        <f>IFERROR(__xludf.DUMMYFUNCTION("""COMPUTED_VALUE"""),182.0)</f>
        <v>182</v>
      </c>
    </row>
    <row r="1296">
      <c r="A1296" s="1">
        <v>3201207.0</v>
      </c>
      <c r="B1296" s="1" t="s">
        <v>2825</v>
      </c>
      <c r="C1296" s="1" t="s">
        <v>2070</v>
      </c>
      <c r="D1296" s="1" t="s">
        <v>2097</v>
      </c>
      <c r="E1296" s="1" t="s">
        <v>2826</v>
      </c>
      <c r="F1296" s="1" t="s">
        <v>16</v>
      </c>
      <c r="G1296" s="1" t="s">
        <v>17</v>
      </c>
      <c r="H1296" s="1" t="s">
        <v>18</v>
      </c>
      <c r="I1296" s="1" t="s">
        <v>19</v>
      </c>
      <c r="J1296" s="1">
        <f>IFERROR(__xludf.DUMMYFUNCTION("""COMPUTED_VALUE"""),200.0)</f>
        <v>200</v>
      </c>
      <c r="K1296" s="1">
        <v>35.0</v>
      </c>
      <c r="L1296" s="1">
        <f>IFERROR(__xludf.DUMMYFUNCTION("""COMPUTED_VALUE"""),372.0)</f>
        <v>372</v>
      </c>
    </row>
    <row r="1297">
      <c r="A1297" s="1">
        <v>3273260.0</v>
      </c>
      <c r="B1297" s="1" t="s">
        <v>2827</v>
      </c>
      <c r="C1297" s="1" t="s">
        <v>2070</v>
      </c>
      <c r="D1297" s="1" t="s">
        <v>2088</v>
      </c>
      <c r="E1297" s="1" t="s">
        <v>2828</v>
      </c>
      <c r="F1297" s="1" t="s">
        <v>16</v>
      </c>
      <c r="G1297" s="1" t="s">
        <v>27</v>
      </c>
      <c r="H1297" s="1" t="s">
        <v>28</v>
      </c>
      <c r="I1297" s="1" t="s">
        <v>29</v>
      </c>
      <c r="J1297" s="1">
        <f>IFERROR(__xludf.DUMMYFUNCTION("""COMPUTED_VALUE"""),348.0)</f>
        <v>348</v>
      </c>
      <c r="K1297" s="1">
        <v>91.0</v>
      </c>
      <c r="L1297" s="1">
        <f>IFERROR(__xludf.DUMMYFUNCTION("""COMPUTED_VALUE"""),753.0)</f>
        <v>753</v>
      </c>
    </row>
    <row r="1298">
      <c r="A1298" s="1">
        <v>3277022.0</v>
      </c>
      <c r="B1298" s="1" t="s">
        <v>2829</v>
      </c>
      <c r="C1298" s="1" t="s">
        <v>2070</v>
      </c>
      <c r="D1298" s="1" t="s">
        <v>2217</v>
      </c>
      <c r="E1298" s="1" t="s">
        <v>2830</v>
      </c>
      <c r="F1298" s="1" t="s">
        <v>32</v>
      </c>
      <c r="G1298" s="1" t="s">
        <v>27</v>
      </c>
      <c r="H1298" s="1" t="s">
        <v>18</v>
      </c>
      <c r="I1298" s="1" t="s">
        <v>19</v>
      </c>
      <c r="J1298" s="1">
        <f>IFERROR(__xludf.DUMMYFUNCTION("""COMPUTED_VALUE"""),13.0)</f>
        <v>13</v>
      </c>
      <c r="K1298" s="1">
        <v>12.0</v>
      </c>
      <c r="L1298" s="1">
        <f>IFERROR(__xludf.DUMMYFUNCTION("""COMPUTED_VALUE"""),86.0)</f>
        <v>86</v>
      </c>
    </row>
    <row r="1299">
      <c r="A1299" s="1">
        <v>3211038.0</v>
      </c>
      <c r="B1299" s="1" t="s">
        <v>2831</v>
      </c>
      <c r="C1299" s="1" t="s">
        <v>2070</v>
      </c>
      <c r="D1299" s="1" t="s">
        <v>2286</v>
      </c>
      <c r="E1299" s="1" t="s">
        <v>2832</v>
      </c>
      <c r="F1299" s="1" t="s">
        <v>16</v>
      </c>
      <c r="G1299" s="1" t="s">
        <v>27</v>
      </c>
      <c r="H1299" s="1" t="s">
        <v>18</v>
      </c>
      <c r="I1299" s="1" t="s">
        <v>34</v>
      </c>
      <c r="J1299" s="1">
        <f>IFERROR(__xludf.DUMMYFUNCTION("""COMPUTED_VALUE"""),200.0)</f>
        <v>200</v>
      </c>
      <c r="K1299" s="1">
        <v>42.0</v>
      </c>
      <c r="L1299" s="1">
        <f>IFERROR(__xludf.DUMMYFUNCTION("""COMPUTED_VALUE"""),182.0)</f>
        <v>182</v>
      </c>
    </row>
    <row r="1300">
      <c r="A1300" s="1">
        <v>3216104.0</v>
      </c>
      <c r="B1300" s="1" t="s">
        <v>2833</v>
      </c>
      <c r="C1300" s="1" t="s">
        <v>2070</v>
      </c>
      <c r="D1300" s="1" t="s">
        <v>2079</v>
      </c>
      <c r="E1300" s="1" t="s">
        <v>2834</v>
      </c>
      <c r="F1300" s="1" t="s">
        <v>16</v>
      </c>
      <c r="G1300" s="1" t="s">
        <v>17</v>
      </c>
      <c r="H1300" s="1" t="s">
        <v>18</v>
      </c>
      <c r="I1300" s="1" t="s">
        <v>59</v>
      </c>
      <c r="J1300" s="1">
        <f>IFERROR(__xludf.DUMMYFUNCTION("""COMPUTED_VALUE"""),120.0)</f>
        <v>120</v>
      </c>
      <c r="K1300" s="1">
        <v>37.0</v>
      </c>
      <c r="L1300" s="1">
        <f>IFERROR(__xludf.DUMMYFUNCTION("""COMPUTED_VALUE"""),383.0)</f>
        <v>383</v>
      </c>
    </row>
    <row r="1301">
      <c r="A1301" s="1">
        <v>3276041.0</v>
      </c>
      <c r="B1301" s="1" t="s">
        <v>2835</v>
      </c>
      <c r="C1301" s="1" t="s">
        <v>2070</v>
      </c>
      <c r="D1301" s="1" t="s">
        <v>2082</v>
      </c>
      <c r="E1301" s="1" t="s">
        <v>2836</v>
      </c>
      <c r="F1301" s="1" t="s">
        <v>16</v>
      </c>
      <c r="G1301" s="1" t="s">
        <v>17</v>
      </c>
      <c r="H1301" s="1" t="s">
        <v>18</v>
      </c>
      <c r="I1301" s="1" t="s">
        <v>44</v>
      </c>
      <c r="J1301" s="1">
        <f>IFERROR(__xludf.DUMMYFUNCTION("""COMPUTED_VALUE"""),137.0)</f>
        <v>137</v>
      </c>
      <c r="K1301" s="1">
        <v>50.0</v>
      </c>
      <c r="L1301" s="1">
        <f>IFERROR(__xludf.DUMMYFUNCTION("""COMPUTED_VALUE"""),519.0)</f>
        <v>519</v>
      </c>
    </row>
    <row r="1302">
      <c r="A1302" s="1">
        <v>3274137.0</v>
      </c>
      <c r="B1302" s="1" t="s">
        <v>2837</v>
      </c>
      <c r="C1302" s="1" t="s">
        <v>2070</v>
      </c>
      <c r="D1302" s="1" t="s">
        <v>2124</v>
      </c>
      <c r="E1302" s="1" t="s">
        <v>2838</v>
      </c>
      <c r="F1302" s="1" t="s">
        <v>55</v>
      </c>
      <c r="G1302" s="1" t="s">
        <v>17</v>
      </c>
      <c r="H1302" s="1" t="s">
        <v>18</v>
      </c>
      <c r="I1302" s="1" t="s">
        <v>19</v>
      </c>
      <c r="J1302" s="1">
        <f>IFERROR(__xludf.DUMMYFUNCTION("""COMPUTED_VALUE"""),36.0)</f>
        <v>36</v>
      </c>
      <c r="K1302" s="1">
        <v>28.0</v>
      </c>
      <c r="L1302" s="1">
        <f>IFERROR(__xludf.DUMMYFUNCTION("""COMPUTED_VALUE"""),93.0)</f>
        <v>93</v>
      </c>
    </row>
    <row r="1303">
      <c r="A1303" s="1">
        <v>3275063.0</v>
      </c>
      <c r="B1303" s="1" t="s">
        <v>2839</v>
      </c>
      <c r="C1303" s="1" t="s">
        <v>2070</v>
      </c>
      <c r="D1303" s="1" t="s">
        <v>2119</v>
      </c>
      <c r="E1303" s="1" t="s">
        <v>2840</v>
      </c>
      <c r="F1303" s="1" t="s">
        <v>16</v>
      </c>
      <c r="G1303" s="1" t="s">
        <v>27</v>
      </c>
      <c r="H1303" s="1" t="s">
        <v>18</v>
      </c>
      <c r="I1303" s="1" t="s">
        <v>44</v>
      </c>
      <c r="J1303" s="1">
        <f>IFERROR(__xludf.DUMMYFUNCTION("""COMPUTED_VALUE"""),205.0)</f>
        <v>205</v>
      </c>
      <c r="K1303" s="1">
        <v>112.0</v>
      </c>
      <c r="L1303" s="1">
        <f>IFERROR(__xludf.DUMMYFUNCTION("""COMPUTED_VALUE"""),204.0)</f>
        <v>204</v>
      </c>
    </row>
    <row r="1304">
      <c r="A1304" s="1">
        <v>3217009.0</v>
      </c>
      <c r="B1304" s="1" t="s">
        <v>2841</v>
      </c>
      <c r="C1304" s="1" t="s">
        <v>2070</v>
      </c>
      <c r="D1304" s="1" t="s">
        <v>2144</v>
      </c>
      <c r="E1304" s="1" t="s">
        <v>2842</v>
      </c>
      <c r="F1304" s="1" t="s">
        <v>55</v>
      </c>
      <c r="G1304" s="1" t="s">
        <v>17</v>
      </c>
      <c r="H1304" s="1" t="s">
        <v>18</v>
      </c>
      <c r="I1304" s="1" t="s">
        <v>44</v>
      </c>
      <c r="J1304" s="1">
        <f>IFERROR(__xludf.DUMMYFUNCTION("""COMPUTED_VALUE"""),41.0)</f>
        <v>41</v>
      </c>
      <c r="K1304" s="1">
        <v>14.0</v>
      </c>
      <c r="L1304" s="1">
        <f>IFERROR(__xludf.DUMMYFUNCTION("""COMPUTED_VALUE"""),1.0)</f>
        <v>1</v>
      </c>
    </row>
    <row r="1305">
      <c r="A1305" s="1">
        <v>3215171.0</v>
      </c>
      <c r="B1305" s="1" t="s">
        <v>2843</v>
      </c>
      <c r="C1305" s="1" t="s">
        <v>2070</v>
      </c>
      <c r="D1305" s="1" t="s">
        <v>2071</v>
      </c>
      <c r="E1305" s="1" t="s">
        <v>2844</v>
      </c>
      <c r="F1305" s="1" t="s">
        <v>16</v>
      </c>
      <c r="G1305" s="1" t="s">
        <v>17</v>
      </c>
      <c r="H1305" s="1" t="s">
        <v>18</v>
      </c>
      <c r="I1305" s="1" t="s">
        <v>19</v>
      </c>
      <c r="J1305" s="1">
        <f>IFERROR(__xludf.DUMMYFUNCTION("""COMPUTED_VALUE"""),144.0)</f>
        <v>144</v>
      </c>
      <c r="K1305" s="1">
        <v>22.0</v>
      </c>
      <c r="L1305" s="1">
        <f>IFERROR(__xludf.DUMMYFUNCTION("""COMPUTED_VALUE"""),182.0)</f>
        <v>182</v>
      </c>
    </row>
    <row r="1306">
      <c r="A1306" s="1">
        <v>3275296.0</v>
      </c>
      <c r="B1306" s="1" t="s">
        <v>2845</v>
      </c>
      <c r="C1306" s="1" t="s">
        <v>2070</v>
      </c>
      <c r="D1306" s="1" t="s">
        <v>2119</v>
      </c>
      <c r="E1306" s="1" t="s">
        <v>2846</v>
      </c>
      <c r="F1306" s="1" t="s">
        <v>16</v>
      </c>
      <c r="G1306" s="1" t="s">
        <v>23</v>
      </c>
      <c r="H1306" s="1" t="s">
        <v>18</v>
      </c>
      <c r="I1306" s="1" t="s">
        <v>59</v>
      </c>
      <c r="J1306" s="1">
        <f>IFERROR(__xludf.DUMMYFUNCTION("""COMPUTED_VALUE"""),51.0)</f>
        <v>51</v>
      </c>
      <c r="K1306" s="1">
        <v>21.0</v>
      </c>
      <c r="L1306" s="1">
        <f>IFERROR(__xludf.DUMMYFUNCTION("""COMPUTED_VALUE"""),73.0)</f>
        <v>73</v>
      </c>
    </row>
    <row r="1307">
      <c r="A1307" s="1">
        <v>3216436.0</v>
      </c>
      <c r="B1307" s="1" t="s">
        <v>2847</v>
      </c>
      <c r="C1307" s="1" t="s">
        <v>2070</v>
      </c>
      <c r="D1307" s="1" t="s">
        <v>2079</v>
      </c>
      <c r="E1307" s="1" t="s">
        <v>2848</v>
      </c>
      <c r="F1307" s="1" t="s">
        <v>16</v>
      </c>
      <c r="G1307" s="1" t="s">
        <v>27</v>
      </c>
      <c r="H1307" s="1" t="s">
        <v>18</v>
      </c>
      <c r="I1307" s="1" t="s">
        <v>44</v>
      </c>
      <c r="J1307" s="1">
        <f>IFERROR(__xludf.DUMMYFUNCTION("""COMPUTED_VALUE"""),200.0)</f>
        <v>200</v>
      </c>
      <c r="K1307" s="1">
        <v>93.0</v>
      </c>
      <c r="L1307" s="1">
        <f>IFERROR(__xludf.DUMMYFUNCTION("""COMPUTED_VALUE"""),281.0)</f>
        <v>281</v>
      </c>
    </row>
    <row r="1308">
      <c r="A1308" s="1">
        <v>3209025.0</v>
      </c>
      <c r="B1308" s="1" t="s">
        <v>2849</v>
      </c>
      <c r="C1308" s="1" t="s">
        <v>2070</v>
      </c>
      <c r="D1308" s="1" t="s">
        <v>2106</v>
      </c>
      <c r="E1308" s="1" t="s">
        <v>2850</v>
      </c>
      <c r="F1308" s="1" t="s">
        <v>16</v>
      </c>
      <c r="G1308" s="1" t="s">
        <v>17</v>
      </c>
      <c r="H1308" s="1" t="s">
        <v>18</v>
      </c>
      <c r="I1308" s="1" t="s">
        <v>19</v>
      </c>
      <c r="J1308" s="1">
        <f>IFERROR(__xludf.DUMMYFUNCTION("""COMPUTED_VALUE"""),108.0)</f>
        <v>108</v>
      </c>
      <c r="K1308" s="1">
        <v>42.0</v>
      </c>
      <c r="L1308" s="1">
        <f>IFERROR(__xludf.DUMMYFUNCTION("""COMPUTED_VALUE"""),269.0)</f>
        <v>269</v>
      </c>
    </row>
    <row r="1309">
      <c r="A1309" s="1">
        <v>3215156.0</v>
      </c>
      <c r="B1309" s="1" t="s">
        <v>2851</v>
      </c>
      <c r="C1309" s="1" t="s">
        <v>2070</v>
      </c>
      <c r="D1309" s="1" t="s">
        <v>2071</v>
      </c>
      <c r="E1309" s="1" t="s">
        <v>2852</v>
      </c>
      <c r="F1309" s="1" t="s">
        <v>16</v>
      </c>
      <c r="G1309" s="1" t="s">
        <v>27</v>
      </c>
      <c r="H1309" s="1" t="s">
        <v>18</v>
      </c>
      <c r="I1309" s="1" t="s">
        <v>19</v>
      </c>
      <c r="J1309" s="1">
        <f>IFERROR(__xludf.DUMMYFUNCTION("""COMPUTED_VALUE"""),207.0)</f>
        <v>207</v>
      </c>
      <c r="K1309" s="1">
        <v>48.0</v>
      </c>
      <c r="L1309" s="1">
        <f>IFERROR(__xludf.DUMMYFUNCTION("""COMPUTED_VALUE"""),238.0)</f>
        <v>238</v>
      </c>
    </row>
    <row r="1310">
      <c r="A1310" s="1">
        <v>3217005.0</v>
      </c>
      <c r="B1310" s="1" t="s">
        <v>2853</v>
      </c>
      <c r="C1310" s="1" t="s">
        <v>2070</v>
      </c>
      <c r="D1310" s="1" t="s">
        <v>2144</v>
      </c>
      <c r="E1310" s="1" t="s">
        <v>2854</v>
      </c>
      <c r="F1310" s="1" t="s">
        <v>16</v>
      </c>
      <c r="G1310" s="1" t="s">
        <v>17</v>
      </c>
      <c r="H1310" s="1" t="s">
        <v>18</v>
      </c>
      <c r="I1310" s="1" t="s">
        <v>44</v>
      </c>
      <c r="J1310" s="1">
        <f>IFERROR(__xludf.DUMMYFUNCTION("""COMPUTED_VALUE"""),112.0)</f>
        <v>112</v>
      </c>
      <c r="K1310" s="1">
        <v>46.0</v>
      </c>
      <c r="L1310" s="1">
        <f>IFERROR(__xludf.DUMMYFUNCTION("""COMPUTED_VALUE"""),132.0)</f>
        <v>132</v>
      </c>
    </row>
    <row r="1311">
      <c r="A1311" s="1">
        <v>3271168.0</v>
      </c>
      <c r="B1311" s="1" t="s">
        <v>2855</v>
      </c>
      <c r="C1311" s="1" t="s">
        <v>2070</v>
      </c>
      <c r="D1311" s="1" t="s">
        <v>2173</v>
      </c>
      <c r="E1311" s="1" t="s">
        <v>2856</v>
      </c>
      <c r="F1311" s="1" t="s">
        <v>16</v>
      </c>
      <c r="G1311" s="1" t="s">
        <v>17</v>
      </c>
      <c r="H1311" s="1" t="s">
        <v>18</v>
      </c>
      <c r="I1311" s="1" t="s">
        <v>44</v>
      </c>
      <c r="J1311" s="1">
        <f>IFERROR(__xludf.DUMMYFUNCTION("""COMPUTED_VALUE"""),147.0)</f>
        <v>147</v>
      </c>
      <c r="K1311" s="1">
        <v>14.0</v>
      </c>
      <c r="L1311" s="1">
        <f>IFERROR(__xludf.DUMMYFUNCTION("""COMPUTED_VALUE"""),182.0)</f>
        <v>182</v>
      </c>
    </row>
    <row r="1312">
      <c r="A1312" s="1">
        <v>3276168.0</v>
      </c>
      <c r="B1312" s="1" t="s">
        <v>2857</v>
      </c>
      <c r="C1312" s="1" t="s">
        <v>2070</v>
      </c>
      <c r="D1312" s="1" t="s">
        <v>2082</v>
      </c>
      <c r="E1312" s="1" t="s">
        <v>2858</v>
      </c>
      <c r="F1312" s="1" t="s">
        <v>16</v>
      </c>
      <c r="G1312" s="1" t="s">
        <v>17</v>
      </c>
      <c r="H1312" s="1" t="s">
        <v>28</v>
      </c>
      <c r="I1312" s="1" t="s">
        <v>29</v>
      </c>
      <c r="J1312" s="1">
        <f>IFERROR(__xludf.DUMMYFUNCTION("""COMPUTED_VALUE"""),108.0)</f>
        <v>108</v>
      </c>
      <c r="K1312" s="1">
        <v>32.0</v>
      </c>
      <c r="L1312" s="1">
        <f>IFERROR(__xludf.DUMMYFUNCTION("""COMPUTED_VALUE"""),182.0)</f>
        <v>182</v>
      </c>
    </row>
    <row r="1313">
      <c r="A1313" s="1">
        <v>3273560.0</v>
      </c>
      <c r="B1313" s="1" t="s">
        <v>2859</v>
      </c>
      <c r="C1313" s="1" t="s">
        <v>2070</v>
      </c>
      <c r="D1313" s="1" t="s">
        <v>2088</v>
      </c>
      <c r="E1313" s="1" t="s">
        <v>2860</v>
      </c>
      <c r="F1313" s="1" t="s">
        <v>1884</v>
      </c>
      <c r="G1313" s="1" t="s">
        <v>17</v>
      </c>
      <c r="H1313" s="1" t="s">
        <v>18</v>
      </c>
      <c r="I1313" s="1" t="s">
        <v>19</v>
      </c>
      <c r="J1313" s="1">
        <f>IFERROR(__xludf.DUMMYFUNCTION("""COMPUTED_VALUE"""),31.0)</f>
        <v>31</v>
      </c>
      <c r="K1313" s="1">
        <v>45.0</v>
      </c>
      <c r="L1313" s="1">
        <f>IFERROR(__xludf.DUMMYFUNCTION("""COMPUTED_VALUE"""),182.0)</f>
        <v>182</v>
      </c>
    </row>
    <row r="1314">
      <c r="A1314" s="1">
        <v>3273015.0</v>
      </c>
      <c r="B1314" s="1" t="s">
        <v>2861</v>
      </c>
      <c r="C1314" s="1" t="s">
        <v>2070</v>
      </c>
      <c r="D1314" s="1" t="s">
        <v>2088</v>
      </c>
      <c r="E1314" s="1" t="s">
        <v>2862</v>
      </c>
      <c r="F1314" s="1" t="s">
        <v>16</v>
      </c>
      <c r="G1314" s="1" t="s">
        <v>150</v>
      </c>
      <c r="H1314" s="1" t="s">
        <v>33</v>
      </c>
      <c r="I1314" s="1" t="s">
        <v>411</v>
      </c>
      <c r="J1314" s="1">
        <f>IFERROR(__xludf.DUMMYFUNCTION("""COMPUTED_VALUE"""),926.0)</f>
        <v>926</v>
      </c>
      <c r="K1314" s="1">
        <v>81.0</v>
      </c>
      <c r="L1314" s="1">
        <f>IFERROR(__xludf.DUMMYFUNCTION("""COMPUTED_VALUE"""),2979.0)</f>
        <v>2979</v>
      </c>
    </row>
    <row r="1315">
      <c r="A1315" s="1">
        <v>3215023.0</v>
      </c>
      <c r="B1315" s="1" t="s">
        <v>2863</v>
      </c>
      <c r="C1315" s="1" t="s">
        <v>2070</v>
      </c>
      <c r="D1315" s="1" t="s">
        <v>2071</v>
      </c>
      <c r="E1315" s="1" t="s">
        <v>2864</v>
      </c>
      <c r="F1315" s="1" t="s">
        <v>16</v>
      </c>
      <c r="G1315" s="1" t="s">
        <v>17</v>
      </c>
      <c r="H1315" s="1" t="s">
        <v>18</v>
      </c>
      <c r="I1315" s="1" t="s">
        <v>258</v>
      </c>
      <c r="J1315" s="1">
        <f>IFERROR(__xludf.DUMMYFUNCTION("""COMPUTED_VALUE"""),161.0)</f>
        <v>161</v>
      </c>
      <c r="K1315" s="1">
        <v>72.0</v>
      </c>
      <c r="L1315" s="1">
        <f>IFERROR(__xludf.DUMMYFUNCTION("""COMPUTED_VALUE"""),289.0)</f>
        <v>289</v>
      </c>
    </row>
    <row r="1316">
      <c r="A1316" s="1">
        <v>3216409.0</v>
      </c>
      <c r="B1316" s="1" t="s">
        <v>2865</v>
      </c>
      <c r="C1316" s="1" t="s">
        <v>2070</v>
      </c>
      <c r="D1316" s="1" t="s">
        <v>2079</v>
      </c>
      <c r="E1316" s="1" t="s">
        <v>2866</v>
      </c>
      <c r="F1316" s="1" t="s">
        <v>16</v>
      </c>
      <c r="G1316" s="1" t="s">
        <v>17</v>
      </c>
      <c r="H1316" s="1" t="s">
        <v>18</v>
      </c>
      <c r="I1316" s="1" t="s">
        <v>19</v>
      </c>
      <c r="J1316" s="1">
        <f>IFERROR(__xludf.DUMMYFUNCTION("""COMPUTED_VALUE"""),116.0)</f>
        <v>116</v>
      </c>
      <c r="K1316" s="1">
        <v>22.0</v>
      </c>
      <c r="L1316" s="1">
        <f>IFERROR(__xludf.DUMMYFUNCTION("""COMPUTED_VALUE"""),191.0)</f>
        <v>191</v>
      </c>
    </row>
    <row r="1317">
      <c r="A1317" s="1">
        <v>3273541.0</v>
      </c>
      <c r="B1317" s="1" t="s">
        <v>2867</v>
      </c>
      <c r="C1317" s="1" t="s">
        <v>2070</v>
      </c>
      <c r="D1317" s="1" t="s">
        <v>2088</v>
      </c>
      <c r="E1317" s="1" t="s">
        <v>2868</v>
      </c>
      <c r="F1317" s="1" t="s">
        <v>55</v>
      </c>
      <c r="G1317" s="1" t="s">
        <v>17</v>
      </c>
      <c r="H1317" s="1" t="s">
        <v>18</v>
      </c>
      <c r="I1317" s="1" t="s">
        <v>19</v>
      </c>
      <c r="J1317" s="1">
        <f>IFERROR(__xludf.DUMMYFUNCTION("""COMPUTED_VALUE"""),39.0)</f>
        <v>39</v>
      </c>
      <c r="K1317" s="1">
        <v>14.0</v>
      </c>
      <c r="L1317" s="1">
        <f>IFERROR(__xludf.DUMMYFUNCTION("""COMPUTED_VALUE"""),141.0)</f>
        <v>141</v>
      </c>
    </row>
    <row r="1318">
      <c r="A1318" s="1">
        <v>3215145.0</v>
      </c>
      <c r="B1318" s="1" t="s">
        <v>2869</v>
      </c>
      <c r="C1318" s="1" t="s">
        <v>2070</v>
      </c>
      <c r="D1318" s="1" t="s">
        <v>2071</v>
      </c>
      <c r="E1318" s="1" t="s">
        <v>2870</v>
      </c>
      <c r="F1318" s="1" t="s">
        <v>16</v>
      </c>
      <c r="G1318" s="1" t="s">
        <v>17</v>
      </c>
      <c r="H1318" s="1" t="s">
        <v>18</v>
      </c>
      <c r="I1318" s="1" t="s">
        <v>19</v>
      </c>
      <c r="J1318" s="1">
        <f>IFERROR(__xludf.DUMMYFUNCTION("""COMPUTED_VALUE"""),100.0)</f>
        <v>100</v>
      </c>
      <c r="K1318" s="1">
        <v>95.0</v>
      </c>
      <c r="L1318" s="1">
        <f>IFERROR(__xludf.DUMMYFUNCTION("""COMPUTED_VALUE"""),321.0)</f>
        <v>321</v>
      </c>
    </row>
    <row r="1319">
      <c r="A1319" s="1">
        <v>3216387.0</v>
      </c>
      <c r="B1319" s="1" t="s">
        <v>2871</v>
      </c>
      <c r="C1319" s="1" t="s">
        <v>2070</v>
      </c>
      <c r="D1319" s="1" t="s">
        <v>2079</v>
      </c>
      <c r="E1319" s="1" t="s">
        <v>2872</v>
      </c>
      <c r="F1319" s="1" t="s">
        <v>16</v>
      </c>
      <c r="G1319" s="1" t="s">
        <v>17</v>
      </c>
      <c r="H1319" s="1" t="s">
        <v>18</v>
      </c>
      <c r="I1319" s="1" t="s">
        <v>44</v>
      </c>
      <c r="J1319" s="1">
        <f>IFERROR(__xludf.DUMMYFUNCTION("""COMPUTED_VALUE"""),112.0)</f>
        <v>112</v>
      </c>
      <c r="K1319" s="1">
        <v>30.0</v>
      </c>
      <c r="L1319" s="1">
        <f>IFERROR(__xludf.DUMMYFUNCTION("""COMPUTED_VALUE"""),16.0)</f>
        <v>16</v>
      </c>
    </row>
    <row r="1320">
      <c r="A1320" s="1">
        <v>3213062.0</v>
      </c>
      <c r="B1320" s="1" t="s">
        <v>2873</v>
      </c>
      <c r="C1320" s="1" t="s">
        <v>2070</v>
      </c>
      <c r="D1320" s="1" t="s">
        <v>2127</v>
      </c>
      <c r="E1320" s="1" t="s">
        <v>2874</v>
      </c>
      <c r="F1320" s="1" t="s">
        <v>16</v>
      </c>
      <c r="G1320" s="1" t="s">
        <v>17</v>
      </c>
      <c r="H1320" s="1" t="s">
        <v>18</v>
      </c>
      <c r="I1320" s="1" t="s">
        <v>19</v>
      </c>
      <c r="J1320" s="1">
        <f>IFERROR(__xludf.DUMMYFUNCTION("""COMPUTED_VALUE"""),119.0)</f>
        <v>119</v>
      </c>
      <c r="K1320" s="1">
        <v>27.0</v>
      </c>
      <c r="L1320" s="1">
        <f>IFERROR(__xludf.DUMMYFUNCTION("""COMPUTED_VALUE"""),182.0)</f>
        <v>182</v>
      </c>
    </row>
    <row r="1321">
      <c r="A1321" s="1">
        <v>3277020.0</v>
      </c>
      <c r="B1321" s="1" t="s">
        <v>2875</v>
      </c>
      <c r="C1321" s="1" t="s">
        <v>2070</v>
      </c>
      <c r="D1321" s="1" t="s">
        <v>2217</v>
      </c>
      <c r="E1321" s="1" t="s">
        <v>2876</v>
      </c>
      <c r="F1321" s="1" t="s">
        <v>16</v>
      </c>
      <c r="G1321" s="1" t="s">
        <v>27</v>
      </c>
      <c r="H1321" s="1" t="s">
        <v>28</v>
      </c>
      <c r="I1321" s="1" t="s">
        <v>29</v>
      </c>
      <c r="J1321" s="1">
        <f>IFERROR(__xludf.DUMMYFUNCTION("""COMPUTED_VALUE"""),303.0)</f>
        <v>303</v>
      </c>
      <c r="K1321" s="1">
        <v>78.0</v>
      </c>
      <c r="L1321" s="1">
        <f>IFERROR(__xludf.DUMMYFUNCTION("""COMPUTED_VALUE"""),647.0)</f>
        <v>647</v>
      </c>
    </row>
    <row r="1322">
      <c r="A1322" s="1">
        <v>3273528.0</v>
      </c>
      <c r="B1322" s="1" t="s">
        <v>2877</v>
      </c>
      <c r="C1322" s="1" t="s">
        <v>2070</v>
      </c>
      <c r="D1322" s="1" t="s">
        <v>2088</v>
      </c>
      <c r="E1322" s="1" t="s">
        <v>2878</v>
      </c>
      <c r="F1322" s="1" t="s">
        <v>55</v>
      </c>
      <c r="G1322" s="1" t="s">
        <v>17</v>
      </c>
      <c r="H1322" s="1" t="s">
        <v>18</v>
      </c>
      <c r="I1322" s="1" t="s">
        <v>19</v>
      </c>
      <c r="J1322" s="1">
        <f>IFERROR(__xludf.DUMMYFUNCTION("""COMPUTED_VALUE"""),41.0)</f>
        <v>41</v>
      </c>
      <c r="K1322" s="1">
        <v>30.0</v>
      </c>
      <c r="L1322" s="1">
        <f>IFERROR(__xludf.DUMMYFUNCTION("""COMPUTED_VALUE"""),110.0)</f>
        <v>110</v>
      </c>
    </row>
    <row r="1323">
      <c r="A1323" s="1">
        <v>3214036.0</v>
      </c>
      <c r="B1323" s="1" t="s">
        <v>2879</v>
      </c>
      <c r="C1323" s="1" t="s">
        <v>2070</v>
      </c>
      <c r="D1323" s="1" t="s">
        <v>2182</v>
      </c>
      <c r="E1323" s="1" t="s">
        <v>2880</v>
      </c>
      <c r="F1323" s="1" t="s">
        <v>55</v>
      </c>
      <c r="G1323" s="1" t="s">
        <v>17</v>
      </c>
      <c r="H1323" s="1" t="s">
        <v>18</v>
      </c>
      <c r="I1323" s="1" t="s">
        <v>44</v>
      </c>
      <c r="J1323" s="1">
        <f>IFERROR(__xludf.DUMMYFUNCTION("""COMPUTED_VALUE"""),51.0)</f>
        <v>51</v>
      </c>
      <c r="K1323" s="1">
        <v>25.0</v>
      </c>
      <c r="L1323" s="1">
        <f>IFERROR(__xludf.DUMMYFUNCTION("""COMPUTED_VALUE"""),64.0)</f>
        <v>64</v>
      </c>
    </row>
    <row r="1324">
      <c r="A1324" s="1">
        <v>3201239.0</v>
      </c>
      <c r="B1324" s="1" t="s">
        <v>2881</v>
      </c>
      <c r="C1324" s="1" t="s">
        <v>2070</v>
      </c>
      <c r="D1324" s="1" t="s">
        <v>2097</v>
      </c>
      <c r="E1324" s="1" t="s">
        <v>2882</v>
      </c>
      <c r="F1324" s="1" t="s">
        <v>55</v>
      </c>
      <c r="G1324" s="1" t="s">
        <v>17</v>
      </c>
      <c r="H1324" s="1" t="s">
        <v>18</v>
      </c>
      <c r="I1324" s="1" t="s">
        <v>44</v>
      </c>
      <c r="J1324" s="1">
        <f>IFERROR(__xludf.DUMMYFUNCTION("""COMPUTED_VALUE"""),61.0)</f>
        <v>61</v>
      </c>
      <c r="K1324" s="1">
        <v>20.0</v>
      </c>
      <c r="L1324" s="1">
        <f>IFERROR(__xludf.DUMMYFUNCTION("""COMPUTED_VALUE"""),153.0)</f>
        <v>153</v>
      </c>
    </row>
    <row r="1325">
      <c r="A1325" s="1">
        <v>3201250.0</v>
      </c>
      <c r="B1325" s="1" t="s">
        <v>2883</v>
      </c>
      <c r="C1325" s="1" t="s">
        <v>2070</v>
      </c>
      <c r="D1325" s="1" t="s">
        <v>2097</v>
      </c>
      <c r="E1325" s="1" t="s">
        <v>2884</v>
      </c>
      <c r="F1325" s="1" t="s">
        <v>16</v>
      </c>
      <c r="G1325" s="1" t="s">
        <v>17</v>
      </c>
      <c r="H1325" s="1" t="s">
        <v>18</v>
      </c>
      <c r="I1325" s="1" t="s">
        <v>44</v>
      </c>
      <c r="J1325" s="1">
        <f>IFERROR(__xludf.DUMMYFUNCTION("""COMPUTED_VALUE"""),115.0)</f>
        <v>115</v>
      </c>
      <c r="K1325" s="1">
        <v>23.0</v>
      </c>
      <c r="L1325" s="1">
        <f>IFERROR(__xludf.DUMMYFUNCTION("""COMPUTED_VALUE"""),87.0)</f>
        <v>87</v>
      </c>
    </row>
    <row r="1326">
      <c r="A1326" s="1">
        <v>3204173.0</v>
      </c>
      <c r="B1326" s="1" t="s">
        <v>2885</v>
      </c>
      <c r="C1326" s="1" t="s">
        <v>2070</v>
      </c>
      <c r="D1326" s="1" t="s">
        <v>2091</v>
      </c>
      <c r="E1326" s="1" t="s">
        <v>2886</v>
      </c>
      <c r="F1326" s="1" t="s">
        <v>16</v>
      </c>
      <c r="G1326" s="1" t="s">
        <v>23</v>
      </c>
      <c r="H1326" s="1" t="s">
        <v>18</v>
      </c>
      <c r="I1326" s="1" t="s">
        <v>40</v>
      </c>
      <c r="J1326" s="1">
        <f>IFERROR(__xludf.DUMMYFUNCTION("""COMPUTED_VALUE"""),53.0)</f>
        <v>53</v>
      </c>
      <c r="K1326" s="1">
        <v>25.0</v>
      </c>
      <c r="L1326" s="1">
        <f>IFERROR(__xludf.DUMMYFUNCTION("""COMPUTED_VALUE"""),182.0)</f>
        <v>182</v>
      </c>
    </row>
    <row r="1327">
      <c r="A1327" s="1">
        <v>3275207.0</v>
      </c>
      <c r="B1327" s="1" t="s">
        <v>2887</v>
      </c>
      <c r="C1327" s="1" t="s">
        <v>2070</v>
      </c>
      <c r="D1327" s="1" t="s">
        <v>2119</v>
      </c>
      <c r="E1327" s="1" t="s">
        <v>2888</v>
      </c>
      <c r="F1327" s="1" t="s">
        <v>16</v>
      </c>
      <c r="G1327" s="1" t="s">
        <v>17</v>
      </c>
      <c r="H1327" s="1" t="s">
        <v>18</v>
      </c>
      <c r="I1327" s="1" t="s">
        <v>19</v>
      </c>
      <c r="J1327" s="1">
        <f>IFERROR(__xludf.DUMMYFUNCTION("""COMPUTED_VALUE"""),100.0)</f>
        <v>100</v>
      </c>
      <c r="K1327" s="1">
        <v>27.0</v>
      </c>
      <c r="L1327" s="1">
        <f>IFERROR(__xludf.DUMMYFUNCTION("""COMPUTED_VALUE"""),117.0)</f>
        <v>117</v>
      </c>
    </row>
    <row r="1328">
      <c r="A1328" s="1">
        <v>3276155.0</v>
      </c>
      <c r="B1328" s="1" t="s">
        <v>2889</v>
      </c>
      <c r="C1328" s="1" t="s">
        <v>2070</v>
      </c>
      <c r="D1328" s="1" t="s">
        <v>2082</v>
      </c>
      <c r="E1328" s="1" t="s">
        <v>2890</v>
      </c>
      <c r="F1328" s="1" t="s">
        <v>16</v>
      </c>
      <c r="G1328" s="1" t="s">
        <v>23</v>
      </c>
      <c r="H1328" s="1" t="s">
        <v>18</v>
      </c>
      <c r="I1328" s="1" t="s">
        <v>19</v>
      </c>
      <c r="J1328" s="1">
        <f>IFERROR(__xludf.DUMMYFUNCTION("""COMPUTED_VALUE"""),41.0)</f>
        <v>41</v>
      </c>
      <c r="K1328" s="1">
        <v>37.0</v>
      </c>
      <c r="L1328" s="1">
        <f>IFERROR(__xludf.DUMMYFUNCTION("""COMPUTED_VALUE"""),60.0)</f>
        <v>60</v>
      </c>
    </row>
    <row r="1329">
      <c r="A1329" s="1">
        <v>3204135.0</v>
      </c>
      <c r="B1329" s="1" t="s">
        <v>2891</v>
      </c>
      <c r="C1329" s="1" t="s">
        <v>2070</v>
      </c>
      <c r="D1329" s="1" t="s">
        <v>2091</v>
      </c>
      <c r="E1329" s="1" t="s">
        <v>2892</v>
      </c>
      <c r="F1329" s="1" t="s">
        <v>16</v>
      </c>
      <c r="G1329" s="1" t="s">
        <v>23</v>
      </c>
      <c r="H1329" s="1" t="s">
        <v>18</v>
      </c>
      <c r="I1329" s="1" t="s">
        <v>19</v>
      </c>
      <c r="J1329" s="1">
        <f>IFERROR(__xludf.DUMMYFUNCTION("""COMPUTED_VALUE"""),69.0)</f>
        <v>69</v>
      </c>
      <c r="K1329" s="1">
        <v>13.0</v>
      </c>
      <c r="L1329" s="1">
        <f>IFERROR(__xludf.DUMMYFUNCTION("""COMPUTED_VALUE"""),57.0)</f>
        <v>57</v>
      </c>
    </row>
    <row r="1330">
      <c r="A1330" s="1">
        <v>3207012.0</v>
      </c>
      <c r="B1330" s="1" t="s">
        <v>2893</v>
      </c>
      <c r="C1330" s="1" t="s">
        <v>2070</v>
      </c>
      <c r="D1330" s="1" t="s">
        <v>2162</v>
      </c>
      <c r="E1330" s="1" t="s">
        <v>2894</v>
      </c>
      <c r="F1330" s="1" t="s">
        <v>16</v>
      </c>
      <c r="G1330" s="1" t="s">
        <v>17</v>
      </c>
      <c r="H1330" s="1" t="s">
        <v>28</v>
      </c>
      <c r="I1330" s="1" t="s">
        <v>40</v>
      </c>
      <c r="J1330" s="1">
        <f>IFERROR(__xludf.DUMMYFUNCTION("""COMPUTED_VALUE"""),290.0)</f>
        <v>290</v>
      </c>
      <c r="K1330" s="1">
        <v>73.0</v>
      </c>
      <c r="L1330" s="1">
        <f>IFERROR(__xludf.DUMMYFUNCTION("""COMPUTED_VALUE"""),1039.0)</f>
        <v>1039</v>
      </c>
    </row>
    <row r="1331">
      <c r="A1331" s="1">
        <v>3216400.0</v>
      </c>
      <c r="B1331" s="1" t="s">
        <v>2895</v>
      </c>
      <c r="C1331" s="1" t="s">
        <v>2070</v>
      </c>
      <c r="D1331" s="1" t="s">
        <v>2079</v>
      </c>
      <c r="E1331" s="1" t="s">
        <v>2896</v>
      </c>
      <c r="F1331" s="1" t="s">
        <v>16</v>
      </c>
      <c r="G1331" s="1" t="s">
        <v>17</v>
      </c>
      <c r="H1331" s="1" t="s">
        <v>18</v>
      </c>
      <c r="I1331" s="1" t="s">
        <v>44</v>
      </c>
      <c r="J1331" s="1">
        <f>IFERROR(__xludf.DUMMYFUNCTION("""COMPUTED_VALUE"""),140.0)</f>
        <v>140</v>
      </c>
      <c r="K1331" s="1">
        <v>34.0</v>
      </c>
      <c r="L1331" s="1">
        <f>IFERROR(__xludf.DUMMYFUNCTION("""COMPUTED_VALUE"""),49.0)</f>
        <v>49</v>
      </c>
    </row>
    <row r="1332">
      <c r="A1332" s="1">
        <v>3276150.0</v>
      </c>
      <c r="B1332" s="1" t="s">
        <v>2897</v>
      </c>
      <c r="C1332" s="1" t="s">
        <v>2070</v>
      </c>
      <c r="D1332" s="1" t="s">
        <v>2082</v>
      </c>
      <c r="E1332" s="1" t="s">
        <v>2898</v>
      </c>
      <c r="F1332" s="1" t="s">
        <v>1884</v>
      </c>
      <c r="G1332" s="1" t="s">
        <v>27</v>
      </c>
      <c r="H1332" s="1" t="s">
        <v>18</v>
      </c>
      <c r="I1332" s="1" t="s">
        <v>44</v>
      </c>
      <c r="J1332" s="1">
        <f>IFERROR(__xludf.DUMMYFUNCTION("""COMPUTED_VALUE"""),75.0)</f>
        <v>75</v>
      </c>
      <c r="K1332" s="1">
        <v>47.0</v>
      </c>
      <c r="L1332" s="1">
        <f>IFERROR(__xludf.DUMMYFUNCTION("""COMPUTED_VALUE"""),191.0)</f>
        <v>191</v>
      </c>
    </row>
    <row r="1333">
      <c r="A1333" s="1">
        <v>3271104.0</v>
      </c>
      <c r="B1333" s="1" t="s">
        <v>2899</v>
      </c>
      <c r="C1333" s="1" t="s">
        <v>2070</v>
      </c>
      <c r="D1333" s="1" t="s">
        <v>2173</v>
      </c>
      <c r="E1333" s="1" t="s">
        <v>2900</v>
      </c>
      <c r="F1333" s="1" t="s">
        <v>16</v>
      </c>
      <c r="G1333" s="1" t="s">
        <v>27</v>
      </c>
      <c r="H1333" s="1" t="s">
        <v>28</v>
      </c>
      <c r="I1333" s="1" t="s">
        <v>29</v>
      </c>
      <c r="J1333" s="1">
        <f>IFERROR(__xludf.DUMMYFUNCTION("""COMPUTED_VALUE"""),535.0)</f>
        <v>535</v>
      </c>
      <c r="K1333" s="1">
        <v>87.0</v>
      </c>
      <c r="L1333" s="1">
        <f>IFERROR(__xludf.DUMMYFUNCTION("""COMPUTED_VALUE"""),1605.0)</f>
        <v>1605</v>
      </c>
    </row>
    <row r="1334">
      <c r="A1334" s="1">
        <v>3207059.0</v>
      </c>
      <c r="B1334" s="1" t="s">
        <v>2901</v>
      </c>
      <c r="C1334" s="1" t="s">
        <v>2070</v>
      </c>
      <c r="D1334" s="1" t="s">
        <v>2162</v>
      </c>
      <c r="E1334" s="1" t="s">
        <v>2902</v>
      </c>
      <c r="F1334" s="1" t="s">
        <v>1970</v>
      </c>
      <c r="G1334" s="1" t="s">
        <v>17</v>
      </c>
      <c r="H1334" s="1" t="s">
        <v>18</v>
      </c>
      <c r="I1334" s="1" t="s">
        <v>19</v>
      </c>
      <c r="J1334" s="1">
        <f>IFERROR(__xludf.DUMMYFUNCTION("""COMPUTED_VALUE"""),44.0)</f>
        <v>44</v>
      </c>
      <c r="K1334" s="1">
        <v>22.0</v>
      </c>
      <c r="L1334" s="1">
        <f>IFERROR(__xludf.DUMMYFUNCTION("""COMPUTED_VALUE"""),67.0)</f>
        <v>67</v>
      </c>
    </row>
    <row r="1335">
      <c r="A1335" s="1">
        <v>3204165.0</v>
      </c>
      <c r="B1335" s="1" t="s">
        <v>2903</v>
      </c>
      <c r="C1335" s="1" t="s">
        <v>2070</v>
      </c>
      <c r="D1335" s="1" t="s">
        <v>2091</v>
      </c>
      <c r="E1335" s="1" t="s">
        <v>2904</v>
      </c>
      <c r="F1335" s="1" t="s">
        <v>16</v>
      </c>
      <c r="G1335" s="1" t="s">
        <v>17</v>
      </c>
      <c r="H1335" s="1" t="s">
        <v>18</v>
      </c>
      <c r="I1335" s="1" t="s">
        <v>19</v>
      </c>
      <c r="J1335" s="1">
        <f>IFERROR(__xludf.DUMMYFUNCTION("""COMPUTED_VALUE"""),147.0)</f>
        <v>147</v>
      </c>
      <c r="K1335" s="1">
        <v>54.0</v>
      </c>
      <c r="L1335" s="1">
        <f>IFERROR(__xludf.DUMMYFUNCTION("""COMPUTED_VALUE"""),182.0)</f>
        <v>182</v>
      </c>
    </row>
    <row r="1336">
      <c r="A1336" s="1">
        <v>3212016.0</v>
      </c>
      <c r="B1336" s="1" t="s">
        <v>2905</v>
      </c>
      <c r="C1336" s="1" t="s">
        <v>2070</v>
      </c>
      <c r="D1336" s="1" t="s">
        <v>2189</v>
      </c>
      <c r="E1336" s="1" t="s">
        <v>2906</v>
      </c>
      <c r="F1336" s="1" t="s">
        <v>16</v>
      </c>
      <c r="G1336" s="1" t="s">
        <v>27</v>
      </c>
      <c r="H1336" s="1" t="s">
        <v>28</v>
      </c>
      <c r="I1336" s="1" t="s">
        <v>40</v>
      </c>
      <c r="J1336" s="1">
        <f>IFERROR(__xludf.DUMMYFUNCTION("""COMPUTED_VALUE"""),320.0)</f>
        <v>320</v>
      </c>
      <c r="K1336" s="1">
        <v>114.0</v>
      </c>
      <c r="L1336" s="1">
        <f>IFERROR(__xludf.DUMMYFUNCTION("""COMPUTED_VALUE"""),505.0)</f>
        <v>505</v>
      </c>
    </row>
    <row r="1337">
      <c r="A1337" s="1">
        <v>3275017.0</v>
      </c>
      <c r="B1337" s="1" t="s">
        <v>2907</v>
      </c>
      <c r="C1337" s="1" t="s">
        <v>2070</v>
      </c>
      <c r="D1337" s="1" t="s">
        <v>2119</v>
      </c>
      <c r="E1337" s="1" t="s">
        <v>2908</v>
      </c>
      <c r="F1337" s="1" t="s">
        <v>16</v>
      </c>
      <c r="G1337" s="1" t="s">
        <v>17</v>
      </c>
      <c r="H1337" s="1" t="s">
        <v>18</v>
      </c>
      <c r="I1337" s="1" t="s">
        <v>19</v>
      </c>
      <c r="J1337" s="1">
        <f>IFERROR(__xludf.DUMMYFUNCTION("""COMPUTED_VALUE"""),104.0)</f>
        <v>104</v>
      </c>
      <c r="K1337" s="1">
        <v>25.0</v>
      </c>
      <c r="L1337" s="1">
        <f>IFERROR(__xludf.DUMMYFUNCTION("""COMPUTED_VALUE"""),180.0)</f>
        <v>180</v>
      </c>
    </row>
    <row r="1338">
      <c r="A1338" s="1">
        <v>3201094.0</v>
      </c>
      <c r="B1338" s="1" t="s">
        <v>2099</v>
      </c>
      <c r="C1338" s="1" t="s">
        <v>2070</v>
      </c>
      <c r="D1338" s="1" t="s">
        <v>2097</v>
      </c>
      <c r="E1338" s="1" t="s">
        <v>2909</v>
      </c>
      <c r="F1338" s="1" t="s">
        <v>16</v>
      </c>
      <c r="G1338" s="1" t="s">
        <v>17</v>
      </c>
      <c r="H1338" s="1" t="s">
        <v>18</v>
      </c>
      <c r="I1338" s="1" t="s">
        <v>19</v>
      </c>
      <c r="J1338" s="1">
        <f>IFERROR(__xludf.DUMMYFUNCTION("""COMPUTED_VALUE"""),129.0)</f>
        <v>129</v>
      </c>
      <c r="K1338" s="1">
        <v>22.0</v>
      </c>
      <c r="L1338" s="1">
        <f>IFERROR(__xludf.DUMMYFUNCTION("""COMPUTED_VALUE"""),133.0)</f>
        <v>133</v>
      </c>
    </row>
    <row r="1339">
      <c r="A1339" s="1">
        <v>3273546.0</v>
      </c>
      <c r="B1339" s="1" t="s">
        <v>2910</v>
      </c>
      <c r="C1339" s="1" t="s">
        <v>2070</v>
      </c>
      <c r="D1339" s="1" t="s">
        <v>2088</v>
      </c>
      <c r="E1339" s="1" t="s">
        <v>2911</v>
      </c>
      <c r="F1339" s="1" t="s">
        <v>55</v>
      </c>
      <c r="G1339" s="1" t="s">
        <v>17</v>
      </c>
      <c r="H1339" s="1" t="s">
        <v>18</v>
      </c>
      <c r="I1339" s="1" t="s">
        <v>19</v>
      </c>
      <c r="J1339" s="1">
        <f>IFERROR(__xludf.DUMMYFUNCTION("""COMPUTED_VALUE"""),27.0)</f>
        <v>27</v>
      </c>
      <c r="K1339" s="1">
        <v>25.0</v>
      </c>
      <c r="L1339" s="1">
        <f>IFERROR(__xludf.DUMMYFUNCTION("""COMPUTED_VALUE"""),79.0)</f>
        <v>79</v>
      </c>
    </row>
    <row r="1340">
      <c r="A1340" s="1">
        <v>3212057.0</v>
      </c>
      <c r="B1340" s="1" t="s">
        <v>2912</v>
      </c>
      <c r="C1340" s="1" t="s">
        <v>2070</v>
      </c>
      <c r="D1340" s="1" t="s">
        <v>2189</v>
      </c>
      <c r="E1340" s="1" t="s">
        <v>2913</v>
      </c>
      <c r="F1340" s="1" t="s">
        <v>16</v>
      </c>
      <c r="G1340" s="1" t="s">
        <v>23</v>
      </c>
      <c r="H1340" s="1" t="s">
        <v>18</v>
      </c>
      <c r="I1340" s="1" t="s">
        <v>19</v>
      </c>
      <c r="J1340" s="1">
        <f>IFERROR(__xludf.DUMMYFUNCTION("""COMPUTED_VALUE"""),54.0)</f>
        <v>54</v>
      </c>
      <c r="K1340" s="1">
        <v>19.0</v>
      </c>
      <c r="L1340" s="1">
        <f>IFERROR(__xludf.DUMMYFUNCTION("""COMPUTED_VALUE"""),66.0)</f>
        <v>66</v>
      </c>
    </row>
    <row r="1341">
      <c r="A1341" s="1">
        <v>3207060.0</v>
      </c>
      <c r="B1341" s="1" t="s">
        <v>2914</v>
      </c>
      <c r="C1341" s="1" t="s">
        <v>2070</v>
      </c>
      <c r="D1341" s="1" t="s">
        <v>2162</v>
      </c>
      <c r="E1341" s="1" t="s">
        <v>2915</v>
      </c>
      <c r="F1341" s="1" t="s">
        <v>16</v>
      </c>
      <c r="G1341" s="1" t="s">
        <v>23</v>
      </c>
      <c r="H1341" s="1" t="s">
        <v>28</v>
      </c>
      <c r="I1341" s="1" t="s">
        <v>40</v>
      </c>
      <c r="J1341" s="1">
        <f>IFERROR(__xludf.DUMMYFUNCTION("""COMPUTED_VALUE"""),83.0)</f>
        <v>83</v>
      </c>
      <c r="K1341" s="1">
        <v>16.0</v>
      </c>
      <c r="L1341" s="1">
        <f>IFERROR(__xludf.DUMMYFUNCTION("""COMPUTED_VALUE"""),90.0)</f>
        <v>90</v>
      </c>
    </row>
    <row r="1342">
      <c r="A1342" s="1">
        <v>3278094.0</v>
      </c>
      <c r="B1342" s="1" t="s">
        <v>2916</v>
      </c>
      <c r="C1342" s="1" t="s">
        <v>2070</v>
      </c>
      <c r="D1342" s="1" t="s">
        <v>2077</v>
      </c>
      <c r="E1342" s="1" t="s">
        <v>2917</v>
      </c>
      <c r="F1342" s="1" t="s">
        <v>1884</v>
      </c>
      <c r="G1342" s="1" t="s">
        <v>27</v>
      </c>
      <c r="H1342" s="1" t="s">
        <v>18</v>
      </c>
      <c r="I1342" s="1" t="s">
        <v>44</v>
      </c>
      <c r="J1342" s="1">
        <f>IFERROR(__xludf.DUMMYFUNCTION("""COMPUTED_VALUE"""),76.0)</f>
        <v>76</v>
      </c>
      <c r="K1342" s="1">
        <v>47.0</v>
      </c>
      <c r="L1342" s="1">
        <f>IFERROR(__xludf.DUMMYFUNCTION("""COMPUTED_VALUE"""),182.0)</f>
        <v>182</v>
      </c>
    </row>
    <row r="1343">
      <c r="A1343" s="1">
        <v>3201115.0</v>
      </c>
      <c r="B1343" s="1" t="s">
        <v>2918</v>
      </c>
      <c r="C1343" s="1" t="s">
        <v>2070</v>
      </c>
      <c r="D1343" s="1" t="s">
        <v>2097</v>
      </c>
      <c r="E1343" s="1" t="s">
        <v>2919</v>
      </c>
      <c r="F1343" s="1" t="s">
        <v>16</v>
      </c>
      <c r="G1343" s="1" t="s">
        <v>17</v>
      </c>
      <c r="H1343" s="1" t="s">
        <v>18</v>
      </c>
      <c r="I1343" s="1" t="s">
        <v>19</v>
      </c>
      <c r="J1343" s="1">
        <f>IFERROR(__xludf.DUMMYFUNCTION("""COMPUTED_VALUE"""),120.0)</f>
        <v>120</v>
      </c>
      <c r="K1343" s="1">
        <v>70.0</v>
      </c>
      <c r="L1343" s="1">
        <f>IFERROR(__xludf.DUMMYFUNCTION("""COMPUTED_VALUE"""),155.0)</f>
        <v>155</v>
      </c>
    </row>
    <row r="1344">
      <c r="A1344" s="1">
        <v>3273106.0</v>
      </c>
      <c r="B1344" s="1" t="s">
        <v>2723</v>
      </c>
      <c r="C1344" s="1" t="s">
        <v>2070</v>
      </c>
      <c r="D1344" s="1" t="s">
        <v>2088</v>
      </c>
      <c r="E1344" s="1" t="s">
        <v>2920</v>
      </c>
      <c r="F1344" s="1" t="s">
        <v>16</v>
      </c>
      <c r="G1344" s="1" t="s">
        <v>17</v>
      </c>
      <c r="H1344" s="1" t="s">
        <v>18</v>
      </c>
      <c r="I1344" s="1" t="s">
        <v>684</v>
      </c>
      <c r="J1344" s="1">
        <f>IFERROR(__xludf.DUMMYFUNCTION("""COMPUTED_VALUE"""),103.0)</f>
        <v>103</v>
      </c>
      <c r="K1344" s="1">
        <v>49.0</v>
      </c>
      <c r="L1344" s="1">
        <f>IFERROR(__xludf.DUMMYFUNCTION("""COMPUTED_VALUE"""),586.0)</f>
        <v>586</v>
      </c>
    </row>
    <row r="1345">
      <c r="A1345" s="1">
        <v>3276146.0</v>
      </c>
      <c r="B1345" s="1" t="s">
        <v>2921</v>
      </c>
      <c r="C1345" s="1" t="s">
        <v>2070</v>
      </c>
      <c r="D1345" s="1" t="s">
        <v>2082</v>
      </c>
      <c r="E1345" s="1" t="s">
        <v>2922</v>
      </c>
      <c r="F1345" s="1" t="s">
        <v>16</v>
      </c>
      <c r="G1345" s="1" t="s">
        <v>17</v>
      </c>
      <c r="H1345" s="1" t="s">
        <v>18</v>
      </c>
      <c r="I1345" s="1" t="s">
        <v>44</v>
      </c>
      <c r="J1345" s="1">
        <f>IFERROR(__xludf.DUMMYFUNCTION("""COMPUTED_VALUE"""),113.0)</f>
        <v>113</v>
      </c>
      <c r="K1345" s="1">
        <v>69.0</v>
      </c>
      <c r="L1345" s="1">
        <f>IFERROR(__xludf.DUMMYFUNCTION("""COMPUTED_VALUE"""),428.0)</f>
        <v>428</v>
      </c>
    </row>
    <row r="1346">
      <c r="A1346" s="1">
        <v>3205022.0</v>
      </c>
      <c r="B1346" s="1" t="s">
        <v>2923</v>
      </c>
      <c r="C1346" s="1" t="s">
        <v>2070</v>
      </c>
      <c r="D1346" s="1" t="s">
        <v>2214</v>
      </c>
      <c r="E1346" s="1" t="s">
        <v>2924</v>
      </c>
      <c r="F1346" s="1" t="s">
        <v>16</v>
      </c>
      <c r="G1346" s="1" t="s">
        <v>17</v>
      </c>
      <c r="H1346" s="1" t="s">
        <v>28</v>
      </c>
      <c r="I1346" s="1" t="s">
        <v>139</v>
      </c>
      <c r="J1346" s="1">
        <f>IFERROR(__xludf.DUMMYFUNCTION("""COMPUTED_VALUE"""),148.0)</f>
        <v>148</v>
      </c>
      <c r="K1346" s="1">
        <v>21.0</v>
      </c>
      <c r="L1346" s="1">
        <f>IFERROR(__xludf.DUMMYFUNCTION("""COMPUTED_VALUE"""),248.0)</f>
        <v>248</v>
      </c>
    </row>
    <row r="1347">
      <c r="A1347" s="1">
        <v>3212054.0</v>
      </c>
      <c r="B1347" s="1" t="s">
        <v>2925</v>
      </c>
      <c r="C1347" s="1" t="s">
        <v>2070</v>
      </c>
      <c r="D1347" s="1" t="s">
        <v>2189</v>
      </c>
      <c r="E1347" s="1" t="s">
        <v>2926</v>
      </c>
      <c r="F1347" s="1" t="s">
        <v>16</v>
      </c>
      <c r="G1347" s="1" t="s">
        <v>23</v>
      </c>
      <c r="H1347" s="1" t="s">
        <v>18</v>
      </c>
      <c r="I1347" s="1" t="s">
        <v>44</v>
      </c>
      <c r="J1347" s="1">
        <f>IFERROR(__xludf.DUMMYFUNCTION("""COMPUTED_VALUE"""),97.0)</f>
        <v>97</v>
      </c>
      <c r="K1347" s="1">
        <v>23.0</v>
      </c>
      <c r="L1347" s="1">
        <f>IFERROR(__xludf.DUMMYFUNCTION("""COMPUTED_VALUE"""),252.0)</f>
        <v>252</v>
      </c>
    </row>
    <row r="1348">
      <c r="A1348" s="1">
        <v>3273543.0</v>
      </c>
      <c r="B1348" s="1" t="s">
        <v>2927</v>
      </c>
      <c r="C1348" s="1" t="s">
        <v>2070</v>
      </c>
      <c r="D1348" s="1" t="s">
        <v>2088</v>
      </c>
      <c r="E1348" s="1" t="s">
        <v>2928</v>
      </c>
      <c r="F1348" s="1" t="s">
        <v>16</v>
      </c>
      <c r="G1348" s="1" t="s">
        <v>17</v>
      </c>
      <c r="H1348" s="1" t="s">
        <v>18</v>
      </c>
      <c r="I1348" s="1" t="s">
        <v>19</v>
      </c>
      <c r="J1348" s="1">
        <f>IFERROR(__xludf.DUMMYFUNCTION("""COMPUTED_VALUE"""),113.0)</f>
        <v>113</v>
      </c>
      <c r="K1348" s="1">
        <v>48.0</v>
      </c>
      <c r="L1348" s="1">
        <f>IFERROR(__xludf.DUMMYFUNCTION("""COMPUTED_VALUE"""),94.0)</f>
        <v>94</v>
      </c>
    </row>
    <row r="1349">
      <c r="A1349" s="1">
        <v>3313022.0</v>
      </c>
      <c r="B1349" s="1" t="s">
        <v>2929</v>
      </c>
      <c r="C1349" s="1" t="s">
        <v>2930</v>
      </c>
      <c r="D1349" s="1" t="s">
        <v>2931</v>
      </c>
      <c r="E1349" s="1" t="s">
        <v>2932</v>
      </c>
      <c r="F1349" s="1" t="s">
        <v>16</v>
      </c>
      <c r="G1349" s="1" t="s">
        <v>23</v>
      </c>
      <c r="H1349" s="1" t="s">
        <v>18</v>
      </c>
      <c r="I1349" s="1" t="s">
        <v>563</v>
      </c>
      <c r="J1349" s="1">
        <f>IFERROR(__xludf.DUMMYFUNCTION("""COMPUTED_VALUE"""),83.0)</f>
        <v>83</v>
      </c>
      <c r="K1349" s="1">
        <v>26.0</v>
      </c>
      <c r="L1349" s="1">
        <f>IFERROR(__xludf.DUMMYFUNCTION("""COMPUTED_VALUE"""),161.0)</f>
        <v>161</v>
      </c>
    </row>
    <row r="1350">
      <c r="A1350" s="1">
        <v>3319025.0</v>
      </c>
      <c r="B1350" s="1" t="s">
        <v>2933</v>
      </c>
      <c r="C1350" s="1" t="s">
        <v>2930</v>
      </c>
      <c r="D1350" s="1" t="s">
        <v>2934</v>
      </c>
      <c r="E1350" s="1" t="s">
        <v>2935</v>
      </c>
      <c r="F1350" s="1" t="s">
        <v>55</v>
      </c>
      <c r="G1350" s="1" t="s">
        <v>17</v>
      </c>
      <c r="H1350" s="1" t="s">
        <v>18</v>
      </c>
      <c r="I1350" s="1" t="s">
        <v>249</v>
      </c>
      <c r="J1350" s="1">
        <f>IFERROR(__xludf.DUMMYFUNCTION("""COMPUTED_VALUE"""),28.0)</f>
        <v>28</v>
      </c>
      <c r="K1350" s="1">
        <v>17.0</v>
      </c>
      <c r="L1350" s="1">
        <f>IFERROR(__xludf.DUMMYFUNCTION("""COMPUTED_VALUE"""),43.0)</f>
        <v>43</v>
      </c>
    </row>
    <row r="1351">
      <c r="A1351" s="1">
        <v>3302030.0</v>
      </c>
      <c r="B1351" s="1" t="s">
        <v>2936</v>
      </c>
      <c r="C1351" s="1" t="s">
        <v>2930</v>
      </c>
      <c r="D1351" s="1" t="s">
        <v>2937</v>
      </c>
      <c r="E1351" s="1" t="s">
        <v>2938</v>
      </c>
      <c r="F1351" s="1" t="s">
        <v>16</v>
      </c>
      <c r="G1351" s="1" t="s">
        <v>17</v>
      </c>
      <c r="H1351" s="1" t="s">
        <v>33</v>
      </c>
      <c r="I1351" s="1" t="s">
        <v>74</v>
      </c>
      <c r="J1351" s="1">
        <f>IFERROR(__xludf.DUMMYFUNCTION("""COMPUTED_VALUE"""),154.0)</f>
        <v>154</v>
      </c>
      <c r="K1351" s="1">
        <v>88.0</v>
      </c>
      <c r="L1351" s="1">
        <f>IFERROR(__xludf.DUMMYFUNCTION("""COMPUTED_VALUE"""),30.0)</f>
        <v>30</v>
      </c>
    </row>
    <row r="1352">
      <c r="A1352" s="1">
        <v>3371131.0</v>
      </c>
      <c r="B1352" s="1" t="s">
        <v>350</v>
      </c>
      <c r="C1352" s="1" t="s">
        <v>2930</v>
      </c>
      <c r="D1352" s="1" t="s">
        <v>2939</v>
      </c>
      <c r="E1352" s="1" t="s">
        <v>2940</v>
      </c>
      <c r="F1352" s="1" t="s">
        <v>16</v>
      </c>
      <c r="G1352" s="1" t="s">
        <v>17</v>
      </c>
      <c r="H1352" s="1" t="s">
        <v>18</v>
      </c>
      <c r="I1352" s="1" t="s">
        <v>19</v>
      </c>
      <c r="J1352" s="1">
        <f>IFERROR(__xludf.DUMMYFUNCTION("""COMPUTED_VALUE"""),98.0)</f>
        <v>98</v>
      </c>
      <c r="K1352" s="1">
        <v>48.0</v>
      </c>
      <c r="L1352" s="1">
        <f>IFERROR(__xludf.DUMMYFUNCTION("""COMPUTED_VALUE"""),241.0)</f>
        <v>241</v>
      </c>
    </row>
    <row r="1353">
      <c r="A1353" s="1">
        <v>3306105.0</v>
      </c>
      <c r="B1353" s="1" t="s">
        <v>2941</v>
      </c>
      <c r="C1353" s="1" t="s">
        <v>2930</v>
      </c>
      <c r="D1353" s="1" t="s">
        <v>2942</v>
      </c>
      <c r="E1353" s="1" t="s">
        <v>2943</v>
      </c>
      <c r="F1353" s="1" t="s">
        <v>55</v>
      </c>
      <c r="G1353" s="1" t="s">
        <v>17</v>
      </c>
      <c r="H1353" s="1" t="s">
        <v>18</v>
      </c>
      <c r="I1353" s="1" t="s">
        <v>44</v>
      </c>
      <c r="J1353" s="1">
        <f>IFERROR(__xludf.DUMMYFUNCTION("""COMPUTED_VALUE"""),28.0)</f>
        <v>28</v>
      </c>
      <c r="K1353" s="1">
        <v>30.0</v>
      </c>
      <c r="L1353" s="1">
        <f>IFERROR(__xludf.DUMMYFUNCTION("""COMPUTED_VALUE"""),108.0)</f>
        <v>108</v>
      </c>
    </row>
    <row r="1354">
      <c r="A1354" s="1">
        <v>3314108.0</v>
      </c>
      <c r="B1354" s="1" t="s">
        <v>2944</v>
      </c>
      <c r="C1354" s="1" t="s">
        <v>2930</v>
      </c>
      <c r="D1354" s="1" t="s">
        <v>2945</v>
      </c>
      <c r="E1354" s="1" t="s">
        <v>2946</v>
      </c>
      <c r="F1354" s="1" t="s">
        <v>16</v>
      </c>
      <c r="G1354" s="1" t="s">
        <v>23</v>
      </c>
      <c r="H1354" s="1" t="s">
        <v>28</v>
      </c>
      <c r="I1354" s="1" t="s">
        <v>40</v>
      </c>
      <c r="J1354" s="1">
        <f>IFERROR(__xludf.DUMMYFUNCTION("""COMPUTED_VALUE"""),58.0)</f>
        <v>58</v>
      </c>
      <c r="K1354" s="1">
        <v>25.0</v>
      </c>
      <c r="L1354" s="1">
        <f>IFERROR(__xludf.DUMMYFUNCTION("""COMPUTED_VALUE"""),182.0)</f>
        <v>182</v>
      </c>
    </row>
    <row r="1355">
      <c r="A1355" s="1">
        <v>3374392.0</v>
      </c>
      <c r="B1355" s="1" t="s">
        <v>2947</v>
      </c>
      <c r="C1355" s="1" t="s">
        <v>2930</v>
      </c>
      <c r="D1355" s="1" t="s">
        <v>2948</v>
      </c>
      <c r="E1355" s="1" t="s">
        <v>2949</v>
      </c>
      <c r="F1355" s="1" t="s">
        <v>16</v>
      </c>
      <c r="G1355" s="1" t="s">
        <v>23</v>
      </c>
      <c r="H1355" s="1" t="s">
        <v>18</v>
      </c>
      <c r="I1355" s="1" t="s">
        <v>29</v>
      </c>
      <c r="J1355" s="1">
        <f>IFERROR(__xludf.DUMMYFUNCTION("""COMPUTED_VALUE"""),48.0)</f>
        <v>48</v>
      </c>
      <c r="K1355" s="1">
        <v>35.0</v>
      </c>
      <c r="L1355" s="1">
        <f>IFERROR(__xludf.DUMMYFUNCTION("""COMPUTED_VALUE"""),182.0)</f>
        <v>182</v>
      </c>
    </row>
    <row r="1356">
      <c r="A1356" s="1">
        <v>3316062.0</v>
      </c>
      <c r="B1356" s="1" t="s">
        <v>2950</v>
      </c>
      <c r="C1356" s="1" t="s">
        <v>2930</v>
      </c>
      <c r="D1356" s="1" t="s">
        <v>2951</v>
      </c>
      <c r="E1356" s="1" t="s">
        <v>2952</v>
      </c>
      <c r="F1356" s="1" t="s">
        <v>16</v>
      </c>
      <c r="G1356" s="1" t="s">
        <v>23</v>
      </c>
      <c r="H1356" s="1" t="s">
        <v>18</v>
      </c>
      <c r="I1356" s="1" t="s">
        <v>74</v>
      </c>
      <c r="J1356" s="1">
        <f>IFERROR(__xludf.DUMMYFUNCTION("""COMPUTED_VALUE"""),81.0)</f>
        <v>81</v>
      </c>
      <c r="K1356" s="1">
        <v>17.0</v>
      </c>
      <c r="L1356" s="1">
        <f>IFERROR(__xludf.DUMMYFUNCTION("""COMPUTED_VALUE"""),108.0)</f>
        <v>108</v>
      </c>
    </row>
    <row r="1357">
      <c r="A1357" s="1">
        <v>3313042.0</v>
      </c>
      <c r="B1357" s="1" t="s">
        <v>2953</v>
      </c>
      <c r="C1357" s="1" t="s">
        <v>2930</v>
      </c>
      <c r="D1357" s="1" t="s">
        <v>2931</v>
      </c>
      <c r="E1357" s="1" t="s">
        <v>2954</v>
      </c>
      <c r="F1357" s="1" t="s">
        <v>55</v>
      </c>
      <c r="G1357" s="1" t="s">
        <v>17</v>
      </c>
      <c r="H1357" s="1" t="s">
        <v>18</v>
      </c>
      <c r="I1357" s="1" t="s">
        <v>19</v>
      </c>
      <c r="J1357" s="1">
        <f>IFERROR(__xludf.DUMMYFUNCTION("""COMPUTED_VALUE"""),39.0)</f>
        <v>39</v>
      </c>
      <c r="K1357" s="1">
        <v>14.0</v>
      </c>
      <c r="L1357" s="1">
        <f>IFERROR(__xludf.DUMMYFUNCTION("""COMPUTED_VALUE"""),80.0)</f>
        <v>80</v>
      </c>
    </row>
    <row r="1358">
      <c r="A1358" s="1">
        <v>3319043.0</v>
      </c>
      <c r="B1358" s="1" t="s">
        <v>2955</v>
      </c>
      <c r="C1358" s="1" t="s">
        <v>2930</v>
      </c>
      <c r="D1358" s="1" t="s">
        <v>2934</v>
      </c>
      <c r="E1358" s="1" t="s">
        <v>2956</v>
      </c>
      <c r="F1358" s="1" t="s">
        <v>16</v>
      </c>
      <c r="G1358" s="1" t="s">
        <v>23</v>
      </c>
      <c r="H1358" s="1" t="s">
        <v>18</v>
      </c>
      <c r="I1358" s="1" t="s">
        <v>684</v>
      </c>
      <c r="J1358" s="1">
        <f>IFERROR(__xludf.DUMMYFUNCTION("""COMPUTED_VALUE"""),102.0)</f>
        <v>102</v>
      </c>
      <c r="K1358" s="1">
        <v>37.0</v>
      </c>
      <c r="L1358" s="1">
        <f>IFERROR(__xludf.DUMMYFUNCTION("""COMPUTED_VALUE"""),180.0)</f>
        <v>180</v>
      </c>
    </row>
    <row r="1359">
      <c r="A1359" s="1">
        <v>3305033.0</v>
      </c>
      <c r="B1359" s="1" t="s">
        <v>2957</v>
      </c>
      <c r="C1359" s="1" t="s">
        <v>2930</v>
      </c>
      <c r="D1359" s="1" t="s">
        <v>2958</v>
      </c>
      <c r="E1359" s="1" t="s">
        <v>2959</v>
      </c>
      <c r="F1359" s="1" t="s">
        <v>16</v>
      </c>
      <c r="G1359" s="1" t="s">
        <v>17</v>
      </c>
      <c r="H1359" s="1" t="s">
        <v>18</v>
      </c>
      <c r="I1359" s="1" t="s">
        <v>59</v>
      </c>
      <c r="J1359" s="1">
        <f>IFERROR(__xludf.DUMMYFUNCTION("""COMPUTED_VALUE"""),119.0)</f>
        <v>119</v>
      </c>
      <c r="K1359" s="1">
        <v>36.0</v>
      </c>
      <c r="L1359" s="1">
        <f>IFERROR(__xludf.DUMMYFUNCTION("""COMPUTED_VALUE"""),264.0)</f>
        <v>264</v>
      </c>
    </row>
    <row r="1360">
      <c r="A1360" s="1">
        <v>3373042.0</v>
      </c>
      <c r="B1360" s="1" t="s">
        <v>2960</v>
      </c>
      <c r="C1360" s="1" t="s">
        <v>2930</v>
      </c>
      <c r="D1360" s="1" t="s">
        <v>2961</v>
      </c>
      <c r="E1360" s="1" t="s">
        <v>2962</v>
      </c>
      <c r="F1360" s="1" t="s">
        <v>473</v>
      </c>
      <c r="G1360" s="1" t="s">
        <v>150</v>
      </c>
      <c r="H1360" s="1" t="s">
        <v>33</v>
      </c>
      <c r="I1360" s="1" t="s">
        <v>411</v>
      </c>
      <c r="J1360" s="1">
        <f>IFERROR(__xludf.DUMMYFUNCTION("""COMPUTED_VALUE"""),221.0)</f>
        <v>221</v>
      </c>
      <c r="K1360" s="1">
        <v>52.0</v>
      </c>
      <c r="L1360" s="1">
        <f>IFERROR(__xludf.DUMMYFUNCTION("""COMPUTED_VALUE"""),495.0)</f>
        <v>495</v>
      </c>
    </row>
    <row r="1361">
      <c r="A1361" s="1">
        <v>3321033.0</v>
      </c>
      <c r="B1361" s="1" t="s">
        <v>2963</v>
      </c>
      <c r="C1361" s="1" t="s">
        <v>2930</v>
      </c>
      <c r="D1361" s="1" t="s">
        <v>2964</v>
      </c>
      <c r="E1361" s="1" t="s">
        <v>2965</v>
      </c>
      <c r="F1361" s="1" t="s">
        <v>16</v>
      </c>
      <c r="G1361" s="1" t="s">
        <v>17</v>
      </c>
      <c r="H1361" s="1" t="s">
        <v>18</v>
      </c>
      <c r="I1361" s="1" t="s">
        <v>684</v>
      </c>
      <c r="J1361" s="1">
        <f>IFERROR(__xludf.DUMMYFUNCTION("""COMPUTED_VALUE"""),116.0)</f>
        <v>116</v>
      </c>
      <c r="K1361" s="1">
        <v>29.0</v>
      </c>
      <c r="L1361" s="1">
        <f>IFERROR(__xludf.DUMMYFUNCTION("""COMPUTED_VALUE"""),207.0)</f>
        <v>207</v>
      </c>
    </row>
    <row r="1362">
      <c r="A1362" s="1">
        <v>3372236.0</v>
      </c>
      <c r="B1362" s="1" t="s">
        <v>2966</v>
      </c>
      <c r="C1362" s="1" t="s">
        <v>2930</v>
      </c>
      <c r="D1362" s="1" t="s">
        <v>2967</v>
      </c>
      <c r="E1362" s="1" t="s">
        <v>2968</v>
      </c>
      <c r="F1362" s="1" t="s">
        <v>16</v>
      </c>
      <c r="G1362" s="1" t="s">
        <v>17</v>
      </c>
      <c r="H1362" s="1" t="s">
        <v>18</v>
      </c>
      <c r="I1362" s="1" t="s">
        <v>19</v>
      </c>
      <c r="J1362" s="1">
        <f>IFERROR(__xludf.DUMMYFUNCTION("""COMPUTED_VALUE"""),149.0)</f>
        <v>149</v>
      </c>
      <c r="K1362" s="1">
        <v>28.0</v>
      </c>
      <c r="L1362" s="1">
        <f>IFERROR(__xludf.DUMMYFUNCTION("""COMPUTED_VALUE"""),197.0)</f>
        <v>197</v>
      </c>
    </row>
    <row r="1363">
      <c r="A1363" s="1">
        <v>3324040.0</v>
      </c>
      <c r="B1363" s="1" t="s">
        <v>2969</v>
      </c>
      <c r="C1363" s="1" t="s">
        <v>2930</v>
      </c>
      <c r="D1363" s="1" t="s">
        <v>2970</v>
      </c>
      <c r="E1363" s="1" t="s">
        <v>2971</v>
      </c>
      <c r="F1363" s="1" t="s">
        <v>16</v>
      </c>
      <c r="G1363" s="1" t="s">
        <v>17</v>
      </c>
      <c r="H1363" s="1" t="s">
        <v>18</v>
      </c>
      <c r="I1363" s="1" t="s">
        <v>44</v>
      </c>
      <c r="J1363" s="1">
        <f>IFERROR(__xludf.DUMMYFUNCTION("""COMPUTED_VALUE"""),100.0)</f>
        <v>100</v>
      </c>
      <c r="K1363" s="1">
        <v>25.0</v>
      </c>
      <c r="L1363" s="1">
        <f>IFERROR(__xludf.DUMMYFUNCTION("""COMPUTED_VALUE"""),103.0)</f>
        <v>103</v>
      </c>
    </row>
    <row r="1364">
      <c r="A1364" s="1">
        <v>3309096.0</v>
      </c>
      <c r="B1364" s="1" t="s">
        <v>2972</v>
      </c>
      <c r="C1364" s="1" t="s">
        <v>2930</v>
      </c>
      <c r="D1364" s="1" t="s">
        <v>2973</v>
      </c>
      <c r="E1364" s="1" t="s">
        <v>2974</v>
      </c>
      <c r="F1364" s="1" t="s">
        <v>16</v>
      </c>
      <c r="G1364" s="1" t="s">
        <v>17</v>
      </c>
      <c r="H1364" s="1" t="s">
        <v>28</v>
      </c>
      <c r="I1364" s="1" t="s">
        <v>40</v>
      </c>
      <c r="J1364" s="1">
        <f>IFERROR(__xludf.DUMMYFUNCTION("""COMPUTED_VALUE"""),104.0)</f>
        <v>104</v>
      </c>
      <c r="K1364" s="1">
        <v>66.0</v>
      </c>
      <c r="L1364" s="1">
        <f>IFERROR(__xludf.DUMMYFUNCTION("""COMPUTED_VALUE"""),257.0)</f>
        <v>257</v>
      </c>
    </row>
    <row r="1365">
      <c r="A1365" s="1">
        <v>3374273.0</v>
      </c>
      <c r="B1365" s="1" t="s">
        <v>2975</v>
      </c>
      <c r="C1365" s="1" t="s">
        <v>2930</v>
      </c>
      <c r="D1365" s="1" t="s">
        <v>2948</v>
      </c>
      <c r="E1365" s="1" t="s">
        <v>2976</v>
      </c>
      <c r="F1365" s="1" t="s">
        <v>55</v>
      </c>
      <c r="G1365" s="1" t="s">
        <v>17</v>
      </c>
      <c r="H1365" s="1" t="s">
        <v>18</v>
      </c>
      <c r="I1365" s="1" t="s">
        <v>19</v>
      </c>
      <c r="J1365" s="1">
        <f>IFERROR(__xludf.DUMMYFUNCTION("""COMPUTED_VALUE"""),28.0)</f>
        <v>28</v>
      </c>
      <c r="K1365" s="1">
        <v>19.0</v>
      </c>
      <c r="L1365" s="1">
        <f>IFERROR(__xludf.DUMMYFUNCTION("""COMPUTED_VALUE"""),33.0)</f>
        <v>33</v>
      </c>
    </row>
    <row r="1366">
      <c r="A1366" s="1">
        <v>3325037.0</v>
      </c>
      <c r="B1366" s="1" t="s">
        <v>2977</v>
      </c>
      <c r="C1366" s="1" t="s">
        <v>2930</v>
      </c>
      <c r="D1366" s="1" t="s">
        <v>2978</v>
      </c>
      <c r="E1366" s="1" t="s">
        <v>2979</v>
      </c>
      <c r="F1366" s="1" t="s">
        <v>16</v>
      </c>
      <c r="G1366" s="1" t="s">
        <v>17</v>
      </c>
      <c r="H1366" s="1" t="s">
        <v>18</v>
      </c>
      <c r="I1366" s="1" t="s">
        <v>19</v>
      </c>
      <c r="J1366" s="1">
        <f>IFERROR(__xludf.DUMMYFUNCTION("""COMPUTED_VALUE"""),192.0)</f>
        <v>192</v>
      </c>
      <c r="K1366" s="1">
        <v>49.0</v>
      </c>
      <c r="L1366" s="1">
        <f>IFERROR(__xludf.DUMMYFUNCTION("""COMPUTED_VALUE"""),484.0)</f>
        <v>484</v>
      </c>
    </row>
    <row r="1367">
      <c r="A1367" s="1">
        <v>3306109.0</v>
      </c>
      <c r="B1367" s="1" t="s">
        <v>2980</v>
      </c>
      <c r="C1367" s="1" t="s">
        <v>2930</v>
      </c>
      <c r="D1367" s="1" t="s">
        <v>2942</v>
      </c>
      <c r="E1367" s="1" t="s">
        <v>2981</v>
      </c>
      <c r="F1367" s="1" t="s">
        <v>16</v>
      </c>
      <c r="G1367" s="1" t="s">
        <v>23</v>
      </c>
      <c r="H1367" s="1" t="s">
        <v>18</v>
      </c>
      <c r="I1367" s="1" t="s">
        <v>684</v>
      </c>
      <c r="J1367" s="1">
        <f>IFERROR(__xludf.DUMMYFUNCTION("""COMPUTED_VALUE"""),70.0)</f>
        <v>70</v>
      </c>
      <c r="K1367" s="1">
        <v>31.0</v>
      </c>
      <c r="L1367" s="1">
        <f>IFERROR(__xludf.DUMMYFUNCTION("""COMPUTED_VALUE"""),41.0)</f>
        <v>41</v>
      </c>
    </row>
    <row r="1368">
      <c r="A1368" s="1">
        <v>3307062.0</v>
      </c>
      <c r="B1368" s="1" t="s">
        <v>2982</v>
      </c>
      <c r="C1368" s="1" t="s">
        <v>2930</v>
      </c>
      <c r="D1368" s="1" t="s">
        <v>2983</v>
      </c>
      <c r="E1368" s="1" t="s">
        <v>2984</v>
      </c>
      <c r="F1368" s="1" t="s">
        <v>16</v>
      </c>
      <c r="G1368" s="1" t="s">
        <v>23</v>
      </c>
      <c r="H1368" s="1" t="s">
        <v>18</v>
      </c>
      <c r="I1368" s="1" t="s">
        <v>44</v>
      </c>
      <c r="J1368" s="1">
        <f>IFERROR(__xludf.DUMMYFUNCTION("""COMPUTED_VALUE"""),63.0)</f>
        <v>63</v>
      </c>
      <c r="K1368" s="1">
        <v>22.0</v>
      </c>
      <c r="L1368" s="1">
        <f>IFERROR(__xludf.DUMMYFUNCTION("""COMPUTED_VALUE"""),182.0)</f>
        <v>182</v>
      </c>
    </row>
    <row r="1369">
      <c r="A1369" s="1">
        <v>3326049.0</v>
      </c>
      <c r="B1369" s="1" t="s">
        <v>2985</v>
      </c>
      <c r="C1369" s="1" t="s">
        <v>2930</v>
      </c>
      <c r="D1369" s="1" t="s">
        <v>2986</v>
      </c>
      <c r="E1369" s="1" t="s">
        <v>2987</v>
      </c>
      <c r="F1369" s="1" t="s">
        <v>16</v>
      </c>
      <c r="G1369" s="1" t="s">
        <v>17</v>
      </c>
      <c r="H1369" s="1" t="s">
        <v>28</v>
      </c>
      <c r="I1369" s="1" t="s">
        <v>29</v>
      </c>
      <c r="J1369" s="1">
        <f>IFERROR(__xludf.DUMMYFUNCTION("""COMPUTED_VALUE"""),180.0)</f>
        <v>180</v>
      </c>
      <c r="K1369" s="1">
        <v>89.0</v>
      </c>
      <c r="L1369" s="1">
        <f>IFERROR(__xludf.DUMMYFUNCTION("""COMPUTED_VALUE"""),550.0)</f>
        <v>550</v>
      </c>
    </row>
    <row r="1370">
      <c r="A1370" s="1">
        <v>3310416.0</v>
      </c>
      <c r="B1370" s="1" t="s">
        <v>2988</v>
      </c>
      <c r="C1370" s="1" t="s">
        <v>2930</v>
      </c>
      <c r="D1370" s="1" t="s">
        <v>2989</v>
      </c>
      <c r="E1370" s="1" t="s">
        <v>2990</v>
      </c>
      <c r="F1370" s="1" t="s">
        <v>16</v>
      </c>
      <c r="G1370" s="1" t="s">
        <v>17</v>
      </c>
      <c r="H1370" s="1" t="s">
        <v>18</v>
      </c>
      <c r="I1370" s="1" t="s">
        <v>684</v>
      </c>
      <c r="J1370" s="1">
        <f>IFERROR(__xludf.DUMMYFUNCTION("""COMPUTED_VALUE"""),182.0)</f>
        <v>182</v>
      </c>
      <c r="K1370" s="1">
        <v>50.0</v>
      </c>
      <c r="L1370" s="1">
        <f>IFERROR(__xludf.DUMMYFUNCTION("""COMPUTED_VALUE"""),279.0)</f>
        <v>279</v>
      </c>
    </row>
    <row r="1371">
      <c r="A1371" s="1">
        <v>3374373.0</v>
      </c>
      <c r="B1371" s="1" t="s">
        <v>2991</v>
      </c>
      <c r="C1371" s="1" t="s">
        <v>2930</v>
      </c>
      <c r="D1371" s="1" t="s">
        <v>2948</v>
      </c>
      <c r="E1371" s="1" t="s">
        <v>2992</v>
      </c>
      <c r="F1371" s="1" t="s">
        <v>32</v>
      </c>
      <c r="G1371" s="1" t="s">
        <v>17</v>
      </c>
      <c r="H1371" s="1" t="s">
        <v>18</v>
      </c>
      <c r="I1371" s="1" t="s">
        <v>19</v>
      </c>
      <c r="J1371" s="1">
        <f>IFERROR(__xludf.DUMMYFUNCTION("""COMPUTED_VALUE"""),11.0)</f>
        <v>11</v>
      </c>
      <c r="K1371" s="1">
        <v>16.0</v>
      </c>
      <c r="L1371" s="1">
        <f>IFERROR(__xludf.DUMMYFUNCTION("""COMPUTED_VALUE"""),23.0)</f>
        <v>23</v>
      </c>
    </row>
    <row r="1372">
      <c r="A1372" s="1">
        <v>3316077.0</v>
      </c>
      <c r="B1372" s="1" t="s">
        <v>2993</v>
      </c>
      <c r="C1372" s="1" t="s">
        <v>2930</v>
      </c>
      <c r="D1372" s="1" t="s">
        <v>2951</v>
      </c>
      <c r="E1372" s="1" t="s">
        <v>2994</v>
      </c>
      <c r="F1372" s="1" t="s">
        <v>16</v>
      </c>
      <c r="G1372" s="1" t="s">
        <v>23</v>
      </c>
      <c r="H1372" s="1" t="s">
        <v>18</v>
      </c>
      <c r="I1372" s="1" t="s">
        <v>65</v>
      </c>
      <c r="J1372" s="1">
        <f>IFERROR(__xludf.DUMMYFUNCTION("""COMPUTED_VALUE"""),48.0)</f>
        <v>48</v>
      </c>
      <c r="K1372" s="1">
        <v>16.0</v>
      </c>
      <c r="L1372" s="1">
        <f>IFERROR(__xludf.DUMMYFUNCTION("""COMPUTED_VALUE"""),182.0)</f>
        <v>182</v>
      </c>
    </row>
    <row r="1373">
      <c r="A1373" s="1">
        <v>3301036.0</v>
      </c>
      <c r="B1373" s="1" t="s">
        <v>2995</v>
      </c>
      <c r="C1373" s="1" t="s">
        <v>2930</v>
      </c>
      <c r="D1373" s="1" t="s">
        <v>2996</v>
      </c>
      <c r="E1373" s="1" t="s">
        <v>2997</v>
      </c>
      <c r="F1373" s="1" t="s">
        <v>16</v>
      </c>
      <c r="G1373" s="1" t="s">
        <v>23</v>
      </c>
      <c r="H1373" s="1" t="s">
        <v>18</v>
      </c>
      <c r="I1373" s="1" t="s">
        <v>113</v>
      </c>
      <c r="J1373" s="1">
        <f>IFERROR(__xludf.DUMMYFUNCTION("""COMPUTED_VALUE"""),80.0)</f>
        <v>80</v>
      </c>
      <c r="K1373" s="1">
        <v>31.0</v>
      </c>
      <c r="L1373" s="1">
        <f>IFERROR(__xludf.DUMMYFUNCTION("""COMPUTED_VALUE"""),50.0)</f>
        <v>50</v>
      </c>
    </row>
    <row r="1374">
      <c r="A1374" s="1">
        <v>3329067.0</v>
      </c>
      <c r="B1374" s="1" t="s">
        <v>2998</v>
      </c>
      <c r="C1374" s="1" t="s">
        <v>2930</v>
      </c>
      <c r="D1374" s="1" t="s">
        <v>2999</v>
      </c>
      <c r="E1374" s="1" t="s">
        <v>3000</v>
      </c>
      <c r="F1374" s="1" t="s">
        <v>16</v>
      </c>
      <c r="G1374" s="1" t="s">
        <v>23</v>
      </c>
      <c r="H1374" s="1" t="s">
        <v>18</v>
      </c>
      <c r="I1374" s="1" t="s">
        <v>19</v>
      </c>
      <c r="J1374" s="1">
        <f>IFERROR(__xludf.DUMMYFUNCTION("""COMPUTED_VALUE"""),70.0)</f>
        <v>70</v>
      </c>
      <c r="K1374" s="1">
        <v>100.0</v>
      </c>
      <c r="L1374" s="1">
        <f>IFERROR(__xludf.DUMMYFUNCTION("""COMPUTED_VALUE"""),131.0)</f>
        <v>131</v>
      </c>
    </row>
    <row r="1375">
      <c r="A1375" s="1">
        <v>3306108.0</v>
      </c>
      <c r="B1375" s="1" t="s">
        <v>3001</v>
      </c>
      <c r="C1375" s="1" t="s">
        <v>2930</v>
      </c>
      <c r="D1375" s="1" t="s">
        <v>2942</v>
      </c>
      <c r="E1375" s="1" t="s">
        <v>3002</v>
      </c>
      <c r="F1375" s="1" t="s">
        <v>16</v>
      </c>
      <c r="G1375" s="1" t="s">
        <v>23</v>
      </c>
      <c r="H1375" s="1" t="s">
        <v>18</v>
      </c>
      <c r="I1375" s="1" t="s">
        <v>59</v>
      </c>
      <c r="J1375" s="1">
        <f>IFERROR(__xludf.DUMMYFUNCTION("""COMPUTED_VALUE"""),48.0)</f>
        <v>48</v>
      </c>
      <c r="K1375" s="1">
        <v>27.0</v>
      </c>
      <c r="L1375" s="1">
        <f>IFERROR(__xludf.DUMMYFUNCTION("""COMPUTED_VALUE"""),61.0)</f>
        <v>61</v>
      </c>
    </row>
    <row r="1376">
      <c r="A1376" s="1">
        <v>3302229.0</v>
      </c>
      <c r="B1376" s="1" t="s">
        <v>3003</v>
      </c>
      <c r="C1376" s="1" t="s">
        <v>2930</v>
      </c>
      <c r="D1376" s="1" t="s">
        <v>2937</v>
      </c>
      <c r="E1376" s="1" t="s">
        <v>3004</v>
      </c>
      <c r="F1376" s="1" t="s">
        <v>16</v>
      </c>
      <c r="G1376" s="1" t="s">
        <v>17</v>
      </c>
      <c r="H1376" s="1" t="s">
        <v>18</v>
      </c>
      <c r="I1376" s="1" t="s">
        <v>19</v>
      </c>
      <c r="J1376" s="1">
        <f>IFERROR(__xludf.DUMMYFUNCTION("""COMPUTED_VALUE"""),115.0)</f>
        <v>115</v>
      </c>
      <c r="K1376" s="1">
        <v>65.0</v>
      </c>
      <c r="L1376" s="1">
        <f>IFERROR(__xludf.DUMMYFUNCTION("""COMPUTED_VALUE"""),319.0)</f>
        <v>319</v>
      </c>
    </row>
    <row r="1377">
      <c r="A1377" s="1">
        <v>3315035.0</v>
      </c>
      <c r="B1377" s="1" t="s">
        <v>2380</v>
      </c>
      <c r="C1377" s="1" t="s">
        <v>2930</v>
      </c>
      <c r="D1377" s="1" t="s">
        <v>3005</v>
      </c>
      <c r="E1377" s="1" t="s">
        <v>3006</v>
      </c>
      <c r="F1377" s="1" t="s">
        <v>16</v>
      </c>
      <c r="G1377" s="1" t="s">
        <v>17</v>
      </c>
      <c r="H1377" s="1" t="s">
        <v>18</v>
      </c>
      <c r="I1377" s="1" t="s">
        <v>44</v>
      </c>
      <c r="J1377" s="1">
        <f>IFERROR(__xludf.DUMMYFUNCTION("""COMPUTED_VALUE"""),123.0)</f>
        <v>123</v>
      </c>
      <c r="K1377" s="1">
        <v>26.0</v>
      </c>
      <c r="L1377" s="1">
        <f>IFERROR(__xludf.DUMMYFUNCTION("""COMPUTED_VALUE"""),414.0)</f>
        <v>414</v>
      </c>
    </row>
    <row r="1378">
      <c r="A1378" s="1">
        <v>3302224.0</v>
      </c>
      <c r="B1378" s="1" t="s">
        <v>3007</v>
      </c>
      <c r="C1378" s="1" t="s">
        <v>2930</v>
      </c>
      <c r="D1378" s="1" t="s">
        <v>2937</v>
      </c>
      <c r="E1378" s="1" t="s">
        <v>3008</v>
      </c>
      <c r="F1378" s="1" t="s">
        <v>16</v>
      </c>
      <c r="G1378" s="1" t="s">
        <v>17</v>
      </c>
      <c r="H1378" s="1" t="s">
        <v>18</v>
      </c>
      <c r="I1378" s="1" t="s">
        <v>59</v>
      </c>
      <c r="J1378" s="1">
        <f>IFERROR(__xludf.DUMMYFUNCTION("""COMPUTED_VALUE"""),199.0)</f>
        <v>199</v>
      </c>
      <c r="K1378" s="1">
        <v>77.0</v>
      </c>
      <c r="L1378" s="1">
        <f>IFERROR(__xludf.DUMMYFUNCTION("""COMPUTED_VALUE"""),140.0)</f>
        <v>140</v>
      </c>
    </row>
    <row r="1379">
      <c r="A1379" s="1">
        <v>3372096.0</v>
      </c>
      <c r="B1379" s="1" t="s">
        <v>3009</v>
      </c>
      <c r="C1379" s="1" t="s">
        <v>2930</v>
      </c>
      <c r="D1379" s="1" t="s">
        <v>2967</v>
      </c>
      <c r="E1379" s="1" t="s">
        <v>3010</v>
      </c>
      <c r="F1379" s="1" t="s">
        <v>16</v>
      </c>
      <c r="G1379" s="1" t="s">
        <v>27</v>
      </c>
      <c r="H1379" s="1" t="s">
        <v>18</v>
      </c>
      <c r="I1379" s="1" t="s">
        <v>684</v>
      </c>
      <c r="J1379" s="1">
        <f>IFERROR(__xludf.DUMMYFUNCTION("""COMPUTED_VALUE"""),297.0)</f>
        <v>297</v>
      </c>
      <c r="K1379" s="1">
        <v>93.0</v>
      </c>
      <c r="L1379" s="1">
        <f>IFERROR(__xludf.DUMMYFUNCTION("""COMPUTED_VALUE"""),779.0)</f>
        <v>779</v>
      </c>
    </row>
    <row r="1380">
      <c r="A1380" s="1">
        <v>3305023.0</v>
      </c>
      <c r="B1380" s="1" t="s">
        <v>3011</v>
      </c>
      <c r="C1380" s="1" t="s">
        <v>2930</v>
      </c>
      <c r="D1380" s="1" t="s">
        <v>2958</v>
      </c>
      <c r="E1380" s="1" t="s">
        <v>3012</v>
      </c>
      <c r="F1380" s="1" t="s">
        <v>16</v>
      </c>
      <c r="G1380" s="1" t="s">
        <v>17</v>
      </c>
      <c r="H1380" s="1" t="s">
        <v>18</v>
      </c>
      <c r="I1380" s="1" t="s">
        <v>19</v>
      </c>
      <c r="J1380" s="1">
        <f>IFERROR(__xludf.DUMMYFUNCTION("""COMPUTED_VALUE"""),158.0)</f>
        <v>158</v>
      </c>
      <c r="K1380" s="1">
        <v>34.0</v>
      </c>
      <c r="L1380" s="1">
        <f>IFERROR(__xludf.DUMMYFUNCTION("""COMPUTED_VALUE"""),309.0)</f>
        <v>309</v>
      </c>
    </row>
    <row r="1381">
      <c r="A1381" s="1">
        <v>3311231.0</v>
      </c>
      <c r="B1381" s="1" t="s">
        <v>3013</v>
      </c>
      <c r="C1381" s="1" t="s">
        <v>2930</v>
      </c>
      <c r="D1381" s="1" t="s">
        <v>3014</v>
      </c>
      <c r="E1381" s="1" t="s">
        <v>3015</v>
      </c>
      <c r="F1381" s="1" t="s">
        <v>16</v>
      </c>
      <c r="G1381" s="1" t="s">
        <v>17</v>
      </c>
      <c r="H1381" s="1" t="s">
        <v>18</v>
      </c>
      <c r="I1381" s="1" t="s">
        <v>684</v>
      </c>
      <c r="J1381" s="1">
        <f>IFERROR(__xludf.DUMMYFUNCTION("""COMPUTED_VALUE"""),8.0)</f>
        <v>8</v>
      </c>
      <c r="K1381" s="1">
        <v>84.0</v>
      </c>
      <c r="L1381" s="1">
        <f>IFERROR(__xludf.DUMMYFUNCTION("""COMPUTED_VALUE"""),182.0)</f>
        <v>182</v>
      </c>
    </row>
    <row r="1382">
      <c r="A1382" s="1">
        <v>3319091.0</v>
      </c>
      <c r="B1382" s="1" t="s">
        <v>3016</v>
      </c>
      <c r="C1382" s="1" t="s">
        <v>2930</v>
      </c>
      <c r="D1382" s="1" t="s">
        <v>2934</v>
      </c>
      <c r="E1382" s="1" t="s">
        <v>3017</v>
      </c>
      <c r="F1382" s="1" t="s">
        <v>55</v>
      </c>
      <c r="G1382" s="1" t="s">
        <v>17</v>
      </c>
      <c r="H1382" s="1" t="s">
        <v>18</v>
      </c>
      <c r="I1382" s="1" t="s">
        <v>59</v>
      </c>
      <c r="J1382" s="1">
        <f>IFERROR(__xludf.DUMMYFUNCTION("""COMPUTED_VALUE"""),25.0)</f>
        <v>25</v>
      </c>
      <c r="K1382" s="1">
        <v>16.0</v>
      </c>
      <c r="L1382" s="1">
        <f>IFERROR(__xludf.DUMMYFUNCTION("""COMPUTED_VALUE"""),66.0)</f>
        <v>66</v>
      </c>
    </row>
    <row r="1383">
      <c r="A1383" s="1">
        <v>3307035.0</v>
      </c>
      <c r="B1383" s="1" t="s">
        <v>3018</v>
      </c>
      <c r="C1383" s="1" t="s">
        <v>2930</v>
      </c>
      <c r="D1383" s="1" t="s">
        <v>2983</v>
      </c>
      <c r="E1383" s="1" t="s">
        <v>3019</v>
      </c>
      <c r="F1383" s="1" t="s">
        <v>55</v>
      </c>
      <c r="G1383" s="1" t="s">
        <v>17</v>
      </c>
      <c r="H1383" s="1" t="s">
        <v>18</v>
      </c>
      <c r="I1383" s="1" t="s">
        <v>59</v>
      </c>
      <c r="J1383" s="1">
        <f>IFERROR(__xludf.DUMMYFUNCTION("""COMPUTED_VALUE"""),44.0)</f>
        <v>44</v>
      </c>
      <c r="K1383" s="1">
        <v>19.0</v>
      </c>
      <c r="L1383" s="1">
        <f>IFERROR(__xludf.DUMMYFUNCTION("""COMPUTED_VALUE"""),52.0)</f>
        <v>52</v>
      </c>
    </row>
    <row r="1384">
      <c r="A1384" s="1">
        <v>3374080.0</v>
      </c>
      <c r="B1384" s="1" t="s">
        <v>3020</v>
      </c>
      <c r="C1384" s="1" t="s">
        <v>2930</v>
      </c>
      <c r="D1384" s="1" t="s">
        <v>2948</v>
      </c>
      <c r="E1384" s="1" t="s">
        <v>3021</v>
      </c>
      <c r="F1384" s="1" t="s">
        <v>16</v>
      </c>
      <c r="G1384" s="1" t="s">
        <v>17</v>
      </c>
      <c r="H1384" s="1" t="s">
        <v>18</v>
      </c>
      <c r="I1384" s="1" t="s">
        <v>684</v>
      </c>
      <c r="J1384" s="1">
        <f>IFERROR(__xludf.DUMMYFUNCTION("""COMPUTED_VALUE"""),219.0)</f>
        <v>219</v>
      </c>
      <c r="K1384" s="1">
        <v>120.0</v>
      </c>
      <c r="L1384" s="1">
        <f>IFERROR(__xludf.DUMMYFUNCTION("""COMPUTED_VALUE"""),769.0)</f>
        <v>769</v>
      </c>
    </row>
    <row r="1385">
      <c r="A1385" s="1">
        <v>3374369.0</v>
      </c>
      <c r="B1385" s="1" t="s">
        <v>3022</v>
      </c>
      <c r="C1385" s="1" t="s">
        <v>2930</v>
      </c>
      <c r="D1385" s="1" t="s">
        <v>2948</v>
      </c>
      <c r="E1385" s="1" t="s">
        <v>3023</v>
      </c>
      <c r="F1385" s="1" t="s">
        <v>55</v>
      </c>
      <c r="G1385" s="1" t="s">
        <v>17</v>
      </c>
      <c r="H1385" s="1" t="s">
        <v>18</v>
      </c>
      <c r="I1385" s="1" t="s">
        <v>44</v>
      </c>
      <c r="J1385" s="1">
        <f>IFERROR(__xludf.DUMMYFUNCTION("""COMPUTED_VALUE"""),29.0)</f>
        <v>29</v>
      </c>
      <c r="K1385" s="1">
        <v>12.0</v>
      </c>
      <c r="L1385" s="1">
        <f>IFERROR(__xludf.DUMMYFUNCTION("""COMPUTED_VALUE"""),22.0)</f>
        <v>22</v>
      </c>
    </row>
    <row r="1386">
      <c r="A1386" s="1">
        <v>3324036.0</v>
      </c>
      <c r="B1386" s="1" t="s">
        <v>3024</v>
      </c>
      <c r="C1386" s="1" t="s">
        <v>2930</v>
      </c>
      <c r="D1386" s="1" t="s">
        <v>2970</v>
      </c>
      <c r="E1386" s="1" t="s">
        <v>3025</v>
      </c>
      <c r="F1386" s="1" t="s">
        <v>16</v>
      </c>
      <c r="G1386" s="1" t="s">
        <v>17</v>
      </c>
      <c r="H1386" s="1" t="s">
        <v>18</v>
      </c>
      <c r="I1386" s="1" t="s">
        <v>684</v>
      </c>
      <c r="J1386" s="1">
        <f>IFERROR(__xludf.DUMMYFUNCTION("""COMPUTED_VALUE"""),287.0)</f>
        <v>287</v>
      </c>
      <c r="K1386" s="1">
        <v>52.0</v>
      </c>
      <c r="L1386" s="1">
        <f>IFERROR(__xludf.DUMMYFUNCTION("""COMPUTED_VALUE"""),293.0)</f>
        <v>293</v>
      </c>
    </row>
    <row r="1387">
      <c r="A1387" s="1">
        <v>3315059.0</v>
      </c>
      <c r="B1387" s="1" t="s">
        <v>3026</v>
      </c>
      <c r="C1387" s="1" t="s">
        <v>2930</v>
      </c>
      <c r="D1387" s="1" t="s">
        <v>3005</v>
      </c>
      <c r="E1387" s="1" t="s">
        <v>3027</v>
      </c>
      <c r="F1387" s="1" t="s">
        <v>16</v>
      </c>
      <c r="G1387" s="1" t="s">
        <v>23</v>
      </c>
      <c r="H1387" s="1" t="s">
        <v>18</v>
      </c>
      <c r="I1387" s="1" t="s">
        <v>684</v>
      </c>
      <c r="J1387" s="1">
        <f>IFERROR(__xludf.DUMMYFUNCTION("""COMPUTED_VALUE"""),95.0)</f>
        <v>95</v>
      </c>
      <c r="K1387" s="1">
        <v>16.0</v>
      </c>
      <c r="L1387" s="1">
        <f>IFERROR(__xludf.DUMMYFUNCTION("""COMPUTED_VALUE"""),304.0)</f>
        <v>304</v>
      </c>
    </row>
    <row r="1388">
      <c r="A1388" s="1">
        <v>3311213.0</v>
      </c>
      <c r="B1388" s="1" t="s">
        <v>3028</v>
      </c>
      <c r="C1388" s="1" t="s">
        <v>2930</v>
      </c>
      <c r="D1388" s="1" t="s">
        <v>3014</v>
      </c>
      <c r="E1388" s="1" t="s">
        <v>3029</v>
      </c>
      <c r="F1388" s="1" t="s">
        <v>16</v>
      </c>
      <c r="G1388" s="1" t="s">
        <v>17</v>
      </c>
      <c r="H1388" s="1" t="s">
        <v>18</v>
      </c>
      <c r="I1388" s="1" t="s">
        <v>19</v>
      </c>
      <c r="J1388" s="1">
        <f>IFERROR(__xludf.DUMMYFUNCTION("""COMPUTED_VALUE"""),116.0)</f>
        <v>116</v>
      </c>
      <c r="K1388" s="1">
        <v>112.0</v>
      </c>
      <c r="L1388" s="1">
        <f>IFERROR(__xludf.DUMMYFUNCTION("""COMPUTED_VALUE"""),196.0)</f>
        <v>196</v>
      </c>
    </row>
    <row r="1389">
      <c r="A1389" s="1">
        <v>3375071.0</v>
      </c>
      <c r="B1389" s="1" t="s">
        <v>3030</v>
      </c>
      <c r="C1389" s="1" t="s">
        <v>2930</v>
      </c>
      <c r="D1389" s="1" t="s">
        <v>2986</v>
      </c>
      <c r="E1389" s="1" t="s">
        <v>3031</v>
      </c>
      <c r="F1389" s="1" t="s">
        <v>16</v>
      </c>
      <c r="G1389" s="1" t="s">
        <v>23</v>
      </c>
      <c r="H1389" s="1" t="s">
        <v>18</v>
      </c>
      <c r="I1389" s="1" t="s">
        <v>19</v>
      </c>
      <c r="J1389" s="1">
        <f>IFERROR(__xludf.DUMMYFUNCTION("""COMPUTED_VALUE"""),56.0)</f>
        <v>56</v>
      </c>
      <c r="K1389" s="1">
        <v>16.0</v>
      </c>
      <c r="L1389" s="1">
        <f>IFERROR(__xludf.DUMMYFUNCTION("""COMPUTED_VALUE"""),61.0)</f>
        <v>61</v>
      </c>
    </row>
    <row r="1390">
      <c r="A1390" s="1">
        <v>3326063.0</v>
      </c>
      <c r="B1390" s="1" t="s">
        <v>3032</v>
      </c>
      <c r="C1390" s="1" t="s">
        <v>2930</v>
      </c>
      <c r="D1390" s="1" t="s">
        <v>3033</v>
      </c>
      <c r="E1390" s="1" t="s">
        <v>3034</v>
      </c>
      <c r="F1390" s="1" t="s">
        <v>16</v>
      </c>
      <c r="G1390" s="1" t="s">
        <v>23</v>
      </c>
      <c r="H1390" s="1" t="s">
        <v>18</v>
      </c>
      <c r="I1390" s="1" t="s">
        <v>163</v>
      </c>
      <c r="J1390" s="1">
        <f>IFERROR(__xludf.DUMMYFUNCTION("""COMPUTED_VALUE"""),50.0)</f>
        <v>50</v>
      </c>
      <c r="K1390" s="1">
        <v>17.0</v>
      </c>
      <c r="L1390" s="1">
        <f>IFERROR(__xludf.DUMMYFUNCTION("""COMPUTED_VALUE"""),182.0)</f>
        <v>182</v>
      </c>
    </row>
    <row r="1391">
      <c r="A1391" s="1">
        <v>3314012.0</v>
      </c>
      <c r="B1391" s="1" t="s">
        <v>3035</v>
      </c>
      <c r="C1391" s="1" t="s">
        <v>2930</v>
      </c>
      <c r="D1391" s="1" t="s">
        <v>2945</v>
      </c>
      <c r="E1391" s="1" t="s">
        <v>3036</v>
      </c>
      <c r="F1391" s="1" t="s">
        <v>16</v>
      </c>
      <c r="G1391" s="1" t="s">
        <v>27</v>
      </c>
      <c r="H1391" s="1" t="s">
        <v>28</v>
      </c>
      <c r="I1391" s="1" t="s">
        <v>40</v>
      </c>
      <c r="J1391" s="1">
        <f>IFERROR(__xludf.DUMMYFUNCTION("""COMPUTED_VALUE"""),275.0)</f>
        <v>275</v>
      </c>
      <c r="K1391" s="1">
        <v>77.0</v>
      </c>
      <c r="L1391" s="1">
        <f>IFERROR(__xludf.DUMMYFUNCTION("""COMPUTED_VALUE"""),853.0)</f>
        <v>853</v>
      </c>
    </row>
    <row r="1392">
      <c r="A1392" s="1">
        <v>3328081.0</v>
      </c>
      <c r="B1392" s="1" t="s">
        <v>3037</v>
      </c>
      <c r="C1392" s="1" t="s">
        <v>2930</v>
      </c>
      <c r="D1392" s="1" t="s">
        <v>3038</v>
      </c>
      <c r="E1392" s="1" t="s">
        <v>3039</v>
      </c>
      <c r="F1392" s="1" t="s">
        <v>16</v>
      </c>
      <c r="G1392" s="1" t="s">
        <v>23</v>
      </c>
      <c r="H1392" s="1" t="s">
        <v>18</v>
      </c>
      <c r="I1392" s="1" t="s">
        <v>19</v>
      </c>
      <c r="J1392" s="1">
        <f>IFERROR(__xludf.DUMMYFUNCTION("""COMPUTED_VALUE"""),84.0)</f>
        <v>84</v>
      </c>
      <c r="K1392" s="1">
        <v>31.0</v>
      </c>
      <c r="L1392" s="1">
        <f>IFERROR(__xludf.DUMMYFUNCTION("""COMPUTED_VALUE"""),55.0)</f>
        <v>55</v>
      </c>
    </row>
    <row r="1393">
      <c r="A1393" s="1">
        <v>3315074.0</v>
      </c>
      <c r="B1393" s="1" t="s">
        <v>3040</v>
      </c>
      <c r="C1393" s="1" t="s">
        <v>2930</v>
      </c>
      <c r="D1393" s="1" t="s">
        <v>3005</v>
      </c>
      <c r="E1393" s="1" t="s">
        <v>3041</v>
      </c>
      <c r="F1393" s="1" t="s">
        <v>16</v>
      </c>
      <c r="G1393" s="1" t="s">
        <v>23</v>
      </c>
      <c r="H1393" s="1" t="s">
        <v>18</v>
      </c>
      <c r="I1393" s="1" t="s">
        <v>44</v>
      </c>
      <c r="J1393" s="1">
        <f>IFERROR(__xludf.DUMMYFUNCTION("""COMPUTED_VALUE"""),50.0)</f>
        <v>50</v>
      </c>
      <c r="K1393" s="1">
        <v>19.0</v>
      </c>
      <c r="L1393" s="1">
        <f>IFERROR(__xludf.DUMMYFUNCTION("""COMPUTED_VALUE"""),182.0)</f>
        <v>182</v>
      </c>
    </row>
    <row r="1394">
      <c r="A1394" s="1">
        <v>3302132.0</v>
      </c>
      <c r="B1394" s="1" t="s">
        <v>3042</v>
      </c>
      <c r="C1394" s="1" t="s">
        <v>2930</v>
      </c>
      <c r="D1394" s="1" t="s">
        <v>2937</v>
      </c>
      <c r="E1394" s="1" t="s">
        <v>3043</v>
      </c>
      <c r="F1394" s="1" t="s">
        <v>16</v>
      </c>
      <c r="G1394" s="1" t="s">
        <v>17</v>
      </c>
      <c r="H1394" s="1" t="s">
        <v>18</v>
      </c>
      <c r="I1394" s="1" t="s">
        <v>684</v>
      </c>
      <c r="J1394" s="1">
        <f>IFERROR(__xludf.DUMMYFUNCTION("""COMPUTED_VALUE"""),120.0)</f>
        <v>120</v>
      </c>
      <c r="K1394" s="1">
        <v>94.0</v>
      </c>
      <c r="L1394" s="1">
        <f>IFERROR(__xludf.DUMMYFUNCTION("""COMPUTED_VALUE"""),149.0)</f>
        <v>149</v>
      </c>
    </row>
    <row r="1395">
      <c r="A1395" s="1">
        <v>3372015.0</v>
      </c>
      <c r="B1395" s="1" t="s">
        <v>3044</v>
      </c>
      <c r="C1395" s="1" t="s">
        <v>2930</v>
      </c>
      <c r="D1395" s="1" t="s">
        <v>2967</v>
      </c>
      <c r="E1395" s="1" t="s">
        <v>3045</v>
      </c>
      <c r="F1395" s="1" t="s">
        <v>16</v>
      </c>
      <c r="G1395" s="1" t="s">
        <v>150</v>
      </c>
      <c r="H1395" s="1" t="s">
        <v>28</v>
      </c>
      <c r="I1395" s="1" t="s">
        <v>139</v>
      </c>
      <c r="J1395" s="1">
        <f>IFERROR(__xludf.DUMMYFUNCTION("""COMPUTED_VALUE"""),953.0)</f>
        <v>953</v>
      </c>
      <c r="K1395" s="1">
        <v>153.0</v>
      </c>
      <c r="L1395" s="1">
        <f>IFERROR(__xludf.DUMMYFUNCTION("""COMPUTED_VALUE"""),3128.0)</f>
        <v>3128</v>
      </c>
    </row>
    <row r="1396">
      <c r="A1396" s="1">
        <v>3316063.0</v>
      </c>
      <c r="B1396" s="1" t="s">
        <v>3046</v>
      </c>
      <c r="C1396" s="1" t="s">
        <v>2930</v>
      </c>
      <c r="D1396" s="1" t="s">
        <v>2951</v>
      </c>
      <c r="E1396" s="1" t="s">
        <v>3047</v>
      </c>
      <c r="F1396" s="1" t="s">
        <v>16</v>
      </c>
      <c r="G1396" s="1" t="s">
        <v>23</v>
      </c>
      <c r="H1396" s="1" t="s">
        <v>18</v>
      </c>
      <c r="I1396" s="1" t="s">
        <v>19</v>
      </c>
      <c r="J1396" s="1">
        <f>IFERROR(__xludf.DUMMYFUNCTION("""COMPUTED_VALUE"""),86.0)</f>
        <v>86</v>
      </c>
      <c r="K1396" s="1">
        <v>20.0</v>
      </c>
      <c r="L1396" s="1">
        <f>IFERROR(__xludf.DUMMYFUNCTION("""COMPUTED_VALUE"""),133.0)</f>
        <v>133</v>
      </c>
    </row>
    <row r="1397">
      <c r="A1397" s="1">
        <v>3318016.0</v>
      </c>
      <c r="B1397" s="1" t="s">
        <v>3048</v>
      </c>
      <c r="C1397" s="1" t="s">
        <v>2930</v>
      </c>
      <c r="D1397" s="1" t="s">
        <v>3049</v>
      </c>
      <c r="E1397" s="1" t="s">
        <v>3050</v>
      </c>
      <c r="F1397" s="1" t="s">
        <v>16</v>
      </c>
      <c r="G1397" s="1" t="s">
        <v>27</v>
      </c>
      <c r="H1397" s="1" t="s">
        <v>28</v>
      </c>
      <c r="I1397" s="1" t="s">
        <v>40</v>
      </c>
      <c r="J1397" s="1">
        <f>IFERROR(__xludf.DUMMYFUNCTION("""COMPUTED_VALUE"""),289.0)</f>
        <v>289</v>
      </c>
      <c r="K1397" s="1">
        <v>79.0</v>
      </c>
      <c r="L1397" s="1">
        <f>IFERROR(__xludf.DUMMYFUNCTION("""COMPUTED_VALUE"""),1213.0)</f>
        <v>1213</v>
      </c>
    </row>
    <row r="1398">
      <c r="A1398" s="1">
        <v>3328011.0</v>
      </c>
      <c r="B1398" s="1" t="s">
        <v>3051</v>
      </c>
      <c r="C1398" s="1" t="s">
        <v>2930</v>
      </c>
      <c r="D1398" s="1" t="s">
        <v>3038</v>
      </c>
      <c r="E1398" s="1" t="s">
        <v>3052</v>
      </c>
      <c r="F1398" s="1" t="s">
        <v>16</v>
      </c>
      <c r="G1398" s="1" t="s">
        <v>27</v>
      </c>
      <c r="H1398" s="1" t="s">
        <v>28</v>
      </c>
      <c r="I1398" s="1" t="s">
        <v>40</v>
      </c>
      <c r="J1398" s="1">
        <f>IFERROR(__xludf.DUMMYFUNCTION("""COMPUTED_VALUE"""),417.0)</f>
        <v>417</v>
      </c>
      <c r="K1398" s="1">
        <v>51.0</v>
      </c>
      <c r="L1398" s="1">
        <f>IFERROR(__xludf.DUMMYFUNCTION("""COMPUTED_VALUE"""),986.0)</f>
        <v>986</v>
      </c>
    </row>
    <row r="1399">
      <c r="A1399" s="1">
        <v>3327048.0</v>
      </c>
      <c r="B1399" s="1" t="s">
        <v>3053</v>
      </c>
      <c r="C1399" s="1" t="s">
        <v>2930</v>
      </c>
      <c r="D1399" s="1" t="s">
        <v>3054</v>
      </c>
      <c r="E1399" s="1" t="s">
        <v>3055</v>
      </c>
      <c r="F1399" s="1" t="s">
        <v>16</v>
      </c>
      <c r="G1399" s="1" t="s">
        <v>23</v>
      </c>
      <c r="H1399" s="1" t="s">
        <v>18</v>
      </c>
      <c r="I1399" s="1" t="s">
        <v>19</v>
      </c>
      <c r="J1399" s="1">
        <f>IFERROR(__xludf.DUMMYFUNCTION("""COMPUTED_VALUE"""),51.0)</f>
        <v>51</v>
      </c>
      <c r="K1399" s="1">
        <v>26.0</v>
      </c>
      <c r="L1399" s="1">
        <f>IFERROR(__xludf.DUMMYFUNCTION("""COMPUTED_VALUE"""),87.0)</f>
        <v>87</v>
      </c>
    </row>
    <row r="1400">
      <c r="A1400" s="1">
        <v>3305081.0</v>
      </c>
      <c r="B1400" s="1" t="s">
        <v>3056</v>
      </c>
      <c r="C1400" s="1" t="s">
        <v>2930</v>
      </c>
      <c r="D1400" s="1" t="s">
        <v>2958</v>
      </c>
      <c r="E1400" s="1" t="s">
        <v>3057</v>
      </c>
      <c r="F1400" s="1" t="s">
        <v>16</v>
      </c>
      <c r="G1400" s="1" t="s">
        <v>23</v>
      </c>
      <c r="H1400" s="1" t="s">
        <v>18</v>
      </c>
      <c r="I1400" s="1" t="s">
        <v>59</v>
      </c>
      <c r="J1400" s="1">
        <f>IFERROR(__xludf.DUMMYFUNCTION("""COMPUTED_VALUE"""),70.0)</f>
        <v>70</v>
      </c>
      <c r="K1400" s="1">
        <v>20.0</v>
      </c>
      <c r="L1400" s="1">
        <f>IFERROR(__xludf.DUMMYFUNCTION("""COMPUTED_VALUE"""),122.0)</f>
        <v>122</v>
      </c>
    </row>
    <row r="1401">
      <c r="A1401" s="1">
        <v>3373090.0</v>
      </c>
      <c r="B1401" s="1" t="s">
        <v>2348</v>
      </c>
      <c r="C1401" s="1" t="s">
        <v>2930</v>
      </c>
      <c r="D1401" s="1" t="s">
        <v>2961</v>
      </c>
      <c r="E1401" s="1" t="s">
        <v>3058</v>
      </c>
      <c r="F1401" s="1" t="s">
        <v>16</v>
      </c>
      <c r="G1401" s="1" t="s">
        <v>17</v>
      </c>
      <c r="H1401" s="1" t="s">
        <v>18</v>
      </c>
      <c r="I1401" s="1" t="s">
        <v>19</v>
      </c>
      <c r="J1401" s="1">
        <f>IFERROR(__xludf.DUMMYFUNCTION("""COMPUTED_VALUE"""),117.0)</f>
        <v>117</v>
      </c>
      <c r="K1401" s="1">
        <v>56.0</v>
      </c>
      <c r="L1401" s="1">
        <f>IFERROR(__xludf.DUMMYFUNCTION("""COMPUTED_VALUE"""),186.0)</f>
        <v>186</v>
      </c>
    </row>
    <row r="1402">
      <c r="A1402" s="1">
        <v>3329101.0</v>
      </c>
      <c r="B1402" s="1" t="s">
        <v>3059</v>
      </c>
      <c r="C1402" s="1" t="s">
        <v>2930</v>
      </c>
      <c r="D1402" s="1" t="s">
        <v>2999</v>
      </c>
      <c r="E1402" s="1" t="s">
        <v>3060</v>
      </c>
      <c r="F1402" s="1" t="s">
        <v>16</v>
      </c>
      <c r="G1402" s="1" t="s">
        <v>23</v>
      </c>
      <c r="H1402" s="1" t="s">
        <v>18</v>
      </c>
      <c r="I1402" s="1" t="s">
        <v>19</v>
      </c>
      <c r="J1402" s="1">
        <f>IFERROR(__xludf.DUMMYFUNCTION("""COMPUTED_VALUE"""),140.0)</f>
        <v>140</v>
      </c>
      <c r="K1402" s="1">
        <v>66.0</v>
      </c>
      <c r="L1402" s="1">
        <f>IFERROR(__xludf.DUMMYFUNCTION("""COMPUTED_VALUE"""),93.0)</f>
        <v>93</v>
      </c>
    </row>
    <row r="1403">
      <c r="A1403" s="1">
        <v>3315073.0</v>
      </c>
      <c r="B1403" s="1" t="s">
        <v>3061</v>
      </c>
      <c r="C1403" s="1" t="s">
        <v>2930</v>
      </c>
      <c r="D1403" s="1" t="s">
        <v>3005</v>
      </c>
      <c r="E1403" s="1" t="s">
        <v>3062</v>
      </c>
      <c r="F1403" s="1" t="s">
        <v>16</v>
      </c>
      <c r="G1403" s="1" t="s">
        <v>23</v>
      </c>
      <c r="H1403" s="1" t="s">
        <v>18</v>
      </c>
      <c r="I1403" s="1" t="s">
        <v>163</v>
      </c>
      <c r="J1403" s="1">
        <f>IFERROR(__xludf.DUMMYFUNCTION("""COMPUTED_VALUE"""),69.0)</f>
        <v>69</v>
      </c>
      <c r="K1403" s="1">
        <v>9.0</v>
      </c>
      <c r="L1403" s="1">
        <f>IFERROR(__xludf.DUMMYFUNCTION("""COMPUTED_VALUE"""),182.0)</f>
        <v>182</v>
      </c>
    </row>
    <row r="1404">
      <c r="A1404" s="1">
        <v>3322023.0</v>
      </c>
      <c r="B1404" s="1" t="s">
        <v>3063</v>
      </c>
      <c r="C1404" s="1" t="s">
        <v>2930</v>
      </c>
      <c r="D1404" s="1" t="s">
        <v>3064</v>
      </c>
      <c r="E1404" s="1" t="s">
        <v>3065</v>
      </c>
      <c r="F1404" s="1" t="s">
        <v>16</v>
      </c>
      <c r="G1404" s="1" t="s">
        <v>17</v>
      </c>
      <c r="H1404" s="1" t="s">
        <v>28</v>
      </c>
      <c r="I1404" s="1" t="s">
        <v>40</v>
      </c>
      <c r="J1404" s="1">
        <f>IFERROR(__xludf.DUMMYFUNCTION("""COMPUTED_VALUE"""),208.0)</f>
        <v>208</v>
      </c>
      <c r="K1404" s="1">
        <v>31.0</v>
      </c>
      <c r="L1404" s="1">
        <f>IFERROR(__xludf.DUMMYFUNCTION("""COMPUTED_VALUE"""),148.0)</f>
        <v>148</v>
      </c>
    </row>
    <row r="1405">
      <c r="A1405" s="1">
        <v>3310015.0</v>
      </c>
      <c r="B1405" s="1" t="s">
        <v>3066</v>
      </c>
      <c r="C1405" s="1" t="s">
        <v>2930</v>
      </c>
      <c r="D1405" s="1" t="s">
        <v>2989</v>
      </c>
      <c r="E1405" s="1" t="s">
        <v>3067</v>
      </c>
      <c r="F1405" s="1" t="s">
        <v>16</v>
      </c>
      <c r="G1405" s="1" t="s">
        <v>16</v>
      </c>
      <c r="H1405" s="1" t="s">
        <v>150</v>
      </c>
      <c r="I1405" s="1" t="s">
        <v>33</v>
      </c>
      <c r="J1405" s="1">
        <f>IFERROR(__xludf.DUMMYFUNCTION("""COMPUTED_VALUE"""),30343.0)</f>
        <v>30343</v>
      </c>
      <c r="K1405" s="1">
        <v>419.0</v>
      </c>
      <c r="L1405" s="1">
        <f>IFERROR(__xludf.DUMMYFUNCTION("""COMPUTED_VALUE"""),141.0)</f>
        <v>141</v>
      </c>
    </row>
    <row r="1406">
      <c r="A1406" s="1">
        <v>3374316.0</v>
      </c>
      <c r="B1406" s="1" t="s">
        <v>3068</v>
      </c>
      <c r="C1406" s="1" t="s">
        <v>2930</v>
      </c>
      <c r="D1406" s="1" t="s">
        <v>2948</v>
      </c>
      <c r="E1406" s="1" t="s">
        <v>3069</v>
      </c>
      <c r="F1406" s="1" t="s">
        <v>55</v>
      </c>
      <c r="G1406" s="1" t="s">
        <v>17</v>
      </c>
      <c r="H1406" s="1" t="s">
        <v>18</v>
      </c>
      <c r="I1406" s="1" t="s">
        <v>59</v>
      </c>
      <c r="J1406" s="1">
        <f>IFERROR(__xludf.DUMMYFUNCTION("""COMPUTED_VALUE"""),30.0)</f>
        <v>30</v>
      </c>
      <c r="K1406" s="1">
        <v>16.0</v>
      </c>
      <c r="L1406" s="1">
        <f>IFERROR(__xludf.DUMMYFUNCTION("""COMPUTED_VALUE"""),61.0)</f>
        <v>61</v>
      </c>
    </row>
    <row r="1407">
      <c r="A1407" s="1">
        <v>3314096.0</v>
      </c>
      <c r="B1407" s="1" t="s">
        <v>3070</v>
      </c>
      <c r="C1407" s="1" t="s">
        <v>2930</v>
      </c>
      <c r="D1407" s="1" t="s">
        <v>2945</v>
      </c>
      <c r="E1407" s="1" t="s">
        <v>3071</v>
      </c>
      <c r="F1407" s="1" t="s">
        <v>16</v>
      </c>
      <c r="G1407" s="1" t="s">
        <v>23</v>
      </c>
      <c r="H1407" s="1" t="s">
        <v>18</v>
      </c>
      <c r="I1407" s="1" t="s">
        <v>44</v>
      </c>
      <c r="J1407" s="1">
        <f>IFERROR(__xludf.DUMMYFUNCTION("""COMPUTED_VALUE"""),50.0)</f>
        <v>50</v>
      </c>
      <c r="K1407" s="1">
        <v>27.0</v>
      </c>
      <c r="L1407" s="1">
        <f>IFERROR(__xludf.DUMMYFUNCTION("""COMPUTED_VALUE"""),142.0)</f>
        <v>142</v>
      </c>
    </row>
    <row r="1408">
      <c r="A1408" s="1">
        <v>3327021.0</v>
      </c>
      <c r="B1408" s="1" t="s">
        <v>3072</v>
      </c>
      <c r="C1408" s="1" t="s">
        <v>2930</v>
      </c>
      <c r="D1408" s="1" t="s">
        <v>3054</v>
      </c>
      <c r="E1408" s="1" t="s">
        <v>3073</v>
      </c>
      <c r="F1408" s="1" t="s">
        <v>16</v>
      </c>
      <c r="G1408" s="1" t="s">
        <v>17</v>
      </c>
      <c r="H1408" s="1" t="s">
        <v>18</v>
      </c>
      <c r="I1408" s="1" t="s">
        <v>249</v>
      </c>
      <c r="J1408" s="1">
        <f>IFERROR(__xludf.DUMMYFUNCTION("""COMPUTED_VALUE"""),147.0)</f>
        <v>147</v>
      </c>
      <c r="K1408" s="1">
        <v>51.0</v>
      </c>
      <c r="L1408" s="1">
        <f>IFERROR(__xludf.DUMMYFUNCTION("""COMPUTED_VALUE"""),286.0)</f>
        <v>286</v>
      </c>
    </row>
    <row r="1409">
      <c r="A1409" s="1">
        <v>3329102.0</v>
      </c>
      <c r="B1409" s="1" t="s">
        <v>3074</v>
      </c>
      <c r="C1409" s="1" t="s">
        <v>2930</v>
      </c>
      <c r="D1409" s="1" t="s">
        <v>2999</v>
      </c>
      <c r="E1409" s="1" t="s">
        <v>3075</v>
      </c>
      <c r="F1409" s="1" t="s">
        <v>16</v>
      </c>
      <c r="G1409" s="1" t="s">
        <v>17</v>
      </c>
      <c r="H1409" s="1" t="s">
        <v>28</v>
      </c>
      <c r="I1409" s="1" t="s">
        <v>40</v>
      </c>
      <c r="J1409" s="1">
        <f>IFERROR(__xludf.DUMMYFUNCTION("""COMPUTED_VALUE"""),116.0)</f>
        <v>116</v>
      </c>
      <c r="K1409" s="1">
        <v>32.0</v>
      </c>
      <c r="L1409" s="1">
        <f>IFERROR(__xludf.DUMMYFUNCTION("""COMPUTED_VALUE"""),265.0)</f>
        <v>265</v>
      </c>
    </row>
    <row r="1410">
      <c r="A1410" s="1">
        <v>3309129.0</v>
      </c>
      <c r="B1410" s="1" t="s">
        <v>3076</v>
      </c>
      <c r="C1410" s="1" t="s">
        <v>2930</v>
      </c>
      <c r="D1410" s="1" t="s">
        <v>2973</v>
      </c>
      <c r="E1410" s="1" t="s">
        <v>3077</v>
      </c>
      <c r="F1410" s="1" t="s">
        <v>16</v>
      </c>
      <c r="G1410" s="1" t="s">
        <v>23</v>
      </c>
      <c r="H1410" s="1" t="s">
        <v>18</v>
      </c>
      <c r="I1410" s="1" t="s">
        <v>19</v>
      </c>
      <c r="J1410" s="1">
        <f>IFERROR(__xludf.DUMMYFUNCTION("""COMPUTED_VALUE"""),118.0)</f>
        <v>118</v>
      </c>
      <c r="K1410" s="1">
        <v>24.0</v>
      </c>
      <c r="L1410" s="1">
        <f>IFERROR(__xludf.DUMMYFUNCTION("""COMPUTED_VALUE"""),124.0)</f>
        <v>124</v>
      </c>
    </row>
    <row r="1411">
      <c r="A1411" s="1">
        <v>3325039.0</v>
      </c>
      <c r="B1411" s="1" t="s">
        <v>3078</v>
      </c>
      <c r="C1411" s="1" t="s">
        <v>2930</v>
      </c>
      <c r="D1411" s="1" t="s">
        <v>2978</v>
      </c>
      <c r="E1411" s="1" t="s">
        <v>3079</v>
      </c>
      <c r="F1411" s="1" t="s">
        <v>16</v>
      </c>
      <c r="G1411" s="1" t="s">
        <v>17</v>
      </c>
      <c r="H1411" s="1" t="s">
        <v>28</v>
      </c>
      <c r="I1411" s="1" t="s">
        <v>40</v>
      </c>
      <c r="J1411" s="1">
        <f>IFERROR(__xludf.DUMMYFUNCTION("""COMPUTED_VALUE"""),102.0)</f>
        <v>102</v>
      </c>
      <c r="K1411" s="1">
        <v>30.0</v>
      </c>
      <c r="L1411" s="1">
        <f>IFERROR(__xludf.DUMMYFUNCTION("""COMPUTED_VALUE"""),145.0)</f>
        <v>145</v>
      </c>
    </row>
    <row r="1412">
      <c r="A1412" s="1">
        <v>3301084.0</v>
      </c>
      <c r="B1412" s="1" t="s">
        <v>3080</v>
      </c>
      <c r="C1412" s="1" t="s">
        <v>2930</v>
      </c>
      <c r="D1412" s="1" t="s">
        <v>2996</v>
      </c>
      <c r="E1412" s="1" t="s">
        <v>3081</v>
      </c>
      <c r="F1412" s="1" t="s">
        <v>16</v>
      </c>
      <c r="G1412" s="1" t="s">
        <v>17</v>
      </c>
      <c r="H1412" s="1" t="s">
        <v>28</v>
      </c>
      <c r="I1412" s="1" t="s">
        <v>40</v>
      </c>
      <c r="J1412" s="1">
        <f>IFERROR(__xludf.DUMMYFUNCTION("""COMPUTED_VALUE"""),236.0)</f>
        <v>236</v>
      </c>
      <c r="K1412" s="1">
        <v>36.0</v>
      </c>
      <c r="L1412" s="1">
        <f>IFERROR(__xludf.DUMMYFUNCTION("""COMPUTED_VALUE"""),417.0)</f>
        <v>417</v>
      </c>
    </row>
    <row r="1413">
      <c r="A1413" s="1">
        <v>3371014.0</v>
      </c>
      <c r="B1413" s="1" t="s">
        <v>3082</v>
      </c>
      <c r="C1413" s="1" t="s">
        <v>2930</v>
      </c>
      <c r="D1413" s="1" t="s">
        <v>2939</v>
      </c>
      <c r="E1413" s="1" t="s">
        <v>3083</v>
      </c>
      <c r="F1413" s="1" t="s">
        <v>16</v>
      </c>
      <c r="G1413" s="1" t="s">
        <v>27</v>
      </c>
      <c r="H1413" s="1" t="s">
        <v>28</v>
      </c>
      <c r="I1413" s="1" t="s">
        <v>29</v>
      </c>
      <c r="J1413" s="1">
        <f>IFERROR(__xludf.DUMMYFUNCTION("""COMPUTED_VALUE"""),345.0)</f>
        <v>345</v>
      </c>
      <c r="K1413" s="1">
        <v>102.0</v>
      </c>
      <c r="L1413" s="1">
        <f>IFERROR(__xludf.DUMMYFUNCTION("""COMPUTED_VALUE"""),1431.0)</f>
        <v>1431</v>
      </c>
    </row>
    <row r="1414">
      <c r="A1414" s="1">
        <v>3324037.0</v>
      </c>
      <c r="B1414" s="1" t="s">
        <v>3084</v>
      </c>
      <c r="C1414" s="1" t="s">
        <v>2930</v>
      </c>
      <c r="D1414" s="1" t="s">
        <v>2970</v>
      </c>
      <c r="E1414" s="1" t="s">
        <v>3085</v>
      </c>
      <c r="F1414" s="1" t="s">
        <v>16</v>
      </c>
      <c r="G1414" s="1" t="s">
        <v>23</v>
      </c>
      <c r="H1414" s="1" t="s">
        <v>18</v>
      </c>
      <c r="I1414" s="1" t="s">
        <v>684</v>
      </c>
      <c r="J1414" s="1">
        <f>IFERROR(__xludf.DUMMYFUNCTION("""COMPUTED_VALUE"""),88.0)</f>
        <v>88</v>
      </c>
      <c r="K1414" s="1">
        <v>31.0</v>
      </c>
      <c r="L1414" s="1">
        <f>IFERROR(__xludf.DUMMYFUNCTION("""COMPUTED_VALUE"""),166.0)</f>
        <v>166</v>
      </c>
    </row>
    <row r="1415">
      <c r="A1415" s="1">
        <v>3371144.0</v>
      </c>
      <c r="B1415" s="1" t="s">
        <v>3086</v>
      </c>
      <c r="C1415" s="1" t="s">
        <v>2930</v>
      </c>
      <c r="D1415" s="1" t="s">
        <v>2939</v>
      </c>
      <c r="E1415" s="1" t="s">
        <v>3087</v>
      </c>
      <c r="F1415" s="1" t="s">
        <v>16</v>
      </c>
      <c r="G1415" s="1" t="s">
        <v>23</v>
      </c>
      <c r="H1415" s="1" t="s">
        <v>28</v>
      </c>
      <c r="I1415" s="1" t="s">
        <v>29</v>
      </c>
      <c r="J1415" s="1">
        <f>IFERROR(__xludf.DUMMYFUNCTION("""COMPUTED_VALUE"""),80.0)</f>
        <v>80</v>
      </c>
      <c r="K1415" s="1">
        <v>23.0</v>
      </c>
      <c r="L1415" s="1">
        <f>IFERROR(__xludf.DUMMYFUNCTION("""COMPUTED_VALUE"""),53.0)</f>
        <v>53</v>
      </c>
    </row>
    <row r="1416">
      <c r="A1416" s="1">
        <v>3319113.0</v>
      </c>
      <c r="B1416" s="1" t="s">
        <v>3088</v>
      </c>
      <c r="C1416" s="1" t="s">
        <v>2930</v>
      </c>
      <c r="D1416" s="1" t="s">
        <v>2934</v>
      </c>
      <c r="E1416" s="1" t="s">
        <v>3089</v>
      </c>
      <c r="F1416" s="1" t="s">
        <v>16</v>
      </c>
      <c r="G1416" s="1" t="s">
        <v>17</v>
      </c>
      <c r="H1416" s="1" t="s">
        <v>18</v>
      </c>
      <c r="I1416" s="1" t="s">
        <v>19</v>
      </c>
      <c r="J1416" s="1">
        <f>IFERROR(__xludf.DUMMYFUNCTION("""COMPUTED_VALUE"""),115.0)</f>
        <v>115</v>
      </c>
      <c r="K1416" s="1">
        <v>31.0</v>
      </c>
      <c r="L1416" s="1">
        <f>IFERROR(__xludf.DUMMYFUNCTION("""COMPUTED_VALUE"""),182.0)</f>
        <v>182</v>
      </c>
    </row>
    <row r="1417">
      <c r="A1417" s="1">
        <v>3315057.0</v>
      </c>
      <c r="B1417" s="1" t="s">
        <v>3090</v>
      </c>
      <c r="C1417" s="1" t="s">
        <v>2930</v>
      </c>
      <c r="D1417" s="1" t="s">
        <v>3005</v>
      </c>
      <c r="E1417" s="1" t="s">
        <v>3091</v>
      </c>
      <c r="F1417" s="1" t="s">
        <v>16</v>
      </c>
      <c r="G1417" s="1" t="s">
        <v>23</v>
      </c>
      <c r="H1417" s="1" t="s">
        <v>18</v>
      </c>
      <c r="I1417" s="1" t="s">
        <v>59</v>
      </c>
      <c r="J1417" s="1">
        <f>IFERROR(__xludf.DUMMYFUNCTION("""COMPUTED_VALUE"""),59.0)</f>
        <v>59</v>
      </c>
      <c r="K1417" s="1">
        <v>31.0</v>
      </c>
      <c r="L1417" s="1">
        <f>IFERROR(__xludf.DUMMYFUNCTION("""COMPUTED_VALUE"""),101.0)</f>
        <v>101</v>
      </c>
    </row>
    <row r="1418">
      <c r="A1418" s="1">
        <v>3302074.0</v>
      </c>
      <c r="B1418" s="1" t="s">
        <v>3092</v>
      </c>
      <c r="C1418" s="1" t="s">
        <v>2930</v>
      </c>
      <c r="D1418" s="1" t="s">
        <v>2937</v>
      </c>
      <c r="E1418" s="1" t="s">
        <v>3093</v>
      </c>
      <c r="F1418" s="1" t="s">
        <v>16</v>
      </c>
      <c r="G1418" s="1" t="s">
        <v>23</v>
      </c>
      <c r="H1418" s="1" t="s">
        <v>18</v>
      </c>
      <c r="I1418" s="1" t="s">
        <v>44</v>
      </c>
      <c r="J1418" s="1">
        <f>IFERROR(__xludf.DUMMYFUNCTION("""COMPUTED_VALUE"""),115.0)</f>
        <v>115</v>
      </c>
      <c r="K1418" s="1">
        <v>74.0</v>
      </c>
      <c r="L1418" s="1">
        <f>IFERROR(__xludf.DUMMYFUNCTION("""COMPUTED_VALUE"""),62.0)</f>
        <v>62</v>
      </c>
    </row>
    <row r="1419">
      <c r="A1419" s="1">
        <v>3328079.0</v>
      </c>
      <c r="B1419" s="1" t="s">
        <v>3094</v>
      </c>
      <c r="C1419" s="1" t="s">
        <v>2930</v>
      </c>
      <c r="D1419" s="1" t="s">
        <v>3038</v>
      </c>
      <c r="E1419" s="1" t="s">
        <v>3095</v>
      </c>
      <c r="F1419" s="1" t="s">
        <v>55</v>
      </c>
      <c r="G1419" s="1" t="s">
        <v>17</v>
      </c>
      <c r="H1419" s="1" t="s">
        <v>18</v>
      </c>
      <c r="I1419" s="1" t="s">
        <v>19</v>
      </c>
      <c r="J1419" s="1">
        <f>IFERROR(__xludf.DUMMYFUNCTION("""COMPUTED_VALUE"""),66.0)</f>
        <v>66</v>
      </c>
      <c r="K1419" s="1">
        <v>18.0</v>
      </c>
      <c r="L1419" s="1">
        <f>IFERROR(__xludf.DUMMYFUNCTION("""COMPUTED_VALUE"""),78.0)</f>
        <v>78</v>
      </c>
    </row>
    <row r="1420">
      <c r="A1420" s="1">
        <v>3301109.0</v>
      </c>
      <c r="B1420" s="1" t="s">
        <v>3096</v>
      </c>
      <c r="C1420" s="1" t="s">
        <v>2930</v>
      </c>
      <c r="D1420" s="1" t="s">
        <v>2996</v>
      </c>
      <c r="E1420" s="1" t="s">
        <v>3097</v>
      </c>
      <c r="F1420" s="1" t="s">
        <v>16</v>
      </c>
      <c r="G1420" s="1" t="s">
        <v>17</v>
      </c>
      <c r="H1420" s="1" t="s">
        <v>18</v>
      </c>
      <c r="I1420" s="1" t="s">
        <v>19</v>
      </c>
      <c r="J1420" s="1">
        <f>IFERROR(__xludf.DUMMYFUNCTION("""COMPUTED_VALUE"""),145.0)</f>
        <v>145</v>
      </c>
      <c r="K1420" s="1">
        <v>45.0</v>
      </c>
      <c r="L1420" s="1">
        <f>IFERROR(__xludf.DUMMYFUNCTION("""COMPUTED_VALUE"""),102.0)</f>
        <v>102</v>
      </c>
    </row>
    <row r="1421">
      <c r="A1421" s="1">
        <v>3303064.0</v>
      </c>
      <c r="B1421" s="1" t="s">
        <v>3098</v>
      </c>
      <c r="C1421" s="1" t="s">
        <v>2930</v>
      </c>
      <c r="D1421" s="1" t="s">
        <v>3099</v>
      </c>
      <c r="E1421" s="1" t="s">
        <v>3100</v>
      </c>
      <c r="F1421" s="1" t="s">
        <v>16</v>
      </c>
      <c r="G1421" s="1" t="s">
        <v>17</v>
      </c>
      <c r="H1421" s="1" t="s">
        <v>18</v>
      </c>
      <c r="I1421" s="1" t="s">
        <v>59</v>
      </c>
      <c r="J1421" s="1">
        <f>IFERROR(__xludf.DUMMYFUNCTION("""COMPUTED_VALUE"""),101.0)</f>
        <v>101</v>
      </c>
      <c r="K1421" s="1">
        <v>40.0</v>
      </c>
      <c r="L1421" s="1">
        <f>IFERROR(__xludf.DUMMYFUNCTION("""COMPUTED_VALUE"""),273.0)</f>
        <v>273</v>
      </c>
    </row>
    <row r="1422">
      <c r="A1422" s="1">
        <v>3372165.0</v>
      </c>
      <c r="B1422" s="1" t="s">
        <v>3101</v>
      </c>
      <c r="C1422" s="1" t="s">
        <v>2930</v>
      </c>
      <c r="D1422" s="1" t="s">
        <v>2967</v>
      </c>
      <c r="E1422" s="1" t="s">
        <v>3102</v>
      </c>
      <c r="F1422" s="1" t="s">
        <v>16</v>
      </c>
      <c r="G1422" s="1" t="s">
        <v>27</v>
      </c>
      <c r="H1422" s="1" t="s">
        <v>18</v>
      </c>
      <c r="I1422" s="1" t="s">
        <v>44</v>
      </c>
      <c r="J1422" s="1">
        <f>IFERROR(__xludf.DUMMYFUNCTION("""COMPUTED_VALUE"""),204.0)</f>
        <v>204</v>
      </c>
      <c r="K1422" s="1">
        <v>92.0</v>
      </c>
      <c r="L1422" s="1">
        <f>IFERROR(__xludf.DUMMYFUNCTION("""COMPUTED_VALUE"""),1174.0)</f>
        <v>1174</v>
      </c>
    </row>
    <row r="1423">
      <c r="A1423" s="1">
        <v>3320010.0</v>
      </c>
      <c r="B1423" s="1" t="s">
        <v>3103</v>
      </c>
      <c r="C1423" s="1" t="s">
        <v>2930</v>
      </c>
      <c r="D1423" s="1" t="s">
        <v>3104</v>
      </c>
      <c r="E1423" s="1" t="s">
        <v>3105</v>
      </c>
      <c r="F1423" s="1" t="s">
        <v>16</v>
      </c>
      <c r="G1423" s="1" t="s">
        <v>27</v>
      </c>
      <c r="H1423" s="1" t="s">
        <v>28</v>
      </c>
      <c r="I1423" s="1" t="s">
        <v>40</v>
      </c>
      <c r="J1423" s="1">
        <f>IFERROR(__xludf.DUMMYFUNCTION("""COMPUTED_VALUE"""),381.0)</f>
        <v>381</v>
      </c>
      <c r="K1423" s="1">
        <v>98.0</v>
      </c>
      <c r="L1423" s="1">
        <f>IFERROR(__xludf.DUMMYFUNCTION("""COMPUTED_VALUE"""),1071.0)</f>
        <v>1071</v>
      </c>
    </row>
    <row r="1424">
      <c r="A1424" s="1">
        <v>3308033.0</v>
      </c>
      <c r="B1424" s="1" t="s">
        <v>3106</v>
      </c>
      <c r="C1424" s="1" t="s">
        <v>2930</v>
      </c>
      <c r="D1424" s="1" t="s">
        <v>3107</v>
      </c>
      <c r="E1424" s="1" t="s">
        <v>3108</v>
      </c>
      <c r="F1424" s="1" t="s">
        <v>16</v>
      </c>
      <c r="G1424" s="1" t="s">
        <v>23</v>
      </c>
      <c r="H1424" s="1" t="s">
        <v>18</v>
      </c>
      <c r="I1424" s="1" t="s">
        <v>40</v>
      </c>
      <c r="J1424" s="1">
        <f>IFERROR(__xludf.DUMMYFUNCTION("""COMPUTED_VALUE"""),51.0)</f>
        <v>51</v>
      </c>
      <c r="K1424" s="1">
        <v>15.0</v>
      </c>
      <c r="L1424" s="1">
        <f>IFERROR(__xludf.DUMMYFUNCTION("""COMPUTED_VALUE"""),182.0)</f>
        <v>182</v>
      </c>
    </row>
    <row r="1425">
      <c r="A1425" s="1">
        <v>3374390.0</v>
      </c>
      <c r="B1425" s="1" t="s">
        <v>3109</v>
      </c>
      <c r="C1425" s="1" t="s">
        <v>2930</v>
      </c>
      <c r="D1425" s="1" t="s">
        <v>2948</v>
      </c>
      <c r="E1425" s="1" t="s">
        <v>3110</v>
      </c>
      <c r="F1425" s="1" t="s">
        <v>16</v>
      </c>
      <c r="G1425" s="1" t="s">
        <v>23</v>
      </c>
      <c r="H1425" s="1" t="s">
        <v>18</v>
      </c>
      <c r="I1425" s="1" t="s">
        <v>19</v>
      </c>
      <c r="J1425" s="1">
        <f>IFERROR(__xludf.DUMMYFUNCTION("""COMPUTED_VALUE"""),50.0)</f>
        <v>50</v>
      </c>
      <c r="K1425" s="1">
        <v>20.0</v>
      </c>
      <c r="L1425" s="1">
        <f>IFERROR(__xludf.DUMMYFUNCTION("""COMPUTED_VALUE"""),182.0)</f>
        <v>182</v>
      </c>
    </row>
    <row r="1426">
      <c r="A1426" s="1">
        <v>3308014.0</v>
      </c>
      <c r="B1426" s="1" t="s">
        <v>3111</v>
      </c>
      <c r="C1426" s="1" t="s">
        <v>2930</v>
      </c>
      <c r="D1426" s="1" t="s">
        <v>3107</v>
      </c>
      <c r="E1426" s="1" t="s">
        <v>3112</v>
      </c>
      <c r="F1426" s="1" t="s">
        <v>16</v>
      </c>
      <c r="G1426" s="1" t="s">
        <v>17</v>
      </c>
      <c r="H1426" s="1" t="s">
        <v>28</v>
      </c>
      <c r="I1426" s="1" t="s">
        <v>40</v>
      </c>
      <c r="J1426" s="1">
        <f>IFERROR(__xludf.DUMMYFUNCTION("""COMPUTED_VALUE"""),159.0)</f>
        <v>159</v>
      </c>
      <c r="K1426" s="1">
        <v>39.0</v>
      </c>
      <c r="L1426" s="1">
        <f>IFERROR(__xludf.DUMMYFUNCTION("""COMPUTED_VALUE"""),591.0)</f>
        <v>591</v>
      </c>
    </row>
    <row r="1427">
      <c r="A1427" s="1">
        <v>3374123.0</v>
      </c>
      <c r="B1427" s="1" t="s">
        <v>3113</v>
      </c>
      <c r="C1427" s="1" t="s">
        <v>2930</v>
      </c>
      <c r="D1427" s="1" t="s">
        <v>2948</v>
      </c>
      <c r="E1427" s="1" t="s">
        <v>3114</v>
      </c>
      <c r="F1427" s="1" t="s">
        <v>174</v>
      </c>
      <c r="G1427" s="1" t="s">
        <v>150</v>
      </c>
      <c r="H1427" s="1" t="s">
        <v>28</v>
      </c>
      <c r="I1427" s="1" t="s">
        <v>139</v>
      </c>
      <c r="J1427" s="1">
        <f>IFERROR(__xludf.DUMMYFUNCTION("""COMPUTED_VALUE"""),343.0)</f>
        <v>343</v>
      </c>
      <c r="K1427" s="1">
        <v>53.0</v>
      </c>
      <c r="L1427" s="1">
        <f>IFERROR(__xludf.DUMMYFUNCTION("""COMPUTED_VALUE"""),315.0)</f>
        <v>315</v>
      </c>
    </row>
    <row r="1428">
      <c r="A1428" s="1">
        <v>3326016.0</v>
      </c>
      <c r="B1428" s="1" t="s">
        <v>3115</v>
      </c>
      <c r="C1428" s="1" t="s">
        <v>2930</v>
      </c>
      <c r="D1428" s="1" t="s">
        <v>3033</v>
      </c>
      <c r="E1428" s="1" t="s">
        <v>3116</v>
      </c>
      <c r="F1428" s="1" t="s">
        <v>16</v>
      </c>
      <c r="G1428" s="1" t="s">
        <v>17</v>
      </c>
      <c r="H1428" s="1" t="s">
        <v>18</v>
      </c>
      <c r="I1428" s="1" t="s">
        <v>684</v>
      </c>
      <c r="J1428" s="1">
        <f>IFERROR(__xludf.DUMMYFUNCTION("""COMPUTED_VALUE"""),182.0)</f>
        <v>182</v>
      </c>
      <c r="K1428" s="1">
        <v>35.0</v>
      </c>
      <c r="L1428" s="1">
        <f>IFERROR(__xludf.DUMMYFUNCTION("""COMPUTED_VALUE"""),277.0)</f>
        <v>277</v>
      </c>
    </row>
    <row r="1429">
      <c r="A1429" s="1">
        <v>3312010.0</v>
      </c>
      <c r="B1429" s="1" t="s">
        <v>3117</v>
      </c>
      <c r="C1429" s="1" t="s">
        <v>2930</v>
      </c>
      <c r="D1429" s="1" t="s">
        <v>3118</v>
      </c>
      <c r="E1429" s="1" t="s">
        <v>3119</v>
      </c>
      <c r="F1429" s="1" t="s">
        <v>16</v>
      </c>
      <c r="G1429" s="1" t="s">
        <v>27</v>
      </c>
      <c r="H1429" s="1" t="s">
        <v>28</v>
      </c>
      <c r="I1429" s="1" t="s">
        <v>40</v>
      </c>
      <c r="J1429" s="1">
        <f>IFERROR(__xludf.DUMMYFUNCTION("""COMPUTED_VALUE"""),269.0)</f>
        <v>269</v>
      </c>
      <c r="K1429" s="1">
        <v>122.0</v>
      </c>
      <c r="L1429" s="1">
        <f>IFERROR(__xludf.DUMMYFUNCTION("""COMPUTED_VALUE"""),696.0)</f>
        <v>696</v>
      </c>
    </row>
    <row r="1430">
      <c r="A1430" s="1">
        <v>3376023.0</v>
      </c>
      <c r="B1430" s="1" t="s">
        <v>3120</v>
      </c>
      <c r="C1430" s="1" t="s">
        <v>2930</v>
      </c>
      <c r="D1430" s="1" t="s">
        <v>3038</v>
      </c>
      <c r="E1430" s="1" t="s">
        <v>3121</v>
      </c>
      <c r="F1430" s="1" t="s">
        <v>16</v>
      </c>
      <c r="G1430" s="1" t="s">
        <v>17</v>
      </c>
      <c r="H1430" s="1" t="s">
        <v>18</v>
      </c>
      <c r="I1430" s="1" t="s">
        <v>19</v>
      </c>
      <c r="J1430" s="1">
        <f>IFERROR(__xludf.DUMMYFUNCTION("""COMPUTED_VALUE"""),181.0)</f>
        <v>181</v>
      </c>
      <c r="K1430" s="1">
        <v>40.0</v>
      </c>
      <c r="L1430" s="1">
        <f>IFERROR(__xludf.DUMMYFUNCTION("""COMPUTED_VALUE"""),250.0)</f>
        <v>250</v>
      </c>
    </row>
    <row r="1431">
      <c r="A1431" s="1">
        <v>3310425.0</v>
      </c>
      <c r="B1431" s="1" t="s">
        <v>3122</v>
      </c>
      <c r="C1431" s="1" t="s">
        <v>2930</v>
      </c>
      <c r="D1431" s="1" t="s">
        <v>2989</v>
      </c>
      <c r="E1431" s="1" t="s">
        <v>3123</v>
      </c>
      <c r="F1431" s="1" t="s">
        <v>16</v>
      </c>
      <c r="G1431" s="1" t="s">
        <v>23</v>
      </c>
      <c r="H1431" s="1" t="s">
        <v>18</v>
      </c>
      <c r="I1431" s="1" t="s">
        <v>684</v>
      </c>
      <c r="J1431" s="1">
        <f>IFERROR(__xludf.DUMMYFUNCTION("""COMPUTED_VALUE"""),61.0)</f>
        <v>61</v>
      </c>
      <c r="K1431" s="1">
        <v>39.0</v>
      </c>
      <c r="L1431" s="1">
        <f>IFERROR(__xludf.DUMMYFUNCTION("""COMPUTED_VALUE"""),59.0)</f>
        <v>59</v>
      </c>
    </row>
    <row r="1432">
      <c r="A1432" s="1">
        <v>3374371.0</v>
      </c>
      <c r="B1432" s="1" t="s">
        <v>3124</v>
      </c>
      <c r="C1432" s="1" t="s">
        <v>2930</v>
      </c>
      <c r="D1432" s="1" t="s">
        <v>2948</v>
      </c>
      <c r="E1432" s="1" t="s">
        <v>3125</v>
      </c>
      <c r="F1432" s="1" t="s">
        <v>55</v>
      </c>
      <c r="G1432" s="1" t="s">
        <v>17</v>
      </c>
      <c r="H1432" s="1" t="s">
        <v>18</v>
      </c>
      <c r="I1432" s="1" t="s">
        <v>19</v>
      </c>
      <c r="J1432" s="1">
        <f>IFERROR(__xludf.DUMMYFUNCTION("""COMPUTED_VALUE"""),25.0)</f>
        <v>25</v>
      </c>
      <c r="K1432" s="1">
        <v>27.0</v>
      </c>
      <c r="L1432" s="1">
        <f>IFERROR(__xludf.DUMMYFUNCTION("""COMPUTED_VALUE"""),118.0)</f>
        <v>118</v>
      </c>
    </row>
    <row r="1433">
      <c r="A1433" s="1">
        <v>3309136.0</v>
      </c>
      <c r="B1433" s="1" t="s">
        <v>3126</v>
      </c>
      <c r="C1433" s="1" t="s">
        <v>2930</v>
      </c>
      <c r="D1433" s="1" t="s">
        <v>2973</v>
      </c>
      <c r="E1433" s="1" t="s">
        <v>3127</v>
      </c>
      <c r="F1433" s="1" t="s">
        <v>16</v>
      </c>
      <c r="G1433" s="1" t="s">
        <v>17</v>
      </c>
      <c r="H1433" s="1" t="s">
        <v>18</v>
      </c>
      <c r="I1433" s="1" t="s">
        <v>19</v>
      </c>
      <c r="J1433" s="1">
        <f>IFERROR(__xludf.DUMMYFUNCTION("""COMPUTED_VALUE"""),102.0)</f>
        <v>102</v>
      </c>
      <c r="K1433" s="1">
        <v>34.0</v>
      </c>
      <c r="L1433" s="1">
        <f>IFERROR(__xludf.DUMMYFUNCTION("""COMPUTED_VALUE"""),63.0)</f>
        <v>63</v>
      </c>
    </row>
    <row r="1434">
      <c r="A1434" s="1">
        <v>3314045.0</v>
      </c>
      <c r="B1434" s="1" t="s">
        <v>3128</v>
      </c>
      <c r="C1434" s="1" t="s">
        <v>2930</v>
      </c>
      <c r="D1434" s="1" t="s">
        <v>2945</v>
      </c>
      <c r="E1434" s="1" t="s">
        <v>3129</v>
      </c>
      <c r="F1434" s="1" t="s">
        <v>16</v>
      </c>
      <c r="G1434" s="1" t="s">
        <v>17</v>
      </c>
      <c r="H1434" s="1" t="s">
        <v>18</v>
      </c>
      <c r="I1434" s="1" t="s">
        <v>59</v>
      </c>
      <c r="J1434" s="1">
        <f>IFERROR(__xludf.DUMMYFUNCTION("""COMPUTED_VALUE"""),126.0)</f>
        <v>126</v>
      </c>
      <c r="K1434" s="1">
        <v>34.0</v>
      </c>
      <c r="L1434" s="1">
        <f>IFERROR(__xludf.DUMMYFUNCTION("""COMPUTED_VALUE"""),393.0)</f>
        <v>393</v>
      </c>
    </row>
    <row r="1435">
      <c r="A1435" s="1">
        <v>3310418.0</v>
      </c>
      <c r="B1435" s="1" t="s">
        <v>3130</v>
      </c>
      <c r="C1435" s="1" t="s">
        <v>2930</v>
      </c>
      <c r="D1435" s="1" t="s">
        <v>2989</v>
      </c>
      <c r="E1435" s="1" t="s">
        <v>3131</v>
      </c>
      <c r="F1435" s="1" t="s">
        <v>16</v>
      </c>
      <c r="G1435" s="1" t="s">
        <v>23</v>
      </c>
      <c r="H1435" s="1" t="s">
        <v>18</v>
      </c>
      <c r="I1435" s="1" t="s">
        <v>684</v>
      </c>
      <c r="J1435" s="1">
        <f>IFERROR(__xludf.DUMMYFUNCTION("""COMPUTED_VALUE"""),110.0)</f>
        <v>110</v>
      </c>
      <c r="K1435" s="1">
        <v>32.0</v>
      </c>
      <c r="L1435" s="1">
        <f>IFERROR(__xludf.DUMMYFUNCTION("""COMPUTED_VALUE"""),201.0)</f>
        <v>201</v>
      </c>
    </row>
    <row r="1436">
      <c r="A1436" s="1">
        <v>3302154.0</v>
      </c>
      <c r="B1436" s="1" t="s">
        <v>157</v>
      </c>
      <c r="C1436" s="1" t="s">
        <v>2930</v>
      </c>
      <c r="D1436" s="1" t="s">
        <v>2937</v>
      </c>
      <c r="E1436" s="1" t="s">
        <v>3132</v>
      </c>
      <c r="F1436" s="1" t="s">
        <v>16</v>
      </c>
      <c r="G1436" s="1" t="s">
        <v>23</v>
      </c>
      <c r="H1436" s="1" t="s">
        <v>18</v>
      </c>
      <c r="I1436" s="1" t="s">
        <v>59</v>
      </c>
      <c r="J1436" s="1">
        <f>IFERROR(__xludf.DUMMYFUNCTION("""COMPUTED_VALUE"""),55.0)</f>
        <v>55</v>
      </c>
      <c r="K1436" s="1">
        <v>27.0</v>
      </c>
      <c r="L1436" s="1">
        <f>IFERROR(__xludf.DUMMYFUNCTION("""COMPUTED_VALUE"""),95.0)</f>
        <v>95</v>
      </c>
    </row>
    <row r="1437">
      <c r="A1437" s="1">
        <v>3372030.0</v>
      </c>
      <c r="B1437" s="1" t="s">
        <v>3133</v>
      </c>
      <c r="C1437" s="1" t="s">
        <v>2930</v>
      </c>
      <c r="D1437" s="1" t="s">
        <v>2967</v>
      </c>
      <c r="E1437" s="1" t="s">
        <v>3134</v>
      </c>
      <c r="F1437" s="1" t="s">
        <v>16</v>
      </c>
      <c r="G1437" s="1" t="s">
        <v>17</v>
      </c>
      <c r="H1437" s="1" t="s">
        <v>33</v>
      </c>
      <c r="I1437" s="1" t="s">
        <v>74</v>
      </c>
      <c r="J1437" s="1">
        <f>IFERROR(__xludf.DUMMYFUNCTION("""COMPUTED_VALUE"""),112.0)</f>
        <v>112</v>
      </c>
      <c r="K1437" s="1">
        <v>30.0</v>
      </c>
      <c r="L1437" s="1">
        <f>IFERROR(__xludf.DUMMYFUNCTION("""COMPUTED_VALUE"""),326.0)</f>
        <v>326</v>
      </c>
    </row>
    <row r="1438">
      <c r="A1438" s="1">
        <v>3372238.0</v>
      </c>
      <c r="B1438" s="1" t="s">
        <v>3135</v>
      </c>
      <c r="C1438" s="1" t="s">
        <v>2930</v>
      </c>
      <c r="D1438" s="1" t="s">
        <v>2967</v>
      </c>
      <c r="E1438" s="1" t="s">
        <v>3136</v>
      </c>
      <c r="F1438" s="1" t="s">
        <v>16</v>
      </c>
      <c r="G1438" s="1" t="s">
        <v>23</v>
      </c>
      <c r="H1438" s="1" t="s">
        <v>18</v>
      </c>
      <c r="I1438" s="1" t="s">
        <v>684</v>
      </c>
      <c r="J1438" s="1">
        <f>IFERROR(__xludf.DUMMYFUNCTION("""COMPUTED_VALUE"""),62.0)</f>
        <v>62</v>
      </c>
      <c r="K1438" s="1">
        <v>35.0</v>
      </c>
      <c r="L1438" s="1">
        <f>IFERROR(__xludf.DUMMYFUNCTION("""COMPUTED_VALUE"""),64.0)</f>
        <v>64</v>
      </c>
    </row>
    <row r="1439">
      <c r="A1439" s="1">
        <v>3318075.0</v>
      </c>
      <c r="B1439" s="1" t="s">
        <v>3137</v>
      </c>
      <c r="C1439" s="1" t="s">
        <v>2930</v>
      </c>
      <c r="D1439" s="1" t="s">
        <v>3049</v>
      </c>
      <c r="E1439" s="1" t="s">
        <v>3138</v>
      </c>
      <c r="F1439" s="1" t="s">
        <v>16</v>
      </c>
      <c r="G1439" s="1" t="s">
        <v>17</v>
      </c>
      <c r="H1439" s="1" t="s">
        <v>18</v>
      </c>
      <c r="I1439" s="1" t="s">
        <v>59</v>
      </c>
      <c r="J1439" s="1">
        <f>IFERROR(__xludf.DUMMYFUNCTION("""COMPUTED_VALUE"""),115.0)</f>
        <v>115</v>
      </c>
      <c r="K1439" s="1">
        <v>30.0</v>
      </c>
      <c r="L1439" s="1">
        <f>IFERROR(__xludf.DUMMYFUNCTION("""COMPUTED_VALUE"""),311.0)</f>
        <v>311</v>
      </c>
    </row>
    <row r="1440">
      <c r="A1440" s="1">
        <v>3305103.0</v>
      </c>
      <c r="B1440" s="1" t="s">
        <v>3139</v>
      </c>
      <c r="C1440" s="1" t="s">
        <v>2930</v>
      </c>
      <c r="D1440" s="1" t="s">
        <v>2958</v>
      </c>
      <c r="E1440" s="1" t="s">
        <v>3140</v>
      </c>
      <c r="F1440" s="1" t="s">
        <v>16</v>
      </c>
      <c r="G1440" s="1" t="s">
        <v>17</v>
      </c>
      <c r="H1440" s="1" t="s">
        <v>18</v>
      </c>
      <c r="I1440" s="1" t="s">
        <v>684</v>
      </c>
      <c r="J1440" s="1">
        <f>IFERROR(__xludf.DUMMYFUNCTION("""COMPUTED_VALUE"""),106.0)</f>
        <v>106</v>
      </c>
      <c r="K1440" s="1">
        <v>35.0</v>
      </c>
      <c r="L1440" s="1">
        <f>IFERROR(__xludf.DUMMYFUNCTION("""COMPUTED_VALUE"""),377.0)</f>
        <v>377</v>
      </c>
    </row>
    <row r="1441">
      <c r="A1441" s="1">
        <v>3374021.0</v>
      </c>
      <c r="B1441" s="1" t="s">
        <v>3141</v>
      </c>
      <c r="C1441" s="1" t="s">
        <v>2930</v>
      </c>
      <c r="D1441" s="1" t="s">
        <v>2948</v>
      </c>
      <c r="E1441" s="1" t="s">
        <v>3142</v>
      </c>
      <c r="F1441" s="1" t="s">
        <v>16</v>
      </c>
      <c r="G1441" s="1" t="s">
        <v>27</v>
      </c>
      <c r="H1441" s="1" t="s">
        <v>18</v>
      </c>
      <c r="I1441" s="1" t="s">
        <v>249</v>
      </c>
      <c r="J1441" s="1">
        <f>IFERROR(__xludf.DUMMYFUNCTION("""COMPUTED_VALUE"""),279.0)</f>
        <v>279</v>
      </c>
      <c r="K1441" s="1">
        <v>113.0</v>
      </c>
      <c r="L1441" s="1">
        <f>IFERROR(__xludf.DUMMYFUNCTION("""COMPUTED_VALUE"""),160.0)</f>
        <v>160</v>
      </c>
    </row>
    <row r="1442">
      <c r="A1442" s="1">
        <v>3318111.0</v>
      </c>
      <c r="B1442" s="1" t="s">
        <v>3143</v>
      </c>
      <c r="C1442" s="1" t="s">
        <v>2930</v>
      </c>
      <c r="D1442" s="1" t="s">
        <v>3049</v>
      </c>
      <c r="E1442" s="1" t="s">
        <v>3144</v>
      </c>
      <c r="F1442" s="1" t="s">
        <v>16</v>
      </c>
      <c r="G1442" s="1" t="s">
        <v>17</v>
      </c>
      <c r="H1442" s="1" t="s">
        <v>18</v>
      </c>
      <c r="I1442" s="1" t="s">
        <v>19</v>
      </c>
      <c r="J1442" s="1">
        <f>IFERROR(__xludf.DUMMYFUNCTION("""COMPUTED_VALUE"""),137.0)</f>
        <v>137</v>
      </c>
      <c r="K1442" s="1">
        <v>20.0</v>
      </c>
      <c r="L1442" s="1">
        <f>IFERROR(__xludf.DUMMYFUNCTION("""COMPUTED_VALUE"""),157.0)</f>
        <v>157</v>
      </c>
    </row>
    <row r="1443">
      <c r="A1443" s="1">
        <v>3323013.0</v>
      </c>
      <c r="B1443" s="1" t="s">
        <v>3145</v>
      </c>
      <c r="C1443" s="1" t="s">
        <v>2930</v>
      </c>
      <c r="D1443" s="1" t="s">
        <v>3146</v>
      </c>
      <c r="E1443" s="1" t="s">
        <v>3147</v>
      </c>
      <c r="F1443" s="1" t="s">
        <v>16</v>
      </c>
      <c r="G1443" s="1" t="s">
        <v>27</v>
      </c>
      <c r="H1443" s="1" t="s">
        <v>28</v>
      </c>
      <c r="I1443" s="1" t="s">
        <v>40</v>
      </c>
      <c r="J1443" s="1">
        <f>IFERROR(__xludf.DUMMYFUNCTION("""COMPUTED_VALUE"""),318.0)</f>
        <v>318</v>
      </c>
      <c r="K1443" s="1">
        <v>83.0</v>
      </c>
      <c r="L1443" s="1">
        <f>IFERROR(__xludf.DUMMYFUNCTION("""COMPUTED_VALUE"""),837.0)</f>
        <v>837</v>
      </c>
    </row>
    <row r="1444">
      <c r="A1444" s="1">
        <v>3311225.0</v>
      </c>
      <c r="B1444" s="1" t="s">
        <v>3148</v>
      </c>
      <c r="C1444" s="1" t="s">
        <v>2930</v>
      </c>
      <c r="D1444" s="1" t="s">
        <v>3014</v>
      </c>
      <c r="E1444" s="1" t="s">
        <v>3149</v>
      </c>
      <c r="F1444" s="1" t="s">
        <v>16</v>
      </c>
      <c r="G1444" s="1" t="s">
        <v>17</v>
      </c>
      <c r="H1444" s="1" t="s">
        <v>18</v>
      </c>
      <c r="I1444" s="1" t="s">
        <v>684</v>
      </c>
      <c r="J1444" s="1">
        <f>IFERROR(__xludf.DUMMYFUNCTION("""COMPUTED_VALUE"""),6.0)</f>
        <v>6</v>
      </c>
      <c r="K1444" s="1">
        <v>95.0</v>
      </c>
      <c r="L1444" s="1">
        <f>IFERROR(__xludf.DUMMYFUNCTION("""COMPUTED_VALUE"""),156.0)</f>
        <v>156</v>
      </c>
    </row>
    <row r="1445">
      <c r="A1445" s="1">
        <v>3372253.0</v>
      </c>
      <c r="B1445" s="1" t="s">
        <v>3150</v>
      </c>
      <c r="C1445" s="1" t="s">
        <v>2930</v>
      </c>
      <c r="D1445" s="1" t="s">
        <v>2967</v>
      </c>
      <c r="E1445" s="1" t="s">
        <v>3151</v>
      </c>
      <c r="F1445" s="1" t="s">
        <v>16</v>
      </c>
      <c r="G1445" s="1" t="s">
        <v>23</v>
      </c>
      <c r="H1445" s="1" t="s">
        <v>18</v>
      </c>
      <c r="I1445" s="1" t="s">
        <v>65</v>
      </c>
      <c r="J1445" s="1">
        <f>IFERROR(__xludf.DUMMYFUNCTION("""COMPUTED_VALUE"""),82.0)</f>
        <v>82</v>
      </c>
      <c r="K1445" s="1">
        <v>40.0</v>
      </c>
      <c r="L1445" s="1">
        <f>IFERROR(__xludf.DUMMYFUNCTION("""COMPUTED_VALUE"""),182.0)</f>
        <v>182</v>
      </c>
    </row>
    <row r="1446">
      <c r="A1446" s="1">
        <v>3318125.0</v>
      </c>
      <c r="B1446" s="1" t="s">
        <v>3152</v>
      </c>
      <c r="C1446" s="1" t="s">
        <v>2930</v>
      </c>
      <c r="D1446" s="1" t="s">
        <v>3049</v>
      </c>
      <c r="E1446" s="1" t="s">
        <v>3153</v>
      </c>
      <c r="F1446" s="1" t="s">
        <v>55</v>
      </c>
      <c r="G1446" s="1" t="s">
        <v>17</v>
      </c>
      <c r="H1446" s="1" t="s">
        <v>18</v>
      </c>
      <c r="I1446" s="1" t="s">
        <v>19</v>
      </c>
      <c r="J1446" s="1">
        <f>IFERROR(__xludf.DUMMYFUNCTION("""COMPUTED_VALUE"""),27.0)</f>
        <v>27</v>
      </c>
      <c r="K1446" s="1">
        <v>14.0</v>
      </c>
      <c r="L1446" s="1">
        <f>IFERROR(__xludf.DUMMYFUNCTION("""COMPUTED_VALUE"""),182.0)</f>
        <v>182</v>
      </c>
    </row>
    <row r="1447">
      <c r="A1447" s="1">
        <v>3310052.0</v>
      </c>
      <c r="B1447" s="1" t="s">
        <v>3154</v>
      </c>
      <c r="C1447" s="1" t="s">
        <v>2930</v>
      </c>
      <c r="D1447" s="1" t="s">
        <v>2989</v>
      </c>
      <c r="E1447" s="1" t="s">
        <v>3155</v>
      </c>
      <c r="F1447" s="1" t="s">
        <v>16</v>
      </c>
      <c r="G1447" s="1" t="s">
        <v>17</v>
      </c>
      <c r="H1447" s="1" t="s">
        <v>18</v>
      </c>
      <c r="I1447" s="1" t="s">
        <v>684</v>
      </c>
      <c r="J1447" s="1">
        <f>IFERROR(__xludf.DUMMYFUNCTION("""COMPUTED_VALUE"""),151.0)</f>
        <v>151</v>
      </c>
      <c r="K1447" s="1">
        <v>29.0</v>
      </c>
      <c r="L1447" s="1">
        <f>IFERROR(__xludf.DUMMYFUNCTION("""COMPUTED_VALUE"""),157.0)</f>
        <v>157</v>
      </c>
    </row>
    <row r="1448">
      <c r="A1448" s="1">
        <v>3374342.0</v>
      </c>
      <c r="B1448" s="1" t="s">
        <v>3156</v>
      </c>
      <c r="C1448" s="1" t="s">
        <v>2930</v>
      </c>
      <c r="D1448" s="1" t="s">
        <v>2948</v>
      </c>
      <c r="E1448" s="1" t="s">
        <v>3157</v>
      </c>
      <c r="F1448" s="1" t="s">
        <v>16</v>
      </c>
      <c r="G1448" s="1" t="s">
        <v>27</v>
      </c>
      <c r="H1448" s="1" t="s">
        <v>28</v>
      </c>
      <c r="I1448" s="1" t="s">
        <v>29</v>
      </c>
      <c r="J1448" s="1">
        <f>IFERROR(__xludf.DUMMYFUNCTION("""COMPUTED_VALUE"""),530.0)</f>
        <v>530</v>
      </c>
      <c r="K1448" s="1">
        <v>89.0</v>
      </c>
      <c r="L1448" s="1">
        <f>IFERROR(__xludf.DUMMYFUNCTION("""COMPUTED_VALUE"""),1434.0)</f>
        <v>1434</v>
      </c>
    </row>
    <row r="1449">
      <c r="A1449" s="1">
        <v>3310417.0</v>
      </c>
      <c r="B1449" s="1" t="s">
        <v>3158</v>
      </c>
      <c r="C1449" s="1" t="s">
        <v>2930</v>
      </c>
      <c r="D1449" s="1" t="s">
        <v>2989</v>
      </c>
      <c r="E1449" s="1" t="s">
        <v>3159</v>
      </c>
      <c r="F1449" s="1" t="s">
        <v>16</v>
      </c>
      <c r="G1449" s="1" t="s">
        <v>17</v>
      </c>
      <c r="H1449" s="1" t="s">
        <v>18</v>
      </c>
      <c r="I1449" s="1" t="s">
        <v>19</v>
      </c>
      <c r="J1449" s="1">
        <f>IFERROR(__xludf.DUMMYFUNCTION("""COMPUTED_VALUE"""),107.0)</f>
        <v>107</v>
      </c>
      <c r="K1449" s="1">
        <v>55.0</v>
      </c>
      <c r="L1449" s="1">
        <f>IFERROR(__xludf.DUMMYFUNCTION("""COMPUTED_VALUE"""),182.0)</f>
        <v>182</v>
      </c>
    </row>
    <row r="1450">
      <c r="A1450" s="1">
        <v>3327043.0</v>
      </c>
      <c r="B1450" s="1" t="s">
        <v>3160</v>
      </c>
      <c r="C1450" s="1" t="s">
        <v>2930</v>
      </c>
      <c r="D1450" s="1" t="s">
        <v>3054</v>
      </c>
      <c r="E1450" s="1" t="s">
        <v>3161</v>
      </c>
      <c r="F1450" s="1" t="s">
        <v>16</v>
      </c>
      <c r="G1450" s="1" t="s">
        <v>17</v>
      </c>
      <c r="H1450" s="1" t="s">
        <v>18</v>
      </c>
      <c r="I1450" s="1" t="s">
        <v>684</v>
      </c>
      <c r="J1450" s="1">
        <f>IFERROR(__xludf.DUMMYFUNCTION("""COMPUTED_VALUE"""),114.0)</f>
        <v>114</v>
      </c>
      <c r="K1450" s="1">
        <v>27.0</v>
      </c>
      <c r="L1450" s="1">
        <f>IFERROR(__xludf.DUMMYFUNCTION("""COMPUTED_VALUE"""),152.0)</f>
        <v>152</v>
      </c>
    </row>
    <row r="1451">
      <c r="A1451" s="1">
        <v>3311229.0</v>
      </c>
      <c r="B1451" s="1" t="s">
        <v>3162</v>
      </c>
      <c r="C1451" s="1" t="s">
        <v>2930</v>
      </c>
      <c r="D1451" s="1" t="s">
        <v>3014</v>
      </c>
      <c r="E1451" s="1" t="s">
        <v>3163</v>
      </c>
      <c r="F1451" s="1" t="s">
        <v>16</v>
      </c>
      <c r="G1451" s="1" t="s">
        <v>17</v>
      </c>
      <c r="H1451" s="1" t="s">
        <v>18</v>
      </c>
      <c r="I1451" s="1" t="s">
        <v>19</v>
      </c>
      <c r="J1451" s="1">
        <f>IFERROR(__xludf.DUMMYFUNCTION("""COMPUTED_VALUE"""),182.0)</f>
        <v>182</v>
      </c>
      <c r="K1451" s="1">
        <v>58.0</v>
      </c>
      <c r="L1451" s="1">
        <f>IFERROR(__xludf.DUMMYFUNCTION("""COMPUTED_VALUE"""),1075.0)</f>
        <v>1075</v>
      </c>
    </row>
    <row r="1452">
      <c r="A1452" s="1">
        <v>3302232.0</v>
      </c>
      <c r="B1452" s="1" t="s">
        <v>3164</v>
      </c>
      <c r="C1452" s="1" t="s">
        <v>2930</v>
      </c>
      <c r="D1452" s="1" t="s">
        <v>2937</v>
      </c>
      <c r="E1452" s="1" t="s">
        <v>3165</v>
      </c>
      <c r="F1452" s="1" t="s">
        <v>16</v>
      </c>
      <c r="G1452" s="1" t="s">
        <v>17</v>
      </c>
      <c r="H1452" s="1" t="s">
        <v>18</v>
      </c>
      <c r="I1452" s="1" t="s">
        <v>44</v>
      </c>
      <c r="J1452" s="1">
        <f>IFERROR(__xludf.DUMMYFUNCTION("""COMPUTED_VALUE"""),133.0)</f>
        <v>133</v>
      </c>
      <c r="K1452" s="1">
        <v>94.0</v>
      </c>
      <c r="L1452" s="1">
        <f>IFERROR(__xludf.DUMMYFUNCTION("""COMPUTED_VALUE"""),233.0)</f>
        <v>233</v>
      </c>
    </row>
    <row r="1453">
      <c r="A1453" s="1">
        <v>3320046.0</v>
      </c>
      <c r="B1453" s="1" t="s">
        <v>3166</v>
      </c>
      <c r="C1453" s="1" t="s">
        <v>2930</v>
      </c>
      <c r="D1453" s="1" t="s">
        <v>3104</v>
      </c>
      <c r="E1453" s="1" t="s">
        <v>3167</v>
      </c>
      <c r="F1453" s="1" t="s">
        <v>16</v>
      </c>
      <c r="G1453" s="1" t="s">
        <v>23</v>
      </c>
      <c r="H1453" s="1" t="s">
        <v>18</v>
      </c>
      <c r="I1453" s="1" t="s">
        <v>684</v>
      </c>
      <c r="J1453" s="1">
        <f>IFERROR(__xludf.DUMMYFUNCTION("""COMPUTED_VALUE"""),75.0)</f>
        <v>75</v>
      </c>
      <c r="K1453" s="1">
        <v>21.0</v>
      </c>
      <c r="L1453" s="1">
        <f>IFERROR(__xludf.DUMMYFUNCTION("""COMPUTED_VALUE"""),40.0)</f>
        <v>40</v>
      </c>
    </row>
    <row r="1454">
      <c r="A1454" s="1">
        <v>3315075.0</v>
      </c>
      <c r="B1454" s="1" t="s">
        <v>3168</v>
      </c>
      <c r="C1454" s="1" t="s">
        <v>2930</v>
      </c>
      <c r="D1454" s="1" t="s">
        <v>3005</v>
      </c>
      <c r="E1454" s="1" t="s">
        <v>3169</v>
      </c>
      <c r="F1454" s="1" t="s">
        <v>16</v>
      </c>
      <c r="G1454" s="1" t="s">
        <v>23</v>
      </c>
      <c r="H1454" s="1" t="s">
        <v>18</v>
      </c>
      <c r="I1454" s="1" t="s">
        <v>44</v>
      </c>
      <c r="J1454" s="1">
        <f>IFERROR(__xludf.DUMMYFUNCTION("""COMPUTED_VALUE"""),49.0)</f>
        <v>49</v>
      </c>
      <c r="K1454" s="1">
        <v>25.0</v>
      </c>
      <c r="L1454" s="1">
        <f>IFERROR(__xludf.DUMMYFUNCTION("""COMPUTED_VALUE"""),182.0)</f>
        <v>182</v>
      </c>
    </row>
    <row r="1455">
      <c r="A1455" s="1">
        <v>3301105.0</v>
      </c>
      <c r="B1455" s="1" t="s">
        <v>3170</v>
      </c>
      <c r="C1455" s="1" t="s">
        <v>2930</v>
      </c>
      <c r="D1455" s="1" t="s">
        <v>2996</v>
      </c>
      <c r="E1455" s="1" t="s">
        <v>3171</v>
      </c>
      <c r="F1455" s="1" t="s">
        <v>16</v>
      </c>
      <c r="G1455" s="1" t="s">
        <v>23</v>
      </c>
      <c r="H1455" s="1" t="s">
        <v>18</v>
      </c>
      <c r="I1455" s="1" t="s">
        <v>59</v>
      </c>
      <c r="J1455" s="1">
        <f>IFERROR(__xludf.DUMMYFUNCTION("""COMPUTED_VALUE"""),50.0)</f>
        <v>50</v>
      </c>
      <c r="K1455" s="1">
        <v>22.0</v>
      </c>
      <c r="L1455" s="1">
        <f>IFERROR(__xludf.DUMMYFUNCTION("""COMPUTED_VALUE"""),118.0)</f>
        <v>118</v>
      </c>
    </row>
    <row r="1456">
      <c r="A1456" s="1">
        <v>3371040.0</v>
      </c>
      <c r="B1456" s="1" t="s">
        <v>3172</v>
      </c>
      <c r="C1456" s="1" t="s">
        <v>2930</v>
      </c>
      <c r="D1456" s="1" t="s">
        <v>2939</v>
      </c>
      <c r="E1456" s="1" t="s">
        <v>3173</v>
      </c>
      <c r="F1456" s="1" t="s">
        <v>174</v>
      </c>
      <c r="G1456" s="1" t="s">
        <v>150</v>
      </c>
      <c r="H1456" s="1" t="s">
        <v>33</v>
      </c>
      <c r="I1456" s="1" t="s">
        <v>411</v>
      </c>
      <c r="J1456" s="1">
        <f>IFERROR(__xludf.DUMMYFUNCTION("""COMPUTED_VALUE"""),456.0)</f>
        <v>456</v>
      </c>
      <c r="K1456" s="1">
        <v>44.0</v>
      </c>
      <c r="L1456" s="1">
        <f>IFERROR(__xludf.DUMMYFUNCTION("""COMPUTED_VALUE"""),948.0)</f>
        <v>948</v>
      </c>
    </row>
    <row r="1457">
      <c r="A1457" s="1">
        <v>3316025.0</v>
      </c>
      <c r="B1457" s="1" t="s">
        <v>3174</v>
      </c>
      <c r="C1457" s="1" t="s">
        <v>2930</v>
      </c>
      <c r="D1457" s="1" t="s">
        <v>2951</v>
      </c>
      <c r="E1457" s="1" t="s">
        <v>3175</v>
      </c>
      <c r="F1457" s="1" t="s">
        <v>16</v>
      </c>
      <c r="G1457" s="1" t="s">
        <v>17</v>
      </c>
      <c r="H1457" s="1" t="s">
        <v>28</v>
      </c>
      <c r="I1457" s="1" t="s">
        <v>40</v>
      </c>
      <c r="J1457" s="1">
        <f>IFERROR(__xludf.DUMMYFUNCTION("""COMPUTED_VALUE"""),265.0)</f>
        <v>265</v>
      </c>
      <c r="K1457" s="1">
        <v>38.0</v>
      </c>
      <c r="L1457" s="1">
        <f>IFERROR(__xludf.DUMMYFUNCTION("""COMPUTED_VALUE"""),446.0)</f>
        <v>446</v>
      </c>
    </row>
    <row r="1458">
      <c r="A1458" s="1">
        <v>3302174.0</v>
      </c>
      <c r="B1458" s="1" t="s">
        <v>3176</v>
      </c>
      <c r="C1458" s="1" t="s">
        <v>2930</v>
      </c>
      <c r="D1458" s="1" t="s">
        <v>2937</v>
      </c>
      <c r="E1458" s="1" t="s">
        <v>3177</v>
      </c>
      <c r="F1458" s="1" t="s">
        <v>55</v>
      </c>
      <c r="G1458" s="1" t="s">
        <v>17</v>
      </c>
      <c r="H1458" s="1" t="s">
        <v>18</v>
      </c>
      <c r="I1458" s="1" t="s">
        <v>59</v>
      </c>
      <c r="J1458" s="1">
        <f>IFERROR(__xludf.DUMMYFUNCTION("""COMPUTED_VALUE"""),30.0)</f>
        <v>30</v>
      </c>
      <c r="K1458" s="1">
        <v>18.0</v>
      </c>
      <c r="L1458" s="1">
        <f>IFERROR(__xludf.DUMMYFUNCTION("""COMPUTED_VALUE"""),126.0)</f>
        <v>126</v>
      </c>
    </row>
    <row r="1459">
      <c r="A1459" s="1">
        <v>3309128.0</v>
      </c>
      <c r="B1459" s="1" t="s">
        <v>3178</v>
      </c>
      <c r="C1459" s="1" t="s">
        <v>2930</v>
      </c>
      <c r="D1459" s="1" t="s">
        <v>2973</v>
      </c>
      <c r="E1459" s="1" t="s">
        <v>3179</v>
      </c>
      <c r="F1459" s="1" t="s">
        <v>16</v>
      </c>
      <c r="G1459" s="1" t="s">
        <v>23</v>
      </c>
      <c r="H1459" s="1" t="s">
        <v>18</v>
      </c>
      <c r="I1459" s="1" t="s">
        <v>684</v>
      </c>
      <c r="J1459" s="1">
        <f>IFERROR(__xludf.DUMMYFUNCTION("""COMPUTED_VALUE"""),80.0)</f>
        <v>80</v>
      </c>
      <c r="K1459" s="1">
        <v>39.0</v>
      </c>
      <c r="L1459" s="1">
        <f>IFERROR(__xludf.DUMMYFUNCTION("""COMPUTED_VALUE"""),236.0)</f>
        <v>236</v>
      </c>
    </row>
    <row r="1460">
      <c r="A1460" s="1">
        <v>3328082.0</v>
      </c>
      <c r="B1460" s="1" t="s">
        <v>3180</v>
      </c>
      <c r="C1460" s="1" t="s">
        <v>2930</v>
      </c>
      <c r="D1460" s="1" t="s">
        <v>3038</v>
      </c>
      <c r="E1460" s="1" t="s">
        <v>3181</v>
      </c>
      <c r="F1460" s="1" t="s">
        <v>16</v>
      </c>
      <c r="G1460" s="1" t="s">
        <v>23</v>
      </c>
      <c r="H1460" s="1" t="s">
        <v>18</v>
      </c>
      <c r="I1460" s="1" t="s">
        <v>163</v>
      </c>
      <c r="J1460" s="1">
        <f>IFERROR(__xludf.DUMMYFUNCTION("""COMPUTED_VALUE"""),50.0)</f>
        <v>50</v>
      </c>
      <c r="K1460" s="1">
        <v>25.0</v>
      </c>
      <c r="L1460" s="1">
        <f>IFERROR(__xludf.DUMMYFUNCTION("""COMPUTED_VALUE"""),40.0)</f>
        <v>40</v>
      </c>
    </row>
    <row r="1461">
      <c r="A1461" s="1">
        <v>3304010.0</v>
      </c>
      <c r="B1461" s="1" t="s">
        <v>3182</v>
      </c>
      <c r="C1461" s="1" t="s">
        <v>2930</v>
      </c>
      <c r="D1461" s="1" t="s">
        <v>3183</v>
      </c>
      <c r="E1461" s="1" t="s">
        <v>3184</v>
      </c>
      <c r="F1461" s="1" t="s">
        <v>16</v>
      </c>
      <c r="G1461" s="1" t="s">
        <v>17</v>
      </c>
      <c r="H1461" s="1" t="s">
        <v>28</v>
      </c>
      <c r="I1461" s="1" t="s">
        <v>40</v>
      </c>
      <c r="J1461" s="1">
        <f>IFERROR(__xludf.DUMMYFUNCTION("""COMPUTED_VALUE"""),305.0)</f>
        <v>305</v>
      </c>
      <c r="K1461" s="1">
        <v>28.0</v>
      </c>
      <c r="L1461" s="1">
        <f>IFERROR(__xludf.DUMMYFUNCTION("""COMPUTED_VALUE"""),592.0)</f>
        <v>592</v>
      </c>
    </row>
    <row r="1462">
      <c r="A1462" s="1">
        <v>3372234.0</v>
      </c>
      <c r="B1462" s="1" t="s">
        <v>3185</v>
      </c>
      <c r="C1462" s="1" t="s">
        <v>2930</v>
      </c>
      <c r="D1462" s="1" t="s">
        <v>2967</v>
      </c>
      <c r="E1462" s="1" t="s">
        <v>3186</v>
      </c>
      <c r="F1462" s="1" t="s">
        <v>16</v>
      </c>
      <c r="G1462" s="1" t="s">
        <v>17</v>
      </c>
      <c r="H1462" s="1" t="s">
        <v>28</v>
      </c>
      <c r="I1462" s="1" t="s">
        <v>29</v>
      </c>
      <c r="J1462" s="1">
        <f>IFERROR(__xludf.DUMMYFUNCTION("""COMPUTED_VALUE"""),199.0)</f>
        <v>199</v>
      </c>
      <c r="K1462" s="1">
        <v>38.0</v>
      </c>
      <c r="L1462" s="1">
        <f>IFERROR(__xludf.DUMMYFUNCTION("""COMPUTED_VALUE"""),344.0)</f>
        <v>344</v>
      </c>
    </row>
    <row r="1463">
      <c r="A1463" s="1">
        <v>3373092.0</v>
      </c>
      <c r="B1463" s="1" t="s">
        <v>3187</v>
      </c>
      <c r="C1463" s="1" t="s">
        <v>2930</v>
      </c>
      <c r="D1463" s="1" t="s">
        <v>2961</v>
      </c>
      <c r="E1463" s="1" t="s">
        <v>3188</v>
      </c>
      <c r="F1463" s="1" t="s">
        <v>55</v>
      </c>
      <c r="G1463" s="1" t="s">
        <v>17</v>
      </c>
      <c r="H1463" s="1" t="s">
        <v>18</v>
      </c>
      <c r="I1463" s="1" t="s">
        <v>163</v>
      </c>
      <c r="J1463" s="1">
        <f>IFERROR(__xludf.DUMMYFUNCTION("""COMPUTED_VALUE"""),30.0)</f>
        <v>30</v>
      </c>
      <c r="K1463" s="1">
        <v>36.0</v>
      </c>
      <c r="L1463" s="1">
        <f>IFERROR(__xludf.DUMMYFUNCTION("""COMPUTED_VALUE"""),53.0)</f>
        <v>53</v>
      </c>
    </row>
    <row r="1464">
      <c r="A1464" s="1">
        <v>3320032.0</v>
      </c>
      <c r="B1464" s="1" t="s">
        <v>3189</v>
      </c>
      <c r="C1464" s="1" t="s">
        <v>2930</v>
      </c>
      <c r="D1464" s="1" t="s">
        <v>3104</v>
      </c>
      <c r="E1464" s="1" t="s">
        <v>3190</v>
      </c>
      <c r="F1464" s="1" t="s">
        <v>16</v>
      </c>
      <c r="G1464" s="1" t="s">
        <v>17</v>
      </c>
      <c r="H1464" s="1" t="s">
        <v>18</v>
      </c>
      <c r="I1464" s="1" t="s">
        <v>684</v>
      </c>
      <c r="J1464" s="1">
        <f>IFERROR(__xludf.DUMMYFUNCTION("""COMPUTED_VALUE"""),162.0)</f>
        <v>162</v>
      </c>
      <c r="K1464" s="1">
        <v>56.0</v>
      </c>
      <c r="L1464" s="1">
        <f>IFERROR(__xludf.DUMMYFUNCTION("""COMPUTED_VALUE"""),342.0)</f>
        <v>342</v>
      </c>
    </row>
    <row r="1465">
      <c r="A1465" s="1">
        <v>3311228.0</v>
      </c>
      <c r="B1465" s="1" t="s">
        <v>3191</v>
      </c>
      <c r="C1465" s="1" t="s">
        <v>2930</v>
      </c>
      <c r="D1465" s="1" t="s">
        <v>3014</v>
      </c>
      <c r="E1465" s="1" t="s">
        <v>3192</v>
      </c>
      <c r="F1465" s="1" t="s">
        <v>16</v>
      </c>
      <c r="G1465" s="1" t="s">
        <v>17</v>
      </c>
      <c r="H1465" s="1" t="s">
        <v>18</v>
      </c>
      <c r="I1465" s="1" t="s">
        <v>34</v>
      </c>
      <c r="J1465" s="1">
        <f>IFERROR(__xludf.DUMMYFUNCTION("""COMPUTED_VALUE"""),197.0)</f>
        <v>197</v>
      </c>
      <c r="K1465" s="1">
        <v>52.0</v>
      </c>
      <c r="L1465" s="1">
        <f>IFERROR(__xludf.DUMMYFUNCTION("""COMPUTED_VALUE"""),561.0)</f>
        <v>561</v>
      </c>
    </row>
    <row r="1466">
      <c r="A1466" s="1">
        <v>3374372.0</v>
      </c>
      <c r="B1466" s="1" t="s">
        <v>3193</v>
      </c>
      <c r="C1466" s="1" t="s">
        <v>2930</v>
      </c>
      <c r="D1466" s="1" t="s">
        <v>2948</v>
      </c>
      <c r="E1466" s="1" t="s">
        <v>3194</v>
      </c>
      <c r="F1466" s="1" t="s">
        <v>32</v>
      </c>
      <c r="G1466" s="1" t="s">
        <v>27</v>
      </c>
      <c r="H1466" s="1" t="s">
        <v>18</v>
      </c>
      <c r="I1466" s="1" t="s">
        <v>19</v>
      </c>
      <c r="J1466" s="1">
        <f>IFERROR(__xludf.DUMMYFUNCTION("""COMPUTED_VALUE"""),14.0)</f>
        <v>14</v>
      </c>
      <c r="K1466" s="1">
        <v>17.0</v>
      </c>
      <c r="L1466" s="1">
        <f>IFERROR(__xludf.DUMMYFUNCTION("""COMPUTED_VALUE"""),75.0)</f>
        <v>75</v>
      </c>
    </row>
    <row r="1467">
      <c r="A1467" s="1">
        <v>3327049.0</v>
      </c>
      <c r="B1467" s="1" t="s">
        <v>3195</v>
      </c>
      <c r="C1467" s="1" t="s">
        <v>2930</v>
      </c>
      <c r="D1467" s="1" t="s">
        <v>3054</v>
      </c>
      <c r="E1467" s="1" t="s">
        <v>3196</v>
      </c>
      <c r="F1467" s="1" t="s">
        <v>16</v>
      </c>
      <c r="G1467" s="1" t="s">
        <v>23</v>
      </c>
      <c r="H1467" s="1" t="s">
        <v>18</v>
      </c>
      <c r="I1467" s="1" t="s">
        <v>19</v>
      </c>
      <c r="J1467" s="1">
        <f>IFERROR(__xludf.DUMMYFUNCTION("""COMPUTED_VALUE"""),59.0)</f>
        <v>59</v>
      </c>
      <c r="K1467" s="1">
        <v>21.0</v>
      </c>
      <c r="L1467" s="1">
        <f>IFERROR(__xludf.DUMMYFUNCTION("""COMPUTED_VALUE"""),100.0)</f>
        <v>100</v>
      </c>
    </row>
    <row r="1468">
      <c r="A1468" s="1">
        <v>3309063.0</v>
      </c>
      <c r="B1468" s="1" t="s">
        <v>3197</v>
      </c>
      <c r="C1468" s="1" t="s">
        <v>2930</v>
      </c>
      <c r="D1468" s="1" t="s">
        <v>2973</v>
      </c>
      <c r="E1468" s="1" t="s">
        <v>3198</v>
      </c>
      <c r="F1468" s="1" t="s">
        <v>16</v>
      </c>
      <c r="G1468" s="1" t="s">
        <v>17</v>
      </c>
      <c r="H1468" s="1" t="s">
        <v>18</v>
      </c>
      <c r="I1468" s="1" t="s">
        <v>684</v>
      </c>
      <c r="J1468" s="1">
        <f>IFERROR(__xludf.DUMMYFUNCTION("""COMPUTED_VALUE"""),109.0)</f>
        <v>109</v>
      </c>
      <c r="K1468" s="1">
        <v>53.0</v>
      </c>
      <c r="L1468" s="1">
        <f>IFERROR(__xludf.DUMMYFUNCTION("""COMPUTED_VALUE"""),109.0)</f>
        <v>109</v>
      </c>
    </row>
    <row r="1469">
      <c r="A1469" s="1">
        <v>3374145.0</v>
      </c>
      <c r="B1469" s="1" t="s">
        <v>3199</v>
      </c>
      <c r="C1469" s="1" t="s">
        <v>2930</v>
      </c>
      <c r="D1469" s="1" t="s">
        <v>2948</v>
      </c>
      <c r="E1469" s="1" t="s">
        <v>3200</v>
      </c>
      <c r="F1469" s="1" t="s">
        <v>16</v>
      </c>
      <c r="G1469" s="1" t="s">
        <v>17</v>
      </c>
      <c r="H1469" s="1" t="s">
        <v>18</v>
      </c>
      <c r="I1469" s="1" t="s">
        <v>19</v>
      </c>
      <c r="J1469" s="1">
        <f>IFERROR(__xludf.DUMMYFUNCTION("""COMPUTED_VALUE"""),150.0)</f>
        <v>150</v>
      </c>
      <c r="K1469" s="1">
        <v>112.0</v>
      </c>
      <c r="L1469" s="1">
        <f>IFERROR(__xludf.DUMMYFUNCTION("""COMPUTED_VALUE"""),590.0)</f>
        <v>590</v>
      </c>
    </row>
    <row r="1470">
      <c r="A1470" s="1">
        <v>3305117.0</v>
      </c>
      <c r="B1470" s="1" t="s">
        <v>3201</v>
      </c>
      <c r="C1470" s="1" t="s">
        <v>2930</v>
      </c>
      <c r="D1470" s="1" t="s">
        <v>2958</v>
      </c>
      <c r="E1470" s="1" t="s">
        <v>3202</v>
      </c>
      <c r="F1470" s="1" t="s">
        <v>16</v>
      </c>
      <c r="G1470" s="1" t="s">
        <v>23</v>
      </c>
      <c r="H1470" s="1" t="s">
        <v>18</v>
      </c>
      <c r="I1470" s="1" t="s">
        <v>684</v>
      </c>
      <c r="J1470" s="1">
        <f>IFERROR(__xludf.DUMMYFUNCTION("""COMPUTED_VALUE"""),62.0)</f>
        <v>62</v>
      </c>
      <c r="K1470" s="1">
        <v>24.0</v>
      </c>
      <c r="L1470" s="1">
        <f>IFERROR(__xludf.DUMMYFUNCTION("""COMPUTED_VALUE"""),171.0)</f>
        <v>171</v>
      </c>
    </row>
    <row r="1471">
      <c r="A1471" s="1">
        <v>3301115.0</v>
      </c>
      <c r="B1471" s="1" t="s">
        <v>3203</v>
      </c>
      <c r="C1471" s="1" t="s">
        <v>2930</v>
      </c>
      <c r="D1471" s="1" t="s">
        <v>2996</v>
      </c>
      <c r="E1471" s="1" t="s">
        <v>3204</v>
      </c>
      <c r="F1471" s="1" t="s">
        <v>16</v>
      </c>
      <c r="G1471" s="1" t="s">
        <v>17</v>
      </c>
      <c r="H1471" s="1" t="s">
        <v>18</v>
      </c>
      <c r="I1471" s="1" t="s">
        <v>44</v>
      </c>
      <c r="J1471" s="1">
        <f>IFERROR(__xludf.DUMMYFUNCTION("""COMPUTED_VALUE"""),146.0)</f>
        <v>146</v>
      </c>
      <c r="K1471" s="1">
        <v>52.0</v>
      </c>
      <c r="L1471" s="1">
        <f>IFERROR(__xludf.DUMMYFUNCTION("""COMPUTED_VALUE"""),182.0)</f>
        <v>182</v>
      </c>
    </row>
    <row r="1472">
      <c r="A1472" s="1">
        <v>3312295.0</v>
      </c>
      <c r="B1472" s="1" t="s">
        <v>3205</v>
      </c>
      <c r="C1472" s="1" t="s">
        <v>2930</v>
      </c>
      <c r="D1472" s="1" t="s">
        <v>3118</v>
      </c>
      <c r="E1472" s="1" t="s">
        <v>3206</v>
      </c>
      <c r="F1472" s="1" t="s">
        <v>16</v>
      </c>
      <c r="G1472" s="1" t="s">
        <v>17</v>
      </c>
      <c r="H1472" s="1" t="s">
        <v>18</v>
      </c>
      <c r="I1472" s="1" t="s">
        <v>19</v>
      </c>
      <c r="J1472" s="1">
        <f>IFERROR(__xludf.DUMMYFUNCTION("""COMPUTED_VALUE"""),110.0)</f>
        <v>110</v>
      </c>
      <c r="K1472" s="1">
        <v>64.0</v>
      </c>
      <c r="L1472" s="1">
        <f>IFERROR(__xludf.DUMMYFUNCTION("""COMPUTED_VALUE"""),210.0)</f>
        <v>210</v>
      </c>
    </row>
    <row r="1473">
      <c r="A1473" s="1">
        <v>3376082.0</v>
      </c>
      <c r="B1473" s="1" t="s">
        <v>3207</v>
      </c>
      <c r="C1473" s="1" t="s">
        <v>2930</v>
      </c>
      <c r="D1473" s="1" t="s">
        <v>3208</v>
      </c>
      <c r="E1473" s="1" t="s">
        <v>3209</v>
      </c>
      <c r="F1473" s="1" t="s">
        <v>16</v>
      </c>
      <c r="G1473" s="1" t="s">
        <v>27</v>
      </c>
      <c r="H1473" s="1" t="s">
        <v>18</v>
      </c>
      <c r="I1473" s="1" t="s">
        <v>684</v>
      </c>
      <c r="J1473" s="1">
        <f>IFERROR(__xludf.DUMMYFUNCTION("""COMPUTED_VALUE"""),406.0)</f>
        <v>406</v>
      </c>
      <c r="K1473" s="1">
        <v>103.0</v>
      </c>
      <c r="L1473" s="1">
        <f>IFERROR(__xludf.DUMMYFUNCTION("""COMPUTED_VALUE"""),956.0)</f>
        <v>956</v>
      </c>
    </row>
    <row r="1474">
      <c r="A1474" s="1">
        <v>3304032.0</v>
      </c>
      <c r="B1474" s="1" t="s">
        <v>3210</v>
      </c>
      <c r="C1474" s="1" t="s">
        <v>2930</v>
      </c>
      <c r="D1474" s="1" t="s">
        <v>3183</v>
      </c>
      <c r="E1474" s="1" t="s">
        <v>3211</v>
      </c>
      <c r="F1474" s="1" t="s">
        <v>16</v>
      </c>
      <c r="G1474" s="1" t="s">
        <v>17</v>
      </c>
      <c r="H1474" s="1" t="s">
        <v>18</v>
      </c>
      <c r="I1474" s="1" t="s">
        <v>59</v>
      </c>
      <c r="J1474" s="1">
        <f>IFERROR(__xludf.DUMMYFUNCTION("""COMPUTED_VALUE"""),127.0)</f>
        <v>127</v>
      </c>
      <c r="K1474" s="1">
        <v>29.0</v>
      </c>
      <c r="L1474" s="1">
        <f>IFERROR(__xludf.DUMMYFUNCTION("""COMPUTED_VALUE"""),499.0)</f>
        <v>499</v>
      </c>
    </row>
    <row r="1475">
      <c r="A1475" s="1">
        <v>3314090.0</v>
      </c>
      <c r="B1475" s="1" t="s">
        <v>3212</v>
      </c>
      <c r="C1475" s="1" t="s">
        <v>2930</v>
      </c>
      <c r="D1475" s="1" t="s">
        <v>2945</v>
      </c>
      <c r="E1475" s="1" t="s">
        <v>3213</v>
      </c>
      <c r="F1475" s="1" t="s">
        <v>16</v>
      </c>
      <c r="G1475" s="1" t="s">
        <v>17</v>
      </c>
      <c r="H1475" s="1" t="s">
        <v>18</v>
      </c>
      <c r="I1475" s="1" t="s">
        <v>19</v>
      </c>
      <c r="J1475" s="1">
        <f>IFERROR(__xludf.DUMMYFUNCTION("""COMPUTED_VALUE"""),104.0)</f>
        <v>104</v>
      </c>
      <c r="K1475" s="1">
        <v>33.0</v>
      </c>
      <c r="L1475" s="1">
        <f>IFERROR(__xludf.DUMMYFUNCTION("""COMPUTED_VALUE"""),210.0)</f>
        <v>210</v>
      </c>
    </row>
    <row r="1476">
      <c r="A1476" s="1">
        <v>3314067.0</v>
      </c>
      <c r="B1476" s="1" t="s">
        <v>3214</v>
      </c>
      <c r="C1476" s="1" t="s">
        <v>2930</v>
      </c>
      <c r="D1476" s="1" t="s">
        <v>2945</v>
      </c>
      <c r="E1476" s="1" t="s">
        <v>3215</v>
      </c>
      <c r="F1476" s="1" t="s">
        <v>16</v>
      </c>
      <c r="G1476" s="1" t="s">
        <v>23</v>
      </c>
      <c r="H1476" s="1" t="s">
        <v>18</v>
      </c>
      <c r="I1476" s="1" t="s">
        <v>44</v>
      </c>
      <c r="J1476" s="1">
        <f>IFERROR(__xludf.DUMMYFUNCTION("""COMPUTED_VALUE"""),99.0)</f>
        <v>99</v>
      </c>
      <c r="K1476" s="1">
        <v>25.0</v>
      </c>
      <c r="L1476" s="1">
        <f>IFERROR(__xludf.DUMMYFUNCTION("""COMPUTED_VALUE"""),176.0)</f>
        <v>176</v>
      </c>
    </row>
    <row r="1477">
      <c r="A1477" s="1">
        <v>3311230.0</v>
      </c>
      <c r="B1477" s="1" t="s">
        <v>3216</v>
      </c>
      <c r="C1477" s="1" t="s">
        <v>2930</v>
      </c>
      <c r="D1477" s="1" t="s">
        <v>3014</v>
      </c>
      <c r="E1477" s="1" t="s">
        <v>3217</v>
      </c>
      <c r="F1477" s="1" t="s">
        <v>16</v>
      </c>
      <c r="G1477" s="1" t="s">
        <v>23</v>
      </c>
      <c r="H1477" s="1" t="s">
        <v>18</v>
      </c>
      <c r="I1477" s="1" t="s">
        <v>684</v>
      </c>
      <c r="J1477" s="1">
        <f>IFERROR(__xludf.DUMMYFUNCTION("""COMPUTED_VALUE"""),56.0)</f>
        <v>56</v>
      </c>
      <c r="K1477" s="1">
        <v>21.0</v>
      </c>
      <c r="L1477" s="1">
        <f>IFERROR(__xludf.DUMMYFUNCTION("""COMPUTED_VALUE"""),71.0)</f>
        <v>71</v>
      </c>
    </row>
    <row r="1478">
      <c r="A1478" s="1">
        <v>3329112.0</v>
      </c>
      <c r="B1478" s="1" t="s">
        <v>3218</v>
      </c>
      <c r="C1478" s="1" t="s">
        <v>2930</v>
      </c>
      <c r="D1478" s="1" t="s">
        <v>2999</v>
      </c>
      <c r="E1478" s="1" t="s">
        <v>3219</v>
      </c>
      <c r="F1478" s="1" t="s">
        <v>16</v>
      </c>
      <c r="G1478" s="1" t="s">
        <v>23</v>
      </c>
      <c r="H1478" s="1" t="s">
        <v>18</v>
      </c>
      <c r="I1478" s="1" t="s">
        <v>44</v>
      </c>
      <c r="J1478" s="1">
        <f>IFERROR(__xludf.DUMMYFUNCTION("""COMPUTED_VALUE"""),50.0)</f>
        <v>50</v>
      </c>
      <c r="K1478" s="1">
        <v>25.0</v>
      </c>
      <c r="L1478" s="1">
        <f>IFERROR(__xludf.DUMMYFUNCTION("""COMPUTED_VALUE"""),37.0)</f>
        <v>37</v>
      </c>
    </row>
    <row r="1479">
      <c r="A1479" s="1">
        <v>3318114.0</v>
      </c>
      <c r="B1479" s="1" t="s">
        <v>3220</v>
      </c>
      <c r="C1479" s="1" t="s">
        <v>2930</v>
      </c>
      <c r="D1479" s="1" t="s">
        <v>3049</v>
      </c>
      <c r="E1479" s="1" t="s">
        <v>3221</v>
      </c>
      <c r="F1479" s="1" t="s">
        <v>16</v>
      </c>
      <c r="G1479" s="1" t="s">
        <v>17</v>
      </c>
      <c r="H1479" s="1" t="s">
        <v>18</v>
      </c>
      <c r="I1479" s="1" t="s">
        <v>44</v>
      </c>
      <c r="J1479" s="1">
        <f>IFERROR(__xludf.DUMMYFUNCTION("""COMPUTED_VALUE"""),144.0)</f>
        <v>144</v>
      </c>
      <c r="K1479" s="1">
        <v>37.0</v>
      </c>
      <c r="L1479" s="1">
        <f>IFERROR(__xludf.DUMMYFUNCTION("""COMPUTED_VALUE"""),122.0)</f>
        <v>122</v>
      </c>
    </row>
    <row r="1480">
      <c r="A1480" s="1">
        <v>3302180.0</v>
      </c>
      <c r="B1480" s="1" t="s">
        <v>3222</v>
      </c>
      <c r="C1480" s="1" t="s">
        <v>2930</v>
      </c>
      <c r="D1480" s="1" t="s">
        <v>2937</v>
      </c>
      <c r="E1480" s="1" t="s">
        <v>3223</v>
      </c>
      <c r="F1480" s="1" t="s">
        <v>16</v>
      </c>
      <c r="G1480" s="1" t="s">
        <v>23</v>
      </c>
      <c r="H1480" s="1" t="s">
        <v>18</v>
      </c>
      <c r="I1480" s="1" t="s">
        <v>59</v>
      </c>
      <c r="J1480" s="1">
        <f>IFERROR(__xludf.DUMMYFUNCTION("""COMPUTED_VALUE"""),47.0)</f>
        <v>47</v>
      </c>
      <c r="K1480" s="1">
        <v>23.0</v>
      </c>
      <c r="L1480" s="1">
        <f>IFERROR(__xludf.DUMMYFUNCTION("""COMPUTED_VALUE"""),207.0)</f>
        <v>207</v>
      </c>
    </row>
    <row r="1481">
      <c r="A1481" s="1">
        <v>3372052.0</v>
      </c>
      <c r="B1481" s="1" t="s">
        <v>3224</v>
      </c>
      <c r="C1481" s="1" t="s">
        <v>2930</v>
      </c>
      <c r="D1481" s="1" t="s">
        <v>2967</v>
      </c>
      <c r="E1481" s="1" t="s">
        <v>3225</v>
      </c>
      <c r="F1481" s="1" t="s">
        <v>174</v>
      </c>
      <c r="G1481" s="1" t="s">
        <v>150</v>
      </c>
      <c r="H1481" s="1" t="s">
        <v>28</v>
      </c>
      <c r="I1481" s="1" t="s">
        <v>139</v>
      </c>
      <c r="J1481" s="1">
        <f>IFERROR(__xludf.DUMMYFUNCTION("""COMPUTED_VALUE"""),213.0)</f>
        <v>213</v>
      </c>
      <c r="K1481" s="1">
        <v>38.0</v>
      </c>
      <c r="L1481" s="1">
        <f>IFERROR(__xludf.DUMMYFUNCTION("""COMPUTED_VALUE"""),427.0)</f>
        <v>427</v>
      </c>
    </row>
    <row r="1482">
      <c r="A1482" s="1">
        <v>3328035.0</v>
      </c>
      <c r="B1482" s="1" t="s">
        <v>3226</v>
      </c>
      <c r="C1482" s="1" t="s">
        <v>2930</v>
      </c>
      <c r="D1482" s="1" t="s">
        <v>3038</v>
      </c>
      <c r="E1482" s="1" t="s">
        <v>3227</v>
      </c>
      <c r="F1482" s="1" t="s">
        <v>16</v>
      </c>
      <c r="G1482" s="1" t="s">
        <v>17</v>
      </c>
      <c r="H1482" s="1" t="s">
        <v>28</v>
      </c>
      <c r="I1482" s="1" t="s">
        <v>40</v>
      </c>
      <c r="J1482" s="1">
        <f>IFERROR(__xludf.DUMMYFUNCTION("""COMPUTED_VALUE"""),152.0)</f>
        <v>152</v>
      </c>
      <c r="K1482" s="1">
        <v>38.0</v>
      </c>
      <c r="L1482" s="1">
        <f>IFERROR(__xludf.DUMMYFUNCTION("""COMPUTED_VALUE"""),256.0)</f>
        <v>256</v>
      </c>
    </row>
    <row r="1483">
      <c r="A1483" s="1">
        <v>3312309.0</v>
      </c>
      <c r="B1483" s="1" t="s">
        <v>3228</v>
      </c>
      <c r="C1483" s="1" t="s">
        <v>2930</v>
      </c>
      <c r="D1483" s="1" t="s">
        <v>3118</v>
      </c>
      <c r="E1483" s="1" t="s">
        <v>3229</v>
      </c>
      <c r="F1483" s="1" t="s">
        <v>16</v>
      </c>
      <c r="G1483" s="1" t="s">
        <v>23</v>
      </c>
      <c r="H1483" s="1" t="s">
        <v>18</v>
      </c>
      <c r="I1483" s="1" t="s">
        <v>44</v>
      </c>
      <c r="J1483" s="1">
        <f>IFERROR(__xludf.DUMMYFUNCTION("""COMPUTED_VALUE"""),98.0)</f>
        <v>98</v>
      </c>
      <c r="K1483" s="1">
        <v>27.0</v>
      </c>
      <c r="L1483" s="1">
        <f>IFERROR(__xludf.DUMMYFUNCTION("""COMPUTED_VALUE"""),76.0)</f>
        <v>76</v>
      </c>
    </row>
    <row r="1484">
      <c r="A1484" s="1">
        <v>3319010.0</v>
      </c>
      <c r="B1484" s="1" t="s">
        <v>3230</v>
      </c>
      <c r="C1484" s="1" t="s">
        <v>2930</v>
      </c>
      <c r="D1484" s="1" t="s">
        <v>2934</v>
      </c>
      <c r="E1484" s="1" t="s">
        <v>3231</v>
      </c>
      <c r="F1484" s="1" t="s">
        <v>16</v>
      </c>
      <c r="G1484" s="1" t="s">
        <v>27</v>
      </c>
      <c r="H1484" s="1" t="s">
        <v>28</v>
      </c>
      <c r="I1484" s="1" t="s">
        <v>40</v>
      </c>
      <c r="J1484" s="1">
        <f>IFERROR(__xludf.DUMMYFUNCTION("""COMPUTED_VALUE"""),385.0)</f>
        <v>385</v>
      </c>
      <c r="K1484" s="1">
        <v>56.0</v>
      </c>
      <c r="L1484" s="1">
        <f>IFERROR(__xludf.DUMMYFUNCTION("""COMPUTED_VALUE"""),965.0)</f>
        <v>965</v>
      </c>
    </row>
    <row r="1485">
      <c r="A1485" s="1">
        <v>3318109.0</v>
      </c>
      <c r="B1485" s="1" t="s">
        <v>3232</v>
      </c>
      <c r="C1485" s="1" t="s">
        <v>2930</v>
      </c>
      <c r="D1485" s="1" t="s">
        <v>3049</v>
      </c>
      <c r="E1485" s="1" t="s">
        <v>3233</v>
      </c>
      <c r="F1485" s="1" t="s">
        <v>16</v>
      </c>
      <c r="G1485" s="1" t="s">
        <v>23</v>
      </c>
      <c r="H1485" s="1" t="s">
        <v>18</v>
      </c>
      <c r="I1485" s="1" t="s">
        <v>19</v>
      </c>
      <c r="J1485" s="1">
        <f>IFERROR(__xludf.DUMMYFUNCTION("""COMPUTED_VALUE"""),85.0)</f>
        <v>85</v>
      </c>
      <c r="K1485" s="1">
        <v>24.0</v>
      </c>
      <c r="L1485" s="1">
        <f>IFERROR(__xludf.DUMMYFUNCTION("""COMPUTED_VALUE"""),117.0)</f>
        <v>117</v>
      </c>
    </row>
    <row r="1486">
      <c r="A1486" s="1">
        <v>3329126.0</v>
      </c>
      <c r="B1486" s="1" t="s">
        <v>3234</v>
      </c>
      <c r="C1486" s="1" t="s">
        <v>2930</v>
      </c>
      <c r="D1486" s="1" t="s">
        <v>2999</v>
      </c>
      <c r="E1486" s="1" t="s">
        <v>3235</v>
      </c>
      <c r="F1486" s="1" t="s">
        <v>55</v>
      </c>
      <c r="G1486" s="1" t="s">
        <v>17</v>
      </c>
      <c r="H1486" s="1" t="s">
        <v>18</v>
      </c>
      <c r="I1486" s="1" t="s">
        <v>19</v>
      </c>
      <c r="J1486" s="1">
        <f>IFERROR(__xludf.DUMMYFUNCTION("""COMPUTED_VALUE"""),25.0)</f>
        <v>25</v>
      </c>
      <c r="K1486" s="1">
        <v>26.0</v>
      </c>
      <c r="L1486" s="1">
        <f>IFERROR(__xludf.DUMMYFUNCTION("""COMPUTED_VALUE"""),182.0)</f>
        <v>182</v>
      </c>
    </row>
    <row r="1487">
      <c r="A1487" s="1">
        <v>3306082.0</v>
      </c>
      <c r="B1487" s="1" t="s">
        <v>3236</v>
      </c>
      <c r="C1487" s="1" t="s">
        <v>2930</v>
      </c>
      <c r="D1487" s="1" t="s">
        <v>2942</v>
      </c>
      <c r="E1487" s="1" t="s">
        <v>3237</v>
      </c>
      <c r="F1487" s="1" t="s">
        <v>16</v>
      </c>
      <c r="G1487" s="1" t="s">
        <v>23</v>
      </c>
      <c r="H1487" s="1" t="s">
        <v>18</v>
      </c>
      <c r="I1487" s="1" t="s">
        <v>59</v>
      </c>
      <c r="J1487" s="1">
        <f>IFERROR(__xludf.DUMMYFUNCTION("""COMPUTED_VALUE"""),60.0)</f>
        <v>60</v>
      </c>
      <c r="K1487" s="1">
        <v>27.0</v>
      </c>
      <c r="L1487" s="1">
        <f>IFERROR(__xludf.DUMMYFUNCTION("""COMPUTED_VALUE"""),159.0)</f>
        <v>159</v>
      </c>
    </row>
    <row r="1488">
      <c r="A1488" s="1">
        <v>3374043.0</v>
      </c>
      <c r="B1488" s="1" t="s">
        <v>3238</v>
      </c>
      <c r="C1488" s="1" t="s">
        <v>2930</v>
      </c>
      <c r="D1488" s="1" t="s">
        <v>2948</v>
      </c>
      <c r="E1488" s="1" t="s">
        <v>3239</v>
      </c>
      <c r="F1488" s="1" t="s">
        <v>16</v>
      </c>
      <c r="G1488" s="1" t="s">
        <v>27</v>
      </c>
      <c r="H1488" s="1" t="s">
        <v>18</v>
      </c>
      <c r="I1488" s="1" t="s">
        <v>59</v>
      </c>
      <c r="J1488" s="1">
        <f>IFERROR(__xludf.DUMMYFUNCTION("""COMPUTED_VALUE"""),277.0)</f>
        <v>277</v>
      </c>
      <c r="K1488" s="1">
        <v>128.0</v>
      </c>
      <c r="L1488" s="1">
        <f>IFERROR(__xludf.DUMMYFUNCTION("""COMPUTED_VALUE"""),1343.0)</f>
        <v>1343</v>
      </c>
    </row>
    <row r="1489">
      <c r="A1489" s="1">
        <v>3323046.0</v>
      </c>
      <c r="B1489" s="1" t="s">
        <v>3240</v>
      </c>
      <c r="C1489" s="1" t="s">
        <v>2930</v>
      </c>
      <c r="D1489" s="1" t="s">
        <v>3146</v>
      </c>
      <c r="E1489" s="1" t="s">
        <v>3241</v>
      </c>
      <c r="F1489" s="1" t="s">
        <v>16</v>
      </c>
      <c r="G1489" s="1" t="s">
        <v>23</v>
      </c>
      <c r="H1489" s="1" t="s">
        <v>18</v>
      </c>
      <c r="I1489" s="1" t="s">
        <v>59</v>
      </c>
      <c r="J1489" s="1">
        <f>IFERROR(__xludf.DUMMYFUNCTION("""COMPUTED_VALUE"""),50.0)</f>
        <v>50</v>
      </c>
      <c r="K1489" s="1">
        <v>21.0</v>
      </c>
      <c r="L1489" s="1">
        <f>IFERROR(__xludf.DUMMYFUNCTION("""COMPUTED_VALUE"""),144.0)</f>
        <v>144</v>
      </c>
    </row>
    <row r="1490">
      <c r="A1490" s="1">
        <v>3324038.0</v>
      </c>
      <c r="B1490" s="1" t="s">
        <v>3242</v>
      </c>
      <c r="C1490" s="1" t="s">
        <v>2930</v>
      </c>
      <c r="D1490" s="1" t="s">
        <v>2970</v>
      </c>
      <c r="E1490" s="1" t="s">
        <v>3243</v>
      </c>
      <c r="F1490" s="1" t="s">
        <v>16</v>
      </c>
      <c r="G1490" s="1" t="s">
        <v>23</v>
      </c>
      <c r="H1490" s="1" t="s">
        <v>18</v>
      </c>
      <c r="I1490" s="1" t="s">
        <v>44</v>
      </c>
      <c r="J1490" s="1">
        <f>IFERROR(__xludf.DUMMYFUNCTION("""COMPUTED_VALUE"""),64.0)</f>
        <v>64</v>
      </c>
      <c r="K1490" s="1">
        <v>23.0</v>
      </c>
      <c r="L1490" s="1">
        <f>IFERROR(__xludf.DUMMYFUNCTION("""COMPUTED_VALUE"""),236.0)</f>
        <v>236</v>
      </c>
    </row>
    <row r="1491">
      <c r="A1491" s="1">
        <v>3327047.0</v>
      </c>
      <c r="B1491" s="1" t="s">
        <v>3244</v>
      </c>
      <c r="C1491" s="1" t="s">
        <v>2930</v>
      </c>
      <c r="D1491" s="1" t="s">
        <v>3054</v>
      </c>
      <c r="E1491" s="1" t="s">
        <v>3245</v>
      </c>
      <c r="F1491" s="1" t="s">
        <v>16</v>
      </c>
      <c r="G1491" s="1" t="s">
        <v>23</v>
      </c>
      <c r="H1491" s="1" t="s">
        <v>18</v>
      </c>
      <c r="I1491" s="1" t="s">
        <v>684</v>
      </c>
      <c r="J1491" s="1">
        <f>IFERROR(__xludf.DUMMYFUNCTION("""COMPUTED_VALUE"""),100.0)</f>
        <v>100</v>
      </c>
      <c r="K1491" s="1">
        <v>29.0</v>
      </c>
      <c r="L1491" s="1">
        <f>IFERROR(__xludf.DUMMYFUNCTION("""COMPUTED_VALUE"""),121.0)</f>
        <v>121</v>
      </c>
    </row>
    <row r="1492">
      <c r="A1492" s="1">
        <v>3303103.0</v>
      </c>
      <c r="B1492" s="1" t="s">
        <v>3246</v>
      </c>
      <c r="C1492" s="1" t="s">
        <v>2930</v>
      </c>
      <c r="D1492" s="1" t="s">
        <v>3099</v>
      </c>
      <c r="E1492" s="1" t="s">
        <v>3247</v>
      </c>
      <c r="F1492" s="1" t="s">
        <v>16</v>
      </c>
      <c r="G1492" s="1" t="s">
        <v>17</v>
      </c>
      <c r="H1492" s="1" t="s">
        <v>18</v>
      </c>
      <c r="I1492" s="1" t="s">
        <v>19</v>
      </c>
      <c r="J1492" s="1">
        <f>IFERROR(__xludf.DUMMYFUNCTION("""COMPUTED_VALUE"""),119.0)</f>
        <v>119</v>
      </c>
      <c r="K1492" s="1">
        <v>29.0</v>
      </c>
      <c r="L1492" s="1">
        <f>IFERROR(__xludf.DUMMYFUNCTION("""COMPUTED_VALUE"""),42.0)</f>
        <v>42</v>
      </c>
    </row>
    <row r="1493">
      <c r="A1493" s="1">
        <v>3324052.0</v>
      </c>
      <c r="B1493" s="1" t="s">
        <v>3248</v>
      </c>
      <c r="C1493" s="1" t="s">
        <v>2930</v>
      </c>
      <c r="D1493" s="1" t="s">
        <v>2970</v>
      </c>
      <c r="E1493" s="1" t="s">
        <v>3249</v>
      </c>
      <c r="F1493" s="1" t="s">
        <v>16</v>
      </c>
      <c r="G1493" s="1" t="s">
        <v>23</v>
      </c>
      <c r="H1493" s="1" t="s">
        <v>18</v>
      </c>
      <c r="I1493" s="1" t="s">
        <v>684</v>
      </c>
      <c r="J1493" s="1">
        <f>IFERROR(__xludf.DUMMYFUNCTION("""COMPUTED_VALUE"""),53.0)</f>
        <v>53</v>
      </c>
      <c r="K1493" s="1">
        <v>25.0</v>
      </c>
      <c r="L1493" s="1">
        <f>IFERROR(__xludf.DUMMYFUNCTION("""COMPUTED_VALUE"""),182.0)</f>
        <v>182</v>
      </c>
    </row>
    <row r="1494">
      <c r="A1494" s="1">
        <v>3316075.0</v>
      </c>
      <c r="B1494" s="1" t="s">
        <v>3250</v>
      </c>
      <c r="C1494" s="1" t="s">
        <v>2930</v>
      </c>
      <c r="D1494" s="1" t="s">
        <v>2951</v>
      </c>
      <c r="E1494" s="1" t="s">
        <v>3251</v>
      </c>
      <c r="F1494" s="1" t="s">
        <v>16</v>
      </c>
      <c r="G1494" s="1" t="s">
        <v>23</v>
      </c>
      <c r="H1494" s="1" t="s">
        <v>28</v>
      </c>
      <c r="I1494" s="1" t="s">
        <v>40</v>
      </c>
      <c r="J1494" s="1">
        <f>IFERROR(__xludf.DUMMYFUNCTION("""COMPUTED_VALUE"""),50.0)</f>
        <v>50</v>
      </c>
      <c r="K1494" s="1">
        <v>22.0</v>
      </c>
      <c r="L1494" s="1">
        <f>IFERROR(__xludf.DUMMYFUNCTION("""COMPUTED_VALUE"""),182.0)</f>
        <v>182</v>
      </c>
    </row>
    <row r="1495">
      <c r="A1495" s="1">
        <v>3310395.0</v>
      </c>
      <c r="B1495" s="1" t="s">
        <v>3252</v>
      </c>
      <c r="C1495" s="1" t="s">
        <v>2930</v>
      </c>
      <c r="D1495" s="1" t="s">
        <v>2989</v>
      </c>
      <c r="E1495" s="1" t="s">
        <v>3253</v>
      </c>
      <c r="F1495" s="1" t="s">
        <v>16</v>
      </c>
      <c r="G1495" s="1" t="s">
        <v>17</v>
      </c>
      <c r="H1495" s="1" t="s">
        <v>18</v>
      </c>
      <c r="I1495" s="1" t="s">
        <v>59</v>
      </c>
      <c r="J1495" s="1">
        <f>IFERROR(__xludf.DUMMYFUNCTION("""COMPUTED_VALUE"""),103.0)</f>
        <v>103</v>
      </c>
      <c r="K1495" s="1">
        <v>80.0</v>
      </c>
      <c r="L1495" s="1">
        <f>IFERROR(__xludf.DUMMYFUNCTION("""COMPUTED_VALUE"""),190.0)</f>
        <v>190</v>
      </c>
    </row>
    <row r="1496">
      <c r="A1496" s="1">
        <v>3326011.0</v>
      </c>
      <c r="B1496" s="1" t="s">
        <v>3254</v>
      </c>
      <c r="C1496" s="1" t="s">
        <v>2930</v>
      </c>
      <c r="D1496" s="1" t="s">
        <v>3033</v>
      </c>
      <c r="E1496" s="1" t="s">
        <v>3255</v>
      </c>
      <c r="F1496" s="1" t="s">
        <v>16</v>
      </c>
      <c r="G1496" s="1" t="s">
        <v>27</v>
      </c>
      <c r="H1496" s="1" t="s">
        <v>28</v>
      </c>
      <c r="I1496" s="1" t="s">
        <v>40</v>
      </c>
      <c r="J1496" s="1">
        <f>IFERROR(__xludf.DUMMYFUNCTION("""COMPUTED_VALUE"""),249.0)</f>
        <v>249</v>
      </c>
      <c r="K1496" s="1">
        <v>135.0</v>
      </c>
      <c r="L1496" s="1">
        <f>IFERROR(__xludf.DUMMYFUNCTION("""COMPUTED_VALUE"""),694.0)</f>
        <v>694</v>
      </c>
    </row>
    <row r="1497">
      <c r="A1497" s="1">
        <v>3319022.0</v>
      </c>
      <c r="B1497" s="1" t="s">
        <v>3256</v>
      </c>
      <c r="C1497" s="1" t="s">
        <v>2930</v>
      </c>
      <c r="D1497" s="1" t="s">
        <v>2934</v>
      </c>
      <c r="E1497" s="1" t="s">
        <v>3257</v>
      </c>
      <c r="F1497" s="1" t="s">
        <v>16</v>
      </c>
      <c r="G1497" s="1" t="s">
        <v>17</v>
      </c>
      <c r="H1497" s="1" t="s">
        <v>18</v>
      </c>
      <c r="I1497" s="1" t="s">
        <v>59</v>
      </c>
      <c r="J1497" s="1">
        <f>IFERROR(__xludf.DUMMYFUNCTION("""COMPUTED_VALUE"""),100.0)</f>
        <v>100</v>
      </c>
      <c r="K1497" s="1">
        <v>42.0</v>
      </c>
      <c r="L1497" s="1">
        <f>IFERROR(__xludf.DUMMYFUNCTION("""COMPUTED_VALUE"""),278.0)</f>
        <v>278</v>
      </c>
    </row>
    <row r="1498">
      <c r="A1498" s="1">
        <v>3329012.0</v>
      </c>
      <c r="B1498" s="1" t="s">
        <v>3258</v>
      </c>
      <c r="C1498" s="1" t="s">
        <v>2930</v>
      </c>
      <c r="D1498" s="1" t="s">
        <v>2999</v>
      </c>
      <c r="E1498" s="1" t="s">
        <v>3259</v>
      </c>
      <c r="F1498" s="1" t="s">
        <v>16</v>
      </c>
      <c r="G1498" s="1" t="s">
        <v>27</v>
      </c>
      <c r="H1498" s="1" t="s">
        <v>28</v>
      </c>
      <c r="I1498" s="1" t="s">
        <v>40</v>
      </c>
      <c r="J1498" s="1">
        <f>IFERROR(__xludf.DUMMYFUNCTION("""COMPUTED_VALUE"""),340.0)</f>
        <v>340</v>
      </c>
      <c r="K1498" s="1">
        <v>84.0</v>
      </c>
      <c r="L1498" s="1">
        <f>IFERROR(__xludf.DUMMYFUNCTION("""COMPUTED_VALUE"""),803.0)</f>
        <v>803</v>
      </c>
    </row>
    <row r="1499">
      <c r="A1499" s="1">
        <v>3302026.0</v>
      </c>
      <c r="B1499" s="1" t="s">
        <v>3260</v>
      </c>
      <c r="C1499" s="1" t="s">
        <v>2930</v>
      </c>
      <c r="D1499" s="1" t="s">
        <v>2937</v>
      </c>
      <c r="E1499" s="1" t="s">
        <v>3261</v>
      </c>
      <c r="F1499" s="1" t="s">
        <v>16</v>
      </c>
      <c r="G1499" s="1" t="s">
        <v>150</v>
      </c>
      <c r="H1499" s="1" t="s">
        <v>28</v>
      </c>
      <c r="I1499" s="1" t="s">
        <v>139</v>
      </c>
      <c r="J1499" s="1">
        <f>IFERROR(__xludf.DUMMYFUNCTION("""COMPUTED_VALUE"""),700.0)</f>
        <v>700</v>
      </c>
      <c r="K1499" s="1">
        <v>124.0</v>
      </c>
      <c r="L1499" s="1">
        <f>IFERROR(__xludf.DUMMYFUNCTION("""COMPUTED_VALUE"""),1823.0)</f>
        <v>1823</v>
      </c>
    </row>
    <row r="1500">
      <c r="A1500" s="1">
        <v>3371105.0</v>
      </c>
      <c r="B1500" s="1" t="s">
        <v>3262</v>
      </c>
      <c r="C1500" s="1" t="s">
        <v>2930</v>
      </c>
      <c r="D1500" s="1" t="s">
        <v>2939</v>
      </c>
      <c r="E1500" s="1" t="s">
        <v>3263</v>
      </c>
      <c r="F1500" s="1" t="s">
        <v>55</v>
      </c>
      <c r="G1500" s="1" t="s">
        <v>17</v>
      </c>
      <c r="H1500" s="1" t="s">
        <v>18</v>
      </c>
      <c r="I1500" s="1" t="s">
        <v>59</v>
      </c>
      <c r="J1500" s="1">
        <f>IFERROR(__xludf.DUMMYFUNCTION("""COMPUTED_VALUE"""),36.0)</f>
        <v>36</v>
      </c>
      <c r="K1500" s="1">
        <v>24.0</v>
      </c>
      <c r="L1500" s="1">
        <f>IFERROR(__xludf.DUMMYFUNCTION("""COMPUTED_VALUE"""),75.0)</f>
        <v>75</v>
      </c>
    </row>
    <row r="1501">
      <c r="A1501" s="1">
        <v>3307051.0</v>
      </c>
      <c r="B1501" s="1" t="s">
        <v>3264</v>
      </c>
      <c r="C1501" s="1" t="s">
        <v>2930</v>
      </c>
      <c r="D1501" s="1" t="s">
        <v>2983</v>
      </c>
      <c r="E1501" s="1" t="s">
        <v>3265</v>
      </c>
      <c r="F1501" s="1" t="s">
        <v>16</v>
      </c>
      <c r="G1501" s="1" t="s">
        <v>17</v>
      </c>
      <c r="H1501" s="1" t="s">
        <v>18</v>
      </c>
      <c r="I1501" s="1" t="s">
        <v>19</v>
      </c>
      <c r="J1501" s="1">
        <f>IFERROR(__xludf.DUMMYFUNCTION("""COMPUTED_VALUE"""),211.0)</f>
        <v>211</v>
      </c>
      <c r="K1501" s="1">
        <v>70.0</v>
      </c>
      <c r="L1501" s="1">
        <f>IFERROR(__xludf.DUMMYFUNCTION("""COMPUTED_VALUE"""),188.0)</f>
        <v>188</v>
      </c>
    </row>
    <row r="1502">
      <c r="A1502" s="1">
        <v>3321035.0</v>
      </c>
      <c r="B1502" s="1" t="s">
        <v>3266</v>
      </c>
      <c r="C1502" s="1" t="s">
        <v>2930</v>
      </c>
      <c r="D1502" s="1" t="s">
        <v>2964</v>
      </c>
      <c r="E1502" s="1" t="s">
        <v>3267</v>
      </c>
      <c r="F1502" s="1" t="s">
        <v>16</v>
      </c>
      <c r="G1502" s="1" t="s">
        <v>17</v>
      </c>
      <c r="H1502" s="1" t="s">
        <v>28</v>
      </c>
      <c r="I1502" s="1" t="s">
        <v>40</v>
      </c>
      <c r="J1502" s="1">
        <f>IFERROR(__xludf.DUMMYFUNCTION("""COMPUTED_VALUE"""),180.0)</f>
        <v>180</v>
      </c>
      <c r="K1502" s="1">
        <v>27.0</v>
      </c>
      <c r="L1502" s="1">
        <f>IFERROR(__xludf.DUMMYFUNCTION("""COMPUTED_VALUE"""),250.0)</f>
        <v>250</v>
      </c>
    </row>
    <row r="1503">
      <c r="A1503" s="1">
        <v>3316051.0</v>
      </c>
      <c r="B1503" s="1" t="s">
        <v>3268</v>
      </c>
      <c r="C1503" s="1" t="s">
        <v>2930</v>
      </c>
      <c r="D1503" s="1" t="s">
        <v>2951</v>
      </c>
      <c r="E1503" s="1" t="s">
        <v>3269</v>
      </c>
      <c r="F1503" s="1" t="s">
        <v>16</v>
      </c>
      <c r="G1503" s="1" t="s">
        <v>17</v>
      </c>
      <c r="H1503" s="1" t="s">
        <v>18</v>
      </c>
      <c r="I1503" s="1" t="s">
        <v>59</v>
      </c>
      <c r="J1503" s="1">
        <f>IFERROR(__xludf.DUMMYFUNCTION("""COMPUTED_VALUE"""),141.0)</f>
        <v>141</v>
      </c>
      <c r="K1503" s="1">
        <v>37.0</v>
      </c>
      <c r="L1503" s="1">
        <f>IFERROR(__xludf.DUMMYFUNCTION("""COMPUTED_VALUE"""),328.0)</f>
        <v>328</v>
      </c>
    </row>
    <row r="1504">
      <c r="A1504" s="1">
        <v>3311027.0</v>
      </c>
      <c r="B1504" s="1" t="s">
        <v>3270</v>
      </c>
      <c r="C1504" s="1" t="s">
        <v>2930</v>
      </c>
      <c r="D1504" s="1" t="s">
        <v>3014</v>
      </c>
      <c r="E1504" s="1" t="s">
        <v>3271</v>
      </c>
      <c r="F1504" s="1" t="s">
        <v>1970</v>
      </c>
      <c r="G1504" s="1" t="s">
        <v>17</v>
      </c>
      <c r="H1504" s="1" t="s">
        <v>18</v>
      </c>
      <c r="I1504" s="1" t="s">
        <v>19</v>
      </c>
      <c r="J1504" s="1">
        <f>IFERROR(__xludf.DUMMYFUNCTION("""COMPUTED_VALUE"""),63.0)</f>
        <v>63</v>
      </c>
      <c r="K1504" s="1">
        <v>35.0</v>
      </c>
      <c r="L1504" s="1">
        <f>IFERROR(__xludf.DUMMYFUNCTION("""COMPUTED_VALUE"""),245.0)</f>
        <v>245</v>
      </c>
    </row>
    <row r="1505">
      <c r="A1505" s="1">
        <v>3317026.0</v>
      </c>
      <c r="B1505" s="1" t="s">
        <v>3272</v>
      </c>
      <c r="C1505" s="1" t="s">
        <v>2930</v>
      </c>
      <c r="D1505" s="1" t="s">
        <v>3273</v>
      </c>
      <c r="E1505" s="1" t="s">
        <v>3274</v>
      </c>
      <c r="F1505" s="1" t="s">
        <v>16</v>
      </c>
      <c r="G1505" s="1" t="s">
        <v>23</v>
      </c>
      <c r="H1505" s="1" t="s">
        <v>18</v>
      </c>
      <c r="I1505" s="1" t="s">
        <v>684</v>
      </c>
      <c r="J1505" s="1">
        <f>IFERROR(__xludf.DUMMYFUNCTION("""COMPUTED_VALUE"""),80.0)</f>
        <v>80</v>
      </c>
      <c r="K1505" s="1">
        <v>32.0</v>
      </c>
      <c r="L1505" s="1">
        <f>IFERROR(__xludf.DUMMYFUNCTION("""COMPUTED_VALUE"""),94.0)</f>
        <v>94</v>
      </c>
    </row>
    <row r="1506">
      <c r="A1506" s="1">
        <v>3305011.0</v>
      </c>
      <c r="B1506" s="1" t="s">
        <v>3275</v>
      </c>
      <c r="C1506" s="1" t="s">
        <v>2930</v>
      </c>
      <c r="D1506" s="1" t="s">
        <v>2958</v>
      </c>
      <c r="E1506" s="1" t="s">
        <v>3276</v>
      </c>
      <c r="F1506" s="1" t="s">
        <v>16</v>
      </c>
      <c r="G1506" s="1" t="s">
        <v>17</v>
      </c>
      <c r="H1506" s="1" t="s">
        <v>28</v>
      </c>
      <c r="I1506" s="1" t="s">
        <v>40</v>
      </c>
      <c r="J1506" s="1">
        <f>IFERROR(__xludf.DUMMYFUNCTION("""COMPUTED_VALUE"""),295.0)</f>
        <v>295</v>
      </c>
      <c r="K1506" s="1">
        <v>42.0</v>
      </c>
      <c r="L1506" s="1">
        <f>IFERROR(__xludf.DUMMYFUNCTION("""COMPUTED_VALUE"""),891.0)</f>
        <v>891</v>
      </c>
    </row>
    <row r="1507">
      <c r="A1507" s="1">
        <v>3373020.0</v>
      </c>
      <c r="B1507" s="1" t="s">
        <v>3277</v>
      </c>
      <c r="C1507" s="1" t="s">
        <v>2930</v>
      </c>
      <c r="D1507" s="1" t="s">
        <v>2961</v>
      </c>
      <c r="E1507" s="1" t="s">
        <v>3278</v>
      </c>
      <c r="F1507" s="1" t="s">
        <v>16</v>
      </c>
      <c r="G1507" s="1" t="s">
        <v>17</v>
      </c>
      <c r="H1507" s="1" t="s">
        <v>18</v>
      </c>
      <c r="I1507" s="1" t="s">
        <v>74</v>
      </c>
      <c r="J1507" s="1">
        <f>IFERROR(__xludf.DUMMYFUNCTION("""COMPUTED_VALUE"""),148.0)</f>
        <v>148</v>
      </c>
      <c r="K1507" s="1">
        <v>36.0</v>
      </c>
      <c r="L1507" s="1">
        <f>IFERROR(__xludf.DUMMYFUNCTION("""COMPUTED_VALUE"""),363.0)</f>
        <v>363</v>
      </c>
    </row>
    <row r="1508">
      <c r="A1508" s="1">
        <v>3321011.0</v>
      </c>
      <c r="B1508" s="1" t="s">
        <v>3279</v>
      </c>
      <c r="C1508" s="1" t="s">
        <v>2930</v>
      </c>
      <c r="D1508" s="1" t="s">
        <v>2964</v>
      </c>
      <c r="E1508" s="1" t="s">
        <v>3280</v>
      </c>
      <c r="F1508" s="1" t="s">
        <v>16</v>
      </c>
      <c r="G1508" s="1" t="s">
        <v>17</v>
      </c>
      <c r="H1508" s="1" t="s">
        <v>28</v>
      </c>
      <c r="I1508" s="1" t="s">
        <v>40</v>
      </c>
      <c r="J1508" s="1">
        <f>IFERROR(__xludf.DUMMYFUNCTION("""COMPUTED_VALUE"""),293.0)</f>
        <v>293</v>
      </c>
      <c r="K1508" s="1">
        <v>60.0</v>
      </c>
      <c r="L1508" s="1">
        <f>IFERROR(__xludf.DUMMYFUNCTION("""COMPUTED_VALUE"""),475.0)</f>
        <v>475</v>
      </c>
    </row>
    <row r="1509">
      <c r="A1509" s="1">
        <v>3318110.0</v>
      </c>
      <c r="B1509" s="1" t="s">
        <v>3281</v>
      </c>
      <c r="C1509" s="1" t="s">
        <v>2930</v>
      </c>
      <c r="D1509" s="1" t="s">
        <v>3049</v>
      </c>
      <c r="E1509" s="1" t="s">
        <v>3282</v>
      </c>
      <c r="F1509" s="1" t="s">
        <v>16</v>
      </c>
      <c r="G1509" s="1" t="s">
        <v>17</v>
      </c>
      <c r="H1509" s="1" t="s">
        <v>18</v>
      </c>
      <c r="I1509" s="1" t="s">
        <v>684</v>
      </c>
      <c r="J1509" s="1">
        <f>IFERROR(__xludf.DUMMYFUNCTION("""COMPUTED_VALUE"""),138.0)</f>
        <v>138</v>
      </c>
      <c r="K1509" s="1">
        <v>74.0</v>
      </c>
      <c r="L1509" s="1">
        <f>IFERROR(__xludf.DUMMYFUNCTION("""COMPUTED_VALUE"""),50.0)</f>
        <v>50</v>
      </c>
    </row>
    <row r="1510">
      <c r="A1510" s="1">
        <v>3329113.0</v>
      </c>
      <c r="B1510" s="1" t="s">
        <v>3283</v>
      </c>
      <c r="C1510" s="1" t="s">
        <v>2930</v>
      </c>
      <c r="D1510" s="1" t="s">
        <v>2999</v>
      </c>
      <c r="E1510" s="1" t="s">
        <v>3284</v>
      </c>
      <c r="F1510" s="1" t="s">
        <v>16</v>
      </c>
      <c r="G1510" s="1" t="s">
        <v>23</v>
      </c>
      <c r="H1510" s="1" t="s">
        <v>18</v>
      </c>
      <c r="I1510" s="1" t="s">
        <v>44</v>
      </c>
      <c r="J1510" s="1">
        <f>IFERROR(__xludf.DUMMYFUNCTION("""COMPUTED_VALUE"""),60.0)</f>
        <v>60</v>
      </c>
      <c r="K1510" s="1">
        <v>50.0</v>
      </c>
      <c r="L1510" s="1">
        <f>IFERROR(__xludf.DUMMYFUNCTION("""COMPUTED_VALUE"""),31.0)</f>
        <v>31</v>
      </c>
    </row>
    <row r="1511">
      <c r="A1511" s="1">
        <v>3309085.0</v>
      </c>
      <c r="B1511" s="1" t="s">
        <v>3285</v>
      </c>
      <c r="C1511" s="1" t="s">
        <v>2930</v>
      </c>
      <c r="D1511" s="1" t="s">
        <v>2973</v>
      </c>
      <c r="E1511" s="1" t="s">
        <v>3286</v>
      </c>
      <c r="F1511" s="1" t="s">
        <v>16</v>
      </c>
      <c r="G1511" s="1" t="s">
        <v>23</v>
      </c>
      <c r="H1511" s="1" t="s">
        <v>18</v>
      </c>
      <c r="I1511" s="1" t="s">
        <v>19</v>
      </c>
      <c r="J1511" s="1">
        <f>IFERROR(__xludf.DUMMYFUNCTION("""COMPUTED_VALUE"""),85.0)</f>
        <v>85</v>
      </c>
      <c r="K1511" s="1">
        <v>34.0</v>
      </c>
      <c r="L1511" s="1">
        <f>IFERROR(__xludf.DUMMYFUNCTION("""COMPUTED_VALUE"""),294.0)</f>
        <v>294</v>
      </c>
    </row>
    <row r="1512">
      <c r="A1512" s="1">
        <v>3374240.0</v>
      </c>
      <c r="B1512" s="1" t="s">
        <v>3287</v>
      </c>
      <c r="C1512" s="1" t="s">
        <v>2930</v>
      </c>
      <c r="D1512" s="1" t="s">
        <v>2948</v>
      </c>
      <c r="E1512" s="1" t="s">
        <v>3288</v>
      </c>
      <c r="F1512" s="1" t="s">
        <v>16</v>
      </c>
      <c r="G1512" s="1" t="s">
        <v>17</v>
      </c>
      <c r="H1512" s="1" t="s">
        <v>18</v>
      </c>
      <c r="I1512" s="1" t="s">
        <v>258</v>
      </c>
      <c r="J1512" s="1">
        <f>IFERROR(__xludf.DUMMYFUNCTION("""COMPUTED_VALUE"""),185.0)</f>
        <v>185</v>
      </c>
      <c r="K1512" s="1">
        <v>84.0</v>
      </c>
      <c r="L1512" s="1">
        <f>IFERROR(__xludf.DUMMYFUNCTION("""COMPUTED_VALUE"""),381.0)</f>
        <v>381</v>
      </c>
    </row>
    <row r="1513">
      <c r="A1513" s="1">
        <v>3302225.0</v>
      </c>
      <c r="B1513" s="1" t="s">
        <v>3289</v>
      </c>
      <c r="C1513" s="1" t="s">
        <v>2930</v>
      </c>
      <c r="D1513" s="1" t="s">
        <v>2937</v>
      </c>
      <c r="E1513" s="1" t="s">
        <v>3290</v>
      </c>
      <c r="F1513" s="1" t="s">
        <v>255</v>
      </c>
      <c r="G1513" s="1" t="s">
        <v>17</v>
      </c>
      <c r="H1513" s="1" t="s">
        <v>18</v>
      </c>
      <c r="I1513" s="1" t="s">
        <v>44</v>
      </c>
      <c r="J1513" s="1">
        <f>IFERROR(__xludf.DUMMYFUNCTION("""COMPUTED_VALUE"""),25.0)</f>
        <v>25</v>
      </c>
      <c r="K1513" s="1">
        <v>11.0</v>
      </c>
      <c r="L1513" s="1">
        <f>IFERROR(__xludf.DUMMYFUNCTION("""COMPUTED_VALUE"""),26.0)</f>
        <v>26</v>
      </c>
    </row>
    <row r="1514">
      <c r="A1514" s="1">
        <v>3313011.0</v>
      </c>
      <c r="B1514" s="1" t="s">
        <v>3291</v>
      </c>
      <c r="C1514" s="1" t="s">
        <v>2930</v>
      </c>
      <c r="D1514" s="1" t="s">
        <v>2931</v>
      </c>
      <c r="E1514" s="1" t="s">
        <v>3292</v>
      </c>
      <c r="F1514" s="1" t="s">
        <v>16</v>
      </c>
      <c r="G1514" s="1" t="s">
        <v>17</v>
      </c>
      <c r="H1514" s="1" t="s">
        <v>28</v>
      </c>
      <c r="I1514" s="1" t="s">
        <v>40</v>
      </c>
      <c r="J1514" s="1">
        <f>IFERROR(__xludf.DUMMYFUNCTION("""COMPUTED_VALUE"""),389.0)</f>
        <v>389</v>
      </c>
      <c r="K1514" s="1">
        <v>31.0</v>
      </c>
      <c r="L1514" s="1">
        <f>IFERROR(__xludf.DUMMYFUNCTION("""COMPUTED_VALUE"""),707.0)</f>
        <v>707</v>
      </c>
    </row>
    <row r="1515">
      <c r="A1515" s="1">
        <v>3374365.0</v>
      </c>
      <c r="B1515" s="1" t="s">
        <v>3293</v>
      </c>
      <c r="C1515" s="1" t="s">
        <v>2930</v>
      </c>
      <c r="D1515" s="1" t="s">
        <v>2948</v>
      </c>
      <c r="E1515" s="1" t="s">
        <v>3294</v>
      </c>
      <c r="F1515" s="1" t="s">
        <v>16</v>
      </c>
      <c r="G1515" s="1" t="s">
        <v>17</v>
      </c>
      <c r="H1515" s="1" t="s">
        <v>18</v>
      </c>
      <c r="I1515" s="1" t="s">
        <v>44</v>
      </c>
      <c r="J1515" s="1">
        <f>IFERROR(__xludf.DUMMYFUNCTION("""COMPUTED_VALUE"""),127.0)</f>
        <v>127</v>
      </c>
      <c r="K1515" s="1">
        <v>82.0</v>
      </c>
      <c r="L1515" s="1">
        <f>IFERROR(__xludf.DUMMYFUNCTION("""COMPUTED_VALUE"""),252.0)</f>
        <v>252</v>
      </c>
    </row>
    <row r="1516">
      <c r="A1516" s="1">
        <v>3301014.0</v>
      </c>
      <c r="B1516" s="1" t="s">
        <v>3295</v>
      </c>
      <c r="C1516" s="1" t="s">
        <v>2930</v>
      </c>
      <c r="D1516" s="1" t="s">
        <v>2996</v>
      </c>
      <c r="E1516" s="1" t="s">
        <v>3296</v>
      </c>
      <c r="F1516" s="1" t="s">
        <v>16</v>
      </c>
      <c r="G1516" s="1" t="s">
        <v>27</v>
      </c>
      <c r="H1516" s="1" t="s">
        <v>28</v>
      </c>
      <c r="I1516" s="1" t="s">
        <v>40</v>
      </c>
      <c r="J1516" s="1">
        <f>IFERROR(__xludf.DUMMYFUNCTION("""COMPUTED_VALUE"""),295.0)</f>
        <v>295</v>
      </c>
      <c r="K1516" s="1">
        <v>31.0</v>
      </c>
      <c r="L1516" s="1">
        <f>IFERROR(__xludf.DUMMYFUNCTION("""COMPUTED_VALUE"""),686.0)</f>
        <v>686</v>
      </c>
    </row>
    <row r="1517">
      <c r="A1517" s="1">
        <v>3329056.0</v>
      </c>
      <c r="B1517" s="1" t="s">
        <v>3297</v>
      </c>
      <c r="C1517" s="1" t="s">
        <v>2930</v>
      </c>
      <c r="D1517" s="1" t="s">
        <v>2999</v>
      </c>
      <c r="E1517" s="1" t="s">
        <v>3298</v>
      </c>
      <c r="F1517" s="1" t="s">
        <v>16</v>
      </c>
      <c r="G1517" s="1" t="s">
        <v>17</v>
      </c>
      <c r="H1517" s="1" t="s">
        <v>18</v>
      </c>
      <c r="I1517" s="1" t="s">
        <v>684</v>
      </c>
      <c r="J1517" s="1">
        <f>IFERROR(__xludf.DUMMYFUNCTION("""COMPUTED_VALUE"""),175.0)</f>
        <v>175</v>
      </c>
      <c r="K1517" s="1">
        <v>60.0</v>
      </c>
      <c r="L1517" s="1">
        <f>IFERROR(__xludf.DUMMYFUNCTION("""COMPUTED_VALUE"""),262.0)</f>
        <v>262</v>
      </c>
    </row>
    <row r="1518">
      <c r="A1518" s="1">
        <v>3313055.0</v>
      </c>
      <c r="B1518" s="1" t="s">
        <v>3299</v>
      </c>
      <c r="C1518" s="1" t="s">
        <v>2930</v>
      </c>
      <c r="D1518" s="1" t="s">
        <v>2931</v>
      </c>
      <c r="E1518" s="1" t="s">
        <v>3300</v>
      </c>
      <c r="F1518" s="1" t="s">
        <v>16</v>
      </c>
      <c r="G1518" s="1" t="s">
        <v>23</v>
      </c>
      <c r="H1518" s="1" t="s">
        <v>18</v>
      </c>
      <c r="I1518" s="1" t="s">
        <v>59</v>
      </c>
      <c r="J1518" s="1">
        <f>IFERROR(__xludf.DUMMYFUNCTION("""COMPUTED_VALUE"""),58.0)</f>
        <v>58</v>
      </c>
      <c r="K1518" s="1">
        <v>20.0</v>
      </c>
      <c r="L1518" s="1">
        <f>IFERROR(__xludf.DUMMYFUNCTION("""COMPUTED_VALUE"""),91.0)</f>
        <v>91</v>
      </c>
    </row>
    <row r="1519">
      <c r="A1519" s="1">
        <v>3329109.0</v>
      </c>
      <c r="B1519" s="1" t="s">
        <v>3301</v>
      </c>
      <c r="C1519" s="1" t="s">
        <v>2930</v>
      </c>
      <c r="D1519" s="1" t="s">
        <v>2999</v>
      </c>
      <c r="E1519" s="1" t="s">
        <v>3302</v>
      </c>
      <c r="F1519" s="1" t="s">
        <v>16</v>
      </c>
      <c r="G1519" s="1" t="s">
        <v>23</v>
      </c>
      <c r="H1519" s="1" t="s">
        <v>18</v>
      </c>
      <c r="I1519" s="1" t="s">
        <v>44</v>
      </c>
      <c r="J1519" s="1">
        <f>IFERROR(__xludf.DUMMYFUNCTION("""COMPUTED_VALUE"""),60.0)</f>
        <v>60</v>
      </c>
      <c r="K1519" s="1">
        <v>29.0</v>
      </c>
      <c r="L1519" s="1">
        <f>IFERROR(__xludf.DUMMYFUNCTION("""COMPUTED_VALUE"""),114.0)</f>
        <v>114</v>
      </c>
    </row>
    <row r="1520">
      <c r="A1520" s="1">
        <v>3303116.0</v>
      </c>
      <c r="B1520" s="1" t="s">
        <v>3303</v>
      </c>
      <c r="C1520" s="1" t="s">
        <v>2930</v>
      </c>
      <c r="D1520" s="1" t="s">
        <v>3099</v>
      </c>
      <c r="E1520" s="1" t="s">
        <v>3304</v>
      </c>
      <c r="F1520" s="1" t="s">
        <v>55</v>
      </c>
      <c r="G1520" s="1" t="s">
        <v>17</v>
      </c>
      <c r="H1520" s="1" t="s">
        <v>18</v>
      </c>
      <c r="I1520" s="1" t="s">
        <v>34</v>
      </c>
      <c r="J1520" s="1">
        <f>IFERROR(__xludf.DUMMYFUNCTION("""COMPUTED_VALUE"""),25.0)</f>
        <v>25</v>
      </c>
      <c r="K1520" s="1">
        <v>18.0</v>
      </c>
      <c r="L1520" s="1">
        <f>IFERROR(__xludf.DUMMYFUNCTION("""COMPUTED_VALUE"""),182.0)</f>
        <v>182</v>
      </c>
    </row>
    <row r="1521">
      <c r="A1521" s="1">
        <v>3315024.0</v>
      </c>
      <c r="B1521" s="1" t="s">
        <v>3305</v>
      </c>
      <c r="C1521" s="1" t="s">
        <v>2930</v>
      </c>
      <c r="D1521" s="1" t="s">
        <v>3005</v>
      </c>
      <c r="E1521" s="1" t="s">
        <v>3306</v>
      </c>
      <c r="F1521" s="1" t="s">
        <v>16</v>
      </c>
      <c r="G1521" s="1" t="s">
        <v>17</v>
      </c>
      <c r="H1521" s="1" t="s">
        <v>18</v>
      </c>
      <c r="I1521" s="1" t="s">
        <v>59</v>
      </c>
      <c r="J1521" s="1">
        <f>IFERROR(__xludf.DUMMYFUNCTION("""COMPUTED_VALUE"""),233.0)</f>
        <v>233</v>
      </c>
      <c r="K1521" s="1">
        <v>60.0</v>
      </c>
      <c r="L1521" s="1">
        <f>IFERROR(__xludf.DUMMYFUNCTION("""COMPUTED_VALUE"""),583.0)</f>
        <v>583</v>
      </c>
    </row>
    <row r="1522">
      <c r="A1522" s="1">
        <v>3302052.0</v>
      </c>
      <c r="B1522" s="1" t="s">
        <v>3307</v>
      </c>
      <c r="C1522" s="1" t="s">
        <v>2930</v>
      </c>
      <c r="D1522" s="1" t="s">
        <v>2937</v>
      </c>
      <c r="E1522" s="1" t="s">
        <v>3308</v>
      </c>
      <c r="F1522" s="1" t="s">
        <v>1970</v>
      </c>
      <c r="G1522" s="1" t="s">
        <v>17</v>
      </c>
      <c r="H1522" s="1" t="s">
        <v>18</v>
      </c>
      <c r="I1522" s="1" t="s">
        <v>19</v>
      </c>
      <c r="J1522" s="1">
        <f>IFERROR(__xludf.DUMMYFUNCTION("""COMPUTED_VALUE"""),37.0)</f>
        <v>37</v>
      </c>
      <c r="K1522" s="1">
        <v>24.0</v>
      </c>
      <c r="L1522" s="1">
        <f>IFERROR(__xludf.DUMMYFUNCTION("""COMPUTED_VALUE"""),156.0)</f>
        <v>156</v>
      </c>
    </row>
    <row r="1523">
      <c r="A1523" s="1">
        <v>3374091.0</v>
      </c>
      <c r="B1523" s="1" t="s">
        <v>3309</v>
      </c>
      <c r="C1523" s="1" t="s">
        <v>2930</v>
      </c>
      <c r="D1523" s="1" t="s">
        <v>2948</v>
      </c>
      <c r="E1523" s="1" t="s">
        <v>3310</v>
      </c>
      <c r="F1523" s="1" t="s">
        <v>16</v>
      </c>
      <c r="G1523" s="1" t="s">
        <v>17</v>
      </c>
      <c r="H1523" s="1" t="s">
        <v>33</v>
      </c>
      <c r="I1523" s="1" t="s">
        <v>65</v>
      </c>
      <c r="J1523" s="1">
        <f>IFERROR(__xludf.DUMMYFUNCTION("""COMPUTED_VALUE"""),142.0)</f>
        <v>142</v>
      </c>
      <c r="K1523" s="1">
        <v>41.0</v>
      </c>
      <c r="L1523" s="1">
        <f>IFERROR(__xludf.DUMMYFUNCTION("""COMPUTED_VALUE"""),75.0)</f>
        <v>75</v>
      </c>
    </row>
    <row r="1524">
      <c r="A1524" s="1">
        <v>3301106.0</v>
      </c>
      <c r="B1524" s="1" t="s">
        <v>3311</v>
      </c>
      <c r="C1524" s="1" t="s">
        <v>2930</v>
      </c>
      <c r="D1524" s="1" t="s">
        <v>2996</v>
      </c>
      <c r="E1524" s="1" t="s">
        <v>3312</v>
      </c>
      <c r="F1524" s="1" t="s">
        <v>16</v>
      </c>
      <c r="G1524" s="1" t="s">
        <v>23</v>
      </c>
      <c r="H1524" s="1" t="s">
        <v>18</v>
      </c>
      <c r="I1524" s="1" t="s">
        <v>44</v>
      </c>
      <c r="J1524" s="1">
        <f>IFERROR(__xludf.DUMMYFUNCTION("""COMPUTED_VALUE"""),98.0)</f>
        <v>98</v>
      </c>
      <c r="K1524" s="1">
        <v>28.0</v>
      </c>
      <c r="L1524" s="1">
        <f>IFERROR(__xludf.DUMMYFUNCTION("""COMPUTED_VALUE"""),71.0)</f>
        <v>71</v>
      </c>
    </row>
    <row r="1525">
      <c r="A1525" s="1">
        <v>3302213.0</v>
      </c>
      <c r="B1525" s="1" t="s">
        <v>3313</v>
      </c>
      <c r="C1525" s="1" t="s">
        <v>2930</v>
      </c>
      <c r="D1525" s="1" t="s">
        <v>2937</v>
      </c>
      <c r="E1525" s="1" t="s">
        <v>3314</v>
      </c>
      <c r="F1525" s="1" t="s">
        <v>16</v>
      </c>
      <c r="G1525" s="1" t="s">
        <v>17</v>
      </c>
      <c r="H1525" s="1" t="s">
        <v>18</v>
      </c>
      <c r="I1525" s="1" t="s">
        <v>59</v>
      </c>
      <c r="J1525" s="1">
        <f>IFERROR(__xludf.DUMMYFUNCTION("""COMPUTED_VALUE"""),150.0)</f>
        <v>150</v>
      </c>
      <c r="K1525" s="1">
        <v>43.0</v>
      </c>
      <c r="L1525" s="1">
        <f>IFERROR(__xludf.DUMMYFUNCTION("""COMPUTED_VALUE"""),452.0)</f>
        <v>452</v>
      </c>
    </row>
    <row r="1526">
      <c r="A1526" s="1">
        <v>3372074.0</v>
      </c>
      <c r="B1526" s="1" t="s">
        <v>3315</v>
      </c>
      <c r="C1526" s="1" t="s">
        <v>2930</v>
      </c>
      <c r="D1526" s="1" t="s">
        <v>2967</v>
      </c>
      <c r="E1526" s="1" t="s">
        <v>3316</v>
      </c>
      <c r="F1526" s="1" t="s">
        <v>16</v>
      </c>
      <c r="G1526" s="1" t="s">
        <v>17</v>
      </c>
      <c r="H1526" s="1" t="s">
        <v>18</v>
      </c>
      <c r="I1526" s="1" t="s">
        <v>59</v>
      </c>
      <c r="J1526" s="1">
        <f>IFERROR(__xludf.DUMMYFUNCTION("""COMPUTED_VALUE"""),119.0)</f>
        <v>119</v>
      </c>
      <c r="K1526" s="1">
        <v>49.0</v>
      </c>
      <c r="L1526" s="1">
        <f>IFERROR(__xludf.DUMMYFUNCTION("""COMPUTED_VALUE"""),488.0)</f>
        <v>488</v>
      </c>
    </row>
    <row r="1527">
      <c r="A1527" s="1">
        <v>3319080.0</v>
      </c>
      <c r="B1527" s="1" t="s">
        <v>3317</v>
      </c>
      <c r="C1527" s="1" t="s">
        <v>2930</v>
      </c>
      <c r="D1527" s="1" t="s">
        <v>2934</v>
      </c>
      <c r="E1527" s="1" t="s">
        <v>3318</v>
      </c>
      <c r="F1527" s="1" t="s">
        <v>16</v>
      </c>
      <c r="G1527" s="1" t="s">
        <v>17</v>
      </c>
      <c r="H1527" s="1" t="s">
        <v>18</v>
      </c>
      <c r="I1527" s="1" t="s">
        <v>684</v>
      </c>
      <c r="J1527" s="1">
        <f>IFERROR(__xludf.DUMMYFUNCTION("""COMPUTED_VALUE"""),200.0)</f>
        <v>200</v>
      </c>
      <c r="K1527" s="1">
        <v>47.0</v>
      </c>
      <c r="L1527" s="1">
        <f>IFERROR(__xludf.DUMMYFUNCTION("""COMPUTED_VALUE"""),796.0)</f>
        <v>796</v>
      </c>
    </row>
    <row r="1528">
      <c r="A1528" s="1">
        <v>3307013.0</v>
      </c>
      <c r="B1528" s="1" t="s">
        <v>3319</v>
      </c>
      <c r="C1528" s="1" t="s">
        <v>2930</v>
      </c>
      <c r="D1528" s="1" t="s">
        <v>2983</v>
      </c>
      <c r="E1528" s="1" t="s">
        <v>3320</v>
      </c>
      <c r="F1528" s="1" t="s">
        <v>16</v>
      </c>
      <c r="G1528" s="1" t="s">
        <v>17</v>
      </c>
      <c r="H1528" s="1" t="s">
        <v>28</v>
      </c>
      <c r="I1528" s="1" t="s">
        <v>40</v>
      </c>
      <c r="J1528" s="1">
        <f>IFERROR(__xludf.DUMMYFUNCTION("""COMPUTED_VALUE"""),222.0)</f>
        <v>222</v>
      </c>
      <c r="K1528" s="1">
        <v>80.0</v>
      </c>
      <c r="L1528" s="1">
        <f>IFERROR(__xludf.DUMMYFUNCTION("""COMPUTED_VALUE"""),247.0)</f>
        <v>247</v>
      </c>
    </row>
    <row r="1529">
      <c r="A1529" s="1">
        <v>3374076.0</v>
      </c>
      <c r="B1529" s="1" t="s">
        <v>3321</v>
      </c>
      <c r="C1529" s="1" t="s">
        <v>2930</v>
      </c>
      <c r="D1529" s="1" t="s">
        <v>2948</v>
      </c>
      <c r="E1529" s="1" t="s">
        <v>3322</v>
      </c>
      <c r="F1529" s="1" t="s">
        <v>16</v>
      </c>
      <c r="G1529" s="1" t="s">
        <v>27</v>
      </c>
      <c r="H1529" s="1" t="s">
        <v>18</v>
      </c>
      <c r="I1529" s="1" t="s">
        <v>684</v>
      </c>
      <c r="J1529" s="1">
        <f>IFERROR(__xludf.DUMMYFUNCTION("""COMPUTED_VALUE"""),350.0)</f>
        <v>350</v>
      </c>
      <c r="K1529" s="1">
        <v>114.0</v>
      </c>
      <c r="L1529" s="1">
        <f>IFERROR(__xludf.DUMMYFUNCTION("""COMPUTED_VALUE"""),1666.0)</f>
        <v>1666</v>
      </c>
    </row>
    <row r="1530">
      <c r="A1530" s="1">
        <v>3301108.0</v>
      </c>
      <c r="B1530" s="1" t="s">
        <v>3323</v>
      </c>
      <c r="C1530" s="1" t="s">
        <v>2930</v>
      </c>
      <c r="D1530" s="1" t="s">
        <v>2996</v>
      </c>
      <c r="E1530" s="1" t="s">
        <v>3324</v>
      </c>
      <c r="F1530" s="1" t="s">
        <v>16</v>
      </c>
      <c r="G1530" s="1" t="s">
        <v>17</v>
      </c>
      <c r="H1530" s="1" t="s">
        <v>18</v>
      </c>
      <c r="I1530" s="1" t="s">
        <v>19</v>
      </c>
      <c r="J1530" s="1">
        <f>IFERROR(__xludf.DUMMYFUNCTION("""COMPUTED_VALUE"""),177.0)</f>
        <v>177</v>
      </c>
      <c r="K1530" s="1">
        <v>100.0</v>
      </c>
      <c r="L1530" s="1">
        <f>IFERROR(__xludf.DUMMYFUNCTION("""COMPUTED_VALUE"""),164.0)</f>
        <v>164</v>
      </c>
    </row>
    <row r="1531">
      <c r="A1531" s="1">
        <v>3324014.0</v>
      </c>
      <c r="B1531" s="1" t="s">
        <v>3325</v>
      </c>
      <c r="C1531" s="1" t="s">
        <v>2930</v>
      </c>
      <c r="D1531" s="1" t="s">
        <v>2970</v>
      </c>
      <c r="E1531" s="1" t="s">
        <v>3326</v>
      </c>
      <c r="F1531" s="1" t="s">
        <v>16</v>
      </c>
      <c r="G1531" s="1" t="s">
        <v>27</v>
      </c>
      <c r="H1531" s="1" t="s">
        <v>28</v>
      </c>
      <c r="I1531" s="1" t="s">
        <v>40</v>
      </c>
      <c r="J1531" s="1">
        <f>IFERROR(__xludf.DUMMYFUNCTION("""COMPUTED_VALUE"""),270.0)</f>
        <v>270</v>
      </c>
      <c r="K1531" s="1">
        <v>77.0</v>
      </c>
      <c r="L1531" s="1">
        <f>IFERROR(__xludf.DUMMYFUNCTION("""COMPUTED_VALUE"""),465.0)</f>
        <v>465</v>
      </c>
    </row>
    <row r="1532">
      <c r="A1532" s="1">
        <v>3312021.0</v>
      </c>
      <c r="B1532" s="1" t="s">
        <v>3327</v>
      </c>
      <c r="C1532" s="1" t="s">
        <v>2930</v>
      </c>
      <c r="D1532" s="1" t="s">
        <v>3118</v>
      </c>
      <c r="E1532" s="1" t="s">
        <v>3328</v>
      </c>
      <c r="F1532" s="1" t="s">
        <v>16</v>
      </c>
      <c r="G1532" s="1" t="s">
        <v>23</v>
      </c>
      <c r="H1532" s="1" t="s">
        <v>18</v>
      </c>
      <c r="I1532" s="1" t="s">
        <v>44</v>
      </c>
      <c r="J1532" s="1">
        <f>IFERROR(__xludf.DUMMYFUNCTION("""COMPUTED_VALUE"""),100.0)</f>
        <v>100</v>
      </c>
      <c r="K1532" s="1">
        <v>27.0</v>
      </c>
      <c r="L1532" s="1">
        <f>IFERROR(__xludf.DUMMYFUNCTION("""COMPUTED_VALUE"""),211.0)</f>
        <v>211</v>
      </c>
    </row>
    <row r="1533">
      <c r="A1533" s="1">
        <v>3322084.0</v>
      </c>
      <c r="B1533" s="1" t="s">
        <v>3329</v>
      </c>
      <c r="C1533" s="1" t="s">
        <v>2930</v>
      </c>
      <c r="D1533" s="1" t="s">
        <v>3064</v>
      </c>
      <c r="E1533" s="1" t="s">
        <v>3330</v>
      </c>
      <c r="F1533" s="1" t="s">
        <v>16</v>
      </c>
      <c r="G1533" s="1" t="s">
        <v>17</v>
      </c>
      <c r="H1533" s="1" t="s">
        <v>18</v>
      </c>
      <c r="I1533" s="1" t="s">
        <v>44</v>
      </c>
      <c r="J1533" s="1">
        <f>IFERROR(__xludf.DUMMYFUNCTION("""COMPUTED_VALUE"""),100.0)</f>
        <v>100</v>
      </c>
      <c r="K1533" s="1">
        <v>31.0</v>
      </c>
      <c r="L1533" s="1">
        <f>IFERROR(__xludf.DUMMYFUNCTION("""COMPUTED_VALUE"""),182.0)</f>
        <v>182</v>
      </c>
    </row>
    <row r="1534">
      <c r="A1534" s="1">
        <v>3316076.0</v>
      </c>
      <c r="B1534" s="1" t="s">
        <v>3331</v>
      </c>
      <c r="C1534" s="1" t="s">
        <v>2930</v>
      </c>
      <c r="D1534" s="1" t="s">
        <v>2951</v>
      </c>
      <c r="E1534" s="1" t="s">
        <v>3332</v>
      </c>
      <c r="F1534" s="1" t="s">
        <v>55</v>
      </c>
      <c r="G1534" s="1" t="s">
        <v>17</v>
      </c>
      <c r="H1534" s="1" t="s">
        <v>18</v>
      </c>
      <c r="I1534" s="1" t="s">
        <v>44</v>
      </c>
      <c r="J1534" s="1">
        <f>IFERROR(__xludf.DUMMYFUNCTION("""COMPUTED_VALUE"""),34.0)</f>
        <v>34</v>
      </c>
      <c r="K1534" s="1">
        <v>22.0</v>
      </c>
      <c r="L1534" s="1">
        <f>IFERROR(__xludf.DUMMYFUNCTION("""COMPUTED_VALUE"""),182.0)</f>
        <v>182</v>
      </c>
    </row>
    <row r="1535">
      <c r="A1535" s="1">
        <v>3311016.0</v>
      </c>
      <c r="B1535" s="1" t="s">
        <v>3333</v>
      </c>
      <c r="C1535" s="1" t="s">
        <v>2930</v>
      </c>
      <c r="D1535" s="1" t="s">
        <v>3014</v>
      </c>
      <c r="E1535" s="1" t="s">
        <v>3334</v>
      </c>
      <c r="F1535" s="1" t="s">
        <v>16</v>
      </c>
      <c r="G1535" s="1" t="s">
        <v>27</v>
      </c>
      <c r="H1535" s="1" t="s">
        <v>28</v>
      </c>
      <c r="I1535" s="1" t="s">
        <v>40</v>
      </c>
      <c r="J1535" s="1">
        <f>IFERROR(__xludf.DUMMYFUNCTION("""COMPUTED_VALUE"""),233.0)</f>
        <v>233</v>
      </c>
      <c r="K1535" s="1">
        <v>62.0</v>
      </c>
      <c r="L1535" s="1">
        <f>IFERROR(__xludf.DUMMYFUNCTION("""COMPUTED_VALUE"""),731.0)</f>
        <v>731</v>
      </c>
    </row>
    <row r="1536">
      <c r="A1536" s="1">
        <v>3375033.0</v>
      </c>
      <c r="B1536" s="1" t="s">
        <v>3335</v>
      </c>
      <c r="C1536" s="1" t="s">
        <v>2930</v>
      </c>
      <c r="D1536" s="1" t="s">
        <v>2986</v>
      </c>
      <c r="E1536" s="1" t="s">
        <v>3336</v>
      </c>
      <c r="F1536" s="1" t="s">
        <v>16</v>
      </c>
      <c r="G1536" s="1" t="s">
        <v>17</v>
      </c>
      <c r="H1536" s="1" t="s">
        <v>18</v>
      </c>
      <c r="I1536" s="1" t="s">
        <v>684</v>
      </c>
      <c r="J1536" s="1">
        <f>IFERROR(__xludf.DUMMYFUNCTION("""COMPUTED_VALUE"""),113.0)</f>
        <v>113</v>
      </c>
      <c r="K1536" s="1">
        <v>35.0</v>
      </c>
      <c r="L1536" s="1">
        <f>IFERROR(__xludf.DUMMYFUNCTION("""COMPUTED_VALUE"""),353.0)</f>
        <v>353</v>
      </c>
    </row>
    <row r="1537">
      <c r="A1537" s="1">
        <v>3317027.0</v>
      </c>
      <c r="B1537" s="1" t="s">
        <v>3337</v>
      </c>
      <c r="C1537" s="1" t="s">
        <v>2930</v>
      </c>
      <c r="D1537" s="1" t="s">
        <v>3273</v>
      </c>
      <c r="E1537" s="1" t="s">
        <v>3338</v>
      </c>
      <c r="F1537" s="1" t="s">
        <v>16</v>
      </c>
      <c r="G1537" s="1" t="s">
        <v>17</v>
      </c>
      <c r="H1537" s="1" t="s">
        <v>18</v>
      </c>
      <c r="I1537" s="1" t="s">
        <v>44</v>
      </c>
      <c r="J1537" s="1">
        <f>IFERROR(__xludf.DUMMYFUNCTION("""COMPUTED_VALUE"""),189.0)</f>
        <v>189</v>
      </c>
      <c r="K1537" s="1">
        <v>64.0</v>
      </c>
      <c r="L1537" s="1">
        <f>IFERROR(__xludf.DUMMYFUNCTION("""COMPUTED_VALUE"""),254.0)</f>
        <v>254</v>
      </c>
    </row>
    <row r="1538">
      <c r="A1538" s="1">
        <v>3329125.0</v>
      </c>
      <c r="B1538" s="1" t="s">
        <v>3339</v>
      </c>
      <c r="C1538" s="1" t="s">
        <v>2930</v>
      </c>
      <c r="D1538" s="1" t="s">
        <v>2999</v>
      </c>
      <c r="E1538" s="1" t="s">
        <v>3340</v>
      </c>
      <c r="F1538" s="1" t="s">
        <v>16</v>
      </c>
      <c r="G1538" s="1" t="s">
        <v>23</v>
      </c>
      <c r="H1538" s="1" t="s">
        <v>28</v>
      </c>
      <c r="I1538" s="1" t="s">
        <v>40</v>
      </c>
      <c r="J1538" s="1">
        <f>IFERROR(__xludf.DUMMYFUNCTION("""COMPUTED_VALUE"""),52.0)</f>
        <v>52</v>
      </c>
      <c r="K1538" s="1">
        <v>26.0</v>
      </c>
      <c r="L1538" s="1">
        <f>IFERROR(__xludf.DUMMYFUNCTION("""COMPUTED_VALUE"""),182.0)</f>
        <v>182</v>
      </c>
    </row>
    <row r="1539">
      <c r="A1539" s="1">
        <v>3313033.0</v>
      </c>
      <c r="B1539" s="1" t="s">
        <v>3341</v>
      </c>
      <c r="C1539" s="1" t="s">
        <v>2930</v>
      </c>
      <c r="D1539" s="1" t="s">
        <v>2931</v>
      </c>
      <c r="E1539" s="1" t="s">
        <v>3342</v>
      </c>
      <c r="F1539" s="1" t="s">
        <v>16</v>
      </c>
      <c r="G1539" s="1" t="s">
        <v>17</v>
      </c>
      <c r="H1539" s="1" t="s">
        <v>18</v>
      </c>
      <c r="I1539" s="1" t="s">
        <v>684</v>
      </c>
      <c r="J1539" s="1">
        <f>IFERROR(__xludf.DUMMYFUNCTION("""COMPUTED_VALUE"""),220.0)</f>
        <v>220</v>
      </c>
      <c r="K1539" s="1">
        <v>60.0</v>
      </c>
      <c r="L1539" s="1">
        <f>IFERROR(__xludf.DUMMYFUNCTION("""COMPUTED_VALUE"""),380.0)</f>
        <v>380</v>
      </c>
    </row>
    <row r="1540">
      <c r="A1540" s="1">
        <v>3372235.0</v>
      </c>
      <c r="B1540" s="1" t="s">
        <v>3343</v>
      </c>
      <c r="C1540" s="1" t="s">
        <v>2930</v>
      </c>
      <c r="D1540" s="1" t="s">
        <v>2967</v>
      </c>
      <c r="E1540" s="1" t="s">
        <v>3344</v>
      </c>
      <c r="F1540" s="1" t="s">
        <v>272</v>
      </c>
      <c r="G1540" s="1" t="s">
        <v>17</v>
      </c>
      <c r="H1540" s="1" t="s">
        <v>18</v>
      </c>
      <c r="I1540" s="1" t="s">
        <v>44</v>
      </c>
      <c r="J1540" s="1">
        <f>IFERROR(__xludf.DUMMYFUNCTION("""COMPUTED_VALUE"""),18.0)</f>
        <v>18</v>
      </c>
      <c r="K1540" s="1">
        <v>18.0</v>
      </c>
      <c r="L1540" s="1">
        <f>IFERROR(__xludf.DUMMYFUNCTION("""COMPUTED_VALUE"""),113.0)</f>
        <v>113</v>
      </c>
    </row>
    <row r="1541">
      <c r="A1541" s="1">
        <v>3322073.0</v>
      </c>
      <c r="B1541" s="1" t="s">
        <v>3345</v>
      </c>
      <c r="C1541" s="1" t="s">
        <v>2930</v>
      </c>
      <c r="D1541" s="1" t="s">
        <v>3064</v>
      </c>
      <c r="E1541" s="1" t="s">
        <v>3346</v>
      </c>
      <c r="F1541" s="1" t="s">
        <v>16</v>
      </c>
      <c r="G1541" s="1" t="s">
        <v>23</v>
      </c>
      <c r="H1541" s="1" t="s">
        <v>18</v>
      </c>
      <c r="I1541" s="1" t="s">
        <v>44</v>
      </c>
      <c r="J1541" s="1">
        <f>IFERROR(__xludf.DUMMYFUNCTION("""COMPUTED_VALUE"""),50.0)</f>
        <v>50</v>
      </c>
      <c r="K1541" s="1">
        <v>19.0</v>
      </c>
      <c r="L1541" s="1">
        <f>IFERROR(__xludf.DUMMYFUNCTION("""COMPUTED_VALUE"""),34.0)</f>
        <v>34</v>
      </c>
    </row>
    <row r="1542">
      <c r="A1542" s="1">
        <v>3302041.0</v>
      </c>
      <c r="B1542" s="1" t="s">
        <v>3347</v>
      </c>
      <c r="C1542" s="1" t="s">
        <v>2930</v>
      </c>
      <c r="D1542" s="1" t="s">
        <v>2937</v>
      </c>
      <c r="E1542" s="1" t="s">
        <v>3348</v>
      </c>
      <c r="F1542" s="1" t="s">
        <v>16</v>
      </c>
      <c r="G1542" s="1" t="s">
        <v>17</v>
      </c>
      <c r="H1542" s="1" t="s">
        <v>18</v>
      </c>
      <c r="I1542" s="1" t="s">
        <v>249</v>
      </c>
      <c r="J1542" s="1">
        <f>IFERROR(__xludf.DUMMYFUNCTION("""COMPUTED_VALUE"""),110.0)</f>
        <v>110</v>
      </c>
      <c r="K1542" s="1">
        <v>33.0</v>
      </c>
      <c r="L1542" s="1">
        <f>IFERROR(__xludf.DUMMYFUNCTION("""COMPUTED_VALUE"""),332.0)</f>
        <v>332</v>
      </c>
    </row>
    <row r="1543">
      <c r="A1543" s="1">
        <v>3371142.0</v>
      </c>
      <c r="B1543" s="1" t="s">
        <v>3349</v>
      </c>
      <c r="C1543" s="1" t="s">
        <v>2930</v>
      </c>
      <c r="D1543" s="1" t="s">
        <v>2939</v>
      </c>
      <c r="E1543" s="1" t="s">
        <v>3350</v>
      </c>
      <c r="F1543" s="1" t="s">
        <v>16</v>
      </c>
      <c r="G1543" s="1" t="s">
        <v>23</v>
      </c>
      <c r="H1543" s="1" t="s">
        <v>18</v>
      </c>
      <c r="I1543" s="1" t="s">
        <v>59</v>
      </c>
      <c r="J1543" s="1">
        <f>IFERROR(__xludf.DUMMYFUNCTION("""COMPUTED_VALUE"""),60.0)</f>
        <v>60</v>
      </c>
      <c r="K1543" s="1">
        <v>28.0</v>
      </c>
      <c r="L1543" s="1">
        <f>IFERROR(__xludf.DUMMYFUNCTION("""COMPUTED_VALUE"""),124.0)</f>
        <v>124</v>
      </c>
    </row>
    <row r="1544">
      <c r="A1544" s="1">
        <v>3319023.0</v>
      </c>
      <c r="B1544" s="1" t="s">
        <v>1530</v>
      </c>
      <c r="C1544" s="1" t="s">
        <v>2930</v>
      </c>
      <c r="D1544" s="1" t="s">
        <v>2934</v>
      </c>
      <c r="E1544" s="1" t="s">
        <v>3351</v>
      </c>
      <c r="F1544" s="1" t="s">
        <v>55</v>
      </c>
      <c r="G1544" s="1" t="s">
        <v>17</v>
      </c>
      <c r="H1544" s="1" t="s">
        <v>18</v>
      </c>
      <c r="I1544" s="1" t="s">
        <v>19</v>
      </c>
      <c r="J1544" s="1">
        <f>IFERROR(__xludf.DUMMYFUNCTION("""COMPUTED_VALUE"""),39.0)</f>
        <v>39</v>
      </c>
      <c r="K1544" s="1">
        <v>15.0</v>
      </c>
      <c r="L1544" s="1">
        <f>IFERROR(__xludf.DUMMYFUNCTION("""COMPUTED_VALUE"""),83.0)</f>
        <v>83</v>
      </c>
    </row>
    <row r="1545">
      <c r="A1545" s="1">
        <v>3308017.0</v>
      </c>
      <c r="B1545" s="1" t="s">
        <v>3352</v>
      </c>
      <c r="C1545" s="1" t="s">
        <v>2930</v>
      </c>
      <c r="D1545" s="1" t="s">
        <v>3107</v>
      </c>
      <c r="E1545" s="1" t="s">
        <v>3353</v>
      </c>
      <c r="F1545" s="1" t="s">
        <v>16</v>
      </c>
      <c r="G1545" s="1" t="s">
        <v>17</v>
      </c>
      <c r="H1545" s="1" t="s">
        <v>18</v>
      </c>
      <c r="I1545" s="1" t="s">
        <v>19</v>
      </c>
      <c r="J1545" s="1">
        <f>IFERROR(__xludf.DUMMYFUNCTION("""COMPUTED_VALUE"""),113.0)</f>
        <v>113</v>
      </c>
      <c r="K1545" s="1">
        <v>26.0</v>
      </c>
      <c r="L1545" s="1">
        <f>IFERROR(__xludf.DUMMYFUNCTION("""COMPUTED_VALUE"""),192.0)</f>
        <v>192</v>
      </c>
    </row>
    <row r="1546">
      <c r="A1546" s="1">
        <v>3317015.0</v>
      </c>
      <c r="B1546" s="1" t="s">
        <v>3354</v>
      </c>
      <c r="C1546" s="1" t="s">
        <v>2930</v>
      </c>
      <c r="D1546" s="1" t="s">
        <v>3273</v>
      </c>
      <c r="E1546" s="1" t="s">
        <v>3355</v>
      </c>
      <c r="F1546" s="1" t="s">
        <v>16</v>
      </c>
      <c r="G1546" s="1" t="s">
        <v>17</v>
      </c>
      <c r="H1546" s="1" t="s">
        <v>28</v>
      </c>
      <c r="I1546" s="1" t="s">
        <v>40</v>
      </c>
      <c r="J1546" s="1">
        <f>IFERROR(__xludf.DUMMYFUNCTION("""COMPUTED_VALUE"""),302.0)</f>
        <v>302</v>
      </c>
      <c r="K1546" s="1">
        <v>83.0</v>
      </c>
      <c r="L1546" s="1">
        <f>IFERROR(__xludf.DUMMYFUNCTION("""COMPUTED_VALUE"""),691.0)</f>
        <v>691</v>
      </c>
    </row>
    <row r="1547">
      <c r="A1547" s="1">
        <v>3318108.0</v>
      </c>
      <c r="B1547" s="1" t="s">
        <v>3356</v>
      </c>
      <c r="C1547" s="1" t="s">
        <v>2930</v>
      </c>
      <c r="D1547" s="1" t="s">
        <v>3049</v>
      </c>
      <c r="E1547" s="1" t="s">
        <v>3357</v>
      </c>
      <c r="F1547" s="1" t="s">
        <v>16</v>
      </c>
      <c r="G1547" s="1" t="s">
        <v>17</v>
      </c>
      <c r="H1547" s="1" t="s">
        <v>18</v>
      </c>
      <c r="I1547" s="1" t="s">
        <v>44</v>
      </c>
      <c r="J1547" s="1">
        <f>IFERROR(__xludf.DUMMYFUNCTION("""COMPUTED_VALUE"""),199.0)</f>
        <v>199</v>
      </c>
      <c r="K1547" s="1">
        <v>39.0</v>
      </c>
      <c r="L1547" s="1">
        <f>IFERROR(__xludf.DUMMYFUNCTION("""COMPUTED_VALUE"""),956.0)</f>
        <v>956</v>
      </c>
    </row>
    <row r="1548">
      <c r="A1548" s="1">
        <v>3328042.0</v>
      </c>
      <c r="B1548" s="1" t="s">
        <v>3358</v>
      </c>
      <c r="C1548" s="1" t="s">
        <v>2930</v>
      </c>
      <c r="D1548" s="1" t="s">
        <v>3208</v>
      </c>
      <c r="E1548" s="1" t="s">
        <v>3359</v>
      </c>
      <c r="F1548" s="1" t="s">
        <v>16</v>
      </c>
      <c r="G1548" s="1" t="s">
        <v>17</v>
      </c>
      <c r="H1548" s="1" t="s">
        <v>18</v>
      </c>
      <c r="I1548" s="1" t="s">
        <v>19</v>
      </c>
      <c r="J1548" s="1">
        <f>IFERROR(__xludf.DUMMYFUNCTION("""COMPUTED_VALUE"""),108.0)</f>
        <v>108</v>
      </c>
      <c r="K1548" s="1">
        <v>50.0</v>
      </c>
      <c r="L1548" s="1">
        <f>IFERROR(__xludf.DUMMYFUNCTION("""COMPUTED_VALUE"""),304.0)</f>
        <v>304</v>
      </c>
    </row>
    <row r="1549">
      <c r="A1549" s="1">
        <v>3312307.0</v>
      </c>
      <c r="B1549" s="1" t="s">
        <v>3360</v>
      </c>
      <c r="C1549" s="1" t="s">
        <v>2930</v>
      </c>
      <c r="D1549" s="1" t="s">
        <v>3118</v>
      </c>
      <c r="E1549" s="1" t="s">
        <v>3361</v>
      </c>
      <c r="F1549" s="1" t="s">
        <v>16</v>
      </c>
      <c r="G1549" s="1" t="s">
        <v>23</v>
      </c>
      <c r="H1549" s="1" t="s">
        <v>18</v>
      </c>
      <c r="I1549" s="1" t="s">
        <v>44</v>
      </c>
      <c r="J1549" s="1">
        <f>IFERROR(__xludf.DUMMYFUNCTION("""COMPUTED_VALUE"""),71.0)</f>
        <v>71</v>
      </c>
      <c r="K1549" s="1">
        <v>30.0</v>
      </c>
      <c r="L1549" s="1">
        <f>IFERROR(__xludf.DUMMYFUNCTION("""COMPUTED_VALUE"""),50.0)</f>
        <v>50</v>
      </c>
    </row>
    <row r="1550">
      <c r="A1550" s="1">
        <v>3372240.0</v>
      </c>
      <c r="B1550" s="1" t="s">
        <v>3362</v>
      </c>
      <c r="C1550" s="1" t="s">
        <v>2930</v>
      </c>
      <c r="D1550" s="1" t="s">
        <v>2967</v>
      </c>
      <c r="E1550" s="1" t="s">
        <v>3363</v>
      </c>
      <c r="F1550" s="1" t="s">
        <v>16</v>
      </c>
      <c r="G1550" s="1" t="s">
        <v>17</v>
      </c>
      <c r="H1550" s="1" t="s">
        <v>28</v>
      </c>
      <c r="I1550" s="1" t="s">
        <v>29</v>
      </c>
      <c r="J1550" s="1">
        <f>IFERROR(__xludf.DUMMYFUNCTION("""COMPUTED_VALUE"""),235.0)</f>
        <v>235</v>
      </c>
      <c r="K1550" s="1">
        <v>44.0</v>
      </c>
      <c r="L1550" s="1">
        <f>IFERROR(__xludf.DUMMYFUNCTION("""COMPUTED_VALUE"""),276.0)</f>
        <v>276</v>
      </c>
    </row>
    <row r="1551">
      <c r="A1551" s="1">
        <v>3305066.0</v>
      </c>
      <c r="B1551" s="1" t="s">
        <v>3364</v>
      </c>
      <c r="C1551" s="1" t="s">
        <v>2930</v>
      </c>
      <c r="D1551" s="1" t="s">
        <v>2958</v>
      </c>
      <c r="E1551" s="1" t="s">
        <v>3365</v>
      </c>
      <c r="F1551" s="1" t="s">
        <v>16</v>
      </c>
      <c r="G1551" s="1" t="s">
        <v>27</v>
      </c>
      <c r="H1551" s="1" t="s">
        <v>18</v>
      </c>
      <c r="I1551" s="1" t="s">
        <v>684</v>
      </c>
      <c r="J1551" s="1">
        <f>IFERROR(__xludf.DUMMYFUNCTION("""COMPUTED_VALUE"""),345.0)</f>
        <v>345</v>
      </c>
      <c r="K1551" s="1">
        <v>96.0</v>
      </c>
      <c r="L1551" s="1">
        <f>IFERROR(__xludf.DUMMYFUNCTION("""COMPUTED_VALUE"""),625.0)</f>
        <v>625</v>
      </c>
    </row>
    <row r="1552">
      <c r="A1552" s="1">
        <v>3372239.0</v>
      </c>
      <c r="B1552" s="1" t="s">
        <v>3366</v>
      </c>
      <c r="C1552" s="1" t="s">
        <v>2930</v>
      </c>
      <c r="D1552" s="1" t="s">
        <v>2967</v>
      </c>
      <c r="E1552" s="1" t="s">
        <v>3367</v>
      </c>
      <c r="F1552" s="1" t="s">
        <v>32</v>
      </c>
      <c r="G1552" s="1" t="s">
        <v>17</v>
      </c>
      <c r="H1552" s="1" t="s">
        <v>18</v>
      </c>
      <c r="I1552" s="1" t="s">
        <v>163</v>
      </c>
      <c r="J1552" s="1">
        <f>IFERROR(__xludf.DUMMYFUNCTION("""COMPUTED_VALUE"""),13.0)</f>
        <v>13</v>
      </c>
      <c r="K1552" s="1">
        <v>23.0</v>
      </c>
      <c r="L1552" s="1">
        <f>IFERROR(__xludf.DUMMYFUNCTION("""COMPUTED_VALUE"""),32.0)</f>
        <v>32</v>
      </c>
    </row>
    <row r="1553">
      <c r="A1553" s="1">
        <v>3322012.0</v>
      </c>
      <c r="B1553" s="1" t="s">
        <v>3368</v>
      </c>
      <c r="C1553" s="1" t="s">
        <v>2930</v>
      </c>
      <c r="D1553" s="1" t="s">
        <v>3064</v>
      </c>
      <c r="E1553" s="1" t="s">
        <v>3369</v>
      </c>
      <c r="F1553" s="1" t="s">
        <v>16</v>
      </c>
      <c r="G1553" s="1" t="s">
        <v>17</v>
      </c>
      <c r="H1553" s="1" t="s">
        <v>28</v>
      </c>
      <c r="I1553" s="1" t="s">
        <v>40</v>
      </c>
      <c r="J1553" s="1">
        <f>IFERROR(__xludf.DUMMYFUNCTION("""COMPUTED_VALUE"""),209.0)</f>
        <v>209</v>
      </c>
      <c r="K1553" s="1">
        <v>33.0</v>
      </c>
      <c r="L1553" s="1">
        <f>IFERROR(__xludf.DUMMYFUNCTION("""COMPUTED_VALUE"""),752.0)</f>
        <v>752</v>
      </c>
    </row>
    <row r="1554">
      <c r="A1554" s="1">
        <v>3329105.0</v>
      </c>
      <c r="B1554" s="1" t="s">
        <v>3370</v>
      </c>
      <c r="C1554" s="1" t="s">
        <v>2930</v>
      </c>
      <c r="D1554" s="1" t="s">
        <v>2999</v>
      </c>
      <c r="E1554" s="1" t="s">
        <v>3371</v>
      </c>
      <c r="F1554" s="1" t="s">
        <v>55</v>
      </c>
      <c r="G1554" s="1" t="s">
        <v>17</v>
      </c>
      <c r="H1554" s="1" t="s">
        <v>18</v>
      </c>
      <c r="I1554" s="1" t="s">
        <v>19</v>
      </c>
      <c r="J1554" s="1">
        <f>IFERROR(__xludf.DUMMYFUNCTION("""COMPUTED_VALUE"""),50.0)</f>
        <v>50</v>
      </c>
      <c r="K1554" s="1">
        <v>30.0</v>
      </c>
      <c r="L1554" s="1">
        <f>IFERROR(__xludf.DUMMYFUNCTION("""COMPUTED_VALUE"""),89.0)</f>
        <v>89</v>
      </c>
    </row>
    <row r="1555">
      <c r="A1555" s="1">
        <v>3303102.0</v>
      </c>
      <c r="B1555" s="1" t="s">
        <v>3372</v>
      </c>
      <c r="C1555" s="1" t="s">
        <v>2930</v>
      </c>
      <c r="D1555" s="1" t="s">
        <v>3099</v>
      </c>
      <c r="E1555" s="1" t="s">
        <v>3373</v>
      </c>
      <c r="F1555" s="1" t="s">
        <v>16</v>
      </c>
      <c r="G1555" s="1" t="s">
        <v>23</v>
      </c>
      <c r="H1555" s="1" t="s">
        <v>18</v>
      </c>
      <c r="I1555" s="1" t="s">
        <v>684</v>
      </c>
      <c r="J1555" s="1">
        <f>IFERROR(__xludf.DUMMYFUNCTION("""COMPUTED_VALUE"""),93.0)</f>
        <v>93</v>
      </c>
      <c r="K1555" s="1">
        <v>26.0</v>
      </c>
      <c r="L1555" s="1">
        <f>IFERROR(__xludf.DUMMYFUNCTION("""COMPUTED_VALUE"""),50.0)</f>
        <v>50</v>
      </c>
    </row>
    <row r="1556">
      <c r="A1556" s="1">
        <v>3309107.0</v>
      </c>
      <c r="B1556" s="1" t="s">
        <v>3374</v>
      </c>
      <c r="C1556" s="1" t="s">
        <v>2930</v>
      </c>
      <c r="D1556" s="1" t="s">
        <v>2973</v>
      </c>
      <c r="E1556" s="1" t="s">
        <v>3375</v>
      </c>
      <c r="F1556" s="1" t="s">
        <v>16</v>
      </c>
      <c r="G1556" s="1" t="s">
        <v>23</v>
      </c>
      <c r="H1556" s="1" t="s">
        <v>28</v>
      </c>
      <c r="I1556" s="1" t="s">
        <v>40</v>
      </c>
      <c r="J1556" s="1">
        <f>IFERROR(__xludf.DUMMYFUNCTION("""COMPUTED_VALUE"""),127.0)</f>
        <v>127</v>
      </c>
      <c r="K1556" s="1">
        <v>28.0</v>
      </c>
      <c r="L1556" s="1">
        <f>IFERROR(__xludf.DUMMYFUNCTION("""COMPUTED_VALUE"""),218.0)</f>
        <v>218</v>
      </c>
    </row>
    <row r="1557">
      <c r="A1557" s="1">
        <v>3374284.0</v>
      </c>
      <c r="B1557" s="1" t="s">
        <v>3376</v>
      </c>
      <c r="C1557" s="1" t="s">
        <v>2930</v>
      </c>
      <c r="D1557" s="1" t="s">
        <v>2948</v>
      </c>
      <c r="E1557" s="1" t="s">
        <v>3377</v>
      </c>
      <c r="F1557" s="1" t="s">
        <v>55</v>
      </c>
      <c r="G1557" s="1" t="s">
        <v>17</v>
      </c>
      <c r="H1557" s="1" t="s">
        <v>18</v>
      </c>
      <c r="I1557" s="1" t="s">
        <v>59</v>
      </c>
      <c r="J1557" s="1">
        <f>IFERROR(__xludf.DUMMYFUNCTION("""COMPUTED_VALUE"""),29.0)</f>
        <v>29</v>
      </c>
      <c r="K1557" s="1">
        <v>19.0</v>
      </c>
      <c r="L1557" s="1">
        <f>IFERROR(__xludf.DUMMYFUNCTION("""COMPUTED_VALUE"""),127.0)</f>
        <v>127</v>
      </c>
    </row>
    <row r="1558">
      <c r="A1558" s="1">
        <v>3375074.0</v>
      </c>
      <c r="B1558" s="1" t="s">
        <v>3378</v>
      </c>
      <c r="C1558" s="1" t="s">
        <v>2930</v>
      </c>
      <c r="D1558" s="1" t="s">
        <v>2986</v>
      </c>
      <c r="E1558" s="1" t="s">
        <v>3379</v>
      </c>
      <c r="F1558" s="1" t="s">
        <v>16</v>
      </c>
      <c r="G1558" s="1" t="s">
        <v>23</v>
      </c>
      <c r="H1558" s="1" t="s">
        <v>18</v>
      </c>
      <c r="I1558" s="1" t="s">
        <v>19</v>
      </c>
      <c r="J1558" s="1">
        <f>IFERROR(__xludf.DUMMYFUNCTION("""COMPUTED_VALUE"""),50.0)</f>
        <v>50</v>
      </c>
      <c r="K1558" s="1">
        <v>33.0</v>
      </c>
      <c r="L1558" s="1">
        <f>IFERROR(__xludf.DUMMYFUNCTION("""COMPUTED_VALUE"""),122.0)</f>
        <v>122</v>
      </c>
    </row>
    <row r="1559">
      <c r="A1559" s="1">
        <v>3327010.0</v>
      </c>
      <c r="B1559" s="1" t="s">
        <v>3380</v>
      </c>
      <c r="C1559" s="1" t="s">
        <v>2930</v>
      </c>
      <c r="D1559" s="1" t="s">
        <v>3054</v>
      </c>
      <c r="E1559" s="1" t="s">
        <v>3381</v>
      </c>
      <c r="F1559" s="1" t="s">
        <v>16</v>
      </c>
      <c r="G1559" s="1" t="s">
        <v>17</v>
      </c>
      <c r="H1559" s="1" t="s">
        <v>28</v>
      </c>
      <c r="I1559" s="1" t="s">
        <v>40</v>
      </c>
      <c r="J1559" s="1">
        <f>IFERROR(__xludf.DUMMYFUNCTION("""COMPUTED_VALUE"""),269.0)</f>
        <v>269</v>
      </c>
      <c r="K1559" s="1">
        <v>27.0</v>
      </c>
      <c r="L1559" s="1">
        <f>IFERROR(__xludf.DUMMYFUNCTION("""COMPUTED_VALUE"""),922.0)</f>
        <v>922</v>
      </c>
    </row>
    <row r="1560">
      <c r="A1560" s="1">
        <v>3320089.0</v>
      </c>
      <c r="B1560" s="1" t="s">
        <v>3382</v>
      </c>
      <c r="C1560" s="1" t="s">
        <v>2930</v>
      </c>
      <c r="D1560" s="1" t="s">
        <v>3104</v>
      </c>
      <c r="E1560" s="1" t="s">
        <v>3383</v>
      </c>
      <c r="F1560" s="1" t="s">
        <v>16</v>
      </c>
      <c r="G1560" s="1" t="s">
        <v>17</v>
      </c>
      <c r="H1560" s="1" t="s">
        <v>18</v>
      </c>
      <c r="I1560" s="1" t="s">
        <v>684</v>
      </c>
      <c r="J1560" s="1">
        <f>IFERROR(__xludf.DUMMYFUNCTION("""COMPUTED_VALUE"""),136.0)</f>
        <v>136</v>
      </c>
      <c r="K1560" s="1">
        <v>31.0</v>
      </c>
      <c r="L1560" s="1">
        <f>IFERROR(__xludf.DUMMYFUNCTION("""COMPUTED_VALUE"""),282.0)</f>
        <v>282</v>
      </c>
    </row>
    <row r="1561">
      <c r="A1561" s="1">
        <v>3318113.0</v>
      </c>
      <c r="B1561" s="1" t="s">
        <v>3384</v>
      </c>
      <c r="C1561" s="1" t="s">
        <v>2930</v>
      </c>
      <c r="D1561" s="1" t="s">
        <v>3049</v>
      </c>
      <c r="E1561" s="1" t="s">
        <v>3385</v>
      </c>
      <c r="F1561" s="1" t="s">
        <v>16</v>
      </c>
      <c r="G1561" s="1" t="s">
        <v>23</v>
      </c>
      <c r="H1561" s="1" t="s">
        <v>18</v>
      </c>
      <c r="I1561" s="1" t="s">
        <v>19</v>
      </c>
      <c r="J1561" s="1">
        <f>IFERROR(__xludf.DUMMYFUNCTION("""COMPUTED_VALUE"""),50.0)</f>
        <v>50</v>
      </c>
      <c r="K1561" s="1">
        <v>26.0</v>
      </c>
      <c r="L1561" s="1">
        <f>IFERROR(__xludf.DUMMYFUNCTION("""COMPUTED_VALUE"""),135.0)</f>
        <v>135</v>
      </c>
    </row>
    <row r="1562">
      <c r="A1562" s="1">
        <v>3301073.0</v>
      </c>
      <c r="B1562" s="1" t="s">
        <v>3386</v>
      </c>
      <c r="C1562" s="1" t="s">
        <v>2930</v>
      </c>
      <c r="D1562" s="1" t="s">
        <v>2996</v>
      </c>
      <c r="E1562" s="1" t="s">
        <v>3387</v>
      </c>
      <c r="F1562" s="1" t="s">
        <v>16</v>
      </c>
      <c r="G1562" s="1" t="s">
        <v>17</v>
      </c>
      <c r="H1562" s="1" t="s">
        <v>18</v>
      </c>
      <c r="I1562" s="1" t="s">
        <v>684</v>
      </c>
      <c r="J1562" s="1">
        <f>IFERROR(__xludf.DUMMYFUNCTION("""COMPUTED_VALUE"""),170.0)</f>
        <v>170</v>
      </c>
      <c r="K1562" s="1">
        <v>39.0</v>
      </c>
      <c r="L1562" s="1">
        <f>IFERROR(__xludf.DUMMYFUNCTION("""COMPUTED_VALUE"""),639.0)</f>
        <v>639</v>
      </c>
    </row>
    <row r="1563">
      <c r="A1563" s="1">
        <v>3329078.0</v>
      </c>
      <c r="B1563" s="1" t="s">
        <v>3388</v>
      </c>
      <c r="C1563" s="1" t="s">
        <v>2930</v>
      </c>
      <c r="D1563" s="1" t="s">
        <v>2999</v>
      </c>
      <c r="E1563" s="1" t="s">
        <v>3389</v>
      </c>
      <c r="F1563" s="1" t="s">
        <v>16</v>
      </c>
      <c r="G1563" s="1" t="s">
        <v>17</v>
      </c>
      <c r="H1563" s="1" t="s">
        <v>18</v>
      </c>
      <c r="I1563" s="1" t="s">
        <v>19</v>
      </c>
      <c r="J1563" s="1">
        <f>IFERROR(__xludf.DUMMYFUNCTION("""COMPUTED_VALUE"""),150.0)</f>
        <v>150</v>
      </c>
      <c r="K1563" s="1">
        <v>51.0</v>
      </c>
      <c r="L1563" s="1">
        <f>IFERROR(__xludf.DUMMYFUNCTION("""COMPUTED_VALUE"""),249.0)</f>
        <v>249</v>
      </c>
    </row>
    <row r="1564">
      <c r="A1564" s="1">
        <v>3303099.0</v>
      </c>
      <c r="B1564" s="1" t="s">
        <v>3390</v>
      </c>
      <c r="C1564" s="1" t="s">
        <v>2930</v>
      </c>
      <c r="D1564" s="1" t="s">
        <v>3099</v>
      </c>
      <c r="E1564" s="1" t="s">
        <v>3391</v>
      </c>
      <c r="F1564" s="1" t="s">
        <v>55</v>
      </c>
      <c r="G1564" s="1" t="s">
        <v>17</v>
      </c>
      <c r="H1564" s="1" t="s">
        <v>18</v>
      </c>
      <c r="I1564" s="1" t="s">
        <v>44</v>
      </c>
      <c r="J1564" s="1">
        <f>IFERROR(__xludf.DUMMYFUNCTION("""COMPUTED_VALUE"""),151.0)</f>
        <v>151</v>
      </c>
      <c r="K1564" s="1">
        <v>33.0</v>
      </c>
      <c r="L1564" s="1">
        <f>IFERROR(__xludf.DUMMYFUNCTION("""COMPUTED_VALUE"""),88.0)</f>
        <v>88</v>
      </c>
    </row>
    <row r="1565">
      <c r="A1565" s="1">
        <v>3326062.0</v>
      </c>
      <c r="B1565" s="1" t="s">
        <v>3392</v>
      </c>
      <c r="C1565" s="1" t="s">
        <v>2930</v>
      </c>
      <c r="D1565" s="1" t="s">
        <v>3033</v>
      </c>
      <c r="E1565" s="1" t="s">
        <v>3393</v>
      </c>
      <c r="F1565" s="1" t="s">
        <v>16</v>
      </c>
      <c r="G1565" s="1" t="s">
        <v>23</v>
      </c>
      <c r="H1565" s="1" t="s">
        <v>28</v>
      </c>
      <c r="I1565" s="1" t="s">
        <v>40</v>
      </c>
      <c r="J1565" s="1">
        <f>IFERROR(__xludf.DUMMYFUNCTION("""COMPUTED_VALUE"""),85.0)</f>
        <v>85</v>
      </c>
      <c r="K1565" s="1">
        <v>19.0</v>
      </c>
      <c r="L1565" s="1">
        <f>IFERROR(__xludf.DUMMYFUNCTION("""COMPUTED_VALUE"""),182.0)</f>
        <v>182</v>
      </c>
    </row>
    <row r="1566">
      <c r="A1566" s="1">
        <v>3374391.0</v>
      </c>
      <c r="B1566" s="1" t="s">
        <v>3394</v>
      </c>
      <c r="C1566" s="1" t="s">
        <v>2930</v>
      </c>
      <c r="D1566" s="1" t="s">
        <v>2948</v>
      </c>
      <c r="E1566" s="1" t="s">
        <v>3395</v>
      </c>
      <c r="F1566" s="1" t="s">
        <v>16</v>
      </c>
      <c r="G1566" s="1" t="s">
        <v>17</v>
      </c>
      <c r="H1566" s="1" t="s">
        <v>18</v>
      </c>
      <c r="I1566" s="1" t="s">
        <v>19</v>
      </c>
      <c r="J1566" s="1">
        <f>IFERROR(__xludf.DUMMYFUNCTION("""COMPUTED_VALUE"""),100.0)</f>
        <v>100</v>
      </c>
      <c r="K1566" s="1">
        <v>56.0</v>
      </c>
      <c r="L1566" s="1">
        <f>IFERROR(__xludf.DUMMYFUNCTION("""COMPUTED_VALUE"""),182.0)</f>
        <v>182</v>
      </c>
    </row>
    <row r="1567">
      <c r="A1567" s="1">
        <v>3315046.0</v>
      </c>
      <c r="B1567" s="1" t="s">
        <v>3396</v>
      </c>
      <c r="C1567" s="1" t="s">
        <v>2930</v>
      </c>
      <c r="D1567" s="1" t="s">
        <v>3005</v>
      </c>
      <c r="E1567" s="1" t="s">
        <v>3397</v>
      </c>
      <c r="F1567" s="1" t="s">
        <v>16</v>
      </c>
      <c r="G1567" s="1" t="s">
        <v>23</v>
      </c>
      <c r="H1567" s="1" t="s">
        <v>18</v>
      </c>
      <c r="I1567" s="1" t="s">
        <v>684</v>
      </c>
      <c r="J1567" s="1">
        <f>IFERROR(__xludf.DUMMYFUNCTION("""COMPUTED_VALUE"""),154.0)</f>
        <v>154</v>
      </c>
      <c r="K1567" s="1">
        <v>30.0</v>
      </c>
      <c r="L1567" s="1">
        <f>IFERROR(__xludf.DUMMYFUNCTION("""COMPUTED_VALUE"""),296.0)</f>
        <v>296</v>
      </c>
    </row>
    <row r="1568">
      <c r="A1568" s="1">
        <v>3319021.0</v>
      </c>
      <c r="B1568" s="1" t="s">
        <v>3398</v>
      </c>
      <c r="C1568" s="1" t="s">
        <v>2930</v>
      </c>
      <c r="D1568" s="1" t="s">
        <v>2934</v>
      </c>
      <c r="E1568" s="1" t="s">
        <v>3399</v>
      </c>
      <c r="F1568" s="1" t="s">
        <v>16</v>
      </c>
      <c r="G1568" s="1" t="s">
        <v>23</v>
      </c>
      <c r="H1568" s="1" t="s">
        <v>18</v>
      </c>
      <c r="I1568" s="1" t="s">
        <v>19</v>
      </c>
      <c r="J1568" s="1">
        <f>IFERROR(__xludf.DUMMYFUNCTION("""COMPUTED_VALUE"""),160.0)</f>
        <v>160</v>
      </c>
      <c r="K1568" s="1">
        <v>22.0</v>
      </c>
      <c r="L1568" s="1">
        <f>IFERROR(__xludf.DUMMYFUNCTION("""COMPUTED_VALUE"""),182.0)</f>
        <v>182</v>
      </c>
    </row>
    <row r="1569">
      <c r="A1569" s="1">
        <v>3327045.0</v>
      </c>
      <c r="B1569" s="1" t="s">
        <v>3400</v>
      </c>
      <c r="C1569" s="1" t="s">
        <v>2930</v>
      </c>
      <c r="D1569" s="1" t="s">
        <v>3054</v>
      </c>
      <c r="E1569" s="1" t="s">
        <v>3401</v>
      </c>
      <c r="F1569" s="1" t="s">
        <v>16</v>
      </c>
      <c r="G1569" s="1" t="s">
        <v>17</v>
      </c>
      <c r="H1569" s="1" t="s">
        <v>18</v>
      </c>
      <c r="I1569" s="1" t="s">
        <v>19</v>
      </c>
      <c r="J1569" s="1">
        <f>IFERROR(__xludf.DUMMYFUNCTION("""COMPUTED_VALUE"""),166.0)</f>
        <v>166</v>
      </c>
      <c r="K1569" s="1">
        <v>29.0</v>
      </c>
      <c r="L1569" s="1">
        <f>IFERROR(__xludf.DUMMYFUNCTION("""COMPUTED_VALUE"""),324.0)</f>
        <v>324</v>
      </c>
    </row>
    <row r="1570">
      <c r="A1570" s="1">
        <v>3305118.0</v>
      </c>
      <c r="B1570" s="1" t="s">
        <v>3402</v>
      </c>
      <c r="C1570" s="1" t="s">
        <v>2930</v>
      </c>
      <c r="D1570" s="1" t="s">
        <v>2958</v>
      </c>
      <c r="E1570" s="1" t="s">
        <v>3403</v>
      </c>
      <c r="F1570" s="1" t="s">
        <v>16</v>
      </c>
      <c r="G1570" s="1" t="s">
        <v>23</v>
      </c>
      <c r="H1570" s="1" t="s">
        <v>18</v>
      </c>
      <c r="I1570" s="1" t="s">
        <v>684</v>
      </c>
      <c r="J1570" s="1">
        <f>IFERROR(__xludf.DUMMYFUNCTION("""COMPUTED_VALUE"""),58.0)</f>
        <v>58</v>
      </c>
      <c r="K1570" s="1">
        <v>29.0</v>
      </c>
      <c r="L1570" s="1">
        <f>IFERROR(__xludf.DUMMYFUNCTION("""COMPUTED_VALUE"""),164.0)</f>
        <v>164</v>
      </c>
    </row>
    <row r="1571">
      <c r="A1571" s="1">
        <v>3306110.0</v>
      </c>
      <c r="B1571" s="1" t="s">
        <v>3404</v>
      </c>
      <c r="C1571" s="1" t="s">
        <v>2930</v>
      </c>
      <c r="D1571" s="1" t="s">
        <v>2942</v>
      </c>
      <c r="E1571" s="1" t="s">
        <v>3405</v>
      </c>
      <c r="F1571" s="1" t="s">
        <v>16</v>
      </c>
      <c r="G1571" s="1" t="s">
        <v>23</v>
      </c>
      <c r="H1571" s="1" t="s">
        <v>18</v>
      </c>
      <c r="I1571" s="1" t="s">
        <v>19</v>
      </c>
      <c r="J1571" s="1">
        <f>IFERROR(__xludf.DUMMYFUNCTION("""COMPUTED_VALUE"""),58.0)</f>
        <v>58</v>
      </c>
      <c r="K1571" s="1">
        <v>43.0</v>
      </c>
      <c r="L1571" s="1">
        <f>IFERROR(__xludf.DUMMYFUNCTION("""COMPUTED_VALUE"""),176.0)</f>
        <v>176</v>
      </c>
    </row>
    <row r="1572">
      <c r="A1572" s="1">
        <v>3303016.0</v>
      </c>
      <c r="B1572" s="1" t="s">
        <v>3406</v>
      </c>
      <c r="C1572" s="1" t="s">
        <v>2930</v>
      </c>
      <c r="D1572" s="1" t="s">
        <v>3099</v>
      </c>
      <c r="E1572" s="1" t="s">
        <v>3407</v>
      </c>
      <c r="F1572" s="1" t="s">
        <v>16</v>
      </c>
      <c r="G1572" s="1" t="s">
        <v>17</v>
      </c>
      <c r="H1572" s="1" t="s">
        <v>28</v>
      </c>
      <c r="I1572" s="1" t="s">
        <v>40</v>
      </c>
      <c r="J1572" s="1">
        <f>IFERROR(__xludf.DUMMYFUNCTION("""COMPUTED_VALUE"""),220.0)</f>
        <v>220</v>
      </c>
      <c r="K1572" s="1">
        <v>80.0</v>
      </c>
      <c r="L1572" s="1">
        <f>IFERROR(__xludf.DUMMYFUNCTION("""COMPUTED_VALUE"""),677.0)</f>
        <v>677</v>
      </c>
    </row>
    <row r="1573">
      <c r="A1573" s="1">
        <v>3372132.0</v>
      </c>
      <c r="B1573" s="1" t="s">
        <v>3408</v>
      </c>
      <c r="C1573" s="1" t="s">
        <v>2930</v>
      </c>
      <c r="D1573" s="1" t="s">
        <v>2967</v>
      </c>
      <c r="E1573" s="1" t="s">
        <v>3409</v>
      </c>
      <c r="F1573" s="1" t="s">
        <v>16</v>
      </c>
      <c r="G1573" s="1" t="s">
        <v>17</v>
      </c>
      <c r="H1573" s="1" t="s">
        <v>18</v>
      </c>
      <c r="I1573" s="1" t="s">
        <v>684</v>
      </c>
      <c r="J1573" s="1">
        <f>IFERROR(__xludf.DUMMYFUNCTION("""COMPUTED_VALUE"""),178.0)</f>
        <v>178</v>
      </c>
      <c r="K1573" s="1">
        <v>32.0</v>
      </c>
      <c r="L1573" s="1">
        <f>IFERROR(__xludf.DUMMYFUNCTION("""COMPUTED_VALUE"""),781.0)</f>
        <v>781</v>
      </c>
    </row>
    <row r="1574">
      <c r="A1574" s="1">
        <v>3306111.0</v>
      </c>
      <c r="B1574" s="1" t="s">
        <v>3410</v>
      </c>
      <c r="C1574" s="1" t="s">
        <v>2930</v>
      </c>
      <c r="D1574" s="1" t="s">
        <v>2942</v>
      </c>
      <c r="E1574" s="1" t="s">
        <v>3411</v>
      </c>
      <c r="F1574" s="1" t="s">
        <v>16</v>
      </c>
      <c r="G1574" s="1" t="s">
        <v>17</v>
      </c>
      <c r="H1574" s="1" t="s">
        <v>18</v>
      </c>
      <c r="I1574" s="1" t="s">
        <v>44</v>
      </c>
      <c r="J1574" s="1">
        <f>IFERROR(__xludf.DUMMYFUNCTION("""COMPUTED_VALUE"""),101.0)</f>
        <v>101</v>
      </c>
      <c r="K1574" s="1">
        <v>33.0</v>
      </c>
      <c r="L1574" s="1">
        <f>IFERROR(__xludf.DUMMYFUNCTION("""COMPUTED_VALUE"""),207.0)</f>
        <v>207</v>
      </c>
    </row>
    <row r="1575">
      <c r="A1575" s="1">
        <v>3319102.0</v>
      </c>
      <c r="B1575" s="1" t="s">
        <v>3412</v>
      </c>
      <c r="C1575" s="1" t="s">
        <v>2930</v>
      </c>
      <c r="D1575" s="1" t="s">
        <v>2934</v>
      </c>
      <c r="E1575" s="1" t="s">
        <v>3413</v>
      </c>
      <c r="F1575" s="1" t="s">
        <v>16</v>
      </c>
      <c r="G1575" s="1" t="s">
        <v>23</v>
      </c>
      <c r="H1575" s="1" t="s">
        <v>18</v>
      </c>
      <c r="I1575" s="1" t="s">
        <v>74</v>
      </c>
      <c r="J1575" s="1">
        <f>IFERROR(__xludf.DUMMYFUNCTION("""COMPUTED_VALUE"""),58.0)</f>
        <v>58</v>
      </c>
      <c r="K1575" s="1">
        <v>41.0</v>
      </c>
      <c r="L1575" s="1">
        <f>IFERROR(__xludf.DUMMYFUNCTION("""COMPUTED_VALUE"""),98.0)</f>
        <v>98</v>
      </c>
    </row>
    <row r="1576">
      <c r="A1576" s="1">
        <v>3307050.0</v>
      </c>
      <c r="B1576" s="1" t="s">
        <v>3414</v>
      </c>
      <c r="C1576" s="1" t="s">
        <v>2930</v>
      </c>
      <c r="D1576" s="1" t="s">
        <v>2983</v>
      </c>
      <c r="E1576" s="1" t="s">
        <v>3415</v>
      </c>
      <c r="F1576" s="1" t="s">
        <v>16</v>
      </c>
      <c r="G1576" s="1" t="s">
        <v>17</v>
      </c>
      <c r="H1576" s="1" t="s">
        <v>18</v>
      </c>
      <c r="I1576" s="1" t="s">
        <v>684</v>
      </c>
      <c r="J1576" s="1">
        <f>IFERROR(__xludf.DUMMYFUNCTION("""COMPUTED_VALUE"""),110.0)</f>
        <v>110</v>
      </c>
      <c r="K1576" s="1">
        <v>34.0</v>
      </c>
      <c r="L1576" s="1">
        <f>IFERROR(__xludf.DUMMYFUNCTION("""COMPUTED_VALUE"""),188.0)</f>
        <v>188</v>
      </c>
    </row>
    <row r="1577">
      <c r="A1577" s="1">
        <v>3374112.0</v>
      </c>
      <c r="B1577" s="1" t="s">
        <v>3416</v>
      </c>
      <c r="C1577" s="1" t="s">
        <v>2930</v>
      </c>
      <c r="D1577" s="1" t="s">
        <v>2948</v>
      </c>
      <c r="E1577" s="1" t="s">
        <v>3417</v>
      </c>
      <c r="F1577" s="1" t="s">
        <v>16</v>
      </c>
      <c r="G1577" s="1" t="s">
        <v>17</v>
      </c>
      <c r="H1577" s="1" t="s">
        <v>18</v>
      </c>
      <c r="I1577" s="1" t="s">
        <v>258</v>
      </c>
      <c r="J1577" s="1">
        <f>IFERROR(__xludf.DUMMYFUNCTION("""COMPUTED_VALUE"""),168.0)</f>
        <v>168</v>
      </c>
      <c r="K1577" s="1">
        <v>54.0</v>
      </c>
      <c r="L1577" s="1">
        <f>IFERROR(__xludf.DUMMYFUNCTION("""COMPUTED_VALUE"""),583.0)</f>
        <v>583</v>
      </c>
    </row>
    <row r="1578">
      <c r="A1578" s="1">
        <v>3309131.0</v>
      </c>
      <c r="B1578" s="1" t="s">
        <v>3418</v>
      </c>
      <c r="C1578" s="1" t="s">
        <v>2930</v>
      </c>
      <c r="D1578" s="1" t="s">
        <v>2973</v>
      </c>
      <c r="E1578" s="1" t="s">
        <v>3419</v>
      </c>
      <c r="F1578" s="1" t="s">
        <v>16</v>
      </c>
      <c r="G1578" s="1" t="s">
        <v>17</v>
      </c>
      <c r="H1578" s="1" t="s">
        <v>18</v>
      </c>
      <c r="I1578" s="1" t="s">
        <v>19</v>
      </c>
      <c r="J1578" s="1">
        <f>IFERROR(__xludf.DUMMYFUNCTION("""COMPUTED_VALUE"""),122.0)</f>
        <v>122</v>
      </c>
      <c r="K1578" s="1">
        <v>34.0</v>
      </c>
      <c r="L1578" s="1">
        <f>IFERROR(__xludf.DUMMYFUNCTION("""COMPUTED_VALUE"""),231.0)</f>
        <v>231</v>
      </c>
    </row>
    <row r="1579">
      <c r="A1579" s="1">
        <v>3373103.0</v>
      </c>
      <c r="B1579" s="1" t="s">
        <v>3420</v>
      </c>
      <c r="C1579" s="1" t="s">
        <v>2930</v>
      </c>
      <c r="D1579" s="1" t="s">
        <v>2961</v>
      </c>
      <c r="E1579" s="1" t="s">
        <v>3421</v>
      </c>
      <c r="F1579" s="1" t="s">
        <v>16</v>
      </c>
      <c r="G1579" s="1" t="s">
        <v>23</v>
      </c>
      <c r="H1579" s="1" t="s">
        <v>18</v>
      </c>
      <c r="I1579" s="1" t="s">
        <v>44</v>
      </c>
      <c r="J1579" s="1">
        <f>IFERROR(__xludf.DUMMYFUNCTION("""COMPUTED_VALUE"""),58.0)</f>
        <v>58</v>
      </c>
      <c r="K1579" s="1">
        <v>35.0</v>
      </c>
      <c r="L1579" s="1">
        <f>IFERROR(__xludf.DUMMYFUNCTION("""COMPUTED_VALUE"""),182.0)</f>
        <v>182</v>
      </c>
    </row>
    <row r="1580">
      <c r="A1580" s="1">
        <v>3325015.0</v>
      </c>
      <c r="B1580" s="1" t="s">
        <v>3422</v>
      </c>
      <c r="C1580" s="1" t="s">
        <v>2930</v>
      </c>
      <c r="D1580" s="1" t="s">
        <v>2978</v>
      </c>
      <c r="E1580" s="1" t="s">
        <v>3423</v>
      </c>
      <c r="F1580" s="1" t="s">
        <v>16</v>
      </c>
      <c r="G1580" s="1" t="s">
        <v>17</v>
      </c>
      <c r="H1580" s="1" t="s">
        <v>28</v>
      </c>
      <c r="I1580" s="1" t="s">
        <v>40</v>
      </c>
      <c r="J1580" s="1">
        <f>IFERROR(__xludf.DUMMYFUNCTION("""COMPUTED_VALUE"""),242.0)</f>
        <v>242</v>
      </c>
      <c r="K1580" s="1">
        <v>62.0</v>
      </c>
      <c r="L1580" s="1">
        <f>IFERROR(__xludf.DUMMYFUNCTION("""COMPUTED_VALUE"""),641.0)</f>
        <v>641</v>
      </c>
    </row>
    <row r="1581">
      <c r="A1581" s="1">
        <v>3309135.0</v>
      </c>
      <c r="B1581" s="1" t="s">
        <v>3424</v>
      </c>
      <c r="C1581" s="1" t="s">
        <v>2930</v>
      </c>
      <c r="D1581" s="1" t="s">
        <v>2973</v>
      </c>
      <c r="E1581" s="1" t="s">
        <v>3425</v>
      </c>
      <c r="F1581" s="1" t="s">
        <v>16</v>
      </c>
      <c r="G1581" s="1" t="s">
        <v>23</v>
      </c>
      <c r="H1581" s="1" t="s">
        <v>18</v>
      </c>
      <c r="I1581" s="1" t="s">
        <v>19</v>
      </c>
      <c r="J1581" s="1">
        <f>IFERROR(__xludf.DUMMYFUNCTION("""COMPUTED_VALUE"""),101.0)</f>
        <v>101</v>
      </c>
      <c r="K1581" s="1">
        <v>34.0</v>
      </c>
      <c r="L1581" s="1">
        <f>IFERROR(__xludf.DUMMYFUNCTION("""COMPUTED_VALUE"""),191.0)</f>
        <v>191</v>
      </c>
    </row>
    <row r="1582">
      <c r="A1582" s="1">
        <v>3372242.0</v>
      </c>
      <c r="B1582" s="1" t="s">
        <v>3426</v>
      </c>
      <c r="C1582" s="1" t="s">
        <v>2930</v>
      </c>
      <c r="D1582" s="1" t="s">
        <v>2967</v>
      </c>
      <c r="E1582" s="1" t="s">
        <v>3427</v>
      </c>
      <c r="F1582" s="1" t="s">
        <v>1789</v>
      </c>
      <c r="G1582" s="1" t="s">
        <v>17</v>
      </c>
      <c r="H1582" s="1" t="s">
        <v>18</v>
      </c>
      <c r="I1582" s="1" t="s">
        <v>19</v>
      </c>
      <c r="J1582" s="1">
        <f>IFERROR(__xludf.DUMMYFUNCTION("""COMPUTED_VALUE"""),25.0)</f>
        <v>25</v>
      </c>
      <c r="K1582" s="1">
        <v>37.0</v>
      </c>
      <c r="L1582" s="1">
        <f>IFERROR(__xludf.DUMMYFUNCTION("""COMPUTED_VALUE"""),49.0)</f>
        <v>49</v>
      </c>
    </row>
    <row r="1583">
      <c r="A1583" s="1">
        <v>3317038.0</v>
      </c>
      <c r="B1583" s="1" t="s">
        <v>3428</v>
      </c>
      <c r="C1583" s="1" t="s">
        <v>2930</v>
      </c>
      <c r="D1583" s="1" t="s">
        <v>3273</v>
      </c>
      <c r="E1583" s="1" t="s">
        <v>3429</v>
      </c>
      <c r="F1583" s="1" t="s">
        <v>16</v>
      </c>
      <c r="G1583" s="1" t="s">
        <v>23</v>
      </c>
      <c r="H1583" s="1" t="s">
        <v>18</v>
      </c>
      <c r="I1583" s="1" t="s">
        <v>684</v>
      </c>
      <c r="J1583" s="1">
        <f>IFERROR(__xludf.DUMMYFUNCTION("""COMPUTED_VALUE"""),75.0)</f>
        <v>75</v>
      </c>
      <c r="K1583" s="1">
        <v>92.0</v>
      </c>
      <c r="L1583" s="1">
        <f>IFERROR(__xludf.DUMMYFUNCTION("""COMPUTED_VALUE"""),182.0)</f>
        <v>182</v>
      </c>
    </row>
    <row r="1584">
      <c r="A1584" s="1">
        <v>3311224.0</v>
      </c>
      <c r="B1584" s="1" t="s">
        <v>3430</v>
      </c>
      <c r="C1584" s="1" t="s">
        <v>2930</v>
      </c>
      <c r="D1584" s="1" t="s">
        <v>3014</v>
      </c>
      <c r="E1584" s="1" t="s">
        <v>3431</v>
      </c>
      <c r="F1584" s="1" t="s">
        <v>16</v>
      </c>
      <c r="G1584" s="1" t="s">
        <v>17</v>
      </c>
      <c r="H1584" s="1" t="s">
        <v>18</v>
      </c>
      <c r="I1584" s="1" t="s">
        <v>59</v>
      </c>
      <c r="J1584" s="1">
        <f>IFERROR(__xludf.DUMMYFUNCTION("""COMPUTED_VALUE"""),195.0)</f>
        <v>195</v>
      </c>
      <c r="K1584" s="1">
        <v>60.0</v>
      </c>
      <c r="L1584" s="1">
        <f>IFERROR(__xludf.DUMMYFUNCTION("""COMPUTED_VALUE"""),1175.0)</f>
        <v>1175</v>
      </c>
    </row>
    <row r="1585">
      <c r="A1585" s="1">
        <v>3376012.0</v>
      </c>
      <c r="B1585" s="1" t="s">
        <v>3432</v>
      </c>
      <c r="C1585" s="1" t="s">
        <v>2930</v>
      </c>
      <c r="D1585" s="1" t="s">
        <v>3208</v>
      </c>
      <c r="E1585" s="1" t="s">
        <v>3433</v>
      </c>
      <c r="F1585" s="1" t="s">
        <v>16</v>
      </c>
      <c r="G1585" s="1" t="s">
        <v>27</v>
      </c>
      <c r="H1585" s="1" t="s">
        <v>28</v>
      </c>
      <c r="I1585" s="1" t="s">
        <v>29</v>
      </c>
      <c r="J1585" s="1">
        <f>IFERROR(__xludf.DUMMYFUNCTION("""COMPUTED_VALUE"""),393.0)</f>
        <v>393</v>
      </c>
      <c r="K1585" s="1">
        <v>113.0</v>
      </c>
      <c r="L1585" s="1">
        <f>IFERROR(__xludf.DUMMYFUNCTION("""COMPUTED_VALUE"""),560.0)</f>
        <v>560</v>
      </c>
    </row>
    <row r="1586">
      <c r="A1586" s="1">
        <v>3306112.0</v>
      </c>
      <c r="B1586" s="1" t="s">
        <v>3434</v>
      </c>
      <c r="C1586" s="1" t="s">
        <v>2930</v>
      </c>
      <c r="D1586" s="1" t="s">
        <v>2942</v>
      </c>
      <c r="E1586" s="1" t="s">
        <v>3435</v>
      </c>
      <c r="F1586" s="1" t="s">
        <v>16</v>
      </c>
      <c r="G1586" s="1" t="s">
        <v>23</v>
      </c>
      <c r="H1586" s="1" t="s">
        <v>18</v>
      </c>
      <c r="I1586" s="1" t="s">
        <v>19</v>
      </c>
      <c r="J1586" s="1">
        <f>IFERROR(__xludf.DUMMYFUNCTION("""COMPUTED_VALUE"""),52.0)</f>
        <v>52</v>
      </c>
      <c r="K1586" s="1">
        <v>21.0</v>
      </c>
      <c r="L1586" s="1">
        <f>IFERROR(__xludf.DUMMYFUNCTION("""COMPUTED_VALUE"""),25.0)</f>
        <v>25</v>
      </c>
    </row>
    <row r="1587">
      <c r="A1587" s="1">
        <v>3304035.0</v>
      </c>
      <c r="B1587" s="1" t="s">
        <v>3436</v>
      </c>
      <c r="C1587" s="1" t="s">
        <v>2930</v>
      </c>
      <c r="D1587" s="1" t="s">
        <v>3183</v>
      </c>
      <c r="E1587" s="1" t="s">
        <v>3437</v>
      </c>
      <c r="F1587" s="1" t="s">
        <v>16</v>
      </c>
      <c r="G1587" s="1" t="s">
        <v>23</v>
      </c>
      <c r="H1587" s="1" t="s">
        <v>18</v>
      </c>
      <c r="I1587" s="1" t="s">
        <v>684</v>
      </c>
      <c r="J1587" s="1">
        <f>IFERROR(__xludf.DUMMYFUNCTION("""COMPUTED_VALUE"""),87.0)</f>
        <v>87</v>
      </c>
      <c r="K1587" s="1">
        <v>19.0</v>
      </c>
      <c r="L1587" s="1">
        <f>IFERROR(__xludf.DUMMYFUNCTION("""COMPUTED_VALUE"""),8.0)</f>
        <v>8</v>
      </c>
    </row>
    <row r="1588">
      <c r="A1588" s="1">
        <v>3314023.0</v>
      </c>
      <c r="B1588" s="1" t="s">
        <v>3438</v>
      </c>
      <c r="C1588" s="1" t="s">
        <v>2930</v>
      </c>
      <c r="D1588" s="1" t="s">
        <v>2945</v>
      </c>
      <c r="E1588" s="1" t="s">
        <v>3439</v>
      </c>
      <c r="F1588" s="1" t="s">
        <v>16</v>
      </c>
      <c r="G1588" s="1" t="s">
        <v>23</v>
      </c>
      <c r="H1588" s="1" t="s">
        <v>18</v>
      </c>
      <c r="I1588" s="1" t="s">
        <v>59</v>
      </c>
      <c r="J1588" s="1">
        <f>IFERROR(__xludf.DUMMYFUNCTION("""COMPUTED_VALUE"""),68.0)</f>
        <v>68</v>
      </c>
      <c r="K1588" s="1">
        <v>30.0</v>
      </c>
      <c r="L1588" s="1">
        <f>IFERROR(__xludf.DUMMYFUNCTION("""COMPUTED_VALUE"""),266.0)</f>
        <v>266</v>
      </c>
    </row>
    <row r="1589">
      <c r="A1589" s="1">
        <v>3374366.0</v>
      </c>
      <c r="B1589" s="1" t="s">
        <v>3440</v>
      </c>
      <c r="C1589" s="1" t="s">
        <v>2930</v>
      </c>
      <c r="D1589" s="1" t="s">
        <v>2948</v>
      </c>
      <c r="E1589" s="1" t="s">
        <v>3441</v>
      </c>
      <c r="F1589" s="1" t="s">
        <v>255</v>
      </c>
      <c r="G1589" s="1" t="s">
        <v>150</v>
      </c>
      <c r="H1589" s="1" t="s">
        <v>18</v>
      </c>
      <c r="I1589" s="1" t="s">
        <v>44</v>
      </c>
      <c r="J1589" s="1">
        <f>IFERROR(__xludf.DUMMYFUNCTION("""COMPUTED_VALUE"""),107.0)</f>
        <v>107</v>
      </c>
      <c r="K1589" s="1">
        <v>99.0</v>
      </c>
      <c r="L1589" s="1">
        <f>IFERROR(__xludf.DUMMYFUNCTION("""COMPUTED_VALUE"""),295.0)</f>
        <v>295</v>
      </c>
    </row>
    <row r="1590">
      <c r="A1590" s="1">
        <v>3326051.0</v>
      </c>
      <c r="B1590" s="1" t="s">
        <v>3442</v>
      </c>
      <c r="C1590" s="1" t="s">
        <v>2930</v>
      </c>
      <c r="D1590" s="1" t="s">
        <v>3033</v>
      </c>
      <c r="E1590" s="1" t="s">
        <v>3443</v>
      </c>
      <c r="F1590" s="1" t="s">
        <v>55</v>
      </c>
      <c r="G1590" s="1" t="s">
        <v>17</v>
      </c>
      <c r="H1590" s="1" t="s">
        <v>18</v>
      </c>
      <c r="I1590" s="1" t="s">
        <v>684</v>
      </c>
      <c r="J1590" s="1">
        <f>IFERROR(__xludf.DUMMYFUNCTION("""COMPUTED_VALUE"""),79.0)</f>
        <v>79</v>
      </c>
      <c r="K1590" s="1">
        <v>17.0</v>
      </c>
      <c r="L1590" s="1">
        <f>IFERROR(__xludf.DUMMYFUNCTION("""COMPUTED_VALUE"""),196.0)</f>
        <v>196</v>
      </c>
    </row>
    <row r="1591">
      <c r="A1591" s="1">
        <v>3302143.0</v>
      </c>
      <c r="B1591" s="1" t="s">
        <v>3444</v>
      </c>
      <c r="C1591" s="1" t="s">
        <v>2930</v>
      </c>
      <c r="D1591" s="1" t="s">
        <v>2937</v>
      </c>
      <c r="E1591" s="1" t="s">
        <v>3445</v>
      </c>
      <c r="F1591" s="1" t="s">
        <v>16</v>
      </c>
      <c r="G1591" s="1" t="s">
        <v>23</v>
      </c>
      <c r="H1591" s="1" t="s">
        <v>18</v>
      </c>
      <c r="I1591" s="1" t="s">
        <v>19</v>
      </c>
      <c r="J1591" s="1">
        <f>IFERROR(__xludf.DUMMYFUNCTION("""COMPUTED_VALUE"""),55.0)</f>
        <v>55</v>
      </c>
      <c r="K1591" s="1">
        <v>23.0</v>
      </c>
      <c r="L1591" s="1">
        <f>IFERROR(__xludf.DUMMYFUNCTION("""COMPUTED_VALUE"""),68.0)</f>
        <v>68</v>
      </c>
    </row>
    <row r="1592">
      <c r="A1592" s="1">
        <v>3372026.0</v>
      </c>
      <c r="B1592" s="1" t="s">
        <v>3446</v>
      </c>
      <c r="C1592" s="1" t="s">
        <v>2930</v>
      </c>
      <c r="D1592" s="1" t="s">
        <v>2967</v>
      </c>
      <c r="E1592" s="1" t="s">
        <v>3447</v>
      </c>
      <c r="F1592" s="1" t="s">
        <v>16</v>
      </c>
      <c r="G1592" s="1" t="s">
        <v>27</v>
      </c>
      <c r="H1592" s="1" t="s">
        <v>18</v>
      </c>
      <c r="I1592" s="1" t="s">
        <v>59</v>
      </c>
      <c r="J1592" s="1">
        <f>IFERROR(__xludf.DUMMYFUNCTION("""COMPUTED_VALUE"""),249.0)</f>
        <v>249</v>
      </c>
      <c r="K1592" s="1">
        <v>109.0</v>
      </c>
      <c r="L1592" s="1">
        <f>IFERROR(__xludf.DUMMYFUNCTION("""COMPUTED_VALUE"""),873.0)</f>
        <v>873</v>
      </c>
    </row>
    <row r="1593">
      <c r="A1593" s="1">
        <v>3322072.0</v>
      </c>
      <c r="B1593" s="1" t="s">
        <v>3448</v>
      </c>
      <c r="C1593" s="1" t="s">
        <v>2930</v>
      </c>
      <c r="D1593" s="1" t="s">
        <v>2948</v>
      </c>
      <c r="E1593" s="1" t="s">
        <v>3449</v>
      </c>
      <c r="F1593" s="1" t="s">
        <v>55</v>
      </c>
      <c r="G1593" s="1" t="s">
        <v>17</v>
      </c>
      <c r="H1593" s="1" t="s">
        <v>18</v>
      </c>
      <c r="I1593" s="1" t="s">
        <v>44</v>
      </c>
      <c r="J1593" s="1">
        <f>IFERROR(__xludf.DUMMYFUNCTION("""COMPUTED_VALUE"""),29.0)</f>
        <v>29</v>
      </c>
      <c r="K1593" s="1">
        <v>19.0</v>
      </c>
      <c r="L1593" s="1">
        <f>IFERROR(__xludf.DUMMYFUNCTION("""COMPUTED_VALUE"""),57.0)</f>
        <v>57</v>
      </c>
    </row>
    <row r="1594">
      <c r="A1594" s="1">
        <v>3310421.0</v>
      </c>
      <c r="B1594" s="1" t="s">
        <v>3450</v>
      </c>
      <c r="C1594" s="1" t="s">
        <v>2930</v>
      </c>
      <c r="D1594" s="1" t="s">
        <v>2989</v>
      </c>
      <c r="E1594" s="1" t="s">
        <v>3451</v>
      </c>
      <c r="F1594" s="1" t="s">
        <v>16</v>
      </c>
      <c r="G1594" s="1" t="s">
        <v>17</v>
      </c>
      <c r="H1594" s="1" t="s">
        <v>28</v>
      </c>
      <c r="I1594" s="1" t="s">
        <v>40</v>
      </c>
      <c r="J1594" s="1">
        <f>IFERROR(__xludf.DUMMYFUNCTION("""COMPUTED_VALUE"""),166.0)</f>
        <v>166</v>
      </c>
      <c r="K1594" s="1">
        <v>75.0</v>
      </c>
      <c r="L1594" s="1">
        <f>IFERROR(__xludf.DUMMYFUNCTION("""COMPUTED_VALUE"""),340.0)</f>
        <v>340</v>
      </c>
    </row>
    <row r="1595">
      <c r="A1595" s="1">
        <v>3318064.0</v>
      </c>
      <c r="B1595" s="1" t="s">
        <v>3452</v>
      </c>
      <c r="C1595" s="1" t="s">
        <v>2930</v>
      </c>
      <c r="D1595" s="1" t="s">
        <v>3049</v>
      </c>
      <c r="E1595" s="1" t="s">
        <v>3453</v>
      </c>
      <c r="F1595" s="1" t="s">
        <v>16</v>
      </c>
      <c r="G1595" s="1" t="s">
        <v>17</v>
      </c>
      <c r="H1595" s="1" t="s">
        <v>18</v>
      </c>
      <c r="I1595" s="1" t="s">
        <v>684</v>
      </c>
      <c r="J1595" s="1">
        <f>IFERROR(__xludf.DUMMYFUNCTION("""COMPUTED_VALUE"""),100.0)</f>
        <v>100</v>
      </c>
      <c r="K1595" s="1">
        <v>33.0</v>
      </c>
      <c r="L1595" s="1">
        <f>IFERROR(__xludf.DUMMYFUNCTION("""COMPUTED_VALUE"""),398.0)</f>
        <v>398</v>
      </c>
    </row>
    <row r="1596">
      <c r="A1596" s="1">
        <v>3374054.0</v>
      </c>
      <c r="B1596" s="1" t="s">
        <v>3454</v>
      </c>
      <c r="C1596" s="1" t="s">
        <v>2930</v>
      </c>
      <c r="D1596" s="1" t="s">
        <v>2948</v>
      </c>
      <c r="E1596" s="1" t="s">
        <v>3455</v>
      </c>
      <c r="F1596" s="1" t="s">
        <v>16</v>
      </c>
      <c r="G1596" s="1" t="s">
        <v>17</v>
      </c>
      <c r="H1596" s="1" t="s">
        <v>18</v>
      </c>
      <c r="I1596" s="1" t="s">
        <v>19</v>
      </c>
      <c r="J1596" s="1">
        <f>IFERROR(__xludf.DUMMYFUNCTION("""COMPUTED_VALUE"""),129.0)</f>
        <v>129</v>
      </c>
      <c r="K1596" s="1">
        <v>43.0</v>
      </c>
      <c r="L1596" s="1">
        <f>IFERROR(__xludf.DUMMYFUNCTION("""COMPUTED_VALUE"""),444.0)</f>
        <v>444</v>
      </c>
    </row>
    <row r="1597">
      <c r="A1597" s="1">
        <v>3321034.0</v>
      </c>
      <c r="B1597" s="1" t="s">
        <v>3456</v>
      </c>
      <c r="C1597" s="1" t="s">
        <v>2930</v>
      </c>
      <c r="D1597" s="1" t="s">
        <v>2964</v>
      </c>
      <c r="E1597" s="1" t="s">
        <v>3457</v>
      </c>
      <c r="F1597" s="1" t="s">
        <v>16</v>
      </c>
      <c r="G1597" s="1" t="s">
        <v>17</v>
      </c>
      <c r="H1597" s="1" t="s">
        <v>18</v>
      </c>
      <c r="I1597" s="1" t="s">
        <v>19</v>
      </c>
      <c r="J1597" s="1">
        <f>IFERROR(__xludf.DUMMYFUNCTION("""COMPUTED_VALUE"""),160.0)</f>
        <v>160</v>
      </c>
      <c r="K1597" s="1">
        <v>49.0</v>
      </c>
      <c r="L1597" s="1">
        <f>IFERROR(__xludf.DUMMYFUNCTION("""COMPUTED_VALUE"""),210.0)</f>
        <v>210</v>
      </c>
    </row>
    <row r="1598">
      <c r="A1598" s="1">
        <v>3315061.0</v>
      </c>
      <c r="B1598" s="1" t="s">
        <v>3458</v>
      </c>
      <c r="C1598" s="1" t="s">
        <v>2930</v>
      </c>
      <c r="D1598" s="1" t="s">
        <v>3005</v>
      </c>
      <c r="E1598" s="1" t="s">
        <v>3459</v>
      </c>
      <c r="F1598" s="1" t="s">
        <v>16</v>
      </c>
      <c r="G1598" s="1" t="s">
        <v>23</v>
      </c>
      <c r="H1598" s="1" t="s">
        <v>18</v>
      </c>
      <c r="I1598" s="1" t="s">
        <v>40</v>
      </c>
      <c r="J1598" s="1">
        <f>IFERROR(__xludf.DUMMYFUNCTION("""COMPUTED_VALUE"""),60.0)</f>
        <v>60</v>
      </c>
      <c r="K1598" s="1">
        <v>26.0</v>
      </c>
      <c r="L1598" s="1">
        <f>IFERROR(__xludf.DUMMYFUNCTION("""COMPUTED_VALUE"""),184.0)</f>
        <v>184</v>
      </c>
    </row>
    <row r="1599">
      <c r="A1599" s="1">
        <v>3302248.0</v>
      </c>
      <c r="B1599" s="1" t="s">
        <v>3460</v>
      </c>
      <c r="C1599" s="1" t="s">
        <v>2930</v>
      </c>
      <c r="D1599" s="1" t="s">
        <v>2937</v>
      </c>
      <c r="E1599" s="1" t="s">
        <v>3461</v>
      </c>
      <c r="F1599" s="1" t="s">
        <v>272</v>
      </c>
      <c r="G1599" s="1" t="s">
        <v>17</v>
      </c>
      <c r="H1599" s="1" t="s">
        <v>33</v>
      </c>
      <c r="I1599" s="1" t="s">
        <v>40</v>
      </c>
      <c r="J1599" s="1">
        <f>IFERROR(__xludf.DUMMYFUNCTION("""COMPUTED_VALUE"""),15.0)</f>
        <v>15</v>
      </c>
      <c r="K1599" s="1">
        <v>19.0</v>
      </c>
      <c r="L1599" s="1">
        <f>IFERROR(__xludf.DUMMYFUNCTION("""COMPUTED_VALUE"""),182.0)</f>
        <v>182</v>
      </c>
    </row>
    <row r="1600">
      <c r="A1600" s="1">
        <v>3374389.0</v>
      </c>
      <c r="B1600" s="1" t="s">
        <v>3462</v>
      </c>
      <c r="C1600" s="1" t="s">
        <v>2930</v>
      </c>
      <c r="D1600" s="1" t="s">
        <v>2948</v>
      </c>
      <c r="E1600" s="1" t="s">
        <v>3463</v>
      </c>
      <c r="F1600" s="1" t="s">
        <v>16</v>
      </c>
      <c r="G1600" s="1" t="s">
        <v>17</v>
      </c>
      <c r="H1600" s="1" t="s">
        <v>18</v>
      </c>
      <c r="I1600" s="1" t="s">
        <v>19</v>
      </c>
      <c r="J1600" s="1">
        <f>IFERROR(__xludf.DUMMYFUNCTION("""COMPUTED_VALUE"""),115.0)</f>
        <v>115</v>
      </c>
      <c r="K1600" s="1">
        <v>43.0</v>
      </c>
      <c r="L1600" s="1">
        <f>IFERROR(__xludf.DUMMYFUNCTION("""COMPUTED_VALUE"""),182.0)</f>
        <v>182</v>
      </c>
    </row>
    <row r="1601">
      <c r="A1601" s="1">
        <v>3305092.0</v>
      </c>
      <c r="B1601" s="1" t="s">
        <v>3464</v>
      </c>
      <c r="C1601" s="1" t="s">
        <v>2930</v>
      </c>
      <c r="D1601" s="1" t="s">
        <v>2958</v>
      </c>
      <c r="E1601" s="1" t="s">
        <v>3465</v>
      </c>
      <c r="F1601" s="1" t="s">
        <v>16</v>
      </c>
      <c r="G1601" s="1" t="s">
        <v>17</v>
      </c>
      <c r="H1601" s="1" t="s">
        <v>18</v>
      </c>
      <c r="I1601" s="1" t="s">
        <v>59</v>
      </c>
      <c r="J1601" s="1">
        <f>IFERROR(__xludf.DUMMYFUNCTION("""COMPUTED_VALUE"""),117.0)</f>
        <v>117</v>
      </c>
      <c r="K1601" s="1">
        <v>33.0</v>
      </c>
      <c r="L1601" s="1">
        <f>IFERROR(__xludf.DUMMYFUNCTION("""COMPUTED_VALUE"""),255.0)</f>
        <v>255</v>
      </c>
    </row>
    <row r="1602">
      <c r="A1602" s="1">
        <v>3374010.0</v>
      </c>
      <c r="B1602" s="1" t="s">
        <v>3466</v>
      </c>
      <c r="C1602" s="1" t="s">
        <v>2930</v>
      </c>
      <c r="D1602" s="1" t="s">
        <v>2948</v>
      </c>
      <c r="E1602" s="1" t="s">
        <v>3467</v>
      </c>
      <c r="F1602" s="1" t="s">
        <v>16</v>
      </c>
      <c r="G1602" s="1" t="s">
        <v>150</v>
      </c>
      <c r="H1602" s="1" t="s">
        <v>33</v>
      </c>
      <c r="I1602" s="1" t="s">
        <v>411</v>
      </c>
      <c r="J1602" s="1">
        <f>IFERROR(__xludf.DUMMYFUNCTION("""COMPUTED_VALUE"""),1181.0)</f>
        <v>1181</v>
      </c>
      <c r="K1602" s="1">
        <v>277.0</v>
      </c>
      <c r="L1602" s="1">
        <f>IFERROR(__xludf.DUMMYFUNCTION("""COMPUTED_VALUE"""),3871.0)</f>
        <v>3871</v>
      </c>
    </row>
    <row r="1603">
      <c r="A1603" s="1">
        <v>3312308.0</v>
      </c>
      <c r="B1603" s="1" t="s">
        <v>3468</v>
      </c>
      <c r="C1603" s="1" t="s">
        <v>2930</v>
      </c>
      <c r="D1603" s="1" t="s">
        <v>3118</v>
      </c>
      <c r="E1603" s="1" t="s">
        <v>3469</v>
      </c>
      <c r="F1603" s="1" t="s">
        <v>16</v>
      </c>
      <c r="G1603" s="1" t="s">
        <v>23</v>
      </c>
      <c r="H1603" s="1" t="s">
        <v>18</v>
      </c>
      <c r="I1603" s="1" t="s">
        <v>44</v>
      </c>
      <c r="J1603" s="1">
        <f>IFERROR(__xludf.DUMMYFUNCTION("""COMPUTED_VALUE"""),107.0)</f>
        <v>107</v>
      </c>
      <c r="K1603" s="1">
        <v>27.0</v>
      </c>
      <c r="L1603" s="1">
        <f>IFERROR(__xludf.DUMMYFUNCTION("""COMPUTED_VALUE"""),208.0)</f>
        <v>208</v>
      </c>
    </row>
    <row r="1604">
      <c r="A1604" s="1">
        <v>3322071.0</v>
      </c>
      <c r="B1604" s="1" t="s">
        <v>326</v>
      </c>
      <c r="C1604" s="1" t="s">
        <v>2930</v>
      </c>
      <c r="D1604" s="1" t="s">
        <v>3064</v>
      </c>
      <c r="E1604" s="1" t="s">
        <v>3470</v>
      </c>
      <c r="F1604" s="1" t="s">
        <v>16</v>
      </c>
      <c r="G1604" s="1" t="s">
        <v>23</v>
      </c>
      <c r="H1604" s="1" t="s">
        <v>18</v>
      </c>
      <c r="I1604" s="1" t="s">
        <v>59</v>
      </c>
      <c r="J1604" s="1">
        <f>IFERROR(__xludf.DUMMYFUNCTION("""COMPUTED_VALUE"""),63.0)</f>
        <v>63</v>
      </c>
      <c r="K1604" s="1">
        <v>19.0</v>
      </c>
      <c r="L1604" s="1">
        <f>IFERROR(__xludf.DUMMYFUNCTION("""COMPUTED_VALUE"""),174.0)</f>
        <v>174</v>
      </c>
    </row>
    <row r="1605">
      <c r="A1605" s="1">
        <v>3310026.0</v>
      </c>
      <c r="B1605" s="1" t="s">
        <v>3471</v>
      </c>
      <c r="C1605" s="1" t="s">
        <v>2930</v>
      </c>
      <c r="D1605" s="1" t="s">
        <v>2989</v>
      </c>
      <c r="E1605" s="1" t="s">
        <v>3472</v>
      </c>
      <c r="F1605" s="1" t="s">
        <v>174</v>
      </c>
      <c r="G1605" s="1" t="s">
        <v>150</v>
      </c>
      <c r="H1605" s="1" t="s">
        <v>28</v>
      </c>
      <c r="I1605" s="1" t="s">
        <v>139</v>
      </c>
      <c r="J1605" s="1">
        <f>IFERROR(__xludf.DUMMYFUNCTION("""COMPUTED_VALUE"""),172.0)</f>
        <v>172</v>
      </c>
      <c r="K1605" s="1">
        <v>34.0</v>
      </c>
      <c r="L1605" s="1">
        <f>IFERROR(__xludf.DUMMYFUNCTION("""COMPUTED_VALUE"""),504.0)</f>
        <v>504</v>
      </c>
    </row>
    <row r="1606">
      <c r="A1606" s="1">
        <v>3374331.0</v>
      </c>
      <c r="B1606" s="1" t="s">
        <v>3473</v>
      </c>
      <c r="C1606" s="1" t="s">
        <v>2930</v>
      </c>
      <c r="D1606" s="1" t="s">
        <v>2948</v>
      </c>
      <c r="E1606" s="1" t="s">
        <v>3474</v>
      </c>
      <c r="F1606" s="1" t="s">
        <v>16</v>
      </c>
      <c r="G1606" s="1" t="s">
        <v>23</v>
      </c>
      <c r="H1606" s="1" t="s">
        <v>18</v>
      </c>
      <c r="I1606" s="1" t="s">
        <v>19</v>
      </c>
      <c r="J1606" s="1">
        <f>IFERROR(__xludf.DUMMYFUNCTION("""COMPUTED_VALUE"""),61.0)</f>
        <v>61</v>
      </c>
      <c r="K1606" s="1">
        <v>42.0</v>
      </c>
      <c r="L1606" s="1">
        <f>IFERROR(__xludf.DUMMYFUNCTION("""COMPUTED_VALUE"""),102.0)</f>
        <v>102</v>
      </c>
    </row>
    <row r="1607">
      <c r="A1607" s="1">
        <v>3314109.0</v>
      </c>
      <c r="B1607" s="1" t="s">
        <v>3475</v>
      </c>
      <c r="C1607" s="1" t="s">
        <v>2930</v>
      </c>
      <c r="D1607" s="1" t="s">
        <v>2945</v>
      </c>
      <c r="E1607" s="1" t="s">
        <v>3476</v>
      </c>
      <c r="F1607" s="1" t="s">
        <v>16</v>
      </c>
      <c r="G1607" s="1" t="s">
        <v>23</v>
      </c>
      <c r="H1607" s="1" t="s">
        <v>18</v>
      </c>
      <c r="I1607" s="1" t="s">
        <v>163</v>
      </c>
      <c r="J1607" s="1">
        <f>IFERROR(__xludf.DUMMYFUNCTION("""COMPUTED_VALUE"""),102.0)</f>
        <v>102</v>
      </c>
      <c r="K1607" s="1">
        <v>1.0</v>
      </c>
      <c r="L1607" s="1">
        <f>IFERROR(__xludf.DUMMYFUNCTION("""COMPUTED_VALUE"""),182.0)</f>
        <v>182</v>
      </c>
    </row>
    <row r="1608">
      <c r="A1608" s="1">
        <v>3327032.0</v>
      </c>
      <c r="B1608" s="1" t="s">
        <v>3477</v>
      </c>
      <c r="C1608" s="1" t="s">
        <v>2930</v>
      </c>
      <c r="D1608" s="1" t="s">
        <v>3054</v>
      </c>
      <c r="E1608" s="1" t="s">
        <v>3478</v>
      </c>
      <c r="F1608" s="1" t="s">
        <v>16</v>
      </c>
      <c r="G1608" s="1" t="s">
        <v>23</v>
      </c>
      <c r="H1608" s="1" t="s">
        <v>18</v>
      </c>
      <c r="I1608" s="1" t="s">
        <v>684</v>
      </c>
      <c r="J1608" s="1">
        <f>IFERROR(__xludf.DUMMYFUNCTION("""COMPUTED_VALUE"""),96.0)</f>
        <v>96</v>
      </c>
      <c r="K1608" s="1">
        <v>33.0</v>
      </c>
      <c r="L1608" s="1">
        <f>IFERROR(__xludf.DUMMYFUNCTION("""COMPUTED_VALUE"""),156.0)</f>
        <v>156</v>
      </c>
    </row>
    <row r="1609">
      <c r="A1609" s="1">
        <v>3328078.0</v>
      </c>
      <c r="B1609" s="1" t="s">
        <v>3479</v>
      </c>
      <c r="C1609" s="1" t="s">
        <v>2930</v>
      </c>
      <c r="D1609" s="1" t="s">
        <v>3038</v>
      </c>
      <c r="E1609" s="1" t="s">
        <v>3480</v>
      </c>
      <c r="F1609" s="1" t="s">
        <v>16</v>
      </c>
      <c r="G1609" s="1" t="s">
        <v>23</v>
      </c>
      <c r="H1609" s="1" t="s">
        <v>18</v>
      </c>
      <c r="I1609" s="1" t="s">
        <v>19</v>
      </c>
      <c r="J1609" s="1">
        <f>IFERROR(__xludf.DUMMYFUNCTION("""COMPUTED_VALUE"""),50.0)</f>
        <v>50</v>
      </c>
      <c r="K1609" s="1">
        <v>25.0</v>
      </c>
      <c r="L1609" s="1">
        <f>IFERROR(__xludf.DUMMYFUNCTION("""COMPUTED_VALUE"""),68.0)</f>
        <v>68</v>
      </c>
    </row>
    <row r="1610">
      <c r="A1610" s="1">
        <v>3375073.0</v>
      </c>
      <c r="B1610" s="1" t="s">
        <v>3481</v>
      </c>
      <c r="C1610" s="1" t="s">
        <v>2930</v>
      </c>
      <c r="D1610" s="1" t="s">
        <v>2986</v>
      </c>
      <c r="E1610" s="1" t="s">
        <v>3482</v>
      </c>
      <c r="F1610" s="1" t="s">
        <v>16</v>
      </c>
      <c r="G1610" s="1" t="s">
        <v>23</v>
      </c>
      <c r="H1610" s="1" t="s">
        <v>18</v>
      </c>
      <c r="I1610" s="1" t="s">
        <v>19</v>
      </c>
      <c r="J1610" s="1">
        <f>IFERROR(__xludf.DUMMYFUNCTION("""COMPUTED_VALUE"""),98.0)</f>
        <v>98</v>
      </c>
      <c r="K1610" s="1">
        <v>50.0</v>
      </c>
      <c r="L1610" s="1">
        <f>IFERROR(__xludf.DUMMYFUNCTION("""COMPUTED_VALUE"""),203.0)</f>
        <v>203</v>
      </c>
    </row>
    <row r="1611">
      <c r="A1611" s="1">
        <v>3301107.0</v>
      </c>
      <c r="B1611" s="1" t="s">
        <v>3483</v>
      </c>
      <c r="C1611" s="1" t="s">
        <v>2930</v>
      </c>
      <c r="D1611" s="1" t="s">
        <v>2996</v>
      </c>
      <c r="E1611" s="1" t="s">
        <v>3484</v>
      </c>
      <c r="F1611" s="1" t="s">
        <v>16</v>
      </c>
      <c r="G1611" s="1" t="s">
        <v>23</v>
      </c>
      <c r="H1611" s="1" t="s">
        <v>18</v>
      </c>
      <c r="I1611" s="1" t="s">
        <v>249</v>
      </c>
      <c r="J1611" s="1">
        <f>IFERROR(__xludf.DUMMYFUNCTION("""COMPUTED_VALUE"""),78.0)</f>
        <v>78</v>
      </c>
      <c r="K1611" s="1">
        <v>69.0</v>
      </c>
      <c r="L1611" s="1">
        <f>IFERROR(__xludf.DUMMYFUNCTION("""COMPUTED_VALUE"""),176.0)</f>
        <v>176</v>
      </c>
    </row>
    <row r="1612">
      <c r="A1612" s="1">
        <v>3302249.0</v>
      </c>
      <c r="B1612" s="1" t="s">
        <v>3485</v>
      </c>
      <c r="C1612" s="1" t="s">
        <v>2930</v>
      </c>
      <c r="D1612" s="1" t="s">
        <v>2937</v>
      </c>
      <c r="E1612" s="1" t="s">
        <v>3486</v>
      </c>
      <c r="F1612" s="1" t="s">
        <v>16</v>
      </c>
      <c r="G1612" s="1" t="s">
        <v>17</v>
      </c>
      <c r="H1612" s="1" t="s">
        <v>18</v>
      </c>
      <c r="I1612" s="1" t="s">
        <v>44</v>
      </c>
      <c r="J1612" s="1">
        <f>IFERROR(__xludf.DUMMYFUNCTION("""COMPUTED_VALUE"""),101.0)</f>
        <v>101</v>
      </c>
      <c r="K1612" s="1">
        <v>53.0</v>
      </c>
      <c r="L1612" s="1">
        <f>IFERROR(__xludf.DUMMYFUNCTION("""COMPUTED_VALUE"""),182.0)</f>
        <v>182</v>
      </c>
    </row>
    <row r="1613">
      <c r="A1613" s="1">
        <v>3324053.0</v>
      </c>
      <c r="B1613" s="1" t="s">
        <v>3487</v>
      </c>
      <c r="C1613" s="1" t="s">
        <v>2930</v>
      </c>
      <c r="D1613" s="1" t="s">
        <v>2970</v>
      </c>
      <c r="E1613" s="1" t="s">
        <v>3488</v>
      </c>
      <c r="F1613" s="1" t="s">
        <v>16</v>
      </c>
      <c r="G1613" s="1" t="s">
        <v>23</v>
      </c>
      <c r="H1613" s="1" t="s">
        <v>18</v>
      </c>
      <c r="I1613" s="1" t="s">
        <v>19</v>
      </c>
      <c r="J1613" s="1">
        <f>IFERROR(__xludf.DUMMYFUNCTION("""COMPUTED_VALUE"""),64.0)</f>
        <v>64</v>
      </c>
      <c r="K1613" s="1">
        <v>49.0</v>
      </c>
      <c r="L1613" s="1">
        <f>IFERROR(__xludf.DUMMYFUNCTION("""COMPUTED_VALUE"""),182.0)</f>
        <v>182</v>
      </c>
    </row>
    <row r="1614">
      <c r="A1614" s="1">
        <v>3301095.0</v>
      </c>
      <c r="B1614" s="1" t="s">
        <v>918</v>
      </c>
      <c r="C1614" s="1" t="s">
        <v>2930</v>
      </c>
      <c r="D1614" s="1" t="s">
        <v>2996</v>
      </c>
      <c r="E1614" s="1" t="s">
        <v>3489</v>
      </c>
      <c r="F1614" s="1" t="s">
        <v>55</v>
      </c>
      <c r="G1614" s="1" t="s">
        <v>17</v>
      </c>
      <c r="H1614" s="1" t="s">
        <v>18</v>
      </c>
      <c r="I1614" s="1" t="s">
        <v>684</v>
      </c>
      <c r="J1614" s="1">
        <f>IFERROR(__xludf.DUMMYFUNCTION("""COMPUTED_VALUE"""),24.0)</f>
        <v>24</v>
      </c>
      <c r="K1614" s="1">
        <v>17.0</v>
      </c>
      <c r="L1614" s="1">
        <f>IFERROR(__xludf.DUMMYFUNCTION("""COMPUTED_VALUE"""),43.0)</f>
        <v>43</v>
      </c>
    </row>
    <row r="1615">
      <c r="A1615" s="1">
        <v>3371025.0</v>
      </c>
      <c r="B1615" s="1" t="s">
        <v>3490</v>
      </c>
      <c r="C1615" s="1" t="s">
        <v>2930</v>
      </c>
      <c r="D1615" s="1" t="s">
        <v>2939</v>
      </c>
      <c r="E1615" s="1" t="s">
        <v>3491</v>
      </c>
      <c r="F1615" s="1" t="s">
        <v>16</v>
      </c>
      <c r="G1615" s="1" t="s">
        <v>27</v>
      </c>
      <c r="H1615" s="1" t="s">
        <v>33</v>
      </c>
      <c r="I1615" s="1" t="s">
        <v>74</v>
      </c>
      <c r="J1615" s="1">
        <f>IFERROR(__xludf.DUMMYFUNCTION("""COMPUTED_VALUE"""),229.0)</f>
        <v>229</v>
      </c>
      <c r="K1615" s="1">
        <v>65.0</v>
      </c>
      <c r="L1615" s="1">
        <f>IFERROR(__xludf.DUMMYFUNCTION("""COMPUTED_VALUE"""),698.0)</f>
        <v>698</v>
      </c>
    </row>
    <row r="1616">
      <c r="A1616" s="1">
        <v>3314092.0</v>
      </c>
      <c r="B1616" s="1" t="s">
        <v>3492</v>
      </c>
      <c r="C1616" s="1" t="s">
        <v>2930</v>
      </c>
      <c r="D1616" s="1" t="s">
        <v>2945</v>
      </c>
      <c r="E1616" s="1" t="s">
        <v>3493</v>
      </c>
      <c r="F1616" s="1" t="s">
        <v>16</v>
      </c>
      <c r="G1616" s="1" t="s">
        <v>23</v>
      </c>
      <c r="H1616" s="1" t="s">
        <v>18</v>
      </c>
      <c r="I1616" s="1" t="s">
        <v>44</v>
      </c>
      <c r="J1616" s="1">
        <f>IFERROR(__xludf.DUMMYFUNCTION("""COMPUTED_VALUE"""),57.0)</f>
        <v>57</v>
      </c>
      <c r="K1616" s="1">
        <v>21.0</v>
      </c>
      <c r="L1616" s="1">
        <f>IFERROR(__xludf.DUMMYFUNCTION("""COMPUTED_VALUE"""),140.0)</f>
        <v>140</v>
      </c>
    </row>
    <row r="1617">
      <c r="A1617" s="1">
        <v>3316014.0</v>
      </c>
      <c r="B1617" s="1" t="s">
        <v>3494</v>
      </c>
      <c r="C1617" s="1" t="s">
        <v>2930</v>
      </c>
      <c r="D1617" s="1" t="s">
        <v>2951</v>
      </c>
      <c r="E1617" s="1" t="s">
        <v>3495</v>
      </c>
      <c r="F1617" s="1" t="s">
        <v>16</v>
      </c>
      <c r="G1617" s="1" t="s">
        <v>17</v>
      </c>
      <c r="H1617" s="1" t="s">
        <v>28</v>
      </c>
      <c r="I1617" s="1" t="s">
        <v>40</v>
      </c>
      <c r="J1617" s="1">
        <f>IFERROR(__xludf.DUMMYFUNCTION("""COMPUTED_VALUE"""),222.0)</f>
        <v>222</v>
      </c>
      <c r="K1617" s="1">
        <v>68.0</v>
      </c>
      <c r="L1617" s="1">
        <f>IFERROR(__xludf.DUMMYFUNCTION("""COMPUTED_VALUE"""),298.0)</f>
        <v>298</v>
      </c>
    </row>
    <row r="1618">
      <c r="A1618" s="1">
        <v>3302121.0</v>
      </c>
      <c r="B1618" s="1" t="s">
        <v>3496</v>
      </c>
      <c r="C1618" s="1" t="s">
        <v>2930</v>
      </c>
      <c r="D1618" s="1" t="s">
        <v>2937</v>
      </c>
      <c r="E1618" s="1" t="s">
        <v>3497</v>
      </c>
      <c r="F1618" s="1" t="s">
        <v>16</v>
      </c>
      <c r="G1618" s="1" t="s">
        <v>23</v>
      </c>
      <c r="H1618" s="1" t="s">
        <v>18</v>
      </c>
      <c r="I1618" s="1" t="s">
        <v>59</v>
      </c>
      <c r="J1618" s="1">
        <f>IFERROR(__xludf.DUMMYFUNCTION("""COMPUTED_VALUE"""),97.0)</f>
        <v>97</v>
      </c>
      <c r="K1618" s="1">
        <v>31.0</v>
      </c>
      <c r="L1618" s="1">
        <f>IFERROR(__xludf.DUMMYFUNCTION("""COMPUTED_VALUE"""),47.0)</f>
        <v>47</v>
      </c>
    </row>
    <row r="1619">
      <c r="A1619" s="1">
        <v>3306023.0</v>
      </c>
      <c r="B1619" s="1" t="s">
        <v>3498</v>
      </c>
      <c r="C1619" s="1" t="s">
        <v>2930</v>
      </c>
      <c r="D1619" s="1" t="s">
        <v>2942</v>
      </c>
      <c r="E1619" s="1" t="s">
        <v>3499</v>
      </c>
      <c r="F1619" s="1" t="s">
        <v>16</v>
      </c>
      <c r="G1619" s="1" t="s">
        <v>23</v>
      </c>
      <c r="H1619" s="1" t="s">
        <v>18</v>
      </c>
      <c r="I1619" s="1" t="s">
        <v>684</v>
      </c>
      <c r="J1619" s="1">
        <f>IFERROR(__xludf.DUMMYFUNCTION("""COMPUTED_VALUE"""),34.0)</f>
        <v>34</v>
      </c>
      <c r="K1619" s="1">
        <v>29.0</v>
      </c>
      <c r="L1619" s="1">
        <f>IFERROR(__xludf.DUMMYFUNCTION("""COMPUTED_VALUE"""),124.0)</f>
        <v>124</v>
      </c>
    </row>
    <row r="1620">
      <c r="A1620" s="1">
        <v>3303075.0</v>
      </c>
      <c r="B1620" s="1" t="s">
        <v>205</v>
      </c>
      <c r="C1620" s="1" t="s">
        <v>2930</v>
      </c>
      <c r="D1620" s="1" t="s">
        <v>3099</v>
      </c>
      <c r="E1620" s="1" t="s">
        <v>3500</v>
      </c>
      <c r="F1620" s="1" t="s">
        <v>16</v>
      </c>
      <c r="G1620" s="1" t="s">
        <v>17</v>
      </c>
      <c r="H1620" s="1" t="s">
        <v>18</v>
      </c>
      <c r="I1620" s="1" t="s">
        <v>59</v>
      </c>
      <c r="J1620" s="1">
        <f>IFERROR(__xludf.DUMMYFUNCTION("""COMPUTED_VALUE"""),120.0)</f>
        <v>120</v>
      </c>
      <c r="K1620" s="1">
        <v>40.0</v>
      </c>
      <c r="L1620" s="1">
        <f>IFERROR(__xludf.DUMMYFUNCTION("""COMPUTED_VALUE"""),446.0)</f>
        <v>446</v>
      </c>
    </row>
    <row r="1621">
      <c r="A1621" s="1">
        <v>3372191.0</v>
      </c>
      <c r="B1621" s="1" t="s">
        <v>3501</v>
      </c>
      <c r="C1621" s="1" t="s">
        <v>2930</v>
      </c>
      <c r="D1621" s="1" t="s">
        <v>2967</v>
      </c>
      <c r="E1621" s="1" t="s">
        <v>3502</v>
      </c>
      <c r="F1621" s="1" t="s">
        <v>16</v>
      </c>
      <c r="G1621" s="1" t="s">
        <v>17</v>
      </c>
      <c r="H1621" s="1" t="s">
        <v>18</v>
      </c>
      <c r="I1621" s="1" t="s">
        <v>19</v>
      </c>
      <c r="J1621" s="1">
        <f>IFERROR(__xludf.DUMMYFUNCTION("""COMPUTED_VALUE"""),110.0)</f>
        <v>110</v>
      </c>
      <c r="K1621" s="1">
        <v>23.0</v>
      </c>
      <c r="L1621" s="1">
        <f>IFERROR(__xludf.DUMMYFUNCTION("""COMPUTED_VALUE"""),233.0)</f>
        <v>233</v>
      </c>
    </row>
    <row r="1622">
      <c r="A1622" s="1">
        <v>3303097.0</v>
      </c>
      <c r="B1622" s="1" t="s">
        <v>3503</v>
      </c>
      <c r="C1622" s="1" t="s">
        <v>2930</v>
      </c>
      <c r="D1622" s="1" t="s">
        <v>3099</v>
      </c>
      <c r="E1622" s="1" t="s">
        <v>3504</v>
      </c>
      <c r="F1622" s="1" t="s">
        <v>16</v>
      </c>
      <c r="G1622" s="1" t="s">
        <v>17</v>
      </c>
      <c r="H1622" s="1" t="s">
        <v>28</v>
      </c>
      <c r="I1622" s="1" t="s">
        <v>40</v>
      </c>
      <c r="J1622" s="1">
        <f>IFERROR(__xludf.DUMMYFUNCTION("""COMPUTED_VALUE"""),108.0)</f>
        <v>108</v>
      </c>
      <c r="K1622" s="1">
        <v>32.0</v>
      </c>
      <c r="L1622" s="1">
        <f>IFERROR(__xludf.DUMMYFUNCTION("""COMPUTED_VALUE"""),222.0)</f>
        <v>222</v>
      </c>
    </row>
    <row r="1623">
      <c r="A1623" s="1">
        <v>3327044.0</v>
      </c>
      <c r="B1623" s="1" t="s">
        <v>3505</v>
      </c>
      <c r="C1623" s="1" t="s">
        <v>2930</v>
      </c>
      <c r="D1623" s="1" t="s">
        <v>3054</v>
      </c>
      <c r="E1623" s="1" t="s">
        <v>3506</v>
      </c>
      <c r="F1623" s="1" t="s">
        <v>16</v>
      </c>
      <c r="G1623" s="1" t="s">
        <v>17</v>
      </c>
      <c r="H1623" s="1" t="s">
        <v>18</v>
      </c>
      <c r="I1623" s="1" t="s">
        <v>19</v>
      </c>
      <c r="J1623" s="1">
        <f>IFERROR(__xludf.DUMMYFUNCTION("""COMPUTED_VALUE"""),195.0)</f>
        <v>195</v>
      </c>
      <c r="K1623" s="1">
        <v>67.0</v>
      </c>
      <c r="L1623" s="1">
        <f>IFERROR(__xludf.DUMMYFUNCTION("""COMPUTED_VALUE"""),98.0)</f>
        <v>98</v>
      </c>
    </row>
    <row r="1624">
      <c r="A1624" s="1">
        <v>3316074.0</v>
      </c>
      <c r="B1624" s="1" t="s">
        <v>3507</v>
      </c>
      <c r="C1624" s="1" t="s">
        <v>2930</v>
      </c>
      <c r="D1624" s="1" t="s">
        <v>2951</v>
      </c>
      <c r="E1624" s="1" t="s">
        <v>3508</v>
      </c>
      <c r="F1624" s="1" t="s">
        <v>55</v>
      </c>
      <c r="G1624" s="1" t="s">
        <v>17</v>
      </c>
      <c r="H1624" s="1" t="s">
        <v>18</v>
      </c>
      <c r="I1624" s="1" t="s">
        <v>44</v>
      </c>
      <c r="J1624" s="1">
        <f>IFERROR(__xludf.DUMMYFUNCTION("""COMPUTED_VALUE"""),33.0)</f>
        <v>33</v>
      </c>
      <c r="K1624" s="1">
        <v>20.0</v>
      </c>
      <c r="L1624" s="1">
        <f>IFERROR(__xludf.DUMMYFUNCTION("""COMPUTED_VALUE"""),182.0)</f>
        <v>182</v>
      </c>
    </row>
    <row r="1625">
      <c r="A1625" s="1">
        <v>3374388.0</v>
      </c>
      <c r="B1625" s="1" t="s">
        <v>3509</v>
      </c>
      <c r="C1625" s="1" t="s">
        <v>2930</v>
      </c>
      <c r="D1625" s="1" t="s">
        <v>2948</v>
      </c>
      <c r="E1625" s="1" t="s">
        <v>3510</v>
      </c>
      <c r="F1625" s="1" t="s">
        <v>16</v>
      </c>
      <c r="G1625" s="1" t="s">
        <v>17</v>
      </c>
      <c r="H1625" s="1" t="s">
        <v>18</v>
      </c>
      <c r="I1625" s="1" t="s">
        <v>19</v>
      </c>
      <c r="J1625" s="1">
        <f>IFERROR(__xludf.DUMMYFUNCTION("""COMPUTED_VALUE"""),110.0)</f>
        <v>110</v>
      </c>
      <c r="K1625" s="1">
        <v>52.0</v>
      </c>
      <c r="L1625" s="1">
        <f>IFERROR(__xludf.DUMMYFUNCTION("""COMPUTED_VALUE"""),182.0)</f>
        <v>182</v>
      </c>
    </row>
    <row r="1626">
      <c r="A1626" s="1">
        <v>3320021.0</v>
      </c>
      <c r="B1626" s="1" t="s">
        <v>3511</v>
      </c>
      <c r="C1626" s="1" t="s">
        <v>2930</v>
      </c>
      <c r="D1626" s="1" t="s">
        <v>3104</v>
      </c>
      <c r="E1626" s="1" t="s">
        <v>3512</v>
      </c>
      <c r="F1626" s="1" t="s">
        <v>16</v>
      </c>
      <c r="G1626" s="1" t="s">
        <v>17</v>
      </c>
      <c r="H1626" s="1" t="s">
        <v>28</v>
      </c>
      <c r="I1626" s="1" t="s">
        <v>139</v>
      </c>
      <c r="J1626" s="1">
        <f>IFERROR(__xludf.DUMMYFUNCTION("""COMPUTED_VALUE"""),181.0)</f>
        <v>181</v>
      </c>
      <c r="K1626" s="1">
        <v>24.0</v>
      </c>
      <c r="L1626" s="1">
        <f>IFERROR(__xludf.DUMMYFUNCTION("""COMPUTED_VALUE"""),238.0)</f>
        <v>238</v>
      </c>
    </row>
    <row r="1627">
      <c r="A1627" s="1">
        <v>3308034.0</v>
      </c>
      <c r="B1627" s="1" t="s">
        <v>3513</v>
      </c>
      <c r="C1627" s="1" t="s">
        <v>2930</v>
      </c>
      <c r="D1627" s="1" t="s">
        <v>3107</v>
      </c>
      <c r="E1627" s="1" t="s">
        <v>3514</v>
      </c>
      <c r="F1627" s="1" t="s">
        <v>16</v>
      </c>
      <c r="G1627" s="1" t="s">
        <v>23</v>
      </c>
      <c r="H1627" s="1" t="s">
        <v>18</v>
      </c>
      <c r="I1627" s="1" t="s">
        <v>40</v>
      </c>
      <c r="J1627" s="1">
        <f>IFERROR(__xludf.DUMMYFUNCTION("""COMPUTED_VALUE"""),50.0)</f>
        <v>50</v>
      </c>
      <c r="K1627" s="1">
        <v>16.0</v>
      </c>
      <c r="L1627" s="1">
        <f>IFERROR(__xludf.DUMMYFUNCTION("""COMPUTED_VALUE"""),182.0)</f>
        <v>182</v>
      </c>
    </row>
    <row r="1628">
      <c r="A1628" s="1">
        <v>3309015.0</v>
      </c>
      <c r="B1628" s="1" t="s">
        <v>3515</v>
      </c>
      <c r="C1628" s="1" t="s">
        <v>2930</v>
      </c>
      <c r="D1628" s="1" t="s">
        <v>2973</v>
      </c>
      <c r="E1628" s="1" t="s">
        <v>3516</v>
      </c>
      <c r="F1628" s="1" t="s">
        <v>16</v>
      </c>
      <c r="G1628" s="1" t="s">
        <v>27</v>
      </c>
      <c r="H1628" s="1" t="s">
        <v>28</v>
      </c>
      <c r="I1628" s="1" t="s">
        <v>40</v>
      </c>
      <c r="J1628" s="1">
        <f>IFERROR(__xludf.DUMMYFUNCTION("""COMPUTED_VALUE"""),260.0)</f>
        <v>260</v>
      </c>
      <c r="K1628" s="1">
        <v>88.0</v>
      </c>
      <c r="L1628" s="1">
        <f>IFERROR(__xludf.DUMMYFUNCTION("""COMPUTED_VALUE"""),689.0)</f>
        <v>689</v>
      </c>
    </row>
    <row r="1629">
      <c r="A1629" s="1">
        <v>3374134.0</v>
      </c>
      <c r="B1629" s="1" t="s">
        <v>3517</v>
      </c>
      <c r="C1629" s="1" t="s">
        <v>2930</v>
      </c>
      <c r="D1629" s="1" t="s">
        <v>2948</v>
      </c>
      <c r="E1629" s="1" t="s">
        <v>3518</v>
      </c>
      <c r="F1629" s="1" t="s">
        <v>16</v>
      </c>
      <c r="G1629" s="1" t="s">
        <v>27</v>
      </c>
      <c r="H1629" s="1" t="s">
        <v>28</v>
      </c>
      <c r="I1629" s="1" t="s">
        <v>139</v>
      </c>
      <c r="J1629" s="1">
        <f>IFERROR(__xludf.DUMMYFUNCTION("""COMPUTED_VALUE"""),357.0)</f>
        <v>357</v>
      </c>
      <c r="K1629" s="1">
        <v>98.0</v>
      </c>
      <c r="L1629" s="1">
        <f>IFERROR(__xludf.DUMMYFUNCTION("""COMPUTED_VALUE"""),1193.0)</f>
        <v>1193</v>
      </c>
    </row>
    <row r="1630">
      <c r="A1630" s="1">
        <v>3322034.0</v>
      </c>
      <c r="B1630" s="1" t="s">
        <v>3519</v>
      </c>
      <c r="C1630" s="1" t="s">
        <v>2930</v>
      </c>
      <c r="D1630" s="1" t="s">
        <v>3064</v>
      </c>
      <c r="E1630" s="1" t="s">
        <v>3520</v>
      </c>
      <c r="F1630" s="1" t="s">
        <v>16</v>
      </c>
      <c r="G1630" s="1" t="s">
        <v>17</v>
      </c>
      <c r="H1630" s="1" t="s">
        <v>18</v>
      </c>
      <c r="I1630" s="1" t="s">
        <v>44</v>
      </c>
      <c r="J1630" s="1">
        <f>IFERROR(__xludf.DUMMYFUNCTION("""COMPUTED_VALUE"""),199.0)</f>
        <v>199</v>
      </c>
      <c r="K1630" s="1">
        <v>73.0</v>
      </c>
      <c r="L1630" s="1">
        <f>IFERROR(__xludf.DUMMYFUNCTION("""COMPUTED_VALUE"""),911.0)</f>
        <v>911</v>
      </c>
    </row>
    <row r="1631">
      <c r="A1631" s="1">
        <v>3308022.0</v>
      </c>
      <c r="B1631" s="1" t="s">
        <v>3521</v>
      </c>
      <c r="C1631" s="1" t="s">
        <v>2930</v>
      </c>
      <c r="D1631" s="1" t="s">
        <v>3107</v>
      </c>
      <c r="E1631" s="1" t="s">
        <v>3522</v>
      </c>
      <c r="F1631" s="1" t="s">
        <v>16</v>
      </c>
      <c r="G1631" s="1" t="s">
        <v>17</v>
      </c>
      <c r="H1631" s="1" t="s">
        <v>28</v>
      </c>
      <c r="I1631" s="1" t="s">
        <v>40</v>
      </c>
      <c r="J1631" s="1">
        <f>IFERROR(__xludf.DUMMYFUNCTION("""COMPUTED_VALUE"""),200.0)</f>
        <v>200</v>
      </c>
      <c r="K1631" s="1">
        <v>36.0</v>
      </c>
      <c r="L1631" s="1">
        <f>IFERROR(__xludf.DUMMYFUNCTION("""COMPUTED_VALUE"""),391.0)</f>
        <v>391</v>
      </c>
    </row>
    <row r="1632">
      <c r="A1632" s="1">
        <v>3321047.0</v>
      </c>
      <c r="B1632" s="1" t="s">
        <v>3523</v>
      </c>
      <c r="C1632" s="1" t="s">
        <v>2930</v>
      </c>
      <c r="D1632" s="1" t="s">
        <v>2964</v>
      </c>
      <c r="E1632" s="1" t="s">
        <v>3524</v>
      </c>
      <c r="F1632" s="1" t="s">
        <v>16</v>
      </c>
      <c r="G1632" s="1" t="s">
        <v>17</v>
      </c>
      <c r="H1632" s="1" t="s">
        <v>18</v>
      </c>
      <c r="I1632" s="1" t="s">
        <v>19</v>
      </c>
      <c r="J1632" s="1">
        <f>IFERROR(__xludf.DUMMYFUNCTION("""COMPUTED_VALUE"""),105.0)</f>
        <v>105</v>
      </c>
      <c r="K1632" s="1">
        <v>44.0</v>
      </c>
      <c r="L1632" s="1">
        <f>IFERROR(__xludf.DUMMYFUNCTION("""COMPUTED_VALUE"""),182.0)</f>
        <v>182</v>
      </c>
    </row>
    <row r="1633">
      <c r="A1633" s="1">
        <v>3326038.0</v>
      </c>
      <c r="B1633" s="1" t="s">
        <v>3525</v>
      </c>
      <c r="C1633" s="1" t="s">
        <v>2930</v>
      </c>
      <c r="D1633" s="1" t="s">
        <v>3033</v>
      </c>
      <c r="E1633" s="1" t="s">
        <v>3526</v>
      </c>
      <c r="F1633" s="1" t="s">
        <v>16</v>
      </c>
      <c r="G1633" s="1" t="s">
        <v>17</v>
      </c>
      <c r="H1633" s="1" t="s">
        <v>28</v>
      </c>
      <c r="I1633" s="1" t="s">
        <v>40</v>
      </c>
      <c r="J1633" s="1">
        <f>IFERROR(__xludf.DUMMYFUNCTION("""COMPUTED_VALUE"""),275.0)</f>
        <v>275</v>
      </c>
      <c r="K1633" s="1">
        <v>84.0</v>
      </c>
      <c r="L1633" s="1">
        <f>IFERROR(__xludf.DUMMYFUNCTION("""COMPUTED_VALUE"""),303.0)</f>
        <v>303</v>
      </c>
    </row>
    <row r="1634">
      <c r="A1634" s="1">
        <v>3310419.0</v>
      </c>
      <c r="B1634" s="1" t="s">
        <v>3527</v>
      </c>
      <c r="C1634" s="1" t="s">
        <v>2930</v>
      </c>
      <c r="D1634" s="1" t="s">
        <v>2989</v>
      </c>
      <c r="E1634" s="1" t="s">
        <v>3528</v>
      </c>
      <c r="F1634" s="1" t="s">
        <v>16</v>
      </c>
      <c r="G1634" s="1" t="s">
        <v>23</v>
      </c>
      <c r="H1634" s="1" t="s">
        <v>18</v>
      </c>
      <c r="I1634" s="1" t="s">
        <v>44</v>
      </c>
      <c r="J1634" s="1">
        <f>IFERROR(__xludf.DUMMYFUNCTION("""COMPUTED_VALUE"""),75.0)</f>
        <v>75</v>
      </c>
      <c r="K1634" s="1">
        <v>58.0</v>
      </c>
      <c r="L1634" s="1">
        <f>IFERROR(__xludf.DUMMYFUNCTION("""COMPUTED_VALUE"""),117.0)</f>
        <v>117</v>
      </c>
    </row>
    <row r="1635">
      <c r="A1635" s="1">
        <v>3312284.0</v>
      </c>
      <c r="B1635" s="1" t="s">
        <v>3529</v>
      </c>
      <c r="C1635" s="1" t="s">
        <v>2930</v>
      </c>
      <c r="D1635" s="1" t="s">
        <v>3118</v>
      </c>
      <c r="E1635" s="1" t="s">
        <v>3530</v>
      </c>
      <c r="F1635" s="1" t="s">
        <v>16</v>
      </c>
      <c r="G1635" s="1" t="s">
        <v>23</v>
      </c>
      <c r="H1635" s="1" t="s">
        <v>18</v>
      </c>
      <c r="I1635" s="1" t="s">
        <v>684</v>
      </c>
      <c r="J1635" s="1">
        <f>IFERROR(__xludf.DUMMYFUNCTION("""COMPUTED_VALUE"""),50.0)</f>
        <v>50</v>
      </c>
      <c r="K1635" s="1">
        <v>44.0</v>
      </c>
      <c r="L1635" s="1">
        <f>IFERROR(__xludf.DUMMYFUNCTION("""COMPUTED_VALUE"""),155.0)</f>
        <v>155</v>
      </c>
    </row>
    <row r="1636">
      <c r="A1636" s="1">
        <v>3376034.0</v>
      </c>
      <c r="B1636" s="1" t="s">
        <v>3531</v>
      </c>
      <c r="C1636" s="1" t="s">
        <v>2930</v>
      </c>
      <c r="D1636" s="1" t="s">
        <v>3038</v>
      </c>
      <c r="E1636" s="1" t="s">
        <v>3532</v>
      </c>
      <c r="F1636" s="1" t="s">
        <v>16</v>
      </c>
      <c r="G1636" s="1" t="s">
        <v>23</v>
      </c>
      <c r="H1636" s="1" t="s">
        <v>18</v>
      </c>
      <c r="I1636" s="1" t="s">
        <v>74</v>
      </c>
      <c r="J1636" s="1">
        <f>IFERROR(__xludf.DUMMYFUNCTION("""COMPUTED_VALUE"""),50.0)</f>
        <v>50</v>
      </c>
      <c r="K1636" s="1">
        <v>41.0</v>
      </c>
      <c r="L1636" s="1">
        <f>IFERROR(__xludf.DUMMYFUNCTION("""COMPUTED_VALUE"""),91.0)</f>
        <v>91</v>
      </c>
    </row>
    <row r="1637">
      <c r="A1637" s="1">
        <v>3302063.0</v>
      </c>
      <c r="B1637" s="1" t="s">
        <v>3533</v>
      </c>
      <c r="C1637" s="1" t="s">
        <v>2930</v>
      </c>
      <c r="D1637" s="1" t="s">
        <v>2937</v>
      </c>
      <c r="E1637" s="1" t="s">
        <v>3534</v>
      </c>
      <c r="F1637" s="1" t="s">
        <v>255</v>
      </c>
      <c r="G1637" s="1" t="s">
        <v>17</v>
      </c>
      <c r="H1637" s="1" t="s">
        <v>18</v>
      </c>
      <c r="I1637" s="1" t="s">
        <v>19</v>
      </c>
      <c r="J1637" s="1">
        <f>IFERROR(__xludf.DUMMYFUNCTION("""COMPUTED_VALUE"""),30.0)</f>
        <v>30</v>
      </c>
      <c r="K1637" s="1">
        <v>25.0</v>
      </c>
      <c r="L1637" s="1">
        <f>IFERROR(__xludf.DUMMYFUNCTION("""COMPUTED_VALUE"""),68.0)</f>
        <v>68</v>
      </c>
    </row>
    <row r="1638">
      <c r="A1638" s="1">
        <v>3302226.0</v>
      </c>
      <c r="B1638" s="1" t="s">
        <v>3535</v>
      </c>
      <c r="C1638" s="1" t="s">
        <v>2930</v>
      </c>
      <c r="D1638" s="1" t="s">
        <v>2937</v>
      </c>
      <c r="E1638" s="1" t="s">
        <v>3536</v>
      </c>
      <c r="F1638" s="1" t="s">
        <v>55</v>
      </c>
      <c r="G1638" s="1" t="s">
        <v>17</v>
      </c>
      <c r="H1638" s="1" t="s">
        <v>18</v>
      </c>
      <c r="I1638" s="1" t="s">
        <v>59</v>
      </c>
      <c r="J1638" s="1">
        <f>IFERROR(__xludf.DUMMYFUNCTION("""COMPUTED_VALUE"""),30.0)</f>
        <v>30</v>
      </c>
      <c r="K1638" s="1">
        <v>17.0</v>
      </c>
      <c r="L1638" s="1">
        <f>IFERROR(__xludf.DUMMYFUNCTION("""COMPUTED_VALUE"""),82.0)</f>
        <v>82</v>
      </c>
    </row>
    <row r="1639">
      <c r="A1639" s="1">
        <v>3310426.0</v>
      </c>
      <c r="B1639" s="1" t="s">
        <v>3537</v>
      </c>
      <c r="C1639" s="1" t="s">
        <v>2930</v>
      </c>
      <c r="D1639" s="1" t="s">
        <v>2989</v>
      </c>
      <c r="E1639" s="1" t="s">
        <v>3538</v>
      </c>
      <c r="F1639" s="1" t="s">
        <v>16</v>
      </c>
      <c r="G1639" s="1" t="s">
        <v>23</v>
      </c>
      <c r="H1639" s="1" t="s">
        <v>18</v>
      </c>
      <c r="I1639" s="1" t="s">
        <v>684</v>
      </c>
      <c r="J1639" s="1">
        <f>IFERROR(__xludf.DUMMYFUNCTION("""COMPUTED_VALUE"""),66.0)</f>
        <v>66</v>
      </c>
      <c r="K1639" s="1">
        <v>39.0</v>
      </c>
      <c r="L1639" s="1">
        <f>IFERROR(__xludf.DUMMYFUNCTION("""COMPUTED_VALUE"""),182.0)</f>
        <v>182</v>
      </c>
    </row>
    <row r="1640">
      <c r="A1640" s="1">
        <v>3314056.0</v>
      </c>
      <c r="B1640" s="1" t="s">
        <v>3539</v>
      </c>
      <c r="C1640" s="1" t="s">
        <v>2930</v>
      </c>
      <c r="D1640" s="1" t="s">
        <v>2945</v>
      </c>
      <c r="E1640" s="1" t="s">
        <v>3540</v>
      </c>
      <c r="F1640" s="1" t="s">
        <v>16</v>
      </c>
      <c r="G1640" s="1" t="s">
        <v>17</v>
      </c>
      <c r="H1640" s="1" t="s">
        <v>18</v>
      </c>
      <c r="I1640" s="1" t="s">
        <v>684</v>
      </c>
      <c r="J1640" s="1">
        <f>IFERROR(__xludf.DUMMYFUNCTION("""COMPUTED_VALUE"""),115.0)</f>
        <v>115</v>
      </c>
      <c r="K1640" s="1">
        <v>40.0</v>
      </c>
      <c r="L1640" s="1">
        <f>IFERROR(__xludf.DUMMYFUNCTION("""COMPUTED_VALUE"""),354.0)</f>
        <v>354</v>
      </c>
    </row>
    <row r="1641">
      <c r="A1641" s="1">
        <v>3374367.0</v>
      </c>
      <c r="B1641" s="1" t="s">
        <v>3541</v>
      </c>
      <c r="C1641" s="1" t="s">
        <v>2930</v>
      </c>
      <c r="D1641" s="1" t="s">
        <v>2948</v>
      </c>
      <c r="E1641" s="1" t="s">
        <v>3542</v>
      </c>
      <c r="F1641" s="1" t="s">
        <v>16</v>
      </c>
      <c r="G1641" s="1" t="s">
        <v>17</v>
      </c>
      <c r="H1641" s="1" t="s">
        <v>18</v>
      </c>
      <c r="I1641" s="1" t="s">
        <v>34</v>
      </c>
      <c r="J1641" s="1">
        <f>IFERROR(__xludf.DUMMYFUNCTION("""COMPUTED_VALUE"""),127.0)</f>
        <v>127</v>
      </c>
      <c r="K1641" s="1">
        <v>122.0</v>
      </c>
      <c r="L1641" s="1">
        <f>IFERROR(__xludf.DUMMYFUNCTION("""COMPUTED_VALUE"""),385.0)</f>
        <v>385</v>
      </c>
    </row>
    <row r="1642">
      <c r="A1642" s="1">
        <v>3302165.0</v>
      </c>
      <c r="B1642" s="1" t="s">
        <v>3543</v>
      </c>
      <c r="C1642" s="1" t="s">
        <v>2930</v>
      </c>
      <c r="D1642" s="1" t="s">
        <v>2937</v>
      </c>
      <c r="E1642" s="1" t="s">
        <v>3544</v>
      </c>
      <c r="F1642" s="1" t="s">
        <v>16</v>
      </c>
      <c r="G1642" s="1" t="s">
        <v>17</v>
      </c>
      <c r="H1642" s="1" t="s">
        <v>18</v>
      </c>
      <c r="I1642" s="1" t="s">
        <v>59</v>
      </c>
      <c r="J1642" s="1">
        <f>IFERROR(__xludf.DUMMYFUNCTION("""COMPUTED_VALUE"""),117.0)</f>
        <v>117</v>
      </c>
      <c r="K1642" s="1">
        <v>67.0</v>
      </c>
      <c r="L1642" s="1">
        <f>IFERROR(__xludf.DUMMYFUNCTION("""COMPUTED_VALUE"""),379.0)</f>
        <v>379</v>
      </c>
    </row>
    <row r="1643">
      <c r="A1643" s="1">
        <v>3372041.0</v>
      </c>
      <c r="B1643" s="1" t="s">
        <v>3545</v>
      </c>
      <c r="C1643" s="1" t="s">
        <v>2930</v>
      </c>
      <c r="D1643" s="1" t="s">
        <v>2967</v>
      </c>
      <c r="E1643" s="1" t="s">
        <v>3546</v>
      </c>
      <c r="F1643" s="1" t="s">
        <v>16</v>
      </c>
      <c r="G1643" s="1" t="s">
        <v>17</v>
      </c>
      <c r="H1643" s="1" t="s">
        <v>18</v>
      </c>
      <c r="I1643" s="1" t="s">
        <v>59</v>
      </c>
      <c r="J1643" s="1">
        <f>IFERROR(__xludf.DUMMYFUNCTION("""COMPUTED_VALUE"""),118.0)</f>
        <v>118</v>
      </c>
      <c r="K1643" s="1">
        <v>51.0</v>
      </c>
      <c r="L1643" s="1">
        <f>IFERROR(__xludf.DUMMYFUNCTION("""COMPUTED_VALUE"""),292.0)</f>
        <v>292</v>
      </c>
    </row>
    <row r="1644">
      <c r="A1644" s="1">
        <v>3313054.0</v>
      </c>
      <c r="B1644" s="1" t="s">
        <v>3547</v>
      </c>
      <c r="C1644" s="1" t="s">
        <v>2930</v>
      </c>
      <c r="D1644" s="1" t="s">
        <v>2931</v>
      </c>
      <c r="E1644" s="1" t="s">
        <v>3548</v>
      </c>
      <c r="F1644" s="1" t="s">
        <v>16</v>
      </c>
      <c r="G1644" s="1" t="s">
        <v>23</v>
      </c>
      <c r="H1644" s="1" t="s">
        <v>18</v>
      </c>
      <c r="I1644" s="1" t="s">
        <v>19</v>
      </c>
      <c r="J1644" s="1">
        <f>IFERROR(__xludf.DUMMYFUNCTION("""COMPUTED_VALUE"""),75.0)</f>
        <v>75</v>
      </c>
      <c r="K1644" s="1">
        <v>21.0</v>
      </c>
      <c r="L1644" s="1">
        <f>IFERROR(__xludf.DUMMYFUNCTION("""COMPUTED_VALUE"""),93.0)</f>
        <v>93</v>
      </c>
    </row>
    <row r="1645">
      <c r="A1645" s="1">
        <v>3308018.0</v>
      </c>
      <c r="B1645" s="1" t="s">
        <v>3549</v>
      </c>
      <c r="C1645" s="1" t="s">
        <v>2930</v>
      </c>
      <c r="D1645" s="1" t="s">
        <v>3107</v>
      </c>
      <c r="E1645" s="1" t="s">
        <v>3550</v>
      </c>
      <c r="F1645" s="1" t="s">
        <v>16</v>
      </c>
      <c r="G1645" s="1" t="s">
        <v>23</v>
      </c>
      <c r="H1645" s="1" t="s">
        <v>18</v>
      </c>
      <c r="I1645" s="1" t="s">
        <v>44</v>
      </c>
      <c r="J1645" s="1">
        <f>IFERROR(__xludf.DUMMYFUNCTION("""COMPUTED_VALUE"""),50.0)</f>
        <v>50</v>
      </c>
      <c r="K1645" s="1">
        <v>9.0</v>
      </c>
      <c r="L1645" s="1">
        <f>IFERROR(__xludf.DUMMYFUNCTION("""COMPUTED_VALUE"""),25.0)</f>
        <v>25</v>
      </c>
    </row>
    <row r="1646">
      <c r="A1646" s="1">
        <v>3312310.0</v>
      </c>
      <c r="B1646" s="1" t="s">
        <v>3551</v>
      </c>
      <c r="C1646" s="1" t="s">
        <v>2930</v>
      </c>
      <c r="D1646" s="1" t="s">
        <v>3118</v>
      </c>
      <c r="E1646" s="1" t="s">
        <v>3552</v>
      </c>
      <c r="F1646" s="1" t="s">
        <v>16</v>
      </c>
      <c r="G1646" s="1" t="s">
        <v>23</v>
      </c>
      <c r="H1646" s="1" t="s">
        <v>18</v>
      </c>
      <c r="I1646" s="1" t="s">
        <v>684</v>
      </c>
      <c r="J1646" s="1">
        <f>IFERROR(__xludf.DUMMYFUNCTION("""COMPUTED_VALUE"""),53.0)</f>
        <v>53</v>
      </c>
      <c r="K1646" s="1">
        <v>28.0</v>
      </c>
      <c r="L1646" s="1">
        <f>IFERROR(__xludf.DUMMYFUNCTION("""COMPUTED_VALUE"""),17.0)</f>
        <v>17</v>
      </c>
    </row>
    <row r="1647">
      <c r="A1647" s="1">
        <v>3321036.0</v>
      </c>
      <c r="B1647" s="1" t="s">
        <v>3553</v>
      </c>
      <c r="C1647" s="1" t="s">
        <v>2930</v>
      </c>
      <c r="D1647" s="1" t="s">
        <v>2964</v>
      </c>
      <c r="E1647" s="1" t="s">
        <v>3554</v>
      </c>
      <c r="F1647" s="1" t="s">
        <v>16</v>
      </c>
      <c r="G1647" s="1" t="s">
        <v>23</v>
      </c>
      <c r="H1647" s="1" t="s">
        <v>18</v>
      </c>
      <c r="I1647" s="1" t="s">
        <v>684</v>
      </c>
      <c r="J1647" s="1">
        <f>IFERROR(__xludf.DUMMYFUNCTION("""COMPUTED_VALUE"""),51.0)</f>
        <v>51</v>
      </c>
      <c r="K1647" s="1">
        <v>21.0</v>
      </c>
      <c r="L1647" s="1">
        <f>IFERROR(__xludf.DUMMYFUNCTION("""COMPUTED_VALUE"""),30.0)</f>
        <v>30</v>
      </c>
    </row>
    <row r="1648">
      <c r="A1648" s="1">
        <v>3309149.0</v>
      </c>
      <c r="B1648" s="1" t="s">
        <v>3555</v>
      </c>
      <c r="C1648" s="1" t="s">
        <v>2930</v>
      </c>
      <c r="D1648" s="1" t="s">
        <v>2973</v>
      </c>
      <c r="E1648" s="1" t="s">
        <v>3556</v>
      </c>
      <c r="F1648" s="1" t="s">
        <v>16</v>
      </c>
      <c r="G1648" s="1" t="s">
        <v>23</v>
      </c>
      <c r="H1648" s="1" t="s">
        <v>18</v>
      </c>
      <c r="I1648" s="1" t="s">
        <v>684</v>
      </c>
      <c r="J1648" s="1">
        <f>IFERROR(__xludf.DUMMYFUNCTION("""COMPUTED_VALUE"""),50.0)</f>
        <v>50</v>
      </c>
      <c r="K1648" s="1">
        <v>22.0</v>
      </c>
      <c r="L1648" s="1">
        <f>IFERROR(__xludf.DUMMYFUNCTION("""COMPUTED_VALUE"""),182.0)</f>
        <v>182</v>
      </c>
    </row>
    <row r="1649">
      <c r="A1649" s="1">
        <v>3318086.0</v>
      </c>
      <c r="B1649" s="1" t="s">
        <v>3557</v>
      </c>
      <c r="C1649" s="1" t="s">
        <v>2930</v>
      </c>
      <c r="D1649" s="1" t="s">
        <v>3049</v>
      </c>
      <c r="E1649" s="1" t="s">
        <v>3558</v>
      </c>
      <c r="F1649" s="1" t="s">
        <v>16</v>
      </c>
      <c r="G1649" s="1" t="s">
        <v>17</v>
      </c>
      <c r="H1649" s="1" t="s">
        <v>28</v>
      </c>
      <c r="I1649" s="1" t="s">
        <v>40</v>
      </c>
      <c r="J1649" s="1">
        <f>IFERROR(__xludf.DUMMYFUNCTION("""COMPUTED_VALUE"""),111.0)</f>
        <v>111</v>
      </c>
      <c r="K1649" s="1">
        <v>27.0</v>
      </c>
      <c r="L1649" s="1">
        <f>IFERROR(__xludf.DUMMYFUNCTION("""COMPUTED_VALUE"""),155.0)</f>
        <v>155</v>
      </c>
    </row>
    <row r="1650">
      <c r="A1650" s="1">
        <v>3306012.0</v>
      </c>
      <c r="B1650" s="1" t="s">
        <v>3559</v>
      </c>
      <c r="C1650" s="1" t="s">
        <v>2930</v>
      </c>
      <c r="D1650" s="1" t="s">
        <v>2942</v>
      </c>
      <c r="E1650" s="1" t="s">
        <v>3560</v>
      </c>
      <c r="F1650" s="1" t="s">
        <v>16</v>
      </c>
      <c r="G1650" s="1" t="s">
        <v>27</v>
      </c>
      <c r="H1650" s="1" t="s">
        <v>28</v>
      </c>
      <c r="I1650" s="1" t="s">
        <v>40</v>
      </c>
      <c r="J1650" s="1">
        <f>IFERROR(__xludf.DUMMYFUNCTION("""COMPUTED_VALUE"""),288.0)</f>
        <v>288</v>
      </c>
      <c r="K1650" s="1">
        <v>149.0</v>
      </c>
      <c r="L1650" s="1">
        <f>IFERROR(__xludf.DUMMYFUNCTION("""COMPUTED_VALUE"""),691.0)</f>
        <v>691</v>
      </c>
    </row>
    <row r="1651">
      <c r="A1651" s="1">
        <v>3374032.0</v>
      </c>
      <c r="B1651" s="1" t="s">
        <v>3561</v>
      </c>
      <c r="C1651" s="1" t="s">
        <v>2930</v>
      </c>
      <c r="D1651" s="1" t="s">
        <v>2948</v>
      </c>
      <c r="E1651" s="1" t="s">
        <v>3562</v>
      </c>
      <c r="F1651" s="1" t="s">
        <v>16</v>
      </c>
      <c r="G1651" s="1" t="s">
        <v>17</v>
      </c>
      <c r="H1651" s="1" t="s">
        <v>18</v>
      </c>
      <c r="I1651" s="1" t="s">
        <v>59</v>
      </c>
      <c r="J1651" s="1">
        <f>IFERROR(__xludf.DUMMYFUNCTION("""COMPUTED_VALUE"""),101.0)</f>
        <v>101</v>
      </c>
      <c r="K1651" s="1">
        <v>53.0</v>
      </c>
      <c r="L1651" s="1">
        <f>IFERROR(__xludf.DUMMYFUNCTION("""COMPUTED_VALUE"""),162.0)</f>
        <v>162</v>
      </c>
    </row>
    <row r="1652">
      <c r="A1652" s="1">
        <v>3323024.0</v>
      </c>
      <c r="B1652" s="1" t="s">
        <v>3563</v>
      </c>
      <c r="C1652" s="1" t="s">
        <v>2930</v>
      </c>
      <c r="D1652" s="1" t="s">
        <v>3146</v>
      </c>
      <c r="E1652" s="1" t="s">
        <v>3564</v>
      </c>
      <c r="F1652" s="1" t="s">
        <v>16</v>
      </c>
      <c r="G1652" s="1" t="s">
        <v>17</v>
      </c>
      <c r="H1652" s="1" t="s">
        <v>18</v>
      </c>
      <c r="I1652" s="1" t="s">
        <v>258</v>
      </c>
      <c r="J1652" s="1">
        <f>IFERROR(__xludf.DUMMYFUNCTION("""COMPUTED_VALUE"""),159.0)</f>
        <v>159</v>
      </c>
      <c r="K1652" s="1">
        <v>35.0</v>
      </c>
      <c r="L1652" s="1">
        <f>IFERROR(__xludf.DUMMYFUNCTION("""COMPUTED_VALUE"""),515.0)</f>
        <v>515</v>
      </c>
    </row>
    <row r="1653">
      <c r="A1653" s="1">
        <v>3305120.0</v>
      </c>
      <c r="B1653" s="1" t="s">
        <v>3565</v>
      </c>
      <c r="C1653" s="1" t="s">
        <v>2930</v>
      </c>
      <c r="D1653" s="1" t="s">
        <v>2958</v>
      </c>
      <c r="E1653" s="1" t="s">
        <v>3566</v>
      </c>
      <c r="F1653" s="1" t="s">
        <v>16</v>
      </c>
      <c r="G1653" s="1" t="s">
        <v>17</v>
      </c>
      <c r="H1653" s="1" t="s">
        <v>28</v>
      </c>
      <c r="I1653" s="1" t="s">
        <v>40</v>
      </c>
      <c r="J1653" s="1">
        <f>IFERROR(__xludf.DUMMYFUNCTION("""COMPUTED_VALUE"""),114.0)</f>
        <v>114</v>
      </c>
      <c r="K1653" s="1">
        <v>36.0</v>
      </c>
      <c r="L1653" s="1">
        <f>IFERROR(__xludf.DUMMYFUNCTION("""COMPUTED_VALUE"""),413.0)</f>
        <v>413</v>
      </c>
    </row>
    <row r="1654">
      <c r="A1654" s="1">
        <v>3328094.0</v>
      </c>
      <c r="B1654" s="1" t="s">
        <v>3567</v>
      </c>
      <c r="C1654" s="1" t="s">
        <v>2930</v>
      </c>
      <c r="D1654" s="1" t="s">
        <v>3038</v>
      </c>
      <c r="E1654" s="1" t="s">
        <v>3568</v>
      </c>
      <c r="F1654" s="1" t="s">
        <v>16</v>
      </c>
      <c r="G1654" s="1" t="s">
        <v>17</v>
      </c>
      <c r="H1654" s="1" t="s">
        <v>18</v>
      </c>
      <c r="I1654" s="1" t="s">
        <v>44</v>
      </c>
      <c r="J1654" s="1">
        <f>IFERROR(__xludf.DUMMYFUNCTION("""COMPUTED_VALUE"""),110.0)</f>
        <v>110</v>
      </c>
      <c r="K1654" s="1">
        <v>33.0</v>
      </c>
      <c r="L1654" s="1">
        <f>IFERROR(__xludf.DUMMYFUNCTION("""COMPUTED_VALUE"""),182.0)</f>
        <v>182</v>
      </c>
    </row>
    <row r="1655">
      <c r="A1655" s="1">
        <v>3310384.0</v>
      </c>
      <c r="B1655" s="1" t="s">
        <v>3569</v>
      </c>
      <c r="C1655" s="1" t="s">
        <v>2930</v>
      </c>
      <c r="D1655" s="1" t="s">
        <v>2989</v>
      </c>
      <c r="E1655" s="1" t="s">
        <v>3570</v>
      </c>
      <c r="F1655" s="1" t="s">
        <v>16</v>
      </c>
      <c r="G1655" s="1" t="s">
        <v>27</v>
      </c>
      <c r="H1655" s="1" t="s">
        <v>18</v>
      </c>
      <c r="I1655" s="1" t="s">
        <v>684</v>
      </c>
      <c r="J1655" s="1">
        <f>IFERROR(__xludf.DUMMYFUNCTION("""COMPUTED_VALUE"""),272.0)</f>
        <v>272</v>
      </c>
      <c r="K1655" s="1">
        <v>123.0</v>
      </c>
      <c r="L1655" s="1">
        <f>IFERROR(__xludf.DUMMYFUNCTION("""COMPUTED_VALUE"""),742.0)</f>
        <v>742</v>
      </c>
    </row>
    <row r="1656">
      <c r="A1656" s="1">
        <v>3374353.0</v>
      </c>
      <c r="B1656" s="1" t="s">
        <v>3571</v>
      </c>
      <c r="C1656" s="1" t="s">
        <v>2930</v>
      </c>
      <c r="D1656" s="1" t="s">
        <v>2948</v>
      </c>
      <c r="E1656" s="1" t="s">
        <v>3572</v>
      </c>
      <c r="F1656" s="1" t="s">
        <v>55</v>
      </c>
      <c r="G1656" s="1" t="s">
        <v>17</v>
      </c>
      <c r="H1656" s="1" t="s">
        <v>18</v>
      </c>
      <c r="I1656" s="1" t="s">
        <v>19</v>
      </c>
      <c r="J1656" s="1">
        <f>IFERROR(__xludf.DUMMYFUNCTION("""COMPUTED_VALUE"""),25.0)</f>
        <v>25</v>
      </c>
      <c r="K1656" s="1">
        <v>13.0</v>
      </c>
      <c r="L1656" s="1">
        <f>IFERROR(__xludf.DUMMYFUNCTION("""COMPUTED_VALUE"""),22.0)</f>
        <v>22</v>
      </c>
    </row>
    <row r="1657">
      <c r="A1657" s="1">
        <v>3375072.0</v>
      </c>
      <c r="B1657" s="1" t="s">
        <v>3573</v>
      </c>
      <c r="C1657" s="1" t="s">
        <v>2930</v>
      </c>
      <c r="D1657" s="1" t="s">
        <v>2986</v>
      </c>
      <c r="E1657" s="1" t="s">
        <v>3574</v>
      </c>
      <c r="F1657" s="1" t="s">
        <v>16</v>
      </c>
      <c r="G1657" s="1" t="s">
        <v>23</v>
      </c>
      <c r="H1657" s="1" t="s">
        <v>18</v>
      </c>
      <c r="I1657" s="1" t="s">
        <v>19</v>
      </c>
      <c r="J1657" s="1">
        <f>IFERROR(__xludf.DUMMYFUNCTION("""COMPUTED_VALUE"""),59.0)</f>
        <v>59</v>
      </c>
      <c r="K1657" s="1">
        <v>30.0</v>
      </c>
      <c r="L1657" s="1">
        <f>IFERROR(__xludf.DUMMYFUNCTION("""COMPUTED_VALUE"""),165.0)</f>
        <v>165</v>
      </c>
    </row>
    <row r="1658">
      <c r="A1658" s="1">
        <v>3301112.0</v>
      </c>
      <c r="B1658" s="1" t="s">
        <v>3575</v>
      </c>
      <c r="C1658" s="1" t="s">
        <v>2930</v>
      </c>
      <c r="D1658" s="1" t="s">
        <v>2996</v>
      </c>
      <c r="E1658" s="1" t="s">
        <v>3576</v>
      </c>
      <c r="F1658" s="1" t="s">
        <v>16</v>
      </c>
      <c r="G1658" s="1" t="s">
        <v>17</v>
      </c>
      <c r="H1658" s="1" t="s">
        <v>18</v>
      </c>
      <c r="I1658" s="1" t="s">
        <v>19</v>
      </c>
      <c r="J1658" s="1">
        <f>IFERROR(__xludf.DUMMYFUNCTION("""COMPUTED_VALUE"""),106.0)</f>
        <v>106</v>
      </c>
      <c r="K1658" s="1">
        <v>36.0</v>
      </c>
      <c r="L1658" s="1">
        <f>IFERROR(__xludf.DUMMYFUNCTION("""COMPUTED_VALUE"""),96.0)</f>
        <v>96</v>
      </c>
    </row>
    <row r="1659">
      <c r="A1659" s="1">
        <v>3313067.0</v>
      </c>
      <c r="B1659" s="1" t="s">
        <v>3577</v>
      </c>
      <c r="C1659" s="1" t="s">
        <v>2930</v>
      </c>
      <c r="D1659" s="1" t="s">
        <v>2931</v>
      </c>
      <c r="E1659" s="1" t="s">
        <v>3578</v>
      </c>
      <c r="F1659" s="1" t="s">
        <v>16</v>
      </c>
      <c r="G1659" s="1" t="s">
        <v>17</v>
      </c>
      <c r="H1659" s="1" t="s">
        <v>18</v>
      </c>
      <c r="I1659" s="1" t="s">
        <v>19</v>
      </c>
      <c r="J1659" s="1">
        <f>IFERROR(__xludf.DUMMYFUNCTION("""COMPUTED_VALUE"""),113.0)</f>
        <v>113</v>
      </c>
      <c r="K1659" s="1">
        <v>41.0</v>
      </c>
      <c r="L1659" s="1">
        <f>IFERROR(__xludf.DUMMYFUNCTION("""COMPUTED_VALUE"""),182.0)</f>
        <v>182</v>
      </c>
    </row>
    <row r="1660">
      <c r="A1660" s="1">
        <v>3328055.0</v>
      </c>
      <c r="B1660" s="1" t="s">
        <v>3579</v>
      </c>
      <c r="C1660" s="1" t="s">
        <v>2930</v>
      </c>
      <c r="D1660" s="1" t="s">
        <v>3038</v>
      </c>
      <c r="E1660" s="1" t="s">
        <v>3580</v>
      </c>
      <c r="F1660" s="1" t="s">
        <v>16</v>
      </c>
      <c r="G1660" s="1" t="s">
        <v>17</v>
      </c>
      <c r="H1660" s="1" t="s">
        <v>18</v>
      </c>
      <c r="I1660" s="1" t="s">
        <v>59</v>
      </c>
      <c r="J1660" s="1">
        <f>IFERROR(__xludf.DUMMYFUNCTION("""COMPUTED_VALUE"""),190.0)</f>
        <v>190</v>
      </c>
      <c r="K1660" s="1">
        <v>42.0</v>
      </c>
      <c r="L1660" s="1">
        <f>IFERROR(__xludf.DUMMYFUNCTION("""COMPUTED_VALUE"""),428.0)</f>
        <v>428</v>
      </c>
    </row>
    <row r="1661">
      <c r="A1661" s="1">
        <v>3306106.0</v>
      </c>
      <c r="B1661" s="1" t="s">
        <v>3581</v>
      </c>
      <c r="C1661" s="1" t="s">
        <v>2930</v>
      </c>
      <c r="D1661" s="1" t="s">
        <v>2942</v>
      </c>
      <c r="E1661" s="1" t="s">
        <v>3582</v>
      </c>
      <c r="F1661" s="1" t="s">
        <v>16</v>
      </c>
      <c r="G1661" s="1" t="s">
        <v>23</v>
      </c>
      <c r="H1661" s="1" t="s">
        <v>18</v>
      </c>
      <c r="I1661" s="1" t="s">
        <v>44</v>
      </c>
      <c r="J1661" s="1">
        <f>IFERROR(__xludf.DUMMYFUNCTION("""COMPUTED_VALUE"""),50.0)</f>
        <v>50</v>
      </c>
      <c r="K1661" s="1">
        <v>24.0</v>
      </c>
      <c r="L1661" s="1">
        <f>IFERROR(__xludf.DUMMYFUNCTION("""COMPUTED_VALUE"""),32.0)</f>
        <v>32</v>
      </c>
    </row>
    <row r="1662">
      <c r="A1662" s="1">
        <v>3302015.0</v>
      </c>
      <c r="B1662" s="1" t="s">
        <v>3583</v>
      </c>
      <c r="C1662" s="1" t="s">
        <v>2930</v>
      </c>
      <c r="D1662" s="1" t="s">
        <v>2937</v>
      </c>
      <c r="E1662" s="1" t="s">
        <v>3584</v>
      </c>
      <c r="F1662" s="1" t="s">
        <v>16</v>
      </c>
      <c r="G1662" s="1" t="s">
        <v>27</v>
      </c>
      <c r="H1662" s="1" t="s">
        <v>28</v>
      </c>
      <c r="I1662" s="1" t="s">
        <v>40</v>
      </c>
      <c r="J1662" s="1">
        <f>IFERROR(__xludf.DUMMYFUNCTION("""COMPUTED_VALUE"""),412.0)</f>
        <v>412</v>
      </c>
      <c r="K1662" s="1">
        <v>111.0</v>
      </c>
      <c r="L1662" s="1">
        <f>IFERROR(__xludf.DUMMYFUNCTION("""COMPUTED_VALUE"""),1146.0)</f>
        <v>1146</v>
      </c>
    </row>
    <row r="1663">
      <c r="A1663" s="1">
        <v>3371084.0</v>
      </c>
      <c r="B1663" s="1" t="s">
        <v>3585</v>
      </c>
      <c r="C1663" s="1" t="s">
        <v>2930</v>
      </c>
      <c r="D1663" s="1" t="s">
        <v>2939</v>
      </c>
      <c r="E1663" s="1" t="s">
        <v>3586</v>
      </c>
      <c r="F1663" s="1" t="s">
        <v>16</v>
      </c>
      <c r="G1663" s="1" t="s">
        <v>23</v>
      </c>
      <c r="H1663" s="1" t="s">
        <v>18</v>
      </c>
      <c r="I1663" s="1" t="s">
        <v>59</v>
      </c>
      <c r="J1663" s="1">
        <f>IFERROR(__xludf.DUMMYFUNCTION("""COMPUTED_VALUE"""),55.0)</f>
        <v>55</v>
      </c>
      <c r="K1663" s="1">
        <v>23.0</v>
      </c>
      <c r="L1663" s="1">
        <f>IFERROR(__xludf.DUMMYFUNCTION("""COMPUTED_VALUE"""),148.0)</f>
        <v>148</v>
      </c>
    </row>
    <row r="1664">
      <c r="A1664" s="1">
        <v>3374374.0</v>
      </c>
      <c r="B1664" s="1" t="s">
        <v>3587</v>
      </c>
      <c r="C1664" s="1" t="s">
        <v>2930</v>
      </c>
      <c r="D1664" s="1" t="s">
        <v>2948</v>
      </c>
      <c r="E1664" s="1" t="s">
        <v>3588</v>
      </c>
      <c r="F1664" s="1" t="s">
        <v>16</v>
      </c>
      <c r="G1664" s="1" t="s">
        <v>17</v>
      </c>
      <c r="H1664" s="1" t="s">
        <v>18</v>
      </c>
      <c r="I1664" s="1" t="s">
        <v>19</v>
      </c>
      <c r="J1664" s="1">
        <f>IFERROR(__xludf.DUMMYFUNCTION("""COMPUTED_VALUE"""),134.0)</f>
        <v>134</v>
      </c>
      <c r="K1664" s="1">
        <v>32.0</v>
      </c>
      <c r="L1664" s="1">
        <f>IFERROR(__xludf.DUMMYFUNCTION("""COMPUTED_VALUE"""),87.0)</f>
        <v>87</v>
      </c>
    </row>
    <row r="1665">
      <c r="A1665" s="1">
        <v>3316040.0</v>
      </c>
      <c r="B1665" s="1" t="s">
        <v>3589</v>
      </c>
      <c r="C1665" s="1" t="s">
        <v>2930</v>
      </c>
      <c r="D1665" s="1" t="s">
        <v>2951</v>
      </c>
      <c r="E1665" s="1" t="s">
        <v>3590</v>
      </c>
      <c r="F1665" s="1" t="s">
        <v>16</v>
      </c>
      <c r="G1665" s="1" t="s">
        <v>23</v>
      </c>
      <c r="H1665" s="1" t="s">
        <v>18</v>
      </c>
      <c r="I1665" s="1" t="s">
        <v>59</v>
      </c>
      <c r="J1665" s="1">
        <f>IFERROR(__xludf.DUMMYFUNCTION("""COMPUTED_VALUE"""),69.0)</f>
        <v>69</v>
      </c>
      <c r="K1665" s="1">
        <v>21.0</v>
      </c>
      <c r="L1665" s="1">
        <f>IFERROR(__xludf.DUMMYFUNCTION("""COMPUTED_VALUE"""),22.0)</f>
        <v>22</v>
      </c>
    </row>
    <row r="1666">
      <c r="A1666" s="1">
        <v>3305114.0</v>
      </c>
      <c r="B1666" s="1" t="s">
        <v>3591</v>
      </c>
      <c r="C1666" s="1" t="s">
        <v>2930</v>
      </c>
      <c r="D1666" s="1" t="s">
        <v>2958</v>
      </c>
      <c r="E1666" s="1" t="s">
        <v>3592</v>
      </c>
      <c r="F1666" s="1" t="s">
        <v>16</v>
      </c>
      <c r="G1666" s="1" t="s">
        <v>23</v>
      </c>
      <c r="H1666" s="1" t="s">
        <v>18</v>
      </c>
      <c r="I1666" s="1" t="s">
        <v>59</v>
      </c>
      <c r="J1666" s="1">
        <f>IFERROR(__xludf.DUMMYFUNCTION("""COMPUTED_VALUE"""),106.0)</f>
        <v>106</v>
      </c>
      <c r="K1666" s="1">
        <v>33.0</v>
      </c>
      <c r="L1666" s="1">
        <f>IFERROR(__xludf.DUMMYFUNCTION("""COMPUTED_VALUE"""),220.0)</f>
        <v>220</v>
      </c>
    </row>
    <row r="1667">
      <c r="A1667" s="1">
        <v>3314078.0</v>
      </c>
      <c r="B1667" s="1" t="s">
        <v>794</v>
      </c>
      <c r="C1667" s="1" t="s">
        <v>2930</v>
      </c>
      <c r="D1667" s="1" t="s">
        <v>2945</v>
      </c>
      <c r="E1667" s="1" t="s">
        <v>3593</v>
      </c>
      <c r="F1667" s="1" t="s">
        <v>55</v>
      </c>
      <c r="G1667" s="1" t="s">
        <v>17</v>
      </c>
      <c r="H1667" s="1" t="s">
        <v>18</v>
      </c>
      <c r="I1667" s="1" t="s">
        <v>59</v>
      </c>
      <c r="J1667" s="1">
        <f>IFERROR(__xludf.DUMMYFUNCTION("""COMPUTED_VALUE"""),52.0)</f>
        <v>52</v>
      </c>
      <c r="K1667" s="1">
        <v>38.0</v>
      </c>
      <c r="L1667" s="1">
        <f>IFERROR(__xludf.DUMMYFUNCTION("""COMPUTED_VALUE"""),125.0)</f>
        <v>125</v>
      </c>
    </row>
    <row r="1668">
      <c r="A1668" s="1">
        <v>3328093.0</v>
      </c>
      <c r="B1668" s="1" t="s">
        <v>3594</v>
      </c>
      <c r="C1668" s="1" t="s">
        <v>2930</v>
      </c>
      <c r="D1668" s="1" t="s">
        <v>3038</v>
      </c>
      <c r="E1668" s="1" t="s">
        <v>3595</v>
      </c>
      <c r="F1668" s="1" t="s">
        <v>16</v>
      </c>
      <c r="G1668" s="1" t="s">
        <v>17</v>
      </c>
      <c r="H1668" s="1" t="s">
        <v>18</v>
      </c>
      <c r="I1668" s="1" t="s">
        <v>44</v>
      </c>
      <c r="J1668" s="1">
        <f>IFERROR(__xludf.DUMMYFUNCTION("""COMPUTED_VALUE"""),100.0)</f>
        <v>100</v>
      </c>
      <c r="K1668" s="1">
        <v>36.0</v>
      </c>
      <c r="L1668" s="1">
        <f>IFERROR(__xludf.DUMMYFUNCTION("""COMPUTED_VALUE"""),182.0)</f>
        <v>182</v>
      </c>
    </row>
    <row r="1669">
      <c r="A1669" s="1">
        <v>3304021.0</v>
      </c>
      <c r="B1669" s="1" t="s">
        <v>3596</v>
      </c>
      <c r="C1669" s="1" t="s">
        <v>2930</v>
      </c>
      <c r="D1669" s="1" t="s">
        <v>3183</v>
      </c>
      <c r="E1669" s="1" t="s">
        <v>3597</v>
      </c>
      <c r="F1669" s="1" t="s">
        <v>16</v>
      </c>
      <c r="G1669" s="1" t="s">
        <v>17</v>
      </c>
      <c r="H1669" s="1" t="s">
        <v>18</v>
      </c>
      <c r="I1669" s="1" t="s">
        <v>258</v>
      </c>
      <c r="J1669" s="1">
        <f>IFERROR(__xludf.DUMMYFUNCTION("""COMPUTED_VALUE"""),181.0)</f>
        <v>181</v>
      </c>
      <c r="K1669" s="1">
        <v>45.0</v>
      </c>
      <c r="L1669" s="1">
        <f>IFERROR(__xludf.DUMMYFUNCTION("""COMPUTED_VALUE"""),556.0)</f>
        <v>556</v>
      </c>
    </row>
    <row r="1670">
      <c r="A1670" s="1">
        <v>3373016.0</v>
      </c>
      <c r="B1670" s="1" t="s">
        <v>3598</v>
      </c>
      <c r="C1670" s="1" t="s">
        <v>2930</v>
      </c>
      <c r="D1670" s="1" t="s">
        <v>2961</v>
      </c>
      <c r="E1670" s="1" t="s">
        <v>3599</v>
      </c>
      <c r="F1670" s="1" t="s">
        <v>16</v>
      </c>
      <c r="G1670" s="1" t="s">
        <v>27</v>
      </c>
      <c r="H1670" s="1" t="s">
        <v>28</v>
      </c>
      <c r="I1670" s="1" t="s">
        <v>29</v>
      </c>
      <c r="J1670" s="1">
        <f>IFERROR(__xludf.DUMMYFUNCTION("""COMPUTED_VALUE"""),262.0)</f>
        <v>262</v>
      </c>
      <c r="K1670" s="1">
        <v>128.0</v>
      </c>
      <c r="L1670" s="1">
        <f>IFERROR(__xludf.DUMMYFUNCTION("""COMPUTED_VALUE"""),720.0)</f>
        <v>720</v>
      </c>
    </row>
    <row r="1671">
      <c r="A1671" s="1">
        <v>3329108.0</v>
      </c>
      <c r="B1671" s="1" t="s">
        <v>3600</v>
      </c>
      <c r="C1671" s="1" t="s">
        <v>2930</v>
      </c>
      <c r="D1671" s="1" t="s">
        <v>2999</v>
      </c>
      <c r="E1671" s="1" t="s">
        <v>3601</v>
      </c>
      <c r="F1671" s="1" t="s">
        <v>16</v>
      </c>
      <c r="G1671" s="1" t="s">
        <v>17</v>
      </c>
      <c r="H1671" s="1" t="s">
        <v>18</v>
      </c>
      <c r="I1671" s="1" t="s">
        <v>19</v>
      </c>
      <c r="J1671" s="1">
        <f>IFERROR(__xludf.DUMMYFUNCTION("""COMPUTED_VALUE"""),132.0)</f>
        <v>132</v>
      </c>
      <c r="K1671" s="1">
        <v>92.0</v>
      </c>
      <c r="L1671" s="1">
        <f>IFERROR(__xludf.DUMMYFUNCTION("""COMPUTED_VALUE"""),159.0)</f>
        <v>159</v>
      </c>
    </row>
    <row r="1672">
      <c r="A1672" s="1">
        <v>3308021.0</v>
      </c>
      <c r="B1672" s="1" t="s">
        <v>3602</v>
      </c>
      <c r="C1672" s="1" t="s">
        <v>2930</v>
      </c>
      <c r="D1672" s="1" t="s">
        <v>3107</v>
      </c>
      <c r="E1672" s="1" t="s">
        <v>3603</v>
      </c>
      <c r="F1672" s="1" t="s">
        <v>16</v>
      </c>
      <c r="G1672" s="1" t="s">
        <v>17</v>
      </c>
      <c r="H1672" s="1" t="s">
        <v>18</v>
      </c>
      <c r="I1672" s="1" t="s">
        <v>44</v>
      </c>
      <c r="J1672" s="1">
        <f>IFERROR(__xludf.DUMMYFUNCTION("""COMPUTED_VALUE"""),116.0)</f>
        <v>116</v>
      </c>
      <c r="K1672" s="1">
        <v>23.0</v>
      </c>
      <c r="L1672" s="1">
        <f>IFERROR(__xludf.DUMMYFUNCTION("""COMPUTED_VALUE"""),55.0)</f>
        <v>55</v>
      </c>
    </row>
    <row r="1673">
      <c r="A1673" s="1">
        <v>3315072.0</v>
      </c>
      <c r="B1673" s="1" t="s">
        <v>3604</v>
      </c>
      <c r="C1673" s="1" t="s">
        <v>2930</v>
      </c>
      <c r="D1673" s="1" t="s">
        <v>3005</v>
      </c>
      <c r="E1673" s="1" t="s">
        <v>3605</v>
      </c>
      <c r="F1673" s="1" t="s">
        <v>1970</v>
      </c>
      <c r="G1673" s="1" t="s">
        <v>17</v>
      </c>
      <c r="H1673" s="1" t="s">
        <v>18</v>
      </c>
      <c r="I1673" s="1" t="s">
        <v>19</v>
      </c>
      <c r="J1673" s="1">
        <f>IFERROR(__xludf.DUMMYFUNCTION("""COMPUTED_VALUE"""),30.0)</f>
        <v>30</v>
      </c>
      <c r="K1673" s="1">
        <v>17.0</v>
      </c>
      <c r="L1673" s="1">
        <f>IFERROR(__xludf.DUMMYFUNCTION("""COMPUTED_VALUE"""),182.0)</f>
        <v>182</v>
      </c>
    </row>
    <row r="1674">
      <c r="A1674" s="1">
        <v>3320043.0</v>
      </c>
      <c r="B1674" s="1" t="s">
        <v>3606</v>
      </c>
      <c r="C1674" s="1" t="s">
        <v>2930</v>
      </c>
      <c r="D1674" s="1" t="s">
        <v>3104</v>
      </c>
      <c r="E1674" s="1" t="s">
        <v>3607</v>
      </c>
      <c r="F1674" s="1" t="s">
        <v>16</v>
      </c>
      <c r="G1674" s="1" t="s">
        <v>23</v>
      </c>
      <c r="H1674" s="1" t="s">
        <v>18</v>
      </c>
      <c r="I1674" s="1" t="s">
        <v>59</v>
      </c>
      <c r="J1674" s="1">
        <f>IFERROR(__xludf.DUMMYFUNCTION("""COMPUTED_VALUE"""),104.0)</f>
        <v>104</v>
      </c>
      <c r="K1674" s="1">
        <v>30.0</v>
      </c>
      <c r="L1674" s="1">
        <f>IFERROR(__xludf.DUMMYFUNCTION("""COMPUTED_VALUE"""),155.0)</f>
        <v>155</v>
      </c>
    </row>
    <row r="1675">
      <c r="A1675" s="1">
        <v>3314089.0</v>
      </c>
      <c r="B1675" s="1" t="s">
        <v>3608</v>
      </c>
      <c r="C1675" s="1" t="s">
        <v>2930</v>
      </c>
      <c r="D1675" s="1" t="s">
        <v>2945</v>
      </c>
      <c r="E1675" s="1" t="s">
        <v>3609</v>
      </c>
      <c r="F1675" s="1" t="s">
        <v>16</v>
      </c>
      <c r="G1675" s="1" t="s">
        <v>17</v>
      </c>
      <c r="H1675" s="1" t="s">
        <v>28</v>
      </c>
      <c r="I1675" s="1" t="s">
        <v>40</v>
      </c>
      <c r="J1675" s="1">
        <f>IFERROR(__xludf.DUMMYFUNCTION("""COMPUTED_VALUE"""),118.0)</f>
        <v>118</v>
      </c>
      <c r="K1675" s="1">
        <v>38.0</v>
      </c>
      <c r="L1675" s="1">
        <f>IFERROR(__xludf.DUMMYFUNCTION("""COMPUTED_VALUE"""),281.0)</f>
        <v>281</v>
      </c>
    </row>
    <row r="1676">
      <c r="A1676" s="1">
        <v>3309074.0</v>
      </c>
      <c r="B1676" s="1" t="s">
        <v>3610</v>
      </c>
      <c r="C1676" s="1" t="s">
        <v>2930</v>
      </c>
      <c r="D1676" s="1" t="s">
        <v>2973</v>
      </c>
      <c r="E1676" s="1" t="s">
        <v>3611</v>
      </c>
      <c r="F1676" s="1" t="s">
        <v>16</v>
      </c>
      <c r="G1676" s="1" t="s">
        <v>23</v>
      </c>
      <c r="H1676" s="1" t="s">
        <v>18</v>
      </c>
      <c r="I1676" s="1" t="s">
        <v>59</v>
      </c>
      <c r="J1676" s="1">
        <f>IFERROR(__xludf.DUMMYFUNCTION("""COMPUTED_VALUE"""),101.0)</f>
        <v>101</v>
      </c>
      <c r="K1676" s="1">
        <v>41.0</v>
      </c>
      <c r="L1676" s="1">
        <f>IFERROR(__xludf.DUMMYFUNCTION("""COMPUTED_VALUE"""),171.0)</f>
        <v>171</v>
      </c>
    </row>
    <row r="1677">
      <c r="A1677" s="1">
        <v>3374203.0</v>
      </c>
      <c r="B1677" s="1" t="s">
        <v>3612</v>
      </c>
      <c r="C1677" s="1" t="s">
        <v>2930</v>
      </c>
      <c r="D1677" s="1" t="s">
        <v>2948</v>
      </c>
      <c r="E1677" s="1" t="s">
        <v>3613</v>
      </c>
      <c r="F1677" s="1" t="s">
        <v>16</v>
      </c>
      <c r="G1677" s="1" t="s">
        <v>17</v>
      </c>
      <c r="H1677" s="1" t="s">
        <v>18</v>
      </c>
      <c r="I1677" s="1" t="s">
        <v>65</v>
      </c>
      <c r="J1677" s="1">
        <f>IFERROR(__xludf.DUMMYFUNCTION("""COMPUTED_VALUE"""),100.0)</f>
        <v>100</v>
      </c>
      <c r="K1677" s="1">
        <v>26.0</v>
      </c>
      <c r="L1677" s="1">
        <f>IFERROR(__xludf.DUMMYFUNCTION("""COMPUTED_VALUE"""),31.0)</f>
        <v>31</v>
      </c>
    </row>
    <row r="1678">
      <c r="A1678" s="1">
        <v>3329114.0</v>
      </c>
      <c r="B1678" s="1" t="s">
        <v>3614</v>
      </c>
      <c r="C1678" s="1" t="s">
        <v>2930</v>
      </c>
      <c r="D1678" s="1" t="s">
        <v>2999</v>
      </c>
      <c r="E1678" s="1" t="s">
        <v>3615</v>
      </c>
      <c r="F1678" s="1" t="s">
        <v>16</v>
      </c>
      <c r="G1678" s="1" t="s">
        <v>17</v>
      </c>
      <c r="H1678" s="1" t="s">
        <v>18</v>
      </c>
      <c r="I1678" s="1" t="s">
        <v>44</v>
      </c>
      <c r="J1678" s="1">
        <f>IFERROR(__xludf.DUMMYFUNCTION("""COMPUTED_VALUE"""),102.0)</f>
        <v>102</v>
      </c>
      <c r="K1678" s="1">
        <v>15.0</v>
      </c>
      <c r="L1678" s="1">
        <f>IFERROR(__xludf.DUMMYFUNCTION("""COMPUTED_VALUE"""),54.0)</f>
        <v>54</v>
      </c>
    </row>
    <row r="1679">
      <c r="A1679" s="1">
        <v>3312306.0</v>
      </c>
      <c r="B1679" s="1" t="s">
        <v>3616</v>
      </c>
      <c r="C1679" s="1" t="s">
        <v>2930</v>
      </c>
      <c r="D1679" s="1" t="s">
        <v>3118</v>
      </c>
      <c r="E1679" s="1" t="s">
        <v>3617</v>
      </c>
      <c r="F1679" s="1" t="s">
        <v>16</v>
      </c>
      <c r="G1679" s="1" t="s">
        <v>17</v>
      </c>
      <c r="H1679" s="1" t="s">
        <v>18</v>
      </c>
      <c r="I1679" s="1" t="s">
        <v>19</v>
      </c>
      <c r="J1679" s="1">
        <f>IFERROR(__xludf.DUMMYFUNCTION("""COMPUTED_VALUE"""),125.0)</f>
        <v>125</v>
      </c>
      <c r="K1679" s="1">
        <v>35.0</v>
      </c>
      <c r="L1679" s="1">
        <f>IFERROR(__xludf.DUMMYFUNCTION("""COMPUTED_VALUE"""),231.0)</f>
        <v>231</v>
      </c>
    </row>
    <row r="1680">
      <c r="A1680" s="1">
        <v>3376093.0</v>
      </c>
      <c r="B1680" s="1" t="s">
        <v>3618</v>
      </c>
      <c r="C1680" s="1" t="s">
        <v>2930</v>
      </c>
      <c r="D1680" s="1" t="s">
        <v>3208</v>
      </c>
      <c r="E1680" s="1" t="s">
        <v>3619</v>
      </c>
      <c r="F1680" s="1" t="s">
        <v>55</v>
      </c>
      <c r="G1680" s="1" t="s">
        <v>17</v>
      </c>
      <c r="H1680" s="1" t="s">
        <v>18</v>
      </c>
      <c r="I1680" s="1" t="s">
        <v>59</v>
      </c>
      <c r="J1680" s="1">
        <f>IFERROR(__xludf.DUMMYFUNCTION("""COMPUTED_VALUE"""),34.0)</f>
        <v>34</v>
      </c>
      <c r="K1680" s="1">
        <v>18.0</v>
      </c>
      <c r="L1680" s="1">
        <f>IFERROR(__xludf.DUMMYFUNCTION("""COMPUTED_VALUE"""),53.0)</f>
        <v>53</v>
      </c>
    </row>
    <row r="1681">
      <c r="A1681" s="1">
        <v>3309132.0</v>
      </c>
      <c r="B1681" s="1" t="s">
        <v>3620</v>
      </c>
      <c r="C1681" s="1" t="s">
        <v>2930</v>
      </c>
      <c r="D1681" s="1" t="s">
        <v>2973</v>
      </c>
      <c r="E1681" s="1" t="s">
        <v>3621</v>
      </c>
      <c r="F1681" s="1" t="s">
        <v>16</v>
      </c>
      <c r="G1681" s="1" t="s">
        <v>23</v>
      </c>
      <c r="H1681" s="1" t="s">
        <v>18</v>
      </c>
      <c r="I1681" s="1" t="s">
        <v>19</v>
      </c>
      <c r="J1681" s="1">
        <f>IFERROR(__xludf.DUMMYFUNCTION("""COMPUTED_VALUE"""),51.0)</f>
        <v>51</v>
      </c>
      <c r="K1681" s="1">
        <v>24.0</v>
      </c>
      <c r="L1681" s="1">
        <f>IFERROR(__xludf.DUMMYFUNCTION("""COMPUTED_VALUE"""),68.0)</f>
        <v>68</v>
      </c>
    </row>
    <row r="1682">
      <c r="A1682" s="1">
        <v>3301114.0</v>
      </c>
      <c r="B1682" s="1" t="s">
        <v>3622</v>
      </c>
      <c r="C1682" s="1" t="s">
        <v>2930</v>
      </c>
      <c r="D1682" s="1" t="s">
        <v>2996</v>
      </c>
      <c r="E1682" s="1" t="s">
        <v>3623</v>
      </c>
      <c r="F1682" s="1" t="s">
        <v>16</v>
      </c>
      <c r="G1682" s="1" t="s">
        <v>23</v>
      </c>
      <c r="H1682" s="1" t="s">
        <v>18</v>
      </c>
      <c r="I1682" s="1" t="s">
        <v>19</v>
      </c>
      <c r="J1682" s="1">
        <f>IFERROR(__xludf.DUMMYFUNCTION("""COMPUTED_VALUE"""),74.0)</f>
        <v>74</v>
      </c>
      <c r="K1682" s="1">
        <v>24.0</v>
      </c>
      <c r="L1682" s="1">
        <f>IFERROR(__xludf.DUMMYFUNCTION("""COMPUTED_VALUE"""),64.0)</f>
        <v>64</v>
      </c>
    </row>
    <row r="1683">
      <c r="A1683" s="1">
        <v>3306113.0</v>
      </c>
      <c r="B1683" s="1" t="s">
        <v>3624</v>
      </c>
      <c r="C1683" s="1" t="s">
        <v>2930</v>
      </c>
      <c r="D1683" s="1" t="s">
        <v>2942</v>
      </c>
      <c r="E1683" s="1" t="s">
        <v>3625</v>
      </c>
      <c r="F1683" s="1" t="s">
        <v>16</v>
      </c>
      <c r="G1683" s="1" t="s">
        <v>17</v>
      </c>
      <c r="H1683" s="1" t="s">
        <v>28</v>
      </c>
      <c r="I1683" s="1" t="s">
        <v>40</v>
      </c>
      <c r="J1683" s="1">
        <f>IFERROR(__xludf.DUMMYFUNCTION("""COMPUTED_VALUE"""),106.0)</f>
        <v>106</v>
      </c>
      <c r="K1683" s="1">
        <v>41.0</v>
      </c>
      <c r="L1683" s="1">
        <f>IFERROR(__xludf.DUMMYFUNCTION("""COMPUTED_VALUE"""),190.0)</f>
        <v>190</v>
      </c>
    </row>
    <row r="1684">
      <c r="A1684" s="1">
        <v>3315013.0</v>
      </c>
      <c r="B1684" s="1" t="s">
        <v>3626</v>
      </c>
      <c r="C1684" s="1" t="s">
        <v>2930</v>
      </c>
      <c r="D1684" s="1" t="s">
        <v>3005</v>
      </c>
      <c r="E1684" s="1" t="s">
        <v>3627</v>
      </c>
      <c r="F1684" s="1" t="s">
        <v>16</v>
      </c>
      <c r="G1684" s="1" t="s">
        <v>27</v>
      </c>
      <c r="H1684" s="1" t="s">
        <v>28</v>
      </c>
      <c r="I1684" s="1" t="s">
        <v>40</v>
      </c>
      <c r="J1684" s="1">
        <f>IFERROR(__xludf.DUMMYFUNCTION("""COMPUTED_VALUE"""),318.0)</f>
        <v>318</v>
      </c>
      <c r="K1684" s="1">
        <v>112.0</v>
      </c>
      <c r="L1684" s="1">
        <f>IFERROR(__xludf.DUMMYFUNCTION("""COMPUTED_VALUE"""),938.0)</f>
        <v>938</v>
      </c>
    </row>
    <row r="1685">
      <c r="A1685" s="1">
        <v>3302191.0</v>
      </c>
      <c r="B1685" s="1" t="s">
        <v>3628</v>
      </c>
      <c r="C1685" s="1" t="s">
        <v>2930</v>
      </c>
      <c r="D1685" s="1" t="s">
        <v>2937</v>
      </c>
      <c r="E1685" s="1" t="s">
        <v>3629</v>
      </c>
      <c r="F1685" s="1" t="s">
        <v>16</v>
      </c>
      <c r="G1685" s="1" t="s">
        <v>17</v>
      </c>
      <c r="H1685" s="1" t="s">
        <v>28</v>
      </c>
      <c r="I1685" s="1" t="s">
        <v>40</v>
      </c>
      <c r="J1685" s="1">
        <f>IFERROR(__xludf.DUMMYFUNCTION("""COMPUTED_VALUE"""),189.0)</f>
        <v>189</v>
      </c>
      <c r="K1685" s="1">
        <v>76.0</v>
      </c>
      <c r="L1685" s="1">
        <f>IFERROR(__xludf.DUMMYFUNCTION("""COMPUTED_VALUE"""),303.0)</f>
        <v>303</v>
      </c>
    </row>
    <row r="1686">
      <c r="A1686" s="1">
        <v>3372063.0</v>
      </c>
      <c r="B1686" s="1" t="s">
        <v>3630</v>
      </c>
      <c r="C1686" s="1" t="s">
        <v>2930</v>
      </c>
      <c r="D1686" s="1" t="s">
        <v>3014</v>
      </c>
      <c r="E1686" s="1" t="s">
        <v>3631</v>
      </c>
      <c r="F1686" s="1" t="s">
        <v>1970</v>
      </c>
      <c r="G1686" s="1" t="s">
        <v>150</v>
      </c>
      <c r="H1686" s="1" t="s">
        <v>33</v>
      </c>
      <c r="I1686" s="1" t="s">
        <v>411</v>
      </c>
      <c r="J1686" s="1">
        <f>IFERROR(__xludf.DUMMYFUNCTION("""COMPUTED_VALUE"""),170.0)</f>
        <v>170</v>
      </c>
      <c r="K1686" s="1">
        <v>34.0</v>
      </c>
      <c r="L1686" s="1">
        <f>IFERROR(__xludf.DUMMYFUNCTION("""COMPUTED_VALUE"""),654.0)</f>
        <v>654</v>
      </c>
    </row>
    <row r="1687">
      <c r="A1687" s="1">
        <v>3329103.0</v>
      </c>
      <c r="B1687" s="1" t="s">
        <v>3632</v>
      </c>
      <c r="C1687" s="1" t="s">
        <v>2930</v>
      </c>
      <c r="D1687" s="1" t="s">
        <v>2999</v>
      </c>
      <c r="E1687" s="1" t="s">
        <v>3633</v>
      </c>
      <c r="F1687" s="1" t="s">
        <v>16</v>
      </c>
      <c r="G1687" s="1" t="s">
        <v>17</v>
      </c>
      <c r="H1687" s="1" t="s">
        <v>18</v>
      </c>
      <c r="I1687" s="1" t="s">
        <v>44</v>
      </c>
      <c r="J1687" s="1">
        <f>IFERROR(__xludf.DUMMYFUNCTION("""COMPUTED_VALUE"""),172.0)</f>
        <v>172</v>
      </c>
      <c r="K1687" s="1">
        <v>110.0</v>
      </c>
      <c r="L1687" s="1">
        <f>IFERROR(__xludf.DUMMYFUNCTION("""COMPUTED_VALUE"""),161.0)</f>
        <v>161</v>
      </c>
    </row>
    <row r="1688">
      <c r="A1688" s="1">
        <v>3374375.0</v>
      </c>
      <c r="B1688" s="1" t="s">
        <v>3634</v>
      </c>
      <c r="C1688" s="1" t="s">
        <v>2930</v>
      </c>
      <c r="D1688" s="1" t="s">
        <v>2948</v>
      </c>
      <c r="E1688" s="1" t="s">
        <v>3635</v>
      </c>
      <c r="F1688" s="1" t="s">
        <v>272</v>
      </c>
      <c r="G1688" s="1" t="s">
        <v>17</v>
      </c>
      <c r="H1688" s="1" t="s">
        <v>18</v>
      </c>
      <c r="I1688" s="1" t="s">
        <v>44</v>
      </c>
      <c r="J1688" s="1">
        <f>IFERROR(__xludf.DUMMYFUNCTION("""COMPUTED_VALUE"""),19.0)</f>
        <v>19</v>
      </c>
      <c r="K1688" s="1">
        <v>29.0</v>
      </c>
      <c r="L1688" s="1">
        <f>IFERROR(__xludf.DUMMYFUNCTION("""COMPUTED_VALUE"""),30.0)</f>
        <v>30</v>
      </c>
    </row>
    <row r="1689">
      <c r="A1689" s="1">
        <v>3319032.0</v>
      </c>
      <c r="B1689" s="1" t="s">
        <v>3636</v>
      </c>
      <c r="C1689" s="1" t="s">
        <v>2930</v>
      </c>
      <c r="D1689" s="1" t="s">
        <v>2934</v>
      </c>
      <c r="E1689" s="1" t="s">
        <v>3637</v>
      </c>
      <c r="F1689" s="1" t="s">
        <v>16</v>
      </c>
      <c r="G1689" s="1" t="s">
        <v>27</v>
      </c>
      <c r="H1689" s="1" t="s">
        <v>18</v>
      </c>
      <c r="I1689" s="1" t="s">
        <v>59</v>
      </c>
      <c r="J1689" s="1">
        <f>IFERROR(__xludf.DUMMYFUNCTION("""COMPUTED_VALUE"""),259.0)</f>
        <v>259</v>
      </c>
      <c r="K1689" s="1">
        <v>81.0</v>
      </c>
      <c r="L1689" s="1">
        <f>IFERROR(__xludf.DUMMYFUNCTION("""COMPUTED_VALUE"""),1384.0)</f>
        <v>1384</v>
      </c>
    </row>
    <row r="1690">
      <c r="A1690" s="1">
        <v>3302227.0</v>
      </c>
      <c r="B1690" s="1" t="s">
        <v>3638</v>
      </c>
      <c r="C1690" s="1" t="s">
        <v>2930</v>
      </c>
      <c r="D1690" s="1" t="s">
        <v>2937</v>
      </c>
      <c r="E1690" s="1" t="s">
        <v>3639</v>
      </c>
      <c r="F1690" s="1" t="s">
        <v>16</v>
      </c>
      <c r="G1690" s="1" t="s">
        <v>23</v>
      </c>
      <c r="H1690" s="1" t="s">
        <v>18</v>
      </c>
      <c r="I1690" s="1" t="s">
        <v>19</v>
      </c>
      <c r="J1690" s="1">
        <f>IFERROR(__xludf.DUMMYFUNCTION("""COMPUTED_VALUE"""),70.0)</f>
        <v>70</v>
      </c>
      <c r="K1690" s="1">
        <v>31.0</v>
      </c>
      <c r="L1690" s="1">
        <f>IFERROR(__xludf.DUMMYFUNCTION("""COMPUTED_VALUE"""),90.0)</f>
        <v>90</v>
      </c>
    </row>
    <row r="1691">
      <c r="A1691" s="1">
        <v>3303101.0</v>
      </c>
      <c r="B1691" s="1" t="s">
        <v>3640</v>
      </c>
      <c r="C1691" s="1" t="s">
        <v>2930</v>
      </c>
      <c r="D1691" s="1" t="s">
        <v>3099</v>
      </c>
      <c r="E1691" s="1" t="s">
        <v>3641</v>
      </c>
      <c r="F1691" s="1" t="s">
        <v>16</v>
      </c>
      <c r="G1691" s="1" t="s">
        <v>17</v>
      </c>
      <c r="H1691" s="1" t="s">
        <v>18</v>
      </c>
      <c r="I1691" s="1" t="s">
        <v>19</v>
      </c>
      <c r="J1691" s="1">
        <f>IFERROR(__xludf.DUMMYFUNCTION("""COMPUTED_VALUE"""),190.0)</f>
        <v>190</v>
      </c>
      <c r="K1691" s="1">
        <v>32.0</v>
      </c>
      <c r="L1691" s="1">
        <f>IFERROR(__xludf.DUMMYFUNCTION("""COMPUTED_VALUE"""),113.0)</f>
        <v>113</v>
      </c>
    </row>
    <row r="1692">
      <c r="A1692" s="1">
        <v>3372241.0</v>
      </c>
      <c r="B1692" s="1" t="s">
        <v>3642</v>
      </c>
      <c r="C1692" s="1" t="s">
        <v>2930</v>
      </c>
      <c r="D1692" s="1" t="s">
        <v>2967</v>
      </c>
      <c r="E1692" s="1" t="s">
        <v>3643</v>
      </c>
      <c r="F1692" s="1" t="s">
        <v>16</v>
      </c>
      <c r="G1692" s="1" t="s">
        <v>17</v>
      </c>
      <c r="H1692" s="1" t="s">
        <v>18</v>
      </c>
      <c r="I1692" s="1" t="s">
        <v>19</v>
      </c>
      <c r="J1692" s="1">
        <f>IFERROR(__xludf.DUMMYFUNCTION("""COMPUTED_VALUE"""),120.0)</f>
        <v>120</v>
      </c>
      <c r="K1692" s="1">
        <v>58.0</v>
      </c>
      <c r="L1692" s="1">
        <f>IFERROR(__xludf.DUMMYFUNCTION("""COMPUTED_VALUE"""),296.0)</f>
        <v>296</v>
      </c>
    </row>
    <row r="1693">
      <c r="A1693" s="1">
        <v>3306104.0</v>
      </c>
      <c r="B1693" s="1" t="s">
        <v>3644</v>
      </c>
      <c r="C1693" s="1" t="s">
        <v>2930</v>
      </c>
      <c r="D1693" s="1" t="s">
        <v>2942</v>
      </c>
      <c r="E1693" s="1" t="s">
        <v>3645</v>
      </c>
      <c r="F1693" s="1" t="s">
        <v>16</v>
      </c>
      <c r="G1693" s="1" t="s">
        <v>17</v>
      </c>
      <c r="H1693" s="1" t="s">
        <v>18</v>
      </c>
      <c r="I1693" s="1" t="s">
        <v>59</v>
      </c>
      <c r="J1693" s="1">
        <f>IFERROR(__xludf.DUMMYFUNCTION("""COMPUTED_VALUE"""),121.0)</f>
        <v>121</v>
      </c>
      <c r="K1693" s="1">
        <v>37.0</v>
      </c>
      <c r="L1693" s="1">
        <f>IFERROR(__xludf.DUMMYFUNCTION("""COMPUTED_VALUE"""),263.0)</f>
        <v>263</v>
      </c>
    </row>
    <row r="1694">
      <c r="A1694" s="1">
        <v>3374065.0</v>
      </c>
      <c r="B1694" s="1" t="s">
        <v>3646</v>
      </c>
      <c r="C1694" s="1" t="s">
        <v>2930</v>
      </c>
      <c r="D1694" s="1" t="s">
        <v>2948</v>
      </c>
      <c r="E1694" s="1" t="s">
        <v>3647</v>
      </c>
      <c r="F1694" s="1" t="s">
        <v>16</v>
      </c>
      <c r="G1694" s="1" t="s">
        <v>17</v>
      </c>
      <c r="H1694" s="1" t="s">
        <v>18</v>
      </c>
      <c r="I1694" s="1" t="s">
        <v>74</v>
      </c>
      <c r="J1694" s="1">
        <f>IFERROR(__xludf.DUMMYFUNCTION("""COMPUTED_VALUE"""),154.0)</f>
        <v>154</v>
      </c>
      <c r="K1694" s="1">
        <v>54.0</v>
      </c>
      <c r="L1694" s="1">
        <f>IFERROR(__xludf.DUMMYFUNCTION("""COMPUTED_VALUE"""),58.0)</f>
        <v>58</v>
      </c>
    </row>
    <row r="1695">
      <c r="A1695" s="1">
        <v>3375075.0</v>
      </c>
      <c r="B1695" s="1" t="s">
        <v>3648</v>
      </c>
      <c r="C1695" s="1" t="s">
        <v>2930</v>
      </c>
      <c r="D1695" s="1" t="s">
        <v>2986</v>
      </c>
      <c r="E1695" s="1" t="s">
        <v>3649</v>
      </c>
      <c r="F1695" s="1" t="s">
        <v>16</v>
      </c>
      <c r="G1695" s="1" t="s">
        <v>23</v>
      </c>
      <c r="H1695" s="1" t="s">
        <v>18</v>
      </c>
      <c r="I1695" s="1" t="s">
        <v>44</v>
      </c>
      <c r="J1695" s="1">
        <f>IFERROR(__xludf.DUMMYFUNCTION("""COMPUTED_VALUE"""),66.0)</f>
        <v>66</v>
      </c>
      <c r="K1695" s="1">
        <v>59.0</v>
      </c>
      <c r="L1695" s="1">
        <f>IFERROR(__xludf.DUMMYFUNCTION("""COMPUTED_VALUE"""),142.0)</f>
        <v>142</v>
      </c>
    </row>
    <row r="1696">
      <c r="A1696" s="1">
        <v>3323050.0</v>
      </c>
      <c r="B1696" s="1" t="s">
        <v>3650</v>
      </c>
      <c r="C1696" s="1" t="s">
        <v>2930</v>
      </c>
      <c r="D1696" s="1" t="s">
        <v>3146</v>
      </c>
      <c r="E1696" s="1" t="s">
        <v>3651</v>
      </c>
      <c r="F1696" s="1" t="s">
        <v>16</v>
      </c>
      <c r="G1696" s="1" t="s">
        <v>17</v>
      </c>
      <c r="H1696" s="1" t="s">
        <v>18</v>
      </c>
      <c r="I1696" s="1" t="s">
        <v>684</v>
      </c>
      <c r="J1696" s="1">
        <f>IFERROR(__xludf.DUMMYFUNCTION("""COMPUTED_VALUE"""),155.0)</f>
        <v>155</v>
      </c>
      <c r="K1696" s="1">
        <v>86.0</v>
      </c>
      <c r="L1696" s="1">
        <f>IFERROR(__xludf.DUMMYFUNCTION("""COMPUTED_VALUE"""),297.0)</f>
        <v>297</v>
      </c>
    </row>
    <row r="1697">
      <c r="A1697" s="1">
        <v>3313053.0</v>
      </c>
      <c r="B1697" s="1" t="s">
        <v>3652</v>
      </c>
      <c r="C1697" s="1" t="s">
        <v>2930</v>
      </c>
      <c r="D1697" s="1" t="s">
        <v>2931</v>
      </c>
      <c r="E1697" s="1" t="s">
        <v>3653</v>
      </c>
      <c r="F1697" s="1" t="s">
        <v>16</v>
      </c>
      <c r="G1697" s="1" t="s">
        <v>23</v>
      </c>
      <c r="H1697" s="1" t="s">
        <v>18</v>
      </c>
      <c r="I1697" s="1" t="s">
        <v>163</v>
      </c>
      <c r="J1697" s="1">
        <f>IFERROR(__xludf.DUMMYFUNCTION("""COMPUTED_VALUE"""),70.0)</f>
        <v>70</v>
      </c>
      <c r="K1697" s="1">
        <v>26.0</v>
      </c>
      <c r="L1697" s="1">
        <f>IFERROR(__xludf.DUMMYFUNCTION("""COMPUTED_VALUE"""),190.0)</f>
        <v>190</v>
      </c>
    </row>
    <row r="1698">
      <c r="A1698" s="1">
        <v>3314097.0</v>
      </c>
      <c r="B1698" s="1" t="s">
        <v>3654</v>
      </c>
      <c r="C1698" s="1" t="s">
        <v>2930</v>
      </c>
      <c r="D1698" s="1" t="s">
        <v>2945</v>
      </c>
      <c r="E1698" s="1" t="s">
        <v>3655</v>
      </c>
      <c r="F1698" s="1" t="s">
        <v>16</v>
      </c>
      <c r="G1698" s="1" t="s">
        <v>23</v>
      </c>
      <c r="H1698" s="1" t="s">
        <v>18</v>
      </c>
      <c r="I1698" s="1" t="s">
        <v>44</v>
      </c>
      <c r="J1698" s="1">
        <f>IFERROR(__xludf.DUMMYFUNCTION("""COMPUTED_VALUE"""),79.0)</f>
        <v>79</v>
      </c>
      <c r="K1698" s="1">
        <v>34.0</v>
      </c>
      <c r="L1698" s="1">
        <f>IFERROR(__xludf.DUMMYFUNCTION("""COMPUTED_VALUE"""),72.0)</f>
        <v>72</v>
      </c>
    </row>
    <row r="1699">
      <c r="A1699" s="1">
        <v>3310405.0</v>
      </c>
      <c r="B1699" s="1" t="s">
        <v>3656</v>
      </c>
      <c r="C1699" s="1" t="s">
        <v>2930</v>
      </c>
      <c r="D1699" s="1" t="s">
        <v>2989</v>
      </c>
      <c r="E1699" s="1" t="s">
        <v>3657</v>
      </c>
      <c r="F1699" s="1" t="s">
        <v>16</v>
      </c>
      <c r="G1699" s="1" t="s">
        <v>17</v>
      </c>
      <c r="H1699" s="1" t="s">
        <v>18</v>
      </c>
      <c r="I1699" s="1" t="s">
        <v>59</v>
      </c>
      <c r="J1699" s="1">
        <f>IFERROR(__xludf.DUMMYFUNCTION("""COMPUTED_VALUE"""),133.0)</f>
        <v>133</v>
      </c>
      <c r="K1699" s="1">
        <v>29.0</v>
      </c>
      <c r="L1699" s="1">
        <f>IFERROR(__xludf.DUMMYFUNCTION("""COMPUTED_VALUE"""),222.0)</f>
        <v>222</v>
      </c>
    </row>
    <row r="1700">
      <c r="A1700" s="1">
        <v>3375022.0</v>
      </c>
      <c r="B1700" s="1" t="s">
        <v>3658</v>
      </c>
      <c r="C1700" s="1" t="s">
        <v>2930</v>
      </c>
      <c r="D1700" s="1" t="s">
        <v>2986</v>
      </c>
      <c r="E1700" s="1" t="s">
        <v>3659</v>
      </c>
      <c r="F1700" s="1" t="s">
        <v>16</v>
      </c>
      <c r="G1700" s="1" t="s">
        <v>17</v>
      </c>
      <c r="H1700" s="1" t="s">
        <v>18</v>
      </c>
      <c r="I1700" s="1" t="s">
        <v>249</v>
      </c>
      <c r="J1700" s="1">
        <f>IFERROR(__xludf.DUMMYFUNCTION("""COMPUTED_VALUE"""),154.0)</f>
        <v>154</v>
      </c>
      <c r="K1700" s="1">
        <v>31.0</v>
      </c>
      <c r="L1700" s="1">
        <f>IFERROR(__xludf.DUMMYFUNCTION("""COMPUTED_VALUE"""),493.0)</f>
        <v>493</v>
      </c>
    </row>
    <row r="1701">
      <c r="A1701" s="1">
        <v>3329045.0</v>
      </c>
      <c r="B1701" s="1" t="s">
        <v>3660</v>
      </c>
      <c r="C1701" s="1" t="s">
        <v>2930</v>
      </c>
      <c r="D1701" s="1" t="s">
        <v>2999</v>
      </c>
      <c r="E1701" s="1" t="s">
        <v>3661</v>
      </c>
      <c r="F1701" s="1" t="s">
        <v>16</v>
      </c>
      <c r="G1701" s="1" t="s">
        <v>23</v>
      </c>
      <c r="H1701" s="1" t="s">
        <v>18</v>
      </c>
      <c r="I1701" s="1" t="s">
        <v>19</v>
      </c>
      <c r="J1701" s="1">
        <f>IFERROR(__xludf.DUMMYFUNCTION("""COMPUTED_VALUE"""),50.0)</f>
        <v>50</v>
      </c>
      <c r="K1701" s="1">
        <v>28.0</v>
      </c>
      <c r="L1701" s="1">
        <f>IFERROR(__xludf.DUMMYFUNCTION("""COMPUTED_VALUE"""),63.0)</f>
        <v>63</v>
      </c>
    </row>
    <row r="1702">
      <c r="A1702" s="1">
        <v>3302228.0</v>
      </c>
      <c r="B1702" s="1" t="s">
        <v>3662</v>
      </c>
      <c r="C1702" s="1" t="s">
        <v>2930</v>
      </c>
      <c r="D1702" s="1" t="s">
        <v>2937</v>
      </c>
      <c r="E1702" s="1" t="s">
        <v>3663</v>
      </c>
      <c r="F1702" s="1" t="s">
        <v>32</v>
      </c>
      <c r="G1702" s="1" t="s">
        <v>27</v>
      </c>
      <c r="H1702" s="1" t="s">
        <v>18</v>
      </c>
      <c r="I1702" s="1" t="s">
        <v>34</v>
      </c>
      <c r="J1702" s="1">
        <f>IFERROR(__xludf.DUMMYFUNCTION("""COMPUTED_VALUE"""),12.0)</f>
        <v>12</v>
      </c>
      <c r="K1702" s="1">
        <v>18.0</v>
      </c>
      <c r="L1702" s="1">
        <f>IFERROR(__xludf.DUMMYFUNCTION("""COMPUTED_VALUE"""),120.0)</f>
        <v>120</v>
      </c>
    </row>
    <row r="1703">
      <c r="A1703" s="1">
        <v>3372201.0</v>
      </c>
      <c r="B1703" s="1" t="s">
        <v>3664</v>
      </c>
      <c r="C1703" s="1" t="s">
        <v>2930</v>
      </c>
      <c r="D1703" s="1" t="s">
        <v>2967</v>
      </c>
      <c r="E1703" s="1" t="s">
        <v>3665</v>
      </c>
      <c r="F1703" s="1" t="s">
        <v>16</v>
      </c>
      <c r="G1703" s="1" t="s">
        <v>17</v>
      </c>
      <c r="H1703" s="1" t="s">
        <v>33</v>
      </c>
      <c r="I1703" s="1" t="s">
        <v>411</v>
      </c>
      <c r="J1703" s="1">
        <f>IFERROR(__xludf.DUMMYFUNCTION("""COMPUTED_VALUE"""),106.0)</f>
        <v>106</v>
      </c>
      <c r="K1703" s="1">
        <v>45.0</v>
      </c>
      <c r="L1703" s="1">
        <f>IFERROR(__xludf.DUMMYFUNCTION("""COMPUTED_VALUE"""),43.0)</f>
        <v>43</v>
      </c>
    </row>
    <row r="1704">
      <c r="A1704" s="1">
        <v>3401026.0</v>
      </c>
      <c r="B1704" s="1" t="s">
        <v>3666</v>
      </c>
      <c r="C1704" s="1" t="s">
        <v>3667</v>
      </c>
      <c r="D1704" s="1" t="s">
        <v>3668</v>
      </c>
      <c r="E1704" s="1" t="s">
        <v>3669</v>
      </c>
      <c r="F1704" s="1" t="s">
        <v>16</v>
      </c>
      <c r="G1704" s="1" t="s">
        <v>23</v>
      </c>
      <c r="H1704" s="1" t="s">
        <v>18</v>
      </c>
      <c r="I1704" s="1" t="s">
        <v>59</v>
      </c>
      <c r="J1704" s="1">
        <f>IFERROR(__xludf.DUMMYFUNCTION("""COMPUTED_VALUE"""),50.0)</f>
        <v>50</v>
      </c>
      <c r="K1704" s="1">
        <v>19.0</v>
      </c>
      <c r="L1704" s="1">
        <f>IFERROR(__xludf.DUMMYFUNCTION("""COMPUTED_VALUE"""),91.0)</f>
        <v>91</v>
      </c>
    </row>
    <row r="1705">
      <c r="A1705" s="1">
        <v>3401051.0</v>
      </c>
      <c r="B1705" s="1" t="s">
        <v>3670</v>
      </c>
      <c r="C1705" s="1" t="s">
        <v>3667</v>
      </c>
      <c r="D1705" s="1" t="s">
        <v>3668</v>
      </c>
      <c r="E1705" s="1" t="s">
        <v>3671</v>
      </c>
      <c r="F1705" s="1" t="s">
        <v>16</v>
      </c>
      <c r="G1705" s="1" t="s">
        <v>23</v>
      </c>
      <c r="H1705" s="1" t="s">
        <v>18</v>
      </c>
      <c r="I1705" s="1" t="s">
        <v>19</v>
      </c>
      <c r="J1705" s="1">
        <f>IFERROR(__xludf.DUMMYFUNCTION("""COMPUTED_VALUE"""),50.0)</f>
        <v>50</v>
      </c>
      <c r="K1705" s="1">
        <v>27.0</v>
      </c>
      <c r="L1705" s="1">
        <f>IFERROR(__xludf.DUMMYFUNCTION("""COMPUTED_VALUE"""),121.0)</f>
        <v>121</v>
      </c>
    </row>
    <row r="1706">
      <c r="A1706" s="1">
        <v>3404189.0</v>
      </c>
      <c r="B1706" s="1" t="s">
        <v>3672</v>
      </c>
      <c r="C1706" s="1" t="s">
        <v>3667</v>
      </c>
      <c r="D1706" s="1" t="s">
        <v>3673</v>
      </c>
      <c r="E1706" s="1" t="s">
        <v>3674</v>
      </c>
      <c r="F1706" s="1" t="s">
        <v>16</v>
      </c>
      <c r="G1706" s="1" t="s">
        <v>27</v>
      </c>
      <c r="H1706" s="1" t="s">
        <v>18</v>
      </c>
      <c r="I1706" s="1" t="s">
        <v>34</v>
      </c>
      <c r="J1706" s="1">
        <f>IFERROR(__xludf.DUMMYFUNCTION("""COMPUTED_VALUE"""),380.0)</f>
        <v>380</v>
      </c>
      <c r="K1706" s="1">
        <v>52.0</v>
      </c>
      <c r="L1706" s="1">
        <f>IFERROR(__xludf.DUMMYFUNCTION("""COMPUTED_VALUE"""),483.0)</f>
        <v>483</v>
      </c>
    </row>
    <row r="1707">
      <c r="A1707" s="1">
        <v>3404157.0</v>
      </c>
      <c r="B1707" s="1" t="s">
        <v>3675</v>
      </c>
      <c r="C1707" s="1" t="s">
        <v>3667</v>
      </c>
      <c r="D1707" s="1" t="s">
        <v>3673</v>
      </c>
      <c r="E1707" s="1" t="s">
        <v>3676</v>
      </c>
      <c r="F1707" s="1" t="s">
        <v>16</v>
      </c>
      <c r="G1707" s="1" t="s">
        <v>17</v>
      </c>
      <c r="H1707" s="1" t="s">
        <v>18</v>
      </c>
      <c r="I1707" s="1" t="s">
        <v>59</v>
      </c>
      <c r="J1707" s="1">
        <f>IFERROR(__xludf.DUMMYFUNCTION("""COMPUTED_VALUE"""),100.0)</f>
        <v>100</v>
      </c>
      <c r="K1707" s="1">
        <v>26.0</v>
      </c>
      <c r="L1707" s="1">
        <f>IFERROR(__xludf.DUMMYFUNCTION("""COMPUTED_VALUE"""),85.0)</f>
        <v>85</v>
      </c>
    </row>
    <row r="1708">
      <c r="A1708" s="1">
        <v>3404181.0</v>
      </c>
      <c r="B1708" s="1" t="s">
        <v>3677</v>
      </c>
      <c r="C1708" s="1" t="s">
        <v>3667</v>
      </c>
      <c r="D1708" s="1" t="s">
        <v>3673</v>
      </c>
      <c r="E1708" s="1" t="s">
        <v>3678</v>
      </c>
      <c r="F1708" s="1" t="s">
        <v>16</v>
      </c>
      <c r="G1708" s="1" t="s">
        <v>23</v>
      </c>
      <c r="H1708" s="1" t="s">
        <v>18</v>
      </c>
      <c r="I1708" s="1" t="s">
        <v>684</v>
      </c>
      <c r="J1708" s="1">
        <f>IFERROR(__xludf.DUMMYFUNCTION("""COMPUTED_VALUE"""),59.0)</f>
        <v>59</v>
      </c>
      <c r="K1708" s="1">
        <v>30.0</v>
      </c>
      <c r="L1708" s="1">
        <f>IFERROR(__xludf.DUMMYFUNCTION("""COMPUTED_VALUE"""),117.0)</f>
        <v>117</v>
      </c>
    </row>
    <row r="1709">
      <c r="A1709" s="1">
        <v>3403022.0</v>
      </c>
      <c r="B1709" s="1" t="s">
        <v>3679</v>
      </c>
      <c r="C1709" s="1" t="s">
        <v>3667</v>
      </c>
      <c r="D1709" s="1" t="s">
        <v>3680</v>
      </c>
      <c r="E1709" s="1" t="s">
        <v>3681</v>
      </c>
      <c r="F1709" s="1" t="s">
        <v>16</v>
      </c>
      <c r="G1709" s="1" t="s">
        <v>23</v>
      </c>
      <c r="H1709" s="1" t="s">
        <v>18</v>
      </c>
      <c r="I1709" s="1" t="s">
        <v>163</v>
      </c>
      <c r="J1709" s="1">
        <f>IFERROR(__xludf.DUMMYFUNCTION("""COMPUTED_VALUE"""),57.0)</f>
        <v>57</v>
      </c>
      <c r="K1709" s="1">
        <v>17.0</v>
      </c>
      <c r="L1709" s="1">
        <f>IFERROR(__xludf.DUMMYFUNCTION("""COMPUTED_VALUE"""),57.0)</f>
        <v>57</v>
      </c>
    </row>
    <row r="1710">
      <c r="A1710" s="1">
        <v>3403025.0</v>
      </c>
      <c r="B1710" s="1" t="s">
        <v>3682</v>
      </c>
      <c r="C1710" s="1" t="s">
        <v>3667</v>
      </c>
      <c r="D1710" s="1" t="s">
        <v>3680</v>
      </c>
      <c r="E1710" s="1" t="s">
        <v>3683</v>
      </c>
      <c r="F1710" s="1" t="s">
        <v>16</v>
      </c>
      <c r="G1710" s="1" t="s">
        <v>23</v>
      </c>
      <c r="H1710" s="1" t="s">
        <v>18</v>
      </c>
      <c r="I1710" s="1" t="s">
        <v>258</v>
      </c>
      <c r="J1710" s="1">
        <f>IFERROR(__xludf.DUMMYFUNCTION("""COMPUTED_VALUE"""),52.0)</f>
        <v>52</v>
      </c>
      <c r="K1710" s="1">
        <v>17.0</v>
      </c>
      <c r="L1710" s="1">
        <f>IFERROR(__xludf.DUMMYFUNCTION("""COMPUTED_VALUE"""),9.0)</f>
        <v>9</v>
      </c>
    </row>
    <row r="1711">
      <c r="A1711" s="1">
        <v>3404179.0</v>
      </c>
      <c r="B1711" s="1" t="s">
        <v>3684</v>
      </c>
      <c r="C1711" s="1" t="s">
        <v>3667</v>
      </c>
      <c r="D1711" s="1" t="s">
        <v>3673</v>
      </c>
      <c r="E1711" s="1" t="s">
        <v>3685</v>
      </c>
      <c r="F1711" s="1" t="s">
        <v>16</v>
      </c>
      <c r="G1711" s="1" t="s">
        <v>23</v>
      </c>
      <c r="H1711" s="1" t="s">
        <v>18</v>
      </c>
      <c r="I1711" s="1" t="s">
        <v>59</v>
      </c>
      <c r="J1711" s="1">
        <f>IFERROR(__xludf.DUMMYFUNCTION("""COMPUTED_VALUE"""),50.0)</f>
        <v>50</v>
      </c>
      <c r="K1711" s="1">
        <v>29.0</v>
      </c>
      <c r="L1711" s="1">
        <f>IFERROR(__xludf.DUMMYFUNCTION("""COMPUTED_VALUE"""),78.0)</f>
        <v>78</v>
      </c>
    </row>
    <row r="1712">
      <c r="A1712" s="1">
        <v>3404011.0</v>
      </c>
      <c r="B1712" s="1" t="s">
        <v>3686</v>
      </c>
      <c r="C1712" s="1" t="s">
        <v>3667</v>
      </c>
      <c r="D1712" s="1" t="s">
        <v>3673</v>
      </c>
      <c r="E1712" s="1" t="s">
        <v>3687</v>
      </c>
      <c r="F1712" s="1" t="s">
        <v>16</v>
      </c>
      <c r="G1712" s="1" t="s">
        <v>27</v>
      </c>
      <c r="H1712" s="1" t="s">
        <v>28</v>
      </c>
      <c r="I1712" s="1" t="s">
        <v>40</v>
      </c>
      <c r="J1712" s="1">
        <f>IFERROR(__xludf.DUMMYFUNCTION("""COMPUTED_VALUE"""),193.0)</f>
        <v>193</v>
      </c>
      <c r="K1712" s="1">
        <v>100.0</v>
      </c>
      <c r="L1712" s="1">
        <f>IFERROR(__xludf.DUMMYFUNCTION("""COMPUTED_VALUE"""),896.0)</f>
        <v>896</v>
      </c>
    </row>
    <row r="1713">
      <c r="A1713" s="1">
        <v>3404193.0</v>
      </c>
      <c r="B1713" s="1" t="s">
        <v>3688</v>
      </c>
      <c r="C1713" s="1" t="s">
        <v>3667</v>
      </c>
      <c r="D1713" s="1" t="s">
        <v>3673</v>
      </c>
      <c r="E1713" s="1" t="s">
        <v>3689</v>
      </c>
      <c r="F1713" s="1" t="s">
        <v>16</v>
      </c>
      <c r="G1713" s="1" t="s">
        <v>17</v>
      </c>
      <c r="H1713" s="1" t="s">
        <v>18</v>
      </c>
      <c r="I1713" s="1" t="s">
        <v>44</v>
      </c>
      <c r="J1713" s="1">
        <f>IFERROR(__xludf.DUMMYFUNCTION("""COMPUTED_VALUE"""),100.0)</f>
        <v>100</v>
      </c>
      <c r="K1713" s="1">
        <v>85.0</v>
      </c>
      <c r="L1713" s="1">
        <f>IFERROR(__xludf.DUMMYFUNCTION("""COMPUTED_VALUE"""),212.0)</f>
        <v>212</v>
      </c>
    </row>
    <row r="1714">
      <c r="A1714" s="1">
        <v>3471096.0</v>
      </c>
      <c r="B1714" s="1" t="s">
        <v>3690</v>
      </c>
      <c r="C1714" s="1" t="s">
        <v>3667</v>
      </c>
      <c r="D1714" s="1" t="s">
        <v>3691</v>
      </c>
      <c r="E1714" s="1" t="s">
        <v>3692</v>
      </c>
      <c r="F1714" s="1" t="s">
        <v>272</v>
      </c>
      <c r="G1714" s="1" t="s">
        <v>27</v>
      </c>
      <c r="H1714" s="1" t="s">
        <v>18</v>
      </c>
      <c r="I1714" s="1" t="s">
        <v>59</v>
      </c>
      <c r="J1714" s="1">
        <f>IFERROR(__xludf.DUMMYFUNCTION("""COMPUTED_VALUE"""),42.0)</f>
        <v>42</v>
      </c>
      <c r="K1714" s="1">
        <v>24.0</v>
      </c>
      <c r="L1714" s="1">
        <f>IFERROR(__xludf.DUMMYFUNCTION("""COMPUTED_VALUE"""),262.0)</f>
        <v>262</v>
      </c>
    </row>
    <row r="1715">
      <c r="A1715" s="1">
        <v>3404092.0</v>
      </c>
      <c r="B1715" s="1" t="s">
        <v>3693</v>
      </c>
      <c r="C1715" s="1" t="s">
        <v>3667</v>
      </c>
      <c r="D1715" s="1" t="s">
        <v>3673</v>
      </c>
      <c r="E1715" s="1" t="s">
        <v>3694</v>
      </c>
      <c r="F1715" s="1" t="s">
        <v>16</v>
      </c>
      <c r="G1715" s="1" t="s">
        <v>23</v>
      </c>
      <c r="H1715" s="1" t="s">
        <v>18</v>
      </c>
      <c r="I1715" s="1" t="s">
        <v>19</v>
      </c>
      <c r="J1715" s="1">
        <f>IFERROR(__xludf.DUMMYFUNCTION("""COMPUTED_VALUE"""),51.0)</f>
        <v>51</v>
      </c>
      <c r="K1715" s="1">
        <v>36.0</v>
      </c>
      <c r="L1715" s="1">
        <f>IFERROR(__xludf.DUMMYFUNCTION("""COMPUTED_VALUE"""),64.0)</f>
        <v>64</v>
      </c>
    </row>
    <row r="1716">
      <c r="A1716" s="1">
        <v>3401053.0</v>
      </c>
      <c r="B1716" s="1" t="s">
        <v>3695</v>
      </c>
      <c r="C1716" s="1" t="s">
        <v>3667</v>
      </c>
      <c r="D1716" s="1" t="s">
        <v>3668</v>
      </c>
      <c r="E1716" s="1" t="s">
        <v>3696</v>
      </c>
      <c r="F1716" s="1" t="s">
        <v>16</v>
      </c>
      <c r="G1716" s="1" t="s">
        <v>23</v>
      </c>
      <c r="H1716" s="1" t="s">
        <v>18</v>
      </c>
      <c r="I1716" s="1" t="s">
        <v>19</v>
      </c>
      <c r="J1716" s="1">
        <f>IFERROR(__xludf.DUMMYFUNCTION("""COMPUTED_VALUE"""),50.0)</f>
        <v>50</v>
      </c>
      <c r="K1716" s="1">
        <v>34.0</v>
      </c>
      <c r="L1716" s="1">
        <f>IFERROR(__xludf.DUMMYFUNCTION("""COMPUTED_VALUE"""),51.0)</f>
        <v>51</v>
      </c>
    </row>
    <row r="1717">
      <c r="A1717" s="1">
        <v>3471379.0</v>
      </c>
      <c r="B1717" s="1" t="s">
        <v>3697</v>
      </c>
      <c r="C1717" s="1" t="s">
        <v>3667</v>
      </c>
      <c r="D1717" s="1" t="s">
        <v>3691</v>
      </c>
      <c r="E1717" s="1" t="s">
        <v>3698</v>
      </c>
      <c r="F1717" s="1" t="s">
        <v>55</v>
      </c>
      <c r="G1717" s="1" t="s">
        <v>17</v>
      </c>
      <c r="H1717" s="1" t="s">
        <v>33</v>
      </c>
      <c r="I1717" s="1" t="s">
        <v>44</v>
      </c>
      <c r="J1717" s="1">
        <f>IFERROR(__xludf.DUMMYFUNCTION("""COMPUTED_VALUE"""),25.0)</f>
        <v>25</v>
      </c>
      <c r="K1717" s="1">
        <v>23.0</v>
      </c>
      <c r="L1717" s="1">
        <f>IFERROR(__xludf.DUMMYFUNCTION("""COMPUTED_VALUE"""),43.0)</f>
        <v>43</v>
      </c>
    </row>
    <row r="1718">
      <c r="A1718" s="1">
        <v>3402016.0</v>
      </c>
      <c r="B1718" s="1" t="s">
        <v>3699</v>
      </c>
      <c r="C1718" s="1" t="s">
        <v>3667</v>
      </c>
      <c r="D1718" s="1" t="s">
        <v>3700</v>
      </c>
      <c r="E1718" s="1" t="s">
        <v>3701</v>
      </c>
      <c r="F1718" s="1" t="s">
        <v>16</v>
      </c>
      <c r="G1718" s="1" t="s">
        <v>27</v>
      </c>
      <c r="H1718" s="1" t="s">
        <v>28</v>
      </c>
      <c r="I1718" s="1" t="s">
        <v>40</v>
      </c>
      <c r="J1718" s="1">
        <f>IFERROR(__xludf.DUMMYFUNCTION("""COMPUTED_VALUE"""),264.0)</f>
        <v>264</v>
      </c>
      <c r="K1718" s="1">
        <v>106.0</v>
      </c>
      <c r="L1718" s="1">
        <f>IFERROR(__xludf.DUMMYFUNCTION("""COMPUTED_VALUE"""),962.0)</f>
        <v>962</v>
      </c>
    </row>
    <row r="1719">
      <c r="A1719" s="1">
        <v>3471026.0</v>
      </c>
      <c r="B1719" s="1" t="s">
        <v>3702</v>
      </c>
      <c r="C1719" s="1" t="s">
        <v>3667</v>
      </c>
      <c r="D1719" s="1" t="s">
        <v>3691</v>
      </c>
      <c r="E1719" s="1" t="s">
        <v>3703</v>
      </c>
      <c r="F1719" s="1" t="s">
        <v>16</v>
      </c>
      <c r="G1719" s="1" t="s">
        <v>23</v>
      </c>
      <c r="H1719" s="1" t="s">
        <v>18</v>
      </c>
      <c r="I1719" s="1" t="s">
        <v>684</v>
      </c>
      <c r="J1719" s="1">
        <f>IFERROR(__xludf.DUMMYFUNCTION("""COMPUTED_VALUE"""),98.0)</f>
        <v>98</v>
      </c>
      <c r="K1719" s="1">
        <v>28.0</v>
      </c>
      <c r="L1719" s="1">
        <f>IFERROR(__xludf.DUMMYFUNCTION("""COMPUTED_VALUE"""),144.0)</f>
        <v>144</v>
      </c>
    </row>
    <row r="1720">
      <c r="A1720" s="1">
        <v>3403024.0</v>
      </c>
      <c r="B1720" s="1" t="s">
        <v>3704</v>
      </c>
      <c r="C1720" s="1" t="s">
        <v>3667</v>
      </c>
      <c r="D1720" s="1" t="s">
        <v>3680</v>
      </c>
      <c r="E1720" s="1" t="s">
        <v>3705</v>
      </c>
      <c r="F1720" s="1" t="s">
        <v>16</v>
      </c>
      <c r="G1720" s="1" t="s">
        <v>23</v>
      </c>
      <c r="H1720" s="1" t="s">
        <v>18</v>
      </c>
      <c r="I1720" s="1" t="s">
        <v>684</v>
      </c>
      <c r="J1720" s="1">
        <f>IFERROR(__xludf.DUMMYFUNCTION("""COMPUTED_VALUE"""),50.0)</f>
        <v>50</v>
      </c>
      <c r="K1720" s="1">
        <v>28.0</v>
      </c>
      <c r="L1720" s="1">
        <f>IFERROR(__xludf.DUMMYFUNCTION("""COMPUTED_VALUE"""),124.0)</f>
        <v>124</v>
      </c>
    </row>
    <row r="1721">
      <c r="A1721" s="1">
        <v>3404056.0</v>
      </c>
      <c r="B1721" s="1" t="s">
        <v>3706</v>
      </c>
      <c r="C1721" s="1" t="s">
        <v>3667</v>
      </c>
      <c r="D1721" s="1" t="s">
        <v>3673</v>
      </c>
      <c r="E1721" s="1" t="s">
        <v>3707</v>
      </c>
      <c r="F1721" s="1" t="s">
        <v>16</v>
      </c>
      <c r="G1721" s="1" t="s">
        <v>27</v>
      </c>
      <c r="H1721" s="1" t="s">
        <v>18</v>
      </c>
      <c r="I1721" s="1" t="s">
        <v>44</v>
      </c>
      <c r="J1721" s="1">
        <f>IFERROR(__xludf.DUMMYFUNCTION("""COMPUTED_VALUE"""),224.0)</f>
        <v>224</v>
      </c>
      <c r="K1721" s="1">
        <v>113.0</v>
      </c>
      <c r="L1721" s="1">
        <f>IFERROR(__xludf.DUMMYFUNCTION("""COMPUTED_VALUE"""),264.0)</f>
        <v>264</v>
      </c>
    </row>
    <row r="1722">
      <c r="A1722" s="1">
        <v>3404183.0</v>
      </c>
      <c r="B1722" s="1" t="s">
        <v>3708</v>
      </c>
      <c r="C1722" s="1" t="s">
        <v>3667</v>
      </c>
      <c r="D1722" s="1" t="s">
        <v>3673</v>
      </c>
      <c r="E1722" s="1" t="s">
        <v>3709</v>
      </c>
      <c r="F1722" s="1" t="s">
        <v>16</v>
      </c>
      <c r="G1722" s="1" t="s">
        <v>27</v>
      </c>
      <c r="H1722" s="1" t="s">
        <v>18</v>
      </c>
      <c r="I1722" s="1" t="s">
        <v>59</v>
      </c>
      <c r="J1722" s="1">
        <f>IFERROR(__xludf.DUMMYFUNCTION("""COMPUTED_VALUE"""),227.0)</f>
        <v>227</v>
      </c>
      <c r="K1722" s="1">
        <v>53.0</v>
      </c>
      <c r="L1722" s="1">
        <f>IFERROR(__xludf.DUMMYFUNCTION("""COMPUTED_VALUE"""),696.0)</f>
        <v>696</v>
      </c>
    </row>
    <row r="1723">
      <c r="A1723" s="1">
        <v>3404033.0</v>
      </c>
      <c r="B1723" s="1" t="s">
        <v>3710</v>
      </c>
      <c r="C1723" s="1" t="s">
        <v>3667</v>
      </c>
      <c r="D1723" s="1" t="s">
        <v>3673</v>
      </c>
      <c r="E1723" s="1" t="s">
        <v>3711</v>
      </c>
      <c r="F1723" s="1" t="s">
        <v>16</v>
      </c>
      <c r="G1723" s="1" t="s">
        <v>23</v>
      </c>
      <c r="H1723" s="1" t="s">
        <v>18</v>
      </c>
      <c r="I1723" s="1" t="s">
        <v>59</v>
      </c>
      <c r="J1723" s="1">
        <f>IFERROR(__xludf.DUMMYFUNCTION("""COMPUTED_VALUE"""),49.0)</f>
        <v>49</v>
      </c>
      <c r="K1723" s="1">
        <v>22.0</v>
      </c>
      <c r="L1723" s="1">
        <f>IFERROR(__xludf.DUMMYFUNCTION("""COMPUTED_VALUE"""),150.0)</f>
        <v>150</v>
      </c>
    </row>
    <row r="1724">
      <c r="A1724" s="1">
        <v>3402097.0</v>
      </c>
      <c r="B1724" s="1" t="s">
        <v>3712</v>
      </c>
      <c r="C1724" s="1" t="s">
        <v>3667</v>
      </c>
      <c r="D1724" s="1" t="s">
        <v>3700</v>
      </c>
      <c r="E1724" s="1" t="s">
        <v>3713</v>
      </c>
      <c r="F1724" s="1" t="s">
        <v>16</v>
      </c>
      <c r="G1724" s="1" t="s">
        <v>23</v>
      </c>
      <c r="H1724" s="1" t="s">
        <v>28</v>
      </c>
      <c r="I1724" s="1" t="s">
        <v>40</v>
      </c>
      <c r="J1724" s="1">
        <f>IFERROR(__xludf.DUMMYFUNCTION("""COMPUTED_VALUE"""),50.0)</f>
        <v>50</v>
      </c>
      <c r="K1724" s="1">
        <v>25.0</v>
      </c>
      <c r="L1724" s="1">
        <f>IFERROR(__xludf.DUMMYFUNCTION("""COMPUTED_VALUE"""),182.0)</f>
        <v>182</v>
      </c>
    </row>
    <row r="1725">
      <c r="A1725" s="1">
        <v>3471282.0</v>
      </c>
      <c r="B1725" s="1" t="s">
        <v>3714</v>
      </c>
      <c r="C1725" s="1" t="s">
        <v>3667</v>
      </c>
      <c r="D1725" s="1" t="s">
        <v>3691</v>
      </c>
      <c r="E1725" s="1" t="s">
        <v>3715</v>
      </c>
      <c r="F1725" s="1" t="s">
        <v>16</v>
      </c>
      <c r="G1725" s="1" t="s">
        <v>23</v>
      </c>
      <c r="H1725" s="1" t="s">
        <v>18</v>
      </c>
      <c r="I1725" s="1" t="s">
        <v>59</v>
      </c>
      <c r="J1725" s="1">
        <f>IFERROR(__xludf.DUMMYFUNCTION("""COMPUTED_VALUE"""),46.0)</f>
        <v>46</v>
      </c>
      <c r="K1725" s="1">
        <v>48.0</v>
      </c>
      <c r="L1725" s="1">
        <f>IFERROR(__xludf.DUMMYFUNCTION("""COMPUTED_VALUE"""),155.0)</f>
        <v>155</v>
      </c>
    </row>
    <row r="1726">
      <c r="A1726" s="1">
        <v>3471381.0</v>
      </c>
      <c r="B1726" s="1" t="s">
        <v>3716</v>
      </c>
      <c r="C1726" s="1" t="s">
        <v>3667</v>
      </c>
      <c r="D1726" s="1" t="s">
        <v>3691</v>
      </c>
      <c r="E1726" s="1" t="s">
        <v>3717</v>
      </c>
      <c r="F1726" s="1" t="s">
        <v>16</v>
      </c>
      <c r="G1726" s="1" t="s">
        <v>23</v>
      </c>
      <c r="H1726" s="1" t="s">
        <v>18</v>
      </c>
      <c r="I1726" s="1" t="s">
        <v>44</v>
      </c>
      <c r="J1726" s="1">
        <f>IFERROR(__xludf.DUMMYFUNCTION("""COMPUTED_VALUE"""),49.0)</f>
        <v>49</v>
      </c>
      <c r="K1726" s="1">
        <v>44.0</v>
      </c>
      <c r="L1726" s="1">
        <f>IFERROR(__xludf.DUMMYFUNCTION("""COMPUTED_VALUE"""),182.0)</f>
        <v>182</v>
      </c>
    </row>
    <row r="1727">
      <c r="A1727" s="1">
        <v>3403038.0</v>
      </c>
      <c r="B1727" s="1" t="s">
        <v>3718</v>
      </c>
      <c r="C1727" s="1" t="s">
        <v>3667</v>
      </c>
      <c r="D1727" s="1" t="s">
        <v>3680</v>
      </c>
      <c r="E1727" s="1" t="s">
        <v>3719</v>
      </c>
      <c r="F1727" s="1" t="s">
        <v>16</v>
      </c>
      <c r="G1727" s="1" t="s">
        <v>23</v>
      </c>
      <c r="H1727" s="1" t="s">
        <v>18</v>
      </c>
      <c r="I1727" s="1" t="s">
        <v>19</v>
      </c>
      <c r="J1727" s="1">
        <f>IFERROR(__xludf.DUMMYFUNCTION("""COMPUTED_VALUE"""),55.0)</f>
        <v>55</v>
      </c>
      <c r="K1727" s="1">
        <v>20.0</v>
      </c>
      <c r="L1727" s="1">
        <f>IFERROR(__xludf.DUMMYFUNCTION("""COMPUTED_VALUE"""),182.0)</f>
        <v>182</v>
      </c>
    </row>
    <row r="1728">
      <c r="A1728" s="1">
        <v>3404191.0</v>
      </c>
      <c r="B1728" s="1" t="s">
        <v>3720</v>
      </c>
      <c r="C1728" s="1" t="s">
        <v>3667</v>
      </c>
      <c r="D1728" s="1" t="s">
        <v>3673</v>
      </c>
      <c r="E1728" s="1" t="s">
        <v>3721</v>
      </c>
      <c r="F1728" s="1" t="s">
        <v>16</v>
      </c>
      <c r="G1728" s="1" t="s">
        <v>23</v>
      </c>
      <c r="H1728" s="1" t="s">
        <v>18</v>
      </c>
      <c r="I1728" s="1" t="s">
        <v>19</v>
      </c>
      <c r="J1728" s="1">
        <f>IFERROR(__xludf.DUMMYFUNCTION("""COMPUTED_VALUE"""),51.0)</f>
        <v>51</v>
      </c>
      <c r="K1728" s="1">
        <v>41.0</v>
      </c>
      <c r="L1728" s="1">
        <f>IFERROR(__xludf.DUMMYFUNCTION("""COMPUTED_VALUE"""),11.0)</f>
        <v>11</v>
      </c>
    </row>
    <row r="1729">
      <c r="A1729" s="1">
        <v>3402031.0</v>
      </c>
      <c r="B1729" s="1" t="s">
        <v>3722</v>
      </c>
      <c r="C1729" s="1" t="s">
        <v>3667</v>
      </c>
      <c r="D1729" s="1" t="s">
        <v>3700</v>
      </c>
      <c r="E1729" s="1" t="s">
        <v>3723</v>
      </c>
      <c r="F1729" s="1" t="s">
        <v>16</v>
      </c>
      <c r="G1729" s="1" t="s">
        <v>17</v>
      </c>
      <c r="H1729" s="1" t="s">
        <v>18</v>
      </c>
      <c r="I1729" s="1" t="s">
        <v>684</v>
      </c>
      <c r="J1729" s="1">
        <f>IFERROR(__xludf.DUMMYFUNCTION("""COMPUTED_VALUE"""),112.0)</f>
        <v>112</v>
      </c>
      <c r="K1729" s="1">
        <v>55.0</v>
      </c>
      <c r="L1729" s="1">
        <f>IFERROR(__xludf.DUMMYFUNCTION("""COMPUTED_VALUE"""),389.0)</f>
        <v>389</v>
      </c>
    </row>
    <row r="1730">
      <c r="A1730" s="1">
        <v>3471041.0</v>
      </c>
      <c r="B1730" s="1" t="s">
        <v>3724</v>
      </c>
      <c r="C1730" s="1" t="s">
        <v>3667</v>
      </c>
      <c r="D1730" s="1" t="s">
        <v>3691</v>
      </c>
      <c r="E1730" s="1" t="s">
        <v>3725</v>
      </c>
      <c r="F1730" s="1" t="s">
        <v>16</v>
      </c>
      <c r="G1730" s="1" t="s">
        <v>27</v>
      </c>
      <c r="H1730" s="1" t="s">
        <v>18</v>
      </c>
      <c r="I1730" s="1" t="s">
        <v>684</v>
      </c>
      <c r="J1730" s="1">
        <f>IFERROR(__xludf.DUMMYFUNCTION("""COMPUTED_VALUE"""),200.0)</f>
        <v>200</v>
      </c>
      <c r="K1730" s="1">
        <v>76.0</v>
      </c>
      <c r="L1730" s="1">
        <f>IFERROR(__xludf.DUMMYFUNCTION("""COMPUTED_VALUE"""),302.0)</f>
        <v>302</v>
      </c>
    </row>
    <row r="1731">
      <c r="A1731" s="1">
        <v>3401048.0</v>
      </c>
      <c r="B1731" s="1" t="s">
        <v>3726</v>
      </c>
      <c r="C1731" s="1" t="s">
        <v>3667</v>
      </c>
      <c r="D1731" s="1" t="s">
        <v>3668</v>
      </c>
      <c r="E1731" s="1" t="s">
        <v>3727</v>
      </c>
      <c r="F1731" s="1" t="s">
        <v>16</v>
      </c>
      <c r="G1731" s="1" t="s">
        <v>23</v>
      </c>
      <c r="H1731" s="1" t="s">
        <v>18</v>
      </c>
      <c r="I1731" s="1" t="s">
        <v>19</v>
      </c>
      <c r="J1731" s="1">
        <f>IFERROR(__xludf.DUMMYFUNCTION("""COMPUTED_VALUE"""),52.0)</f>
        <v>52</v>
      </c>
      <c r="K1731" s="1">
        <v>19.0</v>
      </c>
      <c r="L1731" s="1">
        <f>IFERROR(__xludf.DUMMYFUNCTION("""COMPUTED_VALUE"""),74.0)</f>
        <v>74</v>
      </c>
    </row>
    <row r="1732">
      <c r="A1732" s="1">
        <v>3404182.0</v>
      </c>
      <c r="B1732" s="1" t="s">
        <v>3728</v>
      </c>
      <c r="C1732" s="1" t="s">
        <v>3667</v>
      </c>
      <c r="D1732" s="1" t="s">
        <v>3673</v>
      </c>
      <c r="E1732" s="1" t="s">
        <v>3729</v>
      </c>
      <c r="F1732" s="1" t="s">
        <v>16</v>
      </c>
      <c r="G1732" s="1" t="s">
        <v>23</v>
      </c>
      <c r="H1732" s="1" t="s">
        <v>18</v>
      </c>
      <c r="I1732" s="1" t="s">
        <v>44</v>
      </c>
      <c r="J1732" s="1">
        <f>IFERROR(__xludf.DUMMYFUNCTION("""COMPUTED_VALUE"""),58.0)</f>
        <v>58</v>
      </c>
      <c r="K1732" s="1">
        <v>23.0</v>
      </c>
      <c r="L1732" s="1">
        <f>IFERROR(__xludf.DUMMYFUNCTION("""COMPUTED_VALUE"""),26.0)</f>
        <v>26</v>
      </c>
    </row>
    <row r="1733">
      <c r="A1733" s="1">
        <v>3471374.0</v>
      </c>
      <c r="B1733" s="1" t="s">
        <v>3730</v>
      </c>
      <c r="C1733" s="1" t="s">
        <v>3667</v>
      </c>
      <c r="D1733" s="1" t="s">
        <v>3691</v>
      </c>
      <c r="E1733" s="1" t="s">
        <v>3731</v>
      </c>
      <c r="F1733" s="1" t="s">
        <v>32</v>
      </c>
      <c r="G1733" s="1" t="s">
        <v>150</v>
      </c>
      <c r="H1733" s="1" t="s">
        <v>18</v>
      </c>
      <c r="I1733" s="1" t="s">
        <v>19</v>
      </c>
      <c r="J1733" s="1">
        <f>IFERROR(__xludf.DUMMYFUNCTION("""COMPUTED_VALUE"""),16.0)</f>
        <v>16</v>
      </c>
      <c r="K1733" s="1">
        <v>18.0</v>
      </c>
      <c r="L1733" s="1">
        <f>IFERROR(__xludf.DUMMYFUNCTION("""COMPUTED_VALUE"""),61.0)</f>
        <v>61</v>
      </c>
    </row>
    <row r="1734">
      <c r="A1734" s="1">
        <v>3404102.0</v>
      </c>
      <c r="B1734" s="1" t="s">
        <v>3732</v>
      </c>
      <c r="C1734" s="1" t="s">
        <v>3667</v>
      </c>
      <c r="D1734" s="1" t="s">
        <v>3673</v>
      </c>
      <c r="E1734" s="1" t="s">
        <v>3733</v>
      </c>
      <c r="F1734" s="1" t="s">
        <v>16</v>
      </c>
      <c r="G1734" s="1" t="s">
        <v>17</v>
      </c>
      <c r="H1734" s="1" t="s">
        <v>18</v>
      </c>
      <c r="I1734" s="1" t="s">
        <v>249</v>
      </c>
      <c r="J1734" s="1">
        <f>IFERROR(__xludf.DUMMYFUNCTION("""COMPUTED_VALUE"""),56.0)</f>
        <v>56</v>
      </c>
      <c r="K1734" s="1">
        <v>46.0</v>
      </c>
      <c r="L1734" s="1">
        <f>IFERROR(__xludf.DUMMYFUNCTION("""COMPUTED_VALUE"""),167.0)</f>
        <v>167</v>
      </c>
    </row>
    <row r="1735">
      <c r="A1735" s="1">
        <v>3471336.0</v>
      </c>
      <c r="B1735" s="1" t="s">
        <v>3734</v>
      </c>
      <c r="C1735" s="1" t="s">
        <v>3667</v>
      </c>
      <c r="D1735" s="1" t="s">
        <v>3691</v>
      </c>
      <c r="E1735" s="1" t="s">
        <v>3735</v>
      </c>
      <c r="F1735" s="1" t="s">
        <v>16</v>
      </c>
      <c r="G1735" s="1" t="s">
        <v>23</v>
      </c>
      <c r="H1735" s="1" t="s">
        <v>18</v>
      </c>
      <c r="I1735" s="1" t="s">
        <v>59</v>
      </c>
      <c r="J1735" s="1">
        <f>IFERROR(__xludf.DUMMYFUNCTION("""COMPUTED_VALUE"""),50.0)</f>
        <v>50</v>
      </c>
      <c r="K1735" s="1">
        <v>26.0</v>
      </c>
      <c r="L1735" s="1">
        <f>IFERROR(__xludf.DUMMYFUNCTION("""COMPUTED_VALUE"""),163.0)</f>
        <v>163</v>
      </c>
    </row>
    <row r="1736">
      <c r="A1736" s="1">
        <v>3401052.0</v>
      </c>
      <c r="B1736" s="1" t="s">
        <v>3736</v>
      </c>
      <c r="C1736" s="1" t="s">
        <v>3667</v>
      </c>
      <c r="D1736" s="1" t="s">
        <v>3668</v>
      </c>
      <c r="E1736" s="1" t="s">
        <v>3737</v>
      </c>
      <c r="F1736" s="1" t="s">
        <v>16</v>
      </c>
      <c r="G1736" s="1" t="s">
        <v>17</v>
      </c>
      <c r="H1736" s="1" t="s">
        <v>28</v>
      </c>
      <c r="I1736" s="1" t="s">
        <v>40</v>
      </c>
      <c r="J1736" s="1">
        <f>IFERROR(__xludf.DUMMYFUNCTION("""COMPUTED_VALUE"""),187.0)</f>
        <v>187</v>
      </c>
      <c r="K1736" s="1">
        <v>36.0</v>
      </c>
      <c r="L1736" s="1">
        <f>IFERROR(__xludf.DUMMYFUNCTION("""COMPUTED_VALUE"""),283.0)</f>
        <v>283</v>
      </c>
    </row>
    <row r="1737">
      <c r="A1737" s="1">
        <v>3471107.0</v>
      </c>
      <c r="B1737" s="1" t="s">
        <v>3738</v>
      </c>
      <c r="C1737" s="1" t="s">
        <v>3667</v>
      </c>
      <c r="D1737" s="1" t="s">
        <v>3691</v>
      </c>
      <c r="E1737" s="1" t="s">
        <v>3739</v>
      </c>
      <c r="F1737" s="1" t="s">
        <v>55</v>
      </c>
      <c r="G1737" s="1" t="s">
        <v>17</v>
      </c>
      <c r="H1737" s="1" t="s">
        <v>18</v>
      </c>
      <c r="I1737" s="1" t="s">
        <v>684</v>
      </c>
      <c r="J1737" s="1">
        <f>IFERROR(__xludf.DUMMYFUNCTION("""COMPUTED_VALUE"""),34.0)</f>
        <v>34</v>
      </c>
      <c r="K1737" s="1">
        <v>19.0</v>
      </c>
      <c r="L1737" s="1">
        <f>IFERROR(__xludf.DUMMYFUNCTION("""COMPUTED_VALUE"""),80.0)</f>
        <v>80</v>
      </c>
    </row>
    <row r="1738">
      <c r="A1738" s="1">
        <v>3402053.0</v>
      </c>
      <c r="B1738" s="1" t="s">
        <v>3740</v>
      </c>
      <c r="C1738" s="1" t="s">
        <v>3667</v>
      </c>
      <c r="D1738" s="1" t="s">
        <v>3700</v>
      </c>
      <c r="E1738" s="1" t="s">
        <v>3741</v>
      </c>
      <c r="F1738" s="1" t="s">
        <v>16</v>
      </c>
      <c r="G1738" s="1" t="s">
        <v>23</v>
      </c>
      <c r="H1738" s="1" t="s">
        <v>18</v>
      </c>
      <c r="I1738" s="1" t="s">
        <v>59</v>
      </c>
      <c r="J1738" s="1">
        <f>IFERROR(__xludf.DUMMYFUNCTION("""COMPUTED_VALUE"""),52.0)</f>
        <v>52</v>
      </c>
      <c r="K1738" s="1">
        <v>39.0</v>
      </c>
      <c r="L1738" s="1">
        <f>IFERROR(__xludf.DUMMYFUNCTION("""COMPUTED_VALUE"""),173.0)</f>
        <v>173</v>
      </c>
    </row>
    <row r="1739">
      <c r="A1739" s="1">
        <v>3471063.0</v>
      </c>
      <c r="B1739" s="1" t="s">
        <v>3742</v>
      </c>
      <c r="C1739" s="1" t="s">
        <v>3667</v>
      </c>
      <c r="D1739" s="1" t="s">
        <v>3691</v>
      </c>
      <c r="E1739" s="1" t="s">
        <v>3743</v>
      </c>
      <c r="F1739" s="1" t="s">
        <v>16</v>
      </c>
      <c r="G1739" s="1" t="s">
        <v>27</v>
      </c>
      <c r="H1739" s="1" t="s">
        <v>18</v>
      </c>
      <c r="I1739" s="1" t="s">
        <v>59</v>
      </c>
      <c r="J1739" s="1">
        <f>IFERROR(__xludf.DUMMYFUNCTION("""COMPUTED_VALUE"""),320.0)</f>
        <v>320</v>
      </c>
      <c r="K1739" s="1">
        <v>105.0</v>
      </c>
      <c r="L1739" s="1">
        <f>IFERROR(__xludf.DUMMYFUNCTION("""COMPUTED_VALUE"""),742.0)</f>
        <v>742</v>
      </c>
    </row>
    <row r="1740">
      <c r="A1740" s="1">
        <v>3402086.0</v>
      </c>
      <c r="B1740" s="1" t="s">
        <v>3744</v>
      </c>
      <c r="C1740" s="1" t="s">
        <v>3667</v>
      </c>
      <c r="D1740" s="1" t="s">
        <v>3700</v>
      </c>
      <c r="E1740" s="1" t="s">
        <v>3745</v>
      </c>
      <c r="F1740" s="1" t="s">
        <v>16</v>
      </c>
      <c r="G1740" s="1" t="s">
        <v>23</v>
      </c>
      <c r="H1740" s="1" t="s">
        <v>18</v>
      </c>
      <c r="I1740" s="1" t="s">
        <v>59</v>
      </c>
      <c r="J1740" s="1">
        <f>IFERROR(__xludf.DUMMYFUNCTION("""COMPUTED_VALUE"""),50.0)</f>
        <v>50</v>
      </c>
      <c r="K1740" s="1">
        <v>39.0</v>
      </c>
      <c r="L1740" s="1">
        <f>IFERROR(__xludf.DUMMYFUNCTION("""COMPUTED_VALUE"""),271.0)</f>
        <v>271</v>
      </c>
    </row>
    <row r="1741">
      <c r="A1741" s="1">
        <v>3404190.0</v>
      </c>
      <c r="B1741" s="1" t="s">
        <v>465</v>
      </c>
      <c r="C1741" s="1" t="s">
        <v>3667</v>
      </c>
      <c r="D1741" s="1" t="s">
        <v>3673</v>
      </c>
      <c r="E1741" s="1" t="s">
        <v>3746</v>
      </c>
      <c r="F1741" s="1" t="s">
        <v>16</v>
      </c>
      <c r="G1741" s="1" t="s">
        <v>23</v>
      </c>
      <c r="H1741" s="1" t="s">
        <v>18</v>
      </c>
      <c r="I1741" s="1" t="s">
        <v>44</v>
      </c>
      <c r="J1741" s="1">
        <f>IFERROR(__xludf.DUMMYFUNCTION("""COMPUTED_VALUE"""),50.0)</f>
        <v>50</v>
      </c>
      <c r="K1741" s="1">
        <v>22.0</v>
      </c>
      <c r="L1741" s="1">
        <f>IFERROR(__xludf.DUMMYFUNCTION("""COMPUTED_VALUE"""),11.0)</f>
        <v>11</v>
      </c>
    </row>
    <row r="1742">
      <c r="A1742" s="1">
        <v>3404196.0</v>
      </c>
      <c r="B1742" s="1" t="s">
        <v>3747</v>
      </c>
      <c r="C1742" s="1" t="s">
        <v>3667</v>
      </c>
      <c r="D1742" s="1" t="s">
        <v>3673</v>
      </c>
      <c r="E1742" s="1" t="s">
        <v>3748</v>
      </c>
      <c r="F1742" s="1" t="s">
        <v>16</v>
      </c>
      <c r="G1742" s="1" t="s">
        <v>23</v>
      </c>
      <c r="H1742" s="1" t="s">
        <v>18</v>
      </c>
      <c r="I1742" s="1" t="s">
        <v>19</v>
      </c>
      <c r="J1742" s="1">
        <f>IFERROR(__xludf.DUMMYFUNCTION("""COMPUTED_VALUE"""),50.0)</f>
        <v>50</v>
      </c>
      <c r="K1742" s="1">
        <v>18.0</v>
      </c>
      <c r="L1742" s="1">
        <f>IFERROR(__xludf.DUMMYFUNCTION("""COMPUTED_VALUE"""),8.0)</f>
        <v>8</v>
      </c>
    </row>
    <row r="1743">
      <c r="A1743" s="1">
        <v>3401050.0</v>
      </c>
      <c r="B1743" s="1" t="s">
        <v>3749</v>
      </c>
      <c r="C1743" s="1" t="s">
        <v>3667</v>
      </c>
      <c r="D1743" s="1" t="s">
        <v>3668</v>
      </c>
      <c r="E1743" s="1" t="s">
        <v>3750</v>
      </c>
      <c r="F1743" s="1" t="s">
        <v>16</v>
      </c>
      <c r="G1743" s="1" t="s">
        <v>23</v>
      </c>
      <c r="H1743" s="1" t="s">
        <v>18</v>
      </c>
      <c r="I1743" s="1" t="s">
        <v>59</v>
      </c>
      <c r="J1743" s="1">
        <f>IFERROR(__xludf.DUMMYFUNCTION("""COMPUTED_VALUE"""),51.0)</f>
        <v>51</v>
      </c>
      <c r="K1743" s="1">
        <v>22.0</v>
      </c>
      <c r="L1743" s="1">
        <f>IFERROR(__xludf.DUMMYFUNCTION("""COMPUTED_VALUE"""),52.0)</f>
        <v>52</v>
      </c>
    </row>
    <row r="1744">
      <c r="A1744" s="1">
        <v>3404146.0</v>
      </c>
      <c r="B1744" s="1" t="s">
        <v>3751</v>
      </c>
      <c r="C1744" s="1" t="s">
        <v>3667</v>
      </c>
      <c r="D1744" s="1" t="s">
        <v>3673</v>
      </c>
      <c r="E1744" s="1" t="s">
        <v>3752</v>
      </c>
      <c r="F1744" s="1" t="s">
        <v>16</v>
      </c>
      <c r="G1744" s="1" t="s">
        <v>17</v>
      </c>
      <c r="H1744" s="1" t="s">
        <v>18</v>
      </c>
      <c r="I1744" s="1" t="s">
        <v>59</v>
      </c>
      <c r="J1744" s="1">
        <f>IFERROR(__xludf.DUMMYFUNCTION("""COMPUTED_VALUE"""),125.0)</f>
        <v>125</v>
      </c>
      <c r="K1744" s="1">
        <v>58.0</v>
      </c>
      <c r="L1744" s="1">
        <f>IFERROR(__xludf.DUMMYFUNCTION("""COMPUTED_VALUE"""),472.0)</f>
        <v>472</v>
      </c>
    </row>
    <row r="1745">
      <c r="A1745" s="1">
        <v>3471373.0</v>
      </c>
      <c r="B1745" s="1" t="s">
        <v>3753</v>
      </c>
      <c r="C1745" s="1" t="s">
        <v>3667</v>
      </c>
      <c r="D1745" s="1" t="s">
        <v>3691</v>
      </c>
      <c r="E1745" s="1" t="s">
        <v>3754</v>
      </c>
      <c r="F1745" s="1" t="s">
        <v>16</v>
      </c>
      <c r="G1745" s="1" t="s">
        <v>17</v>
      </c>
      <c r="H1745" s="1" t="s">
        <v>18</v>
      </c>
      <c r="I1745" s="1" t="s">
        <v>19</v>
      </c>
      <c r="J1745" s="1">
        <f>IFERROR(__xludf.DUMMYFUNCTION("""COMPUTED_VALUE"""),101.0)</f>
        <v>101</v>
      </c>
      <c r="K1745" s="1">
        <v>234.0</v>
      </c>
      <c r="L1745" s="1">
        <f>IFERROR(__xludf.DUMMYFUNCTION("""COMPUTED_VALUE"""),185.0)</f>
        <v>185</v>
      </c>
    </row>
    <row r="1746">
      <c r="A1746" s="1">
        <v>3401015.0</v>
      </c>
      <c r="B1746" s="1" t="s">
        <v>3755</v>
      </c>
      <c r="C1746" s="1" t="s">
        <v>3667</v>
      </c>
      <c r="D1746" s="1" t="s">
        <v>3668</v>
      </c>
      <c r="E1746" s="1" t="s">
        <v>3756</v>
      </c>
      <c r="F1746" s="1" t="s">
        <v>16</v>
      </c>
      <c r="G1746" s="1" t="s">
        <v>27</v>
      </c>
      <c r="H1746" s="1" t="s">
        <v>28</v>
      </c>
      <c r="I1746" s="1" t="s">
        <v>40</v>
      </c>
      <c r="J1746" s="1">
        <f>IFERROR(__xludf.DUMMYFUNCTION("""COMPUTED_VALUE"""),241.0)</f>
        <v>241</v>
      </c>
      <c r="K1746" s="1">
        <v>61.0</v>
      </c>
      <c r="L1746" s="1">
        <f>IFERROR(__xludf.DUMMYFUNCTION("""COMPUTED_VALUE"""),719.0)</f>
        <v>719</v>
      </c>
    </row>
    <row r="1747">
      <c r="A1747" s="1">
        <v>3403021.0</v>
      </c>
      <c r="B1747" s="1" t="s">
        <v>3757</v>
      </c>
      <c r="C1747" s="1" t="s">
        <v>3667</v>
      </c>
      <c r="D1747" s="1" t="s">
        <v>3680</v>
      </c>
      <c r="E1747" s="1" t="s">
        <v>3758</v>
      </c>
      <c r="F1747" s="1" t="s">
        <v>16</v>
      </c>
      <c r="G1747" s="1" t="s">
        <v>23</v>
      </c>
      <c r="H1747" s="1" t="s">
        <v>18</v>
      </c>
      <c r="I1747" s="1" t="s">
        <v>44</v>
      </c>
      <c r="J1747" s="1">
        <f>IFERROR(__xludf.DUMMYFUNCTION("""COMPUTED_VALUE"""),50.0)</f>
        <v>50</v>
      </c>
      <c r="K1747" s="1">
        <v>32.0</v>
      </c>
      <c r="L1747" s="1">
        <f>IFERROR(__xludf.DUMMYFUNCTION("""COMPUTED_VALUE"""),146.0)</f>
        <v>146</v>
      </c>
    </row>
    <row r="1748">
      <c r="A1748" s="1">
        <v>3471085.0</v>
      </c>
      <c r="B1748" s="1" t="s">
        <v>3759</v>
      </c>
      <c r="C1748" s="1" t="s">
        <v>3667</v>
      </c>
      <c r="D1748" s="1" t="s">
        <v>3691</v>
      </c>
      <c r="E1748" s="1" t="s">
        <v>3760</v>
      </c>
      <c r="F1748" s="1" t="s">
        <v>16</v>
      </c>
      <c r="G1748" s="1" t="s">
        <v>174</v>
      </c>
      <c r="H1748" s="1" t="s">
        <v>17</v>
      </c>
      <c r="I1748" s="1" t="s">
        <v>18</v>
      </c>
      <c r="J1748" s="1">
        <f>IFERROR(__xludf.DUMMYFUNCTION("""COMPUTED_VALUE"""),1296.0)</f>
        <v>1296</v>
      </c>
      <c r="K1748" s="1">
        <v>27.0</v>
      </c>
      <c r="L1748" s="1">
        <f>IFERROR(__xludf.DUMMYFUNCTION("""COMPUTED_VALUE"""),13.0)</f>
        <v>13</v>
      </c>
    </row>
    <row r="1749">
      <c r="A1749" s="1">
        <v>3404081.0</v>
      </c>
      <c r="B1749" s="1" t="s">
        <v>3761</v>
      </c>
      <c r="C1749" s="1" t="s">
        <v>3667</v>
      </c>
      <c r="D1749" s="1" t="s">
        <v>3673</v>
      </c>
      <c r="E1749" s="1" t="s">
        <v>3762</v>
      </c>
      <c r="F1749" s="1" t="s">
        <v>16</v>
      </c>
      <c r="G1749" s="1" t="s">
        <v>23</v>
      </c>
      <c r="H1749" s="1" t="s">
        <v>18</v>
      </c>
      <c r="I1749" s="1" t="s">
        <v>19</v>
      </c>
      <c r="J1749" s="1">
        <f>IFERROR(__xludf.DUMMYFUNCTION("""COMPUTED_VALUE"""),80.0)</f>
        <v>80</v>
      </c>
      <c r="K1749" s="1">
        <v>50.0</v>
      </c>
      <c r="L1749" s="1">
        <f>IFERROR(__xludf.DUMMYFUNCTION("""COMPUTED_VALUE"""),219.0)</f>
        <v>219</v>
      </c>
    </row>
    <row r="1750">
      <c r="A1750" s="1">
        <v>3402077.0</v>
      </c>
      <c r="B1750" s="1" t="s">
        <v>3763</v>
      </c>
      <c r="C1750" s="1" t="s">
        <v>3667</v>
      </c>
      <c r="D1750" s="1" t="s">
        <v>3700</v>
      </c>
      <c r="E1750" s="1" t="s">
        <v>3764</v>
      </c>
      <c r="F1750" s="1" t="s">
        <v>16</v>
      </c>
      <c r="G1750" s="1" t="s">
        <v>23</v>
      </c>
      <c r="H1750" s="1" t="s">
        <v>18</v>
      </c>
      <c r="I1750" s="1" t="s">
        <v>44</v>
      </c>
      <c r="J1750" s="1">
        <f>IFERROR(__xludf.DUMMYFUNCTION("""COMPUTED_VALUE"""),58.0)</f>
        <v>58</v>
      </c>
      <c r="K1750" s="1">
        <v>28.0</v>
      </c>
      <c r="L1750" s="1">
        <f>IFERROR(__xludf.DUMMYFUNCTION("""COMPUTED_VALUE"""),136.0)</f>
        <v>136</v>
      </c>
    </row>
    <row r="1751">
      <c r="A1751" s="1">
        <v>3403023.0</v>
      </c>
      <c r="B1751" s="1" t="s">
        <v>3305</v>
      </c>
      <c r="C1751" s="1" t="s">
        <v>3667</v>
      </c>
      <c r="D1751" s="1" t="s">
        <v>3680</v>
      </c>
      <c r="E1751" s="1" t="s">
        <v>3765</v>
      </c>
      <c r="F1751" s="1" t="s">
        <v>16</v>
      </c>
      <c r="G1751" s="1" t="s">
        <v>17</v>
      </c>
      <c r="H1751" s="1" t="s">
        <v>18</v>
      </c>
      <c r="I1751" s="1" t="s">
        <v>19</v>
      </c>
      <c r="J1751" s="1">
        <f>IFERROR(__xludf.DUMMYFUNCTION("""COMPUTED_VALUE"""),109.0)</f>
        <v>109</v>
      </c>
      <c r="K1751" s="1">
        <v>31.0</v>
      </c>
      <c r="L1751" s="1">
        <f>IFERROR(__xludf.DUMMYFUNCTION("""COMPUTED_VALUE"""),187.0)</f>
        <v>187</v>
      </c>
    </row>
    <row r="1752">
      <c r="A1752" s="1">
        <v>3402084.0</v>
      </c>
      <c r="B1752" s="1" t="s">
        <v>3766</v>
      </c>
      <c r="C1752" s="1" t="s">
        <v>3667</v>
      </c>
      <c r="D1752" s="1" t="s">
        <v>3700</v>
      </c>
      <c r="E1752" s="1" t="s">
        <v>3767</v>
      </c>
      <c r="F1752" s="1" t="s">
        <v>16</v>
      </c>
      <c r="G1752" s="1" t="s">
        <v>17</v>
      </c>
      <c r="H1752" s="1" t="s">
        <v>18</v>
      </c>
      <c r="I1752" s="1" t="s">
        <v>19</v>
      </c>
      <c r="J1752" s="1">
        <f>IFERROR(__xludf.DUMMYFUNCTION("""COMPUTED_VALUE"""),120.0)</f>
        <v>120</v>
      </c>
      <c r="K1752" s="1">
        <v>62.0</v>
      </c>
      <c r="L1752" s="1">
        <f>IFERROR(__xludf.DUMMYFUNCTION("""COMPUTED_VALUE"""),330.0)</f>
        <v>330</v>
      </c>
    </row>
    <row r="1753">
      <c r="A1753" s="1">
        <v>3401037.0</v>
      </c>
      <c r="B1753" s="1" t="s">
        <v>3768</v>
      </c>
      <c r="C1753" s="1" t="s">
        <v>3667</v>
      </c>
      <c r="D1753" s="1" t="s">
        <v>3668</v>
      </c>
      <c r="E1753" s="1" t="s">
        <v>3769</v>
      </c>
      <c r="F1753" s="1" t="s">
        <v>16</v>
      </c>
      <c r="G1753" s="1" t="s">
        <v>23</v>
      </c>
      <c r="H1753" s="1" t="s">
        <v>18</v>
      </c>
      <c r="I1753" s="1" t="s">
        <v>59</v>
      </c>
      <c r="J1753" s="1">
        <f>IFERROR(__xludf.DUMMYFUNCTION("""COMPUTED_VALUE"""),52.0)</f>
        <v>52</v>
      </c>
      <c r="K1753" s="1">
        <v>27.0</v>
      </c>
      <c r="L1753" s="1">
        <f>IFERROR(__xludf.DUMMYFUNCTION("""COMPUTED_VALUE"""),109.0)</f>
        <v>109</v>
      </c>
    </row>
    <row r="1754">
      <c r="A1754" s="1">
        <v>3404015.0</v>
      </c>
      <c r="B1754" s="1" t="s">
        <v>3770</v>
      </c>
      <c r="C1754" s="1" t="s">
        <v>3667</v>
      </c>
      <c r="D1754" s="1" t="s">
        <v>3673</v>
      </c>
      <c r="E1754" s="1" t="s">
        <v>3771</v>
      </c>
      <c r="F1754" s="1" t="s">
        <v>16</v>
      </c>
      <c r="G1754" s="1" t="s">
        <v>150</v>
      </c>
      <c r="H1754" s="1" t="s">
        <v>33</v>
      </c>
      <c r="I1754" s="1" t="s">
        <v>411</v>
      </c>
      <c r="J1754" s="1">
        <f>IFERROR(__xludf.DUMMYFUNCTION("""COMPUTED_VALUE"""),729.0)</f>
        <v>729</v>
      </c>
      <c r="K1754" s="1">
        <v>280.0</v>
      </c>
      <c r="L1754" s="1">
        <f>IFERROR(__xludf.DUMMYFUNCTION("""COMPUTED_VALUE"""),3454.0)</f>
        <v>3454</v>
      </c>
    </row>
    <row r="1755">
      <c r="A1755" s="1">
        <v>3471377.0</v>
      </c>
      <c r="B1755" s="1" t="s">
        <v>3772</v>
      </c>
      <c r="C1755" s="1" t="s">
        <v>3667</v>
      </c>
      <c r="D1755" s="1" t="s">
        <v>3691</v>
      </c>
      <c r="E1755" s="1" t="s">
        <v>3773</v>
      </c>
      <c r="F1755" s="1" t="s">
        <v>16</v>
      </c>
      <c r="G1755" s="1" t="s">
        <v>23</v>
      </c>
      <c r="H1755" s="1" t="s">
        <v>18</v>
      </c>
      <c r="I1755" s="1" t="s">
        <v>29</v>
      </c>
      <c r="J1755" s="1">
        <f>IFERROR(__xludf.DUMMYFUNCTION("""COMPUTED_VALUE"""),53.0)</f>
        <v>53</v>
      </c>
      <c r="K1755" s="1">
        <v>35.0</v>
      </c>
      <c r="L1755" s="1">
        <f>IFERROR(__xludf.DUMMYFUNCTION("""COMPUTED_VALUE"""),171.0)</f>
        <v>171</v>
      </c>
    </row>
    <row r="1756">
      <c r="A1756" s="1">
        <v>3404210.0</v>
      </c>
      <c r="B1756" s="1" t="s">
        <v>3774</v>
      </c>
      <c r="C1756" s="1" t="s">
        <v>3667</v>
      </c>
      <c r="D1756" s="1" t="s">
        <v>3673</v>
      </c>
      <c r="E1756" s="1" t="s">
        <v>3775</v>
      </c>
      <c r="F1756" s="1" t="s">
        <v>16</v>
      </c>
      <c r="G1756" s="1" t="s">
        <v>17</v>
      </c>
      <c r="H1756" s="1" t="s">
        <v>18</v>
      </c>
      <c r="I1756" s="1" t="s">
        <v>684</v>
      </c>
      <c r="J1756" s="1">
        <f>IFERROR(__xludf.DUMMYFUNCTION("""COMPUTED_VALUE"""),102.0)</f>
        <v>102</v>
      </c>
      <c r="K1756" s="1">
        <v>28.0</v>
      </c>
      <c r="L1756" s="1">
        <f>IFERROR(__xludf.DUMMYFUNCTION("""COMPUTED_VALUE"""),182.0)</f>
        <v>182</v>
      </c>
    </row>
    <row r="1757">
      <c r="A1757" s="1">
        <v>3404187.0</v>
      </c>
      <c r="B1757" s="1" t="s">
        <v>3776</v>
      </c>
      <c r="C1757" s="1" t="s">
        <v>3667</v>
      </c>
      <c r="D1757" s="1" t="s">
        <v>3673</v>
      </c>
      <c r="E1757" s="1" t="s">
        <v>3777</v>
      </c>
      <c r="F1757" s="1" t="s">
        <v>55</v>
      </c>
      <c r="G1757" s="1" t="s">
        <v>17</v>
      </c>
      <c r="H1757" s="1" t="s">
        <v>18</v>
      </c>
      <c r="I1757" s="1" t="s">
        <v>44</v>
      </c>
      <c r="J1757" s="1">
        <f>IFERROR(__xludf.DUMMYFUNCTION("""COMPUTED_VALUE"""),49.0)</f>
        <v>49</v>
      </c>
      <c r="K1757" s="1">
        <v>32.0</v>
      </c>
      <c r="L1757" s="1">
        <f>IFERROR(__xludf.DUMMYFUNCTION("""COMPUTED_VALUE"""),199.0)</f>
        <v>199</v>
      </c>
    </row>
    <row r="1758">
      <c r="A1758" s="1">
        <v>3404022.0</v>
      </c>
      <c r="B1758" s="1" t="s">
        <v>3778</v>
      </c>
      <c r="C1758" s="1" t="s">
        <v>3667</v>
      </c>
      <c r="D1758" s="1" t="s">
        <v>3673</v>
      </c>
      <c r="E1758" s="1" t="s">
        <v>3779</v>
      </c>
      <c r="F1758" s="1" t="s">
        <v>174</v>
      </c>
      <c r="G1758" s="1" t="s">
        <v>150</v>
      </c>
      <c r="H1758" s="1" t="s">
        <v>28</v>
      </c>
      <c r="I1758" s="1" t="s">
        <v>139</v>
      </c>
      <c r="J1758" s="1">
        <f>IFERROR(__xludf.DUMMYFUNCTION("""COMPUTED_VALUE"""),202.0)</f>
        <v>202</v>
      </c>
      <c r="K1758" s="1">
        <v>59.0</v>
      </c>
      <c r="L1758" s="1">
        <f>IFERROR(__xludf.DUMMYFUNCTION("""COMPUTED_VALUE"""),395.0)</f>
        <v>395</v>
      </c>
    </row>
    <row r="1759">
      <c r="A1759" s="1">
        <v>3402080.0</v>
      </c>
      <c r="B1759" s="1" t="s">
        <v>3780</v>
      </c>
      <c r="C1759" s="1" t="s">
        <v>3667</v>
      </c>
      <c r="D1759" s="1" t="s">
        <v>3700</v>
      </c>
      <c r="E1759" s="1" t="s">
        <v>3781</v>
      </c>
      <c r="F1759" s="1" t="s">
        <v>55</v>
      </c>
      <c r="G1759" s="1" t="s">
        <v>17</v>
      </c>
      <c r="H1759" s="1" t="s">
        <v>18</v>
      </c>
      <c r="I1759" s="1" t="s">
        <v>44</v>
      </c>
      <c r="J1759" s="1">
        <f>IFERROR(__xludf.DUMMYFUNCTION("""COMPUTED_VALUE"""),25.0)</f>
        <v>25</v>
      </c>
      <c r="K1759" s="1">
        <v>16.0</v>
      </c>
      <c r="L1759" s="1">
        <f>IFERROR(__xludf.DUMMYFUNCTION("""COMPUTED_VALUE"""),32.0)</f>
        <v>32</v>
      </c>
    </row>
    <row r="1760">
      <c r="A1760" s="1">
        <v>3403026.0</v>
      </c>
      <c r="B1760" s="1" t="s">
        <v>3782</v>
      </c>
      <c r="C1760" s="1" t="s">
        <v>3667</v>
      </c>
      <c r="D1760" s="1" t="s">
        <v>3680</v>
      </c>
      <c r="E1760" s="1" t="s">
        <v>3783</v>
      </c>
      <c r="F1760" s="1" t="s">
        <v>55</v>
      </c>
      <c r="G1760" s="1" t="s">
        <v>17</v>
      </c>
      <c r="H1760" s="1" t="s">
        <v>18</v>
      </c>
      <c r="I1760" s="1" t="s">
        <v>19</v>
      </c>
      <c r="J1760" s="1">
        <f>IFERROR(__xludf.DUMMYFUNCTION("""COMPUTED_VALUE"""),28.0)</f>
        <v>28</v>
      </c>
      <c r="K1760" s="1">
        <v>21.0</v>
      </c>
      <c r="L1760" s="1">
        <f>IFERROR(__xludf.DUMMYFUNCTION("""COMPUTED_VALUE"""),16.0)</f>
        <v>16</v>
      </c>
    </row>
    <row r="1761">
      <c r="A1761" s="1">
        <v>3471121.0</v>
      </c>
      <c r="B1761" s="1" t="s">
        <v>3784</v>
      </c>
      <c r="C1761" s="1" t="s">
        <v>3667</v>
      </c>
      <c r="D1761" s="1" t="s">
        <v>3700</v>
      </c>
      <c r="E1761" s="1" t="s">
        <v>3785</v>
      </c>
      <c r="F1761" s="1" t="s">
        <v>473</v>
      </c>
      <c r="G1761" s="1" t="s">
        <v>17</v>
      </c>
      <c r="H1761" s="1" t="s">
        <v>18</v>
      </c>
      <c r="I1761" s="1" t="s">
        <v>139</v>
      </c>
      <c r="J1761" s="1">
        <f>IFERROR(__xludf.DUMMYFUNCTION("""COMPUTED_VALUE"""),25.0)</f>
        <v>25</v>
      </c>
      <c r="K1761" s="1">
        <v>27.0</v>
      </c>
      <c r="L1761" s="1">
        <f>IFERROR(__xludf.DUMMYFUNCTION("""COMPUTED_VALUE"""),147.0)</f>
        <v>147</v>
      </c>
    </row>
    <row r="1762">
      <c r="A1762" s="1">
        <v>3471234.0</v>
      </c>
      <c r="B1762" s="1" t="s">
        <v>3786</v>
      </c>
      <c r="C1762" s="1" t="s">
        <v>3667</v>
      </c>
      <c r="D1762" s="1" t="s">
        <v>3691</v>
      </c>
      <c r="E1762" s="1" t="s">
        <v>3787</v>
      </c>
      <c r="F1762" s="1" t="s">
        <v>16</v>
      </c>
      <c r="G1762" s="1" t="s">
        <v>27</v>
      </c>
      <c r="H1762" s="1" t="s">
        <v>28</v>
      </c>
      <c r="I1762" s="1" t="s">
        <v>29</v>
      </c>
      <c r="J1762" s="1">
        <f>IFERROR(__xludf.DUMMYFUNCTION("""COMPUTED_VALUE"""),210.0)</f>
        <v>210</v>
      </c>
      <c r="K1762" s="1">
        <v>90.0</v>
      </c>
      <c r="L1762" s="1">
        <f>IFERROR(__xludf.DUMMYFUNCTION("""COMPUTED_VALUE"""),479.0)</f>
        <v>479</v>
      </c>
    </row>
    <row r="1763">
      <c r="A1763" s="1">
        <v>3404168.0</v>
      </c>
      <c r="B1763" s="1" t="s">
        <v>3788</v>
      </c>
      <c r="C1763" s="1" t="s">
        <v>3667</v>
      </c>
      <c r="D1763" s="1" t="s">
        <v>3673</v>
      </c>
      <c r="E1763" s="1" t="s">
        <v>3789</v>
      </c>
      <c r="F1763" s="1" t="s">
        <v>16</v>
      </c>
      <c r="G1763" s="1" t="s">
        <v>17</v>
      </c>
      <c r="H1763" s="1" t="s">
        <v>28</v>
      </c>
      <c r="I1763" s="1" t="s">
        <v>40</v>
      </c>
      <c r="J1763" s="1">
        <f>IFERROR(__xludf.DUMMYFUNCTION("""COMPUTED_VALUE"""),104.0)</f>
        <v>104</v>
      </c>
      <c r="K1763" s="1">
        <v>37.0</v>
      </c>
      <c r="L1763" s="1">
        <f>IFERROR(__xludf.DUMMYFUNCTION("""COMPUTED_VALUE"""),248.0)</f>
        <v>248</v>
      </c>
    </row>
    <row r="1764">
      <c r="A1764" s="1">
        <v>3402020.0</v>
      </c>
      <c r="B1764" s="1" t="s">
        <v>3790</v>
      </c>
      <c r="C1764" s="1" t="s">
        <v>3667</v>
      </c>
      <c r="D1764" s="1" t="s">
        <v>3700</v>
      </c>
      <c r="E1764" s="1" t="s">
        <v>3791</v>
      </c>
      <c r="F1764" s="1" t="s">
        <v>16</v>
      </c>
      <c r="G1764" s="1" t="s">
        <v>23</v>
      </c>
      <c r="H1764" s="1" t="s">
        <v>18</v>
      </c>
      <c r="I1764" s="1" t="s">
        <v>249</v>
      </c>
      <c r="J1764" s="1">
        <f>IFERROR(__xludf.DUMMYFUNCTION("""COMPUTED_VALUE"""),48.0)</f>
        <v>48</v>
      </c>
      <c r="K1764" s="1">
        <v>43.0</v>
      </c>
      <c r="L1764" s="1">
        <f>IFERROR(__xludf.DUMMYFUNCTION("""COMPUTED_VALUE"""),205.0)</f>
        <v>205</v>
      </c>
    </row>
    <row r="1765">
      <c r="A1765" s="1">
        <v>3471030.0</v>
      </c>
      <c r="B1765" s="1" t="s">
        <v>3792</v>
      </c>
      <c r="C1765" s="1" t="s">
        <v>3667</v>
      </c>
      <c r="D1765" s="1" t="s">
        <v>3691</v>
      </c>
      <c r="E1765" s="1" t="s">
        <v>3793</v>
      </c>
      <c r="F1765" s="1" t="s">
        <v>16</v>
      </c>
      <c r="G1765" s="1" t="s">
        <v>17</v>
      </c>
      <c r="H1765" s="1" t="s">
        <v>18</v>
      </c>
      <c r="I1765" s="1" t="s">
        <v>74</v>
      </c>
      <c r="J1765" s="1">
        <f>IFERROR(__xludf.DUMMYFUNCTION("""COMPUTED_VALUE"""),102.0)</f>
        <v>102</v>
      </c>
      <c r="K1765" s="1">
        <v>74.0</v>
      </c>
      <c r="L1765" s="1">
        <f>IFERROR(__xludf.DUMMYFUNCTION("""COMPUTED_VALUE"""),235.0)</f>
        <v>235</v>
      </c>
    </row>
    <row r="1766">
      <c r="A1766" s="1">
        <v>3402081.0</v>
      </c>
      <c r="B1766" s="1" t="s">
        <v>3794</v>
      </c>
      <c r="C1766" s="1" t="s">
        <v>3667</v>
      </c>
      <c r="D1766" s="1" t="s">
        <v>3700</v>
      </c>
      <c r="E1766" s="1" t="s">
        <v>3795</v>
      </c>
      <c r="F1766" s="1" t="s">
        <v>255</v>
      </c>
      <c r="G1766" s="1" t="s">
        <v>17</v>
      </c>
      <c r="H1766" s="1" t="s">
        <v>18</v>
      </c>
      <c r="I1766" s="1" t="s">
        <v>19</v>
      </c>
      <c r="J1766" s="1">
        <f>IFERROR(__xludf.DUMMYFUNCTION("""COMPUTED_VALUE"""),25.0)</f>
        <v>25</v>
      </c>
      <c r="K1766" s="1">
        <v>15.0</v>
      </c>
      <c r="L1766" s="1">
        <f>IFERROR(__xludf.DUMMYFUNCTION("""COMPUTED_VALUE"""),43.0)</f>
        <v>43</v>
      </c>
    </row>
    <row r="1767">
      <c r="A1767" s="1">
        <v>3404184.0</v>
      </c>
      <c r="B1767" s="1" t="s">
        <v>3796</v>
      </c>
      <c r="C1767" s="1" t="s">
        <v>3667</v>
      </c>
      <c r="D1767" s="1" t="s">
        <v>3673</v>
      </c>
      <c r="E1767" s="1" t="s">
        <v>3797</v>
      </c>
      <c r="F1767" s="1" t="s">
        <v>16</v>
      </c>
      <c r="G1767" s="1" t="s">
        <v>23</v>
      </c>
      <c r="H1767" s="1" t="s">
        <v>33</v>
      </c>
      <c r="I1767" s="1" t="s">
        <v>65</v>
      </c>
      <c r="J1767" s="1">
        <f>IFERROR(__xludf.DUMMYFUNCTION("""COMPUTED_VALUE"""),60.0)</f>
        <v>60</v>
      </c>
      <c r="K1767" s="1">
        <v>51.0</v>
      </c>
      <c r="L1767" s="1">
        <f>IFERROR(__xludf.DUMMYFUNCTION("""COMPUTED_VALUE"""),62.0)</f>
        <v>62</v>
      </c>
    </row>
    <row r="1768">
      <c r="A1768" s="1">
        <v>3404070.0</v>
      </c>
      <c r="B1768" s="1" t="s">
        <v>3798</v>
      </c>
      <c r="C1768" s="1" t="s">
        <v>3667</v>
      </c>
      <c r="D1768" s="1" t="s">
        <v>3673</v>
      </c>
      <c r="E1768" s="1" t="s">
        <v>3799</v>
      </c>
      <c r="F1768" s="1" t="s">
        <v>255</v>
      </c>
      <c r="G1768" s="1" t="s">
        <v>17</v>
      </c>
      <c r="H1768" s="1" t="s">
        <v>18</v>
      </c>
      <c r="I1768" s="1" t="s">
        <v>59</v>
      </c>
      <c r="J1768" s="1">
        <f>IFERROR(__xludf.DUMMYFUNCTION("""COMPUTED_VALUE"""),35.0)</f>
        <v>35</v>
      </c>
      <c r="K1768" s="1">
        <v>30.0</v>
      </c>
      <c r="L1768" s="1">
        <f>IFERROR(__xludf.DUMMYFUNCTION("""COMPUTED_VALUE"""),152.0)</f>
        <v>152</v>
      </c>
    </row>
    <row r="1769">
      <c r="A1769" s="1">
        <v>3471325.0</v>
      </c>
      <c r="B1769" s="1" t="s">
        <v>3800</v>
      </c>
      <c r="C1769" s="1" t="s">
        <v>3667</v>
      </c>
      <c r="D1769" s="1" t="s">
        <v>3691</v>
      </c>
      <c r="E1769" s="1" t="s">
        <v>3801</v>
      </c>
      <c r="F1769" s="1" t="s">
        <v>55</v>
      </c>
      <c r="G1769" s="1" t="s">
        <v>17</v>
      </c>
      <c r="H1769" s="1" t="s">
        <v>18</v>
      </c>
      <c r="I1769" s="1" t="s">
        <v>59</v>
      </c>
      <c r="J1769" s="1">
        <f>IFERROR(__xludf.DUMMYFUNCTION("""COMPUTED_VALUE"""),23.0)</f>
        <v>23</v>
      </c>
      <c r="K1769" s="1">
        <v>16.0</v>
      </c>
      <c r="L1769" s="1">
        <f>IFERROR(__xludf.DUMMYFUNCTION("""COMPUTED_VALUE"""),47.0)</f>
        <v>47</v>
      </c>
    </row>
    <row r="1770">
      <c r="A1770" s="1">
        <v>3402042.0</v>
      </c>
      <c r="B1770" s="1" t="s">
        <v>3802</v>
      </c>
      <c r="C1770" s="1" t="s">
        <v>3667</v>
      </c>
      <c r="D1770" s="1" t="s">
        <v>3700</v>
      </c>
      <c r="E1770" s="1" t="s">
        <v>3803</v>
      </c>
      <c r="F1770" s="1" t="s">
        <v>55</v>
      </c>
      <c r="G1770" s="1" t="s">
        <v>17</v>
      </c>
      <c r="H1770" s="1" t="s">
        <v>18</v>
      </c>
      <c r="I1770" s="1" t="s">
        <v>59</v>
      </c>
      <c r="J1770" s="1">
        <f>IFERROR(__xludf.DUMMYFUNCTION("""COMPUTED_VALUE"""),25.0)</f>
        <v>25</v>
      </c>
      <c r="K1770" s="1">
        <v>6.0</v>
      </c>
      <c r="L1770" s="1">
        <f>IFERROR(__xludf.DUMMYFUNCTION("""COMPUTED_VALUE"""),72.0)</f>
        <v>72</v>
      </c>
    </row>
    <row r="1771">
      <c r="A1771" s="1">
        <v>3471052.0</v>
      </c>
      <c r="B1771" s="1" t="s">
        <v>3804</v>
      </c>
      <c r="C1771" s="1" t="s">
        <v>3667</v>
      </c>
      <c r="D1771" s="1" t="s">
        <v>3691</v>
      </c>
      <c r="E1771" s="1" t="s">
        <v>3805</v>
      </c>
      <c r="F1771" s="1" t="s">
        <v>16</v>
      </c>
      <c r="G1771" s="1" t="s">
        <v>27</v>
      </c>
      <c r="H1771" s="1" t="s">
        <v>18</v>
      </c>
      <c r="I1771" s="1" t="s">
        <v>59</v>
      </c>
      <c r="J1771" s="1">
        <f>IFERROR(__xludf.DUMMYFUNCTION("""COMPUTED_VALUE"""),300.0)</f>
        <v>300</v>
      </c>
      <c r="K1771" s="1">
        <v>115.0</v>
      </c>
      <c r="L1771" s="1">
        <f>IFERROR(__xludf.DUMMYFUNCTION("""COMPUTED_VALUE"""),1508.0)</f>
        <v>1508</v>
      </c>
    </row>
    <row r="1772">
      <c r="A1772" s="1">
        <v>3402064.0</v>
      </c>
      <c r="B1772" s="1" t="s">
        <v>3806</v>
      </c>
      <c r="C1772" s="1" t="s">
        <v>3667</v>
      </c>
      <c r="D1772" s="1" t="s">
        <v>3700</v>
      </c>
      <c r="E1772" s="1" t="s">
        <v>3807</v>
      </c>
      <c r="F1772" s="1" t="s">
        <v>16</v>
      </c>
      <c r="G1772" s="1" t="s">
        <v>17</v>
      </c>
      <c r="H1772" s="1" t="s">
        <v>18</v>
      </c>
      <c r="I1772" s="1" t="s">
        <v>59</v>
      </c>
      <c r="J1772" s="1">
        <f>IFERROR(__xludf.DUMMYFUNCTION("""COMPUTED_VALUE"""),98.0)</f>
        <v>98</v>
      </c>
      <c r="K1772" s="1">
        <v>23.0</v>
      </c>
      <c r="L1772" s="1">
        <f>IFERROR(__xludf.DUMMYFUNCTION("""COMPUTED_VALUE"""),154.0)</f>
        <v>154</v>
      </c>
    </row>
    <row r="1773">
      <c r="A1773" s="1">
        <v>3403027.0</v>
      </c>
      <c r="B1773" s="1" t="s">
        <v>3808</v>
      </c>
      <c r="C1773" s="1" t="s">
        <v>3667</v>
      </c>
      <c r="D1773" s="1" t="s">
        <v>3680</v>
      </c>
      <c r="E1773" s="1" t="s">
        <v>3809</v>
      </c>
      <c r="F1773" s="1" t="s">
        <v>16</v>
      </c>
      <c r="G1773" s="1" t="s">
        <v>23</v>
      </c>
      <c r="H1773" s="1" t="s">
        <v>28</v>
      </c>
      <c r="I1773" s="1" t="s">
        <v>40</v>
      </c>
      <c r="J1773" s="1">
        <f>IFERROR(__xludf.DUMMYFUNCTION("""COMPUTED_VALUE"""),69.0)</f>
        <v>69</v>
      </c>
      <c r="K1773" s="1">
        <v>27.0</v>
      </c>
      <c r="L1773" s="1">
        <f>IFERROR(__xludf.DUMMYFUNCTION("""COMPUTED_VALUE"""),19.0)</f>
        <v>19</v>
      </c>
    </row>
    <row r="1774">
      <c r="A1774" s="1">
        <v>3402076.0</v>
      </c>
      <c r="B1774" s="1" t="s">
        <v>3810</v>
      </c>
      <c r="C1774" s="1" t="s">
        <v>3667</v>
      </c>
      <c r="D1774" s="1" t="s">
        <v>3700</v>
      </c>
      <c r="E1774" s="1" t="s">
        <v>3811</v>
      </c>
      <c r="F1774" s="1" t="s">
        <v>255</v>
      </c>
      <c r="G1774" s="1" t="s">
        <v>17</v>
      </c>
      <c r="H1774" s="1" t="s">
        <v>18</v>
      </c>
      <c r="I1774" s="1" t="s">
        <v>19</v>
      </c>
      <c r="J1774" s="1">
        <f>IFERROR(__xludf.DUMMYFUNCTION("""COMPUTED_VALUE"""),25.0)</f>
        <v>25</v>
      </c>
      <c r="K1774" s="1">
        <v>21.0</v>
      </c>
      <c r="L1774" s="1">
        <f>IFERROR(__xludf.DUMMYFUNCTION("""COMPUTED_VALUE"""),110.0)</f>
        <v>110</v>
      </c>
    </row>
    <row r="1775">
      <c r="A1775" s="1">
        <v>3404124.0</v>
      </c>
      <c r="B1775" s="1" t="s">
        <v>3812</v>
      </c>
      <c r="C1775" s="1" t="s">
        <v>3667</v>
      </c>
      <c r="D1775" s="1" t="s">
        <v>3673</v>
      </c>
      <c r="E1775" s="1" t="s">
        <v>3813</v>
      </c>
      <c r="F1775" s="1" t="s">
        <v>16</v>
      </c>
      <c r="G1775" s="1" t="s">
        <v>23</v>
      </c>
      <c r="H1775" s="1" t="s">
        <v>18</v>
      </c>
      <c r="I1775" s="1" t="s">
        <v>59</v>
      </c>
      <c r="J1775" s="1">
        <f>IFERROR(__xludf.DUMMYFUNCTION("""COMPUTED_VALUE"""),50.0)</f>
        <v>50</v>
      </c>
      <c r="K1775" s="1">
        <v>43.0</v>
      </c>
      <c r="L1775" s="1">
        <f>IFERROR(__xludf.DUMMYFUNCTION("""COMPUTED_VALUE"""),144.0)</f>
        <v>144</v>
      </c>
    </row>
    <row r="1776">
      <c r="A1776" s="1">
        <v>3471362.0</v>
      </c>
      <c r="B1776" s="1" t="s">
        <v>3814</v>
      </c>
      <c r="C1776" s="1" t="s">
        <v>3667</v>
      </c>
      <c r="D1776" s="1" t="s">
        <v>3673</v>
      </c>
      <c r="E1776" s="1" t="s">
        <v>3815</v>
      </c>
      <c r="F1776" s="1" t="s">
        <v>32</v>
      </c>
      <c r="G1776" s="1" t="s">
        <v>27</v>
      </c>
      <c r="H1776" s="1" t="s">
        <v>18</v>
      </c>
      <c r="I1776" s="1" t="s">
        <v>113</v>
      </c>
      <c r="J1776" s="1">
        <f>IFERROR(__xludf.DUMMYFUNCTION("""COMPUTED_VALUE"""),12.0)</f>
        <v>12</v>
      </c>
      <c r="K1776" s="1">
        <v>18.0</v>
      </c>
      <c r="L1776" s="1">
        <f>IFERROR(__xludf.DUMMYFUNCTION("""COMPUTED_VALUE"""),142.0)</f>
        <v>142</v>
      </c>
    </row>
    <row r="1777">
      <c r="A1777" s="1">
        <v>3402075.0</v>
      </c>
      <c r="B1777" s="1" t="s">
        <v>3816</v>
      </c>
      <c r="C1777" s="1" t="s">
        <v>3667</v>
      </c>
      <c r="D1777" s="1" t="s">
        <v>3700</v>
      </c>
      <c r="E1777" s="1" t="s">
        <v>3817</v>
      </c>
      <c r="F1777" s="1" t="s">
        <v>16</v>
      </c>
      <c r="G1777" s="1" t="s">
        <v>23</v>
      </c>
      <c r="H1777" s="1" t="s">
        <v>18</v>
      </c>
      <c r="I1777" s="1" t="s">
        <v>59</v>
      </c>
      <c r="J1777" s="1">
        <f>IFERROR(__xludf.DUMMYFUNCTION("""COMPUTED_VALUE"""),50.0)</f>
        <v>50</v>
      </c>
      <c r="K1777" s="1">
        <v>31.0</v>
      </c>
      <c r="L1777" s="1">
        <f>IFERROR(__xludf.DUMMYFUNCTION("""COMPUTED_VALUE"""),44.0)</f>
        <v>44</v>
      </c>
    </row>
    <row r="1778">
      <c r="A1778" s="1">
        <v>3403010.0</v>
      </c>
      <c r="B1778" s="1" t="s">
        <v>3818</v>
      </c>
      <c r="C1778" s="1" t="s">
        <v>3667</v>
      </c>
      <c r="D1778" s="1" t="s">
        <v>3680</v>
      </c>
      <c r="E1778" s="1" t="s">
        <v>3819</v>
      </c>
      <c r="F1778" s="1" t="s">
        <v>16</v>
      </c>
      <c r="G1778" s="1" t="s">
        <v>27</v>
      </c>
      <c r="H1778" s="1" t="s">
        <v>28</v>
      </c>
      <c r="I1778" s="1" t="s">
        <v>40</v>
      </c>
      <c r="J1778" s="1">
        <f>IFERROR(__xludf.DUMMYFUNCTION("""COMPUTED_VALUE"""),207.0)</f>
        <v>207</v>
      </c>
      <c r="K1778" s="1">
        <v>113.0</v>
      </c>
      <c r="L1778" s="1">
        <f>IFERROR(__xludf.DUMMYFUNCTION("""COMPUTED_VALUE"""),379.0)</f>
        <v>379</v>
      </c>
    </row>
    <row r="1779">
      <c r="A1779" s="1">
        <v>3471380.0</v>
      </c>
      <c r="B1779" s="1" t="s">
        <v>3820</v>
      </c>
      <c r="C1779" s="1" t="s">
        <v>3667</v>
      </c>
      <c r="D1779" s="1" t="s">
        <v>3691</v>
      </c>
      <c r="E1779" s="1" t="s">
        <v>3821</v>
      </c>
      <c r="F1779" s="1" t="s">
        <v>16</v>
      </c>
      <c r="G1779" s="1" t="s">
        <v>17</v>
      </c>
      <c r="H1779" s="1" t="s">
        <v>18</v>
      </c>
      <c r="I1779" s="1" t="s">
        <v>44</v>
      </c>
      <c r="J1779" s="1">
        <f>IFERROR(__xludf.DUMMYFUNCTION("""COMPUTED_VALUE"""),103.0)</f>
        <v>103</v>
      </c>
      <c r="K1779" s="1">
        <v>62.0</v>
      </c>
      <c r="L1779" s="1">
        <f>IFERROR(__xludf.DUMMYFUNCTION("""COMPUTED_VALUE"""),243.0)</f>
        <v>243</v>
      </c>
    </row>
    <row r="1780">
      <c r="A1780" s="1">
        <v>3401058.0</v>
      </c>
      <c r="B1780" s="1" t="s">
        <v>3822</v>
      </c>
      <c r="C1780" s="1" t="s">
        <v>3667</v>
      </c>
      <c r="D1780" s="1" t="s">
        <v>3668</v>
      </c>
      <c r="E1780" s="1" t="s">
        <v>3823</v>
      </c>
      <c r="F1780" s="1" t="s">
        <v>16</v>
      </c>
      <c r="G1780" s="1" t="s">
        <v>23</v>
      </c>
      <c r="H1780" s="1" t="s">
        <v>18</v>
      </c>
      <c r="I1780" s="1" t="s">
        <v>19</v>
      </c>
      <c r="J1780" s="1">
        <f>IFERROR(__xludf.DUMMYFUNCTION("""COMPUTED_VALUE"""),50.0)</f>
        <v>50</v>
      </c>
      <c r="K1780" s="1">
        <v>32.0</v>
      </c>
      <c r="L1780" s="1">
        <f>IFERROR(__xludf.DUMMYFUNCTION("""COMPUTED_VALUE"""),21.0)</f>
        <v>21</v>
      </c>
    </row>
    <row r="1781">
      <c r="A1781" s="1">
        <v>3471074.0</v>
      </c>
      <c r="B1781" s="1" t="s">
        <v>3824</v>
      </c>
      <c r="C1781" s="1" t="s">
        <v>3667</v>
      </c>
      <c r="D1781" s="1" t="s">
        <v>3700</v>
      </c>
      <c r="E1781" s="1" t="s">
        <v>3825</v>
      </c>
      <c r="F1781" s="1" t="s">
        <v>16</v>
      </c>
      <c r="G1781" s="1" t="s">
        <v>27</v>
      </c>
      <c r="H1781" s="1" t="s">
        <v>18</v>
      </c>
      <c r="I1781" s="1" t="s">
        <v>563</v>
      </c>
      <c r="J1781" s="1">
        <f>IFERROR(__xludf.DUMMYFUNCTION("""COMPUTED_VALUE"""),285.0)</f>
        <v>285</v>
      </c>
      <c r="K1781" s="1">
        <v>104.0</v>
      </c>
      <c r="L1781" s="1">
        <f>IFERROR(__xludf.DUMMYFUNCTION("""COMPUTED_VALUE"""),54.0)</f>
        <v>54</v>
      </c>
    </row>
    <row r="1782">
      <c r="A1782" s="1">
        <v>3404045.0</v>
      </c>
      <c r="B1782" s="1" t="s">
        <v>3826</v>
      </c>
      <c r="C1782" s="1" t="s">
        <v>3667</v>
      </c>
      <c r="D1782" s="1" t="s">
        <v>3673</v>
      </c>
      <c r="E1782" s="1" t="s">
        <v>3827</v>
      </c>
      <c r="F1782" s="1" t="s">
        <v>16</v>
      </c>
      <c r="G1782" s="1" t="s">
        <v>23</v>
      </c>
      <c r="H1782" s="1" t="s">
        <v>18</v>
      </c>
      <c r="I1782" s="1" t="s">
        <v>19</v>
      </c>
      <c r="J1782" s="1">
        <f>IFERROR(__xludf.DUMMYFUNCTION("""COMPUTED_VALUE"""),100.0)</f>
        <v>100</v>
      </c>
      <c r="K1782" s="1">
        <v>51.0</v>
      </c>
      <c r="L1782" s="1">
        <f>IFERROR(__xludf.DUMMYFUNCTION("""COMPUTED_VALUE"""),153.0)</f>
        <v>153</v>
      </c>
    </row>
    <row r="1783">
      <c r="A1783" s="1">
        <v>3404180.0</v>
      </c>
      <c r="B1783" s="1" t="s">
        <v>3828</v>
      </c>
      <c r="C1783" s="1" t="s">
        <v>3667</v>
      </c>
      <c r="D1783" s="1" t="s">
        <v>3673</v>
      </c>
      <c r="E1783" s="1" t="s">
        <v>3829</v>
      </c>
      <c r="F1783" s="1" t="s">
        <v>55</v>
      </c>
      <c r="G1783" s="1" t="s">
        <v>17</v>
      </c>
      <c r="H1783" s="1" t="s">
        <v>18</v>
      </c>
      <c r="I1783" s="1" t="s">
        <v>59</v>
      </c>
      <c r="J1783" s="1">
        <f>IFERROR(__xludf.DUMMYFUNCTION("""COMPUTED_VALUE"""),25.0)</f>
        <v>25</v>
      </c>
      <c r="K1783" s="1">
        <v>14.0</v>
      </c>
      <c r="L1783" s="1">
        <f>IFERROR(__xludf.DUMMYFUNCTION("""COMPUTED_VALUE"""),25.0)</f>
        <v>25</v>
      </c>
    </row>
    <row r="1784">
      <c r="A1784" s="1">
        <v>3526011.0</v>
      </c>
      <c r="B1784" s="1" t="s">
        <v>3830</v>
      </c>
      <c r="C1784" s="1" t="s">
        <v>3831</v>
      </c>
      <c r="D1784" s="1" t="s">
        <v>3832</v>
      </c>
      <c r="E1784" s="1" t="s">
        <v>3833</v>
      </c>
      <c r="F1784" s="1" t="s">
        <v>16</v>
      </c>
      <c r="G1784" s="1" t="s">
        <v>27</v>
      </c>
      <c r="H1784" s="1" t="s">
        <v>28</v>
      </c>
      <c r="I1784" s="1" t="s">
        <v>40</v>
      </c>
      <c r="J1784" s="1">
        <f>IFERROR(__xludf.DUMMYFUNCTION("""COMPUTED_VALUE"""),372.0)</f>
        <v>372</v>
      </c>
      <c r="K1784" s="1">
        <v>57.0</v>
      </c>
      <c r="L1784" s="1">
        <f>IFERROR(__xludf.DUMMYFUNCTION("""COMPUTED_VALUE"""),1101.0)</f>
        <v>1101</v>
      </c>
    </row>
    <row r="1785">
      <c r="A1785" s="1">
        <v>3518045.0</v>
      </c>
      <c r="B1785" s="1" t="s">
        <v>3834</v>
      </c>
      <c r="C1785" s="1" t="s">
        <v>3831</v>
      </c>
      <c r="D1785" s="1" t="s">
        <v>3835</v>
      </c>
      <c r="E1785" s="1" t="s">
        <v>3836</v>
      </c>
      <c r="F1785" s="1" t="s">
        <v>16</v>
      </c>
      <c r="G1785" s="1" t="s">
        <v>17</v>
      </c>
      <c r="H1785" s="1" t="s">
        <v>33</v>
      </c>
      <c r="I1785" s="1" t="s">
        <v>65</v>
      </c>
      <c r="J1785" s="1">
        <f>IFERROR(__xludf.DUMMYFUNCTION("""COMPUTED_VALUE"""),166.0)</f>
        <v>166</v>
      </c>
      <c r="K1785" s="1">
        <v>40.0</v>
      </c>
      <c r="L1785" s="1">
        <f>IFERROR(__xludf.DUMMYFUNCTION("""COMPUTED_VALUE"""),327.0)</f>
        <v>327</v>
      </c>
    </row>
    <row r="1786">
      <c r="A1786" s="1">
        <v>3521014.0</v>
      </c>
      <c r="B1786" s="1" t="s">
        <v>3837</v>
      </c>
      <c r="C1786" s="1" t="s">
        <v>3831</v>
      </c>
      <c r="D1786" s="1" t="s">
        <v>3838</v>
      </c>
      <c r="E1786" s="1" t="s">
        <v>3839</v>
      </c>
      <c r="F1786" s="1" t="s">
        <v>16</v>
      </c>
      <c r="G1786" s="1" t="s">
        <v>17</v>
      </c>
      <c r="H1786" s="1" t="s">
        <v>18</v>
      </c>
      <c r="I1786" s="1" t="s">
        <v>19</v>
      </c>
      <c r="J1786" s="1">
        <f>IFERROR(__xludf.DUMMYFUNCTION("""COMPUTED_VALUE"""),172.0)</f>
        <v>172</v>
      </c>
      <c r="K1786" s="1">
        <v>27.0</v>
      </c>
      <c r="L1786" s="1">
        <f>IFERROR(__xludf.DUMMYFUNCTION("""COMPUTED_VALUE"""),487.0)</f>
        <v>487</v>
      </c>
    </row>
    <row r="1787">
      <c r="A1787" s="1">
        <v>3528026.0</v>
      </c>
      <c r="B1787" s="1" t="s">
        <v>3840</v>
      </c>
      <c r="C1787" s="1" t="s">
        <v>3831</v>
      </c>
      <c r="D1787" s="1" t="s">
        <v>3841</v>
      </c>
      <c r="E1787" s="1" t="s">
        <v>3842</v>
      </c>
      <c r="F1787" s="1" t="s">
        <v>55</v>
      </c>
      <c r="G1787" s="1" t="s">
        <v>17</v>
      </c>
      <c r="H1787" s="1" t="s">
        <v>18</v>
      </c>
      <c r="I1787" s="1" t="s">
        <v>44</v>
      </c>
      <c r="J1787" s="1">
        <f>IFERROR(__xludf.DUMMYFUNCTION("""COMPUTED_VALUE"""),32.0)</f>
        <v>32</v>
      </c>
      <c r="K1787" s="1">
        <v>25.0</v>
      </c>
      <c r="L1787" s="1">
        <f>IFERROR(__xludf.DUMMYFUNCTION("""COMPUTED_VALUE"""),6.0)</f>
        <v>6</v>
      </c>
    </row>
    <row r="1788">
      <c r="A1788" s="1">
        <v>3510010.0</v>
      </c>
      <c r="B1788" s="1" t="s">
        <v>3843</v>
      </c>
      <c r="C1788" s="1" t="s">
        <v>3831</v>
      </c>
      <c r="D1788" s="1" t="s">
        <v>3844</v>
      </c>
      <c r="E1788" s="1" t="s">
        <v>3845</v>
      </c>
      <c r="F1788" s="1" t="s">
        <v>16</v>
      </c>
      <c r="G1788" s="1" t="s">
        <v>27</v>
      </c>
      <c r="H1788" s="1" t="s">
        <v>28</v>
      </c>
      <c r="I1788" s="1" t="s">
        <v>40</v>
      </c>
      <c r="J1788" s="1">
        <f>IFERROR(__xludf.DUMMYFUNCTION("""COMPUTED_VALUE"""),240.0)</f>
        <v>240</v>
      </c>
      <c r="K1788" s="1">
        <v>118.0</v>
      </c>
      <c r="L1788" s="1">
        <f>IFERROR(__xludf.DUMMYFUNCTION("""COMPUTED_VALUE"""),711.0)</f>
        <v>711</v>
      </c>
    </row>
    <row r="1789">
      <c r="A1789" s="1">
        <v>3578261.0</v>
      </c>
      <c r="B1789" s="1" t="s">
        <v>3846</v>
      </c>
      <c r="C1789" s="1" t="s">
        <v>3831</v>
      </c>
      <c r="D1789" s="1" t="s">
        <v>3847</v>
      </c>
      <c r="E1789" s="1" t="s">
        <v>3848</v>
      </c>
      <c r="F1789" s="1" t="s">
        <v>55</v>
      </c>
      <c r="G1789" s="1" t="s">
        <v>17</v>
      </c>
      <c r="H1789" s="1" t="s">
        <v>18</v>
      </c>
      <c r="I1789" s="1" t="s">
        <v>59</v>
      </c>
      <c r="J1789" s="1">
        <f>IFERROR(__xludf.DUMMYFUNCTION("""COMPUTED_VALUE"""),31.0)</f>
        <v>31</v>
      </c>
      <c r="K1789" s="1">
        <v>13.0</v>
      </c>
      <c r="L1789" s="1">
        <f>IFERROR(__xludf.DUMMYFUNCTION("""COMPUTED_VALUE"""),87.0)</f>
        <v>87</v>
      </c>
    </row>
    <row r="1790">
      <c r="A1790" s="1">
        <v>3504056.0</v>
      </c>
      <c r="B1790" s="1" t="s">
        <v>3849</v>
      </c>
      <c r="C1790" s="1" t="s">
        <v>3831</v>
      </c>
      <c r="D1790" s="1" t="s">
        <v>3850</v>
      </c>
      <c r="E1790" s="1" t="s">
        <v>3851</v>
      </c>
      <c r="F1790" s="1" t="s">
        <v>16</v>
      </c>
      <c r="G1790" s="1" t="s">
        <v>17</v>
      </c>
      <c r="H1790" s="1" t="s">
        <v>18</v>
      </c>
      <c r="I1790" s="1" t="s">
        <v>19</v>
      </c>
      <c r="J1790" s="1">
        <f>IFERROR(__xludf.DUMMYFUNCTION("""COMPUTED_VALUE"""),100.0)</f>
        <v>100</v>
      </c>
      <c r="K1790" s="1">
        <v>30.0</v>
      </c>
      <c r="L1790" s="1">
        <f>IFERROR(__xludf.DUMMYFUNCTION("""COMPUTED_VALUE"""),163.0)</f>
        <v>163</v>
      </c>
    </row>
    <row r="1791">
      <c r="A1791" s="1">
        <v>3513026.0</v>
      </c>
      <c r="B1791" s="1" t="s">
        <v>3852</v>
      </c>
      <c r="C1791" s="1" t="s">
        <v>3831</v>
      </c>
      <c r="D1791" s="1" t="s">
        <v>3853</v>
      </c>
      <c r="E1791" s="1" t="s">
        <v>3854</v>
      </c>
      <c r="F1791" s="1" t="s">
        <v>16</v>
      </c>
      <c r="G1791" s="1" t="s">
        <v>17</v>
      </c>
      <c r="H1791" s="1" t="s">
        <v>18</v>
      </c>
      <c r="I1791" s="1" t="s">
        <v>19</v>
      </c>
      <c r="J1791" s="1">
        <f>IFERROR(__xludf.DUMMYFUNCTION("""COMPUTED_VALUE"""),105.0)</f>
        <v>105</v>
      </c>
      <c r="K1791" s="1">
        <v>32.0</v>
      </c>
      <c r="L1791" s="1">
        <f>IFERROR(__xludf.DUMMYFUNCTION("""COMPUTED_VALUE"""),123.0)</f>
        <v>123</v>
      </c>
    </row>
    <row r="1792">
      <c r="A1792" s="1">
        <v>3524047.0</v>
      </c>
      <c r="B1792" s="1" t="s">
        <v>3855</v>
      </c>
      <c r="C1792" s="1" t="s">
        <v>3831</v>
      </c>
      <c r="D1792" s="1" t="s">
        <v>3856</v>
      </c>
      <c r="E1792" s="1" t="s">
        <v>3857</v>
      </c>
      <c r="F1792" s="1" t="s">
        <v>16</v>
      </c>
      <c r="G1792" s="1" t="s">
        <v>23</v>
      </c>
      <c r="H1792" s="1" t="s">
        <v>18</v>
      </c>
      <c r="I1792" s="1" t="s">
        <v>19</v>
      </c>
      <c r="J1792" s="1">
        <f>IFERROR(__xludf.DUMMYFUNCTION("""COMPUTED_VALUE"""),65.0)</f>
        <v>65</v>
      </c>
      <c r="K1792" s="1">
        <v>33.0</v>
      </c>
      <c r="L1792" s="1">
        <f>IFERROR(__xludf.DUMMYFUNCTION("""COMPUTED_VALUE"""),148.0)</f>
        <v>148</v>
      </c>
    </row>
    <row r="1793">
      <c r="A1793" s="1">
        <v>3505054.0</v>
      </c>
      <c r="B1793" s="1" t="s">
        <v>3858</v>
      </c>
      <c r="C1793" s="1" t="s">
        <v>3831</v>
      </c>
      <c r="D1793" s="1" t="s">
        <v>3859</v>
      </c>
      <c r="E1793" s="1" t="s">
        <v>3860</v>
      </c>
      <c r="F1793" s="1" t="s">
        <v>16</v>
      </c>
      <c r="G1793" s="1" t="s">
        <v>23</v>
      </c>
      <c r="H1793" s="1" t="s">
        <v>18</v>
      </c>
      <c r="I1793" s="1" t="s">
        <v>19</v>
      </c>
      <c r="J1793" s="1">
        <f>IFERROR(__xludf.DUMMYFUNCTION("""COMPUTED_VALUE"""),59.0)</f>
        <v>59</v>
      </c>
      <c r="K1793" s="1">
        <v>69.0</v>
      </c>
      <c r="L1793" s="1">
        <f>IFERROR(__xludf.DUMMYFUNCTION("""COMPUTED_VALUE"""),96.0)</f>
        <v>96</v>
      </c>
    </row>
    <row r="1794">
      <c r="A1794" s="1">
        <v>3507104.0</v>
      </c>
      <c r="B1794" s="1" t="s">
        <v>3861</v>
      </c>
      <c r="C1794" s="1" t="s">
        <v>3831</v>
      </c>
      <c r="D1794" s="1" t="s">
        <v>3862</v>
      </c>
      <c r="E1794" s="1" t="s">
        <v>3863</v>
      </c>
      <c r="F1794" s="1" t="s">
        <v>16</v>
      </c>
      <c r="G1794" s="1" t="s">
        <v>17</v>
      </c>
      <c r="H1794" s="1" t="s">
        <v>18</v>
      </c>
      <c r="I1794" s="1" t="s">
        <v>19</v>
      </c>
      <c r="J1794" s="1">
        <f>IFERROR(__xludf.DUMMYFUNCTION("""COMPUTED_VALUE"""),133.0)</f>
        <v>133</v>
      </c>
      <c r="K1794" s="1">
        <v>39.0</v>
      </c>
      <c r="L1794" s="1">
        <f>IFERROR(__xludf.DUMMYFUNCTION("""COMPUTED_VALUE"""),412.0)</f>
        <v>412</v>
      </c>
    </row>
    <row r="1795">
      <c r="A1795" s="1">
        <v>3525104.0</v>
      </c>
      <c r="B1795" s="1" t="s">
        <v>3864</v>
      </c>
      <c r="C1795" s="1" t="s">
        <v>3831</v>
      </c>
      <c r="D1795" s="1" t="s">
        <v>3865</v>
      </c>
      <c r="E1795" s="1" t="s">
        <v>3866</v>
      </c>
      <c r="F1795" s="1" t="s">
        <v>55</v>
      </c>
      <c r="G1795" s="1" t="s">
        <v>17</v>
      </c>
      <c r="H1795" s="1" t="s">
        <v>18</v>
      </c>
      <c r="I1795" s="1" t="s">
        <v>44</v>
      </c>
      <c r="J1795" s="1">
        <f>IFERROR(__xludf.DUMMYFUNCTION("""COMPUTED_VALUE"""),34.0)</f>
        <v>34</v>
      </c>
      <c r="K1795" s="1">
        <v>16.0</v>
      </c>
      <c r="L1795" s="1">
        <f>IFERROR(__xludf.DUMMYFUNCTION("""COMPUTED_VALUE"""),27.0)</f>
        <v>27</v>
      </c>
    </row>
    <row r="1796">
      <c r="A1796" s="1">
        <v>3524073.0</v>
      </c>
      <c r="B1796" s="1" t="s">
        <v>3867</v>
      </c>
      <c r="C1796" s="1" t="s">
        <v>3831</v>
      </c>
      <c r="D1796" s="1" t="s">
        <v>3856</v>
      </c>
      <c r="E1796" s="1" t="s">
        <v>3868</v>
      </c>
      <c r="F1796" s="1" t="s">
        <v>16</v>
      </c>
      <c r="G1796" s="1" t="s">
        <v>23</v>
      </c>
      <c r="H1796" s="1" t="s">
        <v>18</v>
      </c>
      <c r="I1796" s="1" t="s">
        <v>19</v>
      </c>
      <c r="J1796" s="1">
        <f>IFERROR(__xludf.DUMMYFUNCTION("""COMPUTED_VALUE"""),59.0)</f>
        <v>59</v>
      </c>
      <c r="K1796" s="1">
        <v>23.0</v>
      </c>
      <c r="L1796" s="1">
        <f>IFERROR(__xludf.DUMMYFUNCTION("""COMPUTED_VALUE"""),182.0)</f>
        <v>182</v>
      </c>
    </row>
    <row r="1797">
      <c r="A1797" s="1">
        <v>3515096.0</v>
      </c>
      <c r="B1797" s="1" t="s">
        <v>3869</v>
      </c>
      <c r="C1797" s="1" t="s">
        <v>3831</v>
      </c>
      <c r="D1797" s="1" t="s">
        <v>3870</v>
      </c>
      <c r="E1797" s="1" t="s">
        <v>3871</v>
      </c>
      <c r="F1797" s="1" t="s">
        <v>16</v>
      </c>
      <c r="G1797" s="1" t="s">
        <v>17</v>
      </c>
      <c r="H1797" s="1" t="s">
        <v>18</v>
      </c>
      <c r="I1797" s="1" t="s">
        <v>44</v>
      </c>
      <c r="J1797" s="1">
        <f>IFERROR(__xludf.DUMMYFUNCTION("""COMPUTED_VALUE"""),150.0)</f>
        <v>150</v>
      </c>
      <c r="K1797" s="1">
        <v>49.0</v>
      </c>
      <c r="L1797" s="1">
        <f>IFERROR(__xludf.DUMMYFUNCTION("""COMPUTED_VALUE"""),472.0)</f>
        <v>472</v>
      </c>
    </row>
    <row r="1798">
      <c r="A1798" s="1">
        <v>3578769.0</v>
      </c>
      <c r="B1798" s="1" t="s">
        <v>3872</v>
      </c>
      <c r="C1798" s="1" t="s">
        <v>3831</v>
      </c>
      <c r="D1798" s="1" t="s">
        <v>3847</v>
      </c>
      <c r="E1798" s="1" t="s">
        <v>3873</v>
      </c>
      <c r="F1798" s="1" t="s">
        <v>55</v>
      </c>
      <c r="G1798" s="1" t="s">
        <v>17</v>
      </c>
      <c r="H1798" s="1" t="s">
        <v>18</v>
      </c>
      <c r="I1798" s="1" t="s">
        <v>19</v>
      </c>
      <c r="J1798" s="1">
        <f>IFERROR(__xludf.DUMMYFUNCTION("""COMPUTED_VALUE"""),30.0)</f>
        <v>30</v>
      </c>
      <c r="K1798" s="1">
        <v>20.0</v>
      </c>
      <c r="L1798" s="1">
        <f>IFERROR(__xludf.DUMMYFUNCTION("""COMPUTED_VALUE"""),143.0)</f>
        <v>143</v>
      </c>
    </row>
    <row r="1799">
      <c r="A1799" s="1">
        <v>3514054.0</v>
      </c>
      <c r="B1799" s="1" t="s">
        <v>3874</v>
      </c>
      <c r="C1799" s="1" t="s">
        <v>3831</v>
      </c>
      <c r="D1799" s="1" t="s">
        <v>3875</v>
      </c>
      <c r="E1799" s="1" t="s">
        <v>3876</v>
      </c>
      <c r="F1799" s="1" t="s">
        <v>16</v>
      </c>
      <c r="G1799" s="1" t="s">
        <v>23</v>
      </c>
      <c r="H1799" s="1" t="s">
        <v>18</v>
      </c>
      <c r="I1799" s="1" t="s">
        <v>163</v>
      </c>
      <c r="J1799" s="1">
        <f>IFERROR(__xludf.DUMMYFUNCTION("""COMPUTED_VALUE"""),85.0)</f>
        <v>85</v>
      </c>
      <c r="K1799" s="1">
        <v>20.0</v>
      </c>
      <c r="L1799" s="1">
        <f>IFERROR(__xludf.DUMMYFUNCTION("""COMPUTED_VALUE"""),84.0)</f>
        <v>84</v>
      </c>
    </row>
    <row r="1800">
      <c r="A1800" s="1">
        <v>3520016.0</v>
      </c>
      <c r="B1800" s="1" t="s">
        <v>3877</v>
      </c>
      <c r="C1800" s="1" t="s">
        <v>3831</v>
      </c>
      <c r="D1800" s="1" t="s">
        <v>3878</v>
      </c>
      <c r="E1800" s="1" t="s">
        <v>3879</v>
      </c>
      <c r="F1800" s="1" t="s">
        <v>55</v>
      </c>
      <c r="G1800" s="1" t="s">
        <v>17</v>
      </c>
      <c r="H1800" s="1" t="s">
        <v>18</v>
      </c>
      <c r="I1800" s="1" t="s">
        <v>19</v>
      </c>
      <c r="J1800" s="1">
        <f>IFERROR(__xludf.DUMMYFUNCTION("""COMPUTED_VALUE"""),25.0)</f>
        <v>25</v>
      </c>
      <c r="K1800" s="1">
        <v>17.0</v>
      </c>
      <c r="L1800" s="1">
        <f>IFERROR(__xludf.DUMMYFUNCTION("""COMPUTED_VALUE"""),44.0)</f>
        <v>44</v>
      </c>
    </row>
    <row r="1801">
      <c r="A1801" s="1">
        <v>3501016.0</v>
      </c>
      <c r="B1801" s="1" t="s">
        <v>3880</v>
      </c>
      <c r="C1801" s="1" t="s">
        <v>3831</v>
      </c>
      <c r="D1801" s="1" t="s">
        <v>3881</v>
      </c>
      <c r="E1801" s="1" t="s">
        <v>3882</v>
      </c>
      <c r="F1801" s="1" t="s">
        <v>16</v>
      </c>
      <c r="G1801" s="1" t="s">
        <v>17</v>
      </c>
      <c r="H1801" s="1" t="s">
        <v>28</v>
      </c>
      <c r="I1801" s="1" t="s">
        <v>40</v>
      </c>
      <c r="J1801" s="1">
        <f>IFERROR(__xludf.DUMMYFUNCTION("""COMPUTED_VALUE"""),314.0)</f>
        <v>314</v>
      </c>
      <c r="K1801" s="1">
        <v>68.0</v>
      </c>
      <c r="L1801" s="1">
        <f>IFERROR(__xludf.DUMMYFUNCTION("""COMPUTED_VALUE"""),380.0)</f>
        <v>380</v>
      </c>
    </row>
    <row r="1802">
      <c r="A1802" s="1">
        <v>3513067.0</v>
      </c>
      <c r="B1802" s="1" t="s">
        <v>3883</v>
      </c>
      <c r="C1802" s="1" t="s">
        <v>3831</v>
      </c>
      <c r="D1802" s="1" t="s">
        <v>3853</v>
      </c>
      <c r="E1802" s="1" t="s">
        <v>3884</v>
      </c>
      <c r="F1802" s="1" t="s">
        <v>16</v>
      </c>
      <c r="G1802" s="1" t="s">
        <v>17</v>
      </c>
      <c r="H1802" s="1" t="s">
        <v>28</v>
      </c>
      <c r="I1802" s="1" t="s">
        <v>40</v>
      </c>
      <c r="J1802" s="1">
        <f>IFERROR(__xludf.DUMMYFUNCTION("""COMPUTED_VALUE"""),100.0)</f>
        <v>100</v>
      </c>
      <c r="K1802" s="1">
        <v>26.0</v>
      </c>
      <c r="L1802" s="1">
        <f>IFERROR(__xludf.DUMMYFUNCTION("""COMPUTED_VALUE"""),261.0)</f>
        <v>261</v>
      </c>
    </row>
    <row r="1803">
      <c r="A1803" s="1">
        <v>3578768.0</v>
      </c>
      <c r="B1803" s="1" t="s">
        <v>3885</v>
      </c>
      <c r="C1803" s="1" t="s">
        <v>3831</v>
      </c>
      <c r="D1803" s="1" t="s">
        <v>3847</v>
      </c>
      <c r="E1803" s="1" t="s">
        <v>3886</v>
      </c>
      <c r="F1803" s="1" t="s">
        <v>55</v>
      </c>
      <c r="G1803" s="1" t="s">
        <v>17</v>
      </c>
      <c r="H1803" s="1" t="s">
        <v>18</v>
      </c>
      <c r="I1803" s="1" t="s">
        <v>44</v>
      </c>
      <c r="J1803" s="1">
        <f>IFERROR(__xludf.DUMMYFUNCTION("""COMPUTED_VALUE"""),28.0)</f>
        <v>28</v>
      </c>
      <c r="K1803" s="1">
        <v>16.0</v>
      </c>
      <c r="L1803" s="1">
        <f>IFERROR(__xludf.DUMMYFUNCTION("""COMPUTED_VALUE"""),83.0)</f>
        <v>83</v>
      </c>
    </row>
    <row r="1804">
      <c r="A1804" s="1">
        <v>3515132.0</v>
      </c>
      <c r="B1804" s="1" t="s">
        <v>3887</v>
      </c>
      <c r="C1804" s="1" t="s">
        <v>3831</v>
      </c>
      <c r="D1804" s="1" t="s">
        <v>3870</v>
      </c>
      <c r="E1804" s="1" t="s">
        <v>3888</v>
      </c>
      <c r="F1804" s="1" t="s">
        <v>16</v>
      </c>
      <c r="G1804" s="1" t="s">
        <v>23</v>
      </c>
      <c r="H1804" s="1" t="s">
        <v>18</v>
      </c>
      <c r="I1804" s="1" t="s">
        <v>19</v>
      </c>
      <c r="J1804" s="1">
        <f>IFERROR(__xludf.DUMMYFUNCTION("""COMPUTED_VALUE"""),91.0)</f>
        <v>91</v>
      </c>
      <c r="K1804" s="1">
        <v>25.0</v>
      </c>
      <c r="L1804" s="1">
        <f>IFERROR(__xludf.DUMMYFUNCTION("""COMPUTED_VALUE"""),295.0)</f>
        <v>295</v>
      </c>
    </row>
    <row r="1805">
      <c r="A1805" s="1">
        <v>3509136.0</v>
      </c>
      <c r="B1805" s="1" t="s">
        <v>3889</v>
      </c>
      <c r="C1805" s="1" t="s">
        <v>3831</v>
      </c>
      <c r="D1805" s="1" t="s">
        <v>3890</v>
      </c>
      <c r="E1805" s="1" t="s">
        <v>3891</v>
      </c>
      <c r="F1805" s="1" t="s">
        <v>16</v>
      </c>
      <c r="G1805" s="1" t="s">
        <v>17</v>
      </c>
      <c r="H1805" s="1" t="s">
        <v>18</v>
      </c>
      <c r="I1805" s="1" t="s">
        <v>19</v>
      </c>
      <c r="J1805" s="1">
        <f>IFERROR(__xludf.DUMMYFUNCTION("""COMPUTED_VALUE"""),125.0)</f>
        <v>125</v>
      </c>
      <c r="K1805" s="1">
        <v>34.0</v>
      </c>
      <c r="L1805" s="1">
        <f>IFERROR(__xludf.DUMMYFUNCTION("""COMPUTED_VALUE"""),287.0)</f>
        <v>287</v>
      </c>
    </row>
    <row r="1806">
      <c r="A1806" s="1">
        <v>3504081.0</v>
      </c>
      <c r="B1806" s="1" t="s">
        <v>3400</v>
      </c>
      <c r="C1806" s="1" t="s">
        <v>3831</v>
      </c>
      <c r="D1806" s="1" t="s">
        <v>3850</v>
      </c>
      <c r="E1806" s="1" t="s">
        <v>3892</v>
      </c>
      <c r="F1806" s="1" t="s">
        <v>16</v>
      </c>
      <c r="G1806" s="1" t="s">
        <v>23</v>
      </c>
      <c r="H1806" s="1" t="s">
        <v>18</v>
      </c>
      <c r="I1806" s="1" t="s">
        <v>19</v>
      </c>
      <c r="J1806" s="1">
        <f>IFERROR(__xludf.DUMMYFUNCTION("""COMPUTED_VALUE"""),60.0)</f>
        <v>60</v>
      </c>
      <c r="K1806" s="1">
        <v>28.0</v>
      </c>
      <c r="L1806" s="1">
        <f>IFERROR(__xludf.DUMMYFUNCTION("""COMPUTED_VALUE"""),113.0)</f>
        <v>113</v>
      </c>
    </row>
    <row r="1807">
      <c r="A1807" s="1">
        <v>3506066.0</v>
      </c>
      <c r="B1807" s="1" t="s">
        <v>3893</v>
      </c>
      <c r="C1807" s="1" t="s">
        <v>3831</v>
      </c>
      <c r="D1807" s="1" t="s">
        <v>3894</v>
      </c>
      <c r="E1807" s="1" t="s">
        <v>3895</v>
      </c>
      <c r="F1807" s="1" t="s">
        <v>16</v>
      </c>
      <c r="G1807" s="1" t="s">
        <v>17</v>
      </c>
      <c r="H1807" s="1" t="s">
        <v>18</v>
      </c>
      <c r="I1807" s="1" t="s">
        <v>40</v>
      </c>
      <c r="J1807" s="1">
        <f>IFERROR(__xludf.DUMMYFUNCTION("""COMPUTED_VALUE"""),237.0)</f>
        <v>237</v>
      </c>
      <c r="K1807" s="1">
        <v>50.0</v>
      </c>
      <c r="L1807" s="1">
        <f>IFERROR(__xludf.DUMMYFUNCTION("""COMPUTED_VALUE"""),455.0)</f>
        <v>455</v>
      </c>
    </row>
    <row r="1808">
      <c r="A1808" s="1">
        <v>3522014.0</v>
      </c>
      <c r="B1808" s="1" t="s">
        <v>3896</v>
      </c>
      <c r="C1808" s="1" t="s">
        <v>3831</v>
      </c>
      <c r="D1808" s="1" t="s">
        <v>3897</v>
      </c>
      <c r="E1808" s="1" t="s">
        <v>3898</v>
      </c>
      <c r="F1808" s="1" t="s">
        <v>16</v>
      </c>
      <c r="G1808" s="1" t="s">
        <v>27</v>
      </c>
      <c r="H1808" s="1" t="s">
        <v>28</v>
      </c>
      <c r="I1808" s="1" t="s">
        <v>40</v>
      </c>
      <c r="J1808" s="1">
        <f>IFERROR(__xludf.DUMMYFUNCTION("""COMPUTED_VALUE"""),500.0)</f>
        <v>500</v>
      </c>
      <c r="K1808" s="1">
        <v>86.0</v>
      </c>
      <c r="L1808" s="1">
        <f>IFERROR(__xludf.DUMMYFUNCTION("""COMPUTED_VALUE"""),635.0)</f>
        <v>635</v>
      </c>
    </row>
    <row r="1809">
      <c r="A1809" s="1">
        <v>3515127.0</v>
      </c>
      <c r="B1809" s="1" t="s">
        <v>3899</v>
      </c>
      <c r="C1809" s="1" t="s">
        <v>3831</v>
      </c>
      <c r="D1809" s="1" t="s">
        <v>3870</v>
      </c>
      <c r="E1809" s="1" t="s">
        <v>3900</v>
      </c>
      <c r="F1809" s="1" t="s">
        <v>16</v>
      </c>
      <c r="G1809" s="1" t="s">
        <v>23</v>
      </c>
      <c r="H1809" s="1" t="s">
        <v>18</v>
      </c>
      <c r="I1809" s="1" t="s">
        <v>44</v>
      </c>
      <c r="J1809" s="1">
        <f>IFERROR(__xludf.DUMMYFUNCTION("""COMPUTED_VALUE"""),29.0)</f>
        <v>29</v>
      </c>
      <c r="K1809" s="1">
        <v>13.0</v>
      </c>
      <c r="L1809" s="1">
        <f>IFERROR(__xludf.DUMMYFUNCTION("""COMPUTED_VALUE"""),52.0)</f>
        <v>52</v>
      </c>
    </row>
    <row r="1810">
      <c r="A1810" s="1">
        <v>3521028.0</v>
      </c>
      <c r="B1810" s="1" t="s">
        <v>3901</v>
      </c>
      <c r="C1810" s="1" t="s">
        <v>3831</v>
      </c>
      <c r="D1810" s="1" t="s">
        <v>3838</v>
      </c>
      <c r="E1810" s="1" t="s">
        <v>3902</v>
      </c>
      <c r="F1810" s="1" t="s">
        <v>16</v>
      </c>
      <c r="G1810" s="1" t="s">
        <v>23</v>
      </c>
      <c r="H1810" s="1" t="s">
        <v>28</v>
      </c>
      <c r="I1810" s="1" t="s">
        <v>40</v>
      </c>
      <c r="J1810" s="1">
        <f>IFERROR(__xludf.DUMMYFUNCTION("""COMPUTED_VALUE"""),53.0)</f>
        <v>53</v>
      </c>
      <c r="K1810" s="1">
        <v>22.0</v>
      </c>
      <c r="L1810" s="1">
        <f>IFERROR(__xludf.DUMMYFUNCTION("""COMPUTED_VALUE"""),182.0)</f>
        <v>182</v>
      </c>
    </row>
    <row r="1811">
      <c r="A1811" s="1">
        <v>3506036.0</v>
      </c>
      <c r="B1811" s="1" t="s">
        <v>3903</v>
      </c>
      <c r="C1811" s="1" t="s">
        <v>3831</v>
      </c>
      <c r="D1811" s="1" t="s">
        <v>3894</v>
      </c>
      <c r="E1811" s="1" t="s">
        <v>3904</v>
      </c>
      <c r="F1811" s="1" t="s">
        <v>16</v>
      </c>
      <c r="G1811" s="1" t="s">
        <v>23</v>
      </c>
      <c r="H1811" s="1" t="s">
        <v>18</v>
      </c>
      <c r="I1811" s="1" t="s">
        <v>19</v>
      </c>
      <c r="J1811" s="1">
        <f>IFERROR(__xludf.DUMMYFUNCTION("""COMPUTED_VALUE"""),93.0)</f>
        <v>93</v>
      </c>
      <c r="K1811" s="1">
        <v>30.0</v>
      </c>
      <c r="L1811" s="1">
        <f>IFERROR(__xludf.DUMMYFUNCTION("""COMPUTED_VALUE"""),203.0)</f>
        <v>203</v>
      </c>
    </row>
    <row r="1812">
      <c r="A1812" s="1">
        <v>3577085.0</v>
      </c>
      <c r="B1812" s="1" t="s">
        <v>3905</v>
      </c>
      <c r="C1812" s="1" t="s">
        <v>3831</v>
      </c>
      <c r="D1812" s="1" t="s">
        <v>3906</v>
      </c>
      <c r="E1812" s="1" t="s">
        <v>3907</v>
      </c>
      <c r="F1812" s="1" t="s">
        <v>16</v>
      </c>
      <c r="G1812" s="1" t="s">
        <v>17</v>
      </c>
      <c r="H1812" s="1" t="s">
        <v>28</v>
      </c>
      <c r="I1812" s="1" t="s">
        <v>29</v>
      </c>
      <c r="J1812" s="1">
        <f>IFERROR(__xludf.DUMMYFUNCTION("""COMPUTED_VALUE"""),194.0)</f>
        <v>194</v>
      </c>
      <c r="K1812" s="1">
        <v>33.0</v>
      </c>
      <c r="L1812" s="1">
        <f>IFERROR(__xludf.DUMMYFUNCTION("""COMPUTED_VALUE"""),411.0)</f>
        <v>411</v>
      </c>
    </row>
    <row r="1813">
      <c r="A1813" s="1">
        <v>3516033.0</v>
      </c>
      <c r="B1813" s="1" t="s">
        <v>3908</v>
      </c>
      <c r="C1813" s="1" t="s">
        <v>3831</v>
      </c>
      <c r="D1813" s="1" t="s">
        <v>3909</v>
      </c>
      <c r="E1813" s="1" t="s">
        <v>3910</v>
      </c>
      <c r="F1813" s="1" t="s">
        <v>16</v>
      </c>
      <c r="G1813" s="1" t="s">
        <v>23</v>
      </c>
      <c r="H1813" s="1" t="s">
        <v>18</v>
      </c>
      <c r="I1813" s="1" t="s">
        <v>19</v>
      </c>
      <c r="J1813" s="1">
        <f>IFERROR(__xludf.DUMMYFUNCTION("""COMPUTED_VALUE"""),50.0)</f>
        <v>50</v>
      </c>
      <c r="K1813" s="1">
        <v>20.0</v>
      </c>
      <c r="L1813" s="1">
        <f>IFERROR(__xludf.DUMMYFUNCTION("""COMPUTED_VALUE"""),61.0)</f>
        <v>61</v>
      </c>
    </row>
    <row r="1814">
      <c r="A1814" s="1">
        <v>3528025.0</v>
      </c>
      <c r="B1814" s="1" t="s">
        <v>3911</v>
      </c>
      <c r="C1814" s="1" t="s">
        <v>3831</v>
      </c>
      <c r="D1814" s="1" t="s">
        <v>3841</v>
      </c>
      <c r="E1814" s="1" t="s">
        <v>3912</v>
      </c>
      <c r="F1814" s="1" t="s">
        <v>16</v>
      </c>
      <c r="G1814" s="1" t="s">
        <v>23</v>
      </c>
      <c r="H1814" s="1" t="s">
        <v>18</v>
      </c>
      <c r="I1814" s="1" t="s">
        <v>19</v>
      </c>
      <c r="J1814" s="1">
        <f>IFERROR(__xludf.DUMMYFUNCTION("""COMPUTED_VALUE"""),51.0)</f>
        <v>51</v>
      </c>
      <c r="K1814" s="1">
        <v>13.0</v>
      </c>
      <c r="L1814" s="1">
        <f>IFERROR(__xludf.DUMMYFUNCTION("""COMPUTED_VALUE"""),68.0)</f>
        <v>68</v>
      </c>
    </row>
    <row r="1815">
      <c r="A1815" s="1">
        <v>3524052.0</v>
      </c>
      <c r="B1815" s="1" t="s">
        <v>3913</v>
      </c>
      <c r="C1815" s="1" t="s">
        <v>3831</v>
      </c>
      <c r="D1815" s="1" t="s">
        <v>3856</v>
      </c>
      <c r="E1815" s="1" t="s">
        <v>3914</v>
      </c>
      <c r="F1815" s="1" t="s">
        <v>16</v>
      </c>
      <c r="G1815" s="1" t="s">
        <v>23</v>
      </c>
      <c r="H1815" s="1" t="s">
        <v>28</v>
      </c>
      <c r="I1815" s="1" t="s">
        <v>40</v>
      </c>
      <c r="J1815" s="1">
        <f>IFERROR(__xludf.DUMMYFUNCTION("""COMPUTED_VALUE"""),57.0)</f>
        <v>57</v>
      </c>
      <c r="K1815" s="1">
        <v>27.0</v>
      </c>
      <c r="L1815" s="1">
        <f>IFERROR(__xludf.DUMMYFUNCTION("""COMPUTED_VALUE"""),182.0)</f>
        <v>182</v>
      </c>
    </row>
    <row r="1816">
      <c r="A1816" s="1">
        <v>3509021.0</v>
      </c>
      <c r="B1816" s="1" t="s">
        <v>3915</v>
      </c>
      <c r="C1816" s="1" t="s">
        <v>3831</v>
      </c>
      <c r="D1816" s="1" t="s">
        <v>3890</v>
      </c>
      <c r="E1816" s="1" t="s">
        <v>3916</v>
      </c>
      <c r="F1816" s="1" t="s">
        <v>16</v>
      </c>
      <c r="G1816" s="1" t="s">
        <v>17</v>
      </c>
      <c r="H1816" s="1" t="s">
        <v>18</v>
      </c>
      <c r="I1816" s="1" t="s">
        <v>113</v>
      </c>
      <c r="J1816" s="1">
        <f>IFERROR(__xludf.DUMMYFUNCTION("""COMPUTED_VALUE"""),167.0)</f>
        <v>167</v>
      </c>
      <c r="K1816" s="1">
        <v>48.0</v>
      </c>
      <c r="L1816" s="1">
        <f>IFERROR(__xludf.DUMMYFUNCTION("""COMPUTED_VALUE"""),359.0)</f>
        <v>359</v>
      </c>
    </row>
    <row r="1817">
      <c r="A1817" s="1">
        <v>3578100.0</v>
      </c>
      <c r="B1817" s="1" t="s">
        <v>3917</v>
      </c>
      <c r="C1817" s="1" t="s">
        <v>3831</v>
      </c>
      <c r="D1817" s="1" t="s">
        <v>3847</v>
      </c>
      <c r="E1817" s="1" t="s">
        <v>3918</v>
      </c>
      <c r="F1817" s="1" t="s">
        <v>16</v>
      </c>
      <c r="G1817" s="1" t="s">
        <v>17</v>
      </c>
      <c r="H1817" s="1" t="s">
        <v>18</v>
      </c>
      <c r="I1817" s="1" t="s">
        <v>59</v>
      </c>
      <c r="J1817" s="1">
        <f>IFERROR(__xludf.DUMMYFUNCTION("""COMPUTED_VALUE"""),103.0)</f>
        <v>103</v>
      </c>
      <c r="K1817" s="1">
        <v>72.0</v>
      </c>
      <c r="L1817" s="1">
        <f>IFERROR(__xludf.DUMMYFUNCTION("""COMPUTED_VALUE"""),341.0)</f>
        <v>341</v>
      </c>
    </row>
    <row r="1818">
      <c r="A1818" s="1">
        <v>3578793.0</v>
      </c>
      <c r="B1818" s="1" t="s">
        <v>3919</v>
      </c>
      <c r="C1818" s="1" t="s">
        <v>3831</v>
      </c>
      <c r="D1818" s="1" t="s">
        <v>3847</v>
      </c>
      <c r="E1818" s="1" t="s">
        <v>3920</v>
      </c>
      <c r="F1818" s="1" t="s">
        <v>16</v>
      </c>
      <c r="G1818" s="1" t="s">
        <v>23</v>
      </c>
      <c r="H1818" s="1" t="s">
        <v>18</v>
      </c>
      <c r="I1818" s="1" t="s">
        <v>684</v>
      </c>
      <c r="J1818" s="1">
        <f>IFERROR(__xludf.DUMMYFUNCTION("""COMPUTED_VALUE"""),50.0)</f>
        <v>50</v>
      </c>
      <c r="K1818" s="1">
        <v>22.0</v>
      </c>
      <c r="L1818" s="1">
        <f>IFERROR(__xludf.DUMMYFUNCTION("""COMPUTED_VALUE"""),129.0)</f>
        <v>129</v>
      </c>
    </row>
    <row r="1819">
      <c r="A1819" s="1">
        <v>3579004.0</v>
      </c>
      <c r="B1819" s="1" t="s">
        <v>3921</v>
      </c>
      <c r="C1819" s="1" t="s">
        <v>3831</v>
      </c>
      <c r="D1819" s="1" t="s">
        <v>3922</v>
      </c>
      <c r="E1819" s="1" t="s">
        <v>3923</v>
      </c>
      <c r="F1819" s="1" t="s">
        <v>16</v>
      </c>
      <c r="G1819" s="1" t="s">
        <v>23</v>
      </c>
      <c r="H1819" s="1" t="s">
        <v>18</v>
      </c>
      <c r="I1819" s="1" t="s">
        <v>19</v>
      </c>
      <c r="J1819" s="1">
        <f>IFERROR(__xludf.DUMMYFUNCTION("""COMPUTED_VALUE"""),56.0)</f>
        <v>56</v>
      </c>
      <c r="K1819" s="1">
        <v>28.0</v>
      </c>
      <c r="L1819" s="1">
        <f>IFERROR(__xludf.DUMMYFUNCTION("""COMPUTED_VALUE"""),63.0)</f>
        <v>63</v>
      </c>
    </row>
    <row r="1820">
      <c r="A1820" s="1">
        <v>3527013.0</v>
      </c>
      <c r="B1820" s="1" t="s">
        <v>3924</v>
      </c>
      <c r="C1820" s="1" t="s">
        <v>3831</v>
      </c>
      <c r="D1820" s="1" t="s">
        <v>3925</v>
      </c>
      <c r="E1820" s="1" t="s">
        <v>3926</v>
      </c>
      <c r="F1820" s="1" t="s">
        <v>16</v>
      </c>
      <c r="G1820" s="1" t="s">
        <v>23</v>
      </c>
      <c r="H1820" s="1" t="s">
        <v>18</v>
      </c>
      <c r="I1820" s="1" t="s">
        <v>163</v>
      </c>
      <c r="J1820" s="1">
        <f>IFERROR(__xludf.DUMMYFUNCTION("""COMPUTED_VALUE"""),82.0)</f>
        <v>82</v>
      </c>
      <c r="K1820" s="1">
        <v>26.0</v>
      </c>
      <c r="L1820" s="1">
        <f>IFERROR(__xludf.DUMMYFUNCTION("""COMPUTED_VALUE"""),23.0)</f>
        <v>23</v>
      </c>
    </row>
    <row r="1821">
      <c r="A1821" s="1">
        <v>3514071.0</v>
      </c>
      <c r="B1821" s="1" t="s">
        <v>3927</v>
      </c>
      <c r="C1821" s="1" t="s">
        <v>3831</v>
      </c>
      <c r="D1821" s="1" t="s">
        <v>3875</v>
      </c>
      <c r="E1821" s="1" t="s">
        <v>3928</v>
      </c>
      <c r="F1821" s="1" t="s">
        <v>16</v>
      </c>
      <c r="G1821" s="1" t="s">
        <v>17</v>
      </c>
      <c r="H1821" s="1" t="s">
        <v>18</v>
      </c>
      <c r="I1821" s="1" t="s">
        <v>19</v>
      </c>
      <c r="J1821" s="1">
        <f>IFERROR(__xludf.DUMMYFUNCTION("""COMPUTED_VALUE"""),100.0)</f>
        <v>100</v>
      </c>
      <c r="K1821" s="1">
        <v>38.0</v>
      </c>
      <c r="L1821" s="1">
        <f>IFERROR(__xludf.DUMMYFUNCTION("""COMPUTED_VALUE"""),182.0)</f>
        <v>182</v>
      </c>
    </row>
    <row r="1822">
      <c r="A1822" s="1">
        <v>3571042.0</v>
      </c>
      <c r="B1822" s="1" t="s">
        <v>3929</v>
      </c>
      <c r="C1822" s="1" t="s">
        <v>3831</v>
      </c>
      <c r="D1822" s="1" t="s">
        <v>3930</v>
      </c>
      <c r="E1822" s="1" t="s">
        <v>3931</v>
      </c>
      <c r="F1822" s="1" t="s">
        <v>16</v>
      </c>
      <c r="G1822" s="1" t="s">
        <v>27</v>
      </c>
      <c r="H1822" s="1" t="s">
        <v>18</v>
      </c>
      <c r="I1822" s="1" t="s">
        <v>258</v>
      </c>
      <c r="J1822" s="1">
        <f>IFERROR(__xludf.DUMMYFUNCTION("""COMPUTED_VALUE"""),201.0)</f>
        <v>201</v>
      </c>
      <c r="K1822" s="1">
        <v>98.0</v>
      </c>
      <c r="L1822" s="1">
        <f>IFERROR(__xludf.DUMMYFUNCTION("""COMPUTED_VALUE"""),635.0)</f>
        <v>635</v>
      </c>
    </row>
    <row r="1823">
      <c r="A1823" s="1">
        <v>3571148.0</v>
      </c>
      <c r="B1823" s="1" t="s">
        <v>2877</v>
      </c>
      <c r="C1823" s="1" t="s">
        <v>3831</v>
      </c>
      <c r="D1823" s="1" t="s">
        <v>3930</v>
      </c>
      <c r="E1823" s="1" t="s">
        <v>3932</v>
      </c>
      <c r="F1823" s="1" t="s">
        <v>55</v>
      </c>
      <c r="G1823" s="1" t="s">
        <v>17</v>
      </c>
      <c r="H1823" s="1" t="s">
        <v>18</v>
      </c>
      <c r="I1823" s="1" t="s">
        <v>19</v>
      </c>
      <c r="J1823" s="1">
        <f>IFERROR(__xludf.DUMMYFUNCTION("""COMPUTED_VALUE"""),31.0)</f>
        <v>31</v>
      </c>
      <c r="K1823" s="1">
        <v>19.0</v>
      </c>
      <c r="L1823" s="1">
        <f>IFERROR(__xludf.DUMMYFUNCTION("""COMPUTED_VALUE"""),46.0)</f>
        <v>46</v>
      </c>
    </row>
    <row r="1824">
      <c r="A1824" s="1">
        <v>3578781.0</v>
      </c>
      <c r="B1824" s="1" t="s">
        <v>3933</v>
      </c>
      <c r="C1824" s="1" t="s">
        <v>3831</v>
      </c>
      <c r="D1824" s="1" t="s">
        <v>3847</v>
      </c>
      <c r="E1824" s="1" t="s">
        <v>3934</v>
      </c>
      <c r="F1824" s="1" t="s">
        <v>16</v>
      </c>
      <c r="G1824" s="1" t="s">
        <v>27</v>
      </c>
      <c r="H1824" s="1" t="s">
        <v>18</v>
      </c>
      <c r="I1824" s="1" t="s">
        <v>19</v>
      </c>
      <c r="J1824" s="1">
        <f>IFERROR(__xludf.DUMMYFUNCTION("""COMPUTED_VALUE"""),200.0)</f>
        <v>200</v>
      </c>
      <c r="K1824" s="1">
        <v>32.0</v>
      </c>
      <c r="L1824" s="1">
        <f>IFERROR(__xludf.DUMMYFUNCTION("""COMPUTED_VALUE"""),265.0)</f>
        <v>265</v>
      </c>
    </row>
    <row r="1825">
      <c r="A1825" s="1">
        <v>3578810.0</v>
      </c>
      <c r="B1825" s="1" t="s">
        <v>3935</v>
      </c>
      <c r="C1825" s="1" t="s">
        <v>3831</v>
      </c>
      <c r="D1825" s="1" t="s">
        <v>3847</v>
      </c>
      <c r="E1825" s="1" t="s">
        <v>3936</v>
      </c>
      <c r="F1825" s="1" t="s">
        <v>16</v>
      </c>
      <c r="G1825" s="1" t="s">
        <v>27</v>
      </c>
      <c r="H1825" s="1" t="s">
        <v>18</v>
      </c>
      <c r="I1825" s="1" t="s">
        <v>44</v>
      </c>
      <c r="J1825" s="1">
        <f>IFERROR(__xludf.DUMMYFUNCTION("""COMPUTED_VALUE"""),200.0)</f>
        <v>200</v>
      </c>
      <c r="K1825" s="1">
        <v>50.0</v>
      </c>
      <c r="L1825" s="1">
        <f>IFERROR(__xludf.DUMMYFUNCTION("""COMPUTED_VALUE"""),182.0)</f>
        <v>182</v>
      </c>
    </row>
    <row r="1826">
      <c r="A1826" s="1">
        <v>3573277.0</v>
      </c>
      <c r="B1826" s="1" t="s">
        <v>3937</v>
      </c>
      <c r="C1826" s="1" t="s">
        <v>3831</v>
      </c>
      <c r="D1826" s="1" t="s">
        <v>3938</v>
      </c>
      <c r="E1826" s="1" t="s">
        <v>3939</v>
      </c>
      <c r="F1826" s="1" t="s">
        <v>55</v>
      </c>
      <c r="G1826" s="1" t="s">
        <v>17</v>
      </c>
      <c r="H1826" s="1" t="s">
        <v>18</v>
      </c>
      <c r="I1826" s="1" t="s">
        <v>163</v>
      </c>
      <c r="J1826" s="1">
        <f>IFERROR(__xludf.DUMMYFUNCTION("""COMPUTED_VALUE"""),41.0)</f>
        <v>41</v>
      </c>
      <c r="K1826" s="1">
        <v>11.0</v>
      </c>
      <c r="L1826" s="1">
        <f>IFERROR(__xludf.DUMMYFUNCTION("""COMPUTED_VALUE"""),182.0)</f>
        <v>182</v>
      </c>
    </row>
    <row r="1827">
      <c r="A1827" s="1">
        <v>3513013.0</v>
      </c>
      <c r="B1827" s="1" t="s">
        <v>3940</v>
      </c>
      <c r="C1827" s="1" t="s">
        <v>3831</v>
      </c>
      <c r="D1827" s="1" t="s">
        <v>3853</v>
      </c>
      <c r="E1827" s="1" t="s">
        <v>3941</v>
      </c>
      <c r="F1827" s="1" t="s">
        <v>16</v>
      </c>
      <c r="G1827" s="1" t="s">
        <v>27</v>
      </c>
      <c r="H1827" s="1" t="s">
        <v>28</v>
      </c>
      <c r="I1827" s="1" t="s">
        <v>40</v>
      </c>
      <c r="J1827" s="1">
        <f>IFERROR(__xludf.DUMMYFUNCTION("""COMPUTED_VALUE"""),250.0)</f>
        <v>250</v>
      </c>
      <c r="K1827" s="1">
        <v>33.0</v>
      </c>
      <c r="L1827" s="1">
        <f>IFERROR(__xludf.DUMMYFUNCTION("""COMPUTED_VALUE"""),586.0)</f>
        <v>586</v>
      </c>
    </row>
    <row r="1828">
      <c r="A1828" s="1">
        <v>3578603.0</v>
      </c>
      <c r="B1828" s="1" t="s">
        <v>3942</v>
      </c>
      <c r="C1828" s="1" t="s">
        <v>3831</v>
      </c>
      <c r="D1828" s="1" t="s">
        <v>3847</v>
      </c>
      <c r="E1828" s="1" t="s">
        <v>3943</v>
      </c>
      <c r="F1828" s="1" t="s">
        <v>16</v>
      </c>
      <c r="G1828" s="1" t="s">
        <v>17</v>
      </c>
      <c r="H1828" s="1" t="s">
        <v>18</v>
      </c>
      <c r="I1828" s="1" t="s">
        <v>59</v>
      </c>
      <c r="J1828" s="1">
        <f>IFERROR(__xludf.DUMMYFUNCTION("""COMPUTED_VALUE"""),138.0)</f>
        <v>138</v>
      </c>
      <c r="K1828" s="1">
        <v>42.0</v>
      </c>
      <c r="L1828" s="1">
        <f>IFERROR(__xludf.DUMMYFUNCTION("""COMPUTED_VALUE"""),323.0)</f>
        <v>323</v>
      </c>
    </row>
    <row r="1829">
      <c r="A1829" s="1">
        <v>3525091.0</v>
      </c>
      <c r="B1829" s="1" t="s">
        <v>3944</v>
      </c>
      <c r="C1829" s="1" t="s">
        <v>3831</v>
      </c>
      <c r="D1829" s="1" t="s">
        <v>3865</v>
      </c>
      <c r="E1829" s="1" t="s">
        <v>3945</v>
      </c>
      <c r="F1829" s="1" t="s">
        <v>16</v>
      </c>
      <c r="G1829" s="1" t="s">
        <v>23</v>
      </c>
      <c r="H1829" s="1" t="s">
        <v>18</v>
      </c>
      <c r="I1829" s="1" t="s">
        <v>44</v>
      </c>
      <c r="J1829" s="1">
        <f>IFERROR(__xludf.DUMMYFUNCTION("""COMPUTED_VALUE"""),60.0)</f>
        <v>60</v>
      </c>
      <c r="K1829" s="1">
        <v>33.0</v>
      </c>
      <c r="L1829" s="1">
        <f>IFERROR(__xludf.DUMMYFUNCTION("""COMPUTED_VALUE"""),74.0)</f>
        <v>74</v>
      </c>
    </row>
    <row r="1830">
      <c r="A1830" s="1">
        <v>3578794.0</v>
      </c>
      <c r="B1830" s="1" t="s">
        <v>3946</v>
      </c>
      <c r="C1830" s="1" t="s">
        <v>3831</v>
      </c>
      <c r="D1830" s="1" t="s">
        <v>3847</v>
      </c>
      <c r="E1830" s="1" t="s">
        <v>3947</v>
      </c>
      <c r="F1830" s="1" t="s">
        <v>55</v>
      </c>
      <c r="G1830" s="1" t="s">
        <v>17</v>
      </c>
      <c r="H1830" s="1" t="s">
        <v>18</v>
      </c>
      <c r="I1830" s="1" t="s">
        <v>19</v>
      </c>
      <c r="J1830" s="1">
        <f>IFERROR(__xludf.DUMMYFUNCTION("""COMPUTED_VALUE"""),25.0)</f>
        <v>25</v>
      </c>
      <c r="K1830" s="1">
        <v>17.0</v>
      </c>
      <c r="L1830" s="1">
        <f>IFERROR(__xludf.DUMMYFUNCTION("""COMPUTED_VALUE"""),22.0)</f>
        <v>22</v>
      </c>
    </row>
    <row r="1831">
      <c r="A1831" s="1">
        <v>3514059.0</v>
      </c>
      <c r="B1831" s="1" t="s">
        <v>3861</v>
      </c>
      <c r="C1831" s="1" t="s">
        <v>3831</v>
      </c>
      <c r="D1831" s="1" t="s">
        <v>3875</v>
      </c>
      <c r="E1831" s="1" t="s">
        <v>3948</v>
      </c>
      <c r="F1831" s="1" t="s">
        <v>16</v>
      </c>
      <c r="G1831" s="1" t="s">
        <v>17</v>
      </c>
      <c r="H1831" s="1" t="s">
        <v>18</v>
      </c>
      <c r="I1831" s="1" t="s">
        <v>19</v>
      </c>
      <c r="J1831" s="1">
        <f>IFERROR(__xludf.DUMMYFUNCTION("""COMPUTED_VALUE"""),158.0)</f>
        <v>158</v>
      </c>
      <c r="K1831" s="1">
        <v>43.0</v>
      </c>
      <c r="L1831" s="1">
        <f>IFERROR(__xludf.DUMMYFUNCTION("""COMPUTED_VALUE"""),78.0)</f>
        <v>78</v>
      </c>
    </row>
    <row r="1832">
      <c r="A1832" s="1">
        <v>3507204.0</v>
      </c>
      <c r="B1832" s="1" t="s">
        <v>3949</v>
      </c>
      <c r="C1832" s="1" t="s">
        <v>3831</v>
      </c>
      <c r="D1832" s="1" t="s">
        <v>3862</v>
      </c>
      <c r="E1832" s="1" t="s">
        <v>3950</v>
      </c>
      <c r="F1832" s="1" t="s">
        <v>16</v>
      </c>
      <c r="G1832" s="1" t="s">
        <v>17</v>
      </c>
      <c r="H1832" s="1" t="s">
        <v>18</v>
      </c>
      <c r="I1832" s="1" t="s">
        <v>19</v>
      </c>
      <c r="J1832" s="1">
        <f>IFERROR(__xludf.DUMMYFUNCTION("""COMPUTED_VALUE"""),100.0)</f>
        <v>100</v>
      </c>
      <c r="K1832" s="1">
        <v>38.0</v>
      </c>
      <c r="L1832" s="1">
        <f>IFERROR(__xludf.DUMMYFUNCTION("""COMPUTED_VALUE"""),425.0)</f>
        <v>425</v>
      </c>
    </row>
    <row r="1833">
      <c r="A1833" s="1">
        <v>3579002.0</v>
      </c>
      <c r="B1833" s="1" t="s">
        <v>3951</v>
      </c>
      <c r="C1833" s="1" t="s">
        <v>3831</v>
      </c>
      <c r="D1833" s="1" t="s">
        <v>3922</v>
      </c>
      <c r="E1833" s="1" t="s">
        <v>3952</v>
      </c>
      <c r="F1833" s="1" t="s">
        <v>16</v>
      </c>
      <c r="G1833" s="1" t="s">
        <v>23</v>
      </c>
      <c r="H1833" s="1" t="s">
        <v>18</v>
      </c>
      <c r="I1833" s="1" t="s">
        <v>19</v>
      </c>
      <c r="J1833" s="1">
        <f>IFERROR(__xludf.DUMMYFUNCTION("""COMPUTED_VALUE"""),54.0)</f>
        <v>54</v>
      </c>
      <c r="K1833" s="1">
        <v>25.0</v>
      </c>
      <c r="L1833" s="1">
        <f>IFERROR(__xludf.DUMMYFUNCTION("""COMPUTED_VALUE"""),89.0)</f>
        <v>89</v>
      </c>
    </row>
    <row r="1834">
      <c r="A1834" s="1">
        <v>3528029.0</v>
      </c>
      <c r="B1834" s="1" t="s">
        <v>3953</v>
      </c>
      <c r="C1834" s="1" t="s">
        <v>3831</v>
      </c>
      <c r="D1834" s="1" t="s">
        <v>3841</v>
      </c>
      <c r="E1834" s="1" t="s">
        <v>3954</v>
      </c>
      <c r="F1834" s="1" t="s">
        <v>16</v>
      </c>
      <c r="G1834" s="1" t="s">
        <v>23</v>
      </c>
      <c r="H1834" s="1" t="s">
        <v>18</v>
      </c>
      <c r="I1834" s="1" t="s">
        <v>19</v>
      </c>
      <c r="J1834" s="1">
        <f>IFERROR(__xludf.DUMMYFUNCTION("""COMPUTED_VALUE"""),69.0)</f>
        <v>69</v>
      </c>
      <c r="K1834" s="1">
        <v>21.0</v>
      </c>
      <c r="L1834" s="1">
        <f>IFERROR(__xludf.DUMMYFUNCTION("""COMPUTED_VALUE"""),32.0)</f>
        <v>32</v>
      </c>
    </row>
    <row r="1835">
      <c r="A1835" s="1">
        <v>3517076.0</v>
      </c>
      <c r="B1835" s="1" t="s">
        <v>3955</v>
      </c>
      <c r="C1835" s="1" t="s">
        <v>3831</v>
      </c>
      <c r="D1835" s="1" t="s">
        <v>3956</v>
      </c>
      <c r="E1835" s="1" t="s">
        <v>3957</v>
      </c>
      <c r="F1835" s="1" t="s">
        <v>16</v>
      </c>
      <c r="G1835" s="1" t="s">
        <v>23</v>
      </c>
      <c r="H1835" s="1" t="s">
        <v>18</v>
      </c>
      <c r="I1835" s="1" t="s">
        <v>19</v>
      </c>
      <c r="J1835" s="1">
        <f>IFERROR(__xludf.DUMMYFUNCTION("""COMPUTED_VALUE"""),66.0)</f>
        <v>66</v>
      </c>
      <c r="K1835" s="1">
        <v>63.0</v>
      </c>
      <c r="L1835" s="1">
        <f>IFERROR(__xludf.DUMMYFUNCTION("""COMPUTED_VALUE"""),261.0)</f>
        <v>261</v>
      </c>
    </row>
    <row r="1836">
      <c r="A1836" s="1">
        <v>3571145.0</v>
      </c>
      <c r="B1836" s="1" t="s">
        <v>3958</v>
      </c>
      <c r="C1836" s="1" t="s">
        <v>3831</v>
      </c>
      <c r="D1836" s="1" t="s">
        <v>3930</v>
      </c>
      <c r="E1836" s="1" t="s">
        <v>3959</v>
      </c>
      <c r="F1836" s="1" t="s">
        <v>55</v>
      </c>
      <c r="G1836" s="1" t="s">
        <v>17</v>
      </c>
      <c r="H1836" s="1" t="s">
        <v>18</v>
      </c>
      <c r="I1836" s="1" t="s">
        <v>19</v>
      </c>
      <c r="J1836" s="1">
        <f>IFERROR(__xludf.DUMMYFUNCTION("""COMPUTED_VALUE"""),33.0)</f>
        <v>33</v>
      </c>
      <c r="K1836" s="1">
        <v>14.0</v>
      </c>
      <c r="L1836" s="1">
        <f>IFERROR(__xludf.DUMMYFUNCTION("""COMPUTED_VALUE"""),22.0)</f>
        <v>22</v>
      </c>
    </row>
    <row r="1837">
      <c r="A1837" s="1">
        <v>3504045.0</v>
      </c>
      <c r="B1837" s="1" t="s">
        <v>3960</v>
      </c>
      <c r="C1837" s="1" t="s">
        <v>3831</v>
      </c>
      <c r="D1837" s="1" t="s">
        <v>3850</v>
      </c>
      <c r="E1837" s="1" t="s">
        <v>3961</v>
      </c>
      <c r="F1837" s="1" t="s">
        <v>16</v>
      </c>
      <c r="G1837" s="1" t="s">
        <v>17</v>
      </c>
      <c r="H1837" s="1" t="s">
        <v>18</v>
      </c>
      <c r="I1837" s="1" t="s">
        <v>19</v>
      </c>
      <c r="J1837" s="1">
        <f>IFERROR(__xludf.DUMMYFUNCTION("""COMPUTED_VALUE"""),100.0)</f>
        <v>100</v>
      </c>
      <c r="K1837" s="1">
        <v>39.0</v>
      </c>
      <c r="L1837" s="1">
        <f>IFERROR(__xludf.DUMMYFUNCTION("""COMPUTED_VALUE"""),141.0)</f>
        <v>141</v>
      </c>
    </row>
    <row r="1838">
      <c r="A1838" s="1">
        <v>3577026.0</v>
      </c>
      <c r="B1838" s="1" t="s">
        <v>3962</v>
      </c>
      <c r="C1838" s="1" t="s">
        <v>3831</v>
      </c>
      <c r="D1838" s="1" t="s">
        <v>3906</v>
      </c>
      <c r="E1838" s="1" t="s">
        <v>3963</v>
      </c>
      <c r="F1838" s="1" t="s">
        <v>16</v>
      </c>
      <c r="G1838" s="1" t="s">
        <v>17</v>
      </c>
      <c r="H1838" s="1" t="s">
        <v>18</v>
      </c>
      <c r="I1838" s="1" t="s">
        <v>19</v>
      </c>
      <c r="J1838" s="1">
        <f>IFERROR(__xludf.DUMMYFUNCTION("""COMPUTED_VALUE"""),109.0)</f>
        <v>109</v>
      </c>
      <c r="K1838" s="1">
        <v>50.0</v>
      </c>
      <c r="L1838" s="1">
        <f>IFERROR(__xludf.DUMMYFUNCTION("""COMPUTED_VALUE"""),90.0)</f>
        <v>90</v>
      </c>
    </row>
    <row r="1839">
      <c r="A1839" s="1">
        <v>3515123.0</v>
      </c>
      <c r="B1839" s="1" t="s">
        <v>3964</v>
      </c>
      <c r="C1839" s="1" t="s">
        <v>3831</v>
      </c>
      <c r="D1839" s="1" t="s">
        <v>3870</v>
      </c>
      <c r="E1839" s="1" t="s">
        <v>3965</v>
      </c>
      <c r="F1839" s="1" t="s">
        <v>16</v>
      </c>
      <c r="G1839" s="1" t="s">
        <v>23</v>
      </c>
      <c r="H1839" s="1" t="s">
        <v>18</v>
      </c>
      <c r="I1839" s="1" t="s">
        <v>44</v>
      </c>
      <c r="J1839" s="1">
        <f>IFERROR(__xludf.DUMMYFUNCTION("""COMPUTED_VALUE"""),50.0)</f>
        <v>50</v>
      </c>
      <c r="K1839" s="1">
        <v>14.0</v>
      </c>
      <c r="L1839" s="1">
        <f>IFERROR(__xludf.DUMMYFUNCTION("""COMPUTED_VALUE"""),76.0)</f>
        <v>76</v>
      </c>
    </row>
    <row r="1840">
      <c r="A1840" s="1">
        <v>3512050.0</v>
      </c>
      <c r="B1840" s="1" t="s">
        <v>3966</v>
      </c>
      <c r="C1840" s="1" t="s">
        <v>3831</v>
      </c>
      <c r="D1840" s="1" t="s">
        <v>3967</v>
      </c>
      <c r="E1840" s="1" t="s">
        <v>3968</v>
      </c>
      <c r="F1840" s="1" t="s">
        <v>55</v>
      </c>
      <c r="G1840" s="1" t="s">
        <v>17</v>
      </c>
      <c r="H1840" s="1" t="s">
        <v>18</v>
      </c>
      <c r="I1840" s="1" t="s">
        <v>19</v>
      </c>
      <c r="J1840" s="1">
        <f>IFERROR(__xludf.DUMMYFUNCTION("""COMPUTED_VALUE"""),35.0)</f>
        <v>35</v>
      </c>
      <c r="K1840" s="1">
        <v>12.0</v>
      </c>
      <c r="L1840" s="1">
        <f>IFERROR(__xludf.DUMMYFUNCTION("""COMPUTED_VALUE"""),182.0)</f>
        <v>182</v>
      </c>
    </row>
    <row r="1841">
      <c r="A1841" s="1">
        <v>3524020.0</v>
      </c>
      <c r="B1841" s="1" t="s">
        <v>3969</v>
      </c>
      <c r="C1841" s="1" t="s">
        <v>3831</v>
      </c>
      <c r="D1841" s="1" t="s">
        <v>3856</v>
      </c>
      <c r="E1841" s="1" t="s">
        <v>3970</v>
      </c>
      <c r="F1841" s="1" t="s">
        <v>16</v>
      </c>
      <c r="G1841" s="1" t="s">
        <v>17</v>
      </c>
      <c r="H1841" s="1" t="s">
        <v>18</v>
      </c>
      <c r="I1841" s="1" t="s">
        <v>19</v>
      </c>
      <c r="J1841" s="1">
        <f>IFERROR(__xludf.DUMMYFUNCTION("""COMPUTED_VALUE"""),135.0)</f>
        <v>135</v>
      </c>
      <c r="K1841" s="1">
        <v>32.0</v>
      </c>
      <c r="L1841" s="1">
        <f>IFERROR(__xludf.DUMMYFUNCTION("""COMPUTED_VALUE"""),362.0)</f>
        <v>362</v>
      </c>
    </row>
    <row r="1842">
      <c r="A1842" s="1">
        <v>3573250.0</v>
      </c>
      <c r="B1842" s="1" t="s">
        <v>3971</v>
      </c>
      <c r="C1842" s="1" t="s">
        <v>3831</v>
      </c>
      <c r="D1842" s="1" t="s">
        <v>3938</v>
      </c>
      <c r="E1842" s="1" t="s">
        <v>3972</v>
      </c>
      <c r="F1842" s="1" t="s">
        <v>55</v>
      </c>
      <c r="G1842" s="1" t="s">
        <v>17</v>
      </c>
      <c r="H1842" s="1" t="s">
        <v>18</v>
      </c>
      <c r="I1842" s="1" t="s">
        <v>19</v>
      </c>
      <c r="J1842" s="1">
        <f>IFERROR(__xludf.DUMMYFUNCTION("""COMPUTED_VALUE"""),63.0)</f>
        <v>63</v>
      </c>
      <c r="K1842" s="1">
        <v>32.0</v>
      </c>
      <c r="L1842" s="1">
        <f>IFERROR(__xludf.DUMMYFUNCTION("""COMPUTED_VALUE"""),259.0)</f>
        <v>259</v>
      </c>
    </row>
    <row r="1843">
      <c r="A1843" s="1">
        <v>3517025.0</v>
      </c>
      <c r="B1843" s="1" t="s">
        <v>3973</v>
      </c>
      <c r="C1843" s="1" t="s">
        <v>3831</v>
      </c>
      <c r="D1843" s="1" t="s">
        <v>3956</v>
      </c>
      <c r="E1843" s="1" t="s">
        <v>3974</v>
      </c>
      <c r="F1843" s="1" t="s">
        <v>16</v>
      </c>
      <c r="G1843" s="1" t="s">
        <v>23</v>
      </c>
      <c r="H1843" s="1" t="s">
        <v>18</v>
      </c>
      <c r="I1843" s="1" t="s">
        <v>19</v>
      </c>
      <c r="J1843" s="1">
        <f>IFERROR(__xludf.DUMMYFUNCTION("""COMPUTED_VALUE"""),57.0)</f>
        <v>57</v>
      </c>
      <c r="K1843" s="1">
        <v>26.0</v>
      </c>
      <c r="L1843" s="1">
        <f>IFERROR(__xludf.DUMMYFUNCTION("""COMPUTED_VALUE"""),83.0)</f>
        <v>83</v>
      </c>
    </row>
    <row r="1844">
      <c r="A1844" s="1">
        <v>3515140.0</v>
      </c>
      <c r="B1844" s="1" t="s">
        <v>3975</v>
      </c>
      <c r="C1844" s="1" t="s">
        <v>3831</v>
      </c>
      <c r="D1844" s="1" t="s">
        <v>3870</v>
      </c>
      <c r="E1844" s="1" t="s">
        <v>3976</v>
      </c>
      <c r="F1844" s="1" t="s">
        <v>16</v>
      </c>
      <c r="G1844" s="1" t="s">
        <v>23</v>
      </c>
      <c r="H1844" s="1" t="s">
        <v>18</v>
      </c>
      <c r="I1844" s="1" t="s">
        <v>44</v>
      </c>
      <c r="J1844" s="1">
        <f>IFERROR(__xludf.DUMMYFUNCTION("""COMPUTED_VALUE"""),66.0)</f>
        <v>66</v>
      </c>
      <c r="K1844" s="1">
        <v>29.0</v>
      </c>
      <c r="L1844" s="1">
        <f>IFERROR(__xludf.DUMMYFUNCTION("""COMPUTED_VALUE"""),111.0)</f>
        <v>111</v>
      </c>
    </row>
    <row r="1845">
      <c r="A1845" s="1">
        <v>3506064.0</v>
      </c>
      <c r="B1845" s="1" t="s">
        <v>3977</v>
      </c>
      <c r="C1845" s="1" t="s">
        <v>3831</v>
      </c>
      <c r="D1845" s="1" t="s">
        <v>3894</v>
      </c>
      <c r="E1845" s="1" t="s">
        <v>3978</v>
      </c>
      <c r="F1845" s="1" t="s">
        <v>55</v>
      </c>
      <c r="G1845" s="1" t="s">
        <v>17</v>
      </c>
      <c r="H1845" s="1" t="s">
        <v>18</v>
      </c>
      <c r="I1845" s="1" t="s">
        <v>19</v>
      </c>
      <c r="J1845" s="1">
        <f>IFERROR(__xludf.DUMMYFUNCTION("""COMPUTED_VALUE"""),30.0)</f>
        <v>30</v>
      </c>
      <c r="K1845" s="1">
        <v>14.0</v>
      </c>
      <c r="L1845" s="1">
        <f>IFERROR(__xludf.DUMMYFUNCTION("""COMPUTED_VALUE"""),71.0)</f>
        <v>71</v>
      </c>
    </row>
    <row r="1846">
      <c r="A1846" s="1">
        <v>3510109.0</v>
      </c>
      <c r="B1846" s="1" t="s">
        <v>3979</v>
      </c>
      <c r="C1846" s="1" t="s">
        <v>3831</v>
      </c>
      <c r="D1846" s="1" t="s">
        <v>3844</v>
      </c>
      <c r="E1846" s="1" t="s">
        <v>3980</v>
      </c>
      <c r="F1846" s="1" t="s">
        <v>16</v>
      </c>
      <c r="G1846" s="1" t="s">
        <v>23</v>
      </c>
      <c r="H1846" s="1" t="s">
        <v>18</v>
      </c>
      <c r="I1846" s="1" t="s">
        <v>19</v>
      </c>
      <c r="J1846" s="1">
        <f>IFERROR(__xludf.DUMMYFUNCTION("""COMPUTED_VALUE"""),50.0)</f>
        <v>50</v>
      </c>
      <c r="K1846" s="1">
        <v>15.0</v>
      </c>
      <c r="L1846" s="1">
        <f>IFERROR(__xludf.DUMMYFUNCTION("""COMPUTED_VALUE"""),47.0)</f>
        <v>47</v>
      </c>
    </row>
    <row r="1847">
      <c r="A1847" s="1">
        <v>3523056.0</v>
      </c>
      <c r="B1847" s="1" t="s">
        <v>3981</v>
      </c>
      <c r="C1847" s="1" t="s">
        <v>3831</v>
      </c>
      <c r="D1847" s="1" t="s">
        <v>3982</v>
      </c>
      <c r="E1847" s="1" t="s">
        <v>3983</v>
      </c>
      <c r="F1847" s="1" t="s">
        <v>16</v>
      </c>
      <c r="G1847" s="1" t="s">
        <v>23</v>
      </c>
      <c r="H1847" s="1" t="s">
        <v>18</v>
      </c>
      <c r="I1847" s="1" t="s">
        <v>44</v>
      </c>
      <c r="J1847" s="1">
        <f>IFERROR(__xludf.DUMMYFUNCTION("""COMPUTED_VALUE"""),70.0)</f>
        <v>70</v>
      </c>
      <c r="K1847" s="1">
        <v>29.0</v>
      </c>
      <c r="L1847" s="1">
        <f>IFERROR(__xludf.DUMMYFUNCTION("""COMPUTED_VALUE"""),182.0)</f>
        <v>182</v>
      </c>
    </row>
    <row r="1848">
      <c r="A1848" s="1">
        <v>3515158.0</v>
      </c>
      <c r="B1848" s="1" t="s">
        <v>3984</v>
      </c>
      <c r="C1848" s="1" t="s">
        <v>3831</v>
      </c>
      <c r="D1848" s="1" t="s">
        <v>3870</v>
      </c>
      <c r="E1848" s="1" t="s">
        <v>3985</v>
      </c>
      <c r="F1848" s="1" t="s">
        <v>55</v>
      </c>
      <c r="G1848" s="1" t="s">
        <v>17</v>
      </c>
      <c r="H1848" s="1" t="s">
        <v>18</v>
      </c>
      <c r="I1848" s="1" t="s">
        <v>19</v>
      </c>
      <c r="J1848" s="1">
        <f>IFERROR(__xludf.DUMMYFUNCTION("""COMPUTED_VALUE"""),31.0)</f>
        <v>31</v>
      </c>
      <c r="K1848" s="1">
        <v>17.0</v>
      </c>
      <c r="L1848" s="1">
        <f>IFERROR(__xludf.DUMMYFUNCTION("""COMPUTED_VALUE"""),182.0)</f>
        <v>182</v>
      </c>
    </row>
    <row r="1849">
      <c r="A1849" s="1">
        <v>3528013.0</v>
      </c>
      <c r="B1849" s="1" t="s">
        <v>3986</v>
      </c>
      <c r="C1849" s="1" t="s">
        <v>3831</v>
      </c>
      <c r="D1849" s="1" t="s">
        <v>3841</v>
      </c>
      <c r="E1849" s="1" t="s">
        <v>3987</v>
      </c>
      <c r="F1849" s="1" t="s">
        <v>16</v>
      </c>
      <c r="G1849" s="1" t="s">
        <v>27</v>
      </c>
      <c r="H1849" s="1" t="s">
        <v>28</v>
      </c>
      <c r="I1849" s="1" t="s">
        <v>40</v>
      </c>
      <c r="J1849" s="1">
        <f>IFERROR(__xludf.DUMMYFUNCTION("""COMPUTED_VALUE"""),250.0)</f>
        <v>250</v>
      </c>
      <c r="K1849" s="1">
        <v>45.0</v>
      </c>
      <c r="L1849" s="1">
        <f>IFERROR(__xludf.DUMMYFUNCTION("""COMPUTED_VALUE"""),556.0)</f>
        <v>556</v>
      </c>
    </row>
    <row r="1850">
      <c r="A1850" s="1">
        <v>3507096.0</v>
      </c>
      <c r="B1850" s="1" t="s">
        <v>3988</v>
      </c>
      <c r="C1850" s="1" t="s">
        <v>3831</v>
      </c>
      <c r="D1850" s="1" t="s">
        <v>3862</v>
      </c>
      <c r="E1850" s="1" t="s">
        <v>3989</v>
      </c>
      <c r="F1850" s="1" t="s">
        <v>16</v>
      </c>
      <c r="G1850" s="1" t="s">
        <v>27</v>
      </c>
      <c r="H1850" s="1" t="s">
        <v>18</v>
      </c>
      <c r="I1850" s="1" t="s">
        <v>19</v>
      </c>
      <c r="J1850" s="1">
        <f>IFERROR(__xludf.DUMMYFUNCTION("""COMPUTED_VALUE"""),249.0)</f>
        <v>249</v>
      </c>
      <c r="K1850" s="1">
        <v>104.0</v>
      </c>
      <c r="L1850" s="1">
        <f>IFERROR(__xludf.DUMMYFUNCTION("""COMPUTED_VALUE"""),1076.0)</f>
        <v>1076</v>
      </c>
    </row>
    <row r="1851">
      <c r="A1851" s="1">
        <v>3516036.0</v>
      </c>
      <c r="B1851" s="1" t="s">
        <v>3990</v>
      </c>
      <c r="C1851" s="1" t="s">
        <v>3831</v>
      </c>
      <c r="D1851" s="1" t="s">
        <v>3909</v>
      </c>
      <c r="E1851" s="1" t="s">
        <v>3991</v>
      </c>
      <c r="F1851" s="1" t="s">
        <v>16</v>
      </c>
      <c r="G1851" s="1" t="s">
        <v>23</v>
      </c>
      <c r="H1851" s="1" t="s">
        <v>18</v>
      </c>
      <c r="I1851" s="1" t="s">
        <v>19</v>
      </c>
      <c r="J1851" s="1">
        <f>IFERROR(__xludf.DUMMYFUNCTION("""COMPUTED_VALUE"""),90.0)</f>
        <v>90</v>
      </c>
      <c r="K1851" s="1">
        <v>37.0</v>
      </c>
      <c r="L1851" s="1">
        <f>IFERROR(__xludf.DUMMYFUNCTION("""COMPUTED_VALUE"""),68.0)</f>
        <v>68</v>
      </c>
    </row>
    <row r="1852">
      <c r="A1852" s="1">
        <v>3521015.0</v>
      </c>
      <c r="B1852" s="1" t="s">
        <v>3992</v>
      </c>
      <c r="C1852" s="1" t="s">
        <v>3831</v>
      </c>
      <c r="D1852" s="1" t="s">
        <v>3838</v>
      </c>
      <c r="E1852" s="1" t="s">
        <v>3993</v>
      </c>
      <c r="F1852" s="1" t="s">
        <v>16</v>
      </c>
      <c r="G1852" s="1" t="s">
        <v>17</v>
      </c>
      <c r="H1852" s="1" t="s">
        <v>18</v>
      </c>
      <c r="I1852" s="1" t="s">
        <v>19</v>
      </c>
      <c r="J1852" s="1">
        <f>IFERROR(__xludf.DUMMYFUNCTION("""COMPUTED_VALUE"""),160.0)</f>
        <v>160</v>
      </c>
      <c r="K1852" s="1">
        <v>39.0</v>
      </c>
      <c r="L1852" s="1">
        <f>IFERROR(__xludf.DUMMYFUNCTION("""COMPUTED_VALUE"""),296.0)</f>
        <v>296</v>
      </c>
    </row>
    <row r="1853">
      <c r="A1853" s="1">
        <v>3524072.0</v>
      </c>
      <c r="B1853" s="1" t="s">
        <v>3994</v>
      </c>
      <c r="C1853" s="1" t="s">
        <v>3831</v>
      </c>
      <c r="D1853" s="1" t="s">
        <v>3856</v>
      </c>
      <c r="E1853" s="1" t="s">
        <v>3995</v>
      </c>
      <c r="F1853" s="1" t="s">
        <v>16</v>
      </c>
      <c r="G1853" s="1" t="s">
        <v>23</v>
      </c>
      <c r="H1853" s="1" t="s">
        <v>18</v>
      </c>
      <c r="I1853" s="1" t="s">
        <v>19</v>
      </c>
      <c r="J1853" s="1">
        <f>IFERROR(__xludf.DUMMYFUNCTION("""COMPUTED_VALUE"""),59.0)</f>
        <v>59</v>
      </c>
      <c r="K1853" s="1">
        <v>24.0</v>
      </c>
      <c r="L1853" s="1">
        <f>IFERROR(__xludf.DUMMYFUNCTION("""COMPUTED_VALUE"""),182.0)</f>
        <v>182</v>
      </c>
    </row>
    <row r="1854">
      <c r="A1854" s="1">
        <v>3510043.0</v>
      </c>
      <c r="B1854" s="1" t="s">
        <v>3996</v>
      </c>
      <c r="C1854" s="1" t="s">
        <v>3831</v>
      </c>
      <c r="D1854" s="1" t="s">
        <v>3844</v>
      </c>
      <c r="E1854" s="1" t="s">
        <v>3997</v>
      </c>
      <c r="F1854" s="1" t="s">
        <v>16</v>
      </c>
      <c r="G1854" s="1" t="s">
        <v>17</v>
      </c>
      <c r="H1854" s="1" t="s">
        <v>28</v>
      </c>
      <c r="I1854" s="1" t="s">
        <v>40</v>
      </c>
      <c r="J1854" s="1">
        <f>IFERROR(__xludf.DUMMYFUNCTION("""COMPUTED_VALUE"""),161.0)</f>
        <v>161</v>
      </c>
      <c r="K1854" s="1">
        <v>107.0</v>
      </c>
      <c r="L1854" s="1">
        <f>IFERROR(__xludf.DUMMYFUNCTION("""COMPUTED_VALUE"""),428.0)</f>
        <v>428</v>
      </c>
    </row>
    <row r="1855">
      <c r="A1855" s="1">
        <v>3578476.0</v>
      </c>
      <c r="B1855" s="1" t="s">
        <v>3998</v>
      </c>
      <c r="C1855" s="1" t="s">
        <v>3831</v>
      </c>
      <c r="D1855" s="1" t="s">
        <v>3847</v>
      </c>
      <c r="E1855" s="1" t="s">
        <v>3999</v>
      </c>
      <c r="F1855" s="1" t="s">
        <v>16</v>
      </c>
      <c r="G1855" s="1" t="s">
        <v>17</v>
      </c>
      <c r="H1855" s="1" t="s">
        <v>18</v>
      </c>
      <c r="I1855" s="1" t="s">
        <v>59</v>
      </c>
      <c r="J1855" s="1">
        <f>IFERROR(__xludf.DUMMYFUNCTION("""COMPUTED_VALUE"""),146.0)</f>
        <v>146</v>
      </c>
      <c r="K1855" s="1">
        <v>73.0</v>
      </c>
      <c r="L1855" s="1">
        <f>IFERROR(__xludf.DUMMYFUNCTION("""COMPUTED_VALUE"""),412.0)</f>
        <v>412</v>
      </c>
    </row>
    <row r="1856">
      <c r="A1856" s="1">
        <v>3510104.0</v>
      </c>
      <c r="B1856" s="1" t="s">
        <v>4000</v>
      </c>
      <c r="C1856" s="1" t="s">
        <v>3831</v>
      </c>
      <c r="D1856" s="1" t="s">
        <v>3844</v>
      </c>
      <c r="E1856" s="1" t="s">
        <v>4001</v>
      </c>
      <c r="F1856" s="1" t="s">
        <v>16</v>
      </c>
      <c r="G1856" s="1" t="s">
        <v>23</v>
      </c>
      <c r="H1856" s="1" t="s">
        <v>18</v>
      </c>
      <c r="I1856" s="1" t="s">
        <v>19</v>
      </c>
      <c r="J1856" s="1">
        <f>IFERROR(__xludf.DUMMYFUNCTION("""COMPUTED_VALUE"""),72.0)</f>
        <v>72</v>
      </c>
      <c r="K1856" s="1">
        <v>20.0</v>
      </c>
      <c r="L1856" s="1">
        <f>IFERROR(__xludf.DUMMYFUNCTION("""COMPUTED_VALUE"""),77.0)</f>
        <v>77</v>
      </c>
    </row>
    <row r="1857">
      <c r="A1857" s="1">
        <v>3519026.0</v>
      </c>
      <c r="B1857" s="1" t="s">
        <v>4002</v>
      </c>
      <c r="C1857" s="1" t="s">
        <v>3831</v>
      </c>
      <c r="D1857" s="1" t="s">
        <v>3906</v>
      </c>
      <c r="E1857" s="1" t="s">
        <v>4003</v>
      </c>
      <c r="F1857" s="1" t="s">
        <v>473</v>
      </c>
      <c r="G1857" s="1" t="s">
        <v>17</v>
      </c>
      <c r="H1857" s="1" t="s">
        <v>28</v>
      </c>
      <c r="I1857" s="1" t="s">
        <v>139</v>
      </c>
      <c r="J1857" s="1">
        <f>IFERROR(__xludf.DUMMYFUNCTION("""COMPUTED_VALUE"""),47.0)</f>
        <v>47</v>
      </c>
      <c r="K1857" s="1">
        <v>67.0</v>
      </c>
      <c r="L1857" s="1">
        <f>IFERROR(__xludf.DUMMYFUNCTION("""COMPUTED_VALUE"""),152.0)</f>
        <v>152</v>
      </c>
    </row>
    <row r="1858">
      <c r="A1858" s="1">
        <v>3521027.0</v>
      </c>
      <c r="B1858" s="1" t="s">
        <v>4004</v>
      </c>
      <c r="C1858" s="1" t="s">
        <v>3831</v>
      </c>
      <c r="D1858" s="1" t="s">
        <v>3838</v>
      </c>
      <c r="E1858" s="1" t="s">
        <v>4005</v>
      </c>
      <c r="F1858" s="1" t="s">
        <v>16</v>
      </c>
      <c r="G1858" s="1" t="s">
        <v>23</v>
      </c>
      <c r="H1858" s="1" t="s">
        <v>18</v>
      </c>
      <c r="I1858" s="1" t="s">
        <v>40</v>
      </c>
      <c r="J1858" s="1">
        <f>IFERROR(__xludf.DUMMYFUNCTION("""COMPUTED_VALUE"""),50.0)</f>
        <v>50</v>
      </c>
      <c r="K1858" s="1">
        <v>19.0</v>
      </c>
      <c r="L1858" s="1">
        <f>IFERROR(__xludf.DUMMYFUNCTION("""COMPUTED_VALUE"""),182.0)</f>
        <v>182</v>
      </c>
    </row>
    <row r="1859">
      <c r="A1859" s="1">
        <v>3573022.0</v>
      </c>
      <c r="B1859" s="1" t="s">
        <v>4006</v>
      </c>
      <c r="C1859" s="1" t="s">
        <v>3831</v>
      </c>
      <c r="D1859" s="1" t="s">
        <v>3938</v>
      </c>
      <c r="E1859" s="1" t="s">
        <v>4007</v>
      </c>
      <c r="F1859" s="1" t="s">
        <v>16</v>
      </c>
      <c r="G1859" s="1" t="s">
        <v>27</v>
      </c>
      <c r="H1859" s="1" t="s">
        <v>33</v>
      </c>
      <c r="I1859" s="1" t="s">
        <v>74</v>
      </c>
      <c r="J1859" s="1">
        <f>IFERROR(__xludf.DUMMYFUNCTION("""COMPUTED_VALUE"""),228.0)</f>
        <v>228</v>
      </c>
      <c r="K1859" s="1">
        <v>56.0</v>
      </c>
      <c r="L1859" s="1">
        <f>IFERROR(__xludf.DUMMYFUNCTION("""COMPUTED_VALUE"""),827.0)</f>
        <v>827</v>
      </c>
    </row>
    <row r="1860">
      <c r="A1860" s="1">
        <v>3506059.0</v>
      </c>
      <c r="B1860" s="1" t="s">
        <v>4008</v>
      </c>
      <c r="C1860" s="1" t="s">
        <v>3831</v>
      </c>
      <c r="D1860" s="1" t="s">
        <v>3894</v>
      </c>
      <c r="E1860" s="1" t="s">
        <v>4009</v>
      </c>
      <c r="F1860" s="1" t="s">
        <v>16</v>
      </c>
      <c r="G1860" s="1" t="s">
        <v>23</v>
      </c>
      <c r="H1860" s="1" t="s">
        <v>18</v>
      </c>
      <c r="I1860" s="1" t="s">
        <v>19</v>
      </c>
      <c r="J1860" s="1">
        <f>IFERROR(__xludf.DUMMYFUNCTION("""COMPUTED_VALUE"""),100.0)</f>
        <v>100</v>
      </c>
      <c r="K1860" s="1">
        <v>35.0</v>
      </c>
      <c r="L1860" s="1">
        <f>IFERROR(__xludf.DUMMYFUNCTION("""COMPUTED_VALUE"""),209.0)</f>
        <v>209</v>
      </c>
    </row>
    <row r="1861">
      <c r="A1861" s="1">
        <v>3517094.0</v>
      </c>
      <c r="B1861" s="1" t="s">
        <v>4010</v>
      </c>
      <c r="C1861" s="1" t="s">
        <v>3831</v>
      </c>
      <c r="D1861" s="1" t="s">
        <v>3956</v>
      </c>
      <c r="E1861" s="1" t="s">
        <v>4011</v>
      </c>
      <c r="F1861" s="1" t="s">
        <v>16</v>
      </c>
      <c r="G1861" s="1" t="s">
        <v>23</v>
      </c>
      <c r="H1861" s="1" t="s">
        <v>18</v>
      </c>
      <c r="I1861" s="1" t="s">
        <v>19</v>
      </c>
      <c r="J1861" s="1">
        <f>IFERROR(__xludf.DUMMYFUNCTION("""COMPUTED_VALUE"""),115.0)</f>
        <v>115</v>
      </c>
      <c r="K1861" s="1">
        <v>25.0</v>
      </c>
      <c r="L1861" s="1">
        <f>IFERROR(__xludf.DUMMYFUNCTION("""COMPUTED_VALUE"""),23.0)</f>
        <v>23</v>
      </c>
    </row>
    <row r="1862">
      <c r="A1862" s="1">
        <v>3502158.0</v>
      </c>
      <c r="B1862" s="1" t="s">
        <v>4012</v>
      </c>
      <c r="C1862" s="1" t="s">
        <v>3831</v>
      </c>
      <c r="D1862" s="1" t="s">
        <v>4013</v>
      </c>
      <c r="E1862" s="1" t="s">
        <v>4014</v>
      </c>
      <c r="F1862" s="1" t="s">
        <v>16</v>
      </c>
      <c r="G1862" s="1" t="s">
        <v>23</v>
      </c>
      <c r="H1862" s="1" t="s">
        <v>28</v>
      </c>
      <c r="I1862" s="1" t="s">
        <v>40</v>
      </c>
      <c r="J1862" s="1">
        <f>IFERROR(__xludf.DUMMYFUNCTION("""COMPUTED_VALUE"""),50.0)</f>
        <v>50</v>
      </c>
      <c r="K1862" s="1">
        <v>21.0</v>
      </c>
      <c r="L1862" s="1">
        <f>IFERROR(__xludf.DUMMYFUNCTION("""COMPUTED_VALUE"""),182.0)</f>
        <v>182</v>
      </c>
    </row>
    <row r="1863">
      <c r="A1863" s="1">
        <v>3515110.0</v>
      </c>
      <c r="B1863" s="1" t="s">
        <v>4015</v>
      </c>
      <c r="C1863" s="1" t="s">
        <v>3831</v>
      </c>
      <c r="D1863" s="1" t="s">
        <v>3870</v>
      </c>
      <c r="E1863" s="1" t="s">
        <v>4016</v>
      </c>
      <c r="F1863" s="1" t="s">
        <v>16</v>
      </c>
      <c r="G1863" s="1" t="s">
        <v>23</v>
      </c>
      <c r="H1863" s="1" t="s">
        <v>18</v>
      </c>
      <c r="I1863" s="1" t="s">
        <v>19</v>
      </c>
      <c r="J1863" s="1">
        <f>IFERROR(__xludf.DUMMYFUNCTION("""COMPUTED_VALUE"""),75.0)</f>
        <v>75</v>
      </c>
      <c r="K1863" s="1">
        <v>34.0</v>
      </c>
      <c r="L1863" s="1">
        <f>IFERROR(__xludf.DUMMYFUNCTION("""COMPUTED_VALUE"""),84.0)</f>
        <v>84</v>
      </c>
    </row>
    <row r="1864">
      <c r="A1864" s="1">
        <v>3502112.0</v>
      </c>
      <c r="B1864" s="1" t="s">
        <v>4017</v>
      </c>
      <c r="C1864" s="1" t="s">
        <v>3831</v>
      </c>
      <c r="D1864" s="1" t="s">
        <v>4013</v>
      </c>
      <c r="E1864" s="1" t="s">
        <v>4018</v>
      </c>
      <c r="F1864" s="1" t="s">
        <v>16</v>
      </c>
      <c r="G1864" s="1" t="s">
        <v>17</v>
      </c>
      <c r="H1864" s="1" t="s">
        <v>18</v>
      </c>
      <c r="I1864" s="1" t="s">
        <v>19</v>
      </c>
      <c r="J1864" s="1">
        <f>IFERROR(__xludf.DUMMYFUNCTION("""COMPUTED_VALUE"""),185.0)</f>
        <v>185</v>
      </c>
      <c r="K1864" s="1">
        <v>38.0</v>
      </c>
      <c r="L1864" s="1">
        <f>IFERROR(__xludf.DUMMYFUNCTION("""COMPUTED_VALUE"""),409.0)</f>
        <v>409</v>
      </c>
    </row>
    <row r="1865">
      <c r="A1865" s="1">
        <v>3576014.0</v>
      </c>
      <c r="B1865" s="1" t="s">
        <v>4019</v>
      </c>
      <c r="C1865" s="1" t="s">
        <v>3831</v>
      </c>
      <c r="D1865" s="1" t="s">
        <v>4020</v>
      </c>
      <c r="E1865" s="1" t="s">
        <v>4021</v>
      </c>
      <c r="F1865" s="1" t="s">
        <v>16</v>
      </c>
      <c r="G1865" s="1" t="s">
        <v>27</v>
      </c>
      <c r="H1865" s="1" t="s">
        <v>28</v>
      </c>
      <c r="I1865" s="1" t="s">
        <v>29</v>
      </c>
      <c r="J1865" s="1">
        <f>IFERROR(__xludf.DUMMYFUNCTION("""COMPUTED_VALUE"""),202.0)</f>
        <v>202</v>
      </c>
      <c r="K1865" s="1">
        <v>42.0</v>
      </c>
      <c r="L1865" s="1">
        <f>IFERROR(__xludf.DUMMYFUNCTION("""COMPUTED_VALUE"""),801.0)</f>
        <v>801</v>
      </c>
    </row>
    <row r="1866">
      <c r="A1866" s="1">
        <v>3578771.0</v>
      </c>
      <c r="B1866" s="1" t="s">
        <v>4022</v>
      </c>
      <c r="C1866" s="1" t="s">
        <v>3831</v>
      </c>
      <c r="D1866" s="1" t="s">
        <v>3847</v>
      </c>
      <c r="E1866" s="1" t="s">
        <v>4023</v>
      </c>
      <c r="F1866" s="1" t="s">
        <v>55</v>
      </c>
      <c r="G1866" s="1" t="s">
        <v>17</v>
      </c>
      <c r="H1866" s="1" t="s">
        <v>18</v>
      </c>
      <c r="I1866" s="1" t="s">
        <v>19</v>
      </c>
      <c r="J1866" s="1">
        <f>IFERROR(__xludf.DUMMYFUNCTION("""COMPUTED_VALUE"""),49.0)</f>
        <v>49</v>
      </c>
      <c r="K1866" s="1">
        <v>21.0</v>
      </c>
      <c r="L1866" s="1">
        <f>IFERROR(__xludf.DUMMYFUNCTION("""COMPUTED_VALUE"""),186.0)</f>
        <v>186</v>
      </c>
    </row>
    <row r="1867">
      <c r="A1867" s="1">
        <v>3515134.0</v>
      </c>
      <c r="B1867" s="1" t="s">
        <v>4024</v>
      </c>
      <c r="C1867" s="1" t="s">
        <v>3831</v>
      </c>
      <c r="D1867" s="1" t="s">
        <v>3870</v>
      </c>
      <c r="E1867" s="1" t="s">
        <v>4025</v>
      </c>
      <c r="F1867" s="1" t="s">
        <v>55</v>
      </c>
      <c r="G1867" s="1" t="s">
        <v>17</v>
      </c>
      <c r="H1867" s="1" t="s">
        <v>18</v>
      </c>
      <c r="I1867" s="1" t="s">
        <v>59</v>
      </c>
      <c r="J1867" s="1">
        <f>IFERROR(__xludf.DUMMYFUNCTION("""COMPUTED_VALUE"""),26.0)</f>
        <v>26</v>
      </c>
      <c r="K1867" s="1">
        <v>6.0</v>
      </c>
      <c r="L1867" s="1">
        <f>IFERROR(__xludf.DUMMYFUNCTION("""COMPUTED_VALUE"""),25.0)</f>
        <v>25</v>
      </c>
    </row>
    <row r="1868">
      <c r="A1868" s="1">
        <v>3524046.0</v>
      </c>
      <c r="B1868" s="1" t="s">
        <v>4026</v>
      </c>
      <c r="C1868" s="1" t="s">
        <v>3831</v>
      </c>
      <c r="D1868" s="1" t="s">
        <v>3856</v>
      </c>
      <c r="E1868" s="1" t="s">
        <v>4027</v>
      </c>
      <c r="F1868" s="1" t="s">
        <v>16</v>
      </c>
      <c r="G1868" s="1" t="s">
        <v>17</v>
      </c>
      <c r="H1868" s="1" t="s">
        <v>18</v>
      </c>
      <c r="I1868" s="1" t="s">
        <v>19</v>
      </c>
      <c r="J1868" s="1">
        <f>IFERROR(__xludf.DUMMYFUNCTION("""COMPUTED_VALUE"""),102.0)</f>
        <v>102</v>
      </c>
      <c r="K1868" s="1">
        <v>34.0</v>
      </c>
      <c r="L1868" s="1">
        <f>IFERROR(__xludf.DUMMYFUNCTION("""COMPUTED_VALUE"""),165.0)</f>
        <v>165</v>
      </c>
    </row>
    <row r="1869">
      <c r="A1869" s="1">
        <v>3507116.0</v>
      </c>
      <c r="B1869" s="1" t="s">
        <v>4028</v>
      </c>
      <c r="C1869" s="1" t="s">
        <v>3831</v>
      </c>
      <c r="D1869" s="1" t="s">
        <v>3862</v>
      </c>
      <c r="E1869" s="1" t="s">
        <v>4029</v>
      </c>
      <c r="F1869" s="1" t="s">
        <v>16</v>
      </c>
      <c r="G1869" s="1" t="s">
        <v>23</v>
      </c>
      <c r="H1869" s="1" t="s">
        <v>18</v>
      </c>
      <c r="I1869" s="1" t="s">
        <v>44</v>
      </c>
      <c r="J1869" s="1">
        <f>IFERROR(__xludf.DUMMYFUNCTION("""COMPUTED_VALUE"""),50.0)</f>
        <v>50</v>
      </c>
      <c r="K1869" s="1">
        <v>23.0</v>
      </c>
      <c r="L1869" s="1">
        <f>IFERROR(__xludf.DUMMYFUNCTION("""COMPUTED_VALUE"""),35.0)</f>
        <v>35</v>
      </c>
    </row>
    <row r="1870">
      <c r="A1870" s="1">
        <v>3523055.0</v>
      </c>
      <c r="B1870" s="1" t="s">
        <v>4030</v>
      </c>
      <c r="C1870" s="1" t="s">
        <v>3831</v>
      </c>
      <c r="D1870" s="1" t="s">
        <v>3982</v>
      </c>
      <c r="E1870" s="1" t="s">
        <v>4031</v>
      </c>
      <c r="F1870" s="1" t="s">
        <v>16</v>
      </c>
      <c r="G1870" s="1" t="s">
        <v>23</v>
      </c>
      <c r="H1870" s="1" t="s">
        <v>28</v>
      </c>
      <c r="I1870" s="1" t="s">
        <v>40</v>
      </c>
      <c r="J1870" s="1">
        <f>IFERROR(__xludf.DUMMYFUNCTION("""COMPUTED_VALUE"""),100.0)</f>
        <v>100</v>
      </c>
      <c r="K1870" s="1">
        <v>26.0</v>
      </c>
      <c r="L1870" s="1">
        <f>IFERROR(__xludf.DUMMYFUNCTION("""COMPUTED_VALUE"""),133.0)</f>
        <v>133</v>
      </c>
    </row>
    <row r="1871">
      <c r="A1871" s="1">
        <v>3522036.0</v>
      </c>
      <c r="B1871" s="1" t="s">
        <v>4032</v>
      </c>
      <c r="C1871" s="1" t="s">
        <v>3831</v>
      </c>
      <c r="D1871" s="1" t="s">
        <v>3897</v>
      </c>
      <c r="E1871" s="1" t="s">
        <v>4033</v>
      </c>
      <c r="F1871" s="1" t="s">
        <v>16</v>
      </c>
      <c r="G1871" s="1" t="s">
        <v>23</v>
      </c>
      <c r="H1871" s="1" t="s">
        <v>18</v>
      </c>
      <c r="I1871" s="1" t="s">
        <v>684</v>
      </c>
      <c r="J1871" s="1">
        <f>IFERROR(__xludf.DUMMYFUNCTION("""COMPUTED_VALUE"""),93.0)</f>
        <v>93</v>
      </c>
      <c r="K1871" s="1">
        <v>29.0</v>
      </c>
      <c r="L1871" s="1">
        <f>IFERROR(__xludf.DUMMYFUNCTION("""COMPUTED_VALUE"""),150.0)</f>
        <v>150</v>
      </c>
    </row>
    <row r="1872">
      <c r="A1872" s="1">
        <v>3573249.0</v>
      </c>
      <c r="B1872" s="1" t="s">
        <v>2161</v>
      </c>
      <c r="C1872" s="1" t="s">
        <v>3831</v>
      </c>
      <c r="D1872" s="1" t="s">
        <v>3938</v>
      </c>
      <c r="E1872" s="1" t="s">
        <v>4034</v>
      </c>
      <c r="F1872" s="1" t="s">
        <v>16</v>
      </c>
      <c r="G1872" s="1" t="s">
        <v>23</v>
      </c>
      <c r="H1872" s="1" t="s">
        <v>18</v>
      </c>
      <c r="I1872" s="1" t="s">
        <v>44</v>
      </c>
      <c r="J1872" s="1">
        <f>IFERROR(__xludf.DUMMYFUNCTION("""COMPUTED_VALUE"""),50.0)</f>
        <v>50</v>
      </c>
      <c r="K1872" s="1">
        <v>39.0</v>
      </c>
      <c r="L1872" s="1">
        <f>IFERROR(__xludf.DUMMYFUNCTION("""COMPUTED_VALUE"""),169.0)</f>
        <v>169</v>
      </c>
    </row>
    <row r="1873">
      <c r="A1873" s="1">
        <v>3507026.0</v>
      </c>
      <c r="B1873" s="1" t="s">
        <v>4035</v>
      </c>
      <c r="C1873" s="1" t="s">
        <v>3831</v>
      </c>
      <c r="D1873" s="1" t="s">
        <v>3862</v>
      </c>
      <c r="E1873" s="1" t="s">
        <v>4036</v>
      </c>
      <c r="F1873" s="1" t="s">
        <v>174</v>
      </c>
      <c r="G1873" s="1" t="s">
        <v>150</v>
      </c>
      <c r="H1873" s="1" t="s">
        <v>33</v>
      </c>
      <c r="I1873" s="1" t="s">
        <v>411</v>
      </c>
      <c r="J1873" s="1">
        <f>IFERROR(__xludf.DUMMYFUNCTION("""COMPUTED_VALUE"""),456.0)</f>
        <v>456</v>
      </c>
      <c r="K1873" s="1">
        <v>23.0</v>
      </c>
      <c r="L1873" s="1">
        <f>IFERROR(__xludf.DUMMYFUNCTION("""COMPUTED_VALUE"""),780.0)</f>
        <v>780</v>
      </c>
    </row>
    <row r="1874">
      <c r="A1874" s="1">
        <v>3578020.0</v>
      </c>
      <c r="B1874" s="1" t="s">
        <v>4037</v>
      </c>
      <c r="C1874" s="1" t="s">
        <v>3831</v>
      </c>
      <c r="D1874" s="1" t="s">
        <v>3847</v>
      </c>
      <c r="E1874" s="1" t="s">
        <v>4038</v>
      </c>
      <c r="F1874" s="1" t="s">
        <v>16</v>
      </c>
      <c r="G1874" s="1" t="s">
        <v>150</v>
      </c>
      <c r="H1874" s="1" t="s">
        <v>33</v>
      </c>
      <c r="I1874" s="1" t="s">
        <v>95</v>
      </c>
      <c r="J1874" s="1">
        <f>IFERROR(__xludf.DUMMYFUNCTION("""COMPUTED_VALUE"""),759.0)</f>
        <v>759</v>
      </c>
      <c r="K1874" s="1">
        <v>132.0</v>
      </c>
      <c r="L1874" s="1">
        <f>IFERROR(__xludf.DUMMYFUNCTION("""COMPUTED_VALUE"""),1022.0)</f>
        <v>1022</v>
      </c>
    </row>
    <row r="1875">
      <c r="A1875" s="1">
        <v>3576074.0</v>
      </c>
      <c r="B1875" s="1" t="s">
        <v>4039</v>
      </c>
      <c r="C1875" s="1" t="s">
        <v>3831</v>
      </c>
      <c r="D1875" s="1" t="s">
        <v>4020</v>
      </c>
      <c r="E1875" s="1" t="s">
        <v>4040</v>
      </c>
      <c r="F1875" s="1" t="s">
        <v>16</v>
      </c>
      <c r="G1875" s="1" t="s">
        <v>23</v>
      </c>
      <c r="H1875" s="1" t="s">
        <v>18</v>
      </c>
      <c r="I1875" s="1" t="s">
        <v>44</v>
      </c>
      <c r="J1875" s="1">
        <f>IFERROR(__xludf.DUMMYFUNCTION("""COMPUTED_VALUE"""),73.0)</f>
        <v>73</v>
      </c>
      <c r="K1875" s="1">
        <v>27.0</v>
      </c>
      <c r="L1875" s="1">
        <f>IFERROR(__xludf.DUMMYFUNCTION("""COMPUTED_VALUE"""),154.0)</f>
        <v>154</v>
      </c>
    </row>
    <row r="1876">
      <c r="A1876" s="1">
        <v>3509043.0</v>
      </c>
      <c r="B1876" s="1" t="s">
        <v>4041</v>
      </c>
      <c r="C1876" s="1" t="s">
        <v>3831</v>
      </c>
      <c r="D1876" s="1" t="s">
        <v>3890</v>
      </c>
      <c r="E1876" s="1" t="s">
        <v>4042</v>
      </c>
      <c r="F1876" s="1" t="s">
        <v>473</v>
      </c>
      <c r="G1876" s="1" t="s">
        <v>27</v>
      </c>
      <c r="H1876" s="1" t="s">
        <v>28</v>
      </c>
      <c r="I1876" s="1" t="s">
        <v>139</v>
      </c>
      <c r="J1876" s="1">
        <f>IFERROR(__xludf.DUMMYFUNCTION("""COMPUTED_VALUE"""),102.0)</f>
        <v>102</v>
      </c>
      <c r="K1876" s="1">
        <v>44.0</v>
      </c>
      <c r="L1876" s="1">
        <f>IFERROR(__xludf.DUMMYFUNCTION("""COMPUTED_VALUE"""),166.0)</f>
        <v>166</v>
      </c>
    </row>
    <row r="1877">
      <c r="A1877" s="1">
        <v>3578122.0</v>
      </c>
      <c r="B1877" s="1" t="s">
        <v>4043</v>
      </c>
      <c r="C1877" s="1" t="s">
        <v>3831</v>
      </c>
      <c r="D1877" s="1" t="s">
        <v>3847</v>
      </c>
      <c r="E1877" s="1" t="s">
        <v>4044</v>
      </c>
      <c r="F1877" s="1" t="s">
        <v>16</v>
      </c>
      <c r="G1877" s="1" t="s">
        <v>17</v>
      </c>
      <c r="H1877" s="1" t="s">
        <v>18</v>
      </c>
      <c r="I1877" s="1" t="s">
        <v>74</v>
      </c>
      <c r="J1877" s="1">
        <f>IFERROR(__xludf.DUMMYFUNCTION("""COMPUTED_VALUE"""),111.0)</f>
        <v>111</v>
      </c>
      <c r="K1877" s="1">
        <v>52.0</v>
      </c>
      <c r="L1877" s="1">
        <f>IFERROR(__xludf.DUMMYFUNCTION("""COMPUTED_VALUE"""),308.0)</f>
        <v>308</v>
      </c>
    </row>
    <row r="1878">
      <c r="A1878" s="1">
        <v>3574068.0</v>
      </c>
      <c r="B1878" s="1" t="s">
        <v>4045</v>
      </c>
      <c r="C1878" s="1" t="s">
        <v>3831</v>
      </c>
      <c r="D1878" s="1" t="s">
        <v>4046</v>
      </c>
      <c r="E1878" s="1" t="s">
        <v>4047</v>
      </c>
      <c r="F1878" s="1" t="s">
        <v>55</v>
      </c>
      <c r="G1878" s="1" t="s">
        <v>17</v>
      </c>
      <c r="H1878" s="1" t="s">
        <v>18</v>
      </c>
      <c r="I1878" s="1" t="s">
        <v>44</v>
      </c>
      <c r="J1878" s="1">
        <f>IFERROR(__xludf.DUMMYFUNCTION("""COMPUTED_VALUE"""),96.0)</f>
        <v>96</v>
      </c>
      <c r="K1878" s="1">
        <v>17.0</v>
      </c>
      <c r="L1878" s="1">
        <f>IFERROR(__xludf.DUMMYFUNCTION("""COMPUTED_VALUE"""),108.0)</f>
        <v>108</v>
      </c>
    </row>
    <row r="1879">
      <c r="A1879" s="1">
        <v>3515141.0</v>
      </c>
      <c r="B1879" s="1" t="s">
        <v>157</v>
      </c>
      <c r="C1879" s="1" t="s">
        <v>3831</v>
      </c>
      <c r="D1879" s="1" t="s">
        <v>3870</v>
      </c>
      <c r="E1879" s="1" t="s">
        <v>4048</v>
      </c>
      <c r="F1879" s="1" t="s">
        <v>16</v>
      </c>
      <c r="G1879" s="1" t="s">
        <v>17</v>
      </c>
      <c r="H1879" s="1" t="s">
        <v>18</v>
      </c>
      <c r="I1879" s="1" t="s">
        <v>19</v>
      </c>
      <c r="J1879" s="1">
        <f>IFERROR(__xludf.DUMMYFUNCTION("""COMPUTED_VALUE"""),100.0)</f>
        <v>100</v>
      </c>
      <c r="K1879" s="1">
        <v>24.0</v>
      </c>
      <c r="L1879" s="1">
        <f>IFERROR(__xludf.DUMMYFUNCTION("""COMPUTED_VALUE"""),196.0)</f>
        <v>196</v>
      </c>
    </row>
    <row r="1880">
      <c r="A1880" s="1">
        <v>3522064.0</v>
      </c>
      <c r="B1880" s="1" t="s">
        <v>4049</v>
      </c>
      <c r="C1880" s="1" t="s">
        <v>3831</v>
      </c>
      <c r="D1880" s="1" t="s">
        <v>3897</v>
      </c>
      <c r="E1880" s="1" t="s">
        <v>4050</v>
      </c>
      <c r="F1880" s="1" t="s">
        <v>55</v>
      </c>
      <c r="G1880" s="1" t="s">
        <v>17</v>
      </c>
      <c r="H1880" s="1" t="s">
        <v>18</v>
      </c>
      <c r="I1880" s="1" t="s">
        <v>19</v>
      </c>
      <c r="J1880" s="1">
        <f>IFERROR(__xludf.DUMMYFUNCTION("""COMPUTED_VALUE"""),71.0)</f>
        <v>71</v>
      </c>
      <c r="K1880" s="1">
        <v>23.0</v>
      </c>
      <c r="L1880" s="1">
        <f>IFERROR(__xludf.DUMMYFUNCTION("""COMPUTED_VALUE"""),181.0)</f>
        <v>181</v>
      </c>
    </row>
    <row r="1881">
      <c r="A1881" s="1">
        <v>3506065.0</v>
      </c>
      <c r="B1881" s="1" t="s">
        <v>4051</v>
      </c>
      <c r="C1881" s="1" t="s">
        <v>3831</v>
      </c>
      <c r="D1881" s="1" t="s">
        <v>3930</v>
      </c>
      <c r="E1881" s="1" t="s">
        <v>4052</v>
      </c>
      <c r="F1881" s="1" t="s">
        <v>32</v>
      </c>
      <c r="G1881" s="1" t="s">
        <v>17</v>
      </c>
      <c r="H1881" s="1" t="s">
        <v>18</v>
      </c>
      <c r="I1881" s="1" t="s">
        <v>19</v>
      </c>
      <c r="J1881" s="1">
        <f>IFERROR(__xludf.DUMMYFUNCTION("""COMPUTED_VALUE"""),13.0)</f>
        <v>13</v>
      </c>
      <c r="K1881" s="1">
        <v>21.0</v>
      </c>
      <c r="L1881" s="1">
        <f>IFERROR(__xludf.DUMMYFUNCTION("""COMPUTED_VALUE"""),193.0)</f>
        <v>193</v>
      </c>
    </row>
    <row r="1882">
      <c r="A1882" s="1">
        <v>3526029.0</v>
      </c>
      <c r="B1882" s="1" t="s">
        <v>4053</v>
      </c>
      <c r="C1882" s="1" t="s">
        <v>3831</v>
      </c>
      <c r="D1882" s="1" t="s">
        <v>3832</v>
      </c>
      <c r="E1882" s="1" t="s">
        <v>4054</v>
      </c>
      <c r="F1882" s="1" t="s">
        <v>16</v>
      </c>
      <c r="G1882" s="1" t="s">
        <v>23</v>
      </c>
      <c r="H1882" s="1" t="s">
        <v>18</v>
      </c>
      <c r="I1882" s="1" t="s">
        <v>19</v>
      </c>
      <c r="J1882" s="1">
        <f>IFERROR(__xludf.DUMMYFUNCTION("""COMPUTED_VALUE"""),75.0)</f>
        <v>75</v>
      </c>
      <c r="K1882" s="1">
        <v>26.0</v>
      </c>
      <c r="L1882" s="1">
        <f>IFERROR(__xludf.DUMMYFUNCTION("""COMPUTED_VALUE"""),61.0)</f>
        <v>61</v>
      </c>
    </row>
    <row r="1883">
      <c r="A1883" s="1">
        <v>3524056.0</v>
      </c>
      <c r="B1883" s="1" t="s">
        <v>4055</v>
      </c>
      <c r="C1883" s="1" t="s">
        <v>3831</v>
      </c>
      <c r="D1883" s="1" t="s">
        <v>3856</v>
      </c>
      <c r="E1883" s="1" t="s">
        <v>4056</v>
      </c>
      <c r="F1883" s="1" t="s">
        <v>16</v>
      </c>
      <c r="G1883" s="1" t="s">
        <v>23</v>
      </c>
      <c r="H1883" s="1" t="s">
        <v>18</v>
      </c>
      <c r="I1883" s="1" t="s">
        <v>684</v>
      </c>
      <c r="J1883" s="1">
        <f>IFERROR(__xludf.DUMMYFUNCTION("""COMPUTED_VALUE"""),49.0)</f>
        <v>49</v>
      </c>
      <c r="K1883" s="1">
        <v>21.0</v>
      </c>
      <c r="L1883" s="1">
        <f>IFERROR(__xludf.DUMMYFUNCTION("""COMPUTED_VALUE"""),22.0)</f>
        <v>22</v>
      </c>
    </row>
    <row r="1884">
      <c r="A1884" s="1">
        <v>3571111.0</v>
      </c>
      <c r="B1884" s="1" t="s">
        <v>4057</v>
      </c>
      <c r="C1884" s="1" t="s">
        <v>3831</v>
      </c>
      <c r="D1884" s="1" t="s">
        <v>3930</v>
      </c>
      <c r="E1884" s="1" t="s">
        <v>4058</v>
      </c>
      <c r="F1884" s="1" t="s">
        <v>55</v>
      </c>
      <c r="G1884" s="1" t="s">
        <v>17</v>
      </c>
      <c r="H1884" s="1" t="s">
        <v>18</v>
      </c>
      <c r="I1884" s="1" t="s">
        <v>19</v>
      </c>
      <c r="J1884" s="1">
        <f>IFERROR(__xludf.DUMMYFUNCTION("""COMPUTED_VALUE"""),46.0)</f>
        <v>46</v>
      </c>
      <c r="K1884" s="1">
        <v>15.0</v>
      </c>
      <c r="L1884" s="1">
        <f>IFERROR(__xludf.DUMMYFUNCTION("""COMPUTED_VALUE"""),47.0)</f>
        <v>47</v>
      </c>
    </row>
    <row r="1885">
      <c r="A1885" s="1">
        <v>3516037.0</v>
      </c>
      <c r="B1885" s="1" t="s">
        <v>1381</v>
      </c>
      <c r="C1885" s="1" t="s">
        <v>3831</v>
      </c>
      <c r="D1885" s="1" t="s">
        <v>3909</v>
      </c>
      <c r="E1885" s="1" t="s">
        <v>4059</v>
      </c>
      <c r="F1885" s="1" t="s">
        <v>16</v>
      </c>
      <c r="G1885" s="1" t="s">
        <v>23</v>
      </c>
      <c r="H1885" s="1" t="s">
        <v>18</v>
      </c>
      <c r="I1885" s="1" t="s">
        <v>59</v>
      </c>
      <c r="J1885" s="1">
        <f>IFERROR(__xludf.DUMMYFUNCTION("""COMPUTED_VALUE"""),81.0)</f>
        <v>81</v>
      </c>
      <c r="K1885" s="1">
        <v>16.0</v>
      </c>
      <c r="L1885" s="1">
        <f>IFERROR(__xludf.DUMMYFUNCTION("""COMPUTED_VALUE"""),153.0)</f>
        <v>153</v>
      </c>
    </row>
    <row r="1886">
      <c r="A1886" s="1">
        <v>3526031.0</v>
      </c>
      <c r="B1886" s="1" t="s">
        <v>4060</v>
      </c>
      <c r="C1886" s="1" t="s">
        <v>3831</v>
      </c>
      <c r="D1886" s="1" t="s">
        <v>3832</v>
      </c>
      <c r="E1886" s="1" t="s">
        <v>4061</v>
      </c>
      <c r="F1886" s="1" t="s">
        <v>55</v>
      </c>
      <c r="G1886" s="1" t="s">
        <v>17</v>
      </c>
      <c r="H1886" s="1" t="s">
        <v>18</v>
      </c>
      <c r="I1886" s="1" t="s">
        <v>163</v>
      </c>
      <c r="J1886" s="1">
        <f>IFERROR(__xludf.DUMMYFUNCTION("""COMPUTED_VALUE"""),27.0)</f>
        <v>27</v>
      </c>
      <c r="K1886" s="1">
        <v>20.0</v>
      </c>
      <c r="L1886" s="1">
        <f>IFERROR(__xludf.DUMMYFUNCTION("""COMPUTED_VALUE"""),42.0)</f>
        <v>42</v>
      </c>
    </row>
    <row r="1887">
      <c r="A1887" s="1">
        <v>3514025.0</v>
      </c>
      <c r="B1887" s="1" t="s">
        <v>4062</v>
      </c>
      <c r="C1887" s="1" t="s">
        <v>3831</v>
      </c>
      <c r="D1887" s="1" t="s">
        <v>3875</v>
      </c>
      <c r="E1887" s="1" t="s">
        <v>4063</v>
      </c>
      <c r="F1887" s="1" t="s">
        <v>16</v>
      </c>
      <c r="G1887" s="1" t="s">
        <v>17</v>
      </c>
      <c r="H1887" s="1" t="s">
        <v>18</v>
      </c>
      <c r="I1887" s="1" t="s">
        <v>19</v>
      </c>
      <c r="J1887" s="1">
        <f>IFERROR(__xludf.DUMMYFUNCTION("""COMPUTED_VALUE"""),107.0)</f>
        <v>107</v>
      </c>
      <c r="K1887" s="1">
        <v>94.0</v>
      </c>
      <c r="L1887" s="1">
        <f>IFERROR(__xludf.DUMMYFUNCTION("""COMPUTED_VALUE"""),181.0)</f>
        <v>181</v>
      </c>
    </row>
    <row r="1888">
      <c r="A1888" s="1">
        <v>3578625.0</v>
      </c>
      <c r="B1888" s="1" t="s">
        <v>4064</v>
      </c>
      <c r="C1888" s="1" t="s">
        <v>3831</v>
      </c>
      <c r="D1888" s="1" t="s">
        <v>3847</v>
      </c>
      <c r="E1888" s="1" t="s">
        <v>4065</v>
      </c>
      <c r="F1888" s="1" t="s">
        <v>32</v>
      </c>
      <c r="G1888" s="1" t="s">
        <v>27</v>
      </c>
      <c r="H1888" s="1" t="s">
        <v>18</v>
      </c>
      <c r="I1888" s="1" t="s">
        <v>34</v>
      </c>
      <c r="J1888" s="1">
        <f>IFERROR(__xludf.DUMMYFUNCTION("""COMPUTED_VALUE"""),16.0)</f>
        <v>16</v>
      </c>
      <c r="K1888" s="1">
        <v>14.0</v>
      </c>
      <c r="L1888" s="1">
        <f>IFERROR(__xludf.DUMMYFUNCTION("""COMPUTED_VALUE"""),280.0)</f>
        <v>280</v>
      </c>
    </row>
    <row r="1889">
      <c r="A1889" s="1">
        <v>3578778.0</v>
      </c>
      <c r="B1889" s="1" t="s">
        <v>4066</v>
      </c>
      <c r="C1889" s="1" t="s">
        <v>3831</v>
      </c>
      <c r="D1889" s="1" t="s">
        <v>3847</v>
      </c>
      <c r="E1889" s="1" t="s">
        <v>4067</v>
      </c>
      <c r="F1889" s="1" t="s">
        <v>16</v>
      </c>
      <c r="G1889" s="1" t="s">
        <v>27</v>
      </c>
      <c r="H1889" s="1" t="s">
        <v>18</v>
      </c>
      <c r="I1889" s="1" t="s">
        <v>19</v>
      </c>
      <c r="J1889" s="1">
        <f>IFERROR(__xludf.DUMMYFUNCTION("""COMPUTED_VALUE"""),200.0)</f>
        <v>200</v>
      </c>
      <c r="K1889" s="1">
        <v>96.0</v>
      </c>
      <c r="L1889" s="1">
        <f>IFERROR(__xludf.DUMMYFUNCTION("""COMPUTED_VALUE"""),384.0)</f>
        <v>384</v>
      </c>
    </row>
    <row r="1890">
      <c r="A1890" s="1">
        <v>3505041.0</v>
      </c>
      <c r="B1890" s="1" t="s">
        <v>4068</v>
      </c>
      <c r="C1890" s="1" t="s">
        <v>3831</v>
      </c>
      <c r="D1890" s="1" t="s">
        <v>3859</v>
      </c>
      <c r="E1890" s="1" t="s">
        <v>4069</v>
      </c>
      <c r="F1890" s="1" t="s">
        <v>16</v>
      </c>
      <c r="G1890" s="1" t="s">
        <v>23</v>
      </c>
      <c r="H1890" s="1" t="s">
        <v>18</v>
      </c>
      <c r="I1890" s="1" t="s">
        <v>19</v>
      </c>
      <c r="J1890" s="1">
        <f>IFERROR(__xludf.DUMMYFUNCTION("""COMPUTED_VALUE"""),73.0)</f>
        <v>73</v>
      </c>
      <c r="K1890" s="1">
        <v>29.0</v>
      </c>
      <c r="L1890" s="1">
        <f>IFERROR(__xludf.DUMMYFUNCTION("""COMPUTED_VALUE"""),148.0)</f>
        <v>148</v>
      </c>
    </row>
    <row r="1891">
      <c r="A1891" s="1">
        <v>3578812.0</v>
      </c>
      <c r="B1891" s="1" t="s">
        <v>4070</v>
      </c>
      <c r="C1891" s="1" t="s">
        <v>3831</v>
      </c>
      <c r="D1891" s="1" t="s">
        <v>3847</v>
      </c>
      <c r="E1891" s="1" t="s">
        <v>4071</v>
      </c>
      <c r="F1891" s="1" t="s">
        <v>55</v>
      </c>
      <c r="G1891" s="1" t="s">
        <v>17</v>
      </c>
      <c r="H1891" s="1" t="s">
        <v>18</v>
      </c>
      <c r="I1891" s="1" t="s">
        <v>163</v>
      </c>
      <c r="J1891" s="1">
        <f>IFERROR(__xludf.DUMMYFUNCTION("""COMPUTED_VALUE"""),25.0)</f>
        <v>25</v>
      </c>
      <c r="K1891" s="1">
        <v>17.0</v>
      </c>
      <c r="L1891" s="1">
        <f>IFERROR(__xludf.DUMMYFUNCTION("""COMPUTED_VALUE"""),182.0)</f>
        <v>182</v>
      </c>
    </row>
    <row r="1892">
      <c r="A1892" s="1">
        <v>3573226.0</v>
      </c>
      <c r="B1892" s="1" t="s">
        <v>4072</v>
      </c>
      <c r="C1892" s="1" t="s">
        <v>3831</v>
      </c>
      <c r="D1892" s="1" t="s">
        <v>3938</v>
      </c>
      <c r="E1892" s="1" t="s">
        <v>4073</v>
      </c>
      <c r="F1892" s="1" t="s">
        <v>16</v>
      </c>
      <c r="G1892" s="1" t="s">
        <v>17</v>
      </c>
      <c r="H1892" s="1" t="s">
        <v>18</v>
      </c>
      <c r="I1892" s="1" t="s">
        <v>19</v>
      </c>
      <c r="J1892" s="1">
        <f>IFERROR(__xludf.DUMMYFUNCTION("""COMPUTED_VALUE"""),117.0)</f>
        <v>117</v>
      </c>
      <c r="K1892" s="1">
        <v>116.0</v>
      </c>
      <c r="L1892" s="1">
        <f>IFERROR(__xludf.DUMMYFUNCTION("""COMPUTED_VALUE"""),499.0)</f>
        <v>499</v>
      </c>
    </row>
    <row r="1893">
      <c r="A1893" s="1">
        <v>3507085.0</v>
      </c>
      <c r="B1893" s="1" t="s">
        <v>4074</v>
      </c>
      <c r="C1893" s="1" t="s">
        <v>3831</v>
      </c>
      <c r="D1893" s="1" t="s">
        <v>3862</v>
      </c>
      <c r="E1893" s="1" t="s">
        <v>4075</v>
      </c>
      <c r="F1893" s="1" t="s">
        <v>16</v>
      </c>
      <c r="G1893" s="1" t="s">
        <v>17</v>
      </c>
      <c r="H1893" s="1" t="s">
        <v>28</v>
      </c>
      <c r="I1893" s="1" t="s">
        <v>40</v>
      </c>
      <c r="J1893" s="1">
        <f>IFERROR(__xludf.DUMMYFUNCTION("""COMPUTED_VALUE"""),116.0)</f>
        <v>116</v>
      </c>
      <c r="K1893" s="1">
        <v>44.0</v>
      </c>
      <c r="L1893" s="1">
        <f>IFERROR(__xludf.DUMMYFUNCTION("""COMPUTED_VALUE"""),328.0)</f>
        <v>328</v>
      </c>
    </row>
    <row r="1894">
      <c r="A1894" s="1">
        <v>3523053.0</v>
      </c>
      <c r="B1894" s="1" t="s">
        <v>4076</v>
      </c>
      <c r="C1894" s="1" t="s">
        <v>3831</v>
      </c>
      <c r="D1894" s="1" t="s">
        <v>3982</v>
      </c>
      <c r="E1894" s="1" t="s">
        <v>4077</v>
      </c>
      <c r="F1894" s="1" t="s">
        <v>16</v>
      </c>
      <c r="G1894" s="1" t="s">
        <v>17</v>
      </c>
      <c r="H1894" s="1" t="s">
        <v>18</v>
      </c>
      <c r="I1894" s="1" t="s">
        <v>19</v>
      </c>
      <c r="J1894" s="1">
        <f>IFERROR(__xludf.DUMMYFUNCTION("""COMPUTED_VALUE"""),116.0)</f>
        <v>116</v>
      </c>
      <c r="K1894" s="1">
        <v>56.0</v>
      </c>
      <c r="L1894" s="1">
        <f>IFERROR(__xludf.DUMMYFUNCTION("""COMPUTED_VALUE"""),339.0)</f>
        <v>339</v>
      </c>
    </row>
    <row r="1895">
      <c r="A1895" s="1">
        <v>3529026.0</v>
      </c>
      <c r="B1895" s="1" t="s">
        <v>4078</v>
      </c>
      <c r="C1895" s="1" t="s">
        <v>3831</v>
      </c>
      <c r="D1895" s="1" t="s">
        <v>4079</v>
      </c>
      <c r="E1895" s="1" t="s">
        <v>4080</v>
      </c>
      <c r="F1895" s="1" t="s">
        <v>55</v>
      </c>
      <c r="G1895" s="1" t="s">
        <v>17</v>
      </c>
      <c r="H1895" s="1" t="s">
        <v>18</v>
      </c>
      <c r="I1895" s="1" t="s">
        <v>19</v>
      </c>
      <c r="J1895" s="1">
        <f>IFERROR(__xludf.DUMMYFUNCTION("""COMPUTED_VALUE"""),48.0)</f>
        <v>48</v>
      </c>
      <c r="K1895" s="1">
        <v>12.0</v>
      </c>
      <c r="L1895" s="1">
        <f>IFERROR(__xludf.DUMMYFUNCTION("""COMPUTED_VALUE"""),44.0)</f>
        <v>44</v>
      </c>
    </row>
    <row r="1896">
      <c r="A1896" s="1">
        <v>3504074.0</v>
      </c>
      <c r="B1896" s="1" t="s">
        <v>4081</v>
      </c>
      <c r="C1896" s="1" t="s">
        <v>3831</v>
      </c>
      <c r="D1896" s="1" t="s">
        <v>3850</v>
      </c>
      <c r="E1896" s="1" t="s">
        <v>4082</v>
      </c>
      <c r="F1896" s="1" t="s">
        <v>55</v>
      </c>
      <c r="G1896" s="1" t="s">
        <v>17</v>
      </c>
      <c r="H1896" s="1" t="s">
        <v>18</v>
      </c>
      <c r="I1896" s="1" t="s">
        <v>19</v>
      </c>
      <c r="J1896" s="1">
        <f>IFERROR(__xludf.DUMMYFUNCTION("""COMPUTED_VALUE"""),32.0)</f>
        <v>32</v>
      </c>
      <c r="K1896" s="1">
        <v>15.0</v>
      </c>
      <c r="L1896" s="1">
        <f>IFERROR(__xludf.DUMMYFUNCTION("""COMPUTED_VALUE"""),75.0)</f>
        <v>75</v>
      </c>
    </row>
    <row r="1897">
      <c r="A1897" s="1">
        <v>3527014.0</v>
      </c>
      <c r="B1897" s="1" t="s">
        <v>4083</v>
      </c>
      <c r="C1897" s="1" t="s">
        <v>3831</v>
      </c>
      <c r="D1897" s="1" t="s">
        <v>3925</v>
      </c>
      <c r="E1897" s="1" t="s">
        <v>4084</v>
      </c>
      <c r="F1897" s="1" t="s">
        <v>16</v>
      </c>
      <c r="G1897" s="1" t="s">
        <v>23</v>
      </c>
      <c r="H1897" s="1" t="s">
        <v>28</v>
      </c>
      <c r="I1897" s="1" t="s">
        <v>40</v>
      </c>
      <c r="J1897" s="1">
        <f>IFERROR(__xludf.DUMMYFUNCTION("""COMPUTED_VALUE"""),85.0)</f>
        <v>85</v>
      </c>
      <c r="K1897" s="1">
        <v>18.0</v>
      </c>
      <c r="L1897" s="1">
        <f>IFERROR(__xludf.DUMMYFUNCTION("""COMPUTED_VALUE"""),89.0)</f>
        <v>89</v>
      </c>
    </row>
    <row r="1898">
      <c r="A1898" s="1">
        <v>3518022.0</v>
      </c>
      <c r="B1898" s="1" t="s">
        <v>4085</v>
      </c>
      <c r="C1898" s="1" t="s">
        <v>3831</v>
      </c>
      <c r="D1898" s="1" t="s">
        <v>3835</v>
      </c>
      <c r="E1898" s="1" t="s">
        <v>4086</v>
      </c>
      <c r="F1898" s="1" t="s">
        <v>16</v>
      </c>
      <c r="G1898" s="1" t="s">
        <v>17</v>
      </c>
      <c r="H1898" s="1" t="s">
        <v>28</v>
      </c>
      <c r="I1898" s="1" t="s">
        <v>40</v>
      </c>
      <c r="J1898" s="1">
        <f>IFERROR(__xludf.DUMMYFUNCTION("""COMPUTED_VALUE"""),270.0)</f>
        <v>270</v>
      </c>
      <c r="K1898" s="1">
        <v>73.0</v>
      </c>
      <c r="L1898" s="1">
        <f>IFERROR(__xludf.DUMMYFUNCTION("""COMPUTED_VALUE"""),402.0)</f>
        <v>402</v>
      </c>
    </row>
    <row r="1899">
      <c r="A1899" s="1">
        <v>3573244.0</v>
      </c>
      <c r="B1899" s="1" t="s">
        <v>4087</v>
      </c>
      <c r="C1899" s="1" t="s">
        <v>3831</v>
      </c>
      <c r="D1899" s="1" t="s">
        <v>3938</v>
      </c>
      <c r="E1899" s="1" t="s">
        <v>4088</v>
      </c>
      <c r="F1899" s="1" t="s">
        <v>55</v>
      </c>
      <c r="G1899" s="1" t="s">
        <v>17</v>
      </c>
      <c r="H1899" s="1" t="s">
        <v>18</v>
      </c>
      <c r="I1899" s="1" t="s">
        <v>19</v>
      </c>
      <c r="J1899" s="1">
        <f>IFERROR(__xludf.DUMMYFUNCTION("""COMPUTED_VALUE"""),30.0)</f>
        <v>30</v>
      </c>
      <c r="K1899" s="1">
        <v>31.0</v>
      </c>
      <c r="L1899" s="1">
        <f>IFERROR(__xludf.DUMMYFUNCTION("""COMPUTED_VALUE"""),83.0)</f>
        <v>83</v>
      </c>
    </row>
    <row r="1900">
      <c r="A1900" s="1">
        <v>3525095.0</v>
      </c>
      <c r="B1900" s="1" t="s">
        <v>4089</v>
      </c>
      <c r="C1900" s="1" t="s">
        <v>3831</v>
      </c>
      <c r="D1900" s="1" t="s">
        <v>3865</v>
      </c>
      <c r="E1900" s="1" t="s">
        <v>4090</v>
      </c>
      <c r="F1900" s="1" t="s">
        <v>16</v>
      </c>
      <c r="G1900" s="1" t="s">
        <v>23</v>
      </c>
      <c r="H1900" s="1" t="s">
        <v>18</v>
      </c>
      <c r="I1900" s="1" t="s">
        <v>19</v>
      </c>
      <c r="J1900" s="1">
        <f>IFERROR(__xludf.DUMMYFUNCTION("""COMPUTED_VALUE"""),58.0)</f>
        <v>58</v>
      </c>
      <c r="K1900" s="1">
        <v>28.0</v>
      </c>
      <c r="L1900" s="1">
        <f>IFERROR(__xludf.DUMMYFUNCTION("""COMPUTED_VALUE"""),126.0)</f>
        <v>126</v>
      </c>
    </row>
    <row r="1901">
      <c r="A1901" s="1">
        <v>3506014.0</v>
      </c>
      <c r="B1901" s="1" t="s">
        <v>4091</v>
      </c>
      <c r="C1901" s="1" t="s">
        <v>3831</v>
      </c>
      <c r="D1901" s="1" t="s">
        <v>3894</v>
      </c>
      <c r="E1901" s="1" t="s">
        <v>4092</v>
      </c>
      <c r="F1901" s="1" t="s">
        <v>16</v>
      </c>
      <c r="G1901" s="1" t="s">
        <v>27</v>
      </c>
      <c r="H1901" s="1" t="s">
        <v>28</v>
      </c>
      <c r="I1901" s="1" t="s">
        <v>40</v>
      </c>
      <c r="J1901" s="1">
        <f>IFERROR(__xludf.DUMMYFUNCTION("""COMPUTED_VALUE"""),298.0)</f>
        <v>298</v>
      </c>
      <c r="K1901" s="1">
        <v>99.0</v>
      </c>
      <c r="L1901" s="1">
        <f>IFERROR(__xludf.DUMMYFUNCTION("""COMPUTED_VALUE"""),885.0)</f>
        <v>885</v>
      </c>
    </row>
    <row r="1902">
      <c r="A1902" s="1">
        <v>3520041.0</v>
      </c>
      <c r="B1902" s="1" t="s">
        <v>4093</v>
      </c>
      <c r="C1902" s="1" t="s">
        <v>3831</v>
      </c>
      <c r="D1902" s="1" t="s">
        <v>3878</v>
      </c>
      <c r="E1902" s="1" t="s">
        <v>4094</v>
      </c>
      <c r="F1902" s="1" t="s">
        <v>16</v>
      </c>
      <c r="G1902" s="1" t="s">
        <v>17</v>
      </c>
      <c r="H1902" s="1" t="s">
        <v>18</v>
      </c>
      <c r="I1902" s="1" t="s">
        <v>563</v>
      </c>
      <c r="J1902" s="1">
        <f>IFERROR(__xludf.DUMMYFUNCTION("""COMPUTED_VALUE"""),33.0)</f>
        <v>33</v>
      </c>
      <c r="K1902" s="1">
        <v>43.0</v>
      </c>
      <c r="L1902" s="1">
        <f>IFERROR(__xludf.DUMMYFUNCTION("""COMPUTED_VALUE"""),389.0)</f>
        <v>389</v>
      </c>
    </row>
    <row r="1903">
      <c r="A1903" s="1">
        <v>3515125.0</v>
      </c>
      <c r="B1903" s="1" t="s">
        <v>4095</v>
      </c>
      <c r="C1903" s="1" t="s">
        <v>3831</v>
      </c>
      <c r="D1903" s="1" t="s">
        <v>3870</v>
      </c>
      <c r="E1903" s="1" t="s">
        <v>4096</v>
      </c>
      <c r="F1903" s="1" t="s">
        <v>55</v>
      </c>
      <c r="G1903" s="1" t="s">
        <v>17</v>
      </c>
      <c r="H1903" s="1" t="s">
        <v>18</v>
      </c>
      <c r="I1903" s="1" t="s">
        <v>44</v>
      </c>
      <c r="J1903" s="1">
        <f>IFERROR(__xludf.DUMMYFUNCTION("""COMPUTED_VALUE"""),26.0)</f>
        <v>26</v>
      </c>
      <c r="K1903" s="1">
        <v>15.0</v>
      </c>
      <c r="L1903" s="1">
        <f>IFERROR(__xludf.DUMMYFUNCTION("""COMPUTED_VALUE"""),91.0)</f>
        <v>91</v>
      </c>
    </row>
    <row r="1904">
      <c r="A1904" s="1">
        <v>3515129.0</v>
      </c>
      <c r="B1904" s="1" t="s">
        <v>4097</v>
      </c>
      <c r="C1904" s="1" t="s">
        <v>3831</v>
      </c>
      <c r="D1904" s="1" t="s">
        <v>3870</v>
      </c>
      <c r="E1904" s="1" t="s">
        <v>4098</v>
      </c>
      <c r="F1904" s="1" t="s">
        <v>55</v>
      </c>
      <c r="G1904" s="1" t="s">
        <v>17</v>
      </c>
      <c r="H1904" s="1" t="s">
        <v>18</v>
      </c>
      <c r="I1904" s="1" t="s">
        <v>44</v>
      </c>
      <c r="J1904" s="1">
        <f>IFERROR(__xludf.DUMMYFUNCTION("""COMPUTED_VALUE"""),44.0)</f>
        <v>44</v>
      </c>
      <c r="K1904" s="1">
        <v>28.0</v>
      </c>
      <c r="L1904" s="1">
        <f>IFERROR(__xludf.DUMMYFUNCTION("""COMPUTED_VALUE"""),92.0)</f>
        <v>92</v>
      </c>
    </row>
    <row r="1905">
      <c r="A1905" s="1">
        <v>3526027.0</v>
      </c>
      <c r="B1905" s="1" t="s">
        <v>4099</v>
      </c>
      <c r="C1905" s="1" t="s">
        <v>3831</v>
      </c>
      <c r="D1905" s="1" t="s">
        <v>3832</v>
      </c>
      <c r="E1905" s="1" t="s">
        <v>4100</v>
      </c>
      <c r="F1905" s="1" t="s">
        <v>16</v>
      </c>
      <c r="G1905" s="1" t="s">
        <v>23</v>
      </c>
      <c r="H1905" s="1" t="s">
        <v>18</v>
      </c>
      <c r="I1905" s="1" t="s">
        <v>19</v>
      </c>
      <c r="J1905" s="1">
        <f>IFERROR(__xludf.DUMMYFUNCTION("""COMPUTED_VALUE"""),56.0)</f>
        <v>56</v>
      </c>
      <c r="K1905" s="1">
        <v>28.0</v>
      </c>
      <c r="L1905" s="1">
        <f>IFERROR(__xludf.DUMMYFUNCTION("""COMPUTED_VALUE"""),72.0)</f>
        <v>72</v>
      </c>
    </row>
    <row r="1906">
      <c r="A1906" s="1">
        <v>3578786.0</v>
      </c>
      <c r="B1906" s="1" t="s">
        <v>4101</v>
      </c>
      <c r="C1906" s="1" t="s">
        <v>3831</v>
      </c>
      <c r="D1906" s="1" t="s">
        <v>3847</v>
      </c>
      <c r="E1906" s="1" t="s">
        <v>4102</v>
      </c>
      <c r="F1906" s="1" t="s">
        <v>272</v>
      </c>
      <c r="G1906" s="1" t="s">
        <v>27</v>
      </c>
      <c r="H1906" s="1" t="s">
        <v>28</v>
      </c>
      <c r="I1906" s="1" t="s">
        <v>139</v>
      </c>
      <c r="J1906" s="1">
        <f>IFERROR(__xludf.DUMMYFUNCTION("""COMPUTED_VALUE"""),32.0)</f>
        <v>32</v>
      </c>
      <c r="K1906" s="1">
        <v>34.0</v>
      </c>
      <c r="L1906" s="1">
        <f>IFERROR(__xludf.DUMMYFUNCTION("""COMPUTED_VALUE"""),254.0)</f>
        <v>254</v>
      </c>
    </row>
    <row r="1907">
      <c r="A1907" s="1">
        <v>3525010.0</v>
      </c>
      <c r="B1907" s="1" t="s">
        <v>4103</v>
      </c>
      <c r="C1907" s="1" t="s">
        <v>3831</v>
      </c>
      <c r="D1907" s="1" t="s">
        <v>3865</v>
      </c>
      <c r="E1907" s="1" t="s">
        <v>4104</v>
      </c>
      <c r="F1907" s="1" t="s">
        <v>16</v>
      </c>
      <c r="G1907" s="1" t="s">
        <v>27</v>
      </c>
      <c r="H1907" s="1" t="s">
        <v>28</v>
      </c>
      <c r="I1907" s="1" t="s">
        <v>40</v>
      </c>
      <c r="J1907" s="1">
        <f>IFERROR(__xludf.DUMMYFUNCTION("""COMPUTED_VALUE"""),340.0)</f>
        <v>340</v>
      </c>
      <c r="K1907" s="1">
        <v>59.0</v>
      </c>
      <c r="L1907" s="1">
        <f>IFERROR(__xludf.DUMMYFUNCTION("""COMPUTED_VALUE"""),863.0)</f>
        <v>863</v>
      </c>
    </row>
    <row r="1908">
      <c r="A1908" s="1">
        <v>3506047.0</v>
      </c>
      <c r="B1908" s="1" t="s">
        <v>4105</v>
      </c>
      <c r="C1908" s="1" t="s">
        <v>3831</v>
      </c>
      <c r="D1908" s="1" t="s">
        <v>3894</v>
      </c>
      <c r="E1908" s="1" t="s">
        <v>4106</v>
      </c>
      <c r="F1908" s="1" t="s">
        <v>16</v>
      </c>
      <c r="G1908" s="1" t="s">
        <v>23</v>
      </c>
      <c r="H1908" s="1" t="s">
        <v>18</v>
      </c>
      <c r="I1908" s="1" t="s">
        <v>19</v>
      </c>
      <c r="J1908" s="1">
        <f>IFERROR(__xludf.DUMMYFUNCTION("""COMPUTED_VALUE"""),59.0)</f>
        <v>59</v>
      </c>
      <c r="K1908" s="1">
        <v>24.0</v>
      </c>
      <c r="L1908" s="1">
        <f>IFERROR(__xludf.DUMMYFUNCTION("""COMPUTED_VALUE"""),115.0)</f>
        <v>115</v>
      </c>
    </row>
    <row r="1909">
      <c r="A1909" s="1">
        <v>3517092.0</v>
      </c>
      <c r="B1909" s="1" t="s">
        <v>4107</v>
      </c>
      <c r="C1909" s="1" t="s">
        <v>3831</v>
      </c>
      <c r="D1909" s="1" t="s">
        <v>3956</v>
      </c>
      <c r="E1909" s="1" t="s">
        <v>4108</v>
      </c>
      <c r="F1909" s="1" t="s">
        <v>16</v>
      </c>
      <c r="G1909" s="1" t="s">
        <v>23</v>
      </c>
      <c r="H1909" s="1" t="s">
        <v>18</v>
      </c>
      <c r="I1909" s="1" t="s">
        <v>684</v>
      </c>
      <c r="J1909" s="1">
        <f>IFERROR(__xludf.DUMMYFUNCTION("""COMPUTED_VALUE"""),54.0)</f>
        <v>54</v>
      </c>
      <c r="K1909" s="1">
        <v>29.0</v>
      </c>
      <c r="L1909" s="1">
        <f>IFERROR(__xludf.DUMMYFUNCTION("""COMPUTED_VALUE"""),106.0)</f>
        <v>106</v>
      </c>
    </row>
    <row r="1910">
      <c r="A1910" s="1">
        <v>3515144.0</v>
      </c>
      <c r="B1910" s="1" t="s">
        <v>4109</v>
      </c>
      <c r="C1910" s="1" t="s">
        <v>3831</v>
      </c>
      <c r="D1910" s="1" t="s">
        <v>3870</v>
      </c>
      <c r="E1910" s="1" t="s">
        <v>4110</v>
      </c>
      <c r="F1910" s="1" t="s">
        <v>16</v>
      </c>
      <c r="G1910" s="1" t="s">
        <v>23</v>
      </c>
      <c r="H1910" s="1" t="s">
        <v>18</v>
      </c>
      <c r="I1910" s="1" t="s">
        <v>19</v>
      </c>
      <c r="J1910" s="1">
        <f>IFERROR(__xludf.DUMMYFUNCTION("""COMPUTED_VALUE"""),72.0)</f>
        <v>72</v>
      </c>
      <c r="K1910" s="1">
        <v>33.0</v>
      </c>
      <c r="L1910" s="1">
        <f>IFERROR(__xludf.DUMMYFUNCTION("""COMPUTED_VALUE"""),9.0)</f>
        <v>9</v>
      </c>
    </row>
    <row r="1911">
      <c r="A1911" s="1">
        <v>3529014.0</v>
      </c>
      <c r="B1911" s="1" t="s">
        <v>4111</v>
      </c>
      <c r="C1911" s="1" t="s">
        <v>3831</v>
      </c>
      <c r="D1911" s="1" t="s">
        <v>4079</v>
      </c>
      <c r="E1911" s="1" t="s">
        <v>4112</v>
      </c>
      <c r="F1911" s="1" t="s">
        <v>16</v>
      </c>
      <c r="G1911" s="1" t="s">
        <v>17</v>
      </c>
      <c r="H1911" s="1" t="s">
        <v>28</v>
      </c>
      <c r="I1911" s="1" t="s">
        <v>40</v>
      </c>
      <c r="J1911" s="1">
        <f>IFERROR(__xludf.DUMMYFUNCTION("""COMPUTED_VALUE"""),224.0)</f>
        <v>224</v>
      </c>
      <c r="K1911" s="1">
        <v>125.0</v>
      </c>
      <c r="L1911" s="1">
        <f>IFERROR(__xludf.DUMMYFUNCTION("""COMPUTED_VALUE"""),270.0)</f>
        <v>270</v>
      </c>
    </row>
    <row r="1912">
      <c r="A1912" s="1">
        <v>3520014.0</v>
      </c>
      <c r="B1912" s="1" t="s">
        <v>4113</v>
      </c>
      <c r="C1912" s="1" t="s">
        <v>3831</v>
      </c>
      <c r="D1912" s="1" t="s">
        <v>3878</v>
      </c>
      <c r="E1912" s="1" t="s">
        <v>4114</v>
      </c>
      <c r="F1912" s="1" t="s">
        <v>55</v>
      </c>
      <c r="G1912" s="1" t="s">
        <v>17</v>
      </c>
      <c r="H1912" s="1" t="s">
        <v>18</v>
      </c>
      <c r="I1912" s="1" t="s">
        <v>19</v>
      </c>
      <c r="J1912" s="1">
        <f>IFERROR(__xludf.DUMMYFUNCTION("""COMPUTED_VALUE"""),24.0)</f>
        <v>24</v>
      </c>
      <c r="K1912" s="1">
        <v>13.0</v>
      </c>
      <c r="L1912" s="1">
        <f>IFERROR(__xludf.DUMMYFUNCTION("""COMPUTED_VALUE"""),38.0)</f>
        <v>38</v>
      </c>
    </row>
    <row r="1913">
      <c r="A1913" s="1">
        <v>3504078.0</v>
      </c>
      <c r="B1913" s="1" t="s">
        <v>4115</v>
      </c>
      <c r="C1913" s="1" t="s">
        <v>3831</v>
      </c>
      <c r="D1913" s="1" t="s">
        <v>3850</v>
      </c>
      <c r="E1913" s="1" t="s">
        <v>4116</v>
      </c>
      <c r="F1913" s="1" t="s">
        <v>55</v>
      </c>
      <c r="G1913" s="1" t="s">
        <v>17</v>
      </c>
      <c r="H1913" s="1" t="s">
        <v>18</v>
      </c>
      <c r="I1913" s="1" t="s">
        <v>19</v>
      </c>
      <c r="J1913" s="1">
        <f>IFERROR(__xludf.DUMMYFUNCTION("""COMPUTED_VALUE"""),86.0)</f>
        <v>86</v>
      </c>
      <c r="K1913" s="1">
        <v>20.0</v>
      </c>
      <c r="L1913" s="1">
        <f>IFERROR(__xludf.DUMMYFUNCTION("""COMPUTED_VALUE"""),81.0)</f>
        <v>81</v>
      </c>
    </row>
    <row r="1914">
      <c r="A1914" s="1">
        <v>3524075.0</v>
      </c>
      <c r="B1914" s="1" t="s">
        <v>4117</v>
      </c>
      <c r="C1914" s="1" t="s">
        <v>3831</v>
      </c>
      <c r="D1914" s="1" t="s">
        <v>3856</v>
      </c>
      <c r="E1914" s="1" t="s">
        <v>4118</v>
      </c>
      <c r="F1914" s="1" t="s">
        <v>272</v>
      </c>
      <c r="G1914" s="1" t="s">
        <v>17</v>
      </c>
      <c r="H1914" s="1" t="s">
        <v>18</v>
      </c>
      <c r="I1914" s="1" t="s">
        <v>44</v>
      </c>
      <c r="J1914" s="1">
        <f>IFERROR(__xludf.DUMMYFUNCTION("""COMPUTED_VALUE"""),15.0)</f>
        <v>15</v>
      </c>
      <c r="K1914" s="1">
        <v>8.0</v>
      </c>
      <c r="L1914" s="1">
        <f>IFERROR(__xludf.DUMMYFUNCTION("""COMPUTED_VALUE"""),182.0)</f>
        <v>182</v>
      </c>
    </row>
    <row r="1915">
      <c r="A1915" s="1">
        <v>3510076.0</v>
      </c>
      <c r="B1915" s="1" t="s">
        <v>4119</v>
      </c>
      <c r="C1915" s="1" t="s">
        <v>3831</v>
      </c>
      <c r="D1915" s="1" t="s">
        <v>3844</v>
      </c>
      <c r="E1915" s="1" t="s">
        <v>4120</v>
      </c>
      <c r="F1915" s="1" t="s">
        <v>16</v>
      </c>
      <c r="G1915" s="1" t="s">
        <v>17</v>
      </c>
      <c r="H1915" s="1" t="s">
        <v>18</v>
      </c>
      <c r="I1915" s="1" t="s">
        <v>19</v>
      </c>
      <c r="J1915" s="1">
        <f>IFERROR(__xludf.DUMMYFUNCTION("""COMPUTED_VALUE"""),100.0)</f>
        <v>100</v>
      </c>
      <c r="K1915" s="1">
        <v>62.0</v>
      </c>
      <c r="L1915" s="1">
        <f>IFERROR(__xludf.DUMMYFUNCTION("""COMPUTED_VALUE"""),302.0)</f>
        <v>302</v>
      </c>
    </row>
    <row r="1916">
      <c r="A1916" s="1">
        <v>3578556.0</v>
      </c>
      <c r="B1916" s="1" t="s">
        <v>4121</v>
      </c>
      <c r="C1916" s="1" t="s">
        <v>3831</v>
      </c>
      <c r="D1916" s="1" t="s">
        <v>3847</v>
      </c>
      <c r="E1916" s="1" t="s">
        <v>4122</v>
      </c>
      <c r="F1916" s="1" t="s">
        <v>16</v>
      </c>
      <c r="G1916" s="1" t="s">
        <v>27</v>
      </c>
      <c r="H1916" s="1" t="s">
        <v>18</v>
      </c>
      <c r="I1916" s="1" t="s">
        <v>19</v>
      </c>
      <c r="J1916" s="1">
        <f>IFERROR(__xludf.DUMMYFUNCTION("""COMPUTED_VALUE"""),198.0)</f>
        <v>198</v>
      </c>
      <c r="K1916" s="1">
        <v>114.0</v>
      </c>
      <c r="L1916" s="1">
        <f>IFERROR(__xludf.DUMMYFUNCTION("""COMPUTED_VALUE"""),534.0)</f>
        <v>534</v>
      </c>
    </row>
    <row r="1917">
      <c r="A1917" s="1">
        <v>3502146.0</v>
      </c>
      <c r="B1917" s="1" t="s">
        <v>4123</v>
      </c>
      <c r="C1917" s="1" t="s">
        <v>3831</v>
      </c>
      <c r="D1917" s="1" t="s">
        <v>4013</v>
      </c>
      <c r="E1917" s="1" t="s">
        <v>4124</v>
      </c>
      <c r="F1917" s="1" t="s">
        <v>16</v>
      </c>
      <c r="G1917" s="1" t="s">
        <v>17</v>
      </c>
      <c r="H1917" s="1" t="s">
        <v>18</v>
      </c>
      <c r="I1917" s="1" t="s">
        <v>19</v>
      </c>
      <c r="J1917" s="1">
        <f>IFERROR(__xludf.DUMMYFUNCTION("""COMPUTED_VALUE"""),103.0)</f>
        <v>103</v>
      </c>
      <c r="K1917" s="1">
        <v>58.0</v>
      </c>
      <c r="L1917" s="1">
        <f>IFERROR(__xludf.DUMMYFUNCTION("""COMPUTED_VALUE"""),261.0)</f>
        <v>261</v>
      </c>
    </row>
    <row r="1918">
      <c r="A1918" s="1">
        <v>3578811.0</v>
      </c>
      <c r="B1918" s="1" t="s">
        <v>4125</v>
      </c>
      <c r="C1918" s="1" t="s">
        <v>3831</v>
      </c>
      <c r="D1918" s="1" t="s">
        <v>3847</v>
      </c>
      <c r="E1918" s="1" t="s">
        <v>4126</v>
      </c>
      <c r="F1918" s="1" t="s">
        <v>16</v>
      </c>
      <c r="G1918" s="1" t="s">
        <v>150</v>
      </c>
      <c r="H1918" s="1" t="s">
        <v>18</v>
      </c>
      <c r="I1918" s="1" t="s">
        <v>411</v>
      </c>
      <c r="J1918" s="1">
        <f>IFERROR(__xludf.DUMMYFUNCTION("""COMPUTED_VALUE"""),7.0)</f>
        <v>7</v>
      </c>
      <c r="K1918" s="1">
        <v>16.0</v>
      </c>
      <c r="L1918" s="1">
        <f>IFERROR(__xludf.DUMMYFUNCTION("""COMPUTED_VALUE"""),182.0)</f>
        <v>182</v>
      </c>
    </row>
    <row r="1919">
      <c r="A1919" s="1">
        <v>3573055.0</v>
      </c>
      <c r="B1919" s="1" t="s">
        <v>4127</v>
      </c>
      <c r="C1919" s="1" t="s">
        <v>3831</v>
      </c>
      <c r="D1919" s="1" t="s">
        <v>3938</v>
      </c>
      <c r="E1919" s="1" t="s">
        <v>4128</v>
      </c>
      <c r="F1919" s="1" t="s">
        <v>16</v>
      </c>
      <c r="G1919" s="1" t="s">
        <v>27</v>
      </c>
      <c r="H1919" s="1" t="s">
        <v>18</v>
      </c>
      <c r="I1919" s="1" t="s">
        <v>19</v>
      </c>
      <c r="J1919" s="1">
        <f>IFERROR(__xludf.DUMMYFUNCTION("""COMPUTED_VALUE"""),200.0)</f>
        <v>200</v>
      </c>
      <c r="K1919" s="1">
        <v>94.0</v>
      </c>
      <c r="L1919" s="1">
        <f>IFERROR(__xludf.DUMMYFUNCTION("""COMPUTED_VALUE"""),771.0)</f>
        <v>771</v>
      </c>
    </row>
    <row r="1920">
      <c r="A1920" s="1">
        <v>3511012.0</v>
      </c>
      <c r="B1920" s="1" t="s">
        <v>4129</v>
      </c>
      <c r="C1920" s="1" t="s">
        <v>3831</v>
      </c>
      <c r="D1920" s="1" t="s">
        <v>4130</v>
      </c>
      <c r="E1920" s="1" t="s">
        <v>4131</v>
      </c>
      <c r="F1920" s="1" t="s">
        <v>16</v>
      </c>
      <c r="G1920" s="1" t="s">
        <v>17</v>
      </c>
      <c r="H1920" s="1" t="s">
        <v>33</v>
      </c>
      <c r="I1920" s="1" t="s">
        <v>65</v>
      </c>
      <c r="J1920" s="1">
        <f>IFERROR(__xludf.DUMMYFUNCTION("""COMPUTED_VALUE"""),134.0)</f>
        <v>134</v>
      </c>
      <c r="K1920" s="1">
        <v>71.0</v>
      </c>
      <c r="L1920" s="1">
        <f>IFERROR(__xludf.DUMMYFUNCTION("""COMPUTED_VALUE"""),308.0)</f>
        <v>308</v>
      </c>
    </row>
    <row r="1921">
      <c r="A1921" s="1">
        <v>3514053.0</v>
      </c>
      <c r="B1921" s="1" t="s">
        <v>4132</v>
      </c>
      <c r="C1921" s="1" t="s">
        <v>3831</v>
      </c>
      <c r="D1921" s="1" t="s">
        <v>3875</v>
      </c>
      <c r="E1921" s="1" t="s">
        <v>4133</v>
      </c>
      <c r="F1921" s="1" t="s">
        <v>16</v>
      </c>
      <c r="G1921" s="1" t="s">
        <v>23</v>
      </c>
      <c r="H1921" s="1" t="s">
        <v>18</v>
      </c>
      <c r="I1921" s="1" t="s">
        <v>19</v>
      </c>
      <c r="J1921" s="1">
        <f>IFERROR(__xludf.DUMMYFUNCTION("""COMPUTED_VALUE"""),97.0)</f>
        <v>97</v>
      </c>
      <c r="K1921" s="1">
        <v>51.0</v>
      </c>
      <c r="L1921" s="1">
        <f>IFERROR(__xludf.DUMMYFUNCTION("""COMPUTED_VALUE"""),135.0)</f>
        <v>135</v>
      </c>
    </row>
    <row r="1922">
      <c r="A1922" s="1">
        <v>3508058.0</v>
      </c>
      <c r="B1922" s="1" t="s">
        <v>4134</v>
      </c>
      <c r="C1922" s="1" t="s">
        <v>3831</v>
      </c>
      <c r="D1922" s="1" t="s">
        <v>4135</v>
      </c>
      <c r="E1922" s="1" t="s">
        <v>4136</v>
      </c>
      <c r="F1922" s="1" t="s">
        <v>16</v>
      </c>
      <c r="G1922" s="1" t="s">
        <v>17</v>
      </c>
      <c r="H1922" s="1" t="s">
        <v>28</v>
      </c>
      <c r="I1922" s="1" t="s">
        <v>40</v>
      </c>
      <c r="J1922" s="1">
        <f>IFERROR(__xludf.DUMMYFUNCTION("""COMPUTED_VALUE"""),100.0)</f>
        <v>100</v>
      </c>
      <c r="K1922" s="1">
        <v>25.0</v>
      </c>
      <c r="L1922" s="1">
        <f>IFERROR(__xludf.DUMMYFUNCTION("""COMPUTED_VALUE"""),289.0)</f>
        <v>289</v>
      </c>
    </row>
    <row r="1923">
      <c r="A1923" s="1">
        <v>3516020.0</v>
      </c>
      <c r="B1923" s="1" t="s">
        <v>4137</v>
      </c>
      <c r="C1923" s="1" t="s">
        <v>3831</v>
      </c>
      <c r="D1923" s="1" t="s">
        <v>3909</v>
      </c>
      <c r="E1923" s="1" t="s">
        <v>4138</v>
      </c>
      <c r="F1923" s="1" t="s">
        <v>16</v>
      </c>
      <c r="G1923" s="1" t="s">
        <v>27</v>
      </c>
      <c r="H1923" s="1" t="s">
        <v>28</v>
      </c>
      <c r="I1923" s="1" t="s">
        <v>40</v>
      </c>
      <c r="J1923" s="1">
        <f>IFERROR(__xludf.DUMMYFUNCTION("""COMPUTED_VALUE"""),236.0)</f>
        <v>236</v>
      </c>
      <c r="K1923" s="1">
        <v>38.0</v>
      </c>
      <c r="L1923" s="1">
        <f>IFERROR(__xludf.DUMMYFUNCTION("""COMPUTED_VALUE"""),507.0)</f>
        <v>507</v>
      </c>
    </row>
    <row r="1924">
      <c r="A1924" s="1">
        <v>3573243.0</v>
      </c>
      <c r="B1924" s="1" t="s">
        <v>4139</v>
      </c>
      <c r="C1924" s="1" t="s">
        <v>3831</v>
      </c>
      <c r="D1924" s="1" t="s">
        <v>3938</v>
      </c>
      <c r="E1924" s="1" t="s">
        <v>4140</v>
      </c>
      <c r="F1924" s="1" t="s">
        <v>55</v>
      </c>
      <c r="G1924" s="1" t="s">
        <v>17</v>
      </c>
      <c r="H1924" s="1" t="s">
        <v>18</v>
      </c>
      <c r="I1924" s="1" t="s">
        <v>19</v>
      </c>
      <c r="J1924" s="1">
        <f>IFERROR(__xludf.DUMMYFUNCTION("""COMPUTED_VALUE"""),26.0)</f>
        <v>26</v>
      </c>
      <c r="K1924" s="1">
        <v>17.0</v>
      </c>
      <c r="L1924" s="1">
        <f>IFERROR(__xludf.DUMMYFUNCTION("""COMPUTED_VALUE"""),92.0)</f>
        <v>92</v>
      </c>
    </row>
    <row r="1925">
      <c r="A1925" s="1">
        <v>3510105.0</v>
      </c>
      <c r="B1925" s="1" t="s">
        <v>4141</v>
      </c>
      <c r="C1925" s="1" t="s">
        <v>3831</v>
      </c>
      <c r="D1925" s="1" t="s">
        <v>3844</v>
      </c>
      <c r="E1925" s="1" t="s">
        <v>4142</v>
      </c>
      <c r="F1925" s="1" t="s">
        <v>16</v>
      </c>
      <c r="G1925" s="1" t="s">
        <v>23</v>
      </c>
      <c r="H1925" s="1" t="s">
        <v>18</v>
      </c>
      <c r="I1925" s="1" t="s">
        <v>19</v>
      </c>
      <c r="J1925" s="1">
        <f>IFERROR(__xludf.DUMMYFUNCTION("""COMPUTED_VALUE"""),55.0)</f>
        <v>55</v>
      </c>
      <c r="K1925" s="1">
        <v>25.0</v>
      </c>
      <c r="L1925" s="1">
        <f>IFERROR(__xludf.DUMMYFUNCTION("""COMPUTED_VALUE"""),34.0)</f>
        <v>34</v>
      </c>
    </row>
    <row r="1926">
      <c r="A1926" s="1">
        <v>3502134.0</v>
      </c>
      <c r="B1926" s="1" t="s">
        <v>4143</v>
      </c>
      <c r="C1926" s="1" t="s">
        <v>3831</v>
      </c>
      <c r="D1926" s="1" t="s">
        <v>4013</v>
      </c>
      <c r="E1926" s="1" t="s">
        <v>4144</v>
      </c>
      <c r="F1926" s="1" t="s">
        <v>16</v>
      </c>
      <c r="G1926" s="1" t="s">
        <v>17</v>
      </c>
      <c r="H1926" s="1" t="s">
        <v>18</v>
      </c>
      <c r="I1926" s="1" t="s">
        <v>19</v>
      </c>
      <c r="J1926" s="1">
        <f>IFERROR(__xludf.DUMMYFUNCTION("""COMPUTED_VALUE"""),155.0)</f>
        <v>155</v>
      </c>
      <c r="K1926" s="1">
        <v>41.0</v>
      </c>
      <c r="L1926" s="1">
        <f>IFERROR(__xludf.DUMMYFUNCTION("""COMPUTED_VALUE"""),335.0)</f>
        <v>335</v>
      </c>
    </row>
    <row r="1927">
      <c r="A1927" s="1">
        <v>3576040.0</v>
      </c>
      <c r="B1927" s="1" t="s">
        <v>4145</v>
      </c>
      <c r="C1927" s="1" t="s">
        <v>3831</v>
      </c>
      <c r="D1927" s="1" t="s">
        <v>4020</v>
      </c>
      <c r="E1927" s="1" t="s">
        <v>4146</v>
      </c>
      <c r="F1927" s="1" t="s">
        <v>16</v>
      </c>
      <c r="G1927" s="1" t="s">
        <v>17</v>
      </c>
      <c r="H1927" s="1" t="s">
        <v>18</v>
      </c>
      <c r="I1927" s="1" t="s">
        <v>59</v>
      </c>
      <c r="J1927" s="1">
        <f>IFERROR(__xludf.DUMMYFUNCTION("""COMPUTED_VALUE"""),105.0)</f>
        <v>105</v>
      </c>
      <c r="K1927" s="1">
        <v>88.0</v>
      </c>
      <c r="L1927" s="1">
        <f>IFERROR(__xludf.DUMMYFUNCTION("""COMPUTED_VALUE"""),251.0)</f>
        <v>251</v>
      </c>
    </row>
    <row r="1928">
      <c r="A1928" s="1">
        <v>3504069.0</v>
      </c>
      <c r="B1928" s="1" t="s">
        <v>4147</v>
      </c>
      <c r="C1928" s="1" t="s">
        <v>3831</v>
      </c>
      <c r="D1928" s="1" t="s">
        <v>3850</v>
      </c>
      <c r="E1928" s="1" t="s">
        <v>4148</v>
      </c>
      <c r="F1928" s="1" t="s">
        <v>16</v>
      </c>
      <c r="G1928" s="1" t="s">
        <v>23</v>
      </c>
      <c r="H1928" s="1" t="s">
        <v>18</v>
      </c>
      <c r="I1928" s="1" t="s">
        <v>19</v>
      </c>
      <c r="J1928" s="1">
        <f>IFERROR(__xludf.DUMMYFUNCTION("""COMPUTED_VALUE"""),65.0)</f>
        <v>65</v>
      </c>
      <c r="K1928" s="1">
        <v>20.0</v>
      </c>
      <c r="L1928" s="1">
        <f>IFERROR(__xludf.DUMMYFUNCTION("""COMPUTED_VALUE"""),90.0)</f>
        <v>90</v>
      </c>
    </row>
    <row r="1929">
      <c r="A1929" s="1">
        <v>3522058.0</v>
      </c>
      <c r="B1929" s="1" t="s">
        <v>4149</v>
      </c>
      <c r="C1929" s="1" t="s">
        <v>3831</v>
      </c>
      <c r="D1929" s="1" t="s">
        <v>3897</v>
      </c>
      <c r="E1929" s="1" t="s">
        <v>4150</v>
      </c>
      <c r="F1929" s="1" t="s">
        <v>16</v>
      </c>
      <c r="G1929" s="1" t="s">
        <v>17</v>
      </c>
      <c r="H1929" s="1" t="s">
        <v>28</v>
      </c>
      <c r="I1929" s="1" t="s">
        <v>40</v>
      </c>
      <c r="J1929" s="1">
        <f>IFERROR(__xludf.DUMMYFUNCTION("""COMPUTED_VALUE"""),146.0)</f>
        <v>146</v>
      </c>
      <c r="K1929" s="1">
        <v>29.0</v>
      </c>
      <c r="L1929" s="1">
        <f>IFERROR(__xludf.DUMMYFUNCTION("""COMPUTED_VALUE"""),199.0)</f>
        <v>199</v>
      </c>
    </row>
    <row r="1930">
      <c r="A1930" s="1">
        <v>3524042.0</v>
      </c>
      <c r="B1930" s="1" t="s">
        <v>4151</v>
      </c>
      <c r="C1930" s="1" t="s">
        <v>3831</v>
      </c>
      <c r="D1930" s="1" t="s">
        <v>3856</v>
      </c>
      <c r="E1930" s="1" t="s">
        <v>4152</v>
      </c>
      <c r="F1930" s="1" t="s">
        <v>16</v>
      </c>
      <c r="G1930" s="1" t="s">
        <v>17</v>
      </c>
      <c r="H1930" s="1" t="s">
        <v>18</v>
      </c>
      <c r="I1930" s="1" t="s">
        <v>40</v>
      </c>
      <c r="J1930" s="1">
        <f>IFERROR(__xludf.DUMMYFUNCTION("""COMPUTED_VALUE"""),105.0)</f>
        <v>105</v>
      </c>
      <c r="K1930" s="1">
        <v>35.0</v>
      </c>
      <c r="L1930" s="1">
        <f>IFERROR(__xludf.DUMMYFUNCTION("""COMPUTED_VALUE"""),400.0)</f>
        <v>400</v>
      </c>
    </row>
    <row r="1931">
      <c r="A1931" s="1">
        <v>3529029.0</v>
      </c>
      <c r="B1931" s="1" t="s">
        <v>4153</v>
      </c>
      <c r="C1931" s="1" t="s">
        <v>3831</v>
      </c>
      <c r="D1931" s="1" t="s">
        <v>4079</v>
      </c>
      <c r="E1931" s="1" t="s">
        <v>4154</v>
      </c>
      <c r="F1931" s="1" t="s">
        <v>16</v>
      </c>
      <c r="G1931" s="1" t="s">
        <v>17</v>
      </c>
      <c r="H1931" s="1" t="s">
        <v>18</v>
      </c>
      <c r="I1931" s="1" t="s">
        <v>19</v>
      </c>
      <c r="J1931" s="1">
        <f>IFERROR(__xludf.DUMMYFUNCTION("""COMPUTED_VALUE"""),108.0)</f>
        <v>108</v>
      </c>
      <c r="K1931" s="1">
        <v>27.0</v>
      </c>
      <c r="L1931" s="1">
        <f>IFERROR(__xludf.DUMMYFUNCTION("""COMPUTED_VALUE"""),66.0)</f>
        <v>66</v>
      </c>
    </row>
    <row r="1932">
      <c r="A1932" s="1">
        <v>3514057.0</v>
      </c>
      <c r="B1932" s="1" t="s">
        <v>4155</v>
      </c>
      <c r="C1932" s="1" t="s">
        <v>3831</v>
      </c>
      <c r="D1932" s="1" t="s">
        <v>4156</v>
      </c>
      <c r="E1932" s="1" t="s">
        <v>4157</v>
      </c>
      <c r="F1932" s="1" t="s">
        <v>16</v>
      </c>
      <c r="G1932" s="1" t="s">
        <v>23</v>
      </c>
      <c r="H1932" s="1" t="s">
        <v>18</v>
      </c>
      <c r="I1932" s="1" t="s">
        <v>19</v>
      </c>
      <c r="J1932" s="1">
        <f>IFERROR(__xludf.DUMMYFUNCTION("""COMPUTED_VALUE"""),85.0)</f>
        <v>85</v>
      </c>
      <c r="K1932" s="1">
        <v>24.0</v>
      </c>
      <c r="L1932" s="1">
        <f>IFERROR(__xludf.DUMMYFUNCTION("""COMPUTED_VALUE"""),111.0)</f>
        <v>111</v>
      </c>
    </row>
    <row r="1933">
      <c r="A1933" s="1">
        <v>3512051.0</v>
      </c>
      <c r="B1933" s="1" t="s">
        <v>4158</v>
      </c>
      <c r="C1933" s="1" t="s">
        <v>3831</v>
      </c>
      <c r="D1933" s="1" t="s">
        <v>3967</v>
      </c>
      <c r="E1933" s="1" t="s">
        <v>4159</v>
      </c>
      <c r="F1933" s="1" t="s">
        <v>272</v>
      </c>
      <c r="G1933" s="1" t="s">
        <v>17</v>
      </c>
      <c r="H1933" s="1" t="s">
        <v>18</v>
      </c>
      <c r="I1933" s="1" t="s">
        <v>19</v>
      </c>
      <c r="J1933" s="1">
        <f>IFERROR(__xludf.DUMMYFUNCTION("""COMPUTED_VALUE"""),15.0)</f>
        <v>15</v>
      </c>
      <c r="K1933" s="1">
        <v>12.0</v>
      </c>
      <c r="L1933" s="1">
        <f>IFERROR(__xludf.DUMMYFUNCTION("""COMPUTED_VALUE"""),182.0)</f>
        <v>182</v>
      </c>
    </row>
    <row r="1934">
      <c r="A1934" s="1">
        <v>3507052.0</v>
      </c>
      <c r="B1934" s="1" t="s">
        <v>4160</v>
      </c>
      <c r="C1934" s="1" t="s">
        <v>3831</v>
      </c>
      <c r="D1934" s="1" t="s">
        <v>3862</v>
      </c>
      <c r="E1934" s="1" t="s">
        <v>4161</v>
      </c>
      <c r="F1934" s="1" t="s">
        <v>16</v>
      </c>
      <c r="G1934" s="1" t="s">
        <v>27</v>
      </c>
      <c r="H1934" s="1" t="s">
        <v>28</v>
      </c>
      <c r="I1934" s="1" t="s">
        <v>40</v>
      </c>
      <c r="J1934" s="1">
        <f>IFERROR(__xludf.DUMMYFUNCTION("""COMPUTED_VALUE"""),240.0)</f>
        <v>240</v>
      </c>
      <c r="K1934" s="1">
        <v>57.0</v>
      </c>
      <c r="L1934" s="1">
        <f>IFERROR(__xludf.DUMMYFUNCTION("""COMPUTED_VALUE"""),659.0)</f>
        <v>659</v>
      </c>
    </row>
    <row r="1935">
      <c r="A1935" s="1">
        <v>3578042.0</v>
      </c>
      <c r="B1935" s="1" t="s">
        <v>4162</v>
      </c>
      <c r="C1935" s="1" t="s">
        <v>3831</v>
      </c>
      <c r="D1935" s="1" t="s">
        <v>3847</v>
      </c>
      <c r="E1935" s="1" t="s">
        <v>4163</v>
      </c>
      <c r="F1935" s="1" t="s">
        <v>16</v>
      </c>
      <c r="G1935" s="1" t="s">
        <v>27</v>
      </c>
      <c r="H1935" s="1" t="s">
        <v>18</v>
      </c>
      <c r="I1935" s="1" t="s">
        <v>249</v>
      </c>
      <c r="J1935" s="1">
        <f>IFERROR(__xludf.DUMMYFUNCTION("""COMPUTED_VALUE"""),249.0)</f>
        <v>249</v>
      </c>
      <c r="K1935" s="1">
        <v>122.0</v>
      </c>
      <c r="L1935" s="1">
        <f>IFERROR(__xludf.DUMMYFUNCTION("""COMPUTED_VALUE"""),1206.0)</f>
        <v>1206</v>
      </c>
    </row>
    <row r="1936">
      <c r="A1936" s="1">
        <v>3504087.0</v>
      </c>
      <c r="B1936" s="1" t="s">
        <v>4164</v>
      </c>
      <c r="C1936" s="1" t="s">
        <v>3831</v>
      </c>
      <c r="D1936" s="1" t="s">
        <v>3850</v>
      </c>
      <c r="E1936" s="1" t="s">
        <v>4165</v>
      </c>
      <c r="F1936" s="1" t="s">
        <v>16</v>
      </c>
      <c r="G1936" s="1" t="s">
        <v>23</v>
      </c>
      <c r="H1936" s="1" t="s">
        <v>28</v>
      </c>
      <c r="I1936" s="1" t="s">
        <v>40</v>
      </c>
      <c r="J1936" s="1">
        <f>IFERROR(__xludf.DUMMYFUNCTION("""COMPUTED_VALUE"""),116.0)</f>
        <v>116</v>
      </c>
      <c r="K1936" s="1">
        <v>35.0</v>
      </c>
      <c r="L1936" s="1">
        <f>IFERROR(__xludf.DUMMYFUNCTION("""COMPUTED_VALUE"""),182.0)</f>
        <v>182</v>
      </c>
    </row>
    <row r="1937">
      <c r="A1937" s="1">
        <v>3515157.0</v>
      </c>
      <c r="B1937" s="1" t="s">
        <v>4166</v>
      </c>
      <c r="C1937" s="1" t="s">
        <v>3831</v>
      </c>
      <c r="D1937" s="1" t="s">
        <v>3870</v>
      </c>
      <c r="E1937" s="1" t="s">
        <v>4167</v>
      </c>
      <c r="F1937" s="1" t="s">
        <v>16</v>
      </c>
      <c r="G1937" s="1" t="s">
        <v>17</v>
      </c>
      <c r="H1937" s="1" t="s">
        <v>28</v>
      </c>
      <c r="I1937" s="1" t="s">
        <v>40</v>
      </c>
      <c r="J1937" s="1">
        <f>IFERROR(__xludf.DUMMYFUNCTION("""COMPUTED_VALUE"""),130.0)</f>
        <v>130</v>
      </c>
      <c r="K1937" s="1">
        <v>28.0</v>
      </c>
      <c r="L1937" s="1">
        <f>IFERROR(__xludf.DUMMYFUNCTION("""COMPUTED_VALUE"""),182.0)</f>
        <v>182</v>
      </c>
    </row>
    <row r="1938">
      <c r="A1938" s="1">
        <v>3509112.0</v>
      </c>
      <c r="B1938" s="1" t="s">
        <v>4168</v>
      </c>
      <c r="C1938" s="1" t="s">
        <v>3831</v>
      </c>
      <c r="D1938" s="1" t="s">
        <v>3890</v>
      </c>
      <c r="E1938" s="1" t="s">
        <v>4169</v>
      </c>
      <c r="F1938" s="1" t="s">
        <v>32</v>
      </c>
      <c r="G1938" s="1" t="s">
        <v>17</v>
      </c>
      <c r="H1938" s="1" t="s">
        <v>33</v>
      </c>
      <c r="I1938" s="1" t="s">
        <v>34</v>
      </c>
      <c r="J1938" s="1">
        <f>IFERROR(__xludf.DUMMYFUNCTION("""COMPUTED_VALUE"""),21.0)</f>
        <v>21</v>
      </c>
      <c r="K1938" s="1">
        <v>21.0</v>
      </c>
      <c r="L1938" s="1">
        <f>IFERROR(__xludf.DUMMYFUNCTION("""COMPUTED_VALUE"""),112.0)</f>
        <v>112</v>
      </c>
    </row>
    <row r="1939">
      <c r="A1939" s="1">
        <v>3578166.0</v>
      </c>
      <c r="B1939" s="1" t="s">
        <v>4170</v>
      </c>
      <c r="C1939" s="1" t="s">
        <v>3831</v>
      </c>
      <c r="D1939" s="1" t="s">
        <v>3847</v>
      </c>
      <c r="E1939" s="1" t="s">
        <v>4171</v>
      </c>
      <c r="F1939" s="1" t="s">
        <v>16</v>
      </c>
      <c r="G1939" s="1" t="s">
        <v>23</v>
      </c>
      <c r="H1939" s="1" t="s">
        <v>18</v>
      </c>
      <c r="I1939" s="1" t="s">
        <v>563</v>
      </c>
      <c r="J1939" s="1">
        <f>IFERROR(__xludf.DUMMYFUNCTION("""COMPUTED_VALUE"""),56.0)</f>
        <v>56</v>
      </c>
      <c r="K1939" s="1">
        <v>32.0</v>
      </c>
      <c r="L1939" s="1">
        <f>IFERROR(__xludf.DUMMYFUNCTION("""COMPUTED_VALUE"""),141.0)</f>
        <v>141</v>
      </c>
    </row>
    <row r="1940">
      <c r="A1940" s="1">
        <v>3515138.0</v>
      </c>
      <c r="B1940" s="1" t="s">
        <v>4172</v>
      </c>
      <c r="C1940" s="1" t="s">
        <v>3831</v>
      </c>
      <c r="D1940" s="1" t="s">
        <v>3870</v>
      </c>
      <c r="E1940" s="1" t="s">
        <v>4173</v>
      </c>
      <c r="F1940" s="1" t="s">
        <v>16</v>
      </c>
      <c r="G1940" s="1" t="s">
        <v>23</v>
      </c>
      <c r="H1940" s="1" t="s">
        <v>18</v>
      </c>
      <c r="I1940" s="1" t="s">
        <v>684</v>
      </c>
      <c r="J1940" s="1">
        <f>IFERROR(__xludf.DUMMYFUNCTION("""COMPUTED_VALUE"""),62.0)</f>
        <v>62</v>
      </c>
      <c r="K1940" s="1">
        <v>37.0</v>
      </c>
      <c r="L1940" s="1">
        <f>IFERROR(__xludf.DUMMYFUNCTION("""COMPUTED_VALUE"""),188.0)</f>
        <v>188</v>
      </c>
    </row>
    <row r="1941">
      <c r="A1941" s="1">
        <v>3528027.0</v>
      </c>
      <c r="B1941" s="1" t="s">
        <v>4174</v>
      </c>
      <c r="C1941" s="1" t="s">
        <v>3831</v>
      </c>
      <c r="D1941" s="1" t="s">
        <v>3841</v>
      </c>
      <c r="E1941" s="1" t="s">
        <v>4175</v>
      </c>
      <c r="F1941" s="1" t="s">
        <v>16</v>
      </c>
      <c r="G1941" s="1" t="s">
        <v>17</v>
      </c>
      <c r="H1941" s="1" t="s">
        <v>18</v>
      </c>
      <c r="I1941" s="1" t="s">
        <v>139</v>
      </c>
      <c r="J1941" s="1">
        <f>IFERROR(__xludf.DUMMYFUNCTION("""COMPUTED_VALUE"""),154.0)</f>
        <v>154</v>
      </c>
      <c r="K1941" s="1">
        <v>42.0</v>
      </c>
      <c r="L1941" s="1">
        <f>IFERROR(__xludf.DUMMYFUNCTION("""COMPUTED_VALUE"""),292.0)</f>
        <v>292</v>
      </c>
    </row>
    <row r="1942">
      <c r="A1942" s="1">
        <v>3505043.0</v>
      </c>
      <c r="B1942" s="1" t="s">
        <v>4176</v>
      </c>
      <c r="C1942" s="1" t="s">
        <v>3831</v>
      </c>
      <c r="D1942" s="1" t="s">
        <v>3859</v>
      </c>
      <c r="E1942" s="1" t="s">
        <v>4177</v>
      </c>
      <c r="F1942" s="1" t="s">
        <v>16</v>
      </c>
      <c r="G1942" s="1" t="s">
        <v>17</v>
      </c>
      <c r="H1942" s="1" t="s">
        <v>18</v>
      </c>
      <c r="I1942" s="1" t="s">
        <v>19</v>
      </c>
      <c r="J1942" s="1">
        <f>IFERROR(__xludf.DUMMYFUNCTION("""COMPUTED_VALUE"""),101.0)</f>
        <v>101</v>
      </c>
      <c r="K1942" s="1">
        <v>31.0</v>
      </c>
      <c r="L1942" s="1">
        <f>IFERROR(__xludf.DUMMYFUNCTION("""COMPUTED_VALUE"""),104.0)</f>
        <v>104</v>
      </c>
    </row>
    <row r="1943">
      <c r="A1943" s="1">
        <v>3572010.0</v>
      </c>
      <c r="B1943" s="1" t="s">
        <v>4178</v>
      </c>
      <c r="C1943" s="1" t="s">
        <v>3831</v>
      </c>
      <c r="D1943" s="1" t="s">
        <v>4179</v>
      </c>
      <c r="E1943" s="1" t="s">
        <v>4180</v>
      </c>
      <c r="F1943" s="1" t="s">
        <v>16</v>
      </c>
      <c r="G1943" s="1" t="s">
        <v>27</v>
      </c>
      <c r="H1943" s="1" t="s">
        <v>28</v>
      </c>
      <c r="I1943" s="1" t="s">
        <v>29</v>
      </c>
      <c r="J1943" s="1">
        <f>IFERROR(__xludf.DUMMYFUNCTION("""COMPUTED_VALUE"""),206.0)</f>
        <v>206</v>
      </c>
      <c r="K1943" s="1">
        <v>47.0</v>
      </c>
      <c r="L1943" s="1">
        <f>IFERROR(__xludf.DUMMYFUNCTION("""COMPUTED_VALUE"""),720.0)</f>
        <v>720</v>
      </c>
    </row>
    <row r="1944">
      <c r="A1944" s="1">
        <v>3573251.0</v>
      </c>
      <c r="B1944" s="1" t="s">
        <v>4181</v>
      </c>
      <c r="C1944" s="1" t="s">
        <v>3831</v>
      </c>
      <c r="D1944" s="1" t="s">
        <v>3938</v>
      </c>
      <c r="E1944" s="1" t="s">
        <v>4182</v>
      </c>
      <c r="F1944" s="1" t="s">
        <v>55</v>
      </c>
      <c r="G1944" s="1" t="s">
        <v>17</v>
      </c>
      <c r="H1944" s="1" t="s">
        <v>18</v>
      </c>
      <c r="I1944" s="1" t="s">
        <v>19</v>
      </c>
      <c r="J1944" s="1">
        <f>IFERROR(__xludf.DUMMYFUNCTION("""COMPUTED_VALUE"""),25.0)</f>
        <v>25</v>
      </c>
      <c r="K1944" s="1">
        <v>15.0</v>
      </c>
      <c r="L1944" s="1">
        <f>IFERROR(__xludf.DUMMYFUNCTION("""COMPUTED_VALUE"""),65.0)</f>
        <v>65</v>
      </c>
    </row>
    <row r="1945">
      <c r="A1945" s="1">
        <v>3572072.0</v>
      </c>
      <c r="B1945" s="1" t="s">
        <v>4183</v>
      </c>
      <c r="C1945" s="1" t="s">
        <v>3831</v>
      </c>
      <c r="D1945" s="1" t="s">
        <v>4179</v>
      </c>
      <c r="E1945" s="1" t="s">
        <v>4184</v>
      </c>
      <c r="F1945" s="1" t="s">
        <v>55</v>
      </c>
      <c r="G1945" s="1" t="s">
        <v>17</v>
      </c>
      <c r="H1945" s="1" t="s">
        <v>18</v>
      </c>
      <c r="I1945" s="1" t="s">
        <v>19</v>
      </c>
      <c r="J1945" s="1">
        <f>IFERROR(__xludf.DUMMYFUNCTION("""COMPUTED_VALUE"""),29.0)</f>
        <v>29</v>
      </c>
      <c r="K1945" s="1">
        <v>14.0</v>
      </c>
      <c r="L1945" s="1">
        <f>IFERROR(__xludf.DUMMYFUNCTION("""COMPUTED_VALUE"""),48.0)</f>
        <v>48</v>
      </c>
    </row>
    <row r="1946">
      <c r="A1946" s="1">
        <v>3515015.0</v>
      </c>
      <c r="B1946" s="1" t="s">
        <v>4185</v>
      </c>
      <c r="C1946" s="1" t="s">
        <v>3831</v>
      </c>
      <c r="D1946" s="1" t="s">
        <v>3870</v>
      </c>
      <c r="E1946" s="1" t="s">
        <v>4186</v>
      </c>
      <c r="F1946" s="1" t="s">
        <v>16</v>
      </c>
      <c r="G1946" s="1" t="s">
        <v>150</v>
      </c>
      <c r="H1946" s="1" t="s">
        <v>28</v>
      </c>
      <c r="I1946" s="1" t="s">
        <v>40</v>
      </c>
      <c r="J1946" s="1">
        <f>IFERROR(__xludf.DUMMYFUNCTION("""COMPUTED_VALUE"""),700.0)</f>
        <v>700</v>
      </c>
      <c r="K1946" s="1">
        <v>82.0</v>
      </c>
      <c r="L1946" s="1">
        <f>IFERROR(__xludf.DUMMYFUNCTION("""COMPUTED_VALUE"""),1771.0)</f>
        <v>1771</v>
      </c>
    </row>
    <row r="1947">
      <c r="A1947" s="1">
        <v>3578742.0</v>
      </c>
      <c r="B1947" s="1" t="s">
        <v>4187</v>
      </c>
      <c r="C1947" s="1" t="s">
        <v>3831</v>
      </c>
      <c r="D1947" s="1" t="s">
        <v>3847</v>
      </c>
      <c r="E1947" s="1" t="s">
        <v>4188</v>
      </c>
      <c r="F1947" s="1" t="s">
        <v>16</v>
      </c>
      <c r="G1947" s="1" t="s">
        <v>17</v>
      </c>
      <c r="H1947" s="1" t="s">
        <v>18</v>
      </c>
      <c r="I1947" s="1" t="s">
        <v>59</v>
      </c>
      <c r="J1947" s="1">
        <f>IFERROR(__xludf.DUMMYFUNCTION("""COMPUTED_VALUE"""),145.0)</f>
        <v>145</v>
      </c>
      <c r="K1947" s="1">
        <v>57.0</v>
      </c>
      <c r="L1947" s="1">
        <f>IFERROR(__xludf.DUMMYFUNCTION("""COMPUTED_VALUE"""),311.0)</f>
        <v>311</v>
      </c>
    </row>
    <row r="1948">
      <c r="A1948" s="1">
        <v>3519024.0</v>
      </c>
      <c r="B1948" s="1" t="s">
        <v>4189</v>
      </c>
      <c r="C1948" s="1" t="s">
        <v>3831</v>
      </c>
      <c r="D1948" s="1" t="s">
        <v>4190</v>
      </c>
      <c r="E1948" s="1" t="s">
        <v>4191</v>
      </c>
      <c r="F1948" s="1" t="s">
        <v>16</v>
      </c>
      <c r="G1948" s="1" t="s">
        <v>17</v>
      </c>
      <c r="H1948" s="1" t="s">
        <v>28</v>
      </c>
      <c r="I1948" s="1" t="s">
        <v>40</v>
      </c>
      <c r="J1948" s="1">
        <f>IFERROR(__xludf.DUMMYFUNCTION("""COMPUTED_VALUE"""),215.0)</f>
        <v>215</v>
      </c>
      <c r="K1948" s="1">
        <v>29.0</v>
      </c>
      <c r="L1948" s="1">
        <f>IFERROR(__xludf.DUMMYFUNCTION("""COMPUTED_VALUE"""),320.0)</f>
        <v>320</v>
      </c>
    </row>
    <row r="1949">
      <c r="A1949" s="1">
        <v>3515131.0</v>
      </c>
      <c r="B1949" s="1" t="s">
        <v>259</v>
      </c>
      <c r="C1949" s="1" t="s">
        <v>3831</v>
      </c>
      <c r="D1949" s="1" t="s">
        <v>3870</v>
      </c>
      <c r="E1949" s="1" t="s">
        <v>4192</v>
      </c>
      <c r="F1949" s="1" t="s">
        <v>16</v>
      </c>
      <c r="G1949" s="1" t="s">
        <v>17</v>
      </c>
      <c r="H1949" s="1" t="s">
        <v>18</v>
      </c>
      <c r="I1949" s="1" t="s">
        <v>19</v>
      </c>
      <c r="J1949" s="1">
        <f>IFERROR(__xludf.DUMMYFUNCTION("""COMPUTED_VALUE"""),100.0)</f>
        <v>100</v>
      </c>
      <c r="K1949" s="1">
        <v>71.0</v>
      </c>
      <c r="L1949" s="1">
        <f>IFERROR(__xludf.DUMMYFUNCTION("""COMPUTED_VALUE"""),259.0)</f>
        <v>259</v>
      </c>
    </row>
    <row r="1950">
      <c r="A1950" s="1">
        <v>3501019.0</v>
      </c>
      <c r="B1950" s="1" t="s">
        <v>4193</v>
      </c>
      <c r="C1950" s="1" t="s">
        <v>3831</v>
      </c>
      <c r="D1950" s="1" t="s">
        <v>3881</v>
      </c>
      <c r="E1950" s="1" t="s">
        <v>4194</v>
      </c>
      <c r="F1950" s="1" t="s">
        <v>16</v>
      </c>
      <c r="G1950" s="1" t="s">
        <v>23</v>
      </c>
      <c r="H1950" s="1" t="s">
        <v>18</v>
      </c>
      <c r="I1950" s="1" t="s">
        <v>44</v>
      </c>
      <c r="J1950" s="1">
        <f>IFERROR(__xludf.DUMMYFUNCTION("""COMPUTED_VALUE"""),66.0)</f>
        <v>66</v>
      </c>
      <c r="K1950" s="1">
        <v>28.0</v>
      </c>
      <c r="L1950" s="1">
        <f>IFERROR(__xludf.DUMMYFUNCTION("""COMPUTED_VALUE"""),107.0)</f>
        <v>107</v>
      </c>
    </row>
    <row r="1951">
      <c r="A1951" s="1">
        <v>3507241.0</v>
      </c>
      <c r="B1951" s="1" t="s">
        <v>4195</v>
      </c>
      <c r="C1951" s="1" t="s">
        <v>3831</v>
      </c>
      <c r="D1951" s="1" t="s">
        <v>3862</v>
      </c>
      <c r="E1951" s="1" t="s">
        <v>4196</v>
      </c>
      <c r="F1951" s="1" t="s">
        <v>16</v>
      </c>
      <c r="G1951" s="1" t="s">
        <v>23</v>
      </c>
      <c r="H1951" s="1" t="s">
        <v>18</v>
      </c>
      <c r="I1951" s="1" t="s">
        <v>19</v>
      </c>
      <c r="J1951" s="1">
        <f>IFERROR(__xludf.DUMMYFUNCTION("""COMPUTED_VALUE"""),54.0)</f>
        <v>54</v>
      </c>
      <c r="K1951" s="1">
        <v>30.0</v>
      </c>
      <c r="L1951" s="1">
        <f>IFERROR(__xludf.DUMMYFUNCTION("""COMPUTED_VALUE"""),140.0)</f>
        <v>140</v>
      </c>
    </row>
    <row r="1952">
      <c r="A1952" s="1">
        <v>3517087.0</v>
      </c>
      <c r="B1952" s="1" t="s">
        <v>4197</v>
      </c>
      <c r="C1952" s="1" t="s">
        <v>3831</v>
      </c>
      <c r="D1952" s="1" t="s">
        <v>3956</v>
      </c>
      <c r="E1952" s="1" t="s">
        <v>4198</v>
      </c>
      <c r="F1952" s="1" t="s">
        <v>16</v>
      </c>
      <c r="G1952" s="1" t="s">
        <v>23</v>
      </c>
      <c r="H1952" s="1" t="s">
        <v>18</v>
      </c>
      <c r="I1952" s="1" t="s">
        <v>19</v>
      </c>
      <c r="J1952" s="1">
        <f>IFERROR(__xludf.DUMMYFUNCTION("""COMPUTED_VALUE"""),51.0)</f>
        <v>51</v>
      </c>
      <c r="K1952" s="1">
        <v>17.0</v>
      </c>
      <c r="L1952" s="1">
        <f>IFERROR(__xludf.DUMMYFUNCTION("""COMPUTED_VALUE"""),98.0)</f>
        <v>98</v>
      </c>
    </row>
    <row r="1953">
      <c r="A1953" s="1">
        <v>3578322.0</v>
      </c>
      <c r="B1953" s="1" t="s">
        <v>4199</v>
      </c>
      <c r="C1953" s="1" t="s">
        <v>3831</v>
      </c>
      <c r="D1953" s="1" t="s">
        <v>3847</v>
      </c>
      <c r="E1953" s="1" t="s">
        <v>4200</v>
      </c>
      <c r="F1953" s="1" t="s">
        <v>16</v>
      </c>
      <c r="G1953" s="1" t="s">
        <v>17</v>
      </c>
      <c r="H1953" s="1" t="s">
        <v>28</v>
      </c>
      <c r="I1953" s="1" t="s">
        <v>139</v>
      </c>
      <c r="J1953" s="1">
        <f>IFERROR(__xludf.DUMMYFUNCTION("""COMPUTED_VALUE"""),108.0)</f>
        <v>108</v>
      </c>
      <c r="K1953" s="1">
        <v>34.0</v>
      </c>
      <c r="L1953" s="1">
        <f>IFERROR(__xludf.DUMMYFUNCTION("""COMPUTED_VALUE"""),208.0)</f>
        <v>208</v>
      </c>
    </row>
    <row r="1954">
      <c r="A1954" s="1">
        <v>3515136.0</v>
      </c>
      <c r="B1954" s="1" t="s">
        <v>4201</v>
      </c>
      <c r="C1954" s="1" t="s">
        <v>3831</v>
      </c>
      <c r="D1954" s="1" t="s">
        <v>3870</v>
      </c>
      <c r="E1954" s="1" t="s">
        <v>4202</v>
      </c>
      <c r="F1954" s="1" t="s">
        <v>272</v>
      </c>
      <c r="G1954" s="1" t="s">
        <v>17</v>
      </c>
      <c r="H1954" s="1" t="s">
        <v>18</v>
      </c>
      <c r="I1954" s="1" t="s">
        <v>19</v>
      </c>
      <c r="J1954" s="1">
        <f>IFERROR(__xludf.DUMMYFUNCTION("""COMPUTED_VALUE"""),15.0)</f>
        <v>15</v>
      </c>
      <c r="K1954" s="1">
        <v>23.0</v>
      </c>
      <c r="L1954" s="1">
        <f>IFERROR(__xludf.DUMMYFUNCTION("""COMPUTED_VALUE"""),96.0)</f>
        <v>96</v>
      </c>
    </row>
    <row r="1955">
      <c r="A1955" s="1">
        <v>3579005.0</v>
      </c>
      <c r="B1955" s="1" t="s">
        <v>4203</v>
      </c>
      <c r="C1955" s="1" t="s">
        <v>3831</v>
      </c>
      <c r="D1955" s="1" t="s">
        <v>3922</v>
      </c>
      <c r="E1955" s="1" t="s">
        <v>4204</v>
      </c>
      <c r="F1955" s="1" t="s">
        <v>55</v>
      </c>
      <c r="G1955" s="1" t="s">
        <v>17</v>
      </c>
      <c r="H1955" s="1" t="s">
        <v>18</v>
      </c>
      <c r="I1955" s="1" t="s">
        <v>19</v>
      </c>
      <c r="J1955" s="1">
        <f>IFERROR(__xludf.DUMMYFUNCTION("""COMPUTED_VALUE"""),36.0)</f>
        <v>36</v>
      </c>
      <c r="K1955" s="1">
        <v>17.0</v>
      </c>
      <c r="L1955" s="1">
        <f>IFERROR(__xludf.DUMMYFUNCTION("""COMPUTED_VALUE"""),90.0)</f>
        <v>90</v>
      </c>
    </row>
    <row r="1956">
      <c r="A1956" s="1">
        <v>3574080.0</v>
      </c>
      <c r="B1956" s="1" t="s">
        <v>4205</v>
      </c>
      <c r="C1956" s="1" t="s">
        <v>3831</v>
      </c>
      <c r="D1956" s="1" t="s">
        <v>4046</v>
      </c>
      <c r="E1956" s="1" t="s">
        <v>4206</v>
      </c>
      <c r="F1956" s="1" t="s">
        <v>16</v>
      </c>
      <c r="G1956" s="1" t="s">
        <v>17</v>
      </c>
      <c r="H1956" s="1" t="s">
        <v>18</v>
      </c>
      <c r="I1956" s="1" t="s">
        <v>40</v>
      </c>
      <c r="J1956" s="1">
        <f>IFERROR(__xludf.DUMMYFUNCTION("""COMPUTED_VALUE"""),106.0)</f>
        <v>106</v>
      </c>
      <c r="K1956" s="1">
        <v>35.0</v>
      </c>
      <c r="L1956" s="1">
        <f>IFERROR(__xludf.DUMMYFUNCTION("""COMPUTED_VALUE"""),182.0)</f>
        <v>182</v>
      </c>
    </row>
    <row r="1957">
      <c r="A1957" s="1">
        <v>3519023.0</v>
      </c>
      <c r="B1957" s="1" t="s">
        <v>4207</v>
      </c>
      <c r="C1957" s="1" t="s">
        <v>3831</v>
      </c>
      <c r="D1957" s="1" t="s">
        <v>4190</v>
      </c>
      <c r="E1957" s="1" t="s">
        <v>4208</v>
      </c>
      <c r="F1957" s="1" t="s">
        <v>16</v>
      </c>
      <c r="G1957" s="1" t="s">
        <v>17</v>
      </c>
      <c r="H1957" s="1" t="s">
        <v>28</v>
      </c>
      <c r="I1957" s="1" t="s">
        <v>40</v>
      </c>
      <c r="J1957" s="1">
        <f>IFERROR(__xludf.DUMMYFUNCTION("""COMPUTED_VALUE"""),219.0)</f>
        <v>219</v>
      </c>
      <c r="K1957" s="1">
        <v>45.0</v>
      </c>
      <c r="L1957" s="1">
        <f>IFERROR(__xludf.DUMMYFUNCTION("""COMPUTED_VALUE"""),621.0)</f>
        <v>621</v>
      </c>
    </row>
    <row r="1958">
      <c r="A1958" s="1">
        <v>3507100.0</v>
      </c>
      <c r="B1958" s="1" t="s">
        <v>4209</v>
      </c>
      <c r="C1958" s="1" t="s">
        <v>3831</v>
      </c>
      <c r="D1958" s="1" t="s">
        <v>3862</v>
      </c>
      <c r="E1958" s="1" t="s">
        <v>4210</v>
      </c>
      <c r="F1958" s="1" t="s">
        <v>16</v>
      </c>
      <c r="G1958" s="1" t="s">
        <v>23</v>
      </c>
      <c r="H1958" s="1" t="s">
        <v>18</v>
      </c>
      <c r="I1958" s="1" t="s">
        <v>19</v>
      </c>
      <c r="J1958" s="1">
        <f>IFERROR(__xludf.DUMMYFUNCTION("""COMPUTED_VALUE"""),50.0)</f>
        <v>50</v>
      </c>
      <c r="K1958" s="1">
        <v>28.0</v>
      </c>
      <c r="L1958" s="1">
        <f>IFERROR(__xludf.DUMMYFUNCTION("""COMPUTED_VALUE"""),99.0)</f>
        <v>99</v>
      </c>
    </row>
    <row r="1959">
      <c r="A1959" s="1">
        <v>3525043.0</v>
      </c>
      <c r="B1959" s="1" t="s">
        <v>4211</v>
      </c>
      <c r="C1959" s="1" t="s">
        <v>3831</v>
      </c>
      <c r="D1959" s="1" t="s">
        <v>3865</v>
      </c>
      <c r="E1959" s="1" t="s">
        <v>4212</v>
      </c>
      <c r="F1959" s="1" t="s">
        <v>16</v>
      </c>
      <c r="G1959" s="1" t="s">
        <v>17</v>
      </c>
      <c r="H1959" s="1" t="s">
        <v>18</v>
      </c>
      <c r="I1959" s="1" t="s">
        <v>19</v>
      </c>
      <c r="J1959" s="1">
        <f>IFERROR(__xludf.DUMMYFUNCTION("""COMPUTED_VALUE"""),113.0)</f>
        <v>113</v>
      </c>
      <c r="K1959" s="1">
        <v>37.0</v>
      </c>
      <c r="L1959" s="1">
        <f>IFERROR(__xludf.DUMMYFUNCTION("""COMPUTED_VALUE"""),66.0)</f>
        <v>66</v>
      </c>
    </row>
    <row r="1960">
      <c r="A1960" s="1">
        <v>3512036.0</v>
      </c>
      <c r="B1960" s="1" t="s">
        <v>4213</v>
      </c>
      <c r="C1960" s="1" t="s">
        <v>3831</v>
      </c>
      <c r="D1960" s="1" t="s">
        <v>3967</v>
      </c>
      <c r="E1960" s="1" t="s">
        <v>4214</v>
      </c>
      <c r="F1960" s="1" t="s">
        <v>16</v>
      </c>
      <c r="G1960" s="1" t="s">
        <v>23</v>
      </c>
      <c r="H1960" s="1" t="s">
        <v>28</v>
      </c>
      <c r="I1960" s="1" t="s">
        <v>40</v>
      </c>
      <c r="J1960" s="1">
        <f>IFERROR(__xludf.DUMMYFUNCTION("""COMPUTED_VALUE"""),107.0)</f>
        <v>107</v>
      </c>
      <c r="K1960" s="1">
        <v>34.0</v>
      </c>
      <c r="L1960" s="1">
        <f>IFERROR(__xludf.DUMMYFUNCTION("""COMPUTED_VALUE"""),116.0)</f>
        <v>116</v>
      </c>
    </row>
    <row r="1961">
      <c r="A1961" s="1">
        <v>3528028.0</v>
      </c>
      <c r="B1961" s="1" t="s">
        <v>4215</v>
      </c>
      <c r="C1961" s="1" t="s">
        <v>3831</v>
      </c>
      <c r="D1961" s="1" t="s">
        <v>3841</v>
      </c>
      <c r="E1961" s="1" t="s">
        <v>4216</v>
      </c>
      <c r="F1961" s="1" t="s">
        <v>16</v>
      </c>
      <c r="G1961" s="1" t="s">
        <v>23</v>
      </c>
      <c r="H1961" s="1" t="s">
        <v>28</v>
      </c>
      <c r="I1961" s="1" t="s">
        <v>40</v>
      </c>
      <c r="J1961" s="1">
        <f>IFERROR(__xludf.DUMMYFUNCTION("""COMPUTED_VALUE"""),63.0)</f>
        <v>63</v>
      </c>
      <c r="K1961" s="1">
        <v>26.0</v>
      </c>
      <c r="L1961" s="1">
        <f>IFERROR(__xludf.DUMMYFUNCTION("""COMPUTED_VALUE"""),142.0)</f>
        <v>142</v>
      </c>
    </row>
    <row r="1962">
      <c r="A1962" s="1">
        <v>3571016.0</v>
      </c>
      <c r="B1962" s="1" t="s">
        <v>4217</v>
      </c>
      <c r="C1962" s="1" t="s">
        <v>3831</v>
      </c>
      <c r="D1962" s="1" t="s">
        <v>3930</v>
      </c>
      <c r="E1962" s="1" t="s">
        <v>4218</v>
      </c>
      <c r="F1962" s="1" t="s">
        <v>16</v>
      </c>
      <c r="G1962" s="1" t="s">
        <v>27</v>
      </c>
      <c r="H1962" s="1" t="s">
        <v>28</v>
      </c>
      <c r="I1962" s="1" t="s">
        <v>29</v>
      </c>
      <c r="J1962" s="1">
        <f>IFERROR(__xludf.DUMMYFUNCTION("""COMPUTED_VALUE"""),314.0)</f>
        <v>314</v>
      </c>
      <c r="K1962" s="1">
        <v>81.0</v>
      </c>
      <c r="L1962" s="1">
        <f>IFERROR(__xludf.DUMMYFUNCTION("""COMPUTED_VALUE"""),1415.0)</f>
        <v>1415</v>
      </c>
    </row>
    <row r="1963">
      <c r="A1963" s="1">
        <v>3578772.0</v>
      </c>
      <c r="B1963" s="1" t="s">
        <v>4219</v>
      </c>
      <c r="C1963" s="1" t="s">
        <v>3831</v>
      </c>
      <c r="D1963" s="1" t="s">
        <v>3847</v>
      </c>
      <c r="E1963" s="1" t="s">
        <v>4220</v>
      </c>
      <c r="F1963" s="1" t="s">
        <v>16</v>
      </c>
      <c r="G1963" s="1" t="s">
        <v>17</v>
      </c>
      <c r="H1963" s="1" t="s">
        <v>18</v>
      </c>
      <c r="I1963" s="1" t="s">
        <v>44</v>
      </c>
      <c r="J1963" s="1">
        <f>IFERROR(__xludf.DUMMYFUNCTION("""COMPUTED_VALUE"""),103.0)</f>
        <v>103</v>
      </c>
      <c r="K1963" s="1">
        <v>48.0</v>
      </c>
      <c r="L1963" s="1">
        <f>IFERROR(__xludf.DUMMYFUNCTION("""COMPUTED_VALUE"""),323.0)</f>
        <v>323</v>
      </c>
    </row>
    <row r="1964">
      <c r="A1964" s="1">
        <v>3511011.0</v>
      </c>
      <c r="B1964" s="1" t="s">
        <v>4221</v>
      </c>
      <c r="C1964" s="1" t="s">
        <v>3831</v>
      </c>
      <c r="D1964" s="1" t="s">
        <v>4130</v>
      </c>
      <c r="E1964" s="1" t="s">
        <v>4222</v>
      </c>
      <c r="F1964" s="1" t="s">
        <v>16</v>
      </c>
      <c r="G1964" s="1" t="s">
        <v>27</v>
      </c>
      <c r="H1964" s="1" t="s">
        <v>28</v>
      </c>
      <c r="I1964" s="1" t="s">
        <v>40</v>
      </c>
      <c r="J1964" s="1">
        <f>IFERROR(__xludf.DUMMYFUNCTION("""COMPUTED_VALUE"""),323.0)</f>
        <v>323</v>
      </c>
      <c r="K1964" s="1">
        <v>123.0</v>
      </c>
      <c r="L1964" s="1">
        <f>IFERROR(__xludf.DUMMYFUNCTION("""COMPUTED_VALUE"""),703.0)</f>
        <v>703</v>
      </c>
    </row>
    <row r="1965">
      <c r="A1965" s="1">
        <v>3578571.0</v>
      </c>
      <c r="B1965" s="1" t="s">
        <v>4223</v>
      </c>
      <c r="C1965" s="1" t="s">
        <v>3831</v>
      </c>
      <c r="D1965" s="1" t="s">
        <v>3847</v>
      </c>
      <c r="E1965" s="1" t="s">
        <v>4224</v>
      </c>
      <c r="F1965" s="1" t="s">
        <v>16</v>
      </c>
      <c r="G1965" s="1" t="s">
        <v>27</v>
      </c>
      <c r="H1965" s="1" t="s">
        <v>28</v>
      </c>
      <c r="I1965" s="1" t="s">
        <v>29</v>
      </c>
      <c r="J1965" s="1">
        <f>IFERROR(__xludf.DUMMYFUNCTION("""COMPUTED_VALUE"""),396.0)</f>
        <v>396</v>
      </c>
      <c r="K1965" s="1">
        <v>49.0</v>
      </c>
      <c r="L1965" s="1">
        <f>IFERROR(__xludf.DUMMYFUNCTION("""COMPUTED_VALUE"""),1247.0)</f>
        <v>1247</v>
      </c>
    </row>
    <row r="1966">
      <c r="A1966" s="1">
        <v>3513027.0</v>
      </c>
      <c r="B1966" s="1" t="s">
        <v>4225</v>
      </c>
      <c r="C1966" s="1" t="s">
        <v>3831</v>
      </c>
      <c r="D1966" s="1" t="s">
        <v>3853</v>
      </c>
      <c r="E1966" s="1" t="s">
        <v>4226</v>
      </c>
      <c r="F1966" s="1" t="s">
        <v>16</v>
      </c>
      <c r="G1966" s="1" t="s">
        <v>17</v>
      </c>
      <c r="H1966" s="1" t="s">
        <v>18</v>
      </c>
      <c r="I1966" s="1" t="s">
        <v>44</v>
      </c>
      <c r="J1966" s="1">
        <f>IFERROR(__xludf.DUMMYFUNCTION("""COMPUTED_VALUE"""),141.0)</f>
        <v>141</v>
      </c>
      <c r="K1966" s="1">
        <v>26.0</v>
      </c>
      <c r="L1966" s="1">
        <f>IFERROR(__xludf.DUMMYFUNCTION("""COMPUTED_VALUE"""),204.0)</f>
        <v>204</v>
      </c>
    </row>
    <row r="1967">
      <c r="A1967" s="1">
        <v>3507259.0</v>
      </c>
      <c r="B1967" s="1" t="s">
        <v>4227</v>
      </c>
      <c r="C1967" s="1" t="s">
        <v>3831</v>
      </c>
      <c r="D1967" s="1" t="s">
        <v>3862</v>
      </c>
      <c r="E1967" s="1" t="s">
        <v>4228</v>
      </c>
      <c r="F1967" s="1" t="s">
        <v>16</v>
      </c>
      <c r="G1967" s="1" t="s">
        <v>23</v>
      </c>
      <c r="H1967" s="1" t="s">
        <v>18</v>
      </c>
      <c r="I1967" s="1" t="s">
        <v>19</v>
      </c>
      <c r="J1967" s="1">
        <f>IFERROR(__xludf.DUMMYFUNCTION("""COMPUTED_VALUE"""),50.0)</f>
        <v>50</v>
      </c>
      <c r="K1967" s="1">
        <v>28.0</v>
      </c>
      <c r="L1967" s="1">
        <f>IFERROR(__xludf.DUMMYFUNCTION("""COMPUTED_VALUE"""),182.0)</f>
        <v>182</v>
      </c>
    </row>
    <row r="1968">
      <c r="A1968" s="1">
        <v>3508071.0</v>
      </c>
      <c r="B1968" s="1" t="s">
        <v>4229</v>
      </c>
      <c r="C1968" s="1" t="s">
        <v>3831</v>
      </c>
      <c r="D1968" s="1" t="s">
        <v>4135</v>
      </c>
      <c r="E1968" s="1" t="s">
        <v>4230</v>
      </c>
      <c r="F1968" s="1" t="s">
        <v>16</v>
      </c>
      <c r="G1968" s="1" t="s">
        <v>23</v>
      </c>
      <c r="H1968" s="1" t="s">
        <v>18</v>
      </c>
      <c r="I1968" s="1" t="s">
        <v>684</v>
      </c>
      <c r="J1968" s="1">
        <f>IFERROR(__xludf.DUMMYFUNCTION("""COMPUTED_VALUE"""),51.0)</f>
        <v>51</v>
      </c>
      <c r="K1968" s="1">
        <v>24.0</v>
      </c>
      <c r="L1968" s="1">
        <f>IFERROR(__xludf.DUMMYFUNCTION("""COMPUTED_VALUE"""),182.0)</f>
        <v>182</v>
      </c>
    </row>
    <row r="1969">
      <c r="A1969" s="1">
        <v>3507070.0</v>
      </c>
      <c r="B1969" s="1" t="s">
        <v>4231</v>
      </c>
      <c r="C1969" s="1" t="s">
        <v>3831</v>
      </c>
      <c r="D1969" s="1" t="s">
        <v>3862</v>
      </c>
      <c r="E1969" s="1" t="s">
        <v>4232</v>
      </c>
      <c r="F1969" s="1" t="s">
        <v>16</v>
      </c>
      <c r="G1969" s="1" t="s">
        <v>23</v>
      </c>
      <c r="H1969" s="1" t="s">
        <v>18</v>
      </c>
      <c r="I1969" s="1" t="s">
        <v>258</v>
      </c>
      <c r="J1969" s="1">
        <f>IFERROR(__xludf.DUMMYFUNCTION("""COMPUTED_VALUE"""),70.0)</f>
        <v>70</v>
      </c>
      <c r="K1969" s="1">
        <v>42.0</v>
      </c>
      <c r="L1969" s="1">
        <f>IFERROR(__xludf.DUMMYFUNCTION("""COMPUTED_VALUE"""),297.0)</f>
        <v>297</v>
      </c>
    </row>
    <row r="1970">
      <c r="A1970" s="1">
        <v>3515142.0</v>
      </c>
      <c r="B1970" s="1" t="s">
        <v>4233</v>
      </c>
      <c r="C1970" s="1" t="s">
        <v>3831</v>
      </c>
      <c r="D1970" s="1" t="s">
        <v>3870</v>
      </c>
      <c r="E1970" s="1" t="s">
        <v>4234</v>
      </c>
      <c r="F1970" s="1" t="s">
        <v>16</v>
      </c>
      <c r="G1970" s="1" t="s">
        <v>23</v>
      </c>
      <c r="H1970" s="1" t="s">
        <v>18</v>
      </c>
      <c r="I1970" s="1" t="s">
        <v>19</v>
      </c>
      <c r="J1970" s="1">
        <f>IFERROR(__xludf.DUMMYFUNCTION("""COMPUTED_VALUE"""),123.0)</f>
        <v>123</v>
      </c>
      <c r="K1970" s="1">
        <v>29.0</v>
      </c>
      <c r="L1970" s="1">
        <f>IFERROR(__xludf.DUMMYFUNCTION("""COMPUTED_VALUE"""),55.0)</f>
        <v>55</v>
      </c>
    </row>
    <row r="1971">
      <c r="A1971" s="1">
        <v>3517010.0</v>
      </c>
      <c r="B1971" s="1" t="s">
        <v>4235</v>
      </c>
      <c r="C1971" s="1" t="s">
        <v>3831</v>
      </c>
      <c r="D1971" s="1" t="s">
        <v>3956</v>
      </c>
      <c r="E1971" s="1" t="s">
        <v>4236</v>
      </c>
      <c r="F1971" s="1" t="s">
        <v>16</v>
      </c>
      <c r="G1971" s="1" t="s">
        <v>27</v>
      </c>
      <c r="H1971" s="1" t="s">
        <v>28</v>
      </c>
      <c r="I1971" s="1" t="s">
        <v>40</v>
      </c>
      <c r="J1971" s="1">
        <f>IFERROR(__xludf.DUMMYFUNCTION("""COMPUTED_VALUE"""),501.0)</f>
        <v>501</v>
      </c>
      <c r="K1971" s="1">
        <v>75.0</v>
      </c>
      <c r="L1971" s="1">
        <f>IFERROR(__xludf.DUMMYFUNCTION("""COMPUTED_VALUE"""),1621.0)</f>
        <v>1621</v>
      </c>
    </row>
    <row r="1972">
      <c r="A1972" s="1">
        <v>3503045.0</v>
      </c>
      <c r="B1972" s="1" t="s">
        <v>4237</v>
      </c>
      <c r="C1972" s="1" t="s">
        <v>3831</v>
      </c>
      <c r="D1972" s="1" t="s">
        <v>4238</v>
      </c>
      <c r="E1972" s="1" t="s">
        <v>4239</v>
      </c>
      <c r="F1972" s="1" t="s">
        <v>55</v>
      </c>
      <c r="G1972" s="1" t="s">
        <v>17</v>
      </c>
      <c r="H1972" s="1" t="s">
        <v>18</v>
      </c>
      <c r="I1972" s="1" t="s">
        <v>59</v>
      </c>
      <c r="J1972" s="1">
        <f>IFERROR(__xludf.DUMMYFUNCTION("""COMPUTED_VALUE"""),35.0)</f>
        <v>35</v>
      </c>
      <c r="K1972" s="1">
        <v>21.0</v>
      </c>
      <c r="L1972" s="1">
        <f>IFERROR(__xludf.DUMMYFUNCTION("""COMPUTED_VALUE"""),65.0)</f>
        <v>65</v>
      </c>
    </row>
    <row r="1973">
      <c r="A1973" s="1">
        <v>3503011.0</v>
      </c>
      <c r="B1973" s="1" t="s">
        <v>4240</v>
      </c>
      <c r="C1973" s="1" t="s">
        <v>3831</v>
      </c>
      <c r="D1973" s="1" t="s">
        <v>4238</v>
      </c>
      <c r="E1973" s="1" t="s">
        <v>4241</v>
      </c>
      <c r="F1973" s="1" t="s">
        <v>16</v>
      </c>
      <c r="G1973" s="1" t="s">
        <v>17</v>
      </c>
      <c r="H1973" s="1" t="s">
        <v>28</v>
      </c>
      <c r="I1973" s="1" t="s">
        <v>40</v>
      </c>
      <c r="J1973" s="1">
        <f>IFERROR(__xludf.DUMMYFUNCTION("""COMPUTED_VALUE"""),306.0)</f>
        <v>306</v>
      </c>
      <c r="K1973" s="1">
        <v>38.0</v>
      </c>
      <c r="L1973" s="1">
        <f>IFERROR(__xludf.DUMMYFUNCTION("""COMPUTED_VALUE"""),903.0)</f>
        <v>903</v>
      </c>
    </row>
    <row r="1974">
      <c r="A1974" s="1">
        <v>3516062.0</v>
      </c>
      <c r="B1974" s="1" t="s">
        <v>4242</v>
      </c>
      <c r="C1974" s="1" t="s">
        <v>3831</v>
      </c>
      <c r="D1974" s="1" t="s">
        <v>3909</v>
      </c>
      <c r="E1974" s="1" t="s">
        <v>4243</v>
      </c>
      <c r="F1974" s="1" t="s">
        <v>16</v>
      </c>
      <c r="G1974" s="1" t="s">
        <v>17</v>
      </c>
      <c r="H1974" s="1" t="s">
        <v>18</v>
      </c>
      <c r="I1974" s="1" t="s">
        <v>19</v>
      </c>
      <c r="J1974" s="1">
        <f>IFERROR(__xludf.DUMMYFUNCTION("""COMPUTED_VALUE"""),232.0)</f>
        <v>232</v>
      </c>
      <c r="K1974" s="1">
        <v>148.0</v>
      </c>
      <c r="L1974" s="1">
        <f>IFERROR(__xludf.DUMMYFUNCTION("""COMPUTED_VALUE"""),447.0)</f>
        <v>447</v>
      </c>
    </row>
    <row r="1975">
      <c r="A1975" s="1">
        <v>3573097.0</v>
      </c>
      <c r="B1975" s="1" t="s">
        <v>4244</v>
      </c>
      <c r="C1975" s="1" t="s">
        <v>3831</v>
      </c>
      <c r="D1975" s="1" t="s">
        <v>3938</v>
      </c>
      <c r="E1975" s="1" t="s">
        <v>4245</v>
      </c>
      <c r="F1975" s="1" t="s">
        <v>55</v>
      </c>
      <c r="G1975" s="1" t="s">
        <v>17</v>
      </c>
      <c r="H1975" s="1" t="s">
        <v>18</v>
      </c>
      <c r="I1975" s="1" t="s">
        <v>19</v>
      </c>
      <c r="J1975" s="1">
        <f>IFERROR(__xludf.DUMMYFUNCTION("""COMPUTED_VALUE"""),30.0)</f>
        <v>30</v>
      </c>
      <c r="K1975" s="1">
        <v>19.0</v>
      </c>
      <c r="L1975" s="1">
        <f>IFERROR(__xludf.DUMMYFUNCTION("""COMPUTED_VALUE"""),116.0)</f>
        <v>116</v>
      </c>
    </row>
    <row r="1976">
      <c r="A1976" s="1">
        <v>3501017.0</v>
      </c>
      <c r="B1976" s="1" t="s">
        <v>4246</v>
      </c>
      <c r="C1976" s="1" t="s">
        <v>3831</v>
      </c>
      <c r="D1976" s="1" t="s">
        <v>3881</v>
      </c>
      <c r="E1976" s="1" t="s">
        <v>4247</v>
      </c>
      <c r="F1976" s="1" t="s">
        <v>16</v>
      </c>
      <c r="G1976" s="1" t="s">
        <v>23</v>
      </c>
      <c r="H1976" s="1" t="s">
        <v>18</v>
      </c>
      <c r="I1976" s="1" t="s">
        <v>19</v>
      </c>
      <c r="J1976" s="1">
        <f>IFERROR(__xludf.DUMMYFUNCTION("""COMPUTED_VALUE"""),51.0)</f>
        <v>51</v>
      </c>
      <c r="K1976" s="1">
        <v>56.0</v>
      </c>
      <c r="L1976" s="1">
        <f>IFERROR(__xludf.DUMMYFUNCTION("""COMPUTED_VALUE"""),51.0)</f>
        <v>51</v>
      </c>
    </row>
    <row r="1977">
      <c r="A1977" s="1">
        <v>3509138.0</v>
      </c>
      <c r="B1977" s="1" t="s">
        <v>4248</v>
      </c>
      <c r="C1977" s="1" t="s">
        <v>3831</v>
      </c>
      <c r="D1977" s="1" t="s">
        <v>3890</v>
      </c>
      <c r="E1977" s="1" t="s">
        <v>4249</v>
      </c>
      <c r="F1977" s="1" t="s">
        <v>16</v>
      </c>
      <c r="G1977" s="1" t="s">
        <v>17</v>
      </c>
      <c r="H1977" s="1" t="s">
        <v>18</v>
      </c>
      <c r="I1977" s="1" t="s">
        <v>44</v>
      </c>
      <c r="J1977" s="1">
        <f>IFERROR(__xludf.DUMMYFUNCTION("""COMPUTED_VALUE"""),140.0)</f>
        <v>140</v>
      </c>
      <c r="K1977" s="1">
        <v>81.0</v>
      </c>
      <c r="L1977" s="1">
        <f>IFERROR(__xludf.DUMMYFUNCTION("""COMPUTED_VALUE"""),358.0)</f>
        <v>358</v>
      </c>
    </row>
    <row r="1978">
      <c r="A1978" s="1">
        <v>3523041.0</v>
      </c>
      <c r="B1978" s="1" t="s">
        <v>4250</v>
      </c>
      <c r="C1978" s="1" t="s">
        <v>3831</v>
      </c>
      <c r="D1978" s="1" t="s">
        <v>3982</v>
      </c>
      <c r="E1978" s="1" t="s">
        <v>4251</v>
      </c>
      <c r="F1978" s="1" t="s">
        <v>16</v>
      </c>
      <c r="G1978" s="1" t="s">
        <v>17</v>
      </c>
      <c r="H1978" s="1" t="s">
        <v>18</v>
      </c>
      <c r="I1978" s="1" t="s">
        <v>59</v>
      </c>
      <c r="J1978" s="1">
        <f>IFERROR(__xludf.DUMMYFUNCTION("""COMPUTED_VALUE"""),147.0)</f>
        <v>147</v>
      </c>
      <c r="K1978" s="1">
        <v>78.0</v>
      </c>
      <c r="L1978" s="1">
        <f>IFERROR(__xludf.DUMMYFUNCTION("""COMPUTED_VALUE"""),359.0)</f>
        <v>359</v>
      </c>
    </row>
    <row r="1979">
      <c r="A1979" s="1">
        <v>3572065.0</v>
      </c>
      <c r="B1979" s="1" t="s">
        <v>4252</v>
      </c>
      <c r="C1979" s="1" t="s">
        <v>3831</v>
      </c>
      <c r="D1979" s="1" t="s">
        <v>4179</v>
      </c>
      <c r="E1979" s="1" t="s">
        <v>4253</v>
      </c>
      <c r="F1979" s="1" t="s">
        <v>16</v>
      </c>
      <c r="G1979" s="1" t="s">
        <v>17</v>
      </c>
      <c r="H1979" s="1" t="s">
        <v>18</v>
      </c>
      <c r="I1979" s="1" t="s">
        <v>684</v>
      </c>
      <c r="J1979" s="1">
        <f>IFERROR(__xludf.DUMMYFUNCTION("""COMPUTED_VALUE"""),147.0)</f>
        <v>147</v>
      </c>
      <c r="K1979" s="1">
        <v>24.0</v>
      </c>
      <c r="L1979" s="1">
        <f>IFERROR(__xludf.DUMMYFUNCTION("""COMPUTED_VALUE"""),295.0)</f>
        <v>295</v>
      </c>
    </row>
    <row r="1980">
      <c r="A1980" s="1">
        <v>3522059.0</v>
      </c>
      <c r="B1980" s="1" t="s">
        <v>4254</v>
      </c>
      <c r="C1980" s="1" t="s">
        <v>3831</v>
      </c>
      <c r="D1980" s="1" t="s">
        <v>3897</v>
      </c>
      <c r="E1980" s="1" t="s">
        <v>4255</v>
      </c>
      <c r="F1980" s="1" t="s">
        <v>16</v>
      </c>
      <c r="G1980" s="1" t="s">
        <v>17</v>
      </c>
      <c r="H1980" s="1" t="s">
        <v>33</v>
      </c>
      <c r="I1980" s="1" t="s">
        <v>65</v>
      </c>
      <c r="J1980" s="1">
        <f>IFERROR(__xludf.DUMMYFUNCTION("""COMPUTED_VALUE"""),100.0)</f>
        <v>100</v>
      </c>
      <c r="K1980" s="1">
        <v>29.0</v>
      </c>
      <c r="L1980" s="1">
        <f>IFERROR(__xludf.DUMMYFUNCTION("""COMPUTED_VALUE"""),203.0)</f>
        <v>203</v>
      </c>
    </row>
    <row r="1981">
      <c r="A1981" s="1">
        <v>3508016.0</v>
      </c>
      <c r="B1981" s="1" t="s">
        <v>4256</v>
      </c>
      <c r="C1981" s="1" t="s">
        <v>3831</v>
      </c>
      <c r="D1981" s="1" t="s">
        <v>4135</v>
      </c>
      <c r="E1981" s="1" t="s">
        <v>4257</v>
      </c>
      <c r="F1981" s="1" t="s">
        <v>16</v>
      </c>
      <c r="G1981" s="1" t="s">
        <v>27</v>
      </c>
      <c r="H1981" s="1" t="s">
        <v>28</v>
      </c>
      <c r="I1981" s="1" t="s">
        <v>40</v>
      </c>
      <c r="J1981" s="1">
        <f>IFERROR(__xludf.DUMMYFUNCTION("""COMPUTED_VALUE"""),356.0)</f>
        <v>356</v>
      </c>
      <c r="K1981" s="1">
        <v>94.0</v>
      </c>
      <c r="L1981" s="1">
        <f>IFERROR(__xludf.DUMMYFUNCTION("""COMPUTED_VALUE"""),825.0)</f>
        <v>825</v>
      </c>
    </row>
    <row r="1982">
      <c r="A1982" s="1">
        <v>3578064.0</v>
      </c>
      <c r="B1982" s="1" t="s">
        <v>4258</v>
      </c>
      <c r="C1982" s="1" t="s">
        <v>3831</v>
      </c>
      <c r="D1982" s="1" t="s">
        <v>3847</v>
      </c>
      <c r="E1982" s="1" t="s">
        <v>4259</v>
      </c>
      <c r="F1982" s="1" t="s">
        <v>16</v>
      </c>
      <c r="G1982" s="1" t="s">
        <v>27</v>
      </c>
      <c r="H1982" s="1" t="s">
        <v>18</v>
      </c>
      <c r="I1982" s="1" t="s">
        <v>19</v>
      </c>
      <c r="J1982" s="1">
        <f>IFERROR(__xludf.DUMMYFUNCTION("""COMPUTED_VALUE"""),196.0)</f>
        <v>196</v>
      </c>
      <c r="K1982" s="1">
        <v>95.0</v>
      </c>
      <c r="L1982" s="1">
        <f>IFERROR(__xludf.DUMMYFUNCTION("""COMPUTED_VALUE"""),818.0)</f>
        <v>818</v>
      </c>
    </row>
    <row r="1983">
      <c r="A1983" s="1">
        <v>3573252.0</v>
      </c>
      <c r="B1983" s="1" t="s">
        <v>760</v>
      </c>
      <c r="C1983" s="1" t="s">
        <v>3831</v>
      </c>
      <c r="D1983" s="1" t="s">
        <v>3938</v>
      </c>
      <c r="E1983" s="1" t="s">
        <v>4260</v>
      </c>
      <c r="F1983" s="1" t="s">
        <v>55</v>
      </c>
      <c r="G1983" s="1" t="s">
        <v>17</v>
      </c>
      <c r="H1983" s="1" t="s">
        <v>18</v>
      </c>
      <c r="I1983" s="1" t="s">
        <v>19</v>
      </c>
      <c r="J1983" s="1">
        <f>IFERROR(__xludf.DUMMYFUNCTION("""COMPUTED_VALUE"""),27.0)</f>
        <v>27</v>
      </c>
      <c r="K1983" s="1">
        <v>23.0</v>
      </c>
      <c r="L1983" s="1">
        <f>IFERROR(__xludf.DUMMYFUNCTION("""COMPUTED_VALUE"""),139.0)</f>
        <v>139</v>
      </c>
    </row>
    <row r="1984">
      <c r="A1984" s="1">
        <v>3573261.0</v>
      </c>
      <c r="B1984" s="1" t="s">
        <v>4261</v>
      </c>
      <c r="C1984" s="1" t="s">
        <v>3831</v>
      </c>
      <c r="D1984" s="1" t="s">
        <v>3938</v>
      </c>
      <c r="E1984" s="1" t="s">
        <v>4262</v>
      </c>
      <c r="F1984" s="1" t="s">
        <v>16</v>
      </c>
      <c r="G1984" s="1" t="s">
        <v>23</v>
      </c>
      <c r="H1984" s="1" t="s">
        <v>18</v>
      </c>
      <c r="I1984" s="1" t="s">
        <v>74</v>
      </c>
      <c r="J1984" s="1">
        <f>IFERROR(__xludf.DUMMYFUNCTION("""COMPUTED_VALUE"""),51.0)</f>
        <v>51</v>
      </c>
      <c r="K1984" s="1">
        <v>26.0</v>
      </c>
      <c r="L1984" s="1">
        <f>IFERROR(__xludf.DUMMYFUNCTION("""COMPUTED_VALUE"""),66.0)</f>
        <v>66</v>
      </c>
    </row>
    <row r="1985">
      <c r="A1985" s="1">
        <v>3509134.0</v>
      </c>
      <c r="B1985" s="1" t="s">
        <v>4263</v>
      </c>
      <c r="C1985" s="1" t="s">
        <v>3831</v>
      </c>
      <c r="D1985" s="1" t="s">
        <v>3890</v>
      </c>
      <c r="E1985" s="1" t="s">
        <v>4264</v>
      </c>
      <c r="F1985" s="1" t="s">
        <v>16</v>
      </c>
      <c r="G1985" s="1" t="s">
        <v>17</v>
      </c>
      <c r="H1985" s="1" t="s">
        <v>28</v>
      </c>
      <c r="I1985" s="1" t="s">
        <v>40</v>
      </c>
      <c r="J1985" s="1">
        <f>IFERROR(__xludf.DUMMYFUNCTION("""COMPUTED_VALUE"""),150.0)</f>
        <v>150</v>
      </c>
      <c r="K1985" s="1">
        <v>44.0</v>
      </c>
      <c r="L1985" s="1">
        <f>IFERROR(__xludf.DUMMYFUNCTION("""COMPUTED_VALUE"""),353.0)</f>
        <v>353</v>
      </c>
    </row>
    <row r="1986">
      <c r="A1986" s="1">
        <v>3578202.0</v>
      </c>
      <c r="B1986" s="1" t="s">
        <v>4265</v>
      </c>
      <c r="C1986" s="1" t="s">
        <v>3831</v>
      </c>
      <c r="D1986" s="1" t="s">
        <v>3847</v>
      </c>
      <c r="E1986" s="1" t="s">
        <v>4266</v>
      </c>
      <c r="F1986" s="1" t="s">
        <v>272</v>
      </c>
      <c r="G1986" s="1" t="s">
        <v>27</v>
      </c>
      <c r="H1986" s="1" t="s">
        <v>18</v>
      </c>
      <c r="I1986" s="1" t="s">
        <v>59</v>
      </c>
      <c r="J1986" s="1">
        <f>IFERROR(__xludf.DUMMYFUNCTION("""COMPUTED_VALUE"""),48.0)</f>
        <v>48</v>
      </c>
      <c r="K1986" s="1">
        <v>26.0</v>
      </c>
      <c r="L1986" s="1">
        <f>IFERROR(__xludf.DUMMYFUNCTION("""COMPUTED_VALUE"""),266.0)</f>
        <v>266</v>
      </c>
    </row>
    <row r="1987">
      <c r="A1987" s="1">
        <v>3515130.0</v>
      </c>
      <c r="B1987" s="1" t="s">
        <v>4267</v>
      </c>
      <c r="C1987" s="1" t="s">
        <v>3831</v>
      </c>
      <c r="D1987" s="1" t="s">
        <v>3870</v>
      </c>
      <c r="E1987" s="1" t="s">
        <v>4268</v>
      </c>
      <c r="F1987" s="1" t="s">
        <v>16</v>
      </c>
      <c r="G1987" s="1" t="s">
        <v>23</v>
      </c>
      <c r="H1987" s="1" t="s">
        <v>18</v>
      </c>
      <c r="I1987" s="1" t="s">
        <v>19</v>
      </c>
      <c r="J1987" s="1">
        <f>IFERROR(__xludf.DUMMYFUNCTION("""COMPUTED_VALUE"""),61.0)</f>
        <v>61</v>
      </c>
      <c r="K1987" s="1">
        <v>15.0</v>
      </c>
      <c r="L1987" s="1">
        <f>IFERROR(__xludf.DUMMYFUNCTION("""COMPUTED_VALUE"""),53.0)</f>
        <v>53</v>
      </c>
    </row>
    <row r="1988">
      <c r="A1988" s="1">
        <v>3507119.0</v>
      </c>
      <c r="B1988" s="1" t="s">
        <v>4269</v>
      </c>
      <c r="C1988" s="1" t="s">
        <v>3831</v>
      </c>
      <c r="D1988" s="1" t="s">
        <v>3862</v>
      </c>
      <c r="E1988" s="1" t="s">
        <v>4270</v>
      </c>
      <c r="F1988" s="1" t="s">
        <v>16</v>
      </c>
      <c r="G1988" s="1" t="s">
        <v>23</v>
      </c>
      <c r="H1988" s="1" t="s">
        <v>18</v>
      </c>
      <c r="I1988" s="1" t="s">
        <v>19</v>
      </c>
      <c r="J1988" s="1">
        <f>IFERROR(__xludf.DUMMYFUNCTION("""COMPUTED_VALUE"""),50.0)</f>
        <v>50</v>
      </c>
      <c r="K1988" s="1">
        <v>35.0</v>
      </c>
      <c r="L1988" s="1">
        <f>IFERROR(__xludf.DUMMYFUNCTION("""COMPUTED_VALUE"""),45.0)</f>
        <v>45</v>
      </c>
    </row>
    <row r="1989">
      <c r="A1989" s="1">
        <v>3572043.0</v>
      </c>
      <c r="B1989" s="1" t="s">
        <v>4271</v>
      </c>
      <c r="C1989" s="1" t="s">
        <v>3831</v>
      </c>
      <c r="D1989" s="1" t="s">
        <v>4179</v>
      </c>
      <c r="E1989" s="1" t="s">
        <v>4272</v>
      </c>
      <c r="F1989" s="1" t="s">
        <v>16</v>
      </c>
      <c r="G1989" s="1" t="s">
        <v>17</v>
      </c>
      <c r="H1989" s="1" t="s">
        <v>18</v>
      </c>
      <c r="I1989" s="1" t="s">
        <v>19</v>
      </c>
      <c r="J1989" s="1">
        <f>IFERROR(__xludf.DUMMYFUNCTION("""COMPUTED_VALUE"""),109.0)</f>
        <v>109</v>
      </c>
      <c r="K1989" s="1">
        <v>61.0</v>
      </c>
      <c r="L1989" s="1">
        <f>IFERROR(__xludf.DUMMYFUNCTION("""COMPUTED_VALUE"""),170.0)</f>
        <v>170</v>
      </c>
    </row>
    <row r="1990">
      <c r="A1990" s="1">
        <v>3515030.0</v>
      </c>
      <c r="B1990" s="1" t="s">
        <v>4273</v>
      </c>
      <c r="C1990" s="1" t="s">
        <v>3831</v>
      </c>
      <c r="D1990" s="1" t="s">
        <v>3870</v>
      </c>
      <c r="E1990" s="1" t="s">
        <v>4274</v>
      </c>
      <c r="F1990" s="1" t="s">
        <v>16</v>
      </c>
      <c r="G1990" s="1" t="s">
        <v>17</v>
      </c>
      <c r="H1990" s="1" t="s">
        <v>33</v>
      </c>
      <c r="I1990" s="1" t="s">
        <v>65</v>
      </c>
      <c r="J1990" s="1">
        <f>IFERROR(__xludf.DUMMYFUNCTION("""COMPUTED_VALUE"""),114.0)</f>
        <v>114</v>
      </c>
      <c r="K1990" s="1">
        <v>46.0</v>
      </c>
      <c r="L1990" s="1">
        <f>IFERROR(__xludf.DUMMYFUNCTION("""COMPUTED_VALUE"""),204.0)</f>
        <v>204</v>
      </c>
    </row>
    <row r="1991">
      <c r="A1991" s="1">
        <v>3578764.0</v>
      </c>
      <c r="B1991" s="1" t="s">
        <v>4275</v>
      </c>
      <c r="C1991" s="1" t="s">
        <v>3831</v>
      </c>
      <c r="D1991" s="1" t="s">
        <v>3847</v>
      </c>
      <c r="E1991" s="1" t="s">
        <v>4276</v>
      </c>
      <c r="F1991" s="1" t="s">
        <v>16</v>
      </c>
      <c r="G1991" s="1" t="s">
        <v>27</v>
      </c>
      <c r="H1991" s="1" t="s">
        <v>18</v>
      </c>
      <c r="I1991" s="1" t="s">
        <v>65</v>
      </c>
      <c r="J1991" s="1">
        <f>IFERROR(__xludf.DUMMYFUNCTION("""COMPUTED_VALUE"""),205.0)</f>
        <v>205</v>
      </c>
      <c r="K1991" s="1">
        <v>79.0</v>
      </c>
      <c r="L1991" s="1">
        <f>IFERROR(__xludf.DUMMYFUNCTION("""COMPUTED_VALUE"""),332.0)</f>
        <v>332</v>
      </c>
    </row>
    <row r="1992">
      <c r="A1992" s="1">
        <v>3573257.0</v>
      </c>
      <c r="B1992" s="1" t="s">
        <v>4277</v>
      </c>
      <c r="C1992" s="1" t="s">
        <v>3831</v>
      </c>
      <c r="D1992" s="1" t="s">
        <v>3938</v>
      </c>
      <c r="E1992" s="1" t="s">
        <v>4278</v>
      </c>
      <c r="F1992" s="1" t="s">
        <v>16</v>
      </c>
      <c r="G1992" s="1" t="s">
        <v>27</v>
      </c>
      <c r="H1992" s="1" t="s">
        <v>18</v>
      </c>
      <c r="I1992" s="1" t="s">
        <v>19</v>
      </c>
      <c r="J1992" s="1">
        <f>IFERROR(__xludf.DUMMYFUNCTION("""COMPUTED_VALUE"""),202.0)</f>
        <v>202</v>
      </c>
      <c r="K1992" s="1">
        <v>99.0</v>
      </c>
      <c r="L1992" s="1">
        <f>IFERROR(__xludf.DUMMYFUNCTION("""COMPUTED_VALUE"""),556.0)</f>
        <v>556</v>
      </c>
    </row>
    <row r="1993">
      <c r="A1993" s="1">
        <v>3573276.0</v>
      </c>
      <c r="B1993" s="1" t="s">
        <v>4279</v>
      </c>
      <c r="C1993" s="1" t="s">
        <v>3831</v>
      </c>
      <c r="D1993" s="1" t="s">
        <v>3938</v>
      </c>
      <c r="E1993" s="1" t="s">
        <v>4280</v>
      </c>
      <c r="F1993" s="1" t="s">
        <v>16</v>
      </c>
      <c r="G1993" s="1" t="s">
        <v>23</v>
      </c>
      <c r="H1993" s="1" t="s">
        <v>18</v>
      </c>
      <c r="I1993" s="1" t="s">
        <v>19</v>
      </c>
      <c r="J1993" s="1">
        <f>IFERROR(__xludf.DUMMYFUNCTION("""COMPUTED_VALUE"""),52.0)</f>
        <v>52</v>
      </c>
      <c r="K1993" s="1">
        <v>56.0</v>
      </c>
      <c r="L1993" s="1">
        <f>IFERROR(__xludf.DUMMYFUNCTION("""COMPUTED_VALUE"""),182.0)</f>
        <v>182</v>
      </c>
    </row>
    <row r="1994">
      <c r="A1994" s="1">
        <v>3577099.0</v>
      </c>
      <c r="B1994" s="1" t="s">
        <v>4281</v>
      </c>
      <c r="C1994" s="1" t="s">
        <v>3831</v>
      </c>
      <c r="D1994" s="1" t="s">
        <v>3906</v>
      </c>
      <c r="E1994" s="1" t="s">
        <v>4282</v>
      </c>
      <c r="F1994" s="1" t="s">
        <v>16</v>
      </c>
      <c r="G1994" s="1" t="s">
        <v>17</v>
      </c>
      <c r="H1994" s="1" t="s">
        <v>18</v>
      </c>
      <c r="I1994" s="1" t="s">
        <v>44</v>
      </c>
      <c r="J1994" s="1">
        <f>IFERROR(__xludf.DUMMYFUNCTION("""COMPUTED_VALUE"""),110.0)</f>
        <v>110</v>
      </c>
      <c r="K1994" s="1">
        <v>130.0</v>
      </c>
      <c r="L1994" s="1">
        <f>IFERROR(__xludf.DUMMYFUNCTION("""COMPUTED_VALUE"""),182.0)</f>
        <v>182</v>
      </c>
    </row>
    <row r="1995">
      <c r="A1995" s="1">
        <v>3574023.0</v>
      </c>
      <c r="B1995" s="1" t="s">
        <v>4283</v>
      </c>
      <c r="C1995" s="1" t="s">
        <v>3831</v>
      </c>
      <c r="D1995" s="1" t="s">
        <v>4046</v>
      </c>
      <c r="E1995" s="1" t="s">
        <v>4284</v>
      </c>
      <c r="F1995" s="1" t="s">
        <v>16</v>
      </c>
      <c r="G1995" s="1" t="s">
        <v>23</v>
      </c>
      <c r="H1995" s="1" t="s">
        <v>18</v>
      </c>
      <c r="I1995" s="1" t="s">
        <v>19</v>
      </c>
      <c r="J1995" s="1">
        <f>IFERROR(__xludf.DUMMYFUNCTION("""COMPUTED_VALUE"""),68.0)</f>
        <v>68</v>
      </c>
      <c r="K1995" s="1">
        <v>25.0</v>
      </c>
      <c r="L1995" s="1">
        <f>IFERROR(__xludf.DUMMYFUNCTION("""COMPUTED_VALUE"""),60.0)</f>
        <v>60</v>
      </c>
    </row>
    <row r="1996">
      <c r="A1996" s="1">
        <v>3578224.0</v>
      </c>
      <c r="B1996" s="1" t="s">
        <v>4285</v>
      </c>
      <c r="C1996" s="1" t="s">
        <v>3831</v>
      </c>
      <c r="D1996" s="1" t="s">
        <v>3847</v>
      </c>
      <c r="E1996" s="1" t="s">
        <v>4286</v>
      </c>
      <c r="F1996" s="1" t="s">
        <v>16</v>
      </c>
      <c r="G1996" s="1" t="s">
        <v>27</v>
      </c>
      <c r="H1996" s="1" t="s">
        <v>18</v>
      </c>
      <c r="I1996" s="1" t="s">
        <v>19</v>
      </c>
      <c r="J1996" s="1">
        <f>IFERROR(__xludf.DUMMYFUNCTION("""COMPUTED_VALUE"""),290.0)</f>
        <v>290</v>
      </c>
      <c r="K1996" s="1">
        <v>63.0</v>
      </c>
      <c r="L1996" s="1">
        <f>IFERROR(__xludf.DUMMYFUNCTION("""COMPUTED_VALUE"""),910.0)</f>
        <v>910</v>
      </c>
    </row>
    <row r="1997">
      <c r="A1997" s="1">
        <v>3578767.0</v>
      </c>
      <c r="B1997" s="1" t="s">
        <v>4287</v>
      </c>
      <c r="C1997" s="1" t="s">
        <v>3831</v>
      </c>
      <c r="D1997" s="1" t="s">
        <v>3847</v>
      </c>
      <c r="E1997" s="1" t="s">
        <v>4288</v>
      </c>
      <c r="F1997" s="1" t="s">
        <v>55</v>
      </c>
      <c r="G1997" s="1" t="s">
        <v>17</v>
      </c>
      <c r="H1997" s="1" t="s">
        <v>18</v>
      </c>
      <c r="I1997" s="1" t="s">
        <v>44</v>
      </c>
      <c r="J1997" s="1">
        <f>IFERROR(__xludf.DUMMYFUNCTION("""COMPUTED_VALUE"""),27.0)</f>
        <v>27</v>
      </c>
      <c r="K1997" s="1">
        <v>31.0</v>
      </c>
      <c r="L1997" s="1">
        <f>IFERROR(__xludf.DUMMYFUNCTION("""COMPUTED_VALUE"""),65.0)</f>
        <v>65</v>
      </c>
    </row>
    <row r="1998">
      <c r="A1998" s="1">
        <v>3521013.0</v>
      </c>
      <c r="B1998" s="1" t="s">
        <v>4289</v>
      </c>
      <c r="C1998" s="1" t="s">
        <v>3831</v>
      </c>
      <c r="D1998" s="1" t="s">
        <v>3838</v>
      </c>
      <c r="E1998" s="1" t="s">
        <v>4290</v>
      </c>
      <c r="F1998" s="1" t="s">
        <v>16</v>
      </c>
      <c r="G1998" s="1" t="s">
        <v>17</v>
      </c>
      <c r="H1998" s="1" t="s">
        <v>28</v>
      </c>
      <c r="I1998" s="1" t="s">
        <v>40</v>
      </c>
      <c r="J1998" s="1">
        <f>IFERROR(__xludf.DUMMYFUNCTION("""COMPUTED_VALUE"""),296.0)</f>
        <v>296</v>
      </c>
      <c r="K1998" s="1">
        <v>89.0</v>
      </c>
      <c r="L1998" s="1">
        <f>IFERROR(__xludf.DUMMYFUNCTION("""COMPUTED_VALUE"""),48.0)</f>
        <v>48</v>
      </c>
    </row>
    <row r="1999">
      <c r="A1999" s="1">
        <v>3573247.0</v>
      </c>
      <c r="B1999" s="1" t="s">
        <v>3016</v>
      </c>
      <c r="C1999" s="1" t="s">
        <v>3831</v>
      </c>
      <c r="D1999" s="1" t="s">
        <v>3938</v>
      </c>
      <c r="E1999" s="1" t="s">
        <v>4291</v>
      </c>
      <c r="F1999" s="1" t="s">
        <v>55</v>
      </c>
      <c r="G1999" s="1" t="s">
        <v>17</v>
      </c>
      <c r="H1999" s="1" t="s">
        <v>18</v>
      </c>
      <c r="I1999" s="1" t="s">
        <v>19</v>
      </c>
      <c r="J1999" s="1">
        <f>IFERROR(__xludf.DUMMYFUNCTION("""COMPUTED_VALUE"""),28.0)</f>
        <v>28</v>
      </c>
      <c r="K1999" s="1">
        <v>15.0</v>
      </c>
      <c r="L1999" s="1">
        <f>IFERROR(__xludf.DUMMYFUNCTION("""COMPUTED_VALUE"""),38.0)</f>
        <v>38</v>
      </c>
    </row>
    <row r="2000">
      <c r="A2000" s="1">
        <v>3525089.0</v>
      </c>
      <c r="B2000" s="1" t="s">
        <v>4292</v>
      </c>
      <c r="C2000" s="1" t="s">
        <v>3831</v>
      </c>
      <c r="D2000" s="1" t="s">
        <v>3865</v>
      </c>
      <c r="E2000" s="1" t="s">
        <v>4293</v>
      </c>
      <c r="F2000" s="1" t="s">
        <v>16</v>
      </c>
      <c r="G2000" s="1" t="s">
        <v>23</v>
      </c>
      <c r="H2000" s="1" t="s">
        <v>18</v>
      </c>
      <c r="I2000" s="1" t="s">
        <v>19</v>
      </c>
      <c r="J2000" s="1">
        <f>IFERROR(__xludf.DUMMYFUNCTION("""COMPUTED_VALUE"""),51.0)</f>
        <v>51</v>
      </c>
      <c r="K2000" s="1">
        <v>25.0</v>
      </c>
      <c r="L2000" s="1">
        <f>IFERROR(__xludf.DUMMYFUNCTION("""COMPUTED_VALUE"""),102.0)</f>
        <v>102</v>
      </c>
    </row>
    <row r="2001">
      <c r="A2001" s="1">
        <v>3511013.0</v>
      </c>
      <c r="B2001" s="1" t="s">
        <v>4294</v>
      </c>
      <c r="C2001" s="1" t="s">
        <v>3831</v>
      </c>
      <c r="D2001" s="1" t="s">
        <v>4130</v>
      </c>
      <c r="E2001" s="1" t="s">
        <v>4295</v>
      </c>
      <c r="F2001" s="1" t="s">
        <v>16</v>
      </c>
      <c r="G2001" s="1" t="s">
        <v>17</v>
      </c>
      <c r="H2001" s="1" t="s">
        <v>18</v>
      </c>
      <c r="I2001" s="1" t="s">
        <v>19</v>
      </c>
      <c r="J2001" s="1">
        <f>IFERROR(__xludf.DUMMYFUNCTION("""COMPUTED_VALUE"""),147.0)</f>
        <v>147</v>
      </c>
      <c r="K2001" s="1">
        <v>21.0</v>
      </c>
      <c r="L2001" s="1">
        <f>IFERROR(__xludf.DUMMYFUNCTION("""COMPUTED_VALUE"""),190.0)</f>
        <v>190</v>
      </c>
    </row>
    <row r="2002">
      <c r="A2002" s="1">
        <v>3529040.0</v>
      </c>
      <c r="B2002" s="1" t="s">
        <v>4296</v>
      </c>
      <c r="C2002" s="1" t="s">
        <v>3831</v>
      </c>
      <c r="D2002" s="1" t="s">
        <v>4079</v>
      </c>
      <c r="E2002" s="1" t="s">
        <v>4297</v>
      </c>
      <c r="F2002" s="1" t="s">
        <v>16</v>
      </c>
      <c r="G2002" s="1" t="s">
        <v>23</v>
      </c>
      <c r="H2002" s="1" t="s">
        <v>18</v>
      </c>
      <c r="I2002" s="1" t="s">
        <v>40</v>
      </c>
      <c r="J2002" s="1">
        <f>IFERROR(__xludf.DUMMYFUNCTION("""COMPUTED_VALUE"""),90.0)</f>
        <v>90</v>
      </c>
      <c r="K2002" s="1">
        <v>43.0</v>
      </c>
      <c r="L2002" s="1">
        <f>IFERROR(__xludf.DUMMYFUNCTION("""COMPUTED_VALUE"""),182.0)</f>
        <v>182</v>
      </c>
    </row>
    <row r="2003">
      <c r="A2003" s="1">
        <v>3525087.0</v>
      </c>
      <c r="B2003" s="1" t="s">
        <v>4298</v>
      </c>
      <c r="C2003" s="1" t="s">
        <v>3831</v>
      </c>
      <c r="D2003" s="1" t="s">
        <v>3865</v>
      </c>
      <c r="E2003" s="1" t="s">
        <v>4299</v>
      </c>
      <c r="F2003" s="1" t="s">
        <v>16</v>
      </c>
      <c r="G2003" s="1" t="s">
        <v>23</v>
      </c>
      <c r="H2003" s="1" t="s">
        <v>18</v>
      </c>
      <c r="I2003" s="1" t="s">
        <v>19</v>
      </c>
      <c r="J2003" s="1">
        <f>IFERROR(__xludf.DUMMYFUNCTION("""COMPUTED_VALUE"""),46.0)</f>
        <v>46</v>
      </c>
      <c r="K2003" s="1">
        <v>36.0</v>
      </c>
      <c r="L2003" s="1">
        <f>IFERROR(__xludf.DUMMYFUNCTION("""COMPUTED_VALUE"""),100.0)</f>
        <v>100</v>
      </c>
    </row>
    <row r="2004">
      <c r="A2004" s="1">
        <v>3514052.0</v>
      </c>
      <c r="B2004" s="1" t="s">
        <v>4300</v>
      </c>
      <c r="C2004" s="1" t="s">
        <v>3831</v>
      </c>
      <c r="D2004" s="1" t="s">
        <v>3875</v>
      </c>
      <c r="E2004" s="1" t="s">
        <v>4301</v>
      </c>
      <c r="F2004" s="1" t="s">
        <v>16</v>
      </c>
      <c r="G2004" s="1" t="s">
        <v>23</v>
      </c>
      <c r="H2004" s="1" t="s">
        <v>33</v>
      </c>
      <c r="I2004" s="1" t="s">
        <v>65</v>
      </c>
      <c r="J2004" s="1">
        <f>IFERROR(__xludf.DUMMYFUNCTION("""COMPUTED_VALUE"""),132.0)</f>
        <v>132</v>
      </c>
      <c r="K2004" s="1">
        <v>25.0</v>
      </c>
      <c r="L2004" s="1">
        <f>IFERROR(__xludf.DUMMYFUNCTION("""COMPUTED_VALUE"""),166.0)</f>
        <v>166</v>
      </c>
    </row>
    <row r="2005">
      <c r="A2005" s="1">
        <v>3505045.0</v>
      </c>
      <c r="B2005" s="1" t="s">
        <v>4302</v>
      </c>
      <c r="C2005" s="1" t="s">
        <v>3831</v>
      </c>
      <c r="D2005" s="1" t="s">
        <v>3859</v>
      </c>
      <c r="E2005" s="1" t="s">
        <v>4303</v>
      </c>
      <c r="F2005" s="1" t="s">
        <v>16</v>
      </c>
      <c r="G2005" s="1" t="s">
        <v>17</v>
      </c>
      <c r="H2005" s="1" t="s">
        <v>28</v>
      </c>
      <c r="I2005" s="1" t="s">
        <v>40</v>
      </c>
      <c r="J2005" s="1">
        <f>IFERROR(__xludf.DUMMYFUNCTION("""COMPUTED_VALUE"""),152.0)</f>
        <v>152</v>
      </c>
      <c r="K2005" s="1">
        <v>24.0</v>
      </c>
      <c r="L2005" s="1">
        <f>IFERROR(__xludf.DUMMYFUNCTION("""COMPUTED_VALUE"""),210.0)</f>
        <v>210</v>
      </c>
    </row>
    <row r="2006">
      <c r="A2006" s="1">
        <v>3512052.0</v>
      </c>
      <c r="B2006" s="1" t="s">
        <v>4304</v>
      </c>
      <c r="C2006" s="1" t="s">
        <v>3831</v>
      </c>
      <c r="D2006" s="1" t="s">
        <v>3967</v>
      </c>
      <c r="E2006" s="1" t="s">
        <v>4305</v>
      </c>
      <c r="F2006" s="1" t="s">
        <v>16</v>
      </c>
      <c r="G2006" s="1" t="s">
        <v>23</v>
      </c>
      <c r="H2006" s="1" t="s">
        <v>18</v>
      </c>
      <c r="I2006" s="1" t="s">
        <v>19</v>
      </c>
      <c r="J2006" s="1">
        <f>IFERROR(__xludf.DUMMYFUNCTION("""COMPUTED_VALUE"""),51.0)</f>
        <v>51</v>
      </c>
      <c r="K2006" s="1">
        <v>11.0</v>
      </c>
      <c r="L2006" s="1">
        <f>IFERROR(__xludf.DUMMYFUNCTION("""COMPUTED_VALUE"""),182.0)</f>
        <v>182</v>
      </c>
    </row>
    <row r="2007">
      <c r="A2007" s="1">
        <v>3509010.0</v>
      </c>
      <c r="B2007" s="1" t="s">
        <v>4306</v>
      </c>
      <c r="C2007" s="1" t="s">
        <v>3831</v>
      </c>
      <c r="D2007" s="1" t="s">
        <v>3890</v>
      </c>
      <c r="E2007" s="1" t="s">
        <v>4307</v>
      </c>
      <c r="F2007" s="1" t="s">
        <v>16</v>
      </c>
      <c r="G2007" s="1" t="s">
        <v>27</v>
      </c>
      <c r="H2007" s="1" t="s">
        <v>28</v>
      </c>
      <c r="I2007" s="1" t="s">
        <v>40</v>
      </c>
      <c r="J2007" s="1">
        <f>IFERROR(__xludf.DUMMYFUNCTION("""COMPUTED_VALUE"""),389.0)</f>
        <v>389</v>
      </c>
      <c r="K2007" s="1">
        <v>90.0</v>
      </c>
      <c r="L2007" s="1">
        <f>IFERROR(__xludf.DUMMYFUNCTION("""COMPUTED_VALUE"""),1196.0)</f>
        <v>1196</v>
      </c>
    </row>
    <row r="2008">
      <c r="A2008" s="1">
        <v>3578090.0</v>
      </c>
      <c r="B2008" s="1" t="s">
        <v>4308</v>
      </c>
      <c r="C2008" s="1" t="s">
        <v>3831</v>
      </c>
      <c r="D2008" s="1" t="s">
        <v>3847</v>
      </c>
      <c r="E2008" s="1" t="s">
        <v>4309</v>
      </c>
      <c r="F2008" s="1" t="s">
        <v>16</v>
      </c>
      <c r="G2008" s="1" t="s">
        <v>23</v>
      </c>
      <c r="H2008" s="1" t="s">
        <v>18</v>
      </c>
      <c r="I2008" s="1" t="s">
        <v>95</v>
      </c>
      <c r="J2008" s="1">
        <f>IFERROR(__xludf.DUMMYFUNCTION("""COMPUTED_VALUE"""),51.0)</f>
        <v>51</v>
      </c>
      <c r="K2008" s="1">
        <v>21.0</v>
      </c>
      <c r="L2008" s="1">
        <f>IFERROR(__xludf.DUMMYFUNCTION("""COMPUTED_VALUE"""),105.0)</f>
        <v>105</v>
      </c>
    </row>
    <row r="2009">
      <c r="A2009" s="1">
        <v>3573260.0</v>
      </c>
      <c r="B2009" s="1" t="s">
        <v>4310</v>
      </c>
      <c r="C2009" s="1" t="s">
        <v>3831</v>
      </c>
      <c r="D2009" s="1" t="s">
        <v>3938</v>
      </c>
      <c r="E2009" s="1" t="s">
        <v>4311</v>
      </c>
      <c r="F2009" s="1" t="s">
        <v>55</v>
      </c>
      <c r="G2009" s="1" t="s">
        <v>17</v>
      </c>
      <c r="H2009" s="1" t="s">
        <v>18</v>
      </c>
      <c r="I2009" s="1" t="s">
        <v>163</v>
      </c>
      <c r="J2009" s="1">
        <f>IFERROR(__xludf.DUMMYFUNCTION("""COMPUTED_VALUE"""),100.0)</f>
        <v>100</v>
      </c>
      <c r="K2009" s="1">
        <v>19.0</v>
      </c>
      <c r="L2009" s="1">
        <f>IFERROR(__xludf.DUMMYFUNCTION("""COMPUTED_VALUE"""),93.0)</f>
        <v>93</v>
      </c>
    </row>
    <row r="2010">
      <c r="A2010" s="1">
        <v>3515146.0</v>
      </c>
      <c r="B2010" s="1" t="s">
        <v>4312</v>
      </c>
      <c r="C2010" s="1" t="s">
        <v>3831</v>
      </c>
      <c r="D2010" s="1" t="s">
        <v>3870</v>
      </c>
      <c r="E2010" s="1" t="s">
        <v>4313</v>
      </c>
      <c r="F2010" s="1" t="s">
        <v>16</v>
      </c>
      <c r="G2010" s="1" t="s">
        <v>23</v>
      </c>
      <c r="H2010" s="1" t="s">
        <v>18</v>
      </c>
      <c r="I2010" s="1" t="s">
        <v>19</v>
      </c>
      <c r="J2010" s="1">
        <f>IFERROR(__xludf.DUMMYFUNCTION("""COMPUTED_VALUE"""),50.0)</f>
        <v>50</v>
      </c>
      <c r="K2010" s="1">
        <v>29.0</v>
      </c>
      <c r="L2010" s="1">
        <f>IFERROR(__xludf.DUMMYFUNCTION("""COMPUTED_VALUE"""),32.0)</f>
        <v>32</v>
      </c>
    </row>
    <row r="2011">
      <c r="A2011" s="1">
        <v>3571031.0</v>
      </c>
      <c r="B2011" s="1" t="s">
        <v>4314</v>
      </c>
      <c r="C2011" s="1" t="s">
        <v>3831</v>
      </c>
      <c r="D2011" s="1" t="s">
        <v>3930</v>
      </c>
      <c r="E2011" s="1" t="s">
        <v>4315</v>
      </c>
      <c r="F2011" s="1" t="s">
        <v>16</v>
      </c>
      <c r="G2011" s="1" t="s">
        <v>27</v>
      </c>
      <c r="H2011" s="1" t="s">
        <v>33</v>
      </c>
      <c r="I2011" s="1" t="s">
        <v>65</v>
      </c>
      <c r="J2011" s="1">
        <f>IFERROR(__xludf.DUMMYFUNCTION("""COMPUTED_VALUE"""),331.0)</f>
        <v>331</v>
      </c>
      <c r="K2011" s="1">
        <v>49.0</v>
      </c>
      <c r="L2011" s="1">
        <f>IFERROR(__xludf.DUMMYFUNCTION("""COMPUTED_VALUE"""),759.0)</f>
        <v>759</v>
      </c>
    </row>
    <row r="2012">
      <c r="A2012" s="1">
        <v>3574069.0</v>
      </c>
      <c r="B2012" s="1" t="s">
        <v>4316</v>
      </c>
      <c r="C2012" s="1" t="s">
        <v>3831</v>
      </c>
      <c r="D2012" s="1" t="s">
        <v>4046</v>
      </c>
      <c r="E2012" s="1" t="s">
        <v>4317</v>
      </c>
      <c r="F2012" s="1" t="s">
        <v>55</v>
      </c>
      <c r="G2012" s="1" t="s">
        <v>17</v>
      </c>
      <c r="H2012" s="1" t="s">
        <v>18</v>
      </c>
      <c r="I2012" s="1" t="s">
        <v>19</v>
      </c>
      <c r="J2012" s="1">
        <f>IFERROR(__xludf.DUMMYFUNCTION("""COMPUTED_VALUE"""),82.0)</f>
        <v>82</v>
      </c>
      <c r="K2012" s="1">
        <v>16.0</v>
      </c>
      <c r="L2012" s="1">
        <f>IFERROR(__xludf.DUMMYFUNCTION("""COMPUTED_VALUE"""),160.0)</f>
        <v>160</v>
      </c>
    </row>
    <row r="2013">
      <c r="A2013" s="1">
        <v>3525102.0</v>
      </c>
      <c r="B2013" s="1" t="s">
        <v>4318</v>
      </c>
      <c r="C2013" s="1" t="s">
        <v>3831</v>
      </c>
      <c r="D2013" s="1" t="s">
        <v>3865</v>
      </c>
      <c r="E2013" s="1" t="s">
        <v>4319</v>
      </c>
      <c r="F2013" s="1" t="s">
        <v>16</v>
      </c>
      <c r="G2013" s="1" t="s">
        <v>23</v>
      </c>
      <c r="H2013" s="1" t="s">
        <v>18</v>
      </c>
      <c r="I2013" s="1" t="s">
        <v>44</v>
      </c>
      <c r="J2013" s="1">
        <f>IFERROR(__xludf.DUMMYFUNCTION("""COMPUTED_VALUE"""),69.0)</f>
        <v>69</v>
      </c>
      <c r="K2013" s="1">
        <v>58.0</v>
      </c>
      <c r="L2013" s="1">
        <f>IFERROR(__xludf.DUMMYFUNCTION("""COMPUTED_VALUE"""),32.0)</f>
        <v>32</v>
      </c>
    </row>
    <row r="2014">
      <c r="A2014" s="1">
        <v>3573264.0</v>
      </c>
      <c r="B2014" s="1" t="s">
        <v>4320</v>
      </c>
      <c r="C2014" s="1" t="s">
        <v>3831</v>
      </c>
      <c r="D2014" s="1" t="s">
        <v>3938</v>
      </c>
      <c r="E2014" s="1" t="s">
        <v>4321</v>
      </c>
      <c r="F2014" s="1" t="s">
        <v>55</v>
      </c>
      <c r="G2014" s="1" t="s">
        <v>17</v>
      </c>
      <c r="H2014" s="1" t="s">
        <v>18</v>
      </c>
      <c r="I2014" s="1" t="s">
        <v>19</v>
      </c>
      <c r="J2014" s="1">
        <f>IFERROR(__xludf.DUMMYFUNCTION("""COMPUTED_VALUE"""),25.0)</f>
        <v>25</v>
      </c>
      <c r="K2014" s="1">
        <v>16.0</v>
      </c>
      <c r="L2014" s="1">
        <f>IFERROR(__xludf.DUMMYFUNCTION("""COMPUTED_VALUE"""),19.0)</f>
        <v>19</v>
      </c>
    </row>
    <row r="2015">
      <c r="A2015" s="1">
        <v>3512034.0</v>
      </c>
      <c r="B2015" s="1" t="s">
        <v>4322</v>
      </c>
      <c r="C2015" s="1" t="s">
        <v>3831</v>
      </c>
      <c r="D2015" s="1" t="s">
        <v>3967</v>
      </c>
      <c r="E2015" s="1" t="s">
        <v>4323</v>
      </c>
      <c r="F2015" s="1" t="s">
        <v>16</v>
      </c>
      <c r="G2015" s="1" t="s">
        <v>17</v>
      </c>
      <c r="H2015" s="1" t="s">
        <v>18</v>
      </c>
      <c r="I2015" s="1" t="s">
        <v>19</v>
      </c>
      <c r="J2015" s="1">
        <f>IFERROR(__xludf.DUMMYFUNCTION("""COMPUTED_VALUE"""),100.0)</f>
        <v>100</v>
      </c>
      <c r="K2015" s="1">
        <v>58.0</v>
      </c>
      <c r="L2015" s="1">
        <f>IFERROR(__xludf.DUMMYFUNCTION("""COMPUTED_VALUE"""),166.0)</f>
        <v>166</v>
      </c>
    </row>
    <row r="2016">
      <c r="A2016" s="1">
        <v>3578593.0</v>
      </c>
      <c r="B2016" s="1" t="s">
        <v>4324</v>
      </c>
      <c r="C2016" s="1" t="s">
        <v>3831</v>
      </c>
      <c r="D2016" s="1" t="s">
        <v>3847</v>
      </c>
      <c r="E2016" s="1" t="s">
        <v>4325</v>
      </c>
      <c r="F2016" s="1" t="s">
        <v>55</v>
      </c>
      <c r="G2016" s="1" t="s">
        <v>17</v>
      </c>
      <c r="H2016" s="1" t="s">
        <v>18</v>
      </c>
      <c r="I2016" s="1" t="s">
        <v>59</v>
      </c>
      <c r="J2016" s="1">
        <f>IFERROR(__xludf.DUMMYFUNCTION("""COMPUTED_VALUE"""),72.0)</f>
        <v>72</v>
      </c>
      <c r="K2016" s="1">
        <v>19.0</v>
      </c>
      <c r="L2016" s="1">
        <f>IFERROR(__xludf.DUMMYFUNCTION("""COMPUTED_VALUE"""),175.0)</f>
        <v>175</v>
      </c>
    </row>
    <row r="2017">
      <c r="A2017" s="1">
        <v>3578789.0</v>
      </c>
      <c r="B2017" s="1" t="s">
        <v>4326</v>
      </c>
      <c r="C2017" s="1" t="s">
        <v>3831</v>
      </c>
      <c r="D2017" s="1" t="s">
        <v>3847</v>
      </c>
      <c r="E2017" s="1" t="s">
        <v>4327</v>
      </c>
      <c r="F2017" s="1" t="s">
        <v>55</v>
      </c>
      <c r="G2017" s="1" t="s">
        <v>17</v>
      </c>
      <c r="H2017" s="1" t="s">
        <v>18</v>
      </c>
      <c r="I2017" s="1" t="s">
        <v>19</v>
      </c>
      <c r="J2017" s="1">
        <f>IFERROR(__xludf.DUMMYFUNCTION("""COMPUTED_VALUE"""),20.0)</f>
        <v>20</v>
      </c>
      <c r="K2017" s="1">
        <v>32.0</v>
      </c>
      <c r="L2017" s="1">
        <f>IFERROR(__xludf.DUMMYFUNCTION("""COMPUTED_VALUE"""),210.0)</f>
        <v>210</v>
      </c>
    </row>
    <row r="2018">
      <c r="A2018" s="1">
        <v>3573135.0</v>
      </c>
      <c r="B2018" s="1" t="s">
        <v>4328</v>
      </c>
      <c r="C2018" s="1" t="s">
        <v>3831</v>
      </c>
      <c r="D2018" s="1" t="s">
        <v>3938</v>
      </c>
      <c r="E2018" s="1" t="s">
        <v>4329</v>
      </c>
      <c r="F2018" s="1" t="s">
        <v>55</v>
      </c>
      <c r="G2018" s="1" t="s">
        <v>17</v>
      </c>
      <c r="H2018" s="1" t="s">
        <v>18</v>
      </c>
      <c r="I2018" s="1" t="s">
        <v>19</v>
      </c>
      <c r="J2018" s="1">
        <f>IFERROR(__xludf.DUMMYFUNCTION("""COMPUTED_VALUE"""),30.0)</f>
        <v>30</v>
      </c>
      <c r="K2018" s="1">
        <v>24.0</v>
      </c>
      <c r="L2018" s="1">
        <f>IFERROR(__xludf.DUMMYFUNCTION("""COMPUTED_VALUE"""),81.0)</f>
        <v>81</v>
      </c>
    </row>
    <row r="2019">
      <c r="A2019" s="1">
        <v>3522062.0</v>
      </c>
      <c r="B2019" s="1" t="s">
        <v>4330</v>
      </c>
      <c r="C2019" s="1" t="s">
        <v>3831</v>
      </c>
      <c r="D2019" s="1" t="s">
        <v>3897</v>
      </c>
      <c r="E2019" s="1" t="s">
        <v>4331</v>
      </c>
      <c r="F2019" s="1" t="s">
        <v>16</v>
      </c>
      <c r="G2019" s="1" t="s">
        <v>23</v>
      </c>
      <c r="H2019" s="1" t="s">
        <v>18</v>
      </c>
      <c r="I2019" s="1" t="s">
        <v>684</v>
      </c>
      <c r="J2019" s="1">
        <f>IFERROR(__xludf.DUMMYFUNCTION("""COMPUTED_VALUE"""),43.0)</f>
        <v>43</v>
      </c>
      <c r="K2019" s="1">
        <v>32.0</v>
      </c>
      <c r="L2019" s="1">
        <f>IFERROR(__xludf.DUMMYFUNCTION("""COMPUTED_VALUE"""),76.0)</f>
        <v>76</v>
      </c>
    </row>
    <row r="2020">
      <c r="A2020" s="1">
        <v>3525101.0</v>
      </c>
      <c r="B2020" s="1" t="s">
        <v>4332</v>
      </c>
      <c r="C2020" s="1" t="s">
        <v>3831</v>
      </c>
      <c r="D2020" s="1" t="s">
        <v>3865</v>
      </c>
      <c r="E2020" s="1" t="s">
        <v>4333</v>
      </c>
      <c r="F2020" s="1" t="s">
        <v>16</v>
      </c>
      <c r="G2020" s="1" t="s">
        <v>23</v>
      </c>
      <c r="H2020" s="1" t="s">
        <v>28</v>
      </c>
      <c r="I2020" s="1" t="s">
        <v>40</v>
      </c>
      <c r="J2020" s="1">
        <f>IFERROR(__xludf.DUMMYFUNCTION("""COMPUTED_VALUE"""),50.0)</f>
        <v>50</v>
      </c>
      <c r="K2020" s="1">
        <v>20.0</v>
      </c>
      <c r="L2020" s="1">
        <f>IFERROR(__xludf.DUMMYFUNCTION("""COMPUTED_VALUE"""),97.0)</f>
        <v>97</v>
      </c>
    </row>
    <row r="2021">
      <c r="A2021" s="1">
        <v>3512039.0</v>
      </c>
      <c r="B2021" s="1" t="s">
        <v>4334</v>
      </c>
      <c r="C2021" s="1" t="s">
        <v>3831</v>
      </c>
      <c r="D2021" s="1" t="s">
        <v>3967</v>
      </c>
      <c r="E2021" s="1" t="s">
        <v>4335</v>
      </c>
      <c r="F2021" s="1" t="s">
        <v>55</v>
      </c>
      <c r="G2021" s="1" t="s">
        <v>17</v>
      </c>
      <c r="H2021" s="1" t="s">
        <v>18</v>
      </c>
      <c r="I2021" s="1" t="s">
        <v>19</v>
      </c>
      <c r="J2021" s="1">
        <f>IFERROR(__xludf.DUMMYFUNCTION("""COMPUTED_VALUE"""),25.0)</f>
        <v>25</v>
      </c>
      <c r="K2021" s="1">
        <v>14.0</v>
      </c>
      <c r="L2021" s="1">
        <f>IFERROR(__xludf.DUMMYFUNCTION("""COMPUTED_VALUE"""),30.0)</f>
        <v>30</v>
      </c>
    </row>
    <row r="2022">
      <c r="A2022" s="1">
        <v>3503062.0</v>
      </c>
      <c r="B2022" s="1" t="s">
        <v>4336</v>
      </c>
      <c r="C2022" s="1" t="s">
        <v>3831</v>
      </c>
      <c r="D2022" s="1" t="s">
        <v>4238</v>
      </c>
      <c r="E2022" s="1" t="s">
        <v>4337</v>
      </c>
      <c r="F2022" s="1" t="s">
        <v>16</v>
      </c>
      <c r="G2022" s="1" t="s">
        <v>23</v>
      </c>
      <c r="H2022" s="1" t="s">
        <v>28</v>
      </c>
      <c r="I2022" s="1" t="s">
        <v>40</v>
      </c>
      <c r="J2022" s="1">
        <f>IFERROR(__xludf.DUMMYFUNCTION("""COMPUTED_VALUE"""),54.0)</f>
        <v>54</v>
      </c>
      <c r="K2022" s="1">
        <v>21.0</v>
      </c>
      <c r="L2022" s="1">
        <f>IFERROR(__xludf.DUMMYFUNCTION("""COMPUTED_VALUE"""),182.0)</f>
        <v>182</v>
      </c>
    </row>
    <row r="2023">
      <c r="A2023" s="1">
        <v>3507261.0</v>
      </c>
      <c r="B2023" s="1" t="s">
        <v>4338</v>
      </c>
      <c r="C2023" s="1" t="s">
        <v>3831</v>
      </c>
      <c r="D2023" s="1" t="s">
        <v>3862</v>
      </c>
      <c r="E2023" s="1" t="s">
        <v>4339</v>
      </c>
      <c r="F2023" s="1" t="s">
        <v>16</v>
      </c>
      <c r="G2023" s="1" t="s">
        <v>23</v>
      </c>
      <c r="H2023" s="1" t="s">
        <v>18</v>
      </c>
      <c r="I2023" s="1" t="s">
        <v>19</v>
      </c>
      <c r="J2023" s="1">
        <f>IFERROR(__xludf.DUMMYFUNCTION("""COMPUTED_VALUE"""),50.0)</f>
        <v>50</v>
      </c>
      <c r="K2023" s="1">
        <v>16.0</v>
      </c>
      <c r="L2023" s="1">
        <f>IFERROR(__xludf.DUMMYFUNCTION("""COMPUTED_VALUE"""),182.0)</f>
        <v>182</v>
      </c>
    </row>
    <row r="2024">
      <c r="A2024" s="1">
        <v>3517043.0</v>
      </c>
      <c r="B2024" s="1" t="s">
        <v>4340</v>
      </c>
      <c r="C2024" s="1" t="s">
        <v>3831</v>
      </c>
      <c r="D2024" s="1" t="s">
        <v>3956</v>
      </c>
      <c r="E2024" s="1" t="s">
        <v>4341</v>
      </c>
      <c r="F2024" s="1" t="s">
        <v>55</v>
      </c>
      <c r="G2024" s="1" t="s">
        <v>17</v>
      </c>
      <c r="H2024" s="1" t="s">
        <v>18</v>
      </c>
      <c r="I2024" s="1" t="s">
        <v>19</v>
      </c>
      <c r="J2024" s="1">
        <f>IFERROR(__xludf.DUMMYFUNCTION("""COMPUTED_VALUE"""),54.0)</f>
        <v>54</v>
      </c>
      <c r="K2024" s="1">
        <v>23.0</v>
      </c>
      <c r="L2024" s="1">
        <f>IFERROR(__xludf.DUMMYFUNCTION("""COMPUTED_VALUE"""),208.0)</f>
        <v>208</v>
      </c>
    </row>
    <row r="2025">
      <c r="A2025" s="1">
        <v>3525088.0</v>
      </c>
      <c r="B2025" s="1" t="s">
        <v>4342</v>
      </c>
      <c r="C2025" s="1" t="s">
        <v>3831</v>
      </c>
      <c r="D2025" s="1" t="s">
        <v>3865</v>
      </c>
      <c r="E2025" s="1" t="s">
        <v>4343</v>
      </c>
      <c r="F2025" s="1" t="s">
        <v>16</v>
      </c>
      <c r="G2025" s="1" t="s">
        <v>17</v>
      </c>
      <c r="H2025" s="1" t="s">
        <v>18</v>
      </c>
      <c r="I2025" s="1" t="s">
        <v>684</v>
      </c>
      <c r="J2025" s="1">
        <f>IFERROR(__xludf.DUMMYFUNCTION("""COMPUTED_VALUE"""),139.0)</f>
        <v>139</v>
      </c>
      <c r="K2025" s="1">
        <v>43.0</v>
      </c>
      <c r="L2025" s="1">
        <f>IFERROR(__xludf.DUMMYFUNCTION("""COMPUTED_VALUE"""),220.0)</f>
        <v>220</v>
      </c>
    </row>
    <row r="2026">
      <c r="A2026" s="1">
        <v>3528040.0</v>
      </c>
      <c r="B2026" s="1" t="s">
        <v>4344</v>
      </c>
      <c r="C2026" s="1" t="s">
        <v>3831</v>
      </c>
      <c r="D2026" s="1" t="s">
        <v>3841</v>
      </c>
      <c r="E2026" s="1" t="s">
        <v>4345</v>
      </c>
      <c r="F2026" s="1" t="s">
        <v>55</v>
      </c>
      <c r="G2026" s="1" t="s">
        <v>17</v>
      </c>
      <c r="H2026" s="1" t="s">
        <v>18</v>
      </c>
      <c r="I2026" s="1" t="s">
        <v>684</v>
      </c>
      <c r="J2026" s="1">
        <f>IFERROR(__xludf.DUMMYFUNCTION("""COMPUTED_VALUE"""),25.0)</f>
        <v>25</v>
      </c>
      <c r="K2026" s="1">
        <v>21.0</v>
      </c>
      <c r="L2026" s="1">
        <f>IFERROR(__xludf.DUMMYFUNCTION("""COMPUTED_VALUE"""),182.0)</f>
        <v>182</v>
      </c>
    </row>
    <row r="2027">
      <c r="A2027" s="1">
        <v>3504012.0</v>
      </c>
      <c r="B2027" s="1" t="s">
        <v>4346</v>
      </c>
      <c r="C2027" s="1" t="s">
        <v>3831</v>
      </c>
      <c r="D2027" s="1" t="s">
        <v>3850</v>
      </c>
      <c r="E2027" s="1" t="s">
        <v>4347</v>
      </c>
      <c r="F2027" s="1" t="s">
        <v>16</v>
      </c>
      <c r="G2027" s="1" t="s">
        <v>27</v>
      </c>
      <c r="H2027" s="1" t="s">
        <v>28</v>
      </c>
      <c r="I2027" s="1" t="s">
        <v>40</v>
      </c>
      <c r="J2027" s="1">
        <f>IFERROR(__xludf.DUMMYFUNCTION("""COMPUTED_VALUE"""),500.0)</f>
        <v>500</v>
      </c>
      <c r="K2027" s="1">
        <v>98.0</v>
      </c>
      <c r="L2027" s="1">
        <f>IFERROR(__xludf.DUMMYFUNCTION("""COMPUTED_VALUE"""),1418.0)</f>
        <v>1418</v>
      </c>
    </row>
    <row r="2028">
      <c r="A2028" s="1">
        <v>3577015.0</v>
      </c>
      <c r="B2028" s="1" t="s">
        <v>4348</v>
      </c>
      <c r="C2028" s="1" t="s">
        <v>3831</v>
      </c>
      <c r="D2028" s="1" t="s">
        <v>3906</v>
      </c>
      <c r="E2028" s="1" t="s">
        <v>4349</v>
      </c>
      <c r="F2028" s="1" t="s">
        <v>16</v>
      </c>
      <c r="G2028" s="1" t="s">
        <v>27</v>
      </c>
      <c r="H2028" s="1" t="s">
        <v>28</v>
      </c>
      <c r="I2028" s="1" t="s">
        <v>139</v>
      </c>
      <c r="J2028" s="1">
        <f>IFERROR(__xludf.DUMMYFUNCTION("""COMPUTED_VALUE"""),355.0)</f>
        <v>355</v>
      </c>
      <c r="K2028" s="1">
        <v>135.0</v>
      </c>
      <c r="L2028" s="1">
        <f>IFERROR(__xludf.DUMMYFUNCTION("""COMPUTED_VALUE"""),693.0)</f>
        <v>693</v>
      </c>
    </row>
    <row r="2029">
      <c r="A2029" s="1">
        <v>3506060.0</v>
      </c>
      <c r="B2029" s="1" t="s">
        <v>4350</v>
      </c>
      <c r="C2029" s="1" t="s">
        <v>3831</v>
      </c>
      <c r="D2029" s="1" t="s">
        <v>3894</v>
      </c>
      <c r="E2029" s="1" t="s">
        <v>4351</v>
      </c>
      <c r="F2029" s="1" t="s">
        <v>55</v>
      </c>
      <c r="G2029" s="1" t="s">
        <v>17</v>
      </c>
      <c r="H2029" s="1" t="s">
        <v>18</v>
      </c>
      <c r="I2029" s="1" t="s">
        <v>19</v>
      </c>
      <c r="J2029" s="1">
        <f>IFERROR(__xludf.DUMMYFUNCTION("""COMPUTED_VALUE"""),42.0)</f>
        <v>42</v>
      </c>
      <c r="K2029" s="1">
        <v>16.0</v>
      </c>
      <c r="L2029" s="1">
        <f>IFERROR(__xludf.DUMMYFUNCTION("""COMPUTED_VALUE"""),49.0)</f>
        <v>49</v>
      </c>
    </row>
    <row r="2030">
      <c r="A2030" s="1">
        <v>3509135.0</v>
      </c>
      <c r="B2030" s="1" t="s">
        <v>4352</v>
      </c>
      <c r="C2030" s="1" t="s">
        <v>3831</v>
      </c>
      <c r="D2030" s="1" t="s">
        <v>3890</v>
      </c>
      <c r="E2030" s="1" t="s">
        <v>4353</v>
      </c>
      <c r="F2030" s="1" t="s">
        <v>16</v>
      </c>
      <c r="G2030" s="1" t="s">
        <v>17</v>
      </c>
      <c r="H2030" s="1" t="s">
        <v>18</v>
      </c>
      <c r="I2030" s="1" t="s">
        <v>19</v>
      </c>
      <c r="J2030" s="1">
        <f>IFERROR(__xludf.DUMMYFUNCTION("""COMPUTED_VALUE"""),190.0)</f>
        <v>190</v>
      </c>
      <c r="K2030" s="1">
        <v>112.0</v>
      </c>
      <c r="L2030" s="1">
        <f>IFERROR(__xludf.DUMMYFUNCTION("""COMPUTED_VALUE"""),797.0)</f>
        <v>797</v>
      </c>
    </row>
    <row r="2031">
      <c r="A2031" s="1">
        <v>3507107.0</v>
      </c>
      <c r="B2031" s="1" t="s">
        <v>4354</v>
      </c>
      <c r="C2031" s="1" t="s">
        <v>3831</v>
      </c>
      <c r="D2031" s="1" t="s">
        <v>3862</v>
      </c>
      <c r="E2031" s="1" t="s">
        <v>4355</v>
      </c>
      <c r="F2031" s="1" t="s">
        <v>16</v>
      </c>
      <c r="G2031" s="1" t="s">
        <v>23</v>
      </c>
      <c r="H2031" s="1" t="s">
        <v>18</v>
      </c>
      <c r="I2031" s="1" t="s">
        <v>19</v>
      </c>
      <c r="J2031" s="1">
        <f>IFERROR(__xludf.DUMMYFUNCTION("""COMPUTED_VALUE"""),55.0)</f>
        <v>55</v>
      </c>
      <c r="K2031" s="1">
        <v>46.0</v>
      </c>
      <c r="L2031" s="1">
        <f>IFERROR(__xludf.DUMMYFUNCTION("""COMPUTED_VALUE"""),152.0)</f>
        <v>152</v>
      </c>
    </row>
    <row r="2032">
      <c r="A2032" s="1">
        <v>3524050.0</v>
      </c>
      <c r="B2032" s="1" t="s">
        <v>2161</v>
      </c>
      <c r="C2032" s="1" t="s">
        <v>3831</v>
      </c>
      <c r="D2032" s="1" t="s">
        <v>3856</v>
      </c>
      <c r="E2032" s="1" t="s">
        <v>4356</v>
      </c>
      <c r="F2032" s="1" t="s">
        <v>16</v>
      </c>
      <c r="G2032" s="1" t="s">
        <v>23</v>
      </c>
      <c r="H2032" s="1" t="s">
        <v>33</v>
      </c>
      <c r="I2032" s="1" t="s">
        <v>19</v>
      </c>
      <c r="J2032" s="1">
        <f>IFERROR(__xludf.DUMMYFUNCTION("""COMPUTED_VALUE"""),51.0)</f>
        <v>51</v>
      </c>
      <c r="K2032" s="1">
        <v>19.0</v>
      </c>
      <c r="L2032" s="1">
        <f>IFERROR(__xludf.DUMMYFUNCTION("""COMPUTED_VALUE"""),58.0)</f>
        <v>58</v>
      </c>
    </row>
    <row r="2033">
      <c r="A2033" s="1">
        <v>3522075.0</v>
      </c>
      <c r="B2033" s="1" t="s">
        <v>4357</v>
      </c>
      <c r="C2033" s="1" t="s">
        <v>3831</v>
      </c>
      <c r="D2033" s="1" t="s">
        <v>3897</v>
      </c>
      <c r="E2033" s="1" t="s">
        <v>4358</v>
      </c>
      <c r="F2033" s="1" t="s">
        <v>16</v>
      </c>
      <c r="G2033" s="1" t="s">
        <v>23</v>
      </c>
      <c r="H2033" s="1" t="s">
        <v>18</v>
      </c>
      <c r="I2033" s="1" t="s">
        <v>40</v>
      </c>
      <c r="J2033" s="1">
        <f>IFERROR(__xludf.DUMMYFUNCTION("""COMPUTED_VALUE"""),50.0)</f>
        <v>50</v>
      </c>
      <c r="K2033" s="1">
        <v>20.0</v>
      </c>
      <c r="L2033" s="1">
        <f>IFERROR(__xludf.DUMMYFUNCTION("""COMPUTED_VALUE"""),182.0)</f>
        <v>182</v>
      </c>
    </row>
    <row r="2034">
      <c r="A2034" s="1">
        <v>3524016.0</v>
      </c>
      <c r="B2034" s="1" t="s">
        <v>4359</v>
      </c>
      <c r="C2034" s="1" t="s">
        <v>3831</v>
      </c>
      <c r="D2034" s="1" t="s">
        <v>3856</v>
      </c>
      <c r="E2034" s="1" t="s">
        <v>4360</v>
      </c>
      <c r="F2034" s="1" t="s">
        <v>16</v>
      </c>
      <c r="G2034" s="1" t="s">
        <v>27</v>
      </c>
      <c r="H2034" s="1" t="s">
        <v>28</v>
      </c>
      <c r="I2034" s="1" t="s">
        <v>40</v>
      </c>
      <c r="J2034" s="1">
        <f>IFERROR(__xludf.DUMMYFUNCTION("""COMPUTED_VALUE"""),371.0)</f>
        <v>371</v>
      </c>
      <c r="K2034" s="1">
        <v>55.0</v>
      </c>
      <c r="L2034" s="1">
        <f>IFERROR(__xludf.DUMMYFUNCTION("""COMPUTED_VALUE"""),792.0)</f>
        <v>792</v>
      </c>
    </row>
    <row r="2035">
      <c r="A2035" s="1">
        <v>3522060.0</v>
      </c>
      <c r="B2035" s="1" t="s">
        <v>4361</v>
      </c>
      <c r="C2035" s="1" t="s">
        <v>3831</v>
      </c>
      <c r="D2035" s="1" t="s">
        <v>3897</v>
      </c>
      <c r="E2035" s="1" t="s">
        <v>4362</v>
      </c>
      <c r="F2035" s="1" t="s">
        <v>16</v>
      </c>
      <c r="G2035" s="1" t="s">
        <v>23</v>
      </c>
      <c r="H2035" s="1" t="s">
        <v>18</v>
      </c>
      <c r="I2035" s="1" t="s">
        <v>19</v>
      </c>
      <c r="J2035" s="1">
        <f>IFERROR(__xludf.DUMMYFUNCTION("""COMPUTED_VALUE"""),89.0)</f>
        <v>89</v>
      </c>
      <c r="K2035" s="1">
        <v>23.0</v>
      </c>
      <c r="L2035" s="1">
        <f>IFERROR(__xludf.DUMMYFUNCTION("""COMPUTED_VALUE"""),101.0)</f>
        <v>101</v>
      </c>
    </row>
    <row r="2036">
      <c r="A2036" s="1">
        <v>3527012.0</v>
      </c>
      <c r="B2036" s="1" t="s">
        <v>4363</v>
      </c>
      <c r="C2036" s="1" t="s">
        <v>3831</v>
      </c>
      <c r="D2036" s="1" t="s">
        <v>3925</v>
      </c>
      <c r="E2036" s="1" t="s">
        <v>4364</v>
      </c>
      <c r="F2036" s="1" t="s">
        <v>16</v>
      </c>
      <c r="G2036" s="1" t="s">
        <v>27</v>
      </c>
      <c r="H2036" s="1" t="s">
        <v>28</v>
      </c>
      <c r="I2036" s="1" t="s">
        <v>40</v>
      </c>
      <c r="J2036" s="1">
        <f>IFERROR(__xludf.DUMMYFUNCTION("""COMPUTED_VALUE"""),255.0)</f>
        <v>255</v>
      </c>
      <c r="K2036" s="1">
        <v>57.0</v>
      </c>
      <c r="L2036" s="1">
        <f>IFERROR(__xludf.DUMMYFUNCTION("""COMPUTED_VALUE"""),488.0)</f>
        <v>488</v>
      </c>
    </row>
    <row r="2037">
      <c r="A2037" s="1">
        <v>3578235.0</v>
      </c>
      <c r="B2037" s="1" t="s">
        <v>4365</v>
      </c>
      <c r="C2037" s="1" t="s">
        <v>3831</v>
      </c>
      <c r="D2037" s="1" t="s">
        <v>3847</v>
      </c>
      <c r="E2037" s="1" t="s">
        <v>4366</v>
      </c>
      <c r="F2037" s="1" t="s">
        <v>16</v>
      </c>
      <c r="G2037" s="1" t="s">
        <v>23</v>
      </c>
      <c r="H2037" s="1" t="s">
        <v>18</v>
      </c>
      <c r="I2037" s="1" t="s">
        <v>19</v>
      </c>
      <c r="J2037" s="1">
        <f>IFERROR(__xludf.DUMMYFUNCTION("""COMPUTED_VALUE"""),50.0)</f>
        <v>50</v>
      </c>
      <c r="K2037" s="1">
        <v>23.0</v>
      </c>
      <c r="L2037" s="1">
        <f>IFERROR(__xludf.DUMMYFUNCTION("""COMPUTED_VALUE"""),140.0)</f>
        <v>140</v>
      </c>
    </row>
    <row r="2038">
      <c r="A2038" s="1">
        <v>3577052.0</v>
      </c>
      <c r="B2038" s="1" t="s">
        <v>4367</v>
      </c>
      <c r="C2038" s="1" t="s">
        <v>3831</v>
      </c>
      <c r="D2038" s="1" t="s">
        <v>3906</v>
      </c>
      <c r="E2038" s="1" t="s">
        <v>4368</v>
      </c>
      <c r="F2038" s="1" t="s">
        <v>55</v>
      </c>
      <c r="G2038" s="1" t="s">
        <v>17</v>
      </c>
      <c r="H2038" s="1" t="s">
        <v>18</v>
      </c>
      <c r="I2038" s="1" t="s">
        <v>19</v>
      </c>
      <c r="J2038" s="1">
        <f>IFERROR(__xludf.DUMMYFUNCTION("""COMPUTED_VALUE"""),27.0)</f>
        <v>27</v>
      </c>
      <c r="K2038" s="1">
        <v>19.0</v>
      </c>
      <c r="L2038" s="1">
        <f>IFERROR(__xludf.DUMMYFUNCTION("""COMPUTED_VALUE"""),76.0)</f>
        <v>76</v>
      </c>
    </row>
    <row r="2039">
      <c r="A2039" s="1">
        <v>3516034.0</v>
      </c>
      <c r="B2039" s="1" t="s">
        <v>4369</v>
      </c>
      <c r="C2039" s="1" t="s">
        <v>3831</v>
      </c>
      <c r="D2039" s="1" t="s">
        <v>3909</v>
      </c>
      <c r="E2039" s="1" t="s">
        <v>4370</v>
      </c>
      <c r="F2039" s="1" t="s">
        <v>16</v>
      </c>
      <c r="G2039" s="1" t="s">
        <v>23</v>
      </c>
      <c r="H2039" s="1" t="s">
        <v>18</v>
      </c>
      <c r="I2039" s="1" t="s">
        <v>19</v>
      </c>
      <c r="J2039" s="1">
        <f>IFERROR(__xludf.DUMMYFUNCTION("""COMPUTED_VALUE"""),50.0)</f>
        <v>50</v>
      </c>
      <c r="K2039" s="1">
        <v>17.0</v>
      </c>
      <c r="L2039" s="1">
        <f>IFERROR(__xludf.DUMMYFUNCTION("""COMPUTED_VALUE"""),22.0)</f>
        <v>22</v>
      </c>
    </row>
    <row r="2040">
      <c r="A2040" s="1">
        <v>3510021.0</v>
      </c>
      <c r="B2040" s="1" t="s">
        <v>2256</v>
      </c>
      <c r="C2040" s="1" t="s">
        <v>3831</v>
      </c>
      <c r="D2040" s="1" t="s">
        <v>3844</v>
      </c>
      <c r="E2040" s="1" t="s">
        <v>4371</v>
      </c>
      <c r="F2040" s="1" t="s">
        <v>16</v>
      </c>
      <c r="G2040" s="1" t="s">
        <v>17</v>
      </c>
      <c r="H2040" s="1" t="s">
        <v>18</v>
      </c>
      <c r="I2040" s="1" t="s">
        <v>19</v>
      </c>
      <c r="J2040" s="1">
        <f>IFERROR(__xludf.DUMMYFUNCTION("""COMPUTED_VALUE"""),101.0)</f>
        <v>101</v>
      </c>
      <c r="K2040" s="1">
        <v>50.0</v>
      </c>
      <c r="L2040" s="1">
        <f>IFERROR(__xludf.DUMMYFUNCTION("""COMPUTED_VALUE"""),226.0)</f>
        <v>226</v>
      </c>
    </row>
    <row r="2041">
      <c r="A2041" s="1">
        <v>3578443.0</v>
      </c>
      <c r="B2041" s="1" t="s">
        <v>4372</v>
      </c>
      <c r="C2041" s="1" t="s">
        <v>3831</v>
      </c>
      <c r="D2041" s="1" t="s">
        <v>3847</v>
      </c>
      <c r="E2041" s="1" t="s">
        <v>4373</v>
      </c>
      <c r="F2041" s="1" t="s">
        <v>16</v>
      </c>
      <c r="G2041" s="1" t="s">
        <v>27</v>
      </c>
      <c r="H2041" s="1" t="s">
        <v>18</v>
      </c>
      <c r="I2041" s="1" t="s">
        <v>19</v>
      </c>
      <c r="J2041" s="1">
        <f>IFERROR(__xludf.DUMMYFUNCTION("""COMPUTED_VALUE"""),201.0)</f>
        <v>201</v>
      </c>
      <c r="K2041" s="1">
        <v>110.0</v>
      </c>
      <c r="L2041" s="1">
        <f>IFERROR(__xludf.DUMMYFUNCTION("""COMPUTED_VALUE"""),508.0)</f>
        <v>508</v>
      </c>
    </row>
    <row r="2042">
      <c r="A2042" s="1">
        <v>3579003.0</v>
      </c>
      <c r="B2042" s="1" t="s">
        <v>4374</v>
      </c>
      <c r="C2042" s="1" t="s">
        <v>3831</v>
      </c>
      <c r="D2042" s="1" t="s">
        <v>3922</v>
      </c>
      <c r="E2042" s="1" t="s">
        <v>4375</v>
      </c>
      <c r="F2042" s="1" t="s">
        <v>16</v>
      </c>
      <c r="G2042" s="1" t="s">
        <v>17</v>
      </c>
      <c r="H2042" s="1" t="s">
        <v>33</v>
      </c>
      <c r="I2042" s="1" t="s">
        <v>65</v>
      </c>
      <c r="J2042" s="1">
        <f>IFERROR(__xludf.DUMMYFUNCTION("""COMPUTED_VALUE"""),143.0)</f>
        <v>143</v>
      </c>
      <c r="K2042" s="1">
        <v>32.0</v>
      </c>
      <c r="L2042" s="1">
        <f>IFERROR(__xludf.DUMMYFUNCTION("""COMPUTED_VALUE"""),145.0)</f>
        <v>145</v>
      </c>
    </row>
    <row r="2043">
      <c r="A2043" s="1">
        <v>3573011.0</v>
      </c>
      <c r="B2043" s="1" t="s">
        <v>4376</v>
      </c>
      <c r="C2043" s="1" t="s">
        <v>3831</v>
      </c>
      <c r="D2043" s="1" t="s">
        <v>3938</v>
      </c>
      <c r="E2043" s="1" t="s">
        <v>4377</v>
      </c>
      <c r="F2043" s="1" t="s">
        <v>16</v>
      </c>
      <c r="G2043" s="1" t="s">
        <v>150</v>
      </c>
      <c r="H2043" s="1" t="s">
        <v>28</v>
      </c>
      <c r="I2043" s="1" t="s">
        <v>139</v>
      </c>
      <c r="J2043" s="1">
        <f>IFERROR(__xludf.DUMMYFUNCTION("""COMPUTED_VALUE"""),935.0)</f>
        <v>935</v>
      </c>
      <c r="K2043" s="1">
        <v>157.0</v>
      </c>
      <c r="L2043" s="1">
        <f>IFERROR(__xludf.DUMMYFUNCTION("""COMPUTED_VALUE"""),2983.0)</f>
        <v>2983</v>
      </c>
    </row>
    <row r="2044">
      <c r="A2044" s="1">
        <v>3526032.0</v>
      </c>
      <c r="B2044" s="1" t="s">
        <v>4378</v>
      </c>
      <c r="C2044" s="1" t="s">
        <v>3831</v>
      </c>
      <c r="D2044" s="1" t="s">
        <v>3832</v>
      </c>
      <c r="E2044" s="1" t="s">
        <v>4379</v>
      </c>
      <c r="F2044" s="1" t="s">
        <v>255</v>
      </c>
      <c r="G2044" s="1" t="s">
        <v>17</v>
      </c>
      <c r="H2044" s="1" t="s">
        <v>33</v>
      </c>
      <c r="I2044" s="1" t="s">
        <v>19</v>
      </c>
      <c r="J2044" s="1">
        <f>IFERROR(__xludf.DUMMYFUNCTION("""COMPUTED_VALUE"""),25.0)</f>
        <v>25</v>
      </c>
      <c r="K2044" s="1">
        <v>16.0</v>
      </c>
      <c r="L2044" s="1">
        <f>IFERROR(__xludf.DUMMYFUNCTION("""COMPUTED_VALUE"""),30.0)</f>
        <v>30</v>
      </c>
    </row>
    <row r="2045">
      <c r="A2045" s="1">
        <v>3507260.0</v>
      </c>
      <c r="B2045" s="1" t="s">
        <v>4380</v>
      </c>
      <c r="C2045" s="1" t="s">
        <v>3831</v>
      </c>
      <c r="D2045" s="1" t="s">
        <v>3862</v>
      </c>
      <c r="E2045" s="1" t="s">
        <v>4381</v>
      </c>
      <c r="F2045" s="1" t="s">
        <v>16</v>
      </c>
      <c r="G2045" s="1" t="s">
        <v>23</v>
      </c>
      <c r="H2045" s="1" t="s">
        <v>18</v>
      </c>
      <c r="I2045" s="1" t="s">
        <v>40</v>
      </c>
      <c r="J2045" s="1">
        <f>IFERROR(__xludf.DUMMYFUNCTION("""COMPUTED_VALUE"""),52.0)</f>
        <v>52</v>
      </c>
      <c r="K2045" s="1">
        <v>2.0</v>
      </c>
      <c r="L2045" s="1">
        <f>IFERROR(__xludf.DUMMYFUNCTION("""COMPUTED_VALUE"""),182.0)</f>
        <v>182</v>
      </c>
    </row>
    <row r="2046">
      <c r="A2046" s="1">
        <v>3515106.0</v>
      </c>
      <c r="B2046" s="1" t="s">
        <v>4382</v>
      </c>
      <c r="C2046" s="1" t="s">
        <v>3831</v>
      </c>
      <c r="D2046" s="1" t="s">
        <v>3870</v>
      </c>
      <c r="E2046" s="1" t="s">
        <v>4383</v>
      </c>
      <c r="F2046" s="1" t="s">
        <v>16</v>
      </c>
      <c r="G2046" s="1" t="s">
        <v>27</v>
      </c>
      <c r="H2046" s="1" t="s">
        <v>18</v>
      </c>
      <c r="I2046" s="1" t="s">
        <v>19</v>
      </c>
      <c r="J2046" s="1">
        <f>IFERROR(__xludf.DUMMYFUNCTION("""COMPUTED_VALUE"""),225.0)</f>
        <v>225</v>
      </c>
      <c r="K2046" s="1">
        <v>83.0</v>
      </c>
      <c r="L2046" s="1">
        <f>IFERROR(__xludf.DUMMYFUNCTION("""COMPUTED_VALUE"""),598.0)</f>
        <v>598</v>
      </c>
    </row>
    <row r="2047">
      <c r="A2047" s="1">
        <v>3509140.0</v>
      </c>
      <c r="B2047" s="1" t="s">
        <v>4384</v>
      </c>
      <c r="C2047" s="1" t="s">
        <v>3831</v>
      </c>
      <c r="D2047" s="1" t="s">
        <v>3890</v>
      </c>
      <c r="E2047" s="1" t="s">
        <v>4385</v>
      </c>
      <c r="F2047" s="1" t="s">
        <v>16</v>
      </c>
      <c r="G2047" s="1" t="s">
        <v>17</v>
      </c>
      <c r="H2047" s="1" t="s">
        <v>18</v>
      </c>
      <c r="I2047" s="1" t="s">
        <v>19</v>
      </c>
      <c r="J2047" s="1">
        <f>IFERROR(__xludf.DUMMYFUNCTION("""COMPUTED_VALUE"""),100.0)</f>
        <v>100</v>
      </c>
      <c r="K2047" s="1">
        <v>33.0</v>
      </c>
      <c r="L2047" s="1">
        <f>IFERROR(__xludf.DUMMYFUNCTION("""COMPUTED_VALUE"""),157.0)</f>
        <v>157</v>
      </c>
    </row>
    <row r="2048">
      <c r="A2048" s="1">
        <v>3502010.0</v>
      </c>
      <c r="B2048" s="1" t="s">
        <v>4386</v>
      </c>
      <c r="C2048" s="1" t="s">
        <v>3831</v>
      </c>
      <c r="D2048" s="1" t="s">
        <v>4013</v>
      </c>
      <c r="E2048" s="1" t="s">
        <v>4387</v>
      </c>
      <c r="F2048" s="1" t="s">
        <v>16</v>
      </c>
      <c r="G2048" s="1" t="s">
        <v>27</v>
      </c>
      <c r="H2048" s="1" t="s">
        <v>28</v>
      </c>
      <c r="I2048" s="1" t="s">
        <v>40</v>
      </c>
      <c r="J2048" s="1">
        <f>IFERROR(__xludf.DUMMYFUNCTION("""COMPUTED_VALUE"""),400.0)</f>
        <v>400</v>
      </c>
      <c r="K2048" s="1">
        <v>104.0</v>
      </c>
      <c r="L2048" s="1">
        <f>IFERROR(__xludf.DUMMYFUNCTION("""COMPUTED_VALUE"""),814.0)</f>
        <v>814</v>
      </c>
    </row>
    <row r="2049">
      <c r="A2049" s="1">
        <v>3575013.0</v>
      </c>
      <c r="B2049" s="1" t="s">
        <v>4388</v>
      </c>
      <c r="C2049" s="1" t="s">
        <v>3831</v>
      </c>
      <c r="D2049" s="1" t="s">
        <v>4156</v>
      </c>
      <c r="E2049" s="1" t="s">
        <v>4389</v>
      </c>
      <c r="F2049" s="1" t="s">
        <v>16</v>
      </c>
      <c r="G2049" s="1" t="s">
        <v>17</v>
      </c>
      <c r="H2049" s="1" t="s">
        <v>28</v>
      </c>
      <c r="I2049" s="1" t="s">
        <v>29</v>
      </c>
      <c r="J2049" s="1">
        <f>IFERROR(__xludf.DUMMYFUNCTION("""COMPUTED_VALUE"""),211.0)</f>
        <v>211</v>
      </c>
      <c r="K2049" s="1">
        <v>80.0</v>
      </c>
      <c r="L2049" s="1">
        <f>IFERROR(__xludf.DUMMYFUNCTION("""COMPUTED_VALUE"""),400.0)</f>
        <v>400</v>
      </c>
    </row>
    <row r="2050">
      <c r="A2050" s="1">
        <v>3578770.0</v>
      </c>
      <c r="B2050" s="1" t="s">
        <v>4390</v>
      </c>
      <c r="C2050" s="1" t="s">
        <v>3831</v>
      </c>
      <c r="D2050" s="1" t="s">
        <v>3847</v>
      </c>
      <c r="E2050" s="1" t="s">
        <v>4391</v>
      </c>
      <c r="F2050" s="1" t="s">
        <v>16</v>
      </c>
      <c r="G2050" s="1" t="s">
        <v>23</v>
      </c>
      <c r="H2050" s="1" t="s">
        <v>18</v>
      </c>
      <c r="I2050" s="1" t="s">
        <v>59</v>
      </c>
      <c r="J2050" s="1">
        <f>IFERROR(__xludf.DUMMYFUNCTION("""COMPUTED_VALUE"""),71.0)</f>
        <v>71</v>
      </c>
      <c r="K2050" s="1">
        <v>32.0</v>
      </c>
      <c r="L2050" s="1">
        <f>IFERROR(__xludf.DUMMYFUNCTION("""COMPUTED_VALUE"""),109.0)</f>
        <v>109</v>
      </c>
    </row>
    <row r="2051">
      <c r="A2051" s="1">
        <v>3515133.0</v>
      </c>
      <c r="B2051" s="1" t="s">
        <v>4392</v>
      </c>
      <c r="C2051" s="1" t="s">
        <v>3831</v>
      </c>
      <c r="D2051" s="1" t="s">
        <v>3870</v>
      </c>
      <c r="E2051" s="1" t="s">
        <v>4393</v>
      </c>
      <c r="F2051" s="1" t="s">
        <v>55</v>
      </c>
      <c r="G2051" s="1" t="s">
        <v>17</v>
      </c>
      <c r="H2051" s="1" t="s">
        <v>18</v>
      </c>
      <c r="I2051" s="1" t="s">
        <v>19</v>
      </c>
      <c r="J2051" s="1">
        <f>IFERROR(__xludf.DUMMYFUNCTION("""COMPUTED_VALUE"""),25.0)</f>
        <v>25</v>
      </c>
      <c r="K2051" s="1">
        <v>13.0</v>
      </c>
      <c r="L2051" s="1">
        <f>IFERROR(__xludf.DUMMYFUNCTION("""COMPUTED_VALUE"""),43.0)</f>
        <v>43</v>
      </c>
    </row>
    <row r="2052">
      <c r="A2052" s="1">
        <v>3525097.0</v>
      </c>
      <c r="B2052" s="1" t="s">
        <v>4394</v>
      </c>
      <c r="C2052" s="1" t="s">
        <v>3831</v>
      </c>
      <c r="D2052" s="1" t="s">
        <v>3865</v>
      </c>
      <c r="E2052" s="1" t="s">
        <v>4395</v>
      </c>
      <c r="F2052" s="1" t="s">
        <v>16</v>
      </c>
      <c r="G2052" s="1" t="s">
        <v>23</v>
      </c>
      <c r="H2052" s="1" t="s">
        <v>18</v>
      </c>
      <c r="I2052" s="1" t="s">
        <v>19</v>
      </c>
      <c r="J2052" s="1">
        <f>IFERROR(__xludf.DUMMYFUNCTION("""COMPUTED_VALUE"""),106.0)</f>
        <v>106</v>
      </c>
      <c r="K2052" s="1">
        <v>45.0</v>
      </c>
      <c r="L2052" s="1">
        <f>IFERROR(__xludf.DUMMYFUNCTION("""COMPUTED_VALUE"""),94.0)</f>
        <v>94</v>
      </c>
    </row>
    <row r="2053">
      <c r="A2053" s="1">
        <v>3512038.0</v>
      </c>
      <c r="B2053" s="1" t="s">
        <v>4396</v>
      </c>
      <c r="C2053" s="1" t="s">
        <v>3831</v>
      </c>
      <c r="D2053" s="1" t="s">
        <v>3967</v>
      </c>
      <c r="E2053" s="1" t="s">
        <v>4397</v>
      </c>
      <c r="F2053" s="1" t="s">
        <v>16</v>
      </c>
      <c r="G2053" s="1" t="s">
        <v>23</v>
      </c>
      <c r="H2053" s="1" t="s">
        <v>18</v>
      </c>
      <c r="I2053" s="1" t="s">
        <v>19</v>
      </c>
      <c r="J2053" s="1">
        <f>IFERROR(__xludf.DUMMYFUNCTION("""COMPUTED_VALUE"""),85.0)</f>
        <v>85</v>
      </c>
      <c r="K2053" s="1">
        <v>39.0</v>
      </c>
      <c r="L2053" s="1">
        <f>IFERROR(__xludf.DUMMYFUNCTION("""COMPUTED_VALUE"""),229.0)</f>
        <v>229</v>
      </c>
    </row>
    <row r="2054">
      <c r="A2054" s="1">
        <v>3517098.0</v>
      </c>
      <c r="B2054" s="1" t="s">
        <v>4398</v>
      </c>
      <c r="C2054" s="1" t="s">
        <v>3831</v>
      </c>
      <c r="D2054" s="1" t="s">
        <v>3956</v>
      </c>
      <c r="E2054" s="1" t="s">
        <v>4399</v>
      </c>
      <c r="F2054" s="1" t="s">
        <v>255</v>
      </c>
      <c r="G2054" s="1" t="s">
        <v>17</v>
      </c>
      <c r="H2054" s="1" t="s">
        <v>18</v>
      </c>
      <c r="I2054" s="1" t="s">
        <v>19</v>
      </c>
      <c r="J2054" s="1">
        <f>IFERROR(__xludf.DUMMYFUNCTION("""COMPUTED_VALUE"""),26.0)</f>
        <v>26</v>
      </c>
      <c r="K2054" s="1">
        <v>11.0</v>
      </c>
      <c r="L2054" s="1">
        <f>IFERROR(__xludf.DUMMYFUNCTION("""COMPUTED_VALUE"""),29.0)</f>
        <v>29</v>
      </c>
    </row>
    <row r="2055">
      <c r="A2055" s="1">
        <v>3522025.0</v>
      </c>
      <c r="B2055" s="1" t="s">
        <v>4400</v>
      </c>
      <c r="C2055" s="1" t="s">
        <v>3831</v>
      </c>
      <c r="D2055" s="1" t="s">
        <v>3897</v>
      </c>
      <c r="E2055" s="1" t="s">
        <v>4401</v>
      </c>
      <c r="F2055" s="1" t="s">
        <v>16</v>
      </c>
      <c r="G2055" s="1" t="s">
        <v>17</v>
      </c>
      <c r="H2055" s="1" t="s">
        <v>18</v>
      </c>
      <c r="I2055" s="1" t="s">
        <v>19</v>
      </c>
      <c r="J2055" s="1">
        <f>IFERROR(__xludf.DUMMYFUNCTION("""COMPUTED_VALUE"""),159.0)</f>
        <v>159</v>
      </c>
      <c r="K2055" s="1">
        <v>29.0</v>
      </c>
      <c r="L2055" s="1">
        <f>IFERROR(__xludf.DUMMYFUNCTION("""COMPUTED_VALUE"""),307.0)</f>
        <v>307</v>
      </c>
    </row>
    <row r="2056">
      <c r="A2056" s="1">
        <v>3505035.0</v>
      </c>
      <c r="B2056" s="1" t="s">
        <v>2513</v>
      </c>
      <c r="C2056" s="1" t="s">
        <v>3831</v>
      </c>
      <c r="D2056" s="1" t="s">
        <v>3859</v>
      </c>
      <c r="E2056" s="1" t="s">
        <v>4402</v>
      </c>
      <c r="F2056" s="1" t="s">
        <v>16</v>
      </c>
      <c r="G2056" s="1" t="s">
        <v>17</v>
      </c>
      <c r="H2056" s="1" t="s">
        <v>18</v>
      </c>
      <c r="I2056" s="1" t="s">
        <v>19</v>
      </c>
      <c r="J2056" s="1">
        <f>IFERROR(__xludf.DUMMYFUNCTION("""COMPUTED_VALUE"""),31.0)</f>
        <v>31</v>
      </c>
      <c r="K2056" s="1">
        <v>36.0</v>
      </c>
      <c r="L2056" s="1">
        <f>IFERROR(__xludf.DUMMYFUNCTION("""COMPUTED_VALUE"""),139.0)</f>
        <v>139</v>
      </c>
    </row>
    <row r="2057">
      <c r="A2057" s="1">
        <v>3507248.0</v>
      </c>
      <c r="B2057" s="1" t="s">
        <v>4403</v>
      </c>
      <c r="C2057" s="1" t="s">
        <v>3831</v>
      </c>
      <c r="D2057" s="1" t="s">
        <v>3862</v>
      </c>
      <c r="E2057" s="1" t="s">
        <v>4404</v>
      </c>
      <c r="F2057" s="1" t="s">
        <v>255</v>
      </c>
      <c r="G2057" s="1" t="s">
        <v>17</v>
      </c>
      <c r="H2057" s="1" t="s">
        <v>18</v>
      </c>
      <c r="I2057" s="1" t="s">
        <v>19</v>
      </c>
      <c r="J2057" s="1">
        <f>IFERROR(__xludf.DUMMYFUNCTION("""COMPUTED_VALUE"""),61.0)</f>
        <v>61</v>
      </c>
      <c r="K2057" s="1">
        <v>30.0</v>
      </c>
      <c r="L2057" s="1">
        <f>IFERROR(__xludf.DUMMYFUNCTION("""COMPUTED_VALUE"""),242.0)</f>
        <v>242</v>
      </c>
    </row>
    <row r="2058">
      <c r="A2058" s="1">
        <v>3507015.0</v>
      </c>
      <c r="B2058" s="1" t="s">
        <v>4405</v>
      </c>
      <c r="C2058" s="1" t="s">
        <v>3831</v>
      </c>
      <c r="D2058" s="1" t="s">
        <v>3862</v>
      </c>
      <c r="E2058" s="1" t="s">
        <v>4406</v>
      </c>
      <c r="F2058" s="1" t="s">
        <v>16</v>
      </c>
      <c r="G2058" s="1" t="s">
        <v>23</v>
      </c>
      <c r="H2058" s="1" t="s">
        <v>18</v>
      </c>
      <c r="I2058" s="1" t="s">
        <v>19</v>
      </c>
      <c r="J2058" s="1">
        <f>IFERROR(__xludf.DUMMYFUNCTION("""COMPUTED_VALUE"""),77.0)</f>
        <v>77</v>
      </c>
      <c r="K2058" s="1">
        <v>26.0</v>
      </c>
      <c r="L2058" s="1">
        <f>IFERROR(__xludf.DUMMYFUNCTION("""COMPUTED_VALUE"""),221.0)</f>
        <v>221</v>
      </c>
    </row>
    <row r="2059">
      <c r="A2059" s="1">
        <v>3578016.0</v>
      </c>
      <c r="B2059" s="1" t="s">
        <v>4407</v>
      </c>
      <c r="C2059" s="1" t="s">
        <v>3831</v>
      </c>
      <c r="D2059" s="1" t="s">
        <v>3847</v>
      </c>
      <c r="E2059" s="1" t="s">
        <v>4408</v>
      </c>
      <c r="F2059" s="1" t="s">
        <v>16</v>
      </c>
      <c r="G2059" s="1" t="s">
        <v>150</v>
      </c>
      <c r="H2059" s="1" t="s">
        <v>28</v>
      </c>
      <c r="I2059" s="1" t="s">
        <v>139</v>
      </c>
      <c r="J2059" s="1">
        <f>IFERROR(__xludf.DUMMYFUNCTION("""COMPUTED_VALUE"""),1311.0)</f>
        <v>1311</v>
      </c>
      <c r="K2059" s="1">
        <v>155.0</v>
      </c>
      <c r="L2059" s="1">
        <f>IFERROR(__xludf.DUMMYFUNCTION("""COMPUTED_VALUE"""),7939.0)</f>
        <v>7939</v>
      </c>
    </row>
    <row r="2060">
      <c r="A2060" s="1">
        <v>3515126.0</v>
      </c>
      <c r="B2060" s="1" t="s">
        <v>4409</v>
      </c>
      <c r="C2060" s="1" t="s">
        <v>3831</v>
      </c>
      <c r="D2060" s="1" t="s">
        <v>3870</v>
      </c>
      <c r="E2060" s="1" t="s">
        <v>4410</v>
      </c>
      <c r="F2060" s="1" t="s">
        <v>16</v>
      </c>
      <c r="G2060" s="1" t="s">
        <v>17</v>
      </c>
      <c r="H2060" s="1" t="s">
        <v>18</v>
      </c>
      <c r="I2060" s="1" t="s">
        <v>684</v>
      </c>
      <c r="J2060" s="1">
        <f>IFERROR(__xludf.DUMMYFUNCTION("""COMPUTED_VALUE"""),140.0)</f>
        <v>140</v>
      </c>
      <c r="K2060" s="1">
        <v>35.0</v>
      </c>
      <c r="L2060" s="1">
        <f>IFERROR(__xludf.DUMMYFUNCTION("""COMPUTED_VALUE"""),324.0)</f>
        <v>324</v>
      </c>
    </row>
    <row r="2061">
      <c r="A2061" s="1">
        <v>3525090.0</v>
      </c>
      <c r="B2061" s="1" t="s">
        <v>4411</v>
      </c>
      <c r="C2061" s="1" t="s">
        <v>3831</v>
      </c>
      <c r="D2061" s="1" t="s">
        <v>3865</v>
      </c>
      <c r="E2061" s="1" t="s">
        <v>4412</v>
      </c>
      <c r="F2061" s="1" t="s">
        <v>16</v>
      </c>
      <c r="G2061" s="1" t="s">
        <v>23</v>
      </c>
      <c r="H2061" s="1" t="s">
        <v>18</v>
      </c>
      <c r="I2061" s="1" t="s">
        <v>19</v>
      </c>
      <c r="J2061" s="1">
        <f>IFERROR(__xludf.DUMMYFUNCTION("""COMPUTED_VALUE"""),61.0)</f>
        <v>61</v>
      </c>
      <c r="K2061" s="1">
        <v>67.0</v>
      </c>
      <c r="L2061" s="1">
        <f>IFERROR(__xludf.DUMMYFUNCTION("""COMPUTED_VALUE"""),177.0)</f>
        <v>177</v>
      </c>
    </row>
    <row r="2062">
      <c r="A2062" s="1">
        <v>3571150.0</v>
      </c>
      <c r="B2062" s="1" t="s">
        <v>4413</v>
      </c>
      <c r="C2062" s="1" t="s">
        <v>3831</v>
      </c>
      <c r="D2062" s="1" t="s">
        <v>3930</v>
      </c>
      <c r="E2062" s="1" t="s">
        <v>4414</v>
      </c>
      <c r="F2062" s="1" t="s">
        <v>16</v>
      </c>
      <c r="G2062" s="1" t="s">
        <v>17</v>
      </c>
      <c r="H2062" s="1" t="s">
        <v>18</v>
      </c>
      <c r="I2062" s="1" t="s">
        <v>29</v>
      </c>
      <c r="J2062" s="1">
        <f>IFERROR(__xludf.DUMMYFUNCTION("""COMPUTED_VALUE"""),74.0)</f>
        <v>74</v>
      </c>
      <c r="K2062" s="1">
        <v>25.0</v>
      </c>
      <c r="L2062" s="1">
        <f>IFERROR(__xludf.DUMMYFUNCTION("""COMPUTED_VALUE"""),182.0)</f>
        <v>182</v>
      </c>
    </row>
    <row r="2063">
      <c r="A2063" s="1">
        <v>3509032.0</v>
      </c>
      <c r="B2063" s="1" t="s">
        <v>4415</v>
      </c>
      <c r="C2063" s="1" t="s">
        <v>3831</v>
      </c>
      <c r="D2063" s="1" t="s">
        <v>3890</v>
      </c>
      <c r="E2063" s="1" t="s">
        <v>4416</v>
      </c>
      <c r="F2063" s="1" t="s">
        <v>16</v>
      </c>
      <c r="G2063" s="1" t="s">
        <v>17</v>
      </c>
      <c r="H2063" s="1" t="s">
        <v>18</v>
      </c>
      <c r="I2063" s="1" t="s">
        <v>74</v>
      </c>
      <c r="J2063" s="1">
        <f>IFERROR(__xludf.DUMMYFUNCTION("""COMPUTED_VALUE"""),151.0)</f>
        <v>151</v>
      </c>
      <c r="K2063" s="1">
        <v>34.0</v>
      </c>
      <c r="L2063" s="1">
        <f>IFERROR(__xludf.DUMMYFUNCTION("""COMPUTED_VALUE"""),437.0)</f>
        <v>437</v>
      </c>
    </row>
    <row r="2064">
      <c r="A2064" s="1">
        <v>3578111.0</v>
      </c>
      <c r="B2064" s="1" t="s">
        <v>4417</v>
      </c>
      <c r="C2064" s="1" t="s">
        <v>3831</v>
      </c>
      <c r="D2064" s="1" t="s">
        <v>3847</v>
      </c>
      <c r="E2064" s="1" t="s">
        <v>4418</v>
      </c>
      <c r="F2064" s="1" t="s">
        <v>16</v>
      </c>
      <c r="G2064" s="1" t="s">
        <v>27</v>
      </c>
      <c r="H2064" s="1" t="s">
        <v>18</v>
      </c>
      <c r="I2064" s="1" t="s">
        <v>19</v>
      </c>
      <c r="J2064" s="1">
        <f>IFERROR(__xludf.DUMMYFUNCTION("""COMPUTED_VALUE"""),253.0)</f>
        <v>253</v>
      </c>
      <c r="K2064" s="1">
        <v>113.0</v>
      </c>
      <c r="L2064" s="1">
        <f>IFERROR(__xludf.DUMMYFUNCTION("""COMPUTED_VALUE"""),667.0)</f>
        <v>667</v>
      </c>
    </row>
    <row r="2065">
      <c r="A2065" s="1">
        <v>3505024.0</v>
      </c>
      <c r="B2065" s="1" t="s">
        <v>4419</v>
      </c>
      <c r="C2065" s="1" t="s">
        <v>3831</v>
      </c>
      <c r="D2065" s="1" t="s">
        <v>3859</v>
      </c>
      <c r="E2065" s="1" t="s">
        <v>4420</v>
      </c>
      <c r="F2065" s="1" t="s">
        <v>16</v>
      </c>
      <c r="G2065" s="1" t="s">
        <v>23</v>
      </c>
      <c r="H2065" s="1" t="s">
        <v>18</v>
      </c>
      <c r="I2065" s="1" t="s">
        <v>19</v>
      </c>
      <c r="J2065" s="1">
        <f>IFERROR(__xludf.DUMMYFUNCTION("""COMPUTED_VALUE"""),100.0)</f>
        <v>100</v>
      </c>
      <c r="K2065" s="1">
        <v>29.0</v>
      </c>
      <c r="L2065" s="1">
        <f>IFERROR(__xludf.DUMMYFUNCTION("""COMPUTED_VALUE"""),162.0)</f>
        <v>162</v>
      </c>
    </row>
    <row r="2066">
      <c r="A2066" s="1">
        <v>3578795.0</v>
      </c>
      <c r="B2066" s="1" t="s">
        <v>4421</v>
      </c>
      <c r="C2066" s="1" t="s">
        <v>3831</v>
      </c>
      <c r="D2066" s="1" t="s">
        <v>3847</v>
      </c>
      <c r="E2066" s="1" t="s">
        <v>4422</v>
      </c>
      <c r="F2066" s="1" t="s">
        <v>55</v>
      </c>
      <c r="G2066" s="1" t="s">
        <v>17</v>
      </c>
      <c r="H2066" s="1" t="s">
        <v>18</v>
      </c>
      <c r="I2066" s="1" t="s">
        <v>44</v>
      </c>
      <c r="J2066" s="1">
        <f>IFERROR(__xludf.DUMMYFUNCTION("""COMPUTED_VALUE"""),25.0)</f>
        <v>25</v>
      </c>
      <c r="K2066" s="1">
        <v>15.0</v>
      </c>
      <c r="L2066" s="1">
        <f>IFERROR(__xludf.DUMMYFUNCTION("""COMPUTED_VALUE"""),129.0)</f>
        <v>129</v>
      </c>
    </row>
    <row r="2067">
      <c r="A2067" s="1">
        <v>3508060.0</v>
      </c>
      <c r="B2067" s="1" t="s">
        <v>4423</v>
      </c>
      <c r="C2067" s="1" t="s">
        <v>3831</v>
      </c>
      <c r="D2067" s="1" t="s">
        <v>4135</v>
      </c>
      <c r="E2067" s="1" t="s">
        <v>4424</v>
      </c>
      <c r="F2067" s="1" t="s">
        <v>16</v>
      </c>
      <c r="G2067" s="1" t="s">
        <v>23</v>
      </c>
      <c r="H2067" s="1" t="s">
        <v>18</v>
      </c>
      <c r="I2067" s="1" t="s">
        <v>684</v>
      </c>
      <c r="J2067" s="1">
        <f>IFERROR(__xludf.DUMMYFUNCTION("""COMPUTED_VALUE"""),60.0)</f>
        <v>60</v>
      </c>
      <c r="K2067" s="1">
        <v>26.0</v>
      </c>
      <c r="L2067" s="1">
        <f>IFERROR(__xludf.DUMMYFUNCTION("""COMPUTED_VALUE"""),135.0)</f>
        <v>135</v>
      </c>
    </row>
    <row r="2068">
      <c r="A2068" s="1">
        <v>3571053.0</v>
      </c>
      <c r="B2068" s="1" t="s">
        <v>4425</v>
      </c>
      <c r="C2068" s="1" t="s">
        <v>3831</v>
      </c>
      <c r="D2068" s="1" t="s">
        <v>3930</v>
      </c>
      <c r="E2068" s="1" t="s">
        <v>4426</v>
      </c>
      <c r="F2068" s="1" t="s">
        <v>16</v>
      </c>
      <c r="G2068" s="1" t="s">
        <v>23</v>
      </c>
      <c r="H2068" s="1" t="s">
        <v>28</v>
      </c>
      <c r="I2068" s="1" t="s">
        <v>139</v>
      </c>
      <c r="J2068" s="1">
        <f>IFERROR(__xludf.DUMMYFUNCTION("""COMPUTED_VALUE"""),55.0)</f>
        <v>55</v>
      </c>
      <c r="K2068" s="1">
        <v>53.0</v>
      </c>
      <c r="L2068" s="1">
        <f>IFERROR(__xludf.DUMMYFUNCTION("""COMPUTED_VALUE"""),154.0)</f>
        <v>154</v>
      </c>
    </row>
    <row r="2069">
      <c r="A2069" s="1">
        <v>3520013.0</v>
      </c>
      <c r="B2069" s="1" t="s">
        <v>4427</v>
      </c>
      <c r="C2069" s="1" t="s">
        <v>3831</v>
      </c>
      <c r="D2069" s="1" t="s">
        <v>3878</v>
      </c>
      <c r="E2069" s="1" t="s">
        <v>4428</v>
      </c>
      <c r="F2069" s="1" t="s">
        <v>16</v>
      </c>
      <c r="G2069" s="1" t="s">
        <v>23</v>
      </c>
      <c r="H2069" s="1" t="s">
        <v>18</v>
      </c>
      <c r="I2069" s="1" t="s">
        <v>19</v>
      </c>
      <c r="J2069" s="1">
        <f>IFERROR(__xludf.DUMMYFUNCTION("""COMPUTED_VALUE"""),47.0)</f>
        <v>47</v>
      </c>
      <c r="K2069" s="1">
        <v>8.0</v>
      </c>
      <c r="L2069" s="1">
        <f>IFERROR(__xludf.DUMMYFUNCTION("""COMPUTED_VALUE"""),35.0)</f>
        <v>35</v>
      </c>
    </row>
    <row r="2070">
      <c r="A2070" s="1">
        <v>3517111.0</v>
      </c>
      <c r="B2070" s="1" t="s">
        <v>4429</v>
      </c>
      <c r="C2070" s="1" t="s">
        <v>3831</v>
      </c>
      <c r="D2070" s="1" t="s">
        <v>3956</v>
      </c>
      <c r="E2070" s="1" t="s">
        <v>4430</v>
      </c>
      <c r="F2070" s="1" t="s">
        <v>16</v>
      </c>
      <c r="G2070" s="1" t="s">
        <v>23</v>
      </c>
      <c r="H2070" s="1" t="s">
        <v>18</v>
      </c>
      <c r="I2070" s="1" t="s">
        <v>19</v>
      </c>
      <c r="J2070" s="1">
        <f>IFERROR(__xludf.DUMMYFUNCTION("""COMPUTED_VALUE"""),50.0)</f>
        <v>50</v>
      </c>
      <c r="K2070" s="1">
        <v>27.0</v>
      </c>
      <c r="L2070" s="1">
        <f>IFERROR(__xludf.DUMMYFUNCTION("""COMPUTED_VALUE"""),182.0)</f>
        <v>182</v>
      </c>
    </row>
    <row r="2071">
      <c r="A2071" s="1">
        <v>3513024.0</v>
      </c>
      <c r="B2071" s="1" t="s">
        <v>4431</v>
      </c>
      <c r="C2071" s="1" t="s">
        <v>3831</v>
      </c>
      <c r="D2071" s="1" t="s">
        <v>3853</v>
      </c>
      <c r="E2071" s="1" t="s">
        <v>4432</v>
      </c>
      <c r="F2071" s="1" t="s">
        <v>16</v>
      </c>
      <c r="G2071" s="1" t="s">
        <v>17</v>
      </c>
      <c r="H2071" s="1" t="s">
        <v>18</v>
      </c>
      <c r="I2071" s="1" t="s">
        <v>19</v>
      </c>
      <c r="J2071" s="1">
        <f>IFERROR(__xludf.DUMMYFUNCTION("""COMPUTED_VALUE"""),101.0)</f>
        <v>101</v>
      </c>
      <c r="K2071" s="1">
        <v>27.0</v>
      </c>
      <c r="L2071" s="1">
        <f>IFERROR(__xludf.DUMMYFUNCTION("""COMPUTED_VALUE"""),230.0)</f>
        <v>230</v>
      </c>
    </row>
    <row r="2072">
      <c r="A2072" s="1">
        <v>3578614.0</v>
      </c>
      <c r="B2072" s="1" t="s">
        <v>4433</v>
      </c>
      <c r="C2072" s="1" t="s">
        <v>3831</v>
      </c>
      <c r="D2072" s="1" t="s">
        <v>3847</v>
      </c>
      <c r="E2072" s="1" t="s">
        <v>4434</v>
      </c>
      <c r="F2072" s="1" t="s">
        <v>16</v>
      </c>
      <c r="G2072" s="1" t="s">
        <v>17</v>
      </c>
      <c r="H2072" s="1" t="s">
        <v>18</v>
      </c>
      <c r="I2072" s="1" t="s">
        <v>19</v>
      </c>
      <c r="J2072" s="1">
        <f>IFERROR(__xludf.DUMMYFUNCTION("""COMPUTED_VALUE"""),101.0)</f>
        <v>101</v>
      </c>
      <c r="K2072" s="1">
        <v>32.0</v>
      </c>
      <c r="L2072" s="1">
        <f>IFERROR(__xludf.DUMMYFUNCTION("""COMPUTED_VALUE"""),233.0)</f>
        <v>233</v>
      </c>
    </row>
    <row r="2073">
      <c r="A2073" s="1">
        <v>3573258.0</v>
      </c>
      <c r="B2073" s="1" t="s">
        <v>4435</v>
      </c>
      <c r="C2073" s="1" t="s">
        <v>3831</v>
      </c>
      <c r="D2073" s="1" t="s">
        <v>3938</v>
      </c>
      <c r="E2073" s="1" t="s">
        <v>4436</v>
      </c>
      <c r="F2073" s="1" t="s">
        <v>16</v>
      </c>
      <c r="G2073" s="1" t="s">
        <v>17</v>
      </c>
      <c r="H2073" s="1" t="s">
        <v>28</v>
      </c>
      <c r="I2073" s="1" t="s">
        <v>29</v>
      </c>
      <c r="J2073" s="1">
        <f>IFERROR(__xludf.DUMMYFUNCTION("""COMPUTED_VALUE"""),100.0)</f>
        <v>100</v>
      </c>
      <c r="K2073" s="1">
        <v>38.0</v>
      </c>
      <c r="L2073" s="1">
        <f>IFERROR(__xludf.DUMMYFUNCTION("""COMPUTED_VALUE"""),268.0)</f>
        <v>268</v>
      </c>
    </row>
    <row r="2074">
      <c r="A2074" s="1">
        <v>3516039.0</v>
      </c>
      <c r="B2074" s="1" t="s">
        <v>4437</v>
      </c>
      <c r="C2074" s="1" t="s">
        <v>3831</v>
      </c>
      <c r="D2074" s="1" t="s">
        <v>3909</v>
      </c>
      <c r="E2074" s="1" t="s">
        <v>4438</v>
      </c>
      <c r="F2074" s="1" t="s">
        <v>16</v>
      </c>
      <c r="G2074" s="1" t="s">
        <v>23</v>
      </c>
      <c r="H2074" s="1" t="s">
        <v>18</v>
      </c>
      <c r="I2074" s="1" t="s">
        <v>19</v>
      </c>
      <c r="J2074" s="1">
        <f>IFERROR(__xludf.DUMMYFUNCTION("""COMPUTED_VALUE"""),95.0)</f>
        <v>95</v>
      </c>
      <c r="K2074" s="1">
        <v>25.0</v>
      </c>
      <c r="L2074" s="1">
        <f>IFERROR(__xludf.DUMMYFUNCTION("""COMPUTED_VALUE"""),20.0)</f>
        <v>20</v>
      </c>
    </row>
    <row r="2075">
      <c r="A2075" s="1">
        <v>3515143.0</v>
      </c>
      <c r="B2075" s="1" t="s">
        <v>4439</v>
      </c>
      <c r="C2075" s="1" t="s">
        <v>3831</v>
      </c>
      <c r="D2075" s="1" t="s">
        <v>3870</v>
      </c>
      <c r="E2075" s="1" t="s">
        <v>4440</v>
      </c>
      <c r="F2075" s="1" t="s">
        <v>16</v>
      </c>
      <c r="G2075" s="1" t="s">
        <v>23</v>
      </c>
      <c r="H2075" s="1" t="s">
        <v>18</v>
      </c>
      <c r="I2075" s="1" t="s">
        <v>19</v>
      </c>
      <c r="J2075" s="1">
        <f>IFERROR(__xludf.DUMMYFUNCTION("""COMPUTED_VALUE"""),75.0)</f>
        <v>75</v>
      </c>
      <c r="K2075" s="1">
        <v>23.0</v>
      </c>
      <c r="L2075" s="1">
        <f>IFERROR(__xludf.DUMMYFUNCTION("""COMPUTED_VALUE"""),121.0)</f>
        <v>121</v>
      </c>
    </row>
    <row r="2076">
      <c r="A2076" s="1">
        <v>3573215.0</v>
      </c>
      <c r="B2076" s="1" t="s">
        <v>4441</v>
      </c>
      <c r="C2076" s="1" t="s">
        <v>3831</v>
      </c>
      <c r="D2076" s="1" t="s">
        <v>3938</v>
      </c>
      <c r="E2076" s="1" t="s">
        <v>4442</v>
      </c>
      <c r="F2076" s="1" t="s">
        <v>16</v>
      </c>
      <c r="G2076" s="1" t="s">
        <v>17</v>
      </c>
      <c r="H2076" s="1" t="s">
        <v>18</v>
      </c>
      <c r="I2076" s="1" t="s">
        <v>19</v>
      </c>
      <c r="J2076" s="1">
        <f>IFERROR(__xludf.DUMMYFUNCTION("""COMPUTED_VALUE"""),165.0)</f>
        <v>165</v>
      </c>
      <c r="K2076" s="1">
        <v>87.0</v>
      </c>
      <c r="L2076" s="1">
        <f>IFERROR(__xludf.DUMMYFUNCTION("""COMPUTED_VALUE"""),504.0)</f>
        <v>504</v>
      </c>
    </row>
    <row r="2077">
      <c r="A2077" s="1">
        <v>3508054.0</v>
      </c>
      <c r="B2077" s="1" t="s">
        <v>4443</v>
      </c>
      <c r="C2077" s="1" t="s">
        <v>3831</v>
      </c>
      <c r="D2077" s="1" t="s">
        <v>4135</v>
      </c>
      <c r="E2077" s="1" t="s">
        <v>4444</v>
      </c>
      <c r="F2077" s="1" t="s">
        <v>16</v>
      </c>
      <c r="G2077" s="1" t="s">
        <v>17</v>
      </c>
      <c r="H2077" s="1" t="s">
        <v>33</v>
      </c>
      <c r="I2077" s="1" t="s">
        <v>65</v>
      </c>
      <c r="J2077" s="1">
        <f>IFERROR(__xludf.DUMMYFUNCTION("""COMPUTED_VALUE"""),136.0)</f>
        <v>136</v>
      </c>
      <c r="K2077" s="1">
        <v>85.0</v>
      </c>
      <c r="L2077" s="1">
        <f>IFERROR(__xludf.DUMMYFUNCTION("""COMPUTED_VALUE"""),238.0)</f>
        <v>238</v>
      </c>
    </row>
    <row r="2078">
      <c r="A2078" s="1">
        <v>3524045.0</v>
      </c>
      <c r="B2078" s="1" t="s">
        <v>4445</v>
      </c>
      <c r="C2078" s="1" t="s">
        <v>3831</v>
      </c>
      <c r="D2078" s="1" t="s">
        <v>3856</v>
      </c>
      <c r="E2078" s="1" t="s">
        <v>4446</v>
      </c>
      <c r="F2078" s="1" t="s">
        <v>16</v>
      </c>
      <c r="G2078" s="1" t="s">
        <v>17</v>
      </c>
      <c r="H2078" s="1" t="s">
        <v>18</v>
      </c>
      <c r="I2078" s="1" t="s">
        <v>44</v>
      </c>
      <c r="J2078" s="1">
        <f>IFERROR(__xludf.DUMMYFUNCTION("""COMPUTED_VALUE"""),104.0)</f>
        <v>104</v>
      </c>
      <c r="K2078" s="1">
        <v>44.0</v>
      </c>
      <c r="L2078" s="1">
        <f>IFERROR(__xludf.DUMMYFUNCTION("""COMPUTED_VALUE"""),156.0)</f>
        <v>156</v>
      </c>
    </row>
    <row r="2079">
      <c r="A2079" s="1">
        <v>3527025.0</v>
      </c>
      <c r="B2079" s="1" t="s">
        <v>4447</v>
      </c>
      <c r="C2079" s="1" t="s">
        <v>3831</v>
      </c>
      <c r="D2079" s="1" t="s">
        <v>3925</v>
      </c>
      <c r="E2079" s="1" t="s">
        <v>4448</v>
      </c>
      <c r="F2079" s="1" t="s">
        <v>16</v>
      </c>
      <c r="G2079" s="1" t="s">
        <v>23</v>
      </c>
      <c r="H2079" s="1" t="s">
        <v>18</v>
      </c>
      <c r="I2079" s="1" t="s">
        <v>19</v>
      </c>
      <c r="J2079" s="1">
        <f>IFERROR(__xludf.DUMMYFUNCTION("""COMPUTED_VALUE"""),57.0)</f>
        <v>57</v>
      </c>
      <c r="K2079" s="1">
        <v>20.0</v>
      </c>
      <c r="L2079" s="1">
        <f>IFERROR(__xludf.DUMMYFUNCTION("""COMPUTED_VALUE"""),182.0)</f>
        <v>182</v>
      </c>
    </row>
    <row r="2080">
      <c r="A2080" s="1">
        <v>3518011.0</v>
      </c>
      <c r="B2080" s="1" t="s">
        <v>4449</v>
      </c>
      <c r="C2080" s="1" t="s">
        <v>3831</v>
      </c>
      <c r="D2080" s="1" t="s">
        <v>3835</v>
      </c>
      <c r="E2080" s="1" t="s">
        <v>4450</v>
      </c>
      <c r="F2080" s="1" t="s">
        <v>16</v>
      </c>
      <c r="G2080" s="1" t="s">
        <v>27</v>
      </c>
      <c r="H2080" s="1" t="s">
        <v>28</v>
      </c>
      <c r="I2080" s="1" t="s">
        <v>40</v>
      </c>
      <c r="J2080" s="1">
        <f>IFERROR(__xludf.DUMMYFUNCTION("""COMPUTED_VALUE"""),350.0)</f>
        <v>350</v>
      </c>
      <c r="K2080" s="1">
        <v>86.0</v>
      </c>
      <c r="L2080" s="1">
        <f>IFERROR(__xludf.DUMMYFUNCTION("""COMPUTED_VALUE"""),696.0)</f>
        <v>696</v>
      </c>
    </row>
    <row r="2081">
      <c r="A2081" s="1">
        <v>3504057.0</v>
      </c>
      <c r="B2081" s="1" t="s">
        <v>4451</v>
      </c>
      <c r="C2081" s="1" t="s">
        <v>3831</v>
      </c>
      <c r="D2081" s="1" t="s">
        <v>3850</v>
      </c>
      <c r="E2081" s="1" t="s">
        <v>4452</v>
      </c>
      <c r="F2081" s="1" t="s">
        <v>55</v>
      </c>
      <c r="G2081" s="1" t="s">
        <v>17</v>
      </c>
      <c r="H2081" s="1" t="s">
        <v>18</v>
      </c>
      <c r="I2081" s="1" t="s">
        <v>19</v>
      </c>
      <c r="J2081" s="1">
        <f>IFERROR(__xludf.DUMMYFUNCTION("""COMPUTED_VALUE"""),49.0)</f>
        <v>49</v>
      </c>
      <c r="K2081" s="1">
        <v>12.0</v>
      </c>
      <c r="L2081" s="1">
        <f>IFERROR(__xludf.DUMMYFUNCTION("""COMPUTED_VALUE"""),63.0)</f>
        <v>63</v>
      </c>
    </row>
    <row r="2082">
      <c r="A2082" s="1">
        <v>3516075.0</v>
      </c>
      <c r="B2082" s="1" t="s">
        <v>4453</v>
      </c>
      <c r="C2082" s="1" t="s">
        <v>3831</v>
      </c>
      <c r="D2082" s="1" t="s">
        <v>3909</v>
      </c>
      <c r="E2082" s="1" t="s">
        <v>4454</v>
      </c>
      <c r="F2082" s="1" t="s">
        <v>16</v>
      </c>
      <c r="G2082" s="1" t="s">
        <v>17</v>
      </c>
      <c r="H2082" s="1" t="s">
        <v>18</v>
      </c>
      <c r="I2082" s="1" t="s">
        <v>44</v>
      </c>
      <c r="J2082" s="1">
        <f>IFERROR(__xludf.DUMMYFUNCTION("""COMPUTED_VALUE"""),144.0)</f>
        <v>144</v>
      </c>
      <c r="K2082" s="1">
        <v>33.0</v>
      </c>
      <c r="L2082" s="1">
        <f>IFERROR(__xludf.DUMMYFUNCTION("""COMPUTED_VALUE"""),173.0)</f>
        <v>173</v>
      </c>
    </row>
    <row r="2083">
      <c r="A2083" s="1">
        <v>3505013.0</v>
      </c>
      <c r="B2083" s="1" t="s">
        <v>4455</v>
      </c>
      <c r="C2083" s="1" t="s">
        <v>3831</v>
      </c>
      <c r="D2083" s="1" t="s">
        <v>3859</v>
      </c>
      <c r="E2083" s="1" t="s">
        <v>4456</v>
      </c>
      <c r="F2083" s="1" t="s">
        <v>16</v>
      </c>
      <c r="G2083" s="1" t="s">
        <v>27</v>
      </c>
      <c r="H2083" s="1" t="s">
        <v>28</v>
      </c>
      <c r="I2083" s="1" t="s">
        <v>40</v>
      </c>
      <c r="J2083" s="1">
        <f>IFERROR(__xludf.DUMMYFUNCTION("""COMPUTED_VALUE"""),206.0)</f>
        <v>206</v>
      </c>
      <c r="K2083" s="1">
        <v>136.0</v>
      </c>
      <c r="L2083" s="1">
        <f>IFERROR(__xludf.DUMMYFUNCTION("""COMPUTED_VALUE"""),674.0)</f>
        <v>674</v>
      </c>
    </row>
    <row r="2084">
      <c r="A2084" s="1">
        <v>3577030.0</v>
      </c>
      <c r="B2084" s="1" t="s">
        <v>4457</v>
      </c>
      <c r="C2084" s="1" t="s">
        <v>3831</v>
      </c>
      <c r="D2084" s="1" t="s">
        <v>3906</v>
      </c>
      <c r="E2084" s="1" t="s">
        <v>4458</v>
      </c>
      <c r="F2084" s="1" t="s">
        <v>16</v>
      </c>
      <c r="G2084" s="1" t="s">
        <v>23</v>
      </c>
      <c r="H2084" s="1" t="s">
        <v>18</v>
      </c>
      <c r="I2084" s="1" t="s">
        <v>74</v>
      </c>
      <c r="J2084" s="1">
        <f>IFERROR(__xludf.DUMMYFUNCTION("""COMPUTED_VALUE"""),67.0)</f>
        <v>67</v>
      </c>
      <c r="K2084" s="1">
        <v>24.0</v>
      </c>
      <c r="L2084" s="1">
        <f>IFERROR(__xludf.DUMMYFUNCTION("""COMPUTED_VALUE"""),169.0)</f>
        <v>169</v>
      </c>
    </row>
    <row r="2085">
      <c r="A2085" s="1">
        <v>3518046.0</v>
      </c>
      <c r="B2085" s="1" t="s">
        <v>4459</v>
      </c>
      <c r="C2085" s="1" t="s">
        <v>3831</v>
      </c>
      <c r="D2085" s="1" t="s">
        <v>3835</v>
      </c>
      <c r="E2085" s="1" t="s">
        <v>4460</v>
      </c>
      <c r="F2085" s="1" t="s">
        <v>16</v>
      </c>
      <c r="G2085" s="1" t="s">
        <v>23</v>
      </c>
      <c r="H2085" s="1" t="s">
        <v>18</v>
      </c>
      <c r="I2085" s="1" t="s">
        <v>684</v>
      </c>
      <c r="J2085" s="1">
        <f>IFERROR(__xludf.DUMMYFUNCTION("""COMPUTED_VALUE"""),107.0)</f>
        <v>107</v>
      </c>
      <c r="K2085" s="1">
        <v>53.0</v>
      </c>
      <c r="L2085" s="1">
        <f>IFERROR(__xludf.DUMMYFUNCTION("""COMPUTED_VALUE"""),241.0)</f>
        <v>241</v>
      </c>
    </row>
    <row r="2086">
      <c r="A2086" s="1">
        <v>3504071.0</v>
      </c>
      <c r="B2086" s="1" t="s">
        <v>4461</v>
      </c>
      <c r="C2086" s="1" t="s">
        <v>3831</v>
      </c>
      <c r="D2086" s="1" t="s">
        <v>3850</v>
      </c>
      <c r="E2086" s="1" t="s">
        <v>4462</v>
      </c>
      <c r="F2086" s="1" t="s">
        <v>16</v>
      </c>
      <c r="G2086" s="1" t="s">
        <v>23</v>
      </c>
      <c r="H2086" s="1" t="s">
        <v>18</v>
      </c>
      <c r="I2086" s="1" t="s">
        <v>684</v>
      </c>
      <c r="J2086" s="1">
        <f>IFERROR(__xludf.DUMMYFUNCTION("""COMPUTED_VALUE"""),66.0)</f>
        <v>66</v>
      </c>
      <c r="K2086" s="1">
        <v>50.0</v>
      </c>
      <c r="L2086" s="1">
        <f>IFERROR(__xludf.DUMMYFUNCTION("""COMPUTED_VALUE"""),93.0)</f>
        <v>93</v>
      </c>
    </row>
    <row r="2087">
      <c r="A2087" s="1">
        <v>3578777.0</v>
      </c>
      <c r="B2087" s="1" t="s">
        <v>4463</v>
      </c>
      <c r="C2087" s="1" t="s">
        <v>3831</v>
      </c>
      <c r="D2087" s="1" t="s">
        <v>3847</v>
      </c>
      <c r="E2087" s="1" t="s">
        <v>4464</v>
      </c>
      <c r="F2087" s="1" t="s">
        <v>16</v>
      </c>
      <c r="G2087" s="1" t="s">
        <v>27</v>
      </c>
      <c r="H2087" s="1" t="s">
        <v>18</v>
      </c>
      <c r="I2087" s="1" t="s">
        <v>34</v>
      </c>
      <c r="J2087" s="1">
        <f>IFERROR(__xludf.DUMMYFUNCTION("""COMPUTED_VALUE"""),399.0)</f>
        <v>399</v>
      </c>
      <c r="K2087" s="1">
        <v>99.0</v>
      </c>
      <c r="L2087" s="1">
        <f>IFERROR(__xludf.DUMMYFUNCTION("""COMPUTED_VALUE"""),873.0)</f>
        <v>873</v>
      </c>
    </row>
    <row r="2088">
      <c r="A2088" s="1">
        <v>3573256.0</v>
      </c>
      <c r="B2088" s="1" t="s">
        <v>4465</v>
      </c>
      <c r="C2088" s="1" t="s">
        <v>3831</v>
      </c>
      <c r="D2088" s="1" t="s">
        <v>3862</v>
      </c>
      <c r="E2088" s="1" t="s">
        <v>4466</v>
      </c>
      <c r="F2088" s="1" t="s">
        <v>16</v>
      </c>
      <c r="G2088" s="1" t="s">
        <v>23</v>
      </c>
      <c r="H2088" s="1" t="s">
        <v>18</v>
      </c>
      <c r="I2088" s="1" t="s">
        <v>74</v>
      </c>
      <c r="J2088" s="1">
        <f>IFERROR(__xludf.DUMMYFUNCTION("""COMPUTED_VALUE"""),47.0)</f>
        <v>47</v>
      </c>
      <c r="K2088" s="1">
        <v>34.0</v>
      </c>
      <c r="L2088" s="1">
        <f>IFERROR(__xludf.DUMMYFUNCTION("""COMPUTED_VALUE"""),52.0)</f>
        <v>52</v>
      </c>
    </row>
    <row r="2089">
      <c r="A2089" s="1">
        <v>3578816.0</v>
      </c>
      <c r="B2089" s="1" t="s">
        <v>4467</v>
      </c>
      <c r="C2089" s="1" t="s">
        <v>3831</v>
      </c>
      <c r="D2089" s="1" t="s">
        <v>3847</v>
      </c>
      <c r="E2089" s="1" t="s">
        <v>4468</v>
      </c>
      <c r="F2089" s="1" t="s">
        <v>55</v>
      </c>
      <c r="G2089" s="1" t="s">
        <v>17</v>
      </c>
      <c r="H2089" s="1" t="s">
        <v>18</v>
      </c>
      <c r="I2089" s="1" t="s">
        <v>19</v>
      </c>
      <c r="J2089" s="1">
        <f>IFERROR(__xludf.DUMMYFUNCTION("""COMPUTED_VALUE"""),18.0)</f>
        <v>18</v>
      </c>
      <c r="K2089" s="1">
        <v>28.0</v>
      </c>
      <c r="L2089" s="1">
        <f>IFERROR(__xludf.DUMMYFUNCTION("""COMPUTED_VALUE"""),182.0)</f>
        <v>182</v>
      </c>
    </row>
    <row r="2090">
      <c r="A2090" s="1">
        <v>3524031.0</v>
      </c>
      <c r="B2090" s="1" t="s">
        <v>4469</v>
      </c>
      <c r="C2090" s="1" t="s">
        <v>3831</v>
      </c>
      <c r="D2090" s="1" t="s">
        <v>3856</v>
      </c>
      <c r="E2090" s="1" t="s">
        <v>4470</v>
      </c>
      <c r="F2090" s="1" t="s">
        <v>16</v>
      </c>
      <c r="G2090" s="1" t="s">
        <v>27</v>
      </c>
      <c r="H2090" s="1" t="s">
        <v>18</v>
      </c>
      <c r="I2090" s="1" t="s">
        <v>19</v>
      </c>
      <c r="J2090" s="1">
        <f>IFERROR(__xludf.DUMMYFUNCTION("""COMPUTED_VALUE"""),220.0)</f>
        <v>220</v>
      </c>
      <c r="K2090" s="1">
        <v>121.0</v>
      </c>
      <c r="L2090" s="1">
        <f>IFERROR(__xludf.DUMMYFUNCTION("""COMPUTED_VALUE"""),784.0)</f>
        <v>784</v>
      </c>
    </row>
    <row r="2091">
      <c r="A2091" s="1">
        <v>3517091.0</v>
      </c>
      <c r="B2091" s="1" t="s">
        <v>4471</v>
      </c>
      <c r="C2091" s="1" t="s">
        <v>3831</v>
      </c>
      <c r="D2091" s="1" t="s">
        <v>3956</v>
      </c>
      <c r="E2091" s="1" t="s">
        <v>4472</v>
      </c>
      <c r="F2091" s="1" t="s">
        <v>16</v>
      </c>
      <c r="G2091" s="1" t="s">
        <v>23</v>
      </c>
      <c r="H2091" s="1" t="s">
        <v>18</v>
      </c>
      <c r="I2091" s="1" t="s">
        <v>44</v>
      </c>
      <c r="J2091" s="1">
        <f>IFERROR(__xludf.DUMMYFUNCTION("""COMPUTED_VALUE"""),58.0)</f>
        <v>58</v>
      </c>
      <c r="K2091" s="1">
        <v>20.0</v>
      </c>
      <c r="L2091" s="1">
        <f>IFERROR(__xludf.DUMMYFUNCTION("""COMPUTED_VALUE"""),106.0)</f>
        <v>106</v>
      </c>
    </row>
    <row r="2092">
      <c r="A2092" s="1">
        <v>3525096.0</v>
      </c>
      <c r="B2092" s="1" t="s">
        <v>4473</v>
      </c>
      <c r="C2092" s="1" t="s">
        <v>3831</v>
      </c>
      <c r="D2092" s="1" t="s">
        <v>3865</v>
      </c>
      <c r="E2092" s="1" t="s">
        <v>4474</v>
      </c>
      <c r="F2092" s="1" t="s">
        <v>16</v>
      </c>
      <c r="G2092" s="1" t="s">
        <v>17</v>
      </c>
      <c r="H2092" s="1" t="s">
        <v>18</v>
      </c>
      <c r="I2092" s="1" t="s">
        <v>19</v>
      </c>
      <c r="J2092" s="1">
        <f>IFERROR(__xludf.DUMMYFUNCTION("""COMPUTED_VALUE"""),101.0)</f>
        <v>101</v>
      </c>
      <c r="K2092" s="1">
        <v>49.0</v>
      </c>
      <c r="L2092" s="1">
        <f>IFERROR(__xludf.DUMMYFUNCTION("""COMPUTED_VALUE"""),160.0)</f>
        <v>160</v>
      </c>
    </row>
    <row r="2093">
      <c r="A2093" s="1">
        <v>3575016.0</v>
      </c>
      <c r="B2093" s="1" t="s">
        <v>4475</v>
      </c>
      <c r="C2093" s="1" t="s">
        <v>3831</v>
      </c>
      <c r="D2093" s="1" t="s">
        <v>3875</v>
      </c>
      <c r="E2093" s="1" t="s">
        <v>4476</v>
      </c>
      <c r="F2093" s="1" t="s">
        <v>16</v>
      </c>
      <c r="G2093" s="1" t="s">
        <v>23</v>
      </c>
      <c r="H2093" s="1" t="s">
        <v>18</v>
      </c>
      <c r="I2093" s="1" t="s">
        <v>19</v>
      </c>
      <c r="J2093" s="1">
        <f>IFERROR(__xludf.DUMMYFUNCTION("""COMPUTED_VALUE"""),64.0)</f>
        <v>64</v>
      </c>
      <c r="K2093" s="1">
        <v>32.0</v>
      </c>
      <c r="L2093" s="1">
        <f>IFERROR(__xludf.DUMMYFUNCTION("""COMPUTED_VALUE"""),186.0)</f>
        <v>186</v>
      </c>
    </row>
    <row r="2094">
      <c r="A2094" s="1">
        <v>3524074.0</v>
      </c>
      <c r="B2094" s="1" t="s">
        <v>4477</v>
      </c>
      <c r="C2094" s="1" t="s">
        <v>3831</v>
      </c>
      <c r="D2094" s="1" t="s">
        <v>3856</v>
      </c>
      <c r="E2094" s="1" t="s">
        <v>4478</v>
      </c>
      <c r="F2094" s="1" t="s">
        <v>16</v>
      </c>
      <c r="G2094" s="1" t="s">
        <v>23</v>
      </c>
      <c r="H2094" s="1" t="s">
        <v>18</v>
      </c>
      <c r="I2094" s="1" t="s">
        <v>44</v>
      </c>
      <c r="J2094" s="1">
        <f>IFERROR(__xludf.DUMMYFUNCTION("""COMPUTED_VALUE"""),54.0)</f>
        <v>54</v>
      </c>
      <c r="K2094" s="1">
        <v>13.0</v>
      </c>
      <c r="L2094" s="1">
        <f>IFERROR(__xludf.DUMMYFUNCTION("""COMPUTED_VALUE"""),182.0)</f>
        <v>182</v>
      </c>
    </row>
    <row r="2095">
      <c r="A2095" s="1">
        <v>3528024.0</v>
      </c>
      <c r="B2095" s="1" t="s">
        <v>4479</v>
      </c>
      <c r="C2095" s="1" t="s">
        <v>3831</v>
      </c>
      <c r="D2095" s="1" t="s">
        <v>3841</v>
      </c>
      <c r="E2095" s="1" t="s">
        <v>4480</v>
      </c>
      <c r="F2095" s="1" t="s">
        <v>16</v>
      </c>
      <c r="G2095" s="1" t="s">
        <v>23</v>
      </c>
      <c r="H2095" s="1" t="s">
        <v>18</v>
      </c>
      <c r="I2095" s="1" t="s">
        <v>19</v>
      </c>
      <c r="J2095" s="1">
        <f>IFERROR(__xludf.DUMMYFUNCTION("""COMPUTED_VALUE"""),67.0)</f>
        <v>67</v>
      </c>
      <c r="K2095" s="1">
        <v>64.0</v>
      </c>
      <c r="L2095" s="1">
        <f>IFERROR(__xludf.DUMMYFUNCTION("""COMPUTED_VALUE"""),147.0)</f>
        <v>147</v>
      </c>
    </row>
    <row r="2096">
      <c r="A2096" s="1">
        <v>3504073.0</v>
      </c>
      <c r="B2096" s="1" t="s">
        <v>4481</v>
      </c>
      <c r="C2096" s="1" t="s">
        <v>3831</v>
      </c>
      <c r="D2096" s="1" t="s">
        <v>3850</v>
      </c>
      <c r="E2096" s="1" t="s">
        <v>4482</v>
      </c>
      <c r="F2096" s="1" t="s">
        <v>16</v>
      </c>
      <c r="G2096" s="1" t="s">
        <v>17</v>
      </c>
      <c r="H2096" s="1" t="s">
        <v>18</v>
      </c>
      <c r="I2096" s="1" t="s">
        <v>19</v>
      </c>
      <c r="J2096" s="1">
        <f>IFERROR(__xludf.DUMMYFUNCTION("""COMPUTED_VALUE"""),98.0)</f>
        <v>98</v>
      </c>
      <c r="K2096" s="1">
        <v>33.0</v>
      </c>
      <c r="L2096" s="1">
        <f>IFERROR(__xludf.DUMMYFUNCTION("""COMPUTED_VALUE"""),173.0)</f>
        <v>173</v>
      </c>
    </row>
    <row r="2097">
      <c r="A2097" s="1">
        <v>3509137.0</v>
      </c>
      <c r="B2097" s="1" t="s">
        <v>4483</v>
      </c>
      <c r="C2097" s="1" t="s">
        <v>3831</v>
      </c>
      <c r="D2097" s="1" t="s">
        <v>3890</v>
      </c>
      <c r="E2097" s="1" t="s">
        <v>4484</v>
      </c>
      <c r="F2097" s="1" t="s">
        <v>16</v>
      </c>
      <c r="G2097" s="1" t="s">
        <v>17</v>
      </c>
      <c r="H2097" s="1" t="s">
        <v>18</v>
      </c>
      <c r="I2097" s="1" t="s">
        <v>59</v>
      </c>
      <c r="J2097" s="1">
        <f>IFERROR(__xludf.DUMMYFUNCTION("""COMPUTED_VALUE"""),100.0)</f>
        <v>100</v>
      </c>
      <c r="K2097" s="1">
        <v>16.0</v>
      </c>
      <c r="L2097" s="1">
        <f>IFERROR(__xludf.DUMMYFUNCTION("""COMPUTED_VALUE"""),155.0)</f>
        <v>155</v>
      </c>
    </row>
    <row r="2098">
      <c r="A2098" s="1">
        <v>3510054.0</v>
      </c>
      <c r="B2098" s="1" t="s">
        <v>4485</v>
      </c>
      <c r="C2098" s="1" t="s">
        <v>3831</v>
      </c>
      <c r="D2098" s="1" t="s">
        <v>3844</v>
      </c>
      <c r="E2098" s="1" t="s">
        <v>4486</v>
      </c>
      <c r="F2098" s="1" t="s">
        <v>16</v>
      </c>
      <c r="G2098" s="1" t="s">
        <v>17</v>
      </c>
      <c r="H2098" s="1" t="s">
        <v>18</v>
      </c>
      <c r="I2098" s="1" t="s">
        <v>19</v>
      </c>
      <c r="J2098" s="1">
        <f>IFERROR(__xludf.DUMMYFUNCTION("""COMPUTED_VALUE"""),103.0)</f>
        <v>103</v>
      </c>
      <c r="K2098" s="1">
        <v>31.0</v>
      </c>
      <c r="L2098" s="1">
        <f>IFERROR(__xludf.DUMMYFUNCTION("""COMPUTED_VALUE"""),149.0)</f>
        <v>149</v>
      </c>
    </row>
    <row r="2099">
      <c r="A2099" s="1">
        <v>3578523.0</v>
      </c>
      <c r="B2099" s="1" t="s">
        <v>4487</v>
      </c>
      <c r="C2099" s="1" t="s">
        <v>3831</v>
      </c>
      <c r="D2099" s="1" t="s">
        <v>3847</v>
      </c>
      <c r="E2099" s="1" t="s">
        <v>4488</v>
      </c>
      <c r="F2099" s="1" t="s">
        <v>16</v>
      </c>
      <c r="G2099" s="1" t="s">
        <v>27</v>
      </c>
      <c r="H2099" s="1" t="s">
        <v>28</v>
      </c>
      <c r="I2099" s="1" t="s">
        <v>139</v>
      </c>
      <c r="J2099" s="1">
        <f>IFERROR(__xludf.DUMMYFUNCTION("""COMPUTED_VALUE"""),301.0)</f>
        <v>301</v>
      </c>
      <c r="K2099" s="1">
        <v>63.0</v>
      </c>
      <c r="L2099" s="1">
        <f>IFERROR(__xludf.DUMMYFUNCTION("""COMPUTED_VALUE"""),1176.0)</f>
        <v>1176</v>
      </c>
    </row>
    <row r="2100">
      <c r="A2100" s="1">
        <v>3573044.0</v>
      </c>
      <c r="B2100" s="1" t="s">
        <v>4489</v>
      </c>
      <c r="C2100" s="1" t="s">
        <v>3831</v>
      </c>
      <c r="D2100" s="1" t="s">
        <v>3938</v>
      </c>
      <c r="E2100" s="1" t="s">
        <v>4490</v>
      </c>
      <c r="F2100" s="1" t="s">
        <v>16</v>
      </c>
      <c r="G2100" s="1" t="s">
        <v>27</v>
      </c>
      <c r="H2100" s="1" t="s">
        <v>18</v>
      </c>
      <c r="I2100" s="1" t="s">
        <v>19</v>
      </c>
      <c r="J2100" s="1">
        <f>IFERROR(__xludf.DUMMYFUNCTION("""COMPUTED_VALUE"""),200.0)</f>
        <v>200</v>
      </c>
      <c r="K2100" s="1">
        <v>63.0</v>
      </c>
      <c r="L2100" s="1">
        <f>IFERROR(__xludf.DUMMYFUNCTION("""COMPUTED_VALUE"""),763.0)</f>
        <v>763</v>
      </c>
    </row>
    <row r="2101">
      <c r="A2101" s="1">
        <v>3578780.0</v>
      </c>
      <c r="B2101" s="1" t="s">
        <v>4491</v>
      </c>
      <c r="C2101" s="1" t="s">
        <v>3831</v>
      </c>
      <c r="D2101" s="1" t="s">
        <v>3847</v>
      </c>
      <c r="E2101" s="1" t="s">
        <v>4492</v>
      </c>
      <c r="F2101" s="1" t="s">
        <v>1970</v>
      </c>
      <c r="G2101" s="1" t="s">
        <v>17</v>
      </c>
      <c r="H2101" s="1" t="s">
        <v>18</v>
      </c>
      <c r="I2101" s="1" t="s">
        <v>44</v>
      </c>
      <c r="J2101" s="1">
        <f>IFERROR(__xludf.DUMMYFUNCTION("""COMPUTED_VALUE"""),36.0)</f>
        <v>36</v>
      </c>
      <c r="K2101" s="1">
        <v>63.0</v>
      </c>
      <c r="L2101" s="1">
        <f>IFERROR(__xludf.DUMMYFUNCTION("""COMPUTED_VALUE"""),194.0)</f>
        <v>194</v>
      </c>
    </row>
    <row r="2102">
      <c r="A2102" s="1">
        <v>3516016.0</v>
      </c>
      <c r="B2102" s="1" t="s">
        <v>4493</v>
      </c>
      <c r="C2102" s="1" t="s">
        <v>3831</v>
      </c>
      <c r="D2102" s="1" t="s">
        <v>3909</v>
      </c>
      <c r="E2102" s="1" t="s">
        <v>4494</v>
      </c>
      <c r="F2102" s="1" t="s">
        <v>16</v>
      </c>
      <c r="G2102" s="1" t="s">
        <v>17</v>
      </c>
      <c r="H2102" s="1" t="s">
        <v>28</v>
      </c>
      <c r="I2102" s="1" t="s">
        <v>139</v>
      </c>
      <c r="J2102" s="1">
        <f>IFERROR(__xludf.DUMMYFUNCTION("""COMPUTED_VALUE"""),131.0)</f>
        <v>131</v>
      </c>
      <c r="K2102" s="1">
        <v>102.0</v>
      </c>
      <c r="L2102" s="1">
        <f>IFERROR(__xludf.DUMMYFUNCTION("""COMPUTED_VALUE"""),328.0)</f>
        <v>328</v>
      </c>
    </row>
    <row r="2103">
      <c r="A2103" s="1">
        <v>3578773.0</v>
      </c>
      <c r="B2103" s="1" t="s">
        <v>4495</v>
      </c>
      <c r="C2103" s="1" t="s">
        <v>3831</v>
      </c>
      <c r="D2103" s="1" t="s">
        <v>3847</v>
      </c>
      <c r="E2103" s="1" t="s">
        <v>4496</v>
      </c>
      <c r="F2103" s="1" t="s">
        <v>55</v>
      </c>
      <c r="G2103" s="1" t="s">
        <v>17</v>
      </c>
      <c r="H2103" s="1" t="s">
        <v>18</v>
      </c>
      <c r="I2103" s="1" t="s">
        <v>74</v>
      </c>
      <c r="J2103" s="1">
        <f>IFERROR(__xludf.DUMMYFUNCTION("""COMPUTED_VALUE"""),64.0)</f>
        <v>64</v>
      </c>
      <c r="K2103" s="1">
        <v>19.0</v>
      </c>
      <c r="L2103" s="1">
        <f>IFERROR(__xludf.DUMMYFUNCTION("""COMPUTED_VALUE"""),66.0)</f>
        <v>66</v>
      </c>
    </row>
    <row r="2104">
      <c r="A2104" s="1">
        <v>3502123.0</v>
      </c>
      <c r="B2104" s="1" t="s">
        <v>4497</v>
      </c>
      <c r="C2104" s="1" t="s">
        <v>3831</v>
      </c>
      <c r="D2104" s="1" t="s">
        <v>4013</v>
      </c>
      <c r="E2104" s="1" t="s">
        <v>4498</v>
      </c>
      <c r="F2104" s="1" t="s">
        <v>16</v>
      </c>
      <c r="G2104" s="1" t="s">
        <v>17</v>
      </c>
      <c r="H2104" s="1" t="s">
        <v>18</v>
      </c>
      <c r="I2104" s="1" t="s">
        <v>19</v>
      </c>
      <c r="J2104" s="1">
        <f>IFERROR(__xludf.DUMMYFUNCTION("""COMPUTED_VALUE"""),172.0)</f>
        <v>172</v>
      </c>
      <c r="K2104" s="1">
        <v>70.0</v>
      </c>
      <c r="L2104" s="1">
        <f>IFERROR(__xludf.DUMMYFUNCTION("""COMPUTED_VALUE"""),313.0)</f>
        <v>313</v>
      </c>
    </row>
    <row r="2105">
      <c r="A2105" s="1">
        <v>3576036.0</v>
      </c>
      <c r="B2105" s="1" t="s">
        <v>4499</v>
      </c>
      <c r="C2105" s="1" t="s">
        <v>3831</v>
      </c>
      <c r="D2105" s="1" t="s">
        <v>4020</v>
      </c>
      <c r="E2105" s="1" t="s">
        <v>4500</v>
      </c>
      <c r="F2105" s="1" t="s">
        <v>16</v>
      </c>
      <c r="G2105" s="1" t="s">
        <v>17</v>
      </c>
      <c r="H2105" s="1" t="s">
        <v>18</v>
      </c>
      <c r="I2105" s="1" t="s">
        <v>19</v>
      </c>
      <c r="J2105" s="1">
        <f>IFERROR(__xludf.DUMMYFUNCTION("""COMPUTED_VALUE"""),125.0)</f>
        <v>125</v>
      </c>
      <c r="K2105" s="1">
        <v>37.0</v>
      </c>
      <c r="L2105" s="1">
        <f>IFERROR(__xludf.DUMMYFUNCTION("""COMPUTED_VALUE"""),393.0)</f>
        <v>393</v>
      </c>
    </row>
    <row r="2106">
      <c r="A2106" s="1">
        <v>3504068.0</v>
      </c>
      <c r="B2106" s="1" t="s">
        <v>4501</v>
      </c>
      <c r="C2106" s="1" t="s">
        <v>3831</v>
      </c>
      <c r="D2106" s="1" t="s">
        <v>3850</v>
      </c>
      <c r="E2106" s="1" t="s">
        <v>4502</v>
      </c>
      <c r="F2106" s="1" t="s">
        <v>16</v>
      </c>
      <c r="G2106" s="1" t="s">
        <v>17</v>
      </c>
      <c r="H2106" s="1" t="s">
        <v>33</v>
      </c>
      <c r="I2106" s="1" t="s">
        <v>65</v>
      </c>
      <c r="J2106" s="1">
        <f>IFERROR(__xludf.DUMMYFUNCTION("""COMPUTED_VALUE"""),114.0)</f>
        <v>114</v>
      </c>
      <c r="K2106" s="1">
        <v>43.0</v>
      </c>
      <c r="L2106" s="1">
        <f>IFERROR(__xludf.DUMMYFUNCTION("""COMPUTED_VALUE"""),332.0)</f>
        <v>332</v>
      </c>
    </row>
    <row r="2107">
      <c r="A2107" s="1">
        <v>3515135.0</v>
      </c>
      <c r="B2107" s="1" t="s">
        <v>4503</v>
      </c>
      <c r="C2107" s="1" t="s">
        <v>3831</v>
      </c>
      <c r="D2107" s="1" t="s">
        <v>3870</v>
      </c>
      <c r="E2107" s="1" t="s">
        <v>4504</v>
      </c>
      <c r="F2107" s="1" t="s">
        <v>16</v>
      </c>
      <c r="G2107" s="1" t="s">
        <v>23</v>
      </c>
      <c r="H2107" s="1" t="s">
        <v>18</v>
      </c>
      <c r="I2107" s="1" t="s">
        <v>74</v>
      </c>
      <c r="J2107" s="1">
        <f>IFERROR(__xludf.DUMMYFUNCTION("""COMPUTED_VALUE"""),50.0)</f>
        <v>50</v>
      </c>
      <c r="K2107" s="1">
        <v>34.0</v>
      </c>
      <c r="L2107" s="1">
        <f>IFERROR(__xludf.DUMMYFUNCTION("""COMPUTED_VALUE"""),70.0)</f>
        <v>70</v>
      </c>
    </row>
    <row r="2108">
      <c r="A2108" s="1">
        <v>3525093.0</v>
      </c>
      <c r="B2108" s="1" t="s">
        <v>4505</v>
      </c>
      <c r="C2108" s="1" t="s">
        <v>3831</v>
      </c>
      <c r="D2108" s="1" t="s">
        <v>3865</v>
      </c>
      <c r="E2108" s="1" t="s">
        <v>4506</v>
      </c>
      <c r="F2108" s="1" t="s">
        <v>16</v>
      </c>
      <c r="G2108" s="1" t="s">
        <v>17</v>
      </c>
      <c r="H2108" s="1" t="s">
        <v>18</v>
      </c>
      <c r="I2108" s="1" t="s">
        <v>44</v>
      </c>
      <c r="J2108" s="1">
        <f>IFERROR(__xludf.DUMMYFUNCTION("""COMPUTED_VALUE"""),104.0)</f>
        <v>104</v>
      </c>
      <c r="K2108" s="1">
        <v>61.0</v>
      </c>
      <c r="L2108" s="1">
        <f>IFERROR(__xludf.DUMMYFUNCTION("""COMPUTED_VALUE"""),316.0)</f>
        <v>316</v>
      </c>
    </row>
    <row r="2109">
      <c r="A2109" s="1">
        <v>3514058.0</v>
      </c>
      <c r="B2109" s="1" t="s">
        <v>4507</v>
      </c>
      <c r="C2109" s="1" t="s">
        <v>3831</v>
      </c>
      <c r="D2109" s="1" t="s">
        <v>3875</v>
      </c>
      <c r="E2109" s="1" t="s">
        <v>4508</v>
      </c>
      <c r="F2109" s="1" t="s">
        <v>16</v>
      </c>
      <c r="G2109" s="1" t="s">
        <v>17</v>
      </c>
      <c r="H2109" s="1" t="s">
        <v>28</v>
      </c>
      <c r="I2109" s="1" t="s">
        <v>40</v>
      </c>
      <c r="J2109" s="1">
        <f>IFERROR(__xludf.DUMMYFUNCTION("""COMPUTED_VALUE"""),183.0)</f>
        <v>183</v>
      </c>
      <c r="K2109" s="1">
        <v>90.0</v>
      </c>
      <c r="L2109" s="1">
        <f>IFERROR(__xludf.DUMMYFUNCTION("""COMPUTED_VALUE"""),320.0)</f>
        <v>320</v>
      </c>
    </row>
    <row r="2110">
      <c r="A2110" s="1">
        <v>3522047.0</v>
      </c>
      <c r="B2110" s="1" t="s">
        <v>4509</v>
      </c>
      <c r="C2110" s="1" t="s">
        <v>3831</v>
      </c>
      <c r="D2110" s="1" t="s">
        <v>3897</v>
      </c>
      <c r="E2110" s="1" t="s">
        <v>4510</v>
      </c>
      <c r="F2110" s="1" t="s">
        <v>16</v>
      </c>
      <c r="G2110" s="1" t="s">
        <v>17</v>
      </c>
      <c r="H2110" s="1" t="s">
        <v>28</v>
      </c>
      <c r="I2110" s="1" t="s">
        <v>40</v>
      </c>
      <c r="J2110" s="1">
        <f>IFERROR(__xludf.DUMMYFUNCTION("""COMPUTED_VALUE"""),103.0)</f>
        <v>103</v>
      </c>
      <c r="K2110" s="1">
        <v>31.0</v>
      </c>
      <c r="L2110" s="1">
        <f>IFERROR(__xludf.DUMMYFUNCTION("""COMPUTED_VALUE"""),104.0)</f>
        <v>104</v>
      </c>
    </row>
    <row r="2111">
      <c r="A2111" s="1">
        <v>3571146.0</v>
      </c>
      <c r="B2111" s="1" t="s">
        <v>4511</v>
      </c>
      <c r="C2111" s="1" t="s">
        <v>3831</v>
      </c>
      <c r="D2111" s="1" t="s">
        <v>3930</v>
      </c>
      <c r="E2111" s="1" t="s">
        <v>4512</v>
      </c>
      <c r="F2111" s="1" t="s">
        <v>16</v>
      </c>
      <c r="G2111" s="1" t="s">
        <v>23</v>
      </c>
      <c r="H2111" s="1" t="s">
        <v>18</v>
      </c>
      <c r="I2111" s="1" t="s">
        <v>19</v>
      </c>
      <c r="J2111" s="1">
        <f>IFERROR(__xludf.DUMMYFUNCTION("""COMPUTED_VALUE"""),101.0)</f>
        <v>101</v>
      </c>
      <c r="K2111" s="1">
        <v>55.0</v>
      </c>
      <c r="L2111" s="1">
        <f>IFERROR(__xludf.DUMMYFUNCTION("""COMPUTED_VALUE"""),96.0)</f>
        <v>96</v>
      </c>
    </row>
    <row r="2112">
      <c r="A2112" s="1">
        <v>3517089.0</v>
      </c>
      <c r="B2112" s="1" t="s">
        <v>4513</v>
      </c>
      <c r="C2112" s="1" t="s">
        <v>3831</v>
      </c>
      <c r="D2112" s="1" t="s">
        <v>3956</v>
      </c>
      <c r="E2112" s="1" t="s">
        <v>4514</v>
      </c>
      <c r="F2112" s="1" t="s">
        <v>16</v>
      </c>
      <c r="G2112" s="1" t="s">
        <v>23</v>
      </c>
      <c r="H2112" s="1" t="s">
        <v>28</v>
      </c>
      <c r="I2112" s="1" t="s">
        <v>40</v>
      </c>
      <c r="J2112" s="1">
        <f>IFERROR(__xludf.DUMMYFUNCTION("""COMPUTED_VALUE"""),126.0)</f>
        <v>126</v>
      </c>
      <c r="K2112" s="1">
        <v>32.0</v>
      </c>
      <c r="L2112" s="1">
        <f>IFERROR(__xludf.DUMMYFUNCTION("""COMPUTED_VALUE"""),265.0)</f>
        <v>265</v>
      </c>
    </row>
    <row r="2113">
      <c r="A2113" s="1">
        <v>3520015.0</v>
      </c>
      <c r="B2113" s="1" t="s">
        <v>4515</v>
      </c>
      <c r="C2113" s="1" t="s">
        <v>3831</v>
      </c>
      <c r="D2113" s="1" t="s">
        <v>3878</v>
      </c>
      <c r="E2113" s="1" t="s">
        <v>4516</v>
      </c>
      <c r="F2113" s="1" t="s">
        <v>55</v>
      </c>
      <c r="G2113" s="1" t="s">
        <v>17</v>
      </c>
      <c r="H2113" s="1" t="s">
        <v>18</v>
      </c>
      <c r="I2113" s="1" t="s">
        <v>19</v>
      </c>
      <c r="J2113" s="1">
        <f>IFERROR(__xludf.DUMMYFUNCTION("""COMPUTED_VALUE"""),28.0)</f>
        <v>28</v>
      </c>
      <c r="K2113" s="1">
        <v>16.0</v>
      </c>
      <c r="L2113" s="1">
        <f>IFERROR(__xludf.DUMMYFUNCTION("""COMPUTED_VALUE"""),87.0)</f>
        <v>87</v>
      </c>
    </row>
    <row r="2114">
      <c r="A2114" s="1">
        <v>3577098.0</v>
      </c>
      <c r="B2114" s="1" t="s">
        <v>4517</v>
      </c>
      <c r="C2114" s="1" t="s">
        <v>3831</v>
      </c>
      <c r="D2114" s="1" t="s">
        <v>3906</v>
      </c>
      <c r="E2114" s="1" t="s">
        <v>4518</v>
      </c>
      <c r="F2114" s="1" t="s">
        <v>16</v>
      </c>
      <c r="G2114" s="1" t="s">
        <v>17</v>
      </c>
      <c r="H2114" s="1" t="s">
        <v>18</v>
      </c>
      <c r="I2114" s="1" t="s">
        <v>19</v>
      </c>
      <c r="J2114" s="1">
        <f>IFERROR(__xludf.DUMMYFUNCTION("""COMPUTED_VALUE"""),128.0)</f>
        <v>128</v>
      </c>
      <c r="K2114" s="1">
        <v>37.0</v>
      </c>
      <c r="L2114" s="1">
        <f>IFERROR(__xludf.DUMMYFUNCTION("""COMPUTED_VALUE"""),182.0)</f>
        <v>182</v>
      </c>
    </row>
    <row r="2115">
      <c r="A2115" s="1">
        <v>3579030.0</v>
      </c>
      <c r="B2115" s="1" t="s">
        <v>4519</v>
      </c>
      <c r="C2115" s="1" t="s">
        <v>3831</v>
      </c>
      <c r="D2115" s="1" t="s">
        <v>3922</v>
      </c>
      <c r="E2115" s="1" t="s">
        <v>4520</v>
      </c>
      <c r="F2115" s="1" t="s">
        <v>16</v>
      </c>
      <c r="G2115" s="1" t="s">
        <v>27</v>
      </c>
      <c r="H2115" s="1" t="s">
        <v>28</v>
      </c>
      <c r="I2115" s="1" t="s">
        <v>139</v>
      </c>
      <c r="J2115" s="1">
        <f>IFERROR(__xludf.DUMMYFUNCTION("""COMPUTED_VALUE"""),250.0)</f>
        <v>250</v>
      </c>
      <c r="K2115" s="1">
        <v>74.0</v>
      </c>
      <c r="L2115" s="1">
        <f>IFERROR(__xludf.DUMMYFUNCTION("""COMPUTED_VALUE"""),523.0)</f>
        <v>523</v>
      </c>
    </row>
    <row r="2116">
      <c r="A2116" s="1">
        <v>3578031.0</v>
      </c>
      <c r="B2116" s="1" t="s">
        <v>4521</v>
      </c>
      <c r="C2116" s="1" t="s">
        <v>3831</v>
      </c>
      <c r="D2116" s="1" t="s">
        <v>3847</v>
      </c>
      <c r="E2116" s="1" t="s">
        <v>4522</v>
      </c>
      <c r="F2116" s="1" t="s">
        <v>16</v>
      </c>
      <c r="G2116" s="1" t="s">
        <v>17</v>
      </c>
      <c r="H2116" s="1" t="s">
        <v>18</v>
      </c>
      <c r="I2116" s="1" t="s">
        <v>258</v>
      </c>
      <c r="J2116" s="1">
        <f>IFERROR(__xludf.DUMMYFUNCTION("""COMPUTED_VALUE"""),100.0)</f>
        <v>100</v>
      </c>
      <c r="K2116" s="1">
        <v>77.0</v>
      </c>
      <c r="L2116" s="1">
        <f>IFERROR(__xludf.DUMMYFUNCTION("""COMPUTED_VALUE"""),316.0)</f>
        <v>316</v>
      </c>
    </row>
    <row r="2117">
      <c r="A2117" s="1">
        <v>3573254.0</v>
      </c>
      <c r="B2117" s="1" t="s">
        <v>4523</v>
      </c>
      <c r="C2117" s="1" t="s">
        <v>3831</v>
      </c>
      <c r="D2117" s="1" t="s">
        <v>3938</v>
      </c>
      <c r="E2117" s="1" t="s">
        <v>4524</v>
      </c>
      <c r="F2117" s="1" t="s">
        <v>55</v>
      </c>
      <c r="G2117" s="1" t="s">
        <v>17</v>
      </c>
      <c r="H2117" s="1" t="s">
        <v>18</v>
      </c>
      <c r="I2117" s="1" t="s">
        <v>19</v>
      </c>
      <c r="J2117" s="1">
        <f>IFERROR(__xludf.DUMMYFUNCTION("""COMPUTED_VALUE"""),62.0)</f>
        <v>62</v>
      </c>
      <c r="K2117" s="1">
        <v>22.0</v>
      </c>
      <c r="L2117" s="1">
        <f>IFERROR(__xludf.DUMMYFUNCTION("""COMPUTED_VALUE"""),66.0)</f>
        <v>66</v>
      </c>
    </row>
    <row r="2118">
      <c r="A2118" s="1">
        <v>3514060.0</v>
      </c>
      <c r="B2118" s="1" t="s">
        <v>4525</v>
      </c>
      <c r="C2118" s="1" t="s">
        <v>3831</v>
      </c>
      <c r="D2118" s="1" t="s">
        <v>3875</v>
      </c>
      <c r="E2118" s="1" t="s">
        <v>4526</v>
      </c>
      <c r="F2118" s="1" t="s">
        <v>272</v>
      </c>
      <c r="G2118" s="1" t="s">
        <v>17</v>
      </c>
      <c r="H2118" s="1" t="s">
        <v>18</v>
      </c>
      <c r="I2118" s="1" t="s">
        <v>19</v>
      </c>
      <c r="J2118" s="1">
        <f>IFERROR(__xludf.DUMMYFUNCTION("""COMPUTED_VALUE"""),23.0)</f>
        <v>23</v>
      </c>
      <c r="K2118" s="1">
        <v>11.0</v>
      </c>
      <c r="L2118" s="1">
        <f>IFERROR(__xludf.DUMMYFUNCTION("""COMPUTED_VALUE"""),23.0)</f>
        <v>23</v>
      </c>
    </row>
    <row r="2119">
      <c r="A2119" s="1">
        <v>3509101.0</v>
      </c>
      <c r="B2119" s="1" t="s">
        <v>4527</v>
      </c>
      <c r="C2119" s="1" t="s">
        <v>3831</v>
      </c>
      <c r="D2119" s="1" t="s">
        <v>3890</v>
      </c>
      <c r="E2119" s="1" t="s">
        <v>4528</v>
      </c>
      <c r="F2119" s="1" t="s">
        <v>16</v>
      </c>
      <c r="G2119" s="1" t="s">
        <v>23</v>
      </c>
      <c r="H2119" s="1" t="s">
        <v>18</v>
      </c>
      <c r="I2119" s="1" t="s">
        <v>19</v>
      </c>
      <c r="J2119" s="1">
        <f>IFERROR(__xludf.DUMMYFUNCTION("""COMPUTED_VALUE"""),50.0)</f>
        <v>50</v>
      </c>
      <c r="K2119" s="1">
        <v>17.0</v>
      </c>
      <c r="L2119" s="1">
        <f>IFERROR(__xludf.DUMMYFUNCTION("""COMPUTED_VALUE"""),58.0)</f>
        <v>58</v>
      </c>
    </row>
    <row r="2120">
      <c r="A2120" s="1">
        <v>3578144.0</v>
      </c>
      <c r="B2120" s="1" t="s">
        <v>4529</v>
      </c>
      <c r="C2120" s="1" t="s">
        <v>3831</v>
      </c>
      <c r="D2120" s="1" t="s">
        <v>3847</v>
      </c>
      <c r="E2120" s="1" t="s">
        <v>4530</v>
      </c>
      <c r="F2120" s="1" t="s">
        <v>16</v>
      </c>
      <c r="G2120" s="1" t="s">
        <v>17</v>
      </c>
      <c r="H2120" s="1" t="s">
        <v>18</v>
      </c>
      <c r="I2120" s="1" t="s">
        <v>95</v>
      </c>
      <c r="J2120" s="1">
        <f>IFERROR(__xludf.DUMMYFUNCTION("""COMPUTED_VALUE"""),114.0)</f>
        <v>114</v>
      </c>
      <c r="K2120" s="1">
        <v>36.0</v>
      </c>
      <c r="L2120" s="1">
        <f>IFERROR(__xludf.DUMMYFUNCTION("""COMPUTED_VALUE"""),184.0)</f>
        <v>184</v>
      </c>
    </row>
    <row r="2121">
      <c r="A2121" s="1">
        <v>3508056.0</v>
      </c>
      <c r="B2121" s="1" t="s">
        <v>4531</v>
      </c>
      <c r="C2121" s="1" t="s">
        <v>3831</v>
      </c>
      <c r="D2121" s="1" t="s">
        <v>4135</v>
      </c>
      <c r="E2121" s="1" t="s">
        <v>4532</v>
      </c>
      <c r="F2121" s="1" t="s">
        <v>16</v>
      </c>
      <c r="G2121" s="1" t="s">
        <v>17</v>
      </c>
      <c r="H2121" s="1" t="s">
        <v>18</v>
      </c>
      <c r="I2121" s="1" t="s">
        <v>19</v>
      </c>
      <c r="J2121" s="1">
        <f>IFERROR(__xludf.DUMMYFUNCTION("""COMPUTED_VALUE"""),102.0)</f>
        <v>102</v>
      </c>
      <c r="K2121" s="1">
        <v>30.0</v>
      </c>
      <c r="L2121" s="1">
        <f>IFERROR(__xludf.DUMMYFUNCTION("""COMPUTED_VALUE"""),247.0)</f>
        <v>247</v>
      </c>
    </row>
    <row r="2122">
      <c r="A2122" s="1">
        <v>3578782.0</v>
      </c>
      <c r="B2122" s="1" t="s">
        <v>4533</v>
      </c>
      <c r="C2122" s="1" t="s">
        <v>3831</v>
      </c>
      <c r="D2122" s="1" t="s">
        <v>3847</v>
      </c>
      <c r="E2122" s="1" t="s">
        <v>4534</v>
      </c>
      <c r="F2122" s="1" t="s">
        <v>16</v>
      </c>
      <c r="G2122" s="1" t="s">
        <v>23</v>
      </c>
      <c r="H2122" s="1" t="s">
        <v>18</v>
      </c>
      <c r="I2122" s="1" t="s">
        <v>59</v>
      </c>
      <c r="J2122" s="1">
        <f>IFERROR(__xludf.DUMMYFUNCTION("""COMPUTED_VALUE"""),52.0)</f>
        <v>52</v>
      </c>
      <c r="K2122" s="1">
        <v>14.0</v>
      </c>
      <c r="L2122" s="1">
        <f>IFERROR(__xludf.DUMMYFUNCTION("""COMPUTED_VALUE"""),82.0)</f>
        <v>82</v>
      </c>
    </row>
    <row r="2123">
      <c r="A2123" s="1">
        <v>3509151.0</v>
      </c>
      <c r="B2123" s="1" t="s">
        <v>4535</v>
      </c>
      <c r="C2123" s="1" t="s">
        <v>3831</v>
      </c>
      <c r="D2123" s="1" t="s">
        <v>3890</v>
      </c>
      <c r="E2123" s="1" t="s">
        <v>4536</v>
      </c>
      <c r="F2123" s="1" t="s">
        <v>16</v>
      </c>
      <c r="G2123" s="1" t="s">
        <v>17</v>
      </c>
      <c r="H2123" s="1" t="s">
        <v>18</v>
      </c>
      <c r="I2123" s="1" t="s">
        <v>19</v>
      </c>
      <c r="J2123" s="1">
        <f>IFERROR(__xludf.DUMMYFUNCTION("""COMPUTED_VALUE"""),101.0)</f>
        <v>101</v>
      </c>
      <c r="K2123" s="1">
        <v>27.0</v>
      </c>
      <c r="L2123" s="1">
        <f>IFERROR(__xludf.DUMMYFUNCTION("""COMPUTED_VALUE"""),182.0)</f>
        <v>182</v>
      </c>
    </row>
    <row r="2124">
      <c r="A2124" s="1">
        <v>3571122.0</v>
      </c>
      <c r="B2124" s="1" t="s">
        <v>4537</v>
      </c>
      <c r="C2124" s="1" t="s">
        <v>3831</v>
      </c>
      <c r="D2124" s="1" t="s">
        <v>3930</v>
      </c>
      <c r="E2124" s="1" t="s">
        <v>4538</v>
      </c>
      <c r="F2124" s="1" t="s">
        <v>16</v>
      </c>
      <c r="G2124" s="1" t="s">
        <v>17</v>
      </c>
      <c r="H2124" s="1" t="s">
        <v>18</v>
      </c>
      <c r="I2124" s="1" t="s">
        <v>684</v>
      </c>
      <c r="J2124" s="1">
        <f>IFERROR(__xludf.DUMMYFUNCTION("""COMPUTED_VALUE"""),218.0)</f>
        <v>218</v>
      </c>
      <c r="K2124" s="1">
        <v>62.0</v>
      </c>
      <c r="L2124" s="1">
        <f>IFERROR(__xludf.DUMMYFUNCTION("""COMPUTED_VALUE"""),312.0)</f>
        <v>312</v>
      </c>
    </row>
    <row r="2125">
      <c r="A2125" s="1">
        <v>3512035.0</v>
      </c>
      <c r="B2125" s="1" t="s">
        <v>4539</v>
      </c>
      <c r="C2125" s="1" t="s">
        <v>3831</v>
      </c>
      <c r="D2125" s="1" t="s">
        <v>3856</v>
      </c>
      <c r="E2125" s="1" t="s">
        <v>4540</v>
      </c>
      <c r="F2125" s="1" t="s">
        <v>16</v>
      </c>
      <c r="G2125" s="1" t="s">
        <v>17</v>
      </c>
      <c r="H2125" s="1" t="s">
        <v>18</v>
      </c>
      <c r="I2125" s="1" t="s">
        <v>19</v>
      </c>
      <c r="J2125" s="1">
        <f>IFERROR(__xludf.DUMMYFUNCTION("""COMPUTED_VALUE"""),106.0)</f>
        <v>106</v>
      </c>
      <c r="K2125" s="1">
        <v>26.0</v>
      </c>
      <c r="L2125" s="1">
        <f>IFERROR(__xludf.DUMMYFUNCTION("""COMPUTED_VALUE"""),165.0)</f>
        <v>165</v>
      </c>
    </row>
    <row r="2126">
      <c r="A2126" s="1">
        <v>3506063.0</v>
      </c>
      <c r="B2126" s="1" t="s">
        <v>4541</v>
      </c>
      <c r="C2126" s="1" t="s">
        <v>3831</v>
      </c>
      <c r="D2126" s="1" t="s">
        <v>3894</v>
      </c>
      <c r="E2126" s="1" t="s">
        <v>4542</v>
      </c>
      <c r="F2126" s="1" t="s">
        <v>16</v>
      </c>
      <c r="G2126" s="1" t="s">
        <v>23</v>
      </c>
      <c r="H2126" s="1" t="s">
        <v>18</v>
      </c>
      <c r="I2126" s="1" t="s">
        <v>19</v>
      </c>
      <c r="J2126" s="1">
        <f>IFERROR(__xludf.DUMMYFUNCTION("""COMPUTED_VALUE"""),106.0)</f>
        <v>106</v>
      </c>
      <c r="K2126" s="1">
        <v>31.0</v>
      </c>
      <c r="L2126" s="1">
        <f>IFERROR(__xludf.DUMMYFUNCTION("""COMPUTED_VALUE"""),83.0)</f>
        <v>83</v>
      </c>
    </row>
    <row r="2127">
      <c r="A2127" s="1">
        <v>3578808.0</v>
      </c>
      <c r="B2127" s="1" t="s">
        <v>4543</v>
      </c>
      <c r="C2127" s="1" t="s">
        <v>3831</v>
      </c>
      <c r="D2127" s="1" t="s">
        <v>3847</v>
      </c>
      <c r="E2127" s="1" t="s">
        <v>4544</v>
      </c>
      <c r="F2127" s="1" t="s">
        <v>16</v>
      </c>
      <c r="G2127" s="1" t="s">
        <v>17</v>
      </c>
      <c r="H2127" s="1" t="s">
        <v>18</v>
      </c>
      <c r="I2127" s="1" t="s">
        <v>19</v>
      </c>
      <c r="J2127" s="1">
        <f>IFERROR(__xludf.DUMMYFUNCTION("""COMPUTED_VALUE"""),106.0)</f>
        <v>106</v>
      </c>
      <c r="K2127" s="1">
        <v>91.0</v>
      </c>
      <c r="L2127" s="1">
        <f>IFERROR(__xludf.DUMMYFUNCTION("""COMPUTED_VALUE"""),182.0)</f>
        <v>182</v>
      </c>
    </row>
    <row r="2128">
      <c r="A2128" s="1">
        <v>3514036.0</v>
      </c>
      <c r="B2128" s="1" t="s">
        <v>4545</v>
      </c>
      <c r="C2128" s="1" t="s">
        <v>3831</v>
      </c>
      <c r="D2128" s="1" t="s">
        <v>3875</v>
      </c>
      <c r="E2128" s="1" t="s">
        <v>4546</v>
      </c>
      <c r="F2128" s="1" t="s">
        <v>16</v>
      </c>
      <c r="G2128" s="1" t="s">
        <v>27</v>
      </c>
      <c r="H2128" s="1" t="s">
        <v>33</v>
      </c>
      <c r="I2128" s="1" t="s">
        <v>40</v>
      </c>
      <c r="J2128" s="1">
        <f>IFERROR(__xludf.DUMMYFUNCTION("""COMPUTED_VALUE"""),397.0)</f>
        <v>397</v>
      </c>
      <c r="K2128" s="1">
        <v>47.0</v>
      </c>
      <c r="L2128" s="1">
        <f>IFERROR(__xludf.DUMMYFUNCTION("""COMPUTED_VALUE"""),713.0)</f>
        <v>713</v>
      </c>
    </row>
    <row r="2129">
      <c r="A2129" s="1">
        <v>3578731.0</v>
      </c>
      <c r="B2129" s="1" t="s">
        <v>4547</v>
      </c>
      <c r="C2129" s="1" t="s">
        <v>3831</v>
      </c>
      <c r="D2129" s="1" t="s">
        <v>3847</v>
      </c>
      <c r="E2129" s="1" t="s">
        <v>4548</v>
      </c>
      <c r="F2129" s="1" t="s">
        <v>32</v>
      </c>
      <c r="G2129" s="1" t="s">
        <v>27</v>
      </c>
      <c r="H2129" s="1" t="s">
        <v>18</v>
      </c>
      <c r="I2129" s="1" t="s">
        <v>59</v>
      </c>
      <c r="J2129" s="1">
        <f>IFERROR(__xludf.DUMMYFUNCTION("""COMPUTED_VALUE"""),12.0)</f>
        <v>12</v>
      </c>
      <c r="K2129" s="1">
        <v>17.0</v>
      </c>
      <c r="L2129" s="1">
        <f>IFERROR(__xludf.DUMMYFUNCTION("""COMPUTED_VALUE"""),109.0)</f>
        <v>109</v>
      </c>
    </row>
    <row r="2130">
      <c r="A2130" s="1">
        <v>3578779.0</v>
      </c>
      <c r="B2130" s="1" t="s">
        <v>4549</v>
      </c>
      <c r="C2130" s="1" t="s">
        <v>3831</v>
      </c>
      <c r="D2130" s="1" t="s">
        <v>3847</v>
      </c>
      <c r="E2130" s="1" t="s">
        <v>4550</v>
      </c>
      <c r="F2130" s="1" t="s">
        <v>55</v>
      </c>
      <c r="G2130" s="1" t="s">
        <v>17</v>
      </c>
      <c r="H2130" s="1" t="s">
        <v>18</v>
      </c>
      <c r="I2130" s="1" t="s">
        <v>44</v>
      </c>
      <c r="J2130" s="1">
        <f>IFERROR(__xludf.DUMMYFUNCTION("""COMPUTED_VALUE"""),41.0)</f>
        <v>41</v>
      </c>
      <c r="K2130" s="1">
        <v>21.0</v>
      </c>
      <c r="L2130" s="1">
        <f>IFERROR(__xludf.DUMMYFUNCTION("""COMPUTED_VALUE"""),70.0)</f>
        <v>70</v>
      </c>
    </row>
    <row r="2131">
      <c r="A2131" s="1">
        <v>3512037.0</v>
      </c>
      <c r="B2131" s="1" t="s">
        <v>4551</v>
      </c>
      <c r="C2131" s="1" t="s">
        <v>3831</v>
      </c>
      <c r="D2131" s="1" t="s">
        <v>3967</v>
      </c>
      <c r="E2131" s="1" t="s">
        <v>4552</v>
      </c>
      <c r="F2131" s="1" t="s">
        <v>16</v>
      </c>
      <c r="G2131" s="1" t="s">
        <v>23</v>
      </c>
      <c r="H2131" s="1" t="s">
        <v>28</v>
      </c>
      <c r="I2131" s="1" t="s">
        <v>40</v>
      </c>
      <c r="J2131" s="1">
        <f>IFERROR(__xludf.DUMMYFUNCTION("""COMPUTED_VALUE"""),103.0)</f>
        <v>103</v>
      </c>
      <c r="K2131" s="1">
        <v>27.0</v>
      </c>
      <c r="L2131" s="1">
        <f>IFERROR(__xludf.DUMMYFUNCTION("""COMPUTED_VALUE"""),242.0)</f>
        <v>242</v>
      </c>
    </row>
    <row r="2132">
      <c r="A2132" s="1">
        <v>3510108.0</v>
      </c>
      <c r="B2132" s="1" t="s">
        <v>4553</v>
      </c>
      <c r="C2132" s="1" t="s">
        <v>3831</v>
      </c>
      <c r="D2132" s="1" t="s">
        <v>3844</v>
      </c>
      <c r="E2132" s="1" t="s">
        <v>4554</v>
      </c>
      <c r="F2132" s="1" t="s">
        <v>16</v>
      </c>
      <c r="G2132" s="1" t="s">
        <v>23</v>
      </c>
      <c r="H2132" s="1" t="s">
        <v>18</v>
      </c>
      <c r="I2132" s="1" t="s">
        <v>19</v>
      </c>
      <c r="J2132" s="1">
        <f>IFERROR(__xludf.DUMMYFUNCTION("""COMPUTED_VALUE"""),63.0)</f>
        <v>63</v>
      </c>
      <c r="K2132" s="1">
        <v>21.0</v>
      </c>
      <c r="L2132" s="1">
        <f>IFERROR(__xludf.DUMMYFUNCTION("""COMPUTED_VALUE"""),63.0)</f>
        <v>63</v>
      </c>
    </row>
    <row r="2133">
      <c r="A2133" s="1">
        <v>3507230.0</v>
      </c>
      <c r="B2133" s="1" t="s">
        <v>4555</v>
      </c>
      <c r="C2133" s="1" t="s">
        <v>3831</v>
      </c>
      <c r="D2133" s="1" t="s">
        <v>3862</v>
      </c>
      <c r="E2133" s="1" t="s">
        <v>4556</v>
      </c>
      <c r="F2133" s="1" t="s">
        <v>16</v>
      </c>
      <c r="G2133" s="1" t="s">
        <v>23</v>
      </c>
      <c r="H2133" s="1" t="s">
        <v>18</v>
      </c>
      <c r="I2133" s="1" t="s">
        <v>19</v>
      </c>
      <c r="J2133" s="1">
        <f>IFERROR(__xludf.DUMMYFUNCTION("""COMPUTED_VALUE"""),50.0)</f>
        <v>50</v>
      </c>
      <c r="K2133" s="1">
        <v>25.0</v>
      </c>
      <c r="L2133" s="1">
        <f>IFERROR(__xludf.DUMMYFUNCTION("""COMPUTED_VALUE"""),162.0)</f>
        <v>162</v>
      </c>
    </row>
    <row r="2134">
      <c r="A2134" s="1">
        <v>3515121.0</v>
      </c>
      <c r="B2134" s="1" t="s">
        <v>4557</v>
      </c>
      <c r="C2134" s="1" t="s">
        <v>3831</v>
      </c>
      <c r="D2134" s="1" t="s">
        <v>3870</v>
      </c>
      <c r="E2134" s="1" t="s">
        <v>4558</v>
      </c>
      <c r="F2134" s="1" t="s">
        <v>16</v>
      </c>
      <c r="G2134" s="1" t="s">
        <v>17</v>
      </c>
      <c r="H2134" s="1" t="s">
        <v>18</v>
      </c>
      <c r="I2134" s="1" t="s">
        <v>59</v>
      </c>
      <c r="J2134" s="1">
        <f>IFERROR(__xludf.DUMMYFUNCTION("""COMPUTED_VALUE"""),157.0)</f>
        <v>157</v>
      </c>
      <c r="K2134" s="1">
        <v>54.0</v>
      </c>
      <c r="L2134" s="1">
        <f>IFERROR(__xludf.DUMMYFUNCTION("""COMPUTED_VALUE"""),740.0)</f>
        <v>740</v>
      </c>
    </row>
    <row r="2135">
      <c r="A2135" s="1">
        <v>3508055.0</v>
      </c>
      <c r="B2135" s="1" t="s">
        <v>4559</v>
      </c>
      <c r="C2135" s="1" t="s">
        <v>3831</v>
      </c>
      <c r="D2135" s="1" t="s">
        <v>4135</v>
      </c>
      <c r="E2135" s="1" t="s">
        <v>4560</v>
      </c>
      <c r="F2135" s="1" t="s">
        <v>16</v>
      </c>
      <c r="G2135" s="1" t="s">
        <v>17</v>
      </c>
      <c r="H2135" s="1" t="s">
        <v>18</v>
      </c>
      <c r="I2135" s="1" t="s">
        <v>113</v>
      </c>
      <c r="J2135" s="1">
        <f>IFERROR(__xludf.DUMMYFUNCTION("""COMPUTED_VALUE"""),101.0)</f>
        <v>101</v>
      </c>
      <c r="K2135" s="1">
        <v>44.0</v>
      </c>
      <c r="L2135" s="1">
        <f>IFERROR(__xludf.DUMMYFUNCTION("""COMPUTED_VALUE"""),163.0)</f>
        <v>163</v>
      </c>
    </row>
    <row r="2136">
      <c r="A2136" s="1">
        <v>3507105.0</v>
      </c>
      <c r="B2136" s="1" t="s">
        <v>4561</v>
      </c>
      <c r="C2136" s="1" t="s">
        <v>3831</v>
      </c>
      <c r="D2136" s="1" t="s">
        <v>3862</v>
      </c>
      <c r="E2136" s="1" t="s">
        <v>4562</v>
      </c>
      <c r="F2136" s="1" t="s">
        <v>16</v>
      </c>
      <c r="G2136" s="1" t="s">
        <v>23</v>
      </c>
      <c r="H2136" s="1" t="s">
        <v>18</v>
      </c>
      <c r="I2136" s="1" t="s">
        <v>19</v>
      </c>
      <c r="J2136" s="1">
        <f>IFERROR(__xludf.DUMMYFUNCTION("""COMPUTED_VALUE"""),56.0)</f>
        <v>56</v>
      </c>
      <c r="K2136" s="1">
        <v>25.0</v>
      </c>
      <c r="L2136" s="1">
        <f>IFERROR(__xludf.DUMMYFUNCTION("""COMPUTED_VALUE"""),160.0)</f>
        <v>160</v>
      </c>
    </row>
    <row r="2137">
      <c r="A2137" s="1">
        <v>3525092.0</v>
      </c>
      <c r="B2137" s="1" t="s">
        <v>4563</v>
      </c>
      <c r="C2137" s="1" t="s">
        <v>3831</v>
      </c>
      <c r="D2137" s="1" t="s">
        <v>3865</v>
      </c>
      <c r="E2137" s="1" t="s">
        <v>4564</v>
      </c>
      <c r="F2137" s="1" t="s">
        <v>16</v>
      </c>
      <c r="G2137" s="1" t="s">
        <v>23</v>
      </c>
      <c r="H2137" s="1" t="s">
        <v>18</v>
      </c>
      <c r="I2137" s="1" t="s">
        <v>44</v>
      </c>
      <c r="J2137" s="1">
        <f>IFERROR(__xludf.DUMMYFUNCTION("""COMPUTED_VALUE"""),50.0)</f>
        <v>50</v>
      </c>
      <c r="K2137" s="1">
        <v>33.0</v>
      </c>
      <c r="L2137" s="1">
        <f>IFERROR(__xludf.DUMMYFUNCTION("""COMPUTED_VALUE"""),147.0)</f>
        <v>147</v>
      </c>
    </row>
    <row r="2138">
      <c r="A2138" s="1">
        <v>3510107.0</v>
      </c>
      <c r="B2138" s="1" t="s">
        <v>4565</v>
      </c>
      <c r="C2138" s="1" t="s">
        <v>3831</v>
      </c>
      <c r="D2138" s="1" t="s">
        <v>3844</v>
      </c>
      <c r="E2138" s="1" t="s">
        <v>4566</v>
      </c>
      <c r="F2138" s="1" t="s">
        <v>16</v>
      </c>
      <c r="G2138" s="1" t="s">
        <v>23</v>
      </c>
      <c r="H2138" s="1" t="s">
        <v>18</v>
      </c>
      <c r="I2138" s="1" t="s">
        <v>19</v>
      </c>
      <c r="J2138" s="1">
        <f>IFERROR(__xludf.DUMMYFUNCTION("""COMPUTED_VALUE"""),71.0)</f>
        <v>71</v>
      </c>
      <c r="K2138" s="1">
        <v>22.0</v>
      </c>
      <c r="L2138" s="1">
        <f>IFERROR(__xludf.DUMMYFUNCTION("""COMPUTED_VALUE"""),90.0)</f>
        <v>90</v>
      </c>
    </row>
    <row r="2139">
      <c r="A2139" s="1">
        <v>3527026.0</v>
      </c>
      <c r="B2139" s="1" t="s">
        <v>4567</v>
      </c>
      <c r="C2139" s="1" t="s">
        <v>3831</v>
      </c>
      <c r="D2139" s="1" t="s">
        <v>3925</v>
      </c>
      <c r="E2139" s="1" t="s">
        <v>4568</v>
      </c>
      <c r="F2139" s="1" t="s">
        <v>16</v>
      </c>
      <c r="G2139" s="1" t="s">
        <v>23</v>
      </c>
      <c r="H2139" s="1" t="s">
        <v>18</v>
      </c>
      <c r="I2139" s="1" t="s">
        <v>44</v>
      </c>
      <c r="J2139" s="1">
        <f>IFERROR(__xludf.DUMMYFUNCTION("""COMPUTED_VALUE"""),61.0)</f>
        <v>61</v>
      </c>
      <c r="K2139" s="1">
        <v>23.0</v>
      </c>
      <c r="L2139" s="1">
        <f>IFERROR(__xludf.DUMMYFUNCTION("""COMPUTED_VALUE"""),182.0)</f>
        <v>182</v>
      </c>
    </row>
    <row r="2140">
      <c r="A2140" s="1">
        <v>3519012.0</v>
      </c>
      <c r="B2140" s="1" t="s">
        <v>4569</v>
      </c>
      <c r="C2140" s="1" t="s">
        <v>3831</v>
      </c>
      <c r="D2140" s="1" t="s">
        <v>4190</v>
      </c>
      <c r="E2140" s="1" t="s">
        <v>4570</v>
      </c>
      <c r="F2140" s="1" t="s">
        <v>16</v>
      </c>
      <c r="G2140" s="1" t="s">
        <v>17</v>
      </c>
      <c r="H2140" s="1" t="s">
        <v>28</v>
      </c>
      <c r="I2140" s="1" t="s">
        <v>139</v>
      </c>
      <c r="J2140" s="1">
        <f>IFERROR(__xludf.DUMMYFUNCTION("""COMPUTED_VALUE"""),104.0)</f>
        <v>104</v>
      </c>
      <c r="K2140" s="1">
        <v>28.0</v>
      </c>
      <c r="L2140" s="1">
        <f>IFERROR(__xludf.DUMMYFUNCTION("""COMPUTED_VALUE"""),203.0)</f>
        <v>203</v>
      </c>
    </row>
    <row r="2141">
      <c r="A2141" s="1">
        <v>3507099.0</v>
      </c>
      <c r="B2141" s="1" t="s">
        <v>4571</v>
      </c>
      <c r="C2141" s="1" t="s">
        <v>3831</v>
      </c>
      <c r="D2141" s="1" t="s">
        <v>3862</v>
      </c>
      <c r="E2141" s="1" t="s">
        <v>4572</v>
      </c>
      <c r="F2141" s="1" t="s">
        <v>16</v>
      </c>
      <c r="G2141" s="1" t="s">
        <v>17</v>
      </c>
      <c r="H2141" s="1" t="s">
        <v>18</v>
      </c>
      <c r="I2141" s="1" t="s">
        <v>19</v>
      </c>
      <c r="J2141" s="1">
        <f>IFERROR(__xludf.DUMMYFUNCTION("""COMPUTED_VALUE"""),111.0)</f>
        <v>111</v>
      </c>
      <c r="K2141" s="1">
        <v>37.0</v>
      </c>
      <c r="L2141" s="1">
        <f>IFERROR(__xludf.DUMMYFUNCTION("""COMPUTED_VALUE"""),157.0)</f>
        <v>157</v>
      </c>
    </row>
    <row r="2142">
      <c r="A2142" s="1">
        <v>3506025.0</v>
      </c>
      <c r="B2142" s="1" t="s">
        <v>4573</v>
      </c>
      <c r="C2142" s="1" t="s">
        <v>3831</v>
      </c>
      <c r="D2142" s="1" t="s">
        <v>3894</v>
      </c>
      <c r="E2142" s="1" t="s">
        <v>4574</v>
      </c>
      <c r="F2142" s="1" t="s">
        <v>16</v>
      </c>
      <c r="G2142" s="1" t="s">
        <v>17</v>
      </c>
      <c r="H2142" s="1" t="s">
        <v>18</v>
      </c>
      <c r="I2142" s="1" t="s">
        <v>19</v>
      </c>
      <c r="J2142" s="1">
        <f>IFERROR(__xludf.DUMMYFUNCTION("""COMPUTED_VALUE"""),170.0)</f>
        <v>170</v>
      </c>
      <c r="K2142" s="1">
        <v>53.0</v>
      </c>
      <c r="L2142" s="1">
        <f>IFERROR(__xludf.DUMMYFUNCTION("""COMPUTED_VALUE"""),381.0)</f>
        <v>381</v>
      </c>
    </row>
    <row r="2143">
      <c r="A2143" s="1">
        <v>3577074.0</v>
      </c>
      <c r="B2143" s="1" t="s">
        <v>4575</v>
      </c>
      <c r="C2143" s="1" t="s">
        <v>3831</v>
      </c>
      <c r="D2143" s="1" t="s">
        <v>3906</v>
      </c>
      <c r="E2143" s="1" t="s">
        <v>4576</v>
      </c>
      <c r="F2143" s="1" t="s">
        <v>16</v>
      </c>
      <c r="G2143" s="1" t="s">
        <v>17</v>
      </c>
      <c r="H2143" s="1" t="s">
        <v>18</v>
      </c>
      <c r="I2143" s="1" t="s">
        <v>19</v>
      </c>
      <c r="J2143" s="1">
        <f>IFERROR(__xludf.DUMMYFUNCTION("""COMPUTED_VALUE"""),153.0)</f>
        <v>153</v>
      </c>
      <c r="K2143" s="1">
        <v>29.0</v>
      </c>
      <c r="L2143" s="1">
        <f>IFERROR(__xludf.DUMMYFUNCTION("""COMPUTED_VALUE"""),409.0)</f>
        <v>409</v>
      </c>
    </row>
    <row r="2144">
      <c r="A2144" s="1">
        <v>3577086.0</v>
      </c>
      <c r="B2144" s="1" t="s">
        <v>4577</v>
      </c>
      <c r="C2144" s="1" t="s">
        <v>3831</v>
      </c>
      <c r="D2144" s="1" t="s">
        <v>3906</v>
      </c>
      <c r="E2144" s="1" t="s">
        <v>4578</v>
      </c>
      <c r="F2144" s="1" t="s">
        <v>16</v>
      </c>
      <c r="G2144" s="1" t="s">
        <v>17</v>
      </c>
      <c r="H2144" s="1" t="s">
        <v>18</v>
      </c>
      <c r="I2144" s="1" t="s">
        <v>19</v>
      </c>
      <c r="J2144" s="1">
        <f>IFERROR(__xludf.DUMMYFUNCTION("""COMPUTED_VALUE"""),117.0)</f>
        <v>117</v>
      </c>
      <c r="K2144" s="1">
        <v>55.0</v>
      </c>
      <c r="L2144" s="1">
        <f>IFERROR(__xludf.DUMMYFUNCTION("""COMPUTED_VALUE"""),128.0)</f>
        <v>128</v>
      </c>
    </row>
    <row r="2145">
      <c r="A2145" s="1">
        <v>3525021.0</v>
      </c>
      <c r="B2145" s="1" t="s">
        <v>4579</v>
      </c>
      <c r="C2145" s="1" t="s">
        <v>3831</v>
      </c>
      <c r="D2145" s="1" t="s">
        <v>3865</v>
      </c>
      <c r="E2145" s="1" t="s">
        <v>4580</v>
      </c>
      <c r="F2145" s="1" t="s">
        <v>16</v>
      </c>
      <c r="G2145" s="1" t="s">
        <v>27</v>
      </c>
      <c r="H2145" s="1" t="s">
        <v>18</v>
      </c>
      <c r="I2145" s="1" t="s">
        <v>19</v>
      </c>
      <c r="J2145" s="1">
        <f>IFERROR(__xludf.DUMMYFUNCTION("""COMPUTED_VALUE"""),203.0)</f>
        <v>203</v>
      </c>
      <c r="K2145" s="1">
        <v>105.0</v>
      </c>
      <c r="L2145" s="1">
        <f>IFERROR(__xludf.DUMMYFUNCTION("""COMPUTED_VALUE"""),488.0)</f>
        <v>488</v>
      </c>
    </row>
    <row r="2146">
      <c r="A2146" s="1">
        <v>3507108.0</v>
      </c>
      <c r="B2146" s="1" t="s">
        <v>4581</v>
      </c>
      <c r="C2146" s="1" t="s">
        <v>3831</v>
      </c>
      <c r="D2146" s="1" t="s">
        <v>3862</v>
      </c>
      <c r="E2146" s="1" t="s">
        <v>4582</v>
      </c>
      <c r="F2146" s="1" t="s">
        <v>16</v>
      </c>
      <c r="G2146" s="1" t="s">
        <v>17</v>
      </c>
      <c r="H2146" s="1" t="s">
        <v>18</v>
      </c>
      <c r="I2146" s="1" t="s">
        <v>19</v>
      </c>
      <c r="J2146" s="1">
        <f>IFERROR(__xludf.DUMMYFUNCTION("""COMPUTED_VALUE"""),153.0)</f>
        <v>153</v>
      </c>
      <c r="K2146" s="1">
        <v>72.0</v>
      </c>
      <c r="L2146" s="1">
        <f>IFERROR(__xludf.DUMMYFUNCTION("""COMPUTED_VALUE"""),538.0)</f>
        <v>538</v>
      </c>
    </row>
    <row r="2147">
      <c r="A2147" s="1">
        <v>3529025.0</v>
      </c>
      <c r="B2147" s="1" t="s">
        <v>4583</v>
      </c>
      <c r="C2147" s="1" t="s">
        <v>3831</v>
      </c>
      <c r="D2147" s="1" t="s">
        <v>4079</v>
      </c>
      <c r="E2147" s="1" t="s">
        <v>4584</v>
      </c>
      <c r="F2147" s="1" t="s">
        <v>16</v>
      </c>
      <c r="G2147" s="1" t="s">
        <v>17</v>
      </c>
      <c r="H2147" s="1" t="s">
        <v>18</v>
      </c>
      <c r="I2147" s="1" t="s">
        <v>684</v>
      </c>
      <c r="J2147" s="1">
        <f>IFERROR(__xludf.DUMMYFUNCTION("""COMPUTED_VALUE"""),153.0)</f>
        <v>153</v>
      </c>
      <c r="K2147" s="1">
        <v>29.0</v>
      </c>
      <c r="L2147" s="1">
        <f>IFERROR(__xludf.DUMMYFUNCTION("""COMPUTED_VALUE"""),198.0)</f>
        <v>198</v>
      </c>
    </row>
    <row r="2148">
      <c r="A2148" s="1">
        <v>3578791.0</v>
      </c>
      <c r="B2148" s="1" t="s">
        <v>4585</v>
      </c>
      <c r="C2148" s="1" t="s">
        <v>3831</v>
      </c>
      <c r="D2148" s="1" t="s">
        <v>3847</v>
      </c>
      <c r="E2148" s="1" t="s">
        <v>4586</v>
      </c>
      <c r="F2148" s="1" t="s">
        <v>55</v>
      </c>
      <c r="G2148" s="1" t="s">
        <v>17</v>
      </c>
      <c r="H2148" s="1" t="s">
        <v>18</v>
      </c>
      <c r="I2148" s="1" t="s">
        <v>44</v>
      </c>
      <c r="J2148" s="1">
        <f>IFERROR(__xludf.DUMMYFUNCTION("""COMPUTED_VALUE"""),39.0)</f>
        <v>39</v>
      </c>
      <c r="K2148" s="1">
        <v>23.0</v>
      </c>
      <c r="L2148" s="1">
        <f>IFERROR(__xludf.DUMMYFUNCTION("""COMPUTED_VALUE"""),101.0)</f>
        <v>101</v>
      </c>
    </row>
    <row r="2149">
      <c r="A2149" s="1">
        <v>3505044.0</v>
      </c>
      <c r="B2149" s="1" t="s">
        <v>4587</v>
      </c>
      <c r="C2149" s="1" t="s">
        <v>3831</v>
      </c>
      <c r="D2149" s="1" t="s">
        <v>3859</v>
      </c>
      <c r="E2149" s="1" t="s">
        <v>4588</v>
      </c>
      <c r="F2149" s="1" t="s">
        <v>16</v>
      </c>
      <c r="G2149" s="1" t="s">
        <v>23</v>
      </c>
      <c r="H2149" s="1" t="s">
        <v>18</v>
      </c>
      <c r="I2149" s="1" t="s">
        <v>19</v>
      </c>
      <c r="J2149" s="1">
        <f>IFERROR(__xludf.DUMMYFUNCTION("""COMPUTED_VALUE"""),62.0)</f>
        <v>62</v>
      </c>
      <c r="K2149" s="1">
        <v>18.0</v>
      </c>
      <c r="L2149" s="1">
        <f>IFERROR(__xludf.DUMMYFUNCTION("""COMPUTED_VALUE"""),62.0)</f>
        <v>62</v>
      </c>
    </row>
    <row r="2150">
      <c r="A2150" s="1">
        <v>3526030.0</v>
      </c>
      <c r="B2150" s="1" t="s">
        <v>4589</v>
      </c>
      <c r="C2150" s="1" t="s">
        <v>3831</v>
      </c>
      <c r="D2150" s="1" t="s">
        <v>3832</v>
      </c>
      <c r="E2150" s="1" t="s">
        <v>4590</v>
      </c>
      <c r="F2150" s="1" t="s">
        <v>55</v>
      </c>
      <c r="G2150" s="1" t="s">
        <v>17</v>
      </c>
      <c r="H2150" s="1" t="s">
        <v>18</v>
      </c>
      <c r="I2150" s="1" t="s">
        <v>59</v>
      </c>
      <c r="J2150" s="1">
        <f>IFERROR(__xludf.DUMMYFUNCTION("""COMPUTED_VALUE"""),25.0)</f>
        <v>25</v>
      </c>
      <c r="K2150" s="1">
        <v>13.0</v>
      </c>
      <c r="L2150" s="1">
        <f>IFERROR(__xludf.DUMMYFUNCTION("""COMPUTED_VALUE"""),19.0)</f>
        <v>19</v>
      </c>
    </row>
    <row r="2151">
      <c r="A2151" s="1">
        <v>3510102.0</v>
      </c>
      <c r="B2151" s="1" t="s">
        <v>4591</v>
      </c>
      <c r="C2151" s="1" t="s">
        <v>3831</v>
      </c>
      <c r="D2151" s="1" t="s">
        <v>3844</v>
      </c>
      <c r="E2151" s="1" t="s">
        <v>4592</v>
      </c>
      <c r="F2151" s="1" t="s">
        <v>16</v>
      </c>
      <c r="G2151" s="1" t="s">
        <v>17</v>
      </c>
      <c r="H2151" s="1" t="s">
        <v>18</v>
      </c>
      <c r="I2151" s="1" t="s">
        <v>19</v>
      </c>
      <c r="J2151" s="1">
        <f>IFERROR(__xludf.DUMMYFUNCTION("""COMPUTED_VALUE"""),120.0)</f>
        <v>120</v>
      </c>
      <c r="K2151" s="1">
        <v>34.0</v>
      </c>
      <c r="L2151" s="1">
        <f>IFERROR(__xludf.DUMMYFUNCTION("""COMPUTED_VALUE"""),139.0)</f>
        <v>139</v>
      </c>
    </row>
    <row r="2152">
      <c r="A2152" s="1">
        <v>3578560.0</v>
      </c>
      <c r="B2152" s="1" t="s">
        <v>4593</v>
      </c>
      <c r="C2152" s="1" t="s">
        <v>3831</v>
      </c>
      <c r="D2152" s="1" t="s">
        <v>3847</v>
      </c>
      <c r="E2152" s="1" t="s">
        <v>4594</v>
      </c>
      <c r="F2152" s="1" t="s">
        <v>16</v>
      </c>
      <c r="G2152" s="1" t="s">
        <v>27</v>
      </c>
      <c r="H2152" s="1" t="s">
        <v>18</v>
      </c>
      <c r="I2152" s="1" t="s">
        <v>19</v>
      </c>
      <c r="J2152" s="1">
        <f>IFERROR(__xludf.DUMMYFUNCTION("""COMPUTED_VALUE"""),243.0)</f>
        <v>243</v>
      </c>
      <c r="K2152" s="1">
        <v>59.0</v>
      </c>
      <c r="L2152" s="1">
        <f>IFERROR(__xludf.DUMMYFUNCTION("""COMPUTED_VALUE"""),556.0)</f>
        <v>556</v>
      </c>
    </row>
    <row r="2153">
      <c r="A2153" s="1">
        <v>3525099.0</v>
      </c>
      <c r="B2153" s="1" t="s">
        <v>4595</v>
      </c>
      <c r="C2153" s="1" t="s">
        <v>3831</v>
      </c>
      <c r="D2153" s="1" t="s">
        <v>3865</v>
      </c>
      <c r="E2153" s="1" t="s">
        <v>4596</v>
      </c>
      <c r="F2153" s="1" t="s">
        <v>16</v>
      </c>
      <c r="G2153" s="1" t="s">
        <v>23</v>
      </c>
      <c r="H2153" s="1" t="s">
        <v>18</v>
      </c>
      <c r="I2153" s="1" t="s">
        <v>19</v>
      </c>
      <c r="J2153" s="1">
        <f>IFERROR(__xludf.DUMMYFUNCTION("""COMPUTED_VALUE"""),55.0)</f>
        <v>55</v>
      </c>
      <c r="K2153" s="1">
        <v>24.0</v>
      </c>
      <c r="L2153" s="1">
        <f>IFERROR(__xludf.DUMMYFUNCTION("""COMPUTED_VALUE"""),74.0)</f>
        <v>74</v>
      </c>
    </row>
    <row r="2154">
      <c r="A2154" s="1">
        <v>3524048.0</v>
      </c>
      <c r="B2154" s="1" t="s">
        <v>4597</v>
      </c>
      <c r="C2154" s="1" t="s">
        <v>3831</v>
      </c>
      <c r="D2154" s="1" t="s">
        <v>3856</v>
      </c>
      <c r="E2154" s="1" t="s">
        <v>4598</v>
      </c>
      <c r="F2154" s="1" t="s">
        <v>16</v>
      </c>
      <c r="G2154" s="1" t="s">
        <v>23</v>
      </c>
      <c r="H2154" s="1" t="s">
        <v>18</v>
      </c>
      <c r="I2154" s="1" t="s">
        <v>19</v>
      </c>
      <c r="J2154" s="1">
        <f>IFERROR(__xludf.DUMMYFUNCTION("""COMPUTED_VALUE"""),66.0)</f>
        <v>66</v>
      </c>
      <c r="K2154" s="1">
        <v>20.0</v>
      </c>
      <c r="L2154" s="1">
        <f>IFERROR(__xludf.DUMMYFUNCTION("""COMPUTED_VALUE"""),54.0)</f>
        <v>54</v>
      </c>
    </row>
    <row r="2155">
      <c r="A2155" s="1">
        <v>3573066.0</v>
      </c>
      <c r="B2155" s="1" t="s">
        <v>4599</v>
      </c>
      <c r="C2155" s="1" t="s">
        <v>3831</v>
      </c>
      <c r="D2155" s="1" t="s">
        <v>3938</v>
      </c>
      <c r="E2155" s="1" t="s">
        <v>4600</v>
      </c>
      <c r="F2155" s="1" t="s">
        <v>16</v>
      </c>
      <c r="G2155" s="1" t="s">
        <v>27</v>
      </c>
      <c r="H2155" s="1" t="s">
        <v>18</v>
      </c>
      <c r="I2155" s="1" t="s">
        <v>19</v>
      </c>
      <c r="J2155" s="1">
        <f>IFERROR(__xludf.DUMMYFUNCTION("""COMPUTED_VALUE"""),200.0)</f>
        <v>200</v>
      </c>
      <c r="K2155" s="1">
        <v>104.0</v>
      </c>
      <c r="L2155" s="1">
        <f>IFERROR(__xludf.DUMMYFUNCTION("""COMPUTED_VALUE"""),410.0)</f>
        <v>410</v>
      </c>
    </row>
    <row r="2156">
      <c r="A2156" s="1">
        <v>3522061.0</v>
      </c>
      <c r="B2156" s="1" t="s">
        <v>4601</v>
      </c>
      <c r="C2156" s="1" t="s">
        <v>3831</v>
      </c>
      <c r="D2156" s="1" t="s">
        <v>3897</v>
      </c>
      <c r="E2156" s="1" t="s">
        <v>4602</v>
      </c>
      <c r="F2156" s="1" t="s">
        <v>16</v>
      </c>
      <c r="G2156" s="1" t="s">
        <v>23</v>
      </c>
      <c r="H2156" s="1" t="s">
        <v>18</v>
      </c>
      <c r="I2156" s="1" t="s">
        <v>44</v>
      </c>
      <c r="J2156" s="1">
        <f>IFERROR(__xludf.DUMMYFUNCTION("""COMPUTED_VALUE"""),95.0)</f>
        <v>95</v>
      </c>
      <c r="K2156" s="1">
        <v>22.0</v>
      </c>
      <c r="L2156" s="1">
        <f>IFERROR(__xludf.DUMMYFUNCTION("""COMPUTED_VALUE"""),178.0)</f>
        <v>178</v>
      </c>
    </row>
    <row r="2157">
      <c r="A2157" s="1">
        <v>3573262.0</v>
      </c>
      <c r="B2157" s="1" t="s">
        <v>4603</v>
      </c>
      <c r="C2157" s="1" t="s">
        <v>3831</v>
      </c>
      <c r="D2157" s="1" t="s">
        <v>3938</v>
      </c>
      <c r="E2157" s="1" t="s">
        <v>4604</v>
      </c>
      <c r="F2157" s="1" t="s">
        <v>16</v>
      </c>
      <c r="G2157" s="1" t="s">
        <v>17</v>
      </c>
      <c r="H2157" s="1" t="s">
        <v>18</v>
      </c>
      <c r="I2157" s="1" t="s">
        <v>34</v>
      </c>
      <c r="J2157" s="1">
        <f>IFERROR(__xludf.DUMMYFUNCTION("""COMPUTED_VALUE"""),100.0)</f>
        <v>100</v>
      </c>
      <c r="K2157" s="1">
        <v>96.0</v>
      </c>
      <c r="L2157" s="1">
        <f>IFERROR(__xludf.DUMMYFUNCTION("""COMPUTED_VALUE"""),363.0)</f>
        <v>363</v>
      </c>
    </row>
    <row r="2158">
      <c r="A2158" s="1">
        <v>3517109.0</v>
      </c>
      <c r="B2158" s="1" t="s">
        <v>4605</v>
      </c>
      <c r="C2158" s="1" t="s">
        <v>3831</v>
      </c>
      <c r="D2158" s="1" t="s">
        <v>3956</v>
      </c>
      <c r="E2158" s="1" t="s">
        <v>4606</v>
      </c>
      <c r="F2158" s="1" t="s">
        <v>16</v>
      </c>
      <c r="G2158" s="1" t="s">
        <v>23</v>
      </c>
      <c r="H2158" s="1" t="s">
        <v>18</v>
      </c>
      <c r="I2158" s="1" t="s">
        <v>684</v>
      </c>
      <c r="J2158" s="1">
        <f>IFERROR(__xludf.DUMMYFUNCTION("""COMPUTED_VALUE"""),101.0)</f>
        <v>101</v>
      </c>
      <c r="K2158" s="1">
        <v>35.0</v>
      </c>
      <c r="L2158" s="1">
        <f>IFERROR(__xludf.DUMMYFUNCTION("""COMPUTED_VALUE"""),182.0)</f>
        <v>182</v>
      </c>
    </row>
    <row r="2159">
      <c r="A2159" s="1">
        <v>3576076.0</v>
      </c>
      <c r="B2159" s="1" t="s">
        <v>4607</v>
      </c>
      <c r="C2159" s="1" t="s">
        <v>3831</v>
      </c>
      <c r="D2159" s="1" t="s">
        <v>4020</v>
      </c>
      <c r="E2159" s="1" t="s">
        <v>4608</v>
      </c>
      <c r="F2159" s="1" t="s">
        <v>16</v>
      </c>
      <c r="G2159" s="1" t="s">
        <v>17</v>
      </c>
      <c r="H2159" s="1" t="s">
        <v>18</v>
      </c>
      <c r="I2159" s="1" t="s">
        <v>59</v>
      </c>
      <c r="J2159" s="1">
        <f>IFERROR(__xludf.DUMMYFUNCTION("""COMPUTED_VALUE"""),103.0)</f>
        <v>103</v>
      </c>
      <c r="K2159" s="1">
        <v>37.0</v>
      </c>
      <c r="L2159" s="1">
        <f>IFERROR(__xludf.DUMMYFUNCTION("""COMPUTED_VALUE"""),153.0)</f>
        <v>153</v>
      </c>
    </row>
    <row r="2160">
      <c r="A2160" s="1">
        <v>3513025.0</v>
      </c>
      <c r="B2160" s="1" t="s">
        <v>4609</v>
      </c>
      <c r="C2160" s="1" t="s">
        <v>3831</v>
      </c>
      <c r="D2160" s="1" t="s">
        <v>3853</v>
      </c>
      <c r="E2160" s="1" t="s">
        <v>4610</v>
      </c>
      <c r="F2160" s="1" t="s">
        <v>55</v>
      </c>
      <c r="G2160" s="1" t="s">
        <v>17</v>
      </c>
      <c r="H2160" s="1" t="s">
        <v>18</v>
      </c>
      <c r="I2160" s="1" t="s">
        <v>19</v>
      </c>
      <c r="J2160" s="1">
        <f>IFERROR(__xludf.DUMMYFUNCTION("""COMPUTED_VALUE"""),50.0)</f>
        <v>50</v>
      </c>
      <c r="K2160" s="1">
        <v>19.0</v>
      </c>
      <c r="L2160" s="1">
        <f>IFERROR(__xludf.DUMMYFUNCTION("""COMPUTED_VALUE"""),73.0)</f>
        <v>73</v>
      </c>
    </row>
    <row r="2161">
      <c r="A2161" s="1">
        <v>3526045.0</v>
      </c>
      <c r="B2161" s="1" t="s">
        <v>4611</v>
      </c>
      <c r="C2161" s="1" t="s">
        <v>3831</v>
      </c>
      <c r="D2161" s="1" t="s">
        <v>3832</v>
      </c>
      <c r="E2161" s="1" t="s">
        <v>4612</v>
      </c>
      <c r="F2161" s="1" t="s">
        <v>55</v>
      </c>
      <c r="G2161" s="1" t="s">
        <v>17</v>
      </c>
      <c r="H2161" s="1" t="s">
        <v>18</v>
      </c>
      <c r="I2161" s="1" t="s">
        <v>19</v>
      </c>
      <c r="J2161" s="1">
        <f>IFERROR(__xludf.DUMMYFUNCTION("""COMPUTED_VALUE"""),30.0)</f>
        <v>30</v>
      </c>
      <c r="K2161" s="1">
        <v>14.0</v>
      </c>
      <c r="L2161" s="1">
        <f>IFERROR(__xludf.DUMMYFUNCTION("""COMPUTED_VALUE"""),182.0)</f>
        <v>182</v>
      </c>
    </row>
    <row r="2162">
      <c r="A2162" s="1">
        <v>3502145.0</v>
      </c>
      <c r="B2162" s="1" t="s">
        <v>4613</v>
      </c>
      <c r="C2162" s="1" t="s">
        <v>3831</v>
      </c>
      <c r="D2162" s="1" t="s">
        <v>4013</v>
      </c>
      <c r="E2162" s="1" t="s">
        <v>4614</v>
      </c>
      <c r="F2162" s="1" t="s">
        <v>16</v>
      </c>
      <c r="G2162" s="1" t="s">
        <v>23</v>
      </c>
      <c r="H2162" s="1" t="s">
        <v>18</v>
      </c>
      <c r="I2162" s="1" t="s">
        <v>19</v>
      </c>
      <c r="J2162" s="1">
        <f>IFERROR(__xludf.DUMMYFUNCTION("""COMPUTED_VALUE"""),50.0)</f>
        <v>50</v>
      </c>
      <c r="K2162" s="1">
        <v>20.0</v>
      </c>
      <c r="L2162" s="1">
        <f>IFERROR(__xludf.DUMMYFUNCTION("""COMPUTED_VALUE"""),105.0)</f>
        <v>105</v>
      </c>
    </row>
    <row r="2163">
      <c r="A2163" s="1">
        <v>3576051.0</v>
      </c>
      <c r="B2163" s="1" t="s">
        <v>4615</v>
      </c>
      <c r="C2163" s="1" t="s">
        <v>3831</v>
      </c>
      <c r="D2163" s="1" t="s">
        <v>4020</v>
      </c>
      <c r="E2163" s="1" t="s">
        <v>4616</v>
      </c>
      <c r="F2163" s="1" t="s">
        <v>16</v>
      </c>
      <c r="G2163" s="1" t="s">
        <v>17</v>
      </c>
      <c r="H2163" s="1" t="s">
        <v>18</v>
      </c>
      <c r="I2163" s="1" t="s">
        <v>684</v>
      </c>
      <c r="J2163" s="1">
        <f>IFERROR(__xludf.DUMMYFUNCTION("""COMPUTED_VALUE"""),102.0)</f>
        <v>102</v>
      </c>
      <c r="K2163" s="1">
        <v>46.0</v>
      </c>
      <c r="L2163" s="1">
        <f>IFERROR(__xludf.DUMMYFUNCTION("""COMPUTED_VALUE"""),188.0)</f>
        <v>188</v>
      </c>
    </row>
    <row r="2164">
      <c r="A2164" s="1">
        <v>3504070.0</v>
      </c>
      <c r="B2164" s="1" t="s">
        <v>4617</v>
      </c>
      <c r="C2164" s="1" t="s">
        <v>3831</v>
      </c>
      <c r="D2164" s="1" t="s">
        <v>3850</v>
      </c>
      <c r="E2164" s="1" t="s">
        <v>4618</v>
      </c>
      <c r="F2164" s="1" t="s">
        <v>16</v>
      </c>
      <c r="G2164" s="1" t="s">
        <v>23</v>
      </c>
      <c r="H2164" s="1" t="s">
        <v>18</v>
      </c>
      <c r="I2164" s="1" t="s">
        <v>19</v>
      </c>
      <c r="J2164" s="1">
        <f>IFERROR(__xludf.DUMMYFUNCTION("""COMPUTED_VALUE"""),114.0)</f>
        <v>114</v>
      </c>
      <c r="K2164" s="1">
        <v>36.0</v>
      </c>
      <c r="L2164" s="1">
        <f>IFERROR(__xludf.DUMMYFUNCTION("""COMPUTED_VALUE"""),186.0)</f>
        <v>186</v>
      </c>
    </row>
    <row r="2165">
      <c r="A2165" s="1">
        <v>3510103.0</v>
      </c>
      <c r="B2165" s="1" t="s">
        <v>4619</v>
      </c>
      <c r="C2165" s="1" t="s">
        <v>3831</v>
      </c>
      <c r="D2165" s="1" t="s">
        <v>3844</v>
      </c>
      <c r="E2165" s="1" t="s">
        <v>4620</v>
      </c>
      <c r="F2165" s="1" t="s">
        <v>16</v>
      </c>
      <c r="G2165" s="1" t="s">
        <v>17</v>
      </c>
      <c r="H2165" s="1" t="s">
        <v>18</v>
      </c>
      <c r="I2165" s="1" t="s">
        <v>19</v>
      </c>
      <c r="J2165" s="1">
        <f>IFERROR(__xludf.DUMMYFUNCTION("""COMPUTED_VALUE"""),207.0)</f>
        <v>207</v>
      </c>
      <c r="K2165" s="1">
        <v>102.0</v>
      </c>
      <c r="L2165" s="1">
        <f>IFERROR(__xludf.DUMMYFUNCTION("""COMPUTED_VALUE"""),650.0)</f>
        <v>650</v>
      </c>
    </row>
    <row r="2166">
      <c r="A2166" s="1">
        <v>3572073.0</v>
      </c>
      <c r="B2166" s="1" t="s">
        <v>4621</v>
      </c>
      <c r="C2166" s="1" t="s">
        <v>3831</v>
      </c>
      <c r="D2166" s="1" t="s">
        <v>4179</v>
      </c>
      <c r="E2166" s="1" t="s">
        <v>4622</v>
      </c>
      <c r="F2166" s="1" t="s">
        <v>16</v>
      </c>
      <c r="G2166" s="1" t="s">
        <v>17</v>
      </c>
      <c r="H2166" s="1" t="s">
        <v>18</v>
      </c>
      <c r="I2166" s="1" t="s">
        <v>684</v>
      </c>
      <c r="J2166" s="1">
        <f>IFERROR(__xludf.DUMMYFUNCTION("""COMPUTED_VALUE"""),90.0)</f>
        <v>90</v>
      </c>
      <c r="K2166" s="1">
        <v>48.0</v>
      </c>
      <c r="L2166" s="1">
        <f>IFERROR(__xludf.DUMMYFUNCTION("""COMPUTED_VALUE"""),90.0)</f>
        <v>90</v>
      </c>
    </row>
    <row r="2167">
      <c r="A2167" s="1">
        <v>3502157.0</v>
      </c>
      <c r="B2167" s="1" t="s">
        <v>4623</v>
      </c>
      <c r="C2167" s="1" t="s">
        <v>3831</v>
      </c>
      <c r="D2167" s="1" t="s">
        <v>4013</v>
      </c>
      <c r="E2167" s="1" t="s">
        <v>4624</v>
      </c>
      <c r="F2167" s="1" t="s">
        <v>16</v>
      </c>
      <c r="G2167" s="1" t="s">
        <v>23</v>
      </c>
      <c r="H2167" s="1" t="s">
        <v>18</v>
      </c>
      <c r="I2167" s="1" t="s">
        <v>19</v>
      </c>
      <c r="J2167" s="1">
        <f>IFERROR(__xludf.DUMMYFUNCTION("""COMPUTED_VALUE"""),74.0)</f>
        <v>74</v>
      </c>
      <c r="K2167" s="1">
        <v>19.0</v>
      </c>
      <c r="L2167" s="1">
        <f>IFERROR(__xludf.DUMMYFUNCTION("""COMPUTED_VALUE"""),182.0)</f>
        <v>182</v>
      </c>
    </row>
    <row r="2168">
      <c r="A2168" s="1">
        <v>3528041.0</v>
      </c>
      <c r="B2168" s="1" t="s">
        <v>4625</v>
      </c>
      <c r="C2168" s="1" t="s">
        <v>3831</v>
      </c>
      <c r="D2168" s="1" t="s">
        <v>3841</v>
      </c>
      <c r="E2168" s="1" t="s">
        <v>4626</v>
      </c>
      <c r="F2168" s="1" t="s">
        <v>55</v>
      </c>
      <c r="G2168" s="1" t="s">
        <v>17</v>
      </c>
      <c r="H2168" s="1" t="s">
        <v>18</v>
      </c>
      <c r="I2168" s="1" t="s">
        <v>163</v>
      </c>
      <c r="J2168" s="1">
        <f>IFERROR(__xludf.DUMMYFUNCTION("""COMPUTED_VALUE"""),28.0)</f>
        <v>28</v>
      </c>
      <c r="K2168" s="1">
        <v>14.0</v>
      </c>
      <c r="L2168" s="1">
        <f>IFERROR(__xludf.DUMMYFUNCTION("""COMPUTED_VALUE"""),182.0)</f>
        <v>182</v>
      </c>
    </row>
    <row r="2169">
      <c r="A2169" s="1">
        <v>3523015.0</v>
      </c>
      <c r="B2169" s="1" t="s">
        <v>4627</v>
      </c>
      <c r="C2169" s="1" t="s">
        <v>3831</v>
      </c>
      <c r="D2169" s="1" t="s">
        <v>3982</v>
      </c>
      <c r="E2169" s="1" t="s">
        <v>4628</v>
      </c>
      <c r="F2169" s="1" t="s">
        <v>16</v>
      </c>
      <c r="G2169" s="1" t="s">
        <v>27</v>
      </c>
      <c r="H2169" s="1" t="s">
        <v>28</v>
      </c>
      <c r="I2169" s="1" t="s">
        <v>40</v>
      </c>
      <c r="J2169" s="1">
        <f>IFERROR(__xludf.DUMMYFUNCTION("""COMPUTED_VALUE"""),408.0)</f>
        <v>408</v>
      </c>
      <c r="K2169" s="1">
        <v>108.0</v>
      </c>
      <c r="L2169" s="1">
        <f>IFERROR(__xludf.DUMMYFUNCTION("""COMPUTED_VALUE"""),1115.0)</f>
        <v>1115</v>
      </c>
    </row>
    <row r="2170">
      <c r="A2170" s="1">
        <v>3506058.0</v>
      </c>
      <c r="B2170" s="1" t="s">
        <v>4629</v>
      </c>
      <c r="C2170" s="1" t="s">
        <v>3831</v>
      </c>
      <c r="D2170" s="1" t="s">
        <v>3894</v>
      </c>
      <c r="E2170" s="1" t="s">
        <v>4630</v>
      </c>
      <c r="F2170" s="1" t="s">
        <v>16</v>
      </c>
      <c r="G2170" s="1" t="s">
        <v>23</v>
      </c>
      <c r="H2170" s="1" t="s">
        <v>18</v>
      </c>
      <c r="I2170" s="1" t="s">
        <v>59</v>
      </c>
      <c r="J2170" s="1">
        <f>IFERROR(__xludf.DUMMYFUNCTION("""COMPUTED_VALUE"""),100.0)</f>
        <v>100</v>
      </c>
      <c r="K2170" s="1">
        <v>28.0</v>
      </c>
      <c r="L2170" s="1">
        <f>IFERROR(__xludf.DUMMYFUNCTION("""COMPUTED_VALUE"""),51.0)</f>
        <v>51</v>
      </c>
    </row>
    <row r="2171">
      <c r="A2171" s="1">
        <v>3571147.0</v>
      </c>
      <c r="B2171" s="1" t="s">
        <v>4631</v>
      </c>
      <c r="C2171" s="1" t="s">
        <v>3831</v>
      </c>
      <c r="D2171" s="1" t="s">
        <v>3930</v>
      </c>
      <c r="E2171" s="1" t="s">
        <v>4632</v>
      </c>
      <c r="F2171" s="1" t="s">
        <v>16</v>
      </c>
      <c r="G2171" s="1" t="s">
        <v>23</v>
      </c>
      <c r="H2171" s="1" t="s">
        <v>18</v>
      </c>
      <c r="I2171" s="1" t="s">
        <v>19</v>
      </c>
      <c r="J2171" s="1">
        <f>IFERROR(__xludf.DUMMYFUNCTION("""COMPUTED_VALUE"""),90.0)</f>
        <v>90</v>
      </c>
      <c r="K2171" s="1">
        <v>18.0</v>
      </c>
      <c r="L2171" s="1">
        <f>IFERROR(__xludf.DUMMYFUNCTION("""COMPUTED_VALUE"""),68.0)</f>
        <v>68</v>
      </c>
    </row>
    <row r="2172">
      <c r="A2172" s="1">
        <v>3579074.0</v>
      </c>
      <c r="B2172" s="1" t="s">
        <v>4633</v>
      </c>
      <c r="C2172" s="1" t="s">
        <v>3831</v>
      </c>
      <c r="D2172" s="1" t="s">
        <v>3922</v>
      </c>
      <c r="E2172" s="1" t="s">
        <v>4634</v>
      </c>
      <c r="F2172" s="1" t="s">
        <v>16</v>
      </c>
      <c r="G2172" s="1" t="s">
        <v>17</v>
      </c>
      <c r="H2172" s="1" t="s">
        <v>18</v>
      </c>
      <c r="I2172" s="1" t="s">
        <v>249</v>
      </c>
      <c r="J2172" s="1">
        <f>IFERROR(__xludf.DUMMYFUNCTION("""COMPUTED_VALUE"""),107.0)</f>
        <v>107</v>
      </c>
      <c r="K2172" s="1">
        <v>36.0</v>
      </c>
      <c r="L2172" s="1">
        <f>IFERROR(__xludf.DUMMYFUNCTION("""COMPUTED_VALUE"""),254.0)</f>
        <v>254</v>
      </c>
    </row>
    <row r="2173">
      <c r="A2173" s="1">
        <v>3578053.0</v>
      </c>
      <c r="B2173" s="1" t="s">
        <v>4635</v>
      </c>
      <c r="C2173" s="1" t="s">
        <v>3831</v>
      </c>
      <c r="D2173" s="1" t="s">
        <v>3847</v>
      </c>
      <c r="E2173" s="1" t="s">
        <v>4636</v>
      </c>
      <c r="F2173" s="1" t="s">
        <v>16</v>
      </c>
      <c r="G2173" s="1" t="s">
        <v>17</v>
      </c>
      <c r="H2173" s="1" t="s">
        <v>18</v>
      </c>
      <c r="I2173" s="1" t="s">
        <v>59</v>
      </c>
      <c r="J2173" s="1">
        <f>IFERROR(__xludf.DUMMYFUNCTION("""COMPUTED_VALUE"""),171.0)</f>
        <v>171</v>
      </c>
      <c r="K2173" s="1">
        <v>68.0</v>
      </c>
      <c r="L2173" s="1">
        <f>IFERROR(__xludf.DUMMYFUNCTION("""COMPUTED_VALUE"""),780.0)</f>
        <v>780</v>
      </c>
    </row>
    <row r="2174">
      <c r="A2174" s="1">
        <v>3517095.0</v>
      </c>
      <c r="B2174" s="1" t="s">
        <v>4637</v>
      </c>
      <c r="C2174" s="1" t="s">
        <v>3831</v>
      </c>
      <c r="D2174" s="1" t="s">
        <v>3956</v>
      </c>
      <c r="E2174" s="1" t="s">
        <v>4638</v>
      </c>
      <c r="F2174" s="1" t="s">
        <v>16</v>
      </c>
      <c r="G2174" s="1" t="s">
        <v>23</v>
      </c>
      <c r="H2174" s="1" t="s">
        <v>18</v>
      </c>
      <c r="I2174" s="1" t="s">
        <v>44</v>
      </c>
      <c r="J2174" s="1">
        <f>IFERROR(__xludf.DUMMYFUNCTION("""COMPUTED_VALUE"""),100.0)</f>
        <v>100</v>
      </c>
      <c r="K2174" s="1">
        <v>36.0</v>
      </c>
      <c r="L2174" s="1">
        <f>IFERROR(__xludf.DUMMYFUNCTION("""COMPUTED_VALUE"""),34.0)</f>
        <v>34</v>
      </c>
    </row>
    <row r="2175">
      <c r="A2175" s="1">
        <v>3515145.0</v>
      </c>
      <c r="B2175" s="1" t="s">
        <v>4639</v>
      </c>
      <c r="C2175" s="1" t="s">
        <v>3831</v>
      </c>
      <c r="D2175" s="1" t="s">
        <v>3870</v>
      </c>
      <c r="E2175" s="1" t="s">
        <v>4640</v>
      </c>
      <c r="F2175" s="1" t="s">
        <v>16</v>
      </c>
      <c r="G2175" s="1" t="s">
        <v>17</v>
      </c>
      <c r="H2175" s="1" t="s">
        <v>18</v>
      </c>
      <c r="I2175" s="1" t="s">
        <v>19</v>
      </c>
      <c r="J2175" s="1">
        <f>IFERROR(__xludf.DUMMYFUNCTION("""COMPUTED_VALUE"""),102.0)</f>
        <v>102</v>
      </c>
      <c r="K2175" s="1">
        <v>90.0</v>
      </c>
      <c r="L2175" s="1">
        <f>IFERROR(__xludf.DUMMYFUNCTION("""COMPUTED_VALUE"""),245.0)</f>
        <v>245</v>
      </c>
    </row>
    <row r="2176">
      <c r="A2176" s="1">
        <v>3509123.0</v>
      </c>
      <c r="B2176" s="1" t="s">
        <v>4641</v>
      </c>
      <c r="C2176" s="1" t="s">
        <v>3831</v>
      </c>
      <c r="D2176" s="1" t="s">
        <v>3890</v>
      </c>
      <c r="E2176" s="1" t="s">
        <v>4642</v>
      </c>
      <c r="F2176" s="1" t="s">
        <v>16</v>
      </c>
      <c r="G2176" s="1" t="s">
        <v>17</v>
      </c>
      <c r="H2176" s="1" t="s">
        <v>28</v>
      </c>
      <c r="I2176" s="1" t="s">
        <v>40</v>
      </c>
      <c r="J2176" s="1">
        <f>IFERROR(__xludf.DUMMYFUNCTION("""COMPUTED_VALUE"""),116.0)</f>
        <v>116</v>
      </c>
      <c r="K2176" s="1">
        <v>31.0</v>
      </c>
      <c r="L2176" s="1">
        <f>IFERROR(__xludf.DUMMYFUNCTION("""COMPUTED_VALUE"""),275.0)</f>
        <v>275</v>
      </c>
    </row>
    <row r="2177">
      <c r="A2177" s="1">
        <v>3578192.0</v>
      </c>
      <c r="B2177" s="1" t="s">
        <v>4643</v>
      </c>
      <c r="C2177" s="1" t="s">
        <v>3831</v>
      </c>
      <c r="D2177" s="1" t="s">
        <v>3847</v>
      </c>
      <c r="E2177" s="1" t="s">
        <v>4644</v>
      </c>
      <c r="F2177" s="1" t="s">
        <v>174</v>
      </c>
      <c r="G2177" s="1" t="s">
        <v>150</v>
      </c>
      <c r="H2177" s="1" t="s">
        <v>28</v>
      </c>
      <c r="I2177" s="1" t="s">
        <v>139</v>
      </c>
      <c r="J2177" s="1">
        <f>IFERROR(__xludf.DUMMYFUNCTION("""COMPUTED_VALUE"""),390.0)</f>
        <v>390</v>
      </c>
      <c r="K2177" s="1">
        <v>75.0</v>
      </c>
      <c r="L2177" s="1">
        <f>IFERROR(__xludf.DUMMYFUNCTION("""COMPUTED_VALUE"""),287.0)</f>
        <v>287</v>
      </c>
    </row>
    <row r="2178">
      <c r="A2178" s="1">
        <v>3572021.0</v>
      </c>
      <c r="B2178" s="1" t="s">
        <v>4645</v>
      </c>
      <c r="C2178" s="1" t="s">
        <v>3831</v>
      </c>
      <c r="D2178" s="1" t="s">
        <v>4179</v>
      </c>
      <c r="E2178" s="1" t="s">
        <v>4646</v>
      </c>
      <c r="F2178" s="1" t="s">
        <v>16</v>
      </c>
      <c r="G2178" s="1" t="s">
        <v>17</v>
      </c>
      <c r="H2178" s="1" t="s">
        <v>18</v>
      </c>
      <c r="I2178" s="1" t="s">
        <v>59</v>
      </c>
      <c r="J2178" s="1">
        <f>IFERROR(__xludf.DUMMYFUNCTION("""COMPUTED_VALUE"""),103.0)</f>
        <v>103</v>
      </c>
      <c r="K2178" s="1">
        <v>32.0</v>
      </c>
      <c r="L2178" s="1">
        <f>IFERROR(__xludf.DUMMYFUNCTION("""COMPUTED_VALUE"""),313.0)</f>
        <v>313</v>
      </c>
    </row>
    <row r="2179">
      <c r="A2179" s="1">
        <v>3506062.0</v>
      </c>
      <c r="B2179" s="1" t="s">
        <v>4647</v>
      </c>
      <c r="C2179" s="1" t="s">
        <v>3831</v>
      </c>
      <c r="D2179" s="1" t="s">
        <v>3894</v>
      </c>
      <c r="E2179" s="1" t="s">
        <v>4648</v>
      </c>
      <c r="F2179" s="1" t="s">
        <v>16</v>
      </c>
      <c r="G2179" s="1" t="s">
        <v>17</v>
      </c>
      <c r="H2179" s="1" t="s">
        <v>18</v>
      </c>
      <c r="I2179" s="1" t="s">
        <v>44</v>
      </c>
      <c r="J2179" s="1">
        <f>IFERROR(__xludf.DUMMYFUNCTION("""COMPUTED_VALUE"""),120.0)</f>
        <v>120</v>
      </c>
      <c r="K2179" s="1">
        <v>60.0</v>
      </c>
      <c r="L2179" s="1">
        <f>IFERROR(__xludf.DUMMYFUNCTION("""COMPUTED_VALUE"""),294.0)</f>
        <v>294</v>
      </c>
    </row>
    <row r="2180">
      <c r="A2180" s="1">
        <v>3515026.0</v>
      </c>
      <c r="B2180" s="1" t="s">
        <v>4649</v>
      </c>
      <c r="C2180" s="1" t="s">
        <v>3831</v>
      </c>
      <c r="D2180" s="1" t="s">
        <v>3870</v>
      </c>
      <c r="E2180" s="1" t="s">
        <v>4650</v>
      </c>
      <c r="F2180" s="1" t="s">
        <v>16</v>
      </c>
      <c r="G2180" s="1" t="s">
        <v>27</v>
      </c>
      <c r="H2180" s="1" t="s">
        <v>18</v>
      </c>
      <c r="I2180" s="1" t="s">
        <v>19</v>
      </c>
      <c r="J2180" s="1">
        <f>IFERROR(__xludf.DUMMYFUNCTION("""COMPUTED_VALUE"""),275.0)</f>
        <v>275</v>
      </c>
      <c r="K2180" s="1">
        <v>118.0</v>
      </c>
      <c r="L2180" s="1">
        <f>IFERROR(__xludf.DUMMYFUNCTION("""COMPUTED_VALUE"""),546.0)</f>
        <v>546</v>
      </c>
    </row>
    <row r="2181">
      <c r="A2181" s="1">
        <v>3578753.0</v>
      </c>
      <c r="B2181" s="1" t="s">
        <v>4651</v>
      </c>
      <c r="C2181" s="1" t="s">
        <v>3831</v>
      </c>
      <c r="D2181" s="1" t="s">
        <v>3847</v>
      </c>
      <c r="E2181" s="1" t="s">
        <v>4652</v>
      </c>
      <c r="F2181" s="1" t="s">
        <v>1789</v>
      </c>
      <c r="G2181" s="1" t="s">
        <v>17</v>
      </c>
      <c r="H2181" s="1" t="s">
        <v>18</v>
      </c>
      <c r="I2181" s="1" t="s">
        <v>19</v>
      </c>
      <c r="J2181" s="1">
        <f>IFERROR(__xludf.DUMMYFUNCTION("""COMPUTED_VALUE"""),25.0)</f>
        <v>25</v>
      </c>
      <c r="K2181" s="1">
        <v>18.0</v>
      </c>
      <c r="L2181" s="1">
        <f>IFERROR(__xludf.DUMMYFUNCTION("""COMPUTED_VALUE"""),99.0)</f>
        <v>99</v>
      </c>
    </row>
    <row r="2182">
      <c r="A2182" s="1">
        <v>3524049.0</v>
      </c>
      <c r="B2182" s="1" t="s">
        <v>4653</v>
      </c>
      <c r="C2182" s="1" t="s">
        <v>3831</v>
      </c>
      <c r="D2182" s="1" t="s">
        <v>3856</v>
      </c>
      <c r="E2182" s="1" t="s">
        <v>4654</v>
      </c>
      <c r="F2182" s="1" t="s">
        <v>16</v>
      </c>
      <c r="G2182" s="1" t="s">
        <v>17</v>
      </c>
      <c r="H2182" s="1" t="s">
        <v>18</v>
      </c>
      <c r="I2182" s="1" t="s">
        <v>19</v>
      </c>
      <c r="J2182" s="1">
        <f>IFERROR(__xludf.DUMMYFUNCTION("""COMPUTED_VALUE"""),104.0)</f>
        <v>104</v>
      </c>
      <c r="K2182" s="1">
        <v>41.0</v>
      </c>
      <c r="L2182" s="1">
        <f>IFERROR(__xludf.DUMMYFUNCTION("""COMPUTED_VALUE"""),71.0)</f>
        <v>71</v>
      </c>
    </row>
    <row r="2183">
      <c r="A2183" s="1">
        <v>3574012.0</v>
      </c>
      <c r="B2183" s="1" t="s">
        <v>4655</v>
      </c>
      <c r="C2183" s="1" t="s">
        <v>3831</v>
      </c>
      <c r="D2183" s="1" t="s">
        <v>4046</v>
      </c>
      <c r="E2183" s="1" t="s">
        <v>4656</v>
      </c>
      <c r="F2183" s="1" t="s">
        <v>16</v>
      </c>
      <c r="G2183" s="1" t="s">
        <v>27</v>
      </c>
      <c r="H2183" s="1" t="s">
        <v>28</v>
      </c>
      <c r="I2183" s="1" t="s">
        <v>29</v>
      </c>
      <c r="J2183" s="1">
        <f>IFERROR(__xludf.DUMMYFUNCTION("""COMPUTED_VALUE"""),211.0)</f>
        <v>211</v>
      </c>
      <c r="K2183" s="1">
        <v>61.0</v>
      </c>
      <c r="L2183" s="1">
        <f>IFERROR(__xludf.DUMMYFUNCTION("""COMPUTED_VALUE"""),1010.0)</f>
        <v>1010</v>
      </c>
    </row>
    <row r="2184">
      <c r="A2184" s="1">
        <v>3578213.0</v>
      </c>
      <c r="B2184" s="1" t="s">
        <v>4657</v>
      </c>
      <c r="C2184" s="1" t="s">
        <v>3831</v>
      </c>
      <c r="D2184" s="1" t="s">
        <v>3847</v>
      </c>
      <c r="E2184" s="1" t="s">
        <v>4658</v>
      </c>
      <c r="F2184" s="1" t="s">
        <v>16</v>
      </c>
      <c r="G2184" s="1" t="s">
        <v>27</v>
      </c>
      <c r="H2184" s="1" t="s">
        <v>28</v>
      </c>
      <c r="I2184" s="1" t="s">
        <v>29</v>
      </c>
      <c r="J2184" s="1">
        <f>IFERROR(__xludf.DUMMYFUNCTION("""COMPUTED_VALUE"""),207.0)</f>
        <v>207</v>
      </c>
      <c r="K2184" s="1">
        <v>37.0</v>
      </c>
      <c r="L2184" s="1">
        <f>IFERROR(__xludf.DUMMYFUNCTION("""COMPUTED_VALUE"""),390.0)</f>
        <v>390</v>
      </c>
    </row>
    <row r="2185">
      <c r="A2185" s="1">
        <v>3578766.0</v>
      </c>
      <c r="B2185" s="1" t="s">
        <v>4659</v>
      </c>
      <c r="C2185" s="1" t="s">
        <v>3831</v>
      </c>
      <c r="D2185" s="1" t="s">
        <v>3847</v>
      </c>
      <c r="E2185" s="1" t="s">
        <v>4660</v>
      </c>
      <c r="F2185" s="1" t="s">
        <v>16</v>
      </c>
      <c r="G2185" s="1" t="s">
        <v>17</v>
      </c>
      <c r="H2185" s="1" t="s">
        <v>18</v>
      </c>
      <c r="I2185" s="1" t="s">
        <v>19</v>
      </c>
      <c r="J2185" s="1">
        <f>IFERROR(__xludf.DUMMYFUNCTION("""COMPUTED_VALUE"""),130.0)</f>
        <v>130</v>
      </c>
      <c r="K2185" s="1">
        <v>71.0</v>
      </c>
      <c r="L2185" s="1">
        <f>IFERROR(__xludf.DUMMYFUNCTION("""COMPUTED_VALUE"""),267.0)</f>
        <v>267</v>
      </c>
    </row>
    <row r="2186">
      <c r="A2186" s="1">
        <v>3520012.0</v>
      </c>
      <c r="B2186" s="1" t="s">
        <v>4661</v>
      </c>
      <c r="C2186" s="1" t="s">
        <v>3831</v>
      </c>
      <c r="D2186" s="1" t="s">
        <v>3878</v>
      </c>
      <c r="E2186" s="1" t="s">
        <v>4662</v>
      </c>
      <c r="F2186" s="1" t="s">
        <v>16</v>
      </c>
      <c r="G2186" s="1" t="s">
        <v>17</v>
      </c>
      <c r="H2186" s="1" t="s">
        <v>28</v>
      </c>
      <c r="I2186" s="1" t="s">
        <v>40</v>
      </c>
      <c r="J2186" s="1">
        <f>IFERROR(__xludf.DUMMYFUNCTION("""COMPUTED_VALUE"""),272.0)</f>
        <v>272</v>
      </c>
      <c r="K2186" s="1">
        <v>41.0</v>
      </c>
      <c r="L2186" s="1">
        <f>IFERROR(__xludf.DUMMYFUNCTION("""COMPUTED_VALUE"""),119.0)</f>
        <v>119</v>
      </c>
    </row>
    <row r="2187">
      <c r="A2187" s="1">
        <v>3578246.0</v>
      </c>
      <c r="B2187" s="1" t="s">
        <v>4663</v>
      </c>
      <c r="C2187" s="1" t="s">
        <v>3831</v>
      </c>
      <c r="D2187" s="1" t="s">
        <v>3847</v>
      </c>
      <c r="E2187" s="1" t="s">
        <v>4664</v>
      </c>
      <c r="F2187" s="1" t="s">
        <v>16</v>
      </c>
      <c r="G2187" s="1" t="s">
        <v>23</v>
      </c>
      <c r="H2187" s="1" t="s">
        <v>18</v>
      </c>
      <c r="I2187" s="1" t="s">
        <v>19</v>
      </c>
      <c r="J2187" s="1">
        <f>IFERROR(__xludf.DUMMYFUNCTION("""COMPUTED_VALUE"""),59.0)</f>
        <v>59</v>
      </c>
      <c r="K2187" s="1">
        <v>21.0</v>
      </c>
      <c r="L2187" s="1">
        <f>IFERROR(__xludf.DUMMYFUNCTION("""COMPUTED_VALUE"""),157.0)</f>
        <v>157</v>
      </c>
    </row>
    <row r="2188">
      <c r="A2188" s="1">
        <v>3573246.0</v>
      </c>
      <c r="B2188" s="1" t="s">
        <v>4665</v>
      </c>
      <c r="C2188" s="1" t="s">
        <v>3831</v>
      </c>
      <c r="D2188" s="1" t="s">
        <v>3938</v>
      </c>
      <c r="E2188" s="1" t="s">
        <v>4666</v>
      </c>
      <c r="F2188" s="1" t="s">
        <v>16</v>
      </c>
      <c r="G2188" s="1" t="s">
        <v>17</v>
      </c>
      <c r="H2188" s="1" t="s">
        <v>18</v>
      </c>
      <c r="I2188" s="1" t="s">
        <v>19</v>
      </c>
      <c r="J2188" s="1">
        <f>IFERROR(__xludf.DUMMYFUNCTION("""COMPUTED_VALUE"""),135.0)</f>
        <v>135</v>
      </c>
      <c r="K2188" s="1">
        <v>55.0</v>
      </c>
      <c r="L2188" s="1">
        <f>IFERROR(__xludf.DUMMYFUNCTION("""COMPUTED_VALUE"""),348.0)</f>
        <v>348</v>
      </c>
    </row>
    <row r="2189">
      <c r="A2189" s="1">
        <v>3578774.0</v>
      </c>
      <c r="B2189" s="1" t="s">
        <v>4667</v>
      </c>
      <c r="C2189" s="1" t="s">
        <v>3831</v>
      </c>
      <c r="D2189" s="1" t="s">
        <v>3847</v>
      </c>
      <c r="E2189" s="1" t="s">
        <v>4668</v>
      </c>
      <c r="F2189" s="1" t="s">
        <v>55</v>
      </c>
      <c r="G2189" s="1" t="s">
        <v>17</v>
      </c>
      <c r="H2189" s="1" t="s">
        <v>18</v>
      </c>
      <c r="I2189" s="1" t="s">
        <v>44</v>
      </c>
      <c r="J2189" s="1">
        <f>IFERROR(__xludf.DUMMYFUNCTION("""COMPUTED_VALUE"""),40.0)</f>
        <v>40</v>
      </c>
      <c r="K2189" s="1">
        <v>16.0</v>
      </c>
      <c r="L2189" s="1">
        <f>IFERROR(__xludf.DUMMYFUNCTION("""COMPUTED_VALUE"""),49.0)</f>
        <v>49</v>
      </c>
    </row>
    <row r="2190">
      <c r="A2190" s="1">
        <v>3507262.0</v>
      </c>
      <c r="B2190" s="1" t="s">
        <v>4669</v>
      </c>
      <c r="C2190" s="1" t="s">
        <v>3831</v>
      </c>
      <c r="D2190" s="1" t="s">
        <v>3862</v>
      </c>
      <c r="E2190" s="1" t="s">
        <v>4670</v>
      </c>
      <c r="F2190" s="1" t="s">
        <v>16</v>
      </c>
      <c r="G2190" s="1" t="s">
        <v>23</v>
      </c>
      <c r="H2190" s="1" t="s">
        <v>18</v>
      </c>
      <c r="I2190" s="1" t="s">
        <v>563</v>
      </c>
      <c r="J2190" s="1">
        <f>IFERROR(__xludf.DUMMYFUNCTION("""COMPUTED_VALUE"""),56.0)</f>
        <v>56</v>
      </c>
      <c r="K2190" s="1">
        <v>14.0</v>
      </c>
      <c r="L2190" s="1">
        <f>IFERROR(__xludf.DUMMYFUNCTION("""COMPUTED_VALUE"""),182.0)</f>
        <v>182</v>
      </c>
    </row>
    <row r="2191">
      <c r="A2191" s="1">
        <v>3525076.0</v>
      </c>
      <c r="B2191" s="1" t="s">
        <v>4671</v>
      </c>
      <c r="C2191" s="1" t="s">
        <v>3831</v>
      </c>
      <c r="D2191" s="1" t="s">
        <v>3865</v>
      </c>
      <c r="E2191" s="1" t="s">
        <v>4672</v>
      </c>
      <c r="F2191" s="1" t="s">
        <v>16</v>
      </c>
      <c r="G2191" s="1" t="s">
        <v>17</v>
      </c>
      <c r="H2191" s="1" t="s">
        <v>18</v>
      </c>
      <c r="I2191" s="1" t="s">
        <v>19</v>
      </c>
      <c r="J2191" s="1">
        <f>IFERROR(__xludf.DUMMYFUNCTION("""COMPUTED_VALUE"""),123.0)</f>
        <v>123</v>
      </c>
      <c r="K2191" s="1">
        <v>80.0</v>
      </c>
      <c r="L2191" s="1">
        <f>IFERROR(__xludf.DUMMYFUNCTION("""COMPUTED_VALUE"""),372.0)</f>
        <v>372</v>
      </c>
    </row>
    <row r="2192">
      <c r="A2192" s="1">
        <v>3517093.0</v>
      </c>
      <c r="B2192" s="1" t="s">
        <v>4673</v>
      </c>
      <c r="C2192" s="1" t="s">
        <v>3831</v>
      </c>
      <c r="D2192" s="1" t="s">
        <v>3956</v>
      </c>
      <c r="E2192" s="1" t="s">
        <v>4674</v>
      </c>
      <c r="F2192" s="1" t="s">
        <v>16</v>
      </c>
      <c r="G2192" s="1" t="s">
        <v>23</v>
      </c>
      <c r="H2192" s="1" t="s">
        <v>18</v>
      </c>
      <c r="I2192" s="1" t="s">
        <v>684</v>
      </c>
      <c r="J2192" s="1">
        <f>IFERROR(__xludf.DUMMYFUNCTION("""COMPUTED_VALUE"""),70.0)</f>
        <v>70</v>
      </c>
      <c r="K2192" s="1">
        <v>23.0</v>
      </c>
      <c r="L2192" s="1">
        <f>IFERROR(__xludf.DUMMYFUNCTION("""COMPUTED_VALUE"""),150.0)</f>
        <v>150</v>
      </c>
    </row>
    <row r="2193">
      <c r="A2193" s="1">
        <v>3578784.0</v>
      </c>
      <c r="B2193" s="1" t="s">
        <v>4675</v>
      </c>
      <c r="C2193" s="1" t="s">
        <v>3831</v>
      </c>
      <c r="D2193" s="1" t="s">
        <v>3847</v>
      </c>
      <c r="E2193" s="1" t="s">
        <v>4676</v>
      </c>
      <c r="F2193" s="1" t="s">
        <v>55</v>
      </c>
      <c r="G2193" s="1" t="s">
        <v>17</v>
      </c>
      <c r="H2193" s="1" t="s">
        <v>18</v>
      </c>
      <c r="I2193" s="1" t="s">
        <v>44</v>
      </c>
      <c r="J2193" s="1">
        <f>IFERROR(__xludf.DUMMYFUNCTION("""COMPUTED_VALUE"""),27.0)</f>
        <v>27</v>
      </c>
      <c r="K2193" s="1">
        <v>20.0</v>
      </c>
      <c r="L2193" s="1">
        <f>IFERROR(__xludf.DUMMYFUNCTION("""COMPUTED_VALUE"""),50.0)</f>
        <v>50</v>
      </c>
    </row>
    <row r="2194">
      <c r="A2194" s="1">
        <v>3510106.0</v>
      </c>
      <c r="B2194" s="1" t="s">
        <v>4677</v>
      </c>
      <c r="C2194" s="1" t="s">
        <v>3831</v>
      </c>
      <c r="D2194" s="1" t="s">
        <v>3844</v>
      </c>
      <c r="E2194" s="1" t="s">
        <v>4678</v>
      </c>
      <c r="F2194" s="1" t="s">
        <v>16</v>
      </c>
      <c r="G2194" s="1" t="s">
        <v>17</v>
      </c>
      <c r="H2194" s="1" t="s">
        <v>18</v>
      </c>
      <c r="I2194" s="1" t="s">
        <v>19</v>
      </c>
      <c r="J2194" s="1">
        <f>IFERROR(__xludf.DUMMYFUNCTION("""COMPUTED_VALUE"""),152.0)</f>
        <v>152</v>
      </c>
      <c r="K2194" s="1">
        <v>48.0</v>
      </c>
      <c r="L2194" s="1">
        <f>IFERROR(__xludf.DUMMYFUNCTION("""COMPUTED_VALUE"""),172.0)</f>
        <v>172</v>
      </c>
    </row>
    <row r="2195">
      <c r="A2195" s="1">
        <v>3571020.0</v>
      </c>
      <c r="B2195" s="1" t="s">
        <v>4679</v>
      </c>
      <c r="C2195" s="1" t="s">
        <v>3831</v>
      </c>
      <c r="D2195" s="1" t="s">
        <v>3930</v>
      </c>
      <c r="E2195" s="1" t="s">
        <v>4680</v>
      </c>
      <c r="F2195" s="1" t="s">
        <v>16</v>
      </c>
      <c r="G2195" s="1" t="s">
        <v>17</v>
      </c>
      <c r="H2195" s="1" t="s">
        <v>18</v>
      </c>
      <c r="I2195" s="1" t="s">
        <v>74</v>
      </c>
      <c r="J2195" s="1">
        <f>IFERROR(__xludf.DUMMYFUNCTION("""COMPUTED_VALUE"""),136.0)</f>
        <v>136</v>
      </c>
      <c r="K2195" s="1">
        <v>31.0</v>
      </c>
      <c r="L2195" s="1">
        <f>IFERROR(__xludf.DUMMYFUNCTION("""COMPUTED_VALUE"""),99.0)</f>
        <v>99</v>
      </c>
    </row>
    <row r="2196">
      <c r="A2196" s="1">
        <v>3524044.0</v>
      </c>
      <c r="B2196" s="1" t="s">
        <v>4681</v>
      </c>
      <c r="C2196" s="1" t="s">
        <v>3831</v>
      </c>
      <c r="D2196" s="1" t="s">
        <v>3856</v>
      </c>
      <c r="E2196" s="1" t="s">
        <v>4682</v>
      </c>
      <c r="F2196" s="1" t="s">
        <v>16</v>
      </c>
      <c r="G2196" s="1" t="s">
        <v>23</v>
      </c>
      <c r="H2196" s="1" t="s">
        <v>18</v>
      </c>
      <c r="I2196" s="1" t="s">
        <v>684</v>
      </c>
      <c r="J2196" s="1">
        <f>IFERROR(__xludf.DUMMYFUNCTION("""COMPUTED_VALUE"""),122.0)</f>
        <v>122</v>
      </c>
      <c r="K2196" s="1">
        <v>24.0</v>
      </c>
      <c r="L2196" s="1">
        <f>IFERROR(__xludf.DUMMYFUNCTION("""COMPUTED_VALUE"""),116.0)</f>
        <v>116</v>
      </c>
    </row>
    <row r="2197">
      <c r="A2197" s="1">
        <v>3578785.0</v>
      </c>
      <c r="B2197" s="1" t="s">
        <v>4683</v>
      </c>
      <c r="C2197" s="1" t="s">
        <v>3831</v>
      </c>
      <c r="D2197" s="1" t="s">
        <v>3847</v>
      </c>
      <c r="E2197" s="1" t="s">
        <v>4684</v>
      </c>
      <c r="F2197" s="1" t="s">
        <v>16</v>
      </c>
      <c r="G2197" s="1" t="s">
        <v>17</v>
      </c>
      <c r="H2197" s="1" t="s">
        <v>18</v>
      </c>
      <c r="I2197" s="1" t="s">
        <v>44</v>
      </c>
      <c r="J2197" s="1">
        <f>IFERROR(__xludf.DUMMYFUNCTION("""COMPUTED_VALUE"""),110.0)</f>
        <v>110</v>
      </c>
      <c r="K2197" s="1">
        <v>41.0</v>
      </c>
      <c r="L2197" s="1">
        <f>IFERROR(__xludf.DUMMYFUNCTION("""COMPUTED_VALUE"""),294.0)</f>
        <v>294</v>
      </c>
    </row>
    <row r="2198">
      <c r="A2198" s="1">
        <v>3525098.0</v>
      </c>
      <c r="B2198" s="1" t="s">
        <v>4685</v>
      </c>
      <c r="C2198" s="1" t="s">
        <v>3831</v>
      </c>
      <c r="D2198" s="1" t="s">
        <v>3865</v>
      </c>
      <c r="E2198" s="1" t="s">
        <v>4686</v>
      </c>
      <c r="F2198" s="1" t="s">
        <v>16</v>
      </c>
      <c r="G2198" s="1" t="s">
        <v>23</v>
      </c>
      <c r="H2198" s="1" t="s">
        <v>18</v>
      </c>
      <c r="I2198" s="1" t="s">
        <v>19</v>
      </c>
      <c r="J2198" s="1">
        <f>IFERROR(__xludf.DUMMYFUNCTION("""COMPUTED_VALUE"""),52.0)</f>
        <v>52</v>
      </c>
      <c r="K2198" s="1">
        <v>22.0</v>
      </c>
      <c r="L2198" s="1">
        <f>IFERROR(__xludf.DUMMYFUNCTION("""COMPUTED_VALUE"""),23.0)</f>
        <v>23</v>
      </c>
    </row>
    <row r="2199">
      <c r="A2199" s="1">
        <v>3512012.0</v>
      </c>
      <c r="B2199" s="1" t="s">
        <v>4687</v>
      </c>
      <c r="C2199" s="1" t="s">
        <v>3831</v>
      </c>
      <c r="D2199" s="1" t="s">
        <v>3967</v>
      </c>
      <c r="E2199" s="1" t="s">
        <v>4688</v>
      </c>
      <c r="F2199" s="1" t="s">
        <v>16</v>
      </c>
      <c r="G2199" s="1" t="s">
        <v>17</v>
      </c>
      <c r="H2199" s="1" t="s">
        <v>28</v>
      </c>
      <c r="I2199" s="1" t="s">
        <v>40</v>
      </c>
      <c r="J2199" s="1">
        <f>IFERROR(__xludf.DUMMYFUNCTION("""COMPUTED_VALUE"""),225.0)</f>
        <v>225</v>
      </c>
      <c r="K2199" s="1">
        <v>109.0</v>
      </c>
      <c r="L2199" s="1">
        <f>IFERROR(__xludf.DUMMYFUNCTION("""COMPUTED_VALUE"""),960.0)</f>
        <v>960</v>
      </c>
    </row>
    <row r="2200">
      <c r="A2200" s="1">
        <v>3578582.0</v>
      </c>
      <c r="B2200" s="1" t="s">
        <v>4689</v>
      </c>
      <c r="C2200" s="1" t="s">
        <v>3831</v>
      </c>
      <c r="D2200" s="1" t="s">
        <v>3847</v>
      </c>
      <c r="E2200" s="1" t="s">
        <v>4690</v>
      </c>
      <c r="F2200" s="1" t="s">
        <v>16</v>
      </c>
      <c r="G2200" s="1" t="s">
        <v>27</v>
      </c>
      <c r="H2200" s="1" t="s">
        <v>18</v>
      </c>
      <c r="I2200" s="1" t="s">
        <v>19</v>
      </c>
      <c r="J2200" s="1">
        <f>IFERROR(__xludf.DUMMYFUNCTION("""COMPUTED_VALUE"""),202.0)</f>
        <v>202</v>
      </c>
      <c r="K2200" s="1">
        <v>48.0</v>
      </c>
      <c r="L2200" s="1">
        <f>IFERROR(__xludf.DUMMYFUNCTION("""COMPUTED_VALUE"""),446.0)</f>
        <v>446</v>
      </c>
    </row>
    <row r="2201">
      <c r="A2201" s="1">
        <v>3507102.0</v>
      </c>
      <c r="B2201" s="1" t="s">
        <v>4691</v>
      </c>
      <c r="C2201" s="1" t="s">
        <v>3831</v>
      </c>
      <c r="D2201" s="1" t="s">
        <v>3862</v>
      </c>
      <c r="E2201" s="1" t="s">
        <v>4692</v>
      </c>
      <c r="F2201" s="1" t="s">
        <v>16</v>
      </c>
      <c r="G2201" s="1" t="s">
        <v>23</v>
      </c>
      <c r="H2201" s="1" t="s">
        <v>18</v>
      </c>
      <c r="I2201" s="1" t="s">
        <v>563</v>
      </c>
      <c r="J2201" s="1">
        <f>IFERROR(__xludf.DUMMYFUNCTION("""COMPUTED_VALUE"""),52.0)</f>
        <v>52</v>
      </c>
      <c r="K2201" s="1">
        <v>30.0</v>
      </c>
      <c r="L2201" s="1">
        <f>IFERROR(__xludf.DUMMYFUNCTION("""COMPUTED_VALUE"""),145.0)</f>
        <v>145</v>
      </c>
    </row>
    <row r="2202">
      <c r="A2202" s="1">
        <v>3517021.0</v>
      </c>
      <c r="B2202" s="1" t="s">
        <v>4693</v>
      </c>
      <c r="C2202" s="1" t="s">
        <v>3831</v>
      </c>
      <c r="D2202" s="1" t="s">
        <v>3956</v>
      </c>
      <c r="E2202" s="1" t="s">
        <v>4694</v>
      </c>
      <c r="F2202" s="1" t="s">
        <v>16</v>
      </c>
      <c r="G2202" s="1" t="s">
        <v>17</v>
      </c>
      <c r="H2202" s="1" t="s">
        <v>18</v>
      </c>
      <c r="I2202" s="1" t="s">
        <v>258</v>
      </c>
      <c r="J2202" s="1">
        <f>IFERROR(__xludf.DUMMYFUNCTION("""COMPUTED_VALUE"""),126.0)</f>
        <v>126</v>
      </c>
      <c r="K2202" s="1">
        <v>46.0</v>
      </c>
      <c r="L2202" s="1">
        <f>IFERROR(__xludf.DUMMYFUNCTION("""COMPUTED_VALUE"""),187.0)</f>
        <v>187</v>
      </c>
    </row>
    <row r="2203">
      <c r="A2203" s="1">
        <v>3507098.0</v>
      </c>
      <c r="B2203" s="1" t="s">
        <v>4695</v>
      </c>
      <c r="C2203" s="1" t="s">
        <v>3831</v>
      </c>
      <c r="D2203" s="1" t="s">
        <v>3862</v>
      </c>
      <c r="E2203" s="1" t="s">
        <v>4696</v>
      </c>
      <c r="F2203" s="1" t="s">
        <v>16</v>
      </c>
      <c r="G2203" s="1" t="s">
        <v>17</v>
      </c>
      <c r="H2203" s="1" t="s">
        <v>18</v>
      </c>
      <c r="I2203" s="1" t="s">
        <v>19</v>
      </c>
      <c r="J2203" s="1">
        <f>IFERROR(__xludf.DUMMYFUNCTION("""COMPUTED_VALUE"""),105.0)</f>
        <v>105</v>
      </c>
      <c r="K2203" s="1">
        <v>41.0</v>
      </c>
      <c r="L2203" s="1">
        <f>IFERROR(__xludf.DUMMYFUNCTION("""COMPUTED_VALUE"""),447.0)</f>
        <v>447</v>
      </c>
    </row>
    <row r="2204">
      <c r="A2204" s="1">
        <v>3503022.0</v>
      </c>
      <c r="B2204" s="1" t="s">
        <v>4697</v>
      </c>
      <c r="C2204" s="1" t="s">
        <v>3831</v>
      </c>
      <c r="D2204" s="1" t="s">
        <v>4238</v>
      </c>
      <c r="E2204" s="1" t="s">
        <v>4698</v>
      </c>
      <c r="F2204" s="1" t="s">
        <v>16</v>
      </c>
      <c r="G2204" s="1" t="s">
        <v>23</v>
      </c>
      <c r="H2204" s="1" t="s">
        <v>18</v>
      </c>
      <c r="I2204" s="1" t="s">
        <v>59</v>
      </c>
      <c r="J2204" s="1">
        <f>IFERROR(__xludf.DUMMYFUNCTION("""COMPUTED_VALUE"""),49.0)</f>
        <v>49</v>
      </c>
      <c r="K2204" s="1">
        <v>22.0</v>
      </c>
      <c r="L2204" s="1">
        <f>IFERROR(__xludf.DUMMYFUNCTION("""COMPUTED_VALUE"""),123.0)</f>
        <v>123</v>
      </c>
    </row>
    <row r="2205">
      <c r="A2205" s="1">
        <v>3516073.0</v>
      </c>
      <c r="B2205" s="1" t="s">
        <v>4699</v>
      </c>
      <c r="C2205" s="1" t="s">
        <v>3831</v>
      </c>
      <c r="D2205" s="1" t="s">
        <v>3909</v>
      </c>
      <c r="E2205" s="1" t="s">
        <v>4700</v>
      </c>
      <c r="F2205" s="1" t="s">
        <v>16</v>
      </c>
      <c r="G2205" s="1" t="s">
        <v>17</v>
      </c>
      <c r="H2205" s="1" t="s">
        <v>28</v>
      </c>
      <c r="I2205" s="1" t="s">
        <v>40</v>
      </c>
      <c r="J2205" s="1">
        <f>IFERROR(__xludf.DUMMYFUNCTION("""COMPUTED_VALUE"""),145.0)</f>
        <v>145</v>
      </c>
      <c r="K2205" s="1">
        <v>23.0</v>
      </c>
      <c r="L2205" s="1">
        <f>IFERROR(__xludf.DUMMYFUNCTION("""COMPUTED_VALUE"""),348.0)</f>
        <v>348</v>
      </c>
    </row>
    <row r="2206">
      <c r="A2206" s="1">
        <v>3516032.0</v>
      </c>
      <c r="B2206" s="1" t="s">
        <v>4701</v>
      </c>
      <c r="C2206" s="1" t="s">
        <v>3831</v>
      </c>
      <c r="D2206" s="1" t="s">
        <v>3909</v>
      </c>
      <c r="E2206" s="1" t="s">
        <v>4702</v>
      </c>
      <c r="F2206" s="1" t="s">
        <v>16</v>
      </c>
      <c r="G2206" s="1" t="s">
        <v>17</v>
      </c>
      <c r="H2206" s="1" t="s">
        <v>18</v>
      </c>
      <c r="I2206" s="1" t="s">
        <v>44</v>
      </c>
      <c r="J2206" s="1">
        <f>IFERROR(__xludf.DUMMYFUNCTION("""COMPUTED_VALUE"""),107.0)</f>
        <v>107</v>
      </c>
      <c r="K2206" s="1">
        <v>32.0</v>
      </c>
      <c r="L2206" s="1">
        <f>IFERROR(__xludf.DUMMYFUNCTION("""COMPUTED_VALUE"""),151.0)</f>
        <v>151</v>
      </c>
    </row>
    <row r="2207">
      <c r="A2207" s="1">
        <v>3515122.0</v>
      </c>
      <c r="B2207" s="1" t="s">
        <v>4703</v>
      </c>
      <c r="C2207" s="1" t="s">
        <v>3831</v>
      </c>
      <c r="D2207" s="1" t="s">
        <v>3870</v>
      </c>
      <c r="E2207" s="1" t="s">
        <v>4704</v>
      </c>
      <c r="F2207" s="1" t="s">
        <v>16</v>
      </c>
      <c r="G2207" s="1" t="s">
        <v>27</v>
      </c>
      <c r="H2207" s="1" t="s">
        <v>18</v>
      </c>
      <c r="I2207" s="1" t="s">
        <v>44</v>
      </c>
      <c r="J2207" s="1">
        <f>IFERROR(__xludf.DUMMYFUNCTION("""COMPUTED_VALUE"""),200.0)</f>
        <v>200</v>
      </c>
      <c r="K2207" s="1">
        <v>55.0</v>
      </c>
      <c r="L2207" s="1">
        <f>IFERROR(__xludf.DUMMYFUNCTION("""COMPUTED_VALUE"""),497.0)</f>
        <v>497</v>
      </c>
    </row>
    <row r="2208">
      <c r="A2208" s="1">
        <v>3515137.0</v>
      </c>
      <c r="B2208" s="1" t="s">
        <v>4705</v>
      </c>
      <c r="C2208" s="1" t="s">
        <v>3831</v>
      </c>
      <c r="D2208" s="1" t="s">
        <v>3870</v>
      </c>
      <c r="E2208" s="1" t="s">
        <v>4706</v>
      </c>
      <c r="F2208" s="1" t="s">
        <v>55</v>
      </c>
      <c r="G2208" s="1" t="s">
        <v>17</v>
      </c>
      <c r="H2208" s="1" t="s">
        <v>18</v>
      </c>
      <c r="I2208" s="1" t="s">
        <v>19</v>
      </c>
      <c r="J2208" s="1">
        <f>IFERROR(__xludf.DUMMYFUNCTION("""COMPUTED_VALUE"""),31.0)</f>
        <v>31</v>
      </c>
      <c r="K2208" s="1">
        <v>18.0</v>
      </c>
      <c r="L2208" s="1">
        <f>IFERROR(__xludf.DUMMYFUNCTION("""COMPUTED_VALUE"""),30.0)</f>
        <v>30</v>
      </c>
    </row>
    <row r="2209">
      <c r="A2209" s="1">
        <v>3511024.0</v>
      </c>
      <c r="B2209" s="1" t="s">
        <v>4707</v>
      </c>
      <c r="C2209" s="1" t="s">
        <v>3831</v>
      </c>
      <c r="D2209" s="1" t="s">
        <v>4130</v>
      </c>
      <c r="E2209" s="1" t="s">
        <v>4708</v>
      </c>
      <c r="F2209" s="1" t="s">
        <v>16</v>
      </c>
      <c r="G2209" s="1" t="s">
        <v>23</v>
      </c>
      <c r="H2209" s="1" t="s">
        <v>18</v>
      </c>
      <c r="I2209" s="1" t="s">
        <v>19</v>
      </c>
      <c r="J2209" s="1">
        <f>IFERROR(__xludf.DUMMYFUNCTION("""COMPUTED_VALUE"""),49.0)</f>
        <v>49</v>
      </c>
      <c r="K2209" s="1">
        <v>16.0</v>
      </c>
      <c r="L2209" s="1">
        <f>IFERROR(__xludf.DUMMYFUNCTION("""COMPUTED_VALUE"""),182.0)</f>
        <v>182</v>
      </c>
    </row>
    <row r="2210">
      <c r="A2210" s="1">
        <v>3523052.0</v>
      </c>
      <c r="B2210" s="1" t="s">
        <v>4709</v>
      </c>
      <c r="C2210" s="1" t="s">
        <v>3831</v>
      </c>
      <c r="D2210" s="1" t="s">
        <v>3982</v>
      </c>
      <c r="E2210" s="1" t="s">
        <v>4710</v>
      </c>
      <c r="F2210" s="1" t="s">
        <v>16</v>
      </c>
      <c r="G2210" s="1" t="s">
        <v>23</v>
      </c>
      <c r="H2210" s="1" t="s">
        <v>18</v>
      </c>
      <c r="I2210" s="1" t="s">
        <v>19</v>
      </c>
      <c r="J2210" s="1">
        <f>IFERROR(__xludf.DUMMYFUNCTION("""COMPUTED_VALUE"""),68.0)</f>
        <v>68</v>
      </c>
      <c r="K2210" s="1">
        <v>54.0</v>
      </c>
      <c r="L2210" s="1">
        <f>IFERROR(__xludf.DUMMYFUNCTION("""COMPUTED_VALUE"""),189.0)</f>
        <v>189</v>
      </c>
    </row>
    <row r="2211">
      <c r="A2211" s="1">
        <v>3508053.0</v>
      </c>
      <c r="B2211" s="1" t="s">
        <v>4711</v>
      </c>
      <c r="C2211" s="1" t="s">
        <v>3831</v>
      </c>
      <c r="D2211" s="1" t="s">
        <v>4135</v>
      </c>
      <c r="E2211" s="1" t="s">
        <v>4712</v>
      </c>
      <c r="F2211" s="1" t="s">
        <v>16</v>
      </c>
      <c r="G2211" s="1" t="s">
        <v>17</v>
      </c>
      <c r="H2211" s="1" t="s">
        <v>18</v>
      </c>
      <c r="I2211" s="1" t="s">
        <v>19</v>
      </c>
      <c r="J2211" s="1">
        <f>IFERROR(__xludf.DUMMYFUNCTION("""COMPUTED_VALUE"""),102.0)</f>
        <v>102</v>
      </c>
      <c r="K2211" s="1">
        <v>84.0</v>
      </c>
      <c r="L2211" s="1">
        <f>IFERROR(__xludf.DUMMYFUNCTION("""COMPUTED_VALUE"""),289.0)</f>
        <v>289</v>
      </c>
    </row>
    <row r="2212">
      <c r="A2212" s="1">
        <v>3578086.0</v>
      </c>
      <c r="B2212" s="1" t="s">
        <v>4713</v>
      </c>
      <c r="C2212" s="1" t="s">
        <v>3831</v>
      </c>
      <c r="D2212" s="1" t="s">
        <v>3847</v>
      </c>
      <c r="E2212" s="1" t="s">
        <v>4714</v>
      </c>
      <c r="F2212" s="1" t="s">
        <v>16</v>
      </c>
      <c r="G2212" s="1" t="s">
        <v>27</v>
      </c>
      <c r="H2212" s="1" t="s">
        <v>18</v>
      </c>
      <c r="I2212" s="1" t="s">
        <v>19</v>
      </c>
      <c r="J2212" s="1">
        <f>IFERROR(__xludf.DUMMYFUNCTION("""COMPUTED_VALUE"""),226.0)</f>
        <v>226</v>
      </c>
      <c r="K2212" s="1">
        <v>110.0</v>
      </c>
      <c r="L2212" s="1">
        <f>IFERROR(__xludf.DUMMYFUNCTION("""COMPUTED_VALUE"""),651.0)</f>
        <v>651</v>
      </c>
    </row>
    <row r="2213">
      <c r="A2213" s="1">
        <v>3524043.0</v>
      </c>
      <c r="B2213" s="1" t="s">
        <v>4715</v>
      </c>
      <c r="C2213" s="1" t="s">
        <v>3831</v>
      </c>
      <c r="D2213" s="1" t="s">
        <v>3856</v>
      </c>
      <c r="E2213" s="1" t="s">
        <v>4716</v>
      </c>
      <c r="F2213" s="1" t="s">
        <v>255</v>
      </c>
      <c r="G2213" s="1" t="s">
        <v>17</v>
      </c>
      <c r="H2213" s="1" t="s">
        <v>18</v>
      </c>
      <c r="I2213" s="1" t="s">
        <v>19</v>
      </c>
      <c r="J2213" s="1">
        <f>IFERROR(__xludf.DUMMYFUNCTION("""COMPUTED_VALUE"""),44.0)</f>
        <v>44</v>
      </c>
      <c r="K2213" s="1">
        <v>15.0</v>
      </c>
      <c r="L2213" s="1">
        <f>IFERROR(__xludf.DUMMYFUNCTION("""COMPUTED_VALUE"""),90.0)</f>
        <v>90</v>
      </c>
    </row>
    <row r="2214">
      <c r="A2214" s="1">
        <v>3507117.0</v>
      </c>
      <c r="B2214" s="1" t="s">
        <v>2426</v>
      </c>
      <c r="C2214" s="1" t="s">
        <v>3831</v>
      </c>
      <c r="D2214" s="1" t="s">
        <v>3862</v>
      </c>
      <c r="E2214" s="1" t="s">
        <v>4717</v>
      </c>
      <c r="F2214" s="1" t="s">
        <v>16</v>
      </c>
      <c r="G2214" s="1" t="s">
        <v>17</v>
      </c>
      <c r="H2214" s="1" t="s">
        <v>18</v>
      </c>
      <c r="I2214" s="1" t="s">
        <v>19</v>
      </c>
      <c r="J2214" s="1">
        <f>IFERROR(__xludf.DUMMYFUNCTION("""COMPUTED_VALUE"""),100.0)</f>
        <v>100</v>
      </c>
      <c r="K2214" s="1">
        <v>32.0</v>
      </c>
      <c r="L2214" s="1">
        <f>IFERROR(__xludf.DUMMYFUNCTION("""COMPUTED_VALUE"""),149.0)</f>
        <v>149</v>
      </c>
    </row>
    <row r="2215">
      <c r="A2215" s="1">
        <v>3526046.0</v>
      </c>
      <c r="B2215" s="1" t="s">
        <v>4718</v>
      </c>
      <c r="C2215" s="1" t="s">
        <v>3831</v>
      </c>
      <c r="D2215" s="1" t="s">
        <v>3832</v>
      </c>
      <c r="E2215" s="1" t="s">
        <v>4719</v>
      </c>
      <c r="F2215" s="1" t="s">
        <v>255</v>
      </c>
      <c r="G2215" s="1" t="s">
        <v>17</v>
      </c>
      <c r="H2215" s="1" t="s">
        <v>18</v>
      </c>
      <c r="I2215" s="1" t="s">
        <v>19</v>
      </c>
      <c r="J2215" s="1">
        <f>IFERROR(__xludf.DUMMYFUNCTION("""COMPUTED_VALUE"""),25.0)</f>
        <v>25</v>
      </c>
      <c r="K2215" s="1">
        <v>11.0</v>
      </c>
      <c r="L2215" s="1">
        <f>IFERROR(__xludf.DUMMYFUNCTION("""COMPUTED_VALUE"""),182.0)</f>
        <v>182</v>
      </c>
    </row>
    <row r="2216">
      <c r="A2216" s="1">
        <v>3672003.0</v>
      </c>
      <c r="B2216" s="1" t="s">
        <v>760</v>
      </c>
      <c r="C2216" s="1" t="s">
        <v>4720</v>
      </c>
      <c r="D2216" s="1" t="s">
        <v>4721</v>
      </c>
      <c r="E2216" s="1" t="s">
        <v>4722</v>
      </c>
      <c r="F2216" s="1" t="s">
        <v>55</v>
      </c>
      <c r="G2216" s="1" t="s">
        <v>17</v>
      </c>
      <c r="H2216" s="1" t="s">
        <v>18</v>
      </c>
      <c r="I2216" s="1" t="s">
        <v>44</v>
      </c>
      <c r="J2216" s="1">
        <f>IFERROR(__xludf.DUMMYFUNCTION("""COMPUTED_VALUE"""),30.0)</f>
        <v>30</v>
      </c>
      <c r="K2216" s="1">
        <v>29.0</v>
      </c>
      <c r="L2216" s="1">
        <f>IFERROR(__xludf.DUMMYFUNCTION("""COMPUTED_VALUE"""),182.0)</f>
        <v>182</v>
      </c>
    </row>
    <row r="2217">
      <c r="A2217" s="1">
        <v>3604050.0</v>
      </c>
      <c r="B2217" s="1" t="s">
        <v>4723</v>
      </c>
      <c r="C2217" s="1" t="s">
        <v>4720</v>
      </c>
      <c r="D2217" s="1" t="s">
        <v>4724</v>
      </c>
      <c r="E2217" s="1" t="s">
        <v>4725</v>
      </c>
      <c r="F2217" s="1" t="s">
        <v>16</v>
      </c>
      <c r="G2217" s="1" t="s">
        <v>23</v>
      </c>
      <c r="H2217" s="1" t="s">
        <v>18</v>
      </c>
      <c r="I2217" s="1" t="s">
        <v>44</v>
      </c>
      <c r="J2217" s="1">
        <f>IFERROR(__xludf.DUMMYFUNCTION("""COMPUTED_VALUE"""),61.0)</f>
        <v>61</v>
      </c>
      <c r="K2217" s="1">
        <v>20.0</v>
      </c>
      <c r="L2217" s="1">
        <f>IFERROR(__xludf.DUMMYFUNCTION("""COMPUTED_VALUE"""),65.0)</f>
        <v>65</v>
      </c>
    </row>
    <row r="2218">
      <c r="A2218" s="1">
        <v>3602011.0</v>
      </c>
      <c r="B2218" s="1" t="s">
        <v>4726</v>
      </c>
      <c r="C2218" s="1" t="s">
        <v>4720</v>
      </c>
      <c r="D2218" s="1" t="s">
        <v>4727</v>
      </c>
      <c r="E2218" s="1" t="s">
        <v>4728</v>
      </c>
      <c r="F2218" s="1" t="s">
        <v>16</v>
      </c>
      <c r="G2218" s="1" t="s">
        <v>27</v>
      </c>
      <c r="H2218" s="1" t="s">
        <v>28</v>
      </c>
      <c r="I2218" s="1" t="s">
        <v>40</v>
      </c>
      <c r="J2218" s="1">
        <f>IFERROR(__xludf.DUMMYFUNCTION("""COMPUTED_VALUE"""),310.0)</f>
        <v>310</v>
      </c>
      <c r="K2218" s="1">
        <v>73.0</v>
      </c>
      <c r="L2218" s="1">
        <f>IFERROR(__xludf.DUMMYFUNCTION("""COMPUTED_VALUE"""),633.0)</f>
        <v>633</v>
      </c>
    </row>
    <row r="2219">
      <c r="A2219" s="1">
        <v>3603181.0</v>
      </c>
      <c r="B2219" s="1" t="s">
        <v>4729</v>
      </c>
      <c r="C2219" s="1" t="s">
        <v>4720</v>
      </c>
      <c r="D2219" s="1" t="s">
        <v>4730</v>
      </c>
      <c r="E2219" s="1" t="s">
        <v>4731</v>
      </c>
      <c r="F2219" s="1" t="s">
        <v>16</v>
      </c>
      <c r="G2219" s="1" t="s">
        <v>27</v>
      </c>
      <c r="H2219" s="1" t="s">
        <v>33</v>
      </c>
      <c r="I2219" s="1" t="s">
        <v>44</v>
      </c>
      <c r="J2219" s="1">
        <f>IFERROR(__xludf.DUMMYFUNCTION("""COMPUTED_VALUE"""),210.0)</f>
        <v>210</v>
      </c>
      <c r="K2219" s="1">
        <v>77.0</v>
      </c>
      <c r="L2219" s="1">
        <f>IFERROR(__xludf.DUMMYFUNCTION("""COMPUTED_VALUE"""),660.0)</f>
        <v>660</v>
      </c>
    </row>
    <row r="2220">
      <c r="A2220" s="1">
        <v>3674157.0</v>
      </c>
      <c r="B2220" s="1" t="s">
        <v>4732</v>
      </c>
      <c r="C2220" s="1" t="s">
        <v>4720</v>
      </c>
      <c r="D2220" s="1" t="s">
        <v>4733</v>
      </c>
      <c r="E2220" s="1" t="s">
        <v>4734</v>
      </c>
      <c r="F2220" s="1" t="s">
        <v>16</v>
      </c>
      <c r="G2220" s="1" t="s">
        <v>27</v>
      </c>
      <c r="H2220" s="1" t="s">
        <v>18</v>
      </c>
      <c r="I2220" s="1" t="s">
        <v>19</v>
      </c>
      <c r="J2220" s="1">
        <f>IFERROR(__xludf.DUMMYFUNCTION("""COMPUTED_VALUE"""),200.0)</f>
        <v>200</v>
      </c>
      <c r="K2220" s="1">
        <v>78.0</v>
      </c>
      <c r="L2220" s="1">
        <f>IFERROR(__xludf.DUMMYFUNCTION("""COMPUTED_VALUE"""),263.0)</f>
        <v>263</v>
      </c>
    </row>
    <row r="2221">
      <c r="A2221" s="1">
        <v>3671043.0</v>
      </c>
      <c r="B2221" s="1" t="s">
        <v>4735</v>
      </c>
      <c r="C2221" s="1" t="s">
        <v>4720</v>
      </c>
      <c r="D2221" s="1" t="s">
        <v>4736</v>
      </c>
      <c r="E2221" s="1" t="s">
        <v>4737</v>
      </c>
      <c r="F2221" s="1" t="s">
        <v>16</v>
      </c>
      <c r="G2221" s="1" t="s">
        <v>17</v>
      </c>
      <c r="H2221" s="1" t="s">
        <v>18</v>
      </c>
      <c r="I2221" s="1" t="s">
        <v>19</v>
      </c>
      <c r="J2221" s="1">
        <f>IFERROR(__xludf.DUMMYFUNCTION("""COMPUTED_VALUE"""),155.0)</f>
        <v>155</v>
      </c>
      <c r="K2221" s="1">
        <v>35.0</v>
      </c>
      <c r="L2221" s="1">
        <f>IFERROR(__xludf.DUMMYFUNCTION("""COMPUTED_VALUE"""),452.0)</f>
        <v>452</v>
      </c>
    </row>
    <row r="2222">
      <c r="A2222" s="1">
        <v>3671209.0</v>
      </c>
      <c r="B2222" s="1" t="s">
        <v>4738</v>
      </c>
      <c r="C2222" s="1" t="s">
        <v>4720</v>
      </c>
      <c r="D2222" s="1" t="s">
        <v>4736</v>
      </c>
      <c r="E2222" s="1" t="s">
        <v>4739</v>
      </c>
      <c r="F2222" s="1" t="s">
        <v>16</v>
      </c>
      <c r="G2222" s="1" t="s">
        <v>17</v>
      </c>
      <c r="H2222" s="1" t="s">
        <v>18</v>
      </c>
      <c r="I2222" s="1" t="s">
        <v>44</v>
      </c>
      <c r="J2222" s="1">
        <f>IFERROR(__xludf.DUMMYFUNCTION("""COMPUTED_VALUE"""),184.0)</f>
        <v>184</v>
      </c>
      <c r="K2222" s="1">
        <v>30.0</v>
      </c>
      <c r="L2222" s="1">
        <f>IFERROR(__xludf.DUMMYFUNCTION("""COMPUTED_VALUE"""),241.0)</f>
        <v>241</v>
      </c>
    </row>
    <row r="2223">
      <c r="A2223" s="1">
        <v>3671082.0</v>
      </c>
      <c r="B2223" s="1" t="s">
        <v>4740</v>
      </c>
      <c r="C2223" s="1" t="s">
        <v>4720</v>
      </c>
      <c r="D2223" s="1" t="s">
        <v>4736</v>
      </c>
      <c r="E2223" s="1" t="s">
        <v>4741</v>
      </c>
      <c r="F2223" s="1" t="s">
        <v>16</v>
      </c>
      <c r="G2223" s="1" t="s">
        <v>17</v>
      </c>
      <c r="H2223" s="1" t="s">
        <v>18</v>
      </c>
      <c r="I2223" s="1" t="s">
        <v>684</v>
      </c>
      <c r="J2223" s="1">
        <f>IFERROR(__xludf.DUMMYFUNCTION("""COMPUTED_VALUE"""),101.0)</f>
        <v>101</v>
      </c>
      <c r="K2223" s="1">
        <v>33.0</v>
      </c>
      <c r="L2223" s="1">
        <f>IFERROR(__xludf.DUMMYFUNCTION("""COMPUTED_VALUE"""),117.0)</f>
        <v>117</v>
      </c>
    </row>
    <row r="2224">
      <c r="A2224" s="1">
        <v>3603193.0</v>
      </c>
      <c r="B2224" s="1" t="s">
        <v>4742</v>
      </c>
      <c r="C2224" s="1" t="s">
        <v>4720</v>
      </c>
      <c r="D2224" s="1" t="s">
        <v>4730</v>
      </c>
      <c r="E2224" s="1" t="s">
        <v>4743</v>
      </c>
      <c r="F2224" s="1" t="s">
        <v>16</v>
      </c>
      <c r="G2224" s="1" t="s">
        <v>17</v>
      </c>
      <c r="H2224" s="1" t="s">
        <v>18</v>
      </c>
      <c r="I2224" s="1" t="s">
        <v>44</v>
      </c>
      <c r="J2224" s="1">
        <f>IFERROR(__xludf.DUMMYFUNCTION("""COMPUTED_VALUE"""),105.0)</f>
        <v>105</v>
      </c>
      <c r="K2224" s="1">
        <v>31.0</v>
      </c>
      <c r="L2224" s="1">
        <f>IFERROR(__xludf.DUMMYFUNCTION("""COMPUTED_VALUE"""),153.0)</f>
        <v>153</v>
      </c>
    </row>
    <row r="2225">
      <c r="A2225" s="1">
        <v>3601034.0</v>
      </c>
      <c r="B2225" s="1" t="s">
        <v>4744</v>
      </c>
      <c r="C2225" s="1" t="s">
        <v>4720</v>
      </c>
      <c r="D2225" s="1" t="s">
        <v>4745</v>
      </c>
      <c r="E2225" s="1" t="s">
        <v>4746</v>
      </c>
      <c r="F2225" s="1" t="s">
        <v>55</v>
      </c>
      <c r="G2225" s="1" t="s">
        <v>17</v>
      </c>
      <c r="H2225" s="1" t="s">
        <v>18</v>
      </c>
      <c r="I2225" s="1" t="s">
        <v>19</v>
      </c>
      <c r="J2225" s="1">
        <f>IFERROR(__xludf.DUMMYFUNCTION("""COMPUTED_VALUE"""),64.0)</f>
        <v>64</v>
      </c>
      <c r="K2225" s="1">
        <v>14.0</v>
      </c>
      <c r="L2225" s="1">
        <f>IFERROR(__xludf.DUMMYFUNCTION("""COMPUTED_VALUE"""),76.0)</f>
        <v>76</v>
      </c>
    </row>
    <row r="2226">
      <c r="A2226" s="1">
        <v>3674008.0</v>
      </c>
      <c r="B2226" s="1" t="s">
        <v>4747</v>
      </c>
      <c r="C2226" s="1" t="s">
        <v>4720</v>
      </c>
      <c r="D2226" s="1" t="s">
        <v>4733</v>
      </c>
      <c r="E2226" s="1" t="s">
        <v>4748</v>
      </c>
      <c r="F2226" s="1" t="s">
        <v>55</v>
      </c>
      <c r="G2226" s="1" t="s">
        <v>17</v>
      </c>
      <c r="H2226" s="1" t="s">
        <v>18</v>
      </c>
      <c r="I2226" s="1" t="s">
        <v>44</v>
      </c>
      <c r="J2226" s="1">
        <f>IFERROR(__xludf.DUMMYFUNCTION("""COMPUTED_VALUE"""),25.0)</f>
        <v>25</v>
      </c>
      <c r="K2226" s="1">
        <v>18.0</v>
      </c>
      <c r="L2226" s="1">
        <f>IFERROR(__xludf.DUMMYFUNCTION("""COMPUTED_VALUE"""),60.0)</f>
        <v>60</v>
      </c>
    </row>
    <row r="2227">
      <c r="A2227" s="1">
        <v>3604013.0</v>
      </c>
      <c r="B2227" s="1" t="s">
        <v>4749</v>
      </c>
      <c r="C2227" s="1" t="s">
        <v>4720</v>
      </c>
      <c r="D2227" s="1" t="s">
        <v>4724</v>
      </c>
      <c r="E2227" s="1" t="s">
        <v>4750</v>
      </c>
      <c r="F2227" s="1" t="s">
        <v>16</v>
      </c>
      <c r="G2227" s="1" t="s">
        <v>27</v>
      </c>
      <c r="H2227" s="1" t="s">
        <v>28</v>
      </c>
      <c r="I2227" s="1" t="s">
        <v>40</v>
      </c>
      <c r="J2227" s="1">
        <f>IFERROR(__xludf.DUMMYFUNCTION("""COMPUTED_VALUE"""),464.0)</f>
        <v>464</v>
      </c>
      <c r="K2227" s="1">
        <v>45.0</v>
      </c>
      <c r="L2227" s="1">
        <f>IFERROR(__xludf.DUMMYFUNCTION("""COMPUTED_VALUE"""),724.0)</f>
        <v>724</v>
      </c>
    </row>
    <row r="2228">
      <c r="A2228" s="1">
        <v>3671146.0</v>
      </c>
      <c r="B2228" s="1" t="s">
        <v>4751</v>
      </c>
      <c r="C2228" s="1" t="s">
        <v>4720</v>
      </c>
      <c r="D2228" s="1" t="s">
        <v>4736</v>
      </c>
      <c r="E2228" s="1" t="s">
        <v>4752</v>
      </c>
      <c r="F2228" s="1" t="s">
        <v>16</v>
      </c>
      <c r="G2228" s="1" t="s">
        <v>17</v>
      </c>
      <c r="H2228" s="1" t="s">
        <v>18</v>
      </c>
      <c r="I2228" s="1" t="s">
        <v>19</v>
      </c>
      <c r="J2228" s="1">
        <f>IFERROR(__xludf.DUMMYFUNCTION("""COMPUTED_VALUE"""),199.0)</f>
        <v>199</v>
      </c>
      <c r="K2228" s="1">
        <v>84.0</v>
      </c>
      <c r="L2228" s="1">
        <f>IFERROR(__xludf.DUMMYFUNCTION("""COMPUTED_VALUE"""),454.0)</f>
        <v>454</v>
      </c>
    </row>
    <row r="2229">
      <c r="A2229" s="1">
        <v>3603191.0</v>
      </c>
      <c r="B2229" s="1" t="s">
        <v>4753</v>
      </c>
      <c r="C2229" s="1" t="s">
        <v>4720</v>
      </c>
      <c r="D2229" s="1" t="s">
        <v>4730</v>
      </c>
      <c r="E2229" s="1" t="s">
        <v>4754</v>
      </c>
      <c r="F2229" s="1" t="s">
        <v>16</v>
      </c>
      <c r="G2229" s="1" t="s">
        <v>17</v>
      </c>
      <c r="H2229" s="1" t="s">
        <v>28</v>
      </c>
      <c r="I2229" s="1" t="s">
        <v>40</v>
      </c>
      <c r="J2229" s="1">
        <f>IFERROR(__xludf.DUMMYFUNCTION("""COMPUTED_VALUE"""),135.0)</f>
        <v>135</v>
      </c>
      <c r="K2229" s="1">
        <v>70.0</v>
      </c>
      <c r="L2229" s="1">
        <f>IFERROR(__xludf.DUMMYFUNCTION("""COMPUTED_VALUE"""),274.0)</f>
        <v>274</v>
      </c>
    </row>
    <row r="2230">
      <c r="A2230" s="1">
        <v>3674022.0</v>
      </c>
      <c r="B2230" s="1" t="s">
        <v>4755</v>
      </c>
      <c r="C2230" s="1" t="s">
        <v>4720</v>
      </c>
      <c r="D2230" s="1" t="s">
        <v>4733</v>
      </c>
      <c r="E2230" s="1" t="s">
        <v>4756</v>
      </c>
      <c r="F2230" s="1" t="s">
        <v>16</v>
      </c>
      <c r="G2230" s="1" t="s">
        <v>17</v>
      </c>
      <c r="H2230" s="1" t="s">
        <v>28</v>
      </c>
      <c r="I2230" s="1" t="s">
        <v>29</v>
      </c>
      <c r="J2230" s="1">
        <f>IFERROR(__xludf.DUMMYFUNCTION("""COMPUTED_VALUE"""),102.0)</f>
        <v>102</v>
      </c>
      <c r="K2230" s="1">
        <v>34.0</v>
      </c>
      <c r="L2230" s="1">
        <f>IFERROR(__xludf.DUMMYFUNCTION("""COMPUTED_VALUE"""),11.0)</f>
        <v>11</v>
      </c>
    </row>
    <row r="2231">
      <c r="A2231" s="1">
        <v>3602045.0</v>
      </c>
      <c r="B2231" s="1" t="s">
        <v>4757</v>
      </c>
      <c r="C2231" s="1" t="s">
        <v>4720</v>
      </c>
      <c r="D2231" s="1" t="s">
        <v>4727</v>
      </c>
      <c r="E2231" s="1" t="s">
        <v>4758</v>
      </c>
      <c r="F2231" s="1" t="s">
        <v>16</v>
      </c>
      <c r="G2231" s="1" t="s">
        <v>17</v>
      </c>
      <c r="H2231" s="1" t="s">
        <v>28</v>
      </c>
      <c r="I2231" s="1" t="s">
        <v>139</v>
      </c>
      <c r="J2231" s="1">
        <f>IFERROR(__xludf.DUMMYFUNCTION("""COMPUTED_VALUE"""),192.0)</f>
        <v>192</v>
      </c>
      <c r="K2231" s="1">
        <v>52.0</v>
      </c>
      <c r="L2231" s="1">
        <f>IFERROR(__xludf.DUMMYFUNCTION("""COMPUTED_VALUE"""),145.0)</f>
        <v>145</v>
      </c>
    </row>
    <row r="2232">
      <c r="A2232" s="1">
        <v>3671203.0</v>
      </c>
      <c r="B2232" s="1" t="s">
        <v>2839</v>
      </c>
      <c r="C2232" s="1" t="s">
        <v>4720</v>
      </c>
      <c r="D2232" s="1" t="s">
        <v>4736</v>
      </c>
      <c r="E2232" s="1" t="s">
        <v>4759</v>
      </c>
      <c r="F2232" s="1" t="s">
        <v>16</v>
      </c>
      <c r="G2232" s="1" t="s">
        <v>27</v>
      </c>
      <c r="H2232" s="1" t="s">
        <v>18</v>
      </c>
      <c r="I2232" s="1" t="s">
        <v>44</v>
      </c>
      <c r="J2232" s="1">
        <f>IFERROR(__xludf.DUMMYFUNCTION("""COMPUTED_VALUE"""),180.0)</f>
        <v>180</v>
      </c>
      <c r="K2232" s="1">
        <v>110.0</v>
      </c>
      <c r="L2232" s="1">
        <f>IFERROR(__xludf.DUMMYFUNCTION("""COMPUTED_VALUE"""),791.0)</f>
        <v>791</v>
      </c>
    </row>
    <row r="2233">
      <c r="A2233" s="1">
        <v>3603023.0</v>
      </c>
      <c r="B2233" s="1" t="s">
        <v>4760</v>
      </c>
      <c r="C2233" s="1" t="s">
        <v>4720</v>
      </c>
      <c r="D2233" s="1" t="s">
        <v>4730</v>
      </c>
      <c r="E2233" s="1" t="s">
        <v>4761</v>
      </c>
      <c r="F2233" s="1" t="s">
        <v>16</v>
      </c>
      <c r="G2233" s="1" t="s">
        <v>17</v>
      </c>
      <c r="H2233" s="1" t="s">
        <v>18</v>
      </c>
      <c r="I2233" s="1" t="s">
        <v>59</v>
      </c>
      <c r="J2233" s="1">
        <f>IFERROR(__xludf.DUMMYFUNCTION("""COMPUTED_VALUE"""),104.0)</f>
        <v>104</v>
      </c>
      <c r="K2233" s="1">
        <v>49.0</v>
      </c>
      <c r="L2233" s="1">
        <f>IFERROR(__xludf.DUMMYFUNCTION("""COMPUTED_VALUE"""),202.0)</f>
        <v>202</v>
      </c>
    </row>
    <row r="2234">
      <c r="A2234" s="1">
        <v>3674005.0</v>
      </c>
      <c r="B2234" s="1" t="s">
        <v>4762</v>
      </c>
      <c r="C2234" s="1" t="s">
        <v>4720</v>
      </c>
      <c r="D2234" s="1" t="s">
        <v>4733</v>
      </c>
      <c r="E2234" s="1" t="s">
        <v>4763</v>
      </c>
      <c r="F2234" s="1" t="s">
        <v>16</v>
      </c>
      <c r="G2234" s="1" t="s">
        <v>17</v>
      </c>
      <c r="H2234" s="1" t="s">
        <v>18</v>
      </c>
      <c r="I2234" s="1" t="s">
        <v>44</v>
      </c>
      <c r="J2234" s="1">
        <f>IFERROR(__xludf.DUMMYFUNCTION("""COMPUTED_VALUE"""),179.0)</f>
        <v>179</v>
      </c>
      <c r="K2234" s="1">
        <v>106.0</v>
      </c>
      <c r="L2234" s="1">
        <f>IFERROR(__xludf.DUMMYFUNCTION("""COMPUTED_VALUE"""),452.0)</f>
        <v>452</v>
      </c>
    </row>
    <row r="2235">
      <c r="A2235" s="1">
        <v>3673004.0</v>
      </c>
      <c r="B2235" s="1" t="s">
        <v>4764</v>
      </c>
      <c r="C2235" s="1" t="s">
        <v>4720</v>
      </c>
      <c r="D2235" s="1" t="s">
        <v>4765</v>
      </c>
      <c r="E2235" s="1" t="s">
        <v>4766</v>
      </c>
      <c r="F2235" s="1" t="s">
        <v>16</v>
      </c>
      <c r="G2235" s="1" t="s">
        <v>27</v>
      </c>
      <c r="H2235" s="1" t="s">
        <v>28</v>
      </c>
      <c r="I2235" s="1" t="s">
        <v>139</v>
      </c>
      <c r="J2235" s="1">
        <f>IFERROR(__xludf.DUMMYFUNCTION("""COMPUTED_VALUE"""),501.0)</f>
        <v>501</v>
      </c>
      <c r="K2235" s="1">
        <v>83.0</v>
      </c>
      <c r="L2235" s="1">
        <f>IFERROR(__xludf.DUMMYFUNCTION("""COMPUTED_VALUE"""),346.0)</f>
        <v>346</v>
      </c>
    </row>
    <row r="2236">
      <c r="A2236" s="1">
        <v>3671214.0</v>
      </c>
      <c r="B2236" s="1" t="s">
        <v>4767</v>
      </c>
      <c r="C2236" s="1" t="s">
        <v>4720</v>
      </c>
      <c r="D2236" s="1" t="s">
        <v>4736</v>
      </c>
      <c r="E2236" s="1" t="s">
        <v>4768</v>
      </c>
      <c r="F2236" s="1" t="s">
        <v>16</v>
      </c>
      <c r="G2236" s="1" t="s">
        <v>23</v>
      </c>
      <c r="H2236" s="1" t="s">
        <v>18</v>
      </c>
      <c r="I2236" s="1" t="s">
        <v>19</v>
      </c>
      <c r="J2236" s="1">
        <f>IFERROR(__xludf.DUMMYFUNCTION("""COMPUTED_VALUE"""),78.0)</f>
        <v>78</v>
      </c>
      <c r="K2236" s="1">
        <v>48.0</v>
      </c>
      <c r="L2236" s="1">
        <f>IFERROR(__xludf.DUMMYFUNCTION("""COMPUTED_VALUE"""),191.0)</f>
        <v>191</v>
      </c>
    </row>
    <row r="2237">
      <c r="A2237" s="1">
        <v>3671065.0</v>
      </c>
      <c r="B2237" s="1" t="s">
        <v>4769</v>
      </c>
      <c r="C2237" s="1" t="s">
        <v>4720</v>
      </c>
      <c r="D2237" s="1" t="s">
        <v>4736</v>
      </c>
      <c r="E2237" s="1" t="s">
        <v>4770</v>
      </c>
      <c r="F2237" s="1" t="s">
        <v>16</v>
      </c>
      <c r="G2237" s="1" t="s">
        <v>27</v>
      </c>
      <c r="H2237" s="1" t="s">
        <v>18</v>
      </c>
      <c r="I2237" s="1" t="s">
        <v>19</v>
      </c>
      <c r="J2237" s="1">
        <f>IFERROR(__xludf.DUMMYFUNCTION("""COMPUTED_VALUE"""),205.0)</f>
        <v>205</v>
      </c>
      <c r="K2237" s="1">
        <v>108.0</v>
      </c>
      <c r="L2237" s="1">
        <f>IFERROR(__xludf.DUMMYFUNCTION("""COMPUTED_VALUE"""),730.0)</f>
        <v>730</v>
      </c>
    </row>
    <row r="2238">
      <c r="A2238" s="1">
        <v>3674021.0</v>
      </c>
      <c r="B2238" s="1" t="s">
        <v>4771</v>
      </c>
      <c r="C2238" s="1" t="s">
        <v>4720</v>
      </c>
      <c r="D2238" s="1" t="s">
        <v>4733</v>
      </c>
      <c r="E2238" s="1" t="s">
        <v>4772</v>
      </c>
      <c r="F2238" s="1" t="s">
        <v>55</v>
      </c>
      <c r="G2238" s="1" t="s">
        <v>17</v>
      </c>
      <c r="H2238" s="1" t="s">
        <v>18</v>
      </c>
      <c r="I2238" s="1" t="s">
        <v>19</v>
      </c>
      <c r="J2238" s="1">
        <f>IFERROR(__xludf.DUMMYFUNCTION("""COMPUTED_VALUE"""),42.0)</f>
        <v>42</v>
      </c>
      <c r="K2238" s="1">
        <v>44.0</v>
      </c>
      <c r="L2238" s="1">
        <f>IFERROR(__xludf.DUMMYFUNCTION("""COMPUTED_VALUE"""),44.0)</f>
        <v>44</v>
      </c>
    </row>
    <row r="2239">
      <c r="A2239" s="1">
        <v>3673047.0</v>
      </c>
      <c r="B2239" s="1" t="s">
        <v>4773</v>
      </c>
      <c r="C2239" s="1" t="s">
        <v>4720</v>
      </c>
      <c r="D2239" s="1" t="s">
        <v>4765</v>
      </c>
      <c r="E2239" s="1" t="s">
        <v>4774</v>
      </c>
      <c r="F2239" s="1" t="s">
        <v>16</v>
      </c>
      <c r="G2239" s="1" t="s">
        <v>23</v>
      </c>
      <c r="H2239" s="1" t="s">
        <v>18</v>
      </c>
      <c r="I2239" s="1" t="s">
        <v>19</v>
      </c>
      <c r="J2239" s="1">
        <f>IFERROR(__xludf.DUMMYFUNCTION("""COMPUTED_VALUE"""),52.0)</f>
        <v>52</v>
      </c>
      <c r="K2239" s="1">
        <v>22.0</v>
      </c>
      <c r="L2239" s="1">
        <f>IFERROR(__xludf.DUMMYFUNCTION("""COMPUTED_VALUE"""),182.0)</f>
        <v>182</v>
      </c>
    </row>
    <row r="2240">
      <c r="A2240" s="1">
        <v>3671208.0</v>
      </c>
      <c r="B2240" s="1" t="s">
        <v>4775</v>
      </c>
      <c r="C2240" s="1" t="s">
        <v>4720</v>
      </c>
      <c r="D2240" s="1" t="s">
        <v>4736</v>
      </c>
      <c r="E2240" s="1" t="s">
        <v>4776</v>
      </c>
      <c r="F2240" s="1" t="s">
        <v>16</v>
      </c>
      <c r="G2240" s="1" t="s">
        <v>17</v>
      </c>
      <c r="H2240" s="1" t="s">
        <v>28</v>
      </c>
      <c r="I2240" s="1" t="s">
        <v>29</v>
      </c>
      <c r="J2240" s="1">
        <f>IFERROR(__xludf.DUMMYFUNCTION("""COMPUTED_VALUE"""),234.0)</f>
        <v>234</v>
      </c>
      <c r="K2240" s="1">
        <v>55.0</v>
      </c>
      <c r="L2240" s="1">
        <f>IFERROR(__xludf.DUMMYFUNCTION("""COMPUTED_VALUE"""),548.0)</f>
        <v>548</v>
      </c>
    </row>
    <row r="2241">
      <c r="A2241" s="1">
        <v>3601037.0</v>
      </c>
      <c r="B2241" s="1" t="s">
        <v>4777</v>
      </c>
      <c r="C2241" s="1" t="s">
        <v>4720</v>
      </c>
      <c r="D2241" s="1" t="s">
        <v>4745</v>
      </c>
      <c r="E2241" s="1" t="s">
        <v>4778</v>
      </c>
      <c r="F2241" s="1" t="s">
        <v>16</v>
      </c>
      <c r="G2241" s="1" t="s">
        <v>23</v>
      </c>
      <c r="H2241" s="1" t="s">
        <v>18</v>
      </c>
      <c r="I2241" s="1" t="s">
        <v>19</v>
      </c>
      <c r="J2241" s="1">
        <f>IFERROR(__xludf.DUMMYFUNCTION("""COMPUTED_VALUE"""),76.0)</f>
        <v>76</v>
      </c>
      <c r="K2241" s="1">
        <v>23.0</v>
      </c>
      <c r="L2241" s="1">
        <f>IFERROR(__xludf.DUMMYFUNCTION("""COMPUTED_VALUE"""),33.0)</f>
        <v>33</v>
      </c>
    </row>
    <row r="2242">
      <c r="A2242" s="1">
        <v>3674206.0</v>
      </c>
      <c r="B2242" s="1" t="s">
        <v>4779</v>
      </c>
      <c r="C2242" s="1" t="s">
        <v>4720</v>
      </c>
      <c r="D2242" s="1" t="s">
        <v>4733</v>
      </c>
      <c r="E2242" s="1" t="s">
        <v>4780</v>
      </c>
      <c r="F2242" s="1" t="s">
        <v>255</v>
      </c>
      <c r="G2242" s="1" t="s">
        <v>17</v>
      </c>
      <c r="H2242" s="1" t="s">
        <v>18</v>
      </c>
      <c r="I2242" s="1" t="s">
        <v>44</v>
      </c>
      <c r="J2242" s="1">
        <f>IFERROR(__xludf.DUMMYFUNCTION("""COMPUTED_VALUE"""),25.0)</f>
        <v>25</v>
      </c>
      <c r="K2242" s="1">
        <v>9.0</v>
      </c>
      <c r="L2242" s="1">
        <f>IFERROR(__xludf.DUMMYFUNCTION("""COMPUTED_VALUE"""),182.0)</f>
        <v>182</v>
      </c>
    </row>
    <row r="2243">
      <c r="A2243" s="1">
        <v>3603188.0</v>
      </c>
      <c r="B2243" s="1" t="s">
        <v>4781</v>
      </c>
      <c r="C2243" s="1" t="s">
        <v>4720</v>
      </c>
      <c r="D2243" s="1" t="s">
        <v>4736</v>
      </c>
      <c r="E2243" s="1" t="s">
        <v>4782</v>
      </c>
      <c r="F2243" s="1" t="s">
        <v>16</v>
      </c>
      <c r="G2243" s="1" t="s">
        <v>23</v>
      </c>
      <c r="H2243" s="1" t="s">
        <v>18</v>
      </c>
      <c r="I2243" s="1" t="s">
        <v>19</v>
      </c>
      <c r="J2243" s="1">
        <f>IFERROR(__xludf.DUMMYFUNCTION("""COMPUTED_VALUE"""),82.0)</f>
        <v>82</v>
      </c>
      <c r="K2243" s="1">
        <v>40.0</v>
      </c>
      <c r="L2243" s="1">
        <f>IFERROR(__xludf.DUMMYFUNCTION("""COMPUTED_VALUE"""),52.0)</f>
        <v>52</v>
      </c>
    </row>
    <row r="2244">
      <c r="A2244" s="1">
        <v>3603176.0</v>
      </c>
      <c r="B2244" s="1" t="s">
        <v>4783</v>
      </c>
      <c r="C2244" s="1" t="s">
        <v>4720</v>
      </c>
      <c r="D2244" s="1" t="s">
        <v>4730</v>
      </c>
      <c r="E2244" s="1" t="s">
        <v>4784</v>
      </c>
      <c r="F2244" s="1" t="s">
        <v>16</v>
      </c>
      <c r="G2244" s="1" t="s">
        <v>17</v>
      </c>
      <c r="H2244" s="1" t="s">
        <v>18</v>
      </c>
      <c r="I2244" s="1" t="s">
        <v>44</v>
      </c>
      <c r="J2244" s="1">
        <f>IFERROR(__xludf.DUMMYFUNCTION("""COMPUTED_VALUE"""),88.0)</f>
        <v>88</v>
      </c>
      <c r="K2244" s="1">
        <v>48.0</v>
      </c>
      <c r="L2244" s="1">
        <f>IFERROR(__xludf.DUMMYFUNCTION("""COMPUTED_VALUE"""),135.0)</f>
        <v>135</v>
      </c>
    </row>
    <row r="2245">
      <c r="A2245" s="1">
        <v>3671222.0</v>
      </c>
      <c r="B2245" s="1" t="s">
        <v>4785</v>
      </c>
      <c r="C2245" s="1" t="s">
        <v>4720</v>
      </c>
      <c r="D2245" s="1" t="s">
        <v>4736</v>
      </c>
      <c r="E2245" s="1" t="s">
        <v>4786</v>
      </c>
      <c r="F2245" s="1" t="s">
        <v>55</v>
      </c>
      <c r="G2245" s="1" t="s">
        <v>17</v>
      </c>
      <c r="H2245" s="1" t="s">
        <v>18</v>
      </c>
      <c r="I2245" s="1" t="s">
        <v>19</v>
      </c>
      <c r="J2245" s="1">
        <f>IFERROR(__xludf.DUMMYFUNCTION("""COMPUTED_VALUE"""),38.0)</f>
        <v>38</v>
      </c>
      <c r="K2245" s="1">
        <v>21.0</v>
      </c>
      <c r="L2245" s="1">
        <f>IFERROR(__xludf.DUMMYFUNCTION("""COMPUTED_VALUE"""),68.0)</f>
        <v>68</v>
      </c>
    </row>
    <row r="2246">
      <c r="A2246" s="1">
        <v>3604035.0</v>
      </c>
      <c r="B2246" s="1" t="s">
        <v>4787</v>
      </c>
      <c r="C2246" s="1" t="s">
        <v>4720</v>
      </c>
      <c r="D2246" s="1" t="s">
        <v>4765</v>
      </c>
      <c r="E2246" s="1" t="s">
        <v>4788</v>
      </c>
      <c r="F2246" s="1" t="s">
        <v>16</v>
      </c>
      <c r="G2246" s="1" t="s">
        <v>17</v>
      </c>
      <c r="H2246" s="1" t="s">
        <v>18</v>
      </c>
      <c r="I2246" s="1" t="s">
        <v>19</v>
      </c>
      <c r="J2246" s="1">
        <f>IFERROR(__xludf.DUMMYFUNCTION("""COMPUTED_VALUE"""),112.0)</f>
        <v>112</v>
      </c>
      <c r="K2246" s="1">
        <v>41.0</v>
      </c>
      <c r="L2246" s="1">
        <f>IFERROR(__xludf.DUMMYFUNCTION("""COMPUTED_VALUE"""),301.0)</f>
        <v>301</v>
      </c>
    </row>
    <row r="2247">
      <c r="A2247" s="1">
        <v>3603169.0</v>
      </c>
      <c r="B2247" s="1" t="s">
        <v>4789</v>
      </c>
      <c r="C2247" s="1" t="s">
        <v>4720</v>
      </c>
      <c r="D2247" s="1" t="s">
        <v>4730</v>
      </c>
      <c r="E2247" s="1" t="s">
        <v>4790</v>
      </c>
      <c r="F2247" s="1" t="s">
        <v>16</v>
      </c>
      <c r="G2247" s="1" t="s">
        <v>17</v>
      </c>
      <c r="H2247" s="1" t="s">
        <v>18</v>
      </c>
      <c r="I2247" s="1" t="s">
        <v>44</v>
      </c>
      <c r="J2247" s="1">
        <f>IFERROR(__xludf.DUMMYFUNCTION("""COMPUTED_VALUE"""),165.0)</f>
        <v>165</v>
      </c>
      <c r="K2247" s="1">
        <v>39.0</v>
      </c>
      <c r="L2247" s="1">
        <f>IFERROR(__xludf.DUMMYFUNCTION("""COMPUTED_VALUE"""),271.0)</f>
        <v>271</v>
      </c>
    </row>
    <row r="2248">
      <c r="A2248" s="1">
        <v>3603047.0</v>
      </c>
      <c r="B2248" s="1" t="s">
        <v>4791</v>
      </c>
      <c r="C2248" s="1" t="s">
        <v>4720</v>
      </c>
      <c r="D2248" s="1" t="s">
        <v>4730</v>
      </c>
      <c r="E2248" s="1" t="s">
        <v>4792</v>
      </c>
      <c r="F2248" s="1" t="s">
        <v>16</v>
      </c>
      <c r="G2248" s="1" t="s">
        <v>23</v>
      </c>
      <c r="H2248" s="1" t="s">
        <v>18</v>
      </c>
      <c r="I2248" s="1" t="s">
        <v>44</v>
      </c>
      <c r="J2248" s="1">
        <f>IFERROR(__xludf.DUMMYFUNCTION("""COMPUTED_VALUE"""),80.0)</f>
        <v>80</v>
      </c>
      <c r="K2248" s="1">
        <v>20.0</v>
      </c>
      <c r="L2248" s="1">
        <f>IFERROR(__xludf.DUMMYFUNCTION("""COMPUTED_VALUE"""),36.0)</f>
        <v>36</v>
      </c>
    </row>
    <row r="2249">
      <c r="A2249" s="1">
        <v>3601048.0</v>
      </c>
      <c r="B2249" s="1" t="s">
        <v>4793</v>
      </c>
      <c r="C2249" s="1" t="s">
        <v>4720</v>
      </c>
      <c r="D2249" s="1" t="s">
        <v>4745</v>
      </c>
      <c r="E2249" s="1" t="s">
        <v>4794</v>
      </c>
      <c r="F2249" s="1" t="s">
        <v>16</v>
      </c>
      <c r="G2249" s="1" t="s">
        <v>23</v>
      </c>
      <c r="H2249" s="1" t="s">
        <v>18</v>
      </c>
      <c r="I2249" s="1" t="s">
        <v>19</v>
      </c>
      <c r="J2249" s="1">
        <f>IFERROR(__xludf.DUMMYFUNCTION("""COMPUTED_VALUE"""),72.0)</f>
        <v>72</v>
      </c>
      <c r="K2249" s="1">
        <v>23.0</v>
      </c>
      <c r="L2249" s="1">
        <f>IFERROR(__xludf.DUMMYFUNCTION("""COMPUTED_VALUE"""),182.0)</f>
        <v>182</v>
      </c>
    </row>
    <row r="2250">
      <c r="A2250" s="1">
        <v>3672022.0</v>
      </c>
      <c r="B2250" s="1" t="s">
        <v>4795</v>
      </c>
      <c r="C2250" s="1" t="s">
        <v>4720</v>
      </c>
      <c r="D2250" s="1" t="s">
        <v>4721</v>
      </c>
      <c r="E2250" s="1" t="s">
        <v>4796</v>
      </c>
      <c r="F2250" s="1" t="s">
        <v>16</v>
      </c>
      <c r="G2250" s="1" t="s">
        <v>27</v>
      </c>
      <c r="H2250" s="1" t="s">
        <v>28</v>
      </c>
      <c r="I2250" s="1" t="s">
        <v>29</v>
      </c>
      <c r="J2250" s="1">
        <f>IFERROR(__xludf.DUMMYFUNCTION("""COMPUTED_VALUE"""),233.0)</f>
        <v>233</v>
      </c>
      <c r="K2250" s="1">
        <v>92.0</v>
      </c>
      <c r="L2250" s="1">
        <f>IFERROR(__xludf.DUMMYFUNCTION("""COMPUTED_VALUE"""),489.0)</f>
        <v>489</v>
      </c>
    </row>
    <row r="2251">
      <c r="A2251" s="1">
        <v>3674020.0</v>
      </c>
      <c r="B2251" s="1" t="s">
        <v>4797</v>
      </c>
      <c r="C2251" s="1" t="s">
        <v>4720</v>
      </c>
      <c r="D2251" s="1" t="s">
        <v>4733</v>
      </c>
      <c r="E2251" s="1" t="s">
        <v>4798</v>
      </c>
      <c r="F2251" s="1" t="s">
        <v>16</v>
      </c>
      <c r="G2251" s="1" t="s">
        <v>17</v>
      </c>
      <c r="H2251" s="1" t="s">
        <v>18</v>
      </c>
      <c r="I2251" s="1" t="s">
        <v>44</v>
      </c>
      <c r="J2251" s="1">
        <f>IFERROR(__xludf.DUMMYFUNCTION("""COMPUTED_VALUE"""),100.0)</f>
        <v>100</v>
      </c>
      <c r="K2251" s="1">
        <v>90.0</v>
      </c>
      <c r="L2251" s="1">
        <f>IFERROR(__xludf.DUMMYFUNCTION("""COMPUTED_VALUE"""),129.0)</f>
        <v>129</v>
      </c>
    </row>
    <row r="2252">
      <c r="A2252" s="1">
        <v>3674205.0</v>
      </c>
      <c r="B2252" s="1" t="s">
        <v>4799</v>
      </c>
      <c r="C2252" s="1" t="s">
        <v>4720</v>
      </c>
      <c r="D2252" s="1" t="s">
        <v>4733</v>
      </c>
      <c r="E2252" s="1" t="s">
        <v>4800</v>
      </c>
      <c r="F2252" s="1" t="s">
        <v>16</v>
      </c>
      <c r="G2252" s="1" t="s">
        <v>17</v>
      </c>
      <c r="H2252" s="1" t="s">
        <v>18</v>
      </c>
      <c r="I2252" s="1" t="s">
        <v>19</v>
      </c>
      <c r="J2252" s="1">
        <f>IFERROR(__xludf.DUMMYFUNCTION("""COMPUTED_VALUE"""),99.0)</f>
        <v>99</v>
      </c>
      <c r="K2252" s="1">
        <v>36.0</v>
      </c>
      <c r="L2252" s="1">
        <f>IFERROR(__xludf.DUMMYFUNCTION("""COMPUTED_VALUE"""),182.0)</f>
        <v>182</v>
      </c>
    </row>
    <row r="2253">
      <c r="A2253" s="1">
        <v>3603082.0</v>
      </c>
      <c r="B2253" s="1" t="s">
        <v>4801</v>
      </c>
      <c r="C2253" s="1" t="s">
        <v>4720</v>
      </c>
      <c r="D2253" s="1" t="s">
        <v>4733</v>
      </c>
      <c r="E2253" s="1" t="s">
        <v>4802</v>
      </c>
      <c r="F2253" s="1" t="s">
        <v>16</v>
      </c>
      <c r="G2253" s="1" t="s">
        <v>17</v>
      </c>
      <c r="H2253" s="1" t="s">
        <v>18</v>
      </c>
      <c r="I2253" s="1" t="s">
        <v>19</v>
      </c>
      <c r="J2253" s="1">
        <f>IFERROR(__xludf.DUMMYFUNCTION("""COMPUTED_VALUE"""),107.0)</f>
        <v>107</v>
      </c>
      <c r="K2253" s="1">
        <v>47.0</v>
      </c>
      <c r="L2253" s="1">
        <f>IFERROR(__xludf.DUMMYFUNCTION("""COMPUTED_VALUE"""),146.0)</f>
        <v>146</v>
      </c>
    </row>
    <row r="2254">
      <c r="A2254" s="1">
        <v>3671216.0</v>
      </c>
      <c r="B2254" s="1" t="s">
        <v>4803</v>
      </c>
      <c r="C2254" s="1" t="s">
        <v>4720</v>
      </c>
      <c r="D2254" s="1" t="s">
        <v>4733</v>
      </c>
      <c r="E2254" s="1" t="s">
        <v>4804</v>
      </c>
      <c r="F2254" s="1" t="s">
        <v>16</v>
      </c>
      <c r="G2254" s="1" t="s">
        <v>17</v>
      </c>
      <c r="H2254" s="1" t="s">
        <v>18</v>
      </c>
      <c r="I2254" s="1" t="s">
        <v>19</v>
      </c>
      <c r="J2254" s="1">
        <f>IFERROR(__xludf.DUMMYFUNCTION("""COMPUTED_VALUE"""),100.0)</f>
        <v>100</v>
      </c>
      <c r="K2254" s="1">
        <v>32.0</v>
      </c>
      <c r="L2254" s="1">
        <f>IFERROR(__xludf.DUMMYFUNCTION("""COMPUTED_VALUE"""),243.0)</f>
        <v>243</v>
      </c>
    </row>
    <row r="2255">
      <c r="A2255" s="1">
        <v>3671080.0</v>
      </c>
      <c r="B2255" s="1" t="s">
        <v>4805</v>
      </c>
      <c r="C2255" s="1" t="s">
        <v>4720</v>
      </c>
      <c r="D2255" s="1" t="s">
        <v>4736</v>
      </c>
      <c r="E2255" s="1" t="s">
        <v>4806</v>
      </c>
      <c r="F2255" s="1" t="s">
        <v>16</v>
      </c>
      <c r="G2255" s="1" t="s">
        <v>27</v>
      </c>
      <c r="H2255" s="1" t="s">
        <v>18</v>
      </c>
      <c r="I2255" s="1" t="s">
        <v>19</v>
      </c>
      <c r="J2255" s="1">
        <f>IFERROR(__xludf.DUMMYFUNCTION("""COMPUTED_VALUE"""),222.0)</f>
        <v>222</v>
      </c>
      <c r="K2255" s="1">
        <v>71.0</v>
      </c>
      <c r="L2255" s="1">
        <f>IFERROR(__xludf.DUMMYFUNCTION("""COMPUTED_VALUE"""),912.0)</f>
        <v>912</v>
      </c>
    </row>
    <row r="2256">
      <c r="A2256" s="1">
        <v>3674003.0</v>
      </c>
      <c r="B2256" s="1" t="s">
        <v>4807</v>
      </c>
      <c r="C2256" s="1" t="s">
        <v>4720</v>
      </c>
      <c r="D2256" s="1" t="s">
        <v>4733</v>
      </c>
      <c r="E2256" s="1" t="s">
        <v>4808</v>
      </c>
      <c r="F2256" s="1" t="s">
        <v>55</v>
      </c>
      <c r="G2256" s="1" t="s">
        <v>17</v>
      </c>
      <c r="H2256" s="1" t="s">
        <v>18</v>
      </c>
      <c r="I2256" s="1" t="s">
        <v>19</v>
      </c>
      <c r="J2256" s="1">
        <f>IFERROR(__xludf.DUMMYFUNCTION("""COMPUTED_VALUE"""),36.0)</f>
        <v>36</v>
      </c>
      <c r="K2256" s="1">
        <v>17.0</v>
      </c>
      <c r="L2256" s="1">
        <f>IFERROR(__xludf.DUMMYFUNCTION("""COMPUTED_VALUE"""),55.0)</f>
        <v>55</v>
      </c>
    </row>
    <row r="2257">
      <c r="A2257" s="1">
        <v>3671217.0</v>
      </c>
      <c r="B2257" s="1" t="s">
        <v>4809</v>
      </c>
      <c r="C2257" s="1" t="s">
        <v>4720</v>
      </c>
      <c r="D2257" s="1" t="s">
        <v>4736</v>
      </c>
      <c r="E2257" s="1" t="s">
        <v>4810</v>
      </c>
      <c r="F2257" s="1" t="s">
        <v>55</v>
      </c>
      <c r="G2257" s="1" t="s">
        <v>17</v>
      </c>
      <c r="H2257" s="1" t="s">
        <v>18</v>
      </c>
      <c r="I2257" s="1" t="s">
        <v>44</v>
      </c>
      <c r="J2257" s="1">
        <f>IFERROR(__xludf.DUMMYFUNCTION("""COMPUTED_VALUE"""),28.0)</f>
        <v>28</v>
      </c>
      <c r="K2257" s="1">
        <v>19.0</v>
      </c>
      <c r="L2257" s="1">
        <f>IFERROR(__xludf.DUMMYFUNCTION("""COMPUTED_VALUE"""),52.0)</f>
        <v>52</v>
      </c>
    </row>
    <row r="2258">
      <c r="A2258" s="1">
        <v>3603168.0</v>
      </c>
      <c r="B2258" s="1" t="s">
        <v>4811</v>
      </c>
      <c r="C2258" s="1" t="s">
        <v>4720</v>
      </c>
      <c r="D2258" s="1" t="s">
        <v>4730</v>
      </c>
      <c r="E2258" s="1" t="s">
        <v>4812</v>
      </c>
      <c r="F2258" s="1" t="s">
        <v>16</v>
      </c>
      <c r="G2258" s="1" t="s">
        <v>23</v>
      </c>
      <c r="H2258" s="1" t="s">
        <v>18</v>
      </c>
      <c r="I2258" s="1" t="s">
        <v>59</v>
      </c>
      <c r="J2258" s="1">
        <f>IFERROR(__xludf.DUMMYFUNCTION("""COMPUTED_VALUE"""),55.0)</f>
        <v>55</v>
      </c>
      <c r="K2258" s="1">
        <v>29.0</v>
      </c>
      <c r="L2258" s="1">
        <f>IFERROR(__xludf.DUMMYFUNCTION("""COMPUTED_VALUE"""),67.0)</f>
        <v>67</v>
      </c>
    </row>
    <row r="2259">
      <c r="A2259" s="1">
        <v>3671218.0</v>
      </c>
      <c r="B2259" s="1" t="s">
        <v>4813</v>
      </c>
      <c r="C2259" s="1" t="s">
        <v>4720</v>
      </c>
      <c r="D2259" s="1" t="s">
        <v>4736</v>
      </c>
      <c r="E2259" s="1" t="s">
        <v>4814</v>
      </c>
      <c r="F2259" s="1" t="s">
        <v>55</v>
      </c>
      <c r="G2259" s="1" t="s">
        <v>17</v>
      </c>
      <c r="H2259" s="1" t="s">
        <v>18</v>
      </c>
      <c r="I2259" s="1" t="s">
        <v>684</v>
      </c>
      <c r="J2259" s="1">
        <f>IFERROR(__xludf.DUMMYFUNCTION("""COMPUTED_VALUE"""),35.0)</f>
        <v>35</v>
      </c>
      <c r="K2259" s="1">
        <v>19.0</v>
      </c>
      <c r="L2259" s="1">
        <f>IFERROR(__xludf.DUMMYFUNCTION("""COMPUTED_VALUE"""),79.0)</f>
        <v>79</v>
      </c>
    </row>
    <row r="2260">
      <c r="A2260" s="1">
        <v>3603178.0</v>
      </c>
      <c r="B2260" s="1" t="s">
        <v>4815</v>
      </c>
      <c r="C2260" s="1" t="s">
        <v>4720</v>
      </c>
      <c r="D2260" s="1" t="s">
        <v>4730</v>
      </c>
      <c r="E2260" s="1" t="s">
        <v>4816</v>
      </c>
      <c r="F2260" s="1" t="s">
        <v>55</v>
      </c>
      <c r="G2260" s="1" t="s">
        <v>17</v>
      </c>
      <c r="H2260" s="1" t="s">
        <v>18</v>
      </c>
      <c r="I2260" s="1" t="s">
        <v>19</v>
      </c>
      <c r="J2260" s="1">
        <f>IFERROR(__xludf.DUMMYFUNCTION("""COMPUTED_VALUE"""),29.0)</f>
        <v>29</v>
      </c>
      <c r="K2260" s="1">
        <v>20.0</v>
      </c>
      <c r="L2260" s="1">
        <f>IFERROR(__xludf.DUMMYFUNCTION("""COMPUTED_VALUE"""),111.0)</f>
        <v>111</v>
      </c>
    </row>
    <row r="2261">
      <c r="A2261" s="1">
        <v>3603010.0</v>
      </c>
      <c r="B2261" s="1" t="s">
        <v>4817</v>
      </c>
      <c r="C2261" s="1" t="s">
        <v>4720</v>
      </c>
      <c r="D2261" s="1" t="s">
        <v>4730</v>
      </c>
      <c r="E2261" s="1" t="s">
        <v>4818</v>
      </c>
      <c r="F2261" s="1" t="s">
        <v>16</v>
      </c>
      <c r="G2261" s="1" t="s">
        <v>27</v>
      </c>
      <c r="H2261" s="1" t="s">
        <v>28</v>
      </c>
      <c r="I2261" s="1" t="s">
        <v>40</v>
      </c>
      <c r="J2261" s="1">
        <f>IFERROR(__xludf.DUMMYFUNCTION("""COMPUTED_VALUE"""),329.0)</f>
        <v>329</v>
      </c>
      <c r="K2261" s="1">
        <v>138.0</v>
      </c>
      <c r="L2261" s="1">
        <f>IFERROR(__xludf.DUMMYFUNCTION("""COMPUTED_VALUE"""),1344.0)</f>
        <v>1344</v>
      </c>
    </row>
    <row r="2262">
      <c r="A2262" s="1">
        <v>3603173.0</v>
      </c>
      <c r="B2262" s="1" t="s">
        <v>4819</v>
      </c>
      <c r="C2262" s="1" t="s">
        <v>4720</v>
      </c>
      <c r="D2262" s="1" t="s">
        <v>4730</v>
      </c>
      <c r="E2262" s="1" t="s">
        <v>4820</v>
      </c>
      <c r="F2262" s="1" t="s">
        <v>55</v>
      </c>
      <c r="G2262" s="1" t="s">
        <v>17</v>
      </c>
      <c r="H2262" s="1" t="s">
        <v>18</v>
      </c>
      <c r="I2262" s="1" t="s">
        <v>44</v>
      </c>
      <c r="J2262" s="1">
        <f>IFERROR(__xludf.DUMMYFUNCTION("""COMPUTED_VALUE"""),77.0)</f>
        <v>77</v>
      </c>
      <c r="K2262" s="1">
        <v>16.0</v>
      </c>
      <c r="L2262" s="1">
        <f>IFERROR(__xludf.DUMMYFUNCTION("""COMPUTED_VALUE"""),82.0)</f>
        <v>82</v>
      </c>
    </row>
    <row r="2263">
      <c r="A2263" s="1">
        <v>3671221.0</v>
      </c>
      <c r="B2263" s="1" t="s">
        <v>4821</v>
      </c>
      <c r="C2263" s="1" t="s">
        <v>4720</v>
      </c>
      <c r="D2263" s="1" t="s">
        <v>4736</v>
      </c>
      <c r="E2263" s="1" t="s">
        <v>4822</v>
      </c>
      <c r="F2263" s="1" t="s">
        <v>55</v>
      </c>
      <c r="G2263" s="1" t="s">
        <v>17</v>
      </c>
      <c r="H2263" s="1" t="s">
        <v>18</v>
      </c>
      <c r="I2263" s="1" t="s">
        <v>19</v>
      </c>
      <c r="J2263" s="1">
        <f>IFERROR(__xludf.DUMMYFUNCTION("""COMPUTED_VALUE"""),38.0)</f>
        <v>38</v>
      </c>
      <c r="K2263" s="1">
        <v>11.0</v>
      </c>
      <c r="L2263" s="1">
        <f>IFERROR(__xludf.DUMMYFUNCTION("""COMPUTED_VALUE"""),46.0)</f>
        <v>46</v>
      </c>
    </row>
    <row r="2264">
      <c r="A2264" s="1">
        <v>3602012.0</v>
      </c>
      <c r="B2264" s="1" t="s">
        <v>2238</v>
      </c>
      <c r="C2264" s="1" t="s">
        <v>4720</v>
      </c>
      <c r="D2264" s="1" t="s">
        <v>4727</v>
      </c>
      <c r="E2264" s="1" t="s">
        <v>4823</v>
      </c>
      <c r="F2264" s="1" t="s">
        <v>16</v>
      </c>
      <c r="G2264" s="1" t="s">
        <v>17</v>
      </c>
      <c r="H2264" s="1" t="s">
        <v>18</v>
      </c>
      <c r="I2264" s="1" t="s">
        <v>44</v>
      </c>
      <c r="J2264" s="1">
        <f>IFERROR(__xludf.DUMMYFUNCTION("""COMPUTED_VALUE"""),156.0)</f>
        <v>156</v>
      </c>
      <c r="K2264" s="1">
        <v>31.0</v>
      </c>
      <c r="L2264" s="1">
        <f>IFERROR(__xludf.DUMMYFUNCTION("""COMPUTED_VALUE"""),233.0)</f>
        <v>233</v>
      </c>
    </row>
    <row r="2265">
      <c r="A2265" s="1">
        <v>3674013.0</v>
      </c>
      <c r="B2265" s="1" t="s">
        <v>4824</v>
      </c>
      <c r="C2265" s="1" t="s">
        <v>4720</v>
      </c>
      <c r="D2265" s="1" t="s">
        <v>4733</v>
      </c>
      <c r="E2265" s="1" t="s">
        <v>4825</v>
      </c>
      <c r="F2265" s="1" t="s">
        <v>55</v>
      </c>
      <c r="G2265" s="1" t="s">
        <v>17</v>
      </c>
      <c r="H2265" s="1" t="s">
        <v>18</v>
      </c>
      <c r="I2265" s="1" t="s">
        <v>44</v>
      </c>
      <c r="J2265" s="1">
        <f>IFERROR(__xludf.DUMMYFUNCTION("""COMPUTED_VALUE"""),50.0)</f>
        <v>50</v>
      </c>
      <c r="K2265" s="1">
        <v>31.0</v>
      </c>
      <c r="L2265" s="1">
        <f>IFERROR(__xludf.DUMMYFUNCTION("""COMPUTED_VALUE"""),101.0)</f>
        <v>101</v>
      </c>
    </row>
    <row r="2266">
      <c r="A2266" s="1">
        <v>3603104.0</v>
      </c>
      <c r="B2266" s="1" t="s">
        <v>4826</v>
      </c>
      <c r="C2266" s="1" t="s">
        <v>4720</v>
      </c>
      <c r="D2266" s="1" t="s">
        <v>4730</v>
      </c>
      <c r="E2266" s="1" t="s">
        <v>4827</v>
      </c>
      <c r="F2266" s="1" t="s">
        <v>55</v>
      </c>
      <c r="G2266" s="1" t="s">
        <v>17</v>
      </c>
      <c r="H2266" s="1" t="s">
        <v>18</v>
      </c>
      <c r="I2266" s="1" t="s">
        <v>19</v>
      </c>
      <c r="J2266" s="1">
        <f>IFERROR(__xludf.DUMMYFUNCTION("""COMPUTED_VALUE"""),43.0)</f>
        <v>43</v>
      </c>
      <c r="K2266" s="1">
        <v>21.0</v>
      </c>
      <c r="L2266" s="1">
        <f>IFERROR(__xludf.DUMMYFUNCTION("""COMPUTED_VALUE"""),67.0)</f>
        <v>67</v>
      </c>
    </row>
    <row r="2267">
      <c r="A2267" s="1">
        <v>3603195.0</v>
      </c>
      <c r="B2267" s="1" t="s">
        <v>4828</v>
      </c>
      <c r="C2267" s="1" t="s">
        <v>4720</v>
      </c>
      <c r="D2267" s="1" t="s">
        <v>4730</v>
      </c>
      <c r="E2267" s="1" t="s">
        <v>4829</v>
      </c>
      <c r="F2267" s="1" t="s">
        <v>16</v>
      </c>
      <c r="G2267" s="1" t="s">
        <v>17</v>
      </c>
      <c r="H2267" s="1" t="s">
        <v>18</v>
      </c>
      <c r="I2267" s="1" t="s">
        <v>44</v>
      </c>
      <c r="J2267" s="1">
        <f>IFERROR(__xludf.DUMMYFUNCTION("""COMPUTED_VALUE"""),109.0)</f>
        <v>109</v>
      </c>
      <c r="K2267" s="1">
        <v>26.0</v>
      </c>
      <c r="L2267" s="1">
        <f>IFERROR(__xludf.DUMMYFUNCTION("""COMPUTED_VALUE"""),229.0)</f>
        <v>229</v>
      </c>
    </row>
    <row r="2268">
      <c r="A2268" s="1">
        <v>3674113.0</v>
      </c>
      <c r="B2268" s="1" t="s">
        <v>4830</v>
      </c>
      <c r="C2268" s="1" t="s">
        <v>4720</v>
      </c>
      <c r="D2268" s="1" t="s">
        <v>4733</v>
      </c>
      <c r="E2268" s="1" t="s">
        <v>4831</v>
      </c>
      <c r="F2268" s="1" t="s">
        <v>16</v>
      </c>
      <c r="G2268" s="1" t="s">
        <v>27</v>
      </c>
      <c r="H2268" s="1" t="s">
        <v>18</v>
      </c>
      <c r="I2268" s="1" t="s">
        <v>19</v>
      </c>
      <c r="J2268" s="1">
        <f>IFERROR(__xludf.DUMMYFUNCTION("""COMPUTED_VALUE"""),203.0)</f>
        <v>203</v>
      </c>
      <c r="K2268" s="1">
        <v>102.0</v>
      </c>
      <c r="L2268" s="1">
        <f>IFERROR(__xludf.DUMMYFUNCTION("""COMPUTED_VALUE"""),875.0)</f>
        <v>875</v>
      </c>
    </row>
    <row r="2269">
      <c r="A2269" s="1">
        <v>3671207.0</v>
      </c>
      <c r="B2269" s="1" t="s">
        <v>4832</v>
      </c>
      <c r="C2269" s="1" t="s">
        <v>4720</v>
      </c>
      <c r="D2269" s="1" t="s">
        <v>4736</v>
      </c>
      <c r="E2269" s="1" t="s">
        <v>4833</v>
      </c>
      <c r="F2269" s="1" t="s">
        <v>16</v>
      </c>
      <c r="G2269" s="1" t="s">
        <v>17</v>
      </c>
      <c r="H2269" s="1" t="s">
        <v>18</v>
      </c>
      <c r="I2269" s="1" t="s">
        <v>44</v>
      </c>
      <c r="J2269" s="1">
        <f>IFERROR(__xludf.DUMMYFUNCTION("""COMPUTED_VALUE"""),134.0)</f>
        <v>134</v>
      </c>
      <c r="K2269" s="1">
        <v>51.0</v>
      </c>
      <c r="L2269" s="1">
        <f>IFERROR(__xludf.DUMMYFUNCTION("""COMPUTED_VALUE"""),206.0)</f>
        <v>206</v>
      </c>
    </row>
    <row r="2270">
      <c r="A2270" s="1">
        <v>3674014.0</v>
      </c>
      <c r="B2270" s="1" t="s">
        <v>4834</v>
      </c>
      <c r="C2270" s="1" t="s">
        <v>4720</v>
      </c>
      <c r="D2270" s="1" t="s">
        <v>4733</v>
      </c>
      <c r="E2270" s="1" t="s">
        <v>4835</v>
      </c>
      <c r="F2270" s="1" t="s">
        <v>16</v>
      </c>
      <c r="G2270" s="1" t="s">
        <v>17</v>
      </c>
      <c r="H2270" s="1" t="s">
        <v>18</v>
      </c>
      <c r="I2270" s="1" t="s">
        <v>19</v>
      </c>
      <c r="J2270" s="1">
        <f>IFERROR(__xludf.DUMMYFUNCTION("""COMPUTED_VALUE"""),125.0)</f>
        <v>125</v>
      </c>
      <c r="K2270" s="1">
        <v>81.0</v>
      </c>
      <c r="L2270" s="1">
        <f>IFERROR(__xludf.DUMMYFUNCTION("""COMPUTED_VALUE"""),227.0)</f>
        <v>227</v>
      </c>
    </row>
    <row r="2271">
      <c r="A2271" s="1">
        <v>3674204.0</v>
      </c>
      <c r="B2271" s="1" t="s">
        <v>4836</v>
      </c>
      <c r="C2271" s="1" t="s">
        <v>4720</v>
      </c>
      <c r="D2271" s="1" t="s">
        <v>4733</v>
      </c>
      <c r="E2271" s="1" t="s">
        <v>4837</v>
      </c>
      <c r="F2271" s="1" t="s">
        <v>16</v>
      </c>
      <c r="G2271" s="1" t="s">
        <v>17</v>
      </c>
      <c r="H2271" s="1" t="s">
        <v>18</v>
      </c>
      <c r="I2271" s="1" t="s">
        <v>29</v>
      </c>
      <c r="J2271" s="1">
        <f>IFERROR(__xludf.DUMMYFUNCTION("""COMPUTED_VALUE"""),93.0)</f>
        <v>93</v>
      </c>
      <c r="K2271" s="1">
        <v>21.0</v>
      </c>
      <c r="L2271" s="1">
        <f>IFERROR(__xludf.DUMMYFUNCTION("""COMPUTED_VALUE"""),182.0)</f>
        <v>182</v>
      </c>
    </row>
    <row r="2272">
      <c r="A2272" s="1">
        <v>3604002.0</v>
      </c>
      <c r="B2272" s="1" t="s">
        <v>4838</v>
      </c>
      <c r="C2272" s="1" t="s">
        <v>4720</v>
      </c>
      <c r="D2272" s="1" t="s">
        <v>4724</v>
      </c>
      <c r="E2272" s="1" t="s">
        <v>4839</v>
      </c>
      <c r="F2272" s="1" t="s">
        <v>16</v>
      </c>
      <c r="G2272" s="1" t="s">
        <v>17</v>
      </c>
      <c r="H2272" s="1" t="s">
        <v>18</v>
      </c>
      <c r="I2272" s="1" t="s">
        <v>44</v>
      </c>
      <c r="J2272" s="1">
        <f>IFERROR(__xludf.DUMMYFUNCTION("""COMPUTED_VALUE"""),280.0)</f>
        <v>280</v>
      </c>
      <c r="K2272" s="1">
        <v>49.0</v>
      </c>
      <c r="L2272" s="1">
        <f>IFERROR(__xludf.DUMMYFUNCTION("""COMPUTED_VALUE"""),362.0)</f>
        <v>362</v>
      </c>
    </row>
    <row r="2273">
      <c r="A2273" s="1">
        <v>3603190.0</v>
      </c>
      <c r="B2273" s="1" t="s">
        <v>4840</v>
      </c>
      <c r="C2273" s="1" t="s">
        <v>4720</v>
      </c>
      <c r="D2273" s="1" t="s">
        <v>4730</v>
      </c>
      <c r="E2273" s="1" t="s">
        <v>4841</v>
      </c>
      <c r="F2273" s="1" t="s">
        <v>55</v>
      </c>
      <c r="G2273" s="1" t="s">
        <v>17</v>
      </c>
      <c r="H2273" s="1" t="s">
        <v>18</v>
      </c>
      <c r="I2273" s="1" t="s">
        <v>19</v>
      </c>
      <c r="J2273" s="1">
        <f>IFERROR(__xludf.DUMMYFUNCTION("""COMPUTED_VALUE"""),52.0)</f>
        <v>52</v>
      </c>
      <c r="K2273" s="1">
        <v>29.0</v>
      </c>
      <c r="L2273" s="1">
        <f>IFERROR(__xludf.DUMMYFUNCTION("""COMPUTED_VALUE"""),53.0)</f>
        <v>53</v>
      </c>
    </row>
    <row r="2274">
      <c r="A2274" s="1">
        <v>3671032.0</v>
      </c>
      <c r="B2274" s="1" t="s">
        <v>4842</v>
      </c>
      <c r="C2274" s="1" t="s">
        <v>4720</v>
      </c>
      <c r="D2274" s="1" t="s">
        <v>4736</v>
      </c>
      <c r="E2274" s="1" t="s">
        <v>4843</v>
      </c>
      <c r="F2274" s="1" t="s">
        <v>16</v>
      </c>
      <c r="G2274" s="1" t="s">
        <v>27</v>
      </c>
      <c r="H2274" s="1" t="s">
        <v>33</v>
      </c>
      <c r="I2274" s="1" t="s">
        <v>411</v>
      </c>
      <c r="J2274" s="1">
        <f>IFERROR(__xludf.DUMMYFUNCTION("""COMPUTED_VALUE"""),250.0)</f>
        <v>250</v>
      </c>
      <c r="K2274" s="1">
        <v>69.0</v>
      </c>
      <c r="L2274" s="1">
        <f>IFERROR(__xludf.DUMMYFUNCTION("""COMPUTED_VALUE"""),606.0)</f>
        <v>606</v>
      </c>
    </row>
    <row r="2275">
      <c r="A2275" s="1">
        <v>3671242.0</v>
      </c>
      <c r="B2275" s="1" t="s">
        <v>4844</v>
      </c>
      <c r="C2275" s="1" t="s">
        <v>4720</v>
      </c>
      <c r="D2275" s="1" t="s">
        <v>4736</v>
      </c>
      <c r="E2275" s="1" t="s">
        <v>4845</v>
      </c>
      <c r="F2275" s="1" t="s">
        <v>16</v>
      </c>
      <c r="G2275" s="1" t="s">
        <v>23</v>
      </c>
      <c r="H2275" s="1" t="s">
        <v>18</v>
      </c>
      <c r="I2275" s="1" t="s">
        <v>29</v>
      </c>
      <c r="J2275" s="1">
        <f>IFERROR(__xludf.DUMMYFUNCTION("""COMPUTED_VALUE"""),60.0)</f>
        <v>60</v>
      </c>
      <c r="K2275" s="1">
        <v>39.0</v>
      </c>
      <c r="L2275" s="1">
        <f>IFERROR(__xludf.DUMMYFUNCTION("""COMPUTED_VALUE"""),182.0)</f>
        <v>182</v>
      </c>
    </row>
    <row r="2276">
      <c r="A2276" s="1">
        <v>3674016.0</v>
      </c>
      <c r="B2276" s="1" t="s">
        <v>4846</v>
      </c>
      <c r="C2276" s="1" t="s">
        <v>4720</v>
      </c>
      <c r="D2276" s="1" t="s">
        <v>4733</v>
      </c>
      <c r="E2276" s="1" t="s">
        <v>4847</v>
      </c>
      <c r="F2276" s="1" t="s">
        <v>16</v>
      </c>
      <c r="G2276" s="1" t="s">
        <v>17</v>
      </c>
      <c r="H2276" s="1" t="s">
        <v>18</v>
      </c>
      <c r="I2276" s="1" t="s">
        <v>19</v>
      </c>
      <c r="J2276" s="1">
        <f>IFERROR(__xludf.DUMMYFUNCTION("""COMPUTED_VALUE"""),104.0)</f>
        <v>104</v>
      </c>
      <c r="K2276" s="1">
        <v>27.0</v>
      </c>
      <c r="L2276" s="1">
        <f>IFERROR(__xludf.DUMMYFUNCTION("""COMPUTED_VALUE"""),132.0)</f>
        <v>132</v>
      </c>
    </row>
    <row r="2277">
      <c r="A2277" s="1">
        <v>3673012.0</v>
      </c>
      <c r="B2277" s="1" t="s">
        <v>4848</v>
      </c>
      <c r="C2277" s="1" t="s">
        <v>4720</v>
      </c>
      <c r="D2277" s="1" t="s">
        <v>4765</v>
      </c>
      <c r="E2277" s="1" t="s">
        <v>4849</v>
      </c>
      <c r="F2277" s="1" t="s">
        <v>16</v>
      </c>
      <c r="G2277" s="1" t="s">
        <v>17</v>
      </c>
      <c r="H2277" s="1" t="s">
        <v>28</v>
      </c>
      <c r="I2277" s="1" t="s">
        <v>29</v>
      </c>
      <c r="J2277" s="1">
        <f>IFERROR(__xludf.DUMMYFUNCTION("""COMPUTED_VALUE"""),128.0)</f>
        <v>128</v>
      </c>
      <c r="K2277" s="1">
        <v>11.0</v>
      </c>
      <c r="L2277" s="1">
        <f>IFERROR(__xludf.DUMMYFUNCTION("""COMPUTED_VALUE"""),153.0)</f>
        <v>153</v>
      </c>
    </row>
    <row r="2278">
      <c r="A2278" s="1">
        <v>3672040.0</v>
      </c>
      <c r="B2278" s="1" t="s">
        <v>4850</v>
      </c>
      <c r="C2278" s="1" t="s">
        <v>4720</v>
      </c>
      <c r="D2278" s="1" t="s">
        <v>4721</v>
      </c>
      <c r="E2278" s="1" t="s">
        <v>4851</v>
      </c>
      <c r="F2278" s="1" t="s">
        <v>16</v>
      </c>
      <c r="G2278" s="1" t="s">
        <v>23</v>
      </c>
      <c r="H2278" s="1" t="s">
        <v>18</v>
      </c>
      <c r="I2278" s="1" t="s">
        <v>19</v>
      </c>
      <c r="J2278" s="1">
        <f>IFERROR(__xludf.DUMMYFUNCTION("""COMPUTED_VALUE"""),55.0)</f>
        <v>55</v>
      </c>
      <c r="K2278" s="1">
        <v>25.0</v>
      </c>
      <c r="L2278" s="1">
        <f>IFERROR(__xludf.DUMMYFUNCTION("""COMPUTED_VALUE"""),113.0)</f>
        <v>113</v>
      </c>
    </row>
    <row r="2279">
      <c r="A2279" s="1">
        <v>3603189.0</v>
      </c>
      <c r="B2279" s="1" t="s">
        <v>4852</v>
      </c>
      <c r="C2279" s="1" t="s">
        <v>4720</v>
      </c>
      <c r="D2279" s="1" t="s">
        <v>4730</v>
      </c>
      <c r="E2279" s="1" t="s">
        <v>4853</v>
      </c>
      <c r="F2279" s="1" t="s">
        <v>16</v>
      </c>
      <c r="G2279" s="1" t="s">
        <v>17</v>
      </c>
      <c r="H2279" s="1" t="s">
        <v>18</v>
      </c>
      <c r="I2279" s="1" t="s">
        <v>19</v>
      </c>
      <c r="J2279" s="1">
        <f>IFERROR(__xludf.DUMMYFUNCTION("""COMPUTED_VALUE"""),146.0)</f>
        <v>146</v>
      </c>
      <c r="K2279" s="1">
        <v>19.0</v>
      </c>
      <c r="L2279" s="1">
        <f>IFERROR(__xludf.DUMMYFUNCTION("""COMPUTED_VALUE"""),71.0)</f>
        <v>71</v>
      </c>
    </row>
    <row r="2280">
      <c r="A2280" s="1">
        <v>3603157.0</v>
      </c>
      <c r="B2280" s="1" t="s">
        <v>4854</v>
      </c>
      <c r="C2280" s="1" t="s">
        <v>4720</v>
      </c>
      <c r="D2280" s="1" t="s">
        <v>4730</v>
      </c>
      <c r="E2280" s="1" t="s">
        <v>4855</v>
      </c>
      <c r="F2280" s="1" t="s">
        <v>16</v>
      </c>
      <c r="G2280" s="1" t="s">
        <v>27</v>
      </c>
      <c r="H2280" s="1" t="s">
        <v>28</v>
      </c>
      <c r="I2280" s="1" t="s">
        <v>40</v>
      </c>
      <c r="J2280" s="1">
        <f>IFERROR(__xludf.DUMMYFUNCTION("""COMPUTED_VALUE"""),196.0)</f>
        <v>196</v>
      </c>
      <c r="K2280" s="1">
        <v>58.0</v>
      </c>
      <c r="L2280" s="1">
        <f>IFERROR(__xludf.DUMMYFUNCTION("""COMPUTED_VALUE"""),154.0)</f>
        <v>154</v>
      </c>
    </row>
    <row r="2281">
      <c r="A2281" s="1">
        <v>3671126.0</v>
      </c>
      <c r="B2281" s="1" t="s">
        <v>4856</v>
      </c>
      <c r="C2281" s="1" t="s">
        <v>4720</v>
      </c>
      <c r="D2281" s="1" t="s">
        <v>4736</v>
      </c>
      <c r="E2281" s="1" t="s">
        <v>4857</v>
      </c>
      <c r="F2281" s="1" t="s">
        <v>16</v>
      </c>
      <c r="G2281" s="1" t="s">
        <v>17</v>
      </c>
      <c r="H2281" s="1" t="s">
        <v>28</v>
      </c>
      <c r="I2281" s="1" t="s">
        <v>19</v>
      </c>
      <c r="J2281" s="1">
        <f>IFERROR(__xludf.DUMMYFUNCTION("""COMPUTED_VALUE"""),170.0)</f>
        <v>170</v>
      </c>
      <c r="K2281" s="1">
        <v>34.0</v>
      </c>
      <c r="L2281" s="1">
        <f>IFERROR(__xludf.DUMMYFUNCTION("""COMPUTED_VALUE"""),372.0)</f>
        <v>372</v>
      </c>
    </row>
    <row r="2282">
      <c r="A2282" s="1">
        <v>3604054.0</v>
      </c>
      <c r="B2282" s="1" t="s">
        <v>4858</v>
      </c>
      <c r="C2282" s="1" t="s">
        <v>4720</v>
      </c>
      <c r="D2282" s="1" t="s">
        <v>4724</v>
      </c>
      <c r="E2282" s="1" t="s">
        <v>4859</v>
      </c>
      <c r="F2282" s="1" t="s">
        <v>16</v>
      </c>
      <c r="G2282" s="1" t="s">
        <v>23</v>
      </c>
      <c r="H2282" s="1" t="s">
        <v>18</v>
      </c>
      <c r="I2282" s="1" t="s">
        <v>44</v>
      </c>
      <c r="J2282" s="1">
        <f>IFERROR(__xludf.DUMMYFUNCTION("""COMPUTED_VALUE"""),58.0)</f>
        <v>58</v>
      </c>
      <c r="K2282" s="1">
        <v>19.0</v>
      </c>
      <c r="L2282" s="1">
        <f>IFERROR(__xludf.DUMMYFUNCTION("""COMPUTED_VALUE"""),15.0)</f>
        <v>15</v>
      </c>
    </row>
    <row r="2283">
      <c r="A2283" s="1">
        <v>3671135.0</v>
      </c>
      <c r="B2283" s="1" t="s">
        <v>4860</v>
      </c>
      <c r="C2283" s="1" t="s">
        <v>4720</v>
      </c>
      <c r="D2283" s="1" t="s">
        <v>4736</v>
      </c>
      <c r="E2283" s="1" t="s">
        <v>4861</v>
      </c>
      <c r="F2283" s="1" t="s">
        <v>16</v>
      </c>
      <c r="G2283" s="1" t="s">
        <v>17</v>
      </c>
      <c r="H2283" s="1" t="s">
        <v>18</v>
      </c>
      <c r="I2283" s="1" t="s">
        <v>19</v>
      </c>
      <c r="J2283" s="1">
        <f>IFERROR(__xludf.DUMMYFUNCTION("""COMPUTED_VALUE"""),101.0)</f>
        <v>101</v>
      </c>
      <c r="K2283" s="1">
        <v>29.0</v>
      </c>
      <c r="L2283" s="1">
        <f>IFERROR(__xludf.DUMMYFUNCTION("""COMPUTED_VALUE"""),299.0)</f>
        <v>299</v>
      </c>
    </row>
    <row r="2284">
      <c r="A2284" s="1">
        <v>3603172.0</v>
      </c>
      <c r="B2284" s="1" t="s">
        <v>4862</v>
      </c>
      <c r="C2284" s="1" t="s">
        <v>4720</v>
      </c>
      <c r="D2284" s="1" t="s">
        <v>4730</v>
      </c>
      <c r="E2284" s="1" t="s">
        <v>4863</v>
      </c>
      <c r="F2284" s="1" t="s">
        <v>16</v>
      </c>
      <c r="G2284" s="1" t="s">
        <v>17</v>
      </c>
      <c r="H2284" s="1" t="s">
        <v>18</v>
      </c>
      <c r="I2284" s="1" t="s">
        <v>44</v>
      </c>
      <c r="J2284" s="1">
        <f>IFERROR(__xludf.DUMMYFUNCTION("""COMPUTED_VALUE"""),72.0)</f>
        <v>72</v>
      </c>
      <c r="K2284" s="1">
        <v>69.0</v>
      </c>
      <c r="L2284" s="1">
        <f>IFERROR(__xludf.DUMMYFUNCTION("""COMPUTED_VALUE"""),82.0)</f>
        <v>82</v>
      </c>
    </row>
    <row r="2285">
      <c r="A2285" s="1">
        <v>3671211.0</v>
      </c>
      <c r="B2285" s="1" t="s">
        <v>4864</v>
      </c>
      <c r="C2285" s="1" t="s">
        <v>4720</v>
      </c>
      <c r="D2285" s="1" t="s">
        <v>4736</v>
      </c>
      <c r="E2285" s="1" t="s">
        <v>4865</v>
      </c>
      <c r="F2285" s="1" t="s">
        <v>16</v>
      </c>
      <c r="G2285" s="1" t="s">
        <v>23</v>
      </c>
      <c r="H2285" s="1" t="s">
        <v>18</v>
      </c>
      <c r="I2285" s="1" t="s">
        <v>19</v>
      </c>
      <c r="J2285" s="1">
        <f>IFERROR(__xludf.DUMMYFUNCTION("""COMPUTED_VALUE"""),54.0)</f>
        <v>54</v>
      </c>
      <c r="K2285" s="1">
        <v>25.0</v>
      </c>
      <c r="L2285" s="1">
        <f>IFERROR(__xludf.DUMMYFUNCTION("""COMPUTED_VALUE"""),111.0)</f>
        <v>111</v>
      </c>
    </row>
    <row r="2286">
      <c r="A2286" s="1">
        <v>3671226.0</v>
      </c>
      <c r="B2286" s="1" t="s">
        <v>4866</v>
      </c>
      <c r="C2286" s="1" t="s">
        <v>4720</v>
      </c>
      <c r="D2286" s="1" t="s">
        <v>4736</v>
      </c>
      <c r="E2286" s="1" t="s">
        <v>4867</v>
      </c>
      <c r="F2286" s="1" t="s">
        <v>16</v>
      </c>
      <c r="G2286" s="1" t="s">
        <v>27</v>
      </c>
      <c r="H2286" s="1" t="s">
        <v>18</v>
      </c>
      <c r="I2286" s="1" t="s">
        <v>19</v>
      </c>
      <c r="J2286" s="1">
        <f>IFERROR(__xludf.DUMMYFUNCTION("""COMPUTED_VALUE"""),173.0)</f>
        <v>173</v>
      </c>
      <c r="K2286" s="1">
        <v>161.0</v>
      </c>
      <c r="L2286" s="1">
        <f>IFERROR(__xludf.DUMMYFUNCTION("""COMPUTED_VALUE"""),182.0)</f>
        <v>182</v>
      </c>
    </row>
    <row r="2287">
      <c r="A2287" s="1">
        <v>3674193.0</v>
      </c>
      <c r="B2287" s="1" t="s">
        <v>4868</v>
      </c>
      <c r="C2287" s="1" t="s">
        <v>4720</v>
      </c>
      <c r="D2287" s="1" t="s">
        <v>4733</v>
      </c>
      <c r="E2287" s="1" t="s">
        <v>4869</v>
      </c>
      <c r="F2287" s="1" t="s">
        <v>16</v>
      </c>
      <c r="G2287" s="1" t="s">
        <v>17</v>
      </c>
      <c r="H2287" s="1" t="s">
        <v>18</v>
      </c>
      <c r="I2287" s="1" t="s">
        <v>44</v>
      </c>
      <c r="J2287" s="1">
        <f>IFERROR(__xludf.DUMMYFUNCTION("""COMPUTED_VALUE"""),100.0)</f>
        <v>100</v>
      </c>
      <c r="K2287" s="1">
        <v>48.0</v>
      </c>
      <c r="L2287" s="1">
        <f>IFERROR(__xludf.DUMMYFUNCTION("""COMPUTED_VALUE"""),141.0)</f>
        <v>141</v>
      </c>
    </row>
    <row r="2288">
      <c r="A2288" s="1">
        <v>3673011.0</v>
      </c>
      <c r="B2288" s="1" t="s">
        <v>4870</v>
      </c>
      <c r="C2288" s="1" t="s">
        <v>4720</v>
      </c>
      <c r="D2288" s="1" t="s">
        <v>4765</v>
      </c>
      <c r="E2288" s="1" t="s">
        <v>4871</v>
      </c>
      <c r="F2288" s="1" t="s">
        <v>272</v>
      </c>
      <c r="G2288" s="1" t="s">
        <v>17</v>
      </c>
      <c r="H2288" s="1" t="s">
        <v>18</v>
      </c>
      <c r="I2288" s="1" t="s">
        <v>19</v>
      </c>
      <c r="J2288" s="1">
        <f>IFERROR(__xludf.DUMMYFUNCTION("""COMPUTED_VALUE"""),21.0)</f>
        <v>21</v>
      </c>
      <c r="K2288" s="1">
        <v>23.0</v>
      </c>
      <c r="L2288" s="1">
        <f>IFERROR(__xludf.DUMMYFUNCTION("""COMPUTED_VALUE"""),43.0)</f>
        <v>43</v>
      </c>
    </row>
    <row r="2289">
      <c r="A2289" s="1">
        <v>3673036.0</v>
      </c>
      <c r="B2289" s="1" t="s">
        <v>4872</v>
      </c>
      <c r="C2289" s="1" t="s">
        <v>4720</v>
      </c>
      <c r="D2289" s="1" t="s">
        <v>4765</v>
      </c>
      <c r="E2289" s="1" t="s">
        <v>4873</v>
      </c>
      <c r="F2289" s="1" t="s">
        <v>16</v>
      </c>
      <c r="G2289" s="1" t="s">
        <v>27</v>
      </c>
      <c r="H2289" s="1" t="s">
        <v>18</v>
      </c>
      <c r="I2289" s="1" t="s">
        <v>44</v>
      </c>
      <c r="J2289" s="1">
        <f>IFERROR(__xludf.DUMMYFUNCTION("""COMPUTED_VALUE"""),226.0)</f>
        <v>226</v>
      </c>
      <c r="K2289" s="1">
        <v>70.0</v>
      </c>
      <c r="L2289" s="1">
        <f>IFERROR(__xludf.DUMMYFUNCTION("""COMPUTED_VALUE"""),442.0)</f>
        <v>442</v>
      </c>
    </row>
    <row r="2290">
      <c r="A2290" s="1">
        <v>3603183.0</v>
      </c>
      <c r="B2290" s="1" t="s">
        <v>4874</v>
      </c>
      <c r="C2290" s="1" t="s">
        <v>4720</v>
      </c>
      <c r="D2290" s="1" t="s">
        <v>4730</v>
      </c>
      <c r="E2290" s="1" t="s">
        <v>4875</v>
      </c>
      <c r="F2290" s="1" t="s">
        <v>16</v>
      </c>
      <c r="G2290" s="1" t="s">
        <v>17</v>
      </c>
      <c r="H2290" s="1" t="s">
        <v>18</v>
      </c>
      <c r="I2290" s="1" t="s">
        <v>19</v>
      </c>
      <c r="J2290" s="1">
        <f>IFERROR(__xludf.DUMMYFUNCTION("""COMPUTED_VALUE"""),102.0)</f>
        <v>102</v>
      </c>
      <c r="K2290" s="1">
        <v>23.0</v>
      </c>
      <c r="L2290" s="1">
        <f>IFERROR(__xludf.DUMMYFUNCTION("""COMPUTED_VALUE"""),100.0)</f>
        <v>100</v>
      </c>
    </row>
    <row r="2291">
      <c r="A2291" s="1">
        <v>3673049.0</v>
      </c>
      <c r="B2291" s="1" t="s">
        <v>4876</v>
      </c>
      <c r="C2291" s="1" t="s">
        <v>4720</v>
      </c>
      <c r="D2291" s="1" t="s">
        <v>4765</v>
      </c>
      <c r="E2291" s="1" t="s">
        <v>4877</v>
      </c>
      <c r="F2291" s="1" t="s">
        <v>16</v>
      </c>
      <c r="G2291" s="1" t="s">
        <v>23</v>
      </c>
      <c r="H2291" s="1" t="s">
        <v>18</v>
      </c>
      <c r="I2291" s="1" t="s">
        <v>163</v>
      </c>
      <c r="J2291" s="1">
        <f>IFERROR(__xludf.DUMMYFUNCTION("""COMPUTED_VALUE"""),51.0)</f>
        <v>51</v>
      </c>
      <c r="K2291" s="1">
        <v>9.0</v>
      </c>
      <c r="L2291" s="1">
        <f>IFERROR(__xludf.DUMMYFUNCTION("""COMPUTED_VALUE"""),182.0)</f>
        <v>182</v>
      </c>
    </row>
    <row r="2292">
      <c r="A2292" s="1">
        <v>3602022.0</v>
      </c>
      <c r="B2292" s="1" t="s">
        <v>4878</v>
      </c>
      <c r="C2292" s="1" t="s">
        <v>4720</v>
      </c>
      <c r="D2292" s="1" t="s">
        <v>4727</v>
      </c>
      <c r="E2292" s="1" t="s">
        <v>4879</v>
      </c>
      <c r="F2292" s="1" t="s">
        <v>16</v>
      </c>
      <c r="G2292" s="1" t="s">
        <v>17</v>
      </c>
      <c r="H2292" s="1" t="s">
        <v>18</v>
      </c>
      <c r="I2292" s="1" t="s">
        <v>249</v>
      </c>
      <c r="J2292" s="1">
        <f>IFERROR(__xludf.DUMMYFUNCTION("""COMPUTED_VALUE"""),148.0)</f>
        <v>148</v>
      </c>
      <c r="K2292" s="1">
        <v>33.0</v>
      </c>
      <c r="L2292" s="1">
        <f>IFERROR(__xludf.DUMMYFUNCTION("""COMPUTED_VALUE"""),502.0)</f>
        <v>502</v>
      </c>
    </row>
    <row r="2293">
      <c r="A2293" s="1">
        <v>3674004.0</v>
      </c>
      <c r="B2293" s="1" t="s">
        <v>4880</v>
      </c>
      <c r="C2293" s="1" t="s">
        <v>4720</v>
      </c>
      <c r="D2293" s="1" t="s">
        <v>4733</v>
      </c>
      <c r="E2293" s="1" t="s">
        <v>4881</v>
      </c>
      <c r="F2293" s="1" t="s">
        <v>16</v>
      </c>
      <c r="G2293" s="1" t="s">
        <v>17</v>
      </c>
      <c r="H2293" s="1" t="s">
        <v>18</v>
      </c>
      <c r="I2293" s="1" t="s">
        <v>19</v>
      </c>
      <c r="J2293" s="1">
        <f>IFERROR(__xludf.DUMMYFUNCTION("""COMPUTED_VALUE"""),100.0)</f>
        <v>100</v>
      </c>
      <c r="K2293" s="1">
        <v>84.0</v>
      </c>
      <c r="L2293" s="1">
        <f>IFERROR(__xludf.DUMMYFUNCTION("""COMPUTED_VALUE"""),309.0)</f>
        <v>309</v>
      </c>
    </row>
    <row r="2294">
      <c r="A2294" s="1">
        <v>3671219.0</v>
      </c>
      <c r="B2294" s="1" t="s">
        <v>4882</v>
      </c>
      <c r="C2294" s="1" t="s">
        <v>4720</v>
      </c>
      <c r="D2294" s="1" t="s">
        <v>4736</v>
      </c>
      <c r="E2294" s="1" t="s">
        <v>4883</v>
      </c>
      <c r="F2294" s="1" t="s">
        <v>55</v>
      </c>
      <c r="G2294" s="1" t="s">
        <v>17</v>
      </c>
      <c r="H2294" s="1" t="s">
        <v>18</v>
      </c>
      <c r="I2294" s="1" t="s">
        <v>44</v>
      </c>
      <c r="J2294" s="1">
        <f>IFERROR(__xludf.DUMMYFUNCTION("""COMPUTED_VALUE"""),34.0)</f>
        <v>34</v>
      </c>
      <c r="K2294" s="1">
        <v>20.0</v>
      </c>
      <c r="L2294" s="1">
        <f>IFERROR(__xludf.DUMMYFUNCTION("""COMPUTED_VALUE"""),75.0)</f>
        <v>75</v>
      </c>
    </row>
    <row r="2295">
      <c r="A2295" s="1">
        <v>3671241.0</v>
      </c>
      <c r="B2295" s="1" t="s">
        <v>4884</v>
      </c>
      <c r="C2295" s="1" t="s">
        <v>4720</v>
      </c>
      <c r="D2295" s="1" t="s">
        <v>4736</v>
      </c>
      <c r="E2295" s="1" t="s">
        <v>4885</v>
      </c>
      <c r="F2295" s="1" t="s">
        <v>16</v>
      </c>
      <c r="G2295" s="1" t="s">
        <v>27</v>
      </c>
      <c r="H2295" s="1" t="s">
        <v>18</v>
      </c>
      <c r="I2295" s="1" t="s">
        <v>19</v>
      </c>
      <c r="J2295" s="1">
        <f>IFERROR(__xludf.DUMMYFUNCTION("""COMPUTED_VALUE"""),200.0)</f>
        <v>200</v>
      </c>
      <c r="K2295" s="1">
        <v>57.0</v>
      </c>
      <c r="L2295" s="1">
        <f>IFERROR(__xludf.DUMMYFUNCTION("""COMPUTED_VALUE"""),182.0)</f>
        <v>182</v>
      </c>
    </row>
    <row r="2296">
      <c r="A2296" s="1">
        <v>3674168.0</v>
      </c>
      <c r="B2296" s="1" t="s">
        <v>4886</v>
      </c>
      <c r="C2296" s="1" t="s">
        <v>4720</v>
      </c>
      <c r="D2296" s="1" t="s">
        <v>4733</v>
      </c>
      <c r="E2296" s="1" t="s">
        <v>4887</v>
      </c>
      <c r="F2296" s="1" t="s">
        <v>16</v>
      </c>
      <c r="G2296" s="1" t="s">
        <v>17</v>
      </c>
      <c r="H2296" s="1" t="s">
        <v>28</v>
      </c>
      <c r="I2296" s="1" t="s">
        <v>29</v>
      </c>
      <c r="J2296" s="1">
        <f>IFERROR(__xludf.DUMMYFUNCTION("""COMPUTED_VALUE"""),178.0)</f>
        <v>178</v>
      </c>
      <c r="K2296" s="1">
        <v>38.0</v>
      </c>
      <c r="L2296" s="1">
        <f>IFERROR(__xludf.DUMMYFUNCTION("""COMPUTED_VALUE"""),300.0)</f>
        <v>300</v>
      </c>
    </row>
    <row r="2297">
      <c r="A2297" s="1">
        <v>3671054.0</v>
      </c>
      <c r="B2297" s="1" t="s">
        <v>4888</v>
      </c>
      <c r="C2297" s="1" t="s">
        <v>4720</v>
      </c>
      <c r="D2297" s="1" t="s">
        <v>4730</v>
      </c>
      <c r="E2297" s="1" t="s">
        <v>4889</v>
      </c>
      <c r="F2297" s="1" t="s">
        <v>16</v>
      </c>
      <c r="G2297" s="1" t="s">
        <v>27</v>
      </c>
      <c r="H2297" s="1" t="s">
        <v>18</v>
      </c>
      <c r="I2297" s="1" t="s">
        <v>19</v>
      </c>
      <c r="J2297" s="1">
        <f>IFERROR(__xludf.DUMMYFUNCTION("""COMPUTED_VALUE"""),300.0)</f>
        <v>300</v>
      </c>
      <c r="K2297" s="1">
        <v>72.0</v>
      </c>
      <c r="L2297" s="1">
        <f>IFERROR(__xludf.DUMMYFUNCTION("""COMPUTED_VALUE"""),1784.0)</f>
        <v>1784</v>
      </c>
    </row>
    <row r="2298">
      <c r="A2298" s="1">
        <v>3673010.0</v>
      </c>
      <c r="B2298" s="1" t="s">
        <v>4890</v>
      </c>
      <c r="C2298" s="1" t="s">
        <v>4720</v>
      </c>
      <c r="D2298" s="1" t="s">
        <v>4765</v>
      </c>
      <c r="E2298" s="1" t="s">
        <v>4891</v>
      </c>
      <c r="F2298" s="1" t="s">
        <v>16</v>
      </c>
      <c r="G2298" s="1" t="s">
        <v>23</v>
      </c>
      <c r="H2298" s="1" t="s">
        <v>18</v>
      </c>
      <c r="I2298" s="1" t="s">
        <v>19</v>
      </c>
      <c r="J2298" s="1">
        <f>IFERROR(__xludf.DUMMYFUNCTION("""COMPUTED_VALUE"""),100.0)</f>
        <v>100</v>
      </c>
      <c r="K2298" s="1">
        <v>39.0</v>
      </c>
      <c r="L2298" s="1">
        <f>IFERROR(__xludf.DUMMYFUNCTION("""COMPUTED_VALUE"""),59.0)</f>
        <v>59</v>
      </c>
    </row>
    <row r="2299">
      <c r="A2299" s="1">
        <v>3671224.0</v>
      </c>
      <c r="B2299" s="1" t="s">
        <v>4892</v>
      </c>
      <c r="C2299" s="1" t="s">
        <v>4720</v>
      </c>
      <c r="D2299" s="1" t="s">
        <v>4736</v>
      </c>
      <c r="E2299" s="1" t="s">
        <v>4893</v>
      </c>
      <c r="F2299" s="1" t="s">
        <v>16</v>
      </c>
      <c r="G2299" s="1" t="s">
        <v>17</v>
      </c>
      <c r="H2299" s="1" t="s">
        <v>18</v>
      </c>
      <c r="I2299" s="1" t="s">
        <v>19</v>
      </c>
      <c r="J2299" s="1">
        <f>IFERROR(__xludf.DUMMYFUNCTION("""COMPUTED_VALUE"""),215.0)</f>
        <v>215</v>
      </c>
      <c r="K2299" s="1">
        <v>36.0</v>
      </c>
      <c r="L2299" s="1">
        <f>IFERROR(__xludf.DUMMYFUNCTION("""COMPUTED_VALUE"""),168.0)</f>
        <v>168</v>
      </c>
    </row>
    <row r="2300">
      <c r="A2300" s="1">
        <v>3672052.0</v>
      </c>
      <c r="B2300" s="1" t="s">
        <v>4894</v>
      </c>
      <c r="C2300" s="1" t="s">
        <v>4720</v>
      </c>
      <c r="D2300" s="1" t="s">
        <v>4721</v>
      </c>
      <c r="E2300" s="1" t="s">
        <v>4895</v>
      </c>
      <c r="F2300" s="1" t="s">
        <v>16</v>
      </c>
      <c r="G2300" s="1" t="s">
        <v>17</v>
      </c>
      <c r="H2300" s="1" t="s">
        <v>18</v>
      </c>
      <c r="I2300" s="1" t="s">
        <v>19</v>
      </c>
      <c r="J2300" s="1">
        <f>IFERROR(__xludf.DUMMYFUNCTION("""COMPUTED_VALUE"""),115.0)</f>
        <v>115</v>
      </c>
      <c r="K2300" s="1">
        <v>60.0</v>
      </c>
      <c r="L2300" s="1">
        <f>IFERROR(__xludf.DUMMYFUNCTION("""COMPUTED_VALUE"""),182.0)</f>
        <v>182</v>
      </c>
    </row>
    <row r="2301">
      <c r="A2301" s="1">
        <v>3604024.0</v>
      </c>
      <c r="B2301" s="1" t="s">
        <v>4896</v>
      </c>
      <c r="C2301" s="1" t="s">
        <v>4720</v>
      </c>
      <c r="D2301" s="1" t="s">
        <v>4765</v>
      </c>
      <c r="E2301" s="1" t="s">
        <v>4897</v>
      </c>
      <c r="F2301" s="1" t="s">
        <v>16</v>
      </c>
      <c r="G2301" s="1" t="s">
        <v>17</v>
      </c>
      <c r="H2301" s="1" t="s">
        <v>18</v>
      </c>
      <c r="I2301" s="1" t="s">
        <v>74</v>
      </c>
      <c r="J2301" s="1">
        <f>IFERROR(__xludf.DUMMYFUNCTION("""COMPUTED_VALUE"""),113.0)</f>
        <v>113</v>
      </c>
      <c r="K2301" s="1">
        <v>32.0</v>
      </c>
      <c r="L2301" s="1">
        <f>IFERROR(__xludf.DUMMYFUNCTION("""COMPUTED_VALUE"""),106.0)</f>
        <v>106</v>
      </c>
    </row>
    <row r="2302">
      <c r="A2302" s="1">
        <v>3604047.0</v>
      </c>
      <c r="B2302" s="1" t="s">
        <v>4898</v>
      </c>
      <c r="C2302" s="1" t="s">
        <v>4720</v>
      </c>
      <c r="D2302" s="1" t="s">
        <v>4724</v>
      </c>
      <c r="E2302" s="1" t="s">
        <v>4899</v>
      </c>
      <c r="F2302" s="1" t="s">
        <v>16</v>
      </c>
      <c r="G2302" s="1" t="s">
        <v>17</v>
      </c>
      <c r="H2302" s="1" t="s">
        <v>18</v>
      </c>
      <c r="I2302" s="1" t="s">
        <v>19</v>
      </c>
      <c r="J2302" s="1">
        <f>IFERROR(__xludf.DUMMYFUNCTION("""COMPUTED_VALUE"""),103.0)</f>
        <v>103</v>
      </c>
      <c r="K2302" s="1">
        <v>36.0</v>
      </c>
      <c r="L2302" s="1">
        <f>IFERROR(__xludf.DUMMYFUNCTION("""COMPUTED_VALUE"""),121.0)</f>
        <v>121</v>
      </c>
    </row>
    <row r="2303">
      <c r="A2303" s="1">
        <v>3672011.0</v>
      </c>
      <c r="B2303" s="1" t="s">
        <v>4900</v>
      </c>
      <c r="C2303" s="1" t="s">
        <v>4720</v>
      </c>
      <c r="D2303" s="1" t="s">
        <v>4721</v>
      </c>
      <c r="E2303" s="1" t="s">
        <v>4901</v>
      </c>
      <c r="F2303" s="1" t="s">
        <v>16</v>
      </c>
      <c r="G2303" s="1" t="s">
        <v>27</v>
      </c>
      <c r="H2303" s="1" t="s">
        <v>18</v>
      </c>
      <c r="I2303" s="1" t="s">
        <v>113</v>
      </c>
      <c r="J2303" s="1">
        <f>IFERROR(__xludf.DUMMYFUNCTION("""COMPUTED_VALUE"""),230.0)</f>
        <v>230</v>
      </c>
      <c r="K2303" s="1">
        <v>125.0</v>
      </c>
      <c r="L2303" s="1">
        <f>IFERROR(__xludf.DUMMYFUNCTION("""COMPUTED_VALUE"""),335.0)</f>
        <v>335</v>
      </c>
    </row>
    <row r="2304">
      <c r="A2304" s="1">
        <v>3603192.0</v>
      </c>
      <c r="B2304" s="1" t="s">
        <v>4902</v>
      </c>
      <c r="C2304" s="1" t="s">
        <v>4720</v>
      </c>
      <c r="D2304" s="1" t="s">
        <v>4730</v>
      </c>
      <c r="E2304" s="1" t="s">
        <v>4903</v>
      </c>
      <c r="F2304" s="1" t="s">
        <v>16</v>
      </c>
      <c r="G2304" s="1" t="s">
        <v>17</v>
      </c>
      <c r="H2304" s="1" t="s">
        <v>18</v>
      </c>
      <c r="I2304" s="1" t="s">
        <v>19</v>
      </c>
      <c r="J2304" s="1">
        <f>IFERROR(__xludf.DUMMYFUNCTION("""COMPUTED_VALUE"""),143.0)</f>
        <v>143</v>
      </c>
      <c r="K2304" s="1">
        <v>70.0</v>
      </c>
      <c r="L2304" s="1">
        <f>IFERROR(__xludf.DUMMYFUNCTION("""COMPUTED_VALUE"""),454.0)</f>
        <v>454</v>
      </c>
    </row>
    <row r="2305">
      <c r="A2305" s="1">
        <v>3671136.0</v>
      </c>
      <c r="B2305" s="1" t="s">
        <v>4904</v>
      </c>
      <c r="C2305" s="1" t="s">
        <v>4720</v>
      </c>
      <c r="D2305" s="1" t="s">
        <v>4736</v>
      </c>
      <c r="E2305" s="1" t="s">
        <v>4905</v>
      </c>
      <c r="F2305" s="1" t="s">
        <v>16</v>
      </c>
      <c r="G2305" s="1" t="s">
        <v>17</v>
      </c>
      <c r="H2305" s="1" t="s">
        <v>18</v>
      </c>
      <c r="I2305" s="1" t="s">
        <v>19</v>
      </c>
      <c r="J2305" s="1">
        <f>IFERROR(__xludf.DUMMYFUNCTION("""COMPUTED_VALUE"""),199.0)</f>
        <v>199</v>
      </c>
      <c r="K2305" s="1">
        <v>66.0</v>
      </c>
      <c r="L2305" s="1">
        <f>IFERROR(__xludf.DUMMYFUNCTION("""COMPUTED_VALUE"""),463.0)</f>
        <v>463</v>
      </c>
    </row>
    <row r="2306">
      <c r="A2306" s="1">
        <v>3671205.0</v>
      </c>
      <c r="B2306" s="1" t="s">
        <v>4906</v>
      </c>
      <c r="C2306" s="1" t="s">
        <v>4720</v>
      </c>
      <c r="D2306" s="1" t="s">
        <v>4736</v>
      </c>
      <c r="E2306" s="1" t="s">
        <v>4907</v>
      </c>
      <c r="F2306" s="1" t="s">
        <v>16</v>
      </c>
      <c r="G2306" s="1" t="s">
        <v>17</v>
      </c>
      <c r="H2306" s="1" t="s">
        <v>18</v>
      </c>
      <c r="I2306" s="1" t="s">
        <v>44</v>
      </c>
      <c r="J2306" s="1">
        <f>IFERROR(__xludf.DUMMYFUNCTION("""COMPUTED_VALUE"""),160.0)</f>
        <v>160</v>
      </c>
      <c r="K2306" s="1">
        <v>82.0</v>
      </c>
      <c r="L2306" s="1">
        <f>IFERROR(__xludf.DUMMYFUNCTION("""COMPUTED_VALUE"""),459.0)</f>
        <v>459</v>
      </c>
    </row>
    <row r="2307">
      <c r="A2307" s="1">
        <v>3674071.0</v>
      </c>
      <c r="B2307" s="1" t="s">
        <v>4908</v>
      </c>
      <c r="C2307" s="1" t="s">
        <v>4720</v>
      </c>
      <c r="D2307" s="1" t="s">
        <v>4733</v>
      </c>
      <c r="E2307" s="1" t="s">
        <v>4909</v>
      </c>
      <c r="F2307" s="1" t="s">
        <v>174</v>
      </c>
      <c r="G2307" s="1" t="s">
        <v>17</v>
      </c>
      <c r="H2307" s="1" t="s">
        <v>18</v>
      </c>
      <c r="I2307" s="1" t="s">
        <v>59</v>
      </c>
      <c r="J2307" s="1">
        <f>IFERROR(__xludf.DUMMYFUNCTION("""COMPUTED_VALUE"""),70.0)</f>
        <v>70</v>
      </c>
      <c r="K2307" s="1">
        <v>19.0</v>
      </c>
      <c r="L2307" s="1">
        <f>IFERROR(__xludf.DUMMYFUNCTION("""COMPUTED_VALUE"""),20.0)</f>
        <v>20</v>
      </c>
    </row>
    <row r="2308">
      <c r="A2308" s="1">
        <v>3603182.0</v>
      </c>
      <c r="B2308" s="1" t="s">
        <v>4910</v>
      </c>
      <c r="C2308" s="1" t="s">
        <v>4720</v>
      </c>
      <c r="D2308" s="1" t="s">
        <v>4736</v>
      </c>
      <c r="E2308" s="1" t="s">
        <v>4911</v>
      </c>
      <c r="F2308" s="1" t="s">
        <v>16</v>
      </c>
      <c r="G2308" s="1" t="s">
        <v>17</v>
      </c>
      <c r="H2308" s="1" t="s">
        <v>18</v>
      </c>
      <c r="I2308" s="1" t="s">
        <v>44</v>
      </c>
      <c r="J2308" s="1">
        <f>IFERROR(__xludf.DUMMYFUNCTION("""COMPUTED_VALUE"""),101.0)</f>
        <v>101</v>
      </c>
      <c r="K2308" s="1">
        <v>41.0</v>
      </c>
      <c r="L2308" s="1">
        <f>IFERROR(__xludf.DUMMYFUNCTION("""COMPUTED_VALUE"""),177.0)</f>
        <v>177</v>
      </c>
    </row>
    <row r="2309">
      <c r="A2309" s="1">
        <v>3671179.0</v>
      </c>
      <c r="B2309" s="1" t="s">
        <v>4912</v>
      </c>
      <c r="C2309" s="1" t="s">
        <v>4720</v>
      </c>
      <c r="D2309" s="1" t="s">
        <v>4730</v>
      </c>
      <c r="E2309" s="1" t="s">
        <v>4913</v>
      </c>
      <c r="F2309" s="1" t="s">
        <v>16</v>
      </c>
      <c r="G2309" s="1" t="s">
        <v>17</v>
      </c>
      <c r="H2309" s="1" t="s">
        <v>18</v>
      </c>
      <c r="I2309" s="1" t="s">
        <v>44</v>
      </c>
      <c r="J2309" s="1">
        <f>IFERROR(__xludf.DUMMYFUNCTION("""COMPUTED_VALUE"""),101.0)</f>
        <v>101</v>
      </c>
      <c r="K2309" s="1">
        <v>25.0</v>
      </c>
      <c r="L2309" s="1">
        <f>IFERROR(__xludf.DUMMYFUNCTION("""COMPUTED_VALUE"""),185.0)</f>
        <v>185</v>
      </c>
    </row>
    <row r="2310">
      <c r="A2310" s="1">
        <v>3674011.0</v>
      </c>
      <c r="B2310" s="1" t="s">
        <v>4914</v>
      </c>
      <c r="C2310" s="1" t="s">
        <v>4720</v>
      </c>
      <c r="D2310" s="1" t="s">
        <v>4733</v>
      </c>
      <c r="E2310" s="1" t="s">
        <v>4915</v>
      </c>
      <c r="F2310" s="1" t="s">
        <v>55</v>
      </c>
      <c r="G2310" s="1" t="s">
        <v>17</v>
      </c>
      <c r="H2310" s="1" t="s">
        <v>18</v>
      </c>
      <c r="I2310" s="1" t="s">
        <v>19</v>
      </c>
      <c r="J2310" s="1">
        <f>IFERROR(__xludf.DUMMYFUNCTION("""COMPUTED_VALUE"""),27.0)</f>
        <v>27</v>
      </c>
      <c r="K2310" s="1">
        <v>24.0</v>
      </c>
      <c r="L2310" s="1">
        <f>IFERROR(__xludf.DUMMYFUNCTION("""COMPUTED_VALUE"""),78.0)</f>
        <v>78</v>
      </c>
    </row>
    <row r="2311">
      <c r="A2311" s="1">
        <v>3603186.0</v>
      </c>
      <c r="B2311" s="1" t="s">
        <v>4916</v>
      </c>
      <c r="C2311" s="1" t="s">
        <v>4720</v>
      </c>
      <c r="D2311" s="1" t="s">
        <v>4736</v>
      </c>
      <c r="E2311" s="1" t="s">
        <v>4917</v>
      </c>
      <c r="F2311" s="1" t="s">
        <v>55</v>
      </c>
      <c r="G2311" s="1" t="s">
        <v>17</v>
      </c>
      <c r="H2311" s="1" t="s">
        <v>18</v>
      </c>
      <c r="I2311" s="1" t="s">
        <v>19</v>
      </c>
      <c r="J2311" s="1">
        <f>IFERROR(__xludf.DUMMYFUNCTION("""COMPUTED_VALUE"""),36.0)</f>
        <v>36</v>
      </c>
      <c r="K2311" s="1">
        <v>18.0</v>
      </c>
      <c r="L2311" s="1">
        <f>IFERROR(__xludf.DUMMYFUNCTION("""COMPUTED_VALUE"""),129.0)</f>
        <v>129</v>
      </c>
    </row>
    <row r="2312">
      <c r="A2312" s="1">
        <v>3671076.0</v>
      </c>
      <c r="B2312" s="1" t="s">
        <v>4918</v>
      </c>
      <c r="C2312" s="1" t="s">
        <v>4720</v>
      </c>
      <c r="D2312" s="1" t="s">
        <v>4736</v>
      </c>
      <c r="E2312" s="1" t="s">
        <v>4919</v>
      </c>
      <c r="F2312" s="1" t="s">
        <v>16</v>
      </c>
      <c r="G2312" s="1" t="s">
        <v>17</v>
      </c>
      <c r="H2312" s="1" t="s">
        <v>18</v>
      </c>
      <c r="I2312" s="1" t="s">
        <v>19</v>
      </c>
      <c r="J2312" s="1">
        <f>IFERROR(__xludf.DUMMYFUNCTION("""COMPUTED_VALUE"""),210.0)</f>
        <v>210</v>
      </c>
      <c r="K2312" s="1">
        <v>88.0</v>
      </c>
      <c r="L2312" s="1">
        <f>IFERROR(__xludf.DUMMYFUNCTION("""COMPUTED_VALUE"""),578.0)</f>
        <v>578</v>
      </c>
    </row>
    <row r="2313">
      <c r="A2313" s="1">
        <v>3671201.0</v>
      </c>
      <c r="B2313" s="1" t="s">
        <v>4920</v>
      </c>
      <c r="C2313" s="1" t="s">
        <v>4720</v>
      </c>
      <c r="D2313" s="1" t="s">
        <v>4733</v>
      </c>
      <c r="E2313" s="1" t="s">
        <v>4921</v>
      </c>
      <c r="F2313" s="1" t="s">
        <v>1752</v>
      </c>
      <c r="G2313" s="1" t="s">
        <v>17</v>
      </c>
      <c r="H2313" s="1" t="s">
        <v>18</v>
      </c>
      <c r="I2313" s="1" t="s">
        <v>19</v>
      </c>
      <c r="J2313" s="1">
        <f>IFERROR(__xludf.DUMMYFUNCTION("""COMPUTED_VALUE"""),23.0)</f>
        <v>23</v>
      </c>
      <c r="K2313" s="1">
        <v>23.0</v>
      </c>
      <c r="L2313" s="1">
        <f>IFERROR(__xludf.DUMMYFUNCTION("""COMPUTED_VALUE"""),67.0)</f>
        <v>67</v>
      </c>
    </row>
    <row r="2314">
      <c r="A2314" s="1">
        <v>3671210.0</v>
      </c>
      <c r="B2314" s="1" t="s">
        <v>4922</v>
      </c>
      <c r="C2314" s="1" t="s">
        <v>4720</v>
      </c>
      <c r="D2314" s="1" t="s">
        <v>4736</v>
      </c>
      <c r="E2314" s="1" t="s">
        <v>4923</v>
      </c>
      <c r="F2314" s="1" t="s">
        <v>16</v>
      </c>
      <c r="G2314" s="1" t="s">
        <v>17</v>
      </c>
      <c r="H2314" s="1" t="s">
        <v>18</v>
      </c>
      <c r="I2314" s="1" t="s">
        <v>44</v>
      </c>
      <c r="J2314" s="1">
        <f>IFERROR(__xludf.DUMMYFUNCTION("""COMPUTED_VALUE"""),109.0)</f>
        <v>109</v>
      </c>
      <c r="K2314" s="1">
        <v>46.0</v>
      </c>
      <c r="L2314" s="1">
        <f>IFERROR(__xludf.DUMMYFUNCTION("""COMPUTED_VALUE"""),240.0)</f>
        <v>240</v>
      </c>
    </row>
    <row r="2315">
      <c r="A2315" s="1">
        <v>3603185.0</v>
      </c>
      <c r="B2315" s="1" t="s">
        <v>4924</v>
      </c>
      <c r="C2315" s="1" t="s">
        <v>4720</v>
      </c>
      <c r="D2315" s="1" t="s">
        <v>4730</v>
      </c>
      <c r="E2315" s="1" t="s">
        <v>4925</v>
      </c>
      <c r="F2315" s="1" t="s">
        <v>16</v>
      </c>
      <c r="G2315" s="1" t="s">
        <v>17</v>
      </c>
      <c r="H2315" s="1" t="s">
        <v>18</v>
      </c>
      <c r="I2315" s="1" t="s">
        <v>19</v>
      </c>
      <c r="J2315" s="1">
        <f>IFERROR(__xludf.DUMMYFUNCTION("""COMPUTED_VALUE"""),128.0)</f>
        <v>128</v>
      </c>
      <c r="K2315" s="1">
        <v>60.0</v>
      </c>
      <c r="L2315" s="1">
        <f>IFERROR(__xludf.DUMMYFUNCTION("""COMPUTED_VALUE"""),333.0)</f>
        <v>333</v>
      </c>
    </row>
    <row r="2316">
      <c r="A2316" s="1">
        <v>3603177.0</v>
      </c>
      <c r="B2316" s="1" t="s">
        <v>4926</v>
      </c>
      <c r="C2316" s="1" t="s">
        <v>4720</v>
      </c>
      <c r="D2316" s="1" t="s">
        <v>4730</v>
      </c>
      <c r="E2316" s="1" t="s">
        <v>4927</v>
      </c>
      <c r="F2316" s="1" t="s">
        <v>16</v>
      </c>
      <c r="G2316" s="1" t="s">
        <v>23</v>
      </c>
      <c r="H2316" s="1" t="s">
        <v>18</v>
      </c>
      <c r="I2316" s="1" t="s">
        <v>44</v>
      </c>
      <c r="J2316" s="1">
        <f>IFERROR(__xludf.DUMMYFUNCTION("""COMPUTED_VALUE"""),64.0)</f>
        <v>64</v>
      </c>
      <c r="K2316" s="1">
        <v>19.0</v>
      </c>
      <c r="L2316" s="1">
        <f>IFERROR(__xludf.DUMMYFUNCTION("""COMPUTED_VALUE"""),56.0)</f>
        <v>56</v>
      </c>
    </row>
    <row r="2317">
      <c r="A2317" s="1">
        <v>3604052.0</v>
      </c>
      <c r="B2317" s="1" t="s">
        <v>4928</v>
      </c>
      <c r="C2317" s="1" t="s">
        <v>4720</v>
      </c>
      <c r="D2317" s="1" t="s">
        <v>4724</v>
      </c>
      <c r="E2317" s="1" t="s">
        <v>4929</v>
      </c>
      <c r="F2317" s="1" t="s">
        <v>16</v>
      </c>
      <c r="G2317" s="1" t="s">
        <v>23</v>
      </c>
      <c r="H2317" s="1" t="s">
        <v>18</v>
      </c>
      <c r="I2317" s="1" t="s">
        <v>44</v>
      </c>
      <c r="J2317" s="1">
        <f>IFERROR(__xludf.DUMMYFUNCTION("""COMPUTED_VALUE"""),50.0)</f>
        <v>50</v>
      </c>
      <c r="K2317" s="1">
        <v>15.0</v>
      </c>
      <c r="L2317" s="1">
        <f>IFERROR(__xludf.DUMMYFUNCTION("""COMPUTED_VALUE"""),39.0)</f>
        <v>39</v>
      </c>
    </row>
    <row r="2318">
      <c r="A2318" s="1">
        <v>3604046.0</v>
      </c>
      <c r="B2318" s="1" t="s">
        <v>4930</v>
      </c>
      <c r="C2318" s="1" t="s">
        <v>4720</v>
      </c>
      <c r="D2318" s="1" t="s">
        <v>4765</v>
      </c>
      <c r="E2318" s="1" t="s">
        <v>4931</v>
      </c>
      <c r="F2318" s="1" t="s">
        <v>16</v>
      </c>
      <c r="G2318" s="1" t="s">
        <v>23</v>
      </c>
      <c r="H2318" s="1" t="s">
        <v>18</v>
      </c>
      <c r="I2318" s="1" t="s">
        <v>19</v>
      </c>
      <c r="J2318" s="1">
        <f>IFERROR(__xludf.DUMMYFUNCTION("""COMPUTED_VALUE"""),52.0)</f>
        <v>52</v>
      </c>
      <c r="K2318" s="1">
        <v>16.0</v>
      </c>
      <c r="L2318" s="1">
        <f>IFERROR(__xludf.DUMMYFUNCTION("""COMPUTED_VALUE"""),182.0)</f>
        <v>182</v>
      </c>
    </row>
    <row r="2319">
      <c r="A2319" s="1">
        <v>3674006.0</v>
      </c>
      <c r="B2319" s="1" t="s">
        <v>4932</v>
      </c>
      <c r="C2319" s="1" t="s">
        <v>4720</v>
      </c>
      <c r="D2319" s="1" t="s">
        <v>4733</v>
      </c>
      <c r="E2319" s="1" t="s">
        <v>4933</v>
      </c>
      <c r="F2319" s="1" t="s">
        <v>16</v>
      </c>
      <c r="G2319" s="1" t="s">
        <v>17</v>
      </c>
      <c r="H2319" s="1" t="s">
        <v>33</v>
      </c>
      <c r="I2319" s="1" t="s">
        <v>34</v>
      </c>
      <c r="J2319" s="1">
        <f>IFERROR(__xludf.DUMMYFUNCTION("""COMPUTED_VALUE"""),100.0)</f>
        <v>100</v>
      </c>
      <c r="K2319" s="1">
        <v>60.0</v>
      </c>
      <c r="L2319" s="1">
        <f>IFERROR(__xludf.DUMMYFUNCTION("""COMPUTED_VALUE"""),306.0)</f>
        <v>306</v>
      </c>
    </row>
    <row r="2320">
      <c r="A2320" s="1">
        <v>3674015.0</v>
      </c>
      <c r="B2320" s="1" t="s">
        <v>4934</v>
      </c>
      <c r="C2320" s="1" t="s">
        <v>4720</v>
      </c>
      <c r="D2320" s="1" t="s">
        <v>4733</v>
      </c>
      <c r="E2320" s="1" t="s">
        <v>4935</v>
      </c>
      <c r="F2320" s="1" t="s">
        <v>55</v>
      </c>
      <c r="G2320" s="1" t="s">
        <v>17</v>
      </c>
      <c r="H2320" s="1" t="s">
        <v>18</v>
      </c>
      <c r="I2320" s="1" t="s">
        <v>19</v>
      </c>
      <c r="J2320" s="1">
        <f>IFERROR(__xludf.DUMMYFUNCTION("""COMPUTED_VALUE"""),51.0)</f>
        <v>51</v>
      </c>
      <c r="K2320" s="1">
        <v>18.0</v>
      </c>
      <c r="L2320" s="1">
        <f>IFERROR(__xludf.DUMMYFUNCTION("""COMPUTED_VALUE"""),93.0)</f>
        <v>93</v>
      </c>
    </row>
    <row r="2321">
      <c r="A2321" s="1">
        <v>3603196.0</v>
      </c>
      <c r="B2321" s="1" t="s">
        <v>4936</v>
      </c>
      <c r="C2321" s="1" t="s">
        <v>4720</v>
      </c>
      <c r="D2321" s="1" t="s">
        <v>4730</v>
      </c>
      <c r="E2321" s="1" t="s">
        <v>4937</v>
      </c>
      <c r="F2321" s="1" t="s">
        <v>16</v>
      </c>
      <c r="G2321" s="1" t="s">
        <v>17</v>
      </c>
      <c r="H2321" s="1" t="s">
        <v>18</v>
      </c>
      <c r="I2321" s="1" t="s">
        <v>44</v>
      </c>
      <c r="J2321" s="1">
        <f>IFERROR(__xludf.DUMMYFUNCTION("""COMPUTED_VALUE"""),105.0)</f>
        <v>105</v>
      </c>
      <c r="K2321" s="1">
        <v>36.0</v>
      </c>
      <c r="L2321" s="1">
        <f>IFERROR(__xludf.DUMMYFUNCTION("""COMPUTED_VALUE"""),43.0)</f>
        <v>43</v>
      </c>
    </row>
    <row r="2322">
      <c r="A2322" s="1">
        <v>3603146.0</v>
      </c>
      <c r="B2322" s="1" t="s">
        <v>4938</v>
      </c>
      <c r="C2322" s="1" t="s">
        <v>4720</v>
      </c>
      <c r="D2322" s="1" t="s">
        <v>4730</v>
      </c>
      <c r="E2322" s="1" t="s">
        <v>4939</v>
      </c>
      <c r="F2322" s="1" t="s">
        <v>55</v>
      </c>
      <c r="G2322" s="1" t="s">
        <v>17</v>
      </c>
      <c r="H2322" s="1" t="s">
        <v>18</v>
      </c>
      <c r="I2322" s="1" t="s">
        <v>44</v>
      </c>
      <c r="J2322" s="1">
        <f>IFERROR(__xludf.DUMMYFUNCTION("""COMPUTED_VALUE"""),44.0)</f>
        <v>44</v>
      </c>
      <c r="K2322" s="1">
        <v>16.0</v>
      </c>
      <c r="L2322" s="1">
        <f>IFERROR(__xludf.DUMMYFUNCTION("""COMPUTED_VALUE"""),66.0)</f>
        <v>66</v>
      </c>
    </row>
    <row r="2323">
      <c r="A2323" s="1">
        <v>3672034.0</v>
      </c>
      <c r="B2323" s="1" t="s">
        <v>4940</v>
      </c>
      <c r="C2323" s="1" t="s">
        <v>4720</v>
      </c>
      <c r="D2323" s="1" t="s">
        <v>4721</v>
      </c>
      <c r="E2323" s="1" t="s">
        <v>4941</v>
      </c>
      <c r="F2323" s="1" t="s">
        <v>16</v>
      </c>
      <c r="G2323" s="1" t="s">
        <v>17</v>
      </c>
      <c r="H2323" s="1" t="s">
        <v>18</v>
      </c>
      <c r="I2323" s="1" t="s">
        <v>19</v>
      </c>
      <c r="J2323" s="1">
        <f>IFERROR(__xludf.DUMMYFUNCTION("""COMPUTED_VALUE"""),120.0)</f>
        <v>120</v>
      </c>
      <c r="K2323" s="1">
        <v>32.0</v>
      </c>
      <c r="L2323" s="1">
        <f>IFERROR(__xludf.DUMMYFUNCTION("""COMPUTED_VALUE"""),219.0)</f>
        <v>219</v>
      </c>
    </row>
    <row r="2324">
      <c r="A2324" s="1">
        <v>3601010.0</v>
      </c>
      <c r="B2324" s="1" t="s">
        <v>4942</v>
      </c>
      <c r="C2324" s="1" t="s">
        <v>4720</v>
      </c>
      <c r="D2324" s="1" t="s">
        <v>4745</v>
      </c>
      <c r="E2324" s="1" t="s">
        <v>4943</v>
      </c>
      <c r="F2324" s="1" t="s">
        <v>16</v>
      </c>
      <c r="G2324" s="1" t="s">
        <v>27</v>
      </c>
      <c r="H2324" s="1" t="s">
        <v>28</v>
      </c>
      <c r="I2324" s="1" t="s">
        <v>40</v>
      </c>
      <c r="J2324" s="1">
        <f>IFERROR(__xludf.DUMMYFUNCTION("""COMPUTED_VALUE"""),201.0)</f>
        <v>201</v>
      </c>
      <c r="K2324" s="1">
        <v>58.0</v>
      </c>
      <c r="L2324" s="1">
        <f>IFERROR(__xludf.DUMMYFUNCTION("""COMPUTED_VALUE"""),253.0)</f>
        <v>253</v>
      </c>
    </row>
    <row r="2325">
      <c r="A2325" s="1">
        <v>3671223.0</v>
      </c>
      <c r="B2325" s="1" t="s">
        <v>4944</v>
      </c>
      <c r="C2325" s="1" t="s">
        <v>4720</v>
      </c>
      <c r="D2325" s="1" t="s">
        <v>4736</v>
      </c>
      <c r="E2325" s="1" t="s">
        <v>4945</v>
      </c>
      <c r="F2325" s="1" t="s">
        <v>16</v>
      </c>
      <c r="G2325" s="1" t="s">
        <v>17</v>
      </c>
      <c r="H2325" s="1" t="s">
        <v>18</v>
      </c>
      <c r="I2325" s="1" t="s">
        <v>19</v>
      </c>
      <c r="J2325" s="1">
        <f>IFERROR(__xludf.DUMMYFUNCTION("""COMPUTED_VALUE"""),100.0)</f>
        <v>100</v>
      </c>
      <c r="K2325" s="1">
        <v>31.0</v>
      </c>
      <c r="L2325" s="1">
        <f>IFERROR(__xludf.DUMMYFUNCTION("""COMPUTED_VALUE"""),201.0)</f>
        <v>201</v>
      </c>
    </row>
    <row r="2326">
      <c r="A2326" s="1">
        <v>3671202.0</v>
      </c>
      <c r="B2326" s="1" t="s">
        <v>4946</v>
      </c>
      <c r="C2326" s="1" t="s">
        <v>4720</v>
      </c>
      <c r="D2326" s="1" t="s">
        <v>4736</v>
      </c>
      <c r="E2326" s="1" t="s">
        <v>4947</v>
      </c>
      <c r="F2326" s="1" t="s">
        <v>16</v>
      </c>
      <c r="G2326" s="1" t="s">
        <v>23</v>
      </c>
      <c r="H2326" s="1" t="s">
        <v>18</v>
      </c>
      <c r="I2326" s="1" t="s">
        <v>44</v>
      </c>
      <c r="J2326" s="1">
        <f>IFERROR(__xludf.DUMMYFUNCTION("""COMPUTED_VALUE"""),62.0)</f>
        <v>62</v>
      </c>
      <c r="K2326" s="1">
        <v>51.0</v>
      </c>
      <c r="L2326" s="1">
        <f>IFERROR(__xludf.DUMMYFUNCTION("""COMPUTED_VALUE"""),82.0)</f>
        <v>82</v>
      </c>
    </row>
    <row r="2327">
      <c r="A2327" s="1">
        <v>3603210.0</v>
      </c>
      <c r="B2327" s="1" t="s">
        <v>4948</v>
      </c>
      <c r="C2327" s="1" t="s">
        <v>4720</v>
      </c>
      <c r="D2327" s="1" t="s">
        <v>4730</v>
      </c>
      <c r="E2327" s="1" t="s">
        <v>4949</v>
      </c>
      <c r="F2327" s="1" t="s">
        <v>16</v>
      </c>
      <c r="G2327" s="1" t="s">
        <v>17</v>
      </c>
      <c r="H2327" s="1" t="s">
        <v>18</v>
      </c>
      <c r="I2327" s="1" t="s">
        <v>40</v>
      </c>
      <c r="J2327" s="1">
        <f>IFERROR(__xludf.DUMMYFUNCTION("""COMPUTED_VALUE"""),117.0)</f>
        <v>117</v>
      </c>
      <c r="K2327" s="1">
        <v>16.0</v>
      </c>
      <c r="L2327" s="1">
        <f>IFERROR(__xludf.DUMMYFUNCTION("""COMPUTED_VALUE"""),182.0)</f>
        <v>182</v>
      </c>
    </row>
    <row r="2328">
      <c r="A2328" s="1">
        <v>3603093.0</v>
      </c>
      <c r="B2328" s="1" t="s">
        <v>4950</v>
      </c>
      <c r="C2328" s="1" t="s">
        <v>4720</v>
      </c>
      <c r="D2328" s="1" t="s">
        <v>4733</v>
      </c>
      <c r="E2328" s="1" t="s">
        <v>4951</v>
      </c>
      <c r="F2328" s="1" t="s">
        <v>55</v>
      </c>
      <c r="G2328" s="1" t="s">
        <v>17</v>
      </c>
      <c r="H2328" s="1" t="s">
        <v>18</v>
      </c>
      <c r="I2328" s="1" t="s">
        <v>19</v>
      </c>
      <c r="J2328" s="1">
        <f>IFERROR(__xludf.DUMMYFUNCTION("""COMPUTED_VALUE"""),29.0)</f>
        <v>29</v>
      </c>
      <c r="K2328" s="1">
        <v>24.0</v>
      </c>
      <c r="L2328" s="1">
        <f>IFERROR(__xludf.DUMMYFUNCTION("""COMPUTED_VALUE"""),78.0)</f>
        <v>78</v>
      </c>
    </row>
    <row r="2329">
      <c r="A2329" s="1">
        <v>3673005.0</v>
      </c>
      <c r="B2329" s="1" t="s">
        <v>4952</v>
      </c>
      <c r="C2329" s="1" t="s">
        <v>4720</v>
      </c>
      <c r="D2329" s="1" t="s">
        <v>4765</v>
      </c>
      <c r="E2329" s="1" t="s">
        <v>4953</v>
      </c>
      <c r="F2329" s="1" t="s">
        <v>16</v>
      </c>
      <c r="G2329" s="1" t="s">
        <v>23</v>
      </c>
      <c r="H2329" s="1" t="s">
        <v>18</v>
      </c>
      <c r="I2329" s="1" t="s">
        <v>19</v>
      </c>
      <c r="J2329" s="1">
        <f>IFERROR(__xludf.DUMMYFUNCTION("""COMPUTED_VALUE"""),65.0)</f>
        <v>65</v>
      </c>
      <c r="K2329" s="1">
        <v>28.0</v>
      </c>
      <c r="L2329" s="1">
        <f>IFERROR(__xludf.DUMMYFUNCTION("""COMPUTED_VALUE"""),51.0)</f>
        <v>51</v>
      </c>
    </row>
    <row r="2330">
      <c r="A2330" s="1">
        <v>3604053.0</v>
      </c>
      <c r="B2330" s="1" t="s">
        <v>4954</v>
      </c>
      <c r="C2330" s="1" t="s">
        <v>4720</v>
      </c>
      <c r="D2330" s="1" t="s">
        <v>4765</v>
      </c>
      <c r="E2330" s="1" t="s">
        <v>4955</v>
      </c>
      <c r="F2330" s="1" t="s">
        <v>16</v>
      </c>
      <c r="G2330" s="1" t="s">
        <v>17</v>
      </c>
      <c r="H2330" s="1" t="s">
        <v>18</v>
      </c>
      <c r="I2330" s="1" t="s">
        <v>65</v>
      </c>
      <c r="J2330" s="1">
        <f>IFERROR(__xludf.DUMMYFUNCTION("""COMPUTED_VALUE"""),104.0)</f>
        <v>104</v>
      </c>
      <c r="K2330" s="1">
        <v>23.0</v>
      </c>
      <c r="L2330" s="1">
        <f>IFERROR(__xludf.DUMMYFUNCTION("""COMPUTED_VALUE"""),93.0)</f>
        <v>93</v>
      </c>
    </row>
    <row r="2331">
      <c r="A2331" s="1">
        <v>3674102.0</v>
      </c>
      <c r="B2331" s="1" t="s">
        <v>4956</v>
      </c>
      <c r="C2331" s="1" t="s">
        <v>4720</v>
      </c>
      <c r="D2331" s="1" t="s">
        <v>4733</v>
      </c>
      <c r="E2331" s="1" t="s">
        <v>4957</v>
      </c>
      <c r="F2331" s="1" t="s">
        <v>16</v>
      </c>
      <c r="G2331" s="1" t="s">
        <v>27</v>
      </c>
      <c r="H2331" s="1" t="s">
        <v>18</v>
      </c>
      <c r="I2331" s="1" t="s">
        <v>19</v>
      </c>
      <c r="J2331" s="1">
        <f>IFERROR(__xludf.DUMMYFUNCTION("""COMPUTED_VALUE"""),215.0)</f>
        <v>215</v>
      </c>
      <c r="K2331" s="1">
        <v>138.0</v>
      </c>
      <c r="L2331" s="1">
        <f>IFERROR(__xludf.DUMMYFUNCTION("""COMPUTED_VALUE"""),805.0)</f>
        <v>805</v>
      </c>
    </row>
    <row r="2332">
      <c r="A2332" s="1">
        <v>3674171.0</v>
      </c>
      <c r="B2332" s="1" t="s">
        <v>4958</v>
      </c>
      <c r="C2332" s="1" t="s">
        <v>4720</v>
      </c>
      <c r="D2332" s="1" t="s">
        <v>4733</v>
      </c>
      <c r="E2332" s="1" t="s">
        <v>4959</v>
      </c>
      <c r="F2332" s="1" t="s">
        <v>16</v>
      </c>
      <c r="G2332" s="1" t="s">
        <v>17</v>
      </c>
      <c r="H2332" s="1" t="s">
        <v>18</v>
      </c>
      <c r="I2332" s="1" t="s">
        <v>44</v>
      </c>
      <c r="J2332" s="1">
        <f>IFERROR(__xludf.DUMMYFUNCTION("""COMPUTED_VALUE"""),110.0)</f>
        <v>110</v>
      </c>
      <c r="K2332" s="1">
        <v>37.0</v>
      </c>
      <c r="L2332" s="1">
        <f>IFERROR(__xludf.DUMMYFUNCTION("""COMPUTED_VALUE"""),163.0)</f>
        <v>163</v>
      </c>
    </row>
    <row r="2333">
      <c r="A2333" s="1">
        <v>3673035.0</v>
      </c>
      <c r="B2333" s="1" t="s">
        <v>4960</v>
      </c>
      <c r="C2333" s="1" t="s">
        <v>4720</v>
      </c>
      <c r="D2333" s="1" t="s">
        <v>4765</v>
      </c>
      <c r="E2333" s="1" t="s">
        <v>4961</v>
      </c>
      <c r="F2333" s="1" t="s">
        <v>55</v>
      </c>
      <c r="G2333" s="1" t="s">
        <v>17</v>
      </c>
      <c r="H2333" s="1" t="s">
        <v>18</v>
      </c>
      <c r="I2333" s="1" t="s">
        <v>44</v>
      </c>
      <c r="J2333" s="1">
        <f>IFERROR(__xludf.DUMMYFUNCTION("""COMPUTED_VALUE"""),37.0)</f>
        <v>37</v>
      </c>
      <c r="K2333" s="1">
        <v>13.0</v>
      </c>
      <c r="L2333" s="1">
        <f>IFERROR(__xludf.DUMMYFUNCTION("""COMPUTED_VALUE"""),62.0)</f>
        <v>62</v>
      </c>
    </row>
    <row r="2334">
      <c r="A2334" s="1">
        <v>3674018.0</v>
      </c>
      <c r="B2334" s="1" t="s">
        <v>4962</v>
      </c>
      <c r="C2334" s="1" t="s">
        <v>4720</v>
      </c>
      <c r="D2334" s="1" t="s">
        <v>4733</v>
      </c>
      <c r="E2334" s="1" t="s">
        <v>4963</v>
      </c>
      <c r="F2334" s="1" t="s">
        <v>16</v>
      </c>
      <c r="G2334" s="1" t="s">
        <v>17</v>
      </c>
      <c r="H2334" s="1" t="s">
        <v>18</v>
      </c>
      <c r="I2334" s="1" t="s">
        <v>19</v>
      </c>
      <c r="J2334" s="1">
        <f>IFERROR(__xludf.DUMMYFUNCTION("""COMPUTED_VALUE"""),125.0)</f>
        <v>125</v>
      </c>
      <c r="K2334" s="1">
        <v>114.0</v>
      </c>
      <c r="L2334" s="1">
        <f>IFERROR(__xludf.DUMMYFUNCTION("""COMPUTED_VALUE"""),340.0)</f>
        <v>340</v>
      </c>
    </row>
    <row r="2335">
      <c r="A2335" s="1">
        <v>3671225.0</v>
      </c>
      <c r="B2335" s="1" t="s">
        <v>4964</v>
      </c>
      <c r="C2335" s="1" t="s">
        <v>4720</v>
      </c>
      <c r="D2335" s="1" t="s">
        <v>4736</v>
      </c>
      <c r="E2335" s="1" t="s">
        <v>4965</v>
      </c>
      <c r="F2335" s="1" t="s">
        <v>16</v>
      </c>
      <c r="G2335" s="1" t="s">
        <v>17</v>
      </c>
      <c r="H2335" s="1" t="s">
        <v>18</v>
      </c>
      <c r="I2335" s="1" t="s">
        <v>19</v>
      </c>
      <c r="J2335" s="1">
        <f>IFERROR(__xludf.DUMMYFUNCTION("""COMPUTED_VALUE"""),100.0)</f>
        <v>100</v>
      </c>
      <c r="K2335" s="1">
        <v>29.0</v>
      </c>
      <c r="L2335" s="1">
        <f>IFERROR(__xludf.DUMMYFUNCTION("""COMPUTED_VALUE"""),70.0)</f>
        <v>70</v>
      </c>
    </row>
    <row r="2336">
      <c r="A2336" s="1">
        <v>3671021.0</v>
      </c>
      <c r="B2336" s="1" t="s">
        <v>4966</v>
      </c>
      <c r="C2336" s="1" t="s">
        <v>4720</v>
      </c>
      <c r="D2336" s="1" t="s">
        <v>4736</v>
      </c>
      <c r="E2336" s="1" t="s">
        <v>4967</v>
      </c>
      <c r="F2336" s="1" t="s">
        <v>16</v>
      </c>
      <c r="G2336" s="1" t="s">
        <v>23</v>
      </c>
      <c r="H2336" s="1" t="s">
        <v>18</v>
      </c>
      <c r="I2336" s="1" t="s">
        <v>74</v>
      </c>
      <c r="J2336" s="1">
        <f>IFERROR(__xludf.DUMMYFUNCTION("""COMPUTED_VALUE"""),50.0)</f>
        <v>50</v>
      </c>
      <c r="K2336" s="1">
        <v>14.0</v>
      </c>
      <c r="L2336" s="1">
        <f>IFERROR(__xludf.DUMMYFUNCTION("""COMPUTED_VALUE"""),84.0)</f>
        <v>84</v>
      </c>
    </row>
    <row r="2337">
      <c r="A2337" s="1">
        <v>3674007.0</v>
      </c>
      <c r="B2337" s="1" t="s">
        <v>4968</v>
      </c>
      <c r="C2337" s="1" t="s">
        <v>4720</v>
      </c>
      <c r="D2337" s="1" t="s">
        <v>4733</v>
      </c>
      <c r="E2337" s="1" t="s">
        <v>4969</v>
      </c>
      <c r="F2337" s="1" t="s">
        <v>16</v>
      </c>
      <c r="G2337" s="1" t="s">
        <v>17</v>
      </c>
      <c r="H2337" s="1" t="s">
        <v>18</v>
      </c>
      <c r="I2337" s="1" t="s">
        <v>44</v>
      </c>
      <c r="J2337" s="1">
        <f>IFERROR(__xludf.DUMMYFUNCTION("""COMPUTED_VALUE"""),196.0)</f>
        <v>196</v>
      </c>
      <c r="K2337" s="1">
        <v>69.0</v>
      </c>
      <c r="L2337" s="1">
        <f>IFERROR(__xludf.DUMMYFUNCTION("""COMPUTED_VALUE"""),343.0)</f>
        <v>343</v>
      </c>
    </row>
    <row r="2338">
      <c r="A2338" s="1">
        <v>3603175.0</v>
      </c>
      <c r="B2338" s="1" t="s">
        <v>4970</v>
      </c>
      <c r="C2338" s="1" t="s">
        <v>4720</v>
      </c>
      <c r="D2338" s="1" t="s">
        <v>4730</v>
      </c>
      <c r="E2338" s="1" t="s">
        <v>4971</v>
      </c>
      <c r="F2338" s="1" t="s">
        <v>16</v>
      </c>
      <c r="G2338" s="1" t="s">
        <v>17</v>
      </c>
      <c r="H2338" s="1" t="s">
        <v>18</v>
      </c>
      <c r="I2338" s="1" t="s">
        <v>19</v>
      </c>
      <c r="J2338" s="1">
        <f>IFERROR(__xludf.DUMMYFUNCTION("""COMPUTED_VALUE"""),109.0)</f>
        <v>109</v>
      </c>
      <c r="K2338" s="1">
        <v>39.0</v>
      </c>
      <c r="L2338" s="1">
        <f>IFERROR(__xludf.DUMMYFUNCTION("""COMPUTED_VALUE"""),86.0)</f>
        <v>86</v>
      </c>
    </row>
    <row r="2339">
      <c r="A2339" s="1">
        <v>3673048.0</v>
      </c>
      <c r="B2339" s="1" t="s">
        <v>4972</v>
      </c>
      <c r="C2339" s="1" t="s">
        <v>4720</v>
      </c>
      <c r="D2339" s="1" t="s">
        <v>4765</v>
      </c>
      <c r="E2339" s="1" t="s">
        <v>4973</v>
      </c>
      <c r="F2339" s="1" t="s">
        <v>16</v>
      </c>
      <c r="G2339" s="1" t="s">
        <v>17</v>
      </c>
      <c r="H2339" s="1" t="s">
        <v>18</v>
      </c>
      <c r="I2339" s="1" t="s">
        <v>19</v>
      </c>
      <c r="J2339" s="1">
        <f>IFERROR(__xludf.DUMMYFUNCTION("""COMPUTED_VALUE"""),162.0)</f>
        <v>162</v>
      </c>
      <c r="K2339" s="1">
        <v>34.0</v>
      </c>
      <c r="L2339" s="1">
        <f>IFERROR(__xludf.DUMMYFUNCTION("""COMPUTED_VALUE"""),182.0)</f>
        <v>182</v>
      </c>
    </row>
    <row r="2340">
      <c r="A2340" s="1">
        <v>3603115.0</v>
      </c>
      <c r="B2340" s="1" t="s">
        <v>4974</v>
      </c>
      <c r="C2340" s="1" t="s">
        <v>4720</v>
      </c>
      <c r="D2340" s="1" t="s">
        <v>4733</v>
      </c>
      <c r="E2340" s="1" t="s">
        <v>4975</v>
      </c>
      <c r="F2340" s="1" t="s">
        <v>16</v>
      </c>
      <c r="G2340" s="1" t="s">
        <v>27</v>
      </c>
      <c r="H2340" s="1" t="s">
        <v>18</v>
      </c>
      <c r="I2340" s="1" t="s">
        <v>19</v>
      </c>
      <c r="J2340" s="1">
        <f>IFERROR(__xludf.DUMMYFUNCTION("""COMPUTED_VALUE"""),202.0)</f>
        <v>202</v>
      </c>
      <c r="K2340" s="1">
        <v>122.0</v>
      </c>
      <c r="L2340" s="1">
        <f>IFERROR(__xludf.DUMMYFUNCTION("""COMPUTED_VALUE"""),217.0)</f>
        <v>217</v>
      </c>
    </row>
    <row r="2341">
      <c r="A2341" s="1">
        <v>3601036.0</v>
      </c>
      <c r="B2341" s="1" t="s">
        <v>4976</v>
      </c>
      <c r="C2341" s="1" t="s">
        <v>4720</v>
      </c>
      <c r="D2341" s="1" t="s">
        <v>4745</v>
      </c>
      <c r="E2341" s="1" t="s">
        <v>4977</v>
      </c>
      <c r="F2341" s="1" t="s">
        <v>16</v>
      </c>
      <c r="G2341" s="1" t="s">
        <v>23</v>
      </c>
      <c r="H2341" s="1" t="s">
        <v>18</v>
      </c>
      <c r="I2341" s="1" t="s">
        <v>40</v>
      </c>
      <c r="J2341" s="1">
        <f>IFERROR(__xludf.DUMMYFUNCTION("""COMPUTED_VALUE"""),63.0)</f>
        <v>63</v>
      </c>
      <c r="K2341" s="1">
        <v>17.0</v>
      </c>
      <c r="L2341" s="1">
        <f>IFERROR(__xludf.DUMMYFUNCTION("""COMPUTED_VALUE"""),102.0)</f>
        <v>102</v>
      </c>
    </row>
    <row r="2342">
      <c r="A2342" s="1">
        <v>3604066.0</v>
      </c>
      <c r="B2342" s="1" t="s">
        <v>4978</v>
      </c>
      <c r="C2342" s="1" t="s">
        <v>4720</v>
      </c>
      <c r="D2342" s="1" t="s">
        <v>4724</v>
      </c>
      <c r="E2342" s="1" t="s">
        <v>4979</v>
      </c>
      <c r="F2342" s="1" t="s">
        <v>16</v>
      </c>
      <c r="G2342" s="1" t="s">
        <v>17</v>
      </c>
      <c r="H2342" s="1" t="s">
        <v>18</v>
      </c>
      <c r="I2342" s="1" t="s">
        <v>19</v>
      </c>
      <c r="J2342" s="1">
        <f>IFERROR(__xludf.DUMMYFUNCTION("""COMPUTED_VALUE"""),118.0)</f>
        <v>118</v>
      </c>
      <c r="K2342" s="1">
        <v>66.0</v>
      </c>
      <c r="L2342" s="1">
        <f>IFERROR(__xludf.DUMMYFUNCTION("""COMPUTED_VALUE"""),182.0)</f>
        <v>182</v>
      </c>
    </row>
    <row r="2343">
      <c r="A2343" s="1">
        <v>3603180.0</v>
      </c>
      <c r="B2343" s="1" t="s">
        <v>4980</v>
      </c>
      <c r="C2343" s="1" t="s">
        <v>4720</v>
      </c>
      <c r="D2343" s="1" t="s">
        <v>4730</v>
      </c>
      <c r="E2343" s="1" t="s">
        <v>4981</v>
      </c>
      <c r="F2343" s="1" t="s">
        <v>16</v>
      </c>
      <c r="G2343" s="1" t="s">
        <v>27</v>
      </c>
      <c r="H2343" s="1" t="s">
        <v>18</v>
      </c>
      <c r="I2343" s="1" t="s">
        <v>44</v>
      </c>
      <c r="J2343" s="1">
        <f>IFERROR(__xludf.DUMMYFUNCTION("""COMPUTED_VALUE"""),201.0)</f>
        <v>201</v>
      </c>
      <c r="K2343" s="1">
        <v>78.0</v>
      </c>
      <c r="L2343" s="1">
        <f>IFERROR(__xludf.DUMMYFUNCTION("""COMPUTED_VALUE"""),533.0)</f>
        <v>533</v>
      </c>
    </row>
    <row r="2344">
      <c r="A2344" s="1">
        <v>3671124.0</v>
      </c>
      <c r="B2344" s="1" t="s">
        <v>4982</v>
      </c>
      <c r="C2344" s="1" t="s">
        <v>4720</v>
      </c>
      <c r="D2344" s="1" t="s">
        <v>4736</v>
      </c>
      <c r="E2344" s="1" t="s">
        <v>4983</v>
      </c>
      <c r="F2344" s="1" t="s">
        <v>16</v>
      </c>
      <c r="G2344" s="1" t="s">
        <v>17</v>
      </c>
      <c r="H2344" s="1" t="s">
        <v>18</v>
      </c>
      <c r="I2344" s="1" t="s">
        <v>19</v>
      </c>
      <c r="J2344" s="1">
        <f>IFERROR(__xludf.DUMMYFUNCTION("""COMPUTED_VALUE"""),101.0)</f>
        <v>101</v>
      </c>
      <c r="K2344" s="1">
        <v>36.0</v>
      </c>
      <c r="L2344" s="1">
        <f>IFERROR(__xludf.DUMMYFUNCTION("""COMPUTED_VALUE"""),286.0)</f>
        <v>286</v>
      </c>
    </row>
    <row r="2345">
      <c r="A2345" s="1">
        <v>5102021.0</v>
      </c>
      <c r="B2345" s="1" t="s">
        <v>4984</v>
      </c>
      <c r="C2345" s="1" t="s">
        <v>4985</v>
      </c>
      <c r="D2345" s="1" t="s">
        <v>4986</v>
      </c>
      <c r="E2345" s="1" t="s">
        <v>4987</v>
      </c>
      <c r="F2345" s="1" t="s">
        <v>16</v>
      </c>
      <c r="G2345" s="1" t="s">
        <v>23</v>
      </c>
      <c r="H2345" s="1" t="s">
        <v>18</v>
      </c>
      <c r="I2345" s="1" t="s">
        <v>19</v>
      </c>
      <c r="J2345" s="1">
        <f>IFERROR(__xludf.DUMMYFUNCTION("""COMPUTED_VALUE"""),50.0)</f>
        <v>50</v>
      </c>
      <c r="K2345" s="1">
        <v>30.0</v>
      </c>
      <c r="L2345" s="1">
        <f>IFERROR(__xludf.DUMMYFUNCTION("""COMPUTED_VALUE"""),167.0)</f>
        <v>167</v>
      </c>
    </row>
    <row r="2346">
      <c r="A2346" s="1">
        <v>5171086.0</v>
      </c>
      <c r="B2346" s="1" t="s">
        <v>4988</v>
      </c>
      <c r="C2346" s="1" t="s">
        <v>4985</v>
      </c>
      <c r="D2346" s="1" t="s">
        <v>4989</v>
      </c>
      <c r="E2346" s="1" t="s">
        <v>4990</v>
      </c>
      <c r="F2346" s="1" t="s">
        <v>16</v>
      </c>
      <c r="G2346" s="1" t="s">
        <v>17</v>
      </c>
      <c r="H2346" s="1" t="s">
        <v>18</v>
      </c>
      <c r="I2346" s="1" t="s">
        <v>59</v>
      </c>
      <c r="J2346" s="1">
        <f>IFERROR(__xludf.DUMMYFUNCTION("""COMPUTED_VALUE"""),125.0)</f>
        <v>125</v>
      </c>
      <c r="K2346" s="1">
        <v>45.0</v>
      </c>
      <c r="L2346" s="1">
        <f>IFERROR(__xludf.DUMMYFUNCTION("""COMPUTED_VALUE"""),349.0)</f>
        <v>349</v>
      </c>
    </row>
    <row r="2347">
      <c r="A2347" s="1">
        <v>5103036.0</v>
      </c>
      <c r="B2347" s="1" t="s">
        <v>4991</v>
      </c>
      <c r="C2347" s="1" t="s">
        <v>4985</v>
      </c>
      <c r="D2347" s="1" t="s">
        <v>4992</v>
      </c>
      <c r="E2347" s="1" t="s">
        <v>4993</v>
      </c>
      <c r="F2347" s="1" t="s">
        <v>16</v>
      </c>
      <c r="G2347" s="1" t="s">
        <v>17</v>
      </c>
      <c r="H2347" s="1" t="s">
        <v>18</v>
      </c>
      <c r="I2347" s="1" t="s">
        <v>44</v>
      </c>
      <c r="J2347" s="1">
        <f>IFERROR(__xludf.DUMMYFUNCTION("""COMPUTED_VALUE"""),152.0)</f>
        <v>152</v>
      </c>
      <c r="K2347" s="1">
        <v>35.0</v>
      </c>
      <c r="L2347" s="1">
        <f>IFERROR(__xludf.DUMMYFUNCTION("""COMPUTED_VALUE"""),185.0)</f>
        <v>185</v>
      </c>
    </row>
    <row r="2348">
      <c r="A2348" s="1">
        <v>5102046.0</v>
      </c>
      <c r="B2348" s="1" t="s">
        <v>4994</v>
      </c>
      <c r="C2348" s="1" t="s">
        <v>4985</v>
      </c>
      <c r="D2348" s="1" t="s">
        <v>4986</v>
      </c>
      <c r="E2348" s="1" t="s">
        <v>4995</v>
      </c>
      <c r="F2348" s="1" t="s">
        <v>16</v>
      </c>
      <c r="G2348" s="1" t="s">
        <v>17</v>
      </c>
      <c r="H2348" s="1" t="s">
        <v>18</v>
      </c>
      <c r="I2348" s="1" t="s">
        <v>44</v>
      </c>
      <c r="J2348" s="1">
        <f>IFERROR(__xludf.DUMMYFUNCTION("""COMPUTED_VALUE"""),102.0)</f>
        <v>102</v>
      </c>
      <c r="K2348" s="1">
        <v>51.0</v>
      </c>
      <c r="L2348" s="1">
        <f>IFERROR(__xludf.DUMMYFUNCTION("""COMPUTED_VALUE"""),248.0)</f>
        <v>248</v>
      </c>
    </row>
    <row r="2349">
      <c r="A2349" s="1">
        <v>5104039.0</v>
      </c>
      <c r="B2349" s="1" t="s">
        <v>4996</v>
      </c>
      <c r="C2349" s="1" t="s">
        <v>4985</v>
      </c>
      <c r="D2349" s="1" t="s">
        <v>4997</v>
      </c>
      <c r="E2349" s="1" t="s">
        <v>4998</v>
      </c>
      <c r="F2349" s="1" t="s">
        <v>16</v>
      </c>
      <c r="G2349" s="1" t="s">
        <v>17</v>
      </c>
      <c r="H2349" s="1" t="s">
        <v>28</v>
      </c>
      <c r="I2349" s="1" t="s">
        <v>40</v>
      </c>
      <c r="J2349" s="1">
        <f>IFERROR(__xludf.DUMMYFUNCTION("""COMPUTED_VALUE"""),113.0)</f>
        <v>113</v>
      </c>
      <c r="K2349" s="1">
        <v>24.0</v>
      </c>
      <c r="L2349" s="1">
        <f>IFERROR(__xludf.DUMMYFUNCTION("""COMPUTED_VALUE"""),182.0)</f>
        <v>182</v>
      </c>
    </row>
    <row r="2350">
      <c r="A2350" s="1">
        <v>5108031.0</v>
      </c>
      <c r="B2350" s="1" t="s">
        <v>4999</v>
      </c>
      <c r="C2350" s="1" t="s">
        <v>4985</v>
      </c>
      <c r="D2350" s="1" t="s">
        <v>5000</v>
      </c>
      <c r="E2350" s="1" t="s">
        <v>5001</v>
      </c>
      <c r="F2350" s="1" t="s">
        <v>16</v>
      </c>
      <c r="G2350" s="1" t="s">
        <v>17</v>
      </c>
      <c r="H2350" s="1" t="s">
        <v>18</v>
      </c>
      <c r="I2350" s="1" t="s">
        <v>5002</v>
      </c>
      <c r="J2350" s="1">
        <f>IFERROR(__xludf.DUMMYFUNCTION("""COMPUTED_VALUE"""),120.0)</f>
        <v>120</v>
      </c>
      <c r="K2350" s="1">
        <v>65.0</v>
      </c>
      <c r="L2350" s="1">
        <f>IFERROR(__xludf.DUMMYFUNCTION("""COMPUTED_VALUE"""),381.0)</f>
        <v>381</v>
      </c>
    </row>
    <row r="2351">
      <c r="A2351" s="1">
        <v>5171215.0</v>
      </c>
      <c r="B2351" s="1" t="s">
        <v>3971</v>
      </c>
      <c r="C2351" s="1" t="s">
        <v>4985</v>
      </c>
      <c r="D2351" s="1" t="s">
        <v>4989</v>
      </c>
      <c r="E2351" s="1" t="s">
        <v>5003</v>
      </c>
      <c r="F2351" s="1" t="s">
        <v>55</v>
      </c>
      <c r="G2351" s="1" t="s">
        <v>17</v>
      </c>
      <c r="H2351" s="1" t="s">
        <v>18</v>
      </c>
      <c r="I2351" s="1" t="s">
        <v>19</v>
      </c>
      <c r="J2351" s="1">
        <f>IFERROR(__xludf.DUMMYFUNCTION("""COMPUTED_VALUE"""),80.0)</f>
        <v>80</v>
      </c>
      <c r="K2351" s="1">
        <v>28.0</v>
      </c>
      <c r="L2351" s="1">
        <f>IFERROR(__xludf.DUMMYFUNCTION("""COMPUTED_VALUE"""),223.0)</f>
        <v>223</v>
      </c>
    </row>
    <row r="2352">
      <c r="A2352" s="1">
        <v>5104012.0</v>
      </c>
      <c r="B2352" s="1" t="s">
        <v>5004</v>
      </c>
      <c r="C2352" s="1" t="s">
        <v>4985</v>
      </c>
      <c r="D2352" s="1" t="s">
        <v>4997</v>
      </c>
      <c r="E2352" s="1" t="s">
        <v>5005</v>
      </c>
      <c r="F2352" s="1" t="s">
        <v>16</v>
      </c>
      <c r="G2352" s="1" t="s">
        <v>27</v>
      </c>
      <c r="H2352" s="1" t="s">
        <v>28</v>
      </c>
      <c r="I2352" s="1" t="s">
        <v>40</v>
      </c>
      <c r="J2352" s="1">
        <f>IFERROR(__xludf.DUMMYFUNCTION("""COMPUTED_VALUE"""),241.0)</f>
        <v>241</v>
      </c>
      <c r="K2352" s="1">
        <v>132.0</v>
      </c>
      <c r="L2352" s="1">
        <f>IFERROR(__xludf.DUMMYFUNCTION("""COMPUTED_VALUE"""),846.0)</f>
        <v>846</v>
      </c>
    </row>
    <row r="2353">
      <c r="A2353" s="1">
        <v>5104037.0</v>
      </c>
      <c r="B2353" s="1" t="s">
        <v>5006</v>
      </c>
      <c r="C2353" s="1" t="s">
        <v>4985</v>
      </c>
      <c r="D2353" s="1" t="s">
        <v>4997</v>
      </c>
      <c r="E2353" s="1" t="s">
        <v>5007</v>
      </c>
      <c r="F2353" s="1" t="s">
        <v>16</v>
      </c>
      <c r="G2353" s="1" t="s">
        <v>17</v>
      </c>
      <c r="H2353" s="1" t="s">
        <v>18</v>
      </c>
      <c r="I2353" s="1" t="s">
        <v>44</v>
      </c>
      <c r="J2353" s="1">
        <f>IFERROR(__xludf.DUMMYFUNCTION("""COMPUTED_VALUE"""),109.0)</f>
        <v>109</v>
      </c>
      <c r="K2353" s="1">
        <v>38.0</v>
      </c>
      <c r="L2353" s="1">
        <f>IFERROR(__xludf.DUMMYFUNCTION("""COMPUTED_VALUE"""),186.0)</f>
        <v>186</v>
      </c>
    </row>
    <row r="2354">
      <c r="A2354" s="1">
        <v>5102047.0</v>
      </c>
      <c r="B2354" s="1" t="s">
        <v>5008</v>
      </c>
      <c r="C2354" s="1" t="s">
        <v>4985</v>
      </c>
      <c r="D2354" s="1" t="s">
        <v>4986</v>
      </c>
      <c r="E2354" s="1" t="s">
        <v>5009</v>
      </c>
      <c r="F2354" s="1" t="s">
        <v>16</v>
      </c>
      <c r="G2354" s="1" t="s">
        <v>17</v>
      </c>
      <c r="H2354" s="1" t="s">
        <v>33</v>
      </c>
      <c r="I2354" s="1" t="s">
        <v>40</v>
      </c>
      <c r="J2354" s="1">
        <f>IFERROR(__xludf.DUMMYFUNCTION("""COMPUTED_VALUE"""),102.0)</f>
        <v>102</v>
      </c>
      <c r="K2354" s="1">
        <v>43.0</v>
      </c>
      <c r="L2354" s="1">
        <f>IFERROR(__xludf.DUMMYFUNCTION("""COMPUTED_VALUE"""),177.0)</f>
        <v>177</v>
      </c>
    </row>
    <row r="2355">
      <c r="A2355" s="1">
        <v>5171122.0</v>
      </c>
      <c r="B2355" s="1" t="s">
        <v>5010</v>
      </c>
      <c r="C2355" s="1" t="s">
        <v>4985</v>
      </c>
      <c r="D2355" s="1" t="s">
        <v>4989</v>
      </c>
      <c r="E2355" s="1" t="s">
        <v>5011</v>
      </c>
      <c r="F2355" s="1" t="s">
        <v>16</v>
      </c>
      <c r="G2355" s="1" t="s">
        <v>17</v>
      </c>
      <c r="H2355" s="1" t="s">
        <v>18</v>
      </c>
      <c r="I2355" s="1" t="s">
        <v>5002</v>
      </c>
      <c r="J2355" s="1">
        <f>IFERROR(__xludf.DUMMYFUNCTION("""COMPUTED_VALUE"""),108.0)</f>
        <v>108</v>
      </c>
      <c r="K2355" s="1">
        <v>95.0</v>
      </c>
      <c r="L2355" s="1">
        <f>IFERROR(__xludf.DUMMYFUNCTION("""COMPUTED_VALUE"""),210.0)</f>
        <v>210</v>
      </c>
    </row>
    <row r="2356">
      <c r="A2356" s="1">
        <v>5102049.0</v>
      </c>
      <c r="B2356" s="1" t="s">
        <v>5012</v>
      </c>
      <c r="C2356" s="1" t="s">
        <v>4985</v>
      </c>
      <c r="D2356" s="1" t="s">
        <v>4986</v>
      </c>
      <c r="E2356" s="1" t="s">
        <v>5013</v>
      </c>
      <c r="F2356" s="1" t="s">
        <v>16</v>
      </c>
      <c r="G2356" s="1" t="s">
        <v>17</v>
      </c>
      <c r="H2356" s="1" t="s">
        <v>18</v>
      </c>
      <c r="I2356" s="1" t="s">
        <v>44</v>
      </c>
      <c r="J2356" s="1">
        <f>IFERROR(__xludf.DUMMYFUNCTION("""COMPUTED_VALUE"""),104.0)</f>
        <v>104</v>
      </c>
      <c r="K2356" s="1">
        <v>23.0</v>
      </c>
      <c r="L2356" s="1">
        <f>IFERROR(__xludf.DUMMYFUNCTION("""COMPUTED_VALUE"""),104.0)</f>
        <v>104</v>
      </c>
    </row>
    <row r="2357">
      <c r="A2357" s="1">
        <v>5102043.0</v>
      </c>
      <c r="B2357" s="1" t="s">
        <v>5014</v>
      </c>
      <c r="C2357" s="1" t="s">
        <v>4985</v>
      </c>
      <c r="D2357" s="1" t="s">
        <v>4986</v>
      </c>
      <c r="E2357" s="1" t="s">
        <v>5015</v>
      </c>
      <c r="F2357" s="1" t="s">
        <v>16</v>
      </c>
      <c r="G2357" s="1" t="s">
        <v>23</v>
      </c>
      <c r="H2357" s="1" t="s">
        <v>18</v>
      </c>
      <c r="I2357" s="1" t="s">
        <v>19</v>
      </c>
      <c r="J2357" s="1">
        <f>IFERROR(__xludf.DUMMYFUNCTION("""COMPUTED_VALUE"""),50.0)</f>
        <v>50</v>
      </c>
      <c r="K2357" s="1">
        <v>19.0</v>
      </c>
      <c r="L2357" s="1">
        <f>IFERROR(__xludf.DUMMYFUNCTION("""COMPUTED_VALUE"""),85.0)</f>
        <v>85</v>
      </c>
    </row>
    <row r="2358">
      <c r="A2358" s="1">
        <v>5171016.0</v>
      </c>
      <c r="B2358" s="1" t="s">
        <v>5016</v>
      </c>
      <c r="C2358" s="1" t="s">
        <v>4985</v>
      </c>
      <c r="D2358" s="1" t="s">
        <v>4989</v>
      </c>
      <c r="E2358" s="1" t="s">
        <v>5017</v>
      </c>
      <c r="F2358" s="1" t="s">
        <v>16</v>
      </c>
      <c r="G2358" s="1" t="s">
        <v>150</v>
      </c>
      <c r="H2358" s="1" t="s">
        <v>33</v>
      </c>
      <c r="I2358" s="1" t="s">
        <v>411</v>
      </c>
      <c r="J2358" s="1">
        <f>IFERROR(__xludf.DUMMYFUNCTION("""COMPUTED_VALUE"""),731.0)</f>
        <v>731</v>
      </c>
      <c r="K2358" s="1">
        <v>170.0</v>
      </c>
      <c r="L2358" s="1">
        <f>IFERROR(__xludf.DUMMYFUNCTION("""COMPUTED_VALUE"""),3149.0)</f>
        <v>3149</v>
      </c>
    </row>
    <row r="2359">
      <c r="A2359" s="1">
        <v>5107017.0</v>
      </c>
      <c r="B2359" s="1" t="s">
        <v>5018</v>
      </c>
      <c r="C2359" s="1" t="s">
        <v>4985</v>
      </c>
      <c r="D2359" s="1" t="s">
        <v>5019</v>
      </c>
      <c r="E2359" s="1" t="s">
        <v>5020</v>
      </c>
      <c r="F2359" s="1" t="s">
        <v>16</v>
      </c>
      <c r="G2359" s="1" t="s">
        <v>17</v>
      </c>
      <c r="H2359" s="1" t="s">
        <v>18</v>
      </c>
      <c r="I2359" s="1" t="s">
        <v>19</v>
      </c>
      <c r="J2359" s="1">
        <f>IFERROR(__xludf.DUMMYFUNCTION("""COMPUTED_VALUE"""),158.0)</f>
        <v>158</v>
      </c>
      <c r="K2359" s="1">
        <v>34.0</v>
      </c>
      <c r="L2359" s="1">
        <f>IFERROR(__xludf.DUMMYFUNCTION("""COMPUTED_VALUE"""),226.0)</f>
        <v>226</v>
      </c>
    </row>
    <row r="2360">
      <c r="A2360" s="1">
        <v>5106014.0</v>
      </c>
      <c r="B2360" s="1" t="s">
        <v>5021</v>
      </c>
      <c r="C2360" s="1" t="s">
        <v>4985</v>
      </c>
      <c r="D2360" s="1" t="s">
        <v>5022</v>
      </c>
      <c r="E2360" s="1" t="s">
        <v>5023</v>
      </c>
      <c r="F2360" s="1" t="s">
        <v>16</v>
      </c>
      <c r="G2360" s="1" t="s">
        <v>27</v>
      </c>
      <c r="H2360" s="1" t="s">
        <v>28</v>
      </c>
      <c r="I2360" s="1" t="s">
        <v>40</v>
      </c>
      <c r="J2360" s="1">
        <f>IFERROR(__xludf.DUMMYFUNCTION("""COMPUTED_VALUE"""),223.0)</f>
        <v>223</v>
      </c>
      <c r="K2360" s="1">
        <v>107.0</v>
      </c>
      <c r="L2360" s="1">
        <f>IFERROR(__xludf.DUMMYFUNCTION("""COMPUTED_VALUE"""),612.0)</f>
        <v>612</v>
      </c>
    </row>
    <row r="2361">
      <c r="A2361" s="1">
        <v>5171220.0</v>
      </c>
      <c r="B2361" s="1" t="s">
        <v>5024</v>
      </c>
      <c r="C2361" s="1" t="s">
        <v>4985</v>
      </c>
      <c r="D2361" s="1" t="s">
        <v>4989</v>
      </c>
      <c r="E2361" s="1" t="s">
        <v>5025</v>
      </c>
      <c r="F2361" s="1" t="s">
        <v>16</v>
      </c>
      <c r="G2361" s="1" t="s">
        <v>27</v>
      </c>
      <c r="H2361" s="1" t="s">
        <v>18</v>
      </c>
      <c r="I2361" s="1" t="s">
        <v>139</v>
      </c>
      <c r="J2361" s="1">
        <f>IFERROR(__xludf.DUMMYFUNCTION("""COMPUTED_VALUE"""),238.0)</f>
        <v>238</v>
      </c>
      <c r="K2361" s="1">
        <v>72.0</v>
      </c>
      <c r="L2361" s="1">
        <f>IFERROR(__xludf.DUMMYFUNCTION("""COMPUTED_VALUE"""),126.0)</f>
        <v>126</v>
      </c>
    </row>
    <row r="2362">
      <c r="A2362" s="1">
        <v>5104036.0</v>
      </c>
      <c r="B2362" s="1" t="s">
        <v>5026</v>
      </c>
      <c r="C2362" s="1" t="s">
        <v>4985</v>
      </c>
      <c r="D2362" s="1" t="s">
        <v>4997</v>
      </c>
      <c r="E2362" s="1" t="s">
        <v>5027</v>
      </c>
      <c r="F2362" s="1" t="s">
        <v>16</v>
      </c>
      <c r="G2362" s="1" t="s">
        <v>17</v>
      </c>
      <c r="H2362" s="1" t="s">
        <v>18</v>
      </c>
      <c r="I2362" s="1" t="s">
        <v>163</v>
      </c>
      <c r="J2362" s="1">
        <f>IFERROR(__xludf.DUMMYFUNCTION("""COMPUTED_VALUE"""),102.0)</f>
        <v>102</v>
      </c>
      <c r="K2362" s="1">
        <v>33.0</v>
      </c>
      <c r="L2362" s="1">
        <f>IFERROR(__xludf.DUMMYFUNCTION("""COMPUTED_VALUE"""),291.0)</f>
        <v>291</v>
      </c>
    </row>
    <row r="2363">
      <c r="A2363" s="1">
        <v>5171155.0</v>
      </c>
      <c r="B2363" s="1" t="s">
        <v>5028</v>
      </c>
      <c r="C2363" s="1" t="s">
        <v>4985</v>
      </c>
      <c r="D2363" s="1" t="s">
        <v>4989</v>
      </c>
      <c r="E2363" s="1" t="s">
        <v>5029</v>
      </c>
      <c r="F2363" s="1" t="s">
        <v>16</v>
      </c>
      <c r="G2363" s="1" t="s">
        <v>23</v>
      </c>
      <c r="H2363" s="1" t="s">
        <v>18</v>
      </c>
      <c r="I2363" s="1" t="s">
        <v>59</v>
      </c>
      <c r="J2363" s="1">
        <f>IFERROR(__xludf.DUMMYFUNCTION("""COMPUTED_VALUE"""),58.0)</f>
        <v>58</v>
      </c>
      <c r="K2363" s="1">
        <v>33.0</v>
      </c>
      <c r="L2363" s="1">
        <f>IFERROR(__xludf.DUMMYFUNCTION("""COMPUTED_VALUE"""),153.0)</f>
        <v>153</v>
      </c>
    </row>
    <row r="2364">
      <c r="A2364" s="1">
        <v>5108075.0</v>
      </c>
      <c r="B2364" s="1" t="s">
        <v>5030</v>
      </c>
      <c r="C2364" s="1" t="s">
        <v>4985</v>
      </c>
      <c r="D2364" s="1" t="s">
        <v>5000</v>
      </c>
      <c r="E2364" s="1" t="s">
        <v>5031</v>
      </c>
      <c r="F2364" s="1" t="s">
        <v>16</v>
      </c>
      <c r="G2364" s="1" t="s">
        <v>23</v>
      </c>
      <c r="H2364" s="1" t="s">
        <v>18</v>
      </c>
      <c r="I2364" s="1" t="s">
        <v>19</v>
      </c>
      <c r="J2364" s="1">
        <f>IFERROR(__xludf.DUMMYFUNCTION("""COMPUTED_VALUE"""),50.0)</f>
        <v>50</v>
      </c>
      <c r="K2364" s="1">
        <v>20.0</v>
      </c>
      <c r="L2364" s="1">
        <f>IFERROR(__xludf.DUMMYFUNCTION("""COMPUTED_VALUE"""),104.0)</f>
        <v>104</v>
      </c>
    </row>
    <row r="2365">
      <c r="A2365" s="1">
        <v>5103038.0</v>
      </c>
      <c r="B2365" s="1" t="s">
        <v>5032</v>
      </c>
      <c r="C2365" s="1" t="s">
        <v>4985</v>
      </c>
      <c r="D2365" s="1" t="s">
        <v>4992</v>
      </c>
      <c r="E2365" s="1" t="s">
        <v>5033</v>
      </c>
      <c r="F2365" s="1" t="s">
        <v>16</v>
      </c>
      <c r="G2365" s="1" t="s">
        <v>17</v>
      </c>
      <c r="H2365" s="1" t="s">
        <v>18</v>
      </c>
      <c r="I2365" s="1" t="s">
        <v>44</v>
      </c>
      <c r="J2365" s="1">
        <f>IFERROR(__xludf.DUMMYFUNCTION("""COMPUTED_VALUE"""),104.0)</f>
        <v>104</v>
      </c>
      <c r="K2365" s="1">
        <v>34.0</v>
      </c>
      <c r="L2365" s="1">
        <f>IFERROR(__xludf.DUMMYFUNCTION("""COMPUTED_VALUE"""),51.0)</f>
        <v>51</v>
      </c>
    </row>
    <row r="2366">
      <c r="A2366" s="1">
        <v>5108064.0</v>
      </c>
      <c r="B2366" s="1" t="s">
        <v>5034</v>
      </c>
      <c r="C2366" s="1" t="s">
        <v>4985</v>
      </c>
      <c r="D2366" s="1" t="s">
        <v>5000</v>
      </c>
      <c r="E2366" s="1" t="s">
        <v>5035</v>
      </c>
      <c r="F2366" s="1" t="s">
        <v>16</v>
      </c>
      <c r="G2366" s="1" t="s">
        <v>17</v>
      </c>
      <c r="H2366" s="1" t="s">
        <v>18</v>
      </c>
      <c r="I2366" s="1" t="s">
        <v>19</v>
      </c>
      <c r="J2366" s="1">
        <f>IFERROR(__xludf.DUMMYFUNCTION("""COMPUTED_VALUE"""),109.0)</f>
        <v>109</v>
      </c>
      <c r="K2366" s="1">
        <v>35.0</v>
      </c>
      <c r="L2366" s="1">
        <f>IFERROR(__xludf.DUMMYFUNCTION("""COMPUTED_VALUE"""),98.0)</f>
        <v>98</v>
      </c>
    </row>
    <row r="2367">
      <c r="A2367" s="1">
        <v>5108080.0</v>
      </c>
      <c r="B2367" s="1" t="s">
        <v>5036</v>
      </c>
      <c r="C2367" s="1" t="s">
        <v>4985</v>
      </c>
      <c r="D2367" s="1" t="s">
        <v>5000</v>
      </c>
      <c r="E2367" s="1" t="s">
        <v>5037</v>
      </c>
      <c r="F2367" s="1" t="s">
        <v>16</v>
      </c>
      <c r="G2367" s="1" t="s">
        <v>17</v>
      </c>
      <c r="H2367" s="1" t="s">
        <v>18</v>
      </c>
      <c r="I2367" s="1" t="s">
        <v>44</v>
      </c>
      <c r="J2367" s="1">
        <f>IFERROR(__xludf.DUMMYFUNCTION("""COMPUTED_VALUE"""),101.0)</f>
        <v>101</v>
      </c>
      <c r="K2367" s="1">
        <v>38.0</v>
      </c>
      <c r="L2367" s="1">
        <f>IFERROR(__xludf.DUMMYFUNCTION("""COMPUTED_VALUE"""),299.0)</f>
        <v>299</v>
      </c>
    </row>
    <row r="2368">
      <c r="A2368" s="1">
        <v>5171216.0</v>
      </c>
      <c r="B2368" s="1" t="s">
        <v>5038</v>
      </c>
      <c r="C2368" s="1" t="s">
        <v>4985</v>
      </c>
      <c r="D2368" s="1" t="s">
        <v>4989</v>
      </c>
      <c r="E2368" s="1" t="s">
        <v>5039</v>
      </c>
      <c r="F2368" s="1" t="s">
        <v>16</v>
      </c>
      <c r="G2368" s="1" t="s">
        <v>17</v>
      </c>
      <c r="H2368" s="1" t="s">
        <v>33</v>
      </c>
      <c r="I2368" s="1" t="s">
        <v>65</v>
      </c>
      <c r="J2368" s="1">
        <f>IFERROR(__xludf.DUMMYFUNCTION("""COMPUTED_VALUE"""),102.0)</f>
        <v>102</v>
      </c>
      <c r="K2368" s="1">
        <v>104.0</v>
      </c>
      <c r="L2368" s="1">
        <f>IFERROR(__xludf.DUMMYFUNCTION("""COMPUTED_VALUE"""),313.0)</f>
        <v>313</v>
      </c>
    </row>
    <row r="2369">
      <c r="A2369" s="1">
        <v>5103034.0</v>
      </c>
      <c r="B2369" s="1" t="s">
        <v>5040</v>
      </c>
      <c r="C2369" s="1" t="s">
        <v>4985</v>
      </c>
      <c r="D2369" s="1" t="s">
        <v>4992</v>
      </c>
      <c r="E2369" s="1" t="s">
        <v>5041</v>
      </c>
      <c r="F2369" s="1" t="s">
        <v>255</v>
      </c>
      <c r="G2369" s="1" t="s">
        <v>27</v>
      </c>
      <c r="H2369" s="1" t="s">
        <v>18</v>
      </c>
      <c r="I2369" s="1" t="s">
        <v>19</v>
      </c>
      <c r="J2369" s="1">
        <f>IFERROR(__xludf.DUMMYFUNCTION("""COMPUTED_VALUE"""),68.0)</f>
        <v>68</v>
      </c>
      <c r="K2369" s="1">
        <v>55.0</v>
      </c>
      <c r="L2369" s="1">
        <f>IFERROR(__xludf.DUMMYFUNCTION("""COMPUTED_VALUE"""),173.0)</f>
        <v>173</v>
      </c>
    </row>
    <row r="2370">
      <c r="A2370" s="1">
        <v>5108091.0</v>
      </c>
      <c r="B2370" s="1" t="s">
        <v>5042</v>
      </c>
      <c r="C2370" s="1" t="s">
        <v>4985</v>
      </c>
      <c r="D2370" s="1" t="s">
        <v>5000</v>
      </c>
      <c r="E2370" s="1" t="s">
        <v>5043</v>
      </c>
      <c r="F2370" s="1" t="s">
        <v>55</v>
      </c>
      <c r="G2370" s="1" t="s">
        <v>17</v>
      </c>
      <c r="H2370" s="1" t="s">
        <v>18</v>
      </c>
      <c r="I2370" s="1" t="s">
        <v>19</v>
      </c>
      <c r="J2370" s="1">
        <f>IFERROR(__xludf.DUMMYFUNCTION("""COMPUTED_VALUE"""),28.0)</f>
        <v>28</v>
      </c>
      <c r="K2370" s="1">
        <v>22.0</v>
      </c>
      <c r="L2370" s="1">
        <f>IFERROR(__xludf.DUMMYFUNCTION("""COMPUTED_VALUE"""),182.0)</f>
        <v>182</v>
      </c>
    </row>
    <row r="2371">
      <c r="A2371" s="1">
        <v>5108079.0</v>
      </c>
      <c r="B2371" s="1" t="s">
        <v>5044</v>
      </c>
      <c r="C2371" s="1" t="s">
        <v>4985</v>
      </c>
      <c r="D2371" s="1" t="s">
        <v>5000</v>
      </c>
      <c r="E2371" s="1" t="s">
        <v>5045</v>
      </c>
      <c r="F2371" s="1" t="s">
        <v>16</v>
      </c>
      <c r="G2371" s="1" t="s">
        <v>23</v>
      </c>
      <c r="H2371" s="1" t="s">
        <v>18</v>
      </c>
      <c r="I2371" s="1" t="s">
        <v>40</v>
      </c>
      <c r="J2371" s="1">
        <f>IFERROR(__xludf.DUMMYFUNCTION("""COMPUTED_VALUE"""),50.0)</f>
        <v>50</v>
      </c>
      <c r="K2371" s="1">
        <v>14.0</v>
      </c>
      <c r="L2371" s="1">
        <f>IFERROR(__xludf.DUMMYFUNCTION("""COMPUTED_VALUE"""),144.0)</f>
        <v>144</v>
      </c>
    </row>
    <row r="2372">
      <c r="A2372" s="1">
        <v>5171235.0</v>
      </c>
      <c r="B2372" s="1" t="s">
        <v>5046</v>
      </c>
      <c r="C2372" s="1" t="s">
        <v>4985</v>
      </c>
      <c r="D2372" s="1" t="s">
        <v>4989</v>
      </c>
      <c r="E2372" s="1" t="s">
        <v>5047</v>
      </c>
      <c r="F2372" s="1" t="s">
        <v>55</v>
      </c>
      <c r="G2372" s="1" t="s">
        <v>17</v>
      </c>
      <c r="H2372" s="1" t="s">
        <v>18</v>
      </c>
      <c r="I2372" s="1" t="s">
        <v>19</v>
      </c>
      <c r="J2372" s="1">
        <f>IFERROR(__xludf.DUMMYFUNCTION("""COMPUTED_VALUE"""),60.0)</f>
        <v>60</v>
      </c>
      <c r="K2372" s="1">
        <v>52.0</v>
      </c>
      <c r="L2372" s="1">
        <f>IFERROR(__xludf.DUMMYFUNCTION("""COMPUTED_VALUE"""),182.0)</f>
        <v>182</v>
      </c>
    </row>
    <row r="2373">
      <c r="A2373" s="1">
        <v>5171031.0</v>
      </c>
      <c r="B2373" s="1" t="s">
        <v>5048</v>
      </c>
      <c r="C2373" s="1" t="s">
        <v>4985</v>
      </c>
      <c r="D2373" s="1" t="s">
        <v>4989</v>
      </c>
      <c r="E2373" s="1" t="s">
        <v>5049</v>
      </c>
      <c r="F2373" s="1" t="s">
        <v>16</v>
      </c>
      <c r="G2373" s="1" t="s">
        <v>17</v>
      </c>
      <c r="H2373" s="1" t="s">
        <v>33</v>
      </c>
      <c r="I2373" s="1" t="s">
        <v>74</v>
      </c>
      <c r="J2373" s="1">
        <f>IFERROR(__xludf.DUMMYFUNCTION("""COMPUTED_VALUE"""),157.0)</f>
        <v>157</v>
      </c>
      <c r="K2373" s="1">
        <v>58.0</v>
      </c>
      <c r="L2373" s="1">
        <f>IFERROR(__xludf.DUMMYFUNCTION("""COMPUTED_VALUE"""),552.0)</f>
        <v>552</v>
      </c>
    </row>
    <row r="2374">
      <c r="A2374" s="1">
        <v>5105016.0</v>
      </c>
      <c r="B2374" s="1" t="s">
        <v>5050</v>
      </c>
      <c r="C2374" s="1" t="s">
        <v>4985</v>
      </c>
      <c r="D2374" s="1" t="s">
        <v>5051</v>
      </c>
      <c r="E2374" s="1" t="s">
        <v>5052</v>
      </c>
      <c r="F2374" s="1" t="s">
        <v>16</v>
      </c>
      <c r="G2374" s="1" t="s">
        <v>23</v>
      </c>
      <c r="H2374" s="1" t="s">
        <v>28</v>
      </c>
      <c r="I2374" s="1" t="s">
        <v>40</v>
      </c>
      <c r="J2374" s="1">
        <f>IFERROR(__xludf.DUMMYFUNCTION("""COMPUTED_VALUE"""),50.0)</f>
        <v>50</v>
      </c>
      <c r="K2374" s="1">
        <v>20.0</v>
      </c>
      <c r="L2374" s="1">
        <f>IFERROR(__xludf.DUMMYFUNCTION("""COMPUTED_VALUE"""),134.0)</f>
        <v>134</v>
      </c>
    </row>
    <row r="2375">
      <c r="A2375" s="1">
        <v>5104034.0</v>
      </c>
      <c r="B2375" s="1" t="s">
        <v>5053</v>
      </c>
      <c r="C2375" s="1" t="s">
        <v>4985</v>
      </c>
      <c r="D2375" s="1" t="s">
        <v>4997</v>
      </c>
      <c r="E2375" s="1" t="s">
        <v>5054</v>
      </c>
      <c r="F2375" s="1" t="s">
        <v>16</v>
      </c>
      <c r="G2375" s="1" t="s">
        <v>17</v>
      </c>
      <c r="H2375" s="1" t="s">
        <v>18</v>
      </c>
      <c r="I2375" s="1" t="s">
        <v>163</v>
      </c>
      <c r="J2375" s="1">
        <f>IFERROR(__xludf.DUMMYFUNCTION("""COMPUTED_VALUE"""),109.0)</f>
        <v>109</v>
      </c>
      <c r="K2375" s="1">
        <v>63.0</v>
      </c>
      <c r="L2375" s="1">
        <f>IFERROR(__xludf.DUMMYFUNCTION("""COMPUTED_VALUE"""),310.0)</f>
        <v>310</v>
      </c>
    </row>
    <row r="2376">
      <c r="A2376" s="1">
        <v>5101016.0</v>
      </c>
      <c r="B2376" s="1" t="s">
        <v>5055</v>
      </c>
      <c r="C2376" s="1" t="s">
        <v>4985</v>
      </c>
      <c r="D2376" s="1" t="s">
        <v>5056</v>
      </c>
      <c r="E2376" s="1" t="s">
        <v>5057</v>
      </c>
      <c r="F2376" s="1" t="s">
        <v>16</v>
      </c>
      <c r="G2376" s="1" t="s">
        <v>17</v>
      </c>
      <c r="H2376" s="1" t="s">
        <v>28</v>
      </c>
      <c r="I2376" s="1" t="s">
        <v>40</v>
      </c>
      <c r="J2376" s="1">
        <f>IFERROR(__xludf.DUMMYFUNCTION("""COMPUTED_VALUE"""),161.0)</f>
        <v>161</v>
      </c>
      <c r="K2376" s="1">
        <v>35.0</v>
      </c>
      <c r="L2376" s="1">
        <f>IFERROR(__xludf.DUMMYFUNCTION("""COMPUTED_VALUE"""),479.0)</f>
        <v>479</v>
      </c>
    </row>
    <row r="2377">
      <c r="A2377" s="1">
        <v>5105017.0</v>
      </c>
      <c r="B2377" s="1" t="s">
        <v>5058</v>
      </c>
      <c r="C2377" s="1" t="s">
        <v>4985</v>
      </c>
      <c r="D2377" s="1" t="s">
        <v>5051</v>
      </c>
      <c r="E2377" s="1" t="s">
        <v>5059</v>
      </c>
      <c r="F2377" s="1" t="s">
        <v>16</v>
      </c>
      <c r="G2377" s="1" t="s">
        <v>17</v>
      </c>
      <c r="H2377" s="1" t="s">
        <v>18</v>
      </c>
      <c r="I2377" s="1" t="s">
        <v>19</v>
      </c>
      <c r="J2377" s="1">
        <f>IFERROR(__xludf.DUMMYFUNCTION("""COMPUTED_VALUE"""),112.0)</f>
        <v>112</v>
      </c>
      <c r="K2377" s="1">
        <v>64.0</v>
      </c>
      <c r="L2377" s="1">
        <f>IFERROR(__xludf.DUMMYFUNCTION("""COMPUTED_VALUE"""),30.0)</f>
        <v>30</v>
      </c>
    </row>
    <row r="2378">
      <c r="A2378" s="1">
        <v>5107015.0</v>
      </c>
      <c r="B2378" s="1" t="s">
        <v>5060</v>
      </c>
      <c r="C2378" s="1" t="s">
        <v>4985</v>
      </c>
      <c r="D2378" s="1" t="s">
        <v>5019</v>
      </c>
      <c r="E2378" s="1" t="s">
        <v>5061</v>
      </c>
      <c r="F2378" s="1" t="s">
        <v>16</v>
      </c>
      <c r="G2378" s="1" t="s">
        <v>17</v>
      </c>
      <c r="H2378" s="1" t="s">
        <v>28</v>
      </c>
      <c r="I2378" s="1" t="s">
        <v>40</v>
      </c>
      <c r="J2378" s="1">
        <f>IFERROR(__xludf.DUMMYFUNCTION("""COMPUTED_VALUE"""),193.0)</f>
        <v>193</v>
      </c>
      <c r="K2378" s="1">
        <v>42.0</v>
      </c>
      <c r="L2378" s="1">
        <f>IFERROR(__xludf.DUMMYFUNCTION("""COMPUTED_VALUE"""),524.0)</f>
        <v>524</v>
      </c>
    </row>
    <row r="2379">
      <c r="A2379" s="1">
        <v>5171181.0</v>
      </c>
      <c r="B2379" s="1" t="s">
        <v>5062</v>
      </c>
      <c r="C2379" s="1" t="s">
        <v>4985</v>
      </c>
      <c r="D2379" s="1" t="s">
        <v>4989</v>
      </c>
      <c r="E2379" s="1" t="s">
        <v>5063</v>
      </c>
      <c r="F2379" s="1" t="s">
        <v>32</v>
      </c>
      <c r="G2379" s="1" t="s">
        <v>27</v>
      </c>
      <c r="H2379" s="1" t="s">
        <v>18</v>
      </c>
      <c r="I2379" s="1" t="s">
        <v>59</v>
      </c>
      <c r="J2379" s="1">
        <f>IFERROR(__xludf.DUMMYFUNCTION("""COMPUTED_VALUE"""),17.0)</f>
        <v>17</v>
      </c>
      <c r="K2379" s="1">
        <v>21.0</v>
      </c>
      <c r="L2379" s="1">
        <f>IFERROR(__xludf.DUMMYFUNCTION("""COMPUTED_VALUE"""),95.0)</f>
        <v>95</v>
      </c>
    </row>
    <row r="2380">
      <c r="A2380" s="1">
        <v>5105015.0</v>
      </c>
      <c r="B2380" s="1" t="s">
        <v>5064</v>
      </c>
      <c r="C2380" s="1" t="s">
        <v>4985</v>
      </c>
      <c r="D2380" s="1" t="s">
        <v>5051</v>
      </c>
      <c r="E2380" s="1" t="s">
        <v>5065</v>
      </c>
      <c r="F2380" s="1" t="s">
        <v>16</v>
      </c>
      <c r="G2380" s="1" t="s">
        <v>17</v>
      </c>
      <c r="H2380" s="1" t="s">
        <v>18</v>
      </c>
      <c r="I2380" s="1" t="s">
        <v>19</v>
      </c>
      <c r="J2380" s="1">
        <f>IFERROR(__xludf.DUMMYFUNCTION("""COMPUTED_VALUE"""),119.0)</f>
        <v>119</v>
      </c>
      <c r="K2380" s="1">
        <v>58.0</v>
      </c>
      <c r="L2380" s="1">
        <f>IFERROR(__xludf.DUMMYFUNCTION("""COMPUTED_VALUE"""),191.0)</f>
        <v>191</v>
      </c>
    </row>
    <row r="2381">
      <c r="A2381" s="1">
        <v>5103053.0</v>
      </c>
      <c r="B2381" s="1" t="s">
        <v>5066</v>
      </c>
      <c r="C2381" s="1" t="s">
        <v>4985</v>
      </c>
      <c r="D2381" s="1" t="s">
        <v>4992</v>
      </c>
      <c r="E2381" s="1" t="s">
        <v>5067</v>
      </c>
      <c r="F2381" s="1" t="s">
        <v>16</v>
      </c>
      <c r="G2381" s="1" t="s">
        <v>17</v>
      </c>
      <c r="H2381" s="1" t="s">
        <v>18</v>
      </c>
      <c r="I2381" s="1" t="s">
        <v>19</v>
      </c>
      <c r="J2381" s="1">
        <f>IFERROR(__xludf.DUMMYFUNCTION("""COMPUTED_VALUE"""),94.0)</f>
        <v>94</v>
      </c>
      <c r="K2381" s="1">
        <v>27.0</v>
      </c>
      <c r="L2381" s="1">
        <f>IFERROR(__xludf.DUMMYFUNCTION("""COMPUTED_VALUE"""),182.0)</f>
        <v>182</v>
      </c>
    </row>
    <row r="2382">
      <c r="A2382" s="1">
        <v>5171097.0</v>
      </c>
      <c r="B2382" s="1" t="s">
        <v>5068</v>
      </c>
      <c r="C2382" s="1" t="s">
        <v>4985</v>
      </c>
      <c r="D2382" s="1" t="s">
        <v>4989</v>
      </c>
      <c r="E2382" s="1" t="s">
        <v>5069</v>
      </c>
      <c r="F2382" s="1" t="s">
        <v>16</v>
      </c>
      <c r="G2382" s="1" t="s">
        <v>17</v>
      </c>
      <c r="H2382" s="1" t="s">
        <v>18</v>
      </c>
      <c r="I2382" s="1" t="s">
        <v>44</v>
      </c>
      <c r="J2382" s="1">
        <f>IFERROR(__xludf.DUMMYFUNCTION("""COMPUTED_VALUE"""),110.0)</f>
        <v>110</v>
      </c>
      <c r="K2382" s="1">
        <v>43.0</v>
      </c>
      <c r="L2382" s="1">
        <f>IFERROR(__xludf.DUMMYFUNCTION("""COMPUTED_VALUE"""),524.0)</f>
        <v>524</v>
      </c>
    </row>
    <row r="2383">
      <c r="A2383" s="1">
        <v>5103033.0</v>
      </c>
      <c r="B2383" s="1" t="s">
        <v>5070</v>
      </c>
      <c r="C2383" s="1" t="s">
        <v>4985</v>
      </c>
      <c r="D2383" s="1" t="s">
        <v>4992</v>
      </c>
      <c r="E2383" s="1" t="s">
        <v>5071</v>
      </c>
      <c r="F2383" s="1" t="s">
        <v>16</v>
      </c>
      <c r="G2383" s="1" t="s">
        <v>17</v>
      </c>
      <c r="H2383" s="1" t="s">
        <v>18</v>
      </c>
      <c r="I2383" s="1" t="s">
        <v>59</v>
      </c>
      <c r="J2383" s="1">
        <f>IFERROR(__xludf.DUMMYFUNCTION("""COMPUTED_VALUE"""),102.0)</f>
        <v>102</v>
      </c>
      <c r="K2383" s="1">
        <v>15.0</v>
      </c>
      <c r="L2383" s="1">
        <f>IFERROR(__xludf.DUMMYFUNCTION("""COMPUTED_VALUE"""),163.0)</f>
        <v>163</v>
      </c>
    </row>
    <row r="2384">
      <c r="A2384" s="1">
        <v>5171064.0</v>
      </c>
      <c r="B2384" s="1" t="s">
        <v>5072</v>
      </c>
      <c r="C2384" s="1" t="s">
        <v>4985</v>
      </c>
      <c r="D2384" s="1" t="s">
        <v>4989</v>
      </c>
      <c r="E2384" s="1" t="s">
        <v>5073</v>
      </c>
      <c r="F2384" s="1" t="s">
        <v>272</v>
      </c>
      <c r="G2384" s="1" t="s">
        <v>150</v>
      </c>
      <c r="H2384" s="1" t="s">
        <v>28</v>
      </c>
      <c r="I2384" s="1" t="s">
        <v>139</v>
      </c>
      <c r="J2384" s="1">
        <f>IFERROR(__xludf.DUMMYFUNCTION("""COMPUTED_VALUE"""),40.0)</f>
        <v>40</v>
      </c>
      <c r="K2384" s="1">
        <v>30.0</v>
      </c>
      <c r="L2384" s="1">
        <f>IFERROR(__xludf.DUMMYFUNCTION("""COMPUTED_VALUE"""),260.0)</f>
        <v>260</v>
      </c>
    </row>
    <row r="2385">
      <c r="A2385" s="1">
        <v>5102010.0</v>
      </c>
      <c r="B2385" s="1" t="s">
        <v>5074</v>
      </c>
      <c r="C2385" s="1" t="s">
        <v>4985</v>
      </c>
      <c r="D2385" s="1" t="s">
        <v>4986</v>
      </c>
      <c r="E2385" s="1" t="s">
        <v>5075</v>
      </c>
      <c r="F2385" s="1" t="s">
        <v>16</v>
      </c>
      <c r="G2385" s="1" t="s">
        <v>27</v>
      </c>
      <c r="H2385" s="1" t="s">
        <v>28</v>
      </c>
      <c r="I2385" s="1" t="s">
        <v>40</v>
      </c>
      <c r="J2385" s="1">
        <f>IFERROR(__xludf.DUMMYFUNCTION("""COMPUTED_VALUE"""),202.0)</f>
        <v>202</v>
      </c>
      <c r="K2385" s="1">
        <v>122.0</v>
      </c>
      <c r="L2385" s="1">
        <f>IFERROR(__xludf.DUMMYFUNCTION("""COMPUTED_VALUE"""),1037.0)</f>
        <v>1037</v>
      </c>
    </row>
    <row r="2386">
      <c r="A2386" s="1">
        <v>5106026.0</v>
      </c>
      <c r="B2386" s="1" t="s">
        <v>5076</v>
      </c>
      <c r="C2386" s="1" t="s">
        <v>4985</v>
      </c>
      <c r="D2386" s="1" t="s">
        <v>5022</v>
      </c>
      <c r="E2386" s="1" t="s">
        <v>5077</v>
      </c>
      <c r="F2386" s="1" t="s">
        <v>16</v>
      </c>
      <c r="G2386" s="1" t="s">
        <v>17</v>
      </c>
      <c r="H2386" s="1" t="s">
        <v>18</v>
      </c>
      <c r="I2386" s="1" t="s">
        <v>44</v>
      </c>
      <c r="J2386" s="1">
        <f>IFERROR(__xludf.DUMMYFUNCTION("""COMPUTED_VALUE"""),131.0)</f>
        <v>131</v>
      </c>
      <c r="K2386" s="1">
        <v>174.0</v>
      </c>
      <c r="L2386" s="1">
        <f>IFERROR(__xludf.DUMMYFUNCTION("""COMPUTED_VALUE"""),86.0)</f>
        <v>86</v>
      </c>
    </row>
    <row r="2387">
      <c r="A2387" s="1">
        <v>5104035.0</v>
      </c>
      <c r="B2387" s="1" t="s">
        <v>5078</v>
      </c>
      <c r="C2387" s="1" t="s">
        <v>4985</v>
      </c>
      <c r="D2387" s="1" t="s">
        <v>4997</v>
      </c>
      <c r="E2387" s="1" t="s">
        <v>5079</v>
      </c>
      <c r="F2387" s="1" t="s">
        <v>16</v>
      </c>
      <c r="G2387" s="1" t="s">
        <v>17</v>
      </c>
      <c r="H2387" s="1" t="s">
        <v>18</v>
      </c>
      <c r="I2387" s="1" t="s">
        <v>44</v>
      </c>
      <c r="J2387" s="1">
        <f>IFERROR(__xludf.DUMMYFUNCTION("""COMPUTED_VALUE"""),151.0)</f>
        <v>151</v>
      </c>
      <c r="K2387" s="1">
        <v>115.0</v>
      </c>
      <c r="L2387" s="1">
        <f>IFERROR(__xludf.DUMMYFUNCTION("""COMPUTED_VALUE"""),537.0)</f>
        <v>537</v>
      </c>
    </row>
    <row r="2388">
      <c r="A2388" s="1">
        <v>5108020.0</v>
      </c>
      <c r="B2388" s="1" t="s">
        <v>5080</v>
      </c>
      <c r="C2388" s="1" t="s">
        <v>4985</v>
      </c>
      <c r="D2388" s="1" t="s">
        <v>5000</v>
      </c>
      <c r="E2388" s="1" t="s">
        <v>5081</v>
      </c>
      <c r="F2388" s="1" t="s">
        <v>16</v>
      </c>
      <c r="G2388" s="1" t="s">
        <v>23</v>
      </c>
      <c r="H2388" s="1" t="s">
        <v>18</v>
      </c>
      <c r="I2388" s="1" t="s">
        <v>74</v>
      </c>
      <c r="J2388" s="1">
        <f>IFERROR(__xludf.DUMMYFUNCTION("""COMPUTED_VALUE"""),50.0)</f>
        <v>50</v>
      </c>
      <c r="K2388" s="1">
        <v>21.0</v>
      </c>
      <c r="L2388" s="1">
        <f>IFERROR(__xludf.DUMMYFUNCTION("""COMPUTED_VALUE"""),93.0)</f>
        <v>93</v>
      </c>
    </row>
    <row r="2389">
      <c r="A2389" s="1">
        <v>5107029.0</v>
      </c>
      <c r="B2389" s="1" t="s">
        <v>5082</v>
      </c>
      <c r="C2389" s="1" t="s">
        <v>4985</v>
      </c>
      <c r="D2389" s="1" t="s">
        <v>5019</v>
      </c>
      <c r="E2389" s="1" t="s">
        <v>5083</v>
      </c>
      <c r="F2389" s="1" t="s">
        <v>16</v>
      </c>
      <c r="G2389" s="1" t="s">
        <v>17</v>
      </c>
      <c r="H2389" s="1" t="s">
        <v>18</v>
      </c>
      <c r="I2389" s="1" t="s">
        <v>19</v>
      </c>
      <c r="J2389" s="1">
        <f>IFERROR(__xludf.DUMMYFUNCTION("""COMPUTED_VALUE"""),114.0)</f>
        <v>114</v>
      </c>
      <c r="K2389" s="1">
        <v>30.0</v>
      </c>
      <c r="L2389" s="1">
        <f>IFERROR(__xludf.DUMMYFUNCTION("""COMPUTED_VALUE"""),182.0)</f>
        <v>182</v>
      </c>
    </row>
    <row r="2390">
      <c r="A2390" s="1">
        <v>5171203.0</v>
      </c>
      <c r="B2390" s="1" t="s">
        <v>5084</v>
      </c>
      <c r="C2390" s="1" t="s">
        <v>4985</v>
      </c>
      <c r="D2390" s="1" t="s">
        <v>4989</v>
      </c>
      <c r="E2390" s="1" t="s">
        <v>5085</v>
      </c>
      <c r="F2390" s="1" t="s">
        <v>16</v>
      </c>
      <c r="G2390" s="1" t="s">
        <v>17</v>
      </c>
      <c r="H2390" s="1" t="s">
        <v>18</v>
      </c>
      <c r="I2390" s="1" t="s">
        <v>19</v>
      </c>
      <c r="J2390" s="1">
        <f>IFERROR(__xludf.DUMMYFUNCTION("""COMPUTED_VALUE"""),176.0)</f>
        <v>176</v>
      </c>
      <c r="K2390" s="1">
        <v>114.0</v>
      </c>
      <c r="L2390" s="1">
        <f>IFERROR(__xludf.DUMMYFUNCTION("""COMPUTED_VALUE"""),589.0)</f>
        <v>589</v>
      </c>
    </row>
    <row r="2391">
      <c r="A2391" s="1">
        <v>5103052.0</v>
      </c>
      <c r="B2391" s="1" t="s">
        <v>5086</v>
      </c>
      <c r="C2391" s="1" t="s">
        <v>4985</v>
      </c>
      <c r="D2391" s="1" t="s">
        <v>4992</v>
      </c>
      <c r="E2391" s="1" t="s">
        <v>5087</v>
      </c>
      <c r="F2391" s="1" t="s">
        <v>16</v>
      </c>
      <c r="G2391" s="1" t="s">
        <v>17</v>
      </c>
      <c r="H2391" s="1" t="s">
        <v>18</v>
      </c>
      <c r="I2391" s="1" t="s">
        <v>19</v>
      </c>
      <c r="J2391" s="1">
        <f>IFERROR(__xludf.DUMMYFUNCTION("""COMPUTED_VALUE"""),104.0)</f>
        <v>104</v>
      </c>
      <c r="K2391" s="1">
        <v>33.0</v>
      </c>
      <c r="L2391" s="1">
        <f>IFERROR(__xludf.DUMMYFUNCTION("""COMPUTED_VALUE"""),182.0)</f>
        <v>182</v>
      </c>
    </row>
    <row r="2392">
      <c r="A2392" s="1">
        <v>5103021.0</v>
      </c>
      <c r="B2392" s="1" t="s">
        <v>5088</v>
      </c>
      <c r="C2392" s="1" t="s">
        <v>4985</v>
      </c>
      <c r="D2392" s="1" t="s">
        <v>4992</v>
      </c>
      <c r="E2392" s="1" t="s">
        <v>5089</v>
      </c>
      <c r="F2392" s="1" t="s">
        <v>255</v>
      </c>
      <c r="G2392" s="1" t="s">
        <v>17</v>
      </c>
      <c r="H2392" s="1" t="s">
        <v>18</v>
      </c>
      <c r="I2392" s="1" t="s">
        <v>19</v>
      </c>
      <c r="J2392" s="1">
        <f>IFERROR(__xludf.DUMMYFUNCTION("""COMPUTED_VALUE"""),25.0)</f>
        <v>25</v>
      </c>
      <c r="K2392" s="1">
        <v>24.0</v>
      </c>
      <c r="L2392" s="1">
        <f>IFERROR(__xludf.DUMMYFUNCTION("""COMPUTED_VALUE"""),178.0)</f>
        <v>178</v>
      </c>
    </row>
    <row r="2393">
      <c r="A2393" s="1">
        <v>5171111.0</v>
      </c>
      <c r="B2393" s="1" t="s">
        <v>3101</v>
      </c>
      <c r="C2393" s="1" t="s">
        <v>4985</v>
      </c>
      <c r="D2393" s="1" t="s">
        <v>4989</v>
      </c>
      <c r="E2393" s="1" t="s">
        <v>5090</v>
      </c>
      <c r="F2393" s="1" t="s">
        <v>16</v>
      </c>
      <c r="G2393" s="1" t="s">
        <v>17</v>
      </c>
      <c r="H2393" s="1" t="s">
        <v>18</v>
      </c>
      <c r="I2393" s="1" t="s">
        <v>59</v>
      </c>
      <c r="J2393" s="1">
        <f>IFERROR(__xludf.DUMMYFUNCTION("""COMPUTED_VALUE"""),100.0)</f>
        <v>100</v>
      </c>
      <c r="K2393" s="1">
        <v>51.0</v>
      </c>
      <c r="L2393" s="1">
        <f>IFERROR(__xludf.DUMMYFUNCTION("""COMPUTED_VALUE"""),234.0)</f>
        <v>234</v>
      </c>
    </row>
    <row r="2394">
      <c r="A2394" s="1">
        <v>5102048.0</v>
      </c>
      <c r="B2394" s="1" t="s">
        <v>5091</v>
      </c>
      <c r="C2394" s="1" t="s">
        <v>4985</v>
      </c>
      <c r="D2394" s="1" t="s">
        <v>4986</v>
      </c>
      <c r="E2394" s="1" t="s">
        <v>5092</v>
      </c>
      <c r="F2394" s="1" t="s">
        <v>16</v>
      </c>
      <c r="G2394" s="1" t="s">
        <v>23</v>
      </c>
      <c r="H2394" s="1" t="s">
        <v>18</v>
      </c>
      <c r="I2394" s="1" t="s">
        <v>19</v>
      </c>
      <c r="J2394" s="1">
        <f>IFERROR(__xludf.DUMMYFUNCTION("""COMPUTED_VALUE"""),54.0)</f>
        <v>54</v>
      </c>
      <c r="K2394" s="1">
        <v>17.0</v>
      </c>
      <c r="L2394" s="1">
        <f>IFERROR(__xludf.DUMMYFUNCTION("""COMPUTED_VALUE"""),40.0)</f>
        <v>40</v>
      </c>
    </row>
    <row r="2395">
      <c r="A2395" s="1">
        <v>5108042.0</v>
      </c>
      <c r="B2395" s="1" t="s">
        <v>5093</v>
      </c>
      <c r="C2395" s="1" t="s">
        <v>4985</v>
      </c>
      <c r="D2395" s="1" t="s">
        <v>5000</v>
      </c>
      <c r="E2395" s="1" t="s">
        <v>5094</v>
      </c>
      <c r="F2395" s="1" t="s">
        <v>16</v>
      </c>
      <c r="G2395" s="1" t="s">
        <v>17</v>
      </c>
      <c r="H2395" s="1" t="s">
        <v>18</v>
      </c>
      <c r="I2395" s="1" t="s">
        <v>59</v>
      </c>
      <c r="J2395" s="1">
        <f>IFERROR(__xludf.DUMMYFUNCTION("""COMPUTED_VALUE"""),100.0)</f>
        <v>100</v>
      </c>
      <c r="K2395" s="1">
        <v>20.0</v>
      </c>
      <c r="L2395" s="1">
        <f>IFERROR(__xludf.DUMMYFUNCTION("""COMPUTED_VALUE"""),152.0)</f>
        <v>152</v>
      </c>
    </row>
    <row r="2396">
      <c r="A2396" s="1">
        <v>5102052.0</v>
      </c>
      <c r="B2396" s="1" t="s">
        <v>5095</v>
      </c>
      <c r="C2396" s="1" t="s">
        <v>4985</v>
      </c>
      <c r="D2396" s="1" t="s">
        <v>4986</v>
      </c>
      <c r="E2396" s="1" t="s">
        <v>5096</v>
      </c>
      <c r="F2396" s="1" t="s">
        <v>55</v>
      </c>
      <c r="G2396" s="1" t="s">
        <v>17</v>
      </c>
      <c r="H2396" s="1" t="s">
        <v>18</v>
      </c>
      <c r="I2396" s="1" t="s">
        <v>44</v>
      </c>
      <c r="J2396" s="1">
        <f>IFERROR(__xludf.DUMMYFUNCTION("""COMPUTED_VALUE"""),45.0)</f>
        <v>45</v>
      </c>
      <c r="K2396" s="1">
        <v>20.0</v>
      </c>
      <c r="L2396" s="1">
        <f>IFERROR(__xludf.DUMMYFUNCTION("""COMPUTED_VALUE"""),85.0)</f>
        <v>85</v>
      </c>
    </row>
    <row r="2397">
      <c r="A2397" s="1">
        <v>5107018.0</v>
      </c>
      <c r="B2397" s="1" t="s">
        <v>5097</v>
      </c>
      <c r="C2397" s="1" t="s">
        <v>4985</v>
      </c>
      <c r="D2397" s="1" t="s">
        <v>5019</v>
      </c>
      <c r="E2397" s="1" t="s">
        <v>5098</v>
      </c>
      <c r="F2397" s="1" t="s">
        <v>16</v>
      </c>
      <c r="G2397" s="1" t="s">
        <v>98</v>
      </c>
      <c r="H2397" s="1" t="s">
        <v>18</v>
      </c>
      <c r="I2397" s="1" t="s">
        <v>40</v>
      </c>
      <c r="J2397" s="1">
        <f>IFERROR(__xludf.DUMMYFUNCTION("""COMPUTED_VALUE"""),32.0)</f>
        <v>32</v>
      </c>
      <c r="K2397" s="1">
        <v>11.0</v>
      </c>
      <c r="L2397" s="1">
        <f>IFERROR(__xludf.DUMMYFUNCTION("""COMPUTED_VALUE"""),2.0)</f>
        <v>2</v>
      </c>
    </row>
    <row r="2398">
      <c r="A2398" s="1">
        <v>5104050.0</v>
      </c>
      <c r="B2398" s="1" t="s">
        <v>5099</v>
      </c>
      <c r="C2398" s="1" t="s">
        <v>4985</v>
      </c>
      <c r="D2398" s="1" t="s">
        <v>4997</v>
      </c>
      <c r="E2398" s="1" t="s">
        <v>5100</v>
      </c>
      <c r="F2398" s="1" t="s">
        <v>16</v>
      </c>
      <c r="G2398" s="1" t="s">
        <v>23</v>
      </c>
      <c r="H2398" s="1" t="s">
        <v>18</v>
      </c>
      <c r="I2398" s="1" t="s">
        <v>19</v>
      </c>
      <c r="J2398" s="1">
        <f>IFERROR(__xludf.DUMMYFUNCTION("""COMPUTED_VALUE"""),65.0)</f>
        <v>65</v>
      </c>
      <c r="K2398" s="1">
        <v>29.0</v>
      </c>
      <c r="L2398" s="1">
        <f>IFERROR(__xludf.DUMMYFUNCTION("""COMPUTED_VALUE"""),182.0)</f>
        <v>182</v>
      </c>
    </row>
    <row r="2399">
      <c r="A2399" s="1">
        <v>5103040.0</v>
      </c>
      <c r="B2399" s="1" t="s">
        <v>5101</v>
      </c>
      <c r="C2399" s="1" t="s">
        <v>4985</v>
      </c>
      <c r="D2399" s="1" t="s">
        <v>4992</v>
      </c>
      <c r="E2399" s="1" t="s">
        <v>5102</v>
      </c>
      <c r="F2399" s="1" t="s">
        <v>16</v>
      </c>
      <c r="G2399" s="1" t="s">
        <v>27</v>
      </c>
      <c r="H2399" s="1" t="s">
        <v>18</v>
      </c>
      <c r="I2399" s="1" t="s">
        <v>34</v>
      </c>
      <c r="J2399" s="1">
        <f>IFERROR(__xludf.DUMMYFUNCTION("""COMPUTED_VALUE"""),122.0)</f>
        <v>122</v>
      </c>
      <c r="K2399" s="1">
        <v>96.0</v>
      </c>
      <c r="L2399" s="1">
        <f>IFERROR(__xludf.DUMMYFUNCTION("""COMPUTED_VALUE"""),260.0)</f>
        <v>260</v>
      </c>
    </row>
    <row r="2400">
      <c r="A2400" s="1">
        <v>5171232.0</v>
      </c>
      <c r="B2400" s="1" t="s">
        <v>5103</v>
      </c>
      <c r="C2400" s="1" t="s">
        <v>4985</v>
      </c>
      <c r="D2400" s="1" t="s">
        <v>4989</v>
      </c>
      <c r="E2400" s="1" t="s">
        <v>5104</v>
      </c>
      <c r="F2400" s="1" t="s">
        <v>55</v>
      </c>
      <c r="G2400" s="1" t="s">
        <v>17</v>
      </c>
      <c r="H2400" s="1" t="s">
        <v>18</v>
      </c>
      <c r="I2400" s="1" t="s">
        <v>19</v>
      </c>
      <c r="J2400" s="1">
        <f>IFERROR(__xludf.DUMMYFUNCTION("""COMPUTED_VALUE"""),25.0)</f>
        <v>25</v>
      </c>
      <c r="K2400" s="1">
        <v>37.0</v>
      </c>
      <c r="L2400" s="1">
        <f>IFERROR(__xludf.DUMMYFUNCTION("""COMPUTED_VALUE"""),182.0)</f>
        <v>182</v>
      </c>
    </row>
    <row r="2401">
      <c r="A2401" s="1">
        <v>5105013.0</v>
      </c>
      <c r="B2401" s="1" t="s">
        <v>5105</v>
      </c>
      <c r="C2401" s="1" t="s">
        <v>4985</v>
      </c>
      <c r="D2401" s="1" t="s">
        <v>5051</v>
      </c>
      <c r="E2401" s="1" t="s">
        <v>5106</v>
      </c>
      <c r="F2401" s="1" t="s">
        <v>16</v>
      </c>
      <c r="G2401" s="1" t="s">
        <v>27</v>
      </c>
      <c r="H2401" s="1" t="s">
        <v>28</v>
      </c>
      <c r="I2401" s="1" t="s">
        <v>40</v>
      </c>
      <c r="J2401" s="1">
        <f>IFERROR(__xludf.DUMMYFUNCTION("""COMPUTED_VALUE"""),247.0)</f>
        <v>247</v>
      </c>
      <c r="K2401" s="1">
        <v>92.0</v>
      </c>
      <c r="L2401" s="1">
        <f>IFERROR(__xludf.DUMMYFUNCTION("""COMPUTED_VALUE"""),740.0)</f>
        <v>740</v>
      </c>
    </row>
    <row r="2402">
      <c r="A2402" s="1">
        <v>5101055.0</v>
      </c>
      <c r="B2402" s="1" t="s">
        <v>5107</v>
      </c>
      <c r="C2402" s="1" t="s">
        <v>4985</v>
      </c>
      <c r="D2402" s="1" t="s">
        <v>5056</v>
      </c>
      <c r="E2402" s="1" t="s">
        <v>5108</v>
      </c>
      <c r="F2402" s="1" t="s">
        <v>16</v>
      </c>
      <c r="G2402" s="1" t="s">
        <v>17</v>
      </c>
      <c r="H2402" s="1" t="s">
        <v>18</v>
      </c>
      <c r="I2402" s="1" t="s">
        <v>19</v>
      </c>
      <c r="J2402" s="1">
        <f>IFERROR(__xludf.DUMMYFUNCTION("""COMPUTED_VALUE"""),100.0)</f>
        <v>100</v>
      </c>
      <c r="K2402" s="1">
        <v>40.0</v>
      </c>
      <c r="L2402" s="1">
        <f>IFERROR(__xludf.DUMMYFUNCTION("""COMPUTED_VALUE"""),229.0)</f>
        <v>229</v>
      </c>
    </row>
    <row r="2403">
      <c r="A2403" s="1">
        <v>5171133.0</v>
      </c>
      <c r="B2403" s="1" t="s">
        <v>5109</v>
      </c>
      <c r="C2403" s="1" t="s">
        <v>4985</v>
      </c>
      <c r="D2403" s="1" t="s">
        <v>4989</v>
      </c>
      <c r="E2403" s="1" t="s">
        <v>5110</v>
      </c>
      <c r="F2403" s="1" t="s">
        <v>16</v>
      </c>
      <c r="G2403" s="1" t="s">
        <v>17</v>
      </c>
      <c r="H2403" s="1" t="s">
        <v>18</v>
      </c>
      <c r="I2403" s="1" t="s">
        <v>59</v>
      </c>
      <c r="J2403" s="1">
        <f>IFERROR(__xludf.DUMMYFUNCTION("""COMPUTED_VALUE"""),100.0)</f>
        <v>100</v>
      </c>
      <c r="K2403" s="1">
        <v>70.0</v>
      </c>
      <c r="L2403" s="1">
        <f>IFERROR(__xludf.DUMMYFUNCTION("""COMPUTED_VALUE"""),387.0)</f>
        <v>387</v>
      </c>
    </row>
    <row r="2404">
      <c r="A2404" s="1">
        <v>5171219.0</v>
      </c>
      <c r="B2404" s="1" t="s">
        <v>5111</v>
      </c>
      <c r="C2404" s="1" t="s">
        <v>4985</v>
      </c>
      <c r="D2404" s="1" t="s">
        <v>4989</v>
      </c>
      <c r="E2404" s="1" t="s">
        <v>5112</v>
      </c>
      <c r="F2404" s="1" t="s">
        <v>55</v>
      </c>
      <c r="G2404" s="1" t="s">
        <v>17</v>
      </c>
      <c r="H2404" s="1" t="s">
        <v>18</v>
      </c>
      <c r="I2404" s="1" t="s">
        <v>19</v>
      </c>
      <c r="J2404" s="1">
        <f>IFERROR(__xludf.DUMMYFUNCTION("""COMPUTED_VALUE"""),33.0)</f>
        <v>33</v>
      </c>
      <c r="K2404" s="1">
        <v>12.0</v>
      </c>
      <c r="L2404" s="1">
        <f>IFERROR(__xludf.DUMMYFUNCTION("""COMPUTED_VALUE"""),83.0)</f>
        <v>83</v>
      </c>
    </row>
    <row r="2405">
      <c r="A2405" s="1">
        <v>5103032.0</v>
      </c>
      <c r="B2405" s="1" t="s">
        <v>5113</v>
      </c>
      <c r="C2405" s="1" t="s">
        <v>4985</v>
      </c>
      <c r="D2405" s="1" t="s">
        <v>4992</v>
      </c>
      <c r="E2405" s="1" t="s">
        <v>5114</v>
      </c>
      <c r="F2405" s="1" t="s">
        <v>16</v>
      </c>
      <c r="G2405" s="1" t="s">
        <v>27</v>
      </c>
      <c r="H2405" s="1" t="s">
        <v>33</v>
      </c>
      <c r="I2405" s="1" t="s">
        <v>40</v>
      </c>
      <c r="J2405" s="1">
        <f>IFERROR(__xludf.DUMMYFUNCTION("""COMPUTED_VALUE"""),228.0)</f>
        <v>228</v>
      </c>
      <c r="K2405" s="1">
        <v>128.0</v>
      </c>
      <c r="L2405" s="1">
        <f>IFERROR(__xludf.DUMMYFUNCTION("""COMPUTED_VALUE"""),1049.0)</f>
        <v>1049</v>
      </c>
    </row>
    <row r="2406">
      <c r="A2406" s="1">
        <v>5103041.0</v>
      </c>
      <c r="B2406" s="1" t="s">
        <v>5115</v>
      </c>
      <c r="C2406" s="1" t="s">
        <v>4985</v>
      </c>
      <c r="D2406" s="1" t="s">
        <v>4992</v>
      </c>
      <c r="E2406" s="1" t="s">
        <v>5116</v>
      </c>
      <c r="F2406" s="1" t="s">
        <v>16</v>
      </c>
      <c r="G2406" s="1" t="s">
        <v>17</v>
      </c>
      <c r="H2406" s="1" t="s">
        <v>18</v>
      </c>
      <c r="I2406" s="1" t="s">
        <v>44</v>
      </c>
      <c r="J2406" s="1">
        <f>IFERROR(__xludf.DUMMYFUNCTION("""COMPUTED_VALUE"""),110.0)</f>
        <v>110</v>
      </c>
      <c r="K2406" s="1">
        <v>44.0</v>
      </c>
      <c r="L2406" s="1">
        <f>IFERROR(__xludf.DUMMYFUNCTION("""COMPUTED_VALUE"""),32.0)</f>
        <v>32</v>
      </c>
    </row>
    <row r="2407">
      <c r="A2407" s="1">
        <v>5171020.0</v>
      </c>
      <c r="B2407" s="1" t="s">
        <v>5117</v>
      </c>
      <c r="C2407" s="1" t="s">
        <v>4985</v>
      </c>
      <c r="D2407" s="1" t="s">
        <v>4989</v>
      </c>
      <c r="E2407" s="1" t="s">
        <v>5118</v>
      </c>
      <c r="F2407" s="1" t="s">
        <v>16</v>
      </c>
      <c r="G2407" s="1" t="s">
        <v>27</v>
      </c>
      <c r="H2407" s="1" t="s">
        <v>28</v>
      </c>
      <c r="I2407" s="1" t="s">
        <v>29</v>
      </c>
      <c r="J2407" s="1">
        <f>IFERROR(__xludf.DUMMYFUNCTION("""COMPUTED_VALUE"""),244.0)</f>
        <v>244</v>
      </c>
      <c r="K2407" s="1">
        <v>58.0</v>
      </c>
      <c r="L2407" s="1">
        <f>IFERROR(__xludf.DUMMYFUNCTION("""COMPUTED_VALUE"""),768.0)</f>
        <v>768</v>
      </c>
    </row>
    <row r="2408">
      <c r="A2408" s="1">
        <v>5171221.0</v>
      </c>
      <c r="B2408" s="1" t="s">
        <v>5119</v>
      </c>
      <c r="C2408" s="1" t="s">
        <v>4985</v>
      </c>
      <c r="D2408" s="1" t="s">
        <v>4989</v>
      </c>
      <c r="E2408" s="1" t="s">
        <v>5120</v>
      </c>
      <c r="F2408" s="1" t="s">
        <v>272</v>
      </c>
      <c r="G2408" s="1" t="s">
        <v>17</v>
      </c>
      <c r="H2408" s="1" t="s">
        <v>18</v>
      </c>
      <c r="I2408" s="1" t="s">
        <v>44</v>
      </c>
      <c r="J2408" s="1">
        <f>IFERROR(__xludf.DUMMYFUNCTION("""COMPUTED_VALUE"""),15.0)</f>
        <v>15</v>
      </c>
      <c r="K2408" s="1">
        <v>28.0</v>
      </c>
      <c r="L2408" s="1">
        <f>IFERROR(__xludf.DUMMYFUNCTION("""COMPUTED_VALUE"""),76.0)</f>
        <v>76</v>
      </c>
    </row>
    <row r="2409">
      <c r="A2409" s="1">
        <v>5106025.0</v>
      </c>
      <c r="B2409" s="1" t="s">
        <v>5121</v>
      </c>
      <c r="C2409" s="1" t="s">
        <v>4985</v>
      </c>
      <c r="D2409" s="1" t="s">
        <v>5022</v>
      </c>
      <c r="E2409" s="1" t="s">
        <v>5122</v>
      </c>
      <c r="F2409" s="1" t="s">
        <v>174</v>
      </c>
      <c r="G2409" s="1" t="s">
        <v>150</v>
      </c>
      <c r="H2409" s="1" t="s">
        <v>28</v>
      </c>
      <c r="I2409" s="1" t="s">
        <v>139</v>
      </c>
      <c r="J2409" s="1">
        <f>IFERROR(__xludf.DUMMYFUNCTION("""COMPUTED_VALUE"""),330.0)</f>
        <v>330</v>
      </c>
      <c r="K2409" s="1">
        <v>39.0</v>
      </c>
      <c r="L2409" s="1">
        <f>IFERROR(__xludf.DUMMYFUNCTION("""COMPUTED_VALUE"""),773.0)</f>
        <v>773</v>
      </c>
    </row>
    <row r="2410">
      <c r="A2410" s="1">
        <v>5104023.0</v>
      </c>
      <c r="B2410" s="1" t="s">
        <v>5123</v>
      </c>
      <c r="C2410" s="1" t="s">
        <v>4985</v>
      </c>
      <c r="D2410" s="1" t="s">
        <v>4997</v>
      </c>
      <c r="E2410" s="1" t="s">
        <v>5124</v>
      </c>
      <c r="F2410" s="1" t="s">
        <v>16</v>
      </c>
      <c r="G2410" s="1" t="s">
        <v>17</v>
      </c>
      <c r="H2410" s="1" t="s">
        <v>18</v>
      </c>
      <c r="I2410" s="1" t="s">
        <v>19</v>
      </c>
      <c r="J2410" s="1">
        <f>IFERROR(__xludf.DUMMYFUNCTION("""COMPUTED_VALUE"""),100.0)</f>
        <v>100</v>
      </c>
      <c r="K2410" s="1">
        <v>58.0</v>
      </c>
      <c r="L2410" s="1">
        <f>IFERROR(__xludf.DUMMYFUNCTION("""COMPUTED_VALUE"""),52.0)</f>
        <v>52</v>
      </c>
    </row>
    <row r="2411">
      <c r="A2411" s="1">
        <v>5102051.0</v>
      </c>
      <c r="B2411" s="1" t="s">
        <v>2837</v>
      </c>
      <c r="C2411" s="1" t="s">
        <v>4985</v>
      </c>
      <c r="D2411" s="1" t="s">
        <v>4986</v>
      </c>
      <c r="E2411" s="1" t="s">
        <v>5125</v>
      </c>
      <c r="F2411" s="1" t="s">
        <v>55</v>
      </c>
      <c r="G2411" s="1" t="s">
        <v>17</v>
      </c>
      <c r="H2411" s="1" t="s">
        <v>18</v>
      </c>
      <c r="I2411" s="1" t="s">
        <v>19</v>
      </c>
      <c r="J2411" s="1">
        <f>IFERROR(__xludf.DUMMYFUNCTION("""COMPUTED_VALUE"""),45.0)</f>
        <v>45</v>
      </c>
      <c r="K2411" s="1">
        <v>41.0</v>
      </c>
      <c r="L2411" s="1">
        <f>IFERROR(__xludf.DUMMYFUNCTION("""COMPUTED_VALUE"""),61.0)</f>
        <v>61</v>
      </c>
    </row>
    <row r="2412">
      <c r="A2412" s="1">
        <v>5171166.0</v>
      </c>
      <c r="B2412" s="1" t="s">
        <v>1530</v>
      </c>
      <c r="C2412" s="1" t="s">
        <v>4985</v>
      </c>
      <c r="D2412" s="1" t="s">
        <v>4989</v>
      </c>
      <c r="E2412" s="1" t="s">
        <v>5126</v>
      </c>
      <c r="F2412" s="1" t="s">
        <v>55</v>
      </c>
      <c r="G2412" s="1" t="s">
        <v>17</v>
      </c>
      <c r="H2412" s="1" t="s">
        <v>18</v>
      </c>
      <c r="I2412" s="1" t="s">
        <v>44</v>
      </c>
      <c r="J2412" s="1">
        <f>IFERROR(__xludf.DUMMYFUNCTION("""COMPUTED_VALUE"""),29.0)</f>
        <v>29</v>
      </c>
      <c r="K2412" s="1">
        <v>12.0</v>
      </c>
      <c r="L2412" s="1">
        <f>IFERROR(__xludf.DUMMYFUNCTION("""COMPUTED_VALUE"""),46.0)</f>
        <v>46</v>
      </c>
    </row>
    <row r="2413">
      <c r="A2413" s="1">
        <v>5105014.0</v>
      </c>
      <c r="B2413" s="1" t="s">
        <v>569</v>
      </c>
      <c r="C2413" s="1" t="s">
        <v>4985</v>
      </c>
      <c r="D2413" s="1" t="s">
        <v>5051</v>
      </c>
      <c r="E2413" s="1" t="s">
        <v>5127</v>
      </c>
      <c r="F2413" s="1" t="s">
        <v>16</v>
      </c>
      <c r="G2413" s="1" t="s">
        <v>23</v>
      </c>
      <c r="H2413" s="1" t="s">
        <v>18</v>
      </c>
      <c r="I2413" s="1" t="s">
        <v>19</v>
      </c>
      <c r="J2413" s="1">
        <f>IFERROR(__xludf.DUMMYFUNCTION("""COMPUTED_VALUE"""),50.0)</f>
        <v>50</v>
      </c>
      <c r="K2413" s="1">
        <v>31.0</v>
      </c>
      <c r="L2413" s="1">
        <f>IFERROR(__xludf.DUMMYFUNCTION("""COMPUTED_VALUE"""),172.0)</f>
        <v>172</v>
      </c>
    </row>
    <row r="2414">
      <c r="A2414" s="1">
        <v>5103035.0</v>
      </c>
      <c r="B2414" s="1" t="s">
        <v>5128</v>
      </c>
      <c r="C2414" s="1" t="s">
        <v>4985</v>
      </c>
      <c r="D2414" s="1" t="s">
        <v>4992</v>
      </c>
      <c r="E2414" s="1" t="s">
        <v>5129</v>
      </c>
      <c r="F2414" s="1" t="s">
        <v>16</v>
      </c>
      <c r="G2414" s="1" t="s">
        <v>27</v>
      </c>
      <c r="H2414" s="1" t="s">
        <v>18</v>
      </c>
      <c r="I2414" s="1" t="s">
        <v>19</v>
      </c>
      <c r="J2414" s="1">
        <f>IFERROR(__xludf.DUMMYFUNCTION("""COMPUTED_VALUE"""),200.0)</f>
        <v>200</v>
      </c>
      <c r="K2414" s="1">
        <v>120.0</v>
      </c>
      <c r="L2414" s="1">
        <f>IFERROR(__xludf.DUMMYFUNCTION("""COMPUTED_VALUE"""),509.0)</f>
        <v>509</v>
      </c>
    </row>
    <row r="2415">
      <c r="A2415" s="1">
        <v>5108077.0</v>
      </c>
      <c r="B2415" s="1" t="s">
        <v>5130</v>
      </c>
      <c r="C2415" s="1" t="s">
        <v>4985</v>
      </c>
      <c r="D2415" s="1" t="s">
        <v>5000</v>
      </c>
      <c r="E2415" s="1" t="s">
        <v>5131</v>
      </c>
      <c r="F2415" s="1" t="s">
        <v>16</v>
      </c>
      <c r="G2415" s="1" t="s">
        <v>23</v>
      </c>
      <c r="H2415" s="1" t="s">
        <v>18</v>
      </c>
      <c r="I2415" s="1" t="s">
        <v>40</v>
      </c>
      <c r="J2415" s="1">
        <f>IFERROR(__xludf.DUMMYFUNCTION("""COMPUTED_VALUE"""),66.0)</f>
        <v>66</v>
      </c>
      <c r="K2415" s="1">
        <v>20.0</v>
      </c>
      <c r="L2415" s="1">
        <f>IFERROR(__xludf.DUMMYFUNCTION("""COMPUTED_VALUE"""),167.0)</f>
        <v>167</v>
      </c>
    </row>
    <row r="2416">
      <c r="A2416" s="1">
        <v>5102044.0</v>
      </c>
      <c r="B2416" s="1" t="s">
        <v>5132</v>
      </c>
      <c r="C2416" s="1" t="s">
        <v>4985</v>
      </c>
      <c r="D2416" s="1" t="s">
        <v>4986</v>
      </c>
      <c r="E2416" s="1" t="s">
        <v>5133</v>
      </c>
      <c r="F2416" s="1" t="s">
        <v>16</v>
      </c>
      <c r="G2416" s="1" t="s">
        <v>17</v>
      </c>
      <c r="H2416" s="1" t="s">
        <v>18</v>
      </c>
      <c r="I2416" s="1" t="s">
        <v>19</v>
      </c>
      <c r="J2416" s="1">
        <f>IFERROR(__xludf.DUMMYFUNCTION("""COMPUTED_VALUE"""),106.0)</f>
        <v>106</v>
      </c>
      <c r="K2416" s="1">
        <v>55.0</v>
      </c>
      <c r="L2416" s="1">
        <f>IFERROR(__xludf.DUMMYFUNCTION("""COMPUTED_VALUE"""),144.0)</f>
        <v>144</v>
      </c>
    </row>
    <row r="2417">
      <c r="A2417" s="1">
        <v>5171053.0</v>
      </c>
      <c r="B2417" s="1" t="s">
        <v>5134</v>
      </c>
      <c r="C2417" s="1" t="s">
        <v>4985</v>
      </c>
      <c r="D2417" s="1" t="s">
        <v>4989</v>
      </c>
      <c r="E2417" s="1" t="s">
        <v>5135</v>
      </c>
      <c r="F2417" s="1" t="s">
        <v>16</v>
      </c>
      <c r="G2417" s="1" t="s">
        <v>17</v>
      </c>
      <c r="H2417" s="1" t="s">
        <v>18</v>
      </c>
      <c r="I2417" s="1" t="s">
        <v>59</v>
      </c>
      <c r="J2417" s="1">
        <f>IFERROR(__xludf.DUMMYFUNCTION("""COMPUTED_VALUE"""),77.0)</f>
        <v>77</v>
      </c>
      <c r="K2417" s="1">
        <v>27.0</v>
      </c>
      <c r="L2417" s="1">
        <f>IFERROR(__xludf.DUMMYFUNCTION("""COMPUTED_VALUE"""),73.0)</f>
        <v>73</v>
      </c>
    </row>
    <row r="2418">
      <c r="A2418" s="1">
        <v>5171234.0</v>
      </c>
      <c r="B2418" s="1" t="s">
        <v>5136</v>
      </c>
      <c r="C2418" s="1" t="s">
        <v>4985</v>
      </c>
      <c r="D2418" s="1" t="s">
        <v>4989</v>
      </c>
      <c r="E2418" s="1" t="s">
        <v>5137</v>
      </c>
      <c r="F2418" s="1" t="s">
        <v>255</v>
      </c>
      <c r="G2418" s="1" t="s">
        <v>17</v>
      </c>
      <c r="H2418" s="1" t="s">
        <v>18</v>
      </c>
      <c r="I2418" s="1" t="s">
        <v>19</v>
      </c>
      <c r="J2418" s="1">
        <f>IFERROR(__xludf.DUMMYFUNCTION("""COMPUTED_VALUE"""),29.0)</f>
        <v>29</v>
      </c>
      <c r="K2418" s="1">
        <v>43.0</v>
      </c>
      <c r="L2418" s="1">
        <f>IFERROR(__xludf.DUMMYFUNCTION("""COMPUTED_VALUE"""),182.0)</f>
        <v>182</v>
      </c>
    </row>
    <row r="2419">
      <c r="A2419" s="1">
        <v>5101053.0</v>
      </c>
      <c r="B2419" s="1" t="s">
        <v>5138</v>
      </c>
      <c r="C2419" s="1" t="s">
        <v>4985</v>
      </c>
      <c r="D2419" s="1" t="s">
        <v>5056</v>
      </c>
      <c r="E2419" s="1" t="s">
        <v>5139</v>
      </c>
      <c r="F2419" s="1" t="s">
        <v>16</v>
      </c>
      <c r="G2419" s="1" t="s">
        <v>23</v>
      </c>
      <c r="H2419" s="1" t="s">
        <v>18</v>
      </c>
      <c r="I2419" s="1" t="s">
        <v>19</v>
      </c>
      <c r="J2419" s="1">
        <f>IFERROR(__xludf.DUMMYFUNCTION("""COMPUTED_VALUE"""),54.0)</f>
        <v>54</v>
      </c>
      <c r="K2419" s="1">
        <v>13.0</v>
      </c>
      <c r="L2419" s="1">
        <f>IFERROR(__xludf.DUMMYFUNCTION("""COMPUTED_VALUE"""),43.0)</f>
        <v>43</v>
      </c>
    </row>
    <row r="2420">
      <c r="A2420" s="1">
        <v>5108016.0</v>
      </c>
      <c r="B2420" s="1" t="s">
        <v>5140</v>
      </c>
      <c r="C2420" s="1" t="s">
        <v>4985</v>
      </c>
      <c r="D2420" s="1" t="s">
        <v>5000</v>
      </c>
      <c r="E2420" s="1" t="s">
        <v>5141</v>
      </c>
      <c r="F2420" s="1" t="s">
        <v>16</v>
      </c>
      <c r="G2420" s="1" t="s">
        <v>27</v>
      </c>
      <c r="H2420" s="1" t="s">
        <v>28</v>
      </c>
      <c r="I2420" s="1" t="s">
        <v>40</v>
      </c>
      <c r="J2420" s="1">
        <f>IFERROR(__xludf.DUMMYFUNCTION("""COMPUTED_VALUE"""),288.0)</f>
        <v>288</v>
      </c>
      <c r="K2420" s="1">
        <v>103.0</v>
      </c>
      <c r="L2420" s="1">
        <f>IFERROR(__xludf.DUMMYFUNCTION("""COMPUTED_VALUE"""),1071.0)</f>
        <v>1071</v>
      </c>
    </row>
    <row r="2421">
      <c r="A2421" s="1">
        <v>5171192.0</v>
      </c>
      <c r="B2421" s="1" t="s">
        <v>3400</v>
      </c>
      <c r="C2421" s="1" t="s">
        <v>4985</v>
      </c>
      <c r="D2421" s="1" t="s">
        <v>4989</v>
      </c>
      <c r="E2421" s="1" t="s">
        <v>5142</v>
      </c>
      <c r="F2421" s="1" t="s">
        <v>16</v>
      </c>
      <c r="G2421" s="1" t="s">
        <v>17</v>
      </c>
      <c r="H2421" s="1" t="s">
        <v>18</v>
      </c>
      <c r="I2421" s="1" t="s">
        <v>19</v>
      </c>
      <c r="J2421" s="1">
        <f>IFERROR(__xludf.DUMMYFUNCTION("""COMPUTED_VALUE"""),150.0)</f>
        <v>150</v>
      </c>
      <c r="K2421" s="1">
        <v>46.0</v>
      </c>
      <c r="L2421" s="1">
        <f>IFERROR(__xludf.DUMMYFUNCTION("""COMPUTED_VALUE"""),683.0)</f>
        <v>683</v>
      </c>
    </row>
    <row r="2422">
      <c r="A2422" s="1">
        <v>5101054.0</v>
      </c>
      <c r="B2422" s="1" t="s">
        <v>157</v>
      </c>
      <c r="C2422" s="1" t="s">
        <v>4985</v>
      </c>
      <c r="D2422" s="1" t="s">
        <v>5056</v>
      </c>
      <c r="E2422" s="1" t="s">
        <v>5143</v>
      </c>
      <c r="F2422" s="1" t="s">
        <v>16</v>
      </c>
      <c r="G2422" s="1" t="s">
        <v>17</v>
      </c>
      <c r="H2422" s="1" t="s">
        <v>18</v>
      </c>
      <c r="I2422" s="1" t="s">
        <v>19</v>
      </c>
      <c r="J2422" s="1">
        <f>IFERROR(__xludf.DUMMYFUNCTION("""COMPUTED_VALUE"""),100.0)</f>
        <v>100</v>
      </c>
      <c r="K2422" s="1">
        <v>45.0</v>
      </c>
      <c r="L2422" s="1">
        <f>IFERROR(__xludf.DUMMYFUNCTION("""COMPUTED_VALUE"""),82.0)</f>
        <v>82</v>
      </c>
    </row>
    <row r="2423">
      <c r="A2423" s="1">
        <v>5171217.0</v>
      </c>
      <c r="B2423" s="1" t="s">
        <v>4988</v>
      </c>
      <c r="C2423" s="1" t="s">
        <v>4985</v>
      </c>
      <c r="D2423" s="1" t="s">
        <v>4989</v>
      </c>
      <c r="E2423" s="1" t="s">
        <v>5144</v>
      </c>
      <c r="F2423" s="1" t="s">
        <v>16</v>
      </c>
      <c r="G2423" s="1" t="s">
        <v>23</v>
      </c>
      <c r="H2423" s="1" t="s">
        <v>18</v>
      </c>
      <c r="I2423" s="1" t="s">
        <v>59</v>
      </c>
      <c r="J2423" s="1">
        <f>IFERROR(__xludf.DUMMYFUNCTION("""COMPUTED_VALUE"""),104.0)</f>
        <v>104</v>
      </c>
      <c r="K2423" s="1">
        <v>32.0</v>
      </c>
      <c r="L2423" s="1">
        <f>IFERROR(__xludf.DUMMYFUNCTION("""COMPUTED_VALUE"""),138.0)</f>
        <v>138</v>
      </c>
    </row>
    <row r="2424">
      <c r="A2424" s="1">
        <v>5203027.0</v>
      </c>
      <c r="B2424" s="1" t="s">
        <v>5145</v>
      </c>
      <c r="C2424" s="1" t="s">
        <v>5146</v>
      </c>
      <c r="D2424" s="1" t="s">
        <v>5147</v>
      </c>
      <c r="E2424" s="1" t="s">
        <v>5148</v>
      </c>
      <c r="F2424" s="1" t="s">
        <v>16</v>
      </c>
      <c r="G2424" s="1" t="s">
        <v>23</v>
      </c>
      <c r="H2424" s="1" t="s">
        <v>18</v>
      </c>
      <c r="I2424" s="1" t="s">
        <v>40</v>
      </c>
      <c r="J2424" s="1">
        <f>IFERROR(__xludf.DUMMYFUNCTION("""COMPUTED_VALUE"""),70.0)</f>
        <v>70</v>
      </c>
      <c r="K2424" s="1">
        <v>36.0</v>
      </c>
      <c r="L2424" s="1">
        <f>IFERROR(__xludf.DUMMYFUNCTION("""COMPUTED_VALUE"""),83.0)</f>
        <v>83</v>
      </c>
    </row>
    <row r="2425">
      <c r="A2425" s="1">
        <v>5208002.0</v>
      </c>
      <c r="B2425" s="1" t="s">
        <v>5149</v>
      </c>
      <c r="C2425" s="1" t="s">
        <v>5146</v>
      </c>
      <c r="D2425" s="1" t="s">
        <v>5150</v>
      </c>
      <c r="E2425" s="1" t="s">
        <v>5151</v>
      </c>
      <c r="F2425" s="1" t="s">
        <v>16</v>
      </c>
      <c r="G2425" s="1" t="s">
        <v>17</v>
      </c>
      <c r="H2425" s="1" t="s">
        <v>28</v>
      </c>
      <c r="I2425" s="1" t="s">
        <v>40</v>
      </c>
      <c r="J2425" s="1">
        <f>IFERROR(__xludf.DUMMYFUNCTION("""COMPUTED_VALUE"""),151.0)</f>
        <v>151</v>
      </c>
      <c r="K2425" s="1">
        <v>25.0</v>
      </c>
      <c r="L2425" s="1">
        <f>IFERROR(__xludf.DUMMYFUNCTION("""COMPUTED_VALUE"""),80.0)</f>
        <v>80</v>
      </c>
    </row>
    <row r="2426">
      <c r="A2426" s="1">
        <v>5206015.0</v>
      </c>
      <c r="B2426" s="1" t="s">
        <v>5152</v>
      </c>
      <c r="C2426" s="1" t="s">
        <v>5146</v>
      </c>
      <c r="D2426" s="1" t="s">
        <v>5153</v>
      </c>
      <c r="E2426" s="1" t="s">
        <v>5154</v>
      </c>
      <c r="F2426" s="1" t="s">
        <v>16</v>
      </c>
      <c r="G2426" s="1" t="s">
        <v>17</v>
      </c>
      <c r="H2426" s="1" t="s">
        <v>28</v>
      </c>
      <c r="I2426" s="1" t="s">
        <v>40</v>
      </c>
      <c r="J2426" s="1">
        <f>IFERROR(__xludf.DUMMYFUNCTION("""COMPUTED_VALUE"""),234.0)</f>
        <v>234</v>
      </c>
      <c r="K2426" s="1">
        <v>29.0</v>
      </c>
      <c r="L2426" s="1">
        <f>IFERROR(__xludf.DUMMYFUNCTION("""COMPUTED_VALUE"""),675.0)</f>
        <v>675</v>
      </c>
    </row>
    <row r="2427">
      <c r="A2427" s="1">
        <v>5271104.0</v>
      </c>
      <c r="B2427" s="1" t="s">
        <v>5155</v>
      </c>
      <c r="C2427" s="1" t="s">
        <v>5146</v>
      </c>
      <c r="D2427" s="1" t="s">
        <v>5156</v>
      </c>
      <c r="E2427" s="1" t="s">
        <v>5157</v>
      </c>
      <c r="F2427" s="1" t="s">
        <v>16</v>
      </c>
      <c r="G2427" s="1" t="s">
        <v>17</v>
      </c>
      <c r="H2427" s="1" t="s">
        <v>18</v>
      </c>
      <c r="I2427" s="1" t="s">
        <v>19</v>
      </c>
      <c r="J2427" s="1">
        <f>IFERROR(__xludf.DUMMYFUNCTION("""COMPUTED_VALUE"""),107.0)</f>
        <v>107</v>
      </c>
      <c r="K2427" s="1">
        <v>42.0</v>
      </c>
      <c r="L2427" s="1">
        <f>IFERROR(__xludf.DUMMYFUNCTION("""COMPUTED_VALUE"""),74.0)</f>
        <v>74</v>
      </c>
    </row>
    <row r="2428">
      <c r="A2428" s="1">
        <v>5206027.0</v>
      </c>
      <c r="B2428" s="1" t="s">
        <v>5158</v>
      </c>
      <c r="C2428" s="1" t="s">
        <v>5146</v>
      </c>
      <c r="D2428" s="1" t="s">
        <v>5159</v>
      </c>
      <c r="E2428" s="1" t="s">
        <v>5160</v>
      </c>
      <c r="F2428" s="1" t="s">
        <v>16</v>
      </c>
      <c r="G2428" s="1" t="s">
        <v>17</v>
      </c>
      <c r="H2428" s="1" t="s">
        <v>28</v>
      </c>
      <c r="I2428" s="1" t="s">
        <v>139</v>
      </c>
      <c r="J2428" s="1">
        <f>IFERROR(__xludf.DUMMYFUNCTION("""COMPUTED_VALUE"""),189.0)</f>
        <v>189</v>
      </c>
      <c r="K2428" s="1">
        <v>53.0</v>
      </c>
      <c r="L2428" s="1">
        <f>IFERROR(__xludf.DUMMYFUNCTION("""COMPUTED_VALUE"""),281.0)</f>
        <v>281</v>
      </c>
    </row>
    <row r="2429">
      <c r="A2429" s="1">
        <v>5271101.0</v>
      </c>
      <c r="B2429" s="1" t="s">
        <v>5161</v>
      </c>
      <c r="C2429" s="1" t="s">
        <v>5146</v>
      </c>
      <c r="D2429" s="1" t="s">
        <v>5156</v>
      </c>
      <c r="E2429" s="1" t="s">
        <v>5162</v>
      </c>
      <c r="F2429" s="1" t="s">
        <v>16</v>
      </c>
      <c r="G2429" s="1" t="s">
        <v>17</v>
      </c>
      <c r="H2429" s="1" t="s">
        <v>18</v>
      </c>
      <c r="I2429" s="1" t="s">
        <v>19</v>
      </c>
      <c r="J2429" s="1">
        <f>IFERROR(__xludf.DUMMYFUNCTION("""COMPUTED_VALUE"""),52.0)</f>
        <v>52</v>
      </c>
      <c r="K2429" s="1">
        <v>61.0</v>
      </c>
      <c r="L2429" s="1">
        <f>IFERROR(__xludf.DUMMYFUNCTION("""COMPUTED_VALUE"""),135.0)</f>
        <v>135</v>
      </c>
    </row>
    <row r="2430">
      <c r="A2430" s="1">
        <v>5203029.0</v>
      </c>
      <c r="B2430" s="1" t="s">
        <v>5163</v>
      </c>
      <c r="C2430" s="1" t="s">
        <v>5146</v>
      </c>
      <c r="D2430" s="1" t="s">
        <v>5147</v>
      </c>
      <c r="E2430" s="1" t="s">
        <v>5164</v>
      </c>
      <c r="F2430" s="1" t="s">
        <v>55</v>
      </c>
      <c r="G2430" s="1" t="s">
        <v>17</v>
      </c>
      <c r="H2430" s="1" t="s">
        <v>18</v>
      </c>
      <c r="I2430" s="1" t="s">
        <v>19</v>
      </c>
      <c r="J2430" s="1">
        <f>IFERROR(__xludf.DUMMYFUNCTION("""COMPUTED_VALUE"""),38.0)</f>
        <v>38</v>
      </c>
      <c r="K2430" s="1">
        <v>12.0</v>
      </c>
      <c r="L2430" s="1">
        <f>IFERROR(__xludf.DUMMYFUNCTION("""COMPUTED_VALUE"""),182.0)</f>
        <v>182</v>
      </c>
    </row>
    <row r="2431">
      <c r="A2431" s="1">
        <v>5271021.0</v>
      </c>
      <c r="B2431" s="1" t="s">
        <v>5165</v>
      </c>
      <c r="C2431" s="1" t="s">
        <v>5146</v>
      </c>
      <c r="D2431" s="1" t="s">
        <v>5156</v>
      </c>
      <c r="E2431" s="1" t="s">
        <v>5166</v>
      </c>
      <c r="F2431" s="1" t="s">
        <v>16</v>
      </c>
      <c r="G2431" s="1" t="s">
        <v>23</v>
      </c>
      <c r="H2431" s="1" t="s">
        <v>18</v>
      </c>
      <c r="I2431" s="1" t="s">
        <v>74</v>
      </c>
      <c r="J2431" s="1">
        <f>IFERROR(__xludf.DUMMYFUNCTION("""COMPUTED_VALUE"""),64.0)</f>
        <v>64</v>
      </c>
      <c r="K2431" s="1">
        <v>28.0</v>
      </c>
      <c r="L2431" s="1">
        <f>IFERROR(__xludf.DUMMYFUNCTION("""COMPUTED_VALUE"""),162.0)</f>
        <v>162</v>
      </c>
    </row>
    <row r="2432">
      <c r="A2432" s="1">
        <v>5271098.0</v>
      </c>
      <c r="B2432" s="1" t="s">
        <v>5167</v>
      </c>
      <c r="C2432" s="1" t="s">
        <v>5146</v>
      </c>
      <c r="D2432" s="1" t="s">
        <v>5156</v>
      </c>
      <c r="E2432" s="1" t="s">
        <v>5168</v>
      </c>
      <c r="F2432" s="1" t="s">
        <v>16</v>
      </c>
      <c r="G2432" s="1" t="s">
        <v>23</v>
      </c>
      <c r="H2432" s="1" t="s">
        <v>18</v>
      </c>
      <c r="I2432" s="1" t="s">
        <v>19</v>
      </c>
      <c r="J2432" s="1">
        <f>IFERROR(__xludf.DUMMYFUNCTION("""COMPUTED_VALUE"""),61.0)</f>
        <v>61</v>
      </c>
      <c r="K2432" s="1">
        <v>33.0</v>
      </c>
      <c r="L2432" s="1">
        <f>IFERROR(__xludf.DUMMYFUNCTION("""COMPUTED_VALUE"""),131.0)</f>
        <v>131</v>
      </c>
    </row>
    <row r="2433">
      <c r="A2433" s="1">
        <v>5271103.0</v>
      </c>
      <c r="B2433" s="1" t="s">
        <v>5169</v>
      </c>
      <c r="C2433" s="1" t="s">
        <v>5146</v>
      </c>
      <c r="D2433" s="1" t="s">
        <v>5156</v>
      </c>
      <c r="E2433" s="1" t="s">
        <v>5170</v>
      </c>
      <c r="F2433" s="1" t="s">
        <v>272</v>
      </c>
      <c r="G2433" s="1" t="s">
        <v>17</v>
      </c>
      <c r="H2433" s="1" t="s">
        <v>18</v>
      </c>
      <c r="I2433" s="1" t="s">
        <v>139</v>
      </c>
      <c r="J2433" s="1">
        <f>IFERROR(__xludf.DUMMYFUNCTION("""COMPUTED_VALUE"""),27.0)</f>
        <v>27</v>
      </c>
      <c r="K2433" s="1">
        <v>10.0</v>
      </c>
      <c r="L2433" s="1">
        <f>IFERROR(__xludf.DUMMYFUNCTION("""COMPUTED_VALUE"""),30.0)</f>
        <v>30</v>
      </c>
    </row>
    <row r="2434">
      <c r="A2434" s="1">
        <v>5202011.0</v>
      </c>
      <c r="B2434" s="1" t="s">
        <v>5171</v>
      </c>
      <c r="C2434" s="1" t="s">
        <v>5146</v>
      </c>
      <c r="D2434" s="1" t="s">
        <v>5172</v>
      </c>
      <c r="E2434" s="1" t="s">
        <v>5173</v>
      </c>
      <c r="F2434" s="1" t="s">
        <v>16</v>
      </c>
      <c r="G2434" s="1" t="s">
        <v>17</v>
      </c>
      <c r="H2434" s="1" t="s">
        <v>28</v>
      </c>
      <c r="I2434" s="1" t="s">
        <v>40</v>
      </c>
      <c r="J2434" s="1">
        <f>IFERROR(__xludf.DUMMYFUNCTION("""COMPUTED_VALUE"""),240.0)</f>
        <v>240</v>
      </c>
      <c r="K2434" s="1">
        <v>138.0</v>
      </c>
      <c r="L2434" s="1">
        <f>IFERROR(__xludf.DUMMYFUNCTION("""COMPUTED_VALUE"""),760.0)</f>
        <v>760</v>
      </c>
    </row>
    <row r="2435">
      <c r="A2435" s="1">
        <v>5271043.0</v>
      </c>
      <c r="B2435" s="1" t="s">
        <v>5174</v>
      </c>
      <c r="C2435" s="1" t="s">
        <v>5146</v>
      </c>
      <c r="D2435" s="1" t="s">
        <v>5156</v>
      </c>
      <c r="E2435" s="1" t="s">
        <v>5175</v>
      </c>
      <c r="F2435" s="1" t="s">
        <v>16</v>
      </c>
      <c r="G2435" s="1" t="s">
        <v>23</v>
      </c>
      <c r="H2435" s="1" t="s">
        <v>18</v>
      </c>
      <c r="I2435" s="1" t="s">
        <v>249</v>
      </c>
      <c r="J2435" s="1">
        <f>IFERROR(__xludf.DUMMYFUNCTION("""COMPUTED_VALUE"""),50.0)</f>
        <v>50</v>
      </c>
      <c r="K2435" s="1">
        <v>18.0</v>
      </c>
      <c r="L2435" s="1">
        <f>IFERROR(__xludf.DUMMYFUNCTION("""COMPUTED_VALUE"""),64.0)</f>
        <v>64</v>
      </c>
    </row>
    <row r="2436">
      <c r="A2436" s="1">
        <v>5271099.0</v>
      </c>
      <c r="B2436" s="1" t="s">
        <v>3016</v>
      </c>
      <c r="C2436" s="1" t="s">
        <v>5146</v>
      </c>
      <c r="D2436" s="1" t="s">
        <v>5156</v>
      </c>
      <c r="E2436" s="1" t="s">
        <v>5176</v>
      </c>
      <c r="F2436" s="1" t="s">
        <v>55</v>
      </c>
      <c r="G2436" s="1" t="s">
        <v>17</v>
      </c>
      <c r="H2436" s="1" t="s">
        <v>18</v>
      </c>
      <c r="I2436" s="1" t="s">
        <v>44</v>
      </c>
      <c r="J2436" s="1">
        <f>IFERROR(__xludf.DUMMYFUNCTION("""COMPUTED_VALUE"""),56.0)</f>
        <v>56</v>
      </c>
      <c r="K2436" s="1">
        <v>18.0</v>
      </c>
      <c r="L2436" s="1">
        <f>IFERROR(__xludf.DUMMYFUNCTION("""COMPUTED_VALUE"""),211.0)</f>
        <v>211</v>
      </c>
    </row>
    <row r="2437">
      <c r="A2437" s="1">
        <v>5207002.0</v>
      </c>
      <c r="B2437" s="1" t="s">
        <v>5177</v>
      </c>
      <c r="C2437" s="1" t="s">
        <v>5146</v>
      </c>
      <c r="D2437" s="1" t="s">
        <v>5178</v>
      </c>
      <c r="E2437" s="1" t="s">
        <v>5179</v>
      </c>
      <c r="F2437" s="1" t="s">
        <v>16</v>
      </c>
      <c r="G2437" s="1" t="s">
        <v>17</v>
      </c>
      <c r="H2437" s="1" t="s">
        <v>28</v>
      </c>
      <c r="I2437" s="1" t="s">
        <v>40</v>
      </c>
      <c r="J2437" s="1">
        <f>IFERROR(__xludf.DUMMYFUNCTION("""COMPUTED_VALUE"""),100.0)</f>
        <v>100</v>
      </c>
      <c r="K2437" s="1">
        <v>49.0</v>
      </c>
      <c r="L2437" s="1">
        <f>IFERROR(__xludf.DUMMYFUNCTION("""COMPUTED_VALUE"""),304.0)</f>
        <v>304</v>
      </c>
    </row>
    <row r="2438">
      <c r="A2438" s="1">
        <v>5203012.0</v>
      </c>
      <c r="B2438" s="1" t="s">
        <v>5180</v>
      </c>
      <c r="C2438" s="1" t="s">
        <v>5146</v>
      </c>
      <c r="D2438" s="1" t="s">
        <v>5147</v>
      </c>
      <c r="E2438" s="1" t="s">
        <v>5181</v>
      </c>
      <c r="F2438" s="1" t="s">
        <v>16</v>
      </c>
      <c r="G2438" s="1" t="s">
        <v>27</v>
      </c>
      <c r="H2438" s="1" t="s">
        <v>28</v>
      </c>
      <c r="I2438" s="1" t="s">
        <v>40</v>
      </c>
      <c r="J2438" s="1">
        <f>IFERROR(__xludf.DUMMYFUNCTION("""COMPUTED_VALUE"""),283.0)</f>
        <v>283</v>
      </c>
      <c r="K2438" s="1">
        <v>105.0</v>
      </c>
      <c r="L2438" s="1">
        <f>IFERROR(__xludf.DUMMYFUNCTION("""COMPUTED_VALUE"""),1280.0)</f>
        <v>1280</v>
      </c>
    </row>
    <row r="2439">
      <c r="A2439" s="1">
        <v>5272016.0</v>
      </c>
      <c r="B2439" s="1" t="s">
        <v>5182</v>
      </c>
      <c r="C2439" s="1" t="s">
        <v>5146</v>
      </c>
      <c r="D2439" s="1" t="s">
        <v>5183</v>
      </c>
      <c r="E2439" s="1" t="s">
        <v>5184</v>
      </c>
      <c r="F2439" s="1" t="s">
        <v>16</v>
      </c>
      <c r="G2439" s="1" t="s">
        <v>23</v>
      </c>
      <c r="H2439" s="1" t="s">
        <v>18</v>
      </c>
      <c r="I2439" s="1" t="s">
        <v>74</v>
      </c>
      <c r="J2439" s="1">
        <f>IFERROR(__xludf.DUMMYFUNCTION("""COMPUTED_VALUE"""),30.0)</f>
        <v>30</v>
      </c>
      <c r="K2439" s="1">
        <v>13.0</v>
      </c>
      <c r="L2439" s="1">
        <f>IFERROR(__xludf.DUMMYFUNCTION("""COMPUTED_VALUE"""),182.0)</f>
        <v>182</v>
      </c>
    </row>
    <row r="2440">
      <c r="A2440" s="1">
        <v>5203030.0</v>
      </c>
      <c r="B2440" s="1" t="s">
        <v>5185</v>
      </c>
      <c r="C2440" s="1" t="s">
        <v>5146</v>
      </c>
      <c r="D2440" s="1" t="s">
        <v>5147</v>
      </c>
      <c r="E2440" s="1" t="s">
        <v>5186</v>
      </c>
      <c r="F2440" s="1" t="s">
        <v>16</v>
      </c>
      <c r="G2440" s="1" t="s">
        <v>23</v>
      </c>
      <c r="H2440" s="1" t="s">
        <v>18</v>
      </c>
      <c r="I2440" s="1" t="s">
        <v>40</v>
      </c>
      <c r="J2440" s="1">
        <f>IFERROR(__xludf.DUMMYFUNCTION("""COMPUTED_VALUE"""),50.0)</f>
        <v>50</v>
      </c>
      <c r="K2440" s="1">
        <v>21.0</v>
      </c>
      <c r="L2440" s="1">
        <f>IFERROR(__xludf.DUMMYFUNCTION("""COMPUTED_VALUE"""),182.0)</f>
        <v>182</v>
      </c>
    </row>
    <row r="2441">
      <c r="A2441" s="1">
        <v>5272005.0</v>
      </c>
      <c r="B2441" s="1" t="s">
        <v>5187</v>
      </c>
      <c r="C2441" s="1" t="s">
        <v>5146</v>
      </c>
      <c r="D2441" s="1" t="s">
        <v>5183</v>
      </c>
      <c r="E2441" s="1" t="s">
        <v>5188</v>
      </c>
      <c r="F2441" s="1" t="s">
        <v>16</v>
      </c>
      <c r="G2441" s="1" t="s">
        <v>23</v>
      </c>
      <c r="H2441" s="1" t="s">
        <v>28</v>
      </c>
      <c r="I2441" s="1" t="s">
        <v>29</v>
      </c>
      <c r="J2441" s="1">
        <f>IFERROR(__xludf.DUMMYFUNCTION("""COMPUTED_VALUE"""),101.0)</f>
        <v>101</v>
      </c>
      <c r="K2441" s="1">
        <v>19.0</v>
      </c>
      <c r="L2441" s="1">
        <f>IFERROR(__xludf.DUMMYFUNCTION("""COMPUTED_VALUE"""),324.0)</f>
        <v>324</v>
      </c>
    </row>
    <row r="2442">
      <c r="A2442" s="1">
        <v>5271065.0</v>
      </c>
      <c r="B2442" s="1" t="s">
        <v>5189</v>
      </c>
      <c r="C2442" s="1" t="s">
        <v>5146</v>
      </c>
      <c r="D2442" s="1" t="s">
        <v>5156</v>
      </c>
      <c r="E2442" s="1" t="s">
        <v>5190</v>
      </c>
      <c r="F2442" s="1" t="s">
        <v>16</v>
      </c>
      <c r="G2442" s="1" t="s">
        <v>17</v>
      </c>
      <c r="H2442" s="1" t="s">
        <v>18</v>
      </c>
      <c r="I2442" s="1" t="s">
        <v>65</v>
      </c>
      <c r="J2442" s="1">
        <f>IFERROR(__xludf.DUMMYFUNCTION("""COMPUTED_VALUE"""),105.0)</f>
        <v>105</v>
      </c>
      <c r="K2442" s="1">
        <v>23.0</v>
      </c>
      <c r="L2442" s="1">
        <f>IFERROR(__xludf.DUMMYFUNCTION("""COMPUTED_VALUE"""),235.0)</f>
        <v>235</v>
      </c>
    </row>
    <row r="2443">
      <c r="A2443" s="1">
        <v>5207004.0</v>
      </c>
      <c r="B2443" s="1" t="s">
        <v>5191</v>
      </c>
      <c r="C2443" s="1" t="s">
        <v>5146</v>
      </c>
      <c r="D2443" s="1" t="s">
        <v>5159</v>
      </c>
      <c r="E2443" s="1" t="s">
        <v>5192</v>
      </c>
      <c r="F2443" s="1" t="s">
        <v>16</v>
      </c>
      <c r="G2443" s="1" t="s">
        <v>23</v>
      </c>
      <c r="H2443" s="1" t="s">
        <v>18</v>
      </c>
      <c r="I2443" s="1" t="s">
        <v>684</v>
      </c>
      <c r="J2443" s="1">
        <f>IFERROR(__xludf.DUMMYFUNCTION("""COMPUTED_VALUE"""),52.0)</f>
        <v>52</v>
      </c>
      <c r="K2443" s="1">
        <v>87.0</v>
      </c>
      <c r="L2443" s="1">
        <f>IFERROR(__xludf.DUMMYFUNCTION("""COMPUTED_VALUE"""),59.0)</f>
        <v>59</v>
      </c>
    </row>
    <row r="2444">
      <c r="A2444" s="1">
        <v>5205014.0</v>
      </c>
      <c r="B2444" s="1" t="s">
        <v>5193</v>
      </c>
      <c r="C2444" s="1" t="s">
        <v>5146</v>
      </c>
      <c r="D2444" s="1" t="s">
        <v>5194</v>
      </c>
      <c r="E2444" s="1" t="s">
        <v>5195</v>
      </c>
      <c r="F2444" s="1" t="s">
        <v>16</v>
      </c>
      <c r="G2444" s="1" t="s">
        <v>17</v>
      </c>
      <c r="H2444" s="1" t="s">
        <v>18</v>
      </c>
      <c r="I2444" s="1" t="s">
        <v>40</v>
      </c>
      <c r="J2444" s="1">
        <f>IFERROR(__xludf.DUMMYFUNCTION("""COMPUTED_VALUE"""),261.0)</f>
        <v>261</v>
      </c>
      <c r="K2444" s="1">
        <v>29.0</v>
      </c>
      <c r="L2444" s="1">
        <f>IFERROR(__xludf.DUMMYFUNCTION("""COMPUTED_VALUE"""),742.0)</f>
        <v>742</v>
      </c>
    </row>
    <row r="2445">
      <c r="A2445" s="1">
        <v>5203042.0</v>
      </c>
      <c r="B2445" s="1" t="s">
        <v>5196</v>
      </c>
      <c r="C2445" s="1" t="s">
        <v>5146</v>
      </c>
      <c r="D2445" s="1" t="s">
        <v>5147</v>
      </c>
      <c r="E2445" s="1" t="s">
        <v>5197</v>
      </c>
      <c r="F2445" s="1" t="s">
        <v>55</v>
      </c>
      <c r="G2445" s="1" t="s">
        <v>17</v>
      </c>
      <c r="H2445" s="1" t="s">
        <v>18</v>
      </c>
      <c r="I2445" s="1" t="s">
        <v>19</v>
      </c>
      <c r="J2445" s="1">
        <f>IFERROR(__xludf.DUMMYFUNCTION("""COMPUTED_VALUE"""),62.0)</f>
        <v>62</v>
      </c>
      <c r="K2445" s="1">
        <v>15.0</v>
      </c>
      <c r="L2445" s="1">
        <f>IFERROR(__xludf.DUMMYFUNCTION("""COMPUTED_VALUE"""),182.0)</f>
        <v>182</v>
      </c>
    </row>
    <row r="2446">
      <c r="A2446" s="1">
        <v>5272003.0</v>
      </c>
      <c r="B2446" s="1" t="s">
        <v>5198</v>
      </c>
      <c r="C2446" s="1" t="s">
        <v>5146</v>
      </c>
      <c r="D2446" s="1" t="s">
        <v>5156</v>
      </c>
      <c r="E2446" s="1" t="s">
        <v>5199</v>
      </c>
      <c r="F2446" s="1" t="s">
        <v>16</v>
      </c>
      <c r="G2446" s="1" t="s">
        <v>17</v>
      </c>
      <c r="H2446" s="1" t="s">
        <v>18</v>
      </c>
      <c r="I2446" s="1" t="s">
        <v>44</v>
      </c>
      <c r="J2446" s="1">
        <f>IFERROR(__xludf.DUMMYFUNCTION("""COMPUTED_VALUE"""),120.0)</f>
        <v>120</v>
      </c>
      <c r="K2446" s="1">
        <v>59.0</v>
      </c>
      <c r="L2446" s="1">
        <f>IFERROR(__xludf.DUMMYFUNCTION("""COMPUTED_VALUE"""),256.0)</f>
        <v>256</v>
      </c>
    </row>
    <row r="2447">
      <c r="A2447" s="1">
        <v>5203025.0</v>
      </c>
      <c r="B2447" s="1" t="s">
        <v>5200</v>
      </c>
      <c r="C2447" s="1" t="s">
        <v>5146</v>
      </c>
      <c r="D2447" s="1" t="s">
        <v>5147</v>
      </c>
      <c r="E2447" s="1" t="s">
        <v>5201</v>
      </c>
      <c r="F2447" s="1" t="s">
        <v>16</v>
      </c>
      <c r="G2447" s="1" t="s">
        <v>17</v>
      </c>
      <c r="H2447" s="1" t="s">
        <v>33</v>
      </c>
      <c r="I2447" s="1" t="s">
        <v>44</v>
      </c>
      <c r="J2447" s="1">
        <f>IFERROR(__xludf.DUMMYFUNCTION("""COMPUTED_VALUE"""),103.0)</f>
        <v>103</v>
      </c>
      <c r="K2447" s="1">
        <v>60.0</v>
      </c>
      <c r="L2447" s="1">
        <f>IFERROR(__xludf.DUMMYFUNCTION("""COMPUTED_VALUE"""),181.0)</f>
        <v>181</v>
      </c>
    </row>
    <row r="2448">
      <c r="A2448" s="1">
        <v>5271010.0</v>
      </c>
      <c r="B2448" s="1" t="s">
        <v>5202</v>
      </c>
      <c r="C2448" s="1" t="s">
        <v>5146</v>
      </c>
      <c r="D2448" s="1" t="s">
        <v>5156</v>
      </c>
      <c r="E2448" s="1" t="s">
        <v>5203</v>
      </c>
      <c r="F2448" s="1" t="s">
        <v>16</v>
      </c>
      <c r="G2448" s="1" t="s">
        <v>150</v>
      </c>
      <c r="H2448" s="1" t="s">
        <v>28</v>
      </c>
      <c r="I2448" s="1" t="s">
        <v>139</v>
      </c>
      <c r="J2448" s="1">
        <f>IFERROR(__xludf.DUMMYFUNCTION("""COMPUTED_VALUE"""),763.0)</f>
        <v>763</v>
      </c>
      <c r="K2448" s="1">
        <v>105.0</v>
      </c>
      <c r="L2448" s="1">
        <f>IFERROR(__xludf.DUMMYFUNCTION("""COMPUTED_VALUE"""),1274.0)</f>
        <v>1274</v>
      </c>
    </row>
    <row r="2449">
      <c r="A2449" s="1">
        <v>5203024.0</v>
      </c>
      <c r="B2449" s="1" t="s">
        <v>5204</v>
      </c>
      <c r="C2449" s="1" t="s">
        <v>5146</v>
      </c>
      <c r="D2449" s="1" t="s">
        <v>5147</v>
      </c>
      <c r="E2449" s="1" t="s">
        <v>5205</v>
      </c>
      <c r="F2449" s="1" t="s">
        <v>16</v>
      </c>
      <c r="G2449" s="1" t="s">
        <v>17</v>
      </c>
      <c r="H2449" s="1" t="s">
        <v>18</v>
      </c>
      <c r="I2449" s="1" t="s">
        <v>19</v>
      </c>
      <c r="J2449" s="1">
        <f>IFERROR(__xludf.DUMMYFUNCTION("""COMPUTED_VALUE"""),115.0)</f>
        <v>115</v>
      </c>
      <c r="K2449" s="1">
        <v>56.0</v>
      </c>
      <c r="L2449" s="1">
        <f>IFERROR(__xludf.DUMMYFUNCTION("""COMPUTED_VALUE"""),113.0)</f>
        <v>113</v>
      </c>
    </row>
    <row r="2450">
      <c r="A2450" s="1">
        <v>5201010.0</v>
      </c>
      <c r="B2450" s="1" t="s">
        <v>5206</v>
      </c>
      <c r="C2450" s="1" t="s">
        <v>5146</v>
      </c>
      <c r="D2450" s="1" t="s">
        <v>5207</v>
      </c>
      <c r="E2450" s="1" t="s">
        <v>5208</v>
      </c>
      <c r="F2450" s="1" t="s">
        <v>16</v>
      </c>
      <c r="G2450" s="1" t="s">
        <v>27</v>
      </c>
      <c r="H2450" s="1" t="s">
        <v>28</v>
      </c>
      <c r="I2450" s="1" t="s">
        <v>40</v>
      </c>
      <c r="J2450" s="1">
        <f>IFERROR(__xludf.DUMMYFUNCTION("""COMPUTED_VALUE"""),234.0)</f>
        <v>234</v>
      </c>
      <c r="K2450" s="1">
        <v>56.0</v>
      </c>
      <c r="L2450" s="1">
        <f>IFERROR(__xludf.DUMMYFUNCTION("""COMPUTED_VALUE"""),490.0)</f>
        <v>490</v>
      </c>
    </row>
    <row r="2451">
      <c r="A2451" s="1">
        <v>5202023.0</v>
      </c>
      <c r="B2451" s="1" t="s">
        <v>5209</v>
      </c>
      <c r="C2451" s="1" t="s">
        <v>5146</v>
      </c>
      <c r="D2451" s="1" t="s">
        <v>5172</v>
      </c>
      <c r="E2451" s="1" t="s">
        <v>5210</v>
      </c>
      <c r="F2451" s="1" t="s">
        <v>55</v>
      </c>
      <c r="G2451" s="1" t="s">
        <v>17</v>
      </c>
      <c r="H2451" s="1" t="s">
        <v>18</v>
      </c>
      <c r="I2451" s="1" t="s">
        <v>59</v>
      </c>
      <c r="J2451" s="1">
        <f>IFERROR(__xludf.DUMMYFUNCTION("""COMPUTED_VALUE"""),25.0)</f>
        <v>25</v>
      </c>
      <c r="K2451" s="1">
        <v>18.0</v>
      </c>
      <c r="L2451" s="1">
        <f>IFERROR(__xludf.DUMMYFUNCTION("""COMPUTED_VALUE"""),15.0)</f>
        <v>15</v>
      </c>
    </row>
    <row r="2452">
      <c r="A2452" s="1">
        <v>5202035.0</v>
      </c>
      <c r="B2452" s="1" t="s">
        <v>5211</v>
      </c>
      <c r="C2452" s="1" t="s">
        <v>5146</v>
      </c>
      <c r="D2452" s="1" t="s">
        <v>5172</v>
      </c>
      <c r="E2452" s="1" t="s">
        <v>5212</v>
      </c>
      <c r="F2452" s="1" t="s">
        <v>16</v>
      </c>
      <c r="G2452" s="1" t="s">
        <v>17</v>
      </c>
      <c r="H2452" s="1" t="s">
        <v>28</v>
      </c>
      <c r="I2452" s="1" t="s">
        <v>139</v>
      </c>
      <c r="J2452" s="1">
        <f>IFERROR(__xludf.DUMMYFUNCTION("""COMPUTED_VALUE"""),74.0)</f>
        <v>74</v>
      </c>
      <c r="K2452" s="1">
        <v>47.0</v>
      </c>
      <c r="L2452" s="1">
        <f>IFERROR(__xludf.DUMMYFUNCTION("""COMPUTED_VALUE"""),35.0)</f>
        <v>35</v>
      </c>
    </row>
    <row r="2453">
      <c r="A2453" s="1">
        <v>5201012.0</v>
      </c>
      <c r="B2453" s="1" t="s">
        <v>5213</v>
      </c>
      <c r="C2453" s="1" t="s">
        <v>5146</v>
      </c>
      <c r="D2453" s="1" t="s">
        <v>5207</v>
      </c>
      <c r="E2453" s="1" t="s">
        <v>5214</v>
      </c>
      <c r="F2453" s="1" t="s">
        <v>16</v>
      </c>
      <c r="G2453" s="1" t="s">
        <v>17</v>
      </c>
      <c r="H2453" s="1" t="s">
        <v>28</v>
      </c>
      <c r="I2453" s="1" t="s">
        <v>40</v>
      </c>
      <c r="J2453" s="1">
        <f>IFERROR(__xludf.DUMMYFUNCTION("""COMPUTED_VALUE"""),103.0)</f>
        <v>103</v>
      </c>
      <c r="K2453" s="1">
        <v>51.0</v>
      </c>
      <c r="L2453" s="1">
        <f>IFERROR(__xludf.DUMMYFUNCTION("""COMPUTED_VALUE"""),302.0)</f>
        <v>302</v>
      </c>
    </row>
    <row r="2454">
      <c r="A2454" s="1">
        <v>5271032.0</v>
      </c>
      <c r="B2454" s="1" t="s">
        <v>5215</v>
      </c>
      <c r="C2454" s="1" t="s">
        <v>5146</v>
      </c>
      <c r="D2454" s="1" t="s">
        <v>5156</v>
      </c>
      <c r="E2454" s="1" t="s">
        <v>5216</v>
      </c>
      <c r="F2454" s="1" t="s">
        <v>16</v>
      </c>
      <c r="G2454" s="1" t="s">
        <v>17</v>
      </c>
      <c r="H2454" s="1" t="s">
        <v>18</v>
      </c>
      <c r="I2454" s="1" t="s">
        <v>684</v>
      </c>
      <c r="J2454" s="1">
        <f>IFERROR(__xludf.DUMMYFUNCTION("""COMPUTED_VALUE"""),106.0)</f>
        <v>106</v>
      </c>
      <c r="K2454" s="1">
        <v>32.0</v>
      </c>
      <c r="L2454" s="1">
        <f>IFERROR(__xludf.DUMMYFUNCTION("""COMPUTED_VALUE"""),329.0)</f>
        <v>329</v>
      </c>
    </row>
    <row r="2455">
      <c r="A2455" s="1">
        <v>5206029.0</v>
      </c>
      <c r="B2455" s="1" t="s">
        <v>5217</v>
      </c>
      <c r="C2455" s="1" t="s">
        <v>5146</v>
      </c>
      <c r="D2455" s="1" t="s">
        <v>5153</v>
      </c>
      <c r="E2455" s="1" t="s">
        <v>5218</v>
      </c>
      <c r="F2455" s="1" t="s">
        <v>16</v>
      </c>
      <c r="G2455" s="1" t="s">
        <v>23</v>
      </c>
      <c r="H2455" s="1" t="s">
        <v>28</v>
      </c>
      <c r="I2455" s="1" t="s">
        <v>40</v>
      </c>
      <c r="J2455" s="1">
        <f>IFERROR(__xludf.DUMMYFUNCTION("""COMPUTED_VALUE"""),101.0)</f>
        <v>101</v>
      </c>
      <c r="K2455" s="1">
        <v>25.0</v>
      </c>
      <c r="L2455" s="1">
        <f>IFERROR(__xludf.DUMMYFUNCTION("""COMPUTED_VALUE"""),67.0)</f>
        <v>67</v>
      </c>
    </row>
    <row r="2456">
      <c r="A2456" s="1">
        <v>5202024.0</v>
      </c>
      <c r="B2456" s="1" t="s">
        <v>2669</v>
      </c>
      <c r="C2456" s="1" t="s">
        <v>5146</v>
      </c>
      <c r="D2456" s="1" t="s">
        <v>5172</v>
      </c>
      <c r="E2456" s="1" t="s">
        <v>5219</v>
      </c>
      <c r="F2456" s="1" t="s">
        <v>16</v>
      </c>
      <c r="G2456" s="1" t="s">
        <v>23</v>
      </c>
      <c r="H2456" s="1" t="s">
        <v>18</v>
      </c>
      <c r="I2456" s="1" t="s">
        <v>44</v>
      </c>
      <c r="J2456" s="1">
        <f>IFERROR(__xludf.DUMMYFUNCTION("""COMPUTED_VALUE"""),58.0)</f>
        <v>58</v>
      </c>
      <c r="K2456" s="1">
        <v>25.0</v>
      </c>
      <c r="L2456" s="1">
        <f>IFERROR(__xludf.DUMMYFUNCTION("""COMPUTED_VALUE"""),65.0)</f>
        <v>65</v>
      </c>
    </row>
    <row r="2457">
      <c r="A2457" s="1">
        <v>5203041.0</v>
      </c>
      <c r="B2457" s="1" t="s">
        <v>5220</v>
      </c>
      <c r="C2457" s="1" t="s">
        <v>5146</v>
      </c>
      <c r="D2457" s="1" t="s">
        <v>5147</v>
      </c>
      <c r="E2457" s="1" t="s">
        <v>5221</v>
      </c>
      <c r="F2457" s="1" t="s">
        <v>16</v>
      </c>
      <c r="G2457" s="1" t="s">
        <v>98</v>
      </c>
      <c r="H2457" s="1" t="s">
        <v>18</v>
      </c>
      <c r="I2457" s="1" t="s">
        <v>40</v>
      </c>
      <c r="J2457" s="1">
        <f>IFERROR(__xludf.DUMMYFUNCTION("""COMPUTED_VALUE"""),43.0)</f>
        <v>43</v>
      </c>
      <c r="K2457" s="1">
        <v>12.0</v>
      </c>
      <c r="L2457" s="1">
        <f>IFERROR(__xludf.DUMMYFUNCTION("""COMPUTED_VALUE"""),182.0)</f>
        <v>182</v>
      </c>
    </row>
    <row r="2458">
      <c r="A2458" s="1">
        <v>5203028.0</v>
      </c>
      <c r="B2458" s="1" t="s">
        <v>5222</v>
      </c>
      <c r="C2458" s="1" t="s">
        <v>5146</v>
      </c>
      <c r="D2458" s="1" t="s">
        <v>5147</v>
      </c>
      <c r="E2458" s="1" t="s">
        <v>5223</v>
      </c>
      <c r="F2458" s="1" t="s">
        <v>16</v>
      </c>
      <c r="G2458" s="1" t="s">
        <v>23</v>
      </c>
      <c r="H2458" s="1" t="s">
        <v>18</v>
      </c>
      <c r="I2458" s="1" t="s">
        <v>44</v>
      </c>
      <c r="J2458" s="1">
        <f>IFERROR(__xludf.DUMMYFUNCTION("""COMPUTED_VALUE"""),72.0)</f>
        <v>72</v>
      </c>
      <c r="K2458" s="1">
        <v>51.0</v>
      </c>
      <c r="L2458" s="1">
        <f>IFERROR(__xludf.DUMMYFUNCTION("""COMPUTED_VALUE"""),35.0)</f>
        <v>35</v>
      </c>
    </row>
    <row r="2459">
      <c r="A2459" s="1">
        <v>5206030.0</v>
      </c>
      <c r="B2459" s="1" t="s">
        <v>5224</v>
      </c>
      <c r="C2459" s="1" t="s">
        <v>5146</v>
      </c>
      <c r="D2459" s="1" t="s">
        <v>5183</v>
      </c>
      <c r="E2459" s="1" t="s">
        <v>5225</v>
      </c>
      <c r="F2459" s="1" t="s">
        <v>16</v>
      </c>
      <c r="G2459" s="1" t="s">
        <v>23</v>
      </c>
      <c r="H2459" s="1" t="s">
        <v>18</v>
      </c>
      <c r="I2459" s="1" t="s">
        <v>44</v>
      </c>
      <c r="J2459" s="1">
        <f>IFERROR(__xludf.DUMMYFUNCTION("""COMPUTED_VALUE"""),74.0)</f>
        <v>74</v>
      </c>
      <c r="K2459" s="1">
        <v>29.0</v>
      </c>
      <c r="L2459" s="1">
        <f>IFERROR(__xludf.DUMMYFUNCTION("""COMPUTED_VALUE"""),99.0)</f>
        <v>99</v>
      </c>
    </row>
    <row r="2460">
      <c r="A2460" s="1">
        <v>5202022.0</v>
      </c>
      <c r="B2460" s="1" t="s">
        <v>5226</v>
      </c>
      <c r="C2460" s="1" t="s">
        <v>5146</v>
      </c>
      <c r="D2460" s="1" t="s">
        <v>5172</v>
      </c>
      <c r="E2460" s="1" t="s">
        <v>5227</v>
      </c>
      <c r="F2460" s="1" t="s">
        <v>16</v>
      </c>
      <c r="G2460" s="1" t="s">
        <v>23</v>
      </c>
      <c r="H2460" s="1" t="s">
        <v>18</v>
      </c>
      <c r="I2460" s="1" t="s">
        <v>19</v>
      </c>
      <c r="J2460" s="1">
        <f>IFERROR(__xludf.DUMMYFUNCTION("""COMPUTED_VALUE"""),83.0)</f>
        <v>83</v>
      </c>
      <c r="K2460" s="1">
        <v>35.0</v>
      </c>
      <c r="L2460" s="1">
        <f>IFERROR(__xludf.DUMMYFUNCTION("""COMPUTED_VALUE"""),331.0)</f>
        <v>331</v>
      </c>
    </row>
    <row r="2461">
      <c r="A2461" s="1">
        <v>5271102.0</v>
      </c>
      <c r="B2461" s="1" t="s">
        <v>5228</v>
      </c>
      <c r="C2461" s="1" t="s">
        <v>5146</v>
      </c>
      <c r="D2461" s="1" t="s">
        <v>5156</v>
      </c>
      <c r="E2461" s="1" t="s">
        <v>5229</v>
      </c>
      <c r="F2461" s="1" t="s">
        <v>55</v>
      </c>
      <c r="G2461" s="1" t="s">
        <v>17</v>
      </c>
      <c r="H2461" s="1" t="s">
        <v>18</v>
      </c>
      <c r="I2461" s="1" t="s">
        <v>163</v>
      </c>
      <c r="J2461" s="1">
        <f>IFERROR(__xludf.DUMMYFUNCTION("""COMPUTED_VALUE"""),22.0)</f>
        <v>22</v>
      </c>
      <c r="K2461" s="1">
        <v>17.0</v>
      </c>
      <c r="L2461" s="1">
        <f>IFERROR(__xludf.DUMMYFUNCTION("""COMPUTED_VALUE"""),27.0)</f>
        <v>27</v>
      </c>
    </row>
    <row r="2462">
      <c r="A2462" s="1">
        <v>5271054.0</v>
      </c>
      <c r="B2462" s="1" t="s">
        <v>5230</v>
      </c>
      <c r="C2462" s="1" t="s">
        <v>5146</v>
      </c>
      <c r="D2462" s="1" t="s">
        <v>5156</v>
      </c>
      <c r="E2462" s="1" t="s">
        <v>5231</v>
      </c>
      <c r="F2462" s="1" t="s">
        <v>174</v>
      </c>
      <c r="G2462" s="1" t="s">
        <v>27</v>
      </c>
      <c r="H2462" s="1" t="s">
        <v>28</v>
      </c>
      <c r="I2462" s="1" t="s">
        <v>139</v>
      </c>
      <c r="J2462" s="1">
        <f>IFERROR(__xludf.DUMMYFUNCTION("""COMPUTED_VALUE"""),111.0)</f>
        <v>111</v>
      </c>
      <c r="K2462" s="1">
        <v>34.0</v>
      </c>
      <c r="L2462" s="1">
        <f>IFERROR(__xludf.DUMMYFUNCTION("""COMPUTED_VALUE"""),329.0)</f>
        <v>329</v>
      </c>
    </row>
    <row r="2463">
      <c r="A2463" s="1">
        <v>5271087.0</v>
      </c>
      <c r="B2463" s="1" t="s">
        <v>5232</v>
      </c>
      <c r="C2463" s="1" t="s">
        <v>5146</v>
      </c>
      <c r="D2463" s="1" t="s">
        <v>5156</v>
      </c>
      <c r="E2463" s="1" t="s">
        <v>5233</v>
      </c>
      <c r="F2463" s="1" t="s">
        <v>16</v>
      </c>
      <c r="G2463" s="1" t="s">
        <v>27</v>
      </c>
      <c r="H2463" s="1" t="s">
        <v>28</v>
      </c>
      <c r="I2463" s="1" t="s">
        <v>29</v>
      </c>
      <c r="J2463" s="1">
        <f>IFERROR(__xludf.DUMMYFUNCTION("""COMPUTED_VALUE"""),355.0)</f>
        <v>355</v>
      </c>
      <c r="K2463" s="1">
        <v>138.0</v>
      </c>
      <c r="L2463" s="1">
        <f>IFERROR(__xludf.DUMMYFUNCTION("""COMPUTED_VALUE"""),1070.0)</f>
        <v>1070</v>
      </c>
    </row>
    <row r="2464">
      <c r="A2464" s="1">
        <v>5271100.0</v>
      </c>
      <c r="B2464" s="1" t="s">
        <v>5234</v>
      </c>
      <c r="C2464" s="1" t="s">
        <v>5146</v>
      </c>
      <c r="D2464" s="1" t="s">
        <v>5156</v>
      </c>
      <c r="E2464" s="1" t="s">
        <v>5235</v>
      </c>
      <c r="F2464" s="1" t="s">
        <v>16</v>
      </c>
      <c r="G2464" s="1" t="s">
        <v>17</v>
      </c>
      <c r="H2464" s="1" t="s">
        <v>18</v>
      </c>
      <c r="I2464" s="1" t="s">
        <v>44</v>
      </c>
      <c r="J2464" s="1">
        <f>IFERROR(__xludf.DUMMYFUNCTION("""COMPUTED_VALUE"""),40.0)</f>
        <v>40</v>
      </c>
      <c r="K2464" s="1">
        <v>56.0</v>
      </c>
      <c r="L2464" s="1">
        <f>IFERROR(__xludf.DUMMYFUNCTION("""COMPUTED_VALUE"""),208.0)</f>
        <v>208</v>
      </c>
    </row>
    <row r="2465">
      <c r="A2465" s="1">
        <v>5204013.0</v>
      </c>
      <c r="B2465" s="1" t="s">
        <v>5236</v>
      </c>
      <c r="C2465" s="1" t="s">
        <v>5146</v>
      </c>
      <c r="D2465" s="1" t="s">
        <v>5159</v>
      </c>
      <c r="E2465" s="1" t="s">
        <v>5237</v>
      </c>
      <c r="F2465" s="1" t="s">
        <v>16</v>
      </c>
      <c r="G2465" s="1" t="s">
        <v>17</v>
      </c>
      <c r="H2465" s="1" t="s">
        <v>28</v>
      </c>
      <c r="I2465" s="1" t="s">
        <v>40</v>
      </c>
      <c r="J2465" s="1">
        <f>IFERROR(__xludf.DUMMYFUNCTION("""COMPUTED_VALUE"""),233.0)</f>
        <v>233</v>
      </c>
      <c r="K2465" s="1">
        <v>37.0</v>
      </c>
      <c r="L2465" s="1">
        <f>IFERROR(__xludf.DUMMYFUNCTION("""COMPUTED_VALUE"""),335.0)</f>
        <v>335</v>
      </c>
    </row>
    <row r="2466">
      <c r="A2466" s="1">
        <v>5206028.0</v>
      </c>
      <c r="B2466" s="1" t="s">
        <v>5238</v>
      </c>
      <c r="C2466" s="1" t="s">
        <v>5146</v>
      </c>
      <c r="D2466" s="1" t="s">
        <v>5183</v>
      </c>
      <c r="E2466" s="1" t="s">
        <v>5239</v>
      </c>
      <c r="F2466" s="1" t="s">
        <v>16</v>
      </c>
      <c r="G2466" s="1" t="s">
        <v>23</v>
      </c>
      <c r="H2466" s="1" t="s">
        <v>18</v>
      </c>
      <c r="I2466" s="1" t="s">
        <v>684</v>
      </c>
      <c r="J2466" s="1">
        <f>IFERROR(__xludf.DUMMYFUNCTION("""COMPUTED_VALUE"""),94.0)</f>
        <v>94</v>
      </c>
      <c r="K2466" s="1">
        <v>22.0</v>
      </c>
      <c r="L2466" s="1">
        <f>IFERROR(__xludf.DUMMYFUNCTION("""COMPUTED_VALUE"""),114.0)</f>
        <v>114</v>
      </c>
    </row>
    <row r="2467">
      <c r="A2467" s="1">
        <v>5202036.0</v>
      </c>
      <c r="B2467" s="1" t="s">
        <v>5240</v>
      </c>
      <c r="C2467" s="1" t="s">
        <v>5146</v>
      </c>
      <c r="D2467" s="1" t="s">
        <v>5172</v>
      </c>
      <c r="E2467" s="1" t="s">
        <v>5241</v>
      </c>
      <c r="F2467" s="1" t="s">
        <v>16</v>
      </c>
      <c r="G2467" s="1" t="s">
        <v>23</v>
      </c>
      <c r="H2467" s="1" t="s">
        <v>18</v>
      </c>
      <c r="I2467" s="1" t="s">
        <v>44</v>
      </c>
      <c r="J2467" s="1">
        <f>IFERROR(__xludf.DUMMYFUNCTION("""COMPUTED_VALUE"""),48.0)</f>
        <v>48</v>
      </c>
      <c r="K2467" s="1">
        <v>14.0</v>
      </c>
      <c r="L2467" s="1">
        <f>IFERROR(__xludf.DUMMYFUNCTION("""COMPUTED_VALUE"""),182.0)</f>
        <v>182</v>
      </c>
    </row>
    <row r="2468">
      <c r="A2468" s="1">
        <v>5205016.0</v>
      </c>
      <c r="B2468" s="1" t="s">
        <v>5242</v>
      </c>
      <c r="C2468" s="1" t="s">
        <v>5146</v>
      </c>
      <c r="D2468" s="1" t="s">
        <v>5194</v>
      </c>
      <c r="E2468" s="1" t="s">
        <v>5243</v>
      </c>
      <c r="F2468" s="1" t="s">
        <v>16</v>
      </c>
      <c r="G2468" s="1" t="s">
        <v>23</v>
      </c>
      <c r="H2468" s="1" t="s">
        <v>18</v>
      </c>
      <c r="I2468" s="1" t="s">
        <v>40</v>
      </c>
      <c r="J2468" s="1">
        <f>IFERROR(__xludf.DUMMYFUNCTION("""COMPUTED_VALUE"""),51.0)</f>
        <v>51</v>
      </c>
      <c r="K2468" s="1">
        <v>23.0</v>
      </c>
      <c r="L2468" s="1">
        <f>IFERROR(__xludf.DUMMYFUNCTION("""COMPUTED_VALUE"""),74.0)</f>
        <v>74</v>
      </c>
    </row>
    <row r="2469">
      <c r="A2469" s="1">
        <v>5271076.0</v>
      </c>
      <c r="B2469" s="1" t="s">
        <v>5244</v>
      </c>
      <c r="C2469" s="1" t="s">
        <v>5146</v>
      </c>
      <c r="D2469" s="1" t="s">
        <v>5156</v>
      </c>
      <c r="E2469" s="1" t="s">
        <v>5245</v>
      </c>
      <c r="F2469" s="1" t="s">
        <v>16</v>
      </c>
      <c r="G2469" s="1" t="s">
        <v>17</v>
      </c>
      <c r="H2469" s="1" t="s">
        <v>18</v>
      </c>
      <c r="I2469" s="1" t="s">
        <v>19</v>
      </c>
      <c r="J2469" s="1">
        <f>IFERROR(__xludf.DUMMYFUNCTION("""COMPUTED_VALUE"""),71.0)</f>
        <v>71</v>
      </c>
      <c r="K2469" s="1">
        <v>70.0</v>
      </c>
      <c r="L2469" s="1">
        <f>IFERROR(__xludf.DUMMYFUNCTION("""COMPUTED_VALUE"""),298.0)</f>
        <v>298</v>
      </c>
    </row>
    <row r="2470">
      <c r="A2470" s="1">
        <v>5311024.0</v>
      </c>
      <c r="B2470" s="1" t="s">
        <v>5246</v>
      </c>
      <c r="C2470" s="1" t="s">
        <v>5247</v>
      </c>
      <c r="D2470" s="1" t="s">
        <v>5248</v>
      </c>
      <c r="E2470" s="1" t="s">
        <v>5249</v>
      </c>
      <c r="F2470" s="1" t="s">
        <v>16</v>
      </c>
      <c r="G2470" s="1" t="s">
        <v>23</v>
      </c>
      <c r="H2470" s="1" t="s">
        <v>18</v>
      </c>
      <c r="I2470" s="1" t="s">
        <v>249</v>
      </c>
      <c r="J2470" s="1">
        <f>IFERROR(__xludf.DUMMYFUNCTION("""COMPUTED_VALUE"""),50.0)</f>
        <v>50</v>
      </c>
      <c r="K2470" s="1">
        <v>38.0</v>
      </c>
      <c r="L2470" s="1">
        <f>IFERROR(__xludf.DUMMYFUNCTION("""COMPUTED_VALUE"""),72.0)</f>
        <v>72</v>
      </c>
    </row>
    <row r="2471">
      <c r="A2471" s="1">
        <v>5371047.0</v>
      </c>
      <c r="B2471" s="1" t="s">
        <v>5250</v>
      </c>
      <c r="C2471" s="1" t="s">
        <v>5247</v>
      </c>
      <c r="D2471" s="1" t="s">
        <v>5251</v>
      </c>
      <c r="E2471" s="1" t="s">
        <v>5252</v>
      </c>
      <c r="F2471" s="1" t="s">
        <v>55</v>
      </c>
      <c r="G2471" s="1" t="s">
        <v>17</v>
      </c>
      <c r="H2471" s="1" t="s">
        <v>18</v>
      </c>
      <c r="I2471" s="1" t="s">
        <v>59</v>
      </c>
      <c r="J2471" s="1">
        <f>IFERROR(__xludf.DUMMYFUNCTION("""COMPUTED_VALUE"""),62.0)</f>
        <v>62</v>
      </c>
      <c r="K2471" s="1">
        <v>24.0</v>
      </c>
      <c r="L2471" s="1">
        <f>IFERROR(__xludf.DUMMYFUNCTION("""COMPUTED_VALUE"""),199.0)</f>
        <v>199</v>
      </c>
    </row>
    <row r="2472">
      <c r="A2472" s="1">
        <v>5302034.0</v>
      </c>
      <c r="B2472" s="1" t="s">
        <v>5253</v>
      </c>
      <c r="C2472" s="1" t="s">
        <v>5247</v>
      </c>
      <c r="D2472" s="1" t="s">
        <v>5254</v>
      </c>
      <c r="E2472" s="1" t="s">
        <v>5255</v>
      </c>
      <c r="F2472" s="1" t="s">
        <v>16</v>
      </c>
      <c r="G2472" s="1" t="s">
        <v>23</v>
      </c>
      <c r="H2472" s="1" t="s">
        <v>18</v>
      </c>
      <c r="I2472" s="1" t="s">
        <v>59</v>
      </c>
      <c r="J2472" s="1">
        <f>IFERROR(__xludf.DUMMYFUNCTION("""COMPUTED_VALUE"""),53.0)</f>
        <v>53</v>
      </c>
      <c r="K2472" s="1">
        <v>30.0</v>
      </c>
      <c r="L2472" s="1">
        <f>IFERROR(__xludf.DUMMYFUNCTION("""COMPUTED_VALUE"""),72.0)</f>
        <v>72</v>
      </c>
    </row>
    <row r="2473">
      <c r="A2473" s="1">
        <v>5309012.0</v>
      </c>
      <c r="B2473" s="1" t="s">
        <v>5256</v>
      </c>
      <c r="C2473" s="1" t="s">
        <v>5247</v>
      </c>
      <c r="D2473" s="1" t="s">
        <v>5257</v>
      </c>
      <c r="E2473" s="1" t="s">
        <v>5258</v>
      </c>
      <c r="F2473" s="1" t="s">
        <v>16</v>
      </c>
      <c r="G2473" s="1" t="s">
        <v>17</v>
      </c>
      <c r="H2473" s="1" t="s">
        <v>28</v>
      </c>
      <c r="I2473" s="1" t="s">
        <v>40</v>
      </c>
      <c r="J2473" s="1">
        <f>IFERROR(__xludf.DUMMYFUNCTION("""COMPUTED_VALUE"""),147.0)</f>
        <v>147</v>
      </c>
      <c r="K2473" s="1">
        <v>34.0</v>
      </c>
      <c r="L2473" s="1">
        <f>IFERROR(__xludf.DUMMYFUNCTION("""COMPUTED_VALUE"""),380.0)</f>
        <v>380</v>
      </c>
    </row>
    <row r="2474">
      <c r="A2474" s="1">
        <v>5303028.0</v>
      </c>
      <c r="B2474" s="1" t="s">
        <v>5259</v>
      </c>
      <c r="C2474" s="1" t="s">
        <v>5247</v>
      </c>
      <c r="D2474" s="1" t="s">
        <v>5251</v>
      </c>
      <c r="E2474" s="1" t="s">
        <v>5260</v>
      </c>
      <c r="F2474" s="1" t="s">
        <v>16</v>
      </c>
      <c r="G2474" s="1" t="s">
        <v>27</v>
      </c>
      <c r="H2474" s="1" t="s">
        <v>18</v>
      </c>
      <c r="I2474" s="1" t="s">
        <v>19</v>
      </c>
      <c r="J2474" s="1">
        <f>IFERROR(__xludf.DUMMYFUNCTION("""COMPUTED_VALUE"""),231.0)</f>
        <v>231</v>
      </c>
      <c r="K2474" s="1">
        <v>79.0</v>
      </c>
      <c r="L2474" s="1">
        <f>IFERROR(__xludf.DUMMYFUNCTION("""COMPUTED_VALUE"""),358.0)</f>
        <v>358</v>
      </c>
    </row>
    <row r="2475">
      <c r="A2475" s="1">
        <v>5301022.0</v>
      </c>
      <c r="B2475" s="1" t="s">
        <v>5261</v>
      </c>
      <c r="C2475" s="1" t="s">
        <v>5247</v>
      </c>
      <c r="D2475" s="1" t="s">
        <v>5262</v>
      </c>
      <c r="E2475" s="1" t="s">
        <v>5263</v>
      </c>
      <c r="F2475" s="1" t="s">
        <v>16</v>
      </c>
      <c r="G2475" s="1" t="s">
        <v>17</v>
      </c>
      <c r="H2475" s="1" t="s">
        <v>18</v>
      </c>
      <c r="I2475" s="1" t="s">
        <v>59</v>
      </c>
      <c r="J2475" s="1">
        <f>IFERROR(__xludf.DUMMYFUNCTION("""COMPUTED_VALUE"""),121.0)</f>
        <v>121</v>
      </c>
      <c r="K2475" s="1">
        <v>21.0</v>
      </c>
      <c r="L2475" s="1">
        <f>IFERROR(__xludf.DUMMYFUNCTION("""COMPUTED_VALUE"""),100.0)</f>
        <v>100</v>
      </c>
    </row>
    <row r="2476">
      <c r="A2476" s="1">
        <v>5371058.0</v>
      </c>
      <c r="B2476" s="1" t="s">
        <v>5264</v>
      </c>
      <c r="C2476" s="1" t="s">
        <v>5247</v>
      </c>
      <c r="D2476" s="1" t="s">
        <v>5251</v>
      </c>
      <c r="E2476" s="1" t="s">
        <v>5265</v>
      </c>
      <c r="F2476" s="1" t="s">
        <v>16</v>
      </c>
      <c r="G2476" s="1" t="s">
        <v>17</v>
      </c>
      <c r="H2476" s="1" t="s">
        <v>18</v>
      </c>
      <c r="I2476" s="1" t="s">
        <v>59</v>
      </c>
      <c r="J2476" s="1">
        <f>IFERROR(__xludf.DUMMYFUNCTION("""COMPUTED_VALUE"""),137.0)</f>
        <v>137</v>
      </c>
      <c r="K2476" s="1">
        <v>43.0</v>
      </c>
      <c r="L2476" s="1">
        <f>IFERROR(__xludf.DUMMYFUNCTION("""COMPUTED_VALUE"""),231.0)</f>
        <v>231</v>
      </c>
    </row>
    <row r="2477">
      <c r="A2477" s="1">
        <v>5313015.0</v>
      </c>
      <c r="B2477" s="1" t="s">
        <v>5266</v>
      </c>
      <c r="C2477" s="1" t="s">
        <v>5247</v>
      </c>
      <c r="D2477" s="1" t="s">
        <v>5267</v>
      </c>
      <c r="E2477" s="1" t="s">
        <v>5268</v>
      </c>
      <c r="F2477" s="1" t="s">
        <v>16</v>
      </c>
      <c r="G2477" s="1" t="s">
        <v>17</v>
      </c>
      <c r="H2477" s="1" t="s">
        <v>28</v>
      </c>
      <c r="I2477" s="1" t="s">
        <v>40</v>
      </c>
      <c r="J2477" s="1">
        <f>IFERROR(__xludf.DUMMYFUNCTION("""COMPUTED_VALUE"""),265.0)</f>
        <v>265</v>
      </c>
      <c r="K2477" s="1">
        <v>30.0</v>
      </c>
      <c r="L2477" s="1">
        <f>IFERROR(__xludf.DUMMYFUNCTION("""COMPUTED_VALUE"""),425.0)</f>
        <v>425</v>
      </c>
    </row>
    <row r="2478">
      <c r="A2478" s="1">
        <v>5309046.0</v>
      </c>
      <c r="B2478" s="1" t="s">
        <v>5269</v>
      </c>
      <c r="C2478" s="1" t="s">
        <v>5247</v>
      </c>
      <c r="D2478" s="1" t="s">
        <v>5257</v>
      </c>
      <c r="E2478" s="1" t="s">
        <v>5270</v>
      </c>
      <c r="F2478" s="1" t="s">
        <v>16</v>
      </c>
      <c r="G2478" s="1" t="s">
        <v>98</v>
      </c>
      <c r="H2478" s="1" t="s">
        <v>18</v>
      </c>
      <c r="I2478" s="1" t="s">
        <v>40</v>
      </c>
      <c r="J2478" s="1">
        <f>IFERROR(__xludf.DUMMYFUNCTION("""COMPUTED_VALUE"""),30.0)</f>
        <v>30</v>
      </c>
      <c r="K2478" s="1">
        <v>10.0</v>
      </c>
      <c r="L2478" s="1">
        <f>IFERROR(__xludf.DUMMYFUNCTION("""COMPUTED_VALUE"""),182.0)</f>
        <v>182</v>
      </c>
    </row>
    <row r="2479">
      <c r="A2479" s="1">
        <v>5371054.0</v>
      </c>
      <c r="B2479" s="1" t="s">
        <v>5271</v>
      </c>
      <c r="C2479" s="1" t="s">
        <v>5247</v>
      </c>
      <c r="D2479" s="1" t="s">
        <v>5251</v>
      </c>
      <c r="E2479" s="1" t="s">
        <v>5272</v>
      </c>
      <c r="F2479" s="1" t="s">
        <v>16</v>
      </c>
      <c r="G2479" s="1" t="s">
        <v>17</v>
      </c>
      <c r="H2479" s="1" t="s">
        <v>18</v>
      </c>
      <c r="I2479" s="1" t="s">
        <v>163</v>
      </c>
      <c r="J2479" s="1">
        <f>IFERROR(__xludf.DUMMYFUNCTION("""COMPUTED_VALUE"""),122.0)</f>
        <v>122</v>
      </c>
      <c r="K2479" s="1">
        <v>33.0</v>
      </c>
      <c r="L2479" s="1">
        <f>IFERROR(__xludf.DUMMYFUNCTION("""COMPUTED_VALUE"""),112.0)</f>
        <v>112</v>
      </c>
    </row>
    <row r="2480">
      <c r="A2480" s="1">
        <v>5317002.0</v>
      </c>
      <c r="B2480" s="1" t="s">
        <v>5273</v>
      </c>
      <c r="C2480" s="1" t="s">
        <v>5247</v>
      </c>
      <c r="D2480" s="1" t="s">
        <v>5262</v>
      </c>
      <c r="E2480" s="1" t="s">
        <v>5274</v>
      </c>
      <c r="F2480" s="1" t="s">
        <v>16</v>
      </c>
      <c r="G2480" s="1" t="s">
        <v>23</v>
      </c>
      <c r="H2480" s="1" t="s">
        <v>18</v>
      </c>
      <c r="I2480" s="1" t="s">
        <v>40</v>
      </c>
      <c r="J2480" s="1">
        <f>IFERROR(__xludf.DUMMYFUNCTION("""COMPUTED_VALUE"""),121.0)</f>
        <v>121</v>
      </c>
      <c r="K2480" s="1">
        <v>24.0</v>
      </c>
      <c r="L2480" s="1">
        <f>IFERROR(__xludf.DUMMYFUNCTION("""COMPUTED_VALUE"""),72.0)</f>
        <v>72</v>
      </c>
    </row>
    <row r="2481">
      <c r="A2481" s="1">
        <v>5318014.0</v>
      </c>
      <c r="B2481" s="1" t="s">
        <v>5275</v>
      </c>
      <c r="C2481" s="1" t="s">
        <v>5247</v>
      </c>
      <c r="D2481" s="1" t="s">
        <v>5276</v>
      </c>
      <c r="E2481" s="1" t="s">
        <v>5277</v>
      </c>
      <c r="F2481" s="1" t="s">
        <v>16</v>
      </c>
      <c r="G2481" s="1" t="s">
        <v>98</v>
      </c>
      <c r="H2481" s="1" t="s">
        <v>18</v>
      </c>
      <c r="I2481" s="1" t="s">
        <v>40</v>
      </c>
      <c r="J2481" s="1">
        <f>IFERROR(__xludf.DUMMYFUNCTION("""COMPUTED_VALUE"""),102.0)</f>
        <v>102</v>
      </c>
      <c r="K2481" s="1">
        <v>1.0</v>
      </c>
      <c r="L2481" s="1">
        <f>IFERROR(__xludf.DUMMYFUNCTION("""COMPUTED_VALUE"""),182.0)</f>
        <v>182</v>
      </c>
    </row>
    <row r="2482">
      <c r="A2482" s="1">
        <v>5305015.0</v>
      </c>
      <c r="B2482" s="1" t="s">
        <v>5278</v>
      </c>
      <c r="C2482" s="1" t="s">
        <v>5247</v>
      </c>
      <c r="D2482" s="1" t="s">
        <v>5279</v>
      </c>
      <c r="E2482" s="1" t="s">
        <v>5280</v>
      </c>
      <c r="F2482" s="1" t="s">
        <v>16</v>
      </c>
      <c r="G2482" s="1" t="s">
        <v>17</v>
      </c>
      <c r="H2482" s="1" t="s">
        <v>28</v>
      </c>
      <c r="I2482" s="1" t="s">
        <v>40</v>
      </c>
      <c r="J2482" s="1">
        <f>IFERROR(__xludf.DUMMYFUNCTION("""COMPUTED_VALUE"""),114.0)</f>
        <v>114</v>
      </c>
      <c r="K2482" s="1">
        <v>28.0</v>
      </c>
      <c r="L2482" s="1">
        <f>IFERROR(__xludf.DUMMYFUNCTION("""COMPUTED_VALUE"""),363.0)</f>
        <v>363</v>
      </c>
    </row>
    <row r="2483">
      <c r="A2483" s="1">
        <v>5309034.0</v>
      </c>
      <c r="B2483" s="1" t="s">
        <v>5281</v>
      </c>
      <c r="C2483" s="1" t="s">
        <v>5247</v>
      </c>
      <c r="D2483" s="1" t="s">
        <v>5282</v>
      </c>
      <c r="E2483" s="1" t="s">
        <v>5283</v>
      </c>
      <c r="F2483" s="1" t="s">
        <v>16</v>
      </c>
      <c r="G2483" s="1" t="s">
        <v>23</v>
      </c>
      <c r="H2483" s="1" t="s">
        <v>18</v>
      </c>
      <c r="I2483" s="1" t="s">
        <v>249</v>
      </c>
      <c r="J2483" s="1">
        <f>IFERROR(__xludf.DUMMYFUNCTION("""COMPUTED_VALUE"""),60.0)</f>
        <v>60</v>
      </c>
      <c r="K2483" s="1">
        <v>17.0</v>
      </c>
      <c r="L2483" s="1">
        <f>IFERROR(__xludf.DUMMYFUNCTION("""COMPUTED_VALUE"""),31.0)</f>
        <v>31</v>
      </c>
    </row>
    <row r="2484">
      <c r="A2484" s="1">
        <v>5303057.0</v>
      </c>
      <c r="B2484" s="1" t="s">
        <v>5284</v>
      </c>
      <c r="C2484" s="1" t="s">
        <v>5247</v>
      </c>
      <c r="D2484" s="1" t="s">
        <v>5285</v>
      </c>
      <c r="E2484" s="1" t="s">
        <v>5286</v>
      </c>
      <c r="F2484" s="1" t="s">
        <v>16</v>
      </c>
      <c r="G2484" s="1" t="s">
        <v>17</v>
      </c>
      <c r="H2484" s="1" t="s">
        <v>18</v>
      </c>
      <c r="I2484" s="1" t="s">
        <v>19</v>
      </c>
      <c r="J2484" s="1">
        <f>IFERROR(__xludf.DUMMYFUNCTION("""COMPUTED_VALUE"""),205.0)</f>
        <v>205</v>
      </c>
      <c r="K2484" s="1">
        <v>31.0</v>
      </c>
      <c r="L2484" s="1">
        <f>IFERROR(__xludf.DUMMYFUNCTION("""COMPUTED_VALUE"""),182.0)</f>
        <v>182</v>
      </c>
    </row>
    <row r="2485">
      <c r="A2485" s="1">
        <v>5371046.0</v>
      </c>
      <c r="B2485" s="1" t="s">
        <v>5287</v>
      </c>
      <c r="C2485" s="1" t="s">
        <v>5247</v>
      </c>
      <c r="D2485" s="1" t="s">
        <v>5251</v>
      </c>
      <c r="E2485" s="1" t="s">
        <v>5288</v>
      </c>
      <c r="F2485" s="1" t="s">
        <v>16</v>
      </c>
      <c r="G2485" s="1" t="s">
        <v>17</v>
      </c>
      <c r="H2485" s="1" t="s">
        <v>18</v>
      </c>
      <c r="I2485" s="1" t="s">
        <v>95</v>
      </c>
      <c r="J2485" s="1">
        <f>IFERROR(__xludf.DUMMYFUNCTION("""COMPUTED_VALUE"""),87.0)</f>
        <v>87</v>
      </c>
      <c r="K2485" s="1">
        <v>23.0</v>
      </c>
      <c r="L2485" s="1">
        <f>IFERROR(__xludf.DUMMYFUNCTION("""COMPUTED_VALUE"""),88.0)</f>
        <v>88</v>
      </c>
    </row>
    <row r="2486">
      <c r="A2486" s="1">
        <v>5302012.0</v>
      </c>
      <c r="B2486" s="1" t="s">
        <v>5289</v>
      </c>
      <c r="C2486" s="1" t="s">
        <v>5247</v>
      </c>
      <c r="D2486" s="1" t="s">
        <v>5254</v>
      </c>
      <c r="E2486" s="1" t="s">
        <v>5290</v>
      </c>
      <c r="F2486" s="1" t="s">
        <v>16</v>
      </c>
      <c r="G2486" s="1" t="s">
        <v>23</v>
      </c>
      <c r="H2486" s="1" t="s">
        <v>18</v>
      </c>
      <c r="I2486" s="1" t="s">
        <v>59</v>
      </c>
      <c r="J2486" s="1">
        <f>IFERROR(__xludf.DUMMYFUNCTION("""COMPUTED_VALUE"""),82.0)</f>
        <v>82</v>
      </c>
      <c r="K2486" s="1">
        <v>30.0</v>
      </c>
      <c r="L2486" s="1">
        <f>IFERROR(__xludf.DUMMYFUNCTION("""COMPUTED_VALUE"""),176.0)</f>
        <v>176</v>
      </c>
    </row>
    <row r="2487">
      <c r="A2487" s="1">
        <v>5371011.0</v>
      </c>
      <c r="B2487" s="1" t="s">
        <v>5291</v>
      </c>
      <c r="C2487" s="1" t="s">
        <v>5247</v>
      </c>
      <c r="D2487" s="1" t="s">
        <v>5251</v>
      </c>
      <c r="E2487" s="1" t="s">
        <v>5292</v>
      </c>
      <c r="F2487" s="1" t="s">
        <v>16</v>
      </c>
      <c r="G2487" s="1" t="s">
        <v>27</v>
      </c>
      <c r="H2487" s="1" t="s">
        <v>28</v>
      </c>
      <c r="I2487" s="1" t="s">
        <v>139</v>
      </c>
      <c r="J2487" s="1">
        <f>IFERROR(__xludf.DUMMYFUNCTION("""COMPUTED_VALUE"""),344.0)</f>
        <v>344</v>
      </c>
      <c r="K2487" s="1">
        <v>74.0</v>
      </c>
      <c r="L2487" s="1">
        <f>IFERROR(__xludf.DUMMYFUNCTION("""COMPUTED_VALUE"""),660.0)</f>
        <v>660</v>
      </c>
    </row>
    <row r="2488">
      <c r="A2488" s="1">
        <v>5371059.0</v>
      </c>
      <c r="B2488" s="1" t="s">
        <v>5293</v>
      </c>
      <c r="C2488" s="1" t="s">
        <v>5247</v>
      </c>
      <c r="D2488" s="1" t="s">
        <v>5251</v>
      </c>
      <c r="E2488" s="1" t="s">
        <v>5294</v>
      </c>
      <c r="F2488" s="1" t="s">
        <v>174</v>
      </c>
      <c r="G2488" s="1" t="s">
        <v>17</v>
      </c>
      <c r="H2488" s="1" t="s">
        <v>28</v>
      </c>
      <c r="I2488" s="1" t="s">
        <v>139</v>
      </c>
      <c r="J2488" s="1">
        <f>IFERROR(__xludf.DUMMYFUNCTION("""COMPUTED_VALUE"""),39.0)</f>
        <v>39</v>
      </c>
      <c r="K2488" s="1">
        <v>23.0</v>
      </c>
      <c r="L2488" s="1">
        <f>IFERROR(__xludf.DUMMYFUNCTION("""COMPUTED_VALUE"""),204.0)</f>
        <v>204</v>
      </c>
    </row>
    <row r="2489">
      <c r="A2489" s="1">
        <v>5304015.0</v>
      </c>
      <c r="B2489" s="1" t="s">
        <v>5295</v>
      </c>
      <c r="C2489" s="1" t="s">
        <v>5247</v>
      </c>
      <c r="D2489" s="1" t="s">
        <v>5296</v>
      </c>
      <c r="E2489" s="1" t="s">
        <v>5297</v>
      </c>
      <c r="F2489" s="1" t="s">
        <v>16</v>
      </c>
      <c r="G2489" s="1" t="s">
        <v>98</v>
      </c>
      <c r="H2489" s="1" t="s">
        <v>18</v>
      </c>
      <c r="I2489" s="1" t="s">
        <v>59</v>
      </c>
      <c r="J2489" s="1">
        <f>IFERROR(__xludf.DUMMYFUNCTION("""COMPUTED_VALUE"""),30.0)</f>
        <v>30</v>
      </c>
      <c r="K2489" s="1">
        <v>14.0</v>
      </c>
      <c r="L2489" s="1">
        <f>IFERROR(__xludf.DUMMYFUNCTION("""COMPUTED_VALUE"""),56.0)</f>
        <v>56</v>
      </c>
    </row>
    <row r="2490">
      <c r="A2490" s="1">
        <v>5319002.0</v>
      </c>
      <c r="B2490" s="1" t="s">
        <v>5298</v>
      </c>
      <c r="C2490" s="1" t="s">
        <v>5247</v>
      </c>
      <c r="D2490" s="1" t="s">
        <v>5299</v>
      </c>
      <c r="E2490" s="1" t="s">
        <v>5300</v>
      </c>
      <c r="F2490" s="1" t="s">
        <v>16</v>
      </c>
      <c r="G2490" s="1" t="s">
        <v>23</v>
      </c>
      <c r="H2490" s="1" t="s">
        <v>18</v>
      </c>
      <c r="I2490" s="1" t="s">
        <v>40</v>
      </c>
      <c r="J2490" s="1">
        <f>IFERROR(__xludf.DUMMYFUNCTION("""COMPUTED_VALUE"""),58.0)</f>
        <v>58</v>
      </c>
      <c r="K2490" s="1">
        <v>17.0</v>
      </c>
      <c r="L2490" s="1">
        <f>IFERROR(__xludf.DUMMYFUNCTION("""COMPUTED_VALUE"""),79.0)</f>
        <v>79</v>
      </c>
    </row>
    <row r="2491">
      <c r="A2491" s="1">
        <v>5306020.0</v>
      </c>
      <c r="B2491" s="1" t="s">
        <v>5301</v>
      </c>
      <c r="C2491" s="1" t="s">
        <v>5247</v>
      </c>
      <c r="D2491" s="1" t="s">
        <v>5302</v>
      </c>
      <c r="E2491" s="1" t="s">
        <v>5303</v>
      </c>
      <c r="F2491" s="1" t="s">
        <v>16</v>
      </c>
      <c r="G2491" s="1" t="s">
        <v>23</v>
      </c>
      <c r="H2491" s="1" t="s">
        <v>18</v>
      </c>
      <c r="I2491" s="1" t="s">
        <v>59</v>
      </c>
      <c r="J2491" s="1">
        <f>IFERROR(__xludf.DUMMYFUNCTION("""COMPUTED_VALUE"""),50.0)</f>
        <v>50</v>
      </c>
      <c r="K2491" s="1">
        <v>23.0</v>
      </c>
      <c r="L2491" s="1">
        <f>IFERROR(__xludf.DUMMYFUNCTION("""COMPUTED_VALUE"""),108.0)</f>
        <v>108</v>
      </c>
    </row>
    <row r="2492">
      <c r="A2492" s="1">
        <v>5310012.0</v>
      </c>
      <c r="B2492" s="1" t="s">
        <v>5304</v>
      </c>
      <c r="C2492" s="1" t="s">
        <v>5247</v>
      </c>
      <c r="D2492" s="1" t="s">
        <v>5305</v>
      </c>
      <c r="E2492" s="1" t="s">
        <v>5306</v>
      </c>
      <c r="F2492" s="1" t="s">
        <v>16</v>
      </c>
      <c r="G2492" s="1" t="s">
        <v>17</v>
      </c>
      <c r="H2492" s="1" t="s">
        <v>28</v>
      </c>
      <c r="I2492" s="1" t="s">
        <v>40</v>
      </c>
      <c r="J2492" s="1">
        <f>IFERROR(__xludf.DUMMYFUNCTION("""COMPUTED_VALUE"""),202.0)</f>
        <v>202</v>
      </c>
      <c r="K2492" s="1">
        <v>31.0</v>
      </c>
      <c r="L2492" s="1">
        <f>IFERROR(__xludf.DUMMYFUNCTION("""COMPUTED_VALUE"""),803.0)</f>
        <v>803</v>
      </c>
    </row>
    <row r="2493">
      <c r="A2493" s="1">
        <v>5303056.0</v>
      </c>
      <c r="B2493" s="1" t="s">
        <v>5307</v>
      </c>
      <c r="C2493" s="1" t="s">
        <v>5247</v>
      </c>
      <c r="D2493" s="1" t="s">
        <v>5251</v>
      </c>
      <c r="E2493" s="1" t="s">
        <v>5308</v>
      </c>
      <c r="F2493" s="1" t="s">
        <v>16</v>
      </c>
      <c r="G2493" s="1" t="s">
        <v>27</v>
      </c>
      <c r="H2493" s="1" t="s">
        <v>18</v>
      </c>
      <c r="I2493" s="1" t="s">
        <v>411</v>
      </c>
      <c r="J2493" s="1">
        <f>IFERROR(__xludf.DUMMYFUNCTION("""COMPUTED_VALUE"""),220.0)</f>
        <v>220</v>
      </c>
      <c r="K2493" s="1">
        <v>22.0</v>
      </c>
      <c r="L2493" s="1">
        <f>IFERROR(__xludf.DUMMYFUNCTION("""COMPUTED_VALUE"""),182.0)</f>
        <v>182</v>
      </c>
    </row>
    <row r="2494">
      <c r="A2494" s="1">
        <v>5303033.0</v>
      </c>
      <c r="B2494" s="1" t="s">
        <v>5309</v>
      </c>
      <c r="C2494" s="1" t="s">
        <v>5247</v>
      </c>
      <c r="D2494" s="1" t="s">
        <v>5251</v>
      </c>
      <c r="E2494" s="1" t="s">
        <v>5310</v>
      </c>
      <c r="F2494" s="1" t="s">
        <v>16</v>
      </c>
      <c r="G2494" s="1" t="s">
        <v>17</v>
      </c>
      <c r="H2494" s="1" t="s">
        <v>33</v>
      </c>
      <c r="I2494" s="1" t="s">
        <v>65</v>
      </c>
      <c r="J2494" s="1">
        <f>IFERROR(__xludf.DUMMYFUNCTION("""COMPUTED_VALUE"""),154.0)</f>
        <v>154</v>
      </c>
      <c r="K2494" s="1">
        <v>97.0</v>
      </c>
      <c r="L2494" s="1">
        <f>IFERROR(__xludf.DUMMYFUNCTION("""COMPUTED_VALUE"""),193.0)</f>
        <v>193</v>
      </c>
    </row>
    <row r="2495">
      <c r="A2495" s="1">
        <v>5303045.0</v>
      </c>
      <c r="B2495" s="1" t="s">
        <v>5311</v>
      </c>
      <c r="C2495" s="1" t="s">
        <v>5247</v>
      </c>
      <c r="D2495" s="1" t="s">
        <v>5285</v>
      </c>
      <c r="E2495" s="1" t="s">
        <v>5312</v>
      </c>
      <c r="F2495" s="1" t="s">
        <v>16</v>
      </c>
      <c r="G2495" s="1" t="s">
        <v>17</v>
      </c>
      <c r="H2495" s="1" t="s">
        <v>28</v>
      </c>
      <c r="I2495" s="1" t="s">
        <v>40</v>
      </c>
      <c r="J2495" s="1">
        <f>IFERROR(__xludf.DUMMYFUNCTION("""COMPUTED_VALUE"""),102.0)</f>
        <v>102</v>
      </c>
      <c r="K2495" s="1">
        <v>30.0</v>
      </c>
      <c r="L2495" s="1">
        <f>IFERROR(__xludf.DUMMYFUNCTION("""COMPUTED_VALUE"""),373.0)</f>
        <v>373</v>
      </c>
    </row>
    <row r="2496">
      <c r="A2496" s="1">
        <v>5304026.0</v>
      </c>
      <c r="B2496" s="1" t="s">
        <v>5313</v>
      </c>
      <c r="C2496" s="1" t="s">
        <v>5247</v>
      </c>
      <c r="D2496" s="1" t="s">
        <v>5296</v>
      </c>
      <c r="E2496" s="1" t="s">
        <v>5314</v>
      </c>
      <c r="F2496" s="1" t="s">
        <v>16</v>
      </c>
      <c r="G2496" s="1" t="s">
        <v>98</v>
      </c>
      <c r="H2496" s="1" t="s">
        <v>18</v>
      </c>
      <c r="I2496" s="1" t="s">
        <v>40</v>
      </c>
      <c r="J2496" s="1">
        <f>IFERROR(__xludf.DUMMYFUNCTION("""COMPUTED_VALUE"""),33.0)</f>
        <v>33</v>
      </c>
      <c r="K2496" s="1">
        <v>4.0</v>
      </c>
      <c r="L2496" s="1">
        <f>IFERROR(__xludf.DUMMYFUNCTION("""COMPUTED_VALUE"""),182.0)</f>
        <v>182</v>
      </c>
    </row>
    <row r="2497">
      <c r="A2497" s="1">
        <v>5315004.0</v>
      </c>
      <c r="B2497" s="1" t="s">
        <v>5315</v>
      </c>
      <c r="C2497" s="1" t="s">
        <v>5247</v>
      </c>
      <c r="D2497" s="1" t="s">
        <v>5316</v>
      </c>
      <c r="E2497" s="1" t="s">
        <v>5317</v>
      </c>
      <c r="F2497" s="1" t="s">
        <v>16</v>
      </c>
      <c r="G2497" s="1" t="s">
        <v>23</v>
      </c>
      <c r="H2497" s="1" t="s">
        <v>18</v>
      </c>
      <c r="I2497" s="1" t="s">
        <v>249</v>
      </c>
      <c r="J2497" s="1">
        <f>IFERROR(__xludf.DUMMYFUNCTION("""COMPUTED_VALUE"""),50.0)</f>
        <v>50</v>
      </c>
      <c r="K2497" s="1">
        <v>26.0</v>
      </c>
      <c r="L2497" s="1">
        <f>IFERROR(__xludf.DUMMYFUNCTION("""COMPUTED_VALUE"""),182.0)</f>
        <v>182</v>
      </c>
    </row>
    <row r="2498">
      <c r="A2498" s="1">
        <v>5303013.0</v>
      </c>
      <c r="B2498" s="1" t="s">
        <v>5318</v>
      </c>
      <c r="C2498" s="1" t="s">
        <v>5247</v>
      </c>
      <c r="D2498" s="1" t="s">
        <v>5251</v>
      </c>
      <c r="E2498" s="1" t="s">
        <v>5319</v>
      </c>
      <c r="F2498" s="1" t="s">
        <v>16</v>
      </c>
      <c r="G2498" s="1" t="s">
        <v>17</v>
      </c>
      <c r="H2498" s="1" t="s">
        <v>28</v>
      </c>
      <c r="I2498" s="1" t="s">
        <v>29</v>
      </c>
      <c r="J2498" s="1">
        <f>IFERROR(__xludf.DUMMYFUNCTION("""COMPUTED_VALUE"""),156.0)</f>
        <v>156</v>
      </c>
      <c r="K2498" s="1">
        <v>51.0</v>
      </c>
      <c r="L2498" s="1">
        <f>IFERROR(__xludf.DUMMYFUNCTION("""COMPUTED_VALUE"""),196.0)</f>
        <v>196</v>
      </c>
    </row>
    <row r="2499">
      <c r="A2499" s="1">
        <v>5306042.0</v>
      </c>
      <c r="B2499" s="1" t="s">
        <v>5320</v>
      </c>
      <c r="C2499" s="1" t="s">
        <v>5247</v>
      </c>
      <c r="D2499" s="1" t="s">
        <v>5321</v>
      </c>
      <c r="E2499" s="1" t="s">
        <v>5322</v>
      </c>
      <c r="F2499" s="1" t="s">
        <v>16</v>
      </c>
      <c r="G2499" s="1" t="s">
        <v>17</v>
      </c>
      <c r="H2499" s="1" t="s">
        <v>28</v>
      </c>
      <c r="I2499" s="1" t="s">
        <v>40</v>
      </c>
      <c r="J2499" s="1">
        <f>IFERROR(__xludf.DUMMYFUNCTION("""COMPUTED_VALUE"""),107.0)</f>
        <v>107</v>
      </c>
      <c r="K2499" s="1">
        <v>23.0</v>
      </c>
      <c r="L2499" s="1">
        <f>IFERROR(__xludf.DUMMYFUNCTION("""COMPUTED_VALUE"""),391.0)</f>
        <v>391</v>
      </c>
    </row>
    <row r="2500">
      <c r="A2500" s="1">
        <v>5302045.0</v>
      </c>
      <c r="B2500" s="1" t="s">
        <v>5323</v>
      </c>
      <c r="C2500" s="1" t="s">
        <v>5247</v>
      </c>
      <c r="D2500" s="1" t="s">
        <v>5254</v>
      </c>
      <c r="E2500" s="1" t="s">
        <v>5324</v>
      </c>
      <c r="F2500" s="1" t="s">
        <v>55</v>
      </c>
      <c r="G2500" s="1" t="s">
        <v>17</v>
      </c>
      <c r="H2500" s="1" t="s">
        <v>33</v>
      </c>
      <c r="I2500" s="1" t="s">
        <v>19</v>
      </c>
      <c r="J2500" s="1">
        <f>IFERROR(__xludf.DUMMYFUNCTION("""COMPUTED_VALUE"""),34.0)</f>
        <v>34</v>
      </c>
      <c r="K2500" s="1">
        <v>9.0</v>
      </c>
      <c r="L2500" s="1">
        <f>IFERROR(__xludf.DUMMYFUNCTION("""COMPUTED_VALUE"""),182.0)</f>
        <v>182</v>
      </c>
    </row>
    <row r="2501">
      <c r="A2501" s="1">
        <v>5302046.0</v>
      </c>
      <c r="B2501" s="1" t="s">
        <v>5325</v>
      </c>
      <c r="C2501" s="1" t="s">
        <v>5247</v>
      </c>
      <c r="D2501" s="1" t="s">
        <v>5254</v>
      </c>
      <c r="E2501" s="1" t="s">
        <v>5326</v>
      </c>
      <c r="F2501" s="1" t="s">
        <v>16</v>
      </c>
      <c r="G2501" s="1" t="s">
        <v>98</v>
      </c>
      <c r="H2501" s="1" t="s">
        <v>18</v>
      </c>
      <c r="I2501" s="1" t="s">
        <v>34</v>
      </c>
      <c r="J2501" s="1">
        <f>IFERROR(__xludf.DUMMYFUNCTION("""COMPUTED_VALUE"""),37.0)</f>
        <v>37</v>
      </c>
      <c r="K2501" s="1">
        <v>11.0</v>
      </c>
      <c r="L2501" s="1">
        <f>IFERROR(__xludf.DUMMYFUNCTION("""COMPUTED_VALUE"""),182.0)</f>
        <v>182</v>
      </c>
    </row>
    <row r="2502">
      <c r="A2502" s="1">
        <v>5311013.0</v>
      </c>
      <c r="B2502" s="1" t="s">
        <v>5327</v>
      </c>
      <c r="C2502" s="1" t="s">
        <v>5247</v>
      </c>
      <c r="D2502" s="1" t="s">
        <v>5248</v>
      </c>
      <c r="E2502" s="1" t="s">
        <v>5328</v>
      </c>
      <c r="F2502" s="1" t="s">
        <v>16</v>
      </c>
      <c r="G2502" s="1" t="s">
        <v>17</v>
      </c>
      <c r="H2502" s="1" t="s">
        <v>28</v>
      </c>
      <c r="I2502" s="1" t="s">
        <v>40</v>
      </c>
      <c r="J2502" s="1">
        <f>IFERROR(__xludf.DUMMYFUNCTION("""COMPUTED_VALUE"""),184.0)</f>
        <v>184</v>
      </c>
      <c r="K2502" s="1">
        <v>18.0</v>
      </c>
      <c r="L2502" s="1">
        <f>IFERROR(__xludf.DUMMYFUNCTION("""COMPUTED_VALUE"""),605.0)</f>
        <v>605</v>
      </c>
    </row>
    <row r="2503">
      <c r="A2503" s="1">
        <v>5307021.0</v>
      </c>
      <c r="B2503" s="1" t="s">
        <v>5329</v>
      </c>
      <c r="C2503" s="1" t="s">
        <v>5247</v>
      </c>
      <c r="D2503" s="1" t="s">
        <v>5330</v>
      </c>
      <c r="E2503" s="1" t="s">
        <v>5331</v>
      </c>
      <c r="F2503" s="1" t="s">
        <v>16</v>
      </c>
      <c r="G2503" s="1" t="s">
        <v>98</v>
      </c>
      <c r="H2503" s="1" t="s">
        <v>18</v>
      </c>
      <c r="I2503" s="1" t="s">
        <v>40</v>
      </c>
      <c r="J2503" s="1">
        <f>IFERROR(__xludf.DUMMYFUNCTION("""COMPUTED_VALUE"""),18.0)</f>
        <v>18</v>
      </c>
      <c r="K2503" s="1">
        <v>9.0</v>
      </c>
      <c r="L2503" s="1">
        <f>IFERROR(__xludf.DUMMYFUNCTION("""COMPUTED_VALUE"""),25.0)</f>
        <v>25</v>
      </c>
    </row>
    <row r="2504">
      <c r="A2504" s="1">
        <v>5301011.0</v>
      </c>
      <c r="B2504" s="1" t="s">
        <v>5332</v>
      </c>
      <c r="C2504" s="1" t="s">
        <v>5247</v>
      </c>
      <c r="D2504" s="1" t="s">
        <v>5333</v>
      </c>
      <c r="E2504" s="1" t="s">
        <v>5334</v>
      </c>
      <c r="F2504" s="1" t="s">
        <v>16</v>
      </c>
      <c r="G2504" s="1" t="s">
        <v>23</v>
      </c>
      <c r="H2504" s="1" t="s">
        <v>18</v>
      </c>
      <c r="I2504" s="1" t="s">
        <v>59</v>
      </c>
      <c r="J2504" s="1">
        <f>IFERROR(__xludf.DUMMYFUNCTION("""COMPUTED_VALUE"""),86.0)</f>
        <v>86</v>
      </c>
      <c r="K2504" s="1">
        <v>23.0</v>
      </c>
      <c r="L2504" s="1">
        <f>IFERROR(__xludf.DUMMYFUNCTION("""COMPUTED_VALUE"""),217.0)</f>
        <v>217</v>
      </c>
    </row>
    <row r="2505">
      <c r="A2505" s="1">
        <v>5312014.0</v>
      </c>
      <c r="B2505" s="1" t="s">
        <v>5335</v>
      </c>
      <c r="C2505" s="1" t="s">
        <v>5247</v>
      </c>
      <c r="D2505" s="1" t="s">
        <v>5336</v>
      </c>
      <c r="E2505" s="1" t="s">
        <v>5337</v>
      </c>
      <c r="F2505" s="1" t="s">
        <v>16</v>
      </c>
      <c r="G2505" s="1" t="s">
        <v>17</v>
      </c>
      <c r="H2505" s="1" t="s">
        <v>28</v>
      </c>
      <c r="I2505" s="1" t="s">
        <v>40</v>
      </c>
      <c r="J2505" s="1">
        <f>IFERROR(__xludf.DUMMYFUNCTION("""COMPUTED_VALUE"""),113.0)</f>
        <v>113</v>
      </c>
      <c r="K2505" s="1">
        <v>21.0</v>
      </c>
      <c r="L2505" s="1">
        <f>IFERROR(__xludf.DUMMYFUNCTION("""COMPUTED_VALUE"""),399.0)</f>
        <v>399</v>
      </c>
    </row>
    <row r="2506">
      <c r="A2506" s="1">
        <v>5371052.0</v>
      </c>
      <c r="B2506" s="1" t="s">
        <v>5338</v>
      </c>
      <c r="C2506" s="1" t="s">
        <v>5247</v>
      </c>
      <c r="D2506" s="1" t="s">
        <v>5251</v>
      </c>
      <c r="E2506" s="1" t="s">
        <v>5339</v>
      </c>
      <c r="F2506" s="1" t="s">
        <v>16</v>
      </c>
      <c r="G2506" s="1" t="s">
        <v>17</v>
      </c>
      <c r="H2506" s="1" t="s">
        <v>18</v>
      </c>
      <c r="I2506" s="1" t="s">
        <v>249</v>
      </c>
      <c r="J2506" s="1">
        <f>IFERROR(__xludf.DUMMYFUNCTION("""COMPUTED_VALUE"""),100.0)</f>
        <v>100</v>
      </c>
      <c r="K2506" s="1">
        <v>69.0</v>
      </c>
      <c r="L2506" s="1">
        <f>IFERROR(__xludf.DUMMYFUNCTION("""COMPUTED_VALUE"""),195.0)</f>
        <v>195</v>
      </c>
    </row>
    <row r="2507">
      <c r="A2507" s="1">
        <v>5304014.0</v>
      </c>
      <c r="B2507" s="1" t="s">
        <v>5340</v>
      </c>
      <c r="C2507" s="1" t="s">
        <v>5247</v>
      </c>
      <c r="D2507" s="1" t="s">
        <v>5296</v>
      </c>
      <c r="E2507" s="1" t="s">
        <v>5341</v>
      </c>
      <c r="F2507" s="1" t="s">
        <v>16</v>
      </c>
      <c r="G2507" s="1" t="s">
        <v>17</v>
      </c>
      <c r="H2507" s="1" t="s">
        <v>28</v>
      </c>
      <c r="I2507" s="1" t="s">
        <v>40</v>
      </c>
      <c r="J2507" s="1">
        <f>IFERROR(__xludf.DUMMYFUNCTION("""COMPUTED_VALUE"""),109.0)</f>
        <v>109</v>
      </c>
      <c r="K2507" s="1">
        <v>34.0</v>
      </c>
      <c r="L2507" s="1">
        <f>IFERROR(__xludf.DUMMYFUNCTION("""COMPUTED_VALUE"""),331.0)</f>
        <v>331</v>
      </c>
    </row>
    <row r="2508">
      <c r="A2508" s="1">
        <v>5308023.0</v>
      </c>
      <c r="B2508" s="1" t="s">
        <v>5342</v>
      </c>
      <c r="C2508" s="1" t="s">
        <v>5247</v>
      </c>
      <c r="D2508" s="1" t="s">
        <v>5282</v>
      </c>
      <c r="E2508" s="1" t="s">
        <v>5343</v>
      </c>
      <c r="F2508" s="1" t="s">
        <v>16</v>
      </c>
      <c r="G2508" s="1" t="s">
        <v>23</v>
      </c>
      <c r="H2508" s="1" t="s">
        <v>18</v>
      </c>
      <c r="I2508" s="1" t="s">
        <v>249</v>
      </c>
      <c r="J2508" s="1">
        <f>IFERROR(__xludf.DUMMYFUNCTION("""COMPUTED_VALUE"""),55.0)</f>
        <v>55</v>
      </c>
      <c r="K2508" s="1">
        <v>11.0</v>
      </c>
      <c r="L2508" s="1">
        <f>IFERROR(__xludf.DUMMYFUNCTION("""COMPUTED_VALUE"""),26.0)</f>
        <v>26</v>
      </c>
    </row>
    <row r="2509">
      <c r="A2509" s="1">
        <v>5306053.0</v>
      </c>
      <c r="B2509" s="1" t="s">
        <v>5344</v>
      </c>
      <c r="C2509" s="1" t="s">
        <v>5247</v>
      </c>
      <c r="D2509" s="1" t="s">
        <v>5302</v>
      </c>
      <c r="E2509" s="1" t="s">
        <v>5345</v>
      </c>
      <c r="F2509" s="1" t="s">
        <v>16</v>
      </c>
      <c r="G2509" s="1" t="s">
        <v>23</v>
      </c>
      <c r="H2509" s="1" t="s">
        <v>18</v>
      </c>
      <c r="I2509" s="1" t="s">
        <v>74</v>
      </c>
      <c r="J2509" s="1">
        <f>IFERROR(__xludf.DUMMYFUNCTION("""COMPUTED_VALUE"""),72.0)</f>
        <v>72</v>
      </c>
      <c r="K2509" s="1">
        <v>18.0</v>
      </c>
      <c r="L2509" s="1">
        <f>IFERROR(__xludf.DUMMYFUNCTION("""COMPUTED_VALUE"""),182.0)</f>
        <v>182</v>
      </c>
    </row>
    <row r="2510">
      <c r="A2510" s="1">
        <v>5301033.0</v>
      </c>
      <c r="B2510" s="1" t="s">
        <v>5346</v>
      </c>
      <c r="C2510" s="1" t="s">
        <v>5247</v>
      </c>
      <c r="D2510" s="1" t="s">
        <v>5333</v>
      </c>
      <c r="E2510" s="1" t="s">
        <v>5347</v>
      </c>
      <c r="F2510" s="1" t="s">
        <v>16</v>
      </c>
      <c r="G2510" s="1" t="s">
        <v>17</v>
      </c>
      <c r="H2510" s="1" t="s">
        <v>28</v>
      </c>
      <c r="I2510" s="1" t="s">
        <v>40</v>
      </c>
      <c r="J2510" s="1">
        <f>IFERROR(__xludf.DUMMYFUNCTION("""COMPUTED_VALUE"""),117.0)</f>
        <v>117</v>
      </c>
      <c r="K2510" s="1">
        <v>34.0</v>
      </c>
      <c r="L2510" s="1">
        <f>IFERROR(__xludf.DUMMYFUNCTION("""COMPUTED_VALUE"""),473.0)</f>
        <v>473</v>
      </c>
    </row>
    <row r="2511">
      <c r="A2511" s="1">
        <v>5313026.0</v>
      </c>
      <c r="B2511" s="1" t="s">
        <v>5348</v>
      </c>
      <c r="C2511" s="1" t="s">
        <v>5247</v>
      </c>
      <c r="D2511" s="1" t="s">
        <v>5267</v>
      </c>
      <c r="E2511" s="1" t="s">
        <v>5349</v>
      </c>
      <c r="F2511" s="1" t="s">
        <v>16</v>
      </c>
      <c r="G2511" s="1" t="s">
        <v>98</v>
      </c>
      <c r="H2511" s="1" t="s">
        <v>18</v>
      </c>
      <c r="I2511" s="1" t="s">
        <v>249</v>
      </c>
      <c r="J2511" s="1">
        <f>IFERROR(__xludf.DUMMYFUNCTION("""COMPUTED_VALUE"""),69.0)</f>
        <v>69</v>
      </c>
      <c r="K2511" s="1">
        <v>16.0</v>
      </c>
      <c r="L2511" s="1">
        <f>IFERROR(__xludf.DUMMYFUNCTION("""COMPUTED_VALUE"""),113.0)</f>
        <v>113</v>
      </c>
    </row>
    <row r="2512">
      <c r="A2512" s="1">
        <v>5371057.0</v>
      </c>
      <c r="B2512" s="1" t="s">
        <v>5350</v>
      </c>
      <c r="C2512" s="1" t="s">
        <v>5247</v>
      </c>
      <c r="D2512" s="1" t="s">
        <v>5251</v>
      </c>
      <c r="E2512" s="1" t="s">
        <v>5351</v>
      </c>
      <c r="F2512" s="1" t="s">
        <v>16</v>
      </c>
      <c r="G2512" s="1" t="s">
        <v>23</v>
      </c>
      <c r="H2512" s="1" t="s">
        <v>18</v>
      </c>
      <c r="I2512" s="1" t="s">
        <v>44</v>
      </c>
      <c r="J2512" s="1">
        <f>IFERROR(__xludf.DUMMYFUNCTION("""COMPUTED_VALUE"""),61.0)</f>
        <v>61</v>
      </c>
      <c r="K2512" s="1">
        <v>89.0</v>
      </c>
      <c r="L2512" s="1">
        <f>IFERROR(__xludf.DUMMYFUNCTION("""COMPUTED_VALUE"""),124.0)</f>
        <v>124</v>
      </c>
    </row>
    <row r="2513">
      <c r="A2513" s="1">
        <v>5306016.0</v>
      </c>
      <c r="B2513" s="1" t="s">
        <v>5352</v>
      </c>
      <c r="C2513" s="1" t="s">
        <v>5247</v>
      </c>
      <c r="D2513" s="1" t="s">
        <v>5302</v>
      </c>
      <c r="E2513" s="1" t="s">
        <v>5353</v>
      </c>
      <c r="F2513" s="1" t="s">
        <v>16</v>
      </c>
      <c r="G2513" s="1" t="s">
        <v>17</v>
      </c>
      <c r="H2513" s="1" t="s">
        <v>28</v>
      </c>
      <c r="I2513" s="1" t="s">
        <v>40</v>
      </c>
      <c r="J2513" s="1">
        <f>IFERROR(__xludf.DUMMYFUNCTION("""COMPUTED_VALUE"""),183.0)</f>
        <v>183</v>
      </c>
      <c r="K2513" s="1">
        <v>26.0</v>
      </c>
      <c r="L2513" s="1">
        <f>IFERROR(__xludf.DUMMYFUNCTION("""COMPUTED_VALUE"""),367.0)</f>
        <v>367</v>
      </c>
    </row>
    <row r="2514">
      <c r="A2514" s="1">
        <v>5308045.0</v>
      </c>
      <c r="B2514" s="1" t="s">
        <v>5354</v>
      </c>
      <c r="C2514" s="1" t="s">
        <v>5247</v>
      </c>
      <c r="D2514" s="1" t="s">
        <v>5282</v>
      </c>
      <c r="E2514" s="1" t="s">
        <v>5355</v>
      </c>
      <c r="F2514" s="1" t="s">
        <v>16</v>
      </c>
      <c r="G2514" s="1" t="s">
        <v>17</v>
      </c>
      <c r="H2514" s="1" t="s">
        <v>18</v>
      </c>
      <c r="I2514" s="1" t="s">
        <v>40</v>
      </c>
      <c r="J2514" s="1">
        <f>IFERROR(__xludf.DUMMYFUNCTION("""COMPUTED_VALUE"""),103.0)</f>
        <v>103</v>
      </c>
      <c r="K2514" s="1">
        <v>23.0</v>
      </c>
      <c r="L2514" s="1">
        <f>IFERROR(__xludf.DUMMYFUNCTION("""COMPUTED_VALUE"""),311.0)</f>
        <v>311</v>
      </c>
    </row>
    <row r="2515">
      <c r="A2515" s="1">
        <v>5305024.0</v>
      </c>
      <c r="B2515" s="1" t="s">
        <v>5356</v>
      </c>
      <c r="C2515" s="1" t="s">
        <v>5247</v>
      </c>
      <c r="D2515" s="1" t="s">
        <v>5279</v>
      </c>
      <c r="E2515" s="1" t="s">
        <v>5357</v>
      </c>
      <c r="F2515" s="1" t="s">
        <v>16</v>
      </c>
      <c r="G2515" s="1" t="s">
        <v>23</v>
      </c>
      <c r="H2515" s="1" t="s">
        <v>18</v>
      </c>
      <c r="I2515" s="1" t="s">
        <v>59</v>
      </c>
      <c r="J2515" s="1">
        <f>IFERROR(__xludf.DUMMYFUNCTION("""COMPUTED_VALUE"""),55.0)</f>
        <v>55</v>
      </c>
      <c r="K2515" s="1">
        <v>21.0</v>
      </c>
      <c r="L2515" s="1">
        <f>IFERROR(__xludf.DUMMYFUNCTION("""COMPUTED_VALUE"""),10.0)</f>
        <v>10</v>
      </c>
    </row>
    <row r="2516">
      <c r="A2516" s="1">
        <v>5315002.0</v>
      </c>
      <c r="B2516" s="1" t="s">
        <v>5358</v>
      </c>
      <c r="C2516" s="1" t="s">
        <v>5247</v>
      </c>
      <c r="D2516" s="1" t="s">
        <v>5316</v>
      </c>
      <c r="E2516" s="1" t="s">
        <v>5359</v>
      </c>
      <c r="F2516" s="1" t="s">
        <v>16</v>
      </c>
      <c r="G2516" s="1" t="s">
        <v>17</v>
      </c>
      <c r="H2516" s="1" t="s">
        <v>18</v>
      </c>
      <c r="I2516" s="1" t="s">
        <v>19</v>
      </c>
      <c r="J2516" s="1">
        <f>IFERROR(__xludf.DUMMYFUNCTION("""COMPUTED_VALUE"""),77.0)</f>
        <v>77</v>
      </c>
      <c r="K2516" s="1">
        <v>40.0</v>
      </c>
      <c r="L2516" s="1">
        <f>IFERROR(__xludf.DUMMYFUNCTION("""COMPUTED_VALUE"""),198.0)</f>
        <v>198</v>
      </c>
    </row>
    <row r="2517">
      <c r="A2517" s="1">
        <v>5302023.0</v>
      </c>
      <c r="B2517" s="1" t="s">
        <v>5360</v>
      </c>
      <c r="C2517" s="1" t="s">
        <v>5247</v>
      </c>
      <c r="D2517" s="1" t="s">
        <v>5254</v>
      </c>
      <c r="E2517" s="1" t="s">
        <v>5361</v>
      </c>
      <c r="F2517" s="1" t="s">
        <v>16</v>
      </c>
      <c r="G2517" s="1" t="s">
        <v>17</v>
      </c>
      <c r="H2517" s="1" t="s">
        <v>28</v>
      </c>
      <c r="I2517" s="1" t="s">
        <v>40</v>
      </c>
      <c r="J2517" s="1">
        <f>IFERROR(__xludf.DUMMYFUNCTION("""COMPUTED_VALUE"""),136.0)</f>
        <v>136</v>
      </c>
      <c r="K2517" s="1">
        <v>35.0</v>
      </c>
      <c r="L2517" s="1">
        <f>IFERROR(__xludf.DUMMYFUNCTION("""COMPUTED_VALUE"""),520.0)</f>
        <v>520</v>
      </c>
    </row>
    <row r="2518">
      <c r="A2518" s="1">
        <v>5305025.0</v>
      </c>
      <c r="B2518" s="1" t="s">
        <v>5362</v>
      </c>
      <c r="C2518" s="1" t="s">
        <v>5247</v>
      </c>
      <c r="D2518" s="1" t="s">
        <v>5279</v>
      </c>
      <c r="E2518" s="1" t="s">
        <v>5363</v>
      </c>
      <c r="F2518" s="1" t="s">
        <v>16</v>
      </c>
      <c r="G2518" s="1" t="s">
        <v>17</v>
      </c>
      <c r="H2518" s="1" t="s">
        <v>18</v>
      </c>
      <c r="I2518" s="1" t="s">
        <v>44</v>
      </c>
      <c r="J2518" s="1">
        <f>IFERROR(__xludf.DUMMYFUNCTION("""COMPUTED_VALUE"""),133.0)</f>
        <v>133</v>
      </c>
      <c r="K2518" s="1">
        <v>43.0</v>
      </c>
      <c r="L2518" s="1">
        <f>IFERROR(__xludf.DUMMYFUNCTION("""COMPUTED_VALUE"""),127.0)</f>
        <v>127</v>
      </c>
    </row>
    <row r="2519">
      <c r="A2519" s="1">
        <v>5303022.0</v>
      </c>
      <c r="B2519" s="1" t="s">
        <v>5364</v>
      </c>
      <c r="C2519" s="1" t="s">
        <v>5247</v>
      </c>
      <c r="D2519" s="1" t="s">
        <v>5251</v>
      </c>
      <c r="E2519" s="1" t="s">
        <v>5365</v>
      </c>
      <c r="F2519" s="1" t="s">
        <v>16</v>
      </c>
      <c r="G2519" s="1" t="s">
        <v>17</v>
      </c>
      <c r="H2519" s="1" t="s">
        <v>18</v>
      </c>
      <c r="I2519" s="1" t="s">
        <v>74</v>
      </c>
      <c r="J2519" s="1">
        <f>IFERROR(__xludf.DUMMYFUNCTION("""COMPUTED_VALUE"""),130.0)</f>
        <v>130</v>
      </c>
      <c r="K2519" s="1">
        <v>33.0</v>
      </c>
      <c r="L2519" s="1">
        <f>IFERROR(__xludf.DUMMYFUNCTION("""COMPUTED_VALUE"""),208.0)</f>
        <v>208</v>
      </c>
    </row>
    <row r="2520">
      <c r="A2520" s="1">
        <v>5313037.0</v>
      </c>
      <c r="B2520" s="1" t="s">
        <v>5366</v>
      </c>
      <c r="C2520" s="1" t="s">
        <v>5247</v>
      </c>
      <c r="D2520" s="1" t="s">
        <v>5267</v>
      </c>
      <c r="E2520" s="1" t="s">
        <v>5367</v>
      </c>
      <c r="F2520" s="1" t="s">
        <v>16</v>
      </c>
      <c r="G2520" s="1" t="s">
        <v>98</v>
      </c>
      <c r="H2520" s="1" t="s">
        <v>18</v>
      </c>
      <c r="I2520" s="1" t="s">
        <v>40</v>
      </c>
      <c r="J2520" s="1">
        <f>IFERROR(__xludf.DUMMYFUNCTION("""COMPUTED_VALUE"""),71.0)</f>
        <v>71</v>
      </c>
      <c r="K2520" s="1">
        <v>28.0</v>
      </c>
      <c r="L2520" s="1">
        <f>IFERROR(__xludf.DUMMYFUNCTION("""COMPUTED_VALUE"""),182.0)</f>
        <v>182</v>
      </c>
    </row>
    <row r="2521">
      <c r="A2521" s="1">
        <v>5310034.0</v>
      </c>
      <c r="B2521" s="1" t="s">
        <v>5368</v>
      </c>
      <c r="C2521" s="1" t="s">
        <v>5247</v>
      </c>
      <c r="D2521" s="1" t="s">
        <v>5305</v>
      </c>
      <c r="E2521" s="1" t="s">
        <v>5369</v>
      </c>
      <c r="F2521" s="1" t="s">
        <v>16</v>
      </c>
      <c r="G2521" s="1" t="s">
        <v>23</v>
      </c>
      <c r="H2521" s="1" t="s">
        <v>18</v>
      </c>
      <c r="I2521" s="1" t="s">
        <v>59</v>
      </c>
      <c r="J2521" s="1">
        <f>IFERROR(__xludf.DUMMYFUNCTION("""COMPUTED_VALUE"""),77.0)</f>
        <v>77</v>
      </c>
      <c r="K2521" s="1">
        <v>49.0</v>
      </c>
      <c r="L2521" s="1">
        <f>IFERROR(__xludf.DUMMYFUNCTION("""COMPUTED_VALUE"""),148.0)</f>
        <v>148</v>
      </c>
    </row>
    <row r="2522">
      <c r="A2522" s="1">
        <v>5319013.0</v>
      </c>
      <c r="B2522" s="1" t="s">
        <v>5370</v>
      </c>
      <c r="C2522" s="1" t="s">
        <v>5247</v>
      </c>
      <c r="D2522" s="1" t="s">
        <v>5299</v>
      </c>
      <c r="E2522" s="1" t="s">
        <v>5371</v>
      </c>
      <c r="F2522" s="1" t="s">
        <v>16</v>
      </c>
      <c r="G2522" s="1" t="s">
        <v>98</v>
      </c>
      <c r="H2522" s="1" t="s">
        <v>18</v>
      </c>
      <c r="I2522" s="1" t="s">
        <v>40</v>
      </c>
      <c r="J2522" s="1">
        <f>IFERROR(__xludf.DUMMYFUNCTION("""COMPUTED_VALUE"""),32.0)</f>
        <v>32</v>
      </c>
      <c r="K2522" s="1">
        <v>40.0</v>
      </c>
      <c r="L2522" s="1">
        <f>IFERROR(__xludf.DUMMYFUNCTION("""COMPUTED_VALUE"""),182.0)</f>
        <v>182</v>
      </c>
    </row>
    <row r="2523">
      <c r="A2523" s="1">
        <v>5301035.0</v>
      </c>
      <c r="B2523" s="1" t="s">
        <v>5372</v>
      </c>
      <c r="C2523" s="1" t="s">
        <v>5247</v>
      </c>
      <c r="D2523" s="1" t="s">
        <v>5333</v>
      </c>
      <c r="E2523" s="1" t="s">
        <v>5373</v>
      </c>
      <c r="F2523" s="1" t="s">
        <v>16</v>
      </c>
      <c r="G2523" s="1" t="s">
        <v>23</v>
      </c>
      <c r="H2523" s="1" t="s">
        <v>18</v>
      </c>
      <c r="I2523" s="1" t="s">
        <v>40</v>
      </c>
      <c r="J2523" s="1">
        <f>IFERROR(__xludf.DUMMYFUNCTION("""COMPUTED_VALUE"""),50.0)</f>
        <v>50</v>
      </c>
      <c r="K2523" s="1">
        <v>17.0</v>
      </c>
      <c r="L2523" s="1">
        <f>IFERROR(__xludf.DUMMYFUNCTION("""COMPUTED_VALUE"""),1.0)</f>
        <v>1</v>
      </c>
    </row>
    <row r="2524">
      <c r="A2524" s="1">
        <v>5306031.0</v>
      </c>
      <c r="B2524" s="1" t="s">
        <v>5374</v>
      </c>
      <c r="C2524" s="1" t="s">
        <v>5247</v>
      </c>
      <c r="D2524" s="1" t="s">
        <v>5302</v>
      </c>
      <c r="E2524" s="1" t="s">
        <v>5375</v>
      </c>
      <c r="F2524" s="1" t="s">
        <v>16</v>
      </c>
      <c r="G2524" s="1" t="s">
        <v>23</v>
      </c>
      <c r="H2524" s="1" t="s">
        <v>18</v>
      </c>
      <c r="I2524" s="1" t="s">
        <v>59</v>
      </c>
      <c r="J2524" s="1">
        <f>IFERROR(__xludf.DUMMYFUNCTION("""COMPUTED_VALUE"""),88.0)</f>
        <v>88</v>
      </c>
      <c r="K2524" s="1">
        <v>31.0</v>
      </c>
      <c r="L2524" s="1">
        <f>IFERROR(__xludf.DUMMYFUNCTION("""COMPUTED_VALUE"""),182.0)</f>
        <v>182</v>
      </c>
    </row>
    <row r="2525">
      <c r="A2525" s="1">
        <v>5310023.0</v>
      </c>
      <c r="B2525" s="1" t="s">
        <v>5376</v>
      </c>
      <c r="C2525" s="1" t="s">
        <v>5247</v>
      </c>
      <c r="D2525" s="1" t="s">
        <v>5305</v>
      </c>
      <c r="E2525" s="1" t="s">
        <v>5377</v>
      </c>
      <c r="F2525" s="1" t="s">
        <v>16</v>
      </c>
      <c r="G2525" s="1" t="s">
        <v>23</v>
      </c>
      <c r="H2525" s="1" t="s">
        <v>18</v>
      </c>
      <c r="I2525" s="1" t="s">
        <v>249</v>
      </c>
      <c r="J2525" s="1">
        <f>IFERROR(__xludf.DUMMYFUNCTION("""COMPUTED_VALUE"""),54.0)</f>
        <v>54</v>
      </c>
      <c r="K2525" s="1">
        <v>21.0</v>
      </c>
      <c r="L2525" s="1">
        <f>IFERROR(__xludf.DUMMYFUNCTION("""COMPUTED_VALUE"""),105.0)</f>
        <v>105</v>
      </c>
    </row>
    <row r="2526">
      <c r="A2526" s="1">
        <v>5320002.0</v>
      </c>
      <c r="B2526" s="1" t="s">
        <v>5378</v>
      </c>
      <c r="C2526" s="1" t="s">
        <v>5247</v>
      </c>
      <c r="D2526" s="1" t="s">
        <v>5379</v>
      </c>
      <c r="E2526" s="1" t="s">
        <v>5380</v>
      </c>
      <c r="F2526" s="1" t="s">
        <v>16</v>
      </c>
      <c r="G2526" s="1" t="s">
        <v>23</v>
      </c>
      <c r="H2526" s="1" t="s">
        <v>18</v>
      </c>
      <c r="I2526" s="1" t="s">
        <v>40</v>
      </c>
      <c r="J2526" s="1">
        <f>IFERROR(__xludf.DUMMYFUNCTION("""COMPUTED_VALUE"""),58.0)</f>
        <v>58</v>
      </c>
      <c r="K2526" s="1">
        <v>15.0</v>
      </c>
      <c r="L2526" s="1">
        <f>IFERROR(__xludf.DUMMYFUNCTION("""COMPUTED_VALUE"""),61.0)</f>
        <v>61</v>
      </c>
    </row>
    <row r="2527">
      <c r="A2527" s="1">
        <v>5318002.0</v>
      </c>
      <c r="B2527" s="1" t="s">
        <v>5381</v>
      </c>
      <c r="C2527" s="1" t="s">
        <v>5247</v>
      </c>
      <c r="D2527" s="1" t="s">
        <v>5276</v>
      </c>
      <c r="E2527" s="1" t="s">
        <v>5382</v>
      </c>
      <c r="F2527" s="1" t="s">
        <v>16</v>
      </c>
      <c r="G2527" s="1" t="s">
        <v>17</v>
      </c>
      <c r="H2527" s="1" t="s">
        <v>28</v>
      </c>
      <c r="I2527" s="1" t="s">
        <v>40</v>
      </c>
      <c r="J2527" s="1">
        <f>IFERROR(__xludf.DUMMYFUNCTION("""COMPUTED_VALUE"""),103.0)</f>
        <v>103</v>
      </c>
      <c r="K2527" s="1">
        <v>16.0</v>
      </c>
      <c r="L2527" s="1">
        <f>IFERROR(__xludf.DUMMYFUNCTION("""COMPUTED_VALUE"""),138.0)</f>
        <v>138</v>
      </c>
    </row>
    <row r="2528">
      <c r="A2528" s="1">
        <v>5320013.0</v>
      </c>
      <c r="B2528" s="1" t="s">
        <v>5383</v>
      </c>
      <c r="C2528" s="1" t="s">
        <v>5247</v>
      </c>
      <c r="D2528" s="1" t="s">
        <v>5379</v>
      </c>
      <c r="E2528" s="1" t="s">
        <v>5384</v>
      </c>
      <c r="F2528" s="1" t="s">
        <v>16</v>
      </c>
      <c r="G2528" s="1" t="s">
        <v>1022</v>
      </c>
      <c r="H2528" s="1" t="s">
        <v>18</v>
      </c>
      <c r="I2528" s="1" t="s">
        <v>40</v>
      </c>
      <c r="J2528" s="1">
        <f>IFERROR(__xludf.DUMMYFUNCTION("""COMPUTED_VALUE"""),30.0)</f>
        <v>30</v>
      </c>
      <c r="K2528" s="1">
        <v>4.0</v>
      </c>
      <c r="L2528" s="1">
        <f>IFERROR(__xludf.DUMMYFUNCTION("""COMPUTED_VALUE"""),182.0)</f>
        <v>182</v>
      </c>
    </row>
    <row r="2529">
      <c r="A2529" s="1">
        <v>5303024.0</v>
      </c>
      <c r="B2529" s="1" t="s">
        <v>5385</v>
      </c>
      <c r="C2529" s="1" t="s">
        <v>5247</v>
      </c>
      <c r="D2529" s="1" t="s">
        <v>5386</v>
      </c>
      <c r="E2529" s="1" t="s">
        <v>5387</v>
      </c>
      <c r="F2529" s="1" t="s">
        <v>16</v>
      </c>
      <c r="G2529" s="1" t="s">
        <v>17</v>
      </c>
      <c r="H2529" s="1" t="s">
        <v>18</v>
      </c>
      <c r="I2529" s="1" t="s">
        <v>40</v>
      </c>
      <c r="J2529" s="1">
        <f>IFERROR(__xludf.DUMMYFUNCTION("""COMPUTED_VALUE"""),110.0)</f>
        <v>110</v>
      </c>
      <c r="K2529" s="1">
        <v>22.0</v>
      </c>
      <c r="L2529" s="1">
        <f>IFERROR(__xludf.DUMMYFUNCTION("""COMPUTED_VALUE"""),217.0)</f>
        <v>217</v>
      </c>
    </row>
    <row r="2530">
      <c r="A2530" s="1">
        <v>5316003.0</v>
      </c>
      <c r="B2530" s="1" t="s">
        <v>5388</v>
      </c>
      <c r="C2530" s="1" t="s">
        <v>5247</v>
      </c>
      <c r="D2530" s="1" t="s">
        <v>5389</v>
      </c>
      <c r="E2530" s="1" t="s">
        <v>5390</v>
      </c>
      <c r="F2530" s="1" t="s">
        <v>16</v>
      </c>
      <c r="G2530" s="1" t="s">
        <v>23</v>
      </c>
      <c r="H2530" s="1" t="s">
        <v>18</v>
      </c>
      <c r="I2530" s="1" t="s">
        <v>40</v>
      </c>
      <c r="J2530" s="1">
        <f>IFERROR(__xludf.DUMMYFUNCTION("""COMPUTED_VALUE"""),83.0)</f>
        <v>83</v>
      </c>
      <c r="K2530" s="1">
        <v>22.0</v>
      </c>
      <c r="L2530" s="1">
        <f>IFERROR(__xludf.DUMMYFUNCTION("""COMPUTED_VALUE"""),160.0)</f>
        <v>160</v>
      </c>
    </row>
    <row r="2531">
      <c r="A2531" s="1">
        <v>5307010.0</v>
      </c>
      <c r="B2531" s="1" t="s">
        <v>5391</v>
      </c>
      <c r="C2531" s="1" t="s">
        <v>5247</v>
      </c>
      <c r="D2531" s="1" t="s">
        <v>5330</v>
      </c>
      <c r="E2531" s="1" t="s">
        <v>5392</v>
      </c>
      <c r="F2531" s="1" t="s">
        <v>16</v>
      </c>
      <c r="G2531" s="1" t="s">
        <v>17</v>
      </c>
      <c r="H2531" s="1" t="s">
        <v>18</v>
      </c>
      <c r="I2531" s="1" t="s">
        <v>40</v>
      </c>
      <c r="J2531" s="1">
        <f>IFERROR(__xludf.DUMMYFUNCTION("""COMPUTED_VALUE"""),121.0)</f>
        <v>121</v>
      </c>
      <c r="K2531" s="1">
        <v>31.0</v>
      </c>
      <c r="L2531" s="1">
        <f>IFERROR(__xludf.DUMMYFUNCTION("""COMPUTED_VALUE"""),596.0)</f>
        <v>596</v>
      </c>
    </row>
    <row r="2532">
      <c r="A2532" s="1">
        <v>6102012.0</v>
      </c>
      <c r="B2532" s="1" t="s">
        <v>5393</v>
      </c>
      <c r="C2532" s="1" t="s">
        <v>5394</v>
      </c>
      <c r="D2532" s="1" t="s">
        <v>5395</v>
      </c>
      <c r="E2532" s="1" t="s">
        <v>5396</v>
      </c>
      <c r="F2532" s="1" t="s">
        <v>16</v>
      </c>
      <c r="G2532" s="1" t="s">
        <v>17</v>
      </c>
      <c r="H2532" s="1" t="s">
        <v>28</v>
      </c>
      <c r="I2532" s="1" t="s">
        <v>40</v>
      </c>
      <c r="J2532" s="1">
        <f>IFERROR(__xludf.DUMMYFUNCTION("""COMPUTED_VALUE"""),104.0)</f>
        <v>104</v>
      </c>
      <c r="K2532" s="1">
        <v>27.0</v>
      </c>
      <c r="L2532" s="1">
        <f>IFERROR(__xludf.DUMMYFUNCTION("""COMPUTED_VALUE"""),213.0)</f>
        <v>213</v>
      </c>
    </row>
    <row r="2533">
      <c r="A2533" s="1">
        <v>6172135.0</v>
      </c>
      <c r="B2533" s="1" t="s">
        <v>5397</v>
      </c>
      <c r="C2533" s="1" t="s">
        <v>5394</v>
      </c>
      <c r="D2533" s="1" t="s">
        <v>5398</v>
      </c>
      <c r="E2533" s="1" t="s">
        <v>5399</v>
      </c>
      <c r="F2533" s="1" t="s">
        <v>16</v>
      </c>
      <c r="G2533" s="1" t="s">
        <v>23</v>
      </c>
      <c r="H2533" s="1" t="s">
        <v>18</v>
      </c>
      <c r="I2533" s="1" t="s">
        <v>19</v>
      </c>
      <c r="J2533" s="1">
        <f>IFERROR(__xludf.DUMMYFUNCTION("""COMPUTED_VALUE"""),88.0)</f>
        <v>88</v>
      </c>
      <c r="K2533" s="1">
        <v>20.0</v>
      </c>
      <c r="L2533" s="1">
        <f>IFERROR(__xludf.DUMMYFUNCTION("""COMPUTED_VALUE"""),182.0)</f>
        <v>182</v>
      </c>
    </row>
    <row r="2534">
      <c r="A2534" s="1">
        <v>6109023.0</v>
      </c>
      <c r="B2534" s="1" t="s">
        <v>5400</v>
      </c>
      <c r="C2534" s="1" t="s">
        <v>5394</v>
      </c>
      <c r="D2534" s="1" t="s">
        <v>5401</v>
      </c>
      <c r="E2534" s="1" t="s">
        <v>5402</v>
      </c>
      <c r="F2534" s="1" t="s">
        <v>16</v>
      </c>
      <c r="G2534" s="1" t="s">
        <v>98</v>
      </c>
      <c r="H2534" s="1" t="s">
        <v>18</v>
      </c>
      <c r="I2534" s="1" t="s">
        <v>40</v>
      </c>
      <c r="J2534" s="1">
        <f>IFERROR(__xludf.DUMMYFUNCTION("""COMPUTED_VALUE"""),36.0)</f>
        <v>36</v>
      </c>
      <c r="K2534" s="1">
        <v>15.0</v>
      </c>
      <c r="L2534" s="1">
        <f>IFERROR(__xludf.DUMMYFUNCTION("""COMPUTED_VALUE"""),182.0)</f>
        <v>182</v>
      </c>
    </row>
    <row r="2535">
      <c r="A2535" s="1">
        <v>6112135.0</v>
      </c>
      <c r="B2535" s="1" t="s">
        <v>5403</v>
      </c>
      <c r="C2535" s="1" t="s">
        <v>5394</v>
      </c>
      <c r="D2535" s="1" t="s">
        <v>5404</v>
      </c>
      <c r="E2535" s="1" t="s">
        <v>5405</v>
      </c>
      <c r="F2535" s="1" t="s">
        <v>16</v>
      </c>
      <c r="G2535" s="1" t="s">
        <v>17</v>
      </c>
      <c r="H2535" s="1" t="s">
        <v>18</v>
      </c>
      <c r="I2535" s="1" t="s">
        <v>563</v>
      </c>
      <c r="J2535" s="1">
        <f>IFERROR(__xludf.DUMMYFUNCTION("""COMPUTED_VALUE"""),64.0)</f>
        <v>64</v>
      </c>
      <c r="K2535" s="1">
        <v>27.0</v>
      </c>
      <c r="L2535" s="1">
        <f>IFERROR(__xludf.DUMMYFUNCTION("""COMPUTED_VALUE"""),94.0)</f>
        <v>94</v>
      </c>
    </row>
    <row r="2536">
      <c r="A2536" s="1">
        <v>6112003.0</v>
      </c>
      <c r="B2536" s="1" t="s">
        <v>5406</v>
      </c>
      <c r="C2536" s="1" t="s">
        <v>5394</v>
      </c>
      <c r="D2536" s="1" t="s">
        <v>5404</v>
      </c>
      <c r="E2536" s="1" t="s">
        <v>5407</v>
      </c>
      <c r="F2536" s="1" t="s">
        <v>16</v>
      </c>
      <c r="G2536" s="1" t="s">
        <v>23</v>
      </c>
      <c r="H2536" s="1" t="s">
        <v>28</v>
      </c>
      <c r="I2536" s="1" t="s">
        <v>40</v>
      </c>
      <c r="J2536" s="1">
        <f>IFERROR(__xludf.DUMMYFUNCTION("""COMPUTED_VALUE"""),50.0)</f>
        <v>50</v>
      </c>
      <c r="K2536" s="1">
        <v>27.0</v>
      </c>
      <c r="L2536" s="1">
        <f>IFERROR(__xludf.DUMMYFUNCTION("""COMPUTED_VALUE"""),126.0)</f>
        <v>126</v>
      </c>
    </row>
    <row r="2537">
      <c r="A2537" s="1">
        <v>6171136.0</v>
      </c>
      <c r="B2537" s="1" t="s">
        <v>5408</v>
      </c>
      <c r="C2537" s="1" t="s">
        <v>5394</v>
      </c>
      <c r="D2537" s="1" t="s">
        <v>5409</v>
      </c>
      <c r="E2537" s="1" t="s">
        <v>5410</v>
      </c>
      <c r="F2537" s="1" t="s">
        <v>55</v>
      </c>
      <c r="G2537" s="1" t="s">
        <v>17</v>
      </c>
      <c r="H2537" s="1" t="s">
        <v>18</v>
      </c>
      <c r="I2537" s="1" t="s">
        <v>19</v>
      </c>
      <c r="J2537" s="1">
        <f>IFERROR(__xludf.DUMMYFUNCTION("""COMPUTED_VALUE"""),38.0)</f>
        <v>38</v>
      </c>
      <c r="K2537" s="1">
        <v>28.0</v>
      </c>
      <c r="L2537" s="1">
        <f>IFERROR(__xludf.DUMMYFUNCTION("""COMPUTED_VALUE"""),103.0)</f>
        <v>103</v>
      </c>
    </row>
    <row r="2538">
      <c r="A2538" s="1">
        <v>6101033.0</v>
      </c>
      <c r="B2538" s="1" t="s">
        <v>5411</v>
      </c>
      <c r="C2538" s="1" t="s">
        <v>5394</v>
      </c>
      <c r="D2538" s="1" t="s">
        <v>5412</v>
      </c>
      <c r="E2538" s="1" t="s">
        <v>5413</v>
      </c>
      <c r="F2538" s="1" t="s">
        <v>16</v>
      </c>
      <c r="G2538" s="1" t="s">
        <v>17</v>
      </c>
      <c r="H2538" s="1" t="s">
        <v>28</v>
      </c>
      <c r="I2538" s="1" t="s">
        <v>40</v>
      </c>
      <c r="J2538" s="1">
        <f>IFERROR(__xludf.DUMMYFUNCTION("""COMPUTED_VALUE"""),195.0)</f>
        <v>195</v>
      </c>
      <c r="K2538" s="1">
        <v>58.0</v>
      </c>
      <c r="L2538" s="1">
        <f>IFERROR(__xludf.DUMMYFUNCTION("""COMPUTED_VALUE"""),387.0)</f>
        <v>387</v>
      </c>
    </row>
    <row r="2539">
      <c r="A2539" s="1">
        <v>6171155.0</v>
      </c>
      <c r="B2539" s="1" t="s">
        <v>5414</v>
      </c>
      <c r="C2539" s="1" t="s">
        <v>5394</v>
      </c>
      <c r="D2539" s="1" t="s">
        <v>5409</v>
      </c>
      <c r="E2539" s="1" t="s">
        <v>5415</v>
      </c>
      <c r="F2539" s="1" t="s">
        <v>16</v>
      </c>
      <c r="G2539" s="1" t="s">
        <v>23</v>
      </c>
      <c r="H2539" s="1" t="s">
        <v>18</v>
      </c>
      <c r="I2539" s="1" t="s">
        <v>44</v>
      </c>
      <c r="J2539" s="1">
        <f>IFERROR(__xludf.DUMMYFUNCTION("""COMPUTED_VALUE"""),97.0)</f>
        <v>97</v>
      </c>
      <c r="K2539" s="1">
        <v>29.0</v>
      </c>
      <c r="L2539" s="1">
        <f>IFERROR(__xludf.DUMMYFUNCTION("""COMPUTED_VALUE"""),182.0)</f>
        <v>182</v>
      </c>
    </row>
    <row r="2540">
      <c r="A2540" s="1">
        <v>6109012.0</v>
      </c>
      <c r="B2540" s="1" t="s">
        <v>5416</v>
      </c>
      <c r="C2540" s="1" t="s">
        <v>5394</v>
      </c>
      <c r="D2540" s="1" t="s">
        <v>5401</v>
      </c>
      <c r="E2540" s="1" t="s">
        <v>5417</v>
      </c>
      <c r="F2540" s="1" t="s">
        <v>16</v>
      </c>
      <c r="G2540" s="1" t="s">
        <v>17</v>
      </c>
      <c r="H2540" s="1" t="s">
        <v>28</v>
      </c>
      <c r="I2540" s="1" t="s">
        <v>40</v>
      </c>
      <c r="J2540" s="1">
        <f>IFERROR(__xludf.DUMMYFUNCTION("""COMPUTED_VALUE"""),104.0)</f>
        <v>104</v>
      </c>
      <c r="K2540" s="1">
        <v>26.0</v>
      </c>
      <c r="L2540" s="1">
        <f>IFERROR(__xludf.DUMMYFUNCTION("""COMPUTED_VALUE"""),343.0)</f>
        <v>343</v>
      </c>
    </row>
    <row r="2541">
      <c r="A2541" s="1">
        <v>6171141.0</v>
      </c>
      <c r="B2541" s="1" t="s">
        <v>5418</v>
      </c>
      <c r="C2541" s="1" t="s">
        <v>5394</v>
      </c>
      <c r="D2541" s="1" t="s">
        <v>5409</v>
      </c>
      <c r="E2541" s="1" t="s">
        <v>5419</v>
      </c>
      <c r="F2541" s="1" t="s">
        <v>16</v>
      </c>
      <c r="G2541" s="1" t="s">
        <v>17</v>
      </c>
      <c r="H2541" s="1" t="s">
        <v>18</v>
      </c>
      <c r="I2541" s="1" t="s">
        <v>44</v>
      </c>
      <c r="J2541" s="1">
        <f>IFERROR(__xludf.DUMMYFUNCTION("""COMPUTED_VALUE"""),137.0)</f>
        <v>137</v>
      </c>
      <c r="K2541" s="1">
        <v>56.0</v>
      </c>
      <c r="L2541" s="1">
        <f>IFERROR(__xludf.DUMMYFUNCTION("""COMPUTED_VALUE"""),394.0)</f>
        <v>394</v>
      </c>
    </row>
    <row r="2542">
      <c r="A2542" s="1">
        <v>6104014.0</v>
      </c>
      <c r="B2542" s="1" t="s">
        <v>5420</v>
      </c>
      <c r="C2542" s="1" t="s">
        <v>5394</v>
      </c>
      <c r="D2542" s="1" t="s">
        <v>5421</v>
      </c>
      <c r="E2542" s="1" t="s">
        <v>5422</v>
      </c>
      <c r="F2542" s="1" t="s">
        <v>16</v>
      </c>
      <c r="G2542" s="1" t="s">
        <v>17</v>
      </c>
      <c r="H2542" s="1" t="s">
        <v>28</v>
      </c>
      <c r="I2542" s="1" t="s">
        <v>40</v>
      </c>
      <c r="J2542" s="1">
        <f>IFERROR(__xludf.DUMMYFUNCTION("""COMPUTED_VALUE"""),168.0)</f>
        <v>168</v>
      </c>
      <c r="K2542" s="1">
        <v>72.0</v>
      </c>
      <c r="L2542" s="1">
        <f>IFERROR(__xludf.DUMMYFUNCTION("""COMPUTED_VALUE"""),325.0)</f>
        <v>325</v>
      </c>
    </row>
    <row r="2543">
      <c r="A2543" s="1">
        <v>6106021.0</v>
      </c>
      <c r="B2543" s="1" t="s">
        <v>5423</v>
      </c>
      <c r="C2543" s="1" t="s">
        <v>5394</v>
      </c>
      <c r="D2543" s="1" t="s">
        <v>5424</v>
      </c>
      <c r="E2543" s="1" t="s">
        <v>5425</v>
      </c>
      <c r="F2543" s="1" t="s">
        <v>55</v>
      </c>
      <c r="G2543" s="1" t="s">
        <v>17</v>
      </c>
      <c r="H2543" s="1" t="s">
        <v>18</v>
      </c>
      <c r="I2543" s="1" t="s">
        <v>44</v>
      </c>
      <c r="J2543" s="1">
        <f>IFERROR(__xludf.DUMMYFUNCTION("""COMPUTED_VALUE"""),30.0)</f>
        <v>30</v>
      </c>
      <c r="K2543" s="1">
        <v>14.0</v>
      </c>
      <c r="L2543" s="1">
        <f>IFERROR(__xludf.DUMMYFUNCTION("""COMPUTED_VALUE"""),116.0)</f>
        <v>116</v>
      </c>
    </row>
    <row r="2544">
      <c r="A2544" s="1">
        <v>6110016.0</v>
      </c>
      <c r="B2544" s="1" t="s">
        <v>5426</v>
      </c>
      <c r="C2544" s="1" t="s">
        <v>5394</v>
      </c>
      <c r="D2544" s="1" t="s">
        <v>5427</v>
      </c>
      <c r="E2544" s="1" t="s">
        <v>5428</v>
      </c>
      <c r="F2544" s="1" t="s">
        <v>16</v>
      </c>
      <c r="G2544" s="1" t="s">
        <v>23</v>
      </c>
      <c r="H2544" s="1" t="s">
        <v>28</v>
      </c>
      <c r="I2544" s="1" t="s">
        <v>40</v>
      </c>
      <c r="J2544" s="1">
        <f>IFERROR(__xludf.DUMMYFUNCTION("""COMPUTED_VALUE"""),50.0)</f>
        <v>50</v>
      </c>
      <c r="K2544" s="1">
        <v>17.0</v>
      </c>
      <c r="L2544" s="1">
        <f>IFERROR(__xludf.DUMMYFUNCTION("""COMPUTED_VALUE"""),7.0)</f>
        <v>7</v>
      </c>
    </row>
    <row r="2545">
      <c r="A2545" s="1">
        <v>6102055.0</v>
      </c>
      <c r="B2545" s="1" t="s">
        <v>5429</v>
      </c>
      <c r="C2545" s="1" t="s">
        <v>5394</v>
      </c>
      <c r="D2545" s="1" t="s">
        <v>5395</v>
      </c>
      <c r="E2545" s="1" t="s">
        <v>5430</v>
      </c>
      <c r="F2545" s="1" t="s">
        <v>16</v>
      </c>
      <c r="G2545" s="1" t="s">
        <v>17</v>
      </c>
      <c r="H2545" s="1" t="s">
        <v>18</v>
      </c>
      <c r="I2545" s="1" t="s">
        <v>258</v>
      </c>
      <c r="J2545" s="1">
        <f>IFERROR(__xludf.DUMMYFUNCTION("""COMPUTED_VALUE"""),126.0)</f>
        <v>126</v>
      </c>
      <c r="K2545" s="1">
        <v>28.0</v>
      </c>
      <c r="L2545" s="1">
        <f>IFERROR(__xludf.DUMMYFUNCTION("""COMPUTED_VALUE"""),211.0)</f>
        <v>211</v>
      </c>
    </row>
    <row r="2546">
      <c r="A2546" s="1">
        <v>6171011.0</v>
      </c>
      <c r="B2546" s="1" t="s">
        <v>5431</v>
      </c>
      <c r="C2546" s="1" t="s">
        <v>5394</v>
      </c>
      <c r="D2546" s="1" t="s">
        <v>5409</v>
      </c>
      <c r="E2546" s="1" t="s">
        <v>5432</v>
      </c>
      <c r="F2546" s="1" t="s">
        <v>16</v>
      </c>
      <c r="G2546" s="1" t="s">
        <v>150</v>
      </c>
      <c r="H2546" s="1" t="s">
        <v>28</v>
      </c>
      <c r="I2546" s="1" t="s">
        <v>139</v>
      </c>
      <c r="J2546" s="1">
        <f>IFERROR(__xludf.DUMMYFUNCTION("""COMPUTED_VALUE"""),584.0)</f>
        <v>584</v>
      </c>
      <c r="K2546" s="1">
        <v>50.0</v>
      </c>
      <c r="L2546" s="1">
        <f>IFERROR(__xludf.DUMMYFUNCTION("""COMPUTED_VALUE"""),1241.0)</f>
        <v>1241</v>
      </c>
    </row>
    <row r="2547">
      <c r="A2547" s="1">
        <v>6105028.0</v>
      </c>
      <c r="B2547" s="1" t="s">
        <v>5433</v>
      </c>
      <c r="C2547" s="1" t="s">
        <v>5394</v>
      </c>
      <c r="D2547" s="1" t="s">
        <v>5434</v>
      </c>
      <c r="E2547" s="1" t="s">
        <v>5435</v>
      </c>
      <c r="F2547" s="1" t="s">
        <v>16</v>
      </c>
      <c r="G2547" s="1" t="s">
        <v>23</v>
      </c>
      <c r="H2547" s="1" t="s">
        <v>18</v>
      </c>
      <c r="I2547" s="1" t="s">
        <v>44</v>
      </c>
      <c r="J2547" s="1">
        <f>IFERROR(__xludf.DUMMYFUNCTION("""COMPUTED_VALUE"""),53.0)</f>
        <v>53</v>
      </c>
      <c r="K2547" s="1">
        <v>21.0</v>
      </c>
      <c r="L2547" s="1">
        <f>IFERROR(__xludf.DUMMYFUNCTION("""COMPUTED_VALUE"""),111.0)</f>
        <v>111</v>
      </c>
    </row>
    <row r="2548">
      <c r="A2548" s="1">
        <v>6171156.0</v>
      </c>
      <c r="B2548" s="1" t="s">
        <v>5436</v>
      </c>
      <c r="C2548" s="1" t="s">
        <v>5394</v>
      </c>
      <c r="D2548" s="1" t="s">
        <v>5409</v>
      </c>
      <c r="E2548" s="1" t="s">
        <v>5437</v>
      </c>
      <c r="F2548" s="1" t="s">
        <v>16</v>
      </c>
      <c r="G2548" s="1" t="s">
        <v>23</v>
      </c>
      <c r="H2548" s="1" t="s">
        <v>18</v>
      </c>
      <c r="I2548" s="1" t="s">
        <v>29</v>
      </c>
      <c r="J2548" s="1">
        <f>IFERROR(__xludf.DUMMYFUNCTION("""COMPUTED_VALUE"""),50.0)</f>
        <v>50</v>
      </c>
      <c r="K2548" s="1">
        <v>16.0</v>
      </c>
      <c r="L2548" s="1">
        <f>IFERROR(__xludf.DUMMYFUNCTION("""COMPUTED_VALUE"""),182.0)</f>
        <v>182</v>
      </c>
    </row>
    <row r="2549">
      <c r="A2549" s="1">
        <v>6105031.0</v>
      </c>
      <c r="B2549" s="1" t="s">
        <v>5438</v>
      </c>
      <c r="C2549" s="1" t="s">
        <v>5394</v>
      </c>
      <c r="D2549" s="1" t="s">
        <v>5434</v>
      </c>
      <c r="E2549" s="1" t="s">
        <v>5439</v>
      </c>
      <c r="F2549" s="1" t="s">
        <v>16</v>
      </c>
      <c r="G2549" s="1" t="s">
        <v>23</v>
      </c>
      <c r="H2549" s="1" t="s">
        <v>18</v>
      </c>
      <c r="I2549" s="1" t="s">
        <v>40</v>
      </c>
      <c r="J2549" s="1">
        <f>IFERROR(__xludf.DUMMYFUNCTION("""COMPUTED_VALUE"""),54.0)</f>
        <v>54</v>
      </c>
      <c r="K2549" s="1">
        <v>13.0</v>
      </c>
      <c r="L2549" s="1">
        <f>IFERROR(__xludf.DUMMYFUNCTION("""COMPUTED_VALUE"""),80.0)</f>
        <v>80</v>
      </c>
    </row>
    <row r="2550">
      <c r="A2550" s="1">
        <v>6172002.0</v>
      </c>
      <c r="B2550" s="1" t="s">
        <v>5440</v>
      </c>
      <c r="C2550" s="1" t="s">
        <v>5394</v>
      </c>
      <c r="D2550" s="1" t="s">
        <v>5398</v>
      </c>
      <c r="E2550" s="1" t="s">
        <v>5441</v>
      </c>
      <c r="F2550" s="1" t="s">
        <v>55</v>
      </c>
      <c r="G2550" s="1" t="s">
        <v>17</v>
      </c>
      <c r="H2550" s="1" t="s">
        <v>18</v>
      </c>
      <c r="I2550" s="1" t="s">
        <v>19</v>
      </c>
      <c r="J2550" s="1">
        <f>IFERROR(__xludf.DUMMYFUNCTION("""COMPUTED_VALUE"""),29.0)</f>
        <v>29</v>
      </c>
      <c r="K2550" s="1">
        <v>9.0</v>
      </c>
      <c r="L2550" s="1">
        <f>IFERROR(__xludf.DUMMYFUNCTION("""COMPUTED_VALUE"""),55.0)</f>
        <v>55</v>
      </c>
    </row>
    <row r="2551">
      <c r="A2551" s="1">
        <v>6105026.0</v>
      </c>
      <c r="B2551" s="1" t="s">
        <v>5442</v>
      </c>
      <c r="C2551" s="1" t="s">
        <v>5394</v>
      </c>
      <c r="D2551" s="1" t="s">
        <v>5434</v>
      </c>
      <c r="E2551" s="1" t="s">
        <v>5443</v>
      </c>
      <c r="F2551" s="1" t="s">
        <v>16</v>
      </c>
      <c r="G2551" s="1" t="s">
        <v>17</v>
      </c>
      <c r="H2551" s="1" t="s">
        <v>18</v>
      </c>
      <c r="I2551" s="1" t="s">
        <v>44</v>
      </c>
      <c r="J2551" s="1">
        <f>IFERROR(__xludf.DUMMYFUNCTION("""COMPUTED_VALUE"""),100.0)</f>
        <v>100</v>
      </c>
      <c r="K2551" s="1">
        <v>24.0</v>
      </c>
      <c r="L2551" s="1">
        <f>IFERROR(__xludf.DUMMYFUNCTION("""COMPUTED_VALUE"""),109.0)</f>
        <v>109</v>
      </c>
    </row>
    <row r="2552">
      <c r="A2552" s="1">
        <v>6101137.0</v>
      </c>
      <c r="B2552" s="1" t="s">
        <v>5444</v>
      </c>
      <c r="C2552" s="1" t="s">
        <v>5394</v>
      </c>
      <c r="D2552" s="1" t="s">
        <v>5412</v>
      </c>
      <c r="E2552" s="1" t="s">
        <v>5445</v>
      </c>
      <c r="F2552" s="1" t="s">
        <v>16</v>
      </c>
      <c r="G2552" s="1" t="s">
        <v>23</v>
      </c>
      <c r="H2552" s="1" t="s">
        <v>18</v>
      </c>
      <c r="I2552" s="1" t="s">
        <v>40</v>
      </c>
      <c r="J2552" s="1">
        <f>IFERROR(__xludf.DUMMYFUNCTION("""COMPUTED_VALUE"""),32.0)</f>
        <v>32</v>
      </c>
      <c r="K2552" s="1">
        <v>18.0</v>
      </c>
      <c r="L2552" s="1">
        <f>IFERROR(__xludf.DUMMYFUNCTION("""COMPUTED_VALUE"""),91.0)</f>
        <v>91</v>
      </c>
    </row>
    <row r="2553">
      <c r="A2553" s="1">
        <v>6110015.0</v>
      </c>
      <c r="B2553" s="1" t="s">
        <v>5446</v>
      </c>
      <c r="C2553" s="1" t="s">
        <v>5394</v>
      </c>
      <c r="D2553" s="1" t="s">
        <v>5427</v>
      </c>
      <c r="E2553" s="1" t="s">
        <v>5447</v>
      </c>
      <c r="F2553" s="1" t="s">
        <v>16</v>
      </c>
      <c r="G2553" s="1" t="s">
        <v>23</v>
      </c>
      <c r="H2553" s="1" t="s">
        <v>18</v>
      </c>
      <c r="I2553" s="1" t="s">
        <v>44</v>
      </c>
      <c r="J2553" s="1">
        <f>IFERROR(__xludf.DUMMYFUNCTION("""COMPUTED_VALUE"""),56.0)</f>
        <v>56</v>
      </c>
      <c r="K2553" s="1">
        <v>33.0</v>
      </c>
      <c r="L2553" s="1">
        <f>IFERROR(__xludf.DUMMYFUNCTION("""COMPUTED_VALUE"""),75.0)</f>
        <v>75</v>
      </c>
    </row>
    <row r="2554">
      <c r="A2554" s="1">
        <v>6107038.0</v>
      </c>
      <c r="B2554" s="1" t="s">
        <v>5448</v>
      </c>
      <c r="C2554" s="1" t="s">
        <v>5394</v>
      </c>
      <c r="D2554" s="1" t="s">
        <v>5449</v>
      </c>
      <c r="E2554" s="1" t="s">
        <v>5450</v>
      </c>
      <c r="F2554" s="1" t="s">
        <v>174</v>
      </c>
      <c r="G2554" s="1" t="s">
        <v>17</v>
      </c>
      <c r="H2554" s="1" t="s">
        <v>18</v>
      </c>
      <c r="I2554" s="1" t="s">
        <v>40</v>
      </c>
      <c r="J2554" s="1">
        <f>IFERROR(__xludf.DUMMYFUNCTION("""COMPUTED_VALUE"""),36.0)</f>
        <v>36</v>
      </c>
      <c r="K2554" s="1">
        <v>25.0</v>
      </c>
      <c r="L2554" s="1">
        <f>IFERROR(__xludf.DUMMYFUNCTION("""COMPUTED_VALUE"""),182.0)</f>
        <v>182</v>
      </c>
    </row>
    <row r="2555">
      <c r="A2555" s="1">
        <v>6172113.0</v>
      </c>
      <c r="B2555" s="1" t="s">
        <v>5451</v>
      </c>
      <c r="C2555" s="1" t="s">
        <v>5394</v>
      </c>
      <c r="D2555" s="1" t="s">
        <v>5398</v>
      </c>
      <c r="E2555" s="1" t="s">
        <v>5452</v>
      </c>
      <c r="F2555" s="1" t="s">
        <v>16</v>
      </c>
      <c r="G2555" s="1" t="s">
        <v>17</v>
      </c>
      <c r="H2555" s="1" t="s">
        <v>18</v>
      </c>
      <c r="I2555" s="1" t="s">
        <v>249</v>
      </c>
      <c r="J2555" s="1">
        <f>IFERROR(__xludf.DUMMYFUNCTION("""COMPUTED_VALUE"""),194.0)</f>
        <v>194</v>
      </c>
      <c r="K2555" s="1">
        <v>32.0</v>
      </c>
      <c r="L2555" s="1">
        <f>IFERROR(__xludf.DUMMYFUNCTION("""COMPUTED_VALUE"""),416.0)</f>
        <v>416</v>
      </c>
    </row>
    <row r="2556">
      <c r="A2556" s="1">
        <v>6171033.0</v>
      </c>
      <c r="B2556" s="1" t="s">
        <v>5453</v>
      </c>
      <c r="C2556" s="1" t="s">
        <v>5394</v>
      </c>
      <c r="D2556" s="1" t="s">
        <v>5409</v>
      </c>
      <c r="E2556" s="1" t="s">
        <v>5454</v>
      </c>
      <c r="F2556" s="1" t="s">
        <v>16</v>
      </c>
      <c r="G2556" s="1" t="s">
        <v>27</v>
      </c>
      <c r="H2556" s="1" t="s">
        <v>18</v>
      </c>
      <c r="I2556" s="1" t="s">
        <v>59</v>
      </c>
      <c r="J2556" s="1">
        <f>IFERROR(__xludf.DUMMYFUNCTION("""COMPUTED_VALUE"""),240.0)</f>
        <v>240</v>
      </c>
      <c r="K2556" s="1">
        <v>79.0</v>
      </c>
      <c r="L2556" s="1">
        <f>IFERROR(__xludf.DUMMYFUNCTION("""COMPUTED_VALUE"""),1138.0)</f>
        <v>1138</v>
      </c>
    </row>
    <row r="2557">
      <c r="A2557" s="1">
        <v>6107027.0</v>
      </c>
      <c r="B2557" s="1" t="s">
        <v>5455</v>
      </c>
      <c r="C2557" s="1" t="s">
        <v>5394</v>
      </c>
      <c r="D2557" s="1" t="s">
        <v>5449</v>
      </c>
      <c r="E2557" s="1" t="s">
        <v>5456</v>
      </c>
      <c r="F2557" s="1" t="s">
        <v>16</v>
      </c>
      <c r="G2557" s="1" t="s">
        <v>23</v>
      </c>
      <c r="H2557" s="1" t="s">
        <v>18</v>
      </c>
      <c r="I2557" s="1" t="s">
        <v>44</v>
      </c>
      <c r="J2557" s="1">
        <f>IFERROR(__xludf.DUMMYFUNCTION("""COMPUTED_VALUE"""),21.0)</f>
        <v>21</v>
      </c>
      <c r="K2557" s="1">
        <v>14.0</v>
      </c>
      <c r="L2557" s="1">
        <f>IFERROR(__xludf.DUMMYFUNCTION("""COMPUTED_VALUE"""),24.0)</f>
        <v>24</v>
      </c>
    </row>
    <row r="2558">
      <c r="A2558" s="1">
        <v>6106020.0</v>
      </c>
      <c r="B2558" s="1" t="s">
        <v>5457</v>
      </c>
      <c r="C2558" s="1" t="s">
        <v>5394</v>
      </c>
      <c r="D2558" s="1" t="s">
        <v>5424</v>
      </c>
      <c r="E2558" s="1" t="s">
        <v>5458</v>
      </c>
      <c r="F2558" s="1" t="s">
        <v>16</v>
      </c>
      <c r="G2558" s="1" t="s">
        <v>17</v>
      </c>
      <c r="H2558" s="1" t="s">
        <v>18</v>
      </c>
      <c r="I2558" s="1" t="s">
        <v>249</v>
      </c>
      <c r="J2558" s="1">
        <f>IFERROR(__xludf.DUMMYFUNCTION("""COMPUTED_VALUE"""),135.0)</f>
        <v>135</v>
      </c>
      <c r="K2558" s="1">
        <v>61.0</v>
      </c>
      <c r="L2558" s="1">
        <f>IFERROR(__xludf.DUMMYFUNCTION("""COMPUTED_VALUE"""),440.0)</f>
        <v>440</v>
      </c>
    </row>
    <row r="2559">
      <c r="A2559" s="1">
        <v>6112002.0</v>
      </c>
      <c r="B2559" s="1" t="s">
        <v>5459</v>
      </c>
      <c r="C2559" s="1" t="s">
        <v>5394</v>
      </c>
      <c r="D2559" s="1" t="s">
        <v>5404</v>
      </c>
      <c r="E2559" s="1" t="s">
        <v>5460</v>
      </c>
      <c r="F2559" s="1" t="s">
        <v>55</v>
      </c>
      <c r="G2559" s="1" t="s">
        <v>17</v>
      </c>
      <c r="H2559" s="1" t="s">
        <v>18</v>
      </c>
      <c r="I2559" s="1" t="s">
        <v>44</v>
      </c>
      <c r="J2559" s="1">
        <f>IFERROR(__xludf.DUMMYFUNCTION("""COMPUTED_VALUE"""),50.0)</f>
        <v>50</v>
      </c>
      <c r="K2559" s="1">
        <v>24.0</v>
      </c>
      <c r="L2559" s="1">
        <f>IFERROR(__xludf.DUMMYFUNCTION("""COMPUTED_VALUE"""),116.0)</f>
        <v>116</v>
      </c>
    </row>
    <row r="2560">
      <c r="A2560" s="1">
        <v>6107022.0</v>
      </c>
      <c r="B2560" s="1" t="s">
        <v>5461</v>
      </c>
      <c r="C2560" s="1" t="s">
        <v>5394</v>
      </c>
      <c r="D2560" s="1" t="s">
        <v>5449</v>
      </c>
      <c r="E2560" s="1" t="s">
        <v>5462</v>
      </c>
      <c r="F2560" s="1" t="s">
        <v>16</v>
      </c>
      <c r="G2560" s="1" t="s">
        <v>23</v>
      </c>
      <c r="H2560" s="1" t="s">
        <v>18</v>
      </c>
      <c r="I2560" s="1" t="s">
        <v>74</v>
      </c>
      <c r="J2560" s="1">
        <f>IFERROR(__xludf.DUMMYFUNCTION("""COMPUTED_VALUE"""),98.0)</f>
        <v>98</v>
      </c>
      <c r="K2560" s="1">
        <v>31.0</v>
      </c>
      <c r="L2560" s="1">
        <f>IFERROR(__xludf.DUMMYFUNCTION("""COMPUTED_VALUE"""),30.0)</f>
        <v>30</v>
      </c>
    </row>
    <row r="2561">
      <c r="A2561" s="1">
        <v>6171085.0</v>
      </c>
      <c r="B2561" s="1" t="s">
        <v>5463</v>
      </c>
      <c r="C2561" s="1" t="s">
        <v>5394</v>
      </c>
      <c r="D2561" s="1" t="s">
        <v>5409</v>
      </c>
      <c r="E2561" s="1" t="s">
        <v>5464</v>
      </c>
      <c r="F2561" s="1" t="s">
        <v>55</v>
      </c>
      <c r="G2561" s="1" t="s">
        <v>17</v>
      </c>
      <c r="H2561" s="1" t="s">
        <v>18</v>
      </c>
      <c r="I2561" s="1" t="s">
        <v>44</v>
      </c>
      <c r="J2561" s="1">
        <f>IFERROR(__xludf.DUMMYFUNCTION("""COMPUTED_VALUE"""),33.0)</f>
        <v>33</v>
      </c>
      <c r="K2561" s="1">
        <v>14.0</v>
      </c>
      <c r="L2561" s="1">
        <f>IFERROR(__xludf.DUMMYFUNCTION("""COMPUTED_VALUE"""),122.0)</f>
        <v>122</v>
      </c>
    </row>
    <row r="2562">
      <c r="A2562" s="1">
        <v>6101135.0</v>
      </c>
      <c r="B2562" s="1" t="s">
        <v>5465</v>
      </c>
      <c r="C2562" s="1" t="s">
        <v>5394</v>
      </c>
      <c r="D2562" s="1" t="s">
        <v>5412</v>
      </c>
      <c r="E2562" s="1" t="s">
        <v>5466</v>
      </c>
      <c r="F2562" s="1" t="s">
        <v>16</v>
      </c>
      <c r="G2562" s="1" t="s">
        <v>23</v>
      </c>
      <c r="H2562" s="1" t="s">
        <v>18</v>
      </c>
      <c r="I2562" s="1" t="s">
        <v>249</v>
      </c>
      <c r="J2562" s="1">
        <f>IFERROR(__xludf.DUMMYFUNCTION("""COMPUTED_VALUE"""),58.0)</f>
        <v>58</v>
      </c>
      <c r="K2562" s="1">
        <v>17.0</v>
      </c>
      <c r="L2562" s="1">
        <f>IFERROR(__xludf.DUMMYFUNCTION("""COMPUTED_VALUE"""),70.0)</f>
        <v>70</v>
      </c>
    </row>
    <row r="2563">
      <c r="A2563" s="1">
        <v>6171124.0</v>
      </c>
      <c r="B2563" s="1" t="s">
        <v>5467</v>
      </c>
      <c r="C2563" s="1" t="s">
        <v>5394</v>
      </c>
      <c r="D2563" s="1" t="s">
        <v>5409</v>
      </c>
      <c r="E2563" s="1" t="s">
        <v>5468</v>
      </c>
      <c r="F2563" s="1" t="s">
        <v>16</v>
      </c>
      <c r="G2563" s="1" t="s">
        <v>17</v>
      </c>
      <c r="H2563" s="1" t="s">
        <v>18</v>
      </c>
      <c r="I2563" s="1" t="s">
        <v>19</v>
      </c>
      <c r="J2563" s="1">
        <f>IFERROR(__xludf.DUMMYFUNCTION("""COMPUTED_VALUE"""),105.0)</f>
        <v>105</v>
      </c>
      <c r="K2563" s="1">
        <v>35.0</v>
      </c>
      <c r="L2563" s="1">
        <f>IFERROR(__xludf.DUMMYFUNCTION("""COMPUTED_VALUE"""),281.0)</f>
        <v>281</v>
      </c>
    </row>
    <row r="2564">
      <c r="A2564" s="1">
        <v>6101022.0</v>
      </c>
      <c r="B2564" s="1" t="s">
        <v>5469</v>
      </c>
      <c r="C2564" s="1" t="s">
        <v>5394</v>
      </c>
      <c r="D2564" s="1" t="s">
        <v>5412</v>
      </c>
      <c r="E2564" s="1" t="s">
        <v>5470</v>
      </c>
      <c r="F2564" s="1" t="s">
        <v>16</v>
      </c>
      <c r="G2564" s="1" t="s">
        <v>17</v>
      </c>
      <c r="H2564" s="1" t="s">
        <v>28</v>
      </c>
      <c r="I2564" s="1" t="s">
        <v>40</v>
      </c>
      <c r="J2564" s="1">
        <f>IFERROR(__xludf.DUMMYFUNCTION("""COMPUTED_VALUE"""),182.0)</f>
        <v>182</v>
      </c>
      <c r="K2564" s="1">
        <v>42.0</v>
      </c>
      <c r="L2564" s="1">
        <f>IFERROR(__xludf.DUMMYFUNCTION("""COMPUTED_VALUE"""),188.0)</f>
        <v>188</v>
      </c>
    </row>
    <row r="2565">
      <c r="A2565" s="1">
        <v>6171139.0</v>
      </c>
      <c r="B2565" s="1" t="s">
        <v>5471</v>
      </c>
      <c r="C2565" s="1" t="s">
        <v>5394</v>
      </c>
      <c r="D2565" s="1" t="s">
        <v>5409</v>
      </c>
      <c r="E2565" s="1" t="s">
        <v>5472</v>
      </c>
      <c r="F2565" s="1" t="s">
        <v>16</v>
      </c>
      <c r="G2565" s="1" t="s">
        <v>17</v>
      </c>
      <c r="H2565" s="1" t="s">
        <v>33</v>
      </c>
      <c r="I2565" s="1" t="s">
        <v>34</v>
      </c>
      <c r="J2565" s="1">
        <f>IFERROR(__xludf.DUMMYFUNCTION("""COMPUTED_VALUE"""),104.0)</f>
        <v>104</v>
      </c>
      <c r="K2565" s="1">
        <v>70.0</v>
      </c>
      <c r="L2565" s="1">
        <f>IFERROR(__xludf.DUMMYFUNCTION("""COMPUTED_VALUE"""),100.0)</f>
        <v>100</v>
      </c>
    </row>
    <row r="2566">
      <c r="A2566" s="1">
        <v>6108011.0</v>
      </c>
      <c r="B2566" s="1" t="s">
        <v>5473</v>
      </c>
      <c r="C2566" s="1" t="s">
        <v>5394</v>
      </c>
      <c r="D2566" s="1" t="s">
        <v>5474</v>
      </c>
      <c r="E2566" s="1" t="s">
        <v>5475</v>
      </c>
      <c r="F2566" s="1" t="s">
        <v>16</v>
      </c>
      <c r="G2566" s="1" t="s">
        <v>17</v>
      </c>
      <c r="H2566" s="1" t="s">
        <v>28</v>
      </c>
      <c r="I2566" s="1" t="s">
        <v>40</v>
      </c>
      <c r="J2566" s="1">
        <f>IFERROR(__xludf.DUMMYFUNCTION("""COMPUTED_VALUE"""),100.0)</f>
        <v>100</v>
      </c>
      <c r="K2566" s="1">
        <v>24.0</v>
      </c>
      <c r="L2566" s="1">
        <f>IFERROR(__xludf.DUMMYFUNCTION("""COMPUTED_VALUE"""),527.0)</f>
        <v>527</v>
      </c>
    </row>
    <row r="2567">
      <c r="A2567" s="1">
        <v>6171067.0</v>
      </c>
      <c r="B2567" s="1" t="s">
        <v>5476</v>
      </c>
      <c r="C2567" s="1" t="s">
        <v>5394</v>
      </c>
      <c r="D2567" s="1" t="s">
        <v>5409</v>
      </c>
      <c r="E2567" s="1" t="s">
        <v>5477</v>
      </c>
      <c r="F2567" s="1" t="s">
        <v>16</v>
      </c>
      <c r="G2567" s="1" t="s">
        <v>17</v>
      </c>
      <c r="H2567" s="1" t="s">
        <v>33</v>
      </c>
      <c r="I2567" s="1" t="s">
        <v>65</v>
      </c>
      <c r="J2567" s="1">
        <f>IFERROR(__xludf.DUMMYFUNCTION("""COMPUTED_VALUE"""),120.0)</f>
        <v>120</v>
      </c>
      <c r="K2567" s="1">
        <v>97.0</v>
      </c>
      <c r="L2567" s="1">
        <f>IFERROR(__xludf.DUMMYFUNCTION("""COMPUTED_VALUE"""),124.0)</f>
        <v>124</v>
      </c>
    </row>
    <row r="2568">
      <c r="A2568" s="1">
        <v>6103013.0</v>
      </c>
      <c r="B2568" s="1" t="s">
        <v>5478</v>
      </c>
      <c r="C2568" s="1" t="s">
        <v>5394</v>
      </c>
      <c r="D2568" s="1" t="s">
        <v>5479</v>
      </c>
      <c r="E2568" s="1" t="s">
        <v>5480</v>
      </c>
      <c r="F2568" s="1" t="s">
        <v>16</v>
      </c>
      <c r="G2568" s="1" t="s">
        <v>17</v>
      </c>
      <c r="H2568" s="1" t="s">
        <v>28</v>
      </c>
      <c r="I2568" s="1" t="s">
        <v>40</v>
      </c>
      <c r="J2568" s="1">
        <f>IFERROR(__xludf.DUMMYFUNCTION("""COMPUTED_VALUE"""),116.0)</f>
        <v>116</v>
      </c>
      <c r="K2568" s="1">
        <v>30.0</v>
      </c>
      <c r="L2568" s="1">
        <f>IFERROR(__xludf.DUMMYFUNCTION("""COMPUTED_VALUE"""),277.0)</f>
        <v>277</v>
      </c>
    </row>
    <row r="2569">
      <c r="A2569" s="1">
        <v>6171138.0</v>
      </c>
      <c r="B2569" s="1" t="s">
        <v>5481</v>
      </c>
      <c r="C2569" s="1" t="s">
        <v>5394</v>
      </c>
      <c r="D2569" s="1" t="s">
        <v>5409</v>
      </c>
      <c r="E2569" s="1" t="s">
        <v>5482</v>
      </c>
      <c r="F2569" s="1" t="s">
        <v>16</v>
      </c>
      <c r="G2569" s="1" t="s">
        <v>17</v>
      </c>
      <c r="H2569" s="1" t="s">
        <v>28</v>
      </c>
      <c r="I2569" s="1" t="s">
        <v>29</v>
      </c>
      <c r="J2569" s="1">
        <f>IFERROR(__xludf.DUMMYFUNCTION("""COMPUTED_VALUE"""),168.0)</f>
        <v>168</v>
      </c>
      <c r="K2569" s="1">
        <v>39.0</v>
      </c>
      <c r="L2569" s="1">
        <f>IFERROR(__xludf.DUMMYFUNCTION("""COMPUTED_VALUE"""),372.0)</f>
        <v>372</v>
      </c>
    </row>
    <row r="2570">
      <c r="A2570" s="1">
        <v>6172044.0</v>
      </c>
      <c r="B2570" s="1" t="s">
        <v>5483</v>
      </c>
      <c r="C2570" s="1" t="s">
        <v>5394</v>
      </c>
      <c r="D2570" s="1" t="s">
        <v>5398</v>
      </c>
      <c r="E2570" s="1" t="s">
        <v>5484</v>
      </c>
      <c r="F2570" s="1" t="s">
        <v>16</v>
      </c>
      <c r="G2570" s="1" t="s">
        <v>23</v>
      </c>
      <c r="H2570" s="1" t="s">
        <v>18</v>
      </c>
      <c r="I2570" s="1" t="s">
        <v>74</v>
      </c>
      <c r="J2570" s="1">
        <f>IFERROR(__xludf.DUMMYFUNCTION("""COMPUTED_VALUE"""),72.0)</f>
        <v>72</v>
      </c>
      <c r="K2570" s="1">
        <v>29.0</v>
      </c>
      <c r="L2570" s="1">
        <f>IFERROR(__xludf.DUMMYFUNCTION("""COMPUTED_VALUE"""),142.0)</f>
        <v>142</v>
      </c>
    </row>
    <row r="2571">
      <c r="A2571" s="1">
        <v>6110012.0</v>
      </c>
      <c r="B2571" s="1" t="s">
        <v>5485</v>
      </c>
      <c r="C2571" s="1" t="s">
        <v>5394</v>
      </c>
      <c r="D2571" s="1" t="s">
        <v>5427</v>
      </c>
      <c r="E2571" s="1" t="s">
        <v>5486</v>
      </c>
      <c r="F2571" s="1" t="s">
        <v>16</v>
      </c>
      <c r="G2571" s="1" t="s">
        <v>17</v>
      </c>
      <c r="H2571" s="1" t="s">
        <v>28</v>
      </c>
      <c r="I2571" s="1" t="s">
        <v>40</v>
      </c>
      <c r="J2571" s="1">
        <f>IFERROR(__xludf.DUMMYFUNCTION("""COMPUTED_VALUE"""),100.0)</f>
        <v>100</v>
      </c>
      <c r="K2571" s="1">
        <v>25.0</v>
      </c>
      <c r="L2571" s="1">
        <f>IFERROR(__xludf.DUMMYFUNCTION("""COMPUTED_VALUE"""),305.0)</f>
        <v>305</v>
      </c>
    </row>
    <row r="2572">
      <c r="A2572" s="1">
        <v>6110013.0</v>
      </c>
      <c r="B2572" s="1" t="s">
        <v>5487</v>
      </c>
      <c r="C2572" s="1" t="s">
        <v>5394</v>
      </c>
      <c r="D2572" s="1" t="s">
        <v>5427</v>
      </c>
      <c r="E2572" s="1" t="s">
        <v>5488</v>
      </c>
      <c r="F2572" s="1" t="s">
        <v>16</v>
      </c>
      <c r="G2572" s="1" t="s">
        <v>23</v>
      </c>
      <c r="H2572" s="1" t="s">
        <v>18</v>
      </c>
      <c r="I2572" s="1" t="s">
        <v>44</v>
      </c>
      <c r="J2572" s="1">
        <f>IFERROR(__xludf.DUMMYFUNCTION("""COMPUTED_VALUE"""),70.0)</f>
        <v>70</v>
      </c>
      <c r="K2572" s="1">
        <v>23.0</v>
      </c>
      <c r="L2572" s="1">
        <f>IFERROR(__xludf.DUMMYFUNCTION("""COMPUTED_VALUE"""),58.0)</f>
        <v>58</v>
      </c>
    </row>
    <row r="2573">
      <c r="A2573" s="1">
        <v>6108012.0</v>
      </c>
      <c r="B2573" s="1" t="s">
        <v>5489</v>
      </c>
      <c r="C2573" s="1" t="s">
        <v>5394</v>
      </c>
      <c r="D2573" s="1" t="s">
        <v>5474</v>
      </c>
      <c r="E2573" s="1" t="s">
        <v>5490</v>
      </c>
      <c r="F2573" s="1" t="s">
        <v>16</v>
      </c>
      <c r="G2573" s="1" t="s">
        <v>23</v>
      </c>
      <c r="H2573" s="1" t="s">
        <v>18</v>
      </c>
      <c r="I2573" s="1" t="s">
        <v>40</v>
      </c>
      <c r="J2573" s="1">
        <f>IFERROR(__xludf.DUMMYFUNCTION("""COMPUTED_VALUE"""),50.0)</f>
        <v>50</v>
      </c>
      <c r="K2573" s="1">
        <v>17.0</v>
      </c>
      <c r="L2573" s="1">
        <f>IFERROR(__xludf.DUMMYFUNCTION("""COMPUTED_VALUE"""),27.0)</f>
        <v>27</v>
      </c>
    </row>
    <row r="2574">
      <c r="A2574" s="1">
        <v>6105015.0</v>
      </c>
      <c r="B2574" s="1" t="s">
        <v>5491</v>
      </c>
      <c r="C2574" s="1" t="s">
        <v>5394</v>
      </c>
      <c r="D2574" s="1" t="s">
        <v>5434</v>
      </c>
      <c r="E2574" s="1" t="s">
        <v>5492</v>
      </c>
      <c r="F2574" s="1" t="s">
        <v>16</v>
      </c>
      <c r="G2574" s="1" t="s">
        <v>17</v>
      </c>
      <c r="H2574" s="1" t="s">
        <v>28</v>
      </c>
      <c r="I2574" s="1" t="s">
        <v>40</v>
      </c>
      <c r="J2574" s="1">
        <f>IFERROR(__xludf.DUMMYFUNCTION("""COMPUTED_VALUE"""),170.0)</f>
        <v>170</v>
      </c>
      <c r="K2574" s="1">
        <v>30.0</v>
      </c>
      <c r="L2574" s="1">
        <f>IFERROR(__xludf.DUMMYFUNCTION("""COMPUTED_VALUE"""),716.0)</f>
        <v>716</v>
      </c>
    </row>
    <row r="2575">
      <c r="A2575" s="1">
        <v>6107025.0</v>
      </c>
      <c r="B2575" s="1" t="s">
        <v>5493</v>
      </c>
      <c r="C2575" s="1" t="s">
        <v>5394</v>
      </c>
      <c r="D2575" s="1" t="s">
        <v>5449</v>
      </c>
      <c r="E2575" s="1" t="s">
        <v>5494</v>
      </c>
      <c r="F2575" s="1" t="s">
        <v>16</v>
      </c>
      <c r="G2575" s="1" t="s">
        <v>23</v>
      </c>
      <c r="H2575" s="1" t="s">
        <v>18</v>
      </c>
      <c r="I2575" s="1" t="s">
        <v>44</v>
      </c>
      <c r="J2575" s="1">
        <f>IFERROR(__xludf.DUMMYFUNCTION("""COMPUTED_VALUE"""),52.0)</f>
        <v>52</v>
      </c>
      <c r="K2575" s="1">
        <v>34.0</v>
      </c>
      <c r="L2575" s="1">
        <f>IFERROR(__xludf.DUMMYFUNCTION("""COMPUTED_VALUE"""),31.0)</f>
        <v>31</v>
      </c>
    </row>
    <row r="2576">
      <c r="A2576" s="1">
        <v>6107024.0</v>
      </c>
      <c r="B2576" s="1" t="s">
        <v>5495</v>
      </c>
      <c r="C2576" s="1" t="s">
        <v>5394</v>
      </c>
      <c r="D2576" s="1" t="s">
        <v>5449</v>
      </c>
      <c r="E2576" s="1" t="s">
        <v>5496</v>
      </c>
      <c r="F2576" s="1" t="s">
        <v>55</v>
      </c>
      <c r="G2576" s="1" t="s">
        <v>17</v>
      </c>
      <c r="H2576" s="1" t="s">
        <v>18</v>
      </c>
      <c r="I2576" s="1" t="s">
        <v>44</v>
      </c>
      <c r="J2576" s="1">
        <f>IFERROR(__xludf.DUMMYFUNCTION("""COMPUTED_VALUE"""),27.0)</f>
        <v>27</v>
      </c>
      <c r="K2576" s="1">
        <v>28.0</v>
      </c>
      <c r="L2576" s="1">
        <f>IFERROR(__xludf.DUMMYFUNCTION("""COMPUTED_VALUE"""),33.0)</f>
        <v>33</v>
      </c>
    </row>
    <row r="2577">
      <c r="A2577" s="1">
        <v>6172066.0</v>
      </c>
      <c r="B2577" s="1" t="s">
        <v>5497</v>
      </c>
      <c r="C2577" s="1" t="s">
        <v>5394</v>
      </c>
      <c r="D2577" s="1" t="s">
        <v>5398</v>
      </c>
      <c r="E2577" s="1" t="s">
        <v>5498</v>
      </c>
      <c r="F2577" s="1" t="s">
        <v>174</v>
      </c>
      <c r="G2577" s="1" t="s">
        <v>27</v>
      </c>
      <c r="H2577" s="1" t="s">
        <v>28</v>
      </c>
      <c r="I2577" s="1" t="s">
        <v>139</v>
      </c>
      <c r="J2577" s="1">
        <f>IFERROR(__xludf.DUMMYFUNCTION("""COMPUTED_VALUE"""),700.0)</f>
        <v>700</v>
      </c>
      <c r="K2577" s="1">
        <v>24.0</v>
      </c>
      <c r="L2577" s="1">
        <f>IFERROR(__xludf.DUMMYFUNCTION("""COMPUTED_VALUE"""),379.0)</f>
        <v>379</v>
      </c>
    </row>
    <row r="2578">
      <c r="A2578" s="1">
        <v>6171022.0</v>
      </c>
      <c r="B2578" s="1" t="s">
        <v>5499</v>
      </c>
      <c r="C2578" s="1" t="s">
        <v>5394</v>
      </c>
      <c r="D2578" s="1" t="s">
        <v>5404</v>
      </c>
      <c r="E2578" s="1" t="s">
        <v>5500</v>
      </c>
      <c r="F2578" s="1" t="s">
        <v>16</v>
      </c>
      <c r="G2578" s="1" t="s">
        <v>17</v>
      </c>
      <c r="H2578" s="1" t="s">
        <v>33</v>
      </c>
      <c r="I2578" s="1" t="s">
        <v>74</v>
      </c>
      <c r="J2578" s="1">
        <f>IFERROR(__xludf.DUMMYFUNCTION("""COMPUTED_VALUE"""),175.0)</f>
        <v>175</v>
      </c>
      <c r="K2578" s="1">
        <v>31.0</v>
      </c>
      <c r="L2578" s="1">
        <f>IFERROR(__xludf.DUMMYFUNCTION("""COMPUTED_VALUE"""),19.0)</f>
        <v>19</v>
      </c>
    </row>
    <row r="2579">
      <c r="A2579" s="1">
        <v>6111002.0</v>
      </c>
      <c r="B2579" s="1" t="s">
        <v>5501</v>
      </c>
      <c r="C2579" s="1" t="s">
        <v>5394</v>
      </c>
      <c r="D2579" s="1" t="s">
        <v>5502</v>
      </c>
      <c r="E2579" s="1" t="s">
        <v>5503</v>
      </c>
      <c r="F2579" s="1" t="s">
        <v>16</v>
      </c>
      <c r="G2579" s="1" t="s">
        <v>17</v>
      </c>
      <c r="H2579" s="1" t="s">
        <v>28</v>
      </c>
      <c r="I2579" s="1" t="s">
        <v>40</v>
      </c>
      <c r="J2579" s="1">
        <f>IFERROR(__xludf.DUMMYFUNCTION("""COMPUTED_VALUE"""),103.0)</f>
        <v>103</v>
      </c>
      <c r="K2579" s="1">
        <v>24.0</v>
      </c>
      <c r="L2579" s="1">
        <f>IFERROR(__xludf.DUMMYFUNCTION("""COMPUTED_VALUE"""),210.0)</f>
        <v>210</v>
      </c>
    </row>
    <row r="2580">
      <c r="A2580" s="1">
        <v>6106016.0</v>
      </c>
      <c r="B2580" s="1" t="s">
        <v>5504</v>
      </c>
      <c r="C2580" s="1" t="s">
        <v>5394</v>
      </c>
      <c r="D2580" s="1" t="s">
        <v>5424</v>
      </c>
      <c r="E2580" s="1" t="s">
        <v>5505</v>
      </c>
      <c r="F2580" s="1" t="s">
        <v>16</v>
      </c>
      <c r="G2580" s="1" t="s">
        <v>17</v>
      </c>
      <c r="H2580" s="1" t="s">
        <v>28</v>
      </c>
      <c r="I2580" s="1" t="s">
        <v>40</v>
      </c>
      <c r="J2580" s="1">
        <f>IFERROR(__xludf.DUMMYFUNCTION("""COMPUTED_VALUE"""),200.0)</f>
        <v>200</v>
      </c>
      <c r="K2580" s="1">
        <v>69.0</v>
      </c>
      <c r="L2580" s="1">
        <f>IFERROR(__xludf.DUMMYFUNCTION("""COMPUTED_VALUE"""),419.0)</f>
        <v>419</v>
      </c>
    </row>
    <row r="2581">
      <c r="A2581" s="1">
        <v>6108014.0</v>
      </c>
      <c r="B2581" s="1" t="s">
        <v>5506</v>
      </c>
      <c r="C2581" s="1" t="s">
        <v>5394</v>
      </c>
      <c r="D2581" s="1" t="s">
        <v>5474</v>
      </c>
      <c r="E2581" s="1" t="s">
        <v>5507</v>
      </c>
      <c r="F2581" s="1" t="s">
        <v>16</v>
      </c>
      <c r="G2581" s="1" t="s">
        <v>23</v>
      </c>
      <c r="H2581" s="1" t="s">
        <v>18</v>
      </c>
      <c r="I2581" s="1" t="s">
        <v>40</v>
      </c>
      <c r="J2581" s="1">
        <f>IFERROR(__xludf.DUMMYFUNCTION("""COMPUTED_VALUE"""),49.0)</f>
        <v>49</v>
      </c>
      <c r="K2581" s="1">
        <v>25.0</v>
      </c>
      <c r="L2581" s="1">
        <f>IFERROR(__xludf.DUMMYFUNCTION("""COMPUTED_VALUE"""),63.0)</f>
        <v>63</v>
      </c>
    </row>
    <row r="2582">
      <c r="A2582" s="1">
        <v>6107026.0</v>
      </c>
      <c r="B2582" s="1" t="s">
        <v>5508</v>
      </c>
      <c r="C2582" s="1" t="s">
        <v>5394</v>
      </c>
      <c r="D2582" s="1" t="s">
        <v>5449</v>
      </c>
      <c r="E2582" s="1" t="s">
        <v>5509</v>
      </c>
      <c r="F2582" s="1" t="s">
        <v>16</v>
      </c>
      <c r="G2582" s="1" t="s">
        <v>23</v>
      </c>
      <c r="H2582" s="1" t="s">
        <v>28</v>
      </c>
      <c r="I2582" s="1" t="s">
        <v>40</v>
      </c>
      <c r="J2582" s="1">
        <f>IFERROR(__xludf.DUMMYFUNCTION("""COMPUTED_VALUE"""),26.0)</f>
        <v>26</v>
      </c>
      <c r="K2582" s="1">
        <v>16.0</v>
      </c>
      <c r="L2582" s="1">
        <f>IFERROR(__xludf.DUMMYFUNCTION("""COMPUTED_VALUE"""),52.0)</f>
        <v>52</v>
      </c>
    </row>
    <row r="2583">
      <c r="A2583" s="1">
        <v>6172124.0</v>
      </c>
      <c r="B2583" s="1" t="s">
        <v>5510</v>
      </c>
      <c r="C2583" s="1" t="s">
        <v>5394</v>
      </c>
      <c r="D2583" s="1" t="s">
        <v>5398</v>
      </c>
      <c r="E2583" s="1" t="s">
        <v>5511</v>
      </c>
      <c r="F2583" s="1" t="s">
        <v>16</v>
      </c>
      <c r="G2583" s="1" t="s">
        <v>17</v>
      </c>
      <c r="H2583" s="1" t="s">
        <v>18</v>
      </c>
      <c r="I2583" s="1" t="s">
        <v>44</v>
      </c>
      <c r="J2583" s="1">
        <f>IFERROR(__xludf.DUMMYFUNCTION("""COMPUTED_VALUE"""),170.0)</f>
        <v>170</v>
      </c>
      <c r="K2583" s="1">
        <v>35.0</v>
      </c>
      <c r="L2583" s="1">
        <f>IFERROR(__xludf.DUMMYFUNCTION("""COMPUTED_VALUE"""),399.0)</f>
        <v>399</v>
      </c>
    </row>
    <row r="2584">
      <c r="A2584" s="1">
        <v>6103024.0</v>
      </c>
      <c r="B2584" s="1" t="s">
        <v>5512</v>
      </c>
      <c r="C2584" s="1" t="s">
        <v>5394</v>
      </c>
      <c r="D2584" s="1" t="s">
        <v>5479</v>
      </c>
      <c r="E2584" s="1" t="s">
        <v>5513</v>
      </c>
      <c r="F2584" s="1" t="s">
        <v>16</v>
      </c>
      <c r="G2584" s="1" t="s">
        <v>98</v>
      </c>
      <c r="H2584" s="1" t="s">
        <v>18</v>
      </c>
      <c r="I2584" s="1" t="s">
        <v>40</v>
      </c>
      <c r="J2584" s="1">
        <f>IFERROR(__xludf.DUMMYFUNCTION("""COMPUTED_VALUE"""),63.0)</f>
        <v>63</v>
      </c>
      <c r="K2584" s="1">
        <v>14.0</v>
      </c>
      <c r="L2584" s="1">
        <f>IFERROR(__xludf.DUMMYFUNCTION("""COMPUTED_VALUE"""),182.0)</f>
        <v>182</v>
      </c>
    </row>
    <row r="2585">
      <c r="A2585" s="1">
        <v>6171140.0</v>
      </c>
      <c r="B2585" s="1" t="s">
        <v>5514</v>
      </c>
      <c r="C2585" s="1" t="s">
        <v>5394</v>
      </c>
      <c r="D2585" s="1" t="s">
        <v>5409</v>
      </c>
      <c r="E2585" s="1" t="s">
        <v>5515</v>
      </c>
      <c r="F2585" s="1" t="s">
        <v>16</v>
      </c>
      <c r="G2585" s="1" t="s">
        <v>23</v>
      </c>
      <c r="H2585" s="1" t="s">
        <v>18</v>
      </c>
      <c r="I2585" s="1" t="s">
        <v>19</v>
      </c>
      <c r="J2585" s="1">
        <f>IFERROR(__xludf.DUMMYFUNCTION("""COMPUTED_VALUE"""),77.0)</f>
        <v>77</v>
      </c>
      <c r="K2585" s="1">
        <v>53.0</v>
      </c>
      <c r="L2585" s="1">
        <f>IFERROR(__xludf.DUMMYFUNCTION("""COMPUTED_VALUE"""),173.0)</f>
        <v>173</v>
      </c>
    </row>
    <row r="2586">
      <c r="A2586" s="1">
        <v>6171113.0</v>
      </c>
      <c r="B2586" s="1" t="s">
        <v>5516</v>
      </c>
      <c r="C2586" s="1" t="s">
        <v>5394</v>
      </c>
      <c r="D2586" s="1" t="s">
        <v>5409</v>
      </c>
      <c r="E2586" s="1" t="s">
        <v>5517</v>
      </c>
      <c r="F2586" s="1" t="s">
        <v>16</v>
      </c>
      <c r="G2586" s="1" t="s">
        <v>17</v>
      </c>
      <c r="H2586" s="1" t="s">
        <v>18</v>
      </c>
      <c r="I2586" s="1" t="s">
        <v>684</v>
      </c>
      <c r="J2586" s="1">
        <f>IFERROR(__xludf.DUMMYFUNCTION("""COMPUTED_VALUE"""),129.0)</f>
        <v>129</v>
      </c>
      <c r="K2586" s="1">
        <v>22.0</v>
      </c>
      <c r="L2586" s="1">
        <f>IFERROR(__xludf.DUMMYFUNCTION("""COMPUTED_VALUE"""),187.0)</f>
        <v>187</v>
      </c>
    </row>
    <row r="2587">
      <c r="A2587" s="1">
        <v>6172011.0</v>
      </c>
      <c r="B2587" s="1" t="s">
        <v>5518</v>
      </c>
      <c r="C2587" s="1" t="s">
        <v>5394</v>
      </c>
      <c r="D2587" s="1" t="s">
        <v>5398</v>
      </c>
      <c r="E2587" s="1" t="s">
        <v>5519</v>
      </c>
      <c r="F2587" s="1" t="s">
        <v>16</v>
      </c>
      <c r="G2587" s="1" t="s">
        <v>27</v>
      </c>
      <c r="H2587" s="1" t="s">
        <v>28</v>
      </c>
      <c r="I2587" s="1" t="s">
        <v>29</v>
      </c>
      <c r="J2587" s="1">
        <f>IFERROR(__xludf.DUMMYFUNCTION("""COMPUTED_VALUE"""),236.0)</f>
        <v>236</v>
      </c>
      <c r="K2587" s="1">
        <v>53.0</v>
      </c>
      <c r="L2587" s="1">
        <f>IFERROR(__xludf.DUMMYFUNCTION("""COMPUTED_VALUE"""),657.0)</f>
        <v>657</v>
      </c>
    </row>
    <row r="2588">
      <c r="A2588" s="1">
        <v>6171078.0</v>
      </c>
      <c r="B2588" s="1" t="s">
        <v>5520</v>
      </c>
      <c r="C2588" s="1" t="s">
        <v>5394</v>
      </c>
      <c r="D2588" s="1" t="s">
        <v>5409</v>
      </c>
      <c r="E2588" s="1" t="s">
        <v>5521</v>
      </c>
      <c r="F2588" s="1" t="s">
        <v>16</v>
      </c>
      <c r="G2588" s="1" t="s">
        <v>23</v>
      </c>
      <c r="H2588" s="1" t="s">
        <v>18</v>
      </c>
      <c r="I2588" s="1" t="s">
        <v>19</v>
      </c>
      <c r="J2588" s="1">
        <f>IFERROR(__xludf.DUMMYFUNCTION("""COMPUTED_VALUE"""),57.0)</f>
        <v>57</v>
      </c>
      <c r="K2588" s="1">
        <v>23.0</v>
      </c>
      <c r="L2588" s="1">
        <f>IFERROR(__xludf.DUMMYFUNCTION("""COMPUTED_VALUE"""),154.0)</f>
        <v>154</v>
      </c>
    </row>
    <row r="2589">
      <c r="A2589" s="1">
        <v>6107010.0</v>
      </c>
      <c r="B2589" s="1" t="s">
        <v>5522</v>
      </c>
      <c r="C2589" s="1" t="s">
        <v>5394</v>
      </c>
      <c r="D2589" s="1" t="s">
        <v>5449</v>
      </c>
      <c r="E2589" s="1" t="s">
        <v>5523</v>
      </c>
      <c r="F2589" s="1" t="s">
        <v>16</v>
      </c>
      <c r="G2589" s="1" t="s">
        <v>27</v>
      </c>
      <c r="H2589" s="1" t="s">
        <v>28</v>
      </c>
      <c r="I2589" s="1" t="s">
        <v>40</v>
      </c>
      <c r="J2589" s="1">
        <f>IFERROR(__xludf.DUMMYFUNCTION("""COMPUTED_VALUE"""),204.0)</f>
        <v>204</v>
      </c>
      <c r="K2589" s="1">
        <v>140.0</v>
      </c>
      <c r="L2589" s="1">
        <f>IFERROR(__xludf.DUMMYFUNCTION("""COMPUTED_VALUE"""),455.0)</f>
        <v>455</v>
      </c>
    </row>
    <row r="2590">
      <c r="A2590" s="1">
        <v>6271028.0</v>
      </c>
      <c r="B2590" s="1" t="s">
        <v>5524</v>
      </c>
      <c r="C2590" s="1" t="s">
        <v>5525</v>
      </c>
      <c r="D2590" s="1" t="s">
        <v>5526</v>
      </c>
      <c r="E2590" s="1" t="s">
        <v>5527</v>
      </c>
      <c r="F2590" s="1" t="s">
        <v>55</v>
      </c>
      <c r="G2590" s="1" t="s">
        <v>17</v>
      </c>
      <c r="H2590" s="1" t="s">
        <v>18</v>
      </c>
      <c r="I2590" s="1" t="s">
        <v>19</v>
      </c>
      <c r="J2590" s="1">
        <f>IFERROR(__xludf.DUMMYFUNCTION("""COMPUTED_VALUE"""),45.0)</f>
        <v>45</v>
      </c>
      <c r="K2590" s="1">
        <v>26.0</v>
      </c>
      <c r="L2590" s="1">
        <f>IFERROR(__xludf.DUMMYFUNCTION("""COMPUTED_VALUE"""),81.0)</f>
        <v>81</v>
      </c>
    </row>
    <row r="2591">
      <c r="A2591" s="1">
        <v>6271080.0</v>
      </c>
      <c r="B2591" s="1" t="s">
        <v>5528</v>
      </c>
      <c r="C2591" s="1" t="s">
        <v>5525</v>
      </c>
      <c r="D2591" s="1" t="s">
        <v>5526</v>
      </c>
      <c r="E2591" s="1" t="s">
        <v>5529</v>
      </c>
      <c r="F2591" s="1" t="s">
        <v>16</v>
      </c>
      <c r="G2591" s="1" t="s">
        <v>23</v>
      </c>
      <c r="H2591" s="1" t="s">
        <v>18</v>
      </c>
      <c r="I2591" s="1" t="s">
        <v>19</v>
      </c>
      <c r="J2591" s="1">
        <f>IFERROR(__xludf.DUMMYFUNCTION("""COMPUTED_VALUE"""),51.0)</f>
        <v>51</v>
      </c>
      <c r="K2591" s="1">
        <v>47.0</v>
      </c>
      <c r="L2591" s="1">
        <f>IFERROR(__xludf.DUMMYFUNCTION("""COMPUTED_VALUE"""),182.0)</f>
        <v>182</v>
      </c>
    </row>
    <row r="2592">
      <c r="A2592" s="1">
        <v>6271024.0</v>
      </c>
      <c r="B2592" s="1" t="s">
        <v>5530</v>
      </c>
      <c r="C2592" s="1" t="s">
        <v>5525</v>
      </c>
      <c r="D2592" s="1" t="s">
        <v>5526</v>
      </c>
      <c r="E2592" s="1" t="s">
        <v>5531</v>
      </c>
      <c r="F2592" s="1" t="s">
        <v>16</v>
      </c>
      <c r="G2592" s="1" t="s">
        <v>17</v>
      </c>
      <c r="H2592" s="1" t="s">
        <v>18</v>
      </c>
      <c r="I2592" s="1" t="s">
        <v>684</v>
      </c>
      <c r="J2592" s="1">
        <f>IFERROR(__xludf.DUMMYFUNCTION("""COMPUTED_VALUE"""),104.0)</f>
        <v>104</v>
      </c>
      <c r="K2592" s="1">
        <v>39.0</v>
      </c>
      <c r="L2592" s="1">
        <f>IFERROR(__xludf.DUMMYFUNCTION("""COMPUTED_VALUE"""),261.0)</f>
        <v>261</v>
      </c>
    </row>
    <row r="2593">
      <c r="A2593" s="1">
        <v>6213022.0</v>
      </c>
      <c r="B2593" s="1" t="s">
        <v>5532</v>
      </c>
      <c r="C2593" s="1" t="s">
        <v>5525</v>
      </c>
      <c r="D2593" s="1" t="s">
        <v>5533</v>
      </c>
      <c r="E2593" s="1" t="s">
        <v>5534</v>
      </c>
      <c r="F2593" s="1" t="s">
        <v>16</v>
      </c>
      <c r="G2593" s="1" t="s">
        <v>17</v>
      </c>
      <c r="H2593" s="1" t="s">
        <v>28</v>
      </c>
      <c r="I2593" s="1" t="s">
        <v>40</v>
      </c>
      <c r="J2593" s="1">
        <f>IFERROR(__xludf.DUMMYFUNCTION("""COMPUTED_VALUE"""),155.0)</f>
        <v>155</v>
      </c>
      <c r="K2593" s="1">
        <v>35.0</v>
      </c>
      <c r="L2593" s="1">
        <f>IFERROR(__xludf.DUMMYFUNCTION("""COMPUTED_VALUE"""),344.0)</f>
        <v>344</v>
      </c>
    </row>
    <row r="2594">
      <c r="A2594" s="1">
        <v>6202013.0</v>
      </c>
      <c r="B2594" s="1" t="s">
        <v>5535</v>
      </c>
      <c r="C2594" s="1" t="s">
        <v>5525</v>
      </c>
      <c r="D2594" s="1" t="s">
        <v>5536</v>
      </c>
      <c r="E2594" s="1" t="s">
        <v>5537</v>
      </c>
      <c r="F2594" s="1" t="s">
        <v>16</v>
      </c>
      <c r="G2594" s="1" t="s">
        <v>27</v>
      </c>
      <c r="H2594" s="1" t="s">
        <v>28</v>
      </c>
      <c r="I2594" s="1" t="s">
        <v>40</v>
      </c>
      <c r="J2594" s="1">
        <f>IFERROR(__xludf.DUMMYFUNCTION("""COMPUTED_VALUE"""),302.0)</f>
        <v>302</v>
      </c>
      <c r="K2594" s="1">
        <v>89.0</v>
      </c>
      <c r="L2594" s="1">
        <f>IFERROR(__xludf.DUMMYFUNCTION("""COMPUTED_VALUE"""),695.0)</f>
        <v>695</v>
      </c>
    </row>
    <row r="2595">
      <c r="A2595" s="1">
        <v>6207012.0</v>
      </c>
      <c r="B2595" s="1" t="s">
        <v>5538</v>
      </c>
      <c r="C2595" s="1" t="s">
        <v>5525</v>
      </c>
      <c r="D2595" s="1" t="s">
        <v>5539</v>
      </c>
      <c r="E2595" s="1" t="s">
        <v>5540</v>
      </c>
      <c r="F2595" s="1" t="s">
        <v>16</v>
      </c>
      <c r="G2595" s="1" t="s">
        <v>17</v>
      </c>
      <c r="H2595" s="1" t="s">
        <v>28</v>
      </c>
      <c r="I2595" s="1" t="s">
        <v>40</v>
      </c>
      <c r="J2595" s="1">
        <f>IFERROR(__xludf.DUMMYFUNCTION("""COMPUTED_VALUE"""),150.0)</f>
        <v>150</v>
      </c>
      <c r="K2595" s="1">
        <v>23.0</v>
      </c>
      <c r="L2595" s="1">
        <f>IFERROR(__xludf.DUMMYFUNCTION("""COMPUTED_VALUE"""),193.0)</f>
        <v>193</v>
      </c>
    </row>
    <row r="2596">
      <c r="A2596" s="1">
        <v>6203015.0</v>
      </c>
      <c r="B2596" s="1" t="s">
        <v>5541</v>
      </c>
      <c r="C2596" s="1" t="s">
        <v>5525</v>
      </c>
      <c r="D2596" s="1" t="s">
        <v>5542</v>
      </c>
      <c r="E2596" s="1" t="s">
        <v>5543</v>
      </c>
      <c r="F2596" s="1" t="s">
        <v>16</v>
      </c>
      <c r="G2596" s="1" t="s">
        <v>17</v>
      </c>
      <c r="H2596" s="1" t="s">
        <v>28</v>
      </c>
      <c r="I2596" s="1" t="s">
        <v>40</v>
      </c>
      <c r="J2596" s="1">
        <f>IFERROR(__xludf.DUMMYFUNCTION("""COMPUTED_VALUE"""),175.0)</f>
        <v>175</v>
      </c>
      <c r="K2596" s="1">
        <v>32.0</v>
      </c>
      <c r="L2596" s="1">
        <f>IFERROR(__xludf.DUMMYFUNCTION("""COMPUTED_VALUE"""),568.0)</f>
        <v>568</v>
      </c>
    </row>
    <row r="2597">
      <c r="A2597" s="1">
        <v>6210015.0</v>
      </c>
      <c r="B2597" s="1" t="s">
        <v>5544</v>
      </c>
      <c r="C2597" s="1" t="s">
        <v>5525</v>
      </c>
      <c r="D2597" s="1" t="s">
        <v>5545</v>
      </c>
      <c r="E2597" s="1" t="s">
        <v>5546</v>
      </c>
      <c r="F2597" s="1" t="s">
        <v>16</v>
      </c>
      <c r="G2597" s="1" t="s">
        <v>17</v>
      </c>
      <c r="H2597" s="1" t="s">
        <v>28</v>
      </c>
      <c r="I2597" s="1" t="s">
        <v>40</v>
      </c>
      <c r="J2597" s="1">
        <f>IFERROR(__xludf.DUMMYFUNCTION("""COMPUTED_VALUE"""),145.0)</f>
        <v>145</v>
      </c>
      <c r="K2597" s="1">
        <v>19.0</v>
      </c>
      <c r="L2597" s="1">
        <f>IFERROR(__xludf.DUMMYFUNCTION("""COMPUTED_VALUE"""),193.0)</f>
        <v>193</v>
      </c>
    </row>
    <row r="2598">
      <c r="A2598" s="1">
        <v>6201027.0</v>
      </c>
      <c r="B2598" s="1" t="s">
        <v>5547</v>
      </c>
      <c r="C2598" s="1" t="s">
        <v>5525</v>
      </c>
      <c r="D2598" s="1" t="s">
        <v>5548</v>
      </c>
      <c r="E2598" s="1" t="s">
        <v>5549</v>
      </c>
      <c r="F2598" s="1" t="s">
        <v>16</v>
      </c>
      <c r="G2598" s="1" t="s">
        <v>98</v>
      </c>
      <c r="H2598" s="1" t="s">
        <v>18</v>
      </c>
      <c r="I2598" s="1" t="s">
        <v>40</v>
      </c>
      <c r="J2598" s="1">
        <f>IFERROR(__xludf.DUMMYFUNCTION("""COMPUTED_VALUE"""),30.0)</f>
        <v>30</v>
      </c>
      <c r="K2598" s="1">
        <v>16.0</v>
      </c>
      <c r="L2598" s="1">
        <f>IFERROR(__xludf.DUMMYFUNCTION("""COMPUTED_VALUE"""),182.0)</f>
        <v>182</v>
      </c>
    </row>
    <row r="2599">
      <c r="A2599" s="1">
        <v>6204016.0</v>
      </c>
      <c r="B2599" s="1" t="s">
        <v>5550</v>
      </c>
      <c r="C2599" s="1" t="s">
        <v>5525</v>
      </c>
      <c r="D2599" s="1" t="s">
        <v>5551</v>
      </c>
      <c r="E2599" s="1" t="s">
        <v>5552</v>
      </c>
      <c r="F2599" s="1" t="s">
        <v>16</v>
      </c>
      <c r="G2599" s="1" t="s">
        <v>17</v>
      </c>
      <c r="H2599" s="1" t="s">
        <v>28</v>
      </c>
      <c r="I2599" s="1" t="s">
        <v>40</v>
      </c>
      <c r="J2599" s="1">
        <f>IFERROR(__xludf.DUMMYFUNCTION("""COMPUTED_VALUE"""),147.0)</f>
        <v>147</v>
      </c>
      <c r="K2599" s="1">
        <v>33.0</v>
      </c>
      <c r="L2599" s="1">
        <f>IFERROR(__xludf.DUMMYFUNCTION("""COMPUTED_VALUE"""),313.0)</f>
        <v>313</v>
      </c>
    </row>
    <row r="2600">
      <c r="A2600" s="1">
        <v>6271026.0</v>
      </c>
      <c r="B2600" s="1" t="s">
        <v>5553</v>
      </c>
      <c r="C2600" s="1" t="s">
        <v>5525</v>
      </c>
      <c r="D2600" s="1" t="s">
        <v>5526</v>
      </c>
      <c r="E2600" s="1" t="s">
        <v>5554</v>
      </c>
      <c r="F2600" s="1" t="s">
        <v>16</v>
      </c>
      <c r="G2600" s="1" t="s">
        <v>17</v>
      </c>
      <c r="H2600" s="1" t="s">
        <v>28</v>
      </c>
      <c r="I2600" s="1" t="s">
        <v>29</v>
      </c>
      <c r="J2600" s="1">
        <f>IFERROR(__xludf.DUMMYFUNCTION("""COMPUTED_VALUE"""),107.0)</f>
        <v>107</v>
      </c>
      <c r="K2600" s="1">
        <v>27.0</v>
      </c>
      <c r="L2600" s="1">
        <f>IFERROR(__xludf.DUMMYFUNCTION("""COMPUTED_VALUE"""),360.0)</f>
        <v>360</v>
      </c>
    </row>
    <row r="2601">
      <c r="A2601" s="1">
        <v>6271068.0</v>
      </c>
      <c r="B2601" s="1" t="s">
        <v>5555</v>
      </c>
      <c r="C2601" s="1" t="s">
        <v>5525</v>
      </c>
      <c r="D2601" s="1" t="s">
        <v>5545</v>
      </c>
      <c r="E2601" s="1" t="s">
        <v>5556</v>
      </c>
      <c r="F2601" s="1" t="s">
        <v>174</v>
      </c>
      <c r="G2601" s="1" t="s">
        <v>27</v>
      </c>
      <c r="H2601" s="1" t="s">
        <v>28</v>
      </c>
      <c r="I2601" s="1" t="s">
        <v>139</v>
      </c>
      <c r="J2601" s="1">
        <f>IFERROR(__xludf.DUMMYFUNCTION("""COMPUTED_VALUE"""),84.0)</f>
        <v>84</v>
      </c>
      <c r="K2601" s="1">
        <v>36.0</v>
      </c>
      <c r="L2601" s="1">
        <f>IFERROR(__xludf.DUMMYFUNCTION("""COMPUTED_VALUE"""),87.0)</f>
        <v>87</v>
      </c>
    </row>
    <row r="2602">
      <c r="A2602" s="1">
        <v>6271023.0</v>
      </c>
      <c r="B2602" s="1" t="s">
        <v>5557</v>
      </c>
      <c r="C2602" s="1" t="s">
        <v>5525</v>
      </c>
      <c r="D2602" s="1" t="s">
        <v>5526</v>
      </c>
      <c r="E2602" s="1" t="s">
        <v>5558</v>
      </c>
      <c r="F2602" s="1" t="s">
        <v>16</v>
      </c>
      <c r="G2602" s="1" t="s">
        <v>23</v>
      </c>
      <c r="H2602" s="1" t="s">
        <v>18</v>
      </c>
      <c r="I2602" s="1" t="s">
        <v>74</v>
      </c>
      <c r="J2602" s="1">
        <f>IFERROR(__xludf.DUMMYFUNCTION("""COMPUTED_VALUE"""),60.0)</f>
        <v>60</v>
      </c>
      <c r="K2602" s="1">
        <v>28.0</v>
      </c>
      <c r="L2602" s="1">
        <f>IFERROR(__xludf.DUMMYFUNCTION("""COMPUTED_VALUE"""),50.0)</f>
        <v>50</v>
      </c>
    </row>
    <row r="2603">
      <c r="A2603" s="1">
        <v>6271029.0</v>
      </c>
      <c r="B2603" s="1" t="s">
        <v>4926</v>
      </c>
      <c r="C2603" s="1" t="s">
        <v>5525</v>
      </c>
      <c r="D2603" s="1" t="s">
        <v>5526</v>
      </c>
      <c r="E2603" s="1" t="s">
        <v>5559</v>
      </c>
      <c r="F2603" s="1" t="s">
        <v>16</v>
      </c>
      <c r="G2603" s="1" t="s">
        <v>17</v>
      </c>
      <c r="H2603" s="1" t="s">
        <v>18</v>
      </c>
      <c r="I2603" s="1" t="s">
        <v>19</v>
      </c>
      <c r="J2603" s="1">
        <f>IFERROR(__xludf.DUMMYFUNCTION("""COMPUTED_VALUE"""),51.0)</f>
        <v>51</v>
      </c>
      <c r="K2603" s="1">
        <v>37.0</v>
      </c>
      <c r="L2603" s="1">
        <f>IFERROR(__xludf.DUMMYFUNCTION("""COMPUTED_VALUE"""),138.0)</f>
        <v>138</v>
      </c>
    </row>
    <row r="2604">
      <c r="A2604" s="1">
        <v>6201016.0</v>
      </c>
      <c r="B2604" s="1" t="s">
        <v>5560</v>
      </c>
      <c r="C2604" s="1" t="s">
        <v>5525</v>
      </c>
      <c r="D2604" s="1" t="s">
        <v>5548</v>
      </c>
      <c r="E2604" s="1" t="s">
        <v>5561</v>
      </c>
      <c r="F2604" s="1" t="s">
        <v>16</v>
      </c>
      <c r="G2604" s="1" t="s">
        <v>23</v>
      </c>
      <c r="H2604" s="1" t="s">
        <v>18</v>
      </c>
      <c r="I2604" s="1" t="s">
        <v>19</v>
      </c>
      <c r="J2604" s="1">
        <f>IFERROR(__xludf.DUMMYFUNCTION("""COMPUTED_VALUE"""),54.0)</f>
        <v>54</v>
      </c>
      <c r="K2604" s="1">
        <v>29.0</v>
      </c>
      <c r="L2604" s="1">
        <f>IFERROR(__xludf.DUMMYFUNCTION("""COMPUTED_VALUE"""),99.0)</f>
        <v>99</v>
      </c>
    </row>
    <row r="2605">
      <c r="A2605" s="1">
        <v>6205011.0</v>
      </c>
      <c r="B2605" s="1" t="s">
        <v>5562</v>
      </c>
      <c r="C2605" s="1" t="s">
        <v>5525</v>
      </c>
      <c r="D2605" s="1" t="s">
        <v>5563</v>
      </c>
      <c r="E2605" s="1" t="s">
        <v>5564</v>
      </c>
      <c r="F2605" s="1" t="s">
        <v>16</v>
      </c>
      <c r="G2605" s="1" t="s">
        <v>17</v>
      </c>
      <c r="H2605" s="1" t="s">
        <v>28</v>
      </c>
      <c r="I2605" s="1" t="s">
        <v>40</v>
      </c>
      <c r="J2605" s="1">
        <f>IFERROR(__xludf.DUMMYFUNCTION("""COMPUTED_VALUE"""),147.0)</f>
        <v>147</v>
      </c>
      <c r="K2605" s="1">
        <v>30.0</v>
      </c>
      <c r="L2605" s="1">
        <f>IFERROR(__xludf.DUMMYFUNCTION("""COMPUTED_VALUE"""),455.0)</f>
        <v>455</v>
      </c>
    </row>
    <row r="2606">
      <c r="A2606" s="1">
        <v>6211016.0</v>
      </c>
      <c r="B2606" s="1" t="s">
        <v>5565</v>
      </c>
      <c r="C2606" s="1" t="s">
        <v>5525</v>
      </c>
      <c r="D2606" s="1" t="s">
        <v>5566</v>
      </c>
      <c r="E2606" s="1" t="s">
        <v>5567</v>
      </c>
      <c r="F2606" s="1" t="s">
        <v>16</v>
      </c>
      <c r="G2606" s="1" t="s">
        <v>98</v>
      </c>
      <c r="H2606" s="1" t="s">
        <v>18</v>
      </c>
      <c r="I2606" s="1" t="s">
        <v>40</v>
      </c>
      <c r="J2606" s="1">
        <f>IFERROR(__xludf.DUMMYFUNCTION("""COMPUTED_VALUE"""),102.0)</f>
        <v>102</v>
      </c>
      <c r="K2606" s="1">
        <v>7.0</v>
      </c>
      <c r="L2606" s="1">
        <f>IFERROR(__xludf.DUMMYFUNCTION("""COMPUTED_VALUE"""),182.0)</f>
        <v>182</v>
      </c>
    </row>
    <row r="2607">
      <c r="A2607" s="1">
        <v>6201012.0</v>
      </c>
      <c r="B2607" s="1" t="s">
        <v>5568</v>
      </c>
      <c r="C2607" s="1" t="s">
        <v>5525</v>
      </c>
      <c r="D2607" s="1" t="s">
        <v>5548</v>
      </c>
      <c r="E2607" s="1" t="s">
        <v>5569</v>
      </c>
      <c r="F2607" s="1" t="s">
        <v>16</v>
      </c>
      <c r="G2607" s="1" t="s">
        <v>27</v>
      </c>
      <c r="H2607" s="1" t="s">
        <v>28</v>
      </c>
      <c r="I2607" s="1" t="s">
        <v>40</v>
      </c>
      <c r="J2607" s="1">
        <f>IFERROR(__xludf.DUMMYFUNCTION("""COMPUTED_VALUE"""),235.0)</f>
        <v>235</v>
      </c>
      <c r="K2607" s="1">
        <v>119.0</v>
      </c>
      <c r="L2607" s="1">
        <f>IFERROR(__xludf.DUMMYFUNCTION("""COMPUTED_VALUE"""),254.0)</f>
        <v>254</v>
      </c>
    </row>
    <row r="2608">
      <c r="A2608" s="1">
        <v>6207033.0</v>
      </c>
      <c r="B2608" s="1" t="s">
        <v>5570</v>
      </c>
      <c r="C2608" s="1" t="s">
        <v>5525</v>
      </c>
      <c r="D2608" s="1" t="s">
        <v>5571</v>
      </c>
      <c r="E2608" s="1" t="s">
        <v>5572</v>
      </c>
      <c r="F2608" s="1" t="s">
        <v>16</v>
      </c>
      <c r="G2608" s="1" t="s">
        <v>17</v>
      </c>
      <c r="H2608" s="1" t="s">
        <v>28</v>
      </c>
      <c r="I2608" s="1" t="s">
        <v>40</v>
      </c>
      <c r="J2608" s="1">
        <f>IFERROR(__xludf.DUMMYFUNCTION("""COMPUTED_VALUE"""),104.0)</f>
        <v>104</v>
      </c>
      <c r="K2608" s="1">
        <v>32.0</v>
      </c>
      <c r="L2608" s="1">
        <f>IFERROR(__xludf.DUMMYFUNCTION("""COMPUTED_VALUE"""),334.0)</f>
        <v>334</v>
      </c>
    </row>
    <row r="2609">
      <c r="A2609" s="1">
        <v>6209024.0</v>
      </c>
      <c r="B2609" s="1" t="s">
        <v>5573</v>
      </c>
      <c r="C2609" s="1" t="s">
        <v>5525</v>
      </c>
      <c r="D2609" s="1" t="s">
        <v>5574</v>
      </c>
      <c r="E2609" s="1" t="s">
        <v>5575</v>
      </c>
      <c r="F2609" s="1" t="s">
        <v>16</v>
      </c>
      <c r="G2609" s="1" t="s">
        <v>17</v>
      </c>
      <c r="H2609" s="1" t="s">
        <v>28</v>
      </c>
      <c r="I2609" s="1" t="s">
        <v>40</v>
      </c>
      <c r="J2609" s="1">
        <f>IFERROR(__xludf.DUMMYFUNCTION("""COMPUTED_VALUE"""),117.0)</f>
        <v>117</v>
      </c>
      <c r="K2609" s="1">
        <v>30.0</v>
      </c>
      <c r="L2609" s="1">
        <f>IFERROR(__xludf.DUMMYFUNCTION("""COMPUTED_VALUE"""),148.0)</f>
        <v>148</v>
      </c>
    </row>
    <row r="2610">
      <c r="A2610" s="1">
        <v>6271025.0</v>
      </c>
      <c r="B2610" s="1" t="s">
        <v>5576</v>
      </c>
      <c r="C2610" s="1" t="s">
        <v>5525</v>
      </c>
      <c r="D2610" s="1" t="s">
        <v>5526</v>
      </c>
      <c r="E2610" s="1" t="s">
        <v>5577</v>
      </c>
      <c r="F2610" s="1" t="s">
        <v>16</v>
      </c>
      <c r="G2610" s="1" t="s">
        <v>17</v>
      </c>
      <c r="H2610" s="1" t="s">
        <v>33</v>
      </c>
      <c r="I2610" s="1" t="s">
        <v>65</v>
      </c>
      <c r="J2610" s="1">
        <f>IFERROR(__xludf.DUMMYFUNCTION("""COMPUTED_VALUE"""),101.0)</f>
        <v>101</v>
      </c>
      <c r="K2610" s="1">
        <v>68.0</v>
      </c>
      <c r="L2610" s="1">
        <f>IFERROR(__xludf.DUMMYFUNCTION("""COMPUTED_VALUE"""),199.0)</f>
        <v>199</v>
      </c>
    </row>
    <row r="2611">
      <c r="A2611" s="1">
        <v>6208014.0</v>
      </c>
      <c r="B2611" s="1" t="s">
        <v>5578</v>
      </c>
      <c r="C2611" s="1" t="s">
        <v>5525</v>
      </c>
      <c r="D2611" s="1" t="s">
        <v>5579</v>
      </c>
      <c r="E2611" s="1" t="s">
        <v>5580</v>
      </c>
      <c r="F2611" s="1" t="s">
        <v>16</v>
      </c>
      <c r="G2611" s="1" t="s">
        <v>17</v>
      </c>
      <c r="H2611" s="1" t="s">
        <v>28</v>
      </c>
      <c r="I2611" s="1" t="s">
        <v>40</v>
      </c>
      <c r="J2611" s="1">
        <f>IFERROR(__xludf.DUMMYFUNCTION("""COMPUTED_VALUE"""),105.0)</f>
        <v>105</v>
      </c>
      <c r="K2611" s="1">
        <v>43.0</v>
      </c>
      <c r="L2611" s="1">
        <f>IFERROR(__xludf.DUMMYFUNCTION("""COMPUTED_VALUE"""),337.0)</f>
        <v>337</v>
      </c>
    </row>
    <row r="2612">
      <c r="A2612" s="1">
        <v>6271030.0</v>
      </c>
      <c r="B2612" s="1" t="s">
        <v>5581</v>
      </c>
      <c r="C2612" s="1" t="s">
        <v>5525</v>
      </c>
      <c r="D2612" s="1" t="s">
        <v>5526</v>
      </c>
      <c r="E2612" s="1" t="s">
        <v>5582</v>
      </c>
      <c r="F2612" s="1" t="s">
        <v>16</v>
      </c>
      <c r="G2612" s="1" t="s">
        <v>17</v>
      </c>
      <c r="H2612" s="1" t="s">
        <v>18</v>
      </c>
      <c r="I2612" s="1" t="s">
        <v>44</v>
      </c>
      <c r="J2612" s="1">
        <f>IFERROR(__xludf.DUMMYFUNCTION("""COMPUTED_VALUE"""),102.0)</f>
        <v>102</v>
      </c>
      <c r="K2612" s="1">
        <v>51.0</v>
      </c>
      <c r="L2612" s="1">
        <f>IFERROR(__xludf.DUMMYFUNCTION("""COMPUTED_VALUE"""),190.0)</f>
        <v>190</v>
      </c>
    </row>
    <row r="2613">
      <c r="A2613" s="1">
        <v>6201013.0</v>
      </c>
      <c r="B2613" s="1" t="s">
        <v>5583</v>
      </c>
      <c r="C2613" s="1" t="s">
        <v>5525</v>
      </c>
      <c r="D2613" s="1" t="s">
        <v>5548</v>
      </c>
      <c r="E2613" s="1" t="s">
        <v>5584</v>
      </c>
      <c r="F2613" s="1" t="s">
        <v>16</v>
      </c>
      <c r="G2613" s="1" t="s">
        <v>23</v>
      </c>
      <c r="H2613" s="1" t="s">
        <v>18</v>
      </c>
      <c r="I2613" s="1" t="s">
        <v>44</v>
      </c>
      <c r="J2613" s="1">
        <f>IFERROR(__xludf.DUMMYFUNCTION("""COMPUTED_VALUE"""),52.0)</f>
        <v>52</v>
      </c>
      <c r="K2613" s="1">
        <v>46.0</v>
      </c>
      <c r="L2613" s="1">
        <f>IFERROR(__xludf.DUMMYFUNCTION("""COMPUTED_VALUE"""),48.0)</f>
        <v>48</v>
      </c>
    </row>
    <row r="2614">
      <c r="A2614" s="1">
        <v>6211026.0</v>
      </c>
      <c r="B2614" s="1" t="s">
        <v>5585</v>
      </c>
      <c r="C2614" s="1" t="s">
        <v>5525</v>
      </c>
      <c r="D2614" s="1" t="s">
        <v>5566</v>
      </c>
      <c r="E2614" s="1" t="s">
        <v>5586</v>
      </c>
      <c r="F2614" s="1" t="s">
        <v>16</v>
      </c>
      <c r="G2614" s="1" t="s">
        <v>17</v>
      </c>
      <c r="H2614" s="1" t="s">
        <v>28</v>
      </c>
      <c r="I2614" s="1" t="s">
        <v>40</v>
      </c>
      <c r="J2614" s="1">
        <f>IFERROR(__xludf.DUMMYFUNCTION("""COMPUTED_VALUE"""),96.0)</f>
        <v>96</v>
      </c>
      <c r="K2614" s="1">
        <v>28.0</v>
      </c>
      <c r="L2614" s="1">
        <f>IFERROR(__xludf.DUMMYFUNCTION("""COMPUTED_VALUE"""),283.0)</f>
        <v>283</v>
      </c>
    </row>
    <row r="2615">
      <c r="A2615" s="1">
        <v>6202025.0</v>
      </c>
      <c r="B2615" s="1" t="s">
        <v>5587</v>
      </c>
      <c r="C2615" s="1" t="s">
        <v>5525</v>
      </c>
      <c r="D2615" s="1" t="s">
        <v>5536</v>
      </c>
      <c r="E2615" s="1" t="s">
        <v>5588</v>
      </c>
      <c r="F2615" s="1" t="s">
        <v>16</v>
      </c>
      <c r="G2615" s="1" t="s">
        <v>98</v>
      </c>
      <c r="H2615" s="1" t="s">
        <v>28</v>
      </c>
      <c r="I2615" s="1" t="s">
        <v>40</v>
      </c>
      <c r="J2615" s="1">
        <f>IFERROR(__xludf.DUMMYFUNCTION("""COMPUTED_VALUE"""),102.0)</f>
        <v>102</v>
      </c>
      <c r="K2615" s="1">
        <v>10.0</v>
      </c>
      <c r="L2615" s="1">
        <f>IFERROR(__xludf.DUMMYFUNCTION("""COMPUTED_VALUE"""),38.0)</f>
        <v>38</v>
      </c>
    </row>
    <row r="2616">
      <c r="A2616" s="1">
        <v>6209035.0</v>
      </c>
      <c r="B2616" s="1" t="s">
        <v>5589</v>
      </c>
      <c r="C2616" s="1" t="s">
        <v>5525</v>
      </c>
      <c r="D2616" s="1" t="s">
        <v>5574</v>
      </c>
      <c r="E2616" s="1" t="s">
        <v>5590</v>
      </c>
      <c r="F2616" s="1" t="s">
        <v>16</v>
      </c>
      <c r="G2616" s="1" t="s">
        <v>98</v>
      </c>
      <c r="H2616" s="1" t="s">
        <v>18</v>
      </c>
      <c r="I2616" s="1" t="s">
        <v>40</v>
      </c>
      <c r="J2616" s="1">
        <f>IFERROR(__xludf.DUMMYFUNCTION("""COMPUTED_VALUE"""),40.0)</f>
        <v>40</v>
      </c>
      <c r="K2616" s="1">
        <v>4.0</v>
      </c>
      <c r="L2616" s="1">
        <f>IFERROR(__xludf.DUMMYFUNCTION("""COMPUTED_VALUE"""),182.0)</f>
        <v>182</v>
      </c>
    </row>
    <row r="2617">
      <c r="A2617" s="1">
        <v>6271012.0</v>
      </c>
      <c r="B2617" s="1" t="s">
        <v>5591</v>
      </c>
      <c r="C2617" s="1" t="s">
        <v>5525</v>
      </c>
      <c r="D2617" s="1" t="s">
        <v>5526</v>
      </c>
      <c r="E2617" s="1" t="s">
        <v>5592</v>
      </c>
      <c r="F2617" s="1" t="s">
        <v>16</v>
      </c>
      <c r="G2617" s="1" t="s">
        <v>27</v>
      </c>
      <c r="H2617" s="1" t="s">
        <v>28</v>
      </c>
      <c r="I2617" s="1" t="s">
        <v>139</v>
      </c>
      <c r="J2617" s="1">
        <f>IFERROR(__xludf.DUMMYFUNCTION("""COMPUTED_VALUE"""),365.0)</f>
        <v>365</v>
      </c>
      <c r="K2617" s="1">
        <v>55.0</v>
      </c>
      <c r="L2617" s="1">
        <f>IFERROR(__xludf.DUMMYFUNCTION("""COMPUTED_VALUE"""),1372.0)</f>
        <v>1372</v>
      </c>
    </row>
    <row r="2618">
      <c r="A2618" s="1">
        <v>6271027.0</v>
      </c>
      <c r="B2618" s="1" t="s">
        <v>5593</v>
      </c>
      <c r="C2618" s="1" t="s">
        <v>5525</v>
      </c>
      <c r="D2618" s="1" t="s">
        <v>5526</v>
      </c>
      <c r="E2618" s="1" t="s">
        <v>5594</v>
      </c>
      <c r="F2618" s="1" t="s">
        <v>16</v>
      </c>
      <c r="G2618" s="1" t="s">
        <v>17</v>
      </c>
      <c r="H2618" s="1" t="s">
        <v>18</v>
      </c>
      <c r="I2618" s="1" t="s">
        <v>44</v>
      </c>
      <c r="J2618" s="1">
        <f>IFERROR(__xludf.DUMMYFUNCTION("""COMPUTED_VALUE"""),116.0)</f>
        <v>116</v>
      </c>
      <c r="K2618" s="1">
        <v>58.0</v>
      </c>
      <c r="L2618" s="1">
        <f>IFERROR(__xludf.DUMMYFUNCTION("""COMPUTED_VALUE"""),255.0)</f>
        <v>255</v>
      </c>
    </row>
    <row r="2619">
      <c r="A2619" s="1">
        <v>6271031.0</v>
      </c>
      <c r="B2619" s="1" t="s">
        <v>5595</v>
      </c>
      <c r="C2619" s="1" t="s">
        <v>5525</v>
      </c>
      <c r="D2619" s="1" t="s">
        <v>5526</v>
      </c>
      <c r="E2619" s="1" t="s">
        <v>5596</v>
      </c>
      <c r="F2619" s="1" t="s">
        <v>55</v>
      </c>
      <c r="G2619" s="1" t="s">
        <v>17</v>
      </c>
      <c r="H2619" s="1" t="s">
        <v>18</v>
      </c>
      <c r="I2619" s="1" t="s">
        <v>19</v>
      </c>
      <c r="J2619" s="1">
        <f>IFERROR(__xludf.DUMMYFUNCTION("""COMPUTED_VALUE"""),76.0)</f>
        <v>76</v>
      </c>
      <c r="K2619" s="1">
        <v>17.0</v>
      </c>
      <c r="L2619" s="1">
        <f>IFERROR(__xludf.DUMMYFUNCTION("""COMPUTED_VALUE"""),33.0)</f>
        <v>33</v>
      </c>
    </row>
    <row r="2620">
      <c r="A2620" s="1">
        <v>6208013.0</v>
      </c>
      <c r="B2620" s="1" t="s">
        <v>5597</v>
      </c>
      <c r="C2620" s="1" t="s">
        <v>5525</v>
      </c>
      <c r="D2620" s="1" t="s">
        <v>5579</v>
      </c>
      <c r="E2620" s="1" t="s">
        <v>5598</v>
      </c>
      <c r="F2620" s="1" t="s">
        <v>16</v>
      </c>
      <c r="G2620" s="1" t="s">
        <v>17</v>
      </c>
      <c r="H2620" s="1" t="s">
        <v>28</v>
      </c>
      <c r="I2620" s="1" t="s">
        <v>139</v>
      </c>
      <c r="J2620" s="1">
        <f>IFERROR(__xludf.DUMMYFUNCTION("""COMPUTED_VALUE"""),101.0)</f>
        <v>101</v>
      </c>
      <c r="K2620" s="1">
        <v>21.0</v>
      </c>
      <c r="L2620" s="1">
        <f>IFERROR(__xludf.DUMMYFUNCTION("""COMPUTED_VALUE"""),237.0)</f>
        <v>237</v>
      </c>
    </row>
    <row r="2621">
      <c r="A2621" s="1">
        <v>6212020.0</v>
      </c>
      <c r="B2621" s="1" t="s">
        <v>5599</v>
      </c>
      <c r="C2621" s="1" t="s">
        <v>5525</v>
      </c>
      <c r="D2621" s="1" t="s">
        <v>5600</v>
      </c>
      <c r="E2621" s="1" t="s">
        <v>5601</v>
      </c>
      <c r="F2621" s="1" t="s">
        <v>16</v>
      </c>
      <c r="G2621" s="1" t="s">
        <v>17</v>
      </c>
      <c r="H2621" s="1" t="s">
        <v>28</v>
      </c>
      <c r="I2621" s="1" t="s">
        <v>40</v>
      </c>
      <c r="J2621" s="1">
        <f>IFERROR(__xludf.DUMMYFUNCTION("""COMPUTED_VALUE"""),122.0)</f>
        <v>122</v>
      </c>
      <c r="K2621" s="1">
        <v>61.0</v>
      </c>
      <c r="L2621" s="1">
        <f>IFERROR(__xludf.DUMMYFUNCTION("""COMPUTED_VALUE"""),304.0)</f>
        <v>304</v>
      </c>
    </row>
    <row r="2622">
      <c r="A2622" s="1">
        <v>6301013.0</v>
      </c>
      <c r="B2622" s="1" t="s">
        <v>5602</v>
      </c>
      <c r="C2622" s="1" t="s">
        <v>5603</v>
      </c>
      <c r="D2622" s="1" t="s">
        <v>5604</v>
      </c>
      <c r="E2622" s="1" t="s">
        <v>5605</v>
      </c>
      <c r="F2622" s="1" t="s">
        <v>16</v>
      </c>
      <c r="G2622" s="1" t="s">
        <v>17</v>
      </c>
      <c r="H2622" s="1" t="s">
        <v>28</v>
      </c>
      <c r="I2622" s="1" t="s">
        <v>40</v>
      </c>
      <c r="J2622" s="1">
        <f>IFERROR(__xludf.DUMMYFUNCTION("""COMPUTED_VALUE"""),185.0)</f>
        <v>185</v>
      </c>
      <c r="K2622" s="1">
        <v>43.0</v>
      </c>
      <c r="L2622" s="1">
        <f>IFERROR(__xludf.DUMMYFUNCTION("""COMPUTED_VALUE"""),503.0)</f>
        <v>503</v>
      </c>
    </row>
    <row r="2623">
      <c r="A2623" s="1">
        <v>6371072.0</v>
      </c>
      <c r="B2623" s="1" t="s">
        <v>5606</v>
      </c>
      <c r="C2623" s="1" t="s">
        <v>5603</v>
      </c>
      <c r="D2623" s="1" t="s">
        <v>5607</v>
      </c>
      <c r="E2623" s="1" t="s">
        <v>5608</v>
      </c>
      <c r="F2623" s="1" t="s">
        <v>16</v>
      </c>
      <c r="G2623" s="1" t="s">
        <v>27</v>
      </c>
      <c r="H2623" s="1" t="s">
        <v>28</v>
      </c>
      <c r="I2623" s="1" t="s">
        <v>139</v>
      </c>
      <c r="J2623" s="1">
        <f>IFERROR(__xludf.DUMMYFUNCTION("""COMPUTED_VALUE"""),264.0)</f>
        <v>264</v>
      </c>
      <c r="K2623" s="1">
        <v>130.0</v>
      </c>
      <c r="L2623" s="1">
        <f>IFERROR(__xludf.DUMMYFUNCTION("""COMPUTED_VALUE"""),208.0)</f>
        <v>208</v>
      </c>
    </row>
    <row r="2624">
      <c r="A2624" s="1">
        <v>6301015.0</v>
      </c>
      <c r="B2624" s="1" t="s">
        <v>5609</v>
      </c>
      <c r="C2624" s="1" t="s">
        <v>5603</v>
      </c>
      <c r="D2624" s="1" t="s">
        <v>5604</v>
      </c>
      <c r="E2624" s="1" t="s">
        <v>5610</v>
      </c>
      <c r="F2624" s="1" t="s">
        <v>16</v>
      </c>
      <c r="G2624" s="1" t="s">
        <v>17</v>
      </c>
      <c r="H2624" s="1" t="s">
        <v>18</v>
      </c>
      <c r="I2624" s="1" t="s">
        <v>19</v>
      </c>
      <c r="J2624" s="1">
        <f>IFERROR(__xludf.DUMMYFUNCTION("""COMPUTED_VALUE"""),156.0)</f>
        <v>156</v>
      </c>
      <c r="K2624" s="1">
        <v>34.0</v>
      </c>
      <c r="L2624" s="1">
        <f>IFERROR(__xludf.DUMMYFUNCTION("""COMPUTED_VALUE"""),229.0)</f>
        <v>229</v>
      </c>
    </row>
    <row r="2625">
      <c r="A2625" s="1">
        <v>6306025.0</v>
      </c>
      <c r="B2625" s="1" t="s">
        <v>5423</v>
      </c>
      <c r="C2625" s="1" t="s">
        <v>5603</v>
      </c>
      <c r="D2625" s="1" t="s">
        <v>5611</v>
      </c>
      <c r="E2625" s="1" t="s">
        <v>5612</v>
      </c>
      <c r="F2625" s="1" t="s">
        <v>55</v>
      </c>
      <c r="G2625" s="1" t="s">
        <v>17</v>
      </c>
      <c r="H2625" s="1" t="s">
        <v>18</v>
      </c>
      <c r="I2625" s="1" t="s">
        <v>19</v>
      </c>
      <c r="J2625" s="1">
        <f>IFERROR(__xludf.DUMMYFUNCTION("""COMPUTED_VALUE"""),26.0)</f>
        <v>26</v>
      </c>
      <c r="K2625" s="1">
        <v>27.0</v>
      </c>
      <c r="L2625" s="1">
        <f>IFERROR(__xludf.DUMMYFUNCTION("""COMPUTED_VALUE"""),23.0)</f>
        <v>23</v>
      </c>
    </row>
    <row r="2626">
      <c r="A2626" s="1">
        <v>6303027.0</v>
      </c>
      <c r="B2626" s="1" t="s">
        <v>5613</v>
      </c>
      <c r="C2626" s="1" t="s">
        <v>5603</v>
      </c>
      <c r="D2626" s="1" t="s">
        <v>5614</v>
      </c>
      <c r="E2626" s="1" t="s">
        <v>5615</v>
      </c>
      <c r="F2626" s="1" t="s">
        <v>16</v>
      </c>
      <c r="G2626" s="1" t="s">
        <v>17</v>
      </c>
      <c r="H2626" s="1" t="s">
        <v>18</v>
      </c>
      <c r="I2626" s="1" t="s">
        <v>19</v>
      </c>
      <c r="J2626" s="1">
        <f>IFERROR(__xludf.DUMMYFUNCTION("""COMPUTED_VALUE"""),108.0)</f>
        <v>108</v>
      </c>
      <c r="K2626" s="1">
        <v>42.0</v>
      </c>
      <c r="L2626" s="1">
        <f>IFERROR(__xludf.DUMMYFUNCTION("""COMPUTED_VALUE"""),256.0)</f>
        <v>256</v>
      </c>
    </row>
    <row r="2627">
      <c r="A2627" s="1">
        <v>6303030.0</v>
      </c>
      <c r="B2627" s="1" t="s">
        <v>5616</v>
      </c>
      <c r="C2627" s="1" t="s">
        <v>5603</v>
      </c>
      <c r="D2627" s="1" t="s">
        <v>5614</v>
      </c>
      <c r="E2627" s="1" t="s">
        <v>5617</v>
      </c>
      <c r="F2627" s="1" t="s">
        <v>16</v>
      </c>
      <c r="G2627" s="1" t="s">
        <v>23</v>
      </c>
      <c r="H2627" s="1" t="s">
        <v>18</v>
      </c>
      <c r="I2627" s="1" t="s">
        <v>44</v>
      </c>
      <c r="J2627" s="1">
        <f>IFERROR(__xludf.DUMMYFUNCTION("""COMPUTED_VALUE"""),47.0)</f>
        <v>47</v>
      </c>
      <c r="K2627" s="1">
        <v>29.0</v>
      </c>
      <c r="L2627" s="1">
        <f>IFERROR(__xludf.DUMMYFUNCTION("""COMPUTED_VALUE"""),50.0)</f>
        <v>50</v>
      </c>
    </row>
    <row r="2628">
      <c r="A2628" s="1">
        <v>6302026.0</v>
      </c>
      <c r="B2628" s="1" t="s">
        <v>5618</v>
      </c>
      <c r="C2628" s="1" t="s">
        <v>5603</v>
      </c>
      <c r="D2628" s="1" t="s">
        <v>5619</v>
      </c>
      <c r="E2628" s="1" t="s">
        <v>5620</v>
      </c>
      <c r="F2628" s="1" t="s">
        <v>16</v>
      </c>
      <c r="G2628" s="1" t="s">
        <v>23</v>
      </c>
      <c r="H2628" s="1" t="s">
        <v>18</v>
      </c>
      <c r="I2628" s="1" t="s">
        <v>40</v>
      </c>
      <c r="J2628" s="1">
        <f>IFERROR(__xludf.DUMMYFUNCTION("""COMPUTED_VALUE"""),52.0)</f>
        <v>52</v>
      </c>
      <c r="K2628" s="1">
        <v>20.0</v>
      </c>
      <c r="L2628" s="1">
        <f>IFERROR(__xludf.DUMMYFUNCTION("""COMPUTED_VALUE"""),182.0)</f>
        <v>182</v>
      </c>
    </row>
    <row r="2629">
      <c r="A2629" s="1">
        <v>6309014.0</v>
      </c>
      <c r="B2629" s="1" t="s">
        <v>5621</v>
      </c>
      <c r="C2629" s="1" t="s">
        <v>5603</v>
      </c>
      <c r="D2629" s="1" t="s">
        <v>5622</v>
      </c>
      <c r="E2629" s="1" t="s">
        <v>5623</v>
      </c>
      <c r="F2629" s="1" t="s">
        <v>16</v>
      </c>
      <c r="G2629" s="1" t="s">
        <v>17</v>
      </c>
      <c r="H2629" s="1" t="s">
        <v>28</v>
      </c>
      <c r="I2629" s="1" t="s">
        <v>40</v>
      </c>
      <c r="J2629" s="1">
        <f>IFERROR(__xludf.DUMMYFUNCTION("""COMPUTED_VALUE"""),169.0)</f>
        <v>169</v>
      </c>
      <c r="K2629" s="1">
        <v>27.0</v>
      </c>
      <c r="L2629" s="1">
        <f>IFERROR(__xludf.DUMMYFUNCTION("""COMPUTED_VALUE"""),36.0)</f>
        <v>36</v>
      </c>
    </row>
    <row r="2630">
      <c r="A2630" s="1">
        <v>6371155.0</v>
      </c>
      <c r="B2630" s="1" t="s">
        <v>918</v>
      </c>
      <c r="C2630" s="1" t="s">
        <v>5603</v>
      </c>
      <c r="D2630" s="1" t="s">
        <v>5607</v>
      </c>
      <c r="E2630" s="1" t="s">
        <v>5624</v>
      </c>
      <c r="F2630" s="1" t="s">
        <v>55</v>
      </c>
      <c r="G2630" s="1" t="s">
        <v>17</v>
      </c>
      <c r="H2630" s="1" t="s">
        <v>18</v>
      </c>
      <c r="I2630" s="1" t="s">
        <v>19</v>
      </c>
      <c r="J2630" s="1">
        <f>IFERROR(__xludf.DUMMYFUNCTION("""COMPUTED_VALUE"""),33.0)</f>
        <v>33</v>
      </c>
      <c r="K2630" s="1">
        <v>17.0</v>
      </c>
      <c r="L2630" s="1">
        <f>IFERROR(__xludf.DUMMYFUNCTION("""COMPUTED_VALUE"""),100.0)</f>
        <v>100</v>
      </c>
    </row>
    <row r="2631">
      <c r="A2631" s="1">
        <v>6311016.0</v>
      </c>
      <c r="B2631" s="1" t="s">
        <v>5625</v>
      </c>
      <c r="C2631" s="1" t="s">
        <v>5603</v>
      </c>
      <c r="D2631" s="1" t="s">
        <v>5626</v>
      </c>
      <c r="E2631" s="1" t="s">
        <v>5627</v>
      </c>
      <c r="F2631" s="1" t="s">
        <v>16</v>
      </c>
      <c r="G2631" s="1" t="s">
        <v>17</v>
      </c>
      <c r="H2631" s="1" t="s">
        <v>28</v>
      </c>
      <c r="I2631" s="1" t="s">
        <v>40</v>
      </c>
      <c r="J2631" s="1">
        <f>IFERROR(__xludf.DUMMYFUNCTION("""COMPUTED_VALUE"""),122.0)</f>
        <v>122</v>
      </c>
      <c r="K2631" s="1">
        <v>31.0</v>
      </c>
      <c r="L2631" s="1">
        <f>IFERROR(__xludf.DUMMYFUNCTION("""COMPUTED_VALUE"""),607.0)</f>
        <v>607</v>
      </c>
    </row>
    <row r="2632">
      <c r="A2632" s="1">
        <v>6372021.0</v>
      </c>
      <c r="B2632" s="1" t="s">
        <v>5628</v>
      </c>
      <c r="C2632" s="1" t="s">
        <v>5603</v>
      </c>
      <c r="D2632" s="1" t="s">
        <v>5629</v>
      </c>
      <c r="E2632" s="1" t="s">
        <v>5630</v>
      </c>
      <c r="F2632" s="1" t="s">
        <v>16</v>
      </c>
      <c r="G2632" s="1" t="s">
        <v>23</v>
      </c>
      <c r="H2632" s="1" t="s">
        <v>18</v>
      </c>
      <c r="I2632" s="1" t="s">
        <v>19</v>
      </c>
      <c r="J2632" s="1">
        <f>IFERROR(__xludf.DUMMYFUNCTION("""COMPUTED_VALUE"""),50.0)</f>
        <v>50</v>
      </c>
      <c r="K2632" s="1">
        <v>49.0</v>
      </c>
      <c r="L2632" s="1">
        <f>IFERROR(__xludf.DUMMYFUNCTION("""COMPUTED_VALUE"""),21.0)</f>
        <v>21</v>
      </c>
    </row>
    <row r="2633">
      <c r="A2633" s="1">
        <v>6303015.0</v>
      </c>
      <c r="B2633" s="1" t="s">
        <v>5631</v>
      </c>
      <c r="C2633" s="1" t="s">
        <v>5603</v>
      </c>
      <c r="D2633" s="1" t="s">
        <v>5614</v>
      </c>
      <c r="E2633" s="1" t="s">
        <v>5632</v>
      </c>
      <c r="F2633" s="1" t="s">
        <v>16</v>
      </c>
      <c r="G2633" s="1" t="s">
        <v>27</v>
      </c>
      <c r="H2633" s="1" t="s">
        <v>28</v>
      </c>
      <c r="I2633" s="1" t="s">
        <v>40</v>
      </c>
      <c r="J2633" s="1">
        <f>IFERROR(__xludf.DUMMYFUNCTION("""COMPUTED_VALUE"""),272.0)</f>
        <v>272</v>
      </c>
      <c r="K2633" s="1">
        <v>49.0</v>
      </c>
      <c r="L2633" s="1">
        <f>IFERROR(__xludf.DUMMYFUNCTION("""COMPUTED_VALUE"""),833.0)</f>
        <v>833</v>
      </c>
    </row>
    <row r="2634">
      <c r="A2634" s="1">
        <v>6371130.0</v>
      </c>
      <c r="B2634" s="1" t="s">
        <v>5633</v>
      </c>
      <c r="C2634" s="1" t="s">
        <v>5603</v>
      </c>
      <c r="D2634" s="1" t="s">
        <v>5607</v>
      </c>
      <c r="E2634" s="1" t="s">
        <v>5634</v>
      </c>
      <c r="F2634" s="1" t="s">
        <v>255</v>
      </c>
      <c r="G2634" s="1" t="s">
        <v>27</v>
      </c>
      <c r="H2634" s="1" t="s">
        <v>18</v>
      </c>
      <c r="I2634" s="1" t="s">
        <v>19</v>
      </c>
      <c r="J2634" s="1">
        <f>IFERROR(__xludf.DUMMYFUNCTION("""COMPUTED_VALUE"""),75.0)</f>
        <v>75</v>
      </c>
      <c r="K2634" s="1">
        <v>48.0</v>
      </c>
      <c r="L2634" s="1">
        <f>IFERROR(__xludf.DUMMYFUNCTION("""COMPUTED_VALUE"""),144.0)</f>
        <v>144</v>
      </c>
    </row>
    <row r="2635">
      <c r="A2635" s="1">
        <v>6372017.0</v>
      </c>
      <c r="B2635" s="1" t="s">
        <v>5635</v>
      </c>
      <c r="C2635" s="1" t="s">
        <v>5603</v>
      </c>
      <c r="D2635" s="1" t="s">
        <v>5629</v>
      </c>
      <c r="E2635" s="1" t="s">
        <v>5636</v>
      </c>
      <c r="F2635" s="1" t="s">
        <v>16</v>
      </c>
      <c r="G2635" s="1" t="s">
        <v>17</v>
      </c>
      <c r="H2635" s="1" t="s">
        <v>18</v>
      </c>
      <c r="I2635" s="1" t="s">
        <v>163</v>
      </c>
      <c r="J2635" s="1">
        <f>IFERROR(__xludf.DUMMYFUNCTION("""COMPUTED_VALUE"""),174.0)</f>
        <v>174</v>
      </c>
      <c r="K2635" s="1">
        <v>60.0</v>
      </c>
      <c r="L2635" s="1">
        <f>IFERROR(__xludf.DUMMYFUNCTION("""COMPUTED_VALUE"""),126.0)</f>
        <v>126</v>
      </c>
    </row>
    <row r="2636">
      <c r="A2636" s="1">
        <v>6306026.0</v>
      </c>
      <c r="B2636" s="1" t="s">
        <v>5637</v>
      </c>
      <c r="C2636" s="1" t="s">
        <v>5603</v>
      </c>
      <c r="D2636" s="1" t="s">
        <v>5611</v>
      </c>
      <c r="E2636" s="1" t="s">
        <v>5638</v>
      </c>
      <c r="F2636" s="1" t="s">
        <v>16</v>
      </c>
      <c r="G2636" s="1" t="s">
        <v>23</v>
      </c>
      <c r="H2636" s="1" t="s">
        <v>18</v>
      </c>
      <c r="I2636" s="1" t="s">
        <v>19</v>
      </c>
      <c r="J2636" s="1">
        <f>IFERROR(__xludf.DUMMYFUNCTION("""COMPUTED_VALUE"""),62.0)</f>
        <v>62</v>
      </c>
      <c r="K2636" s="1">
        <v>9.0</v>
      </c>
      <c r="L2636" s="1">
        <f>IFERROR(__xludf.DUMMYFUNCTION("""COMPUTED_VALUE"""),182.0)</f>
        <v>182</v>
      </c>
    </row>
    <row r="2637">
      <c r="A2637" s="1">
        <v>6301020.0</v>
      </c>
      <c r="B2637" s="1" t="s">
        <v>5639</v>
      </c>
      <c r="C2637" s="1" t="s">
        <v>5603</v>
      </c>
      <c r="D2637" s="1" t="s">
        <v>5604</v>
      </c>
      <c r="E2637" s="1" t="s">
        <v>5640</v>
      </c>
      <c r="F2637" s="1" t="s">
        <v>16</v>
      </c>
      <c r="G2637" s="1" t="s">
        <v>23</v>
      </c>
      <c r="H2637" s="1" t="s">
        <v>28</v>
      </c>
      <c r="I2637" s="1" t="s">
        <v>40</v>
      </c>
      <c r="J2637" s="1">
        <f>IFERROR(__xludf.DUMMYFUNCTION("""COMPUTED_VALUE"""),87.0)</f>
        <v>87</v>
      </c>
      <c r="K2637" s="1">
        <v>23.0</v>
      </c>
      <c r="L2637" s="1">
        <f>IFERROR(__xludf.DUMMYFUNCTION("""COMPUTED_VALUE"""),131.0)</f>
        <v>131</v>
      </c>
    </row>
    <row r="2638">
      <c r="A2638" s="1">
        <v>6310015.0</v>
      </c>
      <c r="B2638" s="1" t="s">
        <v>5641</v>
      </c>
      <c r="C2638" s="1" t="s">
        <v>5603</v>
      </c>
      <c r="D2638" s="1" t="s">
        <v>5642</v>
      </c>
      <c r="E2638" s="1" t="s">
        <v>5643</v>
      </c>
      <c r="F2638" s="1" t="s">
        <v>16</v>
      </c>
      <c r="G2638" s="1" t="s">
        <v>27</v>
      </c>
      <c r="H2638" s="1" t="s">
        <v>28</v>
      </c>
      <c r="I2638" s="1" t="s">
        <v>40</v>
      </c>
      <c r="J2638" s="1">
        <f>IFERROR(__xludf.DUMMYFUNCTION("""COMPUTED_VALUE"""),170.0)</f>
        <v>170</v>
      </c>
      <c r="K2638" s="1">
        <v>47.0</v>
      </c>
      <c r="L2638" s="1">
        <f>IFERROR(__xludf.DUMMYFUNCTION("""COMPUTED_VALUE"""),671.0)</f>
        <v>671</v>
      </c>
    </row>
    <row r="2639">
      <c r="A2639" s="1">
        <v>6305011.0</v>
      </c>
      <c r="B2639" s="1" t="s">
        <v>5644</v>
      </c>
      <c r="C2639" s="1" t="s">
        <v>5603</v>
      </c>
      <c r="D2639" s="1" t="s">
        <v>5645</v>
      </c>
      <c r="E2639" s="1" t="s">
        <v>5646</v>
      </c>
      <c r="F2639" s="1" t="s">
        <v>16</v>
      </c>
      <c r="G2639" s="1" t="s">
        <v>23</v>
      </c>
      <c r="H2639" s="1" t="s">
        <v>18</v>
      </c>
      <c r="I2639" s="1" t="s">
        <v>19</v>
      </c>
      <c r="J2639" s="1">
        <f>IFERROR(__xludf.DUMMYFUNCTION("""COMPUTED_VALUE"""),53.0)</f>
        <v>53</v>
      </c>
      <c r="K2639" s="1">
        <v>32.0</v>
      </c>
      <c r="L2639" s="1">
        <f>IFERROR(__xludf.DUMMYFUNCTION("""COMPUTED_VALUE"""),45.0)</f>
        <v>45</v>
      </c>
    </row>
    <row r="2640">
      <c r="A2640" s="1">
        <v>6304020.0</v>
      </c>
      <c r="B2640" s="1" t="s">
        <v>5647</v>
      </c>
      <c r="C2640" s="1" t="s">
        <v>5603</v>
      </c>
      <c r="D2640" s="1" t="s">
        <v>5648</v>
      </c>
      <c r="E2640" s="1" t="s">
        <v>5649</v>
      </c>
      <c r="F2640" s="1" t="s">
        <v>16</v>
      </c>
      <c r="G2640" s="1" t="s">
        <v>17</v>
      </c>
      <c r="H2640" s="1" t="s">
        <v>28</v>
      </c>
      <c r="I2640" s="1" t="s">
        <v>40</v>
      </c>
      <c r="J2640" s="1">
        <f>IFERROR(__xludf.DUMMYFUNCTION("""COMPUTED_VALUE"""),110.0)</f>
        <v>110</v>
      </c>
      <c r="K2640" s="1">
        <v>28.0</v>
      </c>
      <c r="L2640" s="1">
        <f>IFERROR(__xludf.DUMMYFUNCTION("""COMPUTED_VALUE"""),275.0)</f>
        <v>275</v>
      </c>
    </row>
    <row r="2641">
      <c r="A2641" s="1">
        <v>6371152.0</v>
      </c>
      <c r="B2641" s="1" t="s">
        <v>5650</v>
      </c>
      <c r="C2641" s="1" t="s">
        <v>5603</v>
      </c>
      <c r="D2641" s="1" t="s">
        <v>5607</v>
      </c>
      <c r="E2641" s="1" t="s">
        <v>5651</v>
      </c>
      <c r="F2641" s="1" t="s">
        <v>16</v>
      </c>
      <c r="G2641" s="1" t="s">
        <v>17</v>
      </c>
      <c r="H2641" s="1" t="s">
        <v>33</v>
      </c>
      <c r="I2641" s="1" t="s">
        <v>65</v>
      </c>
      <c r="J2641" s="1">
        <f>IFERROR(__xludf.DUMMYFUNCTION("""COMPUTED_VALUE"""),114.0)</f>
        <v>114</v>
      </c>
      <c r="K2641" s="1">
        <v>22.0</v>
      </c>
      <c r="L2641" s="1">
        <f>IFERROR(__xludf.DUMMYFUNCTION("""COMPUTED_VALUE"""),295.0)</f>
        <v>295</v>
      </c>
    </row>
    <row r="2642">
      <c r="A2642" s="1">
        <v>6372016.0</v>
      </c>
      <c r="B2642" s="1" t="s">
        <v>5652</v>
      </c>
      <c r="C2642" s="1" t="s">
        <v>5603</v>
      </c>
      <c r="D2642" s="1" t="s">
        <v>5629</v>
      </c>
      <c r="E2642" s="1" t="s">
        <v>5653</v>
      </c>
      <c r="F2642" s="1" t="s">
        <v>16</v>
      </c>
      <c r="G2642" s="1" t="s">
        <v>23</v>
      </c>
      <c r="H2642" s="1" t="s">
        <v>18</v>
      </c>
      <c r="I2642" s="1" t="s">
        <v>74</v>
      </c>
      <c r="J2642" s="1">
        <f>IFERROR(__xludf.DUMMYFUNCTION("""COMPUTED_VALUE"""),55.0)</f>
        <v>55</v>
      </c>
      <c r="K2642" s="1">
        <v>26.0</v>
      </c>
      <c r="L2642" s="1">
        <f>IFERROR(__xludf.DUMMYFUNCTION("""COMPUTED_VALUE"""),38.0)</f>
        <v>38</v>
      </c>
    </row>
    <row r="2643">
      <c r="A2643" s="1">
        <v>6371024.0</v>
      </c>
      <c r="B2643" s="1" t="s">
        <v>5654</v>
      </c>
      <c r="C2643" s="1" t="s">
        <v>5603</v>
      </c>
      <c r="D2643" s="1" t="s">
        <v>5607</v>
      </c>
      <c r="E2643" s="1" t="s">
        <v>5655</v>
      </c>
      <c r="F2643" s="1" t="s">
        <v>16</v>
      </c>
      <c r="G2643" s="1" t="s">
        <v>17</v>
      </c>
      <c r="H2643" s="1" t="s">
        <v>18</v>
      </c>
      <c r="I2643" s="1" t="s">
        <v>59</v>
      </c>
      <c r="J2643" s="1">
        <f>IFERROR(__xludf.DUMMYFUNCTION("""COMPUTED_VALUE"""),100.0)</f>
        <v>100</v>
      </c>
      <c r="K2643" s="1">
        <v>48.0</v>
      </c>
      <c r="L2643" s="1">
        <f>IFERROR(__xludf.DUMMYFUNCTION("""COMPUTED_VALUE"""),467.0)</f>
        <v>467</v>
      </c>
    </row>
    <row r="2644">
      <c r="A2644" s="1">
        <v>6308014.0</v>
      </c>
      <c r="B2644" s="1" t="s">
        <v>5656</v>
      </c>
      <c r="C2644" s="1" t="s">
        <v>5603</v>
      </c>
      <c r="D2644" s="1" t="s">
        <v>5657</v>
      </c>
      <c r="E2644" s="1" t="s">
        <v>5658</v>
      </c>
      <c r="F2644" s="1" t="s">
        <v>16</v>
      </c>
      <c r="G2644" s="1" t="s">
        <v>23</v>
      </c>
      <c r="H2644" s="1" t="s">
        <v>18</v>
      </c>
      <c r="I2644" s="1" t="s">
        <v>19</v>
      </c>
      <c r="J2644" s="1">
        <f>IFERROR(__xludf.DUMMYFUNCTION("""COMPUTED_VALUE"""),43.0)</f>
        <v>43</v>
      </c>
      <c r="K2644" s="1">
        <v>19.0</v>
      </c>
      <c r="L2644" s="1">
        <f>IFERROR(__xludf.DUMMYFUNCTION("""COMPUTED_VALUE"""),63.0)</f>
        <v>63</v>
      </c>
    </row>
    <row r="2645">
      <c r="A2645" s="1">
        <v>6371158.0</v>
      </c>
      <c r="B2645" s="1" t="s">
        <v>5659</v>
      </c>
      <c r="C2645" s="1" t="s">
        <v>5603</v>
      </c>
      <c r="D2645" s="1" t="s">
        <v>5607</v>
      </c>
      <c r="E2645" s="1" t="s">
        <v>5660</v>
      </c>
      <c r="F2645" s="1" t="s">
        <v>16</v>
      </c>
      <c r="G2645" s="1" t="s">
        <v>23</v>
      </c>
      <c r="H2645" s="1" t="s">
        <v>18</v>
      </c>
      <c r="I2645" s="1" t="s">
        <v>19</v>
      </c>
      <c r="J2645" s="1">
        <f>IFERROR(__xludf.DUMMYFUNCTION("""COMPUTED_VALUE"""),53.0)</f>
        <v>53</v>
      </c>
      <c r="K2645" s="1">
        <v>55.0</v>
      </c>
      <c r="L2645" s="1">
        <f>IFERROR(__xludf.DUMMYFUNCTION("""COMPUTED_VALUE"""),65.0)</f>
        <v>65</v>
      </c>
    </row>
    <row r="2646">
      <c r="A2646" s="1">
        <v>6306011.0</v>
      </c>
      <c r="B2646" s="1" t="s">
        <v>5661</v>
      </c>
      <c r="C2646" s="1" t="s">
        <v>5603</v>
      </c>
      <c r="D2646" s="1" t="s">
        <v>5611</v>
      </c>
      <c r="E2646" s="1" t="s">
        <v>5662</v>
      </c>
      <c r="F2646" s="1" t="s">
        <v>16</v>
      </c>
      <c r="G2646" s="1" t="s">
        <v>27</v>
      </c>
      <c r="H2646" s="1" t="s">
        <v>28</v>
      </c>
      <c r="I2646" s="1" t="s">
        <v>40</v>
      </c>
      <c r="J2646" s="1">
        <f>IFERROR(__xludf.DUMMYFUNCTION("""COMPUTED_VALUE"""),234.0)</f>
        <v>234</v>
      </c>
      <c r="K2646" s="1">
        <v>52.0</v>
      </c>
      <c r="L2646" s="1">
        <f>IFERROR(__xludf.DUMMYFUNCTION("""COMPUTED_VALUE"""),372.0)</f>
        <v>372</v>
      </c>
    </row>
    <row r="2647">
      <c r="A2647" s="1">
        <v>6301016.0</v>
      </c>
      <c r="B2647" s="1" t="s">
        <v>1435</v>
      </c>
      <c r="C2647" s="1" t="s">
        <v>5603</v>
      </c>
      <c r="D2647" s="1" t="s">
        <v>5604</v>
      </c>
      <c r="E2647" s="1" t="s">
        <v>5663</v>
      </c>
      <c r="F2647" s="1" t="s">
        <v>55</v>
      </c>
      <c r="G2647" s="1" t="s">
        <v>17</v>
      </c>
      <c r="H2647" s="1" t="s">
        <v>18</v>
      </c>
      <c r="I2647" s="1" t="s">
        <v>163</v>
      </c>
      <c r="J2647" s="1">
        <f>IFERROR(__xludf.DUMMYFUNCTION("""COMPUTED_VALUE"""),40.0)</f>
        <v>40</v>
      </c>
      <c r="K2647" s="1">
        <v>14.0</v>
      </c>
      <c r="L2647" s="1">
        <f>IFERROR(__xludf.DUMMYFUNCTION("""COMPUTED_VALUE"""),48.0)</f>
        <v>48</v>
      </c>
    </row>
    <row r="2648">
      <c r="A2648" s="1">
        <v>6371050.0</v>
      </c>
      <c r="B2648" s="1" t="s">
        <v>5664</v>
      </c>
      <c r="C2648" s="1" t="s">
        <v>5603</v>
      </c>
      <c r="D2648" s="1" t="s">
        <v>5607</v>
      </c>
      <c r="E2648" s="1" t="s">
        <v>5665</v>
      </c>
      <c r="F2648" s="1" t="s">
        <v>16</v>
      </c>
      <c r="G2648" s="1" t="s">
        <v>17</v>
      </c>
      <c r="H2648" s="1" t="s">
        <v>18</v>
      </c>
      <c r="I2648" s="1" t="s">
        <v>74</v>
      </c>
      <c r="J2648" s="1">
        <f>IFERROR(__xludf.DUMMYFUNCTION("""COMPUTED_VALUE"""),230.0)</f>
        <v>230</v>
      </c>
      <c r="K2648" s="1">
        <v>40.0</v>
      </c>
      <c r="L2648" s="1">
        <f>IFERROR(__xludf.DUMMYFUNCTION("""COMPUTED_VALUE"""),325.0)</f>
        <v>325</v>
      </c>
    </row>
    <row r="2649">
      <c r="A2649" s="1">
        <v>6308013.0</v>
      </c>
      <c r="B2649" s="1" t="s">
        <v>5666</v>
      </c>
      <c r="C2649" s="1" t="s">
        <v>5603</v>
      </c>
      <c r="D2649" s="1" t="s">
        <v>5657</v>
      </c>
      <c r="E2649" s="1" t="s">
        <v>5667</v>
      </c>
      <c r="F2649" s="1" t="s">
        <v>16</v>
      </c>
      <c r="G2649" s="1" t="s">
        <v>17</v>
      </c>
      <c r="H2649" s="1" t="s">
        <v>28</v>
      </c>
      <c r="I2649" s="1" t="s">
        <v>40</v>
      </c>
      <c r="J2649" s="1">
        <f>IFERROR(__xludf.DUMMYFUNCTION("""COMPUTED_VALUE"""),240.0)</f>
        <v>240</v>
      </c>
      <c r="K2649" s="1">
        <v>76.0</v>
      </c>
      <c r="L2649" s="1">
        <f>IFERROR(__xludf.DUMMYFUNCTION("""COMPUTED_VALUE"""),524.0)</f>
        <v>524</v>
      </c>
    </row>
    <row r="2650">
      <c r="A2650" s="1">
        <v>6302014.0</v>
      </c>
      <c r="B2650" s="1" t="s">
        <v>5668</v>
      </c>
      <c r="C2650" s="1" t="s">
        <v>5603</v>
      </c>
      <c r="D2650" s="1" t="s">
        <v>5619</v>
      </c>
      <c r="E2650" s="1" t="s">
        <v>5669</v>
      </c>
      <c r="F2650" s="1" t="s">
        <v>16</v>
      </c>
      <c r="G2650" s="1" t="s">
        <v>17</v>
      </c>
      <c r="H2650" s="1" t="s">
        <v>28</v>
      </c>
      <c r="I2650" s="1" t="s">
        <v>40</v>
      </c>
      <c r="J2650" s="1">
        <f>IFERROR(__xludf.DUMMYFUNCTION("""COMPUTED_VALUE"""),132.0)</f>
        <v>132</v>
      </c>
      <c r="K2650" s="1">
        <v>42.0</v>
      </c>
      <c r="L2650" s="1">
        <f>IFERROR(__xludf.DUMMYFUNCTION("""COMPUTED_VALUE"""),269.0)</f>
        <v>269</v>
      </c>
    </row>
    <row r="2651">
      <c r="A2651" s="1">
        <v>6371094.0</v>
      </c>
      <c r="B2651" s="1" t="s">
        <v>5670</v>
      </c>
      <c r="C2651" s="1" t="s">
        <v>5603</v>
      </c>
      <c r="D2651" s="1" t="s">
        <v>5607</v>
      </c>
      <c r="E2651" s="1" t="s">
        <v>5671</v>
      </c>
      <c r="F2651" s="1" t="s">
        <v>16</v>
      </c>
      <c r="G2651" s="1" t="s">
        <v>17</v>
      </c>
      <c r="H2651" s="1" t="s">
        <v>18</v>
      </c>
      <c r="I2651" s="1" t="s">
        <v>59</v>
      </c>
      <c r="J2651" s="1">
        <f>IFERROR(__xludf.DUMMYFUNCTION("""COMPUTED_VALUE"""),139.0)</f>
        <v>139</v>
      </c>
      <c r="K2651" s="1">
        <v>38.0</v>
      </c>
      <c r="L2651" s="1">
        <f>IFERROR(__xludf.DUMMYFUNCTION("""COMPUTED_VALUE"""),266.0)</f>
        <v>266</v>
      </c>
    </row>
    <row r="2652">
      <c r="A2652" s="1">
        <v>6306023.0</v>
      </c>
      <c r="B2652" s="1" t="s">
        <v>5672</v>
      </c>
      <c r="C2652" s="1" t="s">
        <v>5603</v>
      </c>
      <c r="D2652" s="1" t="s">
        <v>5611</v>
      </c>
      <c r="E2652" s="1" t="s">
        <v>5673</v>
      </c>
      <c r="F2652" s="1" t="s">
        <v>16</v>
      </c>
      <c r="G2652" s="1" t="s">
        <v>23</v>
      </c>
      <c r="H2652" s="1" t="s">
        <v>18</v>
      </c>
      <c r="I2652" s="1" t="s">
        <v>19</v>
      </c>
      <c r="J2652" s="1">
        <f>IFERROR(__xludf.DUMMYFUNCTION("""COMPUTED_VALUE"""),54.0)</f>
        <v>54</v>
      </c>
      <c r="K2652" s="1">
        <v>34.0</v>
      </c>
      <c r="L2652" s="1">
        <f>IFERROR(__xludf.DUMMYFUNCTION("""COMPUTED_VALUE"""),199.0)</f>
        <v>199</v>
      </c>
    </row>
    <row r="2653">
      <c r="A2653" s="1">
        <v>6309025.0</v>
      </c>
      <c r="B2653" s="1" t="s">
        <v>5674</v>
      </c>
      <c r="C2653" s="1" t="s">
        <v>5603</v>
      </c>
      <c r="D2653" s="1" t="s">
        <v>5622</v>
      </c>
      <c r="E2653" s="1" t="s">
        <v>5675</v>
      </c>
      <c r="F2653" s="1" t="s">
        <v>16</v>
      </c>
      <c r="G2653" s="1" t="s">
        <v>17</v>
      </c>
      <c r="H2653" s="1" t="s">
        <v>18</v>
      </c>
      <c r="I2653" s="1" t="s">
        <v>113</v>
      </c>
      <c r="J2653" s="1">
        <f>IFERROR(__xludf.DUMMYFUNCTION("""COMPUTED_VALUE"""),111.0)</f>
        <v>111</v>
      </c>
      <c r="K2653" s="1">
        <v>49.0</v>
      </c>
      <c r="L2653" s="1">
        <f>IFERROR(__xludf.DUMMYFUNCTION("""COMPUTED_VALUE"""),150.0)</f>
        <v>150</v>
      </c>
    </row>
    <row r="2654">
      <c r="A2654" s="1">
        <v>6304016.0</v>
      </c>
      <c r="B2654" s="1" t="s">
        <v>5676</v>
      </c>
      <c r="C2654" s="1" t="s">
        <v>5603</v>
      </c>
      <c r="D2654" s="1" t="s">
        <v>5614</v>
      </c>
      <c r="E2654" s="1" t="s">
        <v>5677</v>
      </c>
      <c r="F2654" s="1" t="s">
        <v>174</v>
      </c>
      <c r="G2654" s="1" t="s">
        <v>150</v>
      </c>
      <c r="H2654" s="1" t="s">
        <v>28</v>
      </c>
      <c r="I2654" s="1" t="s">
        <v>139</v>
      </c>
      <c r="J2654" s="1">
        <f>IFERROR(__xludf.DUMMYFUNCTION("""COMPUTED_VALUE"""),129.0)</f>
        <v>129</v>
      </c>
      <c r="K2654" s="1">
        <v>41.0</v>
      </c>
      <c r="L2654" s="1">
        <f>IFERROR(__xludf.DUMMYFUNCTION("""COMPUTED_VALUE"""),513.0)</f>
        <v>513</v>
      </c>
    </row>
    <row r="2655">
      <c r="A2655" s="1">
        <v>6310018.0</v>
      </c>
      <c r="B2655" s="1" t="s">
        <v>5678</v>
      </c>
      <c r="C2655" s="1" t="s">
        <v>5603</v>
      </c>
      <c r="D2655" s="1" t="s">
        <v>5642</v>
      </c>
      <c r="E2655" s="1" t="s">
        <v>5679</v>
      </c>
      <c r="F2655" s="1" t="s">
        <v>16</v>
      </c>
      <c r="G2655" s="1" t="s">
        <v>17</v>
      </c>
      <c r="H2655" s="1" t="s">
        <v>18</v>
      </c>
      <c r="I2655" s="1" t="s">
        <v>19</v>
      </c>
      <c r="J2655" s="1">
        <f>IFERROR(__xludf.DUMMYFUNCTION("""COMPUTED_VALUE"""),125.0)</f>
        <v>125</v>
      </c>
      <c r="K2655" s="1">
        <v>40.0</v>
      </c>
      <c r="L2655" s="1">
        <f>IFERROR(__xludf.DUMMYFUNCTION("""COMPUTED_VALUE"""),186.0)</f>
        <v>186</v>
      </c>
    </row>
    <row r="2656">
      <c r="A2656" s="1">
        <v>6371141.0</v>
      </c>
      <c r="B2656" s="1" t="s">
        <v>5680</v>
      </c>
      <c r="C2656" s="1" t="s">
        <v>5603</v>
      </c>
      <c r="D2656" s="1" t="s">
        <v>5629</v>
      </c>
      <c r="E2656" s="1" t="s">
        <v>5681</v>
      </c>
      <c r="F2656" s="1" t="s">
        <v>16</v>
      </c>
      <c r="G2656" s="1" t="s">
        <v>23</v>
      </c>
      <c r="H2656" s="1" t="s">
        <v>18</v>
      </c>
      <c r="I2656" s="1" t="s">
        <v>563</v>
      </c>
      <c r="J2656" s="1">
        <f>IFERROR(__xludf.DUMMYFUNCTION("""COMPUTED_VALUE"""),50.0)</f>
        <v>50</v>
      </c>
      <c r="K2656" s="1">
        <v>17.0</v>
      </c>
      <c r="L2656" s="1">
        <f>IFERROR(__xludf.DUMMYFUNCTION("""COMPUTED_VALUE"""),70.0)</f>
        <v>70</v>
      </c>
    </row>
    <row r="2657">
      <c r="A2657" s="1">
        <v>6372018.0</v>
      </c>
      <c r="B2657" s="1" t="s">
        <v>5682</v>
      </c>
      <c r="C2657" s="1" t="s">
        <v>5603</v>
      </c>
      <c r="D2657" s="1" t="s">
        <v>5629</v>
      </c>
      <c r="E2657" s="1" t="s">
        <v>5683</v>
      </c>
      <c r="F2657" s="1" t="s">
        <v>16</v>
      </c>
      <c r="G2657" s="1" t="s">
        <v>23</v>
      </c>
      <c r="H2657" s="1" t="s">
        <v>18</v>
      </c>
      <c r="I2657" s="1" t="s">
        <v>44</v>
      </c>
      <c r="J2657" s="1">
        <f>IFERROR(__xludf.DUMMYFUNCTION("""COMPUTED_VALUE"""),72.0)</f>
        <v>72</v>
      </c>
      <c r="K2657" s="1">
        <v>21.0</v>
      </c>
      <c r="L2657" s="1">
        <f>IFERROR(__xludf.DUMMYFUNCTION("""COMPUTED_VALUE"""),66.0)</f>
        <v>66</v>
      </c>
    </row>
    <row r="2658">
      <c r="A2658" s="1">
        <v>6371013.0</v>
      </c>
      <c r="B2658" s="1" t="s">
        <v>5684</v>
      </c>
      <c r="C2658" s="1" t="s">
        <v>5603</v>
      </c>
      <c r="D2658" s="1" t="s">
        <v>5607</v>
      </c>
      <c r="E2658" s="1" t="s">
        <v>5685</v>
      </c>
      <c r="F2658" s="1" t="s">
        <v>16</v>
      </c>
      <c r="G2658" s="1" t="s">
        <v>150</v>
      </c>
      <c r="H2658" s="1" t="s">
        <v>28</v>
      </c>
      <c r="I2658" s="1" t="s">
        <v>139</v>
      </c>
      <c r="J2658" s="1">
        <f>IFERROR(__xludf.DUMMYFUNCTION("""COMPUTED_VALUE"""),649.0)</f>
        <v>649</v>
      </c>
      <c r="K2658" s="1">
        <v>155.0</v>
      </c>
      <c r="L2658" s="1">
        <f>IFERROR(__xludf.DUMMYFUNCTION("""COMPUTED_VALUE"""),2170.0)</f>
        <v>2170</v>
      </c>
    </row>
    <row r="2659">
      <c r="A2659" s="1">
        <v>6372022.0</v>
      </c>
      <c r="B2659" s="1" t="s">
        <v>5686</v>
      </c>
      <c r="C2659" s="1" t="s">
        <v>5603</v>
      </c>
      <c r="D2659" s="1" t="s">
        <v>5629</v>
      </c>
      <c r="E2659" s="1" t="s">
        <v>5687</v>
      </c>
      <c r="F2659" s="1" t="s">
        <v>16</v>
      </c>
      <c r="G2659" s="1" t="s">
        <v>17</v>
      </c>
      <c r="H2659" s="1" t="s">
        <v>18</v>
      </c>
      <c r="I2659" s="1" t="s">
        <v>19</v>
      </c>
      <c r="J2659" s="1">
        <f>IFERROR(__xludf.DUMMYFUNCTION("""COMPUTED_VALUE"""),177.0)</f>
        <v>177</v>
      </c>
      <c r="K2659" s="1">
        <v>36.0</v>
      </c>
      <c r="L2659" s="1">
        <f>IFERROR(__xludf.DUMMYFUNCTION("""COMPUTED_VALUE"""),22.0)</f>
        <v>22</v>
      </c>
    </row>
    <row r="2660">
      <c r="A2660" s="1">
        <v>6306024.0</v>
      </c>
      <c r="B2660" s="1" t="s">
        <v>5688</v>
      </c>
      <c r="C2660" s="1" t="s">
        <v>5603</v>
      </c>
      <c r="D2660" s="1" t="s">
        <v>5611</v>
      </c>
      <c r="E2660" s="1" t="s">
        <v>5689</v>
      </c>
      <c r="F2660" s="1" t="s">
        <v>16</v>
      </c>
      <c r="G2660" s="1" t="s">
        <v>23</v>
      </c>
      <c r="H2660" s="1" t="s">
        <v>28</v>
      </c>
      <c r="I2660" s="1" t="s">
        <v>40</v>
      </c>
      <c r="J2660" s="1">
        <f>IFERROR(__xludf.DUMMYFUNCTION("""COMPUTED_VALUE"""),54.0)</f>
        <v>54</v>
      </c>
      <c r="K2660" s="1">
        <v>12.0</v>
      </c>
      <c r="L2660" s="1">
        <f>IFERROR(__xludf.DUMMYFUNCTION("""COMPUTED_VALUE"""),90.0)</f>
        <v>90</v>
      </c>
    </row>
    <row r="2661">
      <c r="A2661" s="1">
        <v>6372019.0</v>
      </c>
      <c r="B2661" s="1" t="s">
        <v>5690</v>
      </c>
      <c r="C2661" s="1" t="s">
        <v>5603</v>
      </c>
      <c r="D2661" s="1" t="s">
        <v>5629</v>
      </c>
      <c r="E2661" s="1" t="s">
        <v>5691</v>
      </c>
      <c r="F2661" s="1" t="s">
        <v>16</v>
      </c>
      <c r="G2661" s="1" t="s">
        <v>23</v>
      </c>
      <c r="H2661" s="1" t="s">
        <v>18</v>
      </c>
      <c r="I2661" s="1" t="s">
        <v>44</v>
      </c>
      <c r="J2661" s="1">
        <f>IFERROR(__xludf.DUMMYFUNCTION("""COMPUTED_VALUE"""),56.0)</f>
        <v>56</v>
      </c>
      <c r="K2661" s="1">
        <v>47.0</v>
      </c>
      <c r="L2661" s="1">
        <f>IFERROR(__xludf.DUMMYFUNCTION("""COMPUTED_VALUE"""),91.0)</f>
        <v>91</v>
      </c>
    </row>
    <row r="2662">
      <c r="A2662" s="1">
        <v>6305010.0</v>
      </c>
      <c r="B2662" s="1" t="s">
        <v>5692</v>
      </c>
      <c r="C2662" s="1" t="s">
        <v>5603</v>
      </c>
      <c r="D2662" s="1" t="s">
        <v>5645</v>
      </c>
      <c r="E2662" s="1" t="s">
        <v>5693</v>
      </c>
      <c r="F2662" s="1" t="s">
        <v>16</v>
      </c>
      <c r="G2662" s="1" t="s">
        <v>17</v>
      </c>
      <c r="H2662" s="1" t="s">
        <v>28</v>
      </c>
      <c r="I2662" s="1" t="s">
        <v>40</v>
      </c>
      <c r="J2662" s="1">
        <f>IFERROR(__xludf.DUMMYFUNCTION("""COMPUTED_VALUE"""),100.0)</f>
        <v>100</v>
      </c>
      <c r="K2662" s="1">
        <v>43.0</v>
      </c>
      <c r="L2662" s="1">
        <f>IFERROR(__xludf.DUMMYFUNCTION("""COMPUTED_VALUE"""),421.0)</f>
        <v>421</v>
      </c>
    </row>
    <row r="2663">
      <c r="A2663" s="1">
        <v>6371156.0</v>
      </c>
      <c r="B2663" s="1" t="s">
        <v>5694</v>
      </c>
      <c r="C2663" s="1" t="s">
        <v>5603</v>
      </c>
      <c r="D2663" s="1" t="s">
        <v>5607</v>
      </c>
      <c r="E2663" s="1" t="s">
        <v>5695</v>
      </c>
      <c r="F2663" s="1" t="s">
        <v>16</v>
      </c>
      <c r="G2663" s="1" t="s">
        <v>17</v>
      </c>
      <c r="H2663" s="1" t="s">
        <v>28</v>
      </c>
      <c r="I2663" s="1" t="s">
        <v>29</v>
      </c>
      <c r="J2663" s="1">
        <f>IFERROR(__xludf.DUMMYFUNCTION("""COMPUTED_VALUE"""),334.0)</f>
        <v>334</v>
      </c>
      <c r="K2663" s="1">
        <v>39.0</v>
      </c>
      <c r="L2663" s="1">
        <f>IFERROR(__xludf.DUMMYFUNCTION("""COMPUTED_VALUE"""),394.0)</f>
        <v>394</v>
      </c>
    </row>
    <row r="2664">
      <c r="A2664" s="1">
        <v>6371170.0</v>
      </c>
      <c r="B2664" s="1" t="s">
        <v>5696</v>
      </c>
      <c r="C2664" s="1" t="s">
        <v>5603</v>
      </c>
      <c r="D2664" s="1" t="s">
        <v>5607</v>
      </c>
      <c r="E2664" s="1" t="s">
        <v>5697</v>
      </c>
      <c r="F2664" s="1" t="s">
        <v>55</v>
      </c>
      <c r="G2664" s="1" t="s">
        <v>17</v>
      </c>
      <c r="H2664" s="1" t="s">
        <v>18</v>
      </c>
      <c r="I2664" s="1" t="s">
        <v>19</v>
      </c>
      <c r="J2664" s="1">
        <f>IFERROR(__xludf.DUMMYFUNCTION("""COMPUTED_VALUE"""),64.0)</f>
        <v>64</v>
      </c>
      <c r="K2664" s="1">
        <v>25.0</v>
      </c>
      <c r="L2664" s="1">
        <f>IFERROR(__xludf.DUMMYFUNCTION("""COMPUTED_VALUE"""),8.0)</f>
        <v>8</v>
      </c>
    </row>
    <row r="2665">
      <c r="A2665" s="1">
        <v>6372014.0</v>
      </c>
      <c r="B2665" s="1" t="s">
        <v>5698</v>
      </c>
      <c r="C2665" s="1" t="s">
        <v>5603</v>
      </c>
      <c r="D2665" s="1" t="s">
        <v>5629</v>
      </c>
      <c r="E2665" s="1" t="s">
        <v>5699</v>
      </c>
      <c r="F2665" s="1" t="s">
        <v>16</v>
      </c>
      <c r="G2665" s="1" t="s">
        <v>17</v>
      </c>
      <c r="H2665" s="1" t="s">
        <v>28</v>
      </c>
      <c r="I2665" s="1" t="s">
        <v>29</v>
      </c>
      <c r="J2665" s="1">
        <f>IFERROR(__xludf.DUMMYFUNCTION("""COMPUTED_VALUE"""),247.0)</f>
        <v>247</v>
      </c>
      <c r="K2665" s="1">
        <v>62.0</v>
      </c>
      <c r="L2665" s="1">
        <f>IFERROR(__xludf.DUMMYFUNCTION("""COMPUTED_VALUE"""),935.0)</f>
        <v>935</v>
      </c>
    </row>
    <row r="2666">
      <c r="A2666" s="1">
        <v>6303033.0</v>
      </c>
      <c r="B2666" s="1" t="s">
        <v>5700</v>
      </c>
      <c r="C2666" s="1" t="s">
        <v>5603</v>
      </c>
      <c r="D2666" s="1" t="s">
        <v>5614</v>
      </c>
      <c r="E2666" s="1" t="s">
        <v>5701</v>
      </c>
      <c r="F2666" s="1" t="s">
        <v>16</v>
      </c>
      <c r="G2666" s="1" t="s">
        <v>27</v>
      </c>
      <c r="H2666" s="1" t="s">
        <v>18</v>
      </c>
      <c r="I2666" s="1" t="s">
        <v>44</v>
      </c>
      <c r="J2666" s="1">
        <f>IFERROR(__xludf.DUMMYFUNCTION("""COMPUTED_VALUE"""),205.0)</f>
        <v>205</v>
      </c>
      <c r="K2666" s="1">
        <v>53.0</v>
      </c>
      <c r="L2666" s="1">
        <f>IFERROR(__xludf.DUMMYFUNCTION("""COMPUTED_VALUE"""),235.0)</f>
        <v>235</v>
      </c>
    </row>
    <row r="2667">
      <c r="A2667" s="1">
        <v>6371046.0</v>
      </c>
      <c r="B2667" s="1" t="s">
        <v>5702</v>
      </c>
      <c r="C2667" s="1" t="s">
        <v>5603</v>
      </c>
      <c r="D2667" s="1" t="s">
        <v>5607</v>
      </c>
      <c r="E2667" s="1" t="s">
        <v>5703</v>
      </c>
      <c r="F2667" s="1" t="s">
        <v>16</v>
      </c>
      <c r="G2667" s="1" t="s">
        <v>17</v>
      </c>
      <c r="H2667" s="1" t="s">
        <v>18</v>
      </c>
      <c r="I2667" s="1" t="s">
        <v>684</v>
      </c>
      <c r="J2667" s="1">
        <f>IFERROR(__xludf.DUMMYFUNCTION("""COMPUTED_VALUE"""),120.0)</f>
        <v>120</v>
      </c>
      <c r="K2667" s="1">
        <v>40.0</v>
      </c>
      <c r="L2667" s="1">
        <f>IFERROR(__xludf.DUMMYFUNCTION("""COMPUTED_VALUE"""),394.0)</f>
        <v>394</v>
      </c>
    </row>
    <row r="2668">
      <c r="A2668" s="1">
        <v>6310016.0</v>
      </c>
      <c r="B2668" s="1" t="s">
        <v>5704</v>
      </c>
      <c r="C2668" s="1" t="s">
        <v>5603</v>
      </c>
      <c r="D2668" s="1" t="s">
        <v>5642</v>
      </c>
      <c r="E2668" s="1" t="s">
        <v>5705</v>
      </c>
      <c r="F2668" s="1" t="s">
        <v>55</v>
      </c>
      <c r="G2668" s="1" t="s">
        <v>17</v>
      </c>
      <c r="H2668" s="1" t="s">
        <v>18</v>
      </c>
      <c r="I2668" s="1" t="s">
        <v>19</v>
      </c>
      <c r="J2668" s="1">
        <f>IFERROR(__xludf.DUMMYFUNCTION("""COMPUTED_VALUE"""),50.0)</f>
        <v>50</v>
      </c>
      <c r="K2668" s="1">
        <v>18.0</v>
      </c>
      <c r="L2668" s="1">
        <f>IFERROR(__xludf.DUMMYFUNCTION("""COMPUTED_VALUE"""),50.0)</f>
        <v>50</v>
      </c>
    </row>
    <row r="2669">
      <c r="A2669" s="1">
        <v>6307012.0</v>
      </c>
      <c r="B2669" s="1" t="s">
        <v>5706</v>
      </c>
      <c r="C2669" s="1" t="s">
        <v>5603</v>
      </c>
      <c r="D2669" s="1" t="s">
        <v>5707</v>
      </c>
      <c r="E2669" s="1" t="s">
        <v>5708</v>
      </c>
      <c r="F2669" s="1" t="s">
        <v>16</v>
      </c>
      <c r="G2669" s="1" t="s">
        <v>17</v>
      </c>
      <c r="H2669" s="1" t="s">
        <v>28</v>
      </c>
      <c r="I2669" s="1" t="s">
        <v>40</v>
      </c>
      <c r="J2669" s="1">
        <f>IFERROR(__xludf.DUMMYFUNCTION("""COMPUTED_VALUE"""),323.0)</f>
        <v>323</v>
      </c>
      <c r="K2669" s="1">
        <v>123.0</v>
      </c>
      <c r="L2669" s="1">
        <f>IFERROR(__xludf.DUMMYFUNCTION("""COMPUTED_VALUE"""),182.0)</f>
        <v>182</v>
      </c>
    </row>
    <row r="2670">
      <c r="A2670" s="1">
        <v>6303028.0</v>
      </c>
      <c r="B2670" s="1" t="s">
        <v>760</v>
      </c>
      <c r="C2670" s="1" t="s">
        <v>5603</v>
      </c>
      <c r="D2670" s="1" t="s">
        <v>5614</v>
      </c>
      <c r="E2670" s="1" t="s">
        <v>5709</v>
      </c>
      <c r="F2670" s="1" t="s">
        <v>55</v>
      </c>
      <c r="G2670" s="1" t="s">
        <v>17</v>
      </c>
      <c r="H2670" s="1" t="s">
        <v>18</v>
      </c>
      <c r="I2670" s="1" t="s">
        <v>163</v>
      </c>
      <c r="J2670" s="1">
        <f>IFERROR(__xludf.DUMMYFUNCTION("""COMPUTED_VALUE"""),25.0)</f>
        <v>25</v>
      </c>
      <c r="K2670" s="1">
        <v>16.0</v>
      </c>
      <c r="L2670" s="1">
        <f>IFERROR(__xludf.DUMMYFUNCTION("""COMPUTED_VALUE"""),182.0)</f>
        <v>182</v>
      </c>
    </row>
    <row r="2671">
      <c r="A2671" s="1">
        <v>6371153.0</v>
      </c>
      <c r="B2671" s="1" t="s">
        <v>5710</v>
      </c>
      <c r="C2671" s="1" t="s">
        <v>5603</v>
      </c>
      <c r="D2671" s="1" t="s">
        <v>5607</v>
      </c>
      <c r="E2671" s="1" t="s">
        <v>5711</v>
      </c>
      <c r="F2671" s="1" t="s">
        <v>32</v>
      </c>
      <c r="G2671" s="1" t="s">
        <v>27</v>
      </c>
      <c r="H2671" s="1" t="s">
        <v>18</v>
      </c>
      <c r="I2671" s="1" t="s">
        <v>139</v>
      </c>
      <c r="J2671" s="1">
        <f>IFERROR(__xludf.DUMMYFUNCTION("""COMPUTED_VALUE"""),50.0)</f>
        <v>50</v>
      </c>
      <c r="K2671" s="1">
        <v>21.0</v>
      </c>
      <c r="L2671" s="1">
        <f>IFERROR(__xludf.DUMMYFUNCTION("""COMPUTED_VALUE"""),194.0)</f>
        <v>194</v>
      </c>
    </row>
    <row r="2672">
      <c r="A2672" s="1">
        <v>6405012.0</v>
      </c>
      <c r="B2672" s="1" t="s">
        <v>5712</v>
      </c>
      <c r="C2672" s="1" t="s">
        <v>5713</v>
      </c>
      <c r="D2672" s="1" t="s">
        <v>5714</v>
      </c>
      <c r="E2672" s="1" t="s">
        <v>5715</v>
      </c>
      <c r="F2672" s="1" t="s">
        <v>16</v>
      </c>
      <c r="G2672" s="1" t="s">
        <v>23</v>
      </c>
      <c r="H2672" s="1" t="s">
        <v>18</v>
      </c>
      <c r="I2672" s="1" t="s">
        <v>40</v>
      </c>
      <c r="J2672" s="1">
        <f>IFERROR(__xludf.DUMMYFUNCTION("""COMPUTED_VALUE"""),67.0)</f>
        <v>67</v>
      </c>
      <c r="K2672" s="1">
        <v>21.0</v>
      </c>
      <c r="L2672" s="1">
        <f>IFERROR(__xludf.DUMMYFUNCTION("""COMPUTED_VALUE"""),131.0)</f>
        <v>131</v>
      </c>
    </row>
    <row r="2673">
      <c r="A2673" s="1">
        <v>6471014.0</v>
      </c>
      <c r="B2673" s="1" t="s">
        <v>5716</v>
      </c>
      <c r="C2673" s="1" t="s">
        <v>5713</v>
      </c>
      <c r="D2673" s="1" t="s">
        <v>5717</v>
      </c>
      <c r="E2673" s="1" t="s">
        <v>5718</v>
      </c>
      <c r="F2673" s="1" t="s">
        <v>16</v>
      </c>
      <c r="G2673" s="1" t="s">
        <v>150</v>
      </c>
      <c r="H2673" s="1" t="s">
        <v>28</v>
      </c>
      <c r="I2673" s="1" t="s">
        <v>139</v>
      </c>
      <c r="J2673" s="1">
        <f>IFERROR(__xludf.DUMMYFUNCTION("""COMPUTED_VALUE"""),574.0)</f>
        <v>574</v>
      </c>
      <c r="K2673" s="1">
        <v>61.0</v>
      </c>
      <c r="L2673" s="1">
        <f>IFERROR(__xludf.DUMMYFUNCTION("""COMPUTED_VALUE"""),1273.0)</f>
        <v>1273</v>
      </c>
    </row>
    <row r="2674">
      <c r="A2674" s="1">
        <v>6404045.0</v>
      </c>
      <c r="B2674" s="1" t="s">
        <v>5719</v>
      </c>
      <c r="C2674" s="1" t="s">
        <v>5713</v>
      </c>
      <c r="D2674" s="1" t="s">
        <v>5720</v>
      </c>
      <c r="E2674" s="1" t="s">
        <v>5721</v>
      </c>
      <c r="F2674" s="1" t="s">
        <v>55</v>
      </c>
      <c r="G2674" s="1" t="s">
        <v>17</v>
      </c>
      <c r="H2674" s="1" t="s">
        <v>18</v>
      </c>
      <c r="I2674" s="1" t="s">
        <v>19</v>
      </c>
      <c r="J2674" s="1">
        <f>IFERROR(__xludf.DUMMYFUNCTION("""COMPUTED_VALUE"""),41.0)</f>
        <v>41</v>
      </c>
      <c r="K2674" s="1">
        <v>26.0</v>
      </c>
      <c r="L2674" s="1">
        <f>IFERROR(__xludf.DUMMYFUNCTION("""COMPUTED_VALUE"""),69.0)</f>
        <v>69</v>
      </c>
    </row>
    <row r="2675">
      <c r="A2675" s="1">
        <v>6471087.0</v>
      </c>
      <c r="B2675" s="1" t="s">
        <v>5722</v>
      </c>
      <c r="C2675" s="1" t="s">
        <v>5713</v>
      </c>
      <c r="D2675" s="1" t="s">
        <v>5717</v>
      </c>
      <c r="E2675" s="1" t="s">
        <v>5723</v>
      </c>
      <c r="F2675" s="1" t="s">
        <v>16</v>
      </c>
      <c r="G2675" s="1" t="s">
        <v>23</v>
      </c>
      <c r="H2675" s="1" t="s">
        <v>18</v>
      </c>
      <c r="I2675" s="1" t="s">
        <v>44</v>
      </c>
      <c r="J2675" s="1">
        <f>IFERROR(__xludf.DUMMYFUNCTION("""COMPUTED_VALUE"""),50.0)</f>
        <v>50</v>
      </c>
      <c r="K2675" s="1">
        <v>15.0</v>
      </c>
      <c r="L2675" s="1">
        <f>IFERROR(__xludf.DUMMYFUNCTION("""COMPUTED_VALUE"""),29.0)</f>
        <v>29</v>
      </c>
    </row>
    <row r="2676">
      <c r="A2676" s="1">
        <v>6472143.0</v>
      </c>
      <c r="B2676" s="1" t="s">
        <v>5724</v>
      </c>
      <c r="C2676" s="1" t="s">
        <v>5713</v>
      </c>
      <c r="D2676" s="1" t="s">
        <v>5725</v>
      </c>
      <c r="E2676" s="1" t="s">
        <v>5726</v>
      </c>
      <c r="F2676" s="1" t="s">
        <v>55</v>
      </c>
      <c r="G2676" s="1" t="s">
        <v>17</v>
      </c>
      <c r="H2676" s="1" t="s">
        <v>18</v>
      </c>
      <c r="I2676" s="1" t="s">
        <v>44</v>
      </c>
      <c r="J2676" s="1">
        <f>IFERROR(__xludf.DUMMYFUNCTION("""COMPUTED_VALUE"""),31.0)</f>
        <v>31</v>
      </c>
      <c r="K2676" s="1">
        <v>25.0</v>
      </c>
      <c r="L2676" s="1">
        <f>IFERROR(__xludf.DUMMYFUNCTION("""COMPUTED_VALUE"""),2.0)</f>
        <v>2</v>
      </c>
    </row>
    <row r="2677">
      <c r="A2677" s="1">
        <v>6403052.0</v>
      </c>
      <c r="B2677" s="1" t="s">
        <v>5727</v>
      </c>
      <c r="C2677" s="1" t="s">
        <v>5713</v>
      </c>
      <c r="D2677" s="1" t="s">
        <v>5728</v>
      </c>
      <c r="E2677" s="1" t="s">
        <v>5729</v>
      </c>
      <c r="F2677" s="1" t="s">
        <v>16</v>
      </c>
      <c r="G2677" s="1" t="s">
        <v>17</v>
      </c>
      <c r="H2677" s="1" t="s">
        <v>28</v>
      </c>
      <c r="I2677" s="1" t="s">
        <v>40</v>
      </c>
      <c r="J2677" s="1">
        <f>IFERROR(__xludf.DUMMYFUNCTION("""COMPUTED_VALUE"""),116.0)</f>
        <v>116</v>
      </c>
      <c r="K2677" s="1">
        <v>58.0</v>
      </c>
      <c r="L2677" s="1">
        <f>IFERROR(__xludf.DUMMYFUNCTION("""COMPUTED_VALUE"""),298.0)</f>
        <v>298</v>
      </c>
    </row>
    <row r="2678">
      <c r="A2678" s="1">
        <v>6409047.0</v>
      </c>
      <c r="B2678" s="1" t="s">
        <v>5730</v>
      </c>
      <c r="C2678" s="1" t="s">
        <v>5713</v>
      </c>
      <c r="D2678" s="1" t="s">
        <v>5731</v>
      </c>
      <c r="E2678" s="1" t="s">
        <v>5732</v>
      </c>
      <c r="F2678" s="1" t="s">
        <v>16</v>
      </c>
      <c r="G2678" s="1" t="s">
        <v>23</v>
      </c>
      <c r="H2678" s="1" t="s">
        <v>18</v>
      </c>
      <c r="I2678" s="1" t="s">
        <v>40</v>
      </c>
      <c r="J2678" s="1">
        <f>IFERROR(__xludf.DUMMYFUNCTION("""COMPUTED_VALUE"""),52.0)</f>
        <v>52</v>
      </c>
      <c r="K2678" s="1">
        <v>17.0</v>
      </c>
      <c r="L2678" s="1">
        <f>IFERROR(__xludf.DUMMYFUNCTION("""COMPUTED_VALUE"""),182.0)</f>
        <v>182</v>
      </c>
    </row>
    <row r="2679">
      <c r="A2679" s="1">
        <v>6404065.0</v>
      </c>
      <c r="B2679" s="1" t="s">
        <v>5733</v>
      </c>
      <c r="C2679" s="1" t="s">
        <v>5713</v>
      </c>
      <c r="D2679" s="1" t="s">
        <v>5720</v>
      </c>
      <c r="E2679" s="1" t="s">
        <v>5734</v>
      </c>
      <c r="F2679" s="1" t="s">
        <v>16</v>
      </c>
      <c r="G2679" s="1" t="s">
        <v>23</v>
      </c>
      <c r="H2679" s="1" t="s">
        <v>18</v>
      </c>
      <c r="I2679" s="1" t="s">
        <v>40</v>
      </c>
      <c r="J2679" s="1">
        <f>IFERROR(__xludf.DUMMYFUNCTION("""COMPUTED_VALUE"""),50.0)</f>
        <v>50</v>
      </c>
      <c r="K2679" s="1">
        <v>10.0</v>
      </c>
      <c r="L2679" s="1">
        <f>IFERROR(__xludf.DUMMYFUNCTION("""COMPUTED_VALUE"""),182.0)</f>
        <v>182</v>
      </c>
    </row>
    <row r="2680">
      <c r="A2680" s="1">
        <v>6471074.0</v>
      </c>
      <c r="B2680" s="1" t="s">
        <v>5735</v>
      </c>
      <c r="C2680" s="1" t="s">
        <v>5713</v>
      </c>
      <c r="D2680" s="1" t="s">
        <v>5717</v>
      </c>
      <c r="E2680" s="1" t="s">
        <v>5736</v>
      </c>
      <c r="F2680" s="1" t="s">
        <v>55</v>
      </c>
      <c r="G2680" s="1" t="s">
        <v>17</v>
      </c>
      <c r="H2680" s="1" t="s">
        <v>18</v>
      </c>
      <c r="I2680" s="1" t="s">
        <v>19</v>
      </c>
      <c r="J2680" s="1">
        <f>IFERROR(__xludf.DUMMYFUNCTION("""COMPUTED_VALUE"""),42.0)</f>
        <v>42</v>
      </c>
      <c r="K2680" s="1">
        <v>20.0</v>
      </c>
      <c r="L2680" s="1">
        <f>IFERROR(__xludf.DUMMYFUNCTION("""COMPUTED_VALUE"""),77.0)</f>
        <v>77</v>
      </c>
    </row>
    <row r="2681">
      <c r="A2681" s="1">
        <v>6472063.0</v>
      </c>
      <c r="B2681" s="1" t="s">
        <v>5737</v>
      </c>
      <c r="C2681" s="1" t="s">
        <v>5713</v>
      </c>
      <c r="D2681" s="1" t="s">
        <v>5725</v>
      </c>
      <c r="E2681" s="1" t="s">
        <v>5738</v>
      </c>
      <c r="F2681" s="1" t="s">
        <v>174</v>
      </c>
      <c r="G2681" s="1" t="s">
        <v>150</v>
      </c>
      <c r="H2681" s="1" t="s">
        <v>28</v>
      </c>
      <c r="I2681" s="1" t="s">
        <v>139</v>
      </c>
      <c r="J2681" s="1">
        <f>IFERROR(__xludf.DUMMYFUNCTION("""COMPUTED_VALUE"""),200.0)</f>
        <v>200</v>
      </c>
      <c r="K2681" s="1">
        <v>24.0</v>
      </c>
      <c r="L2681" s="1">
        <f>IFERROR(__xludf.DUMMYFUNCTION("""COMPUTED_VALUE"""),398.0)</f>
        <v>398</v>
      </c>
    </row>
    <row r="2682">
      <c r="A2682" s="1">
        <v>6471036.0</v>
      </c>
      <c r="B2682" s="1" t="s">
        <v>5739</v>
      </c>
      <c r="C2682" s="1" t="s">
        <v>5713</v>
      </c>
      <c r="D2682" s="1" t="s">
        <v>5717</v>
      </c>
      <c r="E2682" s="1" t="s">
        <v>5740</v>
      </c>
      <c r="F2682" s="1" t="s">
        <v>16</v>
      </c>
      <c r="G2682" s="1" t="s">
        <v>17</v>
      </c>
      <c r="H2682" s="1" t="s">
        <v>33</v>
      </c>
      <c r="I2682" s="1" t="s">
        <v>74</v>
      </c>
      <c r="J2682" s="1">
        <f>IFERROR(__xludf.DUMMYFUNCTION("""COMPUTED_VALUE"""),144.0)</f>
        <v>144</v>
      </c>
      <c r="K2682" s="1">
        <v>66.0</v>
      </c>
      <c r="L2682" s="1">
        <f>IFERROR(__xludf.DUMMYFUNCTION("""COMPUTED_VALUE"""),550.0)</f>
        <v>550</v>
      </c>
    </row>
    <row r="2683">
      <c r="A2683" s="1">
        <v>6404047.0</v>
      </c>
      <c r="B2683" s="1" t="s">
        <v>5741</v>
      </c>
      <c r="C2683" s="1" t="s">
        <v>5713</v>
      </c>
      <c r="D2683" s="1" t="s">
        <v>5720</v>
      </c>
      <c r="E2683" s="1" t="s">
        <v>5742</v>
      </c>
      <c r="F2683" s="1" t="s">
        <v>55</v>
      </c>
      <c r="G2683" s="1" t="s">
        <v>17</v>
      </c>
      <c r="H2683" s="1" t="s">
        <v>18</v>
      </c>
      <c r="I2683" s="1" t="s">
        <v>19</v>
      </c>
      <c r="J2683" s="1">
        <f>IFERROR(__xludf.DUMMYFUNCTION("""COMPUTED_VALUE"""),23.0)</f>
        <v>23</v>
      </c>
      <c r="K2683" s="1">
        <v>18.0</v>
      </c>
      <c r="L2683" s="1">
        <f>IFERROR(__xludf.DUMMYFUNCTION("""COMPUTED_VALUE"""),30.0)</f>
        <v>30</v>
      </c>
    </row>
    <row r="2684">
      <c r="A2684" s="1">
        <v>6474010.0</v>
      </c>
      <c r="B2684" s="1" t="s">
        <v>5743</v>
      </c>
      <c r="C2684" s="1" t="s">
        <v>5713</v>
      </c>
      <c r="D2684" s="1" t="s">
        <v>5744</v>
      </c>
      <c r="E2684" s="1" t="s">
        <v>5745</v>
      </c>
      <c r="F2684" s="1" t="s">
        <v>16</v>
      </c>
      <c r="G2684" s="1" t="s">
        <v>23</v>
      </c>
      <c r="H2684" s="1" t="s">
        <v>18</v>
      </c>
      <c r="I2684" s="1" t="s">
        <v>19</v>
      </c>
      <c r="J2684" s="1">
        <f>IFERROR(__xludf.DUMMYFUNCTION("""COMPUTED_VALUE"""),51.0)</f>
        <v>51</v>
      </c>
      <c r="K2684" s="1">
        <v>27.0</v>
      </c>
      <c r="L2684" s="1">
        <f>IFERROR(__xludf.DUMMYFUNCTION("""COMPUTED_VALUE"""),71.0)</f>
        <v>71</v>
      </c>
    </row>
    <row r="2685">
      <c r="A2685" s="1">
        <v>6404066.0</v>
      </c>
      <c r="B2685" s="1" t="s">
        <v>5746</v>
      </c>
      <c r="C2685" s="1" t="s">
        <v>5713</v>
      </c>
      <c r="D2685" s="1" t="s">
        <v>5720</v>
      </c>
      <c r="E2685" s="1" t="s">
        <v>5747</v>
      </c>
      <c r="F2685" s="1" t="s">
        <v>16</v>
      </c>
      <c r="G2685" s="1" t="s">
        <v>23</v>
      </c>
      <c r="H2685" s="1" t="s">
        <v>18</v>
      </c>
      <c r="I2685" s="1" t="s">
        <v>249</v>
      </c>
      <c r="J2685" s="1">
        <f>IFERROR(__xludf.DUMMYFUNCTION("""COMPUTED_VALUE"""),59.0)</f>
        <v>59</v>
      </c>
      <c r="K2685" s="1">
        <v>28.0</v>
      </c>
      <c r="L2685" s="1">
        <f>IFERROR(__xludf.DUMMYFUNCTION("""COMPUTED_VALUE"""),182.0)</f>
        <v>182</v>
      </c>
    </row>
    <row r="2686">
      <c r="A2686" s="1">
        <v>6404043.0</v>
      </c>
      <c r="B2686" s="1" t="s">
        <v>5748</v>
      </c>
      <c r="C2686" s="1" t="s">
        <v>5713</v>
      </c>
      <c r="D2686" s="1" t="s">
        <v>5720</v>
      </c>
      <c r="E2686" s="1" t="s">
        <v>5749</v>
      </c>
      <c r="F2686" s="1" t="s">
        <v>16</v>
      </c>
      <c r="G2686" s="1" t="s">
        <v>23</v>
      </c>
      <c r="H2686" s="1" t="s">
        <v>18</v>
      </c>
      <c r="I2686" s="1" t="s">
        <v>19</v>
      </c>
      <c r="J2686" s="1">
        <f>IFERROR(__xludf.DUMMYFUNCTION("""COMPUTED_VALUE"""),97.0)</f>
        <v>97</v>
      </c>
      <c r="K2686" s="1">
        <v>32.0</v>
      </c>
      <c r="L2686" s="1">
        <f>IFERROR(__xludf.DUMMYFUNCTION("""COMPUTED_VALUE"""),90.0)</f>
        <v>90</v>
      </c>
    </row>
    <row r="2687">
      <c r="A2687" s="1">
        <v>6404032.0</v>
      </c>
      <c r="B2687" s="1" t="s">
        <v>5750</v>
      </c>
      <c r="C2687" s="1" t="s">
        <v>5713</v>
      </c>
      <c r="D2687" s="1" t="s">
        <v>5720</v>
      </c>
      <c r="E2687" s="1" t="s">
        <v>5751</v>
      </c>
      <c r="F2687" s="1" t="s">
        <v>16</v>
      </c>
      <c r="G2687" s="1" t="s">
        <v>27</v>
      </c>
      <c r="H2687" s="1" t="s">
        <v>28</v>
      </c>
      <c r="I2687" s="1" t="s">
        <v>40</v>
      </c>
      <c r="J2687" s="1">
        <f>IFERROR(__xludf.DUMMYFUNCTION("""COMPUTED_VALUE"""),189.0)</f>
        <v>189</v>
      </c>
      <c r="K2687" s="1">
        <v>39.0</v>
      </c>
      <c r="L2687" s="1">
        <f>IFERROR(__xludf.DUMMYFUNCTION("""COMPUTED_VALUE"""),523.0)</f>
        <v>523</v>
      </c>
    </row>
    <row r="2688">
      <c r="A2688" s="1">
        <v>6471078.0</v>
      </c>
      <c r="B2688" s="1" t="s">
        <v>5752</v>
      </c>
      <c r="C2688" s="1" t="s">
        <v>5713</v>
      </c>
      <c r="D2688" s="1" t="s">
        <v>5717</v>
      </c>
      <c r="E2688" s="1" t="s">
        <v>5753</v>
      </c>
      <c r="F2688" s="1" t="s">
        <v>16</v>
      </c>
      <c r="G2688" s="1" t="s">
        <v>23</v>
      </c>
      <c r="H2688" s="1" t="s">
        <v>18</v>
      </c>
      <c r="I2688" s="1" t="s">
        <v>563</v>
      </c>
      <c r="J2688" s="1">
        <f>IFERROR(__xludf.DUMMYFUNCTION("""COMPUTED_VALUE"""),69.0)</f>
        <v>69</v>
      </c>
      <c r="K2688" s="1">
        <v>20.0</v>
      </c>
      <c r="L2688" s="1">
        <f>IFERROR(__xludf.DUMMYFUNCTION("""COMPUTED_VALUE"""),36.0)</f>
        <v>36</v>
      </c>
    </row>
    <row r="2689">
      <c r="A2689" s="1">
        <v>6471085.0</v>
      </c>
      <c r="B2689" s="1" t="s">
        <v>5754</v>
      </c>
      <c r="C2689" s="1" t="s">
        <v>5713</v>
      </c>
      <c r="D2689" s="1" t="s">
        <v>5717</v>
      </c>
      <c r="E2689" s="1" t="s">
        <v>5755</v>
      </c>
      <c r="F2689" s="1" t="s">
        <v>55</v>
      </c>
      <c r="G2689" s="1" t="s">
        <v>17</v>
      </c>
      <c r="H2689" s="1" t="s">
        <v>18</v>
      </c>
      <c r="I2689" s="1" t="s">
        <v>44</v>
      </c>
      <c r="J2689" s="1">
        <f>IFERROR(__xludf.DUMMYFUNCTION("""COMPUTED_VALUE"""),42.0)</f>
        <v>42</v>
      </c>
      <c r="K2689" s="1">
        <v>14.0</v>
      </c>
      <c r="L2689" s="1">
        <f>IFERROR(__xludf.DUMMYFUNCTION("""COMPUTED_VALUE"""),79.0)</f>
        <v>79</v>
      </c>
    </row>
    <row r="2690">
      <c r="A2690" s="1">
        <v>6472107.0</v>
      </c>
      <c r="B2690" s="1" t="s">
        <v>5756</v>
      </c>
      <c r="C2690" s="1" t="s">
        <v>5713</v>
      </c>
      <c r="D2690" s="1" t="s">
        <v>5725</v>
      </c>
      <c r="E2690" s="1" t="s">
        <v>5757</v>
      </c>
      <c r="F2690" s="1" t="s">
        <v>16</v>
      </c>
      <c r="G2690" s="1" t="s">
        <v>17</v>
      </c>
      <c r="H2690" s="1" t="s">
        <v>18</v>
      </c>
      <c r="I2690" s="1" t="s">
        <v>19</v>
      </c>
      <c r="J2690" s="1">
        <f>IFERROR(__xludf.DUMMYFUNCTION("""COMPUTED_VALUE"""),134.0)</f>
        <v>134</v>
      </c>
      <c r="K2690" s="1">
        <v>27.0</v>
      </c>
      <c r="L2690" s="1">
        <f>IFERROR(__xludf.DUMMYFUNCTION("""COMPUTED_VALUE"""),151.0)</f>
        <v>151</v>
      </c>
    </row>
    <row r="2691">
      <c r="A2691" s="1">
        <v>6471073.0</v>
      </c>
      <c r="B2691" s="1" t="s">
        <v>5758</v>
      </c>
      <c r="C2691" s="1" t="s">
        <v>5713</v>
      </c>
      <c r="D2691" s="1" t="s">
        <v>5717</v>
      </c>
      <c r="E2691" s="1" t="s">
        <v>5759</v>
      </c>
      <c r="F2691" s="1" t="s">
        <v>16</v>
      </c>
      <c r="G2691" s="1" t="s">
        <v>17</v>
      </c>
      <c r="H2691" s="1" t="s">
        <v>33</v>
      </c>
      <c r="I2691" s="1" t="s">
        <v>65</v>
      </c>
      <c r="J2691" s="1">
        <f>IFERROR(__xludf.DUMMYFUNCTION("""COMPUTED_VALUE"""),141.0)</f>
        <v>141</v>
      </c>
      <c r="K2691" s="1">
        <v>47.0</v>
      </c>
      <c r="L2691" s="1">
        <f>IFERROR(__xludf.DUMMYFUNCTION("""COMPUTED_VALUE"""),297.0)</f>
        <v>297</v>
      </c>
    </row>
    <row r="2692">
      <c r="A2692" s="1">
        <v>6471062.0</v>
      </c>
      <c r="B2692" s="1" t="s">
        <v>773</v>
      </c>
      <c r="C2692" s="1" t="s">
        <v>5713</v>
      </c>
      <c r="D2692" s="1" t="s">
        <v>5717</v>
      </c>
      <c r="E2692" s="1" t="s">
        <v>5760</v>
      </c>
      <c r="F2692" s="1" t="s">
        <v>55</v>
      </c>
      <c r="G2692" s="1" t="s">
        <v>17</v>
      </c>
      <c r="H2692" s="1" t="s">
        <v>28</v>
      </c>
      <c r="I2692" s="1" t="s">
        <v>29</v>
      </c>
      <c r="J2692" s="1">
        <f>IFERROR(__xludf.DUMMYFUNCTION("""COMPUTED_VALUE"""),41.0)</f>
        <v>41</v>
      </c>
      <c r="K2692" s="1">
        <v>10.0</v>
      </c>
      <c r="L2692" s="1">
        <f>IFERROR(__xludf.DUMMYFUNCTION("""COMPUTED_VALUE"""),160.0)</f>
        <v>160</v>
      </c>
    </row>
    <row r="2693">
      <c r="A2693" s="1">
        <v>6474032.0</v>
      </c>
      <c r="B2693" s="1" t="s">
        <v>5761</v>
      </c>
      <c r="C2693" s="1" t="s">
        <v>5713</v>
      </c>
      <c r="D2693" s="1" t="s">
        <v>5744</v>
      </c>
      <c r="E2693" s="1" t="s">
        <v>5762</v>
      </c>
      <c r="F2693" s="1" t="s">
        <v>16</v>
      </c>
      <c r="G2693" s="1" t="s">
        <v>27</v>
      </c>
      <c r="H2693" s="1" t="s">
        <v>28</v>
      </c>
      <c r="I2693" s="1" t="s">
        <v>29</v>
      </c>
      <c r="J2693" s="1">
        <f>IFERROR(__xludf.DUMMYFUNCTION("""COMPUTED_VALUE"""),200.0)</f>
        <v>200</v>
      </c>
      <c r="K2693" s="1">
        <v>112.0</v>
      </c>
      <c r="L2693" s="1">
        <f>IFERROR(__xludf.DUMMYFUNCTION("""COMPUTED_VALUE"""),598.0)</f>
        <v>598</v>
      </c>
    </row>
    <row r="2694">
      <c r="A2694" s="1">
        <v>6409049.0</v>
      </c>
      <c r="B2694" s="1" t="s">
        <v>5763</v>
      </c>
      <c r="C2694" s="1" t="s">
        <v>5713</v>
      </c>
      <c r="D2694" s="1" t="s">
        <v>5731</v>
      </c>
      <c r="E2694" s="1" t="s">
        <v>5764</v>
      </c>
      <c r="F2694" s="1" t="s">
        <v>16</v>
      </c>
      <c r="G2694" s="1" t="s">
        <v>1022</v>
      </c>
      <c r="H2694" s="1" t="s">
        <v>18</v>
      </c>
      <c r="I2694" s="1" t="s">
        <v>19</v>
      </c>
      <c r="J2694" s="1">
        <f>IFERROR(__xludf.DUMMYFUNCTION("""COMPUTED_VALUE"""),102.0)</f>
        <v>102</v>
      </c>
      <c r="K2694" s="1">
        <v>31.0</v>
      </c>
      <c r="L2694" s="1">
        <f>IFERROR(__xludf.DUMMYFUNCTION("""COMPUTED_VALUE"""),182.0)</f>
        <v>182</v>
      </c>
    </row>
    <row r="2695">
      <c r="A2695" s="1">
        <v>6404044.0</v>
      </c>
      <c r="B2695" s="1" t="s">
        <v>5765</v>
      </c>
      <c r="C2695" s="1" t="s">
        <v>5713</v>
      </c>
      <c r="D2695" s="1" t="s">
        <v>5720</v>
      </c>
      <c r="E2695" s="1" t="s">
        <v>5766</v>
      </c>
      <c r="F2695" s="1" t="s">
        <v>16</v>
      </c>
      <c r="G2695" s="1" t="s">
        <v>23</v>
      </c>
      <c r="H2695" s="1" t="s">
        <v>18</v>
      </c>
      <c r="I2695" s="1" t="s">
        <v>19</v>
      </c>
      <c r="J2695" s="1">
        <f>IFERROR(__xludf.DUMMYFUNCTION("""COMPUTED_VALUE"""),60.0)</f>
        <v>60</v>
      </c>
      <c r="K2695" s="1">
        <v>30.0</v>
      </c>
      <c r="L2695" s="1">
        <f>IFERROR(__xludf.DUMMYFUNCTION("""COMPUTED_VALUE"""),175.0)</f>
        <v>175</v>
      </c>
    </row>
    <row r="2696">
      <c r="A2696" s="1">
        <v>6472131.0</v>
      </c>
      <c r="B2696" s="1" t="s">
        <v>5767</v>
      </c>
      <c r="C2696" s="1" t="s">
        <v>5713</v>
      </c>
      <c r="D2696" s="1" t="s">
        <v>5725</v>
      </c>
      <c r="E2696" s="1" t="s">
        <v>5768</v>
      </c>
      <c r="F2696" s="1" t="s">
        <v>272</v>
      </c>
      <c r="G2696" s="1" t="s">
        <v>17</v>
      </c>
      <c r="H2696" s="1" t="s">
        <v>28</v>
      </c>
      <c r="I2696" s="1" t="s">
        <v>139</v>
      </c>
      <c r="J2696" s="1">
        <f>IFERROR(__xludf.DUMMYFUNCTION("""COMPUTED_VALUE"""),19.0)</f>
        <v>19</v>
      </c>
      <c r="K2696" s="1">
        <v>22.0</v>
      </c>
      <c r="L2696" s="1">
        <f>IFERROR(__xludf.DUMMYFUNCTION("""COMPUTED_VALUE"""),182.0)</f>
        <v>182</v>
      </c>
    </row>
    <row r="2697">
      <c r="A2697" s="1">
        <v>6401014.0</v>
      </c>
      <c r="B2697" s="1" t="s">
        <v>5769</v>
      </c>
      <c r="C2697" s="1" t="s">
        <v>5713</v>
      </c>
      <c r="D2697" s="1" t="s">
        <v>5770</v>
      </c>
      <c r="E2697" s="1" t="s">
        <v>5771</v>
      </c>
      <c r="F2697" s="1" t="s">
        <v>16</v>
      </c>
      <c r="G2697" s="1" t="s">
        <v>27</v>
      </c>
      <c r="H2697" s="1" t="s">
        <v>28</v>
      </c>
      <c r="I2697" s="1" t="s">
        <v>40</v>
      </c>
      <c r="J2697" s="1">
        <f>IFERROR(__xludf.DUMMYFUNCTION("""COMPUTED_VALUE"""),281.0)</f>
        <v>281</v>
      </c>
      <c r="K2697" s="1">
        <v>50.0</v>
      </c>
      <c r="L2697" s="1">
        <f>IFERROR(__xludf.DUMMYFUNCTION("""COMPUTED_VALUE"""),699.0)</f>
        <v>699</v>
      </c>
    </row>
    <row r="2698">
      <c r="A2698" s="1">
        <v>6472030.0</v>
      </c>
      <c r="B2698" s="1" t="s">
        <v>5772</v>
      </c>
      <c r="C2698" s="1" t="s">
        <v>5713</v>
      </c>
      <c r="D2698" s="1" t="s">
        <v>5725</v>
      </c>
      <c r="E2698" s="1" t="s">
        <v>5773</v>
      </c>
      <c r="F2698" s="1" t="s">
        <v>16</v>
      </c>
      <c r="G2698" s="1" t="s">
        <v>17</v>
      </c>
      <c r="H2698" s="1" t="s">
        <v>18</v>
      </c>
      <c r="I2698" s="1" t="s">
        <v>59</v>
      </c>
      <c r="J2698" s="1">
        <f>IFERROR(__xludf.DUMMYFUNCTION("""COMPUTED_VALUE"""),230.0)</f>
        <v>230</v>
      </c>
      <c r="K2698" s="1">
        <v>57.0</v>
      </c>
      <c r="L2698" s="1">
        <f>IFERROR(__xludf.DUMMYFUNCTION("""COMPUTED_VALUE"""),662.0)</f>
        <v>662</v>
      </c>
    </row>
    <row r="2699">
      <c r="A2699" s="1">
        <v>6402053.0</v>
      </c>
      <c r="B2699" s="1" t="s">
        <v>5774</v>
      </c>
      <c r="C2699" s="1" t="s">
        <v>5713</v>
      </c>
      <c r="D2699" s="1" t="s">
        <v>5775</v>
      </c>
      <c r="E2699" s="1" t="s">
        <v>5776</v>
      </c>
      <c r="F2699" s="1" t="s">
        <v>16</v>
      </c>
      <c r="G2699" s="1" t="s">
        <v>23</v>
      </c>
      <c r="H2699" s="1" t="s">
        <v>18</v>
      </c>
      <c r="I2699" s="1" t="s">
        <v>19</v>
      </c>
      <c r="J2699" s="1">
        <f>IFERROR(__xludf.DUMMYFUNCTION("""COMPUTED_VALUE"""),48.0)</f>
        <v>48</v>
      </c>
      <c r="K2699" s="1">
        <v>27.0</v>
      </c>
      <c r="L2699" s="1">
        <f>IFERROR(__xludf.DUMMYFUNCTION("""COMPUTED_VALUE"""),38.0)</f>
        <v>38</v>
      </c>
    </row>
    <row r="2700">
      <c r="A2700" s="1">
        <v>6409036.0</v>
      </c>
      <c r="B2700" s="1" t="s">
        <v>5777</v>
      </c>
      <c r="C2700" s="1" t="s">
        <v>5713</v>
      </c>
      <c r="D2700" s="1" t="s">
        <v>5731</v>
      </c>
      <c r="E2700" s="1" t="s">
        <v>5778</v>
      </c>
      <c r="F2700" s="1" t="s">
        <v>16</v>
      </c>
      <c r="G2700" s="1" t="s">
        <v>17</v>
      </c>
      <c r="H2700" s="1" t="s">
        <v>28</v>
      </c>
      <c r="I2700" s="1" t="s">
        <v>40</v>
      </c>
      <c r="J2700" s="1">
        <f>IFERROR(__xludf.DUMMYFUNCTION("""COMPUTED_VALUE"""),107.0)</f>
        <v>107</v>
      </c>
      <c r="K2700" s="1">
        <v>33.0</v>
      </c>
      <c r="L2700" s="1">
        <f>IFERROR(__xludf.DUMMYFUNCTION("""COMPUTED_VALUE"""),312.0)</f>
        <v>312</v>
      </c>
    </row>
    <row r="2701">
      <c r="A2701" s="1">
        <v>6471077.0</v>
      </c>
      <c r="B2701" s="1" t="s">
        <v>5779</v>
      </c>
      <c r="C2701" s="1" t="s">
        <v>5713</v>
      </c>
      <c r="D2701" s="1" t="s">
        <v>5717</v>
      </c>
      <c r="E2701" s="1" t="s">
        <v>5780</v>
      </c>
      <c r="F2701" s="1" t="s">
        <v>16</v>
      </c>
      <c r="G2701" s="1" t="s">
        <v>23</v>
      </c>
      <c r="H2701" s="1" t="s">
        <v>18</v>
      </c>
      <c r="I2701" s="1" t="s">
        <v>19</v>
      </c>
      <c r="J2701" s="1">
        <f>IFERROR(__xludf.DUMMYFUNCTION("""COMPUTED_VALUE"""),57.0)</f>
        <v>57</v>
      </c>
      <c r="K2701" s="1">
        <v>29.0</v>
      </c>
      <c r="L2701" s="1">
        <f>IFERROR(__xludf.DUMMYFUNCTION("""COMPUTED_VALUE"""),112.0)</f>
        <v>112</v>
      </c>
    </row>
    <row r="2702">
      <c r="A2702" s="1">
        <v>6471082.0</v>
      </c>
      <c r="B2702" s="1" t="s">
        <v>5781</v>
      </c>
      <c r="C2702" s="1" t="s">
        <v>5713</v>
      </c>
      <c r="D2702" s="1" t="s">
        <v>5717</v>
      </c>
      <c r="E2702" s="1" t="s">
        <v>5782</v>
      </c>
      <c r="F2702" s="1" t="s">
        <v>272</v>
      </c>
      <c r="G2702" s="1" t="s">
        <v>17</v>
      </c>
      <c r="H2702" s="1" t="s">
        <v>18</v>
      </c>
      <c r="I2702" s="1" t="s">
        <v>44</v>
      </c>
      <c r="J2702" s="1">
        <f>IFERROR(__xludf.DUMMYFUNCTION("""COMPUTED_VALUE"""),18.0)</f>
        <v>18</v>
      </c>
      <c r="K2702" s="1">
        <v>1.0</v>
      </c>
      <c r="L2702" s="1">
        <f>IFERROR(__xludf.DUMMYFUNCTION("""COMPUTED_VALUE"""),54.0)</f>
        <v>54</v>
      </c>
    </row>
    <row r="2703">
      <c r="A2703" s="1">
        <v>6402041.0</v>
      </c>
      <c r="B2703" s="1" t="s">
        <v>5783</v>
      </c>
      <c r="C2703" s="1" t="s">
        <v>5713</v>
      </c>
      <c r="D2703" s="1" t="s">
        <v>5775</v>
      </c>
      <c r="E2703" s="1" t="s">
        <v>5784</v>
      </c>
      <c r="F2703" s="1" t="s">
        <v>16</v>
      </c>
      <c r="G2703" s="1" t="s">
        <v>17</v>
      </c>
      <c r="H2703" s="1" t="s">
        <v>28</v>
      </c>
      <c r="I2703" s="1" t="s">
        <v>40</v>
      </c>
      <c r="J2703" s="1">
        <f>IFERROR(__xludf.DUMMYFUNCTION("""COMPUTED_VALUE"""),177.0)</f>
        <v>177</v>
      </c>
      <c r="K2703" s="1">
        <v>37.0</v>
      </c>
      <c r="L2703" s="1">
        <f>IFERROR(__xludf.DUMMYFUNCTION("""COMPUTED_VALUE"""),604.0)</f>
        <v>604</v>
      </c>
    </row>
    <row r="2704">
      <c r="A2704" s="1">
        <v>6472130.0</v>
      </c>
      <c r="B2704" s="1" t="s">
        <v>5785</v>
      </c>
      <c r="C2704" s="1" t="s">
        <v>5713</v>
      </c>
      <c r="D2704" s="1" t="s">
        <v>5725</v>
      </c>
      <c r="E2704" s="1" t="s">
        <v>5786</v>
      </c>
      <c r="F2704" s="1" t="s">
        <v>16</v>
      </c>
      <c r="G2704" s="1" t="s">
        <v>17</v>
      </c>
      <c r="H2704" s="1" t="s">
        <v>18</v>
      </c>
      <c r="I2704" s="1" t="s">
        <v>44</v>
      </c>
      <c r="J2704" s="1">
        <f>IFERROR(__xludf.DUMMYFUNCTION("""COMPUTED_VALUE"""),167.0)</f>
        <v>167</v>
      </c>
      <c r="K2704" s="1">
        <v>127.0</v>
      </c>
      <c r="L2704" s="1">
        <f>IFERROR(__xludf.DUMMYFUNCTION("""COMPUTED_VALUE"""),249.0)</f>
        <v>249</v>
      </c>
    </row>
    <row r="2705">
      <c r="A2705" s="1">
        <v>6472052.0</v>
      </c>
      <c r="B2705" s="1" t="s">
        <v>5787</v>
      </c>
      <c r="C2705" s="1" t="s">
        <v>5713</v>
      </c>
      <c r="D2705" s="1" t="s">
        <v>5725</v>
      </c>
      <c r="E2705" s="1" t="s">
        <v>5788</v>
      </c>
      <c r="F2705" s="1" t="s">
        <v>55</v>
      </c>
      <c r="G2705" s="1" t="s">
        <v>17</v>
      </c>
      <c r="H2705" s="1" t="s">
        <v>18</v>
      </c>
      <c r="I2705" s="1" t="s">
        <v>59</v>
      </c>
      <c r="J2705" s="1">
        <f>IFERROR(__xludf.DUMMYFUNCTION("""COMPUTED_VALUE"""),38.0)</f>
        <v>38</v>
      </c>
      <c r="K2705" s="1">
        <v>5.0</v>
      </c>
      <c r="L2705" s="1">
        <f>IFERROR(__xludf.DUMMYFUNCTION("""COMPUTED_VALUE"""),60.0)</f>
        <v>60</v>
      </c>
    </row>
    <row r="2706">
      <c r="A2706" s="1">
        <v>6402064.0</v>
      </c>
      <c r="B2706" s="1" t="s">
        <v>5789</v>
      </c>
      <c r="C2706" s="1" t="s">
        <v>5713</v>
      </c>
      <c r="D2706" s="1" t="s">
        <v>5775</v>
      </c>
      <c r="E2706" s="1" t="s">
        <v>5790</v>
      </c>
      <c r="F2706" s="1" t="s">
        <v>16</v>
      </c>
      <c r="G2706" s="1" t="s">
        <v>98</v>
      </c>
      <c r="H2706" s="1" t="s">
        <v>28</v>
      </c>
      <c r="I2706" s="1" t="s">
        <v>40</v>
      </c>
      <c r="J2706" s="1">
        <f>IFERROR(__xludf.DUMMYFUNCTION("""COMPUTED_VALUE"""),50.0)</f>
        <v>50</v>
      </c>
      <c r="K2706" s="1">
        <v>15.0</v>
      </c>
      <c r="L2706" s="1">
        <f>IFERROR(__xludf.DUMMYFUNCTION("""COMPUTED_VALUE"""),182.0)</f>
        <v>182</v>
      </c>
    </row>
    <row r="2707">
      <c r="A2707" s="1">
        <v>6471025.0</v>
      </c>
      <c r="B2707" s="1" t="s">
        <v>5791</v>
      </c>
      <c r="C2707" s="1" t="s">
        <v>5713</v>
      </c>
      <c r="D2707" s="1" t="s">
        <v>5717</v>
      </c>
      <c r="E2707" s="1" t="s">
        <v>5792</v>
      </c>
      <c r="F2707" s="1" t="s">
        <v>16</v>
      </c>
      <c r="G2707" s="1" t="s">
        <v>17</v>
      </c>
      <c r="H2707" s="1" t="s">
        <v>18</v>
      </c>
      <c r="I2707" s="1" t="s">
        <v>113</v>
      </c>
      <c r="J2707" s="1">
        <f>IFERROR(__xludf.DUMMYFUNCTION("""COMPUTED_VALUE"""),180.0)</f>
        <v>180</v>
      </c>
      <c r="K2707" s="1">
        <v>55.0</v>
      </c>
      <c r="L2707" s="1">
        <f>IFERROR(__xludf.DUMMYFUNCTION("""COMPUTED_VALUE"""),310.0)</f>
        <v>310</v>
      </c>
    </row>
    <row r="2708">
      <c r="A2708" s="1">
        <v>6404046.0</v>
      </c>
      <c r="B2708" s="1" t="s">
        <v>5793</v>
      </c>
      <c r="C2708" s="1" t="s">
        <v>5713</v>
      </c>
      <c r="D2708" s="1" t="s">
        <v>5720</v>
      </c>
      <c r="E2708" s="1" t="s">
        <v>5794</v>
      </c>
      <c r="F2708" s="1" t="s">
        <v>16</v>
      </c>
      <c r="G2708" s="1" t="s">
        <v>23</v>
      </c>
      <c r="H2708" s="1" t="s">
        <v>18</v>
      </c>
      <c r="I2708" s="1" t="s">
        <v>19</v>
      </c>
      <c r="J2708" s="1">
        <f>IFERROR(__xludf.DUMMYFUNCTION("""COMPUTED_VALUE"""),155.0)</f>
        <v>155</v>
      </c>
      <c r="K2708" s="1">
        <v>39.0</v>
      </c>
      <c r="L2708" s="1">
        <f>IFERROR(__xludf.DUMMYFUNCTION("""COMPUTED_VALUE"""),381.0)</f>
        <v>381</v>
      </c>
    </row>
    <row r="2709">
      <c r="A2709" s="1">
        <v>6472096.0</v>
      </c>
      <c r="B2709" s="1" t="s">
        <v>5795</v>
      </c>
      <c r="C2709" s="1" t="s">
        <v>5713</v>
      </c>
      <c r="D2709" s="1" t="s">
        <v>5725</v>
      </c>
      <c r="E2709" s="1" t="s">
        <v>5796</v>
      </c>
      <c r="F2709" s="1" t="s">
        <v>16</v>
      </c>
      <c r="G2709" s="1" t="s">
        <v>23</v>
      </c>
      <c r="H2709" s="1" t="s">
        <v>18</v>
      </c>
      <c r="I2709" s="1" t="s">
        <v>59</v>
      </c>
      <c r="J2709" s="1">
        <f>IFERROR(__xludf.DUMMYFUNCTION("""COMPUTED_VALUE"""),62.0)</f>
        <v>62</v>
      </c>
      <c r="K2709" s="1">
        <v>13.0</v>
      </c>
      <c r="L2709" s="1">
        <f>IFERROR(__xludf.DUMMYFUNCTION("""COMPUTED_VALUE"""),74.0)</f>
        <v>74</v>
      </c>
    </row>
    <row r="2710">
      <c r="A2710" s="1">
        <v>6404054.0</v>
      </c>
      <c r="B2710" s="1" t="s">
        <v>5797</v>
      </c>
      <c r="C2710" s="1" t="s">
        <v>5713</v>
      </c>
      <c r="D2710" s="1" t="s">
        <v>5720</v>
      </c>
      <c r="E2710" s="1" t="s">
        <v>5798</v>
      </c>
      <c r="F2710" s="1" t="s">
        <v>16</v>
      </c>
      <c r="G2710" s="1" t="s">
        <v>23</v>
      </c>
      <c r="H2710" s="1" t="s">
        <v>18</v>
      </c>
      <c r="I2710" s="1" t="s">
        <v>44</v>
      </c>
      <c r="J2710" s="1">
        <f>IFERROR(__xludf.DUMMYFUNCTION("""COMPUTED_VALUE"""),29.0)</f>
        <v>29</v>
      </c>
      <c r="K2710" s="1">
        <v>16.0</v>
      </c>
      <c r="L2710" s="1">
        <f>IFERROR(__xludf.DUMMYFUNCTION("""COMPUTED_VALUE"""),61.0)</f>
        <v>61</v>
      </c>
    </row>
    <row r="2711">
      <c r="A2711" s="1">
        <v>6472123.0</v>
      </c>
      <c r="B2711" s="1" t="s">
        <v>5799</v>
      </c>
      <c r="C2711" s="1" t="s">
        <v>5713</v>
      </c>
      <c r="D2711" s="1" t="s">
        <v>5725</v>
      </c>
      <c r="E2711" s="1" t="s">
        <v>5800</v>
      </c>
      <c r="F2711" s="1" t="s">
        <v>16</v>
      </c>
      <c r="G2711" s="1" t="s">
        <v>17</v>
      </c>
      <c r="H2711" s="1" t="s">
        <v>18</v>
      </c>
      <c r="I2711" s="1" t="s">
        <v>44</v>
      </c>
      <c r="J2711" s="1">
        <f>IFERROR(__xludf.DUMMYFUNCTION("""COMPUTED_VALUE"""),182.0)</f>
        <v>182</v>
      </c>
      <c r="K2711" s="1">
        <v>46.0</v>
      </c>
      <c r="L2711" s="1">
        <f>IFERROR(__xludf.DUMMYFUNCTION("""COMPUTED_VALUE"""),524.0)</f>
        <v>524</v>
      </c>
    </row>
    <row r="2712">
      <c r="A2712" s="1">
        <v>6471051.0</v>
      </c>
      <c r="B2712" s="1" t="s">
        <v>5801</v>
      </c>
      <c r="C2712" s="1" t="s">
        <v>5713</v>
      </c>
      <c r="D2712" s="1" t="s">
        <v>5717</v>
      </c>
      <c r="E2712" s="1" t="s">
        <v>5802</v>
      </c>
      <c r="F2712" s="1" t="s">
        <v>16</v>
      </c>
      <c r="G2712" s="1" t="s">
        <v>17</v>
      </c>
      <c r="H2712" s="1" t="s">
        <v>18</v>
      </c>
      <c r="I2712" s="1" t="s">
        <v>19</v>
      </c>
      <c r="J2712" s="1">
        <f>IFERROR(__xludf.DUMMYFUNCTION("""COMPUTED_VALUE"""),166.0)</f>
        <v>166</v>
      </c>
      <c r="K2712" s="1">
        <v>76.0</v>
      </c>
      <c r="L2712" s="1">
        <f>IFERROR(__xludf.DUMMYFUNCTION("""COMPUTED_VALUE"""),216.0)</f>
        <v>216</v>
      </c>
    </row>
    <row r="2713">
      <c r="A2713" s="1">
        <v>6472121.0</v>
      </c>
      <c r="B2713" s="1" t="s">
        <v>5803</v>
      </c>
      <c r="C2713" s="1" t="s">
        <v>5713</v>
      </c>
      <c r="D2713" s="1" t="s">
        <v>5725</v>
      </c>
      <c r="E2713" s="1" t="s">
        <v>5804</v>
      </c>
      <c r="F2713" s="1" t="s">
        <v>55</v>
      </c>
      <c r="G2713" s="1" t="s">
        <v>17</v>
      </c>
      <c r="H2713" s="1" t="s">
        <v>18</v>
      </c>
      <c r="I2713" s="1" t="s">
        <v>19</v>
      </c>
      <c r="J2713" s="1">
        <f>IFERROR(__xludf.DUMMYFUNCTION("""COMPUTED_VALUE"""),28.0)</f>
        <v>28</v>
      </c>
      <c r="K2713" s="1">
        <v>14.0</v>
      </c>
      <c r="L2713" s="1">
        <f>IFERROR(__xludf.DUMMYFUNCTION("""COMPUTED_VALUE"""),37.0)</f>
        <v>37</v>
      </c>
    </row>
    <row r="2714">
      <c r="A2714" s="1">
        <v>6474021.0</v>
      </c>
      <c r="B2714" s="1" t="s">
        <v>5805</v>
      </c>
      <c r="C2714" s="1" t="s">
        <v>5713</v>
      </c>
      <c r="D2714" s="1" t="s">
        <v>5744</v>
      </c>
      <c r="E2714" s="1" t="s">
        <v>5806</v>
      </c>
      <c r="F2714" s="1" t="s">
        <v>16</v>
      </c>
      <c r="G2714" s="1" t="s">
        <v>17</v>
      </c>
      <c r="H2714" s="1" t="s">
        <v>18</v>
      </c>
      <c r="I2714" s="1" t="s">
        <v>19</v>
      </c>
      <c r="J2714" s="1">
        <f>IFERROR(__xludf.DUMMYFUNCTION("""COMPUTED_VALUE"""),100.0)</f>
        <v>100</v>
      </c>
      <c r="K2714" s="1">
        <v>47.0</v>
      </c>
      <c r="L2714" s="1">
        <f>IFERROR(__xludf.DUMMYFUNCTION("""COMPUTED_VALUE"""),465.0)</f>
        <v>465</v>
      </c>
    </row>
    <row r="2715">
      <c r="A2715" s="1">
        <v>6403017.0</v>
      </c>
      <c r="B2715" s="1" t="s">
        <v>5807</v>
      </c>
      <c r="C2715" s="1" t="s">
        <v>5713</v>
      </c>
      <c r="D2715" s="1" t="s">
        <v>5728</v>
      </c>
      <c r="E2715" s="1" t="s">
        <v>5808</v>
      </c>
      <c r="F2715" s="1" t="s">
        <v>16</v>
      </c>
      <c r="G2715" s="1" t="s">
        <v>23</v>
      </c>
      <c r="H2715" s="1" t="s">
        <v>28</v>
      </c>
      <c r="I2715" s="1" t="s">
        <v>40</v>
      </c>
      <c r="J2715" s="1">
        <f>IFERROR(__xludf.DUMMYFUNCTION("""COMPUTED_VALUE"""),80.0)</f>
        <v>80</v>
      </c>
      <c r="K2715" s="1">
        <v>9.0</v>
      </c>
      <c r="L2715" s="1">
        <f>IFERROR(__xludf.DUMMYFUNCTION("""COMPUTED_VALUE"""),369.0)</f>
        <v>369</v>
      </c>
    </row>
    <row r="2716">
      <c r="A2716" s="1">
        <v>6405011.0</v>
      </c>
      <c r="B2716" s="1" t="s">
        <v>5809</v>
      </c>
      <c r="C2716" s="1" t="s">
        <v>5713</v>
      </c>
      <c r="D2716" s="1" t="s">
        <v>5714</v>
      </c>
      <c r="E2716" s="1" t="s">
        <v>5810</v>
      </c>
      <c r="F2716" s="1" t="s">
        <v>16</v>
      </c>
      <c r="G2716" s="1" t="s">
        <v>17</v>
      </c>
      <c r="H2716" s="1" t="s">
        <v>28</v>
      </c>
      <c r="I2716" s="1" t="s">
        <v>40</v>
      </c>
      <c r="J2716" s="1">
        <f>IFERROR(__xludf.DUMMYFUNCTION("""COMPUTED_VALUE"""),261.0)</f>
        <v>261</v>
      </c>
      <c r="K2716" s="1">
        <v>49.0</v>
      </c>
      <c r="L2716" s="1">
        <f>IFERROR(__xludf.DUMMYFUNCTION("""COMPUTED_VALUE"""),689.0)</f>
        <v>689</v>
      </c>
    </row>
    <row r="2717">
      <c r="A2717" s="1">
        <v>6474033.0</v>
      </c>
      <c r="B2717" s="1" t="s">
        <v>5811</v>
      </c>
      <c r="C2717" s="1" t="s">
        <v>5713</v>
      </c>
      <c r="D2717" s="1" t="s">
        <v>5744</v>
      </c>
      <c r="E2717" s="1" t="s">
        <v>5812</v>
      </c>
      <c r="F2717" s="1" t="s">
        <v>16</v>
      </c>
      <c r="G2717" s="1" t="s">
        <v>23</v>
      </c>
      <c r="H2717" s="1" t="s">
        <v>18</v>
      </c>
      <c r="I2717" s="1" t="s">
        <v>19</v>
      </c>
      <c r="J2717" s="1">
        <f>IFERROR(__xludf.DUMMYFUNCTION("""COMPUTED_VALUE"""),65.0)</f>
        <v>65</v>
      </c>
      <c r="K2717" s="1">
        <v>27.0</v>
      </c>
      <c r="L2717" s="1">
        <f>IFERROR(__xludf.DUMMYFUNCTION("""COMPUTED_VALUE"""),257.0)</f>
        <v>257</v>
      </c>
    </row>
    <row r="2718">
      <c r="A2718" s="1">
        <v>6472118.0</v>
      </c>
      <c r="B2718" s="1" t="s">
        <v>5813</v>
      </c>
      <c r="C2718" s="1" t="s">
        <v>5713</v>
      </c>
      <c r="D2718" s="1" t="s">
        <v>5725</v>
      </c>
      <c r="E2718" s="1" t="s">
        <v>5814</v>
      </c>
      <c r="F2718" s="1" t="s">
        <v>16</v>
      </c>
      <c r="G2718" s="1" t="s">
        <v>17</v>
      </c>
      <c r="H2718" s="1" t="s">
        <v>28</v>
      </c>
      <c r="I2718" s="1" t="s">
        <v>29</v>
      </c>
      <c r="J2718" s="1">
        <f>IFERROR(__xludf.DUMMYFUNCTION("""COMPUTED_VALUE"""),134.0)</f>
        <v>134</v>
      </c>
      <c r="K2718" s="1">
        <v>41.0</v>
      </c>
      <c r="L2718" s="1">
        <f>IFERROR(__xludf.DUMMYFUNCTION("""COMPUTED_VALUE"""),231.0)</f>
        <v>231</v>
      </c>
    </row>
    <row r="2719">
      <c r="A2719" s="1">
        <v>6472015.0</v>
      </c>
      <c r="B2719" s="1" t="s">
        <v>5815</v>
      </c>
      <c r="C2719" s="1" t="s">
        <v>5713</v>
      </c>
      <c r="D2719" s="1" t="s">
        <v>5725</v>
      </c>
      <c r="E2719" s="1" t="s">
        <v>5816</v>
      </c>
      <c r="F2719" s="1" t="s">
        <v>16</v>
      </c>
      <c r="G2719" s="1" t="s">
        <v>150</v>
      </c>
      <c r="H2719" s="1" t="s">
        <v>28</v>
      </c>
      <c r="I2719" s="1" t="s">
        <v>139</v>
      </c>
      <c r="J2719" s="1">
        <f>IFERROR(__xludf.DUMMYFUNCTION("""COMPUTED_VALUE"""),572.0)</f>
        <v>572</v>
      </c>
      <c r="K2719" s="1">
        <v>61.0</v>
      </c>
      <c r="L2719" s="1">
        <f>IFERROR(__xludf.DUMMYFUNCTION("""COMPUTED_VALUE"""),2285.0)</f>
        <v>2285</v>
      </c>
    </row>
    <row r="2720">
      <c r="A2720" s="1">
        <v>6474034.0</v>
      </c>
      <c r="B2720" s="1" t="s">
        <v>5817</v>
      </c>
      <c r="C2720" s="1" t="s">
        <v>5713</v>
      </c>
      <c r="D2720" s="1" t="s">
        <v>5744</v>
      </c>
      <c r="E2720" s="1" t="s">
        <v>5818</v>
      </c>
      <c r="F2720" s="1" t="s">
        <v>16</v>
      </c>
      <c r="G2720" s="1" t="s">
        <v>17</v>
      </c>
      <c r="H2720" s="1" t="s">
        <v>18</v>
      </c>
      <c r="I2720" s="1" t="s">
        <v>19</v>
      </c>
      <c r="J2720" s="1">
        <f>IFERROR(__xludf.DUMMYFUNCTION("""COMPUTED_VALUE"""),99.0)</f>
        <v>99</v>
      </c>
      <c r="K2720" s="1">
        <v>32.0</v>
      </c>
      <c r="L2720" s="1">
        <f>IFERROR(__xludf.DUMMYFUNCTION("""COMPUTED_VALUE"""),170.0)</f>
        <v>170</v>
      </c>
    </row>
    <row r="2721">
      <c r="A2721" s="1">
        <v>6404051.0</v>
      </c>
      <c r="B2721" s="1" t="s">
        <v>5819</v>
      </c>
      <c r="C2721" s="1" t="s">
        <v>5713</v>
      </c>
      <c r="D2721" s="1" t="s">
        <v>5720</v>
      </c>
      <c r="E2721" s="1" t="s">
        <v>5820</v>
      </c>
      <c r="F2721" s="1" t="s">
        <v>16</v>
      </c>
      <c r="G2721" s="1" t="s">
        <v>23</v>
      </c>
      <c r="H2721" s="1" t="s">
        <v>28</v>
      </c>
      <c r="I2721" s="1" t="s">
        <v>40</v>
      </c>
      <c r="J2721" s="1">
        <f>IFERROR(__xludf.DUMMYFUNCTION("""COMPUTED_VALUE"""),55.0)</f>
        <v>55</v>
      </c>
      <c r="K2721" s="1">
        <v>22.0</v>
      </c>
      <c r="L2721" s="1">
        <f>IFERROR(__xludf.DUMMYFUNCTION("""COMPUTED_VALUE"""),139.0)</f>
        <v>139</v>
      </c>
    </row>
    <row r="2722">
      <c r="A2722" s="1">
        <v>6472124.0</v>
      </c>
      <c r="B2722" s="1" t="s">
        <v>5821</v>
      </c>
      <c r="C2722" s="1" t="s">
        <v>5713</v>
      </c>
      <c r="D2722" s="1" t="s">
        <v>5725</v>
      </c>
      <c r="E2722" s="1" t="s">
        <v>5822</v>
      </c>
      <c r="F2722" s="1" t="s">
        <v>16</v>
      </c>
      <c r="G2722" s="1" t="s">
        <v>17</v>
      </c>
      <c r="H2722" s="1" t="s">
        <v>18</v>
      </c>
      <c r="I2722" s="1" t="s">
        <v>44</v>
      </c>
      <c r="J2722" s="1">
        <f>IFERROR(__xludf.DUMMYFUNCTION("""COMPUTED_VALUE"""),70.0)</f>
        <v>70</v>
      </c>
      <c r="K2722" s="1">
        <v>41.0</v>
      </c>
      <c r="L2722" s="1">
        <f>IFERROR(__xludf.DUMMYFUNCTION("""COMPUTED_VALUE"""),105.0)</f>
        <v>105</v>
      </c>
    </row>
    <row r="2723">
      <c r="A2723" s="1">
        <v>6471075.0</v>
      </c>
      <c r="B2723" s="1" t="s">
        <v>5823</v>
      </c>
      <c r="C2723" s="1" t="s">
        <v>5713</v>
      </c>
      <c r="D2723" s="1" t="s">
        <v>5717</v>
      </c>
      <c r="E2723" s="1" t="s">
        <v>5824</v>
      </c>
      <c r="F2723" s="1" t="s">
        <v>16</v>
      </c>
      <c r="G2723" s="1" t="s">
        <v>27</v>
      </c>
      <c r="H2723" s="1" t="s">
        <v>18</v>
      </c>
      <c r="I2723" s="1" t="s">
        <v>19</v>
      </c>
      <c r="J2723" s="1">
        <f>IFERROR(__xludf.DUMMYFUNCTION("""COMPUTED_VALUE"""),205.0)</f>
        <v>205</v>
      </c>
      <c r="K2723" s="1">
        <v>85.0</v>
      </c>
      <c r="L2723" s="1">
        <f>IFERROR(__xludf.DUMMYFUNCTION("""COMPUTED_VALUE"""),397.0)</f>
        <v>397</v>
      </c>
    </row>
    <row r="2724">
      <c r="A2724" s="1">
        <v>6411001.0</v>
      </c>
      <c r="B2724" s="1" t="s">
        <v>5825</v>
      </c>
      <c r="C2724" s="1" t="s">
        <v>5713</v>
      </c>
      <c r="D2724" s="1" t="s">
        <v>5826</v>
      </c>
      <c r="E2724" s="1" t="s">
        <v>5827</v>
      </c>
      <c r="F2724" s="1" t="s">
        <v>16</v>
      </c>
      <c r="G2724" s="1" t="s">
        <v>98</v>
      </c>
      <c r="H2724" s="1" t="s">
        <v>18</v>
      </c>
      <c r="I2724" s="1" t="s">
        <v>40</v>
      </c>
      <c r="J2724" s="1">
        <f>IFERROR(__xludf.DUMMYFUNCTION("""COMPUTED_VALUE"""),62.0)</f>
        <v>62</v>
      </c>
      <c r="K2724" s="1">
        <v>16.0</v>
      </c>
      <c r="L2724" s="1">
        <f>IFERROR(__xludf.DUMMYFUNCTION("""COMPUTED_VALUE"""),198.0)</f>
        <v>198</v>
      </c>
    </row>
    <row r="2725">
      <c r="A2725" s="1">
        <v>6403015.0</v>
      </c>
      <c r="B2725" s="1" t="s">
        <v>5828</v>
      </c>
      <c r="C2725" s="1" t="s">
        <v>5713</v>
      </c>
      <c r="D2725" s="1" t="s">
        <v>5728</v>
      </c>
      <c r="E2725" s="1" t="s">
        <v>5829</v>
      </c>
      <c r="F2725" s="1" t="s">
        <v>16</v>
      </c>
      <c r="G2725" s="1" t="s">
        <v>27</v>
      </c>
      <c r="H2725" s="1" t="s">
        <v>28</v>
      </c>
      <c r="I2725" s="1" t="s">
        <v>40</v>
      </c>
      <c r="J2725" s="1">
        <f>IFERROR(__xludf.DUMMYFUNCTION("""COMPUTED_VALUE"""),281.0)</f>
        <v>281</v>
      </c>
      <c r="K2725" s="1">
        <v>101.0</v>
      </c>
      <c r="L2725" s="1">
        <f>IFERROR(__xludf.DUMMYFUNCTION("""COMPUTED_VALUE"""),966.0)</f>
        <v>966</v>
      </c>
    </row>
    <row r="2726">
      <c r="A2726" s="1">
        <v>6471079.0</v>
      </c>
      <c r="B2726" s="1" t="s">
        <v>5830</v>
      </c>
      <c r="C2726" s="1" t="s">
        <v>5713</v>
      </c>
      <c r="D2726" s="1" t="s">
        <v>5717</v>
      </c>
      <c r="E2726" s="1" t="s">
        <v>5831</v>
      </c>
      <c r="F2726" s="1" t="s">
        <v>16</v>
      </c>
      <c r="G2726" s="1" t="s">
        <v>17</v>
      </c>
      <c r="H2726" s="1" t="s">
        <v>28</v>
      </c>
      <c r="I2726" s="1" t="s">
        <v>29</v>
      </c>
      <c r="J2726" s="1">
        <f>IFERROR(__xludf.DUMMYFUNCTION("""COMPUTED_VALUE"""),147.0)</f>
        <v>147</v>
      </c>
      <c r="K2726" s="1">
        <v>46.0</v>
      </c>
      <c r="L2726" s="1">
        <f>IFERROR(__xludf.DUMMYFUNCTION("""COMPUTED_VALUE"""),423.0)</f>
        <v>423</v>
      </c>
    </row>
    <row r="2727">
      <c r="A2727" s="1">
        <v>6472128.0</v>
      </c>
      <c r="B2727" s="1" t="s">
        <v>5832</v>
      </c>
      <c r="C2727" s="1" t="s">
        <v>5713</v>
      </c>
      <c r="D2727" s="1" t="s">
        <v>5725</v>
      </c>
      <c r="E2727" s="1" t="s">
        <v>5833</v>
      </c>
      <c r="F2727" s="1" t="s">
        <v>16</v>
      </c>
      <c r="G2727" s="1" t="s">
        <v>23</v>
      </c>
      <c r="H2727" s="1" t="s">
        <v>28</v>
      </c>
      <c r="I2727" s="1" t="s">
        <v>139</v>
      </c>
      <c r="J2727" s="1">
        <f>IFERROR(__xludf.DUMMYFUNCTION("""COMPUTED_VALUE"""),21.0)</f>
        <v>21</v>
      </c>
      <c r="K2727" s="1">
        <v>25.0</v>
      </c>
      <c r="L2727" s="1">
        <f>IFERROR(__xludf.DUMMYFUNCTION("""COMPUTED_VALUE"""),111.0)</f>
        <v>111</v>
      </c>
    </row>
    <row r="2728">
      <c r="A2728" s="1">
        <v>6472041.0</v>
      </c>
      <c r="B2728" s="1" t="s">
        <v>5834</v>
      </c>
      <c r="C2728" s="1" t="s">
        <v>5713</v>
      </c>
      <c r="D2728" s="1" t="s">
        <v>5725</v>
      </c>
      <c r="E2728" s="1" t="s">
        <v>5835</v>
      </c>
      <c r="F2728" s="1" t="s">
        <v>16</v>
      </c>
      <c r="G2728" s="1" t="s">
        <v>23</v>
      </c>
      <c r="H2728" s="1" t="s">
        <v>18</v>
      </c>
      <c r="I2728" s="1" t="s">
        <v>74</v>
      </c>
      <c r="J2728" s="1">
        <f>IFERROR(__xludf.DUMMYFUNCTION("""COMPUTED_VALUE"""),54.0)</f>
        <v>54</v>
      </c>
      <c r="K2728" s="1">
        <v>87.0</v>
      </c>
      <c r="L2728" s="1">
        <f>IFERROR(__xludf.DUMMYFUNCTION("""COMPUTED_VALUE"""),169.0)</f>
        <v>169</v>
      </c>
    </row>
    <row r="2729">
      <c r="A2729" s="1">
        <v>6471086.0</v>
      </c>
      <c r="B2729" s="1" t="s">
        <v>5836</v>
      </c>
      <c r="C2729" s="1" t="s">
        <v>5713</v>
      </c>
      <c r="D2729" s="1" t="s">
        <v>5717</v>
      </c>
      <c r="E2729" s="1" t="s">
        <v>5837</v>
      </c>
      <c r="F2729" s="1" t="s">
        <v>16</v>
      </c>
      <c r="G2729" s="1" t="s">
        <v>17</v>
      </c>
      <c r="H2729" s="1" t="s">
        <v>18</v>
      </c>
      <c r="I2729" s="1" t="s">
        <v>19</v>
      </c>
      <c r="J2729" s="1">
        <f>IFERROR(__xludf.DUMMYFUNCTION("""COMPUTED_VALUE"""),131.0)</f>
        <v>131</v>
      </c>
      <c r="K2729" s="1">
        <v>70.0</v>
      </c>
      <c r="L2729" s="1">
        <f>IFERROR(__xludf.DUMMYFUNCTION("""COMPUTED_VALUE"""),228.0)</f>
        <v>228</v>
      </c>
    </row>
    <row r="2730">
      <c r="A2730" s="1">
        <v>6571045.0</v>
      </c>
      <c r="B2730" s="1" t="s">
        <v>5838</v>
      </c>
      <c r="C2730" s="1" t="s">
        <v>5839</v>
      </c>
      <c r="D2730" s="1" t="s">
        <v>5840</v>
      </c>
      <c r="E2730" s="1" t="s">
        <v>5841</v>
      </c>
      <c r="F2730" s="1" t="s">
        <v>16</v>
      </c>
      <c r="G2730" s="1" t="s">
        <v>23</v>
      </c>
      <c r="H2730" s="1" t="s">
        <v>18</v>
      </c>
      <c r="I2730" s="1" t="s">
        <v>65</v>
      </c>
      <c r="J2730" s="1">
        <f>IFERROR(__xludf.DUMMYFUNCTION("""COMPUTED_VALUE"""),71.0)</f>
        <v>71</v>
      </c>
      <c r="K2730" s="1">
        <v>3.0</v>
      </c>
      <c r="L2730" s="1">
        <f>IFERROR(__xludf.DUMMYFUNCTION("""COMPUTED_VALUE"""),182.0)</f>
        <v>182</v>
      </c>
    </row>
    <row r="2731">
      <c r="A2731" s="1">
        <v>6473043.0</v>
      </c>
      <c r="B2731" s="1" t="s">
        <v>5842</v>
      </c>
      <c r="C2731" s="1" t="s">
        <v>5839</v>
      </c>
      <c r="D2731" s="1" t="s">
        <v>5840</v>
      </c>
      <c r="E2731" s="1" t="s">
        <v>5843</v>
      </c>
      <c r="F2731" s="1" t="s">
        <v>16</v>
      </c>
      <c r="G2731" s="1" t="s">
        <v>17</v>
      </c>
      <c r="H2731" s="1" t="s">
        <v>18</v>
      </c>
      <c r="I2731" s="1" t="s">
        <v>113</v>
      </c>
      <c r="J2731" s="1">
        <f>IFERROR(__xludf.DUMMYFUNCTION("""COMPUTED_VALUE"""),102.0)</f>
        <v>102</v>
      </c>
      <c r="K2731" s="1">
        <v>28.0</v>
      </c>
      <c r="L2731" s="1">
        <f>IFERROR(__xludf.DUMMYFUNCTION("""COMPUTED_VALUE"""),186.0)</f>
        <v>186</v>
      </c>
    </row>
    <row r="2732">
      <c r="A2732" s="1">
        <v>6473016.0</v>
      </c>
      <c r="B2732" s="1" t="s">
        <v>5844</v>
      </c>
      <c r="C2732" s="1" t="s">
        <v>5839</v>
      </c>
      <c r="D2732" s="1" t="s">
        <v>5840</v>
      </c>
      <c r="E2732" s="1" t="s">
        <v>5845</v>
      </c>
      <c r="F2732" s="1" t="s">
        <v>16</v>
      </c>
      <c r="G2732" s="1" t="s">
        <v>27</v>
      </c>
      <c r="H2732" s="1" t="s">
        <v>28</v>
      </c>
      <c r="I2732" s="1" t="s">
        <v>139</v>
      </c>
      <c r="J2732" s="1">
        <f>IFERROR(__xludf.DUMMYFUNCTION("""COMPUTED_VALUE"""),343.0)</f>
        <v>343</v>
      </c>
      <c r="K2732" s="1">
        <v>44.0</v>
      </c>
      <c r="L2732" s="1">
        <f>IFERROR(__xludf.DUMMYFUNCTION("""COMPUTED_VALUE"""),1199.0)</f>
        <v>1199</v>
      </c>
    </row>
    <row r="2733">
      <c r="A2733" s="1">
        <v>6501013.0</v>
      </c>
      <c r="B2733" s="1" t="s">
        <v>5846</v>
      </c>
      <c r="C2733" s="1" t="s">
        <v>5839</v>
      </c>
      <c r="D2733" s="1" t="s">
        <v>5847</v>
      </c>
      <c r="E2733" s="1" t="s">
        <v>5848</v>
      </c>
      <c r="F2733" s="1" t="s">
        <v>16</v>
      </c>
      <c r="G2733" s="1" t="s">
        <v>98</v>
      </c>
      <c r="H2733" s="1" t="s">
        <v>18</v>
      </c>
      <c r="I2733" s="1" t="s">
        <v>40</v>
      </c>
      <c r="J2733" s="1">
        <f>IFERROR(__xludf.DUMMYFUNCTION("""COMPUTED_VALUE"""),20.0)</f>
        <v>20</v>
      </c>
      <c r="K2733" s="1">
        <v>4.0</v>
      </c>
      <c r="L2733" s="1">
        <f>IFERROR(__xludf.DUMMYFUNCTION("""COMPUTED_VALUE"""),17.0)</f>
        <v>17</v>
      </c>
    </row>
    <row r="2734">
      <c r="A2734" s="1">
        <v>6504027.0</v>
      </c>
      <c r="B2734" s="1" t="s">
        <v>5849</v>
      </c>
      <c r="C2734" s="1" t="s">
        <v>5839</v>
      </c>
      <c r="D2734" s="1" t="s">
        <v>5850</v>
      </c>
      <c r="E2734" s="1" t="s">
        <v>5851</v>
      </c>
      <c r="F2734" s="1" t="s">
        <v>16</v>
      </c>
      <c r="G2734" s="1" t="s">
        <v>98</v>
      </c>
      <c r="H2734" s="1" t="s">
        <v>18</v>
      </c>
      <c r="I2734" s="1" t="s">
        <v>40</v>
      </c>
      <c r="J2734" s="1">
        <f>IFERROR(__xludf.DUMMYFUNCTION("""COMPUTED_VALUE"""),50.0)</f>
        <v>50</v>
      </c>
      <c r="K2734" s="1">
        <v>11.0</v>
      </c>
      <c r="L2734" s="1">
        <f>IFERROR(__xludf.DUMMYFUNCTION("""COMPUTED_VALUE"""),50.0)</f>
        <v>50</v>
      </c>
    </row>
    <row r="2735">
      <c r="A2735" s="1">
        <v>6504038.0</v>
      </c>
      <c r="B2735" s="1" t="s">
        <v>5852</v>
      </c>
      <c r="C2735" s="1" t="s">
        <v>5839</v>
      </c>
      <c r="D2735" s="1" t="s">
        <v>5850</v>
      </c>
      <c r="E2735" s="1" t="s">
        <v>5853</v>
      </c>
      <c r="F2735" s="1" t="s">
        <v>16</v>
      </c>
      <c r="G2735" s="1" t="s">
        <v>98</v>
      </c>
      <c r="H2735" s="1" t="s">
        <v>18</v>
      </c>
      <c r="I2735" s="1" t="s">
        <v>40</v>
      </c>
      <c r="J2735" s="1">
        <f>IFERROR(__xludf.DUMMYFUNCTION("""COMPUTED_VALUE"""),14.0)</f>
        <v>14</v>
      </c>
      <c r="K2735" s="1">
        <v>15.0</v>
      </c>
      <c r="L2735" s="1">
        <f>IFERROR(__xludf.DUMMYFUNCTION("""COMPUTED_VALUE"""),182.0)</f>
        <v>182</v>
      </c>
    </row>
    <row r="2736">
      <c r="A2736" s="1">
        <v>6503013.0</v>
      </c>
      <c r="B2736" s="1" t="s">
        <v>5854</v>
      </c>
      <c r="C2736" s="1" t="s">
        <v>5839</v>
      </c>
      <c r="D2736" s="1" t="s">
        <v>5855</v>
      </c>
      <c r="E2736" s="1" t="s">
        <v>5856</v>
      </c>
      <c r="F2736" s="1" t="s">
        <v>16</v>
      </c>
      <c r="G2736" s="1" t="s">
        <v>98</v>
      </c>
      <c r="H2736" s="1" t="s">
        <v>18</v>
      </c>
      <c r="I2736" s="1" t="s">
        <v>40</v>
      </c>
      <c r="J2736" s="1">
        <f>IFERROR(__xludf.DUMMYFUNCTION("""COMPUTED_VALUE"""),42.0)</f>
        <v>42</v>
      </c>
      <c r="K2736" s="1">
        <v>10.0</v>
      </c>
      <c r="L2736" s="1">
        <f>IFERROR(__xludf.DUMMYFUNCTION("""COMPUTED_VALUE"""),182.0)</f>
        <v>182</v>
      </c>
    </row>
    <row r="2737">
      <c r="A2737" s="1">
        <v>6571044.0</v>
      </c>
      <c r="B2737" s="1" t="s">
        <v>5857</v>
      </c>
      <c r="C2737" s="1" t="s">
        <v>5839</v>
      </c>
      <c r="D2737" s="1" t="s">
        <v>5840</v>
      </c>
      <c r="E2737" s="1" t="s">
        <v>5858</v>
      </c>
      <c r="F2737" s="1" t="s">
        <v>16</v>
      </c>
      <c r="G2737" s="1" t="s">
        <v>17</v>
      </c>
      <c r="H2737" s="1" t="s">
        <v>28</v>
      </c>
      <c r="I2737" s="1" t="s">
        <v>29</v>
      </c>
      <c r="J2737" s="1">
        <f>IFERROR(__xludf.DUMMYFUNCTION("""COMPUTED_VALUE"""),144.0)</f>
        <v>144</v>
      </c>
      <c r="K2737" s="1">
        <v>32.0</v>
      </c>
      <c r="L2737" s="1">
        <f>IFERROR(__xludf.DUMMYFUNCTION("""COMPUTED_VALUE"""),366.0)</f>
        <v>366</v>
      </c>
    </row>
    <row r="2738">
      <c r="A2738" s="1">
        <v>6408014.0</v>
      </c>
      <c r="B2738" s="1" t="s">
        <v>5859</v>
      </c>
      <c r="C2738" s="1" t="s">
        <v>5839</v>
      </c>
      <c r="D2738" s="1" t="s">
        <v>5847</v>
      </c>
      <c r="E2738" s="1" t="s">
        <v>5860</v>
      </c>
      <c r="F2738" s="1" t="s">
        <v>16</v>
      </c>
      <c r="G2738" s="1" t="s">
        <v>98</v>
      </c>
      <c r="H2738" s="1" t="s">
        <v>18</v>
      </c>
      <c r="I2738" s="1" t="s">
        <v>40</v>
      </c>
      <c r="J2738" s="1">
        <f>IFERROR(__xludf.DUMMYFUNCTION("""COMPUTED_VALUE"""),10.0)</f>
        <v>10</v>
      </c>
      <c r="K2738" s="1">
        <v>9.0</v>
      </c>
      <c r="L2738" s="1">
        <f>IFERROR(__xludf.DUMMYFUNCTION("""COMPUTED_VALUE"""),23.0)</f>
        <v>23</v>
      </c>
    </row>
    <row r="2739">
      <c r="A2739" s="1">
        <v>6502011.0</v>
      </c>
      <c r="B2739" s="1" t="s">
        <v>5861</v>
      </c>
      <c r="C2739" s="1" t="s">
        <v>5839</v>
      </c>
      <c r="D2739" s="1" t="s">
        <v>5862</v>
      </c>
      <c r="E2739" s="1" t="s">
        <v>5863</v>
      </c>
      <c r="F2739" s="1" t="s">
        <v>16</v>
      </c>
      <c r="G2739" s="1" t="s">
        <v>23</v>
      </c>
      <c r="H2739" s="1" t="s">
        <v>18</v>
      </c>
      <c r="I2739" s="1" t="s">
        <v>74</v>
      </c>
      <c r="J2739" s="1">
        <f>IFERROR(__xludf.DUMMYFUNCTION("""COMPUTED_VALUE"""),66.0)</f>
        <v>66</v>
      </c>
      <c r="K2739" s="1">
        <v>20.0</v>
      </c>
      <c r="L2739" s="1">
        <f>IFERROR(__xludf.DUMMYFUNCTION("""COMPUTED_VALUE"""),182.0)</f>
        <v>182</v>
      </c>
    </row>
    <row r="2740">
      <c r="A2740" s="1">
        <v>6473042.0</v>
      </c>
      <c r="B2740" s="1" t="s">
        <v>5864</v>
      </c>
      <c r="C2740" s="1" t="s">
        <v>5839</v>
      </c>
      <c r="D2740" s="1" t="s">
        <v>5840</v>
      </c>
      <c r="E2740" s="1" t="s">
        <v>5865</v>
      </c>
      <c r="F2740" s="1" t="s">
        <v>16</v>
      </c>
      <c r="G2740" s="1" t="s">
        <v>23</v>
      </c>
      <c r="H2740" s="1" t="s">
        <v>18</v>
      </c>
      <c r="I2740" s="1" t="s">
        <v>95</v>
      </c>
      <c r="J2740" s="1">
        <f>IFERROR(__xludf.DUMMYFUNCTION("""COMPUTED_VALUE"""),88.0)</f>
        <v>88</v>
      </c>
      <c r="K2740" s="1">
        <v>32.0</v>
      </c>
      <c r="L2740" s="1">
        <f>IFERROR(__xludf.DUMMYFUNCTION("""COMPUTED_VALUE"""),74.0)</f>
        <v>74</v>
      </c>
    </row>
    <row r="2741">
      <c r="A2741" s="1">
        <v>6404021.0</v>
      </c>
      <c r="B2741" s="1" t="s">
        <v>5866</v>
      </c>
      <c r="C2741" s="1" t="s">
        <v>5839</v>
      </c>
      <c r="D2741" s="1" t="s">
        <v>5862</v>
      </c>
      <c r="E2741" s="1" t="s">
        <v>5867</v>
      </c>
      <c r="F2741" s="1" t="s">
        <v>16</v>
      </c>
      <c r="G2741" s="1" t="s">
        <v>17</v>
      </c>
      <c r="H2741" s="1" t="s">
        <v>28</v>
      </c>
      <c r="I2741" s="1" t="s">
        <v>40</v>
      </c>
      <c r="J2741" s="1">
        <f>IFERROR(__xludf.DUMMYFUNCTION("""COMPUTED_VALUE"""),303.0)</f>
        <v>303</v>
      </c>
      <c r="K2741" s="1">
        <v>45.0</v>
      </c>
      <c r="L2741" s="1">
        <f>IFERROR(__xludf.DUMMYFUNCTION("""COMPUTED_VALUE"""),344.0)</f>
        <v>344</v>
      </c>
    </row>
    <row r="2742">
      <c r="A2742" s="1">
        <v>6406012.0</v>
      </c>
      <c r="B2742" s="1" t="s">
        <v>5868</v>
      </c>
      <c r="C2742" s="1" t="s">
        <v>5839</v>
      </c>
      <c r="D2742" s="1" t="s">
        <v>5847</v>
      </c>
      <c r="E2742" s="1" t="s">
        <v>5869</v>
      </c>
      <c r="F2742" s="1" t="s">
        <v>16</v>
      </c>
      <c r="G2742" s="1" t="s">
        <v>17</v>
      </c>
      <c r="H2742" s="1" t="s">
        <v>28</v>
      </c>
      <c r="I2742" s="1" t="s">
        <v>40</v>
      </c>
      <c r="J2742" s="1">
        <f>IFERROR(__xludf.DUMMYFUNCTION("""COMPUTED_VALUE"""),168.0)</f>
        <v>168</v>
      </c>
      <c r="K2742" s="1">
        <v>46.0</v>
      </c>
      <c r="L2742" s="1">
        <f>IFERROR(__xludf.DUMMYFUNCTION("""COMPUTED_VALUE"""),165.0)</f>
        <v>165</v>
      </c>
    </row>
    <row r="2743">
      <c r="A2743" s="1">
        <v>6571056.0</v>
      </c>
      <c r="B2743" s="1" t="s">
        <v>5870</v>
      </c>
      <c r="C2743" s="1" t="s">
        <v>5839</v>
      </c>
      <c r="D2743" s="1" t="s">
        <v>5840</v>
      </c>
      <c r="E2743" s="1" t="s">
        <v>5871</v>
      </c>
      <c r="F2743" s="1" t="s">
        <v>16</v>
      </c>
      <c r="G2743" s="1" t="s">
        <v>23</v>
      </c>
      <c r="H2743" s="1" t="s">
        <v>18</v>
      </c>
      <c r="I2743" s="1" t="s">
        <v>19</v>
      </c>
      <c r="J2743" s="1">
        <f>IFERROR(__xludf.DUMMYFUNCTION("""COMPUTED_VALUE"""),47.0)</f>
        <v>47</v>
      </c>
      <c r="K2743" s="1">
        <v>25.0</v>
      </c>
      <c r="L2743" s="1">
        <f>IFERROR(__xludf.DUMMYFUNCTION("""COMPUTED_VALUE"""),182.0)</f>
        <v>182</v>
      </c>
    </row>
    <row r="2744">
      <c r="A2744" s="1">
        <v>6504039.0</v>
      </c>
      <c r="B2744" s="1" t="s">
        <v>5872</v>
      </c>
      <c r="C2744" s="1" t="s">
        <v>5839</v>
      </c>
      <c r="D2744" s="1" t="s">
        <v>5850</v>
      </c>
      <c r="E2744" s="1" t="s">
        <v>5873</v>
      </c>
      <c r="F2744" s="1" t="s">
        <v>16</v>
      </c>
      <c r="G2744" s="1" t="s">
        <v>98</v>
      </c>
      <c r="H2744" s="1" t="s">
        <v>18</v>
      </c>
      <c r="I2744" s="1" t="s">
        <v>40</v>
      </c>
      <c r="J2744" s="1">
        <f>IFERROR(__xludf.DUMMYFUNCTION("""COMPUTED_VALUE"""),17.0)</f>
        <v>17</v>
      </c>
      <c r="K2744" s="1">
        <v>5.0</v>
      </c>
      <c r="L2744" s="1">
        <f>IFERROR(__xludf.DUMMYFUNCTION("""COMPUTED_VALUE"""),182.0)</f>
        <v>182</v>
      </c>
    </row>
    <row r="2745">
      <c r="A2745" s="1">
        <v>6408025.0</v>
      </c>
      <c r="B2745" s="1" t="s">
        <v>5874</v>
      </c>
      <c r="C2745" s="1" t="s">
        <v>5839</v>
      </c>
      <c r="D2745" s="1" t="s">
        <v>5850</v>
      </c>
      <c r="E2745" s="1" t="s">
        <v>5875</v>
      </c>
      <c r="F2745" s="1" t="s">
        <v>16</v>
      </c>
      <c r="G2745" s="1" t="s">
        <v>17</v>
      </c>
      <c r="H2745" s="1" t="s">
        <v>28</v>
      </c>
      <c r="I2745" s="1" t="s">
        <v>40</v>
      </c>
      <c r="J2745" s="1">
        <f>IFERROR(__xludf.DUMMYFUNCTION("""COMPUTED_VALUE"""),245.0)</f>
        <v>245</v>
      </c>
      <c r="K2745" s="1">
        <v>71.0</v>
      </c>
      <c r="L2745" s="1">
        <f>IFERROR(__xludf.DUMMYFUNCTION("""COMPUTED_VALUE"""),284.0)</f>
        <v>284</v>
      </c>
    </row>
    <row r="2746">
      <c r="A2746" s="1">
        <v>6503002.0</v>
      </c>
      <c r="B2746" s="1" t="s">
        <v>5876</v>
      </c>
      <c r="C2746" s="1" t="s">
        <v>5839</v>
      </c>
      <c r="D2746" s="1" t="s">
        <v>5855</v>
      </c>
      <c r="E2746" s="1" t="s">
        <v>5877</v>
      </c>
      <c r="F2746" s="1" t="s">
        <v>16</v>
      </c>
      <c r="G2746" s="1" t="s">
        <v>23</v>
      </c>
      <c r="H2746" s="1" t="s">
        <v>28</v>
      </c>
      <c r="I2746" s="1" t="s">
        <v>40</v>
      </c>
      <c r="J2746" s="1">
        <f>IFERROR(__xludf.DUMMYFUNCTION("""COMPUTED_VALUE"""),56.0)</f>
        <v>56</v>
      </c>
      <c r="K2746" s="1">
        <v>16.0</v>
      </c>
      <c r="L2746" s="1">
        <f>IFERROR(__xludf.DUMMYFUNCTION("""COMPUTED_VALUE"""),55.0)</f>
        <v>55</v>
      </c>
    </row>
    <row r="2747">
      <c r="A2747" s="1">
        <v>7102120.0</v>
      </c>
      <c r="B2747" s="1" t="s">
        <v>5878</v>
      </c>
      <c r="C2747" s="1" t="s">
        <v>5879</v>
      </c>
      <c r="D2747" s="1" t="s">
        <v>5880</v>
      </c>
      <c r="E2747" s="1" t="s">
        <v>5881</v>
      </c>
      <c r="F2747" s="1" t="s">
        <v>16</v>
      </c>
      <c r="G2747" s="1" t="s">
        <v>17</v>
      </c>
      <c r="H2747" s="1" t="s">
        <v>18</v>
      </c>
      <c r="I2747" s="1" t="s">
        <v>139</v>
      </c>
      <c r="J2747" s="1">
        <f>IFERROR(__xludf.DUMMYFUNCTION("""COMPUTED_VALUE"""),130.0)</f>
        <v>130</v>
      </c>
      <c r="K2747" s="1">
        <v>72.0</v>
      </c>
      <c r="L2747" s="1">
        <f>IFERROR(__xludf.DUMMYFUNCTION("""COMPUTED_VALUE"""),352.0)</f>
        <v>352</v>
      </c>
    </row>
    <row r="2748">
      <c r="A2748" s="1">
        <v>7109028.0</v>
      </c>
      <c r="B2748" s="1" t="s">
        <v>5882</v>
      </c>
      <c r="C2748" s="1" t="s">
        <v>5879</v>
      </c>
      <c r="D2748" s="1" t="s">
        <v>5883</v>
      </c>
      <c r="E2748" s="1" t="s">
        <v>5884</v>
      </c>
      <c r="F2748" s="1" t="s">
        <v>16</v>
      </c>
      <c r="G2748" s="1" t="s">
        <v>17</v>
      </c>
      <c r="H2748" s="1" t="s">
        <v>18</v>
      </c>
      <c r="I2748" s="1" t="s">
        <v>411</v>
      </c>
      <c r="J2748" s="1">
        <f>IFERROR(__xludf.DUMMYFUNCTION("""COMPUTED_VALUE"""),100.0)</f>
        <v>100</v>
      </c>
      <c r="K2748" s="1">
        <v>22.0</v>
      </c>
      <c r="L2748" s="1">
        <f>IFERROR(__xludf.DUMMYFUNCTION("""COMPUTED_VALUE"""),109.0)</f>
        <v>109</v>
      </c>
    </row>
    <row r="2749">
      <c r="A2749" s="1">
        <v>7101037.0</v>
      </c>
      <c r="B2749" s="1" t="s">
        <v>5885</v>
      </c>
      <c r="C2749" s="1" t="s">
        <v>5879</v>
      </c>
      <c r="D2749" s="1" t="s">
        <v>5886</v>
      </c>
      <c r="E2749" s="1" t="s">
        <v>5887</v>
      </c>
      <c r="F2749" s="1" t="s">
        <v>16</v>
      </c>
      <c r="G2749" s="1" t="s">
        <v>17</v>
      </c>
      <c r="H2749" s="1" t="s">
        <v>18</v>
      </c>
      <c r="I2749" s="1" t="s">
        <v>44</v>
      </c>
      <c r="J2749" s="1">
        <f>IFERROR(__xludf.DUMMYFUNCTION("""COMPUTED_VALUE"""),88.0)</f>
        <v>88</v>
      </c>
      <c r="K2749" s="1">
        <v>26.0</v>
      </c>
      <c r="L2749" s="1">
        <f>IFERROR(__xludf.DUMMYFUNCTION("""COMPUTED_VALUE"""),116.0)</f>
        <v>116</v>
      </c>
    </row>
    <row r="2750">
      <c r="A2750" s="1">
        <v>7102040.0</v>
      </c>
      <c r="B2750" s="1" t="s">
        <v>5888</v>
      </c>
      <c r="C2750" s="1" t="s">
        <v>5879</v>
      </c>
      <c r="D2750" s="1" t="s">
        <v>5880</v>
      </c>
      <c r="E2750" s="1" t="s">
        <v>5889</v>
      </c>
      <c r="F2750" s="1" t="s">
        <v>16</v>
      </c>
      <c r="G2750" s="1" t="s">
        <v>23</v>
      </c>
      <c r="H2750" s="1" t="s">
        <v>18</v>
      </c>
      <c r="I2750" s="1" t="s">
        <v>258</v>
      </c>
      <c r="J2750" s="1">
        <f>IFERROR(__xludf.DUMMYFUNCTION("""COMPUTED_VALUE"""),131.0)</f>
        <v>131</v>
      </c>
      <c r="K2750" s="1">
        <v>90.0</v>
      </c>
      <c r="L2750" s="1">
        <f>IFERROR(__xludf.DUMMYFUNCTION("""COMPUTED_VALUE"""),58.0)</f>
        <v>58</v>
      </c>
    </row>
    <row r="2751">
      <c r="A2751" s="1">
        <v>7171108.0</v>
      </c>
      <c r="B2751" s="1" t="s">
        <v>5890</v>
      </c>
      <c r="C2751" s="1" t="s">
        <v>5879</v>
      </c>
      <c r="D2751" s="1" t="s">
        <v>5891</v>
      </c>
      <c r="E2751" s="1" t="s">
        <v>5892</v>
      </c>
      <c r="F2751" s="1" t="s">
        <v>32</v>
      </c>
      <c r="G2751" s="1" t="s">
        <v>17</v>
      </c>
      <c r="H2751" s="1" t="s">
        <v>18</v>
      </c>
      <c r="I2751" s="1" t="s">
        <v>29</v>
      </c>
      <c r="J2751" s="1">
        <f>IFERROR(__xludf.DUMMYFUNCTION("""COMPUTED_VALUE"""),11.0)</f>
        <v>11</v>
      </c>
      <c r="K2751" s="1">
        <v>11.0</v>
      </c>
      <c r="L2751" s="1">
        <f>IFERROR(__xludf.DUMMYFUNCTION("""COMPUTED_VALUE"""),46.0)</f>
        <v>46</v>
      </c>
    </row>
    <row r="2752">
      <c r="A2752" s="1">
        <v>7106020.0</v>
      </c>
      <c r="B2752" s="1" t="s">
        <v>5893</v>
      </c>
      <c r="C2752" s="1" t="s">
        <v>5879</v>
      </c>
      <c r="D2752" s="1" t="s">
        <v>5894</v>
      </c>
      <c r="E2752" s="1" t="s">
        <v>5895</v>
      </c>
      <c r="F2752" s="1" t="s">
        <v>16</v>
      </c>
      <c r="G2752" s="1" t="s">
        <v>27</v>
      </c>
      <c r="H2752" s="1" t="s">
        <v>33</v>
      </c>
      <c r="I2752" s="1" t="s">
        <v>19</v>
      </c>
      <c r="J2752" s="1">
        <f>IFERROR(__xludf.DUMMYFUNCTION("""COMPUTED_VALUE"""),202.0)</f>
        <v>202</v>
      </c>
      <c r="K2752" s="1">
        <v>82.0</v>
      </c>
      <c r="L2752" s="1">
        <f>IFERROR(__xludf.DUMMYFUNCTION("""COMPUTED_VALUE"""),152.0)</f>
        <v>152</v>
      </c>
    </row>
    <row r="2753">
      <c r="A2753" s="1">
        <v>7171072.0</v>
      </c>
      <c r="B2753" s="1" t="s">
        <v>2380</v>
      </c>
      <c r="C2753" s="1" t="s">
        <v>5879</v>
      </c>
      <c r="D2753" s="1" t="s">
        <v>5891</v>
      </c>
      <c r="E2753" s="1" t="s">
        <v>5896</v>
      </c>
      <c r="F2753" s="1" t="s">
        <v>16</v>
      </c>
      <c r="G2753" s="1" t="s">
        <v>23</v>
      </c>
      <c r="H2753" s="1" t="s">
        <v>18</v>
      </c>
      <c r="I2753" s="1" t="s">
        <v>59</v>
      </c>
      <c r="J2753" s="1">
        <f>IFERROR(__xludf.DUMMYFUNCTION("""COMPUTED_VALUE"""),65.0)</f>
        <v>65</v>
      </c>
      <c r="K2753" s="1">
        <v>22.0</v>
      </c>
      <c r="L2753" s="1">
        <f>IFERROR(__xludf.DUMMYFUNCTION("""COMPUTED_VALUE"""),122.0)</f>
        <v>122</v>
      </c>
    </row>
    <row r="2754">
      <c r="A2754" s="1">
        <v>7103039.0</v>
      </c>
      <c r="B2754" s="1" t="s">
        <v>5897</v>
      </c>
      <c r="C2754" s="1" t="s">
        <v>5879</v>
      </c>
      <c r="D2754" s="1" t="s">
        <v>5898</v>
      </c>
      <c r="E2754" s="1" t="s">
        <v>5899</v>
      </c>
      <c r="F2754" s="1" t="s">
        <v>16</v>
      </c>
      <c r="G2754" s="1" t="s">
        <v>23</v>
      </c>
      <c r="H2754" s="1" t="s">
        <v>18</v>
      </c>
      <c r="I2754" s="1" t="s">
        <v>40</v>
      </c>
      <c r="J2754" s="1">
        <f>IFERROR(__xludf.DUMMYFUNCTION("""COMPUTED_VALUE"""),64.0)</f>
        <v>64</v>
      </c>
      <c r="K2754" s="1">
        <v>19.0</v>
      </c>
      <c r="L2754" s="1">
        <f>IFERROR(__xludf.DUMMYFUNCTION("""COMPUTED_VALUE"""),46.0)</f>
        <v>46</v>
      </c>
    </row>
    <row r="2755">
      <c r="A2755" s="1">
        <v>7171097.0</v>
      </c>
      <c r="B2755" s="1" t="s">
        <v>5900</v>
      </c>
      <c r="C2755" s="1" t="s">
        <v>5879</v>
      </c>
      <c r="D2755" s="1" t="s">
        <v>5891</v>
      </c>
      <c r="E2755" s="1" t="s">
        <v>5901</v>
      </c>
      <c r="F2755" s="1" t="s">
        <v>16</v>
      </c>
      <c r="G2755" s="1" t="s">
        <v>23</v>
      </c>
      <c r="H2755" s="1" t="s">
        <v>18</v>
      </c>
      <c r="I2755" s="1" t="s">
        <v>563</v>
      </c>
      <c r="J2755" s="1">
        <f>IFERROR(__xludf.DUMMYFUNCTION("""COMPUTED_VALUE"""),53.0)</f>
        <v>53</v>
      </c>
      <c r="K2755" s="1">
        <v>16.0</v>
      </c>
      <c r="L2755" s="1">
        <f>IFERROR(__xludf.DUMMYFUNCTION("""COMPUTED_VALUE"""),62.0)</f>
        <v>62</v>
      </c>
    </row>
    <row r="2756">
      <c r="A2756" s="1">
        <v>7103026.0</v>
      </c>
      <c r="B2756" s="1" t="s">
        <v>5902</v>
      </c>
      <c r="C2756" s="1" t="s">
        <v>5879</v>
      </c>
      <c r="D2756" s="1" t="s">
        <v>5903</v>
      </c>
      <c r="E2756" s="1" t="s">
        <v>5904</v>
      </c>
      <c r="F2756" s="1" t="s">
        <v>16</v>
      </c>
      <c r="G2756" s="1" t="s">
        <v>17</v>
      </c>
      <c r="H2756" s="1" t="s">
        <v>18</v>
      </c>
      <c r="I2756" s="1" t="s">
        <v>40</v>
      </c>
      <c r="J2756" s="1">
        <f>IFERROR(__xludf.DUMMYFUNCTION("""COMPUTED_VALUE"""),93.0)</f>
        <v>93</v>
      </c>
      <c r="K2756" s="1">
        <v>30.0</v>
      </c>
      <c r="L2756" s="1">
        <f>IFERROR(__xludf.DUMMYFUNCTION("""COMPUTED_VALUE"""),161.0)</f>
        <v>161</v>
      </c>
    </row>
    <row r="2757">
      <c r="A2757" s="1">
        <v>7107003.0</v>
      </c>
      <c r="B2757" s="1" t="s">
        <v>5905</v>
      </c>
      <c r="C2757" s="1" t="s">
        <v>5879</v>
      </c>
      <c r="D2757" s="1" t="s">
        <v>5906</v>
      </c>
      <c r="E2757" s="1" t="s">
        <v>5907</v>
      </c>
      <c r="F2757" s="1" t="s">
        <v>16</v>
      </c>
      <c r="G2757" s="1" t="s">
        <v>23</v>
      </c>
      <c r="H2757" s="1" t="s">
        <v>18</v>
      </c>
      <c r="I2757" s="1" t="s">
        <v>40</v>
      </c>
      <c r="J2757" s="1">
        <f>IFERROR(__xludf.DUMMYFUNCTION("""COMPUTED_VALUE"""),108.0)</f>
        <v>108</v>
      </c>
      <c r="K2757" s="1">
        <v>29.0</v>
      </c>
      <c r="L2757" s="1">
        <f>IFERROR(__xludf.DUMMYFUNCTION("""COMPUTED_VALUE"""),132.0)</f>
        <v>132</v>
      </c>
    </row>
    <row r="2758">
      <c r="A2758" s="1">
        <v>7173002.0</v>
      </c>
      <c r="B2758" s="1" t="s">
        <v>5908</v>
      </c>
      <c r="C2758" s="1" t="s">
        <v>5879</v>
      </c>
      <c r="D2758" s="1" t="s">
        <v>5909</v>
      </c>
      <c r="E2758" s="1" t="s">
        <v>5910</v>
      </c>
      <c r="F2758" s="1" t="s">
        <v>16</v>
      </c>
      <c r="G2758" s="1" t="s">
        <v>17</v>
      </c>
      <c r="H2758" s="1" t="s">
        <v>28</v>
      </c>
      <c r="I2758" s="1" t="s">
        <v>29</v>
      </c>
      <c r="J2758" s="1">
        <f>IFERROR(__xludf.DUMMYFUNCTION("""COMPUTED_VALUE"""),106.0)</f>
        <v>106</v>
      </c>
      <c r="K2758" s="1">
        <v>22.0</v>
      </c>
      <c r="L2758" s="1">
        <f>IFERROR(__xludf.DUMMYFUNCTION("""COMPUTED_VALUE"""),394.0)</f>
        <v>394</v>
      </c>
    </row>
    <row r="2759">
      <c r="A2759" s="1">
        <v>7102062.0</v>
      </c>
      <c r="B2759" s="1" t="s">
        <v>5911</v>
      </c>
      <c r="C2759" s="1" t="s">
        <v>5879</v>
      </c>
      <c r="D2759" s="1" t="s">
        <v>5894</v>
      </c>
      <c r="E2759" s="1" t="s">
        <v>5912</v>
      </c>
      <c r="F2759" s="1" t="s">
        <v>16</v>
      </c>
      <c r="G2759" s="1" t="s">
        <v>17</v>
      </c>
      <c r="H2759" s="1" t="s">
        <v>18</v>
      </c>
      <c r="I2759" s="1" t="s">
        <v>249</v>
      </c>
      <c r="J2759" s="1">
        <f>IFERROR(__xludf.DUMMYFUNCTION("""COMPUTED_VALUE"""),116.0)</f>
        <v>116</v>
      </c>
      <c r="K2759" s="1">
        <v>20.0</v>
      </c>
      <c r="L2759" s="1">
        <f>IFERROR(__xludf.DUMMYFUNCTION("""COMPUTED_VALUE"""),148.0)</f>
        <v>148</v>
      </c>
    </row>
    <row r="2760">
      <c r="A2760" s="1">
        <v>7171095.0</v>
      </c>
      <c r="B2760" s="1" t="s">
        <v>5913</v>
      </c>
      <c r="C2760" s="1" t="s">
        <v>5879</v>
      </c>
      <c r="D2760" s="1" t="s">
        <v>5891</v>
      </c>
      <c r="E2760" s="1" t="s">
        <v>5914</v>
      </c>
      <c r="F2760" s="1" t="s">
        <v>55</v>
      </c>
      <c r="G2760" s="1" t="s">
        <v>17</v>
      </c>
      <c r="H2760" s="1" t="s">
        <v>18</v>
      </c>
      <c r="I2760" s="1" t="s">
        <v>163</v>
      </c>
      <c r="J2760" s="1">
        <f>IFERROR(__xludf.DUMMYFUNCTION("""COMPUTED_VALUE"""),47.0)</f>
        <v>47</v>
      </c>
      <c r="K2760" s="1">
        <v>26.0</v>
      </c>
      <c r="L2760" s="1">
        <f>IFERROR(__xludf.DUMMYFUNCTION("""COMPUTED_VALUE"""),46.0)</f>
        <v>46</v>
      </c>
    </row>
    <row r="2761">
      <c r="A2761" s="1">
        <v>7172014.0</v>
      </c>
      <c r="B2761" s="1" t="s">
        <v>5915</v>
      </c>
      <c r="C2761" s="1" t="s">
        <v>5879</v>
      </c>
      <c r="D2761" s="1" t="s">
        <v>5916</v>
      </c>
      <c r="E2761" s="1" t="s">
        <v>5917</v>
      </c>
      <c r="F2761" s="1" t="s">
        <v>16</v>
      </c>
      <c r="G2761" s="1" t="s">
        <v>17</v>
      </c>
      <c r="H2761" s="1" t="s">
        <v>18</v>
      </c>
      <c r="I2761" s="1" t="s">
        <v>249</v>
      </c>
      <c r="J2761" s="1">
        <f>IFERROR(__xludf.DUMMYFUNCTION("""COMPUTED_VALUE"""),116.0)</f>
        <v>116</v>
      </c>
      <c r="K2761" s="1">
        <v>26.0</v>
      </c>
      <c r="L2761" s="1">
        <f>IFERROR(__xludf.DUMMYFUNCTION("""COMPUTED_VALUE"""),187.0)</f>
        <v>187</v>
      </c>
    </row>
    <row r="2762">
      <c r="A2762" s="1">
        <v>7110002.0</v>
      </c>
      <c r="B2762" s="1" t="s">
        <v>5918</v>
      </c>
      <c r="C2762" s="1" t="s">
        <v>5879</v>
      </c>
      <c r="D2762" s="1" t="s">
        <v>5919</v>
      </c>
      <c r="E2762" s="1" t="s">
        <v>5920</v>
      </c>
      <c r="F2762" s="1" t="s">
        <v>16</v>
      </c>
      <c r="G2762" s="1" t="s">
        <v>23</v>
      </c>
      <c r="H2762" s="1" t="s">
        <v>18</v>
      </c>
      <c r="I2762" s="1" t="s">
        <v>40</v>
      </c>
      <c r="J2762" s="1">
        <f>IFERROR(__xludf.DUMMYFUNCTION("""COMPUTED_VALUE"""),101.0)</f>
        <v>101</v>
      </c>
      <c r="K2762" s="1">
        <v>15.0</v>
      </c>
      <c r="L2762" s="1">
        <f>IFERROR(__xludf.DUMMYFUNCTION("""COMPUTED_VALUE"""),167.0)</f>
        <v>167</v>
      </c>
    </row>
    <row r="2763">
      <c r="A2763" s="1">
        <v>7171013.0</v>
      </c>
      <c r="B2763" s="1" t="s">
        <v>5921</v>
      </c>
      <c r="C2763" s="1" t="s">
        <v>5879</v>
      </c>
      <c r="D2763" s="1" t="s">
        <v>5891</v>
      </c>
      <c r="E2763" s="1" t="s">
        <v>5922</v>
      </c>
      <c r="F2763" s="1" t="s">
        <v>16</v>
      </c>
      <c r="G2763" s="1" t="s">
        <v>150</v>
      </c>
      <c r="H2763" s="1" t="s">
        <v>33</v>
      </c>
      <c r="I2763" s="1" t="s">
        <v>411</v>
      </c>
      <c r="J2763" s="1">
        <f>IFERROR(__xludf.DUMMYFUNCTION("""COMPUTED_VALUE"""),729.0)</f>
        <v>729</v>
      </c>
      <c r="K2763" s="1">
        <v>95.0</v>
      </c>
      <c r="L2763" s="1">
        <f>IFERROR(__xludf.DUMMYFUNCTION("""COMPUTED_VALUE"""),2278.0)</f>
        <v>2278</v>
      </c>
    </row>
    <row r="2764">
      <c r="A2764" s="1">
        <v>7171105.0</v>
      </c>
      <c r="B2764" s="1" t="s">
        <v>5923</v>
      </c>
      <c r="C2764" s="1" t="s">
        <v>5879</v>
      </c>
      <c r="D2764" s="1" t="s">
        <v>5891</v>
      </c>
      <c r="E2764" s="1" t="s">
        <v>5924</v>
      </c>
      <c r="F2764" s="1" t="s">
        <v>16</v>
      </c>
      <c r="G2764" s="1" t="s">
        <v>17</v>
      </c>
      <c r="H2764" s="1" t="s">
        <v>18</v>
      </c>
      <c r="I2764" s="1" t="s">
        <v>44</v>
      </c>
      <c r="J2764" s="1">
        <f>IFERROR(__xludf.DUMMYFUNCTION("""COMPUTED_VALUE"""),109.0)</f>
        <v>109</v>
      </c>
      <c r="K2764" s="1">
        <v>34.0</v>
      </c>
      <c r="L2764" s="1">
        <f>IFERROR(__xludf.DUMMYFUNCTION("""COMPUTED_VALUE"""),77.0)</f>
        <v>77</v>
      </c>
    </row>
    <row r="2765">
      <c r="A2765" s="1">
        <v>7109002.0</v>
      </c>
      <c r="B2765" s="1" t="s">
        <v>5925</v>
      </c>
      <c r="C2765" s="1" t="s">
        <v>5879</v>
      </c>
      <c r="D2765" s="1" t="s">
        <v>5883</v>
      </c>
      <c r="E2765" s="1" t="s">
        <v>5926</v>
      </c>
      <c r="F2765" s="1" t="s">
        <v>16</v>
      </c>
      <c r="G2765" s="1" t="s">
        <v>23</v>
      </c>
      <c r="H2765" s="1" t="s">
        <v>18</v>
      </c>
      <c r="I2765" s="1" t="s">
        <v>40</v>
      </c>
      <c r="J2765" s="1">
        <f>IFERROR(__xludf.DUMMYFUNCTION("""COMPUTED_VALUE"""),50.0)</f>
        <v>50</v>
      </c>
      <c r="K2765" s="1">
        <v>20.0</v>
      </c>
      <c r="L2765" s="1">
        <f>IFERROR(__xludf.DUMMYFUNCTION("""COMPUTED_VALUE"""),99.0)</f>
        <v>99</v>
      </c>
    </row>
    <row r="2766">
      <c r="A2766" s="1">
        <v>7171124.0</v>
      </c>
      <c r="B2766" s="1" t="s">
        <v>5927</v>
      </c>
      <c r="C2766" s="1" t="s">
        <v>5879</v>
      </c>
      <c r="D2766" s="1" t="s">
        <v>5891</v>
      </c>
      <c r="E2766" s="1" t="s">
        <v>5928</v>
      </c>
      <c r="F2766" s="1" t="s">
        <v>16</v>
      </c>
      <c r="G2766" s="1" t="s">
        <v>17</v>
      </c>
      <c r="H2766" s="1" t="s">
        <v>18</v>
      </c>
      <c r="I2766" s="1" t="s">
        <v>19</v>
      </c>
      <c r="J2766" s="1">
        <f>IFERROR(__xludf.DUMMYFUNCTION("""COMPUTED_VALUE"""),102.0)</f>
        <v>102</v>
      </c>
      <c r="K2766" s="1">
        <v>1.0</v>
      </c>
      <c r="L2766" s="1">
        <f>IFERROR(__xludf.DUMMYFUNCTION("""COMPUTED_VALUE"""),182.0)</f>
        <v>182</v>
      </c>
    </row>
    <row r="2767">
      <c r="A2767" s="1">
        <v>7105084.0</v>
      </c>
      <c r="B2767" s="1" t="s">
        <v>5929</v>
      </c>
      <c r="C2767" s="1" t="s">
        <v>5879</v>
      </c>
      <c r="D2767" s="1" t="s">
        <v>5930</v>
      </c>
      <c r="E2767" s="1" t="s">
        <v>5931</v>
      </c>
      <c r="F2767" s="1" t="s">
        <v>16</v>
      </c>
      <c r="G2767" s="1" t="s">
        <v>23</v>
      </c>
      <c r="H2767" s="1" t="s">
        <v>18</v>
      </c>
      <c r="I2767" s="1" t="s">
        <v>249</v>
      </c>
      <c r="J2767" s="1">
        <f>IFERROR(__xludf.DUMMYFUNCTION("""COMPUTED_VALUE"""),68.0)</f>
        <v>68</v>
      </c>
      <c r="K2767" s="1">
        <v>10.0</v>
      </c>
      <c r="L2767" s="1">
        <f>IFERROR(__xludf.DUMMYFUNCTION("""COMPUTED_VALUE"""),44.0)</f>
        <v>44</v>
      </c>
    </row>
    <row r="2768">
      <c r="A2768" s="1">
        <v>7171122.0</v>
      </c>
      <c r="B2768" s="1" t="s">
        <v>5932</v>
      </c>
      <c r="C2768" s="1" t="s">
        <v>5879</v>
      </c>
      <c r="D2768" s="1" t="s">
        <v>5891</v>
      </c>
      <c r="E2768" s="1" t="s">
        <v>5933</v>
      </c>
      <c r="F2768" s="1" t="s">
        <v>1802</v>
      </c>
      <c r="G2768" s="1" t="s">
        <v>27</v>
      </c>
      <c r="H2768" s="1" t="s">
        <v>18</v>
      </c>
      <c r="I2768" s="1" t="s">
        <v>139</v>
      </c>
      <c r="J2768" s="1">
        <f>IFERROR(__xludf.DUMMYFUNCTION("""COMPUTED_VALUE"""),79.0)</f>
        <v>79</v>
      </c>
      <c r="K2768" s="1">
        <v>28.0</v>
      </c>
      <c r="L2768" s="1">
        <f>IFERROR(__xludf.DUMMYFUNCTION("""COMPUTED_VALUE"""),182.0)</f>
        <v>182</v>
      </c>
    </row>
    <row r="2769">
      <c r="A2769" s="1">
        <v>7171104.0</v>
      </c>
      <c r="B2769" s="1" t="s">
        <v>5934</v>
      </c>
      <c r="C2769" s="1" t="s">
        <v>5879</v>
      </c>
      <c r="D2769" s="1" t="s">
        <v>5891</v>
      </c>
      <c r="E2769" s="1" t="s">
        <v>5935</v>
      </c>
      <c r="F2769" s="1" t="s">
        <v>272</v>
      </c>
      <c r="G2769" s="1" t="s">
        <v>17</v>
      </c>
      <c r="H2769" s="1" t="s">
        <v>18</v>
      </c>
      <c r="I2769" s="1" t="s">
        <v>139</v>
      </c>
      <c r="J2769" s="1">
        <f>IFERROR(__xludf.DUMMYFUNCTION("""COMPUTED_VALUE"""),22.0)</f>
        <v>22</v>
      </c>
      <c r="K2769" s="1">
        <v>20.0</v>
      </c>
      <c r="L2769" s="1">
        <f>IFERROR(__xludf.DUMMYFUNCTION("""COMPUTED_VALUE"""),140.0)</f>
        <v>140</v>
      </c>
    </row>
    <row r="2770">
      <c r="A2770" s="1">
        <v>7171120.0</v>
      </c>
      <c r="B2770" s="1" t="s">
        <v>5936</v>
      </c>
      <c r="C2770" s="1" t="s">
        <v>5879</v>
      </c>
      <c r="D2770" s="1" t="s">
        <v>5891</v>
      </c>
      <c r="E2770" s="1" t="s">
        <v>5937</v>
      </c>
      <c r="F2770" s="1" t="s">
        <v>32</v>
      </c>
      <c r="G2770" s="1" t="s">
        <v>17</v>
      </c>
      <c r="H2770" s="1" t="s">
        <v>18</v>
      </c>
      <c r="I2770" s="1" t="s">
        <v>34</v>
      </c>
      <c r="J2770" s="1">
        <f>IFERROR(__xludf.DUMMYFUNCTION("""COMPUTED_VALUE"""),10.0)</f>
        <v>10</v>
      </c>
      <c r="K2770" s="1">
        <v>18.0</v>
      </c>
      <c r="L2770" s="1">
        <f>IFERROR(__xludf.DUMMYFUNCTION("""COMPUTED_VALUE"""),182.0)</f>
        <v>182</v>
      </c>
    </row>
    <row r="2771">
      <c r="A2771" s="1">
        <v>7172036.0</v>
      </c>
      <c r="B2771" s="1" t="s">
        <v>5938</v>
      </c>
      <c r="C2771" s="1" t="s">
        <v>5879</v>
      </c>
      <c r="D2771" s="1" t="s">
        <v>5916</v>
      </c>
      <c r="E2771" s="1" t="s">
        <v>5939</v>
      </c>
      <c r="F2771" s="1" t="s">
        <v>16</v>
      </c>
      <c r="G2771" s="1" t="s">
        <v>17</v>
      </c>
      <c r="H2771" s="1" t="s">
        <v>18</v>
      </c>
      <c r="I2771" s="1" t="s">
        <v>139</v>
      </c>
      <c r="J2771" s="1">
        <f>IFERROR(__xludf.DUMMYFUNCTION("""COMPUTED_VALUE"""),201.0)</f>
        <v>201</v>
      </c>
      <c r="K2771" s="1">
        <v>50.0</v>
      </c>
      <c r="L2771" s="1">
        <f>IFERROR(__xludf.DUMMYFUNCTION("""COMPUTED_VALUE"""),756.0)</f>
        <v>756</v>
      </c>
    </row>
    <row r="2772">
      <c r="A2772" s="1">
        <v>7102121.0</v>
      </c>
      <c r="B2772" s="1" t="s">
        <v>5940</v>
      </c>
      <c r="C2772" s="1" t="s">
        <v>5879</v>
      </c>
      <c r="D2772" s="1" t="s">
        <v>5880</v>
      </c>
      <c r="E2772" s="1" t="s">
        <v>5941</v>
      </c>
      <c r="F2772" s="1" t="s">
        <v>16</v>
      </c>
      <c r="G2772" s="1" t="s">
        <v>27</v>
      </c>
      <c r="H2772" s="1" t="s">
        <v>18</v>
      </c>
      <c r="I2772" s="1" t="s">
        <v>44</v>
      </c>
      <c r="J2772" s="1">
        <f>IFERROR(__xludf.DUMMYFUNCTION("""COMPUTED_VALUE"""),200.0)</f>
        <v>200</v>
      </c>
      <c r="K2772" s="1">
        <v>91.0</v>
      </c>
      <c r="L2772" s="1">
        <f>IFERROR(__xludf.DUMMYFUNCTION("""COMPUTED_VALUE"""),87.0)</f>
        <v>87</v>
      </c>
    </row>
    <row r="2773">
      <c r="A2773" s="1">
        <v>7105030.0</v>
      </c>
      <c r="B2773" s="1" t="s">
        <v>5942</v>
      </c>
      <c r="C2773" s="1" t="s">
        <v>5879</v>
      </c>
      <c r="D2773" s="1" t="s">
        <v>5930</v>
      </c>
      <c r="E2773" s="1" t="s">
        <v>5943</v>
      </c>
      <c r="F2773" s="1" t="s">
        <v>16</v>
      </c>
      <c r="G2773" s="1" t="s">
        <v>17</v>
      </c>
      <c r="H2773" s="1" t="s">
        <v>18</v>
      </c>
      <c r="I2773" s="1" t="s">
        <v>40</v>
      </c>
      <c r="J2773" s="1">
        <f>IFERROR(__xludf.DUMMYFUNCTION("""COMPUTED_VALUE"""),92.0)</f>
        <v>92</v>
      </c>
      <c r="K2773" s="1">
        <v>18.0</v>
      </c>
      <c r="L2773" s="1">
        <f>IFERROR(__xludf.DUMMYFUNCTION("""COMPUTED_VALUE"""),21.0)</f>
        <v>21</v>
      </c>
    </row>
    <row r="2774">
      <c r="A2774" s="1">
        <v>7171035.0</v>
      </c>
      <c r="B2774" s="1" t="s">
        <v>5944</v>
      </c>
      <c r="C2774" s="1" t="s">
        <v>5879</v>
      </c>
      <c r="D2774" s="1" t="s">
        <v>5880</v>
      </c>
      <c r="E2774" s="1" t="s">
        <v>5945</v>
      </c>
      <c r="F2774" s="1" t="s">
        <v>174</v>
      </c>
      <c r="G2774" s="1" t="s">
        <v>27</v>
      </c>
      <c r="H2774" s="1" t="s">
        <v>18</v>
      </c>
      <c r="I2774" s="1" t="s">
        <v>139</v>
      </c>
      <c r="J2774" s="1">
        <f>IFERROR(__xludf.DUMMYFUNCTION("""COMPUTED_VALUE"""),174.0)</f>
        <v>174</v>
      </c>
      <c r="K2774" s="1">
        <v>23.0</v>
      </c>
      <c r="L2774" s="1">
        <f>IFERROR(__xludf.DUMMYFUNCTION("""COMPUTED_VALUE"""),347.0)</f>
        <v>347</v>
      </c>
    </row>
    <row r="2775">
      <c r="A2775" s="1">
        <v>7171103.0</v>
      </c>
      <c r="B2775" s="1" t="s">
        <v>5946</v>
      </c>
      <c r="C2775" s="1" t="s">
        <v>5879</v>
      </c>
      <c r="D2775" s="1" t="s">
        <v>5891</v>
      </c>
      <c r="E2775" s="1" t="s">
        <v>5947</v>
      </c>
      <c r="F2775" s="1" t="s">
        <v>16</v>
      </c>
      <c r="G2775" s="1" t="s">
        <v>27</v>
      </c>
      <c r="H2775" s="1" t="s">
        <v>18</v>
      </c>
      <c r="I2775" s="1" t="s">
        <v>139</v>
      </c>
      <c r="J2775" s="1">
        <f>IFERROR(__xludf.DUMMYFUNCTION("""COMPUTED_VALUE"""),287.0)</f>
        <v>287</v>
      </c>
      <c r="K2775" s="1">
        <v>22.0</v>
      </c>
      <c r="L2775" s="1">
        <f>IFERROR(__xludf.DUMMYFUNCTION("""COMPUTED_VALUE"""),99.0)</f>
        <v>99</v>
      </c>
    </row>
    <row r="2776">
      <c r="A2776" s="1">
        <v>7174024.0</v>
      </c>
      <c r="B2776" s="1" t="s">
        <v>5948</v>
      </c>
      <c r="C2776" s="1" t="s">
        <v>5879</v>
      </c>
      <c r="D2776" s="1" t="s">
        <v>5886</v>
      </c>
      <c r="E2776" s="1" t="s">
        <v>5949</v>
      </c>
      <c r="F2776" s="1" t="s">
        <v>16</v>
      </c>
      <c r="G2776" s="1" t="s">
        <v>23</v>
      </c>
      <c r="H2776" s="1" t="s">
        <v>18</v>
      </c>
      <c r="I2776" s="1" t="s">
        <v>258</v>
      </c>
      <c r="J2776" s="1">
        <f>IFERROR(__xludf.DUMMYFUNCTION("""COMPUTED_VALUE"""),110.0)</f>
        <v>110</v>
      </c>
      <c r="K2776" s="1">
        <v>20.0</v>
      </c>
      <c r="L2776" s="1">
        <f>IFERROR(__xludf.DUMMYFUNCTION("""COMPUTED_VALUE"""),180.0)</f>
        <v>180</v>
      </c>
    </row>
    <row r="2777">
      <c r="A2777" s="1">
        <v>7105116.0</v>
      </c>
      <c r="B2777" s="1" t="s">
        <v>5950</v>
      </c>
      <c r="C2777" s="1" t="s">
        <v>5879</v>
      </c>
      <c r="D2777" s="1" t="s">
        <v>5930</v>
      </c>
      <c r="E2777" s="1" t="s">
        <v>5951</v>
      </c>
      <c r="F2777" s="1" t="s">
        <v>16</v>
      </c>
      <c r="G2777" s="1" t="s">
        <v>17</v>
      </c>
      <c r="H2777" s="1" t="s">
        <v>18</v>
      </c>
      <c r="I2777" s="1" t="s">
        <v>258</v>
      </c>
      <c r="J2777" s="1">
        <f>IFERROR(__xludf.DUMMYFUNCTION("""COMPUTED_VALUE"""),173.0)</f>
        <v>173</v>
      </c>
      <c r="K2777" s="1">
        <v>32.0</v>
      </c>
      <c r="L2777" s="1">
        <f>IFERROR(__xludf.DUMMYFUNCTION("""COMPUTED_VALUE"""),368.0)</f>
        <v>368</v>
      </c>
    </row>
    <row r="2778">
      <c r="A2778" s="1">
        <v>7173036.0</v>
      </c>
      <c r="B2778" s="1" t="s">
        <v>5952</v>
      </c>
      <c r="C2778" s="1" t="s">
        <v>5879</v>
      </c>
      <c r="D2778" s="1" t="s">
        <v>5909</v>
      </c>
      <c r="E2778" s="1" t="s">
        <v>5953</v>
      </c>
      <c r="F2778" s="1" t="s">
        <v>16</v>
      </c>
      <c r="G2778" s="1" t="s">
        <v>17</v>
      </c>
      <c r="H2778" s="1" t="s">
        <v>18</v>
      </c>
      <c r="I2778" s="1" t="s">
        <v>258</v>
      </c>
      <c r="J2778" s="1">
        <f>IFERROR(__xludf.DUMMYFUNCTION("""COMPUTED_VALUE"""),238.0)</f>
        <v>238</v>
      </c>
      <c r="K2778" s="1">
        <v>77.0</v>
      </c>
      <c r="L2778" s="1">
        <f>IFERROR(__xludf.DUMMYFUNCTION("""COMPUTED_VALUE"""),572.0)</f>
        <v>572</v>
      </c>
    </row>
    <row r="2779">
      <c r="A2779" s="1">
        <v>7171061.0</v>
      </c>
      <c r="B2779" s="1" t="s">
        <v>5954</v>
      </c>
      <c r="C2779" s="1" t="s">
        <v>5879</v>
      </c>
      <c r="D2779" s="1" t="s">
        <v>5891</v>
      </c>
      <c r="E2779" s="1" t="s">
        <v>5955</v>
      </c>
      <c r="F2779" s="1" t="s">
        <v>16</v>
      </c>
      <c r="G2779" s="1" t="s">
        <v>17</v>
      </c>
      <c r="H2779" s="1" t="s">
        <v>33</v>
      </c>
      <c r="I2779" s="1" t="s">
        <v>65</v>
      </c>
      <c r="J2779" s="1">
        <f>IFERROR(__xludf.DUMMYFUNCTION("""COMPUTED_VALUE"""),116.0)</f>
        <v>116</v>
      </c>
      <c r="K2779" s="1">
        <v>97.0</v>
      </c>
      <c r="L2779" s="1">
        <f>IFERROR(__xludf.DUMMYFUNCTION("""COMPUTED_VALUE"""),275.0)</f>
        <v>275</v>
      </c>
    </row>
    <row r="2780">
      <c r="A2780" s="1">
        <v>7171106.0</v>
      </c>
      <c r="B2780" s="1" t="s">
        <v>5956</v>
      </c>
      <c r="C2780" s="1" t="s">
        <v>5879</v>
      </c>
      <c r="D2780" s="1" t="s">
        <v>5891</v>
      </c>
      <c r="E2780" s="1" t="s">
        <v>5957</v>
      </c>
      <c r="F2780" s="1" t="s">
        <v>16</v>
      </c>
      <c r="G2780" s="1" t="s">
        <v>17</v>
      </c>
      <c r="H2780" s="1" t="s">
        <v>18</v>
      </c>
      <c r="I2780" s="1" t="s">
        <v>44</v>
      </c>
      <c r="J2780" s="1">
        <f>IFERROR(__xludf.DUMMYFUNCTION("""COMPUTED_VALUE"""),115.0)</f>
        <v>115</v>
      </c>
      <c r="K2780" s="1">
        <v>76.0</v>
      </c>
      <c r="L2780" s="1">
        <f>IFERROR(__xludf.DUMMYFUNCTION("""COMPUTED_VALUE"""),182.0)</f>
        <v>182</v>
      </c>
    </row>
    <row r="2781">
      <c r="A2781" s="1">
        <v>7103015.0</v>
      </c>
      <c r="B2781" s="1" t="s">
        <v>5958</v>
      </c>
      <c r="C2781" s="1" t="s">
        <v>5879</v>
      </c>
      <c r="D2781" s="1" t="s">
        <v>5898</v>
      </c>
      <c r="E2781" s="1" t="s">
        <v>5959</v>
      </c>
      <c r="F2781" s="1" t="s">
        <v>16</v>
      </c>
      <c r="G2781" s="1" t="s">
        <v>17</v>
      </c>
      <c r="H2781" s="1" t="s">
        <v>28</v>
      </c>
      <c r="I2781" s="1" t="s">
        <v>40</v>
      </c>
      <c r="J2781" s="1">
        <f>IFERROR(__xludf.DUMMYFUNCTION("""COMPUTED_VALUE"""),164.0)</f>
        <v>164</v>
      </c>
      <c r="K2781" s="1">
        <v>45.0</v>
      </c>
      <c r="L2781" s="1">
        <f>IFERROR(__xludf.DUMMYFUNCTION("""COMPUTED_VALUE"""),472.0)</f>
        <v>472</v>
      </c>
    </row>
    <row r="2782">
      <c r="A2782" s="1">
        <v>7108037.0</v>
      </c>
      <c r="B2782" s="1" t="s">
        <v>5960</v>
      </c>
      <c r="C2782" s="1" t="s">
        <v>5879</v>
      </c>
      <c r="D2782" s="1" t="s">
        <v>5903</v>
      </c>
      <c r="E2782" s="1" t="s">
        <v>5961</v>
      </c>
      <c r="F2782" s="1" t="s">
        <v>16</v>
      </c>
      <c r="G2782" s="1" t="s">
        <v>17</v>
      </c>
      <c r="H2782" s="1" t="s">
        <v>18</v>
      </c>
      <c r="I2782" s="1" t="s">
        <v>40</v>
      </c>
      <c r="J2782" s="1">
        <f>IFERROR(__xludf.DUMMYFUNCTION("""COMPUTED_VALUE"""),100.0)</f>
        <v>100</v>
      </c>
      <c r="K2782" s="1">
        <v>20.0</v>
      </c>
      <c r="L2782" s="1">
        <f>IFERROR(__xludf.DUMMYFUNCTION("""COMPUTED_VALUE"""),143.0)</f>
        <v>143</v>
      </c>
    </row>
    <row r="2783">
      <c r="A2783" s="1">
        <v>7111011.0</v>
      </c>
      <c r="B2783" s="1" t="s">
        <v>5962</v>
      </c>
      <c r="C2783" s="1" t="s">
        <v>5879</v>
      </c>
      <c r="D2783" s="1" t="s">
        <v>5963</v>
      </c>
      <c r="E2783" s="1" t="s">
        <v>5964</v>
      </c>
      <c r="F2783" s="1" t="s">
        <v>16</v>
      </c>
      <c r="G2783" s="1" t="s">
        <v>23</v>
      </c>
      <c r="H2783" s="1" t="s">
        <v>18</v>
      </c>
      <c r="I2783" s="1" t="s">
        <v>40</v>
      </c>
      <c r="J2783" s="1">
        <f>IFERROR(__xludf.DUMMYFUNCTION("""COMPUTED_VALUE"""),50.0)</f>
        <v>50</v>
      </c>
      <c r="K2783" s="1">
        <v>13.0</v>
      </c>
      <c r="L2783" s="1">
        <f>IFERROR(__xludf.DUMMYFUNCTION("""COMPUTED_VALUE"""),182.0)</f>
        <v>182</v>
      </c>
    </row>
    <row r="2784">
      <c r="A2784" s="1">
        <v>7171121.0</v>
      </c>
      <c r="B2784" s="1" t="s">
        <v>5965</v>
      </c>
      <c r="C2784" s="1" t="s">
        <v>5879</v>
      </c>
      <c r="D2784" s="1" t="s">
        <v>5891</v>
      </c>
      <c r="E2784" s="1" t="s">
        <v>5966</v>
      </c>
      <c r="F2784" s="1" t="s">
        <v>16</v>
      </c>
      <c r="G2784" s="1" t="s">
        <v>17</v>
      </c>
      <c r="H2784" s="1" t="s">
        <v>18</v>
      </c>
      <c r="I2784" s="1" t="s">
        <v>29</v>
      </c>
      <c r="J2784" s="1">
        <f>IFERROR(__xludf.DUMMYFUNCTION("""COMPUTED_VALUE"""),105.0)</f>
        <v>105</v>
      </c>
      <c r="K2784" s="1">
        <v>27.0</v>
      </c>
      <c r="L2784" s="1">
        <f>IFERROR(__xludf.DUMMYFUNCTION("""COMPUTED_VALUE"""),182.0)</f>
        <v>182</v>
      </c>
    </row>
    <row r="2785">
      <c r="A2785" s="1">
        <v>7106018.0</v>
      </c>
      <c r="B2785" s="1" t="s">
        <v>5967</v>
      </c>
      <c r="C2785" s="1" t="s">
        <v>5879</v>
      </c>
      <c r="D2785" s="1" t="s">
        <v>5894</v>
      </c>
      <c r="E2785" s="1" t="s">
        <v>5968</v>
      </c>
      <c r="F2785" s="1" t="s">
        <v>16</v>
      </c>
      <c r="G2785" s="1" t="s">
        <v>17</v>
      </c>
      <c r="H2785" s="1" t="s">
        <v>28</v>
      </c>
      <c r="I2785" s="1" t="s">
        <v>40</v>
      </c>
      <c r="J2785" s="1">
        <f>IFERROR(__xludf.DUMMYFUNCTION("""COMPUTED_VALUE"""),109.0)</f>
        <v>109</v>
      </c>
      <c r="K2785" s="1">
        <v>32.0</v>
      </c>
      <c r="L2785" s="1">
        <f>IFERROR(__xludf.DUMMYFUNCTION("""COMPUTED_VALUE"""),346.0)</f>
        <v>346</v>
      </c>
    </row>
    <row r="2786">
      <c r="A2786" s="1">
        <v>7173051.0</v>
      </c>
      <c r="B2786" s="1" t="s">
        <v>5969</v>
      </c>
      <c r="C2786" s="1" t="s">
        <v>5879</v>
      </c>
      <c r="D2786" s="1" t="s">
        <v>5909</v>
      </c>
      <c r="E2786" s="1" t="s">
        <v>5970</v>
      </c>
      <c r="F2786" s="1" t="s">
        <v>16</v>
      </c>
      <c r="G2786" s="1" t="s">
        <v>17</v>
      </c>
      <c r="H2786" s="1" t="s">
        <v>33</v>
      </c>
      <c r="I2786" s="1" t="s">
        <v>249</v>
      </c>
      <c r="J2786" s="1">
        <f>IFERROR(__xludf.DUMMYFUNCTION("""COMPUTED_VALUE"""),195.0)</f>
        <v>195</v>
      </c>
      <c r="K2786" s="1">
        <v>31.0</v>
      </c>
      <c r="L2786" s="1">
        <f>IFERROR(__xludf.DUMMYFUNCTION("""COMPUTED_VALUE"""),219.0)</f>
        <v>219</v>
      </c>
    </row>
    <row r="2787">
      <c r="A2787" s="1">
        <v>7171083.0</v>
      </c>
      <c r="B2787" s="1" t="s">
        <v>5971</v>
      </c>
      <c r="C2787" s="1" t="s">
        <v>5879</v>
      </c>
      <c r="D2787" s="1" t="s">
        <v>5891</v>
      </c>
      <c r="E2787" s="1" t="s">
        <v>5972</v>
      </c>
      <c r="F2787" s="1" t="s">
        <v>16</v>
      </c>
      <c r="G2787" s="1" t="s">
        <v>17</v>
      </c>
      <c r="H2787" s="1" t="s">
        <v>18</v>
      </c>
      <c r="I2787" s="1" t="s">
        <v>59</v>
      </c>
      <c r="J2787" s="1">
        <f>IFERROR(__xludf.DUMMYFUNCTION("""COMPUTED_VALUE"""),158.0)</f>
        <v>158</v>
      </c>
      <c r="K2787" s="1">
        <v>30.0</v>
      </c>
      <c r="L2787" s="1">
        <f>IFERROR(__xludf.DUMMYFUNCTION("""COMPUTED_VALUE"""),219.0)</f>
        <v>219</v>
      </c>
    </row>
    <row r="2788">
      <c r="A2788" s="1">
        <v>7171094.0</v>
      </c>
      <c r="B2788" s="1" t="s">
        <v>5973</v>
      </c>
      <c r="C2788" s="1" t="s">
        <v>5879</v>
      </c>
      <c r="D2788" s="1" t="s">
        <v>5891</v>
      </c>
      <c r="E2788" s="1" t="s">
        <v>5974</v>
      </c>
      <c r="F2788" s="1" t="s">
        <v>16</v>
      </c>
      <c r="G2788" s="1" t="s">
        <v>17</v>
      </c>
      <c r="H2788" s="1" t="s">
        <v>18</v>
      </c>
      <c r="I2788" s="1" t="s">
        <v>59</v>
      </c>
      <c r="J2788" s="1">
        <f>IFERROR(__xludf.DUMMYFUNCTION("""COMPUTED_VALUE"""),75.0)</f>
        <v>75</v>
      </c>
      <c r="K2788" s="1">
        <v>15.0</v>
      </c>
      <c r="L2788" s="1">
        <f>IFERROR(__xludf.DUMMYFUNCTION("""COMPUTED_VALUE"""),39.0)</f>
        <v>39</v>
      </c>
    </row>
    <row r="2789">
      <c r="A2789" s="1">
        <v>7104027.0</v>
      </c>
      <c r="B2789" s="1" t="s">
        <v>5975</v>
      </c>
      <c r="C2789" s="1" t="s">
        <v>5879</v>
      </c>
      <c r="D2789" s="1" t="s">
        <v>5976</v>
      </c>
      <c r="E2789" s="1" t="s">
        <v>5977</v>
      </c>
      <c r="F2789" s="1" t="s">
        <v>16</v>
      </c>
      <c r="G2789" s="1" t="s">
        <v>23</v>
      </c>
      <c r="H2789" s="1" t="s">
        <v>18</v>
      </c>
      <c r="I2789" s="1" t="s">
        <v>40</v>
      </c>
      <c r="J2789" s="1">
        <f>IFERROR(__xludf.DUMMYFUNCTION("""COMPUTED_VALUE"""),66.0)</f>
        <v>66</v>
      </c>
      <c r="K2789" s="1">
        <v>12.0</v>
      </c>
      <c r="L2789" s="1">
        <f>IFERROR(__xludf.DUMMYFUNCTION("""COMPUTED_VALUE"""),2.0)</f>
        <v>2</v>
      </c>
    </row>
    <row r="2790">
      <c r="A2790" s="1">
        <v>7172048.0</v>
      </c>
      <c r="B2790" s="1" t="s">
        <v>5978</v>
      </c>
      <c r="C2790" s="1" t="s">
        <v>5879</v>
      </c>
      <c r="D2790" s="1" t="s">
        <v>5916</v>
      </c>
      <c r="E2790" s="1" t="s">
        <v>5979</v>
      </c>
      <c r="F2790" s="1" t="s">
        <v>16</v>
      </c>
      <c r="G2790" s="1" t="s">
        <v>23</v>
      </c>
      <c r="H2790" s="1" t="s">
        <v>18</v>
      </c>
      <c r="I2790" s="1" t="s">
        <v>29</v>
      </c>
      <c r="J2790" s="1">
        <f>IFERROR(__xludf.DUMMYFUNCTION("""COMPUTED_VALUE"""),117.0)</f>
        <v>117</v>
      </c>
      <c r="K2790" s="1">
        <v>11.0</v>
      </c>
      <c r="L2790" s="1">
        <f>IFERROR(__xludf.DUMMYFUNCTION("""COMPUTED_VALUE"""),182.0)</f>
        <v>182</v>
      </c>
    </row>
    <row r="2791">
      <c r="A2791" s="1">
        <v>7102073.0</v>
      </c>
      <c r="B2791" s="1" t="s">
        <v>5980</v>
      </c>
      <c r="C2791" s="1" t="s">
        <v>5879</v>
      </c>
      <c r="D2791" s="1" t="s">
        <v>5880</v>
      </c>
      <c r="E2791" s="1" t="s">
        <v>5981</v>
      </c>
      <c r="F2791" s="1" t="s">
        <v>16</v>
      </c>
      <c r="G2791" s="1" t="s">
        <v>17</v>
      </c>
      <c r="H2791" s="1" t="s">
        <v>18</v>
      </c>
      <c r="I2791" s="1" t="s">
        <v>249</v>
      </c>
      <c r="J2791" s="1">
        <f>IFERROR(__xludf.DUMMYFUNCTION("""COMPUTED_VALUE"""),132.0)</f>
        <v>132</v>
      </c>
      <c r="K2791" s="1">
        <v>19.0</v>
      </c>
      <c r="L2791" s="1">
        <f>IFERROR(__xludf.DUMMYFUNCTION("""COMPUTED_VALUE"""),104.0)</f>
        <v>104</v>
      </c>
    </row>
    <row r="2792">
      <c r="A2792" s="1">
        <v>7172025.0</v>
      </c>
      <c r="B2792" s="1" t="s">
        <v>5982</v>
      </c>
      <c r="C2792" s="1" t="s">
        <v>5879</v>
      </c>
      <c r="D2792" s="1" t="s">
        <v>5916</v>
      </c>
      <c r="E2792" s="1" t="s">
        <v>5983</v>
      </c>
      <c r="F2792" s="1" t="s">
        <v>16</v>
      </c>
      <c r="G2792" s="1" t="s">
        <v>23</v>
      </c>
      <c r="H2792" s="1" t="s">
        <v>18</v>
      </c>
      <c r="I2792" s="1" t="s">
        <v>95</v>
      </c>
      <c r="J2792" s="1">
        <f>IFERROR(__xludf.DUMMYFUNCTION("""COMPUTED_VALUE"""),92.0)</f>
        <v>92</v>
      </c>
      <c r="K2792" s="1">
        <v>14.0</v>
      </c>
      <c r="L2792" s="1">
        <f>IFERROR(__xludf.DUMMYFUNCTION("""COMPUTED_VALUE"""),71.0)</f>
        <v>71</v>
      </c>
    </row>
    <row r="2793">
      <c r="A2793" s="1">
        <v>7174035.0</v>
      </c>
      <c r="B2793" s="1" t="s">
        <v>5984</v>
      </c>
      <c r="C2793" s="1" t="s">
        <v>5879</v>
      </c>
      <c r="D2793" s="1" t="s">
        <v>5886</v>
      </c>
      <c r="E2793" s="1" t="s">
        <v>5985</v>
      </c>
      <c r="F2793" s="1" t="s">
        <v>16</v>
      </c>
      <c r="G2793" s="1" t="s">
        <v>17</v>
      </c>
      <c r="H2793" s="1" t="s">
        <v>28</v>
      </c>
      <c r="I2793" s="1" t="s">
        <v>29</v>
      </c>
      <c r="J2793" s="1">
        <f>IFERROR(__xludf.DUMMYFUNCTION("""COMPUTED_VALUE"""),245.0)</f>
        <v>245</v>
      </c>
      <c r="K2793" s="1">
        <v>33.0</v>
      </c>
      <c r="L2793" s="1">
        <f>IFERROR(__xludf.DUMMYFUNCTION("""COMPUTED_VALUE"""),769.0)</f>
        <v>769</v>
      </c>
    </row>
    <row r="2794">
      <c r="A2794" s="1">
        <v>7174004.0</v>
      </c>
      <c r="B2794" s="1" t="s">
        <v>5986</v>
      </c>
      <c r="C2794" s="1" t="s">
        <v>5879</v>
      </c>
      <c r="D2794" s="1" t="s">
        <v>5886</v>
      </c>
      <c r="E2794" s="1" t="s">
        <v>5987</v>
      </c>
      <c r="F2794" s="1" t="s">
        <v>55</v>
      </c>
      <c r="G2794" s="1" t="s">
        <v>17</v>
      </c>
      <c r="H2794" s="1" t="s">
        <v>18</v>
      </c>
      <c r="I2794" s="1" t="s">
        <v>19</v>
      </c>
      <c r="J2794" s="1">
        <f>IFERROR(__xludf.DUMMYFUNCTION("""COMPUTED_VALUE"""),38.0)</f>
        <v>38</v>
      </c>
      <c r="K2794" s="1">
        <v>17.0</v>
      </c>
      <c r="L2794" s="1">
        <f>IFERROR(__xludf.DUMMYFUNCTION("""COMPUTED_VALUE"""),68.0)</f>
        <v>68</v>
      </c>
    </row>
    <row r="2795">
      <c r="A2795" s="1">
        <v>7107014.0</v>
      </c>
      <c r="B2795" s="1" t="s">
        <v>5988</v>
      </c>
      <c r="C2795" s="1" t="s">
        <v>5879</v>
      </c>
      <c r="D2795" s="1" t="s">
        <v>5906</v>
      </c>
      <c r="E2795" s="1" t="s">
        <v>5989</v>
      </c>
      <c r="F2795" s="1" t="s">
        <v>16</v>
      </c>
      <c r="G2795" s="1" t="s">
        <v>23</v>
      </c>
      <c r="H2795" s="1" t="s">
        <v>18</v>
      </c>
      <c r="I2795" s="1" t="s">
        <v>40</v>
      </c>
      <c r="J2795" s="1">
        <f>IFERROR(__xludf.DUMMYFUNCTION("""COMPUTED_VALUE"""),70.0)</f>
        <v>70</v>
      </c>
      <c r="K2795" s="1">
        <v>24.0</v>
      </c>
      <c r="L2795" s="1">
        <f>IFERROR(__xludf.DUMMYFUNCTION("""COMPUTED_VALUE"""),182.0)</f>
        <v>182</v>
      </c>
    </row>
    <row r="2796">
      <c r="A2796" s="1">
        <v>7171098.0</v>
      </c>
      <c r="B2796" s="1" t="s">
        <v>5990</v>
      </c>
      <c r="C2796" s="1" t="s">
        <v>5879</v>
      </c>
      <c r="D2796" s="1" t="s">
        <v>5891</v>
      </c>
      <c r="E2796" s="1" t="s">
        <v>5991</v>
      </c>
      <c r="F2796" s="1" t="s">
        <v>55</v>
      </c>
      <c r="G2796" s="1" t="s">
        <v>17</v>
      </c>
      <c r="H2796" s="1" t="s">
        <v>18</v>
      </c>
      <c r="I2796" s="1" t="s">
        <v>19</v>
      </c>
      <c r="J2796" s="1">
        <f>IFERROR(__xludf.DUMMYFUNCTION("""COMPUTED_VALUE"""),58.0)</f>
        <v>58</v>
      </c>
      <c r="K2796" s="1">
        <v>10.0</v>
      </c>
      <c r="L2796" s="1">
        <f>IFERROR(__xludf.DUMMYFUNCTION("""COMPUTED_VALUE"""),182.0)</f>
        <v>182</v>
      </c>
    </row>
    <row r="2797">
      <c r="A2797" s="1">
        <v>7171024.0</v>
      </c>
      <c r="B2797" s="1" t="s">
        <v>5992</v>
      </c>
      <c r="C2797" s="1" t="s">
        <v>5879</v>
      </c>
      <c r="D2797" s="1" t="s">
        <v>5891</v>
      </c>
      <c r="E2797" s="1" t="s">
        <v>5993</v>
      </c>
      <c r="F2797" s="1" t="s">
        <v>16</v>
      </c>
      <c r="G2797" s="1" t="s">
        <v>17</v>
      </c>
      <c r="H2797" s="1" t="s">
        <v>33</v>
      </c>
      <c r="I2797" s="1" t="s">
        <v>74</v>
      </c>
      <c r="J2797" s="1">
        <f>IFERROR(__xludf.DUMMYFUNCTION("""COMPUTED_VALUE"""),198.0)</f>
        <v>198</v>
      </c>
      <c r="K2797" s="1">
        <v>32.0</v>
      </c>
      <c r="L2797" s="1">
        <f>IFERROR(__xludf.DUMMYFUNCTION("""COMPUTED_VALUE"""),466.0)</f>
        <v>466</v>
      </c>
    </row>
    <row r="2798">
      <c r="A2798" s="1">
        <v>7101013.0</v>
      </c>
      <c r="B2798" s="1" t="s">
        <v>5994</v>
      </c>
      <c r="C2798" s="1" t="s">
        <v>5879</v>
      </c>
      <c r="D2798" s="1" t="s">
        <v>5995</v>
      </c>
      <c r="E2798" s="1" t="s">
        <v>5996</v>
      </c>
      <c r="F2798" s="1" t="s">
        <v>16</v>
      </c>
      <c r="G2798" s="1" t="s">
        <v>17</v>
      </c>
      <c r="H2798" s="1" t="s">
        <v>18</v>
      </c>
      <c r="I2798" s="1" t="s">
        <v>40</v>
      </c>
      <c r="J2798" s="1">
        <f>IFERROR(__xludf.DUMMYFUNCTION("""COMPUTED_VALUE"""),100.0)</f>
        <v>100</v>
      </c>
      <c r="K2798" s="1">
        <v>33.0</v>
      </c>
      <c r="L2798" s="1">
        <f>IFERROR(__xludf.DUMMYFUNCTION("""COMPUTED_VALUE"""),221.0)</f>
        <v>221</v>
      </c>
    </row>
    <row r="2799">
      <c r="A2799" s="1">
        <v>7102095.0</v>
      </c>
      <c r="B2799" s="1" t="s">
        <v>5997</v>
      </c>
      <c r="C2799" s="1" t="s">
        <v>5879</v>
      </c>
      <c r="D2799" s="1" t="s">
        <v>5894</v>
      </c>
      <c r="E2799" s="1" t="s">
        <v>5998</v>
      </c>
      <c r="F2799" s="1" t="s">
        <v>16</v>
      </c>
      <c r="G2799" s="1" t="s">
        <v>23</v>
      </c>
      <c r="H2799" s="1" t="s">
        <v>18</v>
      </c>
      <c r="I2799" s="1" t="s">
        <v>258</v>
      </c>
      <c r="J2799" s="1">
        <f>IFERROR(__xludf.DUMMYFUNCTION("""COMPUTED_VALUE"""),103.0)</f>
        <v>103</v>
      </c>
      <c r="K2799" s="1">
        <v>19.0</v>
      </c>
      <c r="L2799" s="1">
        <f>IFERROR(__xludf.DUMMYFUNCTION("""COMPUTED_VALUE"""),45.0)</f>
        <v>45</v>
      </c>
    </row>
    <row r="2800">
      <c r="A2800" s="1">
        <v>7171102.0</v>
      </c>
      <c r="B2800" s="1" t="s">
        <v>5999</v>
      </c>
      <c r="C2800" s="1" t="s">
        <v>5879</v>
      </c>
      <c r="D2800" s="1" t="s">
        <v>5891</v>
      </c>
      <c r="E2800" s="1" t="s">
        <v>6000</v>
      </c>
      <c r="F2800" s="1" t="s">
        <v>16</v>
      </c>
      <c r="G2800" s="1" t="s">
        <v>17</v>
      </c>
      <c r="H2800" s="1" t="s">
        <v>18</v>
      </c>
      <c r="I2800" s="1" t="s">
        <v>19</v>
      </c>
      <c r="J2800" s="1">
        <f>IFERROR(__xludf.DUMMYFUNCTION("""COMPUTED_VALUE"""),247.0)</f>
        <v>247</v>
      </c>
      <c r="K2800" s="1">
        <v>30.0</v>
      </c>
      <c r="L2800" s="1">
        <f>IFERROR(__xludf.DUMMYFUNCTION("""COMPUTED_VALUE"""),157.0)</f>
        <v>157</v>
      </c>
    </row>
    <row r="2801">
      <c r="A2801" s="1">
        <v>7171099.0</v>
      </c>
      <c r="B2801" s="1" t="s">
        <v>6001</v>
      </c>
      <c r="C2801" s="1" t="s">
        <v>5879</v>
      </c>
      <c r="D2801" s="1" t="s">
        <v>5891</v>
      </c>
      <c r="E2801" s="1" t="s">
        <v>6002</v>
      </c>
      <c r="F2801" s="1" t="s">
        <v>16</v>
      </c>
      <c r="G2801" s="1" t="s">
        <v>27</v>
      </c>
      <c r="H2801" s="1" t="s">
        <v>18</v>
      </c>
      <c r="I2801" s="1" t="s">
        <v>44</v>
      </c>
      <c r="J2801" s="1">
        <f>IFERROR(__xludf.DUMMYFUNCTION("""COMPUTED_VALUE"""),200.0)</f>
        <v>200</v>
      </c>
      <c r="K2801" s="1">
        <v>98.0</v>
      </c>
      <c r="L2801" s="1">
        <f>IFERROR(__xludf.DUMMYFUNCTION("""COMPUTED_VALUE"""),510.0)</f>
        <v>510</v>
      </c>
    </row>
    <row r="2802">
      <c r="A2802" s="1">
        <v>7171050.0</v>
      </c>
      <c r="B2802" s="1" t="s">
        <v>6003</v>
      </c>
      <c r="C2802" s="1" t="s">
        <v>5879</v>
      </c>
      <c r="D2802" s="1" t="s">
        <v>5891</v>
      </c>
      <c r="E2802" s="1" t="s">
        <v>6004</v>
      </c>
      <c r="F2802" s="1" t="s">
        <v>16</v>
      </c>
      <c r="G2802" s="1" t="s">
        <v>17</v>
      </c>
      <c r="H2802" s="1" t="s">
        <v>18</v>
      </c>
      <c r="I2802" s="1" t="s">
        <v>258</v>
      </c>
      <c r="J2802" s="1">
        <f>IFERROR(__xludf.DUMMYFUNCTION("""COMPUTED_VALUE"""),163.0)</f>
        <v>163</v>
      </c>
      <c r="K2802" s="1">
        <v>27.0</v>
      </c>
      <c r="L2802" s="1">
        <f>IFERROR(__xludf.DUMMYFUNCTION("""COMPUTED_VALUE"""),527.0)</f>
        <v>527</v>
      </c>
    </row>
    <row r="2803">
      <c r="A2803" s="1">
        <v>7104038.0</v>
      </c>
      <c r="B2803" s="1" t="s">
        <v>6005</v>
      </c>
      <c r="C2803" s="1" t="s">
        <v>5879</v>
      </c>
      <c r="D2803" s="1" t="s">
        <v>5976</v>
      </c>
      <c r="E2803" s="1" t="s">
        <v>6006</v>
      </c>
      <c r="F2803" s="1" t="s">
        <v>16</v>
      </c>
      <c r="G2803" s="1" t="s">
        <v>17</v>
      </c>
      <c r="H2803" s="1" t="s">
        <v>18</v>
      </c>
      <c r="I2803" s="1" t="s">
        <v>40</v>
      </c>
      <c r="J2803" s="1">
        <f>IFERROR(__xludf.DUMMYFUNCTION("""COMPUTED_VALUE"""),118.0)</f>
        <v>118</v>
      </c>
      <c r="K2803" s="1">
        <v>24.0</v>
      </c>
      <c r="L2803" s="1">
        <f>IFERROR(__xludf.DUMMYFUNCTION("""COMPUTED_VALUE"""),343.0)</f>
        <v>343</v>
      </c>
    </row>
    <row r="2804">
      <c r="A2804" s="1">
        <v>7102014.0</v>
      </c>
      <c r="B2804" s="1" t="s">
        <v>6007</v>
      </c>
      <c r="C2804" s="1" t="s">
        <v>5879</v>
      </c>
      <c r="D2804" s="1" t="s">
        <v>5880</v>
      </c>
      <c r="E2804" s="1" t="s">
        <v>6008</v>
      </c>
      <c r="F2804" s="1" t="s">
        <v>16</v>
      </c>
      <c r="G2804" s="1" t="s">
        <v>17</v>
      </c>
      <c r="H2804" s="1" t="s">
        <v>28</v>
      </c>
      <c r="I2804" s="1" t="s">
        <v>40</v>
      </c>
      <c r="J2804" s="1">
        <f>IFERROR(__xludf.DUMMYFUNCTION("""COMPUTED_VALUE"""),151.0)</f>
        <v>151</v>
      </c>
      <c r="K2804" s="1">
        <v>38.0</v>
      </c>
      <c r="L2804" s="1">
        <f>IFERROR(__xludf.DUMMYFUNCTION("""COMPUTED_VALUE"""),55.0)</f>
        <v>55</v>
      </c>
    </row>
    <row r="2805">
      <c r="A2805" s="1">
        <v>7201012.0</v>
      </c>
      <c r="B2805" s="1" t="s">
        <v>6009</v>
      </c>
      <c r="C2805" s="1" t="s">
        <v>6010</v>
      </c>
      <c r="D2805" s="1" t="s">
        <v>6011</v>
      </c>
      <c r="E2805" s="1" t="s">
        <v>6012</v>
      </c>
      <c r="F2805" s="1" t="s">
        <v>16</v>
      </c>
      <c r="G2805" s="1" t="s">
        <v>17</v>
      </c>
      <c r="H2805" s="1" t="s">
        <v>28</v>
      </c>
      <c r="I2805" s="1" t="s">
        <v>40</v>
      </c>
      <c r="J2805" s="1">
        <f>IFERROR(__xludf.DUMMYFUNCTION("""COMPUTED_VALUE"""),125.0)</f>
        <v>125</v>
      </c>
      <c r="K2805" s="1">
        <v>18.0</v>
      </c>
      <c r="L2805" s="1">
        <f>IFERROR(__xludf.DUMMYFUNCTION("""COMPUTED_VALUE"""),286.0)</f>
        <v>286</v>
      </c>
    </row>
    <row r="2806">
      <c r="A2806" s="1">
        <v>7204010.0</v>
      </c>
      <c r="B2806" s="1" t="s">
        <v>6013</v>
      </c>
      <c r="C2806" s="1" t="s">
        <v>6010</v>
      </c>
      <c r="D2806" s="1" t="s">
        <v>6014</v>
      </c>
      <c r="E2806" s="1" t="s">
        <v>6015</v>
      </c>
      <c r="F2806" s="1" t="s">
        <v>16</v>
      </c>
      <c r="G2806" s="1" t="s">
        <v>17</v>
      </c>
      <c r="H2806" s="1" t="s">
        <v>28</v>
      </c>
      <c r="I2806" s="1" t="s">
        <v>40</v>
      </c>
      <c r="J2806" s="1">
        <f>IFERROR(__xludf.DUMMYFUNCTION("""COMPUTED_VALUE"""),180.0)</f>
        <v>180</v>
      </c>
      <c r="K2806" s="1">
        <v>91.0</v>
      </c>
      <c r="L2806" s="1">
        <f>IFERROR(__xludf.DUMMYFUNCTION("""COMPUTED_VALUE"""),610.0)</f>
        <v>610</v>
      </c>
    </row>
    <row r="2807">
      <c r="A2807" s="1">
        <v>7201014.0</v>
      </c>
      <c r="B2807" s="1" t="s">
        <v>6016</v>
      </c>
      <c r="C2807" s="1" t="s">
        <v>6010</v>
      </c>
      <c r="D2807" s="1" t="s">
        <v>6011</v>
      </c>
      <c r="E2807" s="1" t="s">
        <v>6017</v>
      </c>
      <c r="F2807" s="1" t="s">
        <v>16</v>
      </c>
      <c r="G2807" s="1" t="s">
        <v>98</v>
      </c>
      <c r="H2807" s="1" t="s">
        <v>28</v>
      </c>
      <c r="I2807" s="1" t="s">
        <v>40</v>
      </c>
      <c r="J2807" s="1">
        <f>IFERROR(__xludf.DUMMYFUNCTION("""COMPUTED_VALUE"""),24.0)</f>
        <v>24</v>
      </c>
      <c r="K2807" s="1">
        <v>11.0</v>
      </c>
      <c r="L2807" s="1">
        <f>IFERROR(__xludf.DUMMYFUNCTION("""COMPUTED_VALUE"""),17.0)</f>
        <v>17</v>
      </c>
    </row>
    <row r="2808">
      <c r="A2808" s="1">
        <v>7271025.0</v>
      </c>
      <c r="B2808" s="1" t="s">
        <v>6018</v>
      </c>
      <c r="C2808" s="1" t="s">
        <v>6010</v>
      </c>
      <c r="D2808" s="1" t="s">
        <v>6019</v>
      </c>
      <c r="E2808" s="1" t="s">
        <v>6020</v>
      </c>
      <c r="F2808" s="1" t="s">
        <v>16</v>
      </c>
      <c r="G2808" s="1" t="s">
        <v>17</v>
      </c>
      <c r="H2808" s="1" t="s">
        <v>18</v>
      </c>
      <c r="I2808" s="1" t="s">
        <v>74</v>
      </c>
      <c r="J2808" s="1">
        <f>IFERROR(__xludf.DUMMYFUNCTION("""COMPUTED_VALUE"""),116.0)</f>
        <v>116</v>
      </c>
      <c r="K2808" s="1">
        <v>35.0</v>
      </c>
      <c r="L2808" s="1">
        <f>IFERROR(__xludf.DUMMYFUNCTION("""COMPUTED_VALUE"""),228.0)</f>
        <v>228</v>
      </c>
    </row>
    <row r="2809">
      <c r="A2809" s="1">
        <v>7209032.0</v>
      </c>
      <c r="B2809" s="1" t="s">
        <v>6021</v>
      </c>
      <c r="C2809" s="1" t="s">
        <v>6010</v>
      </c>
      <c r="D2809" s="1" t="s">
        <v>6022</v>
      </c>
      <c r="E2809" s="1" t="s">
        <v>6023</v>
      </c>
      <c r="F2809" s="1" t="s">
        <v>16</v>
      </c>
      <c r="G2809" s="1" t="s">
        <v>17</v>
      </c>
      <c r="H2809" s="1" t="s">
        <v>28</v>
      </c>
      <c r="I2809" s="1" t="s">
        <v>40</v>
      </c>
      <c r="J2809" s="1">
        <f>IFERROR(__xludf.DUMMYFUNCTION("""COMPUTED_VALUE"""),177.0)</f>
        <v>177</v>
      </c>
      <c r="K2809" s="1">
        <v>51.0</v>
      </c>
      <c r="L2809" s="1">
        <f>IFERROR(__xludf.DUMMYFUNCTION("""COMPUTED_VALUE"""),579.0)</f>
        <v>579</v>
      </c>
    </row>
    <row r="2810">
      <c r="A2810" s="1">
        <v>7271040.0</v>
      </c>
      <c r="B2810" s="1" t="s">
        <v>6024</v>
      </c>
      <c r="C2810" s="1" t="s">
        <v>6010</v>
      </c>
      <c r="D2810" s="1" t="s">
        <v>6019</v>
      </c>
      <c r="E2810" s="1" t="s">
        <v>6025</v>
      </c>
      <c r="F2810" s="1" t="s">
        <v>16</v>
      </c>
      <c r="G2810" s="1" t="s">
        <v>17</v>
      </c>
      <c r="H2810" s="1" t="s">
        <v>18</v>
      </c>
      <c r="I2810" s="1" t="s">
        <v>59</v>
      </c>
      <c r="J2810" s="1">
        <f>IFERROR(__xludf.DUMMYFUNCTION("""COMPUTED_VALUE"""),135.0)</f>
        <v>135</v>
      </c>
      <c r="K2810" s="1">
        <v>126.0</v>
      </c>
      <c r="L2810" s="1">
        <f>IFERROR(__xludf.DUMMYFUNCTION("""COMPUTED_VALUE"""),192.0)</f>
        <v>192</v>
      </c>
    </row>
    <row r="2811">
      <c r="A2811" s="1">
        <v>7208011.0</v>
      </c>
      <c r="B2811" s="1" t="s">
        <v>6026</v>
      </c>
      <c r="C2811" s="1" t="s">
        <v>6010</v>
      </c>
      <c r="D2811" s="1" t="s">
        <v>6027</v>
      </c>
      <c r="E2811" s="1" t="s">
        <v>6028</v>
      </c>
      <c r="F2811" s="1" t="s">
        <v>16</v>
      </c>
      <c r="G2811" s="1" t="s">
        <v>27</v>
      </c>
      <c r="H2811" s="1" t="s">
        <v>28</v>
      </c>
      <c r="I2811" s="1" t="s">
        <v>40</v>
      </c>
      <c r="J2811" s="1">
        <f>IFERROR(__xludf.DUMMYFUNCTION("""COMPUTED_VALUE"""),173.0)</f>
        <v>173</v>
      </c>
      <c r="K2811" s="1">
        <v>34.0</v>
      </c>
      <c r="L2811" s="1">
        <f>IFERROR(__xludf.DUMMYFUNCTION("""COMPUTED_VALUE"""),761.0)</f>
        <v>761</v>
      </c>
    </row>
    <row r="2812">
      <c r="A2812" s="1">
        <v>7208013.0</v>
      </c>
      <c r="B2812" s="1" t="s">
        <v>6029</v>
      </c>
      <c r="C2812" s="1" t="s">
        <v>6010</v>
      </c>
      <c r="D2812" s="1" t="s">
        <v>6027</v>
      </c>
      <c r="E2812" s="1" t="s">
        <v>6030</v>
      </c>
      <c r="F2812" s="1" t="s">
        <v>16</v>
      </c>
      <c r="G2812" s="1" t="s">
        <v>17</v>
      </c>
      <c r="H2812" s="1" t="s">
        <v>28</v>
      </c>
      <c r="I2812" s="1" t="s">
        <v>40</v>
      </c>
      <c r="J2812" s="1">
        <f>IFERROR(__xludf.DUMMYFUNCTION("""COMPUTED_VALUE"""),101.0)</f>
        <v>101</v>
      </c>
      <c r="K2812" s="1">
        <v>17.0</v>
      </c>
      <c r="L2812" s="1">
        <f>IFERROR(__xludf.DUMMYFUNCTION("""COMPUTED_VALUE"""),247.0)</f>
        <v>247</v>
      </c>
    </row>
    <row r="2813">
      <c r="A2813" s="1">
        <v>7271130.0</v>
      </c>
      <c r="B2813" s="1" t="s">
        <v>6031</v>
      </c>
      <c r="C2813" s="1" t="s">
        <v>6010</v>
      </c>
      <c r="D2813" s="1" t="s">
        <v>6019</v>
      </c>
      <c r="E2813" s="1" t="s">
        <v>6032</v>
      </c>
      <c r="F2813" s="1" t="s">
        <v>55</v>
      </c>
      <c r="G2813" s="1" t="s">
        <v>17</v>
      </c>
      <c r="H2813" s="1" t="s">
        <v>18</v>
      </c>
      <c r="I2813" s="1" t="s">
        <v>19</v>
      </c>
      <c r="J2813" s="1">
        <f>IFERROR(__xludf.DUMMYFUNCTION("""COMPUTED_VALUE"""),75.0)</f>
        <v>75</v>
      </c>
      <c r="K2813" s="1">
        <v>12.0</v>
      </c>
      <c r="L2813" s="1">
        <f>IFERROR(__xludf.DUMMYFUNCTION("""COMPUTED_VALUE"""),100.0)</f>
        <v>100</v>
      </c>
    </row>
    <row r="2814">
      <c r="A2814" s="1">
        <v>7205024.0</v>
      </c>
      <c r="B2814" s="1" t="s">
        <v>6033</v>
      </c>
      <c r="C2814" s="1" t="s">
        <v>6010</v>
      </c>
      <c r="D2814" s="1" t="s">
        <v>6034</v>
      </c>
      <c r="E2814" s="1" t="s">
        <v>6035</v>
      </c>
      <c r="F2814" s="1" t="s">
        <v>16</v>
      </c>
      <c r="G2814" s="1" t="s">
        <v>23</v>
      </c>
      <c r="H2814" s="1" t="s">
        <v>18</v>
      </c>
      <c r="I2814" s="1" t="s">
        <v>40</v>
      </c>
      <c r="J2814" s="1">
        <f>IFERROR(__xludf.DUMMYFUNCTION("""COMPUTED_VALUE"""),68.0)</f>
        <v>68</v>
      </c>
      <c r="K2814" s="1">
        <v>20.0</v>
      </c>
      <c r="L2814" s="1">
        <f>IFERROR(__xludf.DUMMYFUNCTION("""COMPUTED_VALUE"""),63.0)</f>
        <v>63</v>
      </c>
    </row>
    <row r="2815">
      <c r="A2815" s="1">
        <v>7271095.0</v>
      </c>
      <c r="B2815" s="1" t="s">
        <v>6036</v>
      </c>
      <c r="C2815" s="1" t="s">
        <v>6010</v>
      </c>
      <c r="D2815" s="1" t="s">
        <v>6019</v>
      </c>
      <c r="E2815" s="1" t="s">
        <v>6037</v>
      </c>
      <c r="F2815" s="1" t="s">
        <v>16</v>
      </c>
      <c r="G2815" s="1" t="s">
        <v>17</v>
      </c>
      <c r="H2815" s="1" t="s">
        <v>18</v>
      </c>
      <c r="I2815" s="1" t="s">
        <v>19</v>
      </c>
      <c r="J2815" s="1">
        <f>IFERROR(__xludf.DUMMYFUNCTION("""COMPUTED_VALUE"""),132.0)</f>
        <v>132</v>
      </c>
      <c r="K2815" s="1">
        <v>53.0</v>
      </c>
      <c r="L2815" s="1">
        <f>IFERROR(__xludf.DUMMYFUNCTION("""COMPUTED_VALUE"""),190.0)</f>
        <v>190</v>
      </c>
    </row>
    <row r="2816">
      <c r="A2816" s="1">
        <v>7201011.0</v>
      </c>
      <c r="B2816" s="1" t="s">
        <v>6038</v>
      </c>
      <c r="C2816" s="1" t="s">
        <v>6010</v>
      </c>
      <c r="D2816" s="1" t="s">
        <v>6039</v>
      </c>
      <c r="E2816" s="1" t="s">
        <v>6040</v>
      </c>
      <c r="F2816" s="1" t="s">
        <v>16</v>
      </c>
      <c r="G2816" s="1" t="s">
        <v>17</v>
      </c>
      <c r="H2816" s="1" t="s">
        <v>28</v>
      </c>
      <c r="I2816" s="1" t="s">
        <v>40</v>
      </c>
      <c r="J2816" s="1">
        <f>IFERROR(__xludf.DUMMYFUNCTION("""COMPUTED_VALUE"""),125.0)</f>
        <v>125</v>
      </c>
      <c r="K2816" s="1">
        <v>24.0</v>
      </c>
      <c r="L2816" s="1">
        <f>IFERROR(__xludf.DUMMYFUNCTION("""COMPUTED_VALUE"""),381.0)</f>
        <v>381</v>
      </c>
    </row>
    <row r="2817">
      <c r="A2817" s="1">
        <v>7212011.0</v>
      </c>
      <c r="B2817" s="1" t="s">
        <v>6041</v>
      </c>
      <c r="C2817" s="1" t="s">
        <v>6010</v>
      </c>
      <c r="D2817" s="1" t="s">
        <v>6042</v>
      </c>
      <c r="E2817" s="1" t="s">
        <v>6043</v>
      </c>
      <c r="F2817" s="1" t="s">
        <v>16</v>
      </c>
      <c r="G2817" s="1" t="s">
        <v>98</v>
      </c>
      <c r="H2817" s="1" t="s">
        <v>18</v>
      </c>
      <c r="I2817" s="1" t="s">
        <v>40</v>
      </c>
      <c r="J2817" s="1">
        <f>IFERROR(__xludf.DUMMYFUNCTION("""COMPUTED_VALUE"""),36.0)</f>
        <v>36</v>
      </c>
      <c r="K2817" s="1">
        <v>13.0</v>
      </c>
      <c r="L2817" s="1">
        <f>IFERROR(__xludf.DUMMYFUNCTION("""COMPUTED_VALUE"""),182.0)</f>
        <v>182</v>
      </c>
    </row>
    <row r="2818">
      <c r="A2818" s="1">
        <v>7206012.0</v>
      </c>
      <c r="B2818" s="1" t="s">
        <v>6044</v>
      </c>
      <c r="C2818" s="1" t="s">
        <v>6010</v>
      </c>
      <c r="D2818" s="1" t="s">
        <v>6045</v>
      </c>
      <c r="E2818" s="1" t="s">
        <v>6046</v>
      </c>
      <c r="F2818" s="1" t="s">
        <v>16</v>
      </c>
      <c r="G2818" s="1" t="s">
        <v>17</v>
      </c>
      <c r="H2818" s="1" t="s">
        <v>28</v>
      </c>
      <c r="I2818" s="1" t="s">
        <v>40</v>
      </c>
      <c r="J2818" s="1">
        <f>IFERROR(__xludf.DUMMYFUNCTION("""COMPUTED_VALUE"""),291.0)</f>
        <v>291</v>
      </c>
      <c r="K2818" s="1">
        <v>36.0</v>
      </c>
      <c r="L2818" s="1">
        <f>IFERROR(__xludf.DUMMYFUNCTION("""COMPUTED_VALUE"""),869.0)</f>
        <v>869</v>
      </c>
    </row>
    <row r="2819">
      <c r="A2819" s="1">
        <v>7203016.0</v>
      </c>
      <c r="B2819" s="1" t="s">
        <v>6047</v>
      </c>
      <c r="C2819" s="1" t="s">
        <v>6010</v>
      </c>
      <c r="D2819" s="1" t="s">
        <v>6048</v>
      </c>
      <c r="E2819" s="1" t="s">
        <v>6049</v>
      </c>
      <c r="F2819" s="1" t="s">
        <v>16</v>
      </c>
      <c r="G2819" s="1" t="s">
        <v>17</v>
      </c>
      <c r="H2819" s="1" t="s">
        <v>28</v>
      </c>
      <c r="I2819" s="1" t="s">
        <v>40</v>
      </c>
      <c r="J2819" s="1">
        <f>IFERROR(__xludf.DUMMYFUNCTION("""COMPUTED_VALUE"""),246.0)</f>
        <v>246</v>
      </c>
      <c r="K2819" s="1">
        <v>64.0</v>
      </c>
      <c r="L2819" s="1">
        <f>IFERROR(__xludf.DUMMYFUNCTION("""COMPUTED_VALUE"""),705.0)</f>
        <v>705</v>
      </c>
    </row>
    <row r="2820">
      <c r="A2820" s="1">
        <v>7209004.0</v>
      </c>
      <c r="B2820" s="1" t="s">
        <v>6050</v>
      </c>
      <c r="C2820" s="1" t="s">
        <v>6010</v>
      </c>
      <c r="D2820" s="1" t="s">
        <v>6022</v>
      </c>
      <c r="E2820" s="1" t="s">
        <v>6051</v>
      </c>
      <c r="F2820" s="1" t="s">
        <v>16</v>
      </c>
      <c r="G2820" s="1" t="s">
        <v>98</v>
      </c>
      <c r="H2820" s="1" t="s">
        <v>18</v>
      </c>
      <c r="I2820" s="1" t="s">
        <v>40</v>
      </c>
      <c r="J2820" s="1">
        <f>IFERROR(__xludf.DUMMYFUNCTION("""COMPUTED_VALUE"""),20.0)</f>
        <v>20</v>
      </c>
      <c r="K2820" s="1">
        <v>7.0</v>
      </c>
      <c r="L2820" s="1">
        <f>IFERROR(__xludf.DUMMYFUNCTION("""COMPUTED_VALUE"""),5.0)</f>
        <v>5</v>
      </c>
    </row>
    <row r="2821">
      <c r="A2821" s="1">
        <v>7208012.0</v>
      </c>
      <c r="B2821" s="1" t="s">
        <v>6052</v>
      </c>
      <c r="C2821" s="1" t="s">
        <v>6010</v>
      </c>
      <c r="D2821" s="1" t="s">
        <v>6027</v>
      </c>
      <c r="E2821" s="1" t="s">
        <v>6053</v>
      </c>
      <c r="F2821" s="1" t="s">
        <v>55</v>
      </c>
      <c r="G2821" s="1" t="s">
        <v>17</v>
      </c>
      <c r="H2821" s="1" t="s">
        <v>18</v>
      </c>
      <c r="I2821" s="1" t="s">
        <v>163</v>
      </c>
      <c r="J2821" s="1">
        <f>IFERROR(__xludf.DUMMYFUNCTION("""COMPUTED_VALUE"""),86.0)</f>
        <v>86</v>
      </c>
      <c r="K2821" s="1">
        <v>14.0</v>
      </c>
      <c r="L2821" s="1">
        <f>IFERROR(__xludf.DUMMYFUNCTION("""COMPUTED_VALUE"""),107.0)</f>
        <v>107</v>
      </c>
    </row>
    <row r="2822">
      <c r="A2822" s="1">
        <v>7204044.0</v>
      </c>
      <c r="B2822" s="1" t="s">
        <v>6054</v>
      </c>
      <c r="C2822" s="1" t="s">
        <v>6010</v>
      </c>
      <c r="D2822" s="1" t="s">
        <v>6014</v>
      </c>
      <c r="E2822" s="1" t="s">
        <v>6055</v>
      </c>
      <c r="F2822" s="1" t="s">
        <v>16</v>
      </c>
      <c r="G2822" s="1" t="s">
        <v>23</v>
      </c>
      <c r="H2822" s="1" t="s">
        <v>18</v>
      </c>
      <c r="I2822" s="1" t="s">
        <v>74</v>
      </c>
      <c r="J2822" s="1">
        <f>IFERROR(__xludf.DUMMYFUNCTION("""COMPUTED_VALUE"""),59.0)</f>
        <v>59</v>
      </c>
      <c r="K2822" s="1">
        <v>24.0</v>
      </c>
      <c r="L2822" s="1">
        <f>IFERROR(__xludf.DUMMYFUNCTION("""COMPUTED_VALUE"""),7.0)</f>
        <v>7</v>
      </c>
    </row>
    <row r="2823">
      <c r="A2823" s="1">
        <v>7208115.0</v>
      </c>
      <c r="B2823" s="1" t="s">
        <v>6056</v>
      </c>
      <c r="C2823" s="1" t="s">
        <v>6010</v>
      </c>
      <c r="D2823" s="1" t="s">
        <v>6027</v>
      </c>
      <c r="E2823" s="1" t="s">
        <v>6057</v>
      </c>
      <c r="F2823" s="1" t="s">
        <v>16</v>
      </c>
      <c r="G2823" s="1" t="s">
        <v>23</v>
      </c>
      <c r="H2823" s="1" t="s">
        <v>18</v>
      </c>
      <c r="I2823" s="1" t="s">
        <v>40</v>
      </c>
      <c r="J2823" s="1">
        <f>IFERROR(__xludf.DUMMYFUNCTION("""COMPUTED_VALUE"""),62.0)</f>
        <v>62</v>
      </c>
      <c r="K2823" s="1">
        <v>16.0</v>
      </c>
      <c r="L2823" s="1">
        <f>IFERROR(__xludf.DUMMYFUNCTION("""COMPUTED_VALUE"""),129.0)</f>
        <v>129</v>
      </c>
    </row>
    <row r="2824">
      <c r="A2824" s="1">
        <v>7271014.0</v>
      </c>
      <c r="B2824" s="1" t="s">
        <v>6058</v>
      </c>
      <c r="C2824" s="1" t="s">
        <v>6010</v>
      </c>
      <c r="D2824" s="1" t="s">
        <v>6019</v>
      </c>
      <c r="E2824" s="1" t="s">
        <v>6059</v>
      </c>
      <c r="F2824" s="1" t="s">
        <v>16</v>
      </c>
      <c r="G2824" s="1" t="s">
        <v>27</v>
      </c>
      <c r="H2824" s="1" t="s">
        <v>28</v>
      </c>
      <c r="I2824" s="1" t="s">
        <v>139</v>
      </c>
      <c r="J2824" s="1">
        <f>IFERROR(__xludf.DUMMYFUNCTION("""COMPUTED_VALUE"""),397.0)</f>
        <v>397</v>
      </c>
      <c r="K2824" s="1">
        <v>115.0</v>
      </c>
      <c r="L2824" s="1">
        <f>IFERROR(__xludf.DUMMYFUNCTION("""COMPUTED_VALUE"""),1014.0)</f>
        <v>1014</v>
      </c>
    </row>
    <row r="2825">
      <c r="A2825" s="1">
        <v>7203018.0</v>
      </c>
      <c r="B2825" s="1" t="s">
        <v>6060</v>
      </c>
      <c r="C2825" s="1" t="s">
        <v>6010</v>
      </c>
      <c r="D2825" s="1" t="s">
        <v>6048</v>
      </c>
      <c r="E2825" s="1" t="s">
        <v>6061</v>
      </c>
      <c r="F2825" s="1" t="s">
        <v>16</v>
      </c>
      <c r="G2825" s="1" t="s">
        <v>23</v>
      </c>
      <c r="H2825" s="1" t="s">
        <v>18</v>
      </c>
      <c r="I2825" s="1" t="s">
        <v>40</v>
      </c>
      <c r="J2825" s="1">
        <f>IFERROR(__xludf.DUMMYFUNCTION("""COMPUTED_VALUE"""),51.0)</f>
        <v>51</v>
      </c>
      <c r="K2825" s="1">
        <v>25.0</v>
      </c>
      <c r="L2825" s="1">
        <f>IFERROR(__xludf.DUMMYFUNCTION("""COMPUTED_VALUE"""),145.0)</f>
        <v>145</v>
      </c>
    </row>
    <row r="2826">
      <c r="A2826" s="1">
        <v>7204021.0</v>
      </c>
      <c r="B2826" s="1" t="s">
        <v>6062</v>
      </c>
      <c r="C2826" s="1" t="s">
        <v>6010</v>
      </c>
      <c r="D2826" s="1" t="s">
        <v>6042</v>
      </c>
      <c r="E2826" s="1" t="s">
        <v>6063</v>
      </c>
      <c r="F2826" s="1" t="s">
        <v>16</v>
      </c>
      <c r="G2826" s="1" t="s">
        <v>17</v>
      </c>
      <c r="H2826" s="1" t="s">
        <v>28</v>
      </c>
      <c r="I2826" s="1" t="s">
        <v>40</v>
      </c>
      <c r="J2826" s="1">
        <f>IFERROR(__xludf.DUMMYFUNCTION("""COMPUTED_VALUE"""),182.0)</f>
        <v>182</v>
      </c>
      <c r="K2826" s="1">
        <v>56.0</v>
      </c>
      <c r="L2826" s="1">
        <f>IFERROR(__xludf.DUMMYFUNCTION("""COMPUTED_VALUE"""),302.0)</f>
        <v>302</v>
      </c>
    </row>
    <row r="2827">
      <c r="A2827" s="1">
        <v>7210002.0</v>
      </c>
      <c r="B2827" s="1" t="s">
        <v>6064</v>
      </c>
      <c r="C2827" s="1" t="s">
        <v>6010</v>
      </c>
      <c r="D2827" s="1" t="s">
        <v>6065</v>
      </c>
      <c r="E2827" s="1" t="s">
        <v>6066</v>
      </c>
      <c r="F2827" s="1" t="s">
        <v>16</v>
      </c>
      <c r="G2827" s="1" t="s">
        <v>17</v>
      </c>
      <c r="H2827" s="1" t="s">
        <v>28</v>
      </c>
      <c r="I2827" s="1" t="s">
        <v>40</v>
      </c>
      <c r="J2827" s="1">
        <f>IFERROR(__xludf.DUMMYFUNCTION("""COMPUTED_VALUE"""),209.0)</f>
        <v>209</v>
      </c>
      <c r="K2827" s="1">
        <v>28.0</v>
      </c>
      <c r="L2827" s="1">
        <f>IFERROR(__xludf.DUMMYFUNCTION("""COMPUTED_VALUE"""),277.0)</f>
        <v>277</v>
      </c>
    </row>
    <row r="2828">
      <c r="A2828" s="1">
        <v>7206014.0</v>
      </c>
      <c r="B2828" s="1" t="s">
        <v>6067</v>
      </c>
      <c r="C2828" s="1" t="s">
        <v>6010</v>
      </c>
      <c r="D2828" s="1" t="s">
        <v>6045</v>
      </c>
      <c r="E2828" s="1" t="s">
        <v>6068</v>
      </c>
      <c r="F2828" s="1" t="s">
        <v>16</v>
      </c>
      <c r="G2828" s="1" t="s">
        <v>23</v>
      </c>
      <c r="H2828" s="1" t="s">
        <v>18</v>
      </c>
      <c r="I2828" s="1" t="s">
        <v>40</v>
      </c>
      <c r="J2828" s="1">
        <f>IFERROR(__xludf.DUMMYFUNCTION("""COMPUTED_VALUE"""),56.0)</f>
        <v>56</v>
      </c>
      <c r="K2828" s="1">
        <v>17.0</v>
      </c>
      <c r="L2828" s="1">
        <f>IFERROR(__xludf.DUMMYFUNCTION("""COMPUTED_VALUE"""),123.0)</f>
        <v>123</v>
      </c>
    </row>
    <row r="2829">
      <c r="A2829" s="1">
        <v>7271036.0</v>
      </c>
      <c r="B2829" s="1" t="s">
        <v>6069</v>
      </c>
      <c r="C2829" s="1" t="s">
        <v>6010</v>
      </c>
      <c r="D2829" s="1" t="s">
        <v>6019</v>
      </c>
      <c r="E2829" s="1" t="s">
        <v>6070</v>
      </c>
      <c r="F2829" s="1" t="s">
        <v>16</v>
      </c>
      <c r="G2829" s="1" t="s">
        <v>27</v>
      </c>
      <c r="H2829" s="1" t="s">
        <v>28</v>
      </c>
      <c r="I2829" s="1" t="s">
        <v>29</v>
      </c>
      <c r="J2829" s="1">
        <f>IFERROR(__xludf.DUMMYFUNCTION("""COMPUTED_VALUE"""),357.0)</f>
        <v>357</v>
      </c>
      <c r="K2829" s="1">
        <v>69.0</v>
      </c>
      <c r="L2829" s="1">
        <f>IFERROR(__xludf.DUMMYFUNCTION("""COMPUTED_VALUE"""),1439.0)</f>
        <v>1439</v>
      </c>
    </row>
    <row r="2830">
      <c r="A2830" s="1">
        <v>7271131.0</v>
      </c>
      <c r="B2830" s="1" t="s">
        <v>6071</v>
      </c>
      <c r="C2830" s="1" t="s">
        <v>6010</v>
      </c>
      <c r="D2830" s="1" t="s">
        <v>6019</v>
      </c>
      <c r="E2830" s="1" t="s">
        <v>6072</v>
      </c>
      <c r="F2830" s="1" t="s">
        <v>55</v>
      </c>
      <c r="G2830" s="1" t="s">
        <v>17</v>
      </c>
      <c r="H2830" s="1" t="s">
        <v>18</v>
      </c>
      <c r="I2830" s="1" t="s">
        <v>19</v>
      </c>
      <c r="J2830" s="1">
        <f>IFERROR(__xludf.DUMMYFUNCTION("""COMPUTED_VALUE"""),28.0)</f>
        <v>28</v>
      </c>
      <c r="K2830" s="1">
        <v>7.0</v>
      </c>
      <c r="L2830" s="1">
        <f>IFERROR(__xludf.DUMMYFUNCTION("""COMPUTED_VALUE"""),29.0)</f>
        <v>29</v>
      </c>
    </row>
    <row r="2831">
      <c r="A2831" s="1">
        <v>7204043.0</v>
      </c>
      <c r="B2831" s="1" t="s">
        <v>6073</v>
      </c>
      <c r="C2831" s="1" t="s">
        <v>6010</v>
      </c>
      <c r="D2831" s="1" t="s">
        <v>6014</v>
      </c>
      <c r="E2831" s="1" t="s">
        <v>6074</v>
      </c>
      <c r="F2831" s="1" t="s">
        <v>16</v>
      </c>
      <c r="G2831" s="1" t="s">
        <v>23</v>
      </c>
      <c r="H2831" s="1" t="s">
        <v>18</v>
      </c>
      <c r="I2831" s="1" t="s">
        <v>59</v>
      </c>
      <c r="J2831" s="1">
        <f>IFERROR(__xludf.DUMMYFUNCTION("""COMPUTED_VALUE"""),62.0)</f>
        <v>62</v>
      </c>
      <c r="K2831" s="1">
        <v>21.0</v>
      </c>
      <c r="L2831" s="1">
        <f>IFERROR(__xludf.DUMMYFUNCTION("""COMPUTED_VALUE"""),125.0)</f>
        <v>125</v>
      </c>
    </row>
    <row r="2832">
      <c r="A2832" s="1">
        <v>7202016.0</v>
      </c>
      <c r="B2832" s="1" t="s">
        <v>6075</v>
      </c>
      <c r="C2832" s="1" t="s">
        <v>6010</v>
      </c>
      <c r="D2832" s="1" t="s">
        <v>6076</v>
      </c>
      <c r="E2832" s="1" t="s">
        <v>6077</v>
      </c>
      <c r="F2832" s="1" t="s">
        <v>16</v>
      </c>
      <c r="G2832" s="1" t="s">
        <v>98</v>
      </c>
      <c r="H2832" s="1" t="s">
        <v>18</v>
      </c>
      <c r="I2832" s="1" t="s">
        <v>40</v>
      </c>
      <c r="J2832" s="1">
        <f>IFERROR(__xludf.DUMMYFUNCTION("""COMPUTED_VALUE"""),27.0)</f>
        <v>27</v>
      </c>
      <c r="K2832" s="1">
        <v>5.0</v>
      </c>
      <c r="L2832" s="1">
        <f>IFERROR(__xludf.DUMMYFUNCTION("""COMPUTED_VALUE"""),45.0)</f>
        <v>45</v>
      </c>
    </row>
    <row r="2833">
      <c r="A2833" s="1">
        <v>7271051.0</v>
      </c>
      <c r="B2833" s="1" t="s">
        <v>6078</v>
      </c>
      <c r="C2833" s="1" t="s">
        <v>6010</v>
      </c>
      <c r="D2833" s="1" t="s">
        <v>6019</v>
      </c>
      <c r="E2833" s="1" t="s">
        <v>6079</v>
      </c>
      <c r="F2833" s="1" t="s">
        <v>16</v>
      </c>
      <c r="G2833" s="1" t="s">
        <v>17</v>
      </c>
      <c r="H2833" s="1" t="s">
        <v>28</v>
      </c>
      <c r="I2833" s="1" t="s">
        <v>139</v>
      </c>
      <c r="J2833" s="1">
        <f>IFERROR(__xludf.DUMMYFUNCTION("""COMPUTED_VALUE"""),226.0)</f>
        <v>226</v>
      </c>
      <c r="K2833" s="1">
        <v>28.0</v>
      </c>
      <c r="L2833" s="1">
        <f>IFERROR(__xludf.DUMMYFUNCTION("""COMPUTED_VALUE"""),303.0)</f>
        <v>303</v>
      </c>
    </row>
    <row r="2834">
      <c r="A2834" s="1">
        <v>7271128.0</v>
      </c>
      <c r="B2834" s="1" t="s">
        <v>6080</v>
      </c>
      <c r="C2834" s="1" t="s">
        <v>6010</v>
      </c>
      <c r="D2834" s="1" t="s">
        <v>6019</v>
      </c>
      <c r="E2834" s="1" t="s">
        <v>6081</v>
      </c>
      <c r="F2834" s="1" t="s">
        <v>16</v>
      </c>
      <c r="G2834" s="1" t="s">
        <v>17</v>
      </c>
      <c r="H2834" s="1" t="s">
        <v>18</v>
      </c>
      <c r="I2834" s="1" t="s">
        <v>59</v>
      </c>
      <c r="J2834" s="1">
        <f>IFERROR(__xludf.DUMMYFUNCTION("""COMPUTED_VALUE"""),100.0)</f>
        <v>100</v>
      </c>
      <c r="K2834" s="1">
        <v>38.0</v>
      </c>
      <c r="L2834" s="1">
        <f>IFERROR(__xludf.DUMMYFUNCTION("""COMPUTED_VALUE"""),98.0)</f>
        <v>98</v>
      </c>
    </row>
    <row r="2835">
      <c r="A2835" s="1">
        <v>7202017.0</v>
      </c>
      <c r="B2835" s="1" t="s">
        <v>6082</v>
      </c>
      <c r="C2835" s="1" t="s">
        <v>6010</v>
      </c>
      <c r="D2835" s="1" t="s">
        <v>6076</v>
      </c>
      <c r="E2835" s="1" t="s">
        <v>6083</v>
      </c>
      <c r="F2835" s="1" t="s">
        <v>16</v>
      </c>
      <c r="G2835" s="1" t="s">
        <v>23</v>
      </c>
      <c r="H2835" s="1" t="s">
        <v>18</v>
      </c>
      <c r="I2835" s="1" t="s">
        <v>44</v>
      </c>
      <c r="J2835" s="1">
        <f>IFERROR(__xludf.DUMMYFUNCTION("""COMPUTED_VALUE"""),55.0)</f>
        <v>55</v>
      </c>
      <c r="K2835" s="1">
        <v>21.0</v>
      </c>
      <c r="L2835" s="1">
        <f>IFERROR(__xludf.DUMMYFUNCTION("""COMPUTED_VALUE"""),45.0)</f>
        <v>45</v>
      </c>
    </row>
    <row r="2836">
      <c r="A2836" s="1">
        <v>7205022.0</v>
      </c>
      <c r="B2836" s="1" t="s">
        <v>6084</v>
      </c>
      <c r="C2836" s="1" t="s">
        <v>6010</v>
      </c>
      <c r="D2836" s="1" t="s">
        <v>6034</v>
      </c>
      <c r="E2836" s="1" t="s">
        <v>6085</v>
      </c>
      <c r="F2836" s="1" t="s">
        <v>16</v>
      </c>
      <c r="G2836" s="1" t="s">
        <v>17</v>
      </c>
      <c r="H2836" s="1" t="s">
        <v>28</v>
      </c>
      <c r="I2836" s="1" t="s">
        <v>40</v>
      </c>
      <c r="J2836" s="1">
        <f>IFERROR(__xludf.DUMMYFUNCTION("""COMPUTED_VALUE"""),129.0)</f>
        <v>129</v>
      </c>
      <c r="K2836" s="1">
        <v>25.0</v>
      </c>
      <c r="L2836" s="1">
        <f>IFERROR(__xludf.DUMMYFUNCTION("""COMPUTED_VALUE"""),272.0)</f>
        <v>272</v>
      </c>
    </row>
    <row r="2837">
      <c r="A2837" s="1">
        <v>7202015.0</v>
      </c>
      <c r="B2837" s="1" t="s">
        <v>6086</v>
      </c>
      <c r="C2837" s="1" t="s">
        <v>6010</v>
      </c>
      <c r="D2837" s="1" t="s">
        <v>6076</v>
      </c>
      <c r="E2837" s="1" t="s">
        <v>6087</v>
      </c>
      <c r="F2837" s="1" t="s">
        <v>16</v>
      </c>
      <c r="G2837" s="1" t="s">
        <v>27</v>
      </c>
      <c r="H2837" s="1" t="s">
        <v>28</v>
      </c>
      <c r="I2837" s="1" t="s">
        <v>40</v>
      </c>
      <c r="J2837" s="1">
        <f>IFERROR(__xludf.DUMMYFUNCTION("""COMPUTED_VALUE"""),311.0)</f>
        <v>311</v>
      </c>
      <c r="K2837" s="1">
        <v>35.0</v>
      </c>
      <c r="L2837" s="1">
        <f>IFERROR(__xludf.DUMMYFUNCTION("""COMPUTED_VALUE"""),266.0)</f>
        <v>266</v>
      </c>
    </row>
    <row r="2838">
      <c r="A2838" s="1">
        <v>7271132.0</v>
      </c>
      <c r="B2838" s="1" t="s">
        <v>6088</v>
      </c>
      <c r="C2838" s="1" t="s">
        <v>6010</v>
      </c>
      <c r="D2838" s="1" t="s">
        <v>6019</v>
      </c>
      <c r="E2838" s="1" t="s">
        <v>6089</v>
      </c>
      <c r="F2838" s="1" t="s">
        <v>16</v>
      </c>
      <c r="G2838" s="1" t="s">
        <v>17</v>
      </c>
      <c r="H2838" s="1" t="s">
        <v>18</v>
      </c>
      <c r="I2838" s="1" t="s">
        <v>44</v>
      </c>
      <c r="J2838" s="1">
        <f>IFERROR(__xludf.DUMMYFUNCTION("""COMPUTED_VALUE"""),110.0)</f>
        <v>110</v>
      </c>
      <c r="K2838" s="1">
        <v>63.0</v>
      </c>
      <c r="L2838" s="1">
        <f>IFERROR(__xludf.DUMMYFUNCTION("""COMPUTED_VALUE"""),132.0)</f>
        <v>132</v>
      </c>
    </row>
    <row r="2839">
      <c r="A2839" s="1">
        <v>7209002.0</v>
      </c>
      <c r="B2839" s="1" t="s">
        <v>6090</v>
      </c>
      <c r="C2839" s="1" t="s">
        <v>6010</v>
      </c>
      <c r="D2839" s="1" t="s">
        <v>6022</v>
      </c>
      <c r="E2839" s="1" t="s">
        <v>6091</v>
      </c>
      <c r="F2839" s="1" t="s">
        <v>16</v>
      </c>
      <c r="G2839" s="1" t="s">
        <v>23</v>
      </c>
      <c r="H2839" s="1" t="s">
        <v>18</v>
      </c>
      <c r="I2839" s="1" t="s">
        <v>40</v>
      </c>
      <c r="J2839" s="1">
        <f>IFERROR(__xludf.DUMMYFUNCTION("""COMPUTED_VALUE"""),72.0)</f>
        <v>72</v>
      </c>
      <c r="K2839" s="1">
        <v>14.0</v>
      </c>
      <c r="L2839" s="1">
        <f>IFERROR(__xludf.DUMMYFUNCTION("""COMPUTED_VALUE"""),110.0)</f>
        <v>110</v>
      </c>
    </row>
    <row r="2840">
      <c r="A2840" s="1">
        <v>7271116.0</v>
      </c>
      <c r="B2840" s="1" t="s">
        <v>6092</v>
      </c>
      <c r="C2840" s="1" t="s">
        <v>6010</v>
      </c>
      <c r="D2840" s="1" t="s">
        <v>6019</v>
      </c>
      <c r="E2840" s="1" t="s">
        <v>6093</v>
      </c>
      <c r="F2840" s="1" t="s">
        <v>55</v>
      </c>
      <c r="G2840" s="1" t="s">
        <v>17</v>
      </c>
      <c r="H2840" s="1" t="s">
        <v>18</v>
      </c>
      <c r="I2840" s="1" t="s">
        <v>59</v>
      </c>
      <c r="J2840" s="1">
        <f>IFERROR(__xludf.DUMMYFUNCTION("""COMPUTED_VALUE"""),32.0)</f>
        <v>32</v>
      </c>
      <c r="K2840" s="1">
        <v>13.0</v>
      </c>
      <c r="L2840" s="1">
        <f>IFERROR(__xludf.DUMMYFUNCTION("""COMPUTED_VALUE"""),21.0)</f>
        <v>21</v>
      </c>
    </row>
    <row r="2841">
      <c r="A2841" s="1">
        <v>7271127.0</v>
      </c>
      <c r="B2841" s="1" t="s">
        <v>6094</v>
      </c>
      <c r="C2841" s="1" t="s">
        <v>6010</v>
      </c>
      <c r="D2841" s="1" t="s">
        <v>6019</v>
      </c>
      <c r="E2841" s="1" t="s">
        <v>6095</v>
      </c>
      <c r="F2841" s="1" t="s">
        <v>16</v>
      </c>
      <c r="G2841" s="1" t="s">
        <v>17</v>
      </c>
      <c r="H2841" s="1" t="s">
        <v>33</v>
      </c>
      <c r="I2841" s="1" t="s">
        <v>65</v>
      </c>
      <c r="J2841" s="1">
        <f>IFERROR(__xludf.DUMMYFUNCTION("""COMPUTED_VALUE"""),114.0)</f>
        <v>114</v>
      </c>
      <c r="K2841" s="1">
        <v>36.0</v>
      </c>
      <c r="L2841" s="1">
        <f>IFERROR(__xludf.DUMMYFUNCTION("""COMPUTED_VALUE"""),214.0)</f>
        <v>214</v>
      </c>
    </row>
    <row r="2842">
      <c r="A2842" s="1">
        <v>7271133.0</v>
      </c>
      <c r="B2842" s="1" t="s">
        <v>6096</v>
      </c>
      <c r="C2842" s="1" t="s">
        <v>6010</v>
      </c>
      <c r="D2842" s="1" t="s">
        <v>6019</v>
      </c>
      <c r="E2842" s="1" t="s">
        <v>6097</v>
      </c>
      <c r="F2842" s="1" t="s">
        <v>16</v>
      </c>
      <c r="G2842" s="1" t="s">
        <v>17</v>
      </c>
      <c r="H2842" s="1" t="s">
        <v>18</v>
      </c>
      <c r="I2842" s="1" t="s">
        <v>34</v>
      </c>
      <c r="J2842" s="1">
        <f>IFERROR(__xludf.DUMMYFUNCTION("""COMPUTED_VALUE"""),2.0)</f>
        <v>2</v>
      </c>
      <c r="K2842" s="1">
        <v>16.0</v>
      </c>
      <c r="L2842" s="1">
        <f>IFERROR(__xludf.DUMMYFUNCTION("""COMPUTED_VALUE"""),108.0)</f>
        <v>108</v>
      </c>
    </row>
    <row r="2843">
      <c r="A2843" s="1">
        <v>7207013.0</v>
      </c>
      <c r="B2843" s="1" t="s">
        <v>6098</v>
      </c>
      <c r="C2843" s="1" t="s">
        <v>6010</v>
      </c>
      <c r="D2843" s="1" t="s">
        <v>6099</v>
      </c>
      <c r="E2843" s="1" t="s">
        <v>6100</v>
      </c>
      <c r="F2843" s="1" t="s">
        <v>16</v>
      </c>
      <c r="G2843" s="1" t="s">
        <v>17</v>
      </c>
      <c r="H2843" s="1" t="s">
        <v>28</v>
      </c>
      <c r="I2843" s="1" t="s">
        <v>40</v>
      </c>
      <c r="J2843" s="1">
        <f>IFERROR(__xludf.DUMMYFUNCTION("""COMPUTED_VALUE"""),223.0)</f>
        <v>223</v>
      </c>
      <c r="K2843" s="1">
        <v>38.0</v>
      </c>
      <c r="L2843" s="1">
        <f>IFERROR(__xludf.DUMMYFUNCTION("""COMPUTED_VALUE"""),391.0)</f>
        <v>391</v>
      </c>
    </row>
    <row r="2844">
      <c r="A2844" s="1">
        <v>7316015.0</v>
      </c>
      <c r="B2844" s="1" t="s">
        <v>6101</v>
      </c>
      <c r="C2844" s="1" t="s">
        <v>6102</v>
      </c>
      <c r="D2844" s="1" t="s">
        <v>6103</v>
      </c>
      <c r="E2844" s="1" t="s">
        <v>6104</v>
      </c>
      <c r="F2844" s="1" t="s">
        <v>16</v>
      </c>
      <c r="G2844" s="1" t="s">
        <v>17</v>
      </c>
      <c r="H2844" s="1" t="s">
        <v>28</v>
      </c>
      <c r="I2844" s="1" t="s">
        <v>40</v>
      </c>
      <c r="J2844" s="1">
        <f>IFERROR(__xludf.DUMMYFUNCTION("""COMPUTED_VALUE"""),119.0)</f>
        <v>119</v>
      </c>
      <c r="K2844" s="1">
        <v>31.0</v>
      </c>
      <c r="L2844" s="1">
        <f>IFERROR(__xludf.DUMMYFUNCTION("""COMPUTED_VALUE"""),567.0)</f>
        <v>567</v>
      </c>
    </row>
    <row r="2845">
      <c r="A2845" s="1">
        <v>7371191.0</v>
      </c>
      <c r="B2845" s="1" t="s">
        <v>6105</v>
      </c>
      <c r="C2845" s="1" t="s">
        <v>6102</v>
      </c>
      <c r="D2845" s="1" t="s">
        <v>6106</v>
      </c>
      <c r="E2845" s="1" t="s">
        <v>6107</v>
      </c>
      <c r="F2845" s="1" t="s">
        <v>55</v>
      </c>
      <c r="G2845" s="1" t="s">
        <v>17</v>
      </c>
      <c r="H2845" s="1" t="s">
        <v>18</v>
      </c>
      <c r="I2845" s="1" t="s">
        <v>684</v>
      </c>
      <c r="J2845" s="1">
        <f>IFERROR(__xludf.DUMMYFUNCTION("""COMPUTED_VALUE"""),75.0)</f>
        <v>75</v>
      </c>
      <c r="K2845" s="1">
        <v>20.0</v>
      </c>
      <c r="L2845" s="1">
        <f>IFERROR(__xludf.DUMMYFUNCTION("""COMPUTED_VALUE"""),167.0)</f>
        <v>167</v>
      </c>
    </row>
    <row r="2846">
      <c r="A2846" s="1">
        <v>7373003.0</v>
      </c>
      <c r="B2846" s="1" t="s">
        <v>6108</v>
      </c>
      <c r="C2846" s="1" t="s">
        <v>6102</v>
      </c>
      <c r="D2846" s="1" t="s">
        <v>6109</v>
      </c>
      <c r="E2846" s="1" t="s">
        <v>6110</v>
      </c>
      <c r="F2846" s="1" t="s">
        <v>16</v>
      </c>
      <c r="G2846" s="1" t="s">
        <v>17</v>
      </c>
      <c r="H2846" s="1" t="s">
        <v>33</v>
      </c>
      <c r="I2846" s="1" t="s">
        <v>44</v>
      </c>
      <c r="J2846" s="1">
        <f>IFERROR(__xludf.DUMMYFUNCTION("""COMPUTED_VALUE"""),101.0)</f>
        <v>101</v>
      </c>
      <c r="K2846" s="1">
        <v>17.0</v>
      </c>
      <c r="L2846" s="1">
        <f>IFERROR(__xludf.DUMMYFUNCTION("""COMPUTED_VALUE"""),182.0)</f>
        <v>182</v>
      </c>
    </row>
    <row r="2847">
      <c r="A2847" s="1">
        <v>7371433.0</v>
      </c>
      <c r="B2847" s="1" t="s">
        <v>6111</v>
      </c>
      <c r="C2847" s="1" t="s">
        <v>6102</v>
      </c>
      <c r="D2847" s="1" t="s">
        <v>6106</v>
      </c>
      <c r="E2847" s="1" t="s">
        <v>6112</v>
      </c>
      <c r="F2847" s="1" t="s">
        <v>32</v>
      </c>
      <c r="G2847" s="1" t="s">
        <v>17</v>
      </c>
      <c r="H2847" s="1" t="s">
        <v>28</v>
      </c>
      <c r="I2847" s="1" t="s">
        <v>139</v>
      </c>
      <c r="J2847" s="1">
        <f>IFERROR(__xludf.DUMMYFUNCTION("""COMPUTED_VALUE"""),10.0)</f>
        <v>10</v>
      </c>
      <c r="K2847" s="1">
        <v>21.0</v>
      </c>
      <c r="L2847" s="1">
        <f>IFERROR(__xludf.DUMMYFUNCTION("""COMPUTED_VALUE"""),97.0)</f>
        <v>97</v>
      </c>
    </row>
    <row r="2848">
      <c r="A2848" s="1">
        <v>7371014.0</v>
      </c>
      <c r="B2848" s="1" t="s">
        <v>6113</v>
      </c>
      <c r="C2848" s="1" t="s">
        <v>6102</v>
      </c>
      <c r="D2848" s="1" t="s">
        <v>6106</v>
      </c>
      <c r="E2848" s="1" t="s">
        <v>6114</v>
      </c>
      <c r="F2848" s="1" t="s">
        <v>16</v>
      </c>
      <c r="G2848" s="1" t="s">
        <v>17</v>
      </c>
      <c r="H2848" s="1" t="s">
        <v>18</v>
      </c>
      <c r="I2848" s="1" t="s">
        <v>139</v>
      </c>
      <c r="J2848" s="1">
        <f>IFERROR(__xludf.DUMMYFUNCTION("""COMPUTED_VALUE"""),127.0)</f>
        <v>127</v>
      </c>
      <c r="K2848" s="1">
        <v>19.0</v>
      </c>
      <c r="L2848" s="1">
        <f>IFERROR(__xludf.DUMMYFUNCTION("""COMPUTED_VALUE"""),285.0)</f>
        <v>285</v>
      </c>
    </row>
    <row r="2849">
      <c r="A2849" s="1">
        <v>7302016.0</v>
      </c>
      <c r="B2849" s="1" t="s">
        <v>6115</v>
      </c>
      <c r="C2849" s="1" t="s">
        <v>6102</v>
      </c>
      <c r="D2849" s="1" t="s">
        <v>6116</v>
      </c>
      <c r="E2849" s="1" t="s">
        <v>6117</v>
      </c>
      <c r="F2849" s="1" t="s">
        <v>16</v>
      </c>
      <c r="G2849" s="1" t="s">
        <v>27</v>
      </c>
      <c r="H2849" s="1" t="s">
        <v>28</v>
      </c>
      <c r="I2849" s="1" t="s">
        <v>40</v>
      </c>
      <c r="J2849" s="1">
        <f>IFERROR(__xludf.DUMMYFUNCTION("""COMPUTED_VALUE"""),255.0)</f>
        <v>255</v>
      </c>
      <c r="K2849" s="1">
        <v>33.0</v>
      </c>
      <c r="L2849" s="1">
        <f>IFERROR(__xludf.DUMMYFUNCTION("""COMPUTED_VALUE"""),827.0)</f>
        <v>827</v>
      </c>
    </row>
    <row r="2850">
      <c r="A2850" s="1">
        <v>7373008.0</v>
      </c>
      <c r="B2850" s="1" t="s">
        <v>6118</v>
      </c>
      <c r="C2850" s="1" t="s">
        <v>6102</v>
      </c>
      <c r="D2850" s="1" t="s">
        <v>6109</v>
      </c>
      <c r="E2850" s="1" t="s">
        <v>6119</v>
      </c>
      <c r="F2850" s="1" t="s">
        <v>16</v>
      </c>
      <c r="G2850" s="1" t="s">
        <v>17</v>
      </c>
      <c r="H2850" s="1" t="s">
        <v>28</v>
      </c>
      <c r="I2850" s="1" t="s">
        <v>29</v>
      </c>
      <c r="J2850" s="1">
        <f>IFERROR(__xludf.DUMMYFUNCTION("""COMPUTED_VALUE"""),148.0)</f>
        <v>148</v>
      </c>
      <c r="K2850" s="1">
        <v>27.0</v>
      </c>
      <c r="L2850" s="1">
        <f>IFERROR(__xludf.DUMMYFUNCTION("""COMPUTED_VALUE"""),120.0)</f>
        <v>120</v>
      </c>
    </row>
    <row r="2851">
      <c r="A2851" s="1">
        <v>7371436.0</v>
      </c>
      <c r="B2851" s="1" t="s">
        <v>6120</v>
      </c>
      <c r="C2851" s="1" t="s">
        <v>6102</v>
      </c>
      <c r="D2851" s="1" t="s">
        <v>6106</v>
      </c>
      <c r="E2851" s="1" t="s">
        <v>6121</v>
      </c>
      <c r="F2851" s="1" t="s">
        <v>272</v>
      </c>
      <c r="G2851" s="1" t="s">
        <v>17</v>
      </c>
      <c r="H2851" s="1" t="s">
        <v>33</v>
      </c>
      <c r="I2851" s="1" t="s">
        <v>411</v>
      </c>
      <c r="J2851" s="1">
        <f>IFERROR(__xludf.DUMMYFUNCTION("""COMPUTED_VALUE"""),15.0)</f>
        <v>15</v>
      </c>
      <c r="K2851" s="1">
        <v>17.0</v>
      </c>
      <c r="L2851" s="1">
        <f>IFERROR(__xludf.DUMMYFUNCTION("""COMPUTED_VALUE"""),80.0)</f>
        <v>80</v>
      </c>
    </row>
    <row r="2852">
      <c r="A2852" s="1">
        <v>7308070.0</v>
      </c>
      <c r="B2852" s="1" t="s">
        <v>6122</v>
      </c>
      <c r="C2852" s="1" t="s">
        <v>6102</v>
      </c>
      <c r="D2852" s="1" t="s">
        <v>6123</v>
      </c>
      <c r="E2852" s="1" t="s">
        <v>6124</v>
      </c>
      <c r="F2852" s="1" t="s">
        <v>16</v>
      </c>
      <c r="G2852" s="1" t="s">
        <v>17</v>
      </c>
      <c r="H2852" s="1" t="s">
        <v>18</v>
      </c>
      <c r="I2852" s="1" t="s">
        <v>44</v>
      </c>
      <c r="J2852" s="1">
        <f>IFERROR(__xludf.DUMMYFUNCTION("""COMPUTED_VALUE"""),103.0)</f>
        <v>103</v>
      </c>
      <c r="K2852" s="1">
        <v>25.0</v>
      </c>
      <c r="L2852" s="1">
        <f>IFERROR(__xludf.DUMMYFUNCTION("""COMPUTED_VALUE"""),182.0)</f>
        <v>182</v>
      </c>
    </row>
    <row r="2853">
      <c r="A2853" s="1">
        <v>7371418.0</v>
      </c>
      <c r="B2853" s="1" t="s">
        <v>6125</v>
      </c>
      <c r="C2853" s="1" t="s">
        <v>6102</v>
      </c>
      <c r="D2853" s="1" t="s">
        <v>6106</v>
      </c>
      <c r="E2853" s="1" t="s">
        <v>6126</v>
      </c>
      <c r="F2853" s="1" t="s">
        <v>55</v>
      </c>
      <c r="G2853" s="1" t="s">
        <v>17</v>
      </c>
      <c r="H2853" s="1" t="s">
        <v>18</v>
      </c>
      <c r="I2853" s="1" t="s">
        <v>19</v>
      </c>
      <c r="J2853" s="1">
        <f>IFERROR(__xludf.DUMMYFUNCTION("""COMPUTED_VALUE"""),34.0)</f>
        <v>34</v>
      </c>
      <c r="K2853" s="1">
        <v>16.0</v>
      </c>
      <c r="L2853" s="1">
        <f>IFERROR(__xludf.DUMMYFUNCTION("""COMPUTED_VALUE"""),48.0)</f>
        <v>48</v>
      </c>
    </row>
    <row r="2854">
      <c r="A2854" s="1">
        <v>7308071.0</v>
      </c>
      <c r="B2854" s="1" t="s">
        <v>6127</v>
      </c>
      <c r="C2854" s="1" t="s">
        <v>6102</v>
      </c>
      <c r="D2854" s="1" t="s">
        <v>6123</v>
      </c>
      <c r="E2854" s="1" t="s">
        <v>6128</v>
      </c>
      <c r="F2854" s="1" t="s">
        <v>16</v>
      </c>
      <c r="G2854" s="1" t="s">
        <v>17</v>
      </c>
      <c r="H2854" s="1" t="s">
        <v>28</v>
      </c>
      <c r="I2854" s="1" t="s">
        <v>139</v>
      </c>
      <c r="J2854" s="1">
        <f>IFERROR(__xludf.DUMMYFUNCTION("""COMPUTED_VALUE"""),105.0)</f>
        <v>105</v>
      </c>
      <c r="K2854" s="1">
        <v>31.0</v>
      </c>
      <c r="L2854" s="1">
        <f>IFERROR(__xludf.DUMMYFUNCTION("""COMPUTED_VALUE"""),182.0)</f>
        <v>182</v>
      </c>
    </row>
    <row r="2855">
      <c r="A2855" s="1">
        <v>7371030.0</v>
      </c>
      <c r="B2855" s="1" t="s">
        <v>6129</v>
      </c>
      <c r="C2855" s="1" t="s">
        <v>6102</v>
      </c>
      <c r="D2855" s="1" t="s">
        <v>6106</v>
      </c>
      <c r="E2855" s="1" t="s">
        <v>6130</v>
      </c>
      <c r="F2855" s="1" t="s">
        <v>16</v>
      </c>
      <c r="G2855" s="1" t="s">
        <v>27</v>
      </c>
      <c r="H2855" s="1" t="s">
        <v>33</v>
      </c>
      <c r="I2855" s="1" t="s">
        <v>74</v>
      </c>
      <c r="J2855" s="1">
        <f>IFERROR(__xludf.DUMMYFUNCTION("""COMPUTED_VALUE"""),319.0)</f>
        <v>319</v>
      </c>
      <c r="K2855" s="1">
        <v>93.0</v>
      </c>
      <c r="L2855" s="1">
        <f>IFERROR(__xludf.DUMMYFUNCTION("""COMPUTED_VALUE"""),534.0)</f>
        <v>534</v>
      </c>
    </row>
    <row r="2856">
      <c r="A2856" s="1">
        <v>7371413.0</v>
      </c>
      <c r="B2856" s="1" t="s">
        <v>3016</v>
      </c>
      <c r="C2856" s="1" t="s">
        <v>6102</v>
      </c>
      <c r="D2856" s="1" t="s">
        <v>6106</v>
      </c>
      <c r="E2856" s="1" t="s">
        <v>6131</v>
      </c>
      <c r="F2856" s="1" t="s">
        <v>55</v>
      </c>
      <c r="G2856" s="1" t="s">
        <v>17</v>
      </c>
      <c r="H2856" s="1" t="s">
        <v>18</v>
      </c>
      <c r="I2856" s="1" t="s">
        <v>19</v>
      </c>
      <c r="J2856" s="1">
        <f>IFERROR(__xludf.DUMMYFUNCTION("""COMPUTED_VALUE"""),33.0)</f>
        <v>33</v>
      </c>
      <c r="K2856" s="1">
        <v>15.0</v>
      </c>
      <c r="L2856" s="1">
        <f>IFERROR(__xludf.DUMMYFUNCTION("""COMPUTED_VALUE"""),73.0)</f>
        <v>73</v>
      </c>
    </row>
    <row r="2857">
      <c r="A2857" s="1">
        <v>7373007.0</v>
      </c>
      <c r="B2857" s="1" t="s">
        <v>6132</v>
      </c>
      <c r="C2857" s="1" t="s">
        <v>6102</v>
      </c>
      <c r="D2857" s="1" t="s">
        <v>6109</v>
      </c>
      <c r="E2857" s="1" t="s">
        <v>6133</v>
      </c>
      <c r="F2857" s="1" t="s">
        <v>16</v>
      </c>
      <c r="G2857" s="1" t="s">
        <v>17</v>
      </c>
      <c r="H2857" s="1" t="s">
        <v>18</v>
      </c>
      <c r="I2857" s="1" t="s">
        <v>44</v>
      </c>
      <c r="J2857" s="1">
        <f>IFERROR(__xludf.DUMMYFUNCTION("""COMPUTED_VALUE"""),100.0)</f>
        <v>100</v>
      </c>
      <c r="K2857" s="1">
        <v>22.0</v>
      </c>
      <c r="L2857" s="1">
        <f>IFERROR(__xludf.DUMMYFUNCTION("""COMPUTED_VALUE"""),118.0)</f>
        <v>118</v>
      </c>
    </row>
    <row r="2858">
      <c r="A2858" s="1">
        <v>7371373.0</v>
      </c>
      <c r="B2858" s="1" t="s">
        <v>6134</v>
      </c>
      <c r="C2858" s="1" t="s">
        <v>6102</v>
      </c>
      <c r="D2858" s="1" t="s">
        <v>6106</v>
      </c>
      <c r="E2858" s="1" t="s">
        <v>6135</v>
      </c>
      <c r="F2858" s="1" t="s">
        <v>16</v>
      </c>
      <c r="G2858" s="1" t="s">
        <v>27</v>
      </c>
      <c r="H2858" s="1" t="s">
        <v>18</v>
      </c>
      <c r="I2858" s="1" t="s">
        <v>19</v>
      </c>
      <c r="J2858" s="1">
        <f>IFERROR(__xludf.DUMMYFUNCTION("""COMPUTED_VALUE"""),209.0)</f>
        <v>209</v>
      </c>
      <c r="K2858" s="1">
        <v>43.0</v>
      </c>
      <c r="L2858" s="1">
        <f>IFERROR(__xludf.DUMMYFUNCTION("""COMPUTED_VALUE"""),504.0)</f>
        <v>504</v>
      </c>
    </row>
    <row r="2859">
      <c r="A2859" s="1">
        <v>7310021.0</v>
      </c>
      <c r="B2859" s="1" t="s">
        <v>6136</v>
      </c>
      <c r="C2859" s="1" t="s">
        <v>6102</v>
      </c>
      <c r="D2859" s="1" t="s">
        <v>6137</v>
      </c>
      <c r="E2859" s="1" t="s">
        <v>6138</v>
      </c>
      <c r="F2859" s="1" t="s">
        <v>16</v>
      </c>
      <c r="G2859" s="1" t="s">
        <v>23</v>
      </c>
      <c r="H2859" s="1" t="s">
        <v>33</v>
      </c>
      <c r="I2859" s="1" t="s">
        <v>40</v>
      </c>
      <c r="J2859" s="1">
        <f>IFERROR(__xludf.DUMMYFUNCTION("""COMPUTED_VALUE"""),50.0)</f>
        <v>50</v>
      </c>
      <c r="K2859" s="1">
        <v>15.0</v>
      </c>
      <c r="L2859" s="1">
        <f>IFERROR(__xludf.DUMMYFUNCTION("""COMPUTED_VALUE"""),109.0)</f>
        <v>109</v>
      </c>
    </row>
    <row r="2860">
      <c r="A2860" s="1">
        <v>7301017.0</v>
      </c>
      <c r="B2860" s="1" t="s">
        <v>6139</v>
      </c>
      <c r="C2860" s="1" t="s">
        <v>6102</v>
      </c>
      <c r="D2860" s="1" t="s">
        <v>6140</v>
      </c>
      <c r="E2860" s="1" t="s">
        <v>6141</v>
      </c>
      <c r="F2860" s="1" t="s">
        <v>16</v>
      </c>
      <c r="G2860" s="1" t="s">
        <v>98</v>
      </c>
      <c r="H2860" s="1" t="s">
        <v>18</v>
      </c>
      <c r="I2860" s="1" t="s">
        <v>40</v>
      </c>
      <c r="J2860" s="1">
        <f>IFERROR(__xludf.DUMMYFUNCTION("""COMPUTED_VALUE"""),45.0)</f>
        <v>45</v>
      </c>
      <c r="K2860" s="1">
        <v>7.0</v>
      </c>
      <c r="L2860" s="1">
        <f>IFERROR(__xludf.DUMMYFUNCTION("""COMPUTED_VALUE"""),13.0)</f>
        <v>13</v>
      </c>
    </row>
    <row r="2861">
      <c r="A2861" s="1">
        <v>7310016.0</v>
      </c>
      <c r="B2861" s="1" t="s">
        <v>6142</v>
      </c>
      <c r="C2861" s="1" t="s">
        <v>6102</v>
      </c>
      <c r="D2861" s="1" t="s">
        <v>6137</v>
      </c>
      <c r="E2861" s="1" t="s">
        <v>6143</v>
      </c>
      <c r="F2861" s="1" t="s">
        <v>16</v>
      </c>
      <c r="G2861" s="1" t="s">
        <v>17</v>
      </c>
      <c r="H2861" s="1" t="s">
        <v>28</v>
      </c>
      <c r="I2861" s="1" t="s">
        <v>40</v>
      </c>
      <c r="J2861" s="1">
        <f>IFERROR(__xludf.DUMMYFUNCTION("""COMPUTED_VALUE"""),200.0)</f>
        <v>200</v>
      </c>
      <c r="K2861" s="1">
        <v>39.0</v>
      </c>
      <c r="L2861" s="1">
        <f>IFERROR(__xludf.DUMMYFUNCTION("""COMPUTED_VALUE"""),365.0)</f>
        <v>365</v>
      </c>
    </row>
    <row r="2862">
      <c r="A2862" s="1">
        <v>7317020.0</v>
      </c>
      <c r="B2862" s="1" t="s">
        <v>6144</v>
      </c>
      <c r="C2862" s="1" t="s">
        <v>6102</v>
      </c>
      <c r="D2862" s="1" t="s">
        <v>6145</v>
      </c>
      <c r="E2862" s="1" t="s">
        <v>6146</v>
      </c>
      <c r="F2862" s="1" t="s">
        <v>16</v>
      </c>
      <c r="G2862" s="1" t="s">
        <v>17</v>
      </c>
      <c r="H2862" s="1" t="s">
        <v>18</v>
      </c>
      <c r="I2862" s="1" t="s">
        <v>44</v>
      </c>
      <c r="J2862" s="1">
        <f>IFERROR(__xludf.DUMMYFUNCTION("""COMPUTED_VALUE"""),86.0)</f>
        <v>86</v>
      </c>
      <c r="K2862" s="1">
        <v>35.0</v>
      </c>
      <c r="L2862" s="1">
        <f>IFERROR(__xludf.DUMMYFUNCTION("""COMPUTED_VALUE"""),277.0)</f>
        <v>277</v>
      </c>
    </row>
    <row r="2863">
      <c r="A2863" s="1">
        <v>7372078.0</v>
      </c>
      <c r="B2863" s="1" t="s">
        <v>6147</v>
      </c>
      <c r="C2863" s="1" t="s">
        <v>6102</v>
      </c>
      <c r="D2863" s="1" t="s">
        <v>6148</v>
      </c>
      <c r="E2863" s="1" t="s">
        <v>6149</v>
      </c>
      <c r="F2863" s="1" t="s">
        <v>16</v>
      </c>
      <c r="G2863" s="1" t="s">
        <v>27</v>
      </c>
      <c r="H2863" s="1" t="s">
        <v>28</v>
      </c>
      <c r="I2863" s="1" t="s">
        <v>29</v>
      </c>
      <c r="J2863" s="1">
        <f>IFERROR(__xludf.DUMMYFUNCTION("""COMPUTED_VALUE"""),214.0)</f>
        <v>214</v>
      </c>
      <c r="K2863" s="1">
        <v>35.0</v>
      </c>
      <c r="L2863" s="1">
        <f>IFERROR(__xludf.DUMMYFUNCTION("""COMPUTED_VALUE"""),52.0)</f>
        <v>52</v>
      </c>
    </row>
    <row r="2864">
      <c r="A2864" s="1">
        <v>7371256.0</v>
      </c>
      <c r="B2864" s="1" t="s">
        <v>6150</v>
      </c>
      <c r="C2864" s="1" t="s">
        <v>6102</v>
      </c>
      <c r="D2864" s="1" t="s">
        <v>6106</v>
      </c>
      <c r="E2864" s="1" t="s">
        <v>6151</v>
      </c>
      <c r="F2864" s="1" t="s">
        <v>55</v>
      </c>
      <c r="G2864" s="1" t="s">
        <v>27</v>
      </c>
      <c r="H2864" s="1" t="s">
        <v>28</v>
      </c>
      <c r="I2864" s="1" t="s">
        <v>139</v>
      </c>
      <c r="J2864" s="1">
        <f>IFERROR(__xludf.DUMMYFUNCTION("""COMPUTED_VALUE"""),80.0)</f>
        <v>80</v>
      </c>
      <c r="K2864" s="1">
        <v>21.0</v>
      </c>
      <c r="L2864" s="1">
        <f>IFERROR(__xludf.DUMMYFUNCTION("""COMPUTED_VALUE"""),234.0)</f>
        <v>234</v>
      </c>
    </row>
    <row r="2865">
      <c r="A2865" s="1">
        <v>7305026.0</v>
      </c>
      <c r="B2865" s="1" t="s">
        <v>6152</v>
      </c>
      <c r="C2865" s="1" t="s">
        <v>6102</v>
      </c>
      <c r="D2865" s="1" t="s">
        <v>6153</v>
      </c>
      <c r="E2865" s="1" t="s">
        <v>6154</v>
      </c>
      <c r="F2865" s="1" t="s">
        <v>16</v>
      </c>
      <c r="G2865" s="1" t="s">
        <v>17</v>
      </c>
      <c r="H2865" s="1" t="s">
        <v>18</v>
      </c>
      <c r="I2865" s="1" t="s">
        <v>40</v>
      </c>
      <c r="J2865" s="1">
        <f>IFERROR(__xludf.DUMMYFUNCTION("""COMPUTED_VALUE"""),116.0)</f>
        <v>116</v>
      </c>
      <c r="K2865" s="1">
        <v>37.0</v>
      </c>
      <c r="L2865" s="1">
        <f>IFERROR(__xludf.DUMMYFUNCTION("""COMPUTED_VALUE"""),182.0)</f>
        <v>182</v>
      </c>
    </row>
    <row r="2866">
      <c r="A2866" s="1">
        <v>7308059.0</v>
      </c>
      <c r="B2866" s="1" t="s">
        <v>6155</v>
      </c>
      <c r="C2866" s="1" t="s">
        <v>6102</v>
      </c>
      <c r="D2866" s="1" t="s">
        <v>6123</v>
      </c>
      <c r="E2866" s="1" t="s">
        <v>6156</v>
      </c>
      <c r="F2866" s="1" t="s">
        <v>16</v>
      </c>
      <c r="G2866" s="1" t="s">
        <v>17</v>
      </c>
      <c r="H2866" s="1" t="s">
        <v>18</v>
      </c>
      <c r="I2866" s="1" t="s">
        <v>40</v>
      </c>
      <c r="J2866" s="1">
        <f>IFERROR(__xludf.DUMMYFUNCTION("""COMPUTED_VALUE"""),107.0)</f>
        <v>107</v>
      </c>
      <c r="K2866" s="1">
        <v>25.0</v>
      </c>
      <c r="L2866" s="1">
        <f>IFERROR(__xludf.DUMMYFUNCTION("""COMPUTED_VALUE"""),349.0)</f>
        <v>349</v>
      </c>
    </row>
    <row r="2867">
      <c r="A2867" s="1">
        <v>7305013.0</v>
      </c>
      <c r="B2867" s="1" t="s">
        <v>6157</v>
      </c>
      <c r="C2867" s="1" t="s">
        <v>6102</v>
      </c>
      <c r="D2867" s="1" t="s">
        <v>6153</v>
      </c>
      <c r="E2867" s="1" t="s">
        <v>6158</v>
      </c>
      <c r="F2867" s="1" t="s">
        <v>16</v>
      </c>
      <c r="G2867" s="1" t="s">
        <v>23</v>
      </c>
      <c r="H2867" s="1" t="s">
        <v>18</v>
      </c>
      <c r="I2867" s="1" t="s">
        <v>19</v>
      </c>
      <c r="J2867" s="1">
        <f>IFERROR(__xludf.DUMMYFUNCTION("""COMPUTED_VALUE"""),126.0)</f>
        <v>126</v>
      </c>
      <c r="K2867" s="1">
        <v>26.0</v>
      </c>
      <c r="L2867" s="1">
        <f>IFERROR(__xludf.DUMMYFUNCTION("""COMPUTED_VALUE"""),138.0)</f>
        <v>138</v>
      </c>
    </row>
    <row r="2868">
      <c r="A2868" s="1">
        <v>7305014.0</v>
      </c>
      <c r="B2868" s="1" t="s">
        <v>6159</v>
      </c>
      <c r="C2868" s="1" t="s">
        <v>6102</v>
      </c>
      <c r="D2868" s="1" t="s">
        <v>6153</v>
      </c>
      <c r="E2868" s="1" t="s">
        <v>6160</v>
      </c>
      <c r="F2868" s="1" t="s">
        <v>16</v>
      </c>
      <c r="G2868" s="1" t="s">
        <v>98</v>
      </c>
      <c r="H2868" s="1" t="s">
        <v>18</v>
      </c>
      <c r="I2868" s="1" t="s">
        <v>40</v>
      </c>
      <c r="J2868" s="1">
        <f>IFERROR(__xludf.DUMMYFUNCTION("""COMPUTED_VALUE"""),14.0)</f>
        <v>14</v>
      </c>
      <c r="K2868" s="1">
        <v>13.0</v>
      </c>
      <c r="L2868" s="1">
        <f>IFERROR(__xludf.DUMMYFUNCTION("""COMPUTED_VALUE"""),25.0)</f>
        <v>25</v>
      </c>
    </row>
    <row r="2869">
      <c r="A2869" s="1">
        <v>7371448.0</v>
      </c>
      <c r="B2869" s="1" t="s">
        <v>6161</v>
      </c>
      <c r="C2869" s="1" t="s">
        <v>6102</v>
      </c>
      <c r="D2869" s="1" t="s">
        <v>6106</v>
      </c>
      <c r="E2869" s="1" t="s">
        <v>6162</v>
      </c>
      <c r="F2869" s="1" t="s">
        <v>16</v>
      </c>
      <c r="G2869" s="1" t="s">
        <v>23</v>
      </c>
      <c r="H2869" s="1" t="s">
        <v>18</v>
      </c>
      <c r="I2869" s="1" t="s">
        <v>34</v>
      </c>
      <c r="J2869" s="1">
        <f>IFERROR(__xludf.DUMMYFUNCTION("""COMPUTED_VALUE"""),58.0)</f>
        <v>58</v>
      </c>
      <c r="K2869" s="1">
        <v>25.0</v>
      </c>
      <c r="L2869" s="1">
        <f>IFERROR(__xludf.DUMMYFUNCTION("""COMPUTED_VALUE"""),182.0)</f>
        <v>182</v>
      </c>
    </row>
    <row r="2870">
      <c r="A2870" s="1">
        <v>7304011.0</v>
      </c>
      <c r="B2870" s="1" t="s">
        <v>6163</v>
      </c>
      <c r="C2870" s="1" t="s">
        <v>6102</v>
      </c>
      <c r="D2870" s="1" t="s">
        <v>6164</v>
      </c>
      <c r="E2870" s="1" t="s">
        <v>6165</v>
      </c>
      <c r="F2870" s="1" t="s">
        <v>16</v>
      </c>
      <c r="G2870" s="1" t="s">
        <v>27</v>
      </c>
      <c r="H2870" s="1" t="s">
        <v>18</v>
      </c>
      <c r="I2870" s="1" t="s">
        <v>40</v>
      </c>
      <c r="J2870" s="1">
        <f>IFERROR(__xludf.DUMMYFUNCTION("""COMPUTED_VALUE"""),229.0)</f>
        <v>229</v>
      </c>
      <c r="K2870" s="1">
        <v>50.0</v>
      </c>
      <c r="L2870" s="1">
        <f>IFERROR(__xludf.DUMMYFUNCTION("""COMPUTED_VALUE"""),1036.0)</f>
        <v>1036</v>
      </c>
    </row>
    <row r="2871">
      <c r="A2871" s="1">
        <v>7317075.0</v>
      </c>
      <c r="B2871" s="1" t="s">
        <v>6166</v>
      </c>
      <c r="C2871" s="1" t="s">
        <v>6102</v>
      </c>
      <c r="D2871" s="1" t="s">
        <v>6167</v>
      </c>
      <c r="E2871" s="1" t="s">
        <v>6168</v>
      </c>
      <c r="F2871" s="1" t="s">
        <v>16</v>
      </c>
      <c r="G2871" s="1" t="s">
        <v>17</v>
      </c>
      <c r="H2871" s="1" t="s">
        <v>28</v>
      </c>
      <c r="I2871" s="1" t="s">
        <v>40</v>
      </c>
      <c r="J2871" s="1">
        <f>IFERROR(__xludf.DUMMYFUNCTION("""COMPUTED_VALUE"""),270.0)</f>
        <v>270</v>
      </c>
      <c r="K2871" s="1">
        <v>37.0</v>
      </c>
      <c r="L2871" s="1">
        <f>IFERROR(__xludf.DUMMYFUNCTION("""COMPUTED_VALUE"""),221.0)</f>
        <v>221</v>
      </c>
    </row>
    <row r="2872">
      <c r="A2872" s="1">
        <v>7371449.0</v>
      </c>
      <c r="B2872" s="1" t="s">
        <v>6169</v>
      </c>
      <c r="C2872" s="1" t="s">
        <v>6102</v>
      </c>
      <c r="D2872" s="1" t="s">
        <v>6106</v>
      </c>
      <c r="E2872" s="1" t="s">
        <v>6170</v>
      </c>
      <c r="F2872" s="1" t="s">
        <v>1884</v>
      </c>
      <c r="G2872" s="1" t="s">
        <v>27</v>
      </c>
      <c r="H2872" s="1" t="s">
        <v>18</v>
      </c>
      <c r="I2872" s="1" t="s">
        <v>113</v>
      </c>
      <c r="J2872" s="1">
        <f>IFERROR(__xludf.DUMMYFUNCTION("""COMPUTED_VALUE"""),87.0)</f>
        <v>87</v>
      </c>
      <c r="K2872" s="1">
        <v>52.0</v>
      </c>
      <c r="L2872" s="1">
        <f>IFERROR(__xludf.DUMMYFUNCTION("""COMPUTED_VALUE"""),182.0)</f>
        <v>182</v>
      </c>
    </row>
    <row r="2873">
      <c r="A2873" s="1">
        <v>7371052.0</v>
      </c>
      <c r="B2873" s="1" t="s">
        <v>6171</v>
      </c>
      <c r="C2873" s="1" t="s">
        <v>6102</v>
      </c>
      <c r="D2873" s="1" t="s">
        <v>6106</v>
      </c>
      <c r="E2873" s="1" t="s">
        <v>6172</v>
      </c>
      <c r="F2873" s="1" t="s">
        <v>16</v>
      </c>
      <c r="G2873" s="1" t="s">
        <v>27</v>
      </c>
      <c r="H2873" s="1" t="s">
        <v>18</v>
      </c>
      <c r="I2873" s="1" t="s">
        <v>59</v>
      </c>
      <c r="J2873" s="1">
        <f>IFERROR(__xludf.DUMMYFUNCTION("""COMPUTED_VALUE"""),203.0)</f>
        <v>203</v>
      </c>
      <c r="K2873" s="1">
        <v>94.0</v>
      </c>
      <c r="L2873" s="1">
        <f>IFERROR(__xludf.DUMMYFUNCTION("""COMPUTED_VALUE"""),502.0)</f>
        <v>502</v>
      </c>
    </row>
    <row r="2874">
      <c r="A2874" s="1">
        <v>7371399.0</v>
      </c>
      <c r="B2874" s="1" t="s">
        <v>2839</v>
      </c>
      <c r="C2874" s="1" t="s">
        <v>6102</v>
      </c>
      <c r="D2874" s="1" t="s">
        <v>6106</v>
      </c>
      <c r="E2874" s="1" t="s">
        <v>6173</v>
      </c>
      <c r="F2874" s="1" t="s">
        <v>16</v>
      </c>
      <c r="G2874" s="1" t="s">
        <v>27</v>
      </c>
      <c r="H2874" s="1" t="s">
        <v>18</v>
      </c>
      <c r="I2874" s="1" t="s">
        <v>44</v>
      </c>
      <c r="J2874" s="1">
        <f>IFERROR(__xludf.DUMMYFUNCTION("""COMPUTED_VALUE"""),208.0)</f>
        <v>208</v>
      </c>
      <c r="K2874" s="1">
        <v>90.0</v>
      </c>
      <c r="L2874" s="1">
        <f>IFERROR(__xludf.DUMMYFUNCTION("""COMPUTED_VALUE"""),696.0)</f>
        <v>696</v>
      </c>
    </row>
    <row r="2875">
      <c r="A2875" s="1">
        <v>7372020.0</v>
      </c>
      <c r="B2875" s="1" t="s">
        <v>6174</v>
      </c>
      <c r="C2875" s="1" t="s">
        <v>6102</v>
      </c>
      <c r="D2875" s="1" t="s">
        <v>6148</v>
      </c>
      <c r="E2875" s="1" t="s">
        <v>6175</v>
      </c>
      <c r="F2875" s="1" t="s">
        <v>16</v>
      </c>
      <c r="G2875" s="1" t="s">
        <v>17</v>
      </c>
      <c r="H2875" s="1" t="s">
        <v>18</v>
      </c>
      <c r="I2875" s="1" t="s">
        <v>59</v>
      </c>
      <c r="J2875" s="1">
        <f>IFERROR(__xludf.DUMMYFUNCTION("""COMPUTED_VALUE"""),198.0)</f>
        <v>198</v>
      </c>
      <c r="K2875" s="1">
        <v>38.0</v>
      </c>
      <c r="L2875" s="1">
        <f>IFERROR(__xludf.DUMMYFUNCTION("""COMPUTED_VALUE"""),302.0)</f>
        <v>302</v>
      </c>
    </row>
    <row r="2876">
      <c r="A2876" s="1">
        <v>7322004.0</v>
      </c>
      <c r="B2876" s="1" t="s">
        <v>6176</v>
      </c>
      <c r="C2876" s="1" t="s">
        <v>6102</v>
      </c>
      <c r="D2876" s="1" t="s">
        <v>6177</v>
      </c>
      <c r="E2876" s="1" t="s">
        <v>6178</v>
      </c>
      <c r="F2876" s="1" t="s">
        <v>16</v>
      </c>
      <c r="G2876" s="1" t="s">
        <v>23</v>
      </c>
      <c r="H2876" s="1" t="s">
        <v>33</v>
      </c>
      <c r="I2876" s="1" t="s">
        <v>19</v>
      </c>
      <c r="J2876" s="1">
        <f>IFERROR(__xludf.DUMMYFUNCTION("""COMPUTED_VALUE"""),128.0)</f>
        <v>128</v>
      </c>
      <c r="K2876" s="1">
        <v>18.0</v>
      </c>
      <c r="L2876" s="1">
        <f>IFERROR(__xludf.DUMMYFUNCTION("""COMPUTED_VALUE"""),38.0)</f>
        <v>38</v>
      </c>
    </row>
    <row r="2877">
      <c r="A2877" s="1">
        <v>7312011.0</v>
      </c>
      <c r="B2877" s="1" t="s">
        <v>6179</v>
      </c>
      <c r="C2877" s="1" t="s">
        <v>6102</v>
      </c>
      <c r="D2877" s="1" t="s">
        <v>6180</v>
      </c>
      <c r="E2877" s="1" t="s">
        <v>6181</v>
      </c>
      <c r="F2877" s="1" t="s">
        <v>16</v>
      </c>
      <c r="G2877" s="1" t="s">
        <v>27</v>
      </c>
      <c r="H2877" s="1" t="s">
        <v>28</v>
      </c>
      <c r="I2877" s="1" t="s">
        <v>40</v>
      </c>
      <c r="J2877" s="1">
        <f>IFERROR(__xludf.DUMMYFUNCTION("""COMPUTED_VALUE"""),264.0)</f>
        <v>264</v>
      </c>
      <c r="K2877" s="1">
        <v>101.0</v>
      </c>
      <c r="L2877" s="1">
        <f>IFERROR(__xludf.DUMMYFUNCTION("""COMPUTED_VALUE"""),910.0)</f>
        <v>910</v>
      </c>
    </row>
    <row r="2878">
      <c r="A2878" s="1">
        <v>7373064.0</v>
      </c>
      <c r="B2878" s="1" t="s">
        <v>6182</v>
      </c>
      <c r="C2878" s="1" t="s">
        <v>6102</v>
      </c>
      <c r="D2878" s="1" t="s">
        <v>6109</v>
      </c>
      <c r="E2878" s="1" t="s">
        <v>6183</v>
      </c>
      <c r="F2878" s="1" t="s">
        <v>16</v>
      </c>
      <c r="G2878" s="1" t="s">
        <v>17</v>
      </c>
      <c r="H2878" s="1" t="s">
        <v>18</v>
      </c>
      <c r="I2878" s="1" t="s">
        <v>59</v>
      </c>
      <c r="J2878" s="1">
        <f>IFERROR(__xludf.DUMMYFUNCTION("""COMPUTED_VALUE"""),180.0)</f>
        <v>180</v>
      </c>
      <c r="K2878" s="1">
        <v>49.0</v>
      </c>
      <c r="L2878" s="1">
        <f>IFERROR(__xludf.DUMMYFUNCTION("""COMPUTED_VALUE"""),178.0)</f>
        <v>178</v>
      </c>
    </row>
    <row r="2879">
      <c r="A2879" s="1">
        <v>7371432.0</v>
      </c>
      <c r="B2879" s="1" t="s">
        <v>6184</v>
      </c>
      <c r="C2879" s="1" t="s">
        <v>6102</v>
      </c>
      <c r="D2879" s="1" t="s">
        <v>6106</v>
      </c>
      <c r="E2879" s="1" t="s">
        <v>6185</v>
      </c>
      <c r="F2879" s="1" t="s">
        <v>16</v>
      </c>
      <c r="G2879" s="1" t="s">
        <v>23</v>
      </c>
      <c r="H2879" s="1" t="s">
        <v>18</v>
      </c>
      <c r="I2879" s="1" t="s">
        <v>19</v>
      </c>
      <c r="J2879" s="1">
        <f>IFERROR(__xludf.DUMMYFUNCTION("""COMPUTED_VALUE"""),57.0)</f>
        <v>57</v>
      </c>
      <c r="K2879" s="1">
        <v>45.0</v>
      </c>
      <c r="L2879" s="1">
        <f>IFERROR(__xludf.DUMMYFUNCTION("""COMPUTED_VALUE"""),18.0)</f>
        <v>18</v>
      </c>
    </row>
    <row r="2880">
      <c r="A2880" s="1">
        <v>7371314.0</v>
      </c>
      <c r="B2880" s="1" t="s">
        <v>6186</v>
      </c>
      <c r="C2880" s="1" t="s">
        <v>6102</v>
      </c>
      <c r="D2880" s="1" t="s">
        <v>6106</v>
      </c>
      <c r="E2880" s="1" t="s">
        <v>6187</v>
      </c>
      <c r="F2880" s="1" t="s">
        <v>16</v>
      </c>
      <c r="G2880" s="1" t="s">
        <v>27</v>
      </c>
      <c r="H2880" s="1" t="s">
        <v>33</v>
      </c>
      <c r="I2880" s="1" t="s">
        <v>411</v>
      </c>
      <c r="J2880" s="1">
        <f>IFERROR(__xludf.DUMMYFUNCTION("""COMPUTED_VALUE"""),320.0)</f>
        <v>320</v>
      </c>
      <c r="K2880" s="1">
        <v>105.0</v>
      </c>
      <c r="L2880" s="1">
        <f>IFERROR(__xludf.DUMMYFUNCTION("""COMPUTED_VALUE"""),414.0)</f>
        <v>414</v>
      </c>
    </row>
    <row r="2881">
      <c r="A2881" s="1">
        <v>7306059.0</v>
      </c>
      <c r="B2881" s="1" t="s">
        <v>6188</v>
      </c>
      <c r="C2881" s="1" t="s">
        <v>6102</v>
      </c>
      <c r="D2881" s="1" t="s">
        <v>6189</v>
      </c>
      <c r="E2881" s="1" t="s">
        <v>6190</v>
      </c>
      <c r="F2881" s="1" t="s">
        <v>16</v>
      </c>
      <c r="G2881" s="1" t="s">
        <v>17</v>
      </c>
      <c r="H2881" s="1" t="s">
        <v>18</v>
      </c>
      <c r="I2881" s="1" t="s">
        <v>163</v>
      </c>
      <c r="J2881" s="1">
        <f>IFERROR(__xludf.DUMMYFUNCTION("""COMPUTED_VALUE"""),100.0)</f>
        <v>100</v>
      </c>
      <c r="K2881" s="1">
        <v>25.0</v>
      </c>
      <c r="L2881" s="1">
        <f>IFERROR(__xludf.DUMMYFUNCTION("""COMPUTED_VALUE"""),51.0)</f>
        <v>51</v>
      </c>
    </row>
    <row r="2882">
      <c r="A2882" s="1">
        <v>7306046.0</v>
      </c>
      <c r="B2882" s="1" t="s">
        <v>6191</v>
      </c>
      <c r="C2882" s="1" t="s">
        <v>6102</v>
      </c>
      <c r="D2882" s="1" t="s">
        <v>6189</v>
      </c>
      <c r="E2882" s="1" t="s">
        <v>6192</v>
      </c>
      <c r="F2882" s="1" t="s">
        <v>16</v>
      </c>
      <c r="G2882" s="1" t="s">
        <v>27</v>
      </c>
      <c r="H2882" s="1" t="s">
        <v>18</v>
      </c>
      <c r="I2882" s="1" t="s">
        <v>40</v>
      </c>
      <c r="J2882" s="1">
        <f>IFERROR(__xludf.DUMMYFUNCTION("""COMPUTED_VALUE"""),235.0)</f>
        <v>235</v>
      </c>
      <c r="K2882" s="1">
        <v>42.0</v>
      </c>
      <c r="L2882" s="1">
        <f>IFERROR(__xludf.DUMMYFUNCTION("""COMPUTED_VALUE"""),489.0)</f>
        <v>489</v>
      </c>
    </row>
    <row r="2883">
      <c r="A2883" s="1">
        <v>7371107.0</v>
      </c>
      <c r="B2883" s="1" t="s">
        <v>6193</v>
      </c>
      <c r="C2883" s="1" t="s">
        <v>6102</v>
      </c>
      <c r="D2883" s="1" t="s">
        <v>6106</v>
      </c>
      <c r="E2883" s="1" t="s">
        <v>6194</v>
      </c>
      <c r="F2883" s="1" t="s">
        <v>55</v>
      </c>
      <c r="G2883" s="1" t="s">
        <v>17</v>
      </c>
      <c r="H2883" s="1" t="s">
        <v>18</v>
      </c>
      <c r="I2883" s="1" t="s">
        <v>59</v>
      </c>
      <c r="J2883" s="1">
        <f>IFERROR(__xludf.DUMMYFUNCTION("""COMPUTED_VALUE"""),57.0)</f>
        <v>57</v>
      </c>
      <c r="K2883" s="1">
        <v>22.0</v>
      </c>
      <c r="L2883" s="1">
        <f>IFERROR(__xludf.DUMMYFUNCTION("""COMPUTED_VALUE"""),68.0)</f>
        <v>68</v>
      </c>
    </row>
    <row r="2884">
      <c r="A2884" s="1">
        <v>7371074.0</v>
      </c>
      <c r="B2884" s="1" t="s">
        <v>6195</v>
      </c>
      <c r="C2884" s="1" t="s">
        <v>6102</v>
      </c>
      <c r="D2884" s="1" t="s">
        <v>6106</v>
      </c>
      <c r="E2884" s="1" t="s">
        <v>6196</v>
      </c>
      <c r="F2884" s="1" t="s">
        <v>16</v>
      </c>
      <c r="G2884" s="1" t="s">
        <v>17</v>
      </c>
      <c r="H2884" s="1" t="s">
        <v>18</v>
      </c>
      <c r="I2884" s="1" t="s">
        <v>95</v>
      </c>
      <c r="J2884" s="1">
        <f>IFERROR(__xludf.DUMMYFUNCTION("""COMPUTED_VALUE"""),100.0)</f>
        <v>100</v>
      </c>
      <c r="K2884" s="1">
        <v>37.0</v>
      </c>
      <c r="L2884" s="1">
        <f>IFERROR(__xludf.DUMMYFUNCTION("""COMPUTED_VALUE"""),175.0)</f>
        <v>175</v>
      </c>
    </row>
    <row r="2885">
      <c r="A2885" s="1">
        <v>7371412.0</v>
      </c>
      <c r="B2885" s="1" t="s">
        <v>6197</v>
      </c>
      <c r="C2885" s="1" t="s">
        <v>6102</v>
      </c>
      <c r="D2885" s="1" t="s">
        <v>6106</v>
      </c>
      <c r="E2885" s="1" t="s">
        <v>6198</v>
      </c>
      <c r="F2885" s="1" t="s">
        <v>16</v>
      </c>
      <c r="G2885" s="1" t="s">
        <v>17</v>
      </c>
      <c r="H2885" s="1" t="s">
        <v>18</v>
      </c>
      <c r="I2885" s="1" t="s">
        <v>19</v>
      </c>
      <c r="J2885" s="1">
        <f>IFERROR(__xludf.DUMMYFUNCTION("""COMPUTED_VALUE"""),163.0)</f>
        <v>163</v>
      </c>
      <c r="K2885" s="1">
        <v>112.0</v>
      </c>
      <c r="L2885" s="1">
        <f>IFERROR(__xludf.DUMMYFUNCTION("""COMPUTED_VALUE"""),143.0)</f>
        <v>143</v>
      </c>
    </row>
    <row r="2886">
      <c r="A2886" s="1">
        <v>7372075.0</v>
      </c>
      <c r="B2886" s="1" t="s">
        <v>6199</v>
      </c>
      <c r="C2886" s="1" t="s">
        <v>6102</v>
      </c>
      <c r="D2886" s="1" t="s">
        <v>6148</v>
      </c>
      <c r="E2886" s="1" t="s">
        <v>6200</v>
      </c>
      <c r="F2886" s="1" t="s">
        <v>16</v>
      </c>
      <c r="G2886" s="1" t="s">
        <v>27</v>
      </c>
      <c r="H2886" s="1" t="s">
        <v>28</v>
      </c>
      <c r="I2886" s="1" t="s">
        <v>29</v>
      </c>
      <c r="J2886" s="1">
        <f>IFERROR(__xludf.DUMMYFUNCTION("""COMPUTED_VALUE"""),294.0)</f>
        <v>294</v>
      </c>
      <c r="K2886" s="1">
        <v>137.0</v>
      </c>
      <c r="L2886" s="1">
        <f>IFERROR(__xludf.DUMMYFUNCTION("""COMPUTED_VALUE"""),1246.0)</f>
        <v>1246</v>
      </c>
    </row>
    <row r="2887">
      <c r="A2887" s="1">
        <v>7314013.0</v>
      </c>
      <c r="B2887" s="1" t="s">
        <v>6201</v>
      </c>
      <c r="C2887" s="1" t="s">
        <v>6102</v>
      </c>
      <c r="D2887" s="1" t="s">
        <v>6202</v>
      </c>
      <c r="E2887" s="1" t="s">
        <v>6203</v>
      </c>
      <c r="F2887" s="1" t="s">
        <v>16</v>
      </c>
      <c r="G2887" s="1" t="s">
        <v>17</v>
      </c>
      <c r="H2887" s="1" t="s">
        <v>28</v>
      </c>
      <c r="I2887" s="1" t="s">
        <v>40</v>
      </c>
      <c r="J2887" s="1">
        <f>IFERROR(__xludf.DUMMYFUNCTION("""COMPUTED_VALUE"""),192.0)</f>
        <v>192</v>
      </c>
      <c r="K2887" s="1">
        <v>34.0</v>
      </c>
      <c r="L2887" s="1">
        <f>IFERROR(__xludf.DUMMYFUNCTION("""COMPUTED_VALUE"""),623.0)</f>
        <v>623</v>
      </c>
    </row>
    <row r="2888">
      <c r="A2888" s="1">
        <v>7371408.0</v>
      </c>
      <c r="B2888" s="1" t="s">
        <v>6204</v>
      </c>
      <c r="C2888" s="1" t="s">
        <v>6102</v>
      </c>
      <c r="D2888" s="1" t="s">
        <v>6106</v>
      </c>
      <c r="E2888" s="1" t="s">
        <v>6205</v>
      </c>
      <c r="F2888" s="1" t="s">
        <v>16</v>
      </c>
      <c r="G2888" s="1" t="s">
        <v>27</v>
      </c>
      <c r="H2888" s="1" t="s">
        <v>33</v>
      </c>
      <c r="I2888" s="1" t="s">
        <v>34</v>
      </c>
      <c r="J2888" s="1">
        <f>IFERROR(__xludf.DUMMYFUNCTION("""COMPUTED_VALUE"""),236.0)</f>
        <v>236</v>
      </c>
      <c r="K2888" s="1">
        <v>134.0</v>
      </c>
      <c r="L2888" s="1">
        <f>IFERROR(__xludf.DUMMYFUNCTION("""COMPUTED_VALUE"""),505.0)</f>
        <v>505</v>
      </c>
    </row>
    <row r="2889">
      <c r="A2889" s="1">
        <v>7371425.0</v>
      </c>
      <c r="B2889" s="1" t="s">
        <v>6206</v>
      </c>
      <c r="C2889" s="1" t="s">
        <v>6102</v>
      </c>
      <c r="D2889" s="1" t="s">
        <v>6106</v>
      </c>
      <c r="E2889" s="1" t="s">
        <v>6207</v>
      </c>
      <c r="F2889" s="1" t="s">
        <v>16</v>
      </c>
      <c r="G2889" s="1" t="s">
        <v>23</v>
      </c>
      <c r="H2889" s="1" t="s">
        <v>18</v>
      </c>
      <c r="I2889" s="1" t="s">
        <v>19</v>
      </c>
      <c r="J2889" s="1">
        <f>IFERROR(__xludf.DUMMYFUNCTION("""COMPUTED_VALUE"""),87.0)</f>
        <v>87</v>
      </c>
      <c r="K2889" s="1">
        <v>23.0</v>
      </c>
      <c r="L2889" s="1">
        <f>IFERROR(__xludf.DUMMYFUNCTION("""COMPUTED_VALUE"""),44.0)</f>
        <v>44</v>
      </c>
    </row>
    <row r="2890">
      <c r="A2890" s="1">
        <v>7318054.0</v>
      </c>
      <c r="B2890" s="1" t="s">
        <v>6208</v>
      </c>
      <c r="C2890" s="1" t="s">
        <v>6102</v>
      </c>
      <c r="D2890" s="1" t="s">
        <v>6209</v>
      </c>
      <c r="E2890" s="1" t="s">
        <v>6210</v>
      </c>
      <c r="F2890" s="1" t="s">
        <v>16</v>
      </c>
      <c r="G2890" s="1" t="s">
        <v>17</v>
      </c>
      <c r="H2890" s="1" t="s">
        <v>28</v>
      </c>
      <c r="I2890" s="1" t="s">
        <v>40</v>
      </c>
      <c r="J2890" s="1">
        <f>IFERROR(__xludf.DUMMYFUNCTION("""COMPUTED_VALUE"""),200.0)</f>
        <v>200</v>
      </c>
      <c r="K2890" s="1">
        <v>105.0</v>
      </c>
      <c r="L2890" s="1">
        <f>IFERROR(__xludf.DUMMYFUNCTION("""COMPUTED_VALUE"""),499.0)</f>
        <v>499</v>
      </c>
    </row>
    <row r="2891">
      <c r="A2891" s="1">
        <v>7371452.0</v>
      </c>
      <c r="B2891" s="1" t="s">
        <v>6211</v>
      </c>
      <c r="C2891" s="1" t="s">
        <v>6102</v>
      </c>
      <c r="D2891" s="1" t="s">
        <v>6106</v>
      </c>
      <c r="E2891" s="1" t="s">
        <v>6212</v>
      </c>
      <c r="F2891" s="1" t="s">
        <v>16</v>
      </c>
      <c r="G2891" s="1" t="s">
        <v>17</v>
      </c>
      <c r="H2891" s="1" t="s">
        <v>18</v>
      </c>
      <c r="I2891" s="1" t="s">
        <v>19</v>
      </c>
      <c r="J2891" s="1">
        <f>IFERROR(__xludf.DUMMYFUNCTION("""COMPUTED_VALUE"""),112.0)</f>
        <v>112</v>
      </c>
      <c r="K2891" s="1">
        <v>53.0</v>
      </c>
      <c r="L2891" s="1">
        <f>IFERROR(__xludf.DUMMYFUNCTION("""COMPUTED_VALUE"""),182.0)</f>
        <v>182</v>
      </c>
    </row>
    <row r="2892">
      <c r="A2892" s="1">
        <v>7315016.0</v>
      </c>
      <c r="B2892" s="1" t="s">
        <v>6213</v>
      </c>
      <c r="C2892" s="1" t="s">
        <v>6102</v>
      </c>
      <c r="D2892" s="1" t="s">
        <v>6214</v>
      </c>
      <c r="E2892" s="1" t="s">
        <v>6215</v>
      </c>
      <c r="F2892" s="1" t="s">
        <v>16</v>
      </c>
      <c r="G2892" s="1" t="s">
        <v>23</v>
      </c>
      <c r="H2892" s="1" t="s">
        <v>18</v>
      </c>
      <c r="I2892" s="1" t="s">
        <v>684</v>
      </c>
      <c r="J2892" s="1">
        <f>IFERROR(__xludf.DUMMYFUNCTION("""COMPUTED_VALUE"""),53.0)</f>
        <v>53</v>
      </c>
      <c r="K2892" s="1">
        <v>22.0</v>
      </c>
      <c r="L2892" s="1">
        <f>IFERROR(__xludf.DUMMYFUNCTION("""COMPUTED_VALUE"""),68.0)</f>
        <v>68</v>
      </c>
    </row>
    <row r="2893">
      <c r="A2893" s="1">
        <v>7371340.0</v>
      </c>
      <c r="B2893" s="1" t="s">
        <v>6216</v>
      </c>
      <c r="C2893" s="1" t="s">
        <v>6102</v>
      </c>
      <c r="D2893" s="1" t="s">
        <v>6106</v>
      </c>
      <c r="E2893" s="1" t="s">
        <v>6217</v>
      </c>
      <c r="F2893" s="1" t="s">
        <v>16</v>
      </c>
      <c r="G2893" s="1" t="s">
        <v>27</v>
      </c>
      <c r="H2893" s="1" t="s">
        <v>18</v>
      </c>
      <c r="I2893" s="1" t="s">
        <v>59</v>
      </c>
      <c r="J2893" s="1">
        <f>IFERROR(__xludf.DUMMYFUNCTION("""COMPUTED_VALUE"""),269.0)</f>
        <v>269</v>
      </c>
      <c r="K2893" s="1">
        <v>108.0</v>
      </c>
      <c r="L2893" s="1">
        <f>IFERROR(__xludf.DUMMYFUNCTION("""COMPUTED_VALUE"""),506.0)</f>
        <v>506</v>
      </c>
    </row>
    <row r="2894">
      <c r="A2894" s="1">
        <v>7371406.0</v>
      </c>
      <c r="B2894" s="1" t="s">
        <v>6218</v>
      </c>
      <c r="C2894" s="1" t="s">
        <v>6102</v>
      </c>
      <c r="D2894" s="1" t="s">
        <v>6106</v>
      </c>
      <c r="E2894" s="1" t="s">
        <v>6219</v>
      </c>
      <c r="F2894" s="1" t="s">
        <v>55</v>
      </c>
      <c r="G2894" s="1" t="s">
        <v>17</v>
      </c>
      <c r="H2894" s="1" t="s">
        <v>18</v>
      </c>
      <c r="I2894" s="1" t="s">
        <v>163</v>
      </c>
      <c r="J2894" s="1">
        <f>IFERROR(__xludf.DUMMYFUNCTION("""COMPUTED_VALUE"""),29.0)</f>
        <v>29</v>
      </c>
      <c r="K2894" s="1">
        <v>16.0</v>
      </c>
      <c r="L2894" s="1">
        <f>IFERROR(__xludf.DUMMYFUNCTION("""COMPUTED_VALUE"""),15.0)</f>
        <v>15</v>
      </c>
    </row>
    <row r="2895">
      <c r="A2895" s="1">
        <v>7371429.0</v>
      </c>
      <c r="B2895" s="1" t="s">
        <v>2466</v>
      </c>
      <c r="C2895" s="1" t="s">
        <v>6102</v>
      </c>
      <c r="D2895" s="1" t="s">
        <v>6106</v>
      </c>
      <c r="E2895" s="1" t="s">
        <v>6220</v>
      </c>
      <c r="F2895" s="1" t="s">
        <v>55</v>
      </c>
      <c r="G2895" s="1" t="s">
        <v>17</v>
      </c>
      <c r="H2895" s="1" t="s">
        <v>18</v>
      </c>
      <c r="I2895" s="1" t="s">
        <v>19</v>
      </c>
      <c r="J2895" s="1">
        <f>IFERROR(__xludf.DUMMYFUNCTION("""COMPUTED_VALUE"""),38.0)</f>
        <v>38</v>
      </c>
      <c r="K2895" s="1">
        <v>24.0</v>
      </c>
      <c r="L2895" s="1">
        <f>IFERROR(__xludf.DUMMYFUNCTION("""COMPUTED_VALUE"""),77.0)</f>
        <v>77</v>
      </c>
    </row>
    <row r="2896">
      <c r="A2896" s="1">
        <v>7315018.0</v>
      </c>
      <c r="B2896" s="1" t="s">
        <v>6221</v>
      </c>
      <c r="C2896" s="1" t="s">
        <v>6102</v>
      </c>
      <c r="D2896" s="1" t="s">
        <v>6214</v>
      </c>
      <c r="E2896" s="1" t="s">
        <v>6222</v>
      </c>
      <c r="F2896" s="1" t="s">
        <v>16</v>
      </c>
      <c r="G2896" s="1" t="s">
        <v>23</v>
      </c>
      <c r="H2896" s="1" t="s">
        <v>28</v>
      </c>
      <c r="I2896" s="1" t="s">
        <v>40</v>
      </c>
      <c r="J2896" s="1">
        <f>IFERROR(__xludf.DUMMYFUNCTION("""COMPUTED_VALUE"""),83.0)</f>
        <v>83</v>
      </c>
      <c r="K2896" s="1">
        <v>24.0</v>
      </c>
      <c r="L2896" s="1">
        <f>IFERROR(__xludf.DUMMYFUNCTION("""COMPUTED_VALUE"""),86.0)</f>
        <v>86</v>
      </c>
    </row>
    <row r="2897">
      <c r="A2897" s="1">
        <v>7371434.0</v>
      </c>
      <c r="B2897" s="1" t="s">
        <v>6223</v>
      </c>
      <c r="C2897" s="1" t="s">
        <v>6102</v>
      </c>
      <c r="D2897" s="1" t="s">
        <v>6106</v>
      </c>
      <c r="E2897" s="1" t="s">
        <v>6224</v>
      </c>
      <c r="F2897" s="1" t="s">
        <v>16</v>
      </c>
      <c r="G2897" s="1" t="s">
        <v>17</v>
      </c>
      <c r="H2897" s="1" t="s">
        <v>18</v>
      </c>
      <c r="I2897" s="1" t="s">
        <v>163</v>
      </c>
      <c r="J2897" s="1">
        <f>IFERROR(__xludf.DUMMYFUNCTION("""COMPUTED_VALUE"""),103.0)</f>
        <v>103</v>
      </c>
      <c r="K2897" s="1">
        <v>35.0</v>
      </c>
      <c r="L2897" s="1">
        <f>IFERROR(__xludf.DUMMYFUNCTION("""COMPUTED_VALUE"""),106.0)</f>
        <v>106</v>
      </c>
    </row>
    <row r="2898">
      <c r="A2898" s="1">
        <v>7308026.0</v>
      </c>
      <c r="B2898" s="1" t="s">
        <v>6225</v>
      </c>
      <c r="C2898" s="1" t="s">
        <v>6102</v>
      </c>
      <c r="D2898" s="1" t="s">
        <v>6123</v>
      </c>
      <c r="E2898" s="1" t="s">
        <v>6226</v>
      </c>
      <c r="F2898" s="1" t="s">
        <v>16</v>
      </c>
      <c r="G2898" s="1" t="s">
        <v>17</v>
      </c>
      <c r="H2898" s="1" t="s">
        <v>18</v>
      </c>
      <c r="I2898" s="1" t="s">
        <v>74</v>
      </c>
      <c r="J2898" s="1">
        <f>IFERROR(__xludf.DUMMYFUNCTION("""COMPUTED_VALUE"""),154.0)</f>
        <v>154</v>
      </c>
      <c r="K2898" s="1">
        <v>20.0</v>
      </c>
      <c r="L2898" s="1">
        <f>IFERROR(__xludf.DUMMYFUNCTION("""COMPUTED_VALUE"""),280.0)</f>
        <v>280</v>
      </c>
    </row>
    <row r="2899">
      <c r="A2899" s="1">
        <v>7371180.0</v>
      </c>
      <c r="B2899" s="1" t="s">
        <v>6227</v>
      </c>
      <c r="C2899" s="1" t="s">
        <v>6102</v>
      </c>
      <c r="D2899" s="1" t="s">
        <v>6106</v>
      </c>
      <c r="E2899" s="1" t="s">
        <v>6228</v>
      </c>
      <c r="F2899" s="1" t="s">
        <v>55</v>
      </c>
      <c r="G2899" s="1" t="s">
        <v>17</v>
      </c>
      <c r="H2899" s="1" t="s">
        <v>18</v>
      </c>
      <c r="I2899" s="1" t="s">
        <v>59</v>
      </c>
      <c r="J2899" s="1">
        <f>IFERROR(__xludf.DUMMYFUNCTION("""COMPUTED_VALUE"""),38.0)</f>
        <v>38</v>
      </c>
      <c r="K2899" s="1">
        <v>23.0</v>
      </c>
      <c r="L2899" s="1">
        <f>IFERROR(__xludf.DUMMYFUNCTION("""COMPUTED_VALUE"""),117.0)</f>
        <v>117</v>
      </c>
    </row>
    <row r="2900">
      <c r="A2900" s="1">
        <v>7326002.0</v>
      </c>
      <c r="B2900" s="1" t="s">
        <v>6229</v>
      </c>
      <c r="C2900" s="1" t="s">
        <v>6102</v>
      </c>
      <c r="D2900" s="1" t="s">
        <v>6230</v>
      </c>
      <c r="E2900" s="1" t="s">
        <v>6231</v>
      </c>
      <c r="F2900" s="1" t="s">
        <v>16</v>
      </c>
      <c r="G2900" s="1" t="s">
        <v>17</v>
      </c>
      <c r="H2900" s="1" t="s">
        <v>18</v>
      </c>
      <c r="I2900" s="1" t="s">
        <v>40</v>
      </c>
      <c r="J2900" s="1">
        <f>IFERROR(__xludf.DUMMYFUNCTION("""COMPUTED_VALUE"""),117.0)</f>
        <v>117</v>
      </c>
      <c r="K2900" s="1">
        <v>26.0</v>
      </c>
      <c r="L2900" s="1">
        <f>IFERROR(__xludf.DUMMYFUNCTION("""COMPUTED_VALUE"""),148.0)</f>
        <v>148</v>
      </c>
    </row>
    <row r="2901">
      <c r="A2901" s="1">
        <v>7318056.0</v>
      </c>
      <c r="B2901" s="1" t="s">
        <v>6232</v>
      </c>
      <c r="C2901" s="1" t="s">
        <v>6102</v>
      </c>
      <c r="D2901" s="1" t="s">
        <v>6209</v>
      </c>
      <c r="E2901" s="1" t="s">
        <v>6233</v>
      </c>
      <c r="F2901" s="1" t="s">
        <v>16</v>
      </c>
      <c r="G2901" s="1" t="s">
        <v>17</v>
      </c>
      <c r="H2901" s="1" t="s">
        <v>18</v>
      </c>
      <c r="I2901" s="1" t="s">
        <v>163</v>
      </c>
      <c r="J2901" s="1">
        <f>IFERROR(__xludf.DUMMYFUNCTION("""COMPUTED_VALUE"""),111.0)</f>
        <v>111</v>
      </c>
      <c r="K2901" s="1">
        <v>30.0</v>
      </c>
      <c r="L2901" s="1">
        <f>IFERROR(__xludf.DUMMYFUNCTION("""COMPUTED_VALUE"""),82.0)</f>
        <v>82</v>
      </c>
    </row>
    <row r="2902">
      <c r="A2902" s="1">
        <v>7310032.0</v>
      </c>
      <c r="B2902" s="1" t="s">
        <v>6234</v>
      </c>
      <c r="C2902" s="1" t="s">
        <v>6102</v>
      </c>
      <c r="D2902" s="1" t="s">
        <v>6137</v>
      </c>
      <c r="E2902" s="1" t="s">
        <v>6235</v>
      </c>
      <c r="F2902" s="1" t="s">
        <v>16</v>
      </c>
      <c r="G2902" s="1" t="s">
        <v>98</v>
      </c>
      <c r="H2902" s="1" t="s">
        <v>18</v>
      </c>
      <c r="I2902" s="1" t="s">
        <v>40</v>
      </c>
      <c r="J2902" s="1">
        <f>IFERROR(__xludf.DUMMYFUNCTION("""COMPUTED_VALUE"""),24.0)</f>
        <v>24</v>
      </c>
      <c r="K2902" s="1">
        <v>6.0</v>
      </c>
      <c r="L2902" s="1">
        <f>IFERROR(__xludf.DUMMYFUNCTION("""COMPUTED_VALUE"""),182.0)</f>
        <v>182</v>
      </c>
    </row>
    <row r="2903">
      <c r="A2903" s="1">
        <v>7301015.0</v>
      </c>
      <c r="B2903" s="1" t="s">
        <v>6236</v>
      </c>
      <c r="C2903" s="1" t="s">
        <v>6102</v>
      </c>
      <c r="D2903" s="1" t="s">
        <v>6140</v>
      </c>
      <c r="E2903" s="1" t="s">
        <v>6237</v>
      </c>
      <c r="F2903" s="1" t="s">
        <v>16</v>
      </c>
      <c r="G2903" s="1" t="s">
        <v>17</v>
      </c>
      <c r="H2903" s="1" t="s">
        <v>28</v>
      </c>
      <c r="I2903" s="1" t="s">
        <v>40</v>
      </c>
      <c r="J2903" s="1">
        <f>IFERROR(__xludf.DUMMYFUNCTION("""COMPUTED_VALUE"""),135.0)</f>
        <v>135</v>
      </c>
      <c r="K2903" s="1">
        <v>36.0</v>
      </c>
      <c r="L2903" s="1">
        <f>IFERROR(__xludf.DUMMYFUNCTION("""COMPUTED_VALUE"""),380.0)</f>
        <v>380</v>
      </c>
    </row>
    <row r="2904">
      <c r="A2904" s="1">
        <v>7315014.0</v>
      </c>
      <c r="B2904" s="1" t="s">
        <v>6238</v>
      </c>
      <c r="C2904" s="1" t="s">
        <v>6102</v>
      </c>
      <c r="D2904" s="1" t="s">
        <v>6214</v>
      </c>
      <c r="E2904" s="1" t="s">
        <v>6239</v>
      </c>
      <c r="F2904" s="1" t="s">
        <v>16</v>
      </c>
      <c r="G2904" s="1" t="s">
        <v>17</v>
      </c>
      <c r="H2904" s="1" t="s">
        <v>28</v>
      </c>
      <c r="I2904" s="1" t="s">
        <v>40</v>
      </c>
      <c r="J2904" s="1">
        <f>IFERROR(__xludf.DUMMYFUNCTION("""COMPUTED_VALUE"""),191.0)</f>
        <v>191</v>
      </c>
      <c r="K2904" s="1">
        <v>42.0</v>
      </c>
      <c r="L2904" s="1">
        <f>IFERROR(__xludf.DUMMYFUNCTION("""COMPUTED_VALUE"""),421.0)</f>
        <v>421</v>
      </c>
    </row>
    <row r="2905">
      <c r="A2905" s="1">
        <v>7313023.0</v>
      </c>
      <c r="B2905" s="1" t="s">
        <v>6240</v>
      </c>
      <c r="C2905" s="1" t="s">
        <v>6102</v>
      </c>
      <c r="D2905" s="1" t="s">
        <v>6241</v>
      </c>
      <c r="E2905" s="1" t="s">
        <v>6242</v>
      </c>
      <c r="F2905" s="1" t="s">
        <v>16</v>
      </c>
      <c r="G2905" s="1" t="s">
        <v>17</v>
      </c>
      <c r="H2905" s="1" t="s">
        <v>28</v>
      </c>
      <c r="I2905" s="1" t="s">
        <v>40</v>
      </c>
      <c r="J2905" s="1">
        <f>IFERROR(__xludf.DUMMYFUNCTION("""COMPUTED_VALUE"""),102.0)</f>
        <v>102</v>
      </c>
      <c r="K2905" s="1">
        <v>18.0</v>
      </c>
      <c r="L2905" s="1">
        <f>IFERROR(__xludf.DUMMYFUNCTION("""COMPUTED_VALUE"""),117.0)</f>
        <v>117</v>
      </c>
    </row>
    <row r="2906">
      <c r="A2906" s="1">
        <v>7371451.0</v>
      </c>
      <c r="B2906" s="1" t="s">
        <v>6243</v>
      </c>
      <c r="C2906" s="1" t="s">
        <v>6102</v>
      </c>
      <c r="D2906" s="1" t="s">
        <v>6106</v>
      </c>
      <c r="E2906" s="1" t="s">
        <v>6244</v>
      </c>
      <c r="F2906" s="1" t="s">
        <v>272</v>
      </c>
      <c r="G2906" s="1" t="s">
        <v>17</v>
      </c>
      <c r="H2906" s="1" t="s">
        <v>33</v>
      </c>
      <c r="I2906" s="1" t="s">
        <v>19</v>
      </c>
      <c r="J2906" s="1">
        <f>IFERROR(__xludf.DUMMYFUNCTION("""COMPUTED_VALUE"""),16.0)</f>
        <v>16</v>
      </c>
      <c r="K2906" s="1">
        <v>36.0</v>
      </c>
      <c r="L2906" s="1">
        <f>IFERROR(__xludf.DUMMYFUNCTION("""COMPUTED_VALUE"""),182.0)</f>
        <v>182</v>
      </c>
    </row>
    <row r="2907">
      <c r="A2907" s="1">
        <v>7371336.0</v>
      </c>
      <c r="B2907" s="1" t="s">
        <v>6245</v>
      </c>
      <c r="C2907" s="1" t="s">
        <v>6102</v>
      </c>
      <c r="D2907" s="1" t="s">
        <v>6106</v>
      </c>
      <c r="E2907" s="1" t="s">
        <v>6246</v>
      </c>
      <c r="F2907" s="1" t="s">
        <v>16</v>
      </c>
      <c r="G2907" s="1" t="s">
        <v>17</v>
      </c>
      <c r="H2907" s="1" t="s">
        <v>18</v>
      </c>
      <c r="I2907" s="1" t="s">
        <v>59</v>
      </c>
      <c r="J2907" s="1">
        <f>IFERROR(__xludf.DUMMYFUNCTION("""COMPUTED_VALUE"""),100.0)</f>
        <v>100</v>
      </c>
      <c r="K2907" s="1">
        <v>78.0</v>
      </c>
      <c r="L2907" s="1">
        <f>IFERROR(__xludf.DUMMYFUNCTION("""COMPUTED_VALUE"""),137.0)</f>
        <v>137</v>
      </c>
    </row>
    <row r="2908">
      <c r="A2908" s="1">
        <v>7371450.0</v>
      </c>
      <c r="B2908" s="1" t="s">
        <v>6247</v>
      </c>
      <c r="C2908" s="1" t="s">
        <v>6102</v>
      </c>
      <c r="D2908" s="1" t="s">
        <v>6106</v>
      </c>
      <c r="E2908" s="1" t="s">
        <v>6248</v>
      </c>
      <c r="F2908" s="1" t="s">
        <v>32</v>
      </c>
      <c r="G2908" s="1" t="s">
        <v>27</v>
      </c>
      <c r="H2908" s="1" t="s">
        <v>18</v>
      </c>
      <c r="I2908" s="1" t="s">
        <v>19</v>
      </c>
      <c r="J2908" s="1">
        <f>IFERROR(__xludf.DUMMYFUNCTION("""COMPUTED_VALUE"""),102.0)</f>
        <v>102</v>
      </c>
      <c r="K2908" s="1">
        <v>18.0</v>
      </c>
      <c r="L2908" s="1">
        <f>IFERROR(__xludf.DUMMYFUNCTION("""COMPUTED_VALUE"""),182.0)</f>
        <v>182</v>
      </c>
    </row>
    <row r="2909">
      <c r="A2909" s="1">
        <v>7371026.0</v>
      </c>
      <c r="B2909" s="1" t="s">
        <v>6249</v>
      </c>
      <c r="C2909" s="1" t="s">
        <v>6102</v>
      </c>
      <c r="D2909" s="1" t="s">
        <v>6106</v>
      </c>
      <c r="E2909" s="1" t="s">
        <v>6250</v>
      </c>
      <c r="F2909" s="1" t="s">
        <v>16</v>
      </c>
      <c r="G2909" s="1" t="s">
        <v>27</v>
      </c>
      <c r="H2909" s="1" t="s">
        <v>28</v>
      </c>
      <c r="I2909" s="1" t="s">
        <v>139</v>
      </c>
      <c r="J2909" s="1">
        <f>IFERROR(__xludf.DUMMYFUNCTION("""COMPUTED_VALUE"""),224.0)</f>
        <v>224</v>
      </c>
      <c r="K2909" s="1">
        <v>105.0</v>
      </c>
      <c r="L2909" s="1">
        <f>IFERROR(__xludf.DUMMYFUNCTION("""COMPUTED_VALUE"""),666.0)</f>
        <v>666</v>
      </c>
    </row>
    <row r="2910">
      <c r="A2910" s="1">
        <v>7373005.0</v>
      </c>
      <c r="B2910" s="1" t="s">
        <v>6251</v>
      </c>
      <c r="C2910" s="1" t="s">
        <v>6102</v>
      </c>
      <c r="D2910" s="1" t="s">
        <v>6109</v>
      </c>
      <c r="E2910" s="1" t="s">
        <v>6252</v>
      </c>
      <c r="F2910" s="1" t="s">
        <v>16</v>
      </c>
      <c r="G2910" s="1" t="s">
        <v>23</v>
      </c>
      <c r="H2910" s="1" t="s">
        <v>18</v>
      </c>
      <c r="I2910" s="1" t="s">
        <v>19</v>
      </c>
      <c r="J2910" s="1">
        <f>IFERROR(__xludf.DUMMYFUNCTION("""COMPUTED_VALUE"""),106.0)</f>
        <v>106</v>
      </c>
      <c r="K2910" s="1">
        <v>29.0</v>
      </c>
      <c r="L2910" s="1">
        <f>IFERROR(__xludf.DUMMYFUNCTION("""COMPUTED_VALUE"""),145.0)</f>
        <v>145</v>
      </c>
    </row>
    <row r="2911">
      <c r="A2911" s="1">
        <v>7371362.0</v>
      </c>
      <c r="B2911" s="1" t="s">
        <v>6253</v>
      </c>
      <c r="C2911" s="1" t="s">
        <v>6102</v>
      </c>
      <c r="D2911" s="1" t="s">
        <v>6106</v>
      </c>
      <c r="E2911" s="1" t="s">
        <v>6254</v>
      </c>
      <c r="F2911" s="1" t="s">
        <v>16</v>
      </c>
      <c r="G2911" s="1" t="s">
        <v>27</v>
      </c>
      <c r="H2911" s="1" t="s">
        <v>28</v>
      </c>
      <c r="I2911" s="1" t="s">
        <v>139</v>
      </c>
      <c r="J2911" s="1">
        <f>IFERROR(__xludf.DUMMYFUNCTION("""COMPUTED_VALUE"""),207.0)</f>
        <v>207</v>
      </c>
      <c r="K2911" s="1">
        <v>42.0</v>
      </c>
      <c r="L2911" s="1">
        <f>IFERROR(__xludf.DUMMYFUNCTION("""COMPUTED_VALUE"""),527.0)</f>
        <v>527</v>
      </c>
    </row>
    <row r="2912">
      <c r="A2912" s="1">
        <v>7371400.0</v>
      </c>
      <c r="B2912" s="1" t="s">
        <v>6255</v>
      </c>
      <c r="C2912" s="1" t="s">
        <v>6102</v>
      </c>
      <c r="D2912" s="1" t="s">
        <v>6106</v>
      </c>
      <c r="E2912" s="1" t="s">
        <v>6256</v>
      </c>
      <c r="F2912" s="1" t="s">
        <v>16</v>
      </c>
      <c r="G2912" s="1" t="s">
        <v>23</v>
      </c>
      <c r="H2912" s="1" t="s">
        <v>18</v>
      </c>
      <c r="I2912" s="1" t="s">
        <v>59</v>
      </c>
      <c r="J2912" s="1">
        <f>IFERROR(__xludf.DUMMYFUNCTION("""COMPUTED_VALUE"""),51.0)</f>
        <v>51</v>
      </c>
      <c r="K2912" s="1">
        <v>27.0</v>
      </c>
      <c r="L2912" s="1">
        <f>IFERROR(__xludf.DUMMYFUNCTION("""COMPUTED_VALUE"""),84.0)</f>
        <v>84</v>
      </c>
    </row>
    <row r="2913">
      <c r="A2913" s="1">
        <v>7371427.0</v>
      </c>
      <c r="B2913" s="1" t="s">
        <v>6257</v>
      </c>
      <c r="C2913" s="1" t="s">
        <v>6102</v>
      </c>
      <c r="D2913" s="1" t="s">
        <v>6106</v>
      </c>
      <c r="E2913" s="1" t="s">
        <v>6258</v>
      </c>
      <c r="F2913" s="1" t="s">
        <v>32</v>
      </c>
      <c r="G2913" s="1" t="s">
        <v>17</v>
      </c>
      <c r="H2913" s="1" t="s">
        <v>33</v>
      </c>
      <c r="I2913" s="1" t="s">
        <v>95</v>
      </c>
      <c r="J2913" s="1">
        <f>IFERROR(__xludf.DUMMYFUNCTION("""COMPUTED_VALUE"""),10.0)</f>
        <v>10</v>
      </c>
      <c r="K2913" s="1">
        <v>18.0</v>
      </c>
      <c r="L2913" s="1">
        <f>IFERROR(__xludf.DUMMYFUNCTION("""COMPUTED_VALUE"""),87.0)</f>
        <v>87</v>
      </c>
    </row>
    <row r="2914">
      <c r="A2914" s="1">
        <v>7309016.0</v>
      </c>
      <c r="B2914" s="1" t="s">
        <v>6259</v>
      </c>
      <c r="C2914" s="1" t="s">
        <v>6102</v>
      </c>
      <c r="D2914" s="1" t="s">
        <v>6260</v>
      </c>
      <c r="E2914" s="1" t="s">
        <v>6261</v>
      </c>
      <c r="F2914" s="1" t="s">
        <v>16</v>
      </c>
      <c r="G2914" s="1" t="s">
        <v>17</v>
      </c>
      <c r="H2914" s="1" t="s">
        <v>28</v>
      </c>
      <c r="I2914" s="1" t="s">
        <v>40</v>
      </c>
      <c r="J2914" s="1">
        <f>IFERROR(__xludf.DUMMYFUNCTION("""COMPUTED_VALUE"""),180.0)</f>
        <v>180</v>
      </c>
      <c r="K2914" s="1">
        <v>63.0</v>
      </c>
      <c r="L2914" s="1">
        <f>IFERROR(__xludf.DUMMYFUNCTION("""COMPUTED_VALUE"""),688.0)</f>
        <v>688</v>
      </c>
    </row>
    <row r="2915">
      <c r="A2915" s="1">
        <v>7306057.0</v>
      </c>
      <c r="B2915" s="1" t="s">
        <v>6262</v>
      </c>
      <c r="C2915" s="1" t="s">
        <v>6102</v>
      </c>
      <c r="D2915" s="1" t="s">
        <v>6189</v>
      </c>
      <c r="E2915" s="1" t="s">
        <v>6263</v>
      </c>
      <c r="F2915" s="1" t="s">
        <v>16</v>
      </c>
      <c r="G2915" s="1" t="s">
        <v>23</v>
      </c>
      <c r="H2915" s="1" t="s">
        <v>18</v>
      </c>
      <c r="I2915" s="1" t="s">
        <v>163</v>
      </c>
      <c r="J2915" s="1">
        <f>IFERROR(__xludf.DUMMYFUNCTION("""COMPUTED_VALUE"""),79.0)</f>
        <v>79</v>
      </c>
      <c r="K2915" s="1">
        <v>22.0</v>
      </c>
      <c r="L2915" s="1">
        <f>IFERROR(__xludf.DUMMYFUNCTION("""COMPUTED_VALUE"""),154.0)</f>
        <v>154</v>
      </c>
    </row>
    <row r="2916">
      <c r="A2916" s="1">
        <v>7308058.0</v>
      </c>
      <c r="B2916" s="1" t="s">
        <v>6264</v>
      </c>
      <c r="C2916" s="1" t="s">
        <v>6102</v>
      </c>
      <c r="D2916" s="1" t="s">
        <v>6123</v>
      </c>
      <c r="E2916" s="1" t="s">
        <v>6265</v>
      </c>
      <c r="F2916" s="1" t="s">
        <v>16</v>
      </c>
      <c r="G2916" s="1" t="s">
        <v>17</v>
      </c>
      <c r="H2916" s="1" t="s">
        <v>18</v>
      </c>
      <c r="I2916" s="1" t="s">
        <v>19</v>
      </c>
      <c r="J2916" s="1">
        <f>IFERROR(__xludf.DUMMYFUNCTION("""COMPUTED_VALUE"""),120.0)</f>
        <v>120</v>
      </c>
      <c r="K2916" s="1">
        <v>25.0</v>
      </c>
      <c r="L2916" s="1">
        <f>IFERROR(__xludf.DUMMYFUNCTION("""COMPUTED_VALUE"""),239.0)</f>
        <v>239</v>
      </c>
    </row>
    <row r="2917">
      <c r="A2917" s="1">
        <v>7371430.0</v>
      </c>
      <c r="B2917" s="1" t="s">
        <v>6266</v>
      </c>
      <c r="C2917" s="1" t="s">
        <v>6102</v>
      </c>
      <c r="D2917" s="1" t="s">
        <v>6106</v>
      </c>
      <c r="E2917" s="1" t="s">
        <v>6267</v>
      </c>
      <c r="F2917" s="1" t="s">
        <v>55</v>
      </c>
      <c r="G2917" s="1" t="s">
        <v>17</v>
      </c>
      <c r="H2917" s="1" t="s">
        <v>18</v>
      </c>
      <c r="I2917" s="1" t="s">
        <v>44</v>
      </c>
      <c r="J2917" s="1">
        <f>IFERROR(__xludf.DUMMYFUNCTION("""COMPUTED_VALUE"""),74.0)</f>
        <v>74</v>
      </c>
      <c r="K2917" s="1">
        <v>27.0</v>
      </c>
      <c r="L2917" s="1">
        <f>IFERROR(__xludf.DUMMYFUNCTION("""COMPUTED_VALUE"""),111.0)</f>
        <v>111</v>
      </c>
    </row>
    <row r="2918">
      <c r="A2918" s="1">
        <v>7373016.0</v>
      </c>
      <c r="B2918" s="1" t="s">
        <v>6268</v>
      </c>
      <c r="C2918" s="1" t="s">
        <v>6102</v>
      </c>
      <c r="D2918" s="1" t="s">
        <v>6109</v>
      </c>
      <c r="E2918" s="1" t="s">
        <v>6269</v>
      </c>
      <c r="F2918" s="1" t="s">
        <v>16</v>
      </c>
      <c r="G2918" s="1" t="s">
        <v>27</v>
      </c>
      <c r="H2918" s="1" t="s">
        <v>28</v>
      </c>
      <c r="I2918" s="1" t="s">
        <v>29</v>
      </c>
      <c r="J2918" s="1">
        <f>IFERROR(__xludf.DUMMYFUNCTION("""COMPUTED_VALUE"""),272.0)</f>
        <v>272</v>
      </c>
      <c r="K2918" s="1">
        <v>36.0</v>
      </c>
      <c r="L2918" s="1">
        <f>IFERROR(__xludf.DUMMYFUNCTION("""COMPUTED_VALUE"""),1255.0)</f>
        <v>1255</v>
      </c>
    </row>
    <row r="2919">
      <c r="A2919" s="1">
        <v>7371428.0</v>
      </c>
      <c r="B2919" s="1" t="s">
        <v>6270</v>
      </c>
      <c r="C2919" s="1" t="s">
        <v>6102</v>
      </c>
      <c r="D2919" s="1" t="s">
        <v>6106</v>
      </c>
      <c r="E2919" s="1" t="s">
        <v>6271</v>
      </c>
      <c r="F2919" s="1" t="s">
        <v>55</v>
      </c>
      <c r="G2919" s="1" t="s">
        <v>27</v>
      </c>
      <c r="H2919" s="1" t="s">
        <v>18</v>
      </c>
      <c r="I2919" s="1" t="s">
        <v>44</v>
      </c>
      <c r="J2919" s="1">
        <f>IFERROR(__xludf.DUMMYFUNCTION("""COMPUTED_VALUE"""),107.0)</f>
        <v>107</v>
      </c>
      <c r="K2919" s="1">
        <v>28.0</v>
      </c>
      <c r="L2919" s="1">
        <f>IFERROR(__xludf.DUMMYFUNCTION("""COMPUTED_VALUE"""),216.0)</f>
        <v>216</v>
      </c>
    </row>
    <row r="2920">
      <c r="A2920" s="1">
        <v>7371223.0</v>
      </c>
      <c r="B2920" s="1" t="s">
        <v>6272</v>
      </c>
      <c r="C2920" s="1" t="s">
        <v>6102</v>
      </c>
      <c r="D2920" s="1" t="s">
        <v>6106</v>
      </c>
      <c r="E2920" s="1" t="s">
        <v>6273</v>
      </c>
      <c r="F2920" s="1" t="s">
        <v>55</v>
      </c>
      <c r="G2920" s="1" t="s">
        <v>17</v>
      </c>
      <c r="H2920" s="1" t="s">
        <v>18</v>
      </c>
      <c r="I2920" s="1" t="s">
        <v>59</v>
      </c>
      <c r="J2920" s="1">
        <f>IFERROR(__xludf.DUMMYFUNCTION("""COMPUTED_VALUE"""),57.0)</f>
        <v>57</v>
      </c>
      <c r="K2920" s="1">
        <v>19.0</v>
      </c>
      <c r="L2920" s="1">
        <f>IFERROR(__xludf.DUMMYFUNCTION("""COMPUTED_VALUE"""),2.0)</f>
        <v>2</v>
      </c>
    </row>
    <row r="2921">
      <c r="A2921" s="1">
        <v>7303010.0</v>
      </c>
      <c r="B2921" s="1" t="s">
        <v>6274</v>
      </c>
      <c r="C2921" s="1" t="s">
        <v>6102</v>
      </c>
      <c r="D2921" s="1" t="s">
        <v>6275</v>
      </c>
      <c r="E2921" s="1" t="s">
        <v>6276</v>
      </c>
      <c r="F2921" s="1" t="s">
        <v>16</v>
      </c>
      <c r="G2921" s="1" t="s">
        <v>27</v>
      </c>
      <c r="H2921" s="1" t="s">
        <v>28</v>
      </c>
      <c r="I2921" s="1" t="s">
        <v>40</v>
      </c>
      <c r="J2921" s="1">
        <f>IFERROR(__xludf.DUMMYFUNCTION("""COMPUTED_VALUE"""),271.0)</f>
        <v>271</v>
      </c>
      <c r="K2921" s="1">
        <v>37.0</v>
      </c>
      <c r="L2921" s="1">
        <f>IFERROR(__xludf.DUMMYFUNCTION("""COMPUTED_VALUE"""),394.0)</f>
        <v>394</v>
      </c>
    </row>
    <row r="2922">
      <c r="A2922" s="1">
        <v>7371041.0</v>
      </c>
      <c r="B2922" s="1" t="s">
        <v>6277</v>
      </c>
      <c r="C2922" s="1" t="s">
        <v>6102</v>
      </c>
      <c r="D2922" s="1" t="s">
        <v>6106</v>
      </c>
      <c r="E2922" s="1" t="s">
        <v>6278</v>
      </c>
      <c r="F2922" s="1" t="s">
        <v>16</v>
      </c>
      <c r="G2922" s="1" t="s">
        <v>27</v>
      </c>
      <c r="H2922" s="1" t="s">
        <v>33</v>
      </c>
      <c r="I2922" s="1" t="s">
        <v>65</v>
      </c>
      <c r="J2922" s="1">
        <f>IFERROR(__xludf.DUMMYFUNCTION("""COMPUTED_VALUE"""),349.0)</f>
        <v>349</v>
      </c>
      <c r="K2922" s="1">
        <v>99.0</v>
      </c>
      <c r="L2922" s="1">
        <f>IFERROR(__xludf.DUMMYFUNCTION("""COMPUTED_VALUE"""),109.0)</f>
        <v>109</v>
      </c>
    </row>
    <row r="2923">
      <c r="A2923" s="1">
        <v>7304012.0</v>
      </c>
      <c r="B2923" s="1" t="s">
        <v>6279</v>
      </c>
      <c r="C2923" s="1" t="s">
        <v>6102</v>
      </c>
      <c r="D2923" s="1" t="s">
        <v>6164</v>
      </c>
      <c r="E2923" s="1" t="s">
        <v>6280</v>
      </c>
      <c r="F2923" s="1" t="s">
        <v>16</v>
      </c>
      <c r="G2923" s="1" t="s">
        <v>98</v>
      </c>
      <c r="H2923" s="1" t="s">
        <v>18</v>
      </c>
      <c r="I2923" s="1" t="s">
        <v>40</v>
      </c>
      <c r="J2923" s="1">
        <f>IFERROR(__xludf.DUMMYFUNCTION("""COMPUTED_VALUE"""),32.0)</f>
        <v>32</v>
      </c>
      <c r="K2923" s="1">
        <v>13.0</v>
      </c>
      <c r="L2923" s="1">
        <f>IFERROR(__xludf.DUMMYFUNCTION("""COMPUTED_VALUE"""),11.0)</f>
        <v>11</v>
      </c>
    </row>
    <row r="2924">
      <c r="A2924" s="1">
        <v>7371395.0</v>
      </c>
      <c r="B2924" s="1" t="s">
        <v>6281</v>
      </c>
      <c r="C2924" s="1" t="s">
        <v>6102</v>
      </c>
      <c r="D2924" s="1" t="s">
        <v>6106</v>
      </c>
      <c r="E2924" s="1" t="s">
        <v>6282</v>
      </c>
      <c r="F2924" s="1" t="s">
        <v>16</v>
      </c>
      <c r="G2924" s="1" t="s">
        <v>27</v>
      </c>
      <c r="H2924" s="1" t="s">
        <v>28</v>
      </c>
      <c r="I2924" s="1" t="s">
        <v>29</v>
      </c>
      <c r="J2924" s="1">
        <f>IFERROR(__xludf.DUMMYFUNCTION("""COMPUTED_VALUE"""),218.0)</f>
        <v>218</v>
      </c>
      <c r="K2924" s="1">
        <v>99.0</v>
      </c>
      <c r="L2924" s="1">
        <f>IFERROR(__xludf.DUMMYFUNCTION("""COMPUTED_VALUE"""),490.0)</f>
        <v>490</v>
      </c>
    </row>
    <row r="2925">
      <c r="A2925" s="1">
        <v>7307025.0</v>
      </c>
      <c r="B2925" s="1" t="s">
        <v>6283</v>
      </c>
      <c r="C2925" s="1" t="s">
        <v>6102</v>
      </c>
      <c r="D2925" s="1" t="s">
        <v>6284</v>
      </c>
      <c r="E2925" s="1" t="s">
        <v>6285</v>
      </c>
      <c r="F2925" s="1" t="s">
        <v>16</v>
      </c>
      <c r="G2925" s="1" t="s">
        <v>98</v>
      </c>
      <c r="H2925" s="1" t="s">
        <v>18</v>
      </c>
      <c r="I2925" s="1" t="s">
        <v>40</v>
      </c>
      <c r="J2925" s="1">
        <f>IFERROR(__xludf.DUMMYFUNCTION("""COMPUTED_VALUE"""),30.0)</f>
        <v>30</v>
      </c>
      <c r="K2925" s="1">
        <v>14.0</v>
      </c>
      <c r="L2925" s="1">
        <f>IFERROR(__xludf.DUMMYFUNCTION("""COMPUTED_VALUE"""),182.0)</f>
        <v>182</v>
      </c>
    </row>
    <row r="2926">
      <c r="A2926" s="1">
        <v>7371414.0</v>
      </c>
      <c r="B2926" s="1" t="s">
        <v>6286</v>
      </c>
      <c r="C2926" s="1" t="s">
        <v>6102</v>
      </c>
      <c r="D2926" s="1" t="s">
        <v>6106</v>
      </c>
      <c r="E2926" s="1" t="s">
        <v>6287</v>
      </c>
      <c r="F2926" s="1" t="s">
        <v>55</v>
      </c>
      <c r="G2926" s="1" t="s">
        <v>17</v>
      </c>
      <c r="H2926" s="1" t="s">
        <v>18</v>
      </c>
      <c r="I2926" s="1" t="s">
        <v>19</v>
      </c>
      <c r="J2926" s="1">
        <f>IFERROR(__xludf.DUMMYFUNCTION("""COMPUTED_VALUE"""),32.0)</f>
        <v>32</v>
      </c>
      <c r="K2926" s="1">
        <v>21.0</v>
      </c>
      <c r="L2926" s="1">
        <f>IFERROR(__xludf.DUMMYFUNCTION("""COMPUTED_VALUE"""),59.0)</f>
        <v>59</v>
      </c>
    </row>
    <row r="2927">
      <c r="A2927" s="1">
        <v>7313024.0</v>
      </c>
      <c r="B2927" s="1" t="s">
        <v>6288</v>
      </c>
      <c r="C2927" s="1" t="s">
        <v>6102</v>
      </c>
      <c r="D2927" s="1" t="s">
        <v>6241</v>
      </c>
      <c r="E2927" s="1" t="s">
        <v>6289</v>
      </c>
      <c r="F2927" s="1" t="s">
        <v>16</v>
      </c>
      <c r="G2927" s="1" t="s">
        <v>23</v>
      </c>
      <c r="H2927" s="1" t="s">
        <v>18</v>
      </c>
      <c r="I2927" s="1" t="s">
        <v>44</v>
      </c>
      <c r="J2927" s="1">
        <f>IFERROR(__xludf.DUMMYFUNCTION("""COMPUTED_VALUE"""),67.0)</f>
        <v>67</v>
      </c>
      <c r="K2927" s="1">
        <v>23.0</v>
      </c>
      <c r="L2927" s="1">
        <f>IFERROR(__xludf.DUMMYFUNCTION("""COMPUTED_VALUE"""),182.0)</f>
        <v>182</v>
      </c>
    </row>
    <row r="2928">
      <c r="A2928" s="1">
        <v>7311010.0</v>
      </c>
      <c r="B2928" s="1" t="s">
        <v>6290</v>
      </c>
      <c r="C2928" s="1" t="s">
        <v>6102</v>
      </c>
      <c r="D2928" s="1" t="s">
        <v>6291</v>
      </c>
      <c r="E2928" s="1" t="s">
        <v>6292</v>
      </c>
      <c r="F2928" s="1" t="s">
        <v>16</v>
      </c>
      <c r="G2928" s="1" t="s">
        <v>17</v>
      </c>
      <c r="H2928" s="1" t="s">
        <v>28</v>
      </c>
      <c r="I2928" s="1" t="s">
        <v>40</v>
      </c>
      <c r="J2928" s="1">
        <f>IFERROR(__xludf.DUMMYFUNCTION("""COMPUTED_VALUE"""),189.0)</f>
        <v>189</v>
      </c>
      <c r="K2928" s="1">
        <v>66.0</v>
      </c>
      <c r="L2928" s="1">
        <f>IFERROR(__xludf.DUMMYFUNCTION("""COMPUTED_VALUE"""),142.0)</f>
        <v>142</v>
      </c>
    </row>
    <row r="2929">
      <c r="A2929" s="1">
        <v>7317053.0</v>
      </c>
      <c r="B2929" s="1" t="s">
        <v>6293</v>
      </c>
      <c r="C2929" s="1" t="s">
        <v>6102</v>
      </c>
      <c r="D2929" s="1" t="s">
        <v>6177</v>
      </c>
      <c r="E2929" s="1" t="s">
        <v>6294</v>
      </c>
      <c r="F2929" s="1" t="s">
        <v>16</v>
      </c>
      <c r="G2929" s="1" t="s">
        <v>17</v>
      </c>
      <c r="H2929" s="1" t="s">
        <v>28</v>
      </c>
      <c r="I2929" s="1" t="s">
        <v>40</v>
      </c>
      <c r="J2929" s="1">
        <f>IFERROR(__xludf.DUMMYFUNCTION("""COMPUTED_VALUE"""),249.0)</f>
        <v>249</v>
      </c>
      <c r="K2929" s="1">
        <v>27.0</v>
      </c>
      <c r="L2929" s="1">
        <f>IFERROR(__xludf.DUMMYFUNCTION("""COMPUTED_VALUE"""),550.0)</f>
        <v>550</v>
      </c>
    </row>
    <row r="2930">
      <c r="A2930" s="1">
        <v>7303012.0</v>
      </c>
      <c r="B2930" s="1" t="s">
        <v>6295</v>
      </c>
      <c r="C2930" s="1" t="s">
        <v>6102</v>
      </c>
      <c r="D2930" s="1" t="s">
        <v>6275</v>
      </c>
      <c r="E2930" s="1" t="s">
        <v>6296</v>
      </c>
      <c r="F2930" s="1" t="s">
        <v>16</v>
      </c>
      <c r="G2930" s="1" t="s">
        <v>23</v>
      </c>
      <c r="H2930" s="1" t="s">
        <v>28</v>
      </c>
      <c r="I2930" s="1" t="s">
        <v>40</v>
      </c>
      <c r="J2930" s="1">
        <f>IFERROR(__xludf.DUMMYFUNCTION("""COMPUTED_VALUE"""),46.0)</f>
        <v>46</v>
      </c>
      <c r="K2930" s="1">
        <v>22.0</v>
      </c>
      <c r="L2930" s="1">
        <f>IFERROR(__xludf.DUMMYFUNCTION("""COMPUTED_VALUE"""),53.0)</f>
        <v>53</v>
      </c>
    </row>
    <row r="2931">
      <c r="A2931" s="1">
        <v>7371293.0</v>
      </c>
      <c r="B2931" s="1" t="s">
        <v>6297</v>
      </c>
      <c r="C2931" s="1" t="s">
        <v>6102</v>
      </c>
      <c r="D2931" s="1" t="s">
        <v>6106</v>
      </c>
      <c r="E2931" s="1" t="s">
        <v>6298</v>
      </c>
      <c r="F2931" s="1" t="s">
        <v>16</v>
      </c>
      <c r="G2931" s="1" t="s">
        <v>27</v>
      </c>
      <c r="H2931" s="1" t="s">
        <v>18</v>
      </c>
      <c r="I2931" s="1" t="s">
        <v>684</v>
      </c>
      <c r="J2931" s="1">
        <f>IFERROR(__xludf.DUMMYFUNCTION("""COMPUTED_VALUE"""),201.0)</f>
        <v>201</v>
      </c>
      <c r="K2931" s="1">
        <v>44.0</v>
      </c>
      <c r="L2931" s="1">
        <f>IFERROR(__xludf.DUMMYFUNCTION("""COMPUTED_VALUE"""),403.0)</f>
        <v>403</v>
      </c>
    </row>
    <row r="2932">
      <c r="A2932" s="1">
        <v>7371410.0</v>
      </c>
      <c r="B2932" s="1" t="s">
        <v>6299</v>
      </c>
      <c r="C2932" s="1" t="s">
        <v>6102</v>
      </c>
      <c r="D2932" s="1" t="s">
        <v>6106</v>
      </c>
      <c r="E2932" s="1" t="s">
        <v>6300</v>
      </c>
      <c r="F2932" s="1" t="s">
        <v>55</v>
      </c>
      <c r="G2932" s="1" t="s">
        <v>17</v>
      </c>
      <c r="H2932" s="1" t="s">
        <v>18</v>
      </c>
      <c r="I2932" s="1" t="s">
        <v>163</v>
      </c>
      <c r="J2932" s="1">
        <f>IFERROR(__xludf.DUMMYFUNCTION("""COMPUTED_VALUE"""),109.0)</f>
        <v>109</v>
      </c>
      <c r="K2932" s="1">
        <v>23.0</v>
      </c>
      <c r="L2932" s="1">
        <f>IFERROR(__xludf.DUMMYFUNCTION("""COMPUTED_VALUE"""),243.0)</f>
        <v>243</v>
      </c>
    </row>
    <row r="2933">
      <c r="A2933" s="1">
        <v>7371453.0</v>
      </c>
      <c r="B2933" s="1" t="s">
        <v>6301</v>
      </c>
      <c r="C2933" s="1" t="s">
        <v>6102</v>
      </c>
      <c r="D2933" s="1" t="s">
        <v>6106</v>
      </c>
      <c r="E2933" s="1" t="s">
        <v>6302</v>
      </c>
      <c r="F2933" s="1" t="s">
        <v>16</v>
      </c>
      <c r="G2933" s="1" t="s">
        <v>150</v>
      </c>
      <c r="H2933" s="1" t="s">
        <v>18</v>
      </c>
      <c r="I2933" s="1" t="s">
        <v>411</v>
      </c>
      <c r="J2933" s="1">
        <f>IFERROR(__xludf.DUMMYFUNCTION("""COMPUTED_VALUE"""),102.0)</f>
        <v>102</v>
      </c>
      <c r="K2933" s="1">
        <v>3.0</v>
      </c>
      <c r="L2933" s="1">
        <f>IFERROR(__xludf.DUMMYFUNCTION("""COMPUTED_VALUE"""),182.0)</f>
        <v>182</v>
      </c>
    </row>
    <row r="2934">
      <c r="A2934" s="1">
        <v>7302017.0</v>
      </c>
      <c r="B2934" s="1" t="s">
        <v>6303</v>
      </c>
      <c r="C2934" s="1" t="s">
        <v>6102</v>
      </c>
      <c r="D2934" s="1" t="s">
        <v>6116</v>
      </c>
      <c r="E2934" s="1" t="s">
        <v>6304</v>
      </c>
      <c r="F2934" s="1" t="s">
        <v>55</v>
      </c>
      <c r="G2934" s="1" t="s">
        <v>17</v>
      </c>
      <c r="H2934" s="1" t="s">
        <v>18</v>
      </c>
      <c r="I2934" s="1" t="s">
        <v>19</v>
      </c>
      <c r="J2934" s="1">
        <f>IFERROR(__xludf.DUMMYFUNCTION("""COMPUTED_VALUE"""),37.0)</f>
        <v>37</v>
      </c>
      <c r="K2934" s="1">
        <v>16.0</v>
      </c>
      <c r="L2934" s="1">
        <f>IFERROR(__xludf.DUMMYFUNCTION("""COMPUTED_VALUE"""),16.0)</f>
        <v>16</v>
      </c>
    </row>
    <row r="2935">
      <c r="A2935" s="1">
        <v>7305015.0</v>
      </c>
      <c r="B2935" s="1" t="s">
        <v>6305</v>
      </c>
      <c r="C2935" s="1" t="s">
        <v>6102</v>
      </c>
      <c r="D2935" s="1" t="s">
        <v>6153</v>
      </c>
      <c r="E2935" s="1" t="s">
        <v>6306</v>
      </c>
      <c r="F2935" s="1" t="s">
        <v>55</v>
      </c>
      <c r="G2935" s="1" t="s">
        <v>17</v>
      </c>
      <c r="H2935" s="1" t="s">
        <v>18</v>
      </c>
      <c r="I2935" s="1" t="s">
        <v>40</v>
      </c>
      <c r="J2935" s="1">
        <f>IFERROR(__xludf.DUMMYFUNCTION("""COMPUTED_VALUE"""),10.0)</f>
        <v>10</v>
      </c>
      <c r="K2935" s="1">
        <v>9.0</v>
      </c>
      <c r="L2935" s="1">
        <f>IFERROR(__xludf.DUMMYFUNCTION("""COMPUTED_VALUE"""),22.0)</f>
        <v>22</v>
      </c>
    </row>
    <row r="2936">
      <c r="A2936" s="1">
        <v>7305012.0</v>
      </c>
      <c r="B2936" s="1" t="s">
        <v>6307</v>
      </c>
      <c r="C2936" s="1" t="s">
        <v>6102</v>
      </c>
      <c r="D2936" s="1" t="s">
        <v>6153</v>
      </c>
      <c r="E2936" s="1" t="s">
        <v>6308</v>
      </c>
      <c r="F2936" s="1" t="s">
        <v>16</v>
      </c>
      <c r="G2936" s="1" t="s">
        <v>17</v>
      </c>
      <c r="H2936" s="1" t="s">
        <v>28</v>
      </c>
      <c r="I2936" s="1" t="s">
        <v>40</v>
      </c>
      <c r="J2936" s="1">
        <f>IFERROR(__xludf.DUMMYFUNCTION("""COMPUTED_VALUE"""),200.0)</f>
        <v>200</v>
      </c>
      <c r="K2936" s="1">
        <v>32.0</v>
      </c>
      <c r="L2936" s="1">
        <f>IFERROR(__xludf.DUMMYFUNCTION("""COMPUTED_VALUE"""),732.0)</f>
        <v>732</v>
      </c>
    </row>
    <row r="2937">
      <c r="A2937" s="1">
        <v>7303013.0</v>
      </c>
      <c r="B2937" s="1" t="s">
        <v>6309</v>
      </c>
      <c r="C2937" s="1" t="s">
        <v>6102</v>
      </c>
      <c r="D2937" s="1" t="s">
        <v>6275</v>
      </c>
      <c r="E2937" s="1" t="s">
        <v>6310</v>
      </c>
      <c r="F2937" s="1" t="s">
        <v>55</v>
      </c>
      <c r="G2937" s="1" t="s">
        <v>17</v>
      </c>
      <c r="H2937" s="1" t="s">
        <v>18</v>
      </c>
      <c r="I2937" s="1" t="s">
        <v>19</v>
      </c>
      <c r="J2937" s="1">
        <f>IFERROR(__xludf.DUMMYFUNCTION("""COMPUTED_VALUE"""),11.0)</f>
        <v>11</v>
      </c>
      <c r="K2937" s="1">
        <v>5.0</v>
      </c>
      <c r="L2937" s="1">
        <f>IFERROR(__xludf.DUMMYFUNCTION("""COMPUTED_VALUE"""),182.0)</f>
        <v>182</v>
      </c>
    </row>
    <row r="2938">
      <c r="A2938" s="1">
        <v>7318010.0</v>
      </c>
      <c r="B2938" s="1" t="s">
        <v>6311</v>
      </c>
      <c r="C2938" s="1" t="s">
        <v>6102</v>
      </c>
      <c r="D2938" s="1" t="s">
        <v>6230</v>
      </c>
      <c r="E2938" s="1" t="s">
        <v>6312</v>
      </c>
      <c r="F2938" s="1" t="s">
        <v>16</v>
      </c>
      <c r="G2938" s="1" t="s">
        <v>17</v>
      </c>
      <c r="H2938" s="1" t="s">
        <v>18</v>
      </c>
      <c r="I2938" s="1" t="s">
        <v>59</v>
      </c>
      <c r="J2938" s="1">
        <f>IFERROR(__xludf.DUMMYFUNCTION("""COMPUTED_VALUE"""),173.0)</f>
        <v>173</v>
      </c>
      <c r="K2938" s="1">
        <v>43.0</v>
      </c>
      <c r="L2938" s="1">
        <f>IFERROR(__xludf.DUMMYFUNCTION("""COMPUTED_VALUE"""),175.0)</f>
        <v>175</v>
      </c>
    </row>
    <row r="2939">
      <c r="A2939" s="1">
        <v>7371063.0</v>
      </c>
      <c r="B2939" s="1" t="s">
        <v>6313</v>
      </c>
      <c r="C2939" s="1" t="s">
        <v>6102</v>
      </c>
      <c r="D2939" s="1" t="s">
        <v>6106</v>
      </c>
      <c r="E2939" s="1" t="s">
        <v>6314</v>
      </c>
      <c r="F2939" s="1" t="s">
        <v>16</v>
      </c>
      <c r="G2939" s="1" t="s">
        <v>27</v>
      </c>
      <c r="H2939" s="1" t="s">
        <v>18</v>
      </c>
      <c r="I2939" s="1" t="s">
        <v>59</v>
      </c>
      <c r="J2939" s="1">
        <f>IFERROR(__xludf.DUMMYFUNCTION("""COMPUTED_VALUE"""),244.0)</f>
        <v>244</v>
      </c>
      <c r="K2939" s="1">
        <v>103.0</v>
      </c>
      <c r="L2939" s="1">
        <f>IFERROR(__xludf.DUMMYFUNCTION("""COMPUTED_VALUE"""),579.0)</f>
        <v>579</v>
      </c>
    </row>
    <row r="2940">
      <c r="A2940" s="1">
        <v>7309044.0</v>
      </c>
      <c r="B2940" s="1" t="s">
        <v>6315</v>
      </c>
      <c r="C2940" s="1" t="s">
        <v>6102</v>
      </c>
      <c r="D2940" s="1" t="s">
        <v>6260</v>
      </c>
      <c r="E2940" s="1" t="s">
        <v>6316</v>
      </c>
      <c r="F2940" s="1" t="s">
        <v>16</v>
      </c>
      <c r="G2940" s="1" t="s">
        <v>17</v>
      </c>
      <c r="H2940" s="1" t="s">
        <v>18</v>
      </c>
      <c r="I2940" s="1" t="s">
        <v>563</v>
      </c>
      <c r="J2940" s="1">
        <f>IFERROR(__xludf.DUMMYFUNCTION("""COMPUTED_VALUE"""),106.0)</f>
        <v>106</v>
      </c>
      <c r="K2940" s="1">
        <v>20.0</v>
      </c>
      <c r="L2940" s="1">
        <f>IFERROR(__xludf.DUMMYFUNCTION("""COMPUTED_VALUE"""),194.0)</f>
        <v>194</v>
      </c>
    </row>
    <row r="2941">
      <c r="A2941" s="1">
        <v>7372031.0</v>
      </c>
      <c r="B2941" s="1" t="s">
        <v>6317</v>
      </c>
      <c r="C2941" s="1" t="s">
        <v>6102</v>
      </c>
      <c r="D2941" s="1" t="s">
        <v>6148</v>
      </c>
      <c r="E2941" s="1" t="s">
        <v>6318</v>
      </c>
      <c r="F2941" s="1" t="s">
        <v>16</v>
      </c>
      <c r="G2941" s="1" t="s">
        <v>17</v>
      </c>
      <c r="H2941" s="1" t="s">
        <v>18</v>
      </c>
      <c r="I2941" s="1" t="s">
        <v>74</v>
      </c>
      <c r="J2941" s="1">
        <f>IFERROR(__xludf.DUMMYFUNCTION("""COMPUTED_VALUE"""),136.0)</f>
        <v>136</v>
      </c>
      <c r="K2941" s="1">
        <v>23.0</v>
      </c>
      <c r="L2941" s="1">
        <f>IFERROR(__xludf.DUMMYFUNCTION("""COMPUTED_VALUE"""),290.0)</f>
        <v>290</v>
      </c>
    </row>
    <row r="2942">
      <c r="A2942" s="1">
        <v>7371426.0</v>
      </c>
      <c r="B2942" s="1" t="s">
        <v>6319</v>
      </c>
      <c r="C2942" s="1" t="s">
        <v>6102</v>
      </c>
      <c r="D2942" s="1" t="s">
        <v>6106</v>
      </c>
      <c r="E2942" s="1" t="s">
        <v>6320</v>
      </c>
      <c r="F2942" s="1" t="s">
        <v>16</v>
      </c>
      <c r="G2942" s="1" t="s">
        <v>17</v>
      </c>
      <c r="H2942" s="1" t="s">
        <v>18</v>
      </c>
      <c r="I2942" s="1" t="s">
        <v>19</v>
      </c>
      <c r="J2942" s="1">
        <f>IFERROR(__xludf.DUMMYFUNCTION("""COMPUTED_VALUE"""),180.0)</f>
        <v>180</v>
      </c>
      <c r="K2942" s="1">
        <v>56.0</v>
      </c>
      <c r="L2942" s="1">
        <f>IFERROR(__xludf.DUMMYFUNCTION("""COMPUTED_VALUE"""),233.0)</f>
        <v>233</v>
      </c>
    </row>
    <row r="2943">
      <c r="A2943" s="1">
        <v>7314025.0</v>
      </c>
      <c r="B2943" s="1" t="s">
        <v>6321</v>
      </c>
      <c r="C2943" s="1" t="s">
        <v>6102</v>
      </c>
      <c r="D2943" s="1" t="s">
        <v>6202</v>
      </c>
      <c r="E2943" s="1" t="s">
        <v>6322</v>
      </c>
      <c r="F2943" s="1" t="s">
        <v>16</v>
      </c>
      <c r="G2943" s="1" t="s">
        <v>23</v>
      </c>
      <c r="H2943" s="1" t="s">
        <v>18</v>
      </c>
      <c r="I2943" s="1" t="s">
        <v>19</v>
      </c>
      <c r="J2943" s="1">
        <f>IFERROR(__xludf.DUMMYFUNCTION("""COMPUTED_VALUE"""),75.0)</f>
        <v>75</v>
      </c>
      <c r="K2943" s="1">
        <v>24.0</v>
      </c>
      <c r="L2943" s="1">
        <f>IFERROR(__xludf.DUMMYFUNCTION("""COMPUTED_VALUE"""),76.0)</f>
        <v>76</v>
      </c>
    </row>
    <row r="2944">
      <c r="A2944" s="1">
        <v>7313012.0</v>
      </c>
      <c r="B2944" s="1" t="s">
        <v>6323</v>
      </c>
      <c r="C2944" s="1" t="s">
        <v>6102</v>
      </c>
      <c r="D2944" s="1" t="s">
        <v>6241</v>
      </c>
      <c r="E2944" s="1" t="s">
        <v>6324</v>
      </c>
      <c r="F2944" s="1" t="s">
        <v>16</v>
      </c>
      <c r="G2944" s="1" t="s">
        <v>17</v>
      </c>
      <c r="H2944" s="1" t="s">
        <v>28</v>
      </c>
      <c r="I2944" s="1" t="s">
        <v>40</v>
      </c>
      <c r="J2944" s="1">
        <f>IFERROR(__xludf.DUMMYFUNCTION("""COMPUTED_VALUE"""),201.0)</f>
        <v>201</v>
      </c>
      <c r="K2944" s="1">
        <v>25.0</v>
      </c>
      <c r="L2944" s="1">
        <f>IFERROR(__xludf.DUMMYFUNCTION("""COMPUTED_VALUE"""),227.0)</f>
        <v>227</v>
      </c>
    </row>
    <row r="2945">
      <c r="A2945" s="1">
        <v>7318021.0</v>
      </c>
      <c r="B2945" s="1" t="s">
        <v>6325</v>
      </c>
      <c r="C2945" s="1" t="s">
        <v>6102</v>
      </c>
      <c r="D2945" s="1" t="s">
        <v>6209</v>
      </c>
      <c r="E2945" s="1" t="s">
        <v>6326</v>
      </c>
      <c r="F2945" s="1" t="s">
        <v>16</v>
      </c>
      <c r="G2945" s="1" t="s">
        <v>17</v>
      </c>
      <c r="H2945" s="1" t="s">
        <v>18</v>
      </c>
      <c r="I2945" s="1" t="s">
        <v>59</v>
      </c>
      <c r="J2945" s="1">
        <f>IFERROR(__xludf.DUMMYFUNCTION("""COMPUTED_VALUE"""),115.0)</f>
        <v>115</v>
      </c>
      <c r="K2945" s="1">
        <v>26.0</v>
      </c>
      <c r="L2945" s="1">
        <f>IFERROR(__xludf.DUMMYFUNCTION("""COMPUTED_VALUE"""),175.0)</f>
        <v>175</v>
      </c>
    </row>
    <row r="2946">
      <c r="A2946" s="1">
        <v>7371402.0</v>
      </c>
      <c r="B2946" s="1" t="s">
        <v>6327</v>
      </c>
      <c r="C2946" s="1" t="s">
        <v>6102</v>
      </c>
      <c r="D2946" s="1" t="s">
        <v>6106</v>
      </c>
      <c r="E2946" s="1" t="s">
        <v>6328</v>
      </c>
      <c r="F2946" s="1" t="s">
        <v>16</v>
      </c>
      <c r="G2946" s="1" t="s">
        <v>27</v>
      </c>
      <c r="H2946" s="1" t="s">
        <v>18</v>
      </c>
      <c r="I2946" s="1" t="s">
        <v>19</v>
      </c>
      <c r="J2946" s="1">
        <f>IFERROR(__xludf.DUMMYFUNCTION("""COMPUTED_VALUE"""),213.0)</f>
        <v>213</v>
      </c>
      <c r="K2946" s="1">
        <v>109.0</v>
      </c>
      <c r="L2946" s="1">
        <f>IFERROR(__xludf.DUMMYFUNCTION("""COMPUTED_VALUE"""),480.0)</f>
        <v>480</v>
      </c>
    </row>
    <row r="2947">
      <c r="A2947" s="1">
        <v>7371325.0</v>
      </c>
      <c r="B2947" s="1" t="s">
        <v>6329</v>
      </c>
      <c r="C2947" s="1" t="s">
        <v>6102</v>
      </c>
      <c r="D2947" s="1" t="s">
        <v>6106</v>
      </c>
      <c r="E2947" s="1" t="s">
        <v>6330</v>
      </c>
      <c r="F2947" s="1" t="s">
        <v>16</v>
      </c>
      <c r="G2947" s="1" t="s">
        <v>150</v>
      </c>
      <c r="H2947" s="1" t="s">
        <v>33</v>
      </c>
      <c r="I2947" s="1" t="s">
        <v>411</v>
      </c>
      <c r="J2947" s="1">
        <f>IFERROR(__xludf.DUMMYFUNCTION("""COMPUTED_VALUE"""),847.0)</f>
        <v>847</v>
      </c>
      <c r="K2947" s="1">
        <v>163.0</v>
      </c>
      <c r="L2947" s="1">
        <f>IFERROR(__xludf.DUMMYFUNCTION("""COMPUTED_VALUE"""),2490.0)</f>
        <v>2490</v>
      </c>
    </row>
    <row r="2948">
      <c r="A2948" s="1">
        <v>7326003.0</v>
      </c>
      <c r="B2948" s="1" t="s">
        <v>6331</v>
      </c>
      <c r="C2948" s="1" t="s">
        <v>6102</v>
      </c>
      <c r="D2948" s="1" t="s">
        <v>6230</v>
      </c>
      <c r="E2948" s="1" t="s">
        <v>6332</v>
      </c>
      <c r="F2948" s="1" t="s">
        <v>16</v>
      </c>
      <c r="G2948" s="1" t="s">
        <v>23</v>
      </c>
      <c r="H2948" s="1" t="s">
        <v>18</v>
      </c>
      <c r="I2948" s="1" t="s">
        <v>249</v>
      </c>
      <c r="J2948" s="1">
        <f>IFERROR(__xludf.DUMMYFUNCTION("""COMPUTED_VALUE"""),63.0)</f>
        <v>63</v>
      </c>
      <c r="K2948" s="1">
        <v>24.0</v>
      </c>
      <c r="L2948" s="1">
        <f>IFERROR(__xludf.DUMMYFUNCTION("""COMPUTED_VALUE"""),182.0)</f>
        <v>182</v>
      </c>
    </row>
    <row r="2949">
      <c r="A2949" s="1">
        <v>7371403.0</v>
      </c>
      <c r="B2949" s="1" t="s">
        <v>4912</v>
      </c>
      <c r="C2949" s="1" t="s">
        <v>6102</v>
      </c>
      <c r="D2949" s="1" t="s">
        <v>6106</v>
      </c>
      <c r="E2949" s="1" t="s">
        <v>6333</v>
      </c>
      <c r="F2949" s="1" t="s">
        <v>16</v>
      </c>
      <c r="G2949" s="1" t="s">
        <v>17</v>
      </c>
      <c r="H2949" s="1" t="s">
        <v>18</v>
      </c>
      <c r="I2949" s="1" t="s">
        <v>19</v>
      </c>
      <c r="J2949" s="1">
        <f>IFERROR(__xludf.DUMMYFUNCTION("""COMPUTED_VALUE"""),102.0)</f>
        <v>102</v>
      </c>
      <c r="K2949" s="1">
        <v>38.0</v>
      </c>
      <c r="L2949" s="1">
        <f>IFERROR(__xludf.DUMMYFUNCTION("""COMPUTED_VALUE"""),51.0)</f>
        <v>51</v>
      </c>
    </row>
    <row r="2950">
      <c r="A2950" s="1">
        <v>7307014.0</v>
      </c>
      <c r="B2950" s="1" t="s">
        <v>6334</v>
      </c>
      <c r="C2950" s="1" t="s">
        <v>6102</v>
      </c>
      <c r="D2950" s="1" t="s">
        <v>6284</v>
      </c>
      <c r="E2950" s="1" t="s">
        <v>6335</v>
      </c>
      <c r="F2950" s="1" t="s">
        <v>16</v>
      </c>
      <c r="G2950" s="1" t="s">
        <v>17</v>
      </c>
      <c r="H2950" s="1" t="s">
        <v>28</v>
      </c>
      <c r="I2950" s="1" t="s">
        <v>40</v>
      </c>
      <c r="J2950" s="1">
        <f>IFERROR(__xludf.DUMMYFUNCTION("""COMPUTED_VALUE"""),219.0)</f>
        <v>219</v>
      </c>
      <c r="K2950" s="1">
        <v>31.0</v>
      </c>
      <c r="L2950" s="1">
        <f>IFERROR(__xludf.DUMMYFUNCTION("""COMPUTED_VALUE"""),534.0)</f>
        <v>534</v>
      </c>
    </row>
    <row r="2951">
      <c r="A2951" s="1">
        <v>7322003.0</v>
      </c>
      <c r="B2951" s="1" t="s">
        <v>6336</v>
      </c>
      <c r="C2951" s="1" t="s">
        <v>6102</v>
      </c>
      <c r="D2951" s="1" t="s">
        <v>6177</v>
      </c>
      <c r="E2951" s="1" t="s">
        <v>6337</v>
      </c>
      <c r="F2951" s="1" t="s">
        <v>16</v>
      </c>
      <c r="G2951" s="1" t="s">
        <v>17</v>
      </c>
      <c r="H2951" s="1" t="s">
        <v>18</v>
      </c>
      <c r="I2951" s="1" t="s">
        <v>19</v>
      </c>
      <c r="J2951" s="1">
        <f>IFERROR(__xludf.DUMMYFUNCTION("""COMPUTED_VALUE"""),125.0)</f>
        <v>125</v>
      </c>
      <c r="K2951" s="1">
        <v>21.0</v>
      </c>
      <c r="L2951" s="1">
        <f>IFERROR(__xludf.DUMMYFUNCTION("""COMPUTED_VALUE"""),147.0)</f>
        <v>147</v>
      </c>
    </row>
    <row r="2952">
      <c r="A2952" s="1">
        <v>7371234.0</v>
      </c>
      <c r="B2952" s="1" t="s">
        <v>6338</v>
      </c>
      <c r="C2952" s="1" t="s">
        <v>6102</v>
      </c>
      <c r="D2952" s="1" t="s">
        <v>6106</v>
      </c>
      <c r="E2952" s="1" t="s">
        <v>6339</v>
      </c>
      <c r="F2952" s="1" t="s">
        <v>55</v>
      </c>
      <c r="G2952" s="1" t="s">
        <v>17</v>
      </c>
      <c r="H2952" s="1" t="s">
        <v>28</v>
      </c>
      <c r="I2952" s="1" t="s">
        <v>139</v>
      </c>
      <c r="J2952" s="1">
        <f>IFERROR(__xludf.DUMMYFUNCTION("""COMPUTED_VALUE"""),81.0)</f>
        <v>81</v>
      </c>
      <c r="K2952" s="1">
        <v>20.0</v>
      </c>
      <c r="L2952" s="1">
        <f>IFERROR(__xludf.DUMMYFUNCTION("""COMPUTED_VALUE"""),252.0)</f>
        <v>252</v>
      </c>
    </row>
    <row r="2953">
      <c r="A2953" s="1">
        <v>7316026.0</v>
      </c>
      <c r="B2953" s="1" t="s">
        <v>6340</v>
      </c>
      <c r="C2953" s="1" t="s">
        <v>6102</v>
      </c>
      <c r="D2953" s="1" t="s">
        <v>6103</v>
      </c>
      <c r="E2953" s="1" t="s">
        <v>6341</v>
      </c>
      <c r="F2953" s="1" t="s">
        <v>16</v>
      </c>
      <c r="G2953" s="1" t="s">
        <v>98</v>
      </c>
      <c r="H2953" s="1" t="s">
        <v>18</v>
      </c>
      <c r="I2953" s="1" t="s">
        <v>40</v>
      </c>
      <c r="J2953" s="1">
        <f>IFERROR(__xludf.DUMMYFUNCTION("""COMPUTED_VALUE"""),32.0)</f>
        <v>32</v>
      </c>
      <c r="K2953" s="1">
        <v>10.0</v>
      </c>
      <c r="L2953" s="1">
        <f>IFERROR(__xludf.DUMMYFUNCTION("""COMPUTED_VALUE"""),55.0)</f>
        <v>55</v>
      </c>
    </row>
    <row r="2954">
      <c r="A2954" s="1">
        <v>7371422.0</v>
      </c>
      <c r="B2954" s="1" t="s">
        <v>6342</v>
      </c>
      <c r="C2954" s="1" t="s">
        <v>6102</v>
      </c>
      <c r="D2954" s="1" t="s">
        <v>6106</v>
      </c>
      <c r="E2954" s="1" t="s">
        <v>6343</v>
      </c>
      <c r="F2954" s="1" t="s">
        <v>32</v>
      </c>
      <c r="G2954" s="1" t="s">
        <v>27</v>
      </c>
      <c r="H2954" s="1" t="s">
        <v>18</v>
      </c>
      <c r="I2954" s="1" t="s">
        <v>34</v>
      </c>
      <c r="J2954" s="1">
        <f>IFERROR(__xludf.DUMMYFUNCTION("""COMPUTED_VALUE"""),13.0)</f>
        <v>13</v>
      </c>
      <c r="K2954" s="1">
        <v>19.0</v>
      </c>
      <c r="L2954" s="1">
        <f>IFERROR(__xludf.DUMMYFUNCTION("""COMPUTED_VALUE"""),122.0)</f>
        <v>122</v>
      </c>
    </row>
    <row r="2955">
      <c r="A2955" s="1">
        <v>7306070.0</v>
      </c>
      <c r="B2955" s="1" t="s">
        <v>6344</v>
      </c>
      <c r="C2955" s="1" t="s">
        <v>6102</v>
      </c>
      <c r="D2955" s="1" t="s">
        <v>6189</v>
      </c>
      <c r="E2955" s="1" t="s">
        <v>6345</v>
      </c>
      <c r="F2955" s="1" t="s">
        <v>16</v>
      </c>
      <c r="G2955" s="1" t="s">
        <v>17</v>
      </c>
      <c r="H2955" s="1" t="s">
        <v>18</v>
      </c>
      <c r="I2955" s="1" t="s">
        <v>19</v>
      </c>
      <c r="J2955" s="1">
        <f>IFERROR(__xludf.DUMMYFUNCTION("""COMPUTED_VALUE"""),116.0)</f>
        <v>116</v>
      </c>
      <c r="K2955" s="1">
        <v>58.0</v>
      </c>
      <c r="L2955" s="1">
        <f>IFERROR(__xludf.DUMMYFUNCTION("""COMPUTED_VALUE"""),182.0)</f>
        <v>182</v>
      </c>
    </row>
    <row r="2956">
      <c r="A2956" s="1">
        <v>7371096.0</v>
      </c>
      <c r="B2956" s="1" t="s">
        <v>6346</v>
      </c>
      <c r="C2956" s="1" t="s">
        <v>6102</v>
      </c>
      <c r="D2956" s="1" t="s">
        <v>6106</v>
      </c>
      <c r="E2956" s="1" t="s">
        <v>6347</v>
      </c>
      <c r="F2956" s="1" t="s">
        <v>174</v>
      </c>
      <c r="G2956" s="1" t="s">
        <v>150</v>
      </c>
      <c r="H2956" s="1" t="s">
        <v>28</v>
      </c>
      <c r="I2956" s="1" t="s">
        <v>139</v>
      </c>
      <c r="J2956" s="1">
        <f>IFERROR(__xludf.DUMMYFUNCTION("""COMPUTED_VALUE"""),400.0)</f>
        <v>400</v>
      </c>
      <c r="K2956" s="1">
        <v>43.0</v>
      </c>
      <c r="L2956" s="1">
        <f>IFERROR(__xludf.DUMMYFUNCTION("""COMPUTED_VALUE"""),519.0)</f>
        <v>519</v>
      </c>
    </row>
    <row r="2957">
      <c r="A2957" s="1">
        <v>7371407.0</v>
      </c>
      <c r="B2957" s="1" t="s">
        <v>6348</v>
      </c>
      <c r="C2957" s="1" t="s">
        <v>6102</v>
      </c>
      <c r="D2957" s="1" t="s">
        <v>6106</v>
      </c>
      <c r="E2957" s="1" t="s">
        <v>6349</v>
      </c>
      <c r="F2957" s="1" t="s">
        <v>16</v>
      </c>
      <c r="G2957" s="1" t="s">
        <v>17</v>
      </c>
      <c r="H2957" s="1" t="s">
        <v>18</v>
      </c>
      <c r="I2957" s="1" t="s">
        <v>163</v>
      </c>
      <c r="J2957" s="1">
        <f>IFERROR(__xludf.DUMMYFUNCTION("""COMPUTED_VALUE"""),100.0)</f>
        <v>100</v>
      </c>
      <c r="K2957" s="1">
        <v>32.0</v>
      </c>
      <c r="L2957" s="1">
        <f>IFERROR(__xludf.DUMMYFUNCTION("""COMPUTED_VALUE"""),102.0)</f>
        <v>102</v>
      </c>
    </row>
    <row r="2958">
      <c r="A2958" s="1">
        <v>7314024.0</v>
      </c>
      <c r="B2958" s="1" t="s">
        <v>6350</v>
      </c>
      <c r="C2958" s="1" t="s">
        <v>6102</v>
      </c>
      <c r="D2958" s="1" t="s">
        <v>6202</v>
      </c>
      <c r="E2958" s="1" t="s">
        <v>6351</v>
      </c>
      <c r="F2958" s="1" t="s">
        <v>16</v>
      </c>
      <c r="G2958" s="1" t="s">
        <v>17</v>
      </c>
      <c r="H2958" s="1" t="s">
        <v>28</v>
      </c>
      <c r="I2958" s="1" t="s">
        <v>40</v>
      </c>
      <c r="J2958" s="1">
        <f>IFERROR(__xludf.DUMMYFUNCTION("""COMPUTED_VALUE"""),147.0)</f>
        <v>147</v>
      </c>
      <c r="K2958" s="1">
        <v>30.0</v>
      </c>
      <c r="L2958" s="1">
        <f>IFERROR(__xludf.DUMMYFUNCTION("""COMPUTED_VALUE"""),462.0)</f>
        <v>462</v>
      </c>
    </row>
    <row r="2959">
      <c r="A2959" s="1">
        <v>7302028.0</v>
      </c>
      <c r="B2959" s="1" t="s">
        <v>6352</v>
      </c>
      <c r="C2959" s="1" t="s">
        <v>6102</v>
      </c>
      <c r="D2959" s="1" t="s">
        <v>6116</v>
      </c>
      <c r="E2959" s="1" t="s">
        <v>6353</v>
      </c>
      <c r="F2959" s="1" t="s">
        <v>16</v>
      </c>
      <c r="G2959" s="1" t="s">
        <v>98</v>
      </c>
      <c r="H2959" s="1" t="s">
        <v>18</v>
      </c>
      <c r="I2959" s="1" t="s">
        <v>40</v>
      </c>
      <c r="J2959" s="1">
        <f>IFERROR(__xludf.DUMMYFUNCTION("""COMPUTED_VALUE"""),55.0)</f>
        <v>55</v>
      </c>
      <c r="K2959" s="1">
        <v>25.0</v>
      </c>
      <c r="L2959" s="1">
        <f>IFERROR(__xludf.DUMMYFUNCTION("""COMPUTED_VALUE"""),182.0)</f>
        <v>182</v>
      </c>
    </row>
    <row r="2960">
      <c r="A2960" s="1">
        <v>7325016.0</v>
      </c>
      <c r="B2960" s="1" t="s">
        <v>6354</v>
      </c>
      <c r="C2960" s="1" t="s">
        <v>6102</v>
      </c>
      <c r="D2960" s="1" t="s">
        <v>6145</v>
      </c>
      <c r="E2960" s="1" t="s">
        <v>6355</v>
      </c>
      <c r="F2960" s="1" t="s">
        <v>16</v>
      </c>
      <c r="G2960" s="1" t="s">
        <v>17</v>
      </c>
      <c r="H2960" s="1" t="s">
        <v>28</v>
      </c>
      <c r="I2960" s="1" t="s">
        <v>40</v>
      </c>
      <c r="J2960" s="1">
        <f>IFERROR(__xludf.DUMMYFUNCTION("""COMPUTED_VALUE"""),200.0)</f>
        <v>200</v>
      </c>
      <c r="K2960" s="1">
        <v>37.0</v>
      </c>
      <c r="L2960" s="1">
        <f>IFERROR(__xludf.DUMMYFUNCTION("""COMPUTED_VALUE"""),191.0)</f>
        <v>191</v>
      </c>
    </row>
    <row r="2961">
      <c r="A2961" s="1">
        <v>7317076.0</v>
      </c>
      <c r="B2961" s="1" t="s">
        <v>6356</v>
      </c>
      <c r="C2961" s="1" t="s">
        <v>6102</v>
      </c>
      <c r="D2961" s="1" t="s">
        <v>6167</v>
      </c>
      <c r="E2961" s="1" t="s">
        <v>6357</v>
      </c>
      <c r="F2961" s="1" t="s">
        <v>16</v>
      </c>
      <c r="G2961" s="1" t="s">
        <v>17</v>
      </c>
      <c r="H2961" s="1" t="s">
        <v>18</v>
      </c>
      <c r="I2961" s="1" t="s">
        <v>44</v>
      </c>
      <c r="J2961" s="1">
        <f>IFERROR(__xludf.DUMMYFUNCTION("""COMPUTED_VALUE"""),139.0)</f>
        <v>139</v>
      </c>
      <c r="K2961" s="1">
        <v>28.0</v>
      </c>
      <c r="L2961" s="1">
        <f>IFERROR(__xludf.DUMMYFUNCTION("""COMPUTED_VALUE"""),130.0)</f>
        <v>130</v>
      </c>
    </row>
    <row r="2962">
      <c r="A2962" s="1">
        <v>7371351.0</v>
      </c>
      <c r="B2962" s="1" t="s">
        <v>6358</v>
      </c>
      <c r="C2962" s="1" t="s">
        <v>6102</v>
      </c>
      <c r="D2962" s="1" t="s">
        <v>6106</v>
      </c>
      <c r="E2962" s="1" t="s">
        <v>6359</v>
      </c>
      <c r="F2962" s="1" t="s">
        <v>16</v>
      </c>
      <c r="G2962" s="1" t="s">
        <v>23</v>
      </c>
      <c r="H2962" s="1" t="s">
        <v>18</v>
      </c>
      <c r="I2962" s="1" t="s">
        <v>59</v>
      </c>
      <c r="J2962" s="1">
        <f>IFERROR(__xludf.DUMMYFUNCTION("""COMPUTED_VALUE"""),50.0)</f>
        <v>50</v>
      </c>
      <c r="K2962" s="1">
        <v>21.0</v>
      </c>
      <c r="L2962" s="1">
        <f>IFERROR(__xludf.DUMMYFUNCTION("""COMPUTED_VALUE"""),70.0)</f>
        <v>70</v>
      </c>
    </row>
    <row r="2963">
      <c r="A2963" s="1">
        <v>7373004.0</v>
      </c>
      <c r="B2963" s="1" t="s">
        <v>6360</v>
      </c>
      <c r="C2963" s="1" t="s">
        <v>6102</v>
      </c>
      <c r="D2963" s="1" t="s">
        <v>6109</v>
      </c>
      <c r="E2963" s="1" t="s">
        <v>6361</v>
      </c>
      <c r="F2963" s="1" t="s">
        <v>16</v>
      </c>
      <c r="G2963" s="1" t="s">
        <v>17</v>
      </c>
      <c r="H2963" s="1" t="s">
        <v>18</v>
      </c>
      <c r="I2963" s="1" t="s">
        <v>19</v>
      </c>
      <c r="J2963" s="1">
        <f>IFERROR(__xludf.DUMMYFUNCTION("""COMPUTED_VALUE"""),190.0)</f>
        <v>190</v>
      </c>
      <c r="K2963" s="1">
        <v>40.0</v>
      </c>
      <c r="L2963" s="1">
        <f>IFERROR(__xludf.DUMMYFUNCTION("""COMPUTED_VALUE"""),196.0)</f>
        <v>196</v>
      </c>
    </row>
    <row r="2964">
      <c r="A2964" s="1">
        <v>7372077.0</v>
      </c>
      <c r="B2964" s="1" t="s">
        <v>6362</v>
      </c>
      <c r="C2964" s="1" t="s">
        <v>6102</v>
      </c>
      <c r="D2964" s="1" t="s">
        <v>6148</v>
      </c>
      <c r="E2964" s="1" t="s">
        <v>6363</v>
      </c>
      <c r="F2964" s="1" t="s">
        <v>55</v>
      </c>
      <c r="G2964" s="1" t="s">
        <v>17</v>
      </c>
      <c r="H2964" s="1" t="s">
        <v>18</v>
      </c>
      <c r="I2964" s="1" t="s">
        <v>19</v>
      </c>
      <c r="J2964" s="1">
        <f>IFERROR(__xludf.DUMMYFUNCTION("""COMPUTED_VALUE"""),32.0)</f>
        <v>32</v>
      </c>
      <c r="K2964" s="1">
        <v>11.0</v>
      </c>
      <c r="L2964" s="1">
        <f>IFERROR(__xludf.DUMMYFUNCTION("""COMPUTED_VALUE"""),41.0)</f>
        <v>41</v>
      </c>
    </row>
    <row r="2965">
      <c r="A2965" s="1">
        <v>7308041.0</v>
      </c>
      <c r="B2965" s="1" t="s">
        <v>6364</v>
      </c>
      <c r="C2965" s="1" t="s">
        <v>6102</v>
      </c>
      <c r="D2965" s="1" t="s">
        <v>6123</v>
      </c>
      <c r="E2965" s="1" t="s">
        <v>6365</v>
      </c>
      <c r="F2965" s="1" t="s">
        <v>16</v>
      </c>
      <c r="G2965" s="1" t="s">
        <v>27</v>
      </c>
      <c r="H2965" s="1" t="s">
        <v>28</v>
      </c>
      <c r="I2965" s="1" t="s">
        <v>40</v>
      </c>
      <c r="J2965" s="1">
        <f>IFERROR(__xludf.DUMMYFUNCTION("""COMPUTED_VALUE"""),404.0)</f>
        <v>404</v>
      </c>
      <c r="K2965" s="1">
        <v>33.0</v>
      </c>
      <c r="L2965" s="1">
        <f>IFERROR(__xludf.DUMMYFUNCTION("""COMPUTED_VALUE"""),840.0)</f>
        <v>840</v>
      </c>
    </row>
    <row r="2966">
      <c r="A2966" s="1">
        <v>7314036.0</v>
      </c>
      <c r="B2966" s="1" t="s">
        <v>6366</v>
      </c>
      <c r="C2966" s="1" t="s">
        <v>6102</v>
      </c>
      <c r="D2966" s="1" t="s">
        <v>6202</v>
      </c>
      <c r="E2966" s="1" t="s">
        <v>6367</v>
      </c>
      <c r="F2966" s="1" t="s">
        <v>16</v>
      </c>
      <c r="G2966" s="1" t="s">
        <v>23</v>
      </c>
      <c r="H2966" s="1" t="s">
        <v>18</v>
      </c>
      <c r="I2966" s="1" t="s">
        <v>163</v>
      </c>
      <c r="J2966" s="1">
        <f>IFERROR(__xludf.DUMMYFUNCTION("""COMPUTED_VALUE"""),82.0)</f>
        <v>82</v>
      </c>
      <c r="K2966" s="1">
        <v>22.0</v>
      </c>
      <c r="L2966" s="1">
        <f>IFERROR(__xludf.DUMMYFUNCTION("""COMPUTED_VALUE"""),182.0)</f>
        <v>182</v>
      </c>
    </row>
    <row r="2967">
      <c r="A2967" s="1">
        <v>7402010.0</v>
      </c>
      <c r="B2967" s="1" t="s">
        <v>6368</v>
      </c>
      <c r="C2967" s="1" t="s">
        <v>6369</v>
      </c>
      <c r="D2967" s="1" t="s">
        <v>6370</v>
      </c>
      <c r="E2967" s="1" t="s">
        <v>6371</v>
      </c>
      <c r="F2967" s="1" t="s">
        <v>16</v>
      </c>
      <c r="G2967" s="1" t="s">
        <v>17</v>
      </c>
      <c r="H2967" s="1" t="s">
        <v>28</v>
      </c>
      <c r="I2967" s="1" t="s">
        <v>40</v>
      </c>
      <c r="J2967" s="1">
        <f>IFERROR(__xludf.DUMMYFUNCTION("""COMPUTED_VALUE"""),189.0)</f>
        <v>189</v>
      </c>
      <c r="K2967" s="1">
        <v>24.0</v>
      </c>
      <c r="L2967" s="1">
        <f>IFERROR(__xludf.DUMMYFUNCTION("""COMPUTED_VALUE"""),442.0)</f>
        <v>442</v>
      </c>
    </row>
    <row r="2968">
      <c r="A2968" s="1">
        <v>7471136.0</v>
      </c>
      <c r="B2968" s="1" t="s">
        <v>6372</v>
      </c>
      <c r="C2968" s="1" t="s">
        <v>6369</v>
      </c>
      <c r="D2968" s="1" t="s">
        <v>6373</v>
      </c>
      <c r="E2968" s="1" t="s">
        <v>6374</v>
      </c>
      <c r="F2968" s="1" t="s">
        <v>1884</v>
      </c>
      <c r="G2968" s="1" t="s">
        <v>27</v>
      </c>
      <c r="H2968" s="1" t="s">
        <v>28</v>
      </c>
      <c r="I2968" s="1" t="s">
        <v>139</v>
      </c>
      <c r="J2968" s="1">
        <f>IFERROR(__xludf.DUMMYFUNCTION("""COMPUTED_VALUE"""),132.0)</f>
        <v>132</v>
      </c>
      <c r="K2968" s="1">
        <v>55.0</v>
      </c>
      <c r="L2968" s="1">
        <f>IFERROR(__xludf.DUMMYFUNCTION("""COMPUTED_VALUE"""),182.0)</f>
        <v>182</v>
      </c>
    </row>
    <row r="2969">
      <c r="A2969" s="1">
        <v>7404012.0</v>
      </c>
      <c r="B2969" s="1" t="s">
        <v>6375</v>
      </c>
      <c r="C2969" s="1" t="s">
        <v>6369</v>
      </c>
      <c r="D2969" s="1" t="s">
        <v>6376</v>
      </c>
      <c r="E2969" s="1" t="s">
        <v>6377</v>
      </c>
      <c r="F2969" s="1" t="s">
        <v>16</v>
      </c>
      <c r="G2969" s="1" t="s">
        <v>17</v>
      </c>
      <c r="H2969" s="1" t="s">
        <v>28</v>
      </c>
      <c r="I2969" s="1" t="s">
        <v>40</v>
      </c>
      <c r="J2969" s="1">
        <f>IFERROR(__xludf.DUMMYFUNCTION("""COMPUTED_VALUE"""),205.0)</f>
        <v>205</v>
      </c>
      <c r="K2969" s="1">
        <v>51.0</v>
      </c>
      <c r="L2969" s="1">
        <f>IFERROR(__xludf.DUMMYFUNCTION("""COMPUTED_VALUE"""),512.0)</f>
        <v>512</v>
      </c>
    </row>
    <row r="2970">
      <c r="A2970" s="1">
        <v>7403126.0</v>
      </c>
      <c r="B2970" s="1" t="s">
        <v>6378</v>
      </c>
      <c r="C2970" s="1" t="s">
        <v>6369</v>
      </c>
      <c r="D2970" s="1" t="s">
        <v>6379</v>
      </c>
      <c r="E2970" s="1" t="s">
        <v>6380</v>
      </c>
      <c r="F2970" s="1" t="s">
        <v>16</v>
      </c>
      <c r="G2970" s="1" t="s">
        <v>23</v>
      </c>
      <c r="H2970" s="1" t="s">
        <v>18</v>
      </c>
      <c r="I2970" s="1" t="s">
        <v>19</v>
      </c>
      <c r="J2970" s="1">
        <f>IFERROR(__xludf.DUMMYFUNCTION("""COMPUTED_VALUE"""),50.0)</f>
        <v>50</v>
      </c>
      <c r="K2970" s="1">
        <v>15.0</v>
      </c>
      <c r="L2970" s="1">
        <f>IFERROR(__xludf.DUMMYFUNCTION("""COMPUTED_VALUE"""),51.0)</f>
        <v>51</v>
      </c>
    </row>
    <row r="2971">
      <c r="A2971" s="1">
        <v>7403022.0</v>
      </c>
      <c r="B2971" s="1" t="s">
        <v>6381</v>
      </c>
      <c r="C2971" s="1" t="s">
        <v>6369</v>
      </c>
      <c r="D2971" s="1" t="s">
        <v>6379</v>
      </c>
      <c r="E2971" s="1" t="s">
        <v>6382</v>
      </c>
      <c r="F2971" s="1" t="s">
        <v>16</v>
      </c>
      <c r="G2971" s="1" t="s">
        <v>17</v>
      </c>
      <c r="H2971" s="1" t="s">
        <v>28</v>
      </c>
      <c r="I2971" s="1" t="s">
        <v>40</v>
      </c>
      <c r="J2971" s="1">
        <f>IFERROR(__xludf.DUMMYFUNCTION("""COMPUTED_VALUE"""),209.0)</f>
        <v>209</v>
      </c>
      <c r="K2971" s="1">
        <v>35.0</v>
      </c>
      <c r="L2971" s="1">
        <f>IFERROR(__xludf.DUMMYFUNCTION("""COMPUTED_VALUE"""),861.0)</f>
        <v>861</v>
      </c>
    </row>
    <row r="2972">
      <c r="A2972" s="1">
        <v>7471009.0</v>
      </c>
      <c r="B2972" s="1" t="s">
        <v>6383</v>
      </c>
      <c r="C2972" s="1" t="s">
        <v>6369</v>
      </c>
      <c r="D2972" s="1" t="s">
        <v>6373</v>
      </c>
      <c r="E2972" s="1" t="s">
        <v>6384</v>
      </c>
      <c r="F2972" s="1" t="s">
        <v>16</v>
      </c>
      <c r="G2972" s="1" t="s">
        <v>23</v>
      </c>
      <c r="H2972" s="1" t="s">
        <v>18</v>
      </c>
      <c r="I2972" s="1" t="s">
        <v>44</v>
      </c>
      <c r="J2972" s="1">
        <f>IFERROR(__xludf.DUMMYFUNCTION("""COMPUTED_VALUE"""),53.0)</f>
        <v>53</v>
      </c>
      <c r="K2972" s="1">
        <v>19.0</v>
      </c>
      <c r="L2972" s="1">
        <f>IFERROR(__xludf.DUMMYFUNCTION("""COMPUTED_VALUE"""),182.0)</f>
        <v>182</v>
      </c>
    </row>
    <row r="2973">
      <c r="A2973" s="1">
        <v>7404034.0</v>
      </c>
      <c r="B2973" s="1" t="s">
        <v>6385</v>
      </c>
      <c r="C2973" s="1" t="s">
        <v>6369</v>
      </c>
      <c r="D2973" s="1" t="s">
        <v>6386</v>
      </c>
      <c r="E2973" s="1" t="s">
        <v>6387</v>
      </c>
      <c r="F2973" s="1" t="s">
        <v>16</v>
      </c>
      <c r="G2973" s="1" t="s">
        <v>17</v>
      </c>
      <c r="H2973" s="1" t="s">
        <v>28</v>
      </c>
      <c r="I2973" s="1" t="s">
        <v>40</v>
      </c>
      <c r="J2973" s="1">
        <f>IFERROR(__xludf.DUMMYFUNCTION("""COMPUTED_VALUE"""),139.0)</f>
        <v>139</v>
      </c>
      <c r="K2973" s="1">
        <v>25.0</v>
      </c>
      <c r="L2973" s="1">
        <f>IFERROR(__xludf.DUMMYFUNCTION("""COMPUTED_VALUE"""),398.0)</f>
        <v>398</v>
      </c>
    </row>
    <row r="2974">
      <c r="A2974" s="1">
        <v>7471002.0</v>
      </c>
      <c r="B2974" s="1" t="s">
        <v>6388</v>
      </c>
      <c r="C2974" s="1" t="s">
        <v>6369</v>
      </c>
      <c r="D2974" s="1" t="s">
        <v>6373</v>
      </c>
      <c r="E2974" s="1" t="s">
        <v>6389</v>
      </c>
      <c r="F2974" s="1" t="s">
        <v>16</v>
      </c>
      <c r="G2974" s="1" t="s">
        <v>23</v>
      </c>
      <c r="H2974" s="1" t="s">
        <v>18</v>
      </c>
      <c r="I2974" s="1" t="s">
        <v>163</v>
      </c>
      <c r="J2974" s="1">
        <f>IFERROR(__xludf.DUMMYFUNCTION("""COMPUTED_VALUE"""),53.0)</f>
        <v>53</v>
      </c>
      <c r="K2974" s="1">
        <v>27.0</v>
      </c>
      <c r="L2974" s="1">
        <f>IFERROR(__xludf.DUMMYFUNCTION("""COMPUTED_VALUE"""),91.0)</f>
        <v>91</v>
      </c>
    </row>
    <row r="2975">
      <c r="A2975" s="1">
        <v>7471044.0</v>
      </c>
      <c r="B2975" s="1" t="s">
        <v>6390</v>
      </c>
      <c r="C2975" s="1" t="s">
        <v>6369</v>
      </c>
      <c r="D2975" s="1" t="s">
        <v>6373</v>
      </c>
      <c r="E2975" s="1" t="s">
        <v>6391</v>
      </c>
      <c r="F2975" s="1" t="s">
        <v>16</v>
      </c>
      <c r="G2975" s="1" t="s">
        <v>17</v>
      </c>
      <c r="H2975" s="1" t="s">
        <v>18</v>
      </c>
      <c r="I2975" s="1" t="s">
        <v>59</v>
      </c>
      <c r="J2975" s="1">
        <f>IFERROR(__xludf.DUMMYFUNCTION("""COMPUTED_VALUE"""),102.0)</f>
        <v>102</v>
      </c>
      <c r="K2975" s="1">
        <v>33.0</v>
      </c>
      <c r="L2975" s="1">
        <f>IFERROR(__xludf.DUMMYFUNCTION("""COMPUTED_VALUE"""),135.0)</f>
        <v>135</v>
      </c>
    </row>
    <row r="2976">
      <c r="A2976" s="1">
        <v>7471004.0</v>
      </c>
      <c r="B2976" s="1" t="s">
        <v>6392</v>
      </c>
      <c r="C2976" s="1" t="s">
        <v>6369</v>
      </c>
      <c r="D2976" s="1" t="s">
        <v>6373</v>
      </c>
      <c r="E2976" s="1" t="s">
        <v>6393</v>
      </c>
      <c r="F2976" s="1" t="s">
        <v>16</v>
      </c>
      <c r="G2976" s="1" t="s">
        <v>23</v>
      </c>
      <c r="H2976" s="1" t="s">
        <v>18</v>
      </c>
      <c r="I2976" s="1" t="s">
        <v>19</v>
      </c>
      <c r="J2976" s="1">
        <f>IFERROR(__xludf.DUMMYFUNCTION("""COMPUTED_VALUE"""),65.0)</f>
        <v>65</v>
      </c>
      <c r="K2976" s="1">
        <v>32.0</v>
      </c>
      <c r="L2976" s="1">
        <f>IFERROR(__xludf.DUMMYFUNCTION("""COMPUTED_VALUE"""),70.0)</f>
        <v>70</v>
      </c>
    </row>
    <row r="2977">
      <c r="A2977" s="1">
        <v>7402011.0</v>
      </c>
      <c r="B2977" s="1" t="s">
        <v>6394</v>
      </c>
      <c r="C2977" s="1" t="s">
        <v>6369</v>
      </c>
      <c r="D2977" s="1" t="s">
        <v>6395</v>
      </c>
      <c r="E2977" s="1" t="s">
        <v>6396</v>
      </c>
      <c r="F2977" s="1" t="s">
        <v>16</v>
      </c>
      <c r="G2977" s="1" t="s">
        <v>23</v>
      </c>
      <c r="H2977" s="1" t="s">
        <v>18</v>
      </c>
      <c r="I2977" s="1" t="s">
        <v>40</v>
      </c>
      <c r="J2977" s="1">
        <f>IFERROR(__xludf.DUMMYFUNCTION("""COMPUTED_VALUE"""),100.0)</f>
        <v>100</v>
      </c>
      <c r="K2977" s="1">
        <v>14.0</v>
      </c>
      <c r="L2977" s="1">
        <f>IFERROR(__xludf.DUMMYFUNCTION("""COMPUTED_VALUE"""),134.0)</f>
        <v>134</v>
      </c>
    </row>
    <row r="2978">
      <c r="A2978" s="1">
        <v>7472002.0</v>
      </c>
      <c r="B2978" s="1" t="s">
        <v>6397</v>
      </c>
      <c r="C2978" s="1" t="s">
        <v>6369</v>
      </c>
      <c r="D2978" s="1" t="s">
        <v>6398</v>
      </c>
      <c r="E2978" s="1" t="s">
        <v>6399</v>
      </c>
      <c r="F2978" s="1" t="s">
        <v>16</v>
      </c>
      <c r="G2978" s="1" t="s">
        <v>17</v>
      </c>
      <c r="H2978" s="1" t="s">
        <v>18</v>
      </c>
      <c r="I2978" s="1" t="s">
        <v>44</v>
      </c>
      <c r="J2978" s="1">
        <f>IFERROR(__xludf.DUMMYFUNCTION("""COMPUTED_VALUE"""),114.0)</f>
        <v>114</v>
      </c>
      <c r="K2978" s="1">
        <v>33.0</v>
      </c>
      <c r="L2978" s="1">
        <f>IFERROR(__xludf.DUMMYFUNCTION("""COMPUTED_VALUE"""),241.0)</f>
        <v>241</v>
      </c>
    </row>
    <row r="2979">
      <c r="A2979" s="1">
        <v>7471070.0</v>
      </c>
      <c r="B2979" s="1" t="s">
        <v>6400</v>
      </c>
      <c r="C2979" s="1" t="s">
        <v>6369</v>
      </c>
      <c r="D2979" s="1" t="s">
        <v>6373</v>
      </c>
      <c r="E2979" s="1" t="s">
        <v>6401</v>
      </c>
      <c r="F2979" s="1" t="s">
        <v>16</v>
      </c>
      <c r="G2979" s="1" t="s">
        <v>17</v>
      </c>
      <c r="H2979" s="1" t="s">
        <v>33</v>
      </c>
      <c r="I2979" s="1" t="s">
        <v>65</v>
      </c>
      <c r="J2979" s="1">
        <f>IFERROR(__xludf.DUMMYFUNCTION("""COMPUTED_VALUE"""),110.0)</f>
        <v>110</v>
      </c>
      <c r="K2979" s="1">
        <v>87.0</v>
      </c>
      <c r="L2979" s="1">
        <f>IFERROR(__xludf.DUMMYFUNCTION("""COMPUTED_VALUE"""),223.0)</f>
        <v>223</v>
      </c>
    </row>
    <row r="2980">
      <c r="A2980" s="1">
        <v>7406036.0</v>
      </c>
      <c r="B2980" s="1" t="s">
        <v>6402</v>
      </c>
      <c r="C2980" s="1" t="s">
        <v>6369</v>
      </c>
      <c r="D2980" s="1" t="s">
        <v>6403</v>
      </c>
      <c r="E2980" s="1" t="s">
        <v>6404</v>
      </c>
      <c r="F2980" s="1" t="s">
        <v>16</v>
      </c>
      <c r="G2980" s="1" t="s">
        <v>17</v>
      </c>
      <c r="H2980" s="1" t="s">
        <v>28</v>
      </c>
      <c r="I2980" s="1" t="s">
        <v>40</v>
      </c>
      <c r="J2980" s="1">
        <f>IFERROR(__xludf.DUMMYFUNCTION("""COMPUTED_VALUE"""),124.0)</f>
        <v>124</v>
      </c>
      <c r="K2980" s="1">
        <v>23.0</v>
      </c>
      <c r="L2980" s="1">
        <f>IFERROR(__xludf.DUMMYFUNCTION("""COMPUTED_VALUE"""),192.0)</f>
        <v>192</v>
      </c>
    </row>
    <row r="2981">
      <c r="A2981" s="1">
        <v>7414002.0</v>
      </c>
      <c r="B2981" s="1" t="s">
        <v>6405</v>
      </c>
      <c r="C2981" s="1" t="s">
        <v>6369</v>
      </c>
      <c r="D2981" s="1" t="s">
        <v>6406</v>
      </c>
      <c r="E2981" s="1" t="s">
        <v>6407</v>
      </c>
      <c r="F2981" s="1" t="s">
        <v>16</v>
      </c>
      <c r="G2981" s="1" t="s">
        <v>23</v>
      </c>
      <c r="H2981" s="1" t="s">
        <v>18</v>
      </c>
      <c r="I2981" s="1" t="s">
        <v>40</v>
      </c>
      <c r="J2981" s="1">
        <f>IFERROR(__xludf.DUMMYFUNCTION("""COMPUTED_VALUE"""),51.0)</f>
        <v>51</v>
      </c>
      <c r="K2981" s="1">
        <v>9.0</v>
      </c>
      <c r="L2981" s="1">
        <f>IFERROR(__xludf.DUMMYFUNCTION("""COMPUTED_VALUE"""),123.0)</f>
        <v>123</v>
      </c>
    </row>
    <row r="2982">
      <c r="A2982" s="1">
        <v>7471008.0</v>
      </c>
      <c r="B2982" s="1" t="s">
        <v>6408</v>
      </c>
      <c r="C2982" s="1" t="s">
        <v>6369</v>
      </c>
      <c r="D2982" s="1" t="s">
        <v>6373</v>
      </c>
      <c r="E2982" s="1" t="s">
        <v>6409</v>
      </c>
      <c r="F2982" s="1" t="s">
        <v>16</v>
      </c>
      <c r="G2982" s="1" t="s">
        <v>23</v>
      </c>
      <c r="H2982" s="1" t="s">
        <v>18</v>
      </c>
      <c r="I2982" s="1" t="s">
        <v>19</v>
      </c>
      <c r="J2982" s="1">
        <f>IFERROR(__xludf.DUMMYFUNCTION("""COMPUTED_VALUE"""),51.0)</f>
        <v>51</v>
      </c>
      <c r="K2982" s="1">
        <v>20.0</v>
      </c>
      <c r="L2982" s="1">
        <f>IFERROR(__xludf.DUMMYFUNCTION("""COMPUTED_VALUE"""),27.0)</f>
        <v>27</v>
      </c>
    </row>
    <row r="2983">
      <c r="A2983" s="1">
        <v>7471138.0</v>
      </c>
      <c r="B2983" s="1" t="s">
        <v>6410</v>
      </c>
      <c r="C2983" s="1" t="s">
        <v>6369</v>
      </c>
      <c r="D2983" s="1" t="s">
        <v>6373</v>
      </c>
      <c r="E2983" s="1" t="s">
        <v>6411</v>
      </c>
      <c r="F2983" s="1" t="s">
        <v>16</v>
      </c>
      <c r="G2983" s="1" t="s">
        <v>23</v>
      </c>
      <c r="H2983" s="1" t="s">
        <v>18</v>
      </c>
      <c r="I2983" s="1" t="s">
        <v>59</v>
      </c>
      <c r="J2983" s="1">
        <f>IFERROR(__xludf.DUMMYFUNCTION("""COMPUTED_VALUE"""),61.0)</f>
        <v>61</v>
      </c>
      <c r="K2983" s="1">
        <v>14.0</v>
      </c>
      <c r="L2983" s="1">
        <f>IFERROR(__xludf.DUMMYFUNCTION("""COMPUTED_VALUE"""),182.0)</f>
        <v>182</v>
      </c>
    </row>
    <row r="2984">
      <c r="A2984" s="1">
        <v>7401038.0</v>
      </c>
      <c r="B2984" s="1" t="s">
        <v>6412</v>
      </c>
      <c r="C2984" s="1" t="s">
        <v>6369</v>
      </c>
      <c r="D2984" s="1" t="s">
        <v>6413</v>
      </c>
      <c r="E2984" s="1" t="s">
        <v>6414</v>
      </c>
      <c r="F2984" s="1" t="s">
        <v>16</v>
      </c>
      <c r="G2984" s="1" t="s">
        <v>17</v>
      </c>
      <c r="H2984" s="1" t="s">
        <v>28</v>
      </c>
      <c r="I2984" s="1" t="s">
        <v>40</v>
      </c>
      <c r="J2984" s="1">
        <f>IFERROR(__xludf.DUMMYFUNCTION("""COMPUTED_VALUE"""),128.0)</f>
        <v>128</v>
      </c>
      <c r="K2984" s="1">
        <v>22.0</v>
      </c>
      <c r="L2984" s="1">
        <f>IFERROR(__xludf.DUMMYFUNCTION("""COMPUTED_VALUE"""),253.0)</f>
        <v>253</v>
      </c>
    </row>
    <row r="2985">
      <c r="A2985" s="1">
        <v>7403114.0</v>
      </c>
      <c r="B2985" s="1" t="s">
        <v>6415</v>
      </c>
      <c r="C2985" s="1" t="s">
        <v>6369</v>
      </c>
      <c r="D2985" s="1" t="s">
        <v>6416</v>
      </c>
      <c r="E2985" s="1" t="s">
        <v>6417</v>
      </c>
      <c r="F2985" s="1" t="s">
        <v>16</v>
      </c>
      <c r="G2985" s="1" t="s">
        <v>17</v>
      </c>
      <c r="H2985" s="1" t="s">
        <v>33</v>
      </c>
      <c r="I2985" s="1" t="s">
        <v>40</v>
      </c>
      <c r="J2985" s="1">
        <f>IFERROR(__xludf.DUMMYFUNCTION("""COMPUTED_VALUE"""),110.0)</f>
        <v>110</v>
      </c>
      <c r="K2985" s="1">
        <v>32.0</v>
      </c>
      <c r="L2985" s="1">
        <f>IFERROR(__xludf.DUMMYFUNCTION("""COMPUTED_VALUE"""),249.0)</f>
        <v>249</v>
      </c>
    </row>
    <row r="2986">
      <c r="A2986" s="1">
        <v>7408013.0</v>
      </c>
      <c r="B2986" s="1" t="s">
        <v>6418</v>
      </c>
      <c r="C2986" s="1" t="s">
        <v>6369</v>
      </c>
      <c r="D2986" s="1" t="s">
        <v>6419</v>
      </c>
      <c r="E2986" s="1" t="s">
        <v>6420</v>
      </c>
      <c r="F2986" s="1" t="s">
        <v>16</v>
      </c>
      <c r="G2986" s="1" t="s">
        <v>23</v>
      </c>
      <c r="H2986" s="1" t="s">
        <v>28</v>
      </c>
      <c r="I2986" s="1" t="s">
        <v>40</v>
      </c>
      <c r="J2986" s="1">
        <f>IFERROR(__xludf.DUMMYFUNCTION("""COMPUTED_VALUE"""),57.0)</f>
        <v>57</v>
      </c>
      <c r="K2986" s="1">
        <v>20.0</v>
      </c>
      <c r="L2986" s="1">
        <f>IFERROR(__xludf.DUMMYFUNCTION("""COMPUTED_VALUE"""),159.0)</f>
        <v>159</v>
      </c>
    </row>
    <row r="2987">
      <c r="A2987" s="1">
        <v>7412002.0</v>
      </c>
      <c r="B2987" s="1" t="s">
        <v>6421</v>
      </c>
      <c r="C2987" s="1" t="s">
        <v>6369</v>
      </c>
      <c r="D2987" s="1" t="s">
        <v>6422</v>
      </c>
      <c r="E2987" s="1" t="s">
        <v>6423</v>
      </c>
      <c r="F2987" s="1" t="s">
        <v>16</v>
      </c>
      <c r="G2987" s="1" t="s">
        <v>23</v>
      </c>
      <c r="H2987" s="1" t="s">
        <v>18</v>
      </c>
      <c r="I2987" s="1" t="s">
        <v>40</v>
      </c>
      <c r="J2987" s="1">
        <f>IFERROR(__xludf.DUMMYFUNCTION("""COMPUTED_VALUE"""),50.0)</f>
        <v>50</v>
      </c>
      <c r="K2987" s="1">
        <v>20.0</v>
      </c>
      <c r="L2987" s="1">
        <f>IFERROR(__xludf.DUMMYFUNCTION("""COMPUTED_VALUE"""),159.0)</f>
        <v>159</v>
      </c>
    </row>
    <row r="2988">
      <c r="A2988" s="1">
        <v>7404045.0</v>
      </c>
      <c r="B2988" s="1" t="s">
        <v>6424</v>
      </c>
      <c r="C2988" s="1" t="s">
        <v>6369</v>
      </c>
      <c r="D2988" s="1" t="s">
        <v>6376</v>
      </c>
      <c r="E2988" s="1" t="s">
        <v>6425</v>
      </c>
      <c r="F2988" s="1" t="s">
        <v>16</v>
      </c>
      <c r="G2988" s="1" t="s">
        <v>23</v>
      </c>
      <c r="H2988" s="1" t="s">
        <v>18</v>
      </c>
      <c r="I2988" s="1" t="s">
        <v>44</v>
      </c>
      <c r="J2988" s="1">
        <f>IFERROR(__xludf.DUMMYFUNCTION("""COMPUTED_VALUE"""),62.0)</f>
        <v>62</v>
      </c>
      <c r="K2988" s="1">
        <v>22.0</v>
      </c>
      <c r="L2988" s="1">
        <f>IFERROR(__xludf.DUMMYFUNCTION("""COMPUTED_VALUE"""),182.0)</f>
        <v>182</v>
      </c>
    </row>
    <row r="2989">
      <c r="A2989" s="1">
        <v>7471011.0</v>
      </c>
      <c r="B2989" s="1" t="s">
        <v>6426</v>
      </c>
      <c r="C2989" s="1" t="s">
        <v>6369</v>
      </c>
      <c r="D2989" s="1" t="s">
        <v>6373</v>
      </c>
      <c r="E2989" s="1" t="s">
        <v>6427</v>
      </c>
      <c r="F2989" s="1" t="s">
        <v>16</v>
      </c>
      <c r="G2989" s="1" t="s">
        <v>27</v>
      </c>
      <c r="H2989" s="1" t="s">
        <v>28</v>
      </c>
      <c r="I2989" s="1" t="s">
        <v>139</v>
      </c>
      <c r="J2989" s="1">
        <f>IFERROR(__xludf.DUMMYFUNCTION("""COMPUTED_VALUE"""),365.0)</f>
        <v>365</v>
      </c>
      <c r="K2989" s="1">
        <v>104.0</v>
      </c>
      <c r="L2989" s="1">
        <f>IFERROR(__xludf.DUMMYFUNCTION("""COMPUTED_VALUE"""),1079.0)</f>
        <v>1079</v>
      </c>
    </row>
    <row r="2990">
      <c r="A2990" s="1">
        <v>7471137.0</v>
      </c>
      <c r="B2990" s="1" t="s">
        <v>6428</v>
      </c>
      <c r="C2990" s="1" t="s">
        <v>6369</v>
      </c>
      <c r="D2990" s="1" t="s">
        <v>6373</v>
      </c>
      <c r="E2990" s="1" t="s">
        <v>6429</v>
      </c>
      <c r="F2990" s="1" t="s">
        <v>16</v>
      </c>
      <c r="G2990" s="1" t="s">
        <v>23</v>
      </c>
      <c r="H2990" s="1" t="s">
        <v>18</v>
      </c>
      <c r="I2990" s="1" t="s">
        <v>40</v>
      </c>
      <c r="J2990" s="1">
        <f>IFERROR(__xludf.DUMMYFUNCTION("""COMPUTED_VALUE"""),56.0)</f>
        <v>56</v>
      </c>
      <c r="K2990" s="1">
        <v>27.0</v>
      </c>
      <c r="L2990" s="1">
        <f>IFERROR(__xludf.DUMMYFUNCTION("""COMPUTED_VALUE"""),182.0)</f>
        <v>182</v>
      </c>
    </row>
    <row r="2991">
      <c r="A2991" s="1">
        <v>7402022.0</v>
      </c>
      <c r="B2991" s="1" t="s">
        <v>6430</v>
      </c>
      <c r="C2991" s="1" t="s">
        <v>6369</v>
      </c>
      <c r="D2991" s="1" t="s">
        <v>6370</v>
      </c>
      <c r="E2991" s="1" t="s">
        <v>6431</v>
      </c>
      <c r="F2991" s="1" t="s">
        <v>55</v>
      </c>
      <c r="G2991" s="1" t="s">
        <v>17</v>
      </c>
      <c r="H2991" s="1" t="s">
        <v>18</v>
      </c>
      <c r="I2991" s="1" t="s">
        <v>163</v>
      </c>
      <c r="J2991" s="1">
        <f>IFERROR(__xludf.DUMMYFUNCTION("""COMPUTED_VALUE"""),26.0)</f>
        <v>26</v>
      </c>
      <c r="K2991" s="1">
        <v>15.0</v>
      </c>
      <c r="L2991" s="1">
        <f>IFERROR(__xludf.DUMMYFUNCTION("""COMPUTED_VALUE"""),182.0)</f>
        <v>182</v>
      </c>
    </row>
    <row r="2992">
      <c r="A2992" s="1">
        <v>7404023.0</v>
      </c>
      <c r="B2992" s="1" t="s">
        <v>6432</v>
      </c>
      <c r="C2992" s="1" t="s">
        <v>6369</v>
      </c>
      <c r="D2992" s="1" t="s">
        <v>6376</v>
      </c>
      <c r="E2992" s="1" t="s">
        <v>6433</v>
      </c>
      <c r="F2992" s="1" t="s">
        <v>16</v>
      </c>
      <c r="G2992" s="1" t="s">
        <v>23</v>
      </c>
      <c r="H2992" s="1" t="s">
        <v>18</v>
      </c>
      <c r="I2992" s="1" t="s">
        <v>113</v>
      </c>
      <c r="J2992" s="1">
        <f>IFERROR(__xludf.DUMMYFUNCTION("""COMPUTED_VALUE"""),65.0)</f>
        <v>65</v>
      </c>
      <c r="K2992" s="1">
        <v>20.0</v>
      </c>
      <c r="L2992" s="1">
        <f>IFERROR(__xludf.DUMMYFUNCTION("""COMPUTED_VALUE"""),42.0)</f>
        <v>42</v>
      </c>
    </row>
    <row r="2993">
      <c r="A2993" s="1">
        <v>7472004.0</v>
      </c>
      <c r="B2993" s="1" t="s">
        <v>6434</v>
      </c>
      <c r="C2993" s="1" t="s">
        <v>6369</v>
      </c>
      <c r="D2993" s="1" t="s">
        <v>6398</v>
      </c>
      <c r="E2993" s="1" t="s">
        <v>6435</v>
      </c>
      <c r="F2993" s="1" t="s">
        <v>16</v>
      </c>
      <c r="G2993" s="1" t="s">
        <v>23</v>
      </c>
      <c r="H2993" s="1" t="s">
        <v>18</v>
      </c>
      <c r="I2993" s="1" t="s">
        <v>19</v>
      </c>
      <c r="J2993" s="1">
        <f>IFERROR(__xludf.DUMMYFUNCTION("""COMPUTED_VALUE"""),65.0)</f>
        <v>65</v>
      </c>
      <c r="K2993" s="1">
        <v>21.0</v>
      </c>
      <c r="L2993" s="1">
        <f>IFERROR(__xludf.DUMMYFUNCTION("""COMPUTED_VALUE"""),1.0)</f>
        <v>1</v>
      </c>
    </row>
    <row r="2994">
      <c r="A2994" s="1">
        <v>7403033.0</v>
      </c>
      <c r="B2994" s="1" t="s">
        <v>6436</v>
      </c>
      <c r="C2994" s="1" t="s">
        <v>6369</v>
      </c>
      <c r="D2994" s="1" t="s">
        <v>6373</v>
      </c>
      <c r="E2994" s="1" t="s">
        <v>6437</v>
      </c>
      <c r="F2994" s="1" t="s">
        <v>16</v>
      </c>
      <c r="G2994" s="1" t="s">
        <v>17</v>
      </c>
      <c r="H2994" s="1" t="s">
        <v>18</v>
      </c>
      <c r="I2994" s="1" t="s">
        <v>74</v>
      </c>
      <c r="J2994" s="1">
        <f>IFERROR(__xludf.DUMMYFUNCTION("""COMPUTED_VALUE"""),100.0)</f>
        <v>100</v>
      </c>
      <c r="K2994" s="1">
        <v>31.0</v>
      </c>
      <c r="L2994" s="1">
        <f>IFERROR(__xludf.DUMMYFUNCTION("""COMPUTED_VALUE"""),163.0)</f>
        <v>163</v>
      </c>
    </row>
    <row r="2995">
      <c r="A2995" s="1">
        <v>7401039.0</v>
      </c>
      <c r="B2995" s="1" t="s">
        <v>6438</v>
      </c>
      <c r="C2995" s="1" t="s">
        <v>6369</v>
      </c>
      <c r="D2995" s="1" t="s">
        <v>6439</v>
      </c>
      <c r="E2995" s="1" t="s">
        <v>6440</v>
      </c>
      <c r="F2995" s="1" t="s">
        <v>16</v>
      </c>
      <c r="G2995" s="1" t="s">
        <v>17</v>
      </c>
      <c r="H2995" s="1" t="s">
        <v>18</v>
      </c>
      <c r="I2995" s="1" t="s">
        <v>40</v>
      </c>
      <c r="J2995" s="1">
        <f>IFERROR(__xludf.DUMMYFUNCTION("""COMPUTED_VALUE"""),119.0)</f>
        <v>119</v>
      </c>
      <c r="K2995" s="1">
        <v>24.0</v>
      </c>
      <c r="L2995" s="1">
        <f>IFERROR(__xludf.DUMMYFUNCTION("""COMPUTED_VALUE"""),130.0)</f>
        <v>130</v>
      </c>
    </row>
    <row r="2996">
      <c r="A2996" s="1">
        <v>7471066.0</v>
      </c>
      <c r="B2996" s="1" t="s">
        <v>6441</v>
      </c>
      <c r="C2996" s="1" t="s">
        <v>6369</v>
      </c>
      <c r="D2996" s="1" t="s">
        <v>6373</v>
      </c>
      <c r="E2996" s="1" t="s">
        <v>6442</v>
      </c>
      <c r="F2996" s="1" t="s">
        <v>174</v>
      </c>
      <c r="G2996" s="1" t="s">
        <v>27</v>
      </c>
      <c r="H2996" s="1" t="s">
        <v>28</v>
      </c>
      <c r="I2996" s="1" t="s">
        <v>139</v>
      </c>
      <c r="J2996" s="1">
        <f>IFERROR(__xludf.DUMMYFUNCTION("""COMPUTED_VALUE"""),187.0)</f>
        <v>187</v>
      </c>
      <c r="K2996" s="1">
        <v>30.0</v>
      </c>
      <c r="L2996" s="1">
        <f>IFERROR(__xludf.DUMMYFUNCTION("""COMPUTED_VALUE"""),281.0)</f>
        <v>281</v>
      </c>
    </row>
    <row r="2997">
      <c r="A2997" s="1">
        <v>7471007.0</v>
      </c>
      <c r="B2997" s="1" t="s">
        <v>6443</v>
      </c>
      <c r="C2997" s="1" t="s">
        <v>6369</v>
      </c>
      <c r="D2997" s="1" t="s">
        <v>6373</v>
      </c>
      <c r="E2997" s="1" t="s">
        <v>6444</v>
      </c>
      <c r="F2997" s="1" t="s">
        <v>16</v>
      </c>
      <c r="G2997" s="1" t="s">
        <v>23</v>
      </c>
      <c r="H2997" s="1" t="s">
        <v>18</v>
      </c>
      <c r="I2997" s="1" t="s">
        <v>44</v>
      </c>
      <c r="J2997" s="1">
        <f>IFERROR(__xludf.DUMMYFUNCTION("""COMPUTED_VALUE"""),51.0)</f>
        <v>51</v>
      </c>
      <c r="K2997" s="1">
        <v>26.0</v>
      </c>
      <c r="L2997" s="1">
        <f>IFERROR(__xludf.DUMMYFUNCTION("""COMPUTED_VALUE"""),86.0)</f>
        <v>86</v>
      </c>
    </row>
    <row r="2998">
      <c r="A2998" s="1">
        <v>7471005.0</v>
      </c>
      <c r="B2998" s="1" t="s">
        <v>6445</v>
      </c>
      <c r="C2998" s="1" t="s">
        <v>6369</v>
      </c>
      <c r="D2998" s="1" t="s">
        <v>6373</v>
      </c>
      <c r="E2998" s="1" t="s">
        <v>6446</v>
      </c>
      <c r="F2998" s="1" t="s">
        <v>16</v>
      </c>
      <c r="G2998" s="1" t="s">
        <v>23</v>
      </c>
      <c r="H2998" s="1" t="s">
        <v>18</v>
      </c>
      <c r="I2998" s="1" t="s">
        <v>19</v>
      </c>
      <c r="J2998" s="1">
        <f>IFERROR(__xludf.DUMMYFUNCTION("""COMPUTED_VALUE"""),53.0)</f>
        <v>53</v>
      </c>
      <c r="K2998" s="1">
        <v>24.0</v>
      </c>
      <c r="L2998" s="1">
        <f>IFERROR(__xludf.DUMMYFUNCTION("""COMPUTED_VALUE"""),77.0)</f>
        <v>77</v>
      </c>
    </row>
    <row r="2999">
      <c r="A2999" s="1">
        <v>7472016.0</v>
      </c>
      <c r="B2999" s="1" t="s">
        <v>6447</v>
      </c>
      <c r="C2999" s="1" t="s">
        <v>6369</v>
      </c>
      <c r="D2999" s="1" t="s">
        <v>6398</v>
      </c>
      <c r="E2999" s="1" t="s">
        <v>6448</v>
      </c>
      <c r="F2999" s="1" t="s">
        <v>16</v>
      </c>
      <c r="G2999" s="1" t="s">
        <v>17</v>
      </c>
      <c r="H2999" s="1" t="s">
        <v>28</v>
      </c>
      <c r="I2999" s="1" t="s">
        <v>29</v>
      </c>
      <c r="J2999" s="1">
        <f>IFERROR(__xludf.DUMMYFUNCTION("""COMPUTED_VALUE"""),169.0)</f>
        <v>169</v>
      </c>
      <c r="K2999" s="1">
        <v>40.0</v>
      </c>
      <c r="L2999" s="1">
        <f>IFERROR(__xludf.DUMMYFUNCTION("""COMPUTED_VALUE"""),271.0)</f>
        <v>271</v>
      </c>
    </row>
    <row r="3000">
      <c r="A3000" s="1">
        <v>7411908.0</v>
      </c>
      <c r="B3000" s="1" t="s">
        <v>6449</v>
      </c>
      <c r="C3000" s="1" t="s">
        <v>6369</v>
      </c>
      <c r="D3000" s="1" t="s">
        <v>6450</v>
      </c>
      <c r="E3000" s="1" t="s">
        <v>6451</v>
      </c>
      <c r="F3000" s="1" t="s">
        <v>16</v>
      </c>
      <c r="G3000" s="1" t="s">
        <v>23</v>
      </c>
      <c r="H3000" s="1" t="s">
        <v>18</v>
      </c>
      <c r="I3000" s="1" t="s">
        <v>40</v>
      </c>
      <c r="J3000" s="1">
        <f>IFERROR(__xludf.DUMMYFUNCTION("""COMPUTED_VALUE"""),56.0)</f>
        <v>56</v>
      </c>
      <c r="K3000" s="1">
        <v>23.0</v>
      </c>
      <c r="L3000" s="1">
        <f>IFERROR(__xludf.DUMMYFUNCTION("""COMPUTED_VALUE"""),174.0)</f>
        <v>174</v>
      </c>
    </row>
    <row r="3001">
      <c r="A3001" s="1">
        <v>7404046.0</v>
      </c>
      <c r="B3001" s="1" t="s">
        <v>6452</v>
      </c>
      <c r="C3001" s="1" t="s">
        <v>6369</v>
      </c>
      <c r="D3001" s="1" t="s">
        <v>6376</v>
      </c>
      <c r="E3001" s="1" t="s">
        <v>6453</v>
      </c>
      <c r="F3001" s="1" t="s">
        <v>55</v>
      </c>
      <c r="G3001" s="1" t="s">
        <v>17</v>
      </c>
      <c r="H3001" s="1" t="s">
        <v>18</v>
      </c>
      <c r="I3001" s="1" t="s">
        <v>19</v>
      </c>
      <c r="J3001" s="1">
        <f>IFERROR(__xludf.DUMMYFUNCTION("""COMPUTED_VALUE"""),29.0)</f>
        <v>29</v>
      </c>
      <c r="K3001" s="1">
        <v>13.0</v>
      </c>
      <c r="L3001" s="1">
        <f>IFERROR(__xludf.DUMMYFUNCTION("""COMPUTED_VALUE"""),182.0)</f>
        <v>182</v>
      </c>
    </row>
    <row r="3002">
      <c r="A3002" s="1">
        <v>7471092.0</v>
      </c>
      <c r="B3002" s="1" t="s">
        <v>6454</v>
      </c>
      <c r="C3002" s="1" t="s">
        <v>6369</v>
      </c>
      <c r="D3002" s="1" t="s">
        <v>6373</v>
      </c>
      <c r="E3002" s="1" t="s">
        <v>6455</v>
      </c>
      <c r="F3002" s="1" t="s">
        <v>16</v>
      </c>
      <c r="G3002" s="1" t="s">
        <v>27</v>
      </c>
      <c r="H3002" s="1" t="s">
        <v>28</v>
      </c>
      <c r="I3002" s="1" t="s">
        <v>29</v>
      </c>
      <c r="J3002" s="1">
        <f>IFERROR(__xludf.DUMMYFUNCTION("""COMPUTED_VALUE"""),264.0)</f>
        <v>264</v>
      </c>
      <c r="K3002" s="1">
        <v>43.0</v>
      </c>
      <c r="L3002" s="1">
        <f>IFERROR(__xludf.DUMMYFUNCTION("""COMPUTED_VALUE"""),593.0)</f>
        <v>593</v>
      </c>
    </row>
    <row r="3003">
      <c r="A3003" s="1">
        <v>7407012.0</v>
      </c>
      <c r="B3003" s="1" t="s">
        <v>6456</v>
      </c>
      <c r="C3003" s="1" t="s">
        <v>6369</v>
      </c>
      <c r="D3003" s="1" t="s">
        <v>6457</v>
      </c>
      <c r="E3003" s="1" t="s">
        <v>6458</v>
      </c>
      <c r="F3003" s="1" t="s">
        <v>16</v>
      </c>
      <c r="G3003" s="1" t="s">
        <v>17</v>
      </c>
      <c r="H3003" s="1" t="s">
        <v>28</v>
      </c>
      <c r="I3003" s="1" t="s">
        <v>40</v>
      </c>
      <c r="J3003" s="1">
        <f>IFERROR(__xludf.DUMMYFUNCTION("""COMPUTED_VALUE"""),95.0)</f>
        <v>95</v>
      </c>
      <c r="K3003" s="1">
        <v>26.0</v>
      </c>
      <c r="L3003" s="1">
        <f>IFERROR(__xludf.DUMMYFUNCTION("""COMPUTED_VALUE"""),340.0)</f>
        <v>340</v>
      </c>
    </row>
    <row r="3004">
      <c r="A3004" s="1">
        <v>7401024.0</v>
      </c>
      <c r="B3004" s="1" t="s">
        <v>6459</v>
      </c>
      <c r="C3004" s="1" t="s">
        <v>6369</v>
      </c>
      <c r="D3004" s="1" t="s">
        <v>6460</v>
      </c>
      <c r="E3004" s="1" t="s">
        <v>6461</v>
      </c>
      <c r="F3004" s="1" t="s">
        <v>16</v>
      </c>
      <c r="G3004" s="1" t="s">
        <v>23</v>
      </c>
      <c r="H3004" s="1" t="s">
        <v>18</v>
      </c>
      <c r="I3004" s="1" t="s">
        <v>40</v>
      </c>
      <c r="J3004" s="1">
        <f>IFERROR(__xludf.DUMMYFUNCTION("""COMPUTED_VALUE"""),53.0)</f>
        <v>53</v>
      </c>
      <c r="K3004" s="1">
        <v>26.0</v>
      </c>
      <c r="L3004" s="1">
        <f>IFERROR(__xludf.DUMMYFUNCTION("""COMPUTED_VALUE"""),233.0)</f>
        <v>233</v>
      </c>
    </row>
    <row r="3005">
      <c r="A3005" s="1">
        <v>7504032.0</v>
      </c>
      <c r="B3005" s="1" t="s">
        <v>6462</v>
      </c>
      <c r="C3005" s="1" t="s">
        <v>6463</v>
      </c>
      <c r="D3005" s="1" t="s">
        <v>6464</v>
      </c>
      <c r="E3005" s="1" t="s">
        <v>6465</v>
      </c>
      <c r="F3005" s="1" t="s">
        <v>16</v>
      </c>
      <c r="G3005" s="1" t="s">
        <v>17</v>
      </c>
      <c r="H3005" s="1" t="s">
        <v>28</v>
      </c>
      <c r="I3005" s="1" t="s">
        <v>40</v>
      </c>
      <c r="J3005" s="1">
        <f>IFERROR(__xludf.DUMMYFUNCTION("""COMPUTED_VALUE"""),224.0)</f>
        <v>224</v>
      </c>
      <c r="K3005" s="1">
        <v>29.0</v>
      </c>
      <c r="L3005" s="1">
        <f>IFERROR(__xludf.DUMMYFUNCTION("""COMPUTED_VALUE"""),438.0)</f>
        <v>438</v>
      </c>
    </row>
    <row r="3006">
      <c r="A3006" s="1">
        <v>7504012.0</v>
      </c>
      <c r="B3006" s="1" t="s">
        <v>6466</v>
      </c>
      <c r="C3006" s="1" t="s">
        <v>6463</v>
      </c>
      <c r="D3006" s="1" t="s">
        <v>6464</v>
      </c>
      <c r="E3006" s="1" t="s">
        <v>6467</v>
      </c>
      <c r="F3006" s="1" t="s">
        <v>16</v>
      </c>
      <c r="G3006" s="1" t="s">
        <v>23</v>
      </c>
      <c r="H3006" s="1" t="s">
        <v>18</v>
      </c>
      <c r="I3006" s="1" t="s">
        <v>40</v>
      </c>
      <c r="J3006" s="1">
        <f>IFERROR(__xludf.DUMMYFUNCTION("""COMPUTED_VALUE"""),135.0)</f>
        <v>135</v>
      </c>
      <c r="K3006" s="1">
        <v>27.0</v>
      </c>
      <c r="L3006" s="1">
        <f>IFERROR(__xludf.DUMMYFUNCTION("""COMPUTED_VALUE"""),163.0)</f>
        <v>163</v>
      </c>
    </row>
    <row r="3007">
      <c r="A3007" s="1">
        <v>7502049.0</v>
      </c>
      <c r="B3007" s="1" t="s">
        <v>6468</v>
      </c>
      <c r="C3007" s="1" t="s">
        <v>6463</v>
      </c>
      <c r="D3007" s="1" t="s">
        <v>6463</v>
      </c>
      <c r="E3007" s="1" t="s">
        <v>6469</v>
      </c>
      <c r="F3007" s="1" t="s">
        <v>16</v>
      </c>
      <c r="G3007" s="1" t="s">
        <v>23</v>
      </c>
      <c r="H3007" s="1" t="s">
        <v>18</v>
      </c>
      <c r="I3007" s="1" t="s">
        <v>74</v>
      </c>
      <c r="J3007" s="1">
        <f>IFERROR(__xludf.DUMMYFUNCTION("""COMPUTED_VALUE"""),51.0)</f>
        <v>51</v>
      </c>
      <c r="K3007" s="1">
        <v>17.0</v>
      </c>
      <c r="L3007" s="1">
        <f>IFERROR(__xludf.DUMMYFUNCTION("""COMPUTED_VALUE"""),182.0)</f>
        <v>182</v>
      </c>
    </row>
    <row r="3008">
      <c r="A3008" s="1">
        <v>7502032.0</v>
      </c>
      <c r="B3008" s="1" t="s">
        <v>6470</v>
      </c>
      <c r="C3008" s="1" t="s">
        <v>6463</v>
      </c>
      <c r="D3008" s="1" t="s">
        <v>6471</v>
      </c>
      <c r="E3008" s="1" t="s">
        <v>6472</v>
      </c>
      <c r="F3008" s="1" t="s">
        <v>16</v>
      </c>
      <c r="G3008" s="1" t="s">
        <v>17</v>
      </c>
      <c r="H3008" s="1" t="s">
        <v>28</v>
      </c>
      <c r="I3008" s="1" t="s">
        <v>29</v>
      </c>
      <c r="J3008" s="1">
        <f>IFERROR(__xludf.DUMMYFUNCTION("""COMPUTED_VALUE"""),124.0)</f>
        <v>124</v>
      </c>
      <c r="K3008" s="1">
        <v>25.0</v>
      </c>
      <c r="L3008" s="1">
        <f>IFERROR(__xludf.DUMMYFUNCTION("""COMPUTED_VALUE"""),418.0)</f>
        <v>418</v>
      </c>
    </row>
    <row r="3009">
      <c r="A3009" s="1">
        <v>7503045.0</v>
      </c>
      <c r="B3009" s="1" t="s">
        <v>6473</v>
      </c>
      <c r="C3009" s="1" t="s">
        <v>6463</v>
      </c>
      <c r="D3009" s="1" t="s">
        <v>6474</v>
      </c>
      <c r="E3009" s="1" t="s">
        <v>6475</v>
      </c>
      <c r="F3009" s="1" t="s">
        <v>16</v>
      </c>
      <c r="G3009" s="1" t="s">
        <v>17</v>
      </c>
      <c r="H3009" s="1" t="s">
        <v>28</v>
      </c>
      <c r="I3009" s="1" t="s">
        <v>40</v>
      </c>
      <c r="J3009" s="1">
        <f>IFERROR(__xludf.DUMMYFUNCTION("""COMPUTED_VALUE"""),178.0)</f>
        <v>178</v>
      </c>
      <c r="K3009" s="1">
        <v>28.0</v>
      </c>
      <c r="L3009" s="1">
        <f>IFERROR(__xludf.DUMMYFUNCTION("""COMPUTED_VALUE"""),560.0)</f>
        <v>560</v>
      </c>
    </row>
    <row r="3010">
      <c r="A3010" s="1">
        <v>7505002.0</v>
      </c>
      <c r="B3010" s="1" t="s">
        <v>6476</v>
      </c>
      <c r="C3010" s="1" t="s">
        <v>6463</v>
      </c>
      <c r="D3010" s="1" t="s">
        <v>6477</v>
      </c>
      <c r="E3010" s="1" t="s">
        <v>6478</v>
      </c>
      <c r="F3010" s="1" t="s">
        <v>16</v>
      </c>
      <c r="G3010" s="1" t="s">
        <v>17</v>
      </c>
      <c r="H3010" s="1" t="s">
        <v>28</v>
      </c>
      <c r="I3010" s="1" t="s">
        <v>40</v>
      </c>
      <c r="J3010" s="1">
        <f>IFERROR(__xludf.DUMMYFUNCTION("""COMPUTED_VALUE"""),121.0)</f>
        <v>121</v>
      </c>
      <c r="K3010" s="1">
        <v>26.0</v>
      </c>
      <c r="L3010" s="1">
        <f>IFERROR(__xludf.DUMMYFUNCTION("""COMPUTED_VALUE"""),272.0)</f>
        <v>272</v>
      </c>
    </row>
    <row r="3011">
      <c r="A3011" s="1">
        <v>7503056.0</v>
      </c>
      <c r="B3011" s="1" t="s">
        <v>6479</v>
      </c>
      <c r="C3011" s="1" t="s">
        <v>6463</v>
      </c>
      <c r="D3011" s="1" t="s">
        <v>6474</v>
      </c>
      <c r="E3011" s="1" t="s">
        <v>6480</v>
      </c>
      <c r="F3011" s="1" t="s">
        <v>16</v>
      </c>
      <c r="G3011" s="1" t="s">
        <v>98</v>
      </c>
      <c r="H3011" s="1" t="s">
        <v>18</v>
      </c>
      <c r="I3011" s="1" t="s">
        <v>40</v>
      </c>
      <c r="J3011" s="1">
        <f>IFERROR(__xludf.DUMMYFUNCTION("""COMPUTED_VALUE"""),50.0)</f>
        <v>50</v>
      </c>
      <c r="K3011" s="1">
        <v>3.0</v>
      </c>
      <c r="L3011" s="1">
        <f>IFERROR(__xludf.DUMMYFUNCTION("""COMPUTED_VALUE"""),182.0)</f>
        <v>182</v>
      </c>
    </row>
    <row r="3012">
      <c r="A3012" s="1">
        <v>7502034.0</v>
      </c>
      <c r="B3012" s="1" t="s">
        <v>6481</v>
      </c>
      <c r="C3012" s="1" t="s">
        <v>6463</v>
      </c>
      <c r="D3012" s="1" t="s">
        <v>6463</v>
      </c>
      <c r="E3012" s="1" t="s">
        <v>6482</v>
      </c>
      <c r="F3012" s="1" t="s">
        <v>16</v>
      </c>
      <c r="G3012" s="1" t="s">
        <v>17</v>
      </c>
      <c r="H3012" s="1" t="s">
        <v>28</v>
      </c>
      <c r="I3012" s="1" t="s">
        <v>139</v>
      </c>
      <c r="J3012" s="1">
        <f>IFERROR(__xludf.DUMMYFUNCTION("""COMPUTED_VALUE"""),110.0)</f>
        <v>110</v>
      </c>
      <c r="K3012" s="1">
        <v>85.0</v>
      </c>
      <c r="L3012" s="1">
        <f>IFERROR(__xludf.DUMMYFUNCTION("""COMPUTED_VALUE"""),398.0)</f>
        <v>398</v>
      </c>
    </row>
    <row r="3013">
      <c r="A3013" s="1">
        <v>7502021.0</v>
      </c>
      <c r="B3013" s="1" t="s">
        <v>6483</v>
      </c>
      <c r="C3013" s="1" t="s">
        <v>6463</v>
      </c>
      <c r="D3013" s="1" t="s">
        <v>6471</v>
      </c>
      <c r="E3013" s="1" t="s">
        <v>6484</v>
      </c>
      <c r="F3013" s="1" t="s">
        <v>16</v>
      </c>
      <c r="G3013" s="1" t="s">
        <v>23</v>
      </c>
      <c r="H3013" s="1" t="s">
        <v>18</v>
      </c>
      <c r="I3013" s="1" t="s">
        <v>59</v>
      </c>
      <c r="J3013" s="1">
        <f>IFERROR(__xludf.DUMMYFUNCTION("""COMPUTED_VALUE"""),62.0)</f>
        <v>62</v>
      </c>
      <c r="K3013" s="1">
        <v>17.0</v>
      </c>
      <c r="L3013" s="1">
        <f>IFERROR(__xludf.DUMMYFUNCTION("""COMPUTED_VALUE"""),72.0)</f>
        <v>72</v>
      </c>
    </row>
    <row r="3014">
      <c r="A3014" s="1">
        <v>7505013.0</v>
      </c>
      <c r="B3014" s="1" t="s">
        <v>6485</v>
      </c>
      <c r="C3014" s="1" t="s">
        <v>6463</v>
      </c>
      <c r="D3014" s="1" t="s">
        <v>6477</v>
      </c>
      <c r="E3014" s="1" t="s">
        <v>6486</v>
      </c>
      <c r="F3014" s="1" t="s">
        <v>16</v>
      </c>
      <c r="G3014" s="1" t="s">
        <v>98</v>
      </c>
      <c r="H3014" s="1" t="s">
        <v>18</v>
      </c>
      <c r="I3014" s="1" t="s">
        <v>40</v>
      </c>
      <c r="J3014" s="1">
        <f>IFERROR(__xludf.DUMMYFUNCTION("""COMPUTED_VALUE"""),40.0)</f>
        <v>40</v>
      </c>
      <c r="K3014" s="1">
        <v>6.0</v>
      </c>
      <c r="L3014" s="1">
        <f>IFERROR(__xludf.DUMMYFUNCTION("""COMPUTED_VALUE"""),182.0)</f>
        <v>182</v>
      </c>
    </row>
    <row r="3015">
      <c r="A3015" s="1">
        <v>7501043.0</v>
      </c>
      <c r="B3015" s="1" t="s">
        <v>6487</v>
      </c>
      <c r="C3015" s="1" t="s">
        <v>6463</v>
      </c>
      <c r="D3015" s="1" t="s">
        <v>6488</v>
      </c>
      <c r="E3015" s="1" t="s">
        <v>6489</v>
      </c>
      <c r="F3015" s="1" t="s">
        <v>16</v>
      </c>
      <c r="G3015" s="1" t="s">
        <v>17</v>
      </c>
      <c r="H3015" s="1" t="s">
        <v>28</v>
      </c>
      <c r="I3015" s="1" t="s">
        <v>40</v>
      </c>
      <c r="J3015" s="1">
        <f>IFERROR(__xludf.DUMMYFUNCTION("""COMPUTED_VALUE"""),147.0)</f>
        <v>147</v>
      </c>
      <c r="K3015" s="1">
        <v>34.0</v>
      </c>
      <c r="L3015" s="1">
        <f>IFERROR(__xludf.DUMMYFUNCTION("""COMPUTED_VALUE"""),468.0)</f>
        <v>468</v>
      </c>
    </row>
    <row r="3016">
      <c r="A3016" s="1">
        <v>7571021.0</v>
      </c>
      <c r="B3016" s="1" t="s">
        <v>4365</v>
      </c>
      <c r="C3016" s="1" t="s">
        <v>6463</v>
      </c>
      <c r="D3016" s="1" t="s">
        <v>6471</v>
      </c>
      <c r="E3016" s="1" t="s">
        <v>6490</v>
      </c>
      <c r="F3016" s="1" t="s">
        <v>16</v>
      </c>
      <c r="G3016" s="1" t="s">
        <v>23</v>
      </c>
      <c r="H3016" s="1" t="s">
        <v>18</v>
      </c>
      <c r="I3016" s="1" t="s">
        <v>44</v>
      </c>
      <c r="J3016" s="1">
        <f>IFERROR(__xludf.DUMMYFUNCTION("""COMPUTED_VALUE"""),106.0)</f>
        <v>106</v>
      </c>
      <c r="K3016" s="1">
        <v>20.0</v>
      </c>
      <c r="L3016" s="1">
        <f>IFERROR(__xludf.DUMMYFUNCTION("""COMPUTED_VALUE"""),208.0)</f>
        <v>208</v>
      </c>
    </row>
    <row r="3017">
      <c r="A3017" s="1">
        <v>7571010.0</v>
      </c>
      <c r="B3017" s="1" t="s">
        <v>6491</v>
      </c>
      <c r="C3017" s="1" t="s">
        <v>6463</v>
      </c>
      <c r="D3017" s="1" t="s">
        <v>6471</v>
      </c>
      <c r="E3017" s="1" t="s">
        <v>6492</v>
      </c>
      <c r="F3017" s="1" t="s">
        <v>16</v>
      </c>
      <c r="G3017" s="1" t="s">
        <v>27</v>
      </c>
      <c r="H3017" s="1" t="s">
        <v>28</v>
      </c>
      <c r="I3017" s="1" t="s">
        <v>29</v>
      </c>
      <c r="J3017" s="1">
        <f>IFERROR(__xludf.DUMMYFUNCTION("""COMPUTED_VALUE"""),350.0)</f>
        <v>350</v>
      </c>
      <c r="K3017" s="1">
        <v>65.0</v>
      </c>
      <c r="L3017" s="1">
        <f>IFERROR(__xludf.DUMMYFUNCTION("""COMPUTED_VALUE"""),1009.0)</f>
        <v>1009</v>
      </c>
    </row>
    <row r="3018">
      <c r="A3018" s="1">
        <v>7571022.0</v>
      </c>
      <c r="B3018" s="1" t="s">
        <v>6493</v>
      </c>
      <c r="C3018" s="1" t="s">
        <v>6463</v>
      </c>
      <c r="D3018" s="1" t="s">
        <v>6471</v>
      </c>
      <c r="E3018" s="1" t="s">
        <v>6494</v>
      </c>
      <c r="F3018" s="1" t="s">
        <v>55</v>
      </c>
      <c r="G3018" s="1" t="s">
        <v>17</v>
      </c>
      <c r="H3018" s="1" t="s">
        <v>33</v>
      </c>
      <c r="I3018" s="1" t="s">
        <v>684</v>
      </c>
      <c r="J3018" s="1">
        <f>IFERROR(__xludf.DUMMYFUNCTION("""COMPUTED_VALUE"""),77.0)</f>
        <v>77</v>
      </c>
      <c r="K3018" s="1">
        <v>13.0</v>
      </c>
      <c r="L3018" s="1">
        <f>IFERROR(__xludf.DUMMYFUNCTION("""COMPUTED_VALUE"""),52.0)</f>
        <v>52</v>
      </c>
    </row>
    <row r="3019">
      <c r="A3019" s="1">
        <v>7502033.0</v>
      </c>
      <c r="B3019" s="1" t="s">
        <v>6495</v>
      </c>
      <c r="C3019" s="1" t="s">
        <v>6463</v>
      </c>
      <c r="D3019" s="1" t="s">
        <v>6463</v>
      </c>
      <c r="E3019" s="1" t="s">
        <v>6496</v>
      </c>
      <c r="F3019" s="1" t="s">
        <v>16</v>
      </c>
      <c r="G3019" s="1" t="s">
        <v>27</v>
      </c>
      <c r="H3019" s="1" t="s">
        <v>18</v>
      </c>
      <c r="I3019" s="1" t="s">
        <v>40</v>
      </c>
      <c r="J3019" s="1">
        <f>IFERROR(__xludf.DUMMYFUNCTION("""COMPUTED_VALUE"""),246.0)</f>
        <v>246</v>
      </c>
      <c r="K3019" s="1">
        <v>82.0</v>
      </c>
      <c r="L3019" s="1">
        <f>IFERROR(__xludf.DUMMYFUNCTION("""COMPUTED_VALUE"""),932.0)</f>
        <v>932</v>
      </c>
    </row>
    <row r="3020">
      <c r="A3020" s="1">
        <v>7501044.0</v>
      </c>
      <c r="B3020" s="1" t="s">
        <v>6497</v>
      </c>
      <c r="C3020" s="1" t="s">
        <v>6463</v>
      </c>
      <c r="D3020" s="1" t="s">
        <v>6488</v>
      </c>
      <c r="E3020" s="1" t="s">
        <v>6498</v>
      </c>
      <c r="F3020" s="1" t="s">
        <v>16</v>
      </c>
      <c r="G3020" s="1" t="s">
        <v>23</v>
      </c>
      <c r="H3020" s="1" t="s">
        <v>28</v>
      </c>
      <c r="I3020" s="1" t="s">
        <v>40</v>
      </c>
      <c r="J3020" s="1">
        <f>IFERROR(__xludf.DUMMYFUNCTION("""COMPUTED_VALUE"""),50.0)</f>
        <v>50</v>
      </c>
      <c r="K3020" s="1">
        <v>26.0</v>
      </c>
      <c r="L3020" s="1">
        <f>IFERROR(__xludf.DUMMYFUNCTION("""COMPUTED_VALUE"""),111.0)</f>
        <v>111</v>
      </c>
    </row>
    <row r="3021">
      <c r="A3021" s="1">
        <v>7502047.0</v>
      </c>
      <c r="B3021" s="1" t="s">
        <v>6499</v>
      </c>
      <c r="C3021" s="1" t="s">
        <v>6463</v>
      </c>
      <c r="D3021" s="1" t="s">
        <v>6463</v>
      </c>
      <c r="E3021" s="1" t="s">
        <v>6500</v>
      </c>
      <c r="F3021" s="1" t="s">
        <v>16</v>
      </c>
      <c r="G3021" s="1" t="s">
        <v>17</v>
      </c>
      <c r="H3021" s="1" t="s">
        <v>18</v>
      </c>
      <c r="I3021" s="1" t="s">
        <v>65</v>
      </c>
      <c r="J3021" s="1">
        <f>IFERROR(__xludf.DUMMYFUNCTION("""COMPUTED_VALUE"""),119.0)</f>
        <v>119</v>
      </c>
      <c r="K3021" s="1">
        <v>23.0</v>
      </c>
      <c r="L3021" s="1">
        <f>IFERROR(__xludf.DUMMYFUNCTION("""COMPUTED_VALUE"""),182.0)</f>
        <v>182</v>
      </c>
    </row>
    <row r="3022">
      <c r="A3022" s="1">
        <v>7502035.0</v>
      </c>
      <c r="B3022" s="1" t="s">
        <v>6501</v>
      </c>
      <c r="C3022" s="1" t="s">
        <v>6463</v>
      </c>
      <c r="D3022" s="1" t="s">
        <v>6463</v>
      </c>
      <c r="E3022" s="1" t="s">
        <v>6502</v>
      </c>
      <c r="F3022" s="1" t="s">
        <v>16</v>
      </c>
      <c r="G3022" s="1" t="s">
        <v>23</v>
      </c>
      <c r="H3022" s="1" t="s">
        <v>18</v>
      </c>
      <c r="I3022" s="1" t="s">
        <v>40</v>
      </c>
      <c r="J3022" s="1">
        <f>IFERROR(__xludf.DUMMYFUNCTION("""COMPUTED_VALUE"""),86.0)</f>
        <v>86</v>
      </c>
      <c r="K3022" s="1">
        <v>27.0</v>
      </c>
      <c r="L3022" s="1">
        <f>IFERROR(__xludf.DUMMYFUNCTION("""COMPUTED_VALUE"""),105.0)</f>
        <v>105</v>
      </c>
    </row>
    <row r="3023">
      <c r="A3023" s="1">
        <v>7571023.0</v>
      </c>
      <c r="B3023" s="1" t="s">
        <v>6503</v>
      </c>
      <c r="C3023" s="1" t="s">
        <v>6463</v>
      </c>
      <c r="D3023" s="1" t="s">
        <v>6471</v>
      </c>
      <c r="E3023" s="1" t="s">
        <v>6504</v>
      </c>
      <c r="F3023" s="1" t="s">
        <v>16</v>
      </c>
      <c r="G3023" s="1" t="s">
        <v>17</v>
      </c>
      <c r="H3023" s="1" t="s">
        <v>18</v>
      </c>
      <c r="I3023" s="1" t="s">
        <v>19</v>
      </c>
      <c r="J3023" s="1">
        <f>IFERROR(__xludf.DUMMYFUNCTION("""COMPUTED_VALUE"""),124.0)</f>
        <v>124</v>
      </c>
      <c r="K3023" s="1">
        <v>30.0</v>
      </c>
      <c r="L3023" s="1">
        <f>IFERROR(__xludf.DUMMYFUNCTION("""COMPUTED_VALUE"""),185.0)</f>
        <v>185</v>
      </c>
    </row>
    <row r="3024">
      <c r="A3024" s="1">
        <v>7604026.0</v>
      </c>
      <c r="B3024" s="1" t="s">
        <v>6505</v>
      </c>
      <c r="C3024" s="1" t="s">
        <v>6506</v>
      </c>
      <c r="D3024" s="1" t="s">
        <v>6507</v>
      </c>
      <c r="E3024" s="1" t="s">
        <v>6508</v>
      </c>
      <c r="F3024" s="1" t="s">
        <v>16</v>
      </c>
      <c r="G3024" s="1" t="s">
        <v>23</v>
      </c>
      <c r="H3024" s="1" t="s">
        <v>28</v>
      </c>
      <c r="I3024" s="1" t="s">
        <v>40</v>
      </c>
      <c r="J3024" s="1">
        <f>IFERROR(__xludf.DUMMYFUNCTION("""COMPUTED_VALUE"""),118.0)</f>
        <v>118</v>
      </c>
      <c r="K3024" s="1">
        <v>30.0</v>
      </c>
      <c r="L3024" s="1">
        <f>IFERROR(__xludf.DUMMYFUNCTION("""COMPUTED_VALUE"""),70.0)</f>
        <v>70</v>
      </c>
    </row>
    <row r="3025">
      <c r="A3025" s="1">
        <v>7602045.0</v>
      </c>
      <c r="B3025" s="1" t="s">
        <v>6509</v>
      </c>
      <c r="C3025" s="1" t="s">
        <v>6506</v>
      </c>
      <c r="D3025" s="1" t="s">
        <v>6510</v>
      </c>
      <c r="E3025" s="1" t="s">
        <v>6511</v>
      </c>
      <c r="F3025" s="1" t="s">
        <v>55</v>
      </c>
      <c r="G3025" s="1" t="s">
        <v>17</v>
      </c>
      <c r="H3025" s="1" t="s">
        <v>18</v>
      </c>
      <c r="I3025" s="1" t="s">
        <v>163</v>
      </c>
      <c r="J3025" s="1">
        <f>IFERROR(__xludf.DUMMYFUNCTION("""COMPUTED_VALUE"""),40.0)</f>
        <v>40</v>
      </c>
      <c r="K3025" s="1">
        <v>38.0</v>
      </c>
      <c r="L3025" s="1">
        <f>IFERROR(__xludf.DUMMYFUNCTION("""COMPUTED_VALUE"""),182.0)</f>
        <v>182</v>
      </c>
    </row>
    <row r="3026">
      <c r="A3026" s="1">
        <v>7605013.0</v>
      </c>
      <c r="B3026" s="1" t="s">
        <v>6512</v>
      </c>
      <c r="C3026" s="1" t="s">
        <v>6506</v>
      </c>
      <c r="D3026" s="1" t="s">
        <v>6513</v>
      </c>
      <c r="E3026" s="1" t="s">
        <v>6514</v>
      </c>
      <c r="F3026" s="1" t="s">
        <v>16</v>
      </c>
      <c r="G3026" s="1" t="s">
        <v>17</v>
      </c>
      <c r="H3026" s="1" t="s">
        <v>28</v>
      </c>
      <c r="I3026" s="1" t="s">
        <v>40</v>
      </c>
      <c r="J3026" s="1">
        <f>IFERROR(__xludf.DUMMYFUNCTION("""COMPUTED_VALUE"""),137.0)</f>
        <v>137</v>
      </c>
      <c r="K3026" s="1">
        <v>14.0</v>
      </c>
      <c r="L3026" s="1">
        <f>IFERROR(__xludf.DUMMYFUNCTION("""COMPUTED_VALUE"""),117.0)</f>
        <v>117</v>
      </c>
    </row>
    <row r="3027">
      <c r="A3027" s="1">
        <v>7601011.0</v>
      </c>
      <c r="B3027" s="1" t="s">
        <v>6515</v>
      </c>
      <c r="C3027" s="1" t="s">
        <v>6506</v>
      </c>
      <c r="D3027" s="1" t="s">
        <v>6516</v>
      </c>
      <c r="E3027" s="1" t="s">
        <v>6517</v>
      </c>
      <c r="F3027" s="1" t="s">
        <v>16</v>
      </c>
      <c r="G3027" s="1" t="s">
        <v>17</v>
      </c>
      <c r="H3027" s="1" t="s">
        <v>28</v>
      </c>
      <c r="I3027" s="1" t="s">
        <v>40</v>
      </c>
      <c r="J3027" s="1">
        <f>IFERROR(__xludf.DUMMYFUNCTION("""COMPUTED_VALUE"""),180.0)</f>
        <v>180</v>
      </c>
      <c r="K3027" s="1">
        <v>38.0</v>
      </c>
      <c r="L3027" s="1">
        <f>IFERROR(__xludf.DUMMYFUNCTION("""COMPUTED_VALUE"""),610.0)</f>
        <v>610</v>
      </c>
    </row>
    <row r="3028">
      <c r="A3028" s="1">
        <v>7603024.0</v>
      </c>
      <c r="B3028" s="1" t="s">
        <v>6518</v>
      </c>
      <c r="C3028" s="1" t="s">
        <v>6506</v>
      </c>
      <c r="D3028" s="1" t="s">
        <v>6519</v>
      </c>
      <c r="E3028" s="1" t="s">
        <v>6520</v>
      </c>
      <c r="F3028" s="1" t="s">
        <v>16</v>
      </c>
      <c r="G3028" s="1" t="s">
        <v>23</v>
      </c>
      <c r="H3028" s="1" t="s">
        <v>18</v>
      </c>
      <c r="I3028" s="1" t="s">
        <v>40</v>
      </c>
      <c r="J3028" s="1">
        <f>IFERROR(__xludf.DUMMYFUNCTION("""COMPUTED_VALUE"""),82.0)</f>
        <v>82</v>
      </c>
      <c r="K3028" s="1">
        <v>18.0</v>
      </c>
      <c r="L3028" s="1">
        <f>IFERROR(__xludf.DUMMYFUNCTION("""COMPUTED_VALUE"""),180.0)</f>
        <v>180</v>
      </c>
    </row>
    <row r="3029">
      <c r="A3029" s="1">
        <v>7604012.0</v>
      </c>
      <c r="B3029" s="1" t="s">
        <v>6521</v>
      </c>
      <c r="C3029" s="1" t="s">
        <v>6506</v>
      </c>
      <c r="D3029" s="1" t="s">
        <v>6522</v>
      </c>
      <c r="E3029" s="1" t="s">
        <v>6523</v>
      </c>
      <c r="F3029" s="1" t="s">
        <v>16</v>
      </c>
      <c r="G3029" s="1" t="s">
        <v>17</v>
      </c>
      <c r="H3029" s="1" t="s">
        <v>28</v>
      </c>
      <c r="I3029" s="1" t="s">
        <v>40</v>
      </c>
      <c r="J3029" s="1">
        <f>IFERROR(__xludf.DUMMYFUNCTION("""COMPUTED_VALUE"""),135.0)</f>
        <v>135</v>
      </c>
      <c r="K3029" s="1">
        <v>36.0</v>
      </c>
      <c r="L3029" s="1">
        <f>IFERROR(__xludf.DUMMYFUNCTION("""COMPUTED_VALUE"""),418.0)</f>
        <v>418</v>
      </c>
    </row>
    <row r="3030">
      <c r="A3030" s="1">
        <v>7604024.0</v>
      </c>
      <c r="B3030" s="1" t="s">
        <v>6524</v>
      </c>
      <c r="C3030" s="1" t="s">
        <v>6506</v>
      </c>
      <c r="D3030" s="1" t="s">
        <v>6522</v>
      </c>
      <c r="E3030" s="1" t="s">
        <v>6525</v>
      </c>
      <c r="F3030" s="1" t="s">
        <v>16</v>
      </c>
      <c r="G3030" s="1" t="s">
        <v>17</v>
      </c>
      <c r="H3030" s="1" t="s">
        <v>18</v>
      </c>
      <c r="I3030" s="1" t="s">
        <v>19</v>
      </c>
      <c r="J3030" s="1">
        <f>IFERROR(__xludf.DUMMYFUNCTION("""COMPUTED_VALUE"""),109.0)</f>
        <v>109</v>
      </c>
      <c r="K3030" s="1">
        <v>37.0</v>
      </c>
      <c r="L3030" s="1">
        <f>IFERROR(__xludf.DUMMYFUNCTION("""COMPUTED_VALUE"""),186.0)</f>
        <v>186</v>
      </c>
    </row>
    <row r="3031">
      <c r="A3031" s="1">
        <v>7602048.0</v>
      </c>
      <c r="B3031" s="1" t="s">
        <v>6526</v>
      </c>
      <c r="C3031" s="1" t="s">
        <v>6506</v>
      </c>
      <c r="D3031" s="1" t="s">
        <v>6510</v>
      </c>
      <c r="E3031" s="1" t="s">
        <v>6527</v>
      </c>
      <c r="F3031" s="1" t="s">
        <v>16</v>
      </c>
      <c r="G3031" s="1" t="s">
        <v>23</v>
      </c>
      <c r="H3031" s="1" t="s">
        <v>28</v>
      </c>
      <c r="I3031" s="1" t="s">
        <v>40</v>
      </c>
      <c r="J3031" s="1">
        <f>IFERROR(__xludf.DUMMYFUNCTION("""COMPUTED_VALUE"""),66.0)</f>
        <v>66</v>
      </c>
      <c r="K3031" s="1">
        <v>35.0</v>
      </c>
      <c r="L3031" s="1">
        <f>IFERROR(__xludf.DUMMYFUNCTION("""COMPUTED_VALUE"""),59.0)</f>
        <v>59</v>
      </c>
    </row>
    <row r="3032">
      <c r="A3032" s="1">
        <v>7603022.0</v>
      </c>
      <c r="B3032" s="1" t="s">
        <v>6528</v>
      </c>
      <c r="C3032" s="1" t="s">
        <v>6506</v>
      </c>
      <c r="D3032" s="1" t="s">
        <v>6519</v>
      </c>
      <c r="E3032" s="1" t="s">
        <v>6529</v>
      </c>
      <c r="F3032" s="1" t="s">
        <v>16</v>
      </c>
      <c r="G3032" s="1" t="s">
        <v>98</v>
      </c>
      <c r="H3032" s="1" t="s">
        <v>18</v>
      </c>
      <c r="I3032" s="1" t="s">
        <v>59</v>
      </c>
      <c r="J3032" s="1">
        <f>IFERROR(__xludf.DUMMYFUNCTION("""COMPUTED_VALUE"""),55.0)</f>
        <v>55</v>
      </c>
      <c r="K3032" s="1">
        <v>14.0</v>
      </c>
      <c r="L3032" s="1">
        <f>IFERROR(__xludf.DUMMYFUNCTION("""COMPUTED_VALUE"""),182.0)</f>
        <v>182</v>
      </c>
    </row>
    <row r="3033">
      <c r="A3033" s="1">
        <v>7601022.0</v>
      </c>
      <c r="B3033" s="1" t="s">
        <v>6530</v>
      </c>
      <c r="C3033" s="1" t="s">
        <v>6506</v>
      </c>
      <c r="D3033" s="1" t="s">
        <v>6516</v>
      </c>
      <c r="E3033" s="1" t="s">
        <v>6531</v>
      </c>
      <c r="F3033" s="1" t="s">
        <v>16</v>
      </c>
      <c r="G3033" s="1" t="s">
        <v>98</v>
      </c>
      <c r="H3033" s="1" t="s">
        <v>18</v>
      </c>
      <c r="I3033" s="1" t="s">
        <v>40</v>
      </c>
      <c r="J3033" s="1">
        <f>IFERROR(__xludf.DUMMYFUNCTION("""COMPUTED_VALUE"""),102.0)</f>
        <v>102</v>
      </c>
      <c r="K3033" s="1">
        <v>4.0</v>
      </c>
      <c r="L3033" s="1">
        <f>IFERROR(__xludf.DUMMYFUNCTION("""COMPUTED_VALUE"""),182.0)</f>
        <v>182</v>
      </c>
    </row>
    <row r="3034">
      <c r="A3034" s="1">
        <v>7604027.0</v>
      </c>
      <c r="B3034" s="1" t="s">
        <v>6532</v>
      </c>
      <c r="C3034" s="1" t="s">
        <v>6506</v>
      </c>
      <c r="D3034" s="1" t="s">
        <v>6522</v>
      </c>
      <c r="E3034" s="1" t="s">
        <v>6533</v>
      </c>
      <c r="F3034" s="1" t="s">
        <v>16</v>
      </c>
      <c r="G3034" s="1" t="s">
        <v>17</v>
      </c>
      <c r="H3034" s="1" t="s">
        <v>33</v>
      </c>
      <c r="I3034" s="1" t="s">
        <v>65</v>
      </c>
      <c r="J3034" s="1">
        <f>IFERROR(__xludf.DUMMYFUNCTION("""COMPUTED_VALUE"""),109.0)</f>
        <v>109</v>
      </c>
      <c r="K3034" s="1">
        <v>18.0</v>
      </c>
      <c r="L3034" s="1">
        <f>IFERROR(__xludf.DUMMYFUNCTION("""COMPUTED_VALUE"""),143.0)</f>
        <v>143</v>
      </c>
    </row>
    <row r="3035">
      <c r="A3035" s="1">
        <v>7602044.0</v>
      </c>
      <c r="B3035" s="1" t="s">
        <v>6534</v>
      </c>
      <c r="C3035" s="1" t="s">
        <v>6506</v>
      </c>
      <c r="D3035" s="1" t="s">
        <v>6510</v>
      </c>
      <c r="E3035" s="1" t="s">
        <v>6535</v>
      </c>
      <c r="F3035" s="1" t="s">
        <v>16</v>
      </c>
      <c r="G3035" s="1" t="s">
        <v>27</v>
      </c>
      <c r="H3035" s="1" t="s">
        <v>28</v>
      </c>
      <c r="I3035" s="1" t="s">
        <v>40</v>
      </c>
      <c r="J3035" s="1">
        <f>IFERROR(__xludf.DUMMYFUNCTION("""COMPUTED_VALUE"""),576.0)</f>
        <v>576</v>
      </c>
      <c r="K3035" s="1">
        <v>35.0</v>
      </c>
      <c r="L3035" s="1">
        <f>IFERROR(__xludf.DUMMYFUNCTION("""COMPUTED_VALUE"""),733.0)</f>
        <v>733</v>
      </c>
    </row>
    <row r="3036">
      <c r="A3036" s="1">
        <v>7604023.0</v>
      </c>
      <c r="B3036" s="1" t="s">
        <v>6536</v>
      </c>
      <c r="C3036" s="1" t="s">
        <v>6506</v>
      </c>
      <c r="D3036" s="1" t="s">
        <v>6522</v>
      </c>
      <c r="E3036" s="1" t="s">
        <v>6537</v>
      </c>
      <c r="F3036" s="1" t="s">
        <v>16</v>
      </c>
      <c r="G3036" s="1" t="s">
        <v>17</v>
      </c>
      <c r="H3036" s="1" t="s">
        <v>28</v>
      </c>
      <c r="I3036" s="1" t="s">
        <v>139</v>
      </c>
      <c r="J3036" s="1">
        <f>IFERROR(__xludf.DUMMYFUNCTION("""COMPUTED_VALUE"""),222.0)</f>
        <v>222</v>
      </c>
      <c r="K3036" s="1">
        <v>63.0</v>
      </c>
      <c r="L3036" s="1">
        <f>IFERROR(__xludf.DUMMYFUNCTION("""COMPUTED_VALUE"""),309.0)</f>
        <v>309</v>
      </c>
    </row>
    <row r="3037">
      <c r="A3037" s="1">
        <v>7604039.0</v>
      </c>
      <c r="B3037" s="1" t="s">
        <v>6538</v>
      </c>
      <c r="C3037" s="1" t="s">
        <v>6506</v>
      </c>
      <c r="D3037" s="1" t="s">
        <v>6522</v>
      </c>
      <c r="E3037" s="1" t="s">
        <v>6539</v>
      </c>
      <c r="F3037" s="1" t="s">
        <v>16</v>
      </c>
      <c r="G3037" s="1" t="s">
        <v>23</v>
      </c>
      <c r="H3037" s="1" t="s">
        <v>18</v>
      </c>
      <c r="I3037" s="1" t="s">
        <v>34</v>
      </c>
      <c r="J3037" s="1">
        <f>IFERROR(__xludf.DUMMYFUNCTION("""COMPUTED_VALUE"""),58.0)</f>
        <v>58</v>
      </c>
      <c r="K3037" s="1">
        <v>10.0</v>
      </c>
      <c r="L3037" s="1">
        <f>IFERROR(__xludf.DUMMYFUNCTION("""COMPUTED_VALUE"""),182.0)</f>
        <v>182</v>
      </c>
    </row>
    <row r="3038">
      <c r="A3038" s="1">
        <v>7604028.0</v>
      </c>
      <c r="B3038" s="1" t="s">
        <v>6540</v>
      </c>
      <c r="C3038" s="1" t="s">
        <v>6506</v>
      </c>
      <c r="D3038" s="1" t="s">
        <v>6522</v>
      </c>
      <c r="E3038" s="1" t="s">
        <v>6541</v>
      </c>
      <c r="F3038" s="1" t="s">
        <v>55</v>
      </c>
      <c r="G3038" s="1" t="s">
        <v>17</v>
      </c>
      <c r="H3038" s="1" t="s">
        <v>18</v>
      </c>
      <c r="I3038" s="1" t="s">
        <v>19</v>
      </c>
      <c r="J3038" s="1">
        <f>IFERROR(__xludf.DUMMYFUNCTION("""COMPUTED_VALUE"""),30.0)</f>
        <v>30</v>
      </c>
      <c r="K3038" s="1">
        <v>11.0</v>
      </c>
      <c r="L3038" s="1">
        <f>IFERROR(__xludf.DUMMYFUNCTION("""COMPUTED_VALUE"""),182.0)</f>
        <v>182</v>
      </c>
    </row>
    <row r="3039">
      <c r="A3039" s="1">
        <v>8171015.0</v>
      </c>
      <c r="B3039" s="1" t="s">
        <v>6542</v>
      </c>
      <c r="C3039" s="1" t="s">
        <v>6543</v>
      </c>
      <c r="D3039" s="1" t="s">
        <v>6544</v>
      </c>
      <c r="E3039" s="1" t="s">
        <v>6545</v>
      </c>
      <c r="F3039" s="1" t="s">
        <v>16</v>
      </c>
      <c r="G3039" s="1" t="s">
        <v>27</v>
      </c>
      <c r="H3039" s="1" t="s">
        <v>28</v>
      </c>
      <c r="I3039" s="1" t="s">
        <v>139</v>
      </c>
      <c r="J3039" s="1">
        <f>IFERROR(__xludf.DUMMYFUNCTION("""COMPUTED_VALUE"""),304.0)</f>
        <v>304</v>
      </c>
      <c r="K3039" s="1">
        <v>46.0</v>
      </c>
      <c r="L3039" s="1">
        <f>IFERROR(__xludf.DUMMYFUNCTION("""COMPUTED_VALUE"""),586.0)</f>
        <v>586</v>
      </c>
    </row>
    <row r="3040">
      <c r="A3040" s="1">
        <v>8108002.0</v>
      </c>
      <c r="B3040" s="1" t="s">
        <v>6546</v>
      </c>
      <c r="C3040" s="1" t="s">
        <v>6543</v>
      </c>
      <c r="D3040" s="1" t="s">
        <v>6547</v>
      </c>
      <c r="E3040" s="1" t="s">
        <v>6548</v>
      </c>
      <c r="F3040" s="1" t="s">
        <v>16</v>
      </c>
      <c r="G3040" s="1" t="s">
        <v>23</v>
      </c>
      <c r="H3040" s="1" t="s">
        <v>18</v>
      </c>
      <c r="I3040" s="1" t="s">
        <v>40</v>
      </c>
      <c r="J3040" s="1">
        <f>IFERROR(__xludf.DUMMYFUNCTION("""COMPUTED_VALUE"""),56.0)</f>
        <v>56</v>
      </c>
      <c r="K3040" s="1">
        <v>10.0</v>
      </c>
      <c r="L3040" s="1">
        <f>IFERROR(__xludf.DUMMYFUNCTION("""COMPUTED_VALUE"""),34.0)</f>
        <v>34</v>
      </c>
    </row>
    <row r="3041">
      <c r="A3041" s="1">
        <v>8101041.0</v>
      </c>
      <c r="B3041" s="1" t="s">
        <v>6549</v>
      </c>
      <c r="C3041" s="1" t="s">
        <v>6543</v>
      </c>
      <c r="D3041" s="1" t="s">
        <v>6550</v>
      </c>
      <c r="E3041" s="1" t="s">
        <v>6551</v>
      </c>
      <c r="F3041" s="1" t="s">
        <v>16</v>
      </c>
      <c r="G3041" s="1" t="s">
        <v>23</v>
      </c>
      <c r="H3041" s="1" t="s">
        <v>18</v>
      </c>
      <c r="I3041" s="1" t="s">
        <v>249</v>
      </c>
      <c r="J3041" s="1">
        <f>IFERROR(__xludf.DUMMYFUNCTION("""COMPUTED_VALUE"""),33.0)</f>
        <v>33</v>
      </c>
      <c r="K3041" s="1">
        <v>4.0</v>
      </c>
      <c r="L3041" s="1">
        <f>IFERROR(__xludf.DUMMYFUNCTION("""COMPUTED_VALUE"""),182.0)</f>
        <v>182</v>
      </c>
    </row>
    <row r="3042">
      <c r="A3042" s="1">
        <v>8171030.0</v>
      </c>
      <c r="B3042" s="1" t="s">
        <v>6552</v>
      </c>
      <c r="C3042" s="1" t="s">
        <v>6543</v>
      </c>
      <c r="D3042" s="1" t="s">
        <v>6544</v>
      </c>
      <c r="E3042" s="1" t="s">
        <v>6553</v>
      </c>
      <c r="F3042" s="1" t="s">
        <v>16</v>
      </c>
      <c r="G3042" s="1" t="s">
        <v>23</v>
      </c>
      <c r="H3042" s="1" t="s">
        <v>18</v>
      </c>
      <c r="I3042" s="1" t="s">
        <v>95</v>
      </c>
      <c r="J3042" s="1">
        <f>IFERROR(__xludf.DUMMYFUNCTION("""COMPUTED_VALUE"""),53.0)</f>
        <v>53</v>
      </c>
      <c r="K3042" s="1">
        <v>23.0</v>
      </c>
      <c r="L3042" s="1">
        <f>IFERROR(__xludf.DUMMYFUNCTION("""COMPUTED_VALUE"""),28.0)</f>
        <v>28</v>
      </c>
    </row>
    <row r="3043">
      <c r="A3043" s="1">
        <v>8172002.0</v>
      </c>
      <c r="B3043" s="1" t="s">
        <v>6554</v>
      </c>
      <c r="C3043" s="1" t="s">
        <v>6543</v>
      </c>
      <c r="D3043" s="1" t="s">
        <v>6555</v>
      </c>
      <c r="E3043" s="1" t="s">
        <v>6556</v>
      </c>
      <c r="F3043" s="1" t="s">
        <v>16</v>
      </c>
      <c r="G3043" s="1" t="s">
        <v>23</v>
      </c>
      <c r="H3043" s="1" t="s">
        <v>18</v>
      </c>
      <c r="I3043" s="1" t="s">
        <v>29</v>
      </c>
      <c r="J3043" s="1">
        <f>IFERROR(__xludf.DUMMYFUNCTION("""COMPUTED_VALUE"""),76.0)</f>
        <v>76</v>
      </c>
      <c r="K3043" s="1">
        <v>16.0</v>
      </c>
      <c r="L3043" s="1">
        <f>IFERROR(__xludf.DUMMYFUNCTION("""COMPUTED_VALUE"""),57.0)</f>
        <v>57</v>
      </c>
    </row>
    <row r="3044">
      <c r="A3044" s="1">
        <v>8103020.0</v>
      </c>
      <c r="B3044" s="1" t="s">
        <v>6557</v>
      </c>
      <c r="C3044" s="1" t="s">
        <v>6543</v>
      </c>
      <c r="D3044" s="1" t="s">
        <v>6558</v>
      </c>
      <c r="E3044" s="1" t="s">
        <v>6559</v>
      </c>
      <c r="F3044" s="1" t="s">
        <v>16</v>
      </c>
      <c r="G3044" s="1" t="s">
        <v>23</v>
      </c>
      <c r="H3044" s="1" t="s">
        <v>18</v>
      </c>
      <c r="I3044" s="1" t="s">
        <v>40</v>
      </c>
      <c r="J3044" s="1">
        <f>IFERROR(__xludf.DUMMYFUNCTION("""COMPUTED_VALUE"""),108.0)</f>
        <v>108</v>
      </c>
      <c r="K3044" s="1">
        <v>54.0</v>
      </c>
      <c r="L3044" s="1">
        <f>IFERROR(__xludf.DUMMYFUNCTION("""COMPUTED_VALUE"""),160.0)</f>
        <v>160</v>
      </c>
    </row>
    <row r="3045">
      <c r="A3045" s="1">
        <v>8171123.0</v>
      </c>
      <c r="B3045" s="1" t="s">
        <v>6560</v>
      </c>
      <c r="C3045" s="1" t="s">
        <v>6543</v>
      </c>
      <c r="D3045" s="1" t="s">
        <v>6544</v>
      </c>
      <c r="E3045" s="1" t="s">
        <v>6561</v>
      </c>
      <c r="F3045" s="1" t="s">
        <v>16</v>
      </c>
      <c r="G3045" s="1" t="s">
        <v>27</v>
      </c>
      <c r="H3045" s="1" t="s">
        <v>18</v>
      </c>
      <c r="I3045" s="1" t="s">
        <v>411</v>
      </c>
      <c r="J3045" s="1">
        <f>IFERROR(__xludf.DUMMYFUNCTION("""COMPUTED_VALUE"""),249.0)</f>
        <v>249</v>
      </c>
      <c r="K3045" s="1">
        <v>45.0</v>
      </c>
      <c r="L3045" s="1">
        <f>IFERROR(__xludf.DUMMYFUNCTION("""COMPUTED_VALUE"""),95.0)</f>
        <v>95</v>
      </c>
    </row>
    <row r="3046">
      <c r="A3046" s="1">
        <v>8171074.0</v>
      </c>
      <c r="B3046" s="1" t="s">
        <v>6562</v>
      </c>
      <c r="C3046" s="1" t="s">
        <v>6543</v>
      </c>
      <c r="D3046" s="1" t="s">
        <v>6544</v>
      </c>
      <c r="E3046" s="1" t="s">
        <v>6563</v>
      </c>
      <c r="F3046" s="1" t="s">
        <v>16</v>
      </c>
      <c r="G3046" s="1" t="s">
        <v>23</v>
      </c>
      <c r="H3046" s="1" t="s">
        <v>18</v>
      </c>
      <c r="I3046" s="1" t="s">
        <v>59</v>
      </c>
      <c r="J3046" s="1">
        <f>IFERROR(__xludf.DUMMYFUNCTION("""COMPUTED_VALUE"""),57.0)</f>
        <v>57</v>
      </c>
      <c r="K3046" s="1">
        <v>9.0</v>
      </c>
      <c r="L3046" s="1">
        <f>IFERROR(__xludf.DUMMYFUNCTION("""COMPUTED_VALUE"""),11.0)</f>
        <v>11</v>
      </c>
    </row>
    <row r="3047">
      <c r="A3047" s="1">
        <v>8109002.0</v>
      </c>
      <c r="B3047" s="1" t="s">
        <v>6564</v>
      </c>
      <c r="C3047" s="1" t="s">
        <v>6543</v>
      </c>
      <c r="D3047" s="1" t="s">
        <v>6565</v>
      </c>
      <c r="E3047" s="1" t="s">
        <v>6566</v>
      </c>
      <c r="F3047" s="1" t="s">
        <v>16</v>
      </c>
      <c r="G3047" s="1" t="s">
        <v>98</v>
      </c>
      <c r="H3047" s="1" t="s">
        <v>18</v>
      </c>
      <c r="I3047" s="1" t="s">
        <v>40</v>
      </c>
      <c r="J3047" s="1">
        <f>IFERROR(__xludf.DUMMYFUNCTION("""COMPUTED_VALUE"""),11.0)</f>
        <v>11</v>
      </c>
      <c r="K3047" s="1">
        <v>8.0</v>
      </c>
      <c r="L3047" s="1">
        <f>IFERROR(__xludf.DUMMYFUNCTION("""COMPUTED_VALUE"""),36.0)</f>
        <v>36</v>
      </c>
    </row>
    <row r="3048">
      <c r="A3048" s="1">
        <v>8103053.0</v>
      </c>
      <c r="B3048" s="1" t="s">
        <v>6567</v>
      </c>
      <c r="C3048" s="1" t="s">
        <v>6543</v>
      </c>
      <c r="D3048" s="1" t="s">
        <v>6568</v>
      </c>
      <c r="E3048" s="1" t="s">
        <v>6569</v>
      </c>
      <c r="F3048" s="1" t="s">
        <v>16</v>
      </c>
      <c r="G3048" s="1" t="s">
        <v>17</v>
      </c>
      <c r="H3048" s="1" t="s">
        <v>18</v>
      </c>
      <c r="I3048" s="1" t="s">
        <v>139</v>
      </c>
      <c r="J3048" s="1">
        <f>IFERROR(__xludf.DUMMYFUNCTION("""COMPUTED_VALUE"""),107.0)</f>
        <v>107</v>
      </c>
      <c r="K3048" s="1">
        <v>102.0</v>
      </c>
      <c r="L3048" s="1">
        <f>IFERROR(__xludf.DUMMYFUNCTION("""COMPUTED_VALUE"""),335.0)</f>
        <v>335</v>
      </c>
    </row>
    <row r="3049">
      <c r="A3049" s="1">
        <v>8109018.0</v>
      </c>
      <c r="B3049" s="1" t="s">
        <v>6570</v>
      </c>
      <c r="C3049" s="1" t="s">
        <v>6543</v>
      </c>
      <c r="D3049" s="1" t="s">
        <v>6565</v>
      </c>
      <c r="E3049" s="1" t="s">
        <v>6571</v>
      </c>
      <c r="F3049" s="1" t="s">
        <v>16</v>
      </c>
      <c r="G3049" s="1" t="s">
        <v>23</v>
      </c>
      <c r="H3049" s="1" t="s">
        <v>18</v>
      </c>
      <c r="I3049" s="1" t="s">
        <v>40</v>
      </c>
      <c r="J3049" s="1">
        <f>IFERROR(__xludf.DUMMYFUNCTION("""COMPUTED_VALUE"""),110.0)</f>
        <v>110</v>
      </c>
      <c r="K3049" s="1">
        <v>17.0</v>
      </c>
      <c r="L3049" s="1">
        <f>IFERROR(__xludf.DUMMYFUNCTION("""COMPUTED_VALUE"""),260.0)</f>
        <v>260</v>
      </c>
    </row>
    <row r="3050">
      <c r="A3050" s="1">
        <v>8171096.0</v>
      </c>
      <c r="B3050" s="1" t="s">
        <v>6572</v>
      </c>
      <c r="C3050" s="1" t="s">
        <v>6543</v>
      </c>
      <c r="D3050" s="1" t="s">
        <v>6544</v>
      </c>
      <c r="E3050" s="1" t="s">
        <v>6573</v>
      </c>
      <c r="F3050" s="1" t="s">
        <v>16</v>
      </c>
      <c r="G3050" s="1" t="s">
        <v>23</v>
      </c>
      <c r="H3050" s="1" t="s">
        <v>18</v>
      </c>
      <c r="I3050" s="1" t="s">
        <v>59</v>
      </c>
      <c r="J3050" s="1">
        <f>IFERROR(__xludf.DUMMYFUNCTION("""COMPUTED_VALUE"""),50.0)</f>
        <v>50</v>
      </c>
      <c r="K3050" s="1">
        <v>24.0</v>
      </c>
      <c r="L3050" s="1">
        <f>IFERROR(__xludf.DUMMYFUNCTION("""COMPUTED_VALUE"""),108.0)</f>
        <v>108</v>
      </c>
    </row>
    <row r="3051">
      <c r="A3051" s="1">
        <v>8107021.0</v>
      </c>
      <c r="B3051" s="1" t="s">
        <v>6574</v>
      </c>
      <c r="C3051" s="1" t="s">
        <v>6543</v>
      </c>
      <c r="D3051" s="1" t="s">
        <v>6575</v>
      </c>
      <c r="E3051" s="1" t="s">
        <v>6576</v>
      </c>
      <c r="F3051" s="1" t="s">
        <v>16</v>
      </c>
      <c r="G3051" s="1" t="s">
        <v>17</v>
      </c>
      <c r="H3051" s="1" t="s">
        <v>18</v>
      </c>
      <c r="I3051" s="1" t="s">
        <v>40</v>
      </c>
      <c r="J3051" s="1">
        <f>IFERROR(__xludf.DUMMYFUNCTION("""COMPUTED_VALUE"""),103.0)</f>
        <v>103</v>
      </c>
      <c r="K3051" s="1">
        <v>31.0</v>
      </c>
      <c r="L3051" s="1">
        <f>IFERROR(__xludf.DUMMYFUNCTION("""COMPUTED_VALUE"""),410.0)</f>
        <v>410</v>
      </c>
    </row>
    <row r="3052">
      <c r="A3052" s="1">
        <v>8101026.0</v>
      </c>
      <c r="B3052" s="1" t="s">
        <v>6577</v>
      </c>
      <c r="C3052" s="1" t="s">
        <v>6543</v>
      </c>
      <c r="D3052" s="1" t="s">
        <v>6578</v>
      </c>
      <c r="E3052" s="1" t="s">
        <v>6579</v>
      </c>
      <c r="F3052" s="1" t="s">
        <v>16</v>
      </c>
      <c r="G3052" s="1" t="s">
        <v>23</v>
      </c>
      <c r="H3052" s="1" t="s">
        <v>18</v>
      </c>
      <c r="I3052" s="1" t="s">
        <v>249</v>
      </c>
      <c r="J3052" s="1">
        <f>IFERROR(__xludf.DUMMYFUNCTION("""COMPUTED_VALUE"""),90.0)</f>
        <v>90</v>
      </c>
      <c r="K3052" s="1">
        <v>26.0</v>
      </c>
      <c r="L3052" s="1">
        <f>IFERROR(__xludf.DUMMYFUNCTION("""COMPUTED_VALUE"""),26.0)</f>
        <v>26</v>
      </c>
    </row>
    <row r="3053">
      <c r="A3053" s="1">
        <v>8103002.0</v>
      </c>
      <c r="B3053" s="1" t="s">
        <v>6580</v>
      </c>
      <c r="C3053" s="1" t="s">
        <v>6543</v>
      </c>
      <c r="D3053" s="1" t="s">
        <v>6568</v>
      </c>
      <c r="E3053" s="1" t="s">
        <v>6581</v>
      </c>
      <c r="F3053" s="1" t="s">
        <v>16</v>
      </c>
      <c r="G3053" s="1" t="s">
        <v>23</v>
      </c>
      <c r="H3053" s="1" t="s">
        <v>18</v>
      </c>
      <c r="I3053" s="1" t="s">
        <v>40</v>
      </c>
      <c r="J3053" s="1">
        <f>IFERROR(__xludf.DUMMYFUNCTION("""COMPUTED_VALUE"""),50.0)</f>
        <v>50</v>
      </c>
      <c r="K3053" s="1">
        <v>14.0</v>
      </c>
      <c r="L3053" s="1">
        <f>IFERROR(__xludf.DUMMYFUNCTION("""COMPUTED_VALUE"""),77.0)</f>
        <v>77</v>
      </c>
    </row>
    <row r="3054">
      <c r="A3054" s="1">
        <v>8171026.0</v>
      </c>
      <c r="B3054" s="1" t="s">
        <v>6582</v>
      </c>
      <c r="C3054" s="1" t="s">
        <v>6543</v>
      </c>
      <c r="D3054" s="1" t="s">
        <v>6544</v>
      </c>
      <c r="E3054" s="1" t="s">
        <v>6583</v>
      </c>
      <c r="F3054" s="1" t="s">
        <v>16</v>
      </c>
      <c r="G3054" s="1" t="s">
        <v>17</v>
      </c>
      <c r="H3054" s="1" t="s">
        <v>33</v>
      </c>
      <c r="I3054" s="1" t="s">
        <v>74</v>
      </c>
      <c r="J3054" s="1">
        <f>IFERROR(__xludf.DUMMYFUNCTION("""COMPUTED_VALUE"""),128.0)</f>
        <v>128</v>
      </c>
      <c r="K3054" s="1">
        <v>38.0</v>
      </c>
      <c r="L3054" s="1">
        <f>IFERROR(__xludf.DUMMYFUNCTION("""COMPUTED_VALUE"""),320.0)</f>
        <v>320</v>
      </c>
    </row>
    <row r="3055">
      <c r="A3055" s="1">
        <v>8103016.0</v>
      </c>
      <c r="B3055" s="1" t="s">
        <v>6584</v>
      </c>
      <c r="C3055" s="1" t="s">
        <v>6543</v>
      </c>
      <c r="D3055" s="1" t="s">
        <v>6568</v>
      </c>
      <c r="E3055" s="1" t="s">
        <v>6585</v>
      </c>
      <c r="F3055" s="1" t="s">
        <v>16</v>
      </c>
      <c r="G3055" s="1" t="s">
        <v>23</v>
      </c>
      <c r="H3055" s="1" t="s">
        <v>18</v>
      </c>
      <c r="I3055" s="1" t="s">
        <v>40</v>
      </c>
      <c r="J3055" s="1">
        <f>IFERROR(__xludf.DUMMYFUNCTION("""COMPUTED_VALUE"""),67.0)</f>
        <v>67</v>
      </c>
      <c r="K3055" s="1">
        <v>23.0</v>
      </c>
      <c r="L3055" s="1">
        <f>IFERROR(__xludf.DUMMYFUNCTION("""COMPUTED_VALUE"""),3.0)</f>
        <v>3</v>
      </c>
    </row>
    <row r="3056">
      <c r="A3056" s="1">
        <v>8171063.0</v>
      </c>
      <c r="B3056" s="1" t="s">
        <v>6586</v>
      </c>
      <c r="C3056" s="1" t="s">
        <v>6543</v>
      </c>
      <c r="D3056" s="1" t="s">
        <v>6544</v>
      </c>
      <c r="E3056" s="1" t="s">
        <v>6587</v>
      </c>
      <c r="F3056" s="1" t="s">
        <v>174</v>
      </c>
      <c r="G3056" s="1" t="s">
        <v>27</v>
      </c>
      <c r="H3056" s="1" t="s">
        <v>18</v>
      </c>
      <c r="I3056" s="1" t="s">
        <v>139</v>
      </c>
      <c r="J3056" s="1">
        <f>IFERROR(__xludf.DUMMYFUNCTION("""COMPUTED_VALUE"""),84.0)</f>
        <v>84</v>
      </c>
      <c r="K3056" s="1">
        <v>31.0</v>
      </c>
      <c r="L3056" s="1">
        <f>IFERROR(__xludf.DUMMYFUNCTION("""COMPUTED_VALUE"""),180.0)</f>
        <v>180</v>
      </c>
    </row>
    <row r="3057">
      <c r="A3057" s="1">
        <v>8106011.0</v>
      </c>
      <c r="B3057" s="1" t="s">
        <v>6588</v>
      </c>
      <c r="C3057" s="1" t="s">
        <v>6543</v>
      </c>
      <c r="D3057" s="1" t="s">
        <v>6589</v>
      </c>
      <c r="E3057" s="1" t="s">
        <v>6590</v>
      </c>
      <c r="F3057" s="1" t="s">
        <v>16</v>
      </c>
      <c r="G3057" s="1" t="s">
        <v>98</v>
      </c>
      <c r="H3057" s="1" t="s">
        <v>18</v>
      </c>
      <c r="I3057" s="1" t="s">
        <v>40</v>
      </c>
      <c r="J3057" s="1">
        <f>IFERROR(__xludf.DUMMYFUNCTION("""COMPUTED_VALUE"""),41.0)</f>
        <v>41</v>
      </c>
      <c r="K3057" s="1">
        <v>55.0</v>
      </c>
      <c r="L3057" s="1">
        <f>IFERROR(__xludf.DUMMYFUNCTION("""COMPUTED_VALUE"""),182.0)</f>
        <v>182</v>
      </c>
    </row>
    <row r="3058">
      <c r="A3058" s="1">
        <v>8103042.0</v>
      </c>
      <c r="B3058" s="1" t="s">
        <v>6591</v>
      </c>
      <c r="C3058" s="1" t="s">
        <v>6543</v>
      </c>
      <c r="D3058" s="1" t="s">
        <v>6568</v>
      </c>
      <c r="E3058" s="1" t="s">
        <v>6592</v>
      </c>
      <c r="F3058" s="1" t="s">
        <v>16</v>
      </c>
      <c r="G3058" s="1" t="s">
        <v>17</v>
      </c>
      <c r="H3058" s="1" t="s">
        <v>18</v>
      </c>
      <c r="I3058" s="1" t="s">
        <v>40</v>
      </c>
      <c r="J3058" s="1">
        <f>IFERROR(__xludf.DUMMYFUNCTION("""COMPUTED_VALUE"""),202.0)</f>
        <v>202</v>
      </c>
      <c r="K3058" s="1">
        <v>91.0</v>
      </c>
      <c r="L3058" s="1">
        <f>IFERROR(__xludf.DUMMYFUNCTION("""COMPUTED_VALUE"""),280.0)</f>
        <v>280</v>
      </c>
    </row>
    <row r="3059">
      <c r="A3059" s="1">
        <v>8101063.0</v>
      </c>
      <c r="B3059" s="1" t="s">
        <v>6593</v>
      </c>
      <c r="C3059" s="1" t="s">
        <v>6543</v>
      </c>
      <c r="D3059" s="1" t="s">
        <v>6550</v>
      </c>
      <c r="E3059" s="1" t="s">
        <v>6594</v>
      </c>
      <c r="F3059" s="1" t="s">
        <v>16</v>
      </c>
      <c r="G3059" s="1" t="s">
        <v>23</v>
      </c>
      <c r="H3059" s="1" t="s">
        <v>18</v>
      </c>
      <c r="I3059" s="1" t="s">
        <v>40</v>
      </c>
      <c r="J3059" s="1">
        <f>IFERROR(__xludf.DUMMYFUNCTION("""COMPUTED_VALUE"""),84.0)</f>
        <v>84</v>
      </c>
      <c r="K3059" s="1">
        <v>15.0</v>
      </c>
      <c r="L3059" s="1">
        <f>IFERROR(__xludf.DUMMYFUNCTION("""COMPUTED_VALUE"""),195.0)</f>
        <v>195</v>
      </c>
    </row>
    <row r="3060">
      <c r="A3060" s="1">
        <v>8171124.0</v>
      </c>
      <c r="B3060" s="1" t="s">
        <v>6595</v>
      </c>
      <c r="C3060" s="1" t="s">
        <v>6543</v>
      </c>
      <c r="D3060" s="1" t="s">
        <v>6544</v>
      </c>
      <c r="E3060" s="1" t="s">
        <v>6596</v>
      </c>
      <c r="F3060" s="1" t="s">
        <v>16</v>
      </c>
      <c r="G3060" s="1" t="s">
        <v>17</v>
      </c>
      <c r="H3060" s="1" t="s">
        <v>18</v>
      </c>
      <c r="I3060" s="1" t="s">
        <v>19</v>
      </c>
      <c r="J3060" s="1">
        <f>IFERROR(__xludf.DUMMYFUNCTION("""COMPUTED_VALUE"""),157.0)</f>
        <v>157</v>
      </c>
      <c r="K3060" s="1">
        <v>41.0</v>
      </c>
      <c r="L3060" s="1">
        <f>IFERROR(__xludf.DUMMYFUNCTION("""COMPUTED_VALUE"""),67.0)</f>
        <v>67</v>
      </c>
    </row>
    <row r="3061">
      <c r="A3061" s="1">
        <v>8171085.0</v>
      </c>
      <c r="B3061" s="1" t="s">
        <v>6597</v>
      </c>
      <c r="C3061" s="1" t="s">
        <v>6543</v>
      </c>
      <c r="D3061" s="1" t="s">
        <v>6544</v>
      </c>
      <c r="E3061" s="1" t="s">
        <v>6598</v>
      </c>
      <c r="F3061" s="1" t="s">
        <v>16</v>
      </c>
      <c r="G3061" s="1" t="s">
        <v>17</v>
      </c>
      <c r="H3061" s="1" t="s">
        <v>18</v>
      </c>
      <c r="I3061" s="1" t="s">
        <v>258</v>
      </c>
      <c r="J3061" s="1">
        <f>IFERROR(__xludf.DUMMYFUNCTION("""COMPUTED_VALUE"""),57.0)</f>
        <v>57</v>
      </c>
      <c r="K3061" s="1">
        <v>23.0</v>
      </c>
      <c r="L3061" s="1">
        <f>IFERROR(__xludf.DUMMYFUNCTION("""COMPUTED_VALUE"""),64.0)</f>
        <v>64</v>
      </c>
    </row>
    <row r="3062">
      <c r="A3062" s="1">
        <v>8105019.0</v>
      </c>
      <c r="B3062" s="1" t="s">
        <v>6599</v>
      </c>
      <c r="C3062" s="1" t="s">
        <v>6543</v>
      </c>
      <c r="D3062" s="1" t="s">
        <v>6600</v>
      </c>
      <c r="E3062" s="1" t="s">
        <v>6601</v>
      </c>
      <c r="F3062" s="1" t="s">
        <v>16</v>
      </c>
      <c r="G3062" s="1" t="s">
        <v>23</v>
      </c>
      <c r="H3062" s="1" t="s">
        <v>28</v>
      </c>
      <c r="I3062" s="1" t="s">
        <v>40</v>
      </c>
      <c r="J3062" s="1">
        <f>IFERROR(__xludf.DUMMYFUNCTION("""COMPUTED_VALUE"""),98.0)</f>
        <v>98</v>
      </c>
      <c r="K3062" s="1">
        <v>28.0</v>
      </c>
      <c r="L3062" s="1">
        <f>IFERROR(__xludf.DUMMYFUNCTION("""COMPUTED_VALUE"""),335.0)</f>
        <v>335</v>
      </c>
    </row>
    <row r="3063">
      <c r="A3063" s="1">
        <v>8171121.0</v>
      </c>
      <c r="B3063" s="1" t="s">
        <v>6602</v>
      </c>
      <c r="C3063" s="1" t="s">
        <v>6543</v>
      </c>
      <c r="D3063" s="1" t="s">
        <v>6544</v>
      </c>
      <c r="E3063" s="1" t="s">
        <v>6603</v>
      </c>
      <c r="F3063" s="1" t="s">
        <v>16</v>
      </c>
      <c r="G3063" s="1" t="s">
        <v>17</v>
      </c>
      <c r="H3063" s="1" t="s">
        <v>33</v>
      </c>
      <c r="I3063" s="1" t="s">
        <v>65</v>
      </c>
      <c r="J3063" s="1">
        <f>IFERROR(__xludf.DUMMYFUNCTION("""COMPUTED_VALUE"""),112.0)</f>
        <v>112</v>
      </c>
      <c r="K3063" s="1">
        <v>42.0</v>
      </c>
      <c r="L3063" s="1">
        <f>IFERROR(__xludf.DUMMYFUNCTION("""COMPUTED_VALUE"""),164.0)</f>
        <v>164</v>
      </c>
    </row>
    <row r="3064">
      <c r="A3064" s="1">
        <v>8106010.0</v>
      </c>
      <c r="B3064" s="1" t="s">
        <v>6604</v>
      </c>
      <c r="C3064" s="1" t="s">
        <v>6543</v>
      </c>
      <c r="D3064" s="1" t="s">
        <v>6589</v>
      </c>
      <c r="E3064" s="1" t="s">
        <v>6605</v>
      </c>
      <c r="F3064" s="1" t="s">
        <v>16</v>
      </c>
      <c r="G3064" s="1" t="s">
        <v>17</v>
      </c>
      <c r="H3064" s="1" t="s">
        <v>18</v>
      </c>
      <c r="I3064" s="1" t="s">
        <v>40</v>
      </c>
      <c r="J3064" s="1">
        <f>IFERROR(__xludf.DUMMYFUNCTION("""COMPUTED_VALUE"""),156.0)</f>
        <v>156</v>
      </c>
      <c r="K3064" s="1">
        <v>21.0</v>
      </c>
      <c r="L3064" s="1">
        <f>IFERROR(__xludf.DUMMYFUNCTION("""COMPUTED_VALUE"""),15.0)</f>
        <v>15</v>
      </c>
    </row>
    <row r="3065">
      <c r="A3065" s="1">
        <v>8171110.0</v>
      </c>
      <c r="B3065" s="1" t="s">
        <v>6606</v>
      </c>
      <c r="C3065" s="1" t="s">
        <v>6543</v>
      </c>
      <c r="D3065" s="1" t="s">
        <v>6544</v>
      </c>
      <c r="E3065" s="1" t="s">
        <v>6607</v>
      </c>
      <c r="F3065" s="1" t="s">
        <v>16</v>
      </c>
      <c r="G3065" s="1" t="s">
        <v>17</v>
      </c>
      <c r="H3065" s="1" t="s">
        <v>18</v>
      </c>
      <c r="I3065" s="1" t="s">
        <v>684</v>
      </c>
      <c r="J3065" s="1">
        <f>IFERROR(__xludf.DUMMYFUNCTION("""COMPUTED_VALUE"""),113.0)</f>
        <v>113</v>
      </c>
      <c r="K3065" s="1">
        <v>30.0</v>
      </c>
      <c r="L3065" s="1">
        <f>IFERROR(__xludf.DUMMYFUNCTION("""COMPUTED_VALUE"""),92.0)</f>
        <v>92</v>
      </c>
    </row>
    <row r="3066">
      <c r="A3066" s="1">
        <v>8101015.0</v>
      </c>
      <c r="B3066" s="1" t="s">
        <v>6608</v>
      </c>
      <c r="C3066" s="1" t="s">
        <v>6543</v>
      </c>
      <c r="D3066" s="1" t="s">
        <v>6578</v>
      </c>
      <c r="E3066" s="1" t="s">
        <v>6609</v>
      </c>
      <c r="F3066" s="1" t="s">
        <v>16</v>
      </c>
      <c r="G3066" s="1" t="s">
        <v>17</v>
      </c>
      <c r="H3066" s="1" t="s">
        <v>28</v>
      </c>
      <c r="I3066" s="1" t="s">
        <v>40</v>
      </c>
      <c r="J3066" s="1">
        <f>IFERROR(__xludf.DUMMYFUNCTION("""COMPUTED_VALUE"""),176.0)</f>
        <v>176</v>
      </c>
      <c r="K3066" s="1">
        <v>84.0</v>
      </c>
      <c r="L3066" s="1">
        <f>IFERROR(__xludf.DUMMYFUNCTION("""COMPUTED_VALUE"""),253.0)</f>
        <v>253</v>
      </c>
    </row>
    <row r="3067">
      <c r="A3067" s="1">
        <v>8205032.0</v>
      </c>
      <c r="B3067" s="1" t="s">
        <v>6610</v>
      </c>
      <c r="C3067" s="1" t="s">
        <v>6611</v>
      </c>
      <c r="D3067" s="1" t="s">
        <v>6612</v>
      </c>
      <c r="E3067" s="1" t="s">
        <v>6613</v>
      </c>
      <c r="F3067" s="1" t="s">
        <v>16</v>
      </c>
      <c r="G3067" s="1" t="s">
        <v>17</v>
      </c>
      <c r="H3067" s="1" t="s">
        <v>18</v>
      </c>
      <c r="I3067" s="1" t="s">
        <v>40</v>
      </c>
      <c r="J3067" s="1">
        <f>IFERROR(__xludf.DUMMYFUNCTION("""COMPUTED_VALUE"""),163.0)</f>
        <v>163</v>
      </c>
      <c r="K3067" s="1">
        <v>31.0</v>
      </c>
      <c r="L3067" s="1">
        <f>IFERROR(__xludf.DUMMYFUNCTION("""COMPUTED_VALUE"""),147.0)</f>
        <v>147</v>
      </c>
    </row>
    <row r="3068">
      <c r="A3068" s="1">
        <v>8271031.0</v>
      </c>
      <c r="B3068" s="1" t="s">
        <v>6614</v>
      </c>
      <c r="C3068" s="1" t="s">
        <v>6611</v>
      </c>
      <c r="D3068" s="1" t="s">
        <v>6615</v>
      </c>
      <c r="E3068" s="1" t="s">
        <v>6616</v>
      </c>
      <c r="F3068" s="1" t="s">
        <v>16</v>
      </c>
      <c r="G3068" s="1" t="s">
        <v>23</v>
      </c>
      <c r="H3068" s="1" t="s">
        <v>18</v>
      </c>
      <c r="I3068" s="1" t="s">
        <v>59</v>
      </c>
      <c r="J3068" s="1">
        <f>IFERROR(__xludf.DUMMYFUNCTION("""COMPUTED_VALUE"""),79.0)</f>
        <v>79</v>
      </c>
      <c r="K3068" s="1">
        <v>35.0</v>
      </c>
      <c r="L3068" s="1">
        <f>IFERROR(__xludf.DUMMYFUNCTION("""COMPUTED_VALUE"""),129.0)</f>
        <v>129</v>
      </c>
    </row>
    <row r="3069">
      <c r="A3069" s="1">
        <v>8201021.0</v>
      </c>
      <c r="B3069" s="1" t="s">
        <v>6617</v>
      </c>
      <c r="C3069" s="1" t="s">
        <v>6611</v>
      </c>
      <c r="D3069" s="1" t="s">
        <v>6618</v>
      </c>
      <c r="E3069" s="1" t="s">
        <v>6619</v>
      </c>
      <c r="F3069" s="1" t="s">
        <v>16</v>
      </c>
      <c r="G3069" s="1" t="s">
        <v>17</v>
      </c>
      <c r="H3069" s="1" t="s">
        <v>28</v>
      </c>
      <c r="I3069" s="1" t="s">
        <v>40</v>
      </c>
      <c r="J3069" s="1">
        <f>IFERROR(__xludf.DUMMYFUNCTION("""COMPUTED_VALUE"""),126.0)</f>
        <v>126</v>
      </c>
      <c r="K3069" s="1">
        <v>34.0</v>
      </c>
      <c r="L3069" s="1">
        <f>IFERROR(__xludf.DUMMYFUNCTION("""COMPUTED_VALUE"""),337.0)</f>
        <v>337</v>
      </c>
    </row>
    <row r="3070">
      <c r="A3070" s="1">
        <v>8272003.0</v>
      </c>
      <c r="B3070" s="1" t="s">
        <v>6620</v>
      </c>
      <c r="C3070" s="1" t="s">
        <v>6611</v>
      </c>
      <c r="D3070" s="1" t="s">
        <v>6621</v>
      </c>
      <c r="E3070" s="1" t="s">
        <v>6622</v>
      </c>
      <c r="F3070" s="1" t="s">
        <v>16</v>
      </c>
      <c r="G3070" s="1" t="s">
        <v>23</v>
      </c>
      <c r="H3070" s="1" t="s">
        <v>18</v>
      </c>
      <c r="I3070" s="1" t="s">
        <v>139</v>
      </c>
      <c r="J3070" s="1">
        <f>IFERROR(__xludf.DUMMYFUNCTION("""COMPUTED_VALUE"""),63.0)</f>
        <v>63</v>
      </c>
      <c r="K3070" s="1">
        <v>23.0</v>
      </c>
      <c r="L3070" s="1">
        <f>IFERROR(__xludf.DUMMYFUNCTION("""COMPUTED_VALUE"""),63.0)</f>
        <v>63</v>
      </c>
    </row>
    <row r="3071">
      <c r="A3071" s="1">
        <v>8203020.0</v>
      </c>
      <c r="B3071" s="1" t="s">
        <v>6623</v>
      </c>
      <c r="C3071" s="1" t="s">
        <v>6611</v>
      </c>
      <c r="D3071" s="1" t="s">
        <v>6624</v>
      </c>
      <c r="E3071" s="1" t="s">
        <v>6625</v>
      </c>
      <c r="F3071" s="1" t="s">
        <v>16</v>
      </c>
      <c r="G3071" s="1" t="s">
        <v>23</v>
      </c>
      <c r="H3071" s="1" t="s">
        <v>18</v>
      </c>
      <c r="I3071" s="1" t="s">
        <v>40</v>
      </c>
      <c r="J3071" s="1">
        <f>IFERROR(__xludf.DUMMYFUNCTION("""COMPUTED_VALUE"""),73.0)</f>
        <v>73</v>
      </c>
      <c r="K3071" s="1">
        <v>27.0</v>
      </c>
      <c r="L3071" s="1">
        <f>IFERROR(__xludf.DUMMYFUNCTION("""COMPUTED_VALUE"""),135.0)</f>
        <v>135</v>
      </c>
    </row>
    <row r="3072">
      <c r="A3072" s="1">
        <v>8204011.0</v>
      </c>
      <c r="B3072" s="1" t="s">
        <v>6626</v>
      </c>
      <c r="C3072" s="1" t="s">
        <v>6611</v>
      </c>
      <c r="D3072" s="1" t="s">
        <v>6627</v>
      </c>
      <c r="E3072" s="1" t="s">
        <v>6628</v>
      </c>
      <c r="F3072" s="1" t="s">
        <v>16</v>
      </c>
      <c r="G3072" s="1" t="s">
        <v>23</v>
      </c>
      <c r="H3072" s="1" t="s">
        <v>18</v>
      </c>
      <c r="I3072" s="1" t="s">
        <v>40</v>
      </c>
      <c r="J3072" s="1">
        <f>IFERROR(__xludf.DUMMYFUNCTION("""COMPUTED_VALUE"""),20.0)</f>
        <v>20</v>
      </c>
      <c r="K3072" s="1">
        <v>8.0</v>
      </c>
      <c r="L3072" s="1">
        <f>IFERROR(__xludf.DUMMYFUNCTION("""COMPUTED_VALUE"""),11.0)</f>
        <v>11</v>
      </c>
    </row>
    <row r="3073">
      <c r="A3073" s="1">
        <v>8206012.0</v>
      </c>
      <c r="B3073" s="1" t="s">
        <v>6629</v>
      </c>
      <c r="C3073" s="1" t="s">
        <v>6611</v>
      </c>
      <c r="D3073" s="1" t="s">
        <v>6630</v>
      </c>
      <c r="E3073" s="1" t="s">
        <v>6631</v>
      </c>
      <c r="F3073" s="1" t="s">
        <v>16</v>
      </c>
      <c r="G3073" s="1" t="s">
        <v>23</v>
      </c>
      <c r="H3073" s="1" t="s">
        <v>18</v>
      </c>
      <c r="I3073" s="1" t="s">
        <v>40</v>
      </c>
      <c r="J3073" s="1">
        <f>IFERROR(__xludf.DUMMYFUNCTION("""COMPUTED_VALUE"""),76.0)</f>
        <v>76</v>
      </c>
      <c r="K3073" s="1">
        <v>43.0</v>
      </c>
      <c r="L3073" s="1">
        <f>IFERROR(__xludf.DUMMYFUNCTION("""COMPUTED_VALUE"""),162.0)</f>
        <v>162</v>
      </c>
    </row>
    <row r="3074">
      <c r="A3074" s="1">
        <v>8205021.0</v>
      </c>
      <c r="B3074" s="1" t="s">
        <v>6632</v>
      </c>
      <c r="C3074" s="1" t="s">
        <v>6611</v>
      </c>
      <c r="D3074" s="1" t="s">
        <v>6633</v>
      </c>
      <c r="E3074" s="1" t="s">
        <v>6634</v>
      </c>
      <c r="F3074" s="1" t="s">
        <v>16</v>
      </c>
      <c r="G3074" s="1" t="s">
        <v>23</v>
      </c>
      <c r="H3074" s="1" t="s">
        <v>18</v>
      </c>
      <c r="I3074" s="1" t="s">
        <v>40</v>
      </c>
      <c r="J3074" s="1">
        <f>IFERROR(__xludf.DUMMYFUNCTION("""COMPUTED_VALUE"""),99.0)</f>
        <v>99</v>
      </c>
      <c r="K3074" s="1">
        <v>28.0</v>
      </c>
      <c r="L3074" s="1">
        <f>IFERROR(__xludf.DUMMYFUNCTION("""COMPUTED_VALUE"""),237.0)</f>
        <v>237</v>
      </c>
    </row>
    <row r="3075">
      <c r="A3075" s="1">
        <v>8271070.0</v>
      </c>
      <c r="B3075" s="1" t="s">
        <v>6635</v>
      </c>
      <c r="C3075" s="1" t="s">
        <v>6611</v>
      </c>
      <c r="D3075" s="1" t="s">
        <v>6615</v>
      </c>
      <c r="E3075" s="1" t="s">
        <v>6636</v>
      </c>
      <c r="F3075" s="1" t="s">
        <v>55</v>
      </c>
      <c r="G3075" s="1" t="s">
        <v>17</v>
      </c>
      <c r="H3075" s="1" t="s">
        <v>18</v>
      </c>
      <c r="I3075" s="1" t="s">
        <v>19</v>
      </c>
      <c r="J3075" s="1">
        <f>IFERROR(__xludf.DUMMYFUNCTION("""COMPUTED_VALUE"""),33.0)</f>
        <v>33</v>
      </c>
      <c r="K3075" s="1">
        <v>15.0</v>
      </c>
      <c r="L3075" s="1">
        <f>IFERROR(__xludf.DUMMYFUNCTION("""COMPUTED_VALUE"""),182.0)</f>
        <v>182</v>
      </c>
    </row>
    <row r="3076">
      <c r="A3076" s="1">
        <v>8271020.0</v>
      </c>
      <c r="B3076" s="1" t="s">
        <v>6637</v>
      </c>
      <c r="C3076" s="1" t="s">
        <v>6611</v>
      </c>
      <c r="D3076" s="1" t="s">
        <v>6615</v>
      </c>
      <c r="E3076" s="1" t="s">
        <v>6638</v>
      </c>
      <c r="F3076" s="1" t="s">
        <v>16</v>
      </c>
      <c r="G3076" s="1" t="s">
        <v>23</v>
      </c>
      <c r="H3076" s="1" t="s">
        <v>18</v>
      </c>
      <c r="I3076" s="1" t="s">
        <v>74</v>
      </c>
      <c r="J3076" s="1">
        <f>IFERROR(__xludf.DUMMYFUNCTION("""COMPUTED_VALUE"""),52.0)</f>
        <v>52</v>
      </c>
      <c r="K3076" s="1">
        <v>14.0</v>
      </c>
      <c r="L3076" s="1">
        <f>IFERROR(__xludf.DUMMYFUNCTION("""COMPUTED_VALUE"""),79.0)</f>
        <v>79</v>
      </c>
    </row>
    <row r="3077">
      <c r="A3077" s="1">
        <v>8272004.0</v>
      </c>
      <c r="B3077" s="1" t="s">
        <v>6639</v>
      </c>
      <c r="C3077" s="1" t="s">
        <v>6611</v>
      </c>
      <c r="D3077" s="1" t="s">
        <v>6621</v>
      </c>
      <c r="E3077" s="1" t="s">
        <v>6640</v>
      </c>
      <c r="F3077" s="1" t="s">
        <v>174</v>
      </c>
      <c r="G3077" s="1" t="s">
        <v>17</v>
      </c>
      <c r="H3077" s="1" t="s">
        <v>18</v>
      </c>
      <c r="I3077" s="1" t="s">
        <v>139</v>
      </c>
      <c r="J3077" s="1">
        <f>IFERROR(__xludf.DUMMYFUNCTION("""COMPUTED_VALUE"""),32.0)</f>
        <v>32</v>
      </c>
      <c r="K3077" s="1">
        <v>12.0</v>
      </c>
      <c r="L3077" s="1">
        <f>IFERROR(__xludf.DUMMYFUNCTION("""COMPUTED_VALUE"""),22.0)</f>
        <v>22</v>
      </c>
    </row>
    <row r="3078">
      <c r="A3078" s="1">
        <v>8208001.0</v>
      </c>
      <c r="B3078" s="1" t="s">
        <v>6641</v>
      </c>
      <c r="C3078" s="1" t="s">
        <v>6611</v>
      </c>
      <c r="D3078" s="1" t="s">
        <v>6642</v>
      </c>
      <c r="E3078" s="1" t="s">
        <v>6643</v>
      </c>
      <c r="F3078" s="1" t="s">
        <v>16</v>
      </c>
      <c r="G3078" s="1" t="s">
        <v>98</v>
      </c>
      <c r="H3078" s="1" t="s">
        <v>18</v>
      </c>
      <c r="I3078" s="1" t="s">
        <v>40</v>
      </c>
      <c r="J3078" s="1">
        <f>IFERROR(__xludf.DUMMYFUNCTION("""COMPUTED_VALUE"""),31.0)</f>
        <v>31</v>
      </c>
      <c r="K3078" s="1">
        <v>12.0</v>
      </c>
      <c r="L3078" s="1">
        <f>IFERROR(__xludf.DUMMYFUNCTION("""COMPUTED_VALUE"""),72.0)</f>
        <v>72</v>
      </c>
    </row>
    <row r="3079">
      <c r="A3079" s="1">
        <v>8201010.0</v>
      </c>
      <c r="B3079" s="1" t="s">
        <v>6644</v>
      </c>
      <c r="C3079" s="1" t="s">
        <v>6611</v>
      </c>
      <c r="D3079" s="1" t="s">
        <v>6645</v>
      </c>
      <c r="E3079" s="1" t="s">
        <v>6646</v>
      </c>
      <c r="F3079" s="1" t="s">
        <v>16</v>
      </c>
      <c r="G3079" s="1" t="s">
        <v>27</v>
      </c>
      <c r="H3079" s="1" t="s">
        <v>28</v>
      </c>
      <c r="I3079" s="1" t="s">
        <v>40</v>
      </c>
      <c r="J3079" s="1">
        <f>IFERROR(__xludf.DUMMYFUNCTION("""COMPUTED_VALUE"""),200.0)</f>
        <v>200</v>
      </c>
      <c r="K3079" s="1">
        <v>37.0</v>
      </c>
      <c r="L3079" s="1">
        <f>IFERROR(__xludf.DUMMYFUNCTION("""COMPUTED_VALUE"""),479.0)</f>
        <v>479</v>
      </c>
    </row>
    <row r="3080">
      <c r="A3080" s="1">
        <v>8271042.0</v>
      </c>
      <c r="B3080" s="1" t="s">
        <v>6647</v>
      </c>
      <c r="C3080" s="1" t="s">
        <v>6611</v>
      </c>
      <c r="D3080" s="1" t="s">
        <v>6615</v>
      </c>
      <c r="E3080" s="1" t="s">
        <v>6648</v>
      </c>
      <c r="F3080" s="1" t="s">
        <v>16</v>
      </c>
      <c r="G3080" s="1" t="s">
        <v>23</v>
      </c>
      <c r="H3080" s="1" t="s">
        <v>18</v>
      </c>
      <c r="I3080" s="1" t="s">
        <v>59</v>
      </c>
      <c r="J3080" s="1">
        <f>IFERROR(__xludf.DUMMYFUNCTION("""COMPUTED_VALUE"""),44.0)</f>
        <v>44</v>
      </c>
      <c r="K3080" s="1">
        <v>24.0</v>
      </c>
      <c r="L3080" s="1">
        <f>IFERROR(__xludf.DUMMYFUNCTION("""COMPUTED_VALUE"""),56.0)</f>
        <v>56</v>
      </c>
    </row>
    <row r="3081">
      <c r="A3081" s="1">
        <v>8202043.0</v>
      </c>
      <c r="B3081" s="1" t="s">
        <v>6649</v>
      </c>
      <c r="C3081" s="1" t="s">
        <v>6611</v>
      </c>
      <c r="D3081" s="1" t="s">
        <v>6621</v>
      </c>
      <c r="E3081" s="1" t="s">
        <v>6650</v>
      </c>
      <c r="F3081" s="1" t="s">
        <v>16</v>
      </c>
      <c r="G3081" s="1" t="s">
        <v>17</v>
      </c>
      <c r="H3081" s="1" t="s">
        <v>28</v>
      </c>
      <c r="I3081" s="1" t="s">
        <v>29</v>
      </c>
      <c r="J3081" s="1">
        <f>IFERROR(__xludf.DUMMYFUNCTION("""COMPUTED_VALUE"""),151.0)</f>
        <v>151</v>
      </c>
      <c r="K3081" s="1">
        <v>56.0</v>
      </c>
      <c r="L3081" s="1">
        <f>IFERROR(__xludf.DUMMYFUNCTION("""COMPUTED_VALUE"""),515.0)</f>
        <v>515</v>
      </c>
    </row>
    <row r="3082">
      <c r="A3082" s="1">
        <v>8271058.0</v>
      </c>
      <c r="B3082" s="1" t="s">
        <v>6651</v>
      </c>
      <c r="C3082" s="1" t="s">
        <v>6611</v>
      </c>
      <c r="D3082" s="1" t="s">
        <v>6615</v>
      </c>
      <c r="E3082" s="1" t="s">
        <v>6652</v>
      </c>
      <c r="F3082" s="1" t="s">
        <v>16</v>
      </c>
      <c r="G3082" s="1" t="s">
        <v>23</v>
      </c>
      <c r="H3082" s="1" t="s">
        <v>18</v>
      </c>
      <c r="I3082" s="1" t="s">
        <v>65</v>
      </c>
      <c r="J3082" s="1">
        <f>IFERROR(__xludf.DUMMYFUNCTION("""COMPUTED_VALUE"""),38.0)</f>
        <v>38</v>
      </c>
      <c r="K3082" s="1">
        <v>28.0</v>
      </c>
      <c r="L3082" s="1">
        <f>IFERROR(__xludf.DUMMYFUNCTION("""COMPUTED_VALUE"""),182.0)</f>
        <v>182</v>
      </c>
    </row>
    <row r="3083">
      <c r="A3083" s="1">
        <v>8204010.0</v>
      </c>
      <c r="B3083" s="1" t="s">
        <v>6653</v>
      </c>
      <c r="C3083" s="1" t="s">
        <v>6611</v>
      </c>
      <c r="D3083" s="1" t="s">
        <v>6627</v>
      </c>
      <c r="E3083" s="1" t="s">
        <v>6654</v>
      </c>
      <c r="F3083" s="1" t="s">
        <v>16</v>
      </c>
      <c r="G3083" s="1" t="s">
        <v>17</v>
      </c>
      <c r="H3083" s="1" t="s">
        <v>28</v>
      </c>
      <c r="I3083" s="1" t="s">
        <v>40</v>
      </c>
      <c r="J3083" s="1">
        <f>IFERROR(__xludf.DUMMYFUNCTION("""COMPUTED_VALUE"""),143.0)</f>
        <v>143</v>
      </c>
      <c r="K3083" s="1">
        <v>52.0</v>
      </c>
      <c r="L3083" s="1">
        <f>IFERROR(__xludf.DUMMYFUNCTION("""COMPUTED_VALUE"""),420.0)</f>
        <v>420</v>
      </c>
    </row>
    <row r="3084">
      <c r="A3084" s="1">
        <v>8271057.0</v>
      </c>
      <c r="B3084" s="1" t="s">
        <v>6655</v>
      </c>
      <c r="C3084" s="1" t="s">
        <v>6611</v>
      </c>
      <c r="D3084" s="1" t="s">
        <v>6615</v>
      </c>
      <c r="E3084" s="1" t="s">
        <v>6656</v>
      </c>
      <c r="F3084" s="1" t="s">
        <v>16</v>
      </c>
      <c r="G3084" s="1" t="s">
        <v>23</v>
      </c>
      <c r="H3084" s="1" t="s">
        <v>18</v>
      </c>
      <c r="I3084" s="1" t="s">
        <v>59</v>
      </c>
      <c r="J3084" s="1">
        <f>IFERROR(__xludf.DUMMYFUNCTION("""COMPUTED_VALUE"""),58.0)</f>
        <v>58</v>
      </c>
      <c r="K3084" s="1">
        <v>21.0</v>
      </c>
      <c r="L3084" s="1">
        <f>IFERROR(__xludf.DUMMYFUNCTION("""COMPUTED_VALUE"""),54.0)</f>
        <v>54</v>
      </c>
    </row>
    <row r="3085">
      <c r="A3085" s="1">
        <v>8205033.0</v>
      </c>
      <c r="B3085" s="1" t="s">
        <v>6657</v>
      </c>
      <c r="C3085" s="1" t="s">
        <v>6611</v>
      </c>
      <c r="D3085" s="1" t="s">
        <v>6645</v>
      </c>
      <c r="E3085" s="1" t="s">
        <v>6658</v>
      </c>
      <c r="F3085" s="1" t="s">
        <v>16</v>
      </c>
      <c r="G3085" s="1" t="s">
        <v>23</v>
      </c>
      <c r="H3085" s="1" t="s">
        <v>18</v>
      </c>
      <c r="I3085" s="1" t="s">
        <v>258</v>
      </c>
      <c r="J3085" s="1">
        <f>IFERROR(__xludf.DUMMYFUNCTION("""COMPUTED_VALUE"""),66.0)</f>
        <v>66</v>
      </c>
      <c r="K3085" s="1">
        <v>22.0</v>
      </c>
      <c r="L3085" s="1">
        <f>IFERROR(__xludf.DUMMYFUNCTION("""COMPUTED_VALUE"""),67.0)</f>
        <v>67</v>
      </c>
    </row>
    <row r="3086">
      <c r="A3086" s="1">
        <v>8271016.0</v>
      </c>
      <c r="B3086" s="1" t="s">
        <v>6659</v>
      </c>
      <c r="C3086" s="1" t="s">
        <v>6611</v>
      </c>
      <c r="D3086" s="1" t="s">
        <v>6615</v>
      </c>
      <c r="E3086" s="1" t="s">
        <v>6660</v>
      </c>
      <c r="F3086" s="1" t="s">
        <v>16</v>
      </c>
      <c r="G3086" s="1" t="s">
        <v>27</v>
      </c>
      <c r="H3086" s="1" t="s">
        <v>28</v>
      </c>
      <c r="I3086" s="1" t="s">
        <v>139</v>
      </c>
      <c r="J3086" s="1">
        <f>IFERROR(__xludf.DUMMYFUNCTION("""COMPUTED_VALUE"""),292.0)</f>
        <v>292</v>
      </c>
      <c r="K3086" s="1">
        <v>95.0</v>
      </c>
      <c r="L3086" s="1">
        <f>IFERROR(__xludf.DUMMYFUNCTION("""COMPUTED_VALUE"""),752.0)</f>
        <v>752</v>
      </c>
    </row>
    <row r="3087">
      <c r="A3087" s="1">
        <v>8271069.0</v>
      </c>
      <c r="B3087" s="1" t="s">
        <v>6661</v>
      </c>
      <c r="C3087" s="1" t="s">
        <v>6611</v>
      </c>
      <c r="D3087" s="1" t="s">
        <v>6615</v>
      </c>
      <c r="E3087" s="1" t="s">
        <v>6662</v>
      </c>
      <c r="F3087" s="1" t="s">
        <v>16</v>
      </c>
      <c r="G3087" s="1" t="s">
        <v>23</v>
      </c>
      <c r="H3087" s="1" t="s">
        <v>18</v>
      </c>
      <c r="I3087" s="1" t="s">
        <v>29</v>
      </c>
      <c r="J3087" s="1">
        <f>IFERROR(__xludf.DUMMYFUNCTION("""COMPUTED_VALUE"""),31.0)</f>
        <v>31</v>
      </c>
      <c r="K3087" s="1">
        <v>18.0</v>
      </c>
      <c r="L3087" s="1">
        <f>IFERROR(__xludf.DUMMYFUNCTION("""COMPUTED_VALUE"""),182.0)</f>
        <v>182</v>
      </c>
    </row>
    <row r="3088">
      <c r="A3088" s="1">
        <v>8204012.0</v>
      </c>
      <c r="B3088" s="1" t="s">
        <v>6663</v>
      </c>
      <c r="C3088" s="1" t="s">
        <v>6611</v>
      </c>
      <c r="D3088" s="1" t="s">
        <v>6627</v>
      </c>
      <c r="E3088" s="1" t="s">
        <v>6664</v>
      </c>
      <c r="F3088" s="1" t="s">
        <v>16</v>
      </c>
      <c r="G3088" s="1" t="s">
        <v>23</v>
      </c>
      <c r="H3088" s="1" t="s">
        <v>18</v>
      </c>
      <c r="I3088" s="1" t="s">
        <v>40</v>
      </c>
      <c r="J3088" s="1">
        <f>IFERROR(__xludf.DUMMYFUNCTION("""COMPUTED_VALUE"""),66.0)</f>
        <v>66</v>
      </c>
      <c r="K3088" s="1">
        <v>7.0</v>
      </c>
      <c r="L3088" s="1">
        <f>IFERROR(__xludf.DUMMYFUNCTION("""COMPUTED_VALUE"""),43.0)</f>
        <v>43</v>
      </c>
    </row>
    <row r="3089">
      <c r="A3089" s="1">
        <v>9106013.0</v>
      </c>
      <c r="B3089" s="1" t="s">
        <v>6665</v>
      </c>
      <c r="C3089" s="1" t="s">
        <v>6666</v>
      </c>
      <c r="D3089" s="1" t="s">
        <v>6667</v>
      </c>
      <c r="E3089" s="1" t="s">
        <v>6668</v>
      </c>
      <c r="F3089" s="1" t="s">
        <v>16</v>
      </c>
      <c r="G3089" s="1" t="s">
        <v>17</v>
      </c>
      <c r="H3089" s="1" t="s">
        <v>28</v>
      </c>
      <c r="I3089" s="1" t="s">
        <v>40</v>
      </c>
      <c r="J3089" s="1">
        <f>IFERROR(__xludf.DUMMYFUNCTION("""COMPUTED_VALUE"""),82.0)</f>
        <v>82</v>
      </c>
      <c r="K3089" s="1">
        <v>58.0</v>
      </c>
      <c r="L3089" s="1">
        <f>IFERROR(__xludf.DUMMYFUNCTION("""COMPUTED_VALUE"""),263.0)</f>
        <v>263</v>
      </c>
    </row>
    <row r="3090">
      <c r="A3090" s="1">
        <v>9108002.0</v>
      </c>
      <c r="B3090" s="1" t="s">
        <v>6669</v>
      </c>
      <c r="C3090" s="1" t="s">
        <v>6666</v>
      </c>
      <c r="D3090" s="1" t="s">
        <v>6670</v>
      </c>
      <c r="E3090" s="1" t="s">
        <v>6671</v>
      </c>
      <c r="F3090" s="1" t="s">
        <v>16</v>
      </c>
      <c r="G3090" s="1" t="s">
        <v>23</v>
      </c>
      <c r="H3090" s="1" t="s">
        <v>18</v>
      </c>
      <c r="I3090" s="1" t="s">
        <v>40</v>
      </c>
      <c r="J3090" s="1">
        <f>IFERROR(__xludf.DUMMYFUNCTION("""COMPUTED_VALUE"""),182.0)</f>
        <v>182</v>
      </c>
      <c r="K3090" s="1">
        <v>17.0</v>
      </c>
      <c r="L3090" s="1">
        <f>IFERROR(__xludf.DUMMYFUNCTION("""COMPUTED_VALUE"""),100.0)</f>
        <v>100</v>
      </c>
    </row>
    <row r="3091">
      <c r="A3091" s="1">
        <v>9110011.0</v>
      </c>
      <c r="B3091" s="1" t="s">
        <v>6672</v>
      </c>
      <c r="C3091" s="1" t="s">
        <v>6666</v>
      </c>
      <c r="D3091" s="1" t="s">
        <v>6673</v>
      </c>
      <c r="E3091" s="1" t="s">
        <v>6674</v>
      </c>
      <c r="F3091" s="1" t="s">
        <v>16</v>
      </c>
      <c r="G3091" s="1" t="s">
        <v>98</v>
      </c>
      <c r="H3091" s="1" t="s">
        <v>18</v>
      </c>
      <c r="I3091" s="1" t="s">
        <v>40</v>
      </c>
      <c r="J3091" s="1">
        <f>IFERROR(__xludf.DUMMYFUNCTION("""COMPUTED_VALUE"""),4.0)</f>
        <v>4</v>
      </c>
      <c r="K3091" s="1">
        <v>8.0</v>
      </c>
      <c r="L3091" s="1">
        <f>IFERROR(__xludf.DUMMYFUNCTION("""COMPUTED_VALUE"""),182.0)</f>
        <v>182</v>
      </c>
    </row>
    <row r="3092">
      <c r="A3092" s="1">
        <v>9109002.0</v>
      </c>
      <c r="B3092" s="1" t="s">
        <v>6675</v>
      </c>
      <c r="C3092" s="1" t="s">
        <v>6666</v>
      </c>
      <c r="D3092" s="1" t="s">
        <v>6676</v>
      </c>
      <c r="E3092" s="1" t="s">
        <v>6677</v>
      </c>
      <c r="F3092" s="1" t="s">
        <v>16</v>
      </c>
      <c r="G3092" s="1" t="s">
        <v>98</v>
      </c>
      <c r="H3092" s="1" t="s">
        <v>18</v>
      </c>
      <c r="I3092" s="1" t="s">
        <v>40</v>
      </c>
      <c r="J3092" s="1">
        <f>IFERROR(__xludf.DUMMYFUNCTION("""COMPUTED_VALUE"""),39.0)</f>
        <v>39</v>
      </c>
      <c r="K3092" s="1">
        <v>15.0</v>
      </c>
      <c r="L3092" s="1">
        <f>IFERROR(__xludf.DUMMYFUNCTION("""COMPUTED_VALUE"""),182.0)</f>
        <v>182</v>
      </c>
    </row>
    <row r="3093">
      <c r="A3093" s="1">
        <v>9102022.0</v>
      </c>
      <c r="B3093" s="1" t="s">
        <v>6678</v>
      </c>
      <c r="C3093" s="1" t="s">
        <v>6679</v>
      </c>
      <c r="D3093" s="1" t="s">
        <v>6680</v>
      </c>
      <c r="E3093" s="1" t="s">
        <v>6681</v>
      </c>
      <c r="F3093" s="1" t="s">
        <v>16</v>
      </c>
      <c r="G3093" s="1" t="s">
        <v>23</v>
      </c>
      <c r="H3093" s="1" t="s">
        <v>18</v>
      </c>
      <c r="I3093" s="1" t="s">
        <v>74</v>
      </c>
      <c r="J3093" s="1">
        <f>IFERROR(__xludf.DUMMYFUNCTION("""COMPUTED_VALUE"""),60.0)</f>
        <v>60</v>
      </c>
      <c r="K3093" s="1">
        <v>27.0</v>
      </c>
      <c r="L3093" s="1">
        <f>IFERROR(__xludf.DUMMYFUNCTION("""COMPUTED_VALUE"""),4.0)</f>
        <v>4</v>
      </c>
    </row>
    <row r="3094">
      <c r="A3094" s="1">
        <v>9105017.0</v>
      </c>
      <c r="B3094" s="1" t="s">
        <v>6682</v>
      </c>
      <c r="C3094" s="1" t="s">
        <v>6679</v>
      </c>
      <c r="D3094" s="1" t="s">
        <v>6680</v>
      </c>
      <c r="E3094" s="1" t="s">
        <v>6683</v>
      </c>
      <c r="F3094" s="1" t="s">
        <v>16</v>
      </c>
      <c r="G3094" s="1" t="s">
        <v>23</v>
      </c>
      <c r="H3094" s="1" t="s">
        <v>18</v>
      </c>
      <c r="I3094" s="1" t="s">
        <v>19</v>
      </c>
      <c r="J3094" s="1">
        <f>IFERROR(__xludf.DUMMYFUNCTION("""COMPUTED_VALUE"""),55.0)</f>
        <v>55</v>
      </c>
      <c r="K3094" s="1">
        <v>17.0</v>
      </c>
      <c r="L3094" s="1">
        <f>IFERROR(__xludf.DUMMYFUNCTION("""COMPUTED_VALUE"""),182.0)</f>
        <v>182</v>
      </c>
    </row>
    <row r="3095">
      <c r="A3095" s="1">
        <v>9102034.0</v>
      </c>
      <c r="B3095" s="1" t="s">
        <v>6684</v>
      </c>
      <c r="C3095" s="1" t="s">
        <v>6679</v>
      </c>
      <c r="D3095" s="1" t="s">
        <v>6685</v>
      </c>
      <c r="E3095" s="1" t="s">
        <v>6686</v>
      </c>
      <c r="F3095" s="1" t="s">
        <v>16</v>
      </c>
      <c r="G3095" s="1" t="s">
        <v>17</v>
      </c>
      <c r="H3095" s="1" t="s">
        <v>18</v>
      </c>
      <c r="I3095" s="1" t="s">
        <v>40</v>
      </c>
      <c r="J3095" s="1">
        <f>IFERROR(__xludf.DUMMYFUNCTION("""COMPUTED_VALUE"""),100.0)</f>
        <v>100</v>
      </c>
      <c r="K3095" s="1">
        <v>32.0</v>
      </c>
      <c r="L3095" s="1">
        <f>IFERROR(__xludf.DUMMYFUNCTION("""COMPUTED_VALUE"""),270.0)</f>
        <v>270</v>
      </c>
    </row>
    <row r="3096">
      <c r="A3096" s="1">
        <v>9103035.0</v>
      </c>
      <c r="B3096" s="1" t="s">
        <v>6687</v>
      </c>
      <c r="C3096" s="1" t="s">
        <v>6679</v>
      </c>
      <c r="D3096" s="1" t="s">
        <v>6688</v>
      </c>
      <c r="E3096" s="1" t="s">
        <v>6689</v>
      </c>
      <c r="F3096" s="1" t="s">
        <v>16</v>
      </c>
      <c r="G3096" s="1" t="s">
        <v>17</v>
      </c>
      <c r="H3096" s="1" t="s">
        <v>28</v>
      </c>
      <c r="I3096" s="1" t="s">
        <v>40</v>
      </c>
      <c r="J3096" s="1">
        <f>IFERROR(__xludf.DUMMYFUNCTION("""COMPUTED_VALUE"""),103.0)</f>
        <v>103</v>
      </c>
      <c r="K3096" s="1">
        <v>22.0</v>
      </c>
      <c r="L3096" s="1">
        <f>IFERROR(__xludf.DUMMYFUNCTION("""COMPUTED_VALUE"""),218.0)</f>
        <v>218</v>
      </c>
    </row>
    <row r="3097">
      <c r="A3097" s="1">
        <v>9171010.0</v>
      </c>
      <c r="B3097" s="1" t="s">
        <v>6690</v>
      </c>
      <c r="C3097" s="1" t="s">
        <v>6666</v>
      </c>
      <c r="D3097" s="1" t="s">
        <v>6691</v>
      </c>
      <c r="E3097" s="1" t="s">
        <v>6692</v>
      </c>
      <c r="F3097" s="1" t="s">
        <v>16</v>
      </c>
      <c r="G3097" s="1" t="s">
        <v>17</v>
      </c>
      <c r="H3097" s="1" t="s">
        <v>28</v>
      </c>
      <c r="I3097" s="1" t="s">
        <v>40</v>
      </c>
      <c r="J3097" s="1">
        <f>IFERROR(__xludf.DUMMYFUNCTION("""COMPUTED_VALUE"""),220.0)</f>
        <v>220</v>
      </c>
      <c r="K3097" s="1">
        <v>43.0</v>
      </c>
      <c r="L3097" s="1">
        <f>IFERROR(__xludf.DUMMYFUNCTION("""COMPUTED_VALUE"""),323.0)</f>
        <v>323</v>
      </c>
    </row>
    <row r="3098">
      <c r="A3098" s="1">
        <v>9171047.0</v>
      </c>
      <c r="B3098" s="1" t="s">
        <v>6693</v>
      </c>
      <c r="C3098" s="1" t="s">
        <v>6666</v>
      </c>
      <c r="D3098" s="1" t="s">
        <v>6694</v>
      </c>
      <c r="E3098" s="1" t="s">
        <v>6695</v>
      </c>
      <c r="F3098" s="1" t="s">
        <v>16</v>
      </c>
      <c r="G3098" s="1" t="s">
        <v>23</v>
      </c>
      <c r="H3098" s="1" t="s">
        <v>18</v>
      </c>
      <c r="I3098" s="1" t="s">
        <v>95</v>
      </c>
      <c r="J3098" s="1">
        <f>IFERROR(__xludf.DUMMYFUNCTION("""COMPUTED_VALUE"""),92.0)</f>
        <v>92</v>
      </c>
      <c r="K3098" s="1">
        <v>18.0</v>
      </c>
      <c r="L3098" s="1">
        <f>IFERROR(__xludf.DUMMYFUNCTION("""COMPUTED_VALUE"""),93.0)</f>
        <v>93</v>
      </c>
    </row>
    <row r="3099">
      <c r="A3099" s="1">
        <v>9105005.0</v>
      </c>
      <c r="B3099" s="1" t="s">
        <v>6696</v>
      </c>
      <c r="C3099" s="1" t="s">
        <v>6679</v>
      </c>
      <c r="D3099" s="1" t="s">
        <v>6680</v>
      </c>
      <c r="E3099" s="1" t="s">
        <v>6697</v>
      </c>
      <c r="F3099" s="1" t="s">
        <v>16</v>
      </c>
      <c r="G3099" s="1" t="s">
        <v>23</v>
      </c>
      <c r="H3099" s="1" t="s">
        <v>18</v>
      </c>
      <c r="I3099" s="1" t="s">
        <v>65</v>
      </c>
      <c r="J3099" s="1">
        <f>IFERROR(__xludf.DUMMYFUNCTION("""COMPUTED_VALUE"""),53.0)</f>
        <v>53</v>
      </c>
      <c r="K3099" s="1">
        <v>15.0</v>
      </c>
      <c r="L3099" s="1">
        <f>IFERROR(__xludf.DUMMYFUNCTION("""COMPUTED_VALUE"""),60.0)</f>
        <v>60</v>
      </c>
    </row>
    <row r="3100">
      <c r="A3100" s="1">
        <v>9111001.0</v>
      </c>
      <c r="B3100" s="1" t="s">
        <v>6698</v>
      </c>
      <c r="C3100" s="1" t="s">
        <v>6679</v>
      </c>
      <c r="D3100" s="1" t="s">
        <v>6699</v>
      </c>
      <c r="E3100" s="1" t="s">
        <v>6700</v>
      </c>
      <c r="F3100" s="1" t="s">
        <v>16</v>
      </c>
      <c r="G3100" s="1" t="s">
        <v>17</v>
      </c>
      <c r="H3100" s="1" t="s">
        <v>18</v>
      </c>
      <c r="I3100" s="1" t="s">
        <v>40</v>
      </c>
      <c r="J3100" s="1">
        <f>IFERROR(__xludf.DUMMYFUNCTION("""COMPUTED_VALUE"""),62.0)</f>
        <v>62</v>
      </c>
      <c r="K3100" s="1">
        <v>20.0</v>
      </c>
      <c r="L3100" s="1">
        <f>IFERROR(__xludf.DUMMYFUNCTION("""COMPUTED_VALUE"""),182.0)</f>
        <v>182</v>
      </c>
    </row>
    <row r="3101">
      <c r="A3101" s="1">
        <v>9171032.0</v>
      </c>
      <c r="B3101" s="1" t="s">
        <v>6701</v>
      </c>
      <c r="C3101" s="1" t="s">
        <v>6666</v>
      </c>
      <c r="D3101" s="1" t="s">
        <v>6694</v>
      </c>
      <c r="E3101" s="1" t="s">
        <v>6702</v>
      </c>
      <c r="F3101" s="1" t="s">
        <v>16</v>
      </c>
      <c r="G3101" s="1" t="s">
        <v>17</v>
      </c>
      <c r="H3101" s="1" t="s">
        <v>28</v>
      </c>
      <c r="I3101" s="1" t="s">
        <v>29</v>
      </c>
      <c r="J3101" s="1">
        <f>IFERROR(__xludf.DUMMYFUNCTION("""COMPUTED_VALUE"""),149.0)</f>
        <v>149</v>
      </c>
      <c r="K3101" s="1">
        <v>30.0</v>
      </c>
      <c r="L3101" s="1">
        <f>IFERROR(__xludf.DUMMYFUNCTION("""COMPUTED_VALUE"""),380.0)</f>
        <v>380</v>
      </c>
    </row>
    <row r="3102">
      <c r="A3102" s="1">
        <v>9271034.0</v>
      </c>
      <c r="B3102" s="1" t="s">
        <v>6703</v>
      </c>
      <c r="C3102" s="1" t="s">
        <v>6666</v>
      </c>
      <c r="D3102" s="1" t="s">
        <v>6694</v>
      </c>
      <c r="E3102" s="1" t="s">
        <v>6704</v>
      </c>
      <c r="F3102" s="1" t="s">
        <v>16</v>
      </c>
      <c r="G3102" s="1" t="s">
        <v>23</v>
      </c>
      <c r="H3102" s="1" t="s">
        <v>33</v>
      </c>
      <c r="I3102" s="1" t="s">
        <v>74</v>
      </c>
      <c r="J3102" s="1">
        <f>IFERROR(__xludf.DUMMYFUNCTION("""COMPUTED_VALUE"""),47.0)</f>
        <v>47</v>
      </c>
      <c r="K3102" s="1">
        <v>15.0</v>
      </c>
      <c r="L3102" s="1">
        <f>IFERROR(__xludf.DUMMYFUNCTION("""COMPUTED_VALUE"""),26.0)</f>
        <v>26</v>
      </c>
    </row>
    <row r="3103">
      <c r="A3103" s="1">
        <v>9107002.0</v>
      </c>
      <c r="B3103" s="1" t="s">
        <v>6705</v>
      </c>
      <c r="C3103" s="1" t="s">
        <v>6666</v>
      </c>
      <c r="D3103" s="1" t="s">
        <v>6694</v>
      </c>
      <c r="E3103" s="1" t="s">
        <v>6706</v>
      </c>
      <c r="F3103" s="1" t="s">
        <v>16</v>
      </c>
      <c r="G3103" s="1" t="s">
        <v>23</v>
      </c>
      <c r="H3103" s="1" t="s">
        <v>18</v>
      </c>
      <c r="I3103" s="1" t="s">
        <v>163</v>
      </c>
      <c r="J3103" s="1">
        <f>IFERROR(__xludf.DUMMYFUNCTION("""COMPUTED_VALUE"""),63.0)</f>
        <v>63</v>
      </c>
      <c r="K3103" s="1">
        <v>40.0</v>
      </c>
      <c r="L3103" s="1">
        <f>IFERROR(__xludf.DUMMYFUNCTION("""COMPUTED_VALUE"""),141.0)</f>
        <v>141</v>
      </c>
    </row>
    <row r="3104">
      <c r="A3104" s="1">
        <v>9101010.0</v>
      </c>
      <c r="B3104" s="1" t="s">
        <v>6707</v>
      </c>
      <c r="C3104" s="1" t="s">
        <v>6679</v>
      </c>
      <c r="D3104" s="1" t="s">
        <v>6708</v>
      </c>
      <c r="E3104" s="1" t="s">
        <v>6709</v>
      </c>
      <c r="F3104" s="1" t="s">
        <v>16</v>
      </c>
      <c r="G3104" s="1" t="s">
        <v>17</v>
      </c>
      <c r="H3104" s="1" t="s">
        <v>18</v>
      </c>
      <c r="I3104" s="1" t="s">
        <v>40</v>
      </c>
      <c r="J3104" s="1">
        <f>IFERROR(__xludf.DUMMYFUNCTION("""COMPUTED_VALUE"""),132.0)</f>
        <v>132</v>
      </c>
      <c r="K3104" s="1">
        <v>25.0</v>
      </c>
      <c r="L3104" s="1">
        <f>IFERROR(__xludf.DUMMYFUNCTION("""COMPUTED_VALUE"""),284.0)</f>
        <v>284</v>
      </c>
    </row>
    <row r="3105">
      <c r="A3105" s="1">
        <v>9104002.0</v>
      </c>
      <c r="B3105" s="1" t="s">
        <v>6710</v>
      </c>
      <c r="C3105" s="1" t="s">
        <v>6679</v>
      </c>
      <c r="D3105" s="1" t="s">
        <v>6711</v>
      </c>
      <c r="E3105" s="1" t="s">
        <v>6712</v>
      </c>
      <c r="F3105" s="1" t="s">
        <v>16</v>
      </c>
      <c r="G3105" s="1" t="s">
        <v>17</v>
      </c>
      <c r="H3105" s="1" t="s">
        <v>28</v>
      </c>
      <c r="I3105" s="1" t="s">
        <v>40</v>
      </c>
      <c r="J3105" s="1">
        <f>IFERROR(__xludf.DUMMYFUNCTION("""COMPUTED_VALUE"""),97.0)</f>
        <v>97</v>
      </c>
      <c r="K3105" s="1">
        <v>32.0</v>
      </c>
      <c r="L3105" s="1">
        <f>IFERROR(__xludf.DUMMYFUNCTION("""COMPUTED_VALUE"""),233.0)</f>
        <v>233</v>
      </c>
    </row>
    <row r="3106">
      <c r="A3106" s="1">
        <v>9102011.0</v>
      </c>
      <c r="B3106" s="1" t="s">
        <v>6713</v>
      </c>
      <c r="C3106" s="1" t="s">
        <v>6679</v>
      </c>
      <c r="D3106" s="1" t="s">
        <v>6680</v>
      </c>
      <c r="E3106" s="1" t="s">
        <v>6714</v>
      </c>
      <c r="F3106" s="1" t="s">
        <v>16</v>
      </c>
      <c r="G3106" s="1" t="s">
        <v>17</v>
      </c>
      <c r="H3106" s="1" t="s">
        <v>28</v>
      </c>
      <c r="I3106" s="1" t="s">
        <v>40</v>
      </c>
      <c r="J3106" s="1">
        <f>IFERROR(__xludf.DUMMYFUNCTION("""COMPUTED_VALUE"""),160.0)</f>
        <v>160</v>
      </c>
      <c r="K3106" s="1">
        <v>26.0</v>
      </c>
      <c r="L3106" s="1">
        <f>IFERROR(__xludf.DUMMYFUNCTION("""COMPUTED_VALUE"""),442.0)</f>
        <v>442</v>
      </c>
    </row>
    <row r="3107">
      <c r="A3107" s="1">
        <v>9102033.0</v>
      </c>
      <c r="B3107" s="1" t="s">
        <v>6715</v>
      </c>
      <c r="C3107" s="1" t="s">
        <v>6679</v>
      </c>
      <c r="D3107" s="1" t="s">
        <v>6680</v>
      </c>
      <c r="E3107" s="1" t="s">
        <v>6716</v>
      </c>
      <c r="F3107" s="1" t="s">
        <v>16</v>
      </c>
      <c r="G3107" s="1" t="s">
        <v>23</v>
      </c>
      <c r="H3107" s="1" t="s">
        <v>18</v>
      </c>
      <c r="I3107" s="1" t="s">
        <v>95</v>
      </c>
      <c r="J3107" s="1">
        <f>IFERROR(__xludf.DUMMYFUNCTION("""COMPUTED_VALUE"""),118.0)</f>
        <v>118</v>
      </c>
      <c r="K3107" s="1">
        <v>23.0</v>
      </c>
      <c r="L3107" s="1">
        <f>IFERROR(__xludf.DUMMYFUNCTION("""COMPUTED_VALUE"""),170.0)</f>
        <v>170</v>
      </c>
    </row>
    <row r="3108">
      <c r="A3108" s="1">
        <v>9105004.0</v>
      </c>
      <c r="B3108" s="1" t="s">
        <v>6717</v>
      </c>
      <c r="C3108" s="1" t="s">
        <v>6679</v>
      </c>
      <c r="D3108" s="1" t="s">
        <v>6680</v>
      </c>
      <c r="E3108" s="1" t="s">
        <v>6718</v>
      </c>
      <c r="F3108" s="1" t="s">
        <v>16</v>
      </c>
      <c r="G3108" s="1" t="s">
        <v>23</v>
      </c>
      <c r="H3108" s="1" t="s">
        <v>18</v>
      </c>
      <c r="I3108" s="1" t="s">
        <v>40</v>
      </c>
      <c r="J3108" s="1">
        <f>IFERROR(__xludf.DUMMYFUNCTION("""COMPUTED_VALUE"""),50.0)</f>
        <v>50</v>
      </c>
      <c r="K3108" s="1">
        <v>23.0</v>
      </c>
      <c r="L3108" s="1">
        <f>IFERROR(__xludf.DUMMYFUNCTION("""COMPUTED_VALUE"""),78.0)</f>
        <v>78</v>
      </c>
    </row>
    <row r="3109">
      <c r="A3109" s="1">
        <v>9105006.0</v>
      </c>
      <c r="B3109" s="1" t="s">
        <v>6719</v>
      </c>
      <c r="C3109" s="1" t="s">
        <v>6679</v>
      </c>
      <c r="D3109" s="1" t="s">
        <v>6680</v>
      </c>
      <c r="E3109" s="1" t="s">
        <v>6720</v>
      </c>
      <c r="F3109" s="1" t="s">
        <v>16</v>
      </c>
      <c r="G3109" s="1" t="s">
        <v>17</v>
      </c>
      <c r="H3109" s="1" t="s">
        <v>28</v>
      </c>
      <c r="I3109" s="1" t="s">
        <v>139</v>
      </c>
      <c r="J3109" s="1">
        <f>IFERROR(__xludf.DUMMYFUNCTION("""COMPUTED_VALUE"""),192.0)</f>
        <v>192</v>
      </c>
      <c r="K3109" s="1">
        <v>33.0</v>
      </c>
      <c r="L3109" s="1">
        <f>IFERROR(__xludf.DUMMYFUNCTION("""COMPUTED_VALUE"""),313.0)</f>
        <v>313</v>
      </c>
    </row>
    <row r="3110">
      <c r="A3110" s="1">
        <v>9171046.0</v>
      </c>
      <c r="B3110" s="1" t="s">
        <v>6721</v>
      </c>
      <c r="C3110" s="1" t="s">
        <v>6666</v>
      </c>
      <c r="D3110" s="1" t="s">
        <v>6694</v>
      </c>
      <c r="E3110" s="1" t="s">
        <v>6722</v>
      </c>
      <c r="F3110" s="1" t="s">
        <v>16</v>
      </c>
      <c r="G3110" s="1" t="s">
        <v>23</v>
      </c>
      <c r="H3110" s="1" t="s">
        <v>18</v>
      </c>
      <c r="I3110" s="1" t="s">
        <v>163</v>
      </c>
      <c r="J3110" s="1">
        <f>IFERROR(__xludf.DUMMYFUNCTION("""COMPUTED_VALUE"""),55.0)</f>
        <v>55</v>
      </c>
      <c r="K3110" s="1">
        <v>18.0</v>
      </c>
      <c r="L3110" s="1">
        <f>IFERROR(__xludf.DUMMYFUNCTION("""COMPUTED_VALUE"""),67.0)</f>
        <v>67</v>
      </c>
    </row>
    <row r="3111">
      <c r="A3111" s="1">
        <v>9171021.0</v>
      </c>
      <c r="B3111" s="1" t="s">
        <v>6723</v>
      </c>
      <c r="C3111" s="1" t="s">
        <v>6666</v>
      </c>
      <c r="D3111" s="1" t="s">
        <v>6694</v>
      </c>
      <c r="E3111" s="1" t="s">
        <v>6724</v>
      </c>
      <c r="F3111" s="1" t="s">
        <v>16</v>
      </c>
      <c r="G3111" s="1" t="s">
        <v>23</v>
      </c>
      <c r="H3111" s="1" t="s">
        <v>18</v>
      </c>
      <c r="I3111" s="1" t="s">
        <v>113</v>
      </c>
      <c r="J3111" s="1">
        <f>IFERROR(__xludf.DUMMYFUNCTION("""COMPUTED_VALUE"""),50.0)</f>
        <v>50</v>
      </c>
      <c r="K3111" s="1">
        <v>34.0</v>
      </c>
      <c r="L3111" s="1">
        <f>IFERROR(__xludf.DUMMYFUNCTION("""COMPUTED_VALUE"""),61.0)</f>
        <v>61</v>
      </c>
    </row>
    <row r="3112">
      <c r="A3112" s="1">
        <v>9204014.0</v>
      </c>
      <c r="B3112" s="1" t="s">
        <v>6725</v>
      </c>
      <c r="C3112" s="1" t="s">
        <v>6726</v>
      </c>
      <c r="D3112" s="1" t="s">
        <v>6727</v>
      </c>
      <c r="E3112" s="1" t="s">
        <v>6728</v>
      </c>
      <c r="F3112" s="1" t="s">
        <v>16</v>
      </c>
      <c r="G3112" s="1" t="s">
        <v>17</v>
      </c>
      <c r="H3112" s="1" t="s">
        <v>18</v>
      </c>
      <c r="I3112" s="1" t="s">
        <v>40</v>
      </c>
      <c r="J3112" s="1">
        <f>IFERROR(__xludf.DUMMYFUNCTION("""COMPUTED_VALUE"""),125.0)</f>
        <v>125</v>
      </c>
      <c r="K3112" s="1">
        <v>42.0</v>
      </c>
      <c r="L3112" s="1">
        <f>IFERROR(__xludf.DUMMYFUNCTION("""COMPUTED_VALUE"""),78.0)</f>
        <v>78</v>
      </c>
    </row>
    <row r="3113">
      <c r="A3113" s="1">
        <v>9212028.0</v>
      </c>
      <c r="B3113" s="1" t="s">
        <v>6729</v>
      </c>
      <c r="C3113" s="1" t="s">
        <v>6730</v>
      </c>
      <c r="D3113" s="1" t="s">
        <v>6731</v>
      </c>
      <c r="E3113" s="1" t="s">
        <v>6732</v>
      </c>
      <c r="F3113" s="1" t="s">
        <v>16</v>
      </c>
      <c r="G3113" s="1" t="s">
        <v>23</v>
      </c>
      <c r="H3113" s="1" t="s">
        <v>18</v>
      </c>
      <c r="I3113" s="1" t="s">
        <v>65</v>
      </c>
      <c r="J3113" s="1">
        <f>IFERROR(__xludf.DUMMYFUNCTION("""COMPUTED_VALUE"""),102.0)</f>
        <v>102</v>
      </c>
      <c r="K3113" s="1">
        <v>1.0</v>
      </c>
      <c r="L3113" s="1">
        <f>IFERROR(__xludf.DUMMYFUNCTION("""COMPUTED_VALUE"""),182.0)</f>
        <v>182</v>
      </c>
    </row>
    <row r="3114">
      <c r="A3114" s="1">
        <v>9203015.0</v>
      </c>
      <c r="B3114" s="1" t="s">
        <v>6733</v>
      </c>
      <c r="C3114" s="1" t="s">
        <v>6726</v>
      </c>
      <c r="D3114" s="1" t="s">
        <v>6734</v>
      </c>
      <c r="E3114" s="1" t="s">
        <v>6735</v>
      </c>
      <c r="F3114" s="1" t="s">
        <v>16</v>
      </c>
      <c r="G3114" s="1" t="s">
        <v>17</v>
      </c>
      <c r="H3114" s="1" t="s">
        <v>18</v>
      </c>
      <c r="I3114" s="1" t="s">
        <v>95</v>
      </c>
      <c r="J3114" s="1">
        <f>IFERROR(__xludf.DUMMYFUNCTION("""COMPUTED_VALUE"""),108.0)</f>
        <v>108</v>
      </c>
      <c r="K3114" s="1">
        <v>32.0</v>
      </c>
      <c r="L3114" s="1">
        <f>IFERROR(__xludf.DUMMYFUNCTION("""COMPUTED_VALUE"""),164.0)</f>
        <v>164</v>
      </c>
    </row>
    <row r="3115">
      <c r="A3115" s="1">
        <v>9201011.0</v>
      </c>
      <c r="B3115" s="1" t="s">
        <v>6736</v>
      </c>
      <c r="C3115" s="1" t="s">
        <v>6730</v>
      </c>
      <c r="D3115" s="1" t="s">
        <v>6731</v>
      </c>
      <c r="E3115" s="1" t="s">
        <v>6737</v>
      </c>
      <c r="F3115" s="1" t="s">
        <v>16</v>
      </c>
      <c r="G3115" s="1" t="s">
        <v>17</v>
      </c>
      <c r="H3115" s="1" t="s">
        <v>18</v>
      </c>
      <c r="I3115" s="1" t="s">
        <v>59</v>
      </c>
      <c r="J3115" s="1">
        <f>IFERROR(__xludf.DUMMYFUNCTION("""COMPUTED_VALUE"""),140.0)</f>
        <v>140</v>
      </c>
      <c r="K3115" s="1">
        <v>27.0</v>
      </c>
      <c r="L3115" s="1">
        <f>IFERROR(__xludf.DUMMYFUNCTION("""COMPUTED_VALUE"""),331.0)</f>
        <v>331</v>
      </c>
    </row>
    <row r="3116">
      <c r="A3116" s="1">
        <v>9228002.0</v>
      </c>
      <c r="B3116" s="1" t="s">
        <v>6738</v>
      </c>
      <c r="C3116" s="1" t="s">
        <v>6726</v>
      </c>
      <c r="D3116" s="1" t="s">
        <v>6739</v>
      </c>
      <c r="E3116" s="1" t="s">
        <v>6740</v>
      </c>
      <c r="F3116" s="1" t="s">
        <v>16</v>
      </c>
      <c r="G3116" s="1" t="s">
        <v>16</v>
      </c>
      <c r="H3116" s="1" t="s">
        <v>98</v>
      </c>
      <c r="I3116" s="1" t="s">
        <v>18</v>
      </c>
      <c r="J3116" s="1">
        <f>IFERROR(__xludf.DUMMYFUNCTION("""COMPUTED_VALUE"""),1220.0)</f>
        <v>1220</v>
      </c>
      <c r="K3116" s="1">
        <v>50.0</v>
      </c>
      <c r="L3116" s="1">
        <f>IFERROR(__xludf.DUMMYFUNCTION("""COMPUTED_VALUE"""),20.0)</f>
        <v>20</v>
      </c>
    </row>
    <row r="3117">
      <c r="A3117" s="1">
        <v>9271045.0</v>
      </c>
      <c r="B3117" s="1" t="s">
        <v>6742</v>
      </c>
      <c r="C3117" s="1" t="s">
        <v>6726</v>
      </c>
      <c r="D3117" s="1" t="s">
        <v>6734</v>
      </c>
      <c r="E3117" s="1" t="s">
        <v>6743</v>
      </c>
      <c r="F3117" s="1" t="s">
        <v>174</v>
      </c>
      <c r="G3117" s="1" t="s">
        <v>27</v>
      </c>
      <c r="H3117" s="1" t="s">
        <v>18</v>
      </c>
      <c r="I3117" s="1" t="s">
        <v>139</v>
      </c>
      <c r="J3117" s="1">
        <f>IFERROR(__xludf.DUMMYFUNCTION("""COMPUTED_VALUE"""),76.0)</f>
        <v>76</v>
      </c>
      <c r="K3117" s="1">
        <v>20.0</v>
      </c>
      <c r="L3117" s="1">
        <f>IFERROR(__xludf.DUMMYFUNCTION("""COMPUTED_VALUE"""),80.0)</f>
        <v>80</v>
      </c>
    </row>
    <row r="3118">
      <c r="A3118" s="1">
        <v>9226002.0</v>
      </c>
      <c r="B3118" s="1" t="s">
        <v>6744</v>
      </c>
      <c r="C3118" s="1" t="s">
        <v>6726</v>
      </c>
      <c r="D3118" s="1" t="s">
        <v>6745</v>
      </c>
      <c r="E3118" s="1" t="s">
        <v>6746</v>
      </c>
      <c r="F3118" s="1" t="s">
        <v>16</v>
      </c>
      <c r="G3118" s="1" t="s">
        <v>98</v>
      </c>
      <c r="H3118" s="1" t="s">
        <v>18</v>
      </c>
      <c r="I3118" s="1" t="s">
        <v>40</v>
      </c>
      <c r="J3118" s="1">
        <f>IFERROR(__xludf.DUMMYFUNCTION("""COMPUTED_VALUE"""),14.0)</f>
        <v>14</v>
      </c>
      <c r="K3118" s="1">
        <v>6.0</v>
      </c>
      <c r="L3118" s="1">
        <f>IFERROR(__xludf.DUMMYFUNCTION("""COMPUTED_VALUE"""),182.0)</f>
        <v>182</v>
      </c>
    </row>
    <row r="3119">
      <c r="A3119" s="1">
        <v>9234003.0</v>
      </c>
      <c r="B3119" s="1" t="s">
        <v>6747</v>
      </c>
      <c r="C3119" s="1" t="s">
        <v>6730</v>
      </c>
      <c r="D3119" s="1" t="s">
        <v>6748</v>
      </c>
      <c r="E3119" s="1" t="s">
        <v>6749</v>
      </c>
      <c r="F3119" s="1" t="s">
        <v>16</v>
      </c>
      <c r="G3119" s="1" t="s">
        <v>98</v>
      </c>
      <c r="H3119" s="1" t="s">
        <v>18</v>
      </c>
      <c r="I3119" s="1" t="s">
        <v>40</v>
      </c>
      <c r="J3119" s="1">
        <f>IFERROR(__xludf.DUMMYFUNCTION("""COMPUTED_VALUE"""),25.0)</f>
        <v>25</v>
      </c>
      <c r="K3119" s="1">
        <v>11.0</v>
      </c>
      <c r="L3119" s="1">
        <f>IFERROR(__xludf.DUMMYFUNCTION("""COMPUTED_VALUE"""),182.0)</f>
        <v>182</v>
      </c>
    </row>
    <row r="3120">
      <c r="A3120" s="1">
        <v>9201035.0</v>
      </c>
      <c r="B3120" s="1" t="s">
        <v>6750</v>
      </c>
      <c r="C3120" s="1" t="s">
        <v>6751</v>
      </c>
      <c r="D3120" s="1" t="s">
        <v>6752</v>
      </c>
      <c r="E3120" s="1" t="s">
        <v>6753</v>
      </c>
      <c r="F3120" s="1" t="s">
        <v>16</v>
      </c>
      <c r="G3120" s="1" t="s">
        <v>23</v>
      </c>
      <c r="H3120" s="1" t="s">
        <v>18</v>
      </c>
      <c r="I3120" s="1" t="s">
        <v>95</v>
      </c>
      <c r="J3120" s="1">
        <f>IFERROR(__xludf.DUMMYFUNCTION("""COMPUTED_VALUE"""),92.0)</f>
        <v>92</v>
      </c>
      <c r="K3120" s="1">
        <v>36.0</v>
      </c>
      <c r="L3120" s="1">
        <f>IFERROR(__xludf.DUMMYFUNCTION("""COMPUTED_VALUE"""),38.0)</f>
        <v>38</v>
      </c>
    </row>
    <row r="3121">
      <c r="A3121" s="1">
        <v>9205030.0</v>
      </c>
      <c r="B3121" s="1" t="s">
        <v>6754</v>
      </c>
      <c r="C3121" s="1" t="s">
        <v>6726</v>
      </c>
      <c r="D3121" s="1" t="s">
        <v>6755</v>
      </c>
      <c r="E3121" s="1" t="s">
        <v>6756</v>
      </c>
      <c r="F3121" s="1" t="s">
        <v>16</v>
      </c>
      <c r="G3121" s="1" t="s">
        <v>17</v>
      </c>
      <c r="H3121" s="1" t="s">
        <v>18</v>
      </c>
      <c r="I3121" s="1" t="s">
        <v>95</v>
      </c>
      <c r="J3121" s="1">
        <f>IFERROR(__xludf.DUMMYFUNCTION("""COMPUTED_VALUE"""),103.0)</f>
        <v>103</v>
      </c>
      <c r="K3121" s="1">
        <v>41.0</v>
      </c>
      <c r="L3121" s="1">
        <f>IFERROR(__xludf.DUMMYFUNCTION("""COMPUTED_VALUE"""),26.0)</f>
        <v>26</v>
      </c>
    </row>
    <row r="3122">
      <c r="A3122" s="1">
        <v>9236003.0</v>
      </c>
      <c r="B3122" s="1" t="s">
        <v>6757</v>
      </c>
      <c r="C3122" s="1" t="s">
        <v>6730</v>
      </c>
      <c r="D3122" s="1" t="s">
        <v>6758</v>
      </c>
      <c r="E3122" s="1" t="s">
        <v>6759</v>
      </c>
      <c r="F3122" s="1" t="s">
        <v>16</v>
      </c>
      <c r="G3122" s="1" t="s">
        <v>23</v>
      </c>
      <c r="H3122" s="1" t="s">
        <v>18</v>
      </c>
      <c r="I3122" s="1" t="s">
        <v>40</v>
      </c>
      <c r="J3122" s="1">
        <f>IFERROR(__xludf.DUMMYFUNCTION("""COMPUTED_VALUE"""),16.0)</f>
        <v>16</v>
      </c>
      <c r="K3122" s="1">
        <v>8.0</v>
      </c>
      <c r="L3122" s="1">
        <f>IFERROR(__xludf.DUMMYFUNCTION("""COMPUTED_VALUE"""),182.0)</f>
        <v>182</v>
      </c>
    </row>
    <row r="3123">
      <c r="A3123" s="1">
        <v>9227011.0</v>
      </c>
      <c r="B3123" s="1" t="s">
        <v>6760</v>
      </c>
      <c r="C3123" s="1" t="s">
        <v>6726</v>
      </c>
      <c r="D3123" s="1" t="s">
        <v>6761</v>
      </c>
      <c r="E3123" s="1" t="s">
        <v>6762</v>
      </c>
      <c r="F3123" s="1" t="s">
        <v>16</v>
      </c>
      <c r="G3123" s="1" t="s">
        <v>23</v>
      </c>
      <c r="H3123" s="1" t="s">
        <v>18</v>
      </c>
      <c r="I3123" s="1" t="s">
        <v>40</v>
      </c>
      <c r="J3123" s="1">
        <f>IFERROR(__xludf.DUMMYFUNCTION("""COMPUTED_VALUE"""),46.0)</f>
        <v>46</v>
      </c>
      <c r="K3123" s="1">
        <v>24.0</v>
      </c>
      <c r="L3123" s="1">
        <f>IFERROR(__xludf.DUMMYFUNCTION("""COMPUTED_VALUE"""),136.0)</f>
        <v>136</v>
      </c>
    </row>
    <row r="3124">
      <c r="A3124" s="1">
        <v>9202012.0</v>
      </c>
      <c r="B3124" s="1" t="s">
        <v>6763</v>
      </c>
      <c r="C3124" s="1" t="s">
        <v>6730</v>
      </c>
      <c r="D3124" s="1" t="s">
        <v>6764</v>
      </c>
      <c r="E3124" s="1" t="s">
        <v>6765</v>
      </c>
      <c r="F3124" s="1" t="s">
        <v>16</v>
      </c>
      <c r="G3124" s="1" t="s">
        <v>17</v>
      </c>
      <c r="H3124" s="1" t="s">
        <v>28</v>
      </c>
      <c r="I3124" s="1" t="s">
        <v>40</v>
      </c>
      <c r="J3124" s="1">
        <f>IFERROR(__xludf.DUMMYFUNCTION("""COMPUTED_VALUE"""),267.0)</f>
        <v>267</v>
      </c>
      <c r="K3124" s="1">
        <v>47.0</v>
      </c>
      <c r="L3124" s="1">
        <f>IFERROR(__xludf.DUMMYFUNCTION("""COMPUTED_VALUE"""),49.0)</f>
        <v>49</v>
      </c>
    </row>
    <row r="3125">
      <c r="A3125" s="1">
        <v>9271079.0</v>
      </c>
      <c r="B3125" s="1" t="s">
        <v>6766</v>
      </c>
      <c r="C3125" s="1" t="s">
        <v>6726</v>
      </c>
      <c r="D3125" s="1" t="s">
        <v>6734</v>
      </c>
      <c r="E3125" s="1" t="s">
        <v>6767</v>
      </c>
      <c r="F3125" s="1" t="s">
        <v>16</v>
      </c>
      <c r="G3125" s="1" t="s">
        <v>17</v>
      </c>
      <c r="H3125" s="1" t="s">
        <v>33</v>
      </c>
      <c r="I3125" s="1" t="s">
        <v>163</v>
      </c>
      <c r="J3125" s="1">
        <f>IFERROR(__xludf.DUMMYFUNCTION("""COMPUTED_VALUE"""),124.0)</f>
        <v>124</v>
      </c>
      <c r="K3125" s="1">
        <v>44.0</v>
      </c>
      <c r="L3125" s="1">
        <f>IFERROR(__xludf.DUMMYFUNCTION("""COMPUTED_VALUE"""),204.0)</f>
        <v>204</v>
      </c>
    </row>
    <row r="3126">
      <c r="A3126" s="1">
        <v>9271067.0</v>
      </c>
      <c r="B3126" s="1" t="s">
        <v>6768</v>
      </c>
      <c r="C3126" s="1" t="s">
        <v>6726</v>
      </c>
      <c r="D3126" s="1" t="s">
        <v>6734</v>
      </c>
      <c r="E3126" s="1" t="s">
        <v>6769</v>
      </c>
      <c r="F3126" s="1" t="s">
        <v>16</v>
      </c>
      <c r="G3126" s="1" t="s">
        <v>17</v>
      </c>
      <c r="H3126" s="1" t="s">
        <v>33</v>
      </c>
      <c r="I3126" s="1" t="s">
        <v>65</v>
      </c>
      <c r="J3126" s="1">
        <f>IFERROR(__xludf.DUMMYFUNCTION("""COMPUTED_VALUE"""),132.0)</f>
        <v>132</v>
      </c>
      <c r="K3126" s="1">
        <v>39.0</v>
      </c>
      <c r="L3126" s="1">
        <f>IFERROR(__xludf.DUMMYFUNCTION("""COMPUTED_VALUE"""),340.0)</f>
        <v>340</v>
      </c>
    </row>
    <row r="3127">
      <c r="A3127" s="1">
        <v>9219044.0</v>
      </c>
      <c r="B3127" s="1" t="s">
        <v>6770</v>
      </c>
      <c r="C3127" s="1" t="s">
        <v>6726</v>
      </c>
      <c r="D3127" s="1" t="s">
        <v>6771</v>
      </c>
      <c r="E3127" s="1" t="s">
        <v>6772</v>
      </c>
      <c r="F3127" s="1" t="s">
        <v>16</v>
      </c>
      <c r="G3127" s="1" t="s">
        <v>23</v>
      </c>
      <c r="H3127" s="1" t="s">
        <v>18</v>
      </c>
      <c r="I3127" s="1" t="s">
        <v>40</v>
      </c>
      <c r="J3127" s="1">
        <f>IFERROR(__xludf.DUMMYFUNCTION("""COMPUTED_VALUE"""),63.0)</f>
        <v>63</v>
      </c>
      <c r="K3127" s="1">
        <v>13.0</v>
      </c>
      <c r="L3127" s="1">
        <f>IFERROR(__xludf.DUMMYFUNCTION("""COMPUTED_VALUE"""),182.0)</f>
        <v>182</v>
      </c>
    </row>
    <row r="3128">
      <c r="A3128" s="1">
        <v>9230002.0</v>
      </c>
      <c r="B3128" s="1" t="s">
        <v>6773</v>
      </c>
      <c r="C3128" s="1" t="s">
        <v>6774</v>
      </c>
      <c r="D3128" s="1" t="s">
        <v>6775</v>
      </c>
      <c r="E3128" s="1" t="s">
        <v>6776</v>
      </c>
      <c r="F3128" s="1" t="s">
        <v>16</v>
      </c>
      <c r="G3128" s="1" t="s">
        <v>23</v>
      </c>
      <c r="H3128" s="1" t="s">
        <v>18</v>
      </c>
      <c r="I3128" s="1" t="s">
        <v>40</v>
      </c>
      <c r="J3128" s="1">
        <f>IFERROR(__xludf.DUMMYFUNCTION("""COMPUTED_VALUE"""),85.0)</f>
        <v>85</v>
      </c>
      <c r="K3128" s="1">
        <v>27.0</v>
      </c>
      <c r="L3128" s="1">
        <f>IFERROR(__xludf.DUMMYFUNCTION("""COMPUTED_VALUE"""),13.0)</f>
        <v>13</v>
      </c>
    </row>
    <row r="3129">
      <c r="A3129" s="1">
        <v>9202014.0</v>
      </c>
      <c r="B3129" s="1" t="s">
        <v>6777</v>
      </c>
      <c r="C3129" s="1" t="s">
        <v>6774</v>
      </c>
      <c r="D3129" s="1" t="s">
        <v>6778</v>
      </c>
      <c r="E3129" s="1" t="s">
        <v>6779</v>
      </c>
      <c r="F3129" s="1" t="s">
        <v>16</v>
      </c>
      <c r="G3129" s="1" t="s">
        <v>23</v>
      </c>
      <c r="H3129" s="1" t="s">
        <v>18</v>
      </c>
      <c r="I3129" s="1" t="s">
        <v>40</v>
      </c>
      <c r="J3129" s="1">
        <f>IFERROR(__xludf.DUMMYFUNCTION("""COMPUTED_VALUE"""),89.0)</f>
        <v>89</v>
      </c>
      <c r="K3129" s="1">
        <v>23.0</v>
      </c>
      <c r="L3129" s="1">
        <f>IFERROR(__xludf.DUMMYFUNCTION("""COMPUTED_VALUE"""),20.0)</f>
        <v>20</v>
      </c>
    </row>
    <row r="3130">
      <c r="A3130" s="1">
        <v>9202023.0</v>
      </c>
      <c r="B3130" s="1" t="s">
        <v>6780</v>
      </c>
      <c r="C3130" s="1" t="s">
        <v>6730</v>
      </c>
      <c r="D3130" s="1" t="s">
        <v>6781</v>
      </c>
      <c r="E3130" s="1" t="s">
        <v>6782</v>
      </c>
      <c r="F3130" s="1" t="s">
        <v>16</v>
      </c>
      <c r="G3130" s="1" t="s">
        <v>17</v>
      </c>
      <c r="H3130" s="1" t="s">
        <v>28</v>
      </c>
      <c r="I3130" s="1" t="s">
        <v>40</v>
      </c>
      <c r="J3130" s="1">
        <f>IFERROR(__xludf.DUMMYFUNCTION("""COMPUTED_VALUE"""),135.0)</f>
        <v>135</v>
      </c>
      <c r="K3130" s="1">
        <v>26.0</v>
      </c>
      <c r="L3130" s="1">
        <f>IFERROR(__xludf.DUMMYFUNCTION("""COMPUTED_VALUE"""),309.0)</f>
        <v>309</v>
      </c>
    </row>
    <row r="3131">
      <c r="A3131" s="1">
        <v>9271012.0</v>
      </c>
      <c r="B3131" s="1" t="s">
        <v>6783</v>
      </c>
      <c r="C3131" s="1" t="s">
        <v>6726</v>
      </c>
      <c r="D3131" s="1" t="s">
        <v>6734</v>
      </c>
      <c r="E3131" s="1" t="s">
        <v>6784</v>
      </c>
      <c r="F3131" s="1" t="s">
        <v>16</v>
      </c>
      <c r="G3131" s="1" t="s">
        <v>27</v>
      </c>
      <c r="H3131" s="1" t="s">
        <v>28</v>
      </c>
      <c r="I3131" s="1" t="s">
        <v>139</v>
      </c>
      <c r="J3131" s="1">
        <f>IFERROR(__xludf.DUMMYFUNCTION("""COMPUTED_VALUE"""),300.0)</f>
        <v>300</v>
      </c>
      <c r="K3131" s="1">
        <v>37.0</v>
      </c>
      <c r="L3131" s="1">
        <f>IFERROR(__xludf.DUMMYFUNCTION("""COMPUTED_VALUE"""),522.0)</f>
        <v>522</v>
      </c>
    </row>
    <row r="3132">
      <c r="A3132" s="1">
        <v>9271080.0</v>
      </c>
      <c r="B3132" s="1" t="s">
        <v>6785</v>
      </c>
      <c r="C3132" s="1" t="s">
        <v>6726</v>
      </c>
      <c r="D3132" s="1" t="s">
        <v>6734</v>
      </c>
      <c r="E3132" s="1" t="s">
        <v>6786</v>
      </c>
      <c r="F3132" s="1" t="s">
        <v>16</v>
      </c>
      <c r="G3132" s="1" t="s">
        <v>23</v>
      </c>
      <c r="H3132" s="1" t="s">
        <v>18</v>
      </c>
      <c r="I3132" s="1" t="s">
        <v>29</v>
      </c>
      <c r="J3132" s="1">
        <f>IFERROR(__xludf.DUMMYFUNCTION("""COMPUTED_VALUE"""),55.0)</f>
        <v>55</v>
      </c>
      <c r="K3132" s="1">
        <v>25.0</v>
      </c>
      <c r="L3132" s="1">
        <f>IFERROR(__xludf.DUMMYFUNCTION("""COMPUTED_VALUE"""),47.0)</f>
        <v>47</v>
      </c>
    </row>
    <row r="3133">
      <c r="A3133" s="1">
        <v>9212013.0</v>
      </c>
      <c r="B3133" s="1" t="s">
        <v>6705</v>
      </c>
      <c r="C3133" s="1" t="s">
        <v>6730</v>
      </c>
      <c r="D3133" s="1" t="s">
        <v>6731</v>
      </c>
      <c r="E3133" s="1" t="s">
        <v>6787</v>
      </c>
      <c r="F3133" s="1" t="s">
        <v>16</v>
      </c>
      <c r="G3133" s="1" t="s">
        <v>23</v>
      </c>
      <c r="H3133" s="1" t="s">
        <v>18</v>
      </c>
      <c r="I3133" s="1" t="s">
        <v>19</v>
      </c>
      <c r="J3133" s="1">
        <f>IFERROR(__xludf.DUMMYFUNCTION("""COMPUTED_VALUE"""),60.0)</f>
        <v>60</v>
      </c>
      <c r="K3133" s="1">
        <v>30.0</v>
      </c>
      <c r="L3133" s="1">
        <f>IFERROR(__xludf.DUMMYFUNCTION("""COMPUTED_VALUE"""),59.0)</f>
        <v>59</v>
      </c>
    </row>
    <row r="3134">
      <c r="A3134" s="1">
        <v>9229002.0</v>
      </c>
      <c r="B3134" s="1" t="s">
        <v>6788</v>
      </c>
      <c r="C3134" s="1" t="s">
        <v>6774</v>
      </c>
      <c r="D3134" s="1" t="s">
        <v>6789</v>
      </c>
      <c r="E3134" s="1" t="s">
        <v>6790</v>
      </c>
      <c r="F3134" s="1" t="s">
        <v>16</v>
      </c>
      <c r="G3134" s="1" t="s">
        <v>23</v>
      </c>
      <c r="H3134" s="1" t="s">
        <v>18</v>
      </c>
      <c r="I3134" s="1" t="s">
        <v>40</v>
      </c>
      <c r="J3134" s="1">
        <f>IFERROR(__xludf.DUMMYFUNCTION("""COMPUTED_VALUE"""),102.0)</f>
        <v>102</v>
      </c>
      <c r="K3134" s="1">
        <v>29.0</v>
      </c>
      <c r="L3134" s="1">
        <f>IFERROR(__xludf.DUMMYFUNCTION("""COMPUTED_VALUE"""),9.0)</f>
        <v>9</v>
      </c>
    </row>
    <row r="3135">
      <c r="A3135" s="1">
        <v>9217013.0</v>
      </c>
      <c r="B3135" s="1" t="s">
        <v>6791</v>
      </c>
      <c r="C3135" s="1" t="s">
        <v>6774</v>
      </c>
      <c r="D3135" s="1" t="s">
        <v>6792</v>
      </c>
      <c r="E3135" s="1" t="s">
        <v>6793</v>
      </c>
      <c r="F3135" s="1" t="s">
        <v>16</v>
      </c>
      <c r="G3135" s="1" t="s">
        <v>23</v>
      </c>
      <c r="H3135" s="1" t="s">
        <v>18</v>
      </c>
      <c r="I3135" s="1" t="s">
        <v>40</v>
      </c>
      <c r="J3135" s="1">
        <f>IFERROR(__xludf.DUMMYFUNCTION("""COMPUTED_VALUE"""),61.0)</f>
        <v>61</v>
      </c>
      <c r="K3135" s="1">
        <v>17.0</v>
      </c>
      <c r="L3135" s="1">
        <f>IFERROR(__xludf.DUMMYFUNCTION("""COMPUTED_VALUE"""),86.0)</f>
        <v>86</v>
      </c>
    </row>
    <row r="3136">
      <c r="A3136" s="1">
        <v>9214012.0</v>
      </c>
      <c r="B3136" s="1" t="s">
        <v>6794</v>
      </c>
      <c r="C3136" s="1" t="s">
        <v>6751</v>
      </c>
      <c r="D3136" s="1" t="s">
        <v>6795</v>
      </c>
      <c r="E3136" s="1" t="s">
        <v>6796</v>
      </c>
      <c r="F3136" s="1" t="s">
        <v>16</v>
      </c>
      <c r="G3136" s="1" t="s">
        <v>23</v>
      </c>
      <c r="H3136" s="1" t="s">
        <v>18</v>
      </c>
      <c r="I3136" s="1" t="s">
        <v>40</v>
      </c>
      <c r="J3136" s="1">
        <f>IFERROR(__xludf.DUMMYFUNCTION("""COMPUTED_VALUE"""),142.0)</f>
        <v>142</v>
      </c>
      <c r="K3136" s="1">
        <v>27.0</v>
      </c>
      <c r="L3136" s="1">
        <f>IFERROR(__xludf.DUMMYFUNCTION("""COMPUTED_VALUE"""),142.0)</f>
        <v>142</v>
      </c>
    </row>
    <row r="3137">
      <c r="A3137" s="1">
        <v>9201034.0</v>
      </c>
      <c r="B3137" s="1" t="s">
        <v>6797</v>
      </c>
      <c r="C3137" s="1" t="s">
        <v>6751</v>
      </c>
      <c r="D3137" s="1" t="s">
        <v>6752</v>
      </c>
      <c r="E3137" s="1" t="s">
        <v>6798</v>
      </c>
      <c r="F3137" s="1" t="s">
        <v>16</v>
      </c>
      <c r="G3137" s="1" t="s">
        <v>17</v>
      </c>
      <c r="H3137" s="1" t="s">
        <v>18</v>
      </c>
      <c r="I3137" s="1" t="s">
        <v>59</v>
      </c>
      <c r="J3137" s="1">
        <f>IFERROR(__xludf.DUMMYFUNCTION("""COMPUTED_VALUE"""),101.0)</f>
        <v>101</v>
      </c>
      <c r="K3137" s="1">
        <v>32.0</v>
      </c>
      <c r="L3137" s="1">
        <f>IFERROR(__xludf.DUMMYFUNCTION("""COMPUTED_VALUE"""),117.0)</f>
        <v>117</v>
      </c>
    </row>
    <row r="3138">
      <c r="A3138" s="1">
        <v>9205015.0</v>
      </c>
      <c r="B3138" s="1" t="s">
        <v>6799</v>
      </c>
      <c r="C3138" s="1" t="s">
        <v>6726</v>
      </c>
      <c r="D3138" s="1" t="s">
        <v>6755</v>
      </c>
      <c r="E3138" s="1" t="s">
        <v>6800</v>
      </c>
      <c r="F3138" s="1" t="s">
        <v>16</v>
      </c>
      <c r="G3138" s="1" t="s">
        <v>17</v>
      </c>
      <c r="H3138" s="1" t="s">
        <v>28</v>
      </c>
      <c r="I3138" s="1" t="s">
        <v>40</v>
      </c>
      <c r="J3138" s="1">
        <f>IFERROR(__xludf.DUMMYFUNCTION("""COMPUTED_VALUE"""),380.0)</f>
        <v>380</v>
      </c>
      <c r="K3138" s="1">
        <v>55.0</v>
      </c>
      <c r="L3138" s="1">
        <f>IFERROR(__xludf.DUMMYFUNCTION("""COMPUTED_VALUE"""),577.0)</f>
        <v>577</v>
      </c>
    </row>
    <row r="3139">
      <c r="A3139" s="1">
        <v>9235002.0</v>
      </c>
      <c r="B3139" s="1" t="s">
        <v>6801</v>
      </c>
      <c r="C3139" s="1" t="s">
        <v>6730</v>
      </c>
      <c r="D3139" s="1" t="s">
        <v>6802</v>
      </c>
      <c r="E3139" s="1" t="s">
        <v>6803</v>
      </c>
      <c r="F3139" s="1" t="s">
        <v>16</v>
      </c>
      <c r="G3139" s="1" t="s">
        <v>23</v>
      </c>
      <c r="H3139" s="1" t="s">
        <v>18</v>
      </c>
      <c r="I3139" s="1" t="s">
        <v>40</v>
      </c>
      <c r="J3139" s="1">
        <f>IFERROR(__xludf.DUMMYFUNCTION("""COMPUTED_VALUE"""),14.0)</f>
        <v>14</v>
      </c>
      <c r="K3139" s="1">
        <v>6.0</v>
      </c>
      <c r="L3139" s="1">
        <f>IFERROR(__xludf.DUMMYFUNCTION("""COMPUTED_VALUE"""),17.0)</f>
        <v>17</v>
      </c>
    </row>
    <row r="3140">
      <c r="A3140" s="1">
        <v>9233011.0</v>
      </c>
      <c r="B3140" s="1" t="s">
        <v>6804</v>
      </c>
      <c r="C3140" s="1" t="s">
        <v>6730</v>
      </c>
      <c r="D3140" s="1" t="s">
        <v>6805</v>
      </c>
      <c r="E3140" s="1" t="s">
        <v>6806</v>
      </c>
      <c r="F3140" s="1" t="s">
        <v>16</v>
      </c>
      <c r="G3140" s="1" t="s">
        <v>98</v>
      </c>
      <c r="H3140" s="1" t="s">
        <v>28</v>
      </c>
      <c r="I3140" s="1" t="s">
        <v>40</v>
      </c>
      <c r="J3140" s="1">
        <f>IFERROR(__xludf.DUMMYFUNCTION("""COMPUTED_VALUE"""),58.0)</f>
        <v>58</v>
      </c>
      <c r="K3140" s="1">
        <v>6.0</v>
      </c>
      <c r="L3140" s="1">
        <f>IFERROR(__xludf.DUMMYFUNCTION("""COMPUTED_VALUE"""),182.0)</f>
        <v>182</v>
      </c>
    </row>
    <row r="3141">
      <c r="A3141" s="1">
        <v>9203016.0</v>
      </c>
      <c r="B3141" s="1" t="s">
        <v>6807</v>
      </c>
      <c r="C3141" s="1" t="s">
        <v>6726</v>
      </c>
      <c r="D3141" s="1" t="s">
        <v>6734</v>
      </c>
      <c r="E3141" s="1" t="s">
        <v>6808</v>
      </c>
      <c r="F3141" s="1" t="s">
        <v>16</v>
      </c>
      <c r="G3141" s="1" t="s">
        <v>17</v>
      </c>
      <c r="H3141" s="1" t="s">
        <v>33</v>
      </c>
      <c r="I3141" s="1" t="s">
        <v>74</v>
      </c>
      <c r="J3141" s="1">
        <f>IFERROR(__xludf.DUMMYFUNCTION("""COMPUTED_VALUE"""),133.0)</f>
        <v>133</v>
      </c>
      <c r="K3141" s="1">
        <v>49.0</v>
      </c>
      <c r="L3141" s="1">
        <f>IFERROR(__xludf.DUMMYFUNCTION("""COMPUTED_VALUE"""),376.0)</f>
        <v>376</v>
      </c>
    </row>
    <row r="3142">
      <c r="A3142" s="1">
        <v>9211010.0</v>
      </c>
      <c r="B3142" s="1" t="s">
        <v>6809</v>
      </c>
      <c r="C3142" s="1" t="s">
        <v>6730</v>
      </c>
      <c r="D3142" s="1" t="s">
        <v>6810</v>
      </c>
      <c r="E3142" s="1" t="s">
        <v>6811</v>
      </c>
      <c r="F3142" s="1" t="s">
        <v>16</v>
      </c>
      <c r="G3142" s="1" t="s">
        <v>23</v>
      </c>
      <c r="H3142" s="1" t="s">
        <v>28</v>
      </c>
      <c r="I3142" s="1" t="s">
        <v>40</v>
      </c>
      <c r="J3142" s="1">
        <f>IFERROR(__xludf.DUMMYFUNCTION("""COMPUTED_VALUE"""),81.0)</f>
        <v>81</v>
      </c>
      <c r="K3142" s="1">
        <v>26.0</v>
      </c>
      <c r="L3142" s="1">
        <f>IFERROR(__xludf.DUMMYFUNCTION("""COMPUTED_VALUE"""),148.0)</f>
        <v>148</v>
      </c>
    </row>
    <row r="3143">
      <c r="A3143" s="1">
        <v>9201012.0</v>
      </c>
      <c r="B3143" s="1" t="s">
        <v>6812</v>
      </c>
      <c r="C3143" s="1" t="s">
        <v>6751</v>
      </c>
      <c r="D3143" s="1" t="s">
        <v>6752</v>
      </c>
      <c r="E3143" s="1" t="s">
        <v>6813</v>
      </c>
      <c r="F3143" s="1" t="s">
        <v>16</v>
      </c>
      <c r="G3143" s="1" t="s">
        <v>27</v>
      </c>
      <c r="H3143" s="1" t="s">
        <v>28</v>
      </c>
      <c r="I3143" s="1" t="s">
        <v>40</v>
      </c>
      <c r="J3143" s="1">
        <f>IFERROR(__xludf.DUMMYFUNCTION("""COMPUTED_VALUE"""),222.0)</f>
        <v>222</v>
      </c>
      <c r="K3143" s="1">
        <v>37.0</v>
      </c>
      <c r="L3143" s="1">
        <f>IFERROR(__xludf.DUMMYFUNCTION("""COMPUTED_VALUE"""),466.0)</f>
        <v>466</v>
      </c>
    </row>
    <row r="3144">
      <c r="A3144" s="1">
        <v>9271056.0</v>
      </c>
      <c r="B3144" s="1" t="s">
        <v>6814</v>
      </c>
      <c r="C3144" s="1" t="s">
        <v>6726</v>
      </c>
      <c r="D3144" s="1" t="s">
        <v>6734</v>
      </c>
      <c r="E3144" s="1" t="s">
        <v>6815</v>
      </c>
      <c r="F3144" s="1" t="s">
        <v>16</v>
      </c>
      <c r="G3144" s="1" t="s">
        <v>17</v>
      </c>
      <c r="H3144" s="1" t="s">
        <v>18</v>
      </c>
      <c r="I3144" s="1" t="s">
        <v>59</v>
      </c>
      <c r="J3144" s="1">
        <f>IFERROR(__xludf.DUMMYFUNCTION("""COMPUTED_VALUE"""),147.0)</f>
        <v>147</v>
      </c>
      <c r="K3144" s="1">
        <v>82.0</v>
      </c>
      <c r="L3144" s="1">
        <f>IFERROR(__xludf.DUMMYFUNCTION("""COMPUTED_VALUE"""),336.0)</f>
        <v>336</v>
      </c>
    </row>
    <row r="3145">
      <c r="A3145" s="1">
        <v>9212011.0</v>
      </c>
      <c r="B3145" s="1" t="s">
        <v>6816</v>
      </c>
      <c r="C3145" s="1" t="s">
        <v>6730</v>
      </c>
      <c r="D3145" s="1" t="s">
        <v>6731</v>
      </c>
      <c r="E3145" s="1" t="s">
        <v>6817</v>
      </c>
      <c r="F3145" s="1" t="s">
        <v>16</v>
      </c>
      <c r="G3145" s="1" t="s">
        <v>17</v>
      </c>
      <c r="H3145" s="1" t="s">
        <v>28</v>
      </c>
      <c r="I3145" s="1" t="s">
        <v>40</v>
      </c>
      <c r="J3145" s="1">
        <f>IFERROR(__xludf.DUMMYFUNCTION("""COMPUTED_VALUE"""),186.0)</f>
        <v>186</v>
      </c>
      <c r="K3145" s="1">
        <v>32.0</v>
      </c>
      <c r="L3145" s="1">
        <f>IFERROR(__xludf.DUMMYFUNCTION("""COMPUTED_VALUE"""),241.0)</f>
        <v>241</v>
      </c>
    </row>
    <row r="3146">
      <c r="A3146" s="1">
        <v>9213038.0</v>
      </c>
      <c r="B3146" s="1" t="s">
        <v>6818</v>
      </c>
      <c r="C3146" s="1" t="s">
        <v>6751</v>
      </c>
      <c r="D3146" s="1" t="s">
        <v>6819</v>
      </c>
      <c r="E3146" s="1" t="s">
        <v>6820</v>
      </c>
      <c r="F3146" s="1" t="s">
        <v>16</v>
      </c>
      <c r="G3146" s="1" t="s">
        <v>98</v>
      </c>
      <c r="H3146" s="1" t="s">
        <v>18</v>
      </c>
      <c r="I3146" s="1" t="s">
        <v>40</v>
      </c>
      <c r="J3146" s="1">
        <f>IFERROR(__xludf.DUMMYFUNCTION("""COMPUTED_VALUE"""),32.0)</f>
        <v>32</v>
      </c>
      <c r="K3146" s="1">
        <v>6.0</v>
      </c>
      <c r="L3146" s="1">
        <f>IFERROR(__xludf.DUMMYFUNCTION("""COMPUTED_VALUE"""),29.0)</f>
        <v>29</v>
      </c>
    </row>
    <row r="3147">
      <c r="A3147" s="1">
        <v>9271078.0</v>
      </c>
      <c r="B3147" s="1" t="s">
        <v>6821</v>
      </c>
      <c r="C3147" s="1" t="s">
        <v>6726</v>
      </c>
      <c r="D3147" s="1" t="s">
        <v>6822</v>
      </c>
      <c r="E3147" s="1" t="s">
        <v>6823</v>
      </c>
      <c r="F3147" s="1" t="s">
        <v>16</v>
      </c>
      <c r="G3147" s="1" t="s">
        <v>17</v>
      </c>
      <c r="H3147" s="1" t="s">
        <v>28</v>
      </c>
      <c r="I3147" s="1" t="s">
        <v>40</v>
      </c>
      <c r="J3147" s="1">
        <f>IFERROR(__xludf.DUMMYFUNCTION("""COMPUTED_VALUE"""),130.0)</f>
        <v>130</v>
      </c>
      <c r="K3147" s="1">
        <v>47.0</v>
      </c>
      <c r="L3147" s="1">
        <f>IFERROR(__xludf.DUMMYFUNCTION("""COMPUTED_VALUE"""),253.0)</f>
        <v>253</v>
      </c>
    </row>
    <row r="3148">
      <c r="A3148" s="1">
        <v>9218002.0</v>
      </c>
      <c r="B3148" s="1" t="s">
        <v>6824</v>
      </c>
      <c r="C3148" s="1" t="s">
        <v>6774</v>
      </c>
      <c r="D3148" s="1" t="s">
        <v>6825</v>
      </c>
      <c r="E3148" s="1" t="s">
        <v>6826</v>
      </c>
      <c r="F3148" s="1" t="s">
        <v>16</v>
      </c>
      <c r="G3148" s="1" t="s">
        <v>98</v>
      </c>
      <c r="H3148" s="1" t="s">
        <v>18</v>
      </c>
      <c r="I3148" s="1" t="s">
        <v>40</v>
      </c>
      <c r="J3148" s="1">
        <f>IFERROR(__xludf.DUMMYFUNCTION("""COMPUTED_VALUE"""),37.0)</f>
        <v>37</v>
      </c>
      <c r="K3148" s="1">
        <v>29.0</v>
      </c>
      <c r="L3148" s="1">
        <f>IFERROR(__xludf.DUMMYFUNCTION("""COMPUTED_VALUE"""),147.0)</f>
        <v>147</v>
      </c>
    </row>
    <row r="3149">
      <c r="A3149" s="1">
        <v>9215011.0</v>
      </c>
      <c r="B3149" s="1" t="s">
        <v>6827</v>
      </c>
      <c r="C3149" s="1" t="s">
        <v>6751</v>
      </c>
      <c r="D3149" s="1" t="s">
        <v>6828</v>
      </c>
      <c r="E3149" s="1" t="s">
        <v>6829</v>
      </c>
      <c r="F3149" s="1" t="s">
        <v>16</v>
      </c>
      <c r="G3149" s="1" t="s">
        <v>23</v>
      </c>
      <c r="H3149" s="1" t="s">
        <v>18</v>
      </c>
      <c r="I3149" s="1" t="s">
        <v>40</v>
      </c>
      <c r="J3149" s="1">
        <f>IFERROR(__xludf.DUMMYFUNCTION("""COMPUTED_VALUE"""),104.0)</f>
        <v>104</v>
      </c>
      <c r="K3149" s="1">
        <v>24.0</v>
      </c>
      <c r="L3149" s="1">
        <f>IFERROR(__xludf.DUMMYFUNCTION("""COMPUTED_VALUE"""),261.0)</f>
        <v>261</v>
      </c>
    </row>
    <row r="3150">
      <c r="A3150" s="1">
        <v>9213039.0</v>
      </c>
      <c r="B3150" s="1" t="s">
        <v>6830</v>
      </c>
      <c r="C3150" s="1" t="s">
        <v>6751</v>
      </c>
      <c r="D3150" s="1" t="s">
        <v>6819</v>
      </c>
      <c r="E3150" s="1" t="s">
        <v>6831</v>
      </c>
      <c r="F3150" s="1" t="s">
        <v>16</v>
      </c>
      <c r="G3150" s="1" t="s">
        <v>23</v>
      </c>
      <c r="H3150" s="1" t="s">
        <v>18</v>
      </c>
      <c r="I3150" s="1" t="s">
        <v>40</v>
      </c>
      <c r="J3150" s="1">
        <f>IFERROR(__xludf.DUMMYFUNCTION("""COMPUTED_VALUE"""),102.0)</f>
        <v>102</v>
      </c>
      <c r="K3150" s="1">
        <v>23.0</v>
      </c>
      <c r="L3150" s="1">
        <f>IFERROR(__xludf.DUMMYFUNCTION("""COMPUTED_VALUE"""),112.0)</f>
        <v>112</v>
      </c>
    </row>
    <row r="3151">
      <c r="A3151" s="1">
        <v>9220043.0</v>
      </c>
      <c r="B3151" s="1" t="s">
        <v>6832</v>
      </c>
      <c r="C3151" s="1" t="s">
        <v>6726</v>
      </c>
      <c r="D3151" s="1" t="s">
        <v>6833</v>
      </c>
      <c r="E3151" s="1" t="s">
        <v>6834</v>
      </c>
      <c r="F3151" s="1" t="s">
        <v>16</v>
      </c>
      <c r="G3151" s="1" t="s">
        <v>23</v>
      </c>
      <c r="H3151" s="1" t="s">
        <v>18</v>
      </c>
      <c r="I3151" s="1" t="s">
        <v>40</v>
      </c>
      <c r="J3151" s="1">
        <f>IFERROR(__xludf.DUMMYFUNCTION("""COMPUTED_VALUE"""),86.0)</f>
        <v>86</v>
      </c>
      <c r="K3151" s="1">
        <v>19.0</v>
      </c>
      <c r="L3151" s="1">
        <f>IFERROR(__xludf.DUMMYFUNCTION("""COMPUTED_VALUE"""),164.0)</f>
        <v>164</v>
      </c>
    </row>
    <row r="3152">
      <c r="A3152" s="1">
        <v>9232011.0</v>
      </c>
      <c r="B3152" s="1" t="s">
        <v>6835</v>
      </c>
      <c r="C3152" s="1" t="s">
        <v>6774</v>
      </c>
      <c r="D3152" s="1" t="s">
        <v>6836</v>
      </c>
      <c r="E3152" s="1" t="s">
        <v>6837</v>
      </c>
      <c r="F3152" s="1" t="s">
        <v>16</v>
      </c>
      <c r="G3152" s="1" t="s">
        <v>23</v>
      </c>
      <c r="H3152" s="1" t="s">
        <v>18</v>
      </c>
      <c r="I3152" s="1" t="s">
        <v>40</v>
      </c>
      <c r="J3152" s="1">
        <f>IFERROR(__xludf.DUMMYFUNCTION("""COMPUTED_VALUE"""),35.0)</f>
        <v>35</v>
      </c>
      <c r="K3152" s="1">
        <v>18.0</v>
      </c>
      <c r="L3152" s="1">
        <f>IFERROR(__xludf.DUMMYFUNCTION("""COMPUTED_VALUE"""),182.0)</f>
        <v>182</v>
      </c>
    </row>
    <row r="3153">
      <c r="A3153" s="1">
        <v>9231002.0</v>
      </c>
      <c r="B3153" s="1" t="s">
        <v>6838</v>
      </c>
      <c r="C3153" s="1" t="s">
        <v>6774</v>
      </c>
      <c r="D3153" s="1" t="s">
        <v>6839</v>
      </c>
      <c r="E3153" s="1" t="s">
        <v>6840</v>
      </c>
      <c r="F3153" s="1" t="s">
        <v>16</v>
      </c>
      <c r="G3153" s="1" t="s">
        <v>98</v>
      </c>
      <c r="H3153" s="1" t="s">
        <v>18</v>
      </c>
      <c r="I3153" s="1" t="s">
        <v>40</v>
      </c>
      <c r="J3153" s="1">
        <f>IFERROR(__xludf.DUMMYFUNCTION("""COMPUTED_VALUE"""),85.0)</f>
        <v>85</v>
      </c>
      <c r="K3153" s="1">
        <v>23.0</v>
      </c>
      <c r="L3153" s="1">
        <f>IFERROR(__xludf.DUMMYFUNCTION("""COMPUTED_VALUE"""),47.0)</f>
        <v>47</v>
      </c>
    </row>
    <row r="3154">
      <c r="A3154" s="1">
        <v>9201046.0</v>
      </c>
      <c r="B3154" s="1" t="s">
        <v>6841</v>
      </c>
      <c r="C3154" s="1" t="s">
        <v>6751</v>
      </c>
      <c r="D3154" s="1" t="s">
        <v>6752</v>
      </c>
      <c r="E3154" s="1" t="s">
        <v>6842</v>
      </c>
      <c r="F3154" s="1" t="s">
        <v>16</v>
      </c>
      <c r="G3154" s="1" t="s">
        <v>23</v>
      </c>
      <c r="H3154" s="1" t="s">
        <v>18</v>
      </c>
      <c r="I3154" s="1" t="s">
        <v>74</v>
      </c>
      <c r="J3154" s="1">
        <f>IFERROR(__xludf.DUMMYFUNCTION("""COMPUTED_VALUE"""),81.0)</f>
        <v>81</v>
      </c>
      <c r="K3154" s="1">
        <v>24.0</v>
      </c>
      <c r="L3154" s="1">
        <f>IFERROR(__xludf.DUMMYFUNCTION("""COMPUTED_VALUE"""),182.0)</f>
        <v>182</v>
      </c>
    </row>
    <row r="3155">
      <c r="A3155" s="1">
        <v>9212027.0</v>
      </c>
      <c r="B3155" s="1" t="s">
        <v>6843</v>
      </c>
      <c r="C3155" s="1" t="s">
        <v>6730</v>
      </c>
      <c r="D3155" s="1" t="s">
        <v>6731</v>
      </c>
      <c r="E3155" s="1" t="s">
        <v>6844</v>
      </c>
      <c r="F3155" s="1" t="s">
        <v>16</v>
      </c>
      <c r="G3155" s="1" t="s">
        <v>23</v>
      </c>
      <c r="H3155" s="1" t="s">
        <v>18</v>
      </c>
      <c r="I3155" s="1" t="s">
        <v>74</v>
      </c>
      <c r="J3155" s="1">
        <f>IFERROR(__xludf.DUMMYFUNCTION("""COMPUTED_VALUE"""),60.0)</f>
        <v>60</v>
      </c>
      <c r="K3155" s="1">
        <v>43.0</v>
      </c>
      <c r="L3155" s="1">
        <f>IFERROR(__xludf.DUMMYFUNCTION("""COMPUTED_VALUE"""),182.0)</f>
        <v>182</v>
      </c>
    </row>
    <row r="3156">
      <c r="A3156" s="1">
        <v>9271023.0</v>
      </c>
      <c r="B3156" s="1" t="s">
        <v>6845</v>
      </c>
      <c r="C3156" s="1" t="s">
        <v>6726</v>
      </c>
      <c r="D3156" s="1" t="s">
        <v>6734</v>
      </c>
      <c r="E3156" s="1" t="s">
        <v>6846</v>
      </c>
      <c r="F3156" s="1" t="s">
        <v>16</v>
      </c>
      <c r="G3156" s="1" t="s">
        <v>17</v>
      </c>
      <c r="H3156" s="1" t="s">
        <v>28</v>
      </c>
      <c r="I3156" s="1" t="s">
        <v>139</v>
      </c>
      <c r="J3156" s="1">
        <f>IFERROR(__xludf.DUMMYFUNCTION("""COMPUTED_VALUE"""),236.0)</f>
        <v>236</v>
      </c>
      <c r="K3156" s="1">
        <v>79.0</v>
      </c>
      <c r="L3156" s="1">
        <f>IFERROR(__xludf.DUMMYFUNCTION("""COMPUTED_VALUE"""),190.0)</f>
        <v>190</v>
      </c>
    </row>
  </sheetData>
  <autoFilter ref="$A$1:$L$315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7.13"/>
    <col customWidth="1" min="5" max="5" width="38.88"/>
  </cols>
  <sheetData>
    <row r="1">
      <c r="A1" s="5" t="s">
        <v>6852</v>
      </c>
      <c r="B1" s="6"/>
      <c r="C1" s="7"/>
    </row>
    <row r="2">
      <c r="A2" s="8"/>
      <c r="B2" s="9"/>
      <c r="C2" s="10"/>
    </row>
    <row r="3">
      <c r="A3" s="11" t="s">
        <v>6853</v>
      </c>
      <c r="B3" s="11" t="s">
        <v>2</v>
      </c>
      <c r="C3" s="11" t="s">
        <v>3</v>
      </c>
      <c r="E3" s="11" t="s">
        <v>6854</v>
      </c>
    </row>
    <row r="4">
      <c r="A4" s="11">
        <v>1.0</v>
      </c>
      <c r="B4" s="12" t="s">
        <v>13</v>
      </c>
      <c r="C4" s="13" t="s">
        <v>14</v>
      </c>
      <c r="E4" s="4" t="str">
        <f t="shared" ref="E4:E514" si="1">B4 &amp; "-" &amp; C4</f>
        <v>Aceh-Kota Lhokseumawe</v>
      </c>
    </row>
    <row r="5">
      <c r="A5" s="11">
        <v>2.0</v>
      </c>
      <c r="B5" s="12" t="s">
        <v>13</v>
      </c>
      <c r="C5" s="13" t="s">
        <v>21</v>
      </c>
      <c r="E5" s="4" t="str">
        <f t="shared" si="1"/>
        <v>Aceh-Aceh Tengah</v>
      </c>
    </row>
    <row r="6">
      <c r="A6" s="11">
        <v>3.0</v>
      </c>
      <c r="B6" s="12" t="s">
        <v>13</v>
      </c>
      <c r="C6" s="13" t="s">
        <v>25</v>
      </c>
      <c r="E6" s="4" t="str">
        <f t="shared" si="1"/>
        <v>Aceh-Kota Banda Aceh</v>
      </c>
    </row>
    <row r="7">
      <c r="A7" s="11">
        <v>4.0</v>
      </c>
      <c r="B7" s="12" t="s">
        <v>13</v>
      </c>
      <c r="C7" s="13" t="s">
        <v>36</v>
      </c>
      <c r="E7" s="4" t="str">
        <f t="shared" si="1"/>
        <v>Aceh-Kota Subulussalam</v>
      </c>
    </row>
    <row r="8">
      <c r="A8" s="11">
        <v>5.0</v>
      </c>
      <c r="B8" s="12" t="s">
        <v>13</v>
      </c>
      <c r="C8" s="13" t="s">
        <v>42</v>
      </c>
      <c r="E8" s="4" t="str">
        <f t="shared" si="1"/>
        <v>Aceh-Pidie</v>
      </c>
    </row>
    <row r="9">
      <c r="A9" s="11">
        <v>6.0</v>
      </c>
      <c r="B9" s="12" t="s">
        <v>13</v>
      </c>
      <c r="C9" s="13" t="s">
        <v>48</v>
      </c>
      <c r="E9" s="4" t="str">
        <f t="shared" si="1"/>
        <v>Aceh-Bener Meriah</v>
      </c>
    </row>
    <row r="10">
      <c r="A10" s="11">
        <v>7.0</v>
      </c>
      <c r="B10" s="12" t="s">
        <v>13</v>
      </c>
      <c r="C10" s="13" t="s">
        <v>53</v>
      </c>
      <c r="E10" s="4" t="str">
        <f t="shared" si="1"/>
        <v>Aceh-Aceh Tenggara</v>
      </c>
    </row>
    <row r="11">
      <c r="A11" s="11">
        <v>8.0</v>
      </c>
      <c r="B11" s="12" t="s">
        <v>13</v>
      </c>
      <c r="C11" s="13" t="s">
        <v>57</v>
      </c>
      <c r="E11" s="4" t="str">
        <f t="shared" si="1"/>
        <v>Aceh-Aceh Timur</v>
      </c>
    </row>
    <row r="12">
      <c r="A12" s="11">
        <v>9.0</v>
      </c>
      <c r="B12" s="12" t="s">
        <v>13</v>
      </c>
      <c r="C12" s="13" t="s">
        <v>61</v>
      </c>
      <c r="E12" s="4" t="str">
        <f t="shared" si="1"/>
        <v>Aceh-Bireuen</v>
      </c>
    </row>
    <row r="13">
      <c r="A13" s="11">
        <v>10.0</v>
      </c>
      <c r="B13" s="12" t="s">
        <v>13</v>
      </c>
      <c r="C13" s="13" t="s">
        <v>67</v>
      </c>
      <c r="E13" s="4" t="str">
        <f t="shared" si="1"/>
        <v>Aceh-Aceh Selatan</v>
      </c>
    </row>
    <row r="14">
      <c r="A14" s="11">
        <v>11.0</v>
      </c>
      <c r="B14" s="12" t="s">
        <v>13</v>
      </c>
      <c r="C14" s="13" t="s">
        <v>70</v>
      </c>
      <c r="E14" s="4" t="str">
        <f t="shared" si="1"/>
        <v>Aceh-Aceh Besar</v>
      </c>
    </row>
    <row r="15">
      <c r="A15" s="11">
        <v>12.0</v>
      </c>
      <c r="B15" s="12" t="s">
        <v>13</v>
      </c>
      <c r="C15" s="13" t="s">
        <v>78</v>
      </c>
      <c r="E15" s="4" t="str">
        <f t="shared" si="1"/>
        <v>Aceh-Simeulue</v>
      </c>
    </row>
    <row r="16">
      <c r="A16" s="11">
        <v>13.0</v>
      </c>
      <c r="B16" s="12" t="s">
        <v>13</v>
      </c>
      <c r="C16" s="13" t="s">
        <v>87</v>
      </c>
      <c r="E16" s="4" t="str">
        <f t="shared" si="1"/>
        <v>Aceh-Gayo Lues</v>
      </c>
    </row>
    <row r="17">
      <c r="A17" s="11">
        <v>14.0</v>
      </c>
      <c r="B17" s="12" t="s">
        <v>13</v>
      </c>
      <c r="C17" s="13" t="s">
        <v>90</v>
      </c>
      <c r="E17" s="4" t="str">
        <f t="shared" si="1"/>
        <v>Aceh-Aceh Jaya</v>
      </c>
    </row>
    <row r="18">
      <c r="A18" s="11">
        <v>15.0</v>
      </c>
      <c r="B18" s="12" t="s">
        <v>13</v>
      </c>
      <c r="C18" s="13" t="s">
        <v>93</v>
      </c>
      <c r="E18" s="4" t="str">
        <f t="shared" si="1"/>
        <v>Aceh-Kota Sabang</v>
      </c>
    </row>
    <row r="19">
      <c r="A19" s="11">
        <v>16.0</v>
      </c>
      <c r="B19" s="12" t="s">
        <v>13</v>
      </c>
      <c r="C19" s="13" t="s">
        <v>100</v>
      </c>
      <c r="E19" s="4" t="str">
        <f t="shared" si="1"/>
        <v>Aceh-Kota Langsa</v>
      </c>
    </row>
    <row r="20">
      <c r="A20" s="11">
        <v>17.0</v>
      </c>
      <c r="B20" s="12" t="s">
        <v>13</v>
      </c>
      <c r="C20" s="13" t="s">
        <v>111</v>
      </c>
      <c r="E20" s="4" t="str">
        <f t="shared" si="1"/>
        <v>Aceh-Aceh Tamiang</v>
      </c>
    </row>
    <row r="21">
      <c r="A21" s="11">
        <v>18.0</v>
      </c>
      <c r="B21" s="12" t="s">
        <v>13</v>
      </c>
      <c r="C21" s="13" t="s">
        <v>115</v>
      </c>
      <c r="E21" s="4" t="str">
        <f t="shared" si="1"/>
        <v>Aceh-Aceh Utara</v>
      </c>
    </row>
    <row r="22">
      <c r="A22" s="11">
        <v>19.0</v>
      </c>
      <c r="B22" s="12" t="s">
        <v>13</v>
      </c>
      <c r="C22" s="13" t="s">
        <v>123</v>
      </c>
      <c r="E22" s="4" t="str">
        <f t="shared" si="1"/>
        <v>Aceh-Nagan Raya</v>
      </c>
    </row>
    <row r="23">
      <c r="A23" s="11">
        <v>20.0</v>
      </c>
      <c r="B23" s="12" t="s">
        <v>13</v>
      </c>
      <c r="C23" s="13" t="s">
        <v>141</v>
      </c>
      <c r="E23" s="4" t="str">
        <f t="shared" si="1"/>
        <v>Aceh-Aceh Singkil</v>
      </c>
    </row>
    <row r="24">
      <c r="A24" s="11">
        <v>21.0</v>
      </c>
      <c r="B24" s="12" t="s">
        <v>13</v>
      </c>
      <c r="C24" s="13" t="s">
        <v>146</v>
      </c>
      <c r="E24" s="4" t="str">
        <f t="shared" si="1"/>
        <v>Aceh-Aceh Barat</v>
      </c>
    </row>
    <row r="25">
      <c r="A25" s="11">
        <v>22.0</v>
      </c>
      <c r="B25" s="12" t="s">
        <v>13</v>
      </c>
      <c r="C25" s="13" t="s">
        <v>178</v>
      </c>
      <c r="E25" s="4" t="str">
        <f t="shared" si="1"/>
        <v>Aceh-Aceh Barat Daya</v>
      </c>
    </row>
    <row r="26">
      <c r="A26" s="11">
        <v>23.0</v>
      </c>
      <c r="B26" s="12" t="s">
        <v>13</v>
      </c>
      <c r="C26" s="13" t="s">
        <v>199</v>
      </c>
      <c r="E26" s="4" t="str">
        <f t="shared" si="1"/>
        <v>Aceh-Pidie Jaya</v>
      </c>
    </row>
    <row r="27">
      <c r="A27" s="11">
        <v>24.0</v>
      </c>
      <c r="B27" s="12" t="s">
        <v>218</v>
      </c>
      <c r="C27" s="13" t="s">
        <v>219</v>
      </c>
      <c r="E27" s="4" t="str">
        <f t="shared" si="1"/>
        <v>Sumatera Utara-Kota Padang Sidempuan</v>
      </c>
    </row>
    <row r="28">
      <c r="A28" s="11">
        <v>25.0</v>
      </c>
      <c r="B28" s="12" t="s">
        <v>218</v>
      </c>
      <c r="C28" s="13" t="s">
        <v>222</v>
      </c>
      <c r="E28" s="4" t="str">
        <f t="shared" si="1"/>
        <v>Sumatera Utara-Langkat</v>
      </c>
    </row>
    <row r="29">
      <c r="A29" s="11">
        <v>26.0</v>
      </c>
      <c r="B29" s="12" t="s">
        <v>218</v>
      </c>
      <c r="C29" s="13" t="s">
        <v>225</v>
      </c>
      <c r="E29" s="4" t="str">
        <f t="shared" si="1"/>
        <v>Sumatera Utara-Deli Serdang</v>
      </c>
    </row>
    <row r="30">
      <c r="A30" s="11">
        <v>27.0</v>
      </c>
      <c r="B30" s="12" t="s">
        <v>218</v>
      </c>
      <c r="C30" s="13" t="s">
        <v>228</v>
      </c>
      <c r="E30" s="4" t="str">
        <f t="shared" si="1"/>
        <v>Sumatera Utara-Asahan</v>
      </c>
    </row>
    <row r="31">
      <c r="A31" s="11">
        <v>28.0</v>
      </c>
      <c r="B31" s="12" t="s">
        <v>218</v>
      </c>
      <c r="C31" s="13" t="s">
        <v>231</v>
      </c>
      <c r="E31" s="4" t="str">
        <f t="shared" si="1"/>
        <v>Sumatera Utara-Kota Pematang Siantar</v>
      </c>
    </row>
    <row r="32">
      <c r="A32" s="11">
        <v>29.0</v>
      </c>
      <c r="B32" s="12" t="s">
        <v>218</v>
      </c>
      <c r="C32" s="13" t="s">
        <v>234</v>
      </c>
      <c r="E32" s="4" t="str">
        <f t="shared" si="1"/>
        <v>Sumatera Utara-Kota Tanjung Balai</v>
      </c>
    </row>
    <row r="33">
      <c r="A33" s="11">
        <v>30.0</v>
      </c>
      <c r="B33" s="12" t="s">
        <v>218</v>
      </c>
      <c r="C33" s="13" t="s">
        <v>239</v>
      </c>
      <c r="E33" s="4" t="str">
        <f t="shared" si="1"/>
        <v>Sumatera Utara-Kota Medan</v>
      </c>
    </row>
    <row r="34">
      <c r="A34" s="11">
        <v>31.0</v>
      </c>
      <c r="B34" s="12" t="s">
        <v>218</v>
      </c>
      <c r="C34" s="13" t="s">
        <v>244</v>
      </c>
      <c r="E34" s="4" t="str">
        <f t="shared" si="1"/>
        <v>Sumatera Utara-Humbang Hasundutan</v>
      </c>
    </row>
    <row r="35">
      <c r="A35" s="11">
        <v>32.0</v>
      </c>
      <c r="B35" s="12" t="s">
        <v>218</v>
      </c>
      <c r="C35" s="13" t="s">
        <v>247</v>
      </c>
      <c r="E35" s="4" t="str">
        <f t="shared" si="1"/>
        <v>Sumatera Utara-Tapanuli Utara</v>
      </c>
    </row>
    <row r="36">
      <c r="A36" s="11">
        <v>33.0</v>
      </c>
      <c r="B36" s="12" t="s">
        <v>218</v>
      </c>
      <c r="C36" s="13" t="s">
        <v>251</v>
      </c>
      <c r="E36" s="4" t="str">
        <f t="shared" si="1"/>
        <v>Sumatera Utara-Nias Selatan</v>
      </c>
    </row>
    <row r="37">
      <c r="A37" s="11">
        <v>34.0</v>
      </c>
      <c r="B37" s="12" t="s">
        <v>218</v>
      </c>
      <c r="C37" s="13" t="s">
        <v>260</v>
      </c>
      <c r="E37" s="4" t="str">
        <f t="shared" si="1"/>
        <v>Sumatera Utara-Labuhan Batu</v>
      </c>
    </row>
    <row r="38">
      <c r="A38" s="11">
        <v>35.0</v>
      </c>
      <c r="B38" s="12" t="s">
        <v>218</v>
      </c>
      <c r="C38" s="13" t="s">
        <v>263</v>
      </c>
      <c r="E38" s="4" t="str">
        <f t="shared" si="1"/>
        <v>Sumatera Utara-Mandailing Natal</v>
      </c>
    </row>
    <row r="39">
      <c r="A39" s="11">
        <v>36.0</v>
      </c>
      <c r="B39" s="12" t="s">
        <v>218</v>
      </c>
      <c r="C39" s="13" t="s">
        <v>268</v>
      </c>
      <c r="E39" s="4" t="str">
        <f t="shared" si="1"/>
        <v>Sumatera Utara-Kota Binjai</v>
      </c>
    </row>
    <row r="40">
      <c r="A40" s="11">
        <v>37.0</v>
      </c>
      <c r="B40" s="12" t="s">
        <v>218</v>
      </c>
      <c r="C40" s="13" t="s">
        <v>276</v>
      </c>
      <c r="E40" s="4" t="str">
        <f t="shared" si="1"/>
        <v>Sumatera Utara-Nias Barat</v>
      </c>
    </row>
    <row r="41">
      <c r="A41" s="11">
        <v>38.0</v>
      </c>
      <c r="B41" s="12" t="s">
        <v>218</v>
      </c>
      <c r="C41" s="13" t="s">
        <v>279</v>
      </c>
      <c r="E41" s="4" t="str">
        <f t="shared" si="1"/>
        <v>Sumatera Utara-Simalungun</v>
      </c>
    </row>
    <row r="42">
      <c r="A42" s="11">
        <v>39.0</v>
      </c>
      <c r="B42" s="12" t="s">
        <v>218</v>
      </c>
      <c r="C42" s="13" t="s">
        <v>286</v>
      </c>
      <c r="E42" s="4" t="str">
        <f t="shared" si="1"/>
        <v>Sumatera Utara-Karo</v>
      </c>
    </row>
    <row r="43">
      <c r="A43" s="11">
        <v>40.0</v>
      </c>
      <c r="B43" s="12" t="s">
        <v>218</v>
      </c>
      <c r="C43" s="13" t="s">
        <v>291</v>
      </c>
      <c r="E43" s="4" t="str">
        <f t="shared" si="1"/>
        <v>Sumatera Utara-Dairi</v>
      </c>
    </row>
    <row r="44">
      <c r="A44" s="11">
        <v>41.0</v>
      </c>
      <c r="B44" s="12" t="s">
        <v>218</v>
      </c>
      <c r="C44" s="13" t="s">
        <v>300</v>
      </c>
      <c r="E44" s="4" t="str">
        <f t="shared" si="1"/>
        <v>Sumatera Utara-Kota Tebing Tinggi</v>
      </c>
    </row>
    <row r="45">
      <c r="A45" s="11">
        <v>42.0</v>
      </c>
      <c r="B45" s="12" t="s">
        <v>218</v>
      </c>
      <c r="C45" s="13" t="s">
        <v>309</v>
      </c>
      <c r="E45" s="4" t="str">
        <f t="shared" si="1"/>
        <v>Sumatera Utara-Batu Bara</v>
      </c>
    </row>
    <row r="46">
      <c r="A46" s="11">
        <v>43.0</v>
      </c>
      <c r="B46" s="12" t="s">
        <v>218</v>
      </c>
      <c r="C46" s="13" t="s">
        <v>312</v>
      </c>
      <c r="E46" s="4" t="str">
        <f t="shared" si="1"/>
        <v>Sumatera Utara-Kota Gunungsitoli</v>
      </c>
    </row>
    <row r="47">
      <c r="A47" s="11">
        <v>44.0</v>
      </c>
      <c r="B47" s="12" t="s">
        <v>218</v>
      </c>
      <c r="C47" s="13" t="s">
        <v>315</v>
      </c>
      <c r="E47" s="4" t="str">
        <f t="shared" si="1"/>
        <v>Sumatera Utara-Toba Samosir</v>
      </c>
    </row>
    <row r="48">
      <c r="A48" s="11">
        <v>45.0</v>
      </c>
      <c r="B48" s="12" t="s">
        <v>218</v>
      </c>
      <c r="C48" s="13" t="s">
        <v>322</v>
      </c>
      <c r="E48" s="4" t="str">
        <f t="shared" si="1"/>
        <v>Sumatera Utara-Kota Sibolga</v>
      </c>
    </row>
    <row r="49">
      <c r="A49" s="11">
        <v>46.0</v>
      </c>
      <c r="B49" s="12" t="s">
        <v>218</v>
      </c>
      <c r="C49" s="13" t="s">
        <v>333</v>
      </c>
      <c r="E49" s="4" t="str">
        <f t="shared" si="1"/>
        <v>Sumatera Utara-Padang Lawas Utara</v>
      </c>
    </row>
    <row r="50">
      <c r="A50" s="11">
        <v>47.0</v>
      </c>
      <c r="B50" s="12" t="s">
        <v>218</v>
      </c>
      <c r="C50" s="13" t="s">
        <v>344</v>
      </c>
      <c r="E50" s="4" t="str">
        <f t="shared" si="1"/>
        <v>Sumatera Utara-Serdang Bedagai</v>
      </c>
    </row>
    <row r="51">
      <c r="A51" s="11">
        <v>48.0</v>
      </c>
      <c r="B51" s="12" t="s">
        <v>218</v>
      </c>
      <c r="C51" s="13" t="s">
        <v>367</v>
      </c>
      <c r="E51" s="4" t="str">
        <f t="shared" si="1"/>
        <v>Sumatera Utara-Labuhan Batu Selatan</v>
      </c>
    </row>
    <row r="52">
      <c r="A52" s="11">
        <v>49.0</v>
      </c>
      <c r="B52" s="12" t="s">
        <v>218</v>
      </c>
      <c r="C52" s="13" t="s">
        <v>384</v>
      </c>
      <c r="E52" s="4" t="str">
        <f t="shared" si="1"/>
        <v>Sumatera Utara-Tapanuli Tengah</v>
      </c>
    </row>
    <row r="53">
      <c r="A53" s="11">
        <v>50.0</v>
      </c>
      <c r="B53" s="12" t="s">
        <v>218</v>
      </c>
      <c r="C53" s="13" t="s">
        <v>405</v>
      </c>
      <c r="E53" s="4" t="str">
        <f t="shared" si="1"/>
        <v>Sumatera Utara-Nias</v>
      </c>
    </row>
    <row r="54">
      <c r="A54" s="11">
        <v>51.0</v>
      </c>
      <c r="B54" s="12" t="s">
        <v>218</v>
      </c>
      <c r="C54" s="13" t="s">
        <v>419</v>
      </c>
      <c r="E54" s="4" t="str">
        <f t="shared" si="1"/>
        <v>Sumatera Utara-Labuhan Batu Utara</v>
      </c>
    </row>
    <row r="55">
      <c r="A55" s="11">
        <v>52.0</v>
      </c>
      <c r="B55" s="12" t="s">
        <v>218</v>
      </c>
      <c r="C55" s="13" t="s">
        <v>438</v>
      </c>
      <c r="E55" s="4" t="str">
        <f t="shared" si="1"/>
        <v>Sumatera Utara-Samosir</v>
      </c>
    </row>
    <row r="56">
      <c r="A56" s="11">
        <v>53.0</v>
      </c>
      <c r="B56" s="12" t="s">
        <v>218</v>
      </c>
      <c r="C56" s="13" t="s">
        <v>495</v>
      </c>
      <c r="E56" s="4" t="str">
        <f t="shared" si="1"/>
        <v>Sumatera Utara-Pakpak Bharat</v>
      </c>
    </row>
    <row r="57">
      <c r="A57" s="11">
        <v>54.0</v>
      </c>
      <c r="B57" s="12" t="s">
        <v>218</v>
      </c>
      <c r="C57" s="13" t="s">
        <v>508</v>
      </c>
      <c r="E57" s="4" t="str">
        <f t="shared" si="1"/>
        <v>Sumatera Utara-Tapanuli Selatan</v>
      </c>
    </row>
    <row r="58">
      <c r="A58" s="11">
        <v>55.0</v>
      </c>
      <c r="B58" s="12" t="s">
        <v>218</v>
      </c>
      <c r="C58" s="13" t="s">
        <v>511</v>
      </c>
      <c r="E58" s="4" t="str">
        <f t="shared" si="1"/>
        <v>Sumatera Utara-Nias Utara</v>
      </c>
    </row>
    <row r="59">
      <c r="A59" s="11">
        <v>56.0</v>
      </c>
      <c r="B59" s="12" t="s">
        <v>218</v>
      </c>
      <c r="C59" s="13" t="s">
        <v>567</v>
      </c>
      <c r="E59" s="4" t="str">
        <f t="shared" si="1"/>
        <v>Sumatera Utara-Padang Lawas</v>
      </c>
    </row>
    <row r="60">
      <c r="A60" s="11">
        <v>57.0</v>
      </c>
      <c r="B60" s="12" t="s">
        <v>662</v>
      </c>
      <c r="C60" s="13" t="s">
        <v>663</v>
      </c>
      <c r="E60" s="4" t="str">
        <f t="shared" si="1"/>
        <v>Sumatera Barat-Kota Padang</v>
      </c>
    </row>
    <row r="61">
      <c r="A61" s="11">
        <v>58.0</v>
      </c>
      <c r="B61" s="12" t="s">
        <v>662</v>
      </c>
      <c r="C61" s="13" t="s">
        <v>666</v>
      </c>
      <c r="E61" s="4" t="str">
        <f t="shared" si="1"/>
        <v>Sumatera Barat-Kota Payakumbuh</v>
      </c>
    </row>
    <row r="62">
      <c r="A62" s="11">
        <v>59.0</v>
      </c>
      <c r="B62" s="12" t="s">
        <v>662</v>
      </c>
      <c r="C62" s="13" t="s">
        <v>669</v>
      </c>
      <c r="E62" s="4" t="str">
        <f t="shared" si="1"/>
        <v>Sumatera Barat-Kota Pariaman</v>
      </c>
    </row>
    <row r="63">
      <c r="A63" s="11">
        <v>60.0</v>
      </c>
      <c r="B63" s="12" t="s">
        <v>662</v>
      </c>
      <c r="C63" s="13" t="s">
        <v>672</v>
      </c>
      <c r="E63" s="4" t="str">
        <f t="shared" si="1"/>
        <v>Sumatera Barat-Tanah Datar</v>
      </c>
    </row>
    <row r="64">
      <c r="A64" s="11">
        <v>61.0</v>
      </c>
      <c r="B64" s="12" t="s">
        <v>662</v>
      </c>
      <c r="C64" s="13" t="s">
        <v>675</v>
      </c>
      <c r="E64" s="4" t="str">
        <f t="shared" si="1"/>
        <v>Sumatera Barat-Kota Bukittinggi</v>
      </c>
    </row>
    <row r="65">
      <c r="A65" s="11">
        <v>62.0</v>
      </c>
      <c r="B65" s="12" t="s">
        <v>662</v>
      </c>
      <c r="C65" s="13" t="s">
        <v>680</v>
      </c>
      <c r="E65" s="4" t="str">
        <f t="shared" si="1"/>
        <v>Sumatera Barat-Solok Selatan</v>
      </c>
    </row>
    <row r="66">
      <c r="A66" s="11">
        <v>63.0</v>
      </c>
      <c r="B66" s="12" t="s">
        <v>662</v>
      </c>
      <c r="C66" s="13" t="s">
        <v>688</v>
      </c>
      <c r="E66" s="4" t="str">
        <f t="shared" si="1"/>
        <v>Sumatera Barat-Lima Puluh Kota</v>
      </c>
    </row>
    <row r="67">
      <c r="A67" s="11">
        <v>64.0</v>
      </c>
      <c r="B67" s="12" t="s">
        <v>662</v>
      </c>
      <c r="C67" s="13" t="s">
        <v>693</v>
      </c>
      <c r="E67" s="4" t="str">
        <f t="shared" si="1"/>
        <v>Sumatera Barat-Kota Solok</v>
      </c>
    </row>
    <row r="68">
      <c r="A68" s="11">
        <v>65.0</v>
      </c>
      <c r="B68" s="12" t="s">
        <v>662</v>
      </c>
      <c r="C68" s="13" t="s">
        <v>696</v>
      </c>
      <c r="E68" s="4" t="str">
        <f t="shared" si="1"/>
        <v>Sumatera Barat-Pesisir Selatan</v>
      </c>
    </row>
    <row r="69">
      <c r="A69" s="11">
        <v>66.0</v>
      </c>
      <c r="B69" s="12" t="s">
        <v>662</v>
      </c>
      <c r="C69" s="13" t="s">
        <v>710</v>
      </c>
      <c r="E69" s="4" t="str">
        <f t="shared" si="1"/>
        <v>Sumatera Barat-Pasaman Barat</v>
      </c>
    </row>
    <row r="70">
      <c r="A70" s="11">
        <v>67.0</v>
      </c>
      <c r="B70" s="12" t="s">
        <v>662</v>
      </c>
      <c r="C70" s="13" t="s">
        <v>715</v>
      </c>
      <c r="E70" s="4" t="str">
        <f t="shared" si="1"/>
        <v>Sumatera Barat-Solok</v>
      </c>
    </row>
    <row r="71">
      <c r="A71" s="11">
        <v>68.0</v>
      </c>
      <c r="B71" s="12" t="s">
        <v>662</v>
      </c>
      <c r="C71" s="13" t="s">
        <v>720</v>
      </c>
      <c r="E71" s="4" t="str">
        <f t="shared" si="1"/>
        <v>Sumatera Barat-Kota Padang Panjang</v>
      </c>
    </row>
    <row r="72">
      <c r="A72" s="11">
        <v>69.0</v>
      </c>
      <c r="B72" s="12" t="s">
        <v>662</v>
      </c>
      <c r="C72" s="13" t="s">
        <v>727</v>
      </c>
      <c r="E72" s="4" t="str">
        <f t="shared" si="1"/>
        <v>Sumatera Barat-Pasaman</v>
      </c>
    </row>
    <row r="73">
      <c r="A73" s="11">
        <v>70.0</v>
      </c>
      <c r="B73" s="12" t="s">
        <v>662</v>
      </c>
      <c r="C73" s="13" t="s">
        <v>738</v>
      </c>
      <c r="E73" s="4" t="str">
        <f t="shared" si="1"/>
        <v>Sumatera Barat-Sijunjung</v>
      </c>
    </row>
    <row r="74">
      <c r="A74" s="11">
        <v>71.0</v>
      </c>
      <c r="B74" s="12" t="s">
        <v>662</v>
      </c>
      <c r="C74" s="13" t="s">
        <v>763</v>
      </c>
      <c r="E74" s="4" t="str">
        <f t="shared" si="1"/>
        <v>Sumatera Barat-Agam</v>
      </c>
    </row>
    <row r="75">
      <c r="A75" s="11">
        <v>72.0</v>
      </c>
      <c r="B75" s="12" t="s">
        <v>662</v>
      </c>
      <c r="C75" s="13" t="s">
        <v>766</v>
      </c>
      <c r="E75" s="4" t="str">
        <f t="shared" si="1"/>
        <v>Sumatera Barat-Dharmasraya</v>
      </c>
    </row>
    <row r="76">
      <c r="A76" s="11">
        <v>73.0</v>
      </c>
      <c r="B76" s="12" t="s">
        <v>662</v>
      </c>
      <c r="C76" s="13" t="s">
        <v>778</v>
      </c>
      <c r="E76" s="4" t="str">
        <f t="shared" si="1"/>
        <v>Sumatera Barat-Kepulauan Mentawai</v>
      </c>
    </row>
    <row r="77">
      <c r="A77" s="11">
        <v>74.0</v>
      </c>
      <c r="B77" s="12" t="s">
        <v>662</v>
      </c>
      <c r="C77" s="13" t="s">
        <v>805</v>
      </c>
      <c r="E77" s="4" t="str">
        <f t="shared" si="1"/>
        <v>Sumatera Barat-Padang Pariaman</v>
      </c>
    </row>
    <row r="78">
      <c r="A78" s="11">
        <v>75.0</v>
      </c>
      <c r="B78" s="12" t="s">
        <v>662</v>
      </c>
      <c r="C78" s="13" t="s">
        <v>808</v>
      </c>
      <c r="E78" s="4" t="str">
        <f t="shared" si="1"/>
        <v>Sumatera Barat-Kota Sawah Lunto</v>
      </c>
    </row>
    <row r="79">
      <c r="A79" s="11">
        <v>76.0</v>
      </c>
      <c r="B79" s="12" t="s">
        <v>839</v>
      </c>
      <c r="C79" s="13" t="s">
        <v>840</v>
      </c>
      <c r="E79" s="4" t="str">
        <f t="shared" si="1"/>
        <v>Riau-Pelalawan</v>
      </c>
    </row>
    <row r="80">
      <c r="A80" s="11">
        <v>77.0</v>
      </c>
      <c r="B80" s="12" t="s">
        <v>839</v>
      </c>
      <c r="C80" s="13" t="s">
        <v>843</v>
      </c>
      <c r="E80" s="4" t="str">
        <f t="shared" si="1"/>
        <v>Riau-Kota Pekanbaru</v>
      </c>
    </row>
    <row r="81">
      <c r="A81" s="11">
        <v>78.0</v>
      </c>
      <c r="B81" s="12" t="s">
        <v>839</v>
      </c>
      <c r="C81" s="13" t="s">
        <v>846</v>
      </c>
      <c r="E81" s="4" t="str">
        <f t="shared" si="1"/>
        <v>Riau-Kuantan Singingi</v>
      </c>
    </row>
    <row r="82">
      <c r="A82" s="11">
        <v>79.0</v>
      </c>
      <c r="B82" s="12" t="s">
        <v>839</v>
      </c>
      <c r="C82" s="13" t="s">
        <v>853</v>
      </c>
      <c r="E82" s="4" t="str">
        <f t="shared" si="1"/>
        <v>Riau-Bengkalis</v>
      </c>
    </row>
    <row r="83">
      <c r="A83" s="11">
        <v>80.0</v>
      </c>
      <c r="B83" s="12" t="s">
        <v>839</v>
      </c>
      <c r="C83" s="13" t="s">
        <v>856</v>
      </c>
      <c r="E83" s="4" t="str">
        <f t="shared" si="1"/>
        <v>Riau-Kota Dumai</v>
      </c>
    </row>
    <row r="84">
      <c r="A84" s="11">
        <v>81.0</v>
      </c>
      <c r="B84" s="12" t="s">
        <v>839</v>
      </c>
      <c r="C84" s="13" t="s">
        <v>859</v>
      </c>
      <c r="E84" s="4" t="str">
        <f t="shared" si="1"/>
        <v>Riau-Indragiri Hilir</v>
      </c>
    </row>
    <row r="85">
      <c r="A85" s="11">
        <v>82.0</v>
      </c>
      <c r="B85" s="12" t="s">
        <v>839</v>
      </c>
      <c r="C85" s="13" t="s">
        <v>862</v>
      </c>
      <c r="E85" s="4" t="str">
        <f t="shared" si="1"/>
        <v>Riau-Kampar</v>
      </c>
    </row>
    <row r="86">
      <c r="A86" s="11">
        <v>83.0</v>
      </c>
      <c r="B86" s="12" t="s">
        <v>839</v>
      </c>
      <c r="C86" s="13" t="s">
        <v>871</v>
      </c>
      <c r="E86" s="4" t="str">
        <f t="shared" si="1"/>
        <v>Riau-Rokan Hilir</v>
      </c>
    </row>
    <row r="87">
      <c r="A87" s="11">
        <v>84.0</v>
      </c>
      <c r="B87" s="12" t="s">
        <v>839</v>
      </c>
      <c r="C87" s="13" t="s">
        <v>874</v>
      </c>
      <c r="E87" s="4" t="str">
        <f t="shared" si="1"/>
        <v>Riau-Indragiri Hulu</v>
      </c>
    </row>
    <row r="88">
      <c r="A88" s="11">
        <v>85.0</v>
      </c>
      <c r="B88" s="12" t="s">
        <v>839</v>
      </c>
      <c r="C88" s="13" t="s">
        <v>877</v>
      </c>
      <c r="E88" s="4" t="str">
        <f t="shared" si="1"/>
        <v>Riau-Rokan Hulu</v>
      </c>
    </row>
    <row r="89">
      <c r="A89" s="11">
        <v>86.0</v>
      </c>
      <c r="B89" s="12" t="s">
        <v>839</v>
      </c>
      <c r="C89" s="13" t="s">
        <v>898</v>
      </c>
      <c r="E89" s="4" t="str">
        <f t="shared" si="1"/>
        <v>Riau-Kepulauan Meranti</v>
      </c>
    </row>
    <row r="90">
      <c r="A90" s="11">
        <v>87.0</v>
      </c>
      <c r="B90" s="12" t="s">
        <v>839</v>
      </c>
      <c r="C90" s="13" t="s">
        <v>963</v>
      </c>
      <c r="E90" s="4" t="str">
        <f t="shared" si="1"/>
        <v>Riau-Siak</v>
      </c>
    </row>
    <row r="91">
      <c r="A91" s="11">
        <v>88.0</v>
      </c>
      <c r="B91" s="12" t="s">
        <v>1014</v>
      </c>
      <c r="C91" s="13" t="s">
        <v>1015</v>
      </c>
      <c r="E91" s="4" t="str">
        <f t="shared" si="1"/>
        <v>Jambi-Bungo</v>
      </c>
    </row>
    <row r="92">
      <c r="A92" s="11">
        <v>89.0</v>
      </c>
      <c r="B92" s="12" t="s">
        <v>1014</v>
      </c>
      <c r="C92" s="13" t="s">
        <v>1018</v>
      </c>
      <c r="E92" s="4" t="str">
        <f t="shared" si="1"/>
        <v>Jambi-Muaro Jambi</v>
      </c>
    </row>
    <row r="93">
      <c r="A93" s="11">
        <v>90.0</v>
      </c>
      <c r="B93" s="12" t="s">
        <v>1014</v>
      </c>
      <c r="C93" s="13" t="s">
        <v>1024</v>
      </c>
      <c r="E93" s="4" t="str">
        <f t="shared" si="1"/>
        <v>Jambi-Tanjung Jabung Barat</v>
      </c>
    </row>
    <row r="94">
      <c r="A94" s="11">
        <v>91.0</v>
      </c>
      <c r="B94" s="12" t="s">
        <v>1014</v>
      </c>
      <c r="C94" s="13" t="s">
        <v>1027</v>
      </c>
      <c r="E94" s="4" t="str">
        <f t="shared" si="1"/>
        <v>Jambi-Kota Jambi</v>
      </c>
    </row>
    <row r="95">
      <c r="A95" s="11">
        <v>92.0</v>
      </c>
      <c r="B95" s="12" t="s">
        <v>1014</v>
      </c>
      <c r="C95" s="13" t="s">
        <v>1039</v>
      </c>
      <c r="E95" s="4" t="str">
        <f t="shared" si="1"/>
        <v>Jambi-Tebo</v>
      </c>
    </row>
    <row r="96">
      <c r="A96" s="11">
        <v>93.0</v>
      </c>
      <c r="B96" s="12" t="s">
        <v>1014</v>
      </c>
      <c r="C96" s="13" t="s">
        <v>1042</v>
      </c>
      <c r="E96" s="4" t="str">
        <f t="shared" si="1"/>
        <v>Jambi-Merangin</v>
      </c>
    </row>
    <row r="97">
      <c r="A97" s="11">
        <v>94.0</v>
      </c>
      <c r="B97" s="12" t="s">
        <v>1014</v>
      </c>
      <c r="C97" s="13" t="s">
        <v>1051</v>
      </c>
      <c r="E97" s="4" t="str">
        <f t="shared" si="1"/>
        <v>Jambi-Tanjung Jabung Timur</v>
      </c>
    </row>
    <row r="98">
      <c r="A98" s="11">
        <v>95.0</v>
      </c>
      <c r="B98" s="12" t="s">
        <v>1014</v>
      </c>
      <c r="C98" s="13" t="s">
        <v>1054</v>
      </c>
      <c r="E98" s="4" t="str">
        <f t="shared" si="1"/>
        <v>Jambi-Sarolangun</v>
      </c>
    </row>
    <row r="99">
      <c r="A99" s="11">
        <v>96.0</v>
      </c>
      <c r="B99" s="12" t="s">
        <v>1014</v>
      </c>
      <c r="C99" s="13" t="s">
        <v>1081</v>
      </c>
      <c r="E99" s="4" t="str">
        <f t="shared" si="1"/>
        <v>Jambi-Batang Hari</v>
      </c>
    </row>
    <row r="100">
      <c r="A100" s="11">
        <v>97.0</v>
      </c>
      <c r="B100" s="12" t="s">
        <v>1014</v>
      </c>
      <c r="C100" s="13" t="s">
        <v>1084</v>
      </c>
      <c r="E100" s="4" t="str">
        <f t="shared" si="1"/>
        <v>Jambi-Kota Sungai penuh</v>
      </c>
    </row>
    <row r="101">
      <c r="A101" s="11">
        <v>98.0</v>
      </c>
      <c r="B101" s="12" t="s">
        <v>1107</v>
      </c>
      <c r="C101" s="13" t="s">
        <v>1108</v>
      </c>
      <c r="E101" s="4" t="str">
        <f t="shared" si="1"/>
        <v>Sumatera Selatan-Kota Palembang</v>
      </c>
    </row>
    <row r="102">
      <c r="A102" s="11">
        <v>99.0</v>
      </c>
      <c r="B102" s="12" t="s">
        <v>1107</v>
      </c>
      <c r="C102" s="13" t="s">
        <v>1113</v>
      </c>
      <c r="E102" s="4" t="str">
        <f t="shared" si="1"/>
        <v>Sumatera Selatan-Kota Prabumulih</v>
      </c>
    </row>
    <row r="103">
      <c r="A103" s="11">
        <v>100.0</v>
      </c>
      <c r="B103" s="12" t="s">
        <v>1107</v>
      </c>
      <c r="C103" s="13" t="s">
        <v>1116</v>
      </c>
      <c r="E103" s="4" t="str">
        <f t="shared" si="1"/>
        <v>Sumatera Selatan-Banyuasin</v>
      </c>
    </row>
    <row r="104">
      <c r="A104" s="11">
        <v>101.0</v>
      </c>
      <c r="B104" s="12" t="s">
        <v>1107</v>
      </c>
      <c r="C104" s="13" t="s">
        <v>1119</v>
      </c>
      <c r="E104" s="4" t="str">
        <f t="shared" si="1"/>
        <v>Sumatera Selatan-Lahat</v>
      </c>
    </row>
    <row r="105">
      <c r="A105" s="11">
        <v>102.0</v>
      </c>
      <c r="B105" s="12" t="s">
        <v>1107</v>
      </c>
      <c r="C105" s="13" t="s">
        <v>1122</v>
      </c>
      <c r="E105" s="4" t="str">
        <f t="shared" si="1"/>
        <v>Sumatera Selatan-Musi Banyuasin</v>
      </c>
    </row>
    <row r="106">
      <c r="A106" s="11">
        <v>103.0</v>
      </c>
      <c r="B106" s="12" t="s">
        <v>1107</v>
      </c>
      <c r="C106" s="13" t="s">
        <v>1125</v>
      </c>
      <c r="E106" s="4" t="str">
        <f t="shared" si="1"/>
        <v>Sumatera Selatan-Kota Lubuk Linggau</v>
      </c>
    </row>
    <row r="107">
      <c r="A107" s="11">
        <v>104.0</v>
      </c>
      <c r="B107" s="12" t="s">
        <v>1107</v>
      </c>
      <c r="C107" s="13" t="s">
        <v>1132</v>
      </c>
      <c r="E107" s="4" t="str">
        <f t="shared" si="1"/>
        <v>Sumatera Selatan-Muara Enim</v>
      </c>
    </row>
    <row r="108">
      <c r="A108" s="11">
        <v>105.0</v>
      </c>
      <c r="B108" s="12" t="s">
        <v>1107</v>
      </c>
      <c r="C108" s="13" t="s">
        <v>1137</v>
      </c>
      <c r="E108" s="4" t="str">
        <f t="shared" si="1"/>
        <v>Sumatera Selatan-Ogan Komering Ulu</v>
      </c>
    </row>
    <row r="109">
      <c r="A109" s="11">
        <v>106.0</v>
      </c>
      <c r="B109" s="12" t="s">
        <v>1107</v>
      </c>
      <c r="C109" s="13" t="s">
        <v>1140</v>
      </c>
      <c r="E109" s="4" t="str">
        <f t="shared" si="1"/>
        <v>Sumatera Selatan-Ogan Komering Ulu Selatan</v>
      </c>
    </row>
    <row r="110">
      <c r="A110" s="11">
        <v>107.0</v>
      </c>
      <c r="B110" s="12" t="s">
        <v>1107</v>
      </c>
      <c r="C110" s="13" t="s">
        <v>1157</v>
      </c>
      <c r="E110" s="4" t="str">
        <f t="shared" si="1"/>
        <v>Sumatera Selatan-Penukal Abab Lematang Ilir</v>
      </c>
    </row>
    <row r="111">
      <c r="A111" s="11">
        <v>108.0</v>
      </c>
      <c r="B111" s="12" t="s">
        <v>1107</v>
      </c>
      <c r="C111" s="13" t="s">
        <v>1168</v>
      </c>
      <c r="E111" s="4" t="str">
        <f t="shared" si="1"/>
        <v>Sumatera Selatan-Ogan Komering Ulu Timur</v>
      </c>
    </row>
    <row r="112">
      <c r="A112" s="11">
        <v>109.0</v>
      </c>
      <c r="B112" s="12" t="s">
        <v>1107</v>
      </c>
      <c r="C112" s="13" t="s">
        <v>1177</v>
      </c>
      <c r="E112" s="4" t="str">
        <f t="shared" si="1"/>
        <v>Sumatera Selatan-Ogan Komering Ilir</v>
      </c>
    </row>
    <row r="113">
      <c r="A113" s="11">
        <v>110.0</v>
      </c>
      <c r="B113" s="12" t="s">
        <v>1107</v>
      </c>
      <c r="C113" s="13" t="s">
        <v>1204</v>
      </c>
      <c r="E113" s="4" t="str">
        <f t="shared" si="1"/>
        <v>Sumatera Selatan-Musi Rawas</v>
      </c>
    </row>
    <row r="114">
      <c r="A114" s="11">
        <v>111.0</v>
      </c>
      <c r="B114" s="12" t="s">
        <v>1107</v>
      </c>
      <c r="C114" s="13" t="s">
        <v>1211</v>
      </c>
      <c r="E114" s="4" t="str">
        <f t="shared" si="1"/>
        <v>Sumatera Selatan-Ogan Ilir</v>
      </c>
    </row>
    <row r="115">
      <c r="A115" s="11">
        <v>112.0</v>
      </c>
      <c r="B115" s="12" t="s">
        <v>1107</v>
      </c>
      <c r="C115" s="13" t="s">
        <v>1230</v>
      </c>
      <c r="E115" s="4" t="str">
        <f t="shared" si="1"/>
        <v>Sumatera Selatan-Musi Rawas Utara</v>
      </c>
    </row>
    <row r="116">
      <c r="A116" s="11">
        <v>113.0</v>
      </c>
      <c r="B116" s="12" t="s">
        <v>1107</v>
      </c>
      <c r="C116" s="13" t="s">
        <v>1235</v>
      </c>
      <c r="E116" s="4" t="str">
        <f t="shared" si="1"/>
        <v>Sumatera Selatan-Empat Lawang</v>
      </c>
    </row>
    <row r="117">
      <c r="A117" s="11">
        <v>114.0</v>
      </c>
      <c r="B117" s="12" t="s">
        <v>1107</v>
      </c>
      <c r="C117" s="13" t="s">
        <v>1286</v>
      </c>
      <c r="E117" s="4" t="str">
        <f t="shared" si="1"/>
        <v>Sumatera Selatan-Kota Pagar Alam</v>
      </c>
    </row>
    <row r="118">
      <c r="A118" s="11">
        <v>115.0</v>
      </c>
      <c r="B118" s="12" t="s">
        <v>1299</v>
      </c>
      <c r="C118" s="13" t="s">
        <v>1300</v>
      </c>
      <c r="E118" s="4" t="str">
        <f t="shared" si="1"/>
        <v>Bengkulu-Kota Bengkulu</v>
      </c>
    </row>
    <row r="119">
      <c r="A119" s="11">
        <v>116.0</v>
      </c>
      <c r="B119" s="12" t="s">
        <v>1299</v>
      </c>
      <c r="C119" s="13" t="s">
        <v>1303</v>
      </c>
      <c r="E119" s="4" t="str">
        <f t="shared" si="1"/>
        <v>Bengkulu-Rejang Lebong</v>
      </c>
    </row>
    <row r="120">
      <c r="A120" s="11">
        <v>117.0</v>
      </c>
      <c r="B120" s="12" t="s">
        <v>1299</v>
      </c>
      <c r="C120" s="13" t="s">
        <v>1306</v>
      </c>
      <c r="E120" s="4" t="str">
        <f t="shared" si="1"/>
        <v>Bengkulu-Bengkulu Tengah</v>
      </c>
    </row>
    <row r="121">
      <c r="A121" s="11">
        <v>118.0</v>
      </c>
      <c r="B121" s="12" t="s">
        <v>1299</v>
      </c>
      <c r="C121" s="13" t="s">
        <v>1313</v>
      </c>
      <c r="E121" s="4" t="str">
        <f t="shared" si="1"/>
        <v>Bengkulu-Bengkulu Utara</v>
      </c>
    </row>
    <row r="122">
      <c r="A122" s="11">
        <v>119.0</v>
      </c>
      <c r="B122" s="12" t="s">
        <v>1299</v>
      </c>
      <c r="C122" s="13" t="s">
        <v>1316</v>
      </c>
      <c r="E122" s="4" t="str">
        <f t="shared" si="1"/>
        <v>Bengkulu-Bengkulu Selatan</v>
      </c>
    </row>
    <row r="123">
      <c r="A123" s="11">
        <v>120.0</v>
      </c>
      <c r="B123" s="12" t="s">
        <v>1299</v>
      </c>
      <c r="C123" s="13" t="s">
        <v>1321</v>
      </c>
      <c r="E123" s="4" t="str">
        <f t="shared" si="1"/>
        <v>Bengkulu-Seluma</v>
      </c>
    </row>
    <row r="124">
      <c r="A124" s="11">
        <v>121.0</v>
      </c>
      <c r="B124" s="12" t="s">
        <v>1299</v>
      </c>
      <c r="C124" s="13" t="s">
        <v>1330</v>
      </c>
      <c r="E124" s="4" t="str">
        <f t="shared" si="1"/>
        <v>Bengkulu-Kepahiang</v>
      </c>
    </row>
    <row r="125">
      <c r="A125" s="11">
        <v>122.0</v>
      </c>
      <c r="B125" s="12" t="s">
        <v>1299</v>
      </c>
      <c r="C125" s="13" t="s">
        <v>1339</v>
      </c>
      <c r="E125" s="4" t="str">
        <f t="shared" si="1"/>
        <v>Bengkulu-Lebong</v>
      </c>
    </row>
    <row r="126">
      <c r="A126" s="11">
        <v>123.0</v>
      </c>
      <c r="B126" s="12" t="s">
        <v>1299</v>
      </c>
      <c r="C126" s="13" t="s">
        <v>1344</v>
      </c>
      <c r="E126" s="4" t="str">
        <f t="shared" si="1"/>
        <v>Bengkulu-Kaur</v>
      </c>
    </row>
    <row r="127">
      <c r="A127" s="11">
        <v>124.0</v>
      </c>
      <c r="B127" s="12" t="s">
        <v>1299</v>
      </c>
      <c r="C127" s="13" t="s">
        <v>1353</v>
      </c>
      <c r="E127" s="4" t="str">
        <f t="shared" si="1"/>
        <v>Bengkulu-Muko Muko</v>
      </c>
    </row>
    <row r="128">
      <c r="A128" s="11">
        <v>125.0</v>
      </c>
      <c r="B128" s="12" t="s">
        <v>1362</v>
      </c>
      <c r="C128" s="13" t="s">
        <v>1363</v>
      </c>
      <c r="E128" s="4" t="str">
        <f t="shared" si="1"/>
        <v>Lampung-Pringsewu</v>
      </c>
    </row>
    <row r="129">
      <c r="A129" s="11">
        <v>126.0</v>
      </c>
      <c r="B129" s="12" t="s">
        <v>1362</v>
      </c>
      <c r="C129" s="13" t="s">
        <v>1366</v>
      </c>
      <c r="E129" s="4" t="str">
        <f t="shared" si="1"/>
        <v>Lampung-Lampung Selatan</v>
      </c>
    </row>
    <row r="130">
      <c r="A130" s="11">
        <v>127.0</v>
      </c>
      <c r="B130" s="12" t="s">
        <v>1362</v>
      </c>
      <c r="C130" s="13" t="s">
        <v>1369</v>
      </c>
      <c r="E130" s="4" t="str">
        <f t="shared" si="1"/>
        <v>Lampung-Kota Bandar Lampung</v>
      </c>
    </row>
    <row r="131">
      <c r="A131" s="11">
        <v>128.0</v>
      </c>
      <c r="B131" s="12" t="s">
        <v>1362</v>
      </c>
      <c r="C131" s="13" t="s">
        <v>1376</v>
      </c>
      <c r="E131" s="4" t="str">
        <f t="shared" si="1"/>
        <v>Lampung-Tulang Bawang</v>
      </c>
    </row>
    <row r="132">
      <c r="A132" s="11">
        <v>129.0</v>
      </c>
      <c r="B132" s="12" t="s">
        <v>1362</v>
      </c>
      <c r="C132" s="13" t="s">
        <v>1379</v>
      </c>
      <c r="E132" s="4" t="str">
        <f t="shared" si="1"/>
        <v>Lampung-Lampung Utara</v>
      </c>
    </row>
    <row r="133">
      <c r="A133" s="11">
        <v>130.0</v>
      </c>
      <c r="B133" s="12" t="s">
        <v>1362</v>
      </c>
      <c r="C133" s="13" t="s">
        <v>1382</v>
      </c>
      <c r="E133" s="4" t="str">
        <f t="shared" si="1"/>
        <v>Lampung-Lampung Tengah</v>
      </c>
    </row>
    <row r="134">
      <c r="A134" s="11">
        <v>131.0</v>
      </c>
      <c r="B134" s="12" t="s">
        <v>1362</v>
      </c>
      <c r="C134" s="13" t="s">
        <v>1385</v>
      </c>
      <c r="E134" s="4" t="str">
        <f t="shared" si="1"/>
        <v>Lampung-Lampung Barat</v>
      </c>
    </row>
    <row r="135">
      <c r="A135" s="11">
        <v>132.0</v>
      </c>
      <c r="B135" s="12" t="s">
        <v>1362</v>
      </c>
      <c r="C135" s="13" t="s">
        <v>1392</v>
      </c>
      <c r="E135" s="4" t="str">
        <f t="shared" si="1"/>
        <v>Lampung-Lampung Timur</v>
      </c>
    </row>
    <row r="136">
      <c r="A136" s="11">
        <v>133.0</v>
      </c>
      <c r="B136" s="12" t="s">
        <v>1362</v>
      </c>
      <c r="C136" s="13" t="s">
        <v>1395</v>
      </c>
      <c r="E136" s="4" t="str">
        <f t="shared" si="1"/>
        <v>Lampung-Way Kanan</v>
      </c>
    </row>
    <row r="137">
      <c r="A137" s="11">
        <v>134.0</v>
      </c>
      <c r="B137" s="12" t="s">
        <v>1362</v>
      </c>
      <c r="C137" s="13" t="s">
        <v>1406</v>
      </c>
      <c r="E137" s="4" t="str">
        <f t="shared" si="1"/>
        <v>Lampung-Pesisir Barat</v>
      </c>
    </row>
    <row r="138">
      <c r="A138" s="11">
        <v>135.0</v>
      </c>
      <c r="B138" s="12" t="s">
        <v>1362</v>
      </c>
      <c r="C138" s="13" t="s">
        <v>1415</v>
      </c>
      <c r="E138" s="4" t="str">
        <f t="shared" si="1"/>
        <v>Lampung-Tulang Bawang Barat</v>
      </c>
    </row>
    <row r="139">
      <c r="A139" s="11">
        <v>136.0</v>
      </c>
      <c r="B139" s="12" t="s">
        <v>1362</v>
      </c>
      <c r="C139" s="13" t="s">
        <v>1424</v>
      </c>
      <c r="E139" s="4" t="str">
        <f t="shared" si="1"/>
        <v>Lampung-Kota Metro</v>
      </c>
    </row>
    <row r="140">
      <c r="A140" s="11">
        <v>137.0</v>
      </c>
      <c r="B140" s="12" t="s">
        <v>1362</v>
      </c>
      <c r="C140" s="13" t="s">
        <v>1433</v>
      </c>
      <c r="E140" s="4" t="str">
        <f t="shared" si="1"/>
        <v>Lampung-Pesawaran</v>
      </c>
    </row>
    <row r="141">
      <c r="A141" s="11">
        <v>138.0</v>
      </c>
      <c r="B141" s="12" t="s">
        <v>1362</v>
      </c>
      <c r="C141" s="13" t="s">
        <v>1438</v>
      </c>
      <c r="E141" s="4" t="str">
        <f t="shared" si="1"/>
        <v>Lampung-Tanggamus</v>
      </c>
    </row>
    <row r="142">
      <c r="A142" s="11">
        <v>139.0</v>
      </c>
      <c r="B142" s="12" t="s">
        <v>1362</v>
      </c>
      <c r="C142" s="13" t="s">
        <v>1494</v>
      </c>
      <c r="E142" s="4" t="str">
        <f t="shared" si="1"/>
        <v>Lampung-Mesuji</v>
      </c>
    </row>
    <row r="143">
      <c r="A143" s="11">
        <v>140.0</v>
      </c>
      <c r="B143" s="12" t="s">
        <v>1537</v>
      </c>
      <c r="C143" s="13" t="s">
        <v>1538</v>
      </c>
      <c r="E143" s="4" t="str">
        <f t="shared" si="1"/>
        <v>Kepulauan Bangka Belitung-Kota Pangkal Pinang</v>
      </c>
    </row>
    <row r="144">
      <c r="A144" s="11">
        <v>141.0</v>
      </c>
      <c r="B144" s="12" t="s">
        <v>1537</v>
      </c>
      <c r="C144" s="13" t="s">
        <v>1541</v>
      </c>
      <c r="E144" s="4" t="str">
        <f t="shared" si="1"/>
        <v>Kepulauan Bangka Belitung-Bangka Tengah</v>
      </c>
    </row>
    <row r="145">
      <c r="A145" s="11">
        <v>142.0</v>
      </c>
      <c r="B145" s="12" t="s">
        <v>1537</v>
      </c>
      <c r="C145" s="13" t="s">
        <v>1544</v>
      </c>
      <c r="E145" s="4" t="str">
        <f t="shared" si="1"/>
        <v>Kepulauan Bangka Belitung-Bangka</v>
      </c>
    </row>
    <row r="146">
      <c r="A146" s="11">
        <v>143.0</v>
      </c>
      <c r="B146" s="12" t="s">
        <v>1537</v>
      </c>
      <c r="C146" s="13" t="s">
        <v>1557</v>
      </c>
      <c r="E146" s="4" t="str">
        <f t="shared" si="1"/>
        <v>Kepulauan Bangka Belitung-Bangka Selatan</v>
      </c>
    </row>
    <row r="147">
      <c r="A147" s="11">
        <v>144.0</v>
      </c>
      <c r="B147" s="12" t="s">
        <v>1537</v>
      </c>
      <c r="C147" s="13" t="s">
        <v>1566</v>
      </c>
      <c r="E147" s="4" t="str">
        <f t="shared" si="1"/>
        <v>Kepulauan Bangka Belitung-Belitung</v>
      </c>
    </row>
    <row r="148">
      <c r="A148" s="11">
        <v>145.0</v>
      </c>
      <c r="B148" s="12" t="s">
        <v>1537</v>
      </c>
      <c r="C148" s="13" t="s">
        <v>1577</v>
      </c>
      <c r="E148" s="4" t="str">
        <f t="shared" si="1"/>
        <v>Kepulauan Bangka Belitung-Bangka Barat</v>
      </c>
    </row>
    <row r="149">
      <c r="A149" s="11">
        <v>146.0</v>
      </c>
      <c r="B149" s="12" t="s">
        <v>1537</v>
      </c>
      <c r="C149" s="13" t="s">
        <v>1594</v>
      </c>
      <c r="E149" s="4" t="str">
        <f t="shared" si="1"/>
        <v>Kepulauan Bangka Belitung-Belitung Timur</v>
      </c>
    </row>
    <row r="150">
      <c r="A150" s="11">
        <v>147.0</v>
      </c>
      <c r="B150" s="12" t="s">
        <v>1601</v>
      </c>
      <c r="C150" s="13" t="s">
        <v>1602</v>
      </c>
      <c r="E150" s="4" t="str">
        <f t="shared" si="1"/>
        <v>Kepulauan Riau-Kota Batam</v>
      </c>
    </row>
    <row r="151">
      <c r="A151" s="11">
        <v>148.0</v>
      </c>
      <c r="B151" s="12" t="s">
        <v>1601</v>
      </c>
      <c r="C151" s="13" t="s">
        <v>1609</v>
      </c>
      <c r="E151" s="4" t="str">
        <f t="shared" si="1"/>
        <v>Kepulauan Riau-Natuna</v>
      </c>
    </row>
    <row r="152">
      <c r="A152" s="11">
        <v>149.0</v>
      </c>
      <c r="B152" s="12" t="s">
        <v>1601</v>
      </c>
      <c r="C152" s="13" t="s">
        <v>1612</v>
      </c>
      <c r="E152" s="4" t="str">
        <f t="shared" si="1"/>
        <v>Kepulauan Riau-Lingga</v>
      </c>
    </row>
    <row r="153">
      <c r="A153" s="11">
        <v>150.0</v>
      </c>
      <c r="B153" s="12" t="s">
        <v>1601</v>
      </c>
      <c r="C153" s="13" t="s">
        <v>1615</v>
      </c>
      <c r="E153" s="4" t="str">
        <f t="shared" si="1"/>
        <v>Kepulauan Riau-Karimun</v>
      </c>
    </row>
    <row r="154">
      <c r="A154" s="11">
        <v>151.0</v>
      </c>
      <c r="B154" s="12" t="s">
        <v>1601</v>
      </c>
      <c r="C154" s="13" t="s">
        <v>1624</v>
      </c>
      <c r="E154" s="4" t="str">
        <f t="shared" si="1"/>
        <v>Kepulauan Riau-Kota Tanjung Pinang</v>
      </c>
    </row>
    <row r="155">
      <c r="A155" s="11">
        <v>152.0</v>
      </c>
      <c r="B155" s="12" t="s">
        <v>1601</v>
      </c>
      <c r="C155" s="13" t="s">
        <v>1627</v>
      </c>
      <c r="E155" s="4" t="str">
        <f t="shared" si="1"/>
        <v>Kepulauan Riau-Bintan</v>
      </c>
    </row>
    <row r="156">
      <c r="A156" s="11">
        <v>153.0</v>
      </c>
      <c r="B156" s="12" t="s">
        <v>1601</v>
      </c>
      <c r="C156" s="13" t="s">
        <v>1646</v>
      </c>
      <c r="E156" s="4" t="str">
        <f t="shared" si="1"/>
        <v>Kepulauan Riau-Kepulauan Anambas</v>
      </c>
    </row>
    <row r="157">
      <c r="A157" s="11">
        <v>154.0</v>
      </c>
      <c r="B157" s="12" t="s">
        <v>1679</v>
      </c>
      <c r="C157" s="13" t="s">
        <v>1680</v>
      </c>
      <c r="E157" s="4" t="str">
        <f t="shared" si="1"/>
        <v>DKI Jakarta-Kota Jakarta Timur</v>
      </c>
    </row>
    <row r="158">
      <c r="A158" s="11">
        <v>155.0</v>
      </c>
      <c r="B158" s="12" t="s">
        <v>1679</v>
      </c>
      <c r="C158" s="13" t="s">
        <v>1685</v>
      </c>
      <c r="E158" s="4" t="str">
        <f t="shared" si="1"/>
        <v>DKI Jakarta-Kota Jakarta Selatan</v>
      </c>
    </row>
    <row r="159">
      <c r="A159" s="11">
        <v>156.0</v>
      </c>
      <c r="B159" s="12" t="s">
        <v>1679</v>
      </c>
      <c r="C159" s="13" t="s">
        <v>1688</v>
      </c>
      <c r="E159" s="4" t="str">
        <f t="shared" si="1"/>
        <v>DKI Jakarta-Kota Jakarta Pusat</v>
      </c>
    </row>
    <row r="160">
      <c r="A160" s="11">
        <v>157.0</v>
      </c>
      <c r="B160" s="12" t="s">
        <v>1679</v>
      </c>
      <c r="C160" s="13" t="s">
        <v>1693</v>
      </c>
      <c r="E160" s="4" t="str">
        <f t="shared" si="1"/>
        <v>DKI Jakarta-Kota Jakarta Barat</v>
      </c>
    </row>
    <row r="161">
      <c r="A161" s="11">
        <v>158.0</v>
      </c>
      <c r="B161" s="12" t="s">
        <v>1679</v>
      </c>
      <c r="C161" s="13" t="s">
        <v>1700</v>
      </c>
      <c r="E161" s="4" t="str">
        <f t="shared" si="1"/>
        <v>DKI Jakarta-Kota Jakarta Utara</v>
      </c>
    </row>
    <row r="162">
      <c r="A162" s="11">
        <v>159.0</v>
      </c>
      <c r="B162" s="12" t="s">
        <v>1679</v>
      </c>
      <c r="C162" s="13" t="s">
        <v>1825</v>
      </c>
      <c r="E162" s="4" t="str">
        <f t="shared" si="1"/>
        <v>DKI Jakarta-Kepulauan Seribu</v>
      </c>
    </row>
    <row r="163">
      <c r="A163" s="11">
        <v>160.0</v>
      </c>
      <c r="B163" s="12" t="s">
        <v>2070</v>
      </c>
      <c r="C163" s="13" t="s">
        <v>2071</v>
      </c>
      <c r="E163" s="4" t="str">
        <f t="shared" si="1"/>
        <v>Jawa Barat-Karawang</v>
      </c>
    </row>
    <row r="164">
      <c r="A164" s="11">
        <v>161.0</v>
      </c>
      <c r="B164" s="12" t="s">
        <v>2070</v>
      </c>
      <c r="C164" s="13" t="s">
        <v>2074</v>
      </c>
      <c r="E164" s="4" t="str">
        <f t="shared" si="1"/>
        <v>Jawa Barat-Kuningan</v>
      </c>
    </row>
    <row r="165">
      <c r="A165" s="11">
        <v>162.0</v>
      </c>
      <c r="B165" s="12" t="s">
        <v>2070</v>
      </c>
      <c r="C165" s="13" t="s">
        <v>2077</v>
      </c>
      <c r="E165" s="4" t="str">
        <f t="shared" si="1"/>
        <v>Jawa Barat-Kota Tasikmalaya</v>
      </c>
    </row>
    <row r="166">
      <c r="A166" s="11">
        <v>163.0</v>
      </c>
      <c r="B166" s="12" t="s">
        <v>2070</v>
      </c>
      <c r="C166" s="13" t="s">
        <v>2079</v>
      </c>
      <c r="E166" s="4" t="str">
        <f t="shared" si="1"/>
        <v>Jawa Barat-Bekasi</v>
      </c>
    </row>
    <row r="167">
      <c r="A167" s="11">
        <v>164.0</v>
      </c>
      <c r="B167" s="12" t="s">
        <v>2070</v>
      </c>
      <c r="C167" s="13" t="s">
        <v>2082</v>
      </c>
      <c r="E167" s="4" t="str">
        <f t="shared" si="1"/>
        <v>Jawa Barat-Kota Depok</v>
      </c>
    </row>
    <row r="168">
      <c r="A168" s="11">
        <v>165.0</v>
      </c>
      <c r="B168" s="12" t="s">
        <v>2070</v>
      </c>
      <c r="C168" s="13" t="s">
        <v>2085</v>
      </c>
      <c r="E168" s="4" t="str">
        <f t="shared" si="1"/>
        <v>Jawa Barat-Sukabumi</v>
      </c>
    </row>
    <row r="169">
      <c r="A169" s="11">
        <v>166.0</v>
      </c>
      <c r="B169" s="12" t="s">
        <v>2070</v>
      </c>
      <c r="C169" s="13" t="s">
        <v>2088</v>
      </c>
      <c r="E169" s="4" t="str">
        <f t="shared" si="1"/>
        <v>Jawa Barat-Kota Bandung</v>
      </c>
    </row>
    <row r="170">
      <c r="A170" s="11">
        <v>167.0</v>
      </c>
      <c r="B170" s="12" t="s">
        <v>2070</v>
      </c>
      <c r="C170" s="13" t="s">
        <v>2091</v>
      </c>
      <c r="E170" s="4" t="str">
        <f t="shared" si="1"/>
        <v>Jawa Barat-Bandung</v>
      </c>
    </row>
    <row r="171">
      <c r="A171" s="11">
        <v>168.0</v>
      </c>
      <c r="B171" s="12" t="s">
        <v>2070</v>
      </c>
      <c r="C171" s="13" t="s">
        <v>2094</v>
      </c>
      <c r="E171" s="4" t="str">
        <f t="shared" si="1"/>
        <v>Jawa Barat-Cianjur</v>
      </c>
    </row>
    <row r="172">
      <c r="A172" s="11">
        <v>169.0</v>
      </c>
      <c r="B172" s="12" t="s">
        <v>2070</v>
      </c>
      <c r="C172" s="13" t="s">
        <v>2097</v>
      </c>
      <c r="E172" s="4" t="str">
        <f t="shared" si="1"/>
        <v>Jawa Barat-Bogor</v>
      </c>
    </row>
    <row r="173">
      <c r="A173" s="11">
        <v>170.0</v>
      </c>
      <c r="B173" s="12" t="s">
        <v>2070</v>
      </c>
      <c r="C173" s="13" t="s">
        <v>2106</v>
      </c>
      <c r="E173" s="4" t="str">
        <f t="shared" si="1"/>
        <v>Jawa Barat-Cirebon</v>
      </c>
    </row>
    <row r="174">
      <c r="A174" s="11">
        <v>171.0</v>
      </c>
      <c r="B174" s="12" t="s">
        <v>2070</v>
      </c>
      <c r="C174" s="13" t="s">
        <v>2119</v>
      </c>
      <c r="E174" s="4" t="str">
        <f t="shared" si="1"/>
        <v>Jawa Barat-Kota Bekasi</v>
      </c>
    </row>
    <row r="175">
      <c r="A175" s="11">
        <v>172.0</v>
      </c>
      <c r="B175" s="12" t="s">
        <v>2070</v>
      </c>
      <c r="C175" s="13" t="s">
        <v>2124</v>
      </c>
      <c r="E175" s="4" t="str">
        <f t="shared" si="1"/>
        <v>Jawa Barat-Kota Cirebon</v>
      </c>
    </row>
    <row r="176">
      <c r="A176" s="11">
        <v>173.0</v>
      </c>
      <c r="B176" s="12" t="s">
        <v>2070</v>
      </c>
      <c r="C176" s="13" t="s">
        <v>2127</v>
      </c>
      <c r="E176" s="4" t="str">
        <f t="shared" si="1"/>
        <v>Jawa Barat-Subang</v>
      </c>
    </row>
    <row r="177">
      <c r="A177" s="11">
        <v>174.0</v>
      </c>
      <c r="B177" s="12" t="s">
        <v>2070</v>
      </c>
      <c r="C177" s="13" t="s">
        <v>2144</v>
      </c>
      <c r="E177" s="4" t="str">
        <f t="shared" si="1"/>
        <v>Jawa Barat-Bandung Barat</v>
      </c>
    </row>
    <row r="178">
      <c r="A178" s="11">
        <v>175.0</v>
      </c>
      <c r="B178" s="12" t="s">
        <v>2070</v>
      </c>
      <c r="C178" s="13" t="s">
        <v>2149</v>
      </c>
      <c r="E178" s="4" t="str">
        <f t="shared" si="1"/>
        <v>Jawa Barat-Kota Banjar</v>
      </c>
    </row>
    <row r="179">
      <c r="A179" s="11">
        <v>176.0</v>
      </c>
      <c r="B179" s="12" t="s">
        <v>2070</v>
      </c>
      <c r="C179" s="13" t="s">
        <v>2162</v>
      </c>
      <c r="E179" s="4" t="str">
        <f t="shared" si="1"/>
        <v>Jawa Barat-Ciamis</v>
      </c>
    </row>
    <row r="180">
      <c r="A180" s="11">
        <v>177.0</v>
      </c>
      <c r="B180" s="12" t="s">
        <v>2070</v>
      </c>
      <c r="C180" s="13" t="s">
        <v>2173</v>
      </c>
      <c r="E180" s="4" t="str">
        <f t="shared" si="1"/>
        <v>Jawa Barat-Kota Bogor</v>
      </c>
    </row>
    <row r="181">
      <c r="A181" s="11">
        <v>178.0</v>
      </c>
      <c r="B181" s="12" t="s">
        <v>2070</v>
      </c>
      <c r="C181" s="13" t="s">
        <v>2182</v>
      </c>
      <c r="E181" s="4" t="str">
        <f t="shared" si="1"/>
        <v>Jawa Barat-Purwakarta</v>
      </c>
    </row>
    <row r="182">
      <c r="A182" s="11">
        <v>179.0</v>
      </c>
      <c r="B182" s="12" t="s">
        <v>2070</v>
      </c>
      <c r="C182" s="13" t="s">
        <v>2189</v>
      </c>
      <c r="E182" s="4" t="str">
        <f t="shared" si="1"/>
        <v>Jawa Barat-Indramayu</v>
      </c>
    </row>
    <row r="183">
      <c r="A183" s="11">
        <v>180.0</v>
      </c>
      <c r="B183" s="12" t="s">
        <v>2070</v>
      </c>
      <c r="C183" s="13" t="s">
        <v>2214</v>
      </c>
      <c r="E183" s="4" t="str">
        <f t="shared" si="1"/>
        <v>Jawa Barat-Garut</v>
      </c>
    </row>
    <row r="184">
      <c r="A184" s="11">
        <v>181.0</v>
      </c>
      <c r="B184" s="12" t="s">
        <v>2070</v>
      </c>
      <c r="C184" s="13" t="s">
        <v>2217</v>
      </c>
      <c r="E184" s="4" t="str">
        <f t="shared" si="1"/>
        <v>Jawa Barat-Kota Cimahi</v>
      </c>
    </row>
    <row r="185">
      <c r="A185" s="11">
        <v>182.0</v>
      </c>
      <c r="B185" s="12" t="s">
        <v>2070</v>
      </c>
      <c r="C185" s="13" t="s">
        <v>2228</v>
      </c>
      <c r="E185" s="4" t="str">
        <f t="shared" si="1"/>
        <v>Jawa Barat-Majalengka</v>
      </c>
    </row>
    <row r="186">
      <c r="A186" s="11">
        <v>183.0</v>
      </c>
      <c r="B186" s="12" t="s">
        <v>2070</v>
      </c>
      <c r="C186" s="13" t="s">
        <v>2271</v>
      </c>
      <c r="E186" s="4" t="str">
        <f t="shared" si="1"/>
        <v>Jawa Barat-Pangandaran</v>
      </c>
    </row>
    <row r="187">
      <c r="A187" s="11">
        <v>184.0</v>
      </c>
      <c r="B187" s="12" t="s">
        <v>2070</v>
      </c>
      <c r="C187" s="13" t="s">
        <v>2286</v>
      </c>
      <c r="E187" s="4" t="str">
        <f t="shared" si="1"/>
        <v>Jawa Barat-Sumedang</v>
      </c>
    </row>
    <row r="188">
      <c r="A188" s="11">
        <v>185.0</v>
      </c>
      <c r="B188" s="12" t="s">
        <v>2070</v>
      </c>
      <c r="C188" s="13" t="s">
        <v>2289</v>
      </c>
      <c r="E188" s="4" t="str">
        <f t="shared" si="1"/>
        <v>Jawa Barat-Kota Sukabumi</v>
      </c>
    </row>
    <row r="189">
      <c r="A189" s="11">
        <v>186.0</v>
      </c>
      <c r="B189" s="12" t="s">
        <v>2070</v>
      </c>
      <c r="C189" s="13" t="s">
        <v>2625</v>
      </c>
      <c r="E189" s="4" t="str">
        <f t="shared" si="1"/>
        <v>Jawa Barat-Tasikmalaya</v>
      </c>
    </row>
    <row r="190">
      <c r="A190" s="11">
        <v>187.0</v>
      </c>
      <c r="B190" s="12" t="s">
        <v>2930</v>
      </c>
      <c r="C190" s="13" t="s">
        <v>2931</v>
      </c>
      <c r="E190" s="4" t="str">
        <f t="shared" si="1"/>
        <v>Jawa Tengah-Karanganyar</v>
      </c>
    </row>
    <row r="191">
      <c r="A191" s="11">
        <v>188.0</v>
      </c>
      <c r="B191" s="12" t="s">
        <v>2930</v>
      </c>
      <c r="C191" s="13" t="s">
        <v>2934</v>
      </c>
      <c r="E191" s="4" t="str">
        <f t="shared" si="1"/>
        <v>Jawa Tengah-Kudus</v>
      </c>
    </row>
    <row r="192">
      <c r="A192" s="11">
        <v>189.0</v>
      </c>
      <c r="B192" s="12" t="s">
        <v>2930</v>
      </c>
      <c r="C192" s="13" t="s">
        <v>2937</v>
      </c>
      <c r="E192" s="4" t="str">
        <f t="shared" si="1"/>
        <v>Jawa Tengah-Banyumas</v>
      </c>
    </row>
    <row r="193">
      <c r="A193" s="11">
        <v>190.0</v>
      </c>
      <c r="B193" s="12" t="s">
        <v>2930</v>
      </c>
      <c r="C193" s="13" t="s">
        <v>2939</v>
      </c>
      <c r="E193" s="4" t="str">
        <f t="shared" si="1"/>
        <v>Jawa Tengah-Kota Magelang</v>
      </c>
    </row>
    <row r="194">
      <c r="A194" s="11">
        <v>191.0</v>
      </c>
      <c r="B194" s="12" t="s">
        <v>2930</v>
      </c>
      <c r="C194" s="13" t="s">
        <v>2942</v>
      </c>
      <c r="E194" s="4" t="str">
        <f t="shared" si="1"/>
        <v>Jawa Tengah-Purworejo</v>
      </c>
    </row>
    <row r="195">
      <c r="A195" s="11">
        <v>192.0</v>
      </c>
      <c r="B195" s="12" t="s">
        <v>2930</v>
      </c>
      <c r="C195" s="13" t="s">
        <v>2945</v>
      </c>
      <c r="E195" s="4" t="str">
        <f t="shared" si="1"/>
        <v>Jawa Tengah-Sragen</v>
      </c>
    </row>
    <row r="196">
      <c r="A196" s="11">
        <v>193.0</v>
      </c>
      <c r="B196" s="12" t="s">
        <v>2930</v>
      </c>
      <c r="C196" s="13" t="s">
        <v>2948</v>
      </c>
      <c r="E196" s="4" t="str">
        <f t="shared" si="1"/>
        <v>Jawa Tengah-Kota Semarang</v>
      </c>
    </row>
    <row r="197">
      <c r="A197" s="11">
        <v>194.0</v>
      </c>
      <c r="B197" s="12" t="s">
        <v>2930</v>
      </c>
      <c r="C197" s="13" t="s">
        <v>2951</v>
      </c>
      <c r="E197" s="4" t="str">
        <f t="shared" si="1"/>
        <v>Jawa Tengah-Blora</v>
      </c>
    </row>
    <row r="198">
      <c r="A198" s="11">
        <v>195.0</v>
      </c>
      <c r="B198" s="12" t="s">
        <v>2930</v>
      </c>
      <c r="C198" s="13" t="s">
        <v>2958</v>
      </c>
      <c r="E198" s="4" t="str">
        <f t="shared" si="1"/>
        <v>Jawa Tengah-Kebumen</v>
      </c>
    </row>
    <row r="199">
      <c r="A199" s="11">
        <v>196.0</v>
      </c>
      <c r="B199" s="12" t="s">
        <v>2930</v>
      </c>
      <c r="C199" s="13" t="s">
        <v>2961</v>
      </c>
      <c r="E199" s="4" t="str">
        <f t="shared" si="1"/>
        <v>Jawa Tengah-Kota Salatiga</v>
      </c>
    </row>
    <row r="200">
      <c r="A200" s="11">
        <v>197.0</v>
      </c>
      <c r="B200" s="12" t="s">
        <v>2930</v>
      </c>
      <c r="C200" s="13" t="s">
        <v>2964</v>
      </c>
      <c r="E200" s="4" t="str">
        <f t="shared" si="1"/>
        <v>Jawa Tengah-Demak</v>
      </c>
    </row>
    <row r="201">
      <c r="A201" s="11">
        <v>198.0</v>
      </c>
      <c r="B201" s="12" t="s">
        <v>2930</v>
      </c>
      <c r="C201" s="13" t="s">
        <v>2967</v>
      </c>
      <c r="E201" s="4" t="str">
        <f t="shared" si="1"/>
        <v>Jawa Tengah-Kota Surakarta</v>
      </c>
    </row>
    <row r="202">
      <c r="A202" s="11">
        <v>199.0</v>
      </c>
      <c r="B202" s="12" t="s">
        <v>2930</v>
      </c>
      <c r="C202" s="13" t="s">
        <v>2970</v>
      </c>
      <c r="E202" s="4" t="str">
        <f t="shared" si="1"/>
        <v>Jawa Tengah-Kendal</v>
      </c>
    </row>
    <row r="203">
      <c r="A203" s="11">
        <v>200.0</v>
      </c>
      <c r="B203" s="12" t="s">
        <v>2930</v>
      </c>
      <c r="C203" s="13" t="s">
        <v>2973</v>
      </c>
      <c r="E203" s="4" t="str">
        <f t="shared" si="1"/>
        <v>Jawa Tengah-Boyolali</v>
      </c>
    </row>
    <row r="204">
      <c r="A204" s="11">
        <v>201.0</v>
      </c>
      <c r="B204" s="12" t="s">
        <v>2930</v>
      </c>
      <c r="C204" s="13" t="s">
        <v>2978</v>
      </c>
      <c r="E204" s="4" t="str">
        <f t="shared" si="1"/>
        <v>Jawa Tengah-Batang</v>
      </c>
    </row>
    <row r="205">
      <c r="A205" s="11">
        <v>202.0</v>
      </c>
      <c r="B205" s="12" t="s">
        <v>2930</v>
      </c>
      <c r="C205" s="13" t="s">
        <v>2983</v>
      </c>
      <c r="E205" s="4" t="str">
        <f t="shared" si="1"/>
        <v>Jawa Tengah-Wonosobo</v>
      </c>
    </row>
    <row r="206">
      <c r="A206" s="11">
        <v>203.0</v>
      </c>
      <c r="B206" s="12" t="s">
        <v>2930</v>
      </c>
      <c r="C206" s="13" t="s">
        <v>2986</v>
      </c>
      <c r="E206" s="4" t="str">
        <f t="shared" si="1"/>
        <v>Jawa Tengah-Kota Pekalongan</v>
      </c>
    </row>
    <row r="207">
      <c r="A207" s="11">
        <v>204.0</v>
      </c>
      <c r="B207" s="12" t="s">
        <v>2930</v>
      </c>
      <c r="C207" s="13" t="s">
        <v>2989</v>
      </c>
      <c r="E207" s="4" t="str">
        <f t="shared" si="1"/>
        <v>Jawa Tengah-Klaten</v>
      </c>
    </row>
    <row r="208">
      <c r="A208" s="11">
        <v>205.0</v>
      </c>
      <c r="B208" s="12" t="s">
        <v>2930</v>
      </c>
      <c r="C208" s="13" t="s">
        <v>2996</v>
      </c>
      <c r="E208" s="4" t="str">
        <f t="shared" si="1"/>
        <v>Jawa Tengah-Cilacap</v>
      </c>
    </row>
    <row r="209">
      <c r="A209" s="11">
        <v>206.0</v>
      </c>
      <c r="B209" s="12" t="s">
        <v>2930</v>
      </c>
      <c r="C209" s="13" t="s">
        <v>2999</v>
      </c>
      <c r="E209" s="4" t="str">
        <f t="shared" si="1"/>
        <v>Jawa Tengah-Brebes</v>
      </c>
    </row>
    <row r="210">
      <c r="A210" s="11">
        <v>207.0</v>
      </c>
      <c r="B210" s="12" t="s">
        <v>2930</v>
      </c>
      <c r="C210" s="13" t="s">
        <v>3005</v>
      </c>
      <c r="E210" s="4" t="str">
        <f t="shared" si="1"/>
        <v>Jawa Tengah-Grobogan</v>
      </c>
    </row>
    <row r="211">
      <c r="A211" s="11">
        <v>208.0</v>
      </c>
      <c r="B211" s="12" t="s">
        <v>2930</v>
      </c>
      <c r="C211" s="13" t="s">
        <v>3014</v>
      </c>
      <c r="E211" s="4" t="str">
        <f t="shared" si="1"/>
        <v>Jawa Tengah-Sukoharjo</v>
      </c>
    </row>
    <row r="212">
      <c r="A212" s="11">
        <v>209.0</v>
      </c>
      <c r="B212" s="12" t="s">
        <v>2930</v>
      </c>
      <c r="C212" s="13" t="s">
        <v>3033</v>
      </c>
      <c r="E212" s="4" t="str">
        <f t="shared" si="1"/>
        <v>Jawa Tengah-Pekalongan</v>
      </c>
    </row>
    <row r="213">
      <c r="A213" s="11">
        <v>210.0</v>
      </c>
      <c r="B213" s="12" t="s">
        <v>2930</v>
      </c>
      <c r="C213" s="13" t="s">
        <v>3038</v>
      </c>
      <c r="E213" s="4" t="str">
        <f t="shared" si="1"/>
        <v>Jawa Tengah-Tegal</v>
      </c>
    </row>
    <row r="214">
      <c r="A214" s="11">
        <v>211.0</v>
      </c>
      <c r="B214" s="12" t="s">
        <v>2930</v>
      </c>
      <c r="C214" s="13" t="s">
        <v>3049</v>
      </c>
      <c r="E214" s="4" t="str">
        <f t="shared" si="1"/>
        <v>Jawa Tengah-Pati</v>
      </c>
    </row>
    <row r="215">
      <c r="A215" s="11">
        <v>212.0</v>
      </c>
      <c r="B215" s="12" t="s">
        <v>2930</v>
      </c>
      <c r="C215" s="13" t="s">
        <v>3054</v>
      </c>
      <c r="E215" s="4" t="str">
        <f t="shared" si="1"/>
        <v>Jawa Tengah-Pemalang</v>
      </c>
    </row>
    <row r="216">
      <c r="A216" s="11">
        <v>213.0</v>
      </c>
      <c r="B216" s="12" t="s">
        <v>2930</v>
      </c>
      <c r="C216" s="13" t="s">
        <v>3064</v>
      </c>
      <c r="E216" s="4" t="str">
        <f t="shared" si="1"/>
        <v>Jawa Tengah-Semarang</v>
      </c>
    </row>
    <row r="217">
      <c r="A217" s="11">
        <v>214.0</v>
      </c>
      <c r="B217" s="12" t="s">
        <v>2930</v>
      </c>
      <c r="C217" s="13" t="s">
        <v>3099</v>
      </c>
      <c r="E217" s="4" t="str">
        <f t="shared" si="1"/>
        <v>Jawa Tengah-Purbalingga</v>
      </c>
    </row>
    <row r="218">
      <c r="A218" s="11">
        <v>215.0</v>
      </c>
      <c r="B218" s="12" t="s">
        <v>2930</v>
      </c>
      <c r="C218" s="13" t="s">
        <v>3104</v>
      </c>
      <c r="E218" s="4" t="str">
        <f t="shared" si="1"/>
        <v>Jawa Tengah-Jepara</v>
      </c>
    </row>
    <row r="219">
      <c r="A219" s="11">
        <v>216.0</v>
      </c>
      <c r="B219" s="12" t="s">
        <v>2930</v>
      </c>
      <c r="C219" s="13" t="s">
        <v>3107</v>
      </c>
      <c r="E219" s="4" t="str">
        <f t="shared" si="1"/>
        <v>Jawa Tengah-Magelang</v>
      </c>
    </row>
    <row r="220">
      <c r="A220" s="11">
        <v>217.0</v>
      </c>
      <c r="B220" s="12" t="s">
        <v>2930</v>
      </c>
      <c r="C220" s="13" t="s">
        <v>3118</v>
      </c>
      <c r="E220" s="4" t="str">
        <f t="shared" si="1"/>
        <v>Jawa Tengah-Wonogiri</v>
      </c>
    </row>
    <row r="221">
      <c r="A221" s="11">
        <v>218.0</v>
      </c>
      <c r="B221" s="12" t="s">
        <v>2930</v>
      </c>
      <c r="C221" s="13" t="s">
        <v>3146</v>
      </c>
      <c r="E221" s="4" t="str">
        <f t="shared" si="1"/>
        <v>Jawa Tengah-Temanggung</v>
      </c>
    </row>
    <row r="222">
      <c r="A222" s="11">
        <v>219.0</v>
      </c>
      <c r="B222" s="12" t="s">
        <v>2930</v>
      </c>
      <c r="C222" s="13" t="s">
        <v>3183</v>
      </c>
      <c r="E222" s="4" t="str">
        <f t="shared" si="1"/>
        <v>Jawa Tengah-Banjarnegara</v>
      </c>
    </row>
    <row r="223">
      <c r="A223" s="11">
        <v>220.0</v>
      </c>
      <c r="B223" s="12" t="s">
        <v>2930</v>
      </c>
      <c r="C223" s="13" t="s">
        <v>3208</v>
      </c>
      <c r="E223" s="4" t="str">
        <f t="shared" si="1"/>
        <v>Jawa Tengah-Kota Tegal</v>
      </c>
    </row>
    <row r="224">
      <c r="A224" s="11">
        <v>221.0</v>
      </c>
      <c r="B224" s="12" t="s">
        <v>2930</v>
      </c>
      <c r="C224" s="13" t="s">
        <v>3273</v>
      </c>
      <c r="E224" s="4" t="str">
        <f t="shared" si="1"/>
        <v>Jawa Tengah-Rembang</v>
      </c>
    </row>
    <row r="225">
      <c r="A225" s="11">
        <v>222.0</v>
      </c>
      <c r="B225" s="12" t="s">
        <v>3667</v>
      </c>
      <c r="C225" s="13" t="s">
        <v>3668</v>
      </c>
      <c r="E225" s="4" t="str">
        <f t="shared" si="1"/>
        <v>Yogyakarta-Kulon Progo</v>
      </c>
    </row>
    <row r="226">
      <c r="A226" s="11">
        <v>223.0</v>
      </c>
      <c r="B226" s="12" t="s">
        <v>3667</v>
      </c>
      <c r="C226" s="13" t="s">
        <v>3673</v>
      </c>
      <c r="E226" s="4" t="str">
        <f t="shared" si="1"/>
        <v>Yogyakarta-Sleman</v>
      </c>
    </row>
    <row r="227">
      <c r="A227" s="11">
        <v>224.0</v>
      </c>
      <c r="B227" s="12" t="s">
        <v>3667</v>
      </c>
      <c r="C227" s="13" t="s">
        <v>3680</v>
      </c>
      <c r="E227" s="4" t="str">
        <f t="shared" si="1"/>
        <v>Yogyakarta-Gunung Kidul</v>
      </c>
    </row>
    <row r="228">
      <c r="A228" s="11">
        <v>225.0</v>
      </c>
      <c r="B228" s="12" t="s">
        <v>3667</v>
      </c>
      <c r="C228" s="13" t="s">
        <v>3691</v>
      </c>
      <c r="E228" s="4" t="str">
        <f t="shared" si="1"/>
        <v>Yogyakarta-Kota Yogyakarta</v>
      </c>
    </row>
    <row r="229">
      <c r="A229" s="11">
        <v>226.0</v>
      </c>
      <c r="B229" s="12" t="s">
        <v>3667</v>
      </c>
      <c r="C229" s="13" t="s">
        <v>3700</v>
      </c>
      <c r="E229" s="4" t="str">
        <f t="shared" si="1"/>
        <v>Yogyakarta-Bantul</v>
      </c>
    </row>
    <row r="230">
      <c r="A230" s="11">
        <v>227.0</v>
      </c>
      <c r="B230" s="12" t="s">
        <v>3831</v>
      </c>
      <c r="C230" s="13" t="s">
        <v>3832</v>
      </c>
      <c r="E230" s="4" t="str">
        <f t="shared" si="1"/>
        <v>Jawa Timur-Bangkalan</v>
      </c>
    </row>
    <row r="231">
      <c r="A231" s="11">
        <v>228.0</v>
      </c>
      <c r="B231" s="12" t="s">
        <v>3831</v>
      </c>
      <c r="C231" s="13" t="s">
        <v>3835</v>
      </c>
      <c r="E231" s="4" t="str">
        <f t="shared" si="1"/>
        <v>Jawa Timur-Nganjuk</v>
      </c>
    </row>
    <row r="232">
      <c r="A232" s="11">
        <v>229.0</v>
      </c>
      <c r="B232" s="12" t="s">
        <v>3831</v>
      </c>
      <c r="C232" s="13" t="s">
        <v>3838</v>
      </c>
      <c r="E232" s="4" t="str">
        <f t="shared" si="1"/>
        <v>Jawa Timur-Ngawi</v>
      </c>
    </row>
    <row r="233">
      <c r="A233" s="11">
        <v>230.0</v>
      </c>
      <c r="B233" s="12" t="s">
        <v>3831</v>
      </c>
      <c r="C233" s="13" t="s">
        <v>3841</v>
      </c>
      <c r="E233" s="4" t="str">
        <f t="shared" si="1"/>
        <v>Jawa Timur-Pamekasan</v>
      </c>
    </row>
    <row r="234">
      <c r="A234" s="11">
        <v>231.0</v>
      </c>
      <c r="B234" s="12" t="s">
        <v>3831</v>
      </c>
      <c r="C234" s="13" t="s">
        <v>3844</v>
      </c>
      <c r="E234" s="4" t="str">
        <f t="shared" si="1"/>
        <v>Jawa Timur-Banyuwangi</v>
      </c>
    </row>
    <row r="235">
      <c r="A235" s="11">
        <v>232.0</v>
      </c>
      <c r="B235" s="12" t="s">
        <v>3831</v>
      </c>
      <c r="C235" s="13" t="s">
        <v>3847</v>
      </c>
      <c r="E235" s="4" t="str">
        <f t="shared" si="1"/>
        <v>Jawa Timur-Kota Surabaya</v>
      </c>
    </row>
    <row r="236">
      <c r="A236" s="11">
        <v>233.0</v>
      </c>
      <c r="B236" s="12" t="s">
        <v>3831</v>
      </c>
      <c r="C236" s="13" t="s">
        <v>3850</v>
      </c>
      <c r="E236" s="4" t="str">
        <f t="shared" si="1"/>
        <v>Jawa Timur-Tulungagung</v>
      </c>
    </row>
    <row r="237">
      <c r="A237" s="11">
        <v>234.0</v>
      </c>
      <c r="B237" s="12" t="s">
        <v>3831</v>
      </c>
      <c r="C237" s="13" t="s">
        <v>3853</v>
      </c>
      <c r="E237" s="4" t="str">
        <f t="shared" si="1"/>
        <v>Jawa Timur-Probolinggo</v>
      </c>
    </row>
    <row r="238">
      <c r="A238" s="11">
        <v>235.0</v>
      </c>
      <c r="B238" s="12" t="s">
        <v>3831</v>
      </c>
      <c r="C238" s="13" t="s">
        <v>3856</v>
      </c>
      <c r="E238" s="4" t="str">
        <f t="shared" si="1"/>
        <v>Jawa Timur-Lamongan</v>
      </c>
    </row>
    <row r="239">
      <c r="A239" s="11">
        <v>236.0</v>
      </c>
      <c r="B239" s="12" t="s">
        <v>3831</v>
      </c>
      <c r="C239" s="13" t="s">
        <v>3859</v>
      </c>
      <c r="E239" s="4" t="str">
        <f t="shared" si="1"/>
        <v>Jawa Timur-Blitar</v>
      </c>
    </row>
    <row r="240">
      <c r="A240" s="11">
        <v>237.0</v>
      </c>
      <c r="B240" s="12" t="s">
        <v>3831</v>
      </c>
      <c r="C240" s="13" t="s">
        <v>3862</v>
      </c>
      <c r="E240" s="4" t="str">
        <f t="shared" si="1"/>
        <v>Jawa Timur-Malang</v>
      </c>
    </row>
    <row r="241">
      <c r="A241" s="11">
        <v>238.0</v>
      </c>
      <c r="B241" s="12" t="s">
        <v>3831</v>
      </c>
      <c r="C241" s="13" t="s">
        <v>3865</v>
      </c>
      <c r="E241" s="4" t="str">
        <f t="shared" si="1"/>
        <v>Jawa Timur-Gresik</v>
      </c>
    </row>
    <row r="242">
      <c r="A242" s="11">
        <v>239.0</v>
      </c>
      <c r="B242" s="12" t="s">
        <v>3831</v>
      </c>
      <c r="C242" s="13" t="s">
        <v>3870</v>
      </c>
      <c r="E242" s="4" t="str">
        <f t="shared" si="1"/>
        <v>Jawa Timur-Sidoarjo</v>
      </c>
    </row>
    <row r="243">
      <c r="A243" s="11">
        <v>240.0</v>
      </c>
      <c r="B243" s="12" t="s">
        <v>3831</v>
      </c>
      <c r="C243" s="13" t="s">
        <v>3875</v>
      </c>
      <c r="E243" s="4" t="str">
        <f t="shared" si="1"/>
        <v>Jawa Timur-Pasuruan</v>
      </c>
    </row>
    <row r="244">
      <c r="A244" s="11">
        <v>241.0</v>
      </c>
      <c r="B244" s="12" t="s">
        <v>3831</v>
      </c>
      <c r="C244" s="13" t="s">
        <v>3878</v>
      </c>
      <c r="E244" s="4" t="str">
        <f t="shared" si="1"/>
        <v>Jawa Timur-Magetan</v>
      </c>
    </row>
    <row r="245">
      <c r="A245" s="11">
        <v>242.0</v>
      </c>
      <c r="B245" s="12" t="s">
        <v>3831</v>
      </c>
      <c r="C245" s="13" t="s">
        <v>3881</v>
      </c>
      <c r="E245" s="4" t="str">
        <f t="shared" si="1"/>
        <v>Jawa Timur-Pacitan</v>
      </c>
    </row>
    <row r="246">
      <c r="A246" s="11">
        <v>243.0</v>
      </c>
      <c r="B246" s="12" t="s">
        <v>3831</v>
      </c>
      <c r="C246" s="13" t="s">
        <v>3890</v>
      </c>
      <c r="E246" s="4" t="str">
        <f t="shared" si="1"/>
        <v>Jawa Timur-Jember</v>
      </c>
    </row>
    <row r="247">
      <c r="A247" s="11">
        <v>244.0</v>
      </c>
      <c r="B247" s="12" t="s">
        <v>3831</v>
      </c>
      <c r="C247" s="13" t="s">
        <v>3894</v>
      </c>
      <c r="E247" s="4" t="str">
        <f t="shared" si="1"/>
        <v>Jawa Timur-Kediri</v>
      </c>
    </row>
    <row r="248">
      <c r="A248" s="11">
        <v>245.0</v>
      </c>
      <c r="B248" s="12" t="s">
        <v>3831</v>
      </c>
      <c r="C248" s="13" t="s">
        <v>3897</v>
      </c>
      <c r="E248" s="4" t="str">
        <f t="shared" si="1"/>
        <v>Jawa Timur-Bojonegoro</v>
      </c>
    </row>
    <row r="249">
      <c r="A249" s="11">
        <v>246.0</v>
      </c>
      <c r="B249" s="12" t="s">
        <v>3831</v>
      </c>
      <c r="C249" s="13" t="s">
        <v>3906</v>
      </c>
      <c r="E249" s="4" t="str">
        <f t="shared" si="1"/>
        <v>Jawa Timur-Kota Madiun</v>
      </c>
    </row>
    <row r="250">
      <c r="A250" s="11">
        <v>247.0</v>
      </c>
      <c r="B250" s="12" t="s">
        <v>3831</v>
      </c>
      <c r="C250" s="13" t="s">
        <v>3909</v>
      </c>
      <c r="E250" s="4" t="str">
        <f t="shared" si="1"/>
        <v>Jawa Timur-Mojokerto</v>
      </c>
    </row>
    <row r="251">
      <c r="A251" s="11">
        <v>248.0</v>
      </c>
      <c r="B251" s="12" t="s">
        <v>3831</v>
      </c>
      <c r="C251" s="13" t="s">
        <v>3922</v>
      </c>
      <c r="E251" s="4" t="str">
        <f t="shared" si="1"/>
        <v>Jawa Timur-Kota Batu</v>
      </c>
    </row>
    <row r="252">
      <c r="A252" s="11">
        <v>249.0</v>
      </c>
      <c r="B252" s="12" t="s">
        <v>3831</v>
      </c>
      <c r="C252" s="13" t="s">
        <v>3925</v>
      </c>
      <c r="E252" s="4" t="str">
        <f t="shared" si="1"/>
        <v>Jawa Timur-Sampang</v>
      </c>
    </row>
    <row r="253">
      <c r="A253" s="11">
        <v>250.0</v>
      </c>
      <c r="B253" s="12" t="s">
        <v>3831</v>
      </c>
      <c r="C253" s="13" t="s">
        <v>3930</v>
      </c>
      <c r="E253" s="4" t="str">
        <f t="shared" si="1"/>
        <v>Jawa Timur-Kota Kediri</v>
      </c>
    </row>
    <row r="254">
      <c r="A254" s="11">
        <v>251.0</v>
      </c>
      <c r="B254" s="12" t="s">
        <v>3831</v>
      </c>
      <c r="C254" s="13" t="s">
        <v>3938</v>
      </c>
      <c r="E254" s="4" t="str">
        <f t="shared" si="1"/>
        <v>Jawa Timur-Kota Malang</v>
      </c>
    </row>
    <row r="255">
      <c r="A255" s="11">
        <v>252.0</v>
      </c>
      <c r="B255" s="12" t="s">
        <v>3831</v>
      </c>
      <c r="C255" s="13" t="s">
        <v>3956</v>
      </c>
      <c r="E255" s="4" t="str">
        <f t="shared" si="1"/>
        <v>Jawa Timur-Jombang</v>
      </c>
    </row>
    <row r="256">
      <c r="A256" s="11">
        <v>253.0</v>
      </c>
      <c r="B256" s="12" t="s">
        <v>3831</v>
      </c>
      <c r="C256" s="13" t="s">
        <v>3967</v>
      </c>
      <c r="E256" s="4" t="str">
        <f t="shared" si="1"/>
        <v>Jawa Timur-Situbondo</v>
      </c>
    </row>
    <row r="257">
      <c r="A257" s="11">
        <v>254.0</v>
      </c>
      <c r="B257" s="12" t="s">
        <v>3831</v>
      </c>
      <c r="C257" s="13" t="s">
        <v>3982</v>
      </c>
      <c r="E257" s="4" t="str">
        <f t="shared" si="1"/>
        <v>Jawa Timur-Tuban</v>
      </c>
    </row>
    <row r="258">
      <c r="A258" s="11">
        <v>255.0</v>
      </c>
      <c r="B258" s="12" t="s">
        <v>3831</v>
      </c>
      <c r="C258" s="13" t="s">
        <v>4013</v>
      </c>
      <c r="E258" s="4" t="str">
        <f t="shared" si="1"/>
        <v>Jawa Timur-Ponorogo</v>
      </c>
    </row>
    <row r="259">
      <c r="A259" s="11">
        <v>256.0</v>
      </c>
      <c r="B259" s="12" t="s">
        <v>3831</v>
      </c>
      <c r="C259" s="13" t="s">
        <v>4020</v>
      </c>
      <c r="E259" s="4" t="str">
        <f t="shared" si="1"/>
        <v>Jawa Timur-Kota Mojokerto</v>
      </c>
    </row>
    <row r="260">
      <c r="A260" s="11">
        <v>257.0</v>
      </c>
      <c r="B260" s="12" t="s">
        <v>3831</v>
      </c>
      <c r="C260" s="13" t="s">
        <v>4046</v>
      </c>
      <c r="E260" s="4" t="str">
        <f t="shared" si="1"/>
        <v>Jawa Timur-Kota Probolinggo</v>
      </c>
    </row>
    <row r="261">
      <c r="A261" s="11">
        <v>258.0</v>
      </c>
      <c r="B261" s="12" t="s">
        <v>3831</v>
      </c>
      <c r="C261" s="13" t="s">
        <v>4079</v>
      </c>
      <c r="E261" s="4" t="str">
        <f t="shared" si="1"/>
        <v>Jawa Timur-Sumenep</v>
      </c>
    </row>
    <row r="262">
      <c r="A262" s="11">
        <v>259.0</v>
      </c>
      <c r="B262" s="12" t="s">
        <v>3831</v>
      </c>
      <c r="C262" s="13" t="s">
        <v>4130</v>
      </c>
      <c r="E262" s="4" t="str">
        <f t="shared" si="1"/>
        <v>Jawa Timur-Bondowoso</v>
      </c>
    </row>
    <row r="263">
      <c r="A263" s="11">
        <v>260.0</v>
      </c>
      <c r="B263" s="12" t="s">
        <v>3831</v>
      </c>
      <c r="C263" s="13" t="s">
        <v>4135</v>
      </c>
      <c r="E263" s="4" t="str">
        <f t="shared" si="1"/>
        <v>Jawa Timur-Lumajang</v>
      </c>
    </row>
    <row r="264">
      <c r="A264" s="11">
        <v>261.0</v>
      </c>
      <c r="B264" s="12" t="s">
        <v>3831</v>
      </c>
      <c r="C264" s="13" t="s">
        <v>4156</v>
      </c>
      <c r="E264" s="4" t="str">
        <f t="shared" si="1"/>
        <v>Jawa Timur-Kota Pasuruan</v>
      </c>
    </row>
    <row r="265">
      <c r="A265" s="11">
        <v>262.0</v>
      </c>
      <c r="B265" s="12" t="s">
        <v>3831</v>
      </c>
      <c r="C265" s="13" t="s">
        <v>4179</v>
      </c>
      <c r="E265" s="4" t="str">
        <f t="shared" si="1"/>
        <v>Jawa Timur-Kota Blitar</v>
      </c>
    </row>
    <row r="266">
      <c r="A266" s="11">
        <v>263.0</v>
      </c>
      <c r="B266" s="12" t="s">
        <v>3831</v>
      </c>
      <c r="C266" s="13" t="s">
        <v>4190</v>
      </c>
      <c r="E266" s="4" t="str">
        <f t="shared" si="1"/>
        <v>Jawa Timur-Madiun</v>
      </c>
    </row>
    <row r="267">
      <c r="A267" s="11">
        <v>264.0</v>
      </c>
      <c r="B267" s="12" t="s">
        <v>3831</v>
      </c>
      <c r="C267" s="13" t="s">
        <v>4238</v>
      </c>
      <c r="E267" s="4" t="str">
        <f t="shared" si="1"/>
        <v>Jawa Timur-Trenggalek</v>
      </c>
    </row>
    <row r="268">
      <c r="A268" s="11">
        <v>265.0</v>
      </c>
      <c r="B268" s="12" t="s">
        <v>4720</v>
      </c>
      <c r="C268" s="13" t="s">
        <v>4721</v>
      </c>
      <c r="E268" s="4" t="str">
        <f t="shared" si="1"/>
        <v>Banten-Kota Cilegon</v>
      </c>
    </row>
    <row r="269">
      <c r="A269" s="11">
        <v>266.0</v>
      </c>
      <c r="B269" s="12" t="s">
        <v>4720</v>
      </c>
      <c r="C269" s="13" t="s">
        <v>4724</v>
      </c>
      <c r="E269" s="4" t="str">
        <f t="shared" si="1"/>
        <v>Banten-Serang</v>
      </c>
    </row>
    <row r="270">
      <c r="A270" s="11">
        <v>267.0</v>
      </c>
      <c r="B270" s="12" t="s">
        <v>4720</v>
      </c>
      <c r="C270" s="13" t="s">
        <v>4727</v>
      </c>
      <c r="E270" s="4" t="str">
        <f t="shared" si="1"/>
        <v>Banten-Lebak</v>
      </c>
    </row>
    <row r="271">
      <c r="A271" s="11">
        <v>268.0</v>
      </c>
      <c r="B271" s="12" t="s">
        <v>4720</v>
      </c>
      <c r="C271" s="13" t="s">
        <v>4730</v>
      </c>
      <c r="E271" s="4" t="str">
        <f t="shared" si="1"/>
        <v>Banten-Tangerang</v>
      </c>
    </row>
    <row r="272">
      <c r="A272" s="11">
        <v>269.0</v>
      </c>
      <c r="B272" s="12" t="s">
        <v>4720</v>
      </c>
      <c r="C272" s="13" t="s">
        <v>4733</v>
      </c>
      <c r="E272" s="4" t="str">
        <f t="shared" si="1"/>
        <v>Banten-Kota Tangerang Selatan</v>
      </c>
    </row>
    <row r="273">
      <c r="A273" s="11">
        <v>270.0</v>
      </c>
      <c r="B273" s="12" t="s">
        <v>4720</v>
      </c>
      <c r="C273" s="13" t="s">
        <v>4736</v>
      </c>
      <c r="E273" s="4" t="str">
        <f t="shared" si="1"/>
        <v>Banten-Kota Tangerang</v>
      </c>
    </row>
    <row r="274">
      <c r="A274" s="11">
        <v>271.0</v>
      </c>
      <c r="B274" s="12" t="s">
        <v>4720</v>
      </c>
      <c r="C274" s="13" t="s">
        <v>4745</v>
      </c>
      <c r="E274" s="4" t="str">
        <f t="shared" si="1"/>
        <v>Banten-Pandeglang</v>
      </c>
    </row>
    <row r="275">
      <c r="A275" s="11">
        <v>272.0</v>
      </c>
      <c r="B275" s="12" t="s">
        <v>4720</v>
      </c>
      <c r="C275" s="13" t="s">
        <v>4765</v>
      </c>
      <c r="E275" s="4" t="str">
        <f t="shared" si="1"/>
        <v>Banten-Kota Serang</v>
      </c>
    </row>
    <row r="276">
      <c r="A276" s="11">
        <v>273.0</v>
      </c>
      <c r="B276" s="12" t="s">
        <v>4985</v>
      </c>
      <c r="C276" s="13" t="s">
        <v>4986</v>
      </c>
      <c r="E276" s="4" t="str">
        <f t="shared" si="1"/>
        <v>Bali-Tabanan</v>
      </c>
    </row>
    <row r="277">
      <c r="A277" s="11">
        <v>274.0</v>
      </c>
      <c r="B277" s="12" t="s">
        <v>4985</v>
      </c>
      <c r="C277" s="13" t="s">
        <v>4989</v>
      </c>
      <c r="E277" s="4" t="str">
        <f t="shared" si="1"/>
        <v>Bali-Kota Denpasar</v>
      </c>
    </row>
    <row r="278">
      <c r="A278" s="11">
        <v>275.0</v>
      </c>
      <c r="B278" s="12" t="s">
        <v>4985</v>
      </c>
      <c r="C278" s="13" t="s">
        <v>4992</v>
      </c>
      <c r="E278" s="4" t="str">
        <f t="shared" si="1"/>
        <v>Bali-Badung</v>
      </c>
    </row>
    <row r="279">
      <c r="A279" s="11">
        <v>276.0</v>
      </c>
      <c r="B279" s="12" t="s">
        <v>4985</v>
      </c>
      <c r="C279" s="13" t="s">
        <v>4997</v>
      </c>
      <c r="E279" s="4" t="str">
        <f t="shared" si="1"/>
        <v>Bali-Gianyar</v>
      </c>
    </row>
    <row r="280">
      <c r="A280" s="11">
        <v>277.0</v>
      </c>
      <c r="B280" s="12" t="s">
        <v>4985</v>
      </c>
      <c r="C280" s="13" t="s">
        <v>5000</v>
      </c>
      <c r="E280" s="4" t="str">
        <f t="shared" si="1"/>
        <v>Bali-Buleleng</v>
      </c>
    </row>
    <row r="281">
      <c r="A281" s="11">
        <v>278.0</v>
      </c>
      <c r="B281" s="12" t="s">
        <v>4985</v>
      </c>
      <c r="C281" s="13" t="s">
        <v>5019</v>
      </c>
      <c r="E281" s="4" t="str">
        <f t="shared" si="1"/>
        <v>Bali-Karangasem</v>
      </c>
    </row>
    <row r="282">
      <c r="A282" s="11">
        <v>279.0</v>
      </c>
      <c r="B282" s="12" t="s">
        <v>4985</v>
      </c>
      <c r="C282" s="13" t="s">
        <v>5022</v>
      </c>
      <c r="E282" s="4" t="str">
        <f t="shared" si="1"/>
        <v>Bali-Bangli</v>
      </c>
    </row>
    <row r="283">
      <c r="A283" s="11">
        <v>280.0</v>
      </c>
      <c r="B283" s="12" t="s">
        <v>4985</v>
      </c>
      <c r="C283" s="13" t="s">
        <v>5051</v>
      </c>
      <c r="E283" s="4" t="str">
        <f t="shared" si="1"/>
        <v>Bali-Klungkung</v>
      </c>
    </row>
    <row r="284">
      <c r="A284" s="11">
        <v>281.0</v>
      </c>
      <c r="B284" s="12" t="s">
        <v>4985</v>
      </c>
      <c r="C284" s="13" t="s">
        <v>5056</v>
      </c>
      <c r="E284" s="4" t="str">
        <f t="shared" si="1"/>
        <v>Bali-Jembrana</v>
      </c>
    </row>
    <row r="285">
      <c r="A285" s="11">
        <v>282.0</v>
      </c>
      <c r="B285" s="12" t="s">
        <v>5146</v>
      </c>
      <c r="C285" s="13" t="s">
        <v>5147</v>
      </c>
      <c r="E285" s="4" t="str">
        <f t="shared" si="1"/>
        <v>Nusa Tenggara Barat-Lombok Timur</v>
      </c>
    </row>
    <row r="286">
      <c r="A286" s="11">
        <v>283.0</v>
      </c>
      <c r="B286" s="12" t="s">
        <v>5146</v>
      </c>
      <c r="C286" s="13" t="s">
        <v>5150</v>
      </c>
      <c r="E286" s="4" t="str">
        <f t="shared" si="1"/>
        <v>Nusa Tenggara Barat-Lombok Utara</v>
      </c>
    </row>
    <row r="287">
      <c r="A287" s="11">
        <v>284.0</v>
      </c>
      <c r="B287" s="12" t="s">
        <v>5146</v>
      </c>
      <c r="C287" s="13" t="s">
        <v>5153</v>
      </c>
      <c r="E287" s="4" t="str">
        <f t="shared" si="1"/>
        <v>Nusa Tenggara Barat-Bima</v>
      </c>
    </row>
    <row r="288">
      <c r="A288" s="11">
        <v>285.0</v>
      </c>
      <c r="B288" s="12" t="s">
        <v>5146</v>
      </c>
      <c r="C288" s="13" t="s">
        <v>5156</v>
      </c>
      <c r="E288" s="4" t="str">
        <f t="shared" si="1"/>
        <v>Nusa Tenggara Barat-Kota Mataram</v>
      </c>
    </row>
    <row r="289">
      <c r="A289" s="11">
        <v>286.0</v>
      </c>
      <c r="B289" s="12" t="s">
        <v>5146</v>
      </c>
      <c r="C289" s="13" t="s">
        <v>5159</v>
      </c>
      <c r="E289" s="4" t="str">
        <f t="shared" si="1"/>
        <v>Nusa Tenggara Barat-Sumbawa</v>
      </c>
    </row>
    <row r="290">
      <c r="A290" s="11">
        <v>287.0</v>
      </c>
      <c r="B290" s="12" t="s">
        <v>5146</v>
      </c>
      <c r="C290" s="13" t="s">
        <v>5172</v>
      </c>
      <c r="E290" s="4" t="str">
        <f t="shared" si="1"/>
        <v>Nusa Tenggara Barat-Lombok Tengah</v>
      </c>
    </row>
    <row r="291">
      <c r="A291" s="11">
        <v>288.0</v>
      </c>
      <c r="B291" s="12" t="s">
        <v>5146</v>
      </c>
      <c r="C291" s="13" t="s">
        <v>5178</v>
      </c>
      <c r="E291" s="4" t="str">
        <f t="shared" si="1"/>
        <v>Nusa Tenggara Barat-Sumbawa Barat</v>
      </c>
    </row>
    <row r="292">
      <c r="A292" s="11">
        <v>289.0</v>
      </c>
      <c r="B292" s="12" t="s">
        <v>5146</v>
      </c>
      <c r="C292" s="13" t="s">
        <v>5183</v>
      </c>
      <c r="E292" s="4" t="str">
        <f t="shared" si="1"/>
        <v>Nusa Tenggara Barat-Kota Bima</v>
      </c>
    </row>
    <row r="293">
      <c r="A293" s="11">
        <v>290.0</v>
      </c>
      <c r="B293" s="12" t="s">
        <v>5146</v>
      </c>
      <c r="C293" s="13" t="s">
        <v>5194</v>
      </c>
      <c r="E293" s="4" t="str">
        <f t="shared" si="1"/>
        <v>Nusa Tenggara Barat-Dompu</v>
      </c>
    </row>
    <row r="294">
      <c r="A294" s="11">
        <v>291.0</v>
      </c>
      <c r="B294" s="12" t="s">
        <v>5146</v>
      </c>
      <c r="C294" s="13" t="s">
        <v>5207</v>
      </c>
      <c r="E294" s="4" t="str">
        <f t="shared" si="1"/>
        <v>Nusa Tenggara Barat-Lombok Barat</v>
      </c>
    </row>
    <row r="295">
      <c r="A295" s="11">
        <v>292.0</v>
      </c>
      <c r="B295" s="12" t="s">
        <v>5247</v>
      </c>
      <c r="C295" s="13" t="s">
        <v>5248</v>
      </c>
      <c r="E295" s="4" t="str">
        <f t="shared" si="1"/>
        <v>Nusa Tenggara Timur-Ende</v>
      </c>
    </row>
    <row r="296">
      <c r="A296" s="11">
        <v>293.0</v>
      </c>
      <c r="B296" s="12" t="s">
        <v>5247</v>
      </c>
      <c r="C296" s="13" t="s">
        <v>5251</v>
      </c>
      <c r="E296" s="4" t="str">
        <f t="shared" si="1"/>
        <v>Nusa Tenggara Timur-Kota Kupang</v>
      </c>
    </row>
    <row r="297">
      <c r="A297" s="11">
        <v>294.0</v>
      </c>
      <c r="B297" s="12" t="s">
        <v>5247</v>
      </c>
      <c r="C297" s="13" t="s">
        <v>5254</v>
      </c>
      <c r="E297" s="4" t="str">
        <f t="shared" si="1"/>
        <v>Nusa Tenggara Timur-Sumba Timur</v>
      </c>
    </row>
    <row r="298">
      <c r="A298" s="11">
        <v>295.0</v>
      </c>
      <c r="B298" s="12" t="s">
        <v>5247</v>
      </c>
      <c r="C298" s="13" t="s">
        <v>5257</v>
      </c>
      <c r="E298" s="4" t="str">
        <f t="shared" si="1"/>
        <v>Nusa Tenggara Timur-Flores Timur</v>
      </c>
    </row>
    <row r="299">
      <c r="A299" s="11">
        <v>296.0</v>
      </c>
      <c r="B299" s="12" t="s">
        <v>5247</v>
      </c>
      <c r="C299" s="13" t="s">
        <v>5262</v>
      </c>
      <c r="E299" s="4" t="str">
        <f t="shared" si="1"/>
        <v>Nusa Tenggara Timur-Sumba Barat Daya</v>
      </c>
    </row>
    <row r="300">
      <c r="A300" s="11">
        <v>297.0</v>
      </c>
      <c r="B300" s="12" t="s">
        <v>5247</v>
      </c>
      <c r="C300" s="13" t="s">
        <v>5267</v>
      </c>
      <c r="E300" s="4" t="str">
        <f t="shared" si="1"/>
        <v>Nusa Tenggara Timur-Manggarai</v>
      </c>
    </row>
    <row r="301">
      <c r="A301" s="11">
        <v>298.0</v>
      </c>
      <c r="B301" s="12" t="s">
        <v>5247</v>
      </c>
      <c r="C301" s="13" t="s">
        <v>5276</v>
      </c>
      <c r="E301" s="4" t="str">
        <f t="shared" si="1"/>
        <v>Nusa Tenggara Timur-Nagekeo</v>
      </c>
    </row>
    <row r="302">
      <c r="A302" s="11">
        <v>299.0</v>
      </c>
      <c r="B302" s="12" t="s">
        <v>5247</v>
      </c>
      <c r="C302" s="13" t="s">
        <v>5279</v>
      </c>
      <c r="E302" s="4" t="str">
        <f t="shared" si="1"/>
        <v>Nusa Tenggara Timur-Timor Tengah Utara</v>
      </c>
    </row>
    <row r="303">
      <c r="A303" s="11">
        <v>300.0</v>
      </c>
      <c r="B303" s="12" t="s">
        <v>5247</v>
      </c>
      <c r="C303" s="13" t="s">
        <v>5282</v>
      </c>
      <c r="E303" s="4" t="str">
        <f t="shared" si="1"/>
        <v>Nusa Tenggara Timur-Lembata</v>
      </c>
    </row>
    <row r="304">
      <c r="A304" s="11">
        <v>301.0</v>
      </c>
      <c r="B304" s="12" t="s">
        <v>5247</v>
      </c>
      <c r="C304" s="13" t="s">
        <v>5285</v>
      </c>
      <c r="E304" s="4" t="str">
        <f t="shared" si="1"/>
        <v>Nusa Tenggara Timur-Kupang</v>
      </c>
    </row>
    <row r="305">
      <c r="A305" s="11">
        <v>302.0</v>
      </c>
      <c r="B305" s="12" t="s">
        <v>5247</v>
      </c>
      <c r="C305" s="13" t="s">
        <v>5296</v>
      </c>
      <c r="E305" s="4" t="str">
        <f t="shared" si="1"/>
        <v>Nusa Tenggara Timur-Timor Tengah Selatan</v>
      </c>
    </row>
    <row r="306">
      <c r="A306" s="11">
        <v>303.0</v>
      </c>
      <c r="B306" s="12" t="s">
        <v>5247</v>
      </c>
      <c r="C306" s="13" t="s">
        <v>5299</v>
      </c>
      <c r="E306" s="4" t="str">
        <f t="shared" si="1"/>
        <v>Nusa Tenggara Timur-Manggarai Timur</v>
      </c>
    </row>
    <row r="307">
      <c r="A307" s="11">
        <v>304.0</v>
      </c>
      <c r="B307" s="12" t="s">
        <v>5247</v>
      </c>
      <c r="C307" s="13" t="s">
        <v>5302</v>
      </c>
      <c r="E307" s="4" t="str">
        <f t="shared" si="1"/>
        <v>Nusa Tenggara Timur-Belu</v>
      </c>
    </row>
    <row r="308">
      <c r="A308" s="11">
        <v>305.0</v>
      </c>
      <c r="B308" s="12" t="s">
        <v>5247</v>
      </c>
      <c r="C308" s="13" t="s">
        <v>5305</v>
      </c>
      <c r="E308" s="4" t="str">
        <f t="shared" si="1"/>
        <v>Nusa Tenggara Timur-Sikka</v>
      </c>
    </row>
    <row r="309">
      <c r="A309" s="11">
        <v>306.0</v>
      </c>
      <c r="B309" s="12" t="s">
        <v>5247</v>
      </c>
      <c r="C309" s="13" t="s">
        <v>5316</v>
      </c>
      <c r="E309" s="4" t="str">
        <f t="shared" si="1"/>
        <v>Nusa Tenggara Timur-Manggarai Barat</v>
      </c>
    </row>
    <row r="310">
      <c r="A310" s="11">
        <v>307.0</v>
      </c>
      <c r="B310" s="12" t="s">
        <v>5247</v>
      </c>
      <c r="C310" s="13" t="s">
        <v>5321</v>
      </c>
      <c r="E310" s="4" t="str">
        <f t="shared" si="1"/>
        <v>Nusa Tenggara Timur-Malaka</v>
      </c>
    </row>
    <row r="311">
      <c r="A311" s="11">
        <v>308.0</v>
      </c>
      <c r="B311" s="12" t="s">
        <v>5247</v>
      </c>
      <c r="C311" s="13" t="s">
        <v>5330</v>
      </c>
      <c r="E311" s="4" t="str">
        <f t="shared" si="1"/>
        <v>Nusa Tenggara Timur-Alor</v>
      </c>
    </row>
    <row r="312">
      <c r="A312" s="11">
        <v>309.0</v>
      </c>
      <c r="B312" s="12" t="s">
        <v>5247</v>
      </c>
      <c r="C312" s="13" t="s">
        <v>5333</v>
      </c>
      <c r="E312" s="4" t="str">
        <f t="shared" si="1"/>
        <v>Nusa Tenggara Timur-Sumba Barat</v>
      </c>
    </row>
    <row r="313">
      <c r="A313" s="11">
        <v>310.0</v>
      </c>
      <c r="B313" s="12" t="s">
        <v>5247</v>
      </c>
      <c r="C313" s="13" t="s">
        <v>5336</v>
      </c>
      <c r="E313" s="4" t="str">
        <f t="shared" si="1"/>
        <v>Nusa Tenggara Timur-Ngada</v>
      </c>
    </row>
    <row r="314">
      <c r="A314" s="11">
        <v>311.0</v>
      </c>
      <c r="B314" s="12" t="s">
        <v>5247</v>
      </c>
      <c r="C314" s="13" t="s">
        <v>5379</v>
      </c>
      <c r="E314" s="4" t="str">
        <f t="shared" si="1"/>
        <v>Nusa Tenggara Timur-Sabu Raijua</v>
      </c>
    </row>
    <row r="315">
      <c r="A315" s="11">
        <v>312.0</v>
      </c>
      <c r="B315" s="12" t="s">
        <v>5247</v>
      </c>
      <c r="C315" s="13" t="s">
        <v>5386</v>
      </c>
      <c r="E315" s="4" t="str">
        <f t="shared" si="1"/>
        <v>Nusa Tenggara Timur-Rote Ndao</v>
      </c>
    </row>
    <row r="316">
      <c r="A316" s="11">
        <v>313.0</v>
      </c>
      <c r="B316" s="12" t="s">
        <v>5247</v>
      </c>
      <c r="C316" s="13" t="s">
        <v>5389</v>
      </c>
      <c r="E316" s="4" t="str">
        <f t="shared" si="1"/>
        <v>Nusa Tenggara Timur-Sumba Tengah</v>
      </c>
    </row>
    <row r="317">
      <c r="A317" s="11">
        <v>314.0</v>
      </c>
      <c r="B317" s="12" t="s">
        <v>5394</v>
      </c>
      <c r="C317" s="13" t="s">
        <v>5395</v>
      </c>
      <c r="E317" s="4" t="str">
        <f t="shared" si="1"/>
        <v>Kalimantan Barat-Bengkayang</v>
      </c>
    </row>
    <row r="318">
      <c r="A318" s="11">
        <v>315.0</v>
      </c>
      <c r="B318" s="12" t="s">
        <v>5394</v>
      </c>
      <c r="C318" s="13" t="s">
        <v>5398</v>
      </c>
      <c r="E318" s="4" t="str">
        <f t="shared" si="1"/>
        <v>Kalimantan Barat-Kota Singkawang</v>
      </c>
    </row>
    <row r="319">
      <c r="A319" s="11">
        <v>316.0</v>
      </c>
      <c r="B319" s="12" t="s">
        <v>5394</v>
      </c>
      <c r="C319" s="13" t="s">
        <v>5401</v>
      </c>
      <c r="E319" s="4" t="str">
        <f t="shared" si="1"/>
        <v>Kalimantan Barat-Sekadau</v>
      </c>
    </row>
    <row r="320">
      <c r="A320" s="11">
        <v>317.0</v>
      </c>
      <c r="B320" s="12" t="s">
        <v>5394</v>
      </c>
      <c r="C320" s="13" t="s">
        <v>5404</v>
      </c>
      <c r="E320" s="4" t="str">
        <f t="shared" si="1"/>
        <v>Kalimantan Barat-Kubu Raya</v>
      </c>
    </row>
    <row r="321">
      <c r="A321" s="11">
        <v>318.0</v>
      </c>
      <c r="B321" s="12" t="s">
        <v>5394</v>
      </c>
      <c r="C321" s="13" t="s">
        <v>5409</v>
      </c>
      <c r="E321" s="4" t="str">
        <f t="shared" si="1"/>
        <v>Kalimantan Barat-Kota Pontianak</v>
      </c>
    </row>
    <row r="322">
      <c r="A322" s="11">
        <v>319.0</v>
      </c>
      <c r="B322" s="12" t="s">
        <v>5394</v>
      </c>
      <c r="C322" s="13" t="s">
        <v>5412</v>
      </c>
      <c r="E322" s="4" t="str">
        <f t="shared" si="1"/>
        <v>Kalimantan Barat-Sambas</v>
      </c>
    </row>
    <row r="323">
      <c r="A323" s="11">
        <v>320.0</v>
      </c>
      <c r="B323" s="12" t="s">
        <v>5394</v>
      </c>
      <c r="C323" s="13" t="s">
        <v>5421</v>
      </c>
      <c r="E323" s="4" t="str">
        <f t="shared" si="1"/>
        <v>Kalimantan Barat-Mempawah</v>
      </c>
    </row>
    <row r="324">
      <c r="A324" s="11">
        <v>321.0</v>
      </c>
      <c r="B324" s="12" t="s">
        <v>5394</v>
      </c>
      <c r="C324" s="13" t="s">
        <v>5424</v>
      </c>
      <c r="E324" s="4" t="str">
        <f t="shared" si="1"/>
        <v>Kalimantan Barat-Ketapang</v>
      </c>
    </row>
    <row r="325">
      <c r="A325" s="11">
        <v>322.0</v>
      </c>
      <c r="B325" s="12" t="s">
        <v>5394</v>
      </c>
      <c r="C325" s="13" t="s">
        <v>5427</v>
      </c>
      <c r="E325" s="4" t="str">
        <f t="shared" si="1"/>
        <v>Kalimantan Barat-Melawi</v>
      </c>
    </row>
    <row r="326">
      <c r="A326" s="11">
        <v>323.0</v>
      </c>
      <c r="B326" s="12" t="s">
        <v>5394</v>
      </c>
      <c r="C326" s="13" t="s">
        <v>5434</v>
      </c>
      <c r="E326" s="4" t="str">
        <f t="shared" si="1"/>
        <v>Kalimantan Barat-Sanggau</v>
      </c>
    </row>
    <row r="327">
      <c r="A327" s="11">
        <v>324.0</v>
      </c>
      <c r="B327" s="12" t="s">
        <v>5394</v>
      </c>
      <c r="C327" s="13" t="s">
        <v>5449</v>
      </c>
      <c r="E327" s="4" t="str">
        <f t="shared" si="1"/>
        <v>Kalimantan Barat-Sintang</v>
      </c>
    </row>
    <row r="328">
      <c r="A328" s="11">
        <v>325.0</v>
      </c>
      <c r="B328" s="12" t="s">
        <v>5394</v>
      </c>
      <c r="C328" s="13" t="s">
        <v>5474</v>
      </c>
      <c r="E328" s="4" t="str">
        <f t="shared" si="1"/>
        <v>Kalimantan Barat-Kapuas Hulu</v>
      </c>
    </row>
    <row r="329">
      <c r="A329" s="11">
        <v>326.0</v>
      </c>
      <c r="B329" s="12" t="s">
        <v>5394</v>
      </c>
      <c r="C329" s="13" t="s">
        <v>5479</v>
      </c>
      <c r="E329" s="4" t="str">
        <f t="shared" si="1"/>
        <v>Kalimantan Barat-Landak</v>
      </c>
    </row>
    <row r="330">
      <c r="A330" s="11">
        <v>327.0</v>
      </c>
      <c r="B330" s="12" t="s">
        <v>5394</v>
      </c>
      <c r="C330" s="13" t="s">
        <v>5502</v>
      </c>
      <c r="E330" s="4" t="str">
        <f t="shared" si="1"/>
        <v>Kalimantan Barat-Kayong Utara</v>
      </c>
    </row>
    <row r="331">
      <c r="A331" s="11">
        <v>328.0</v>
      </c>
      <c r="B331" s="12" t="s">
        <v>5525</v>
      </c>
      <c r="C331" s="13" t="s">
        <v>5526</v>
      </c>
      <c r="E331" s="4" t="str">
        <f t="shared" si="1"/>
        <v>Kalimantan Tengah-Kota Palangka Raya</v>
      </c>
    </row>
    <row r="332">
      <c r="A332" s="11">
        <v>329.0</v>
      </c>
      <c r="B332" s="12" t="s">
        <v>5525</v>
      </c>
      <c r="C332" s="13" t="s">
        <v>5533</v>
      </c>
      <c r="E332" s="4" t="str">
        <f t="shared" si="1"/>
        <v>Kalimantan Tengah-Murung Raya</v>
      </c>
    </row>
    <row r="333">
      <c r="A333" s="11">
        <v>330.0</v>
      </c>
      <c r="B333" s="12" t="s">
        <v>5525</v>
      </c>
      <c r="C333" s="13" t="s">
        <v>5536</v>
      </c>
      <c r="E333" s="4" t="str">
        <f t="shared" si="1"/>
        <v>Kalimantan Tengah-Kotawaringin Timur</v>
      </c>
    </row>
    <row r="334">
      <c r="A334" s="11">
        <v>331.0</v>
      </c>
      <c r="B334" s="12" t="s">
        <v>5525</v>
      </c>
      <c r="C334" s="13" t="s">
        <v>5539</v>
      </c>
      <c r="E334" s="4" t="str">
        <f t="shared" si="1"/>
        <v>Kalimantan Tengah-Lamandau</v>
      </c>
    </row>
    <row r="335">
      <c r="A335" s="11">
        <v>332.0</v>
      </c>
      <c r="B335" s="12" t="s">
        <v>5525</v>
      </c>
      <c r="C335" s="13" t="s">
        <v>5542</v>
      </c>
      <c r="E335" s="4" t="str">
        <f t="shared" si="1"/>
        <v>Kalimantan Tengah-Kapuas</v>
      </c>
    </row>
    <row r="336">
      <c r="A336" s="11">
        <v>333.0</v>
      </c>
      <c r="B336" s="12" t="s">
        <v>5525</v>
      </c>
      <c r="C336" s="13" t="s">
        <v>5545</v>
      </c>
      <c r="E336" s="4" t="str">
        <f t="shared" si="1"/>
        <v>Kalimantan Tengah-Pulang Pisau</v>
      </c>
    </row>
    <row r="337">
      <c r="A337" s="11">
        <v>334.0</v>
      </c>
      <c r="B337" s="12" t="s">
        <v>5525</v>
      </c>
      <c r="C337" s="13" t="s">
        <v>5548</v>
      </c>
      <c r="E337" s="4" t="str">
        <f t="shared" si="1"/>
        <v>Kalimantan Tengah-Kotawaringin Barat</v>
      </c>
    </row>
    <row r="338">
      <c r="A338" s="11">
        <v>335.0</v>
      </c>
      <c r="B338" s="12" t="s">
        <v>5525</v>
      </c>
      <c r="C338" s="13" t="s">
        <v>5551</v>
      </c>
      <c r="E338" s="4" t="str">
        <f t="shared" si="1"/>
        <v>Kalimantan Tengah-Barito Selatan</v>
      </c>
    </row>
    <row r="339">
      <c r="A339" s="11">
        <v>336.0</v>
      </c>
      <c r="B339" s="12" t="s">
        <v>5525</v>
      </c>
      <c r="C339" s="13" t="s">
        <v>5563</v>
      </c>
      <c r="E339" s="4" t="str">
        <f t="shared" si="1"/>
        <v>Kalimantan Tengah-Barito Utara</v>
      </c>
    </row>
    <row r="340">
      <c r="A340" s="11">
        <v>337.0</v>
      </c>
      <c r="B340" s="12" t="s">
        <v>5525</v>
      </c>
      <c r="C340" s="13" t="s">
        <v>5566</v>
      </c>
      <c r="E340" s="4" t="str">
        <f t="shared" si="1"/>
        <v>Kalimantan Tengah-Gunung Mas</v>
      </c>
    </row>
    <row r="341">
      <c r="A341" s="11">
        <v>338.0</v>
      </c>
      <c r="B341" s="12" t="s">
        <v>5525</v>
      </c>
      <c r="C341" s="13" t="s">
        <v>5571</v>
      </c>
      <c r="E341" s="4" t="str">
        <f t="shared" si="1"/>
        <v>Kalimantan Tengah-Sukamara</v>
      </c>
    </row>
    <row r="342">
      <c r="A342" s="11">
        <v>339.0</v>
      </c>
      <c r="B342" s="12" t="s">
        <v>5525</v>
      </c>
      <c r="C342" s="13" t="s">
        <v>5574</v>
      </c>
      <c r="E342" s="4" t="str">
        <f t="shared" si="1"/>
        <v>Kalimantan Tengah-Katingan</v>
      </c>
    </row>
    <row r="343">
      <c r="A343" s="11">
        <v>340.0</v>
      </c>
      <c r="B343" s="12" t="s">
        <v>5525</v>
      </c>
      <c r="C343" s="13" t="s">
        <v>5579</v>
      </c>
      <c r="E343" s="4" t="str">
        <f t="shared" si="1"/>
        <v>Kalimantan Tengah-Seruyan</v>
      </c>
    </row>
    <row r="344">
      <c r="A344" s="11">
        <v>341.0</v>
      </c>
      <c r="B344" s="12" t="s">
        <v>5525</v>
      </c>
      <c r="C344" s="13" t="s">
        <v>5600</v>
      </c>
      <c r="E344" s="4" t="str">
        <f t="shared" si="1"/>
        <v>Kalimantan Tengah-Barito Timur</v>
      </c>
    </row>
    <row r="345">
      <c r="A345" s="11">
        <v>342.0</v>
      </c>
      <c r="B345" s="12" t="s">
        <v>5603</v>
      </c>
      <c r="C345" s="13" t="s">
        <v>5604</v>
      </c>
      <c r="E345" s="4" t="str">
        <f t="shared" si="1"/>
        <v>Kalimantan Selatan-Tanah Laut</v>
      </c>
    </row>
    <row r="346">
      <c r="A346" s="11">
        <v>343.0</v>
      </c>
      <c r="B346" s="12" t="s">
        <v>5603</v>
      </c>
      <c r="C346" s="13" t="s">
        <v>5607</v>
      </c>
      <c r="E346" s="4" t="str">
        <f t="shared" si="1"/>
        <v>Kalimantan Selatan-Kota Banjarmasin</v>
      </c>
    </row>
    <row r="347">
      <c r="A347" s="11">
        <v>344.0</v>
      </c>
      <c r="B347" s="12" t="s">
        <v>5603</v>
      </c>
      <c r="C347" s="13" t="s">
        <v>5611</v>
      </c>
      <c r="E347" s="4" t="str">
        <f t="shared" si="1"/>
        <v>Kalimantan Selatan-Hulu Sungai Selatan</v>
      </c>
    </row>
    <row r="348">
      <c r="A348" s="11">
        <v>345.0</v>
      </c>
      <c r="B348" s="12" t="s">
        <v>5603</v>
      </c>
      <c r="C348" s="13" t="s">
        <v>5614</v>
      </c>
      <c r="E348" s="4" t="str">
        <f t="shared" si="1"/>
        <v>Kalimantan Selatan-Banjar</v>
      </c>
    </row>
    <row r="349">
      <c r="A349" s="11">
        <v>346.0</v>
      </c>
      <c r="B349" s="12" t="s">
        <v>5603</v>
      </c>
      <c r="C349" s="13" t="s">
        <v>5619</v>
      </c>
      <c r="E349" s="4" t="str">
        <f t="shared" si="1"/>
        <v>Kalimantan Selatan-Kota baru</v>
      </c>
    </row>
    <row r="350">
      <c r="A350" s="11">
        <v>347.0</v>
      </c>
      <c r="B350" s="12" t="s">
        <v>5603</v>
      </c>
      <c r="C350" s="13" t="s">
        <v>5622</v>
      </c>
      <c r="E350" s="4" t="str">
        <f t="shared" si="1"/>
        <v>Kalimantan Selatan-Tabalong</v>
      </c>
    </row>
    <row r="351">
      <c r="A351" s="11">
        <v>348.0</v>
      </c>
      <c r="B351" s="12" t="s">
        <v>5603</v>
      </c>
      <c r="C351" s="13" t="s">
        <v>5626</v>
      </c>
      <c r="E351" s="4" t="str">
        <f t="shared" si="1"/>
        <v>Kalimantan Selatan-Balangan</v>
      </c>
    </row>
    <row r="352">
      <c r="A352" s="11">
        <v>349.0</v>
      </c>
      <c r="B352" s="12" t="s">
        <v>5603</v>
      </c>
      <c r="C352" s="13" t="s">
        <v>5629</v>
      </c>
      <c r="E352" s="4" t="str">
        <f t="shared" si="1"/>
        <v>Kalimantan Selatan-Kota Banjar baru</v>
      </c>
    </row>
    <row r="353">
      <c r="A353" s="11">
        <v>350.0</v>
      </c>
      <c r="B353" s="12" t="s">
        <v>5603</v>
      </c>
      <c r="C353" s="13" t="s">
        <v>5642</v>
      </c>
      <c r="E353" s="4" t="str">
        <f t="shared" si="1"/>
        <v>Kalimantan Selatan-Tanah Bumbu</v>
      </c>
    </row>
    <row r="354">
      <c r="A354" s="11">
        <v>351.0</v>
      </c>
      <c r="B354" s="12" t="s">
        <v>5603</v>
      </c>
      <c r="C354" s="13" t="s">
        <v>5645</v>
      </c>
      <c r="E354" s="4" t="str">
        <f t="shared" si="1"/>
        <v>Kalimantan Selatan-Tapin</v>
      </c>
    </row>
    <row r="355">
      <c r="A355" s="11">
        <v>352.0</v>
      </c>
      <c r="B355" s="12" t="s">
        <v>5603</v>
      </c>
      <c r="C355" s="13" t="s">
        <v>5648</v>
      </c>
      <c r="E355" s="4" t="str">
        <f t="shared" si="1"/>
        <v>Kalimantan Selatan-Barito Kuala</v>
      </c>
    </row>
    <row r="356">
      <c r="A356" s="11">
        <v>353.0</v>
      </c>
      <c r="B356" s="12" t="s">
        <v>5603</v>
      </c>
      <c r="C356" s="13" t="s">
        <v>5657</v>
      </c>
      <c r="E356" s="4" t="str">
        <f t="shared" si="1"/>
        <v>Kalimantan Selatan-Hulu Sungai Utara</v>
      </c>
    </row>
    <row r="357">
      <c r="A357" s="11">
        <v>354.0</v>
      </c>
      <c r="B357" s="12" t="s">
        <v>5603</v>
      </c>
      <c r="C357" s="13" t="s">
        <v>5707</v>
      </c>
      <c r="E357" s="4" t="str">
        <f t="shared" si="1"/>
        <v>Kalimantan Selatan-Hulu Sungai Tengah</v>
      </c>
    </row>
    <row r="358">
      <c r="A358" s="11">
        <v>355.0</v>
      </c>
      <c r="B358" s="12" t="s">
        <v>5713</v>
      </c>
      <c r="C358" s="13" t="s">
        <v>5714</v>
      </c>
      <c r="E358" s="4" t="str">
        <f t="shared" si="1"/>
        <v>Kalimantan Timur-Berau</v>
      </c>
    </row>
    <row r="359">
      <c r="A359" s="11">
        <v>356.0</v>
      </c>
      <c r="B359" s="12" t="s">
        <v>5713</v>
      </c>
      <c r="C359" s="13" t="s">
        <v>5717</v>
      </c>
      <c r="E359" s="4" t="str">
        <f t="shared" si="1"/>
        <v>Kalimantan Timur-Kota Balikpapan</v>
      </c>
    </row>
    <row r="360">
      <c r="A360" s="11">
        <v>357.0</v>
      </c>
      <c r="B360" s="12" t="s">
        <v>5713</v>
      </c>
      <c r="C360" s="13" t="s">
        <v>5720</v>
      </c>
      <c r="E360" s="4" t="str">
        <f t="shared" si="1"/>
        <v>Kalimantan Timur-Kutai Timur</v>
      </c>
    </row>
    <row r="361">
      <c r="A361" s="11">
        <v>358.0</v>
      </c>
      <c r="B361" s="12" t="s">
        <v>5713</v>
      </c>
      <c r="C361" s="13" t="s">
        <v>5725</v>
      </c>
      <c r="E361" s="4" t="str">
        <f t="shared" si="1"/>
        <v>Kalimantan Timur-Kota Samarinda</v>
      </c>
    </row>
    <row r="362">
      <c r="A362" s="11">
        <v>359.0</v>
      </c>
      <c r="B362" s="12" t="s">
        <v>5713</v>
      </c>
      <c r="C362" s="13" t="s">
        <v>5728</v>
      </c>
      <c r="E362" s="4" t="str">
        <f t="shared" si="1"/>
        <v>Kalimantan Timur-Kutai Kartanegara</v>
      </c>
    </row>
    <row r="363">
      <c r="A363" s="11">
        <v>360.0</v>
      </c>
      <c r="B363" s="12" t="s">
        <v>5713</v>
      </c>
      <c r="C363" s="13" t="s">
        <v>5731</v>
      </c>
      <c r="E363" s="4" t="str">
        <f t="shared" si="1"/>
        <v>Kalimantan Timur-Penajam Paser Utara</v>
      </c>
    </row>
    <row r="364">
      <c r="A364" s="11">
        <v>361.0</v>
      </c>
      <c r="B364" s="12" t="s">
        <v>5713</v>
      </c>
      <c r="C364" s="13" t="s">
        <v>5744</v>
      </c>
      <c r="E364" s="4" t="str">
        <f t="shared" si="1"/>
        <v>Kalimantan Timur-Kota Bontang</v>
      </c>
    </row>
    <row r="365">
      <c r="A365" s="11">
        <v>362.0</v>
      </c>
      <c r="B365" s="12" t="s">
        <v>5713</v>
      </c>
      <c r="C365" s="13" t="s">
        <v>5770</v>
      </c>
      <c r="E365" s="4" t="str">
        <f t="shared" si="1"/>
        <v>Kalimantan Timur-Paser</v>
      </c>
    </row>
    <row r="366">
      <c r="A366" s="11">
        <v>363.0</v>
      </c>
      <c r="B366" s="12" t="s">
        <v>5713</v>
      </c>
      <c r="C366" s="13" t="s">
        <v>5775</v>
      </c>
      <c r="E366" s="4" t="str">
        <f t="shared" si="1"/>
        <v>Kalimantan Timur-Kutai Barat</v>
      </c>
    </row>
    <row r="367">
      <c r="A367" s="11">
        <v>364.0</v>
      </c>
      <c r="B367" s="12" t="s">
        <v>5713</v>
      </c>
      <c r="C367" s="13" t="s">
        <v>5826</v>
      </c>
      <c r="E367" s="4" t="str">
        <f t="shared" si="1"/>
        <v>Kalimantan Timur-Mahakam Hulu</v>
      </c>
    </row>
    <row r="368">
      <c r="A368" s="11">
        <v>365.0</v>
      </c>
      <c r="B368" s="12" t="s">
        <v>5839</v>
      </c>
      <c r="C368" s="13" t="s">
        <v>5840</v>
      </c>
      <c r="E368" s="4" t="str">
        <f t="shared" si="1"/>
        <v>Kalimantan Utara-Kota Tarakan</v>
      </c>
    </row>
    <row r="369">
      <c r="A369" s="11">
        <v>366.0</v>
      </c>
      <c r="B369" s="12" t="s">
        <v>5839</v>
      </c>
      <c r="C369" s="13" t="s">
        <v>5847</v>
      </c>
      <c r="E369" s="4" t="str">
        <f t="shared" si="1"/>
        <v>Kalimantan Utara-Malinau</v>
      </c>
    </row>
    <row r="370">
      <c r="A370" s="11">
        <v>367.0</v>
      </c>
      <c r="B370" s="12" t="s">
        <v>5839</v>
      </c>
      <c r="C370" s="13" t="s">
        <v>5850</v>
      </c>
      <c r="E370" s="4" t="str">
        <f t="shared" si="1"/>
        <v>Kalimantan Utara-Nunukan</v>
      </c>
    </row>
    <row r="371">
      <c r="A371" s="11">
        <v>368.0</v>
      </c>
      <c r="B371" s="12" t="s">
        <v>5839</v>
      </c>
      <c r="C371" s="13" t="s">
        <v>5855</v>
      </c>
      <c r="E371" s="4" t="str">
        <f t="shared" si="1"/>
        <v>Kalimantan Utara-Tana Tidung</v>
      </c>
    </row>
    <row r="372">
      <c r="A372" s="11">
        <v>369.0</v>
      </c>
      <c r="B372" s="12" t="s">
        <v>5839</v>
      </c>
      <c r="C372" s="13" t="s">
        <v>5862</v>
      </c>
      <c r="E372" s="4" t="str">
        <f t="shared" si="1"/>
        <v>Kalimantan Utara-Bulungan</v>
      </c>
    </row>
    <row r="373">
      <c r="A373" s="11">
        <v>370.0</v>
      </c>
      <c r="B373" s="12" t="s">
        <v>5879</v>
      </c>
      <c r="C373" s="13" t="s">
        <v>5880</v>
      </c>
      <c r="E373" s="4" t="str">
        <f t="shared" si="1"/>
        <v>Sulawesi Utara-Minahasa</v>
      </c>
    </row>
    <row r="374">
      <c r="A374" s="11">
        <v>371.0</v>
      </c>
      <c r="B374" s="12" t="s">
        <v>5879</v>
      </c>
      <c r="C374" s="13" t="s">
        <v>5883</v>
      </c>
      <c r="E374" s="4" t="str">
        <f t="shared" si="1"/>
        <v>Sulawesi Utara-Minahasa Tenggara</v>
      </c>
    </row>
    <row r="375">
      <c r="A375" s="11">
        <v>372.0</v>
      </c>
      <c r="B375" s="12" t="s">
        <v>5879</v>
      </c>
      <c r="C375" s="13" t="s">
        <v>5886</v>
      </c>
      <c r="E375" s="4" t="str">
        <f t="shared" si="1"/>
        <v>Sulawesi Utara-Kota Kotamobagu</v>
      </c>
    </row>
    <row r="376">
      <c r="A376" s="11">
        <v>373.0</v>
      </c>
      <c r="B376" s="12" t="s">
        <v>5879</v>
      </c>
      <c r="C376" s="13" t="s">
        <v>5891</v>
      </c>
      <c r="E376" s="4" t="str">
        <f t="shared" si="1"/>
        <v>Sulawesi Utara-Kota Manado</v>
      </c>
    </row>
    <row r="377">
      <c r="A377" s="11">
        <v>374.0</v>
      </c>
      <c r="B377" s="12" t="s">
        <v>5879</v>
      </c>
      <c r="C377" s="13" t="s">
        <v>5894</v>
      </c>
      <c r="E377" s="4" t="str">
        <f t="shared" si="1"/>
        <v>Sulawesi Utara-Minahasa Utara</v>
      </c>
    </row>
    <row r="378">
      <c r="A378" s="11">
        <v>375.0</v>
      </c>
      <c r="B378" s="12" t="s">
        <v>5879</v>
      </c>
      <c r="C378" s="13" t="s">
        <v>5898</v>
      </c>
      <c r="E378" s="4" t="str">
        <f t="shared" si="1"/>
        <v>Sulawesi Utara-Kepulauan Sangihe</v>
      </c>
    </row>
    <row r="379">
      <c r="A379" s="11">
        <v>376.0</v>
      </c>
      <c r="B379" s="12" t="s">
        <v>5879</v>
      </c>
      <c r="C379" s="13" t="s">
        <v>5903</v>
      </c>
      <c r="E379" s="4" t="str">
        <f t="shared" si="1"/>
        <v>Sulawesi Utara-Kepulauan Siau Tagulandang Biaro</v>
      </c>
    </row>
    <row r="380">
      <c r="A380" s="11">
        <v>377.0</v>
      </c>
      <c r="B380" s="12" t="s">
        <v>5879</v>
      </c>
      <c r="C380" s="13" t="s">
        <v>5906</v>
      </c>
      <c r="E380" s="4" t="str">
        <f t="shared" si="1"/>
        <v>Sulawesi Utara-Bolaang Mongondow Utara</v>
      </c>
    </row>
    <row r="381">
      <c r="A381" s="11">
        <v>378.0</v>
      </c>
      <c r="B381" s="12" t="s">
        <v>5879</v>
      </c>
      <c r="C381" s="13" t="s">
        <v>5909</v>
      </c>
      <c r="E381" s="4" t="str">
        <f t="shared" si="1"/>
        <v>Sulawesi Utara-Kota Tomohon</v>
      </c>
    </row>
    <row r="382">
      <c r="A382" s="11">
        <v>379.0</v>
      </c>
      <c r="B382" s="12" t="s">
        <v>5879</v>
      </c>
      <c r="C382" s="13" t="s">
        <v>5916</v>
      </c>
      <c r="E382" s="4" t="str">
        <f t="shared" si="1"/>
        <v>Sulawesi Utara-Kota Bitung</v>
      </c>
    </row>
    <row r="383">
      <c r="A383" s="11">
        <v>380.0</v>
      </c>
      <c r="B383" s="12" t="s">
        <v>5879</v>
      </c>
      <c r="C383" s="13" t="s">
        <v>5919</v>
      </c>
      <c r="E383" s="4" t="str">
        <f t="shared" si="1"/>
        <v>Sulawesi Utara-Bolaang Mongondow Selatan</v>
      </c>
    </row>
    <row r="384">
      <c r="A384" s="11">
        <v>381.0</v>
      </c>
      <c r="B384" s="12" t="s">
        <v>5879</v>
      </c>
      <c r="C384" s="13" t="s">
        <v>5930</v>
      </c>
      <c r="E384" s="4" t="str">
        <f t="shared" si="1"/>
        <v>Sulawesi Utara-Minahasa Selatan</v>
      </c>
    </row>
    <row r="385">
      <c r="A385" s="11">
        <v>382.0</v>
      </c>
      <c r="B385" s="12" t="s">
        <v>5879</v>
      </c>
      <c r="C385" s="13" t="s">
        <v>5963</v>
      </c>
      <c r="E385" s="4" t="str">
        <f t="shared" si="1"/>
        <v>Sulawesi Utara-Bolaang Mongondow Timur</v>
      </c>
    </row>
    <row r="386">
      <c r="A386" s="11">
        <v>383.0</v>
      </c>
      <c r="B386" s="12" t="s">
        <v>5879</v>
      </c>
      <c r="C386" s="13" t="s">
        <v>5976</v>
      </c>
      <c r="E386" s="4" t="str">
        <f t="shared" si="1"/>
        <v>Sulawesi Utara-Kepulauan Talaud</v>
      </c>
    </row>
    <row r="387">
      <c r="A387" s="11">
        <v>384.0</v>
      </c>
      <c r="B387" s="12" t="s">
        <v>5879</v>
      </c>
      <c r="C387" s="13" t="s">
        <v>5995</v>
      </c>
      <c r="E387" s="4" t="str">
        <f t="shared" si="1"/>
        <v>Sulawesi Utara-Bolaang Mongondow</v>
      </c>
    </row>
    <row r="388">
      <c r="A388" s="11">
        <v>385.0</v>
      </c>
      <c r="B388" s="12" t="s">
        <v>6010</v>
      </c>
      <c r="C388" s="13" t="s">
        <v>6011</v>
      </c>
      <c r="E388" s="4" t="str">
        <f t="shared" si="1"/>
        <v>Sulawesi Tengah-Banggai Kepulauan</v>
      </c>
    </row>
    <row r="389">
      <c r="A389" s="11">
        <v>386.0</v>
      </c>
      <c r="B389" s="12" t="s">
        <v>6010</v>
      </c>
      <c r="C389" s="13" t="s">
        <v>6014</v>
      </c>
      <c r="E389" s="4" t="str">
        <f t="shared" si="1"/>
        <v>Sulawesi Tengah-Poso</v>
      </c>
    </row>
    <row r="390">
      <c r="A390" s="11">
        <v>387.0</v>
      </c>
      <c r="B390" s="12" t="s">
        <v>6010</v>
      </c>
      <c r="C390" s="13" t="s">
        <v>6019</v>
      </c>
      <c r="E390" s="4" t="str">
        <f t="shared" si="1"/>
        <v>Sulawesi Tengah-Kota Palu</v>
      </c>
    </row>
    <row r="391">
      <c r="A391" s="11">
        <v>388.0</v>
      </c>
      <c r="B391" s="12" t="s">
        <v>6010</v>
      </c>
      <c r="C391" s="13" t="s">
        <v>6022</v>
      </c>
      <c r="E391" s="4" t="str">
        <f t="shared" si="1"/>
        <v>Sulawesi Tengah-Tojo Una-Una</v>
      </c>
    </row>
    <row r="392">
      <c r="A392" s="11">
        <v>389.0</v>
      </c>
      <c r="B392" s="12" t="s">
        <v>6010</v>
      </c>
      <c r="C392" s="13" t="s">
        <v>6027</v>
      </c>
      <c r="E392" s="4" t="str">
        <f t="shared" si="1"/>
        <v>Sulawesi Tengah-Parigi Moutong</v>
      </c>
    </row>
    <row r="393">
      <c r="A393" s="11">
        <v>390.0</v>
      </c>
      <c r="B393" s="12" t="s">
        <v>6010</v>
      </c>
      <c r="C393" s="13" t="s">
        <v>6034</v>
      </c>
      <c r="E393" s="4" t="str">
        <f t="shared" si="1"/>
        <v>Sulawesi Tengah-Donggala</v>
      </c>
    </row>
    <row r="394">
      <c r="A394" s="11">
        <v>391.0</v>
      </c>
      <c r="B394" s="12" t="s">
        <v>6010</v>
      </c>
      <c r="C394" s="13" t="s">
        <v>6039</v>
      </c>
      <c r="E394" s="4" t="str">
        <f t="shared" si="1"/>
        <v>Sulawesi Tengah-Banggai Laut</v>
      </c>
    </row>
    <row r="395">
      <c r="A395" s="11">
        <v>392.0</v>
      </c>
      <c r="B395" s="12" t="s">
        <v>6010</v>
      </c>
      <c r="C395" s="13" t="s">
        <v>6042</v>
      </c>
      <c r="E395" s="4" t="str">
        <f t="shared" si="1"/>
        <v>Sulawesi Tengah-Morowali Utara</v>
      </c>
    </row>
    <row r="396">
      <c r="A396" s="11">
        <v>393.0</v>
      </c>
      <c r="B396" s="12" t="s">
        <v>6010</v>
      </c>
      <c r="C396" s="13" t="s">
        <v>6045</v>
      </c>
      <c r="E396" s="4" t="str">
        <f t="shared" si="1"/>
        <v>Sulawesi Tengah-Toli-Toli</v>
      </c>
    </row>
    <row r="397">
      <c r="A397" s="11">
        <v>394.0</v>
      </c>
      <c r="B397" s="12" t="s">
        <v>6010</v>
      </c>
      <c r="C397" s="13" t="s">
        <v>6048</v>
      </c>
      <c r="E397" s="4" t="str">
        <f t="shared" si="1"/>
        <v>Sulawesi Tengah-Morowali</v>
      </c>
    </row>
    <row r="398">
      <c r="A398" s="11">
        <v>395.0</v>
      </c>
      <c r="B398" s="12" t="s">
        <v>6010</v>
      </c>
      <c r="C398" s="13" t="s">
        <v>6065</v>
      </c>
      <c r="E398" s="4" t="str">
        <f t="shared" si="1"/>
        <v>Sulawesi Tengah-Sigi</v>
      </c>
    </row>
    <row r="399">
      <c r="A399" s="11">
        <v>396.0</v>
      </c>
      <c r="B399" s="12" t="s">
        <v>6010</v>
      </c>
      <c r="C399" s="13" t="s">
        <v>6076</v>
      </c>
      <c r="E399" s="4" t="str">
        <f t="shared" si="1"/>
        <v>Sulawesi Tengah-Banggai</v>
      </c>
    </row>
    <row r="400">
      <c r="A400" s="11">
        <v>397.0</v>
      </c>
      <c r="B400" s="12" t="s">
        <v>6010</v>
      </c>
      <c r="C400" s="13" t="s">
        <v>6099</v>
      </c>
      <c r="E400" s="4" t="str">
        <f t="shared" si="1"/>
        <v>Sulawesi Tengah-Buol</v>
      </c>
    </row>
    <row r="401">
      <c r="A401" s="11">
        <v>398.0</v>
      </c>
      <c r="B401" s="12" t="s">
        <v>6102</v>
      </c>
      <c r="C401" s="13" t="s">
        <v>6103</v>
      </c>
      <c r="E401" s="4" t="str">
        <f t="shared" si="1"/>
        <v>Sulawesi Selatan-Enrekang</v>
      </c>
    </row>
    <row r="402">
      <c r="A402" s="11">
        <v>399.0</v>
      </c>
      <c r="B402" s="12" t="s">
        <v>6102</v>
      </c>
      <c r="C402" s="13" t="s">
        <v>6106</v>
      </c>
      <c r="E402" s="4" t="str">
        <f t="shared" si="1"/>
        <v>Sulawesi Selatan-Kota Makassar</v>
      </c>
    </row>
    <row r="403">
      <c r="A403" s="11">
        <v>400.0</v>
      </c>
      <c r="B403" s="12" t="s">
        <v>6102</v>
      </c>
      <c r="C403" s="13" t="s">
        <v>6109</v>
      </c>
      <c r="E403" s="4" t="str">
        <f t="shared" si="1"/>
        <v>Sulawesi Selatan-Kota Palopo</v>
      </c>
    </row>
    <row r="404">
      <c r="A404" s="11">
        <v>401.0</v>
      </c>
      <c r="B404" s="12" t="s">
        <v>6102</v>
      </c>
      <c r="C404" s="13" t="s">
        <v>6116</v>
      </c>
      <c r="E404" s="4" t="str">
        <f t="shared" si="1"/>
        <v>Sulawesi Selatan-Bulukumba</v>
      </c>
    </row>
    <row r="405">
      <c r="A405" s="11">
        <v>402.0</v>
      </c>
      <c r="B405" s="12" t="s">
        <v>6102</v>
      </c>
      <c r="C405" s="13" t="s">
        <v>6123</v>
      </c>
      <c r="E405" s="4" t="str">
        <f t="shared" si="1"/>
        <v>Sulawesi Selatan-Bone</v>
      </c>
    </row>
    <row r="406">
      <c r="A406" s="11">
        <v>403.0</v>
      </c>
      <c r="B406" s="12" t="s">
        <v>6102</v>
      </c>
      <c r="C406" s="13" t="s">
        <v>6137</v>
      </c>
      <c r="E406" s="4" t="str">
        <f t="shared" si="1"/>
        <v>Sulawesi Selatan-Pangkajene Kepulauan</v>
      </c>
    </row>
    <row r="407">
      <c r="A407" s="11">
        <v>404.0</v>
      </c>
      <c r="B407" s="12" t="s">
        <v>6102</v>
      </c>
      <c r="C407" s="13" t="s">
        <v>6140</v>
      </c>
      <c r="E407" s="4" t="str">
        <f t="shared" si="1"/>
        <v>Sulawesi Selatan-Kepulauan Selayar</v>
      </c>
    </row>
    <row r="408">
      <c r="A408" s="11">
        <v>405.0</v>
      </c>
      <c r="B408" s="12" t="s">
        <v>6102</v>
      </c>
      <c r="C408" s="13" t="s">
        <v>6145</v>
      </c>
      <c r="E408" s="4" t="str">
        <f t="shared" si="1"/>
        <v>Sulawesi Selatan-Luwu Timur</v>
      </c>
    </row>
    <row r="409">
      <c r="A409" s="11">
        <v>406.0</v>
      </c>
      <c r="B409" s="12" t="s">
        <v>6102</v>
      </c>
      <c r="C409" s="13" t="s">
        <v>6148</v>
      </c>
      <c r="E409" s="4" t="str">
        <f t="shared" si="1"/>
        <v>Sulawesi Selatan-Kota Pare-pare</v>
      </c>
    </row>
    <row r="410">
      <c r="A410" s="11">
        <v>407.0</v>
      </c>
      <c r="B410" s="12" t="s">
        <v>6102</v>
      </c>
      <c r="C410" s="13" t="s">
        <v>6153</v>
      </c>
      <c r="E410" s="4" t="str">
        <f t="shared" si="1"/>
        <v>Sulawesi Selatan-Takalar</v>
      </c>
    </row>
    <row r="411">
      <c r="A411" s="11">
        <v>408.0</v>
      </c>
      <c r="B411" s="12" t="s">
        <v>6102</v>
      </c>
      <c r="C411" s="13" t="s">
        <v>6164</v>
      </c>
      <c r="E411" s="4" t="str">
        <f t="shared" si="1"/>
        <v>Sulawesi Selatan-Jeneponto</v>
      </c>
    </row>
    <row r="412">
      <c r="A412" s="11">
        <v>409.0</v>
      </c>
      <c r="B412" s="12" t="s">
        <v>6102</v>
      </c>
      <c r="C412" s="13" t="s">
        <v>6167</v>
      </c>
      <c r="E412" s="4" t="str">
        <f t="shared" si="1"/>
        <v>Sulawesi Selatan-Luwu</v>
      </c>
    </row>
    <row r="413">
      <c r="A413" s="11">
        <v>410.0</v>
      </c>
      <c r="B413" s="12" t="s">
        <v>6102</v>
      </c>
      <c r="C413" s="13" t="s">
        <v>6177</v>
      </c>
      <c r="E413" s="4" t="str">
        <f t="shared" si="1"/>
        <v>Sulawesi Selatan-Luwu Utara</v>
      </c>
    </row>
    <row r="414">
      <c r="A414" s="11">
        <v>411.0</v>
      </c>
      <c r="B414" s="12" t="s">
        <v>6102</v>
      </c>
      <c r="C414" s="13" t="s">
        <v>6180</v>
      </c>
      <c r="E414" s="4" t="str">
        <f t="shared" si="1"/>
        <v>Sulawesi Selatan-Soppeng</v>
      </c>
    </row>
    <row r="415">
      <c r="A415" s="11">
        <v>412.0</v>
      </c>
      <c r="B415" s="12" t="s">
        <v>6102</v>
      </c>
      <c r="C415" s="13" t="s">
        <v>6189</v>
      </c>
      <c r="E415" s="4" t="str">
        <f t="shared" si="1"/>
        <v>Sulawesi Selatan-Gowa</v>
      </c>
    </row>
    <row r="416">
      <c r="A416" s="11">
        <v>413.0</v>
      </c>
      <c r="B416" s="12" t="s">
        <v>6102</v>
      </c>
      <c r="C416" s="13" t="s">
        <v>6202</v>
      </c>
      <c r="E416" s="4" t="str">
        <f t="shared" si="1"/>
        <v>Sulawesi Selatan-Sidenreng Rappang</v>
      </c>
    </row>
    <row r="417">
      <c r="A417" s="11">
        <v>414.0</v>
      </c>
      <c r="B417" s="12" t="s">
        <v>6102</v>
      </c>
      <c r="C417" s="13" t="s">
        <v>6209</v>
      </c>
      <c r="E417" s="4" t="str">
        <f t="shared" si="1"/>
        <v>Sulawesi Selatan-Tana Toraja</v>
      </c>
    </row>
    <row r="418">
      <c r="A418" s="11">
        <v>415.0</v>
      </c>
      <c r="B418" s="12" t="s">
        <v>6102</v>
      </c>
      <c r="C418" s="13" t="s">
        <v>6214</v>
      </c>
      <c r="E418" s="4" t="str">
        <f t="shared" si="1"/>
        <v>Sulawesi Selatan-Pinrang</v>
      </c>
    </row>
    <row r="419">
      <c r="A419" s="11">
        <v>416.0</v>
      </c>
      <c r="B419" s="12" t="s">
        <v>6102</v>
      </c>
      <c r="C419" s="13" t="s">
        <v>6230</v>
      </c>
      <c r="E419" s="4" t="str">
        <f t="shared" si="1"/>
        <v>Sulawesi Selatan-Toraja Utara</v>
      </c>
    </row>
    <row r="420">
      <c r="A420" s="11">
        <v>417.0</v>
      </c>
      <c r="B420" s="12" t="s">
        <v>6102</v>
      </c>
      <c r="C420" s="13" t="s">
        <v>6241</v>
      </c>
      <c r="E420" s="4" t="str">
        <f t="shared" si="1"/>
        <v>Sulawesi Selatan-Wajo</v>
      </c>
    </row>
    <row r="421">
      <c r="A421" s="11">
        <v>418.0</v>
      </c>
      <c r="B421" s="12" t="s">
        <v>6102</v>
      </c>
      <c r="C421" s="13" t="s">
        <v>6260</v>
      </c>
      <c r="E421" s="4" t="str">
        <f t="shared" si="1"/>
        <v>Sulawesi Selatan-Maros</v>
      </c>
    </row>
    <row r="422">
      <c r="A422" s="11">
        <v>419.0</v>
      </c>
      <c r="B422" s="12" t="s">
        <v>6102</v>
      </c>
      <c r="C422" s="13" t="s">
        <v>6275</v>
      </c>
      <c r="E422" s="4" t="str">
        <f t="shared" si="1"/>
        <v>Sulawesi Selatan-Bantaeng</v>
      </c>
    </row>
    <row r="423">
      <c r="A423" s="11">
        <v>420.0</v>
      </c>
      <c r="B423" s="12" t="s">
        <v>6102</v>
      </c>
      <c r="C423" s="13" t="s">
        <v>6284</v>
      </c>
      <c r="E423" s="4" t="str">
        <f t="shared" si="1"/>
        <v>Sulawesi Selatan-Sinjai</v>
      </c>
    </row>
    <row r="424">
      <c r="A424" s="11">
        <v>421.0</v>
      </c>
      <c r="B424" s="12" t="s">
        <v>6102</v>
      </c>
      <c r="C424" s="13" t="s">
        <v>6291</v>
      </c>
      <c r="E424" s="4" t="str">
        <f t="shared" si="1"/>
        <v>Sulawesi Selatan-Barru</v>
      </c>
    </row>
    <row r="425">
      <c r="A425" s="11">
        <v>422.0</v>
      </c>
      <c r="B425" s="12" t="s">
        <v>6369</v>
      </c>
      <c r="C425" s="13" t="s">
        <v>6370</v>
      </c>
      <c r="E425" s="4" t="str">
        <f t="shared" si="1"/>
        <v>Sulawesi Tenggara-Muna</v>
      </c>
    </row>
    <row r="426">
      <c r="A426" s="11">
        <v>423.0</v>
      </c>
      <c r="B426" s="12" t="s">
        <v>6369</v>
      </c>
      <c r="C426" s="13" t="s">
        <v>6373</v>
      </c>
      <c r="E426" s="4" t="str">
        <f t="shared" si="1"/>
        <v>Sulawesi Tenggara-Kota Kendari</v>
      </c>
    </row>
    <row r="427">
      <c r="A427" s="11">
        <v>424.0</v>
      </c>
      <c r="B427" s="12" t="s">
        <v>6369</v>
      </c>
      <c r="C427" s="13" t="s">
        <v>6376</v>
      </c>
      <c r="E427" s="4" t="str">
        <f t="shared" si="1"/>
        <v>Sulawesi Tenggara-Kolaka</v>
      </c>
    </row>
    <row r="428">
      <c r="A428" s="11">
        <v>425.0</v>
      </c>
      <c r="B428" s="12" t="s">
        <v>6369</v>
      </c>
      <c r="C428" s="13" t="s">
        <v>6379</v>
      </c>
      <c r="E428" s="4" t="str">
        <f t="shared" si="1"/>
        <v>Sulawesi Tenggara-Konawe</v>
      </c>
    </row>
    <row r="429">
      <c r="A429" s="11">
        <v>426.0</v>
      </c>
      <c r="B429" s="12" t="s">
        <v>6369</v>
      </c>
      <c r="C429" s="13" t="s">
        <v>6386</v>
      </c>
      <c r="E429" s="4" t="str">
        <f t="shared" si="1"/>
        <v>Sulawesi Tenggara-Kolaka Utara</v>
      </c>
    </row>
    <row r="430">
      <c r="A430" s="11">
        <v>427.0</v>
      </c>
      <c r="B430" s="12" t="s">
        <v>6369</v>
      </c>
      <c r="C430" s="13" t="s">
        <v>6395</v>
      </c>
      <c r="E430" s="4" t="str">
        <f t="shared" si="1"/>
        <v>Sulawesi Tenggara-Muna Barat</v>
      </c>
    </row>
    <row r="431">
      <c r="A431" s="11">
        <v>428.0</v>
      </c>
      <c r="B431" s="12" t="s">
        <v>6369</v>
      </c>
      <c r="C431" s="13" t="s">
        <v>6398</v>
      </c>
      <c r="E431" s="4" t="str">
        <f t="shared" si="1"/>
        <v>Sulawesi Tenggara-Kota Bau-Bau</v>
      </c>
    </row>
    <row r="432">
      <c r="A432" s="11">
        <v>429.0</v>
      </c>
      <c r="B432" s="12" t="s">
        <v>6369</v>
      </c>
      <c r="C432" s="13" t="s">
        <v>6403</v>
      </c>
      <c r="E432" s="4" t="str">
        <f t="shared" si="1"/>
        <v>Sulawesi Tenggara-Bombana</v>
      </c>
    </row>
    <row r="433">
      <c r="A433" s="11">
        <v>430.0</v>
      </c>
      <c r="B433" s="12" t="s">
        <v>6369</v>
      </c>
      <c r="C433" s="13" t="s">
        <v>6406</v>
      </c>
      <c r="E433" s="4" t="str">
        <f t="shared" si="1"/>
        <v>Sulawesi Tenggara-Buton Tengah</v>
      </c>
    </row>
    <row r="434">
      <c r="A434" s="11">
        <v>431.0</v>
      </c>
      <c r="B434" s="12" t="s">
        <v>6369</v>
      </c>
      <c r="C434" s="13" t="s">
        <v>6413</v>
      </c>
      <c r="E434" s="4" t="str">
        <f t="shared" si="1"/>
        <v>Sulawesi Tenggara-Buton</v>
      </c>
    </row>
    <row r="435">
      <c r="A435" s="11">
        <v>432.0</v>
      </c>
      <c r="B435" s="12" t="s">
        <v>6369</v>
      </c>
      <c r="C435" s="13" t="s">
        <v>6416</v>
      </c>
      <c r="E435" s="4" t="str">
        <f t="shared" si="1"/>
        <v>Sulawesi Tenggara-Konawe Selatan</v>
      </c>
    </row>
    <row r="436">
      <c r="A436" s="11">
        <v>433.0</v>
      </c>
      <c r="B436" s="12" t="s">
        <v>6369</v>
      </c>
      <c r="C436" s="13" t="s">
        <v>6419</v>
      </c>
      <c r="E436" s="4" t="str">
        <f t="shared" si="1"/>
        <v>Sulawesi Tenggara-Konawe Utara</v>
      </c>
    </row>
    <row r="437">
      <c r="A437" s="11">
        <v>434.0</v>
      </c>
      <c r="B437" s="12" t="s">
        <v>6369</v>
      </c>
      <c r="C437" s="13" t="s">
        <v>6422</v>
      </c>
      <c r="E437" s="4" t="str">
        <f t="shared" si="1"/>
        <v>Sulawesi Tenggara-Konawe Kepulauan</v>
      </c>
    </row>
    <row r="438">
      <c r="A438" s="11">
        <v>435.0</v>
      </c>
      <c r="B438" s="12" t="s">
        <v>6369</v>
      </c>
      <c r="C438" s="13" t="s">
        <v>6439</v>
      </c>
      <c r="E438" s="4" t="str">
        <f t="shared" si="1"/>
        <v>Sulawesi Tenggara-Buton Selatan</v>
      </c>
    </row>
    <row r="439">
      <c r="A439" s="11">
        <v>436.0</v>
      </c>
      <c r="B439" s="12" t="s">
        <v>6369</v>
      </c>
      <c r="C439" s="13" t="s">
        <v>6450</v>
      </c>
      <c r="E439" s="4" t="str">
        <f t="shared" si="1"/>
        <v>Sulawesi Tenggara-Kolaka Timur</v>
      </c>
    </row>
    <row r="440">
      <c r="A440" s="11">
        <v>437.0</v>
      </c>
      <c r="B440" s="12" t="s">
        <v>6369</v>
      </c>
      <c r="C440" s="13" t="s">
        <v>6457</v>
      </c>
      <c r="E440" s="4" t="str">
        <f t="shared" si="1"/>
        <v>Sulawesi Tenggara-Wakatobi</v>
      </c>
    </row>
    <row r="441">
      <c r="A441" s="11">
        <v>438.0</v>
      </c>
      <c r="B441" s="12" t="s">
        <v>6369</v>
      </c>
      <c r="C441" s="13" t="s">
        <v>6460</v>
      </c>
      <c r="E441" s="4" t="str">
        <f t="shared" si="1"/>
        <v>Sulawesi Tenggara-Buton Utara</v>
      </c>
    </row>
    <row r="442">
      <c r="A442" s="11">
        <v>439.0</v>
      </c>
      <c r="B442" s="12" t="s">
        <v>6463</v>
      </c>
      <c r="C442" s="13" t="s">
        <v>6464</v>
      </c>
      <c r="E442" s="4" t="str">
        <f t="shared" si="1"/>
        <v>Gorontalo-Bone Bolango</v>
      </c>
    </row>
    <row r="443">
      <c r="A443" s="11">
        <v>440.0</v>
      </c>
      <c r="B443" s="12" t="s">
        <v>6463</v>
      </c>
      <c r="C443" s="13" t="s">
        <v>6463</v>
      </c>
      <c r="E443" s="4" t="str">
        <f t="shared" si="1"/>
        <v>Gorontalo-Gorontalo</v>
      </c>
    </row>
    <row r="444">
      <c r="A444" s="11">
        <v>441.0</v>
      </c>
      <c r="B444" s="12" t="s">
        <v>6463</v>
      </c>
      <c r="C444" s="13" t="s">
        <v>6471</v>
      </c>
      <c r="E444" s="4" t="str">
        <f t="shared" si="1"/>
        <v>Gorontalo-Kota Gorontalo</v>
      </c>
    </row>
    <row r="445">
      <c r="A445" s="11">
        <v>442.0</v>
      </c>
      <c r="B445" s="12" t="s">
        <v>6463</v>
      </c>
      <c r="C445" s="13" t="s">
        <v>6474</v>
      </c>
      <c r="E445" s="4" t="str">
        <f t="shared" si="1"/>
        <v>Gorontalo-Pohuwato</v>
      </c>
    </row>
    <row r="446">
      <c r="A446" s="11">
        <v>443.0</v>
      </c>
      <c r="B446" s="12" t="s">
        <v>6463</v>
      </c>
      <c r="C446" s="13" t="s">
        <v>6477</v>
      </c>
      <c r="E446" s="4" t="str">
        <f t="shared" si="1"/>
        <v>Gorontalo-Gorontalo Utara</v>
      </c>
    </row>
    <row r="447">
      <c r="A447" s="11">
        <v>444.0</v>
      </c>
      <c r="B447" s="12" t="s">
        <v>6463</v>
      </c>
      <c r="C447" s="13" t="s">
        <v>6488</v>
      </c>
      <c r="E447" s="4" t="str">
        <f t="shared" si="1"/>
        <v>Gorontalo-Boalemo</v>
      </c>
    </row>
    <row r="448">
      <c r="A448" s="11">
        <v>445.0</v>
      </c>
      <c r="B448" s="12" t="s">
        <v>6506</v>
      </c>
      <c r="C448" s="13" t="s">
        <v>6507</v>
      </c>
      <c r="E448" s="4" t="str">
        <f t="shared" si="1"/>
        <v>Sulawesi Barat-Mamuju Tengah</v>
      </c>
    </row>
    <row r="449">
      <c r="A449" s="11">
        <v>446.0</v>
      </c>
      <c r="B449" s="12" t="s">
        <v>6506</v>
      </c>
      <c r="C449" s="13" t="s">
        <v>6510</v>
      </c>
      <c r="E449" s="4" t="str">
        <f t="shared" si="1"/>
        <v>Sulawesi Barat-Polewali Mandar</v>
      </c>
    </row>
    <row r="450">
      <c r="A450" s="11">
        <v>447.0</v>
      </c>
      <c r="B450" s="12" t="s">
        <v>6506</v>
      </c>
      <c r="C450" s="13" t="s">
        <v>6513</v>
      </c>
      <c r="E450" s="4" t="str">
        <f t="shared" si="1"/>
        <v>Sulawesi Barat-Pasangkayu</v>
      </c>
    </row>
    <row r="451">
      <c r="A451" s="11">
        <v>448.0</v>
      </c>
      <c r="B451" s="12" t="s">
        <v>6506</v>
      </c>
      <c r="C451" s="13" t="s">
        <v>6516</v>
      </c>
      <c r="E451" s="4" t="str">
        <f t="shared" si="1"/>
        <v>Sulawesi Barat-Majene</v>
      </c>
    </row>
    <row r="452">
      <c r="A452" s="11">
        <v>449.0</v>
      </c>
      <c r="B452" s="12" t="s">
        <v>6506</v>
      </c>
      <c r="C452" s="13" t="s">
        <v>6519</v>
      </c>
      <c r="E452" s="4" t="str">
        <f t="shared" si="1"/>
        <v>Sulawesi Barat-Mamasa</v>
      </c>
    </row>
    <row r="453">
      <c r="A453" s="11">
        <v>450.0</v>
      </c>
      <c r="B453" s="12" t="s">
        <v>6506</v>
      </c>
      <c r="C453" s="13" t="s">
        <v>6522</v>
      </c>
      <c r="E453" s="4" t="str">
        <f t="shared" si="1"/>
        <v>Sulawesi Barat-Mamuju</v>
      </c>
    </row>
    <row r="454">
      <c r="A454" s="11">
        <v>451.0</v>
      </c>
      <c r="B454" s="12" t="s">
        <v>6543</v>
      </c>
      <c r="C454" s="13" t="s">
        <v>6544</v>
      </c>
      <c r="E454" s="4" t="str">
        <f t="shared" si="1"/>
        <v>Maluku-Kota Ambon</v>
      </c>
    </row>
    <row r="455">
      <c r="A455" s="11">
        <v>452.0</v>
      </c>
      <c r="B455" s="12" t="s">
        <v>6543</v>
      </c>
      <c r="C455" s="13" t="s">
        <v>6547</v>
      </c>
      <c r="E455" s="4" t="str">
        <f t="shared" si="1"/>
        <v>Maluku-Maluku Barat Daya</v>
      </c>
    </row>
    <row r="456">
      <c r="A456" s="11">
        <v>453.0</v>
      </c>
      <c r="B456" s="12" t="s">
        <v>6543</v>
      </c>
      <c r="C456" s="13" t="s">
        <v>6550</v>
      </c>
      <c r="E456" s="4" t="str">
        <f t="shared" si="1"/>
        <v>Maluku-Kepulauan Tanimbar</v>
      </c>
    </row>
    <row r="457">
      <c r="A457" s="11">
        <v>454.0</v>
      </c>
      <c r="B457" s="12" t="s">
        <v>6543</v>
      </c>
      <c r="C457" s="13" t="s">
        <v>6555</v>
      </c>
      <c r="E457" s="4" t="str">
        <f t="shared" si="1"/>
        <v>Maluku-Kota Tual</v>
      </c>
    </row>
    <row r="458">
      <c r="A458" s="11">
        <v>455.0</v>
      </c>
      <c r="B458" s="12" t="s">
        <v>6543</v>
      </c>
      <c r="C458" s="13" t="s">
        <v>6558</v>
      </c>
      <c r="E458" s="4" t="str">
        <f t="shared" si="1"/>
        <v>Maluku-Buru</v>
      </c>
    </row>
    <row r="459">
      <c r="A459" s="11">
        <v>456.0</v>
      </c>
      <c r="B459" s="12" t="s">
        <v>6543</v>
      </c>
      <c r="C459" s="13" t="s">
        <v>6565</v>
      </c>
      <c r="E459" s="4" t="str">
        <f t="shared" si="1"/>
        <v>Maluku-Buru Selatan</v>
      </c>
    </row>
    <row r="460">
      <c r="A460" s="11">
        <v>457.0</v>
      </c>
      <c r="B460" s="12" t="s">
        <v>6543</v>
      </c>
      <c r="C460" s="13" t="s">
        <v>6568</v>
      </c>
      <c r="E460" s="4" t="str">
        <f t="shared" si="1"/>
        <v>Maluku-Maluku Tengah</v>
      </c>
    </row>
    <row r="461">
      <c r="A461" s="11">
        <v>458.0</v>
      </c>
      <c r="B461" s="12" t="s">
        <v>6543</v>
      </c>
      <c r="C461" s="13" t="s">
        <v>6575</v>
      </c>
      <c r="E461" s="4" t="str">
        <f t="shared" si="1"/>
        <v>Maluku-Seram Bagian Timur</v>
      </c>
    </row>
    <row r="462">
      <c r="A462" s="11">
        <v>459.0</v>
      </c>
      <c r="B462" s="12" t="s">
        <v>6543</v>
      </c>
      <c r="C462" s="13" t="s">
        <v>6578</v>
      </c>
      <c r="E462" s="4" t="str">
        <f t="shared" si="1"/>
        <v>Maluku-Maluku Tenggara</v>
      </c>
    </row>
    <row r="463">
      <c r="A463" s="11">
        <v>460.0</v>
      </c>
      <c r="B463" s="12" t="s">
        <v>6543</v>
      </c>
      <c r="C463" s="13" t="s">
        <v>6589</v>
      </c>
      <c r="E463" s="4" t="str">
        <f t="shared" si="1"/>
        <v>Maluku-Seram Bagian Barat</v>
      </c>
    </row>
    <row r="464">
      <c r="A464" s="11">
        <v>461.0</v>
      </c>
      <c r="B464" s="12" t="s">
        <v>6543</v>
      </c>
      <c r="C464" s="13" t="s">
        <v>6600</v>
      </c>
      <c r="E464" s="4" t="str">
        <f t="shared" si="1"/>
        <v>Maluku-Kepulauan Aru</v>
      </c>
    </row>
    <row r="465">
      <c r="A465" s="11">
        <v>462.0</v>
      </c>
      <c r="B465" s="12" t="s">
        <v>6611</v>
      </c>
      <c r="C465" s="13" t="s">
        <v>6612</v>
      </c>
      <c r="E465" s="4" t="str">
        <f t="shared" si="1"/>
        <v>Maluku Utara-Pulau Morotai</v>
      </c>
    </row>
    <row r="466">
      <c r="A466" s="11">
        <v>463.0</v>
      </c>
      <c r="B466" s="12" t="s">
        <v>6611</v>
      </c>
      <c r="C466" s="13" t="s">
        <v>6615</v>
      </c>
      <c r="E466" s="4" t="str">
        <f t="shared" si="1"/>
        <v>Maluku Utara-Kota Ternate</v>
      </c>
    </row>
    <row r="467">
      <c r="A467" s="11">
        <v>464.0</v>
      </c>
      <c r="B467" s="12" t="s">
        <v>6611</v>
      </c>
      <c r="C467" s="13" t="s">
        <v>6618</v>
      </c>
      <c r="E467" s="4" t="str">
        <f t="shared" si="1"/>
        <v>Maluku Utara-Halmahera Barat</v>
      </c>
    </row>
    <row r="468">
      <c r="A468" s="11">
        <v>465.0</v>
      </c>
      <c r="B468" s="12" t="s">
        <v>6611</v>
      </c>
      <c r="C468" s="13" t="s">
        <v>6621</v>
      </c>
      <c r="E468" s="4" t="str">
        <f t="shared" si="1"/>
        <v>Maluku Utara-Kota Tidore Kepulauan</v>
      </c>
    </row>
    <row r="469">
      <c r="A469" s="11">
        <v>466.0</v>
      </c>
      <c r="B469" s="12" t="s">
        <v>6611</v>
      </c>
      <c r="C469" s="13" t="s">
        <v>6624</v>
      </c>
      <c r="E469" s="4" t="str">
        <f t="shared" si="1"/>
        <v>Maluku Utara-Kepulauan Sula</v>
      </c>
    </row>
    <row r="470">
      <c r="A470" s="11">
        <v>467.0</v>
      </c>
      <c r="B470" s="12" t="s">
        <v>6611</v>
      </c>
      <c r="C470" s="13" t="s">
        <v>6627</v>
      </c>
      <c r="E470" s="4" t="str">
        <f t="shared" si="1"/>
        <v>Maluku Utara-Halmahera Selatan</v>
      </c>
    </row>
    <row r="471">
      <c r="A471" s="11">
        <v>468.0</v>
      </c>
      <c r="B471" s="12" t="s">
        <v>6611</v>
      </c>
      <c r="C471" s="13" t="s">
        <v>6630</v>
      </c>
      <c r="E471" s="4" t="str">
        <f t="shared" si="1"/>
        <v>Maluku Utara-Halmahera Timur</v>
      </c>
    </row>
    <row r="472">
      <c r="A472" s="11">
        <v>469.0</v>
      </c>
      <c r="B472" s="12" t="s">
        <v>6611</v>
      </c>
      <c r="C472" s="13" t="s">
        <v>6633</v>
      </c>
      <c r="E472" s="4" t="str">
        <f t="shared" si="1"/>
        <v>Maluku Utara-Halmahera Tengah</v>
      </c>
    </row>
    <row r="473">
      <c r="A473" s="11">
        <v>470.0</v>
      </c>
      <c r="B473" s="12" t="s">
        <v>6611</v>
      </c>
      <c r="C473" s="13" t="s">
        <v>6642</v>
      </c>
      <c r="E473" s="4" t="str">
        <f t="shared" si="1"/>
        <v>Maluku Utara-Pulau Taliabu</v>
      </c>
    </row>
    <row r="474">
      <c r="A474" s="11">
        <v>471.0</v>
      </c>
      <c r="B474" s="12" t="s">
        <v>6611</v>
      </c>
      <c r="C474" s="13" t="s">
        <v>6645</v>
      </c>
      <c r="E474" s="4" t="str">
        <f t="shared" si="1"/>
        <v>Maluku Utara-Halmahera Utara</v>
      </c>
    </row>
    <row r="475">
      <c r="A475" s="11">
        <v>472.0</v>
      </c>
      <c r="B475" s="12" t="s">
        <v>6666</v>
      </c>
      <c r="C475" s="13" t="s">
        <v>6667</v>
      </c>
      <c r="E475" s="4" t="str">
        <f t="shared" si="1"/>
        <v>Papua Barat Daya-Sorong Selatan</v>
      </c>
    </row>
    <row r="476">
      <c r="A476" s="11">
        <v>473.0</v>
      </c>
      <c r="B476" s="12" t="s">
        <v>6666</v>
      </c>
      <c r="C476" s="13" t="s">
        <v>6670</v>
      </c>
      <c r="E476" s="4" t="str">
        <f t="shared" si="1"/>
        <v>Papua Barat Daya-Raja Ampat</v>
      </c>
    </row>
    <row r="477">
      <c r="A477" s="11">
        <v>474.0</v>
      </c>
      <c r="B477" s="12" t="s">
        <v>6666</v>
      </c>
      <c r="C477" s="13" t="s">
        <v>6673</v>
      </c>
      <c r="E477" s="4" t="str">
        <f t="shared" si="1"/>
        <v>Papua Barat Daya-Maybrat</v>
      </c>
    </row>
    <row r="478">
      <c r="A478" s="11">
        <v>475.0</v>
      </c>
      <c r="B478" s="12" t="s">
        <v>6666</v>
      </c>
      <c r="C478" s="13" t="s">
        <v>6676</v>
      </c>
      <c r="E478" s="4" t="str">
        <f t="shared" si="1"/>
        <v>Papua Barat Daya-Tambrauw</v>
      </c>
    </row>
    <row r="479">
      <c r="A479" s="11">
        <v>476.0</v>
      </c>
      <c r="B479" s="12" t="s">
        <v>6679</v>
      </c>
      <c r="C479" s="13" t="s">
        <v>6680</v>
      </c>
      <c r="E479" s="4" t="str">
        <f t="shared" si="1"/>
        <v>Papua Barat-Manokwari</v>
      </c>
    </row>
    <row r="480">
      <c r="A480" s="11">
        <v>477.0</v>
      </c>
      <c r="B480" s="12" t="s">
        <v>6679</v>
      </c>
      <c r="C480" s="13" t="s">
        <v>6685</v>
      </c>
      <c r="E480" s="4" t="str">
        <f t="shared" si="1"/>
        <v>Papua Barat-Kaimana</v>
      </c>
    </row>
    <row r="481">
      <c r="A481" s="11">
        <v>478.0</v>
      </c>
      <c r="B481" s="12" t="s">
        <v>6679</v>
      </c>
      <c r="C481" s="13" t="s">
        <v>6688</v>
      </c>
      <c r="E481" s="4" t="str">
        <f t="shared" si="1"/>
        <v>Papua Barat-Teluk Wondama</v>
      </c>
    </row>
    <row r="482">
      <c r="A482" s="11">
        <v>479.0</v>
      </c>
      <c r="B482" s="12" t="s">
        <v>6666</v>
      </c>
      <c r="C482" s="13" t="s">
        <v>6691</v>
      </c>
      <c r="E482" s="4" t="str">
        <f t="shared" si="1"/>
        <v>Papua Barat Daya-Sorong</v>
      </c>
    </row>
    <row r="483">
      <c r="A483" s="11">
        <v>480.0</v>
      </c>
      <c r="B483" s="12" t="s">
        <v>6666</v>
      </c>
      <c r="C483" s="13" t="s">
        <v>6694</v>
      </c>
      <c r="E483" s="4" t="str">
        <f t="shared" si="1"/>
        <v>Papua Barat Daya-Kota Sorong</v>
      </c>
    </row>
    <row r="484">
      <c r="A484" s="11">
        <v>481.0</v>
      </c>
      <c r="B484" s="12" t="s">
        <v>6679</v>
      </c>
      <c r="C484" s="13" t="s">
        <v>6699</v>
      </c>
      <c r="E484" s="4" t="str">
        <f t="shared" si="1"/>
        <v>Papua Barat-Manokwari Selatan</v>
      </c>
    </row>
    <row r="485">
      <c r="A485" s="11">
        <v>482.0</v>
      </c>
      <c r="B485" s="12" t="s">
        <v>6679</v>
      </c>
      <c r="C485" s="13" t="s">
        <v>6708</v>
      </c>
      <c r="E485" s="4" t="str">
        <f t="shared" si="1"/>
        <v>Papua Barat-Fakfak</v>
      </c>
    </row>
    <row r="486">
      <c r="A486" s="11">
        <v>483.0</v>
      </c>
      <c r="B486" s="12" t="s">
        <v>6679</v>
      </c>
      <c r="C486" s="13" t="s">
        <v>6711</v>
      </c>
      <c r="E486" s="4" t="str">
        <f t="shared" si="1"/>
        <v>Papua Barat-Teluk Bintuni</v>
      </c>
    </row>
    <row r="487">
      <c r="A487" s="11">
        <v>484.0</v>
      </c>
      <c r="B487" s="12" t="s">
        <v>6726</v>
      </c>
      <c r="C487" s="13" t="s">
        <v>6727</v>
      </c>
      <c r="E487" s="4" t="str">
        <f t="shared" si="1"/>
        <v>Papua-Kepulauan Yapen</v>
      </c>
    </row>
    <row r="488">
      <c r="A488" s="11">
        <v>485.0</v>
      </c>
      <c r="B488" s="12" t="s">
        <v>6730</v>
      </c>
      <c r="C488" s="13" t="s">
        <v>6731</v>
      </c>
      <c r="E488" s="4" t="str">
        <f t="shared" si="1"/>
        <v>Papua Tengah-Mimika</v>
      </c>
    </row>
    <row r="489">
      <c r="A489" s="11">
        <v>486.0</v>
      </c>
      <c r="B489" s="12" t="s">
        <v>6726</v>
      </c>
      <c r="C489" s="13" t="s">
        <v>6734</v>
      </c>
      <c r="E489" s="4" t="str">
        <f t="shared" si="1"/>
        <v>Papua-Kota Jayapura</v>
      </c>
    </row>
    <row r="490">
      <c r="A490" s="11">
        <v>487.0</v>
      </c>
      <c r="B490" s="12" t="s">
        <v>6726</v>
      </c>
      <c r="C490" s="13" t="s">
        <v>6739</v>
      </c>
      <c r="E490" s="4" t="str">
        <f t="shared" si="1"/>
        <v>Papua-Mamberamo Raya</v>
      </c>
    </row>
    <row r="491">
      <c r="A491" s="11">
        <v>488.0</v>
      </c>
      <c r="B491" s="12" t="s">
        <v>6726</v>
      </c>
      <c r="C491" s="13" t="s">
        <v>6745</v>
      </c>
      <c r="E491" s="4" t="str">
        <f t="shared" si="1"/>
        <v>Papua-Waropen</v>
      </c>
    </row>
    <row r="492">
      <c r="A492" s="11">
        <v>489.0</v>
      </c>
      <c r="B492" s="12" t="s">
        <v>6730</v>
      </c>
      <c r="C492" s="13" t="s">
        <v>6748</v>
      </c>
      <c r="E492" s="4" t="str">
        <f t="shared" si="1"/>
        <v>Papua Tengah-Dogiyai</v>
      </c>
    </row>
    <row r="493">
      <c r="A493" s="11">
        <v>490.0</v>
      </c>
      <c r="B493" s="12" t="s">
        <v>6751</v>
      </c>
      <c r="C493" s="13" t="s">
        <v>6752</v>
      </c>
      <c r="E493" s="4" t="str">
        <f t="shared" si="1"/>
        <v>Papua Selatan-Merauke</v>
      </c>
    </row>
    <row r="494">
      <c r="A494" s="11">
        <v>491.0</v>
      </c>
      <c r="B494" s="12" t="s">
        <v>6726</v>
      </c>
      <c r="C494" s="13" t="s">
        <v>6755</v>
      </c>
      <c r="E494" s="4" t="str">
        <f t="shared" si="1"/>
        <v>Papua-Biak Numfor</v>
      </c>
    </row>
    <row r="495">
      <c r="A495" s="11">
        <v>492.0</v>
      </c>
      <c r="B495" s="12" t="s">
        <v>6730</v>
      </c>
      <c r="C495" s="13" t="s">
        <v>6758</v>
      </c>
      <c r="E495" s="4" t="str">
        <f t="shared" si="1"/>
        <v>Papua Tengah-Deiyai</v>
      </c>
    </row>
    <row r="496">
      <c r="A496" s="11">
        <v>493.0</v>
      </c>
      <c r="B496" s="12" t="s">
        <v>6726</v>
      </c>
      <c r="C496" s="13" t="s">
        <v>6761</v>
      </c>
      <c r="E496" s="4" t="str">
        <f t="shared" si="1"/>
        <v>Papua-Supiori</v>
      </c>
    </row>
    <row r="497">
      <c r="A497" s="11">
        <v>494.0</v>
      </c>
      <c r="B497" s="12" t="s">
        <v>6730</v>
      </c>
      <c r="C497" s="13" t="s">
        <v>6764</v>
      </c>
      <c r="E497" s="4" t="str">
        <f t="shared" si="1"/>
        <v>Papua Tengah-Nabire</v>
      </c>
    </row>
    <row r="498">
      <c r="A498" s="11">
        <v>495.0</v>
      </c>
      <c r="B498" s="12" t="s">
        <v>6726</v>
      </c>
      <c r="C498" s="13" t="s">
        <v>6771</v>
      </c>
      <c r="E498" s="4" t="str">
        <f t="shared" si="1"/>
        <v>Papua-Sarmi</v>
      </c>
    </row>
    <row r="499">
      <c r="A499" s="11">
        <v>496.0</v>
      </c>
      <c r="B499" s="12" t="s">
        <v>6774</v>
      </c>
      <c r="C499" s="13" t="s">
        <v>6775</v>
      </c>
      <c r="E499" s="4" t="str">
        <f t="shared" si="1"/>
        <v>Papua Pegunungan-Lanny Jaya</v>
      </c>
    </row>
    <row r="500">
      <c r="A500" s="11">
        <v>497.0</v>
      </c>
      <c r="B500" s="12" t="s">
        <v>6774</v>
      </c>
      <c r="C500" s="13" t="s">
        <v>6778</v>
      </c>
      <c r="E500" s="4" t="str">
        <f t="shared" si="1"/>
        <v>Papua Pegunungan-Yahukimo</v>
      </c>
    </row>
    <row r="501">
      <c r="A501" s="11">
        <v>498.0</v>
      </c>
      <c r="B501" s="12" t="s">
        <v>6730</v>
      </c>
      <c r="C501" s="13" t="s">
        <v>6781</v>
      </c>
      <c r="E501" s="4" t="str">
        <f t="shared" si="1"/>
        <v>Papua Tengah-Paniai</v>
      </c>
    </row>
    <row r="502">
      <c r="A502" s="11">
        <v>499.0</v>
      </c>
      <c r="B502" s="12" t="s">
        <v>6774</v>
      </c>
      <c r="C502" s="13" t="s">
        <v>6789</v>
      </c>
      <c r="E502" s="4" t="str">
        <f t="shared" si="1"/>
        <v>Papua Pegunungan-Nduga</v>
      </c>
    </row>
    <row r="503">
      <c r="A503" s="11">
        <v>500.0</v>
      </c>
      <c r="B503" s="12" t="s">
        <v>6774</v>
      </c>
      <c r="C503" s="13" t="s">
        <v>6792</v>
      </c>
      <c r="E503" s="4" t="str">
        <f t="shared" si="1"/>
        <v>Papua Pegunungan-Pegunungan Bintang</v>
      </c>
    </row>
    <row r="504">
      <c r="A504" s="11">
        <v>501.0</v>
      </c>
      <c r="B504" s="12" t="s">
        <v>6751</v>
      </c>
      <c r="C504" s="13" t="s">
        <v>6795</v>
      </c>
      <c r="E504" s="4" t="str">
        <f t="shared" si="1"/>
        <v>Papua Selatan-Mappi</v>
      </c>
    </row>
    <row r="505">
      <c r="A505" s="11">
        <v>502.0</v>
      </c>
      <c r="B505" s="12" t="s">
        <v>6730</v>
      </c>
      <c r="C505" s="13" t="s">
        <v>6802</v>
      </c>
      <c r="E505" s="4" t="str">
        <f t="shared" si="1"/>
        <v>Papua Tengah-Intan Jaya</v>
      </c>
    </row>
    <row r="506">
      <c r="A506" s="11">
        <v>503.0</v>
      </c>
      <c r="B506" s="12" t="s">
        <v>6730</v>
      </c>
      <c r="C506" s="13" t="s">
        <v>6805</v>
      </c>
      <c r="E506" s="4" t="str">
        <f t="shared" si="1"/>
        <v>Papua Tengah-Puncak</v>
      </c>
    </row>
    <row r="507">
      <c r="A507" s="11">
        <v>504.0</v>
      </c>
      <c r="B507" s="12" t="s">
        <v>6730</v>
      </c>
      <c r="C507" s="13" t="s">
        <v>6810</v>
      </c>
      <c r="E507" s="4" t="str">
        <f t="shared" si="1"/>
        <v>Papua Tengah-Puncak Jaya</v>
      </c>
    </row>
    <row r="508">
      <c r="A508" s="11">
        <v>505.0</v>
      </c>
      <c r="B508" s="12" t="s">
        <v>6751</v>
      </c>
      <c r="C508" s="13" t="s">
        <v>6819</v>
      </c>
      <c r="E508" s="4" t="str">
        <f t="shared" si="1"/>
        <v>Papua Selatan-Boven Digoel</v>
      </c>
    </row>
    <row r="509">
      <c r="A509" s="11">
        <v>506.0</v>
      </c>
      <c r="B509" s="12" t="s">
        <v>6726</v>
      </c>
      <c r="C509" s="13" t="s">
        <v>6822</v>
      </c>
      <c r="E509" s="4" t="str">
        <f t="shared" si="1"/>
        <v>Papua-Jayapura</v>
      </c>
    </row>
    <row r="510">
      <c r="A510" s="11">
        <v>507.0</v>
      </c>
      <c r="B510" s="12" t="s">
        <v>6774</v>
      </c>
      <c r="C510" s="13" t="s">
        <v>6825</v>
      </c>
      <c r="E510" s="4" t="str">
        <f t="shared" si="1"/>
        <v>Papua Pegunungan-Tolikara</v>
      </c>
    </row>
    <row r="511">
      <c r="A511" s="11">
        <v>508.0</v>
      </c>
      <c r="B511" s="12" t="s">
        <v>6751</v>
      </c>
      <c r="C511" s="13" t="s">
        <v>6828</v>
      </c>
      <c r="E511" s="4" t="str">
        <f t="shared" si="1"/>
        <v>Papua Selatan-Asmat</v>
      </c>
    </row>
    <row r="512">
      <c r="A512" s="11">
        <v>509.0</v>
      </c>
      <c r="B512" s="12" t="s">
        <v>6726</v>
      </c>
      <c r="C512" s="13" t="s">
        <v>6833</v>
      </c>
      <c r="E512" s="4" t="str">
        <f t="shared" si="1"/>
        <v>Papua-Keerom</v>
      </c>
    </row>
    <row r="513">
      <c r="A513" s="11">
        <v>510.0</v>
      </c>
      <c r="B513" s="12" t="s">
        <v>6774</v>
      </c>
      <c r="C513" s="13" t="s">
        <v>6836</v>
      </c>
      <c r="E513" s="4" t="str">
        <f t="shared" si="1"/>
        <v>Papua Pegunungan-Yalimo</v>
      </c>
    </row>
    <row r="514">
      <c r="A514" s="11">
        <v>511.0</v>
      </c>
      <c r="B514" s="12" t="s">
        <v>6774</v>
      </c>
      <c r="C514" s="13" t="s">
        <v>6839</v>
      </c>
      <c r="E514" s="4" t="str">
        <f t="shared" si="1"/>
        <v>Papua Pegunungan-Mamberamo Tengah</v>
      </c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  <row r="1002">
      <c r="A1002" s="14"/>
    </row>
    <row r="1003">
      <c r="A1003" s="14"/>
    </row>
    <row r="1004">
      <c r="A1004" s="14"/>
    </row>
    <row r="1005">
      <c r="A1005" s="14"/>
    </row>
    <row r="1006">
      <c r="A1006" s="14"/>
    </row>
    <row r="1007">
      <c r="A1007" s="14"/>
    </row>
    <row r="1008">
      <c r="A1008" s="14"/>
    </row>
    <row r="1009">
      <c r="A1009" s="14"/>
    </row>
    <row r="1010">
      <c r="A1010" s="14"/>
    </row>
    <row r="1011">
      <c r="A1011" s="14"/>
    </row>
    <row r="1012">
      <c r="A1012" s="14"/>
    </row>
    <row r="1013">
      <c r="A1013" s="14"/>
    </row>
    <row r="1014">
      <c r="A1014" s="14"/>
    </row>
    <row r="1015">
      <c r="A1015" s="14"/>
    </row>
    <row r="1016">
      <c r="A1016" s="14"/>
    </row>
    <row r="1017">
      <c r="A1017" s="14"/>
    </row>
    <row r="1018">
      <c r="A1018" s="14"/>
    </row>
    <row r="1019">
      <c r="A1019" s="14"/>
    </row>
    <row r="1020">
      <c r="A1020" s="14"/>
    </row>
    <row r="1021">
      <c r="A1021" s="14"/>
    </row>
    <row r="1022">
      <c r="A1022" s="14"/>
    </row>
    <row r="1023">
      <c r="A1023" s="14"/>
    </row>
    <row r="1024">
      <c r="A1024" s="14"/>
    </row>
    <row r="1025">
      <c r="A1025" s="14"/>
    </row>
    <row r="1026">
      <c r="A1026" s="14"/>
    </row>
    <row r="1027">
      <c r="A1027" s="14"/>
    </row>
    <row r="1028">
      <c r="A1028" s="14"/>
    </row>
    <row r="1029">
      <c r="A1029" s="14"/>
    </row>
    <row r="1030">
      <c r="A1030" s="14"/>
    </row>
    <row r="1031">
      <c r="A1031" s="14"/>
    </row>
    <row r="1032">
      <c r="A1032" s="14"/>
    </row>
    <row r="1033">
      <c r="A1033" s="14"/>
    </row>
    <row r="1034">
      <c r="A1034" s="14"/>
    </row>
    <row r="1035">
      <c r="A1035" s="14"/>
    </row>
    <row r="1036">
      <c r="A1036" s="14"/>
    </row>
    <row r="1037">
      <c r="A1037" s="14"/>
    </row>
    <row r="1038">
      <c r="A1038" s="14"/>
    </row>
    <row r="1039">
      <c r="A1039" s="14"/>
    </row>
    <row r="1040">
      <c r="A1040" s="14"/>
    </row>
    <row r="1041">
      <c r="A1041" s="14"/>
    </row>
    <row r="1042">
      <c r="A1042" s="14"/>
    </row>
    <row r="1043">
      <c r="A1043" s="14"/>
    </row>
    <row r="1044">
      <c r="A1044" s="14"/>
    </row>
    <row r="1045">
      <c r="A1045" s="14"/>
    </row>
    <row r="1046">
      <c r="A1046" s="14"/>
    </row>
    <row r="1047">
      <c r="A1047" s="14"/>
    </row>
    <row r="1048">
      <c r="A1048" s="14"/>
    </row>
    <row r="1049">
      <c r="A1049" s="14"/>
    </row>
    <row r="1050">
      <c r="A1050" s="14"/>
    </row>
    <row r="1051">
      <c r="A1051" s="14"/>
    </row>
    <row r="1052">
      <c r="A1052" s="14"/>
    </row>
    <row r="1053">
      <c r="A1053" s="14"/>
    </row>
    <row r="1054">
      <c r="A1054" s="14"/>
    </row>
    <row r="1055">
      <c r="A1055" s="14"/>
    </row>
    <row r="1056">
      <c r="A1056" s="14"/>
    </row>
    <row r="1057">
      <c r="A1057" s="14"/>
    </row>
    <row r="1058">
      <c r="A1058" s="14"/>
    </row>
    <row r="1059">
      <c r="A1059" s="14"/>
    </row>
    <row r="1060">
      <c r="A1060" s="14"/>
    </row>
    <row r="1061">
      <c r="A1061" s="14"/>
    </row>
    <row r="1062">
      <c r="A1062" s="14"/>
    </row>
    <row r="1063">
      <c r="A1063" s="14"/>
    </row>
    <row r="1064">
      <c r="A1064" s="14"/>
    </row>
    <row r="1065">
      <c r="A1065" s="14"/>
    </row>
    <row r="1066">
      <c r="A1066" s="14"/>
    </row>
    <row r="1067">
      <c r="A1067" s="14"/>
    </row>
    <row r="1068">
      <c r="A1068" s="14"/>
    </row>
    <row r="1069">
      <c r="A1069" s="14"/>
    </row>
    <row r="1070">
      <c r="A1070" s="14"/>
    </row>
    <row r="1071">
      <c r="A1071" s="14"/>
    </row>
    <row r="1072">
      <c r="A1072" s="14"/>
    </row>
    <row r="1073">
      <c r="A1073" s="14"/>
    </row>
    <row r="1074">
      <c r="A1074" s="14"/>
    </row>
    <row r="1075">
      <c r="A1075" s="14"/>
    </row>
    <row r="1076">
      <c r="A1076" s="14"/>
    </row>
    <row r="1077">
      <c r="A1077" s="14"/>
    </row>
    <row r="1078">
      <c r="A1078" s="14"/>
    </row>
    <row r="1079">
      <c r="A1079" s="14"/>
    </row>
    <row r="1080">
      <c r="A1080" s="14"/>
    </row>
    <row r="1081">
      <c r="A1081" s="14"/>
    </row>
    <row r="1082">
      <c r="A1082" s="14"/>
    </row>
    <row r="1083">
      <c r="A1083" s="14"/>
    </row>
    <row r="1084">
      <c r="A1084" s="14"/>
    </row>
    <row r="1085">
      <c r="A1085" s="14"/>
    </row>
    <row r="1086">
      <c r="A1086" s="14"/>
    </row>
    <row r="1087">
      <c r="A1087" s="14"/>
    </row>
    <row r="1088">
      <c r="A1088" s="14"/>
    </row>
    <row r="1089">
      <c r="A1089" s="14"/>
    </row>
    <row r="1090">
      <c r="A1090" s="14"/>
    </row>
    <row r="1091">
      <c r="A1091" s="14"/>
    </row>
    <row r="1092">
      <c r="A1092" s="14"/>
    </row>
    <row r="1093">
      <c r="A1093" s="14"/>
    </row>
    <row r="1094">
      <c r="A1094" s="14"/>
    </row>
    <row r="1095">
      <c r="A1095" s="14"/>
    </row>
    <row r="1096">
      <c r="A1096" s="14"/>
    </row>
    <row r="1097">
      <c r="A1097" s="14"/>
    </row>
    <row r="1098">
      <c r="A1098" s="14"/>
    </row>
    <row r="1099">
      <c r="A1099" s="14"/>
    </row>
    <row r="1100">
      <c r="A1100" s="14"/>
    </row>
    <row r="1101">
      <c r="A1101" s="14"/>
    </row>
    <row r="1102">
      <c r="A1102" s="14"/>
    </row>
    <row r="1103">
      <c r="A1103" s="14"/>
    </row>
    <row r="1104">
      <c r="A1104" s="14"/>
    </row>
    <row r="1105">
      <c r="A1105" s="14"/>
    </row>
    <row r="1106">
      <c r="A1106" s="14"/>
    </row>
    <row r="1107">
      <c r="A1107" s="14"/>
    </row>
    <row r="1108">
      <c r="A1108" s="14"/>
    </row>
    <row r="1109">
      <c r="A1109" s="14"/>
    </row>
    <row r="1110">
      <c r="A1110" s="14"/>
    </row>
    <row r="1111">
      <c r="A1111" s="14"/>
    </row>
    <row r="1112">
      <c r="A1112" s="14"/>
    </row>
    <row r="1113">
      <c r="A1113" s="14"/>
    </row>
    <row r="1114">
      <c r="A1114" s="14"/>
    </row>
    <row r="1115">
      <c r="A1115" s="14"/>
    </row>
    <row r="1116">
      <c r="A1116" s="14"/>
    </row>
    <row r="1117">
      <c r="A1117" s="14"/>
    </row>
    <row r="1118">
      <c r="A1118" s="14"/>
    </row>
    <row r="1119">
      <c r="A1119" s="14"/>
    </row>
    <row r="1120">
      <c r="A1120" s="14"/>
    </row>
    <row r="1121">
      <c r="A1121" s="14"/>
    </row>
    <row r="1122">
      <c r="A1122" s="14"/>
    </row>
    <row r="1123">
      <c r="A1123" s="14"/>
    </row>
    <row r="1124">
      <c r="A1124" s="14"/>
    </row>
    <row r="1125">
      <c r="A1125" s="14"/>
    </row>
    <row r="1126">
      <c r="A1126" s="14"/>
    </row>
    <row r="1127">
      <c r="A1127" s="14"/>
    </row>
    <row r="1128">
      <c r="A1128" s="14"/>
    </row>
    <row r="1129">
      <c r="A1129" s="14"/>
    </row>
    <row r="1130">
      <c r="A1130" s="14"/>
    </row>
    <row r="1131">
      <c r="A1131" s="14"/>
    </row>
    <row r="1132">
      <c r="A1132" s="14"/>
    </row>
    <row r="1133">
      <c r="A1133" s="14"/>
    </row>
    <row r="1134">
      <c r="A1134" s="14"/>
    </row>
    <row r="1135">
      <c r="A1135" s="14"/>
    </row>
    <row r="1136">
      <c r="A1136" s="14"/>
    </row>
    <row r="1137">
      <c r="A1137" s="14"/>
    </row>
    <row r="1138">
      <c r="A1138" s="14"/>
    </row>
    <row r="1139">
      <c r="A1139" s="14"/>
    </row>
    <row r="1140">
      <c r="A1140" s="14"/>
    </row>
    <row r="1141">
      <c r="A1141" s="14"/>
    </row>
    <row r="1142">
      <c r="A1142" s="14"/>
    </row>
    <row r="1143">
      <c r="A1143" s="14"/>
    </row>
    <row r="1144">
      <c r="A1144" s="14"/>
    </row>
    <row r="1145">
      <c r="A1145" s="14"/>
    </row>
    <row r="1146">
      <c r="A1146" s="14"/>
    </row>
    <row r="1147">
      <c r="A1147" s="14"/>
    </row>
    <row r="1148">
      <c r="A1148" s="14"/>
    </row>
    <row r="1149">
      <c r="A1149" s="14"/>
    </row>
    <row r="1150">
      <c r="A1150" s="14"/>
    </row>
    <row r="1151">
      <c r="A1151" s="14"/>
    </row>
    <row r="1152">
      <c r="A1152" s="14"/>
    </row>
    <row r="1153">
      <c r="A1153" s="14"/>
    </row>
    <row r="1154">
      <c r="A1154" s="14"/>
    </row>
    <row r="1155">
      <c r="A1155" s="14"/>
    </row>
    <row r="1156">
      <c r="A1156" s="14"/>
    </row>
    <row r="1157">
      <c r="A1157" s="14"/>
    </row>
    <row r="1158">
      <c r="A1158" s="14"/>
    </row>
    <row r="1159">
      <c r="A1159" s="14"/>
    </row>
    <row r="1160">
      <c r="A1160" s="14"/>
    </row>
    <row r="1161">
      <c r="A1161" s="14"/>
    </row>
    <row r="1162">
      <c r="A1162" s="14"/>
    </row>
    <row r="1163">
      <c r="A1163" s="14"/>
    </row>
    <row r="1164">
      <c r="A1164" s="14"/>
    </row>
    <row r="1165">
      <c r="A1165" s="14"/>
    </row>
    <row r="1166">
      <c r="A1166" s="14"/>
    </row>
    <row r="1167">
      <c r="A1167" s="14"/>
    </row>
    <row r="1168">
      <c r="A1168" s="14"/>
    </row>
    <row r="1169">
      <c r="A1169" s="14"/>
    </row>
    <row r="1170">
      <c r="A1170" s="14"/>
    </row>
    <row r="1171">
      <c r="A1171" s="14"/>
    </row>
    <row r="1172">
      <c r="A1172" s="14"/>
    </row>
    <row r="1173">
      <c r="A1173" s="14"/>
    </row>
    <row r="1174">
      <c r="A1174" s="14"/>
    </row>
    <row r="1175">
      <c r="A1175" s="14"/>
    </row>
    <row r="1176">
      <c r="A1176" s="14"/>
    </row>
    <row r="1177">
      <c r="A1177" s="14"/>
    </row>
    <row r="1178">
      <c r="A1178" s="14"/>
    </row>
    <row r="1179">
      <c r="A1179" s="14"/>
    </row>
    <row r="1180">
      <c r="A1180" s="14"/>
    </row>
    <row r="1181">
      <c r="A1181" s="14"/>
    </row>
    <row r="1182">
      <c r="A1182" s="14"/>
    </row>
    <row r="1183">
      <c r="A1183" s="14"/>
    </row>
    <row r="1184">
      <c r="A1184" s="14"/>
    </row>
    <row r="1185">
      <c r="A1185" s="14"/>
    </row>
    <row r="1186">
      <c r="A1186" s="14"/>
    </row>
    <row r="1187">
      <c r="A1187" s="14"/>
    </row>
    <row r="1188">
      <c r="A1188" s="14"/>
    </row>
    <row r="1189">
      <c r="A1189" s="14"/>
    </row>
    <row r="1190">
      <c r="A1190" s="14"/>
    </row>
    <row r="1191">
      <c r="A1191" s="14"/>
    </row>
    <row r="1192">
      <c r="A1192" s="14"/>
    </row>
    <row r="1193">
      <c r="A1193" s="14"/>
    </row>
    <row r="1194">
      <c r="A1194" s="14"/>
    </row>
    <row r="1195">
      <c r="A1195" s="14"/>
    </row>
    <row r="1196">
      <c r="A1196" s="14"/>
    </row>
    <row r="1197">
      <c r="A1197" s="14"/>
    </row>
    <row r="1198">
      <c r="A1198" s="14"/>
    </row>
    <row r="1199">
      <c r="A1199" s="14"/>
    </row>
    <row r="1200">
      <c r="A1200" s="14"/>
    </row>
    <row r="1201">
      <c r="A1201" s="14"/>
    </row>
    <row r="1202">
      <c r="A1202" s="14"/>
    </row>
    <row r="1203">
      <c r="A1203" s="14"/>
    </row>
    <row r="1204">
      <c r="A1204" s="14"/>
    </row>
    <row r="1205">
      <c r="A1205" s="14"/>
    </row>
    <row r="1206">
      <c r="A1206" s="14"/>
    </row>
    <row r="1207">
      <c r="A1207" s="14"/>
    </row>
    <row r="1208">
      <c r="A1208" s="14"/>
    </row>
    <row r="1209">
      <c r="A1209" s="14"/>
    </row>
    <row r="1210">
      <c r="A1210" s="14"/>
    </row>
    <row r="1211">
      <c r="A1211" s="14"/>
    </row>
    <row r="1212">
      <c r="A1212" s="14"/>
    </row>
    <row r="1213">
      <c r="A1213" s="14"/>
    </row>
    <row r="1214">
      <c r="A1214" s="14"/>
    </row>
    <row r="1215">
      <c r="A1215" s="14"/>
    </row>
    <row r="1216">
      <c r="A1216" s="14"/>
    </row>
    <row r="1217">
      <c r="A1217" s="14"/>
    </row>
    <row r="1218">
      <c r="A1218" s="14"/>
    </row>
    <row r="1219">
      <c r="A1219" s="14"/>
    </row>
    <row r="1220">
      <c r="A1220" s="14"/>
    </row>
    <row r="1221">
      <c r="A1221" s="14"/>
    </row>
    <row r="1222">
      <c r="A1222" s="14"/>
    </row>
    <row r="1223">
      <c r="A1223" s="14"/>
    </row>
    <row r="1224">
      <c r="A1224" s="14"/>
    </row>
    <row r="1225">
      <c r="A1225" s="14"/>
    </row>
    <row r="1226">
      <c r="A1226" s="14"/>
    </row>
    <row r="1227">
      <c r="A1227" s="14"/>
    </row>
    <row r="1228">
      <c r="A1228" s="14"/>
    </row>
    <row r="1229">
      <c r="A1229" s="14"/>
    </row>
    <row r="1230">
      <c r="A1230" s="14"/>
    </row>
    <row r="1231">
      <c r="A1231" s="14"/>
    </row>
    <row r="1232">
      <c r="A1232" s="14"/>
    </row>
    <row r="1233">
      <c r="A1233" s="14"/>
    </row>
    <row r="1234">
      <c r="A1234" s="14"/>
    </row>
    <row r="1235">
      <c r="A1235" s="14"/>
    </row>
    <row r="1236">
      <c r="A1236" s="14"/>
    </row>
    <row r="1237">
      <c r="A1237" s="14"/>
    </row>
    <row r="1238">
      <c r="A1238" s="14"/>
    </row>
    <row r="1239">
      <c r="A1239" s="14"/>
    </row>
    <row r="1240">
      <c r="A1240" s="14"/>
    </row>
    <row r="1241">
      <c r="A1241" s="14"/>
    </row>
    <row r="1242">
      <c r="A1242" s="14"/>
    </row>
    <row r="1243">
      <c r="A1243" s="14"/>
    </row>
    <row r="1244">
      <c r="A1244" s="14"/>
    </row>
    <row r="1245">
      <c r="A1245" s="14"/>
    </row>
    <row r="1246">
      <c r="A1246" s="14"/>
    </row>
    <row r="1247">
      <c r="A1247" s="14"/>
    </row>
    <row r="1248">
      <c r="A1248" s="14"/>
    </row>
    <row r="1249">
      <c r="A1249" s="14"/>
    </row>
    <row r="1250">
      <c r="A1250" s="14"/>
    </row>
    <row r="1251">
      <c r="A1251" s="14"/>
    </row>
    <row r="1252">
      <c r="A1252" s="14"/>
    </row>
    <row r="1253">
      <c r="A1253" s="14"/>
    </row>
    <row r="1254">
      <c r="A1254" s="14"/>
    </row>
    <row r="1255">
      <c r="A1255" s="14"/>
    </row>
    <row r="1256">
      <c r="A1256" s="14"/>
    </row>
    <row r="1257">
      <c r="A1257" s="14"/>
    </row>
    <row r="1258">
      <c r="A1258" s="14"/>
    </row>
    <row r="1259">
      <c r="A1259" s="14"/>
    </row>
    <row r="1260">
      <c r="A1260" s="14"/>
    </row>
    <row r="1261">
      <c r="A1261" s="14"/>
    </row>
    <row r="1262">
      <c r="A1262" s="14"/>
    </row>
    <row r="1263">
      <c r="A1263" s="14"/>
    </row>
    <row r="1264">
      <c r="A1264" s="14"/>
    </row>
    <row r="1265">
      <c r="A1265" s="14"/>
    </row>
    <row r="1266">
      <c r="A1266" s="14"/>
    </row>
    <row r="1267">
      <c r="A1267" s="14"/>
    </row>
    <row r="1268">
      <c r="A1268" s="14"/>
    </row>
    <row r="1269">
      <c r="A1269" s="14"/>
    </row>
    <row r="1270">
      <c r="A1270" s="14"/>
    </row>
    <row r="1271">
      <c r="A1271" s="14"/>
    </row>
    <row r="1272">
      <c r="A1272" s="14"/>
    </row>
    <row r="1273">
      <c r="A1273" s="14"/>
    </row>
    <row r="1274">
      <c r="A1274" s="14"/>
    </row>
    <row r="1275">
      <c r="A1275" s="14"/>
    </row>
    <row r="1276">
      <c r="A1276" s="14"/>
    </row>
    <row r="1277">
      <c r="A1277" s="14"/>
    </row>
    <row r="1278">
      <c r="A1278" s="14"/>
    </row>
    <row r="1279">
      <c r="A1279" s="14"/>
    </row>
    <row r="1280">
      <c r="A1280" s="14"/>
    </row>
    <row r="1281">
      <c r="A1281" s="14"/>
    </row>
    <row r="1282">
      <c r="A1282" s="14"/>
    </row>
    <row r="1283">
      <c r="A1283" s="14"/>
    </row>
    <row r="1284">
      <c r="A1284" s="14"/>
    </row>
    <row r="1285">
      <c r="A1285" s="14"/>
    </row>
    <row r="1286">
      <c r="A1286" s="14"/>
    </row>
    <row r="1287">
      <c r="A1287" s="14"/>
    </row>
    <row r="1288">
      <c r="A1288" s="14"/>
    </row>
    <row r="1289">
      <c r="A1289" s="14"/>
    </row>
    <row r="1290">
      <c r="A1290" s="14"/>
    </row>
    <row r="1291">
      <c r="A1291" s="14"/>
    </row>
    <row r="1292">
      <c r="A1292" s="14"/>
    </row>
    <row r="1293">
      <c r="A1293" s="14"/>
    </row>
    <row r="1294">
      <c r="A1294" s="14"/>
    </row>
    <row r="1295">
      <c r="A1295" s="14"/>
    </row>
    <row r="1296">
      <c r="A1296" s="14"/>
    </row>
    <row r="1297">
      <c r="A1297" s="14"/>
    </row>
    <row r="1298">
      <c r="A1298" s="14"/>
    </row>
    <row r="1299">
      <c r="A1299" s="14"/>
    </row>
    <row r="1300">
      <c r="A1300" s="14"/>
    </row>
    <row r="1301">
      <c r="A1301" s="14"/>
    </row>
    <row r="1302">
      <c r="A1302" s="14"/>
    </row>
    <row r="1303">
      <c r="A1303" s="14"/>
    </row>
    <row r="1304">
      <c r="A1304" s="14"/>
    </row>
    <row r="1305">
      <c r="A1305" s="14"/>
    </row>
    <row r="1306">
      <c r="A1306" s="14"/>
    </row>
    <row r="1307">
      <c r="A1307" s="14"/>
    </row>
    <row r="1308">
      <c r="A1308" s="14"/>
    </row>
    <row r="1309">
      <c r="A1309" s="14"/>
    </row>
    <row r="1310">
      <c r="A1310" s="14"/>
    </row>
    <row r="1311">
      <c r="A1311" s="14"/>
    </row>
    <row r="1312">
      <c r="A1312" s="14"/>
    </row>
    <row r="1313">
      <c r="A1313" s="14"/>
    </row>
    <row r="1314">
      <c r="A1314" s="14"/>
    </row>
    <row r="1315">
      <c r="A1315" s="14"/>
    </row>
    <row r="1316">
      <c r="A1316" s="14"/>
    </row>
    <row r="1317">
      <c r="A1317" s="14"/>
    </row>
    <row r="1318">
      <c r="A1318" s="14"/>
    </row>
    <row r="1319">
      <c r="A1319" s="14"/>
    </row>
    <row r="1320">
      <c r="A1320" s="14"/>
    </row>
    <row r="1321">
      <c r="A1321" s="14"/>
    </row>
    <row r="1322">
      <c r="A1322" s="14"/>
    </row>
    <row r="1323">
      <c r="A1323" s="14"/>
    </row>
    <row r="1324">
      <c r="A1324" s="14"/>
    </row>
    <row r="1325">
      <c r="A1325" s="14"/>
    </row>
    <row r="1326">
      <c r="A1326" s="14"/>
    </row>
    <row r="1327">
      <c r="A1327" s="14"/>
    </row>
    <row r="1328">
      <c r="A1328" s="14"/>
    </row>
    <row r="1329">
      <c r="A1329" s="14"/>
    </row>
    <row r="1330">
      <c r="A1330" s="14"/>
    </row>
    <row r="1331">
      <c r="A1331" s="14"/>
    </row>
    <row r="1332">
      <c r="A1332" s="14"/>
    </row>
    <row r="1333">
      <c r="A1333" s="14"/>
    </row>
    <row r="1334">
      <c r="A1334" s="14"/>
    </row>
    <row r="1335">
      <c r="A1335" s="14"/>
    </row>
    <row r="1336">
      <c r="A1336" s="14"/>
    </row>
    <row r="1337">
      <c r="A1337" s="14"/>
    </row>
    <row r="1338">
      <c r="A1338" s="14"/>
    </row>
    <row r="1339">
      <c r="A1339" s="14"/>
    </row>
    <row r="1340">
      <c r="A1340" s="14"/>
    </row>
    <row r="1341">
      <c r="A1341" s="14"/>
    </row>
    <row r="1342">
      <c r="A1342" s="14"/>
    </row>
    <row r="1343">
      <c r="A1343" s="14"/>
    </row>
    <row r="1344">
      <c r="A1344" s="14"/>
    </row>
    <row r="1345">
      <c r="A1345" s="14"/>
    </row>
    <row r="1346">
      <c r="A1346" s="14"/>
    </row>
    <row r="1347">
      <c r="A1347" s="14"/>
    </row>
    <row r="1348">
      <c r="A1348" s="14"/>
    </row>
    <row r="1349">
      <c r="A1349" s="14"/>
    </row>
    <row r="1350">
      <c r="A1350" s="14"/>
    </row>
    <row r="1351">
      <c r="A1351" s="14"/>
    </row>
    <row r="1352">
      <c r="A1352" s="14"/>
    </row>
    <row r="1353">
      <c r="A1353" s="14"/>
    </row>
    <row r="1354">
      <c r="A1354" s="14"/>
    </row>
    <row r="1355">
      <c r="A1355" s="14"/>
    </row>
    <row r="1356">
      <c r="A1356" s="14"/>
    </row>
    <row r="1357">
      <c r="A1357" s="14"/>
    </row>
    <row r="1358">
      <c r="A1358" s="14"/>
    </row>
    <row r="1359">
      <c r="A1359" s="14"/>
    </row>
    <row r="1360">
      <c r="A1360" s="14"/>
    </row>
    <row r="1361">
      <c r="A1361" s="14"/>
    </row>
    <row r="1362">
      <c r="A1362" s="14"/>
    </row>
    <row r="1363">
      <c r="A1363" s="14"/>
    </row>
    <row r="1364">
      <c r="A1364" s="14"/>
    </row>
    <row r="1365">
      <c r="A1365" s="14"/>
    </row>
    <row r="1366">
      <c r="A1366" s="14"/>
    </row>
    <row r="1367">
      <c r="A1367" s="14"/>
    </row>
    <row r="1368">
      <c r="A1368" s="14"/>
    </row>
    <row r="1369">
      <c r="A1369" s="14"/>
    </row>
    <row r="1370">
      <c r="A1370" s="14"/>
    </row>
    <row r="1371">
      <c r="A1371" s="14"/>
    </row>
    <row r="1372">
      <c r="A1372" s="14"/>
    </row>
    <row r="1373">
      <c r="A1373" s="14"/>
    </row>
    <row r="1374">
      <c r="A1374" s="14"/>
    </row>
    <row r="1375">
      <c r="A1375" s="14"/>
    </row>
    <row r="1376">
      <c r="A1376" s="14"/>
    </row>
    <row r="1377">
      <c r="A1377" s="14"/>
    </row>
    <row r="1378">
      <c r="A1378" s="14"/>
    </row>
    <row r="1379">
      <c r="A1379" s="14"/>
    </row>
    <row r="1380">
      <c r="A1380" s="14"/>
    </row>
    <row r="1381">
      <c r="A1381" s="14"/>
    </row>
    <row r="1382">
      <c r="A1382" s="14"/>
    </row>
    <row r="1383">
      <c r="A1383" s="14"/>
    </row>
    <row r="1384">
      <c r="A1384" s="14"/>
    </row>
    <row r="1385">
      <c r="A1385" s="14"/>
    </row>
    <row r="1386">
      <c r="A1386" s="14"/>
    </row>
    <row r="1387">
      <c r="A1387" s="14"/>
    </row>
    <row r="1388">
      <c r="A1388" s="14"/>
    </row>
    <row r="1389">
      <c r="A1389" s="14"/>
    </row>
    <row r="1390">
      <c r="A1390" s="14"/>
    </row>
    <row r="1391">
      <c r="A1391" s="14"/>
    </row>
    <row r="1392">
      <c r="A1392" s="14"/>
    </row>
    <row r="1393">
      <c r="A1393" s="14"/>
    </row>
    <row r="1394">
      <c r="A1394" s="14"/>
    </row>
    <row r="1395">
      <c r="A1395" s="14"/>
    </row>
    <row r="1396">
      <c r="A1396" s="14"/>
    </row>
    <row r="1397">
      <c r="A1397" s="14"/>
    </row>
    <row r="1398">
      <c r="A1398" s="14"/>
    </row>
    <row r="1399">
      <c r="A1399" s="14"/>
    </row>
    <row r="1400">
      <c r="A1400" s="14"/>
    </row>
    <row r="1401">
      <c r="A1401" s="14"/>
    </row>
    <row r="1402">
      <c r="A1402" s="14"/>
    </row>
    <row r="1403">
      <c r="A1403" s="14"/>
    </row>
    <row r="1404">
      <c r="A1404" s="14"/>
    </row>
    <row r="1405">
      <c r="A1405" s="14"/>
    </row>
    <row r="1406">
      <c r="A1406" s="14"/>
    </row>
    <row r="1407">
      <c r="A1407" s="14"/>
    </row>
    <row r="1408">
      <c r="A1408" s="14"/>
    </row>
    <row r="1409">
      <c r="A1409" s="14"/>
    </row>
    <row r="1410">
      <c r="A1410" s="14"/>
    </row>
    <row r="1411">
      <c r="A1411" s="14"/>
    </row>
    <row r="1412">
      <c r="A1412" s="14"/>
    </row>
    <row r="1413">
      <c r="A1413" s="14"/>
    </row>
    <row r="1414">
      <c r="A1414" s="14"/>
    </row>
    <row r="1415">
      <c r="A1415" s="14"/>
    </row>
    <row r="1416">
      <c r="A1416" s="14"/>
    </row>
    <row r="1417">
      <c r="A1417" s="14"/>
    </row>
    <row r="1418">
      <c r="A1418" s="14"/>
    </row>
    <row r="1419">
      <c r="A1419" s="14"/>
    </row>
    <row r="1420">
      <c r="A1420" s="14"/>
    </row>
    <row r="1421">
      <c r="A1421" s="14"/>
    </row>
    <row r="1422">
      <c r="A1422" s="14"/>
    </row>
    <row r="1423">
      <c r="A1423" s="14"/>
    </row>
    <row r="1424">
      <c r="A1424" s="14"/>
    </row>
    <row r="1425">
      <c r="A1425" s="14"/>
    </row>
    <row r="1426">
      <c r="A1426" s="14"/>
    </row>
    <row r="1427">
      <c r="A1427" s="14"/>
    </row>
    <row r="1428">
      <c r="A1428" s="14"/>
    </row>
    <row r="1429">
      <c r="A1429" s="14"/>
    </row>
    <row r="1430">
      <c r="A1430" s="14"/>
    </row>
    <row r="1431">
      <c r="A1431" s="14"/>
    </row>
    <row r="1432">
      <c r="A1432" s="14"/>
    </row>
    <row r="1433">
      <c r="A1433" s="14"/>
    </row>
    <row r="1434">
      <c r="A1434" s="14"/>
    </row>
    <row r="1435">
      <c r="A1435" s="14"/>
    </row>
    <row r="1436">
      <c r="A1436" s="14"/>
    </row>
    <row r="1437">
      <c r="A1437" s="14"/>
    </row>
    <row r="1438">
      <c r="A1438" s="14"/>
    </row>
    <row r="1439">
      <c r="A1439" s="14"/>
    </row>
    <row r="1440">
      <c r="A1440" s="14"/>
    </row>
    <row r="1441">
      <c r="A1441" s="14"/>
    </row>
    <row r="1442">
      <c r="A1442" s="14"/>
    </row>
    <row r="1443">
      <c r="A1443" s="14"/>
    </row>
    <row r="1444">
      <c r="A1444" s="14"/>
    </row>
    <row r="1445">
      <c r="A1445" s="14"/>
    </row>
    <row r="1446">
      <c r="A1446" s="14"/>
    </row>
    <row r="1447">
      <c r="A1447" s="14"/>
    </row>
    <row r="1448">
      <c r="A1448" s="14"/>
    </row>
    <row r="1449">
      <c r="A1449" s="14"/>
    </row>
    <row r="1450">
      <c r="A1450" s="14"/>
    </row>
    <row r="1451">
      <c r="A1451" s="14"/>
    </row>
    <row r="1452">
      <c r="A1452" s="14"/>
    </row>
    <row r="1453">
      <c r="A1453" s="14"/>
    </row>
    <row r="1454">
      <c r="A1454" s="14"/>
    </row>
    <row r="1455">
      <c r="A1455" s="14"/>
    </row>
    <row r="1456">
      <c r="A1456" s="14"/>
    </row>
    <row r="1457">
      <c r="A1457" s="14"/>
    </row>
    <row r="1458">
      <c r="A1458" s="14"/>
    </row>
    <row r="1459">
      <c r="A1459" s="14"/>
    </row>
    <row r="1460">
      <c r="A1460" s="14"/>
    </row>
    <row r="1461">
      <c r="A1461" s="14"/>
    </row>
    <row r="1462">
      <c r="A1462" s="14"/>
    </row>
    <row r="1463">
      <c r="A1463" s="14"/>
    </row>
    <row r="1464">
      <c r="A1464" s="14"/>
    </row>
    <row r="1465">
      <c r="A1465" s="14"/>
    </row>
    <row r="1466">
      <c r="A1466" s="14"/>
    </row>
    <row r="1467">
      <c r="A1467" s="14"/>
    </row>
    <row r="1468">
      <c r="A1468" s="14"/>
    </row>
    <row r="1469">
      <c r="A1469" s="14"/>
    </row>
    <row r="1470">
      <c r="A1470" s="14"/>
    </row>
    <row r="1471">
      <c r="A1471" s="14"/>
    </row>
    <row r="1472">
      <c r="A1472" s="14"/>
    </row>
    <row r="1473">
      <c r="A1473" s="14"/>
    </row>
    <row r="1474">
      <c r="A1474" s="14"/>
    </row>
    <row r="1475">
      <c r="A1475" s="14"/>
    </row>
    <row r="1476">
      <c r="A1476" s="14"/>
    </row>
    <row r="1477">
      <c r="A1477" s="14"/>
    </row>
    <row r="1478">
      <c r="A1478" s="14"/>
    </row>
    <row r="1479">
      <c r="A1479" s="14"/>
    </row>
    <row r="1480">
      <c r="A1480" s="14"/>
    </row>
    <row r="1481">
      <c r="A1481" s="14"/>
    </row>
    <row r="1482">
      <c r="A1482" s="14"/>
    </row>
    <row r="1483">
      <c r="A1483" s="14"/>
    </row>
    <row r="1484">
      <c r="A1484" s="14"/>
    </row>
    <row r="1485">
      <c r="A1485" s="14"/>
    </row>
    <row r="1486">
      <c r="A1486" s="14"/>
    </row>
    <row r="1487">
      <c r="A1487" s="14"/>
    </row>
    <row r="1488">
      <c r="A1488" s="14"/>
    </row>
    <row r="1489">
      <c r="A1489" s="14"/>
    </row>
    <row r="1490">
      <c r="A1490" s="14"/>
    </row>
    <row r="1491">
      <c r="A1491" s="14"/>
    </row>
    <row r="1492">
      <c r="A1492" s="14"/>
    </row>
    <row r="1493">
      <c r="A1493" s="14"/>
    </row>
    <row r="1494">
      <c r="A1494" s="14"/>
    </row>
    <row r="1495">
      <c r="A1495" s="14"/>
    </row>
    <row r="1496">
      <c r="A1496" s="14"/>
    </row>
    <row r="1497">
      <c r="A1497" s="14"/>
    </row>
    <row r="1498">
      <c r="A1498" s="14"/>
    </row>
    <row r="1499">
      <c r="A1499" s="14"/>
    </row>
    <row r="1500">
      <c r="A1500" s="14"/>
    </row>
    <row r="1501">
      <c r="A1501" s="14"/>
    </row>
    <row r="1502">
      <c r="A1502" s="14"/>
    </row>
    <row r="1503">
      <c r="A1503" s="14"/>
    </row>
    <row r="1504">
      <c r="A1504" s="14"/>
    </row>
    <row r="1505">
      <c r="A1505" s="14"/>
    </row>
    <row r="1506">
      <c r="A1506" s="14"/>
    </row>
    <row r="1507">
      <c r="A1507" s="14"/>
    </row>
    <row r="1508">
      <c r="A1508" s="14"/>
    </row>
    <row r="1509">
      <c r="A1509" s="14"/>
    </row>
    <row r="1510">
      <c r="A1510" s="14"/>
    </row>
    <row r="1511">
      <c r="A1511" s="14"/>
    </row>
    <row r="1512">
      <c r="A1512" s="14"/>
    </row>
    <row r="1513">
      <c r="A1513" s="14"/>
    </row>
    <row r="1514">
      <c r="A1514" s="14"/>
    </row>
    <row r="1515">
      <c r="A1515" s="14"/>
    </row>
    <row r="1516">
      <c r="A1516" s="14"/>
    </row>
    <row r="1517">
      <c r="A1517" s="14"/>
    </row>
    <row r="1518">
      <c r="A1518" s="14"/>
    </row>
    <row r="1519">
      <c r="A1519" s="14"/>
    </row>
    <row r="1520">
      <c r="A1520" s="14"/>
    </row>
    <row r="1521">
      <c r="A1521" s="14"/>
    </row>
    <row r="1522">
      <c r="A1522" s="14"/>
    </row>
    <row r="1523">
      <c r="A1523" s="14"/>
    </row>
    <row r="1524">
      <c r="A1524" s="14"/>
    </row>
    <row r="1525">
      <c r="A1525" s="14"/>
    </row>
    <row r="1526">
      <c r="A1526" s="14"/>
    </row>
    <row r="1527">
      <c r="A1527" s="14"/>
    </row>
    <row r="1528">
      <c r="A1528" s="14"/>
    </row>
    <row r="1529">
      <c r="A1529" s="14"/>
    </row>
    <row r="1530">
      <c r="A1530" s="14"/>
    </row>
    <row r="1531">
      <c r="A1531" s="14"/>
    </row>
    <row r="1532">
      <c r="A1532" s="14"/>
    </row>
    <row r="1533">
      <c r="A1533" s="14"/>
    </row>
    <row r="1534">
      <c r="A1534" s="14"/>
    </row>
    <row r="1535">
      <c r="A1535" s="14"/>
    </row>
    <row r="1536">
      <c r="A1536" s="14"/>
    </row>
    <row r="1537">
      <c r="A1537" s="14"/>
    </row>
    <row r="1538">
      <c r="A1538" s="14"/>
    </row>
    <row r="1539">
      <c r="A1539" s="14"/>
    </row>
    <row r="1540">
      <c r="A1540" s="14"/>
    </row>
    <row r="1541">
      <c r="A1541" s="14"/>
    </row>
    <row r="1542">
      <c r="A1542" s="14"/>
    </row>
    <row r="1543">
      <c r="A1543" s="14"/>
    </row>
    <row r="1544">
      <c r="A1544" s="14"/>
    </row>
    <row r="1545">
      <c r="A1545" s="14"/>
    </row>
    <row r="1546">
      <c r="A1546" s="14"/>
    </row>
    <row r="1547">
      <c r="A1547" s="14"/>
    </row>
    <row r="1548">
      <c r="A1548" s="14"/>
    </row>
    <row r="1549">
      <c r="A1549" s="14"/>
    </row>
    <row r="1550">
      <c r="A1550" s="14"/>
    </row>
    <row r="1551">
      <c r="A1551" s="14"/>
    </row>
    <row r="1552">
      <c r="A1552" s="14"/>
    </row>
    <row r="1553">
      <c r="A1553" s="14"/>
    </row>
    <row r="1554">
      <c r="A1554" s="14"/>
    </row>
    <row r="1555">
      <c r="A1555" s="14"/>
    </row>
    <row r="1556">
      <c r="A1556" s="14"/>
    </row>
    <row r="1557">
      <c r="A1557" s="14"/>
    </row>
    <row r="1558">
      <c r="A1558" s="14"/>
    </row>
    <row r="1559">
      <c r="A1559" s="14"/>
    </row>
    <row r="1560">
      <c r="A1560" s="14"/>
    </row>
    <row r="1561">
      <c r="A1561" s="14"/>
    </row>
    <row r="1562">
      <c r="A1562" s="14"/>
    </row>
    <row r="1563">
      <c r="A1563" s="14"/>
    </row>
    <row r="1564">
      <c r="A1564" s="14"/>
    </row>
    <row r="1565">
      <c r="A1565" s="14"/>
    </row>
    <row r="1566">
      <c r="A1566" s="14"/>
    </row>
    <row r="1567">
      <c r="A1567" s="14"/>
    </row>
    <row r="1568">
      <c r="A1568" s="14"/>
    </row>
    <row r="1569">
      <c r="A1569" s="14"/>
    </row>
    <row r="1570">
      <c r="A1570" s="14"/>
    </row>
    <row r="1571">
      <c r="A1571" s="14"/>
    </row>
    <row r="1572">
      <c r="A1572" s="14"/>
    </row>
    <row r="1573">
      <c r="A1573" s="14"/>
    </row>
    <row r="1574">
      <c r="A1574" s="14"/>
    </row>
    <row r="1575">
      <c r="A1575" s="14"/>
    </row>
    <row r="1576">
      <c r="A1576" s="14"/>
    </row>
    <row r="1577">
      <c r="A1577" s="14"/>
    </row>
    <row r="1578">
      <c r="A1578" s="14"/>
    </row>
    <row r="1579">
      <c r="A1579" s="14"/>
    </row>
    <row r="1580">
      <c r="A1580" s="14"/>
    </row>
    <row r="1581">
      <c r="A1581" s="14"/>
    </row>
    <row r="1582">
      <c r="A1582" s="14"/>
    </row>
    <row r="1583">
      <c r="A1583" s="14"/>
    </row>
    <row r="1584">
      <c r="A1584" s="14"/>
    </row>
    <row r="1585">
      <c r="A1585" s="14"/>
    </row>
    <row r="1586">
      <c r="A1586" s="14"/>
    </row>
    <row r="1587">
      <c r="A1587" s="14"/>
    </row>
    <row r="1588">
      <c r="A1588" s="14"/>
    </row>
    <row r="1589">
      <c r="A1589" s="14"/>
    </row>
    <row r="1590">
      <c r="A1590" s="14"/>
    </row>
    <row r="1591">
      <c r="A1591" s="14"/>
    </row>
    <row r="1592">
      <c r="A1592" s="14"/>
    </row>
    <row r="1593">
      <c r="A1593" s="14"/>
    </row>
    <row r="1594">
      <c r="A1594" s="14"/>
    </row>
    <row r="1595">
      <c r="A1595" s="14"/>
    </row>
    <row r="1596">
      <c r="A1596" s="14"/>
    </row>
    <row r="1597">
      <c r="A1597" s="14"/>
    </row>
    <row r="1598">
      <c r="A1598" s="14"/>
    </row>
    <row r="1599">
      <c r="A1599" s="14"/>
    </row>
    <row r="1600">
      <c r="A1600" s="14"/>
    </row>
    <row r="1601">
      <c r="A1601" s="14"/>
    </row>
    <row r="1602">
      <c r="A1602" s="14"/>
    </row>
    <row r="1603">
      <c r="A1603" s="14"/>
    </row>
    <row r="1604">
      <c r="A1604" s="14"/>
    </row>
    <row r="1605">
      <c r="A1605" s="14"/>
    </row>
    <row r="1606">
      <c r="A1606" s="14"/>
    </row>
    <row r="1607">
      <c r="A1607" s="14"/>
    </row>
    <row r="1608">
      <c r="A1608" s="14"/>
    </row>
    <row r="1609">
      <c r="A1609" s="14"/>
    </row>
    <row r="1610">
      <c r="A1610" s="14"/>
    </row>
    <row r="1611">
      <c r="A1611" s="14"/>
    </row>
    <row r="1612">
      <c r="A1612" s="14"/>
    </row>
    <row r="1613">
      <c r="A1613" s="14"/>
    </row>
    <row r="1614">
      <c r="A1614" s="14"/>
    </row>
    <row r="1615">
      <c r="A1615" s="14"/>
    </row>
    <row r="1616">
      <c r="A1616" s="14"/>
    </row>
    <row r="1617">
      <c r="A1617" s="14"/>
    </row>
    <row r="1618">
      <c r="A1618" s="14"/>
    </row>
    <row r="1619">
      <c r="A1619" s="14"/>
    </row>
    <row r="1620">
      <c r="A1620" s="14"/>
    </row>
    <row r="1621">
      <c r="A1621" s="14"/>
    </row>
    <row r="1622">
      <c r="A1622" s="14"/>
    </row>
    <row r="1623">
      <c r="A1623" s="14"/>
    </row>
    <row r="1624">
      <c r="A1624" s="14"/>
    </row>
    <row r="1625">
      <c r="A1625" s="14"/>
    </row>
    <row r="1626">
      <c r="A1626" s="14"/>
    </row>
    <row r="1627">
      <c r="A1627" s="14"/>
    </row>
    <row r="1628">
      <c r="A1628" s="14"/>
    </row>
    <row r="1629">
      <c r="A1629" s="14"/>
    </row>
    <row r="1630">
      <c r="A1630" s="14"/>
    </row>
    <row r="1631">
      <c r="A1631" s="14"/>
    </row>
    <row r="1632">
      <c r="A1632" s="14"/>
    </row>
    <row r="1633">
      <c r="A1633" s="14"/>
    </row>
    <row r="1634">
      <c r="A1634" s="14"/>
    </row>
    <row r="1635">
      <c r="A1635" s="14"/>
    </row>
    <row r="1636">
      <c r="A1636" s="14"/>
    </row>
    <row r="1637">
      <c r="A1637" s="14"/>
    </row>
    <row r="1638">
      <c r="A1638" s="14"/>
    </row>
    <row r="1639">
      <c r="A1639" s="14"/>
    </row>
    <row r="1640">
      <c r="A1640" s="14"/>
    </row>
    <row r="1641">
      <c r="A1641" s="14"/>
    </row>
    <row r="1642">
      <c r="A1642" s="14"/>
    </row>
    <row r="1643">
      <c r="A1643" s="14"/>
    </row>
    <row r="1644">
      <c r="A1644" s="14"/>
    </row>
    <row r="1645">
      <c r="A1645" s="14"/>
    </row>
    <row r="1646">
      <c r="A1646" s="14"/>
    </row>
    <row r="1647">
      <c r="A1647" s="14"/>
    </row>
    <row r="1648">
      <c r="A1648" s="14"/>
    </row>
    <row r="1649">
      <c r="A1649" s="14"/>
    </row>
    <row r="1650">
      <c r="A1650" s="14"/>
    </row>
    <row r="1651">
      <c r="A1651" s="14"/>
    </row>
    <row r="1652">
      <c r="A1652" s="14"/>
    </row>
    <row r="1653">
      <c r="A1653" s="14"/>
    </row>
    <row r="1654">
      <c r="A1654" s="14"/>
    </row>
    <row r="1655">
      <c r="A1655" s="14"/>
    </row>
    <row r="1656">
      <c r="A1656" s="14"/>
    </row>
    <row r="1657">
      <c r="A1657" s="14"/>
    </row>
    <row r="1658">
      <c r="A1658" s="14"/>
    </row>
    <row r="1659">
      <c r="A1659" s="14"/>
    </row>
    <row r="1660">
      <c r="A1660" s="14"/>
    </row>
    <row r="1661">
      <c r="A1661" s="14"/>
    </row>
    <row r="1662">
      <c r="A1662" s="14"/>
    </row>
    <row r="1663">
      <c r="A1663" s="14"/>
    </row>
    <row r="1664">
      <c r="A1664" s="14"/>
    </row>
    <row r="1665">
      <c r="A1665" s="14"/>
    </row>
    <row r="1666">
      <c r="A1666" s="14"/>
    </row>
    <row r="1667">
      <c r="A1667" s="14"/>
    </row>
    <row r="1668">
      <c r="A1668" s="14"/>
    </row>
    <row r="1669">
      <c r="A1669" s="14"/>
    </row>
    <row r="1670">
      <c r="A1670" s="14"/>
    </row>
    <row r="1671">
      <c r="A1671" s="14"/>
    </row>
    <row r="1672">
      <c r="A1672" s="14"/>
    </row>
    <row r="1673">
      <c r="A1673" s="14"/>
    </row>
    <row r="1674">
      <c r="A1674" s="14"/>
    </row>
    <row r="1675">
      <c r="A1675" s="14"/>
    </row>
    <row r="1676">
      <c r="A1676" s="14"/>
    </row>
    <row r="1677">
      <c r="A1677" s="14"/>
    </row>
    <row r="1678">
      <c r="A1678" s="14"/>
    </row>
    <row r="1679">
      <c r="A1679" s="14"/>
    </row>
    <row r="1680">
      <c r="A1680" s="14"/>
    </row>
    <row r="1681">
      <c r="A1681" s="14"/>
    </row>
    <row r="1682">
      <c r="A1682" s="14"/>
    </row>
    <row r="1683">
      <c r="A1683" s="14"/>
    </row>
    <row r="1684">
      <c r="A1684" s="14"/>
    </row>
    <row r="1685">
      <c r="A1685" s="14"/>
    </row>
    <row r="1686">
      <c r="A1686" s="14"/>
    </row>
    <row r="1687">
      <c r="A1687" s="14"/>
    </row>
    <row r="1688">
      <c r="A1688" s="14"/>
    </row>
    <row r="1689">
      <c r="A1689" s="14"/>
    </row>
    <row r="1690">
      <c r="A1690" s="14"/>
    </row>
    <row r="1691">
      <c r="A1691" s="14"/>
    </row>
    <row r="1692">
      <c r="A1692" s="14"/>
    </row>
    <row r="1693">
      <c r="A1693" s="14"/>
    </row>
    <row r="1694">
      <c r="A1694" s="14"/>
    </row>
    <row r="1695">
      <c r="A1695" s="14"/>
    </row>
    <row r="1696">
      <c r="A1696" s="14"/>
    </row>
    <row r="1697">
      <c r="A1697" s="14"/>
    </row>
    <row r="1698">
      <c r="A1698" s="14"/>
    </row>
    <row r="1699">
      <c r="A1699" s="14"/>
    </row>
    <row r="1700">
      <c r="A1700" s="14"/>
    </row>
    <row r="1701">
      <c r="A1701" s="14"/>
    </row>
    <row r="1702">
      <c r="A1702" s="14"/>
    </row>
    <row r="1703">
      <c r="A1703" s="14"/>
    </row>
    <row r="1704">
      <c r="A1704" s="14"/>
    </row>
    <row r="1705">
      <c r="A1705" s="14"/>
    </row>
    <row r="1706">
      <c r="A1706" s="14"/>
    </row>
    <row r="1707">
      <c r="A1707" s="14"/>
    </row>
    <row r="1708">
      <c r="A1708" s="14"/>
    </row>
    <row r="1709">
      <c r="A1709" s="14"/>
    </row>
    <row r="1710">
      <c r="A1710" s="14"/>
    </row>
    <row r="1711">
      <c r="A1711" s="14"/>
    </row>
    <row r="1712">
      <c r="A1712" s="14"/>
    </row>
    <row r="1713">
      <c r="A1713" s="14"/>
    </row>
    <row r="1714">
      <c r="A1714" s="14"/>
    </row>
    <row r="1715">
      <c r="A1715" s="14"/>
    </row>
    <row r="1716">
      <c r="A1716" s="14"/>
    </row>
    <row r="1717">
      <c r="A1717" s="14"/>
    </row>
    <row r="1718">
      <c r="A1718" s="14"/>
    </row>
    <row r="1719">
      <c r="A1719" s="14"/>
    </row>
    <row r="1720">
      <c r="A1720" s="14"/>
    </row>
    <row r="1721">
      <c r="A1721" s="14"/>
    </row>
    <row r="1722">
      <c r="A1722" s="14"/>
    </row>
    <row r="1723">
      <c r="A1723" s="14"/>
    </row>
    <row r="1724">
      <c r="A1724" s="14"/>
    </row>
    <row r="1725">
      <c r="A1725" s="14"/>
    </row>
    <row r="1726">
      <c r="A1726" s="14"/>
    </row>
    <row r="1727">
      <c r="A1727" s="14"/>
    </row>
    <row r="1728">
      <c r="A1728" s="14"/>
    </row>
    <row r="1729">
      <c r="A1729" s="14"/>
    </row>
    <row r="1730">
      <c r="A1730" s="14"/>
    </row>
    <row r="1731">
      <c r="A1731" s="14"/>
    </row>
    <row r="1732">
      <c r="A1732" s="14"/>
    </row>
    <row r="1733">
      <c r="A1733" s="14"/>
    </row>
    <row r="1734">
      <c r="A1734" s="14"/>
    </row>
    <row r="1735">
      <c r="A1735" s="14"/>
    </row>
    <row r="1736">
      <c r="A1736" s="14"/>
    </row>
    <row r="1737">
      <c r="A1737" s="14"/>
    </row>
    <row r="1738">
      <c r="A1738" s="14"/>
    </row>
    <row r="1739">
      <c r="A1739" s="14"/>
    </row>
    <row r="1740">
      <c r="A1740" s="14"/>
    </row>
    <row r="1741">
      <c r="A1741" s="14"/>
    </row>
    <row r="1742">
      <c r="A1742" s="14"/>
    </row>
    <row r="1743">
      <c r="A1743" s="14"/>
    </row>
    <row r="1744">
      <c r="A1744" s="14"/>
    </row>
    <row r="1745">
      <c r="A1745" s="14"/>
    </row>
    <row r="1746">
      <c r="A1746" s="14"/>
    </row>
    <row r="1747">
      <c r="A1747" s="14"/>
    </row>
    <row r="1748">
      <c r="A1748" s="14"/>
    </row>
    <row r="1749">
      <c r="A1749" s="14"/>
    </row>
    <row r="1750">
      <c r="A1750" s="14"/>
    </row>
    <row r="1751">
      <c r="A1751" s="14"/>
    </row>
    <row r="1752">
      <c r="A1752" s="14"/>
    </row>
    <row r="1753">
      <c r="A1753" s="14"/>
    </row>
    <row r="1754">
      <c r="A1754" s="14"/>
    </row>
    <row r="1755">
      <c r="A1755" s="14"/>
    </row>
    <row r="1756">
      <c r="A1756" s="14"/>
    </row>
    <row r="1757">
      <c r="A1757" s="14"/>
    </row>
    <row r="1758">
      <c r="A1758" s="14"/>
    </row>
    <row r="1759">
      <c r="A1759" s="14"/>
    </row>
    <row r="1760">
      <c r="A1760" s="14"/>
    </row>
    <row r="1761">
      <c r="A1761" s="14"/>
    </row>
    <row r="1762">
      <c r="A1762" s="14"/>
    </row>
    <row r="1763">
      <c r="A1763" s="14"/>
    </row>
    <row r="1764">
      <c r="A1764" s="14"/>
    </row>
    <row r="1765">
      <c r="A1765" s="14"/>
    </row>
    <row r="1766">
      <c r="A1766" s="14"/>
    </row>
    <row r="1767">
      <c r="A1767" s="14"/>
    </row>
    <row r="1768">
      <c r="A1768" s="14"/>
    </row>
    <row r="1769">
      <c r="A1769" s="14"/>
    </row>
    <row r="1770">
      <c r="A1770" s="14"/>
    </row>
    <row r="1771">
      <c r="A1771" s="14"/>
    </row>
    <row r="1772">
      <c r="A1772" s="14"/>
    </row>
    <row r="1773">
      <c r="A1773" s="14"/>
    </row>
    <row r="1774">
      <c r="A1774" s="14"/>
    </row>
    <row r="1775">
      <c r="A1775" s="14"/>
    </row>
    <row r="1776">
      <c r="A1776" s="14"/>
    </row>
    <row r="1777">
      <c r="A1777" s="14"/>
    </row>
    <row r="1778">
      <c r="A1778" s="14"/>
    </row>
    <row r="1779">
      <c r="A1779" s="14"/>
    </row>
    <row r="1780">
      <c r="A1780" s="14"/>
    </row>
    <row r="1781">
      <c r="A1781" s="14"/>
    </row>
    <row r="1782">
      <c r="A1782" s="14"/>
    </row>
    <row r="1783">
      <c r="A1783" s="14"/>
    </row>
    <row r="1784">
      <c r="A1784" s="14"/>
    </row>
    <row r="1785">
      <c r="A1785" s="14"/>
    </row>
    <row r="1786">
      <c r="A1786" s="14"/>
    </row>
    <row r="1787">
      <c r="A1787" s="14"/>
    </row>
    <row r="1788">
      <c r="A1788" s="14"/>
    </row>
    <row r="1789">
      <c r="A1789" s="14"/>
    </row>
    <row r="1790">
      <c r="A1790" s="14"/>
    </row>
    <row r="1791">
      <c r="A1791" s="14"/>
    </row>
    <row r="1792">
      <c r="A1792" s="14"/>
    </row>
    <row r="1793">
      <c r="A1793" s="14"/>
    </row>
    <row r="1794">
      <c r="A1794" s="14"/>
    </row>
    <row r="1795">
      <c r="A1795" s="14"/>
    </row>
    <row r="1796">
      <c r="A1796" s="14"/>
    </row>
    <row r="1797">
      <c r="A1797" s="14"/>
    </row>
    <row r="1798">
      <c r="A1798" s="14"/>
    </row>
    <row r="1799">
      <c r="A1799" s="14"/>
    </row>
    <row r="1800">
      <c r="A1800" s="14"/>
    </row>
    <row r="1801">
      <c r="A1801" s="14"/>
    </row>
    <row r="1802">
      <c r="A1802" s="14"/>
    </row>
    <row r="1803">
      <c r="A1803" s="14"/>
    </row>
    <row r="1804">
      <c r="A1804" s="14"/>
    </row>
    <row r="1805">
      <c r="A1805" s="14"/>
    </row>
    <row r="1806">
      <c r="A1806" s="14"/>
    </row>
    <row r="1807">
      <c r="A1807" s="14"/>
    </row>
    <row r="1808">
      <c r="A1808" s="14"/>
    </row>
    <row r="1809">
      <c r="A1809" s="14"/>
    </row>
    <row r="1810">
      <c r="A1810" s="14"/>
    </row>
    <row r="1811">
      <c r="A1811" s="14"/>
    </row>
    <row r="1812">
      <c r="A1812" s="14"/>
    </row>
    <row r="1813">
      <c r="A1813" s="14"/>
    </row>
    <row r="1814">
      <c r="A1814" s="14"/>
    </row>
    <row r="1815">
      <c r="A1815" s="14"/>
    </row>
    <row r="1816">
      <c r="A1816" s="14"/>
    </row>
    <row r="1817">
      <c r="A1817" s="14"/>
    </row>
    <row r="1818">
      <c r="A1818" s="14"/>
    </row>
    <row r="1819">
      <c r="A1819" s="14"/>
    </row>
    <row r="1820">
      <c r="A1820" s="14"/>
    </row>
    <row r="1821">
      <c r="A1821" s="14"/>
    </row>
    <row r="1822">
      <c r="A1822" s="14"/>
    </row>
    <row r="1823">
      <c r="A1823" s="14"/>
    </row>
    <row r="1824">
      <c r="A1824" s="14"/>
    </row>
    <row r="1825">
      <c r="A1825" s="14"/>
    </row>
    <row r="1826">
      <c r="A1826" s="14"/>
    </row>
    <row r="1827">
      <c r="A1827" s="14"/>
    </row>
    <row r="1828">
      <c r="A1828" s="14"/>
    </row>
    <row r="1829">
      <c r="A1829" s="14"/>
    </row>
    <row r="1830">
      <c r="A1830" s="14"/>
    </row>
    <row r="1831">
      <c r="A1831" s="14"/>
    </row>
    <row r="1832">
      <c r="A1832" s="14"/>
    </row>
    <row r="1833">
      <c r="A1833" s="14"/>
    </row>
    <row r="1834">
      <c r="A1834" s="14"/>
    </row>
    <row r="1835">
      <c r="A1835" s="14"/>
    </row>
    <row r="1836">
      <c r="A1836" s="14"/>
    </row>
    <row r="1837">
      <c r="A1837" s="14"/>
    </row>
    <row r="1838">
      <c r="A1838" s="14"/>
    </row>
    <row r="1839">
      <c r="A1839" s="14"/>
    </row>
    <row r="1840">
      <c r="A1840" s="14"/>
    </row>
    <row r="1841">
      <c r="A1841" s="14"/>
    </row>
    <row r="1842">
      <c r="A1842" s="14"/>
    </row>
    <row r="1843">
      <c r="A1843" s="14"/>
    </row>
    <row r="1844">
      <c r="A1844" s="14"/>
    </row>
    <row r="1845">
      <c r="A1845" s="14"/>
    </row>
    <row r="1846">
      <c r="A1846" s="14"/>
    </row>
    <row r="1847">
      <c r="A1847" s="14"/>
    </row>
    <row r="1848">
      <c r="A1848" s="14"/>
    </row>
    <row r="1849">
      <c r="A1849" s="14"/>
    </row>
    <row r="1850">
      <c r="A1850" s="14"/>
    </row>
    <row r="1851">
      <c r="A1851" s="14"/>
    </row>
    <row r="1852">
      <c r="A1852" s="14"/>
    </row>
    <row r="1853">
      <c r="A1853" s="14"/>
    </row>
    <row r="1854">
      <c r="A1854" s="14"/>
    </row>
    <row r="1855">
      <c r="A1855" s="14"/>
    </row>
    <row r="1856">
      <c r="A1856" s="14"/>
    </row>
    <row r="1857">
      <c r="A1857" s="14"/>
    </row>
    <row r="1858">
      <c r="A1858" s="14"/>
    </row>
    <row r="1859">
      <c r="A1859" s="14"/>
    </row>
    <row r="1860">
      <c r="A1860" s="14"/>
    </row>
    <row r="1861">
      <c r="A1861" s="14"/>
    </row>
    <row r="1862">
      <c r="A1862" s="14"/>
    </row>
    <row r="1863">
      <c r="A1863" s="14"/>
    </row>
    <row r="1864">
      <c r="A1864" s="14"/>
    </row>
    <row r="1865">
      <c r="A1865" s="14"/>
    </row>
    <row r="1866">
      <c r="A1866" s="14"/>
    </row>
    <row r="1867">
      <c r="A1867" s="14"/>
    </row>
    <row r="1868">
      <c r="A1868" s="14"/>
    </row>
    <row r="1869">
      <c r="A1869" s="14"/>
    </row>
    <row r="1870">
      <c r="A1870" s="14"/>
    </row>
    <row r="1871">
      <c r="A1871" s="14"/>
    </row>
    <row r="1872">
      <c r="A1872" s="14"/>
    </row>
    <row r="1873">
      <c r="A1873" s="14"/>
    </row>
    <row r="1874">
      <c r="A1874" s="14"/>
    </row>
    <row r="1875">
      <c r="A1875" s="14"/>
    </row>
    <row r="1876">
      <c r="A1876" s="14"/>
    </row>
    <row r="1877">
      <c r="A1877" s="14"/>
    </row>
    <row r="1878">
      <c r="A1878" s="14"/>
    </row>
    <row r="1879">
      <c r="A1879" s="14"/>
    </row>
    <row r="1880">
      <c r="A1880" s="14"/>
    </row>
    <row r="1881">
      <c r="A1881" s="14"/>
    </row>
    <row r="1882">
      <c r="A1882" s="14"/>
    </row>
    <row r="1883">
      <c r="A1883" s="14"/>
    </row>
    <row r="1884">
      <c r="A1884" s="14"/>
    </row>
    <row r="1885">
      <c r="A1885" s="14"/>
    </row>
    <row r="1886">
      <c r="A1886" s="14"/>
    </row>
    <row r="1887">
      <c r="A1887" s="14"/>
    </row>
    <row r="1888">
      <c r="A1888" s="14"/>
    </row>
    <row r="1889">
      <c r="A1889" s="14"/>
    </row>
    <row r="1890">
      <c r="A1890" s="14"/>
    </row>
    <row r="1891">
      <c r="A1891" s="14"/>
    </row>
    <row r="1892">
      <c r="A1892" s="14"/>
    </row>
    <row r="1893">
      <c r="A1893" s="14"/>
    </row>
    <row r="1894">
      <c r="A1894" s="14"/>
    </row>
    <row r="1895">
      <c r="A1895" s="14"/>
    </row>
    <row r="1896">
      <c r="A1896" s="14"/>
    </row>
    <row r="1897">
      <c r="A1897" s="14"/>
    </row>
    <row r="1898">
      <c r="A1898" s="14"/>
    </row>
    <row r="1899">
      <c r="A1899" s="14"/>
    </row>
    <row r="1900">
      <c r="A1900" s="14"/>
    </row>
    <row r="1901">
      <c r="A1901" s="14"/>
    </row>
    <row r="1902">
      <c r="A1902" s="14"/>
    </row>
    <row r="1903">
      <c r="A1903" s="14"/>
    </row>
    <row r="1904">
      <c r="A1904" s="14"/>
    </row>
    <row r="1905">
      <c r="A1905" s="14"/>
    </row>
    <row r="1906">
      <c r="A1906" s="14"/>
    </row>
    <row r="1907">
      <c r="A1907" s="14"/>
    </row>
    <row r="1908">
      <c r="A1908" s="14"/>
    </row>
    <row r="1909">
      <c r="A1909" s="14"/>
    </row>
    <row r="1910">
      <c r="A1910" s="14"/>
    </row>
    <row r="1911">
      <c r="A1911" s="14"/>
    </row>
    <row r="1912">
      <c r="A1912" s="14"/>
    </row>
    <row r="1913">
      <c r="A1913" s="14"/>
    </row>
    <row r="1914">
      <c r="A1914" s="14"/>
    </row>
    <row r="1915">
      <c r="A1915" s="14"/>
    </row>
    <row r="1916">
      <c r="A1916" s="14"/>
    </row>
    <row r="1917">
      <c r="A1917" s="14"/>
    </row>
    <row r="1918">
      <c r="A1918" s="14"/>
    </row>
    <row r="1919">
      <c r="A1919" s="14"/>
    </row>
    <row r="1920">
      <c r="A1920" s="14"/>
    </row>
    <row r="1921">
      <c r="A1921" s="14"/>
    </row>
    <row r="1922">
      <c r="A1922" s="14"/>
    </row>
    <row r="1923">
      <c r="A1923" s="14"/>
    </row>
    <row r="1924">
      <c r="A1924" s="14"/>
    </row>
    <row r="1925">
      <c r="A1925" s="14"/>
    </row>
    <row r="1926">
      <c r="A1926" s="14"/>
    </row>
    <row r="1927">
      <c r="A1927" s="14"/>
    </row>
    <row r="1928">
      <c r="A1928" s="14"/>
    </row>
    <row r="1929">
      <c r="A1929" s="14"/>
    </row>
    <row r="1930">
      <c r="A1930" s="14"/>
    </row>
    <row r="1931">
      <c r="A1931" s="14"/>
    </row>
    <row r="1932">
      <c r="A1932" s="14"/>
    </row>
    <row r="1933">
      <c r="A1933" s="14"/>
    </row>
    <row r="1934">
      <c r="A1934" s="14"/>
    </row>
    <row r="1935">
      <c r="A1935" s="14"/>
    </row>
    <row r="1936">
      <c r="A1936" s="14"/>
    </row>
    <row r="1937">
      <c r="A1937" s="14"/>
    </row>
    <row r="1938">
      <c r="A1938" s="14"/>
    </row>
    <row r="1939">
      <c r="A1939" s="14"/>
    </row>
    <row r="1940">
      <c r="A1940" s="14"/>
    </row>
    <row r="1941">
      <c r="A1941" s="14"/>
    </row>
    <row r="1942">
      <c r="A1942" s="14"/>
    </row>
    <row r="1943">
      <c r="A1943" s="14"/>
    </row>
    <row r="1944">
      <c r="A1944" s="14"/>
    </row>
    <row r="1945">
      <c r="A1945" s="14"/>
    </row>
    <row r="1946">
      <c r="A1946" s="14"/>
    </row>
    <row r="1947">
      <c r="A1947" s="14"/>
    </row>
    <row r="1948">
      <c r="A1948" s="14"/>
    </row>
    <row r="1949">
      <c r="A1949" s="14"/>
    </row>
    <row r="1950">
      <c r="A1950" s="14"/>
    </row>
    <row r="1951">
      <c r="A1951" s="14"/>
    </row>
    <row r="1952">
      <c r="A1952" s="14"/>
    </row>
    <row r="1953">
      <c r="A1953" s="14"/>
    </row>
    <row r="1954">
      <c r="A1954" s="14"/>
    </row>
    <row r="1955">
      <c r="A1955" s="14"/>
    </row>
    <row r="1956">
      <c r="A1956" s="14"/>
    </row>
    <row r="1957">
      <c r="A1957" s="14"/>
    </row>
    <row r="1958">
      <c r="A1958" s="14"/>
    </row>
    <row r="1959">
      <c r="A1959" s="14"/>
    </row>
    <row r="1960">
      <c r="A1960" s="14"/>
    </row>
    <row r="1961">
      <c r="A1961" s="14"/>
    </row>
    <row r="1962">
      <c r="A1962" s="14"/>
    </row>
    <row r="1963">
      <c r="A1963" s="14"/>
    </row>
    <row r="1964">
      <c r="A1964" s="14"/>
    </row>
    <row r="1965">
      <c r="A1965" s="14"/>
    </row>
    <row r="1966">
      <c r="A1966" s="14"/>
    </row>
    <row r="1967">
      <c r="A1967" s="14"/>
    </row>
    <row r="1968">
      <c r="A1968" s="14"/>
    </row>
    <row r="1969">
      <c r="A1969" s="14"/>
    </row>
    <row r="1970">
      <c r="A1970" s="14"/>
    </row>
    <row r="1971">
      <c r="A1971" s="14"/>
    </row>
    <row r="1972">
      <c r="A1972" s="14"/>
    </row>
    <row r="1973">
      <c r="A1973" s="14"/>
    </row>
    <row r="1974">
      <c r="A1974" s="14"/>
    </row>
    <row r="1975">
      <c r="A1975" s="14"/>
    </row>
    <row r="1976">
      <c r="A1976" s="14"/>
    </row>
    <row r="1977">
      <c r="A1977" s="14"/>
    </row>
    <row r="1978">
      <c r="A1978" s="14"/>
    </row>
    <row r="1979">
      <c r="A1979" s="14"/>
    </row>
    <row r="1980">
      <c r="A1980" s="14"/>
    </row>
    <row r="1981">
      <c r="A1981" s="14"/>
    </row>
    <row r="1982">
      <c r="A1982" s="14"/>
    </row>
    <row r="1983">
      <c r="A1983" s="14"/>
    </row>
    <row r="1984">
      <c r="A1984" s="14"/>
    </row>
    <row r="1985">
      <c r="A1985" s="14"/>
    </row>
    <row r="1986">
      <c r="A1986" s="14"/>
    </row>
    <row r="1987">
      <c r="A1987" s="14"/>
    </row>
    <row r="1988">
      <c r="A1988" s="14"/>
    </row>
    <row r="1989">
      <c r="A1989" s="14"/>
    </row>
    <row r="1990">
      <c r="A1990" s="14"/>
    </row>
    <row r="1991">
      <c r="A1991" s="14"/>
    </row>
    <row r="1992">
      <c r="A1992" s="14"/>
    </row>
    <row r="1993">
      <c r="A1993" s="14"/>
    </row>
    <row r="1994">
      <c r="A1994" s="14"/>
    </row>
    <row r="1995">
      <c r="A1995" s="14"/>
    </row>
    <row r="1996">
      <c r="A1996" s="14"/>
    </row>
    <row r="1997">
      <c r="A1997" s="14"/>
    </row>
    <row r="1998">
      <c r="A1998" s="14"/>
    </row>
    <row r="1999">
      <c r="A1999" s="14"/>
    </row>
    <row r="2000">
      <c r="A2000" s="14"/>
    </row>
    <row r="2001">
      <c r="A2001" s="14"/>
    </row>
    <row r="2002">
      <c r="A2002" s="14"/>
    </row>
    <row r="2003">
      <c r="A2003" s="14"/>
    </row>
    <row r="2004">
      <c r="A2004" s="14"/>
    </row>
    <row r="2005">
      <c r="A2005" s="14"/>
    </row>
    <row r="2006">
      <c r="A2006" s="14"/>
    </row>
    <row r="2007">
      <c r="A2007" s="14"/>
    </row>
    <row r="2008">
      <c r="A2008" s="14"/>
    </row>
    <row r="2009">
      <c r="A2009" s="14"/>
    </row>
    <row r="2010">
      <c r="A2010" s="14"/>
    </row>
    <row r="2011">
      <c r="A2011" s="14"/>
    </row>
    <row r="2012">
      <c r="A2012" s="14"/>
    </row>
    <row r="2013">
      <c r="A2013" s="14"/>
    </row>
    <row r="2014">
      <c r="A2014" s="14"/>
    </row>
    <row r="2015">
      <c r="A2015" s="14"/>
    </row>
    <row r="2016">
      <c r="A2016" s="14"/>
    </row>
    <row r="2017">
      <c r="A2017" s="14"/>
    </row>
    <row r="2018">
      <c r="A2018" s="14"/>
    </row>
    <row r="2019">
      <c r="A2019" s="14"/>
    </row>
    <row r="2020">
      <c r="A2020" s="14"/>
    </row>
    <row r="2021">
      <c r="A2021" s="14"/>
    </row>
    <row r="2022">
      <c r="A2022" s="14"/>
    </row>
    <row r="2023">
      <c r="A2023" s="14"/>
    </row>
    <row r="2024">
      <c r="A2024" s="14"/>
    </row>
    <row r="2025">
      <c r="A2025" s="14"/>
    </row>
    <row r="2026">
      <c r="A2026" s="14"/>
    </row>
    <row r="2027">
      <c r="A2027" s="14"/>
    </row>
    <row r="2028">
      <c r="A2028" s="14"/>
    </row>
    <row r="2029">
      <c r="A2029" s="14"/>
    </row>
    <row r="2030">
      <c r="A2030" s="14"/>
    </row>
    <row r="2031">
      <c r="A2031" s="14"/>
    </row>
    <row r="2032">
      <c r="A2032" s="14"/>
    </row>
    <row r="2033">
      <c r="A2033" s="14"/>
    </row>
    <row r="2034">
      <c r="A2034" s="14"/>
    </row>
    <row r="2035">
      <c r="A2035" s="14"/>
    </row>
    <row r="2036">
      <c r="A2036" s="14"/>
    </row>
    <row r="2037">
      <c r="A2037" s="14"/>
    </row>
    <row r="2038">
      <c r="A2038" s="14"/>
    </row>
    <row r="2039">
      <c r="A2039" s="14"/>
    </row>
    <row r="2040">
      <c r="A2040" s="14"/>
    </row>
    <row r="2041">
      <c r="A2041" s="14"/>
    </row>
    <row r="2042">
      <c r="A2042" s="14"/>
    </row>
    <row r="2043">
      <c r="A2043" s="14"/>
    </row>
    <row r="2044">
      <c r="A2044" s="14"/>
    </row>
    <row r="2045">
      <c r="A2045" s="14"/>
    </row>
    <row r="2046">
      <c r="A2046" s="14"/>
    </row>
    <row r="2047">
      <c r="A2047" s="14"/>
    </row>
    <row r="2048">
      <c r="A2048" s="14"/>
    </row>
    <row r="2049">
      <c r="A2049" s="14"/>
    </row>
    <row r="2050">
      <c r="A2050" s="14"/>
    </row>
    <row r="2051">
      <c r="A2051" s="14"/>
    </row>
    <row r="2052">
      <c r="A2052" s="14"/>
    </row>
    <row r="2053">
      <c r="A2053" s="14"/>
    </row>
    <row r="2054">
      <c r="A2054" s="14"/>
    </row>
    <row r="2055">
      <c r="A2055" s="14"/>
    </row>
    <row r="2056">
      <c r="A2056" s="14"/>
    </row>
    <row r="2057">
      <c r="A2057" s="14"/>
    </row>
    <row r="2058">
      <c r="A2058" s="14"/>
    </row>
    <row r="2059">
      <c r="A2059" s="14"/>
    </row>
    <row r="2060">
      <c r="A2060" s="14"/>
    </row>
    <row r="2061">
      <c r="A2061" s="14"/>
    </row>
    <row r="2062">
      <c r="A2062" s="14"/>
    </row>
    <row r="2063">
      <c r="A2063" s="14"/>
    </row>
    <row r="2064">
      <c r="A2064" s="14"/>
    </row>
    <row r="2065">
      <c r="A2065" s="14"/>
    </row>
    <row r="2066">
      <c r="A2066" s="14"/>
    </row>
    <row r="2067">
      <c r="A2067" s="14"/>
    </row>
    <row r="2068">
      <c r="A2068" s="14"/>
    </row>
    <row r="2069">
      <c r="A2069" s="14"/>
    </row>
    <row r="2070">
      <c r="A2070" s="14"/>
    </row>
    <row r="2071">
      <c r="A2071" s="14"/>
    </row>
    <row r="2072">
      <c r="A2072" s="14"/>
    </row>
    <row r="2073">
      <c r="A2073" s="14"/>
    </row>
    <row r="2074">
      <c r="A2074" s="14"/>
    </row>
    <row r="2075">
      <c r="A2075" s="14"/>
    </row>
    <row r="2076">
      <c r="A2076" s="14"/>
    </row>
    <row r="2077">
      <c r="A2077" s="14"/>
    </row>
    <row r="2078">
      <c r="A2078" s="14"/>
    </row>
    <row r="2079">
      <c r="A2079" s="14"/>
    </row>
    <row r="2080">
      <c r="A2080" s="14"/>
    </row>
    <row r="2081">
      <c r="A2081" s="14"/>
    </row>
    <row r="2082">
      <c r="A2082" s="14"/>
    </row>
    <row r="2083">
      <c r="A2083" s="14"/>
    </row>
    <row r="2084">
      <c r="A2084" s="14"/>
    </row>
    <row r="2085">
      <c r="A2085" s="14"/>
    </row>
    <row r="2086">
      <c r="A2086" s="14"/>
    </row>
    <row r="2087">
      <c r="A2087" s="14"/>
    </row>
    <row r="2088">
      <c r="A2088" s="14"/>
    </row>
    <row r="2089">
      <c r="A2089" s="14"/>
    </row>
    <row r="2090">
      <c r="A2090" s="14"/>
    </row>
    <row r="2091">
      <c r="A2091" s="14"/>
    </row>
    <row r="2092">
      <c r="A2092" s="14"/>
    </row>
    <row r="2093">
      <c r="A2093" s="14"/>
    </row>
    <row r="2094">
      <c r="A2094" s="14"/>
    </row>
    <row r="2095">
      <c r="A2095" s="14"/>
    </row>
    <row r="2096">
      <c r="A2096" s="14"/>
    </row>
    <row r="2097">
      <c r="A2097" s="14"/>
    </row>
    <row r="2098">
      <c r="A2098" s="14"/>
    </row>
    <row r="2099">
      <c r="A2099" s="14"/>
    </row>
    <row r="2100">
      <c r="A2100" s="14"/>
    </row>
    <row r="2101">
      <c r="A2101" s="14"/>
    </row>
    <row r="2102">
      <c r="A2102" s="14"/>
    </row>
    <row r="2103">
      <c r="A2103" s="14"/>
    </row>
    <row r="2104">
      <c r="A2104" s="14"/>
    </row>
    <row r="2105">
      <c r="A2105" s="14"/>
    </row>
    <row r="2106">
      <c r="A2106" s="14"/>
    </row>
    <row r="2107">
      <c r="A2107" s="14"/>
    </row>
    <row r="2108">
      <c r="A2108" s="14"/>
    </row>
    <row r="2109">
      <c r="A2109" s="14"/>
    </row>
    <row r="2110">
      <c r="A2110" s="14"/>
    </row>
    <row r="2111">
      <c r="A2111" s="14"/>
    </row>
    <row r="2112">
      <c r="A2112" s="14"/>
    </row>
    <row r="2113">
      <c r="A2113" s="14"/>
    </row>
    <row r="2114">
      <c r="A2114" s="14"/>
    </row>
    <row r="2115">
      <c r="A2115" s="14"/>
    </row>
    <row r="2116">
      <c r="A2116" s="14"/>
    </row>
    <row r="2117">
      <c r="A2117" s="14"/>
    </row>
    <row r="2118">
      <c r="A2118" s="14"/>
    </row>
    <row r="2119">
      <c r="A2119" s="14"/>
    </row>
    <row r="2120">
      <c r="A2120" s="14"/>
    </row>
    <row r="2121">
      <c r="A2121" s="14"/>
    </row>
    <row r="2122">
      <c r="A2122" s="14"/>
    </row>
    <row r="2123">
      <c r="A2123" s="14"/>
    </row>
    <row r="2124">
      <c r="A2124" s="14"/>
    </row>
    <row r="2125">
      <c r="A2125" s="14"/>
    </row>
    <row r="2126">
      <c r="A2126" s="14"/>
    </row>
    <row r="2127">
      <c r="A2127" s="14"/>
    </row>
    <row r="2128">
      <c r="A2128" s="14"/>
    </row>
    <row r="2129">
      <c r="A2129" s="14"/>
    </row>
    <row r="2130">
      <c r="A2130" s="14"/>
    </row>
    <row r="2131">
      <c r="A2131" s="14"/>
    </row>
    <row r="2132">
      <c r="A2132" s="14"/>
    </row>
    <row r="2133">
      <c r="A2133" s="14"/>
    </row>
    <row r="2134">
      <c r="A2134" s="14"/>
    </row>
    <row r="2135">
      <c r="A2135" s="14"/>
    </row>
    <row r="2136">
      <c r="A2136" s="14"/>
    </row>
    <row r="2137">
      <c r="A2137" s="14"/>
    </row>
    <row r="2138">
      <c r="A2138" s="14"/>
    </row>
    <row r="2139">
      <c r="A2139" s="14"/>
    </row>
    <row r="2140">
      <c r="A2140" s="14"/>
    </row>
    <row r="2141">
      <c r="A2141" s="14"/>
    </row>
    <row r="2142">
      <c r="A2142" s="14"/>
    </row>
    <row r="2143">
      <c r="A2143" s="14"/>
    </row>
    <row r="2144">
      <c r="A2144" s="14"/>
    </row>
    <row r="2145">
      <c r="A2145" s="14"/>
    </row>
    <row r="2146">
      <c r="A2146" s="14"/>
    </row>
    <row r="2147">
      <c r="A2147" s="14"/>
    </row>
    <row r="2148">
      <c r="A2148" s="14"/>
    </row>
    <row r="2149">
      <c r="A2149" s="14"/>
    </row>
    <row r="2150">
      <c r="A2150" s="14"/>
    </row>
    <row r="2151">
      <c r="A2151" s="14"/>
    </row>
    <row r="2152">
      <c r="A2152" s="14"/>
    </row>
    <row r="2153">
      <c r="A2153" s="14"/>
    </row>
    <row r="2154">
      <c r="A2154" s="14"/>
    </row>
    <row r="2155">
      <c r="A2155" s="14"/>
    </row>
    <row r="2156">
      <c r="A2156" s="14"/>
    </row>
    <row r="2157">
      <c r="A2157" s="14"/>
    </row>
    <row r="2158">
      <c r="A2158" s="14"/>
    </row>
    <row r="2159">
      <c r="A2159" s="14"/>
    </row>
    <row r="2160">
      <c r="A2160" s="14"/>
    </row>
    <row r="2161">
      <c r="A2161" s="14"/>
    </row>
    <row r="2162">
      <c r="A2162" s="14"/>
    </row>
    <row r="2163">
      <c r="A2163" s="14"/>
    </row>
    <row r="2164">
      <c r="A2164" s="14"/>
    </row>
    <row r="2165">
      <c r="A2165" s="14"/>
    </row>
    <row r="2166">
      <c r="A2166" s="14"/>
    </row>
    <row r="2167">
      <c r="A2167" s="14"/>
    </row>
    <row r="2168">
      <c r="A2168" s="14"/>
    </row>
    <row r="2169">
      <c r="A2169" s="14"/>
    </row>
    <row r="2170">
      <c r="A2170" s="14"/>
    </row>
    <row r="2171">
      <c r="A2171" s="14"/>
    </row>
    <row r="2172">
      <c r="A2172" s="14"/>
    </row>
    <row r="2173">
      <c r="A2173" s="14"/>
    </row>
    <row r="2174">
      <c r="A2174" s="14"/>
    </row>
    <row r="2175">
      <c r="A2175" s="14"/>
    </row>
    <row r="2176">
      <c r="A2176" s="14"/>
    </row>
    <row r="2177">
      <c r="A2177" s="14"/>
    </row>
    <row r="2178">
      <c r="A2178" s="14"/>
    </row>
    <row r="2179">
      <c r="A2179" s="14"/>
    </row>
    <row r="2180">
      <c r="A2180" s="14"/>
    </row>
    <row r="2181">
      <c r="A2181" s="14"/>
    </row>
    <row r="2182">
      <c r="A2182" s="14"/>
    </row>
    <row r="2183">
      <c r="A2183" s="14"/>
    </row>
    <row r="2184">
      <c r="A2184" s="14"/>
    </row>
    <row r="2185">
      <c r="A2185" s="14"/>
    </row>
    <row r="2186">
      <c r="A2186" s="14"/>
    </row>
    <row r="2187">
      <c r="A2187" s="14"/>
    </row>
    <row r="2188">
      <c r="A2188" s="14"/>
    </row>
    <row r="2189">
      <c r="A2189" s="14"/>
    </row>
    <row r="2190">
      <c r="A2190" s="14"/>
    </row>
    <row r="2191">
      <c r="A2191" s="14"/>
    </row>
    <row r="2192">
      <c r="A2192" s="14"/>
    </row>
    <row r="2193">
      <c r="A2193" s="14"/>
    </row>
    <row r="2194">
      <c r="A2194" s="14"/>
    </row>
    <row r="2195">
      <c r="A2195" s="14"/>
    </row>
    <row r="2196">
      <c r="A2196" s="14"/>
    </row>
    <row r="2197">
      <c r="A2197" s="14"/>
    </row>
    <row r="2198">
      <c r="A2198" s="14"/>
    </row>
    <row r="2199">
      <c r="A2199" s="14"/>
    </row>
    <row r="2200">
      <c r="A2200" s="14"/>
    </row>
    <row r="2201">
      <c r="A2201" s="14"/>
    </row>
    <row r="2202">
      <c r="A2202" s="14"/>
    </row>
    <row r="2203">
      <c r="A2203" s="14"/>
    </row>
    <row r="2204">
      <c r="A2204" s="14"/>
    </row>
    <row r="2205">
      <c r="A2205" s="14"/>
    </row>
    <row r="2206">
      <c r="A2206" s="14"/>
    </row>
    <row r="2207">
      <c r="A2207" s="14"/>
    </row>
    <row r="2208">
      <c r="A2208" s="14"/>
    </row>
    <row r="2209">
      <c r="A2209" s="14"/>
    </row>
    <row r="2210">
      <c r="A2210" s="14"/>
    </row>
    <row r="2211">
      <c r="A2211" s="14"/>
    </row>
    <row r="2212">
      <c r="A2212" s="14"/>
    </row>
    <row r="2213">
      <c r="A2213" s="14"/>
    </row>
    <row r="2214">
      <c r="A2214" s="14"/>
    </row>
    <row r="2215">
      <c r="A2215" s="14"/>
    </row>
    <row r="2216">
      <c r="A2216" s="14"/>
    </row>
    <row r="2217">
      <c r="A2217" s="14"/>
    </row>
    <row r="2218">
      <c r="A2218" s="14"/>
    </row>
    <row r="2219">
      <c r="A2219" s="14"/>
    </row>
    <row r="2220">
      <c r="A2220" s="14"/>
    </row>
    <row r="2221">
      <c r="A2221" s="14"/>
    </row>
    <row r="2222">
      <c r="A2222" s="14"/>
    </row>
    <row r="2223">
      <c r="A2223" s="14"/>
    </row>
    <row r="2224">
      <c r="A2224" s="14"/>
    </row>
    <row r="2225">
      <c r="A2225" s="14"/>
    </row>
    <row r="2226">
      <c r="A2226" s="14"/>
    </row>
    <row r="2227">
      <c r="A2227" s="14"/>
    </row>
    <row r="2228">
      <c r="A2228" s="14"/>
    </row>
    <row r="2229">
      <c r="A2229" s="14"/>
    </row>
    <row r="2230">
      <c r="A2230" s="14"/>
    </row>
    <row r="2231">
      <c r="A2231" s="14"/>
    </row>
    <row r="2232">
      <c r="A2232" s="14"/>
    </row>
    <row r="2233">
      <c r="A2233" s="14"/>
    </row>
    <row r="2234">
      <c r="A2234" s="14"/>
    </row>
    <row r="2235">
      <c r="A2235" s="14"/>
    </row>
    <row r="2236">
      <c r="A2236" s="14"/>
    </row>
    <row r="2237">
      <c r="A2237" s="14"/>
    </row>
    <row r="2238">
      <c r="A2238" s="14"/>
    </row>
    <row r="2239">
      <c r="A2239" s="14"/>
    </row>
    <row r="2240">
      <c r="A2240" s="14"/>
    </row>
    <row r="2241">
      <c r="A2241" s="14"/>
    </row>
    <row r="2242">
      <c r="A2242" s="14"/>
    </row>
    <row r="2243">
      <c r="A2243" s="14"/>
    </row>
    <row r="2244">
      <c r="A2244" s="14"/>
    </row>
    <row r="2245">
      <c r="A2245" s="14"/>
    </row>
    <row r="2246">
      <c r="A2246" s="14"/>
    </row>
    <row r="2247">
      <c r="A2247" s="14"/>
    </row>
    <row r="2248">
      <c r="A2248" s="14"/>
    </row>
    <row r="2249">
      <c r="A2249" s="14"/>
    </row>
    <row r="2250">
      <c r="A2250" s="14"/>
    </row>
    <row r="2251">
      <c r="A2251" s="14"/>
    </row>
    <row r="2252">
      <c r="A2252" s="14"/>
    </row>
    <row r="2253">
      <c r="A2253" s="14"/>
    </row>
    <row r="2254">
      <c r="A2254" s="14"/>
    </row>
    <row r="2255">
      <c r="A2255" s="14"/>
    </row>
    <row r="2256">
      <c r="A2256" s="14"/>
    </row>
    <row r="2257">
      <c r="A2257" s="14"/>
    </row>
    <row r="2258">
      <c r="A2258" s="14"/>
    </row>
    <row r="2259">
      <c r="A2259" s="14"/>
    </row>
    <row r="2260">
      <c r="A2260" s="14"/>
    </row>
    <row r="2261">
      <c r="A2261" s="14"/>
    </row>
    <row r="2262">
      <c r="A2262" s="14"/>
    </row>
    <row r="2263">
      <c r="A2263" s="14"/>
    </row>
    <row r="2264">
      <c r="A2264" s="14"/>
    </row>
    <row r="2265">
      <c r="A2265" s="14"/>
    </row>
    <row r="2266">
      <c r="A2266" s="14"/>
    </row>
    <row r="2267">
      <c r="A2267" s="14"/>
    </row>
    <row r="2268">
      <c r="A2268" s="14"/>
    </row>
    <row r="2269">
      <c r="A2269" s="14"/>
    </row>
    <row r="2270">
      <c r="A2270" s="14"/>
    </row>
    <row r="2271">
      <c r="A2271" s="14"/>
    </row>
    <row r="2272">
      <c r="A2272" s="14"/>
    </row>
    <row r="2273">
      <c r="A2273" s="14"/>
    </row>
    <row r="2274">
      <c r="A2274" s="14"/>
    </row>
    <row r="2275">
      <c r="A2275" s="14"/>
    </row>
    <row r="2276">
      <c r="A2276" s="14"/>
    </row>
    <row r="2277">
      <c r="A2277" s="14"/>
    </row>
    <row r="2278">
      <c r="A2278" s="14"/>
    </row>
    <row r="2279">
      <c r="A2279" s="14"/>
    </row>
    <row r="2280">
      <c r="A2280" s="14"/>
    </row>
    <row r="2281">
      <c r="A2281" s="14"/>
    </row>
    <row r="2282">
      <c r="A2282" s="14"/>
    </row>
    <row r="2283">
      <c r="A2283" s="14"/>
    </row>
    <row r="2284">
      <c r="A2284" s="14"/>
    </row>
    <row r="2285">
      <c r="A2285" s="14"/>
    </row>
    <row r="2286">
      <c r="A2286" s="14"/>
    </row>
    <row r="2287">
      <c r="A2287" s="14"/>
    </row>
    <row r="2288">
      <c r="A2288" s="14"/>
    </row>
    <row r="2289">
      <c r="A2289" s="14"/>
    </row>
    <row r="2290">
      <c r="A2290" s="14"/>
    </row>
    <row r="2291">
      <c r="A2291" s="14"/>
    </row>
    <row r="2292">
      <c r="A2292" s="14"/>
    </row>
    <row r="2293">
      <c r="A2293" s="14"/>
    </row>
    <row r="2294">
      <c r="A2294" s="14"/>
    </row>
    <row r="2295">
      <c r="A2295" s="14"/>
    </row>
    <row r="2296">
      <c r="A2296" s="14"/>
    </row>
    <row r="2297">
      <c r="A2297" s="14"/>
    </row>
    <row r="2298">
      <c r="A2298" s="14"/>
    </row>
    <row r="2299">
      <c r="A2299" s="14"/>
    </row>
    <row r="2300">
      <c r="A2300" s="14"/>
    </row>
    <row r="2301">
      <c r="A2301" s="14"/>
    </row>
    <row r="2302">
      <c r="A2302" s="14"/>
    </row>
    <row r="2303">
      <c r="A2303" s="14"/>
    </row>
    <row r="2304">
      <c r="A2304" s="14"/>
    </row>
    <row r="2305">
      <c r="A2305" s="14"/>
    </row>
    <row r="2306">
      <c r="A2306" s="14"/>
    </row>
    <row r="2307">
      <c r="A2307" s="14"/>
    </row>
    <row r="2308">
      <c r="A2308" s="14"/>
    </row>
    <row r="2309">
      <c r="A2309" s="14"/>
    </row>
    <row r="2310">
      <c r="A2310" s="14"/>
    </row>
    <row r="2311">
      <c r="A2311" s="14"/>
    </row>
    <row r="2312">
      <c r="A2312" s="14"/>
    </row>
    <row r="2313">
      <c r="A2313" s="14"/>
    </row>
    <row r="2314">
      <c r="A2314" s="14"/>
    </row>
    <row r="2315">
      <c r="A2315" s="14"/>
    </row>
    <row r="2316">
      <c r="A2316" s="14"/>
    </row>
    <row r="2317">
      <c r="A2317" s="14"/>
    </row>
    <row r="2318">
      <c r="A2318" s="14"/>
    </row>
    <row r="2319">
      <c r="A2319" s="14"/>
    </row>
    <row r="2320">
      <c r="A2320" s="14"/>
    </row>
    <row r="2321">
      <c r="A2321" s="14"/>
    </row>
    <row r="2322">
      <c r="A2322" s="14"/>
    </row>
    <row r="2323">
      <c r="A2323" s="14"/>
    </row>
    <row r="2324">
      <c r="A2324" s="14"/>
    </row>
    <row r="2325">
      <c r="A2325" s="14"/>
    </row>
    <row r="2326">
      <c r="A2326" s="14"/>
    </row>
    <row r="2327">
      <c r="A2327" s="14"/>
    </row>
    <row r="2328">
      <c r="A2328" s="14"/>
    </row>
    <row r="2329">
      <c r="A2329" s="14"/>
    </row>
    <row r="2330">
      <c r="A2330" s="14"/>
    </row>
    <row r="2331">
      <c r="A2331" s="14"/>
    </row>
    <row r="2332">
      <c r="A2332" s="14"/>
    </row>
    <row r="2333">
      <c r="A2333" s="14"/>
    </row>
    <row r="2334">
      <c r="A2334" s="14"/>
    </row>
    <row r="2335">
      <c r="A2335" s="14"/>
    </row>
    <row r="2336">
      <c r="A2336" s="14"/>
    </row>
    <row r="2337">
      <c r="A2337" s="14"/>
    </row>
    <row r="2338">
      <c r="A2338" s="14"/>
    </row>
    <row r="2339">
      <c r="A2339" s="14"/>
    </row>
    <row r="2340">
      <c r="A2340" s="14"/>
    </row>
    <row r="2341">
      <c r="A2341" s="14"/>
    </row>
    <row r="2342">
      <c r="A2342" s="14"/>
    </row>
    <row r="2343">
      <c r="A2343" s="14"/>
    </row>
    <row r="2344">
      <c r="A2344" s="14"/>
    </row>
    <row r="2345">
      <c r="A2345" s="14"/>
    </row>
    <row r="2346">
      <c r="A2346" s="14"/>
    </row>
    <row r="2347">
      <c r="A2347" s="14"/>
    </row>
    <row r="2348">
      <c r="A2348" s="14"/>
    </row>
    <row r="2349">
      <c r="A2349" s="14"/>
    </row>
    <row r="2350">
      <c r="A2350" s="14"/>
    </row>
    <row r="2351">
      <c r="A2351" s="14"/>
    </row>
    <row r="2352">
      <c r="A2352" s="14"/>
    </row>
    <row r="2353">
      <c r="A2353" s="14"/>
    </row>
    <row r="2354">
      <c r="A2354" s="14"/>
    </row>
    <row r="2355">
      <c r="A2355" s="14"/>
    </row>
    <row r="2356">
      <c r="A2356" s="14"/>
    </row>
    <row r="2357">
      <c r="A2357" s="14"/>
    </row>
    <row r="2358">
      <c r="A2358" s="14"/>
    </row>
    <row r="2359">
      <c r="A2359" s="14"/>
    </row>
    <row r="2360">
      <c r="A2360" s="14"/>
    </row>
    <row r="2361">
      <c r="A2361" s="14"/>
    </row>
    <row r="2362">
      <c r="A2362" s="14"/>
    </row>
    <row r="2363">
      <c r="A2363" s="14"/>
    </row>
    <row r="2364">
      <c r="A2364" s="14"/>
    </row>
    <row r="2365">
      <c r="A2365" s="14"/>
    </row>
    <row r="2366">
      <c r="A2366" s="14"/>
    </row>
    <row r="2367">
      <c r="A2367" s="14"/>
    </row>
    <row r="2368">
      <c r="A2368" s="14"/>
    </row>
    <row r="2369">
      <c r="A2369" s="14"/>
    </row>
    <row r="2370">
      <c r="A2370" s="14"/>
    </row>
    <row r="2371">
      <c r="A2371" s="14"/>
    </row>
    <row r="2372">
      <c r="A2372" s="14"/>
    </row>
    <row r="2373">
      <c r="A2373" s="14"/>
    </row>
    <row r="2374">
      <c r="A2374" s="14"/>
    </row>
    <row r="2375">
      <c r="A2375" s="14"/>
    </row>
    <row r="2376">
      <c r="A2376" s="14"/>
    </row>
    <row r="2377">
      <c r="A2377" s="14"/>
    </row>
    <row r="2378">
      <c r="A2378" s="14"/>
    </row>
    <row r="2379">
      <c r="A2379" s="14"/>
    </row>
    <row r="2380">
      <c r="A2380" s="14"/>
    </row>
    <row r="2381">
      <c r="A2381" s="14"/>
    </row>
    <row r="2382">
      <c r="A2382" s="14"/>
    </row>
    <row r="2383">
      <c r="A2383" s="14"/>
    </row>
    <row r="2384">
      <c r="A2384" s="14"/>
    </row>
    <row r="2385">
      <c r="A2385" s="14"/>
    </row>
    <row r="2386">
      <c r="A2386" s="14"/>
    </row>
    <row r="2387">
      <c r="A2387" s="14"/>
    </row>
    <row r="2388">
      <c r="A2388" s="14"/>
    </row>
    <row r="2389">
      <c r="A2389" s="14"/>
    </row>
    <row r="2390">
      <c r="A2390" s="14"/>
    </row>
    <row r="2391">
      <c r="A2391" s="14"/>
    </row>
    <row r="2392">
      <c r="A2392" s="14"/>
    </row>
    <row r="2393">
      <c r="A2393" s="14"/>
    </row>
    <row r="2394">
      <c r="A2394" s="14"/>
    </row>
    <row r="2395">
      <c r="A2395" s="14"/>
    </row>
    <row r="2396">
      <c r="A2396" s="14"/>
    </row>
    <row r="2397">
      <c r="A2397" s="14"/>
    </row>
    <row r="2398">
      <c r="A2398" s="14"/>
    </row>
    <row r="2399">
      <c r="A2399" s="14"/>
    </row>
    <row r="2400">
      <c r="A2400" s="14"/>
    </row>
    <row r="2401">
      <c r="A2401" s="14"/>
    </row>
    <row r="2402">
      <c r="A2402" s="14"/>
    </row>
    <row r="2403">
      <c r="A2403" s="14"/>
    </row>
    <row r="2404">
      <c r="A2404" s="14"/>
    </row>
    <row r="2405">
      <c r="A2405" s="14"/>
    </row>
    <row r="2406">
      <c r="A2406" s="14"/>
    </row>
    <row r="2407">
      <c r="A2407" s="14"/>
    </row>
    <row r="2408">
      <c r="A2408" s="14"/>
    </row>
    <row r="2409">
      <c r="A2409" s="14"/>
    </row>
    <row r="2410">
      <c r="A2410" s="14"/>
    </row>
    <row r="2411">
      <c r="A2411" s="14"/>
    </row>
    <row r="2412">
      <c r="A2412" s="14"/>
    </row>
    <row r="2413">
      <c r="A2413" s="14"/>
    </row>
    <row r="2414">
      <c r="A2414" s="14"/>
    </row>
    <row r="2415">
      <c r="A2415" s="14"/>
    </row>
    <row r="2416">
      <c r="A2416" s="14"/>
    </row>
    <row r="2417">
      <c r="A2417" s="14"/>
    </row>
    <row r="2418">
      <c r="A2418" s="14"/>
    </row>
    <row r="2419">
      <c r="A2419" s="14"/>
    </row>
    <row r="2420">
      <c r="A2420" s="14"/>
    </row>
    <row r="2421">
      <c r="A2421" s="14"/>
    </row>
    <row r="2422">
      <c r="A2422" s="14"/>
    </row>
    <row r="2423">
      <c r="A2423" s="14"/>
    </row>
    <row r="2424">
      <c r="A2424" s="14"/>
    </row>
    <row r="2425">
      <c r="A2425" s="14"/>
    </row>
    <row r="2426">
      <c r="A2426" s="14"/>
    </row>
    <row r="2427">
      <c r="A2427" s="14"/>
    </row>
    <row r="2428">
      <c r="A2428" s="14"/>
    </row>
    <row r="2429">
      <c r="A2429" s="14"/>
    </row>
    <row r="2430">
      <c r="A2430" s="14"/>
    </row>
    <row r="2431">
      <c r="A2431" s="14"/>
    </row>
    <row r="2432">
      <c r="A2432" s="14"/>
    </row>
    <row r="2433">
      <c r="A2433" s="14"/>
    </row>
    <row r="2434">
      <c r="A2434" s="14"/>
    </row>
    <row r="2435">
      <c r="A2435" s="14"/>
    </row>
    <row r="2436">
      <c r="A2436" s="14"/>
    </row>
    <row r="2437">
      <c r="A2437" s="14"/>
    </row>
    <row r="2438">
      <c r="A2438" s="14"/>
    </row>
    <row r="2439">
      <c r="A2439" s="14"/>
    </row>
    <row r="2440">
      <c r="A2440" s="14"/>
    </row>
    <row r="2441">
      <c r="A2441" s="14"/>
    </row>
    <row r="2442">
      <c r="A2442" s="14"/>
    </row>
    <row r="2443">
      <c r="A2443" s="14"/>
    </row>
    <row r="2444">
      <c r="A2444" s="14"/>
    </row>
    <row r="2445">
      <c r="A2445" s="14"/>
    </row>
    <row r="2446">
      <c r="A2446" s="14"/>
    </row>
    <row r="2447">
      <c r="A2447" s="14"/>
    </row>
    <row r="2448">
      <c r="A2448" s="14"/>
    </row>
    <row r="2449">
      <c r="A2449" s="14"/>
    </row>
    <row r="2450">
      <c r="A2450" s="14"/>
    </row>
    <row r="2451">
      <c r="A2451" s="14"/>
    </row>
    <row r="2452">
      <c r="A2452" s="14"/>
    </row>
    <row r="2453">
      <c r="A2453" s="14"/>
    </row>
    <row r="2454">
      <c r="A2454" s="14"/>
    </row>
    <row r="2455">
      <c r="A2455" s="14"/>
    </row>
    <row r="2456">
      <c r="A2456" s="14"/>
    </row>
    <row r="2457">
      <c r="A2457" s="14"/>
    </row>
    <row r="2458">
      <c r="A2458" s="14"/>
    </row>
    <row r="2459">
      <c r="A2459" s="14"/>
    </row>
    <row r="2460">
      <c r="A2460" s="14"/>
    </row>
    <row r="2461">
      <c r="A2461" s="14"/>
    </row>
    <row r="2462">
      <c r="A2462" s="14"/>
    </row>
    <row r="2463">
      <c r="A2463" s="14"/>
    </row>
    <row r="2464">
      <c r="A2464" s="14"/>
    </row>
    <row r="2465">
      <c r="A2465" s="14"/>
    </row>
    <row r="2466">
      <c r="A2466" s="14"/>
    </row>
    <row r="2467">
      <c r="A2467" s="14"/>
    </row>
    <row r="2468">
      <c r="A2468" s="14"/>
    </row>
    <row r="2469">
      <c r="A2469" s="14"/>
    </row>
    <row r="2470">
      <c r="A2470" s="14"/>
    </row>
    <row r="2471">
      <c r="A2471" s="14"/>
    </row>
    <row r="2472">
      <c r="A2472" s="14"/>
    </row>
    <row r="2473">
      <c r="A2473" s="14"/>
    </row>
    <row r="2474">
      <c r="A2474" s="14"/>
    </row>
    <row r="2475">
      <c r="A2475" s="14"/>
    </row>
    <row r="2476">
      <c r="A2476" s="14"/>
    </row>
    <row r="2477">
      <c r="A2477" s="14"/>
    </row>
    <row r="2478">
      <c r="A2478" s="14"/>
    </row>
    <row r="2479">
      <c r="A2479" s="14"/>
    </row>
    <row r="2480">
      <c r="A2480" s="14"/>
    </row>
    <row r="2481">
      <c r="A2481" s="14"/>
    </row>
    <row r="2482">
      <c r="A2482" s="14"/>
    </row>
    <row r="2483">
      <c r="A2483" s="14"/>
    </row>
    <row r="2484">
      <c r="A2484" s="14"/>
    </row>
    <row r="2485">
      <c r="A2485" s="14"/>
    </row>
    <row r="2486">
      <c r="A2486" s="14"/>
    </row>
    <row r="2487">
      <c r="A2487" s="14"/>
    </row>
    <row r="2488">
      <c r="A2488" s="14"/>
    </row>
    <row r="2489">
      <c r="A2489" s="14"/>
    </row>
    <row r="2490">
      <c r="A2490" s="14"/>
    </row>
    <row r="2491">
      <c r="A2491" s="14"/>
    </row>
    <row r="2492">
      <c r="A2492" s="14"/>
    </row>
    <row r="2493">
      <c r="A2493" s="14"/>
    </row>
    <row r="2494">
      <c r="A2494" s="14"/>
    </row>
    <row r="2495">
      <c r="A2495" s="14"/>
    </row>
    <row r="2496">
      <c r="A2496" s="14"/>
    </row>
    <row r="2497">
      <c r="A2497" s="14"/>
    </row>
    <row r="2498">
      <c r="A2498" s="14"/>
    </row>
    <row r="2499">
      <c r="A2499" s="14"/>
    </row>
    <row r="2500">
      <c r="A2500" s="14"/>
    </row>
    <row r="2501">
      <c r="A2501" s="14"/>
    </row>
    <row r="2502">
      <c r="A2502" s="14"/>
    </row>
    <row r="2503">
      <c r="A2503" s="14"/>
    </row>
    <row r="2504">
      <c r="A2504" s="14"/>
    </row>
    <row r="2505">
      <c r="A2505" s="14"/>
    </row>
    <row r="2506">
      <c r="A2506" s="14"/>
    </row>
    <row r="2507">
      <c r="A2507" s="14"/>
    </row>
    <row r="2508">
      <c r="A2508" s="14"/>
    </row>
    <row r="2509">
      <c r="A2509" s="14"/>
    </row>
    <row r="2510">
      <c r="A2510" s="14"/>
    </row>
    <row r="2511">
      <c r="A2511" s="14"/>
    </row>
    <row r="2512">
      <c r="A2512" s="14"/>
    </row>
    <row r="2513">
      <c r="A2513" s="14"/>
    </row>
    <row r="2514">
      <c r="A2514" s="14"/>
    </row>
    <row r="2515">
      <c r="A2515" s="14"/>
    </row>
    <row r="2516">
      <c r="A2516" s="14"/>
    </row>
    <row r="2517">
      <c r="A2517" s="14"/>
    </row>
    <row r="2518">
      <c r="A2518" s="14"/>
    </row>
    <row r="2519">
      <c r="A2519" s="14"/>
    </row>
    <row r="2520">
      <c r="A2520" s="14"/>
    </row>
    <row r="2521">
      <c r="A2521" s="14"/>
    </row>
    <row r="2522">
      <c r="A2522" s="14"/>
    </row>
    <row r="2523">
      <c r="A2523" s="14"/>
    </row>
    <row r="2524">
      <c r="A2524" s="14"/>
    </row>
    <row r="2525">
      <c r="A2525" s="14"/>
    </row>
    <row r="2526">
      <c r="A2526" s="14"/>
    </row>
    <row r="2527">
      <c r="A2527" s="14"/>
    </row>
    <row r="2528">
      <c r="A2528" s="14"/>
    </row>
    <row r="2529">
      <c r="A2529" s="14"/>
    </row>
    <row r="2530">
      <c r="A2530" s="14"/>
    </row>
    <row r="2531">
      <c r="A2531" s="14"/>
    </row>
    <row r="2532">
      <c r="A2532" s="14"/>
    </row>
    <row r="2533">
      <c r="A2533" s="14"/>
    </row>
    <row r="2534">
      <c r="A2534" s="14"/>
    </row>
    <row r="2535">
      <c r="A2535" s="14"/>
    </row>
    <row r="2536">
      <c r="A2536" s="14"/>
    </row>
    <row r="2537">
      <c r="A2537" s="14"/>
    </row>
    <row r="2538">
      <c r="A2538" s="14"/>
    </row>
    <row r="2539">
      <c r="A2539" s="14"/>
    </row>
    <row r="2540">
      <c r="A2540" s="14"/>
    </row>
    <row r="2541">
      <c r="A2541" s="14"/>
    </row>
    <row r="2542">
      <c r="A2542" s="14"/>
    </row>
    <row r="2543">
      <c r="A2543" s="14"/>
    </row>
    <row r="2544">
      <c r="A2544" s="14"/>
    </row>
    <row r="2545">
      <c r="A2545" s="14"/>
    </row>
    <row r="2546">
      <c r="A2546" s="14"/>
    </row>
    <row r="2547">
      <c r="A2547" s="14"/>
    </row>
    <row r="2548">
      <c r="A2548" s="14"/>
    </row>
    <row r="2549">
      <c r="A2549" s="14"/>
    </row>
    <row r="2550">
      <c r="A2550" s="14"/>
    </row>
    <row r="2551">
      <c r="A2551" s="14"/>
    </row>
    <row r="2552">
      <c r="A2552" s="14"/>
    </row>
    <row r="2553">
      <c r="A2553" s="14"/>
    </row>
    <row r="2554">
      <c r="A2554" s="14"/>
    </row>
    <row r="2555">
      <c r="A2555" s="14"/>
    </row>
    <row r="2556">
      <c r="A2556" s="14"/>
    </row>
    <row r="2557">
      <c r="A2557" s="14"/>
    </row>
    <row r="2558">
      <c r="A2558" s="14"/>
    </row>
    <row r="2559">
      <c r="A2559" s="14"/>
    </row>
    <row r="2560">
      <c r="A2560" s="14"/>
    </row>
    <row r="2561">
      <c r="A2561" s="14"/>
    </row>
    <row r="2562">
      <c r="A2562" s="14"/>
    </row>
    <row r="2563">
      <c r="A2563" s="14"/>
    </row>
    <row r="2564">
      <c r="A2564" s="14"/>
    </row>
    <row r="2565">
      <c r="A2565" s="14"/>
    </row>
    <row r="2566">
      <c r="A2566" s="14"/>
    </row>
    <row r="2567">
      <c r="A2567" s="14"/>
    </row>
    <row r="2568">
      <c r="A2568" s="14"/>
    </row>
    <row r="2569">
      <c r="A2569" s="14"/>
    </row>
    <row r="2570">
      <c r="A2570" s="14"/>
    </row>
    <row r="2571">
      <c r="A2571" s="14"/>
    </row>
    <row r="2572">
      <c r="A2572" s="14"/>
    </row>
    <row r="2573">
      <c r="A2573" s="14"/>
    </row>
    <row r="2574">
      <c r="A2574" s="14"/>
    </row>
    <row r="2575">
      <c r="A2575" s="14"/>
    </row>
    <row r="2576">
      <c r="A2576" s="14"/>
    </row>
    <row r="2577">
      <c r="A2577" s="14"/>
    </row>
    <row r="2578">
      <c r="A2578" s="14"/>
    </row>
    <row r="2579">
      <c r="A2579" s="14"/>
    </row>
    <row r="2580">
      <c r="A2580" s="14"/>
    </row>
    <row r="2581">
      <c r="A2581" s="14"/>
    </row>
    <row r="2582">
      <c r="A2582" s="14"/>
    </row>
    <row r="2583">
      <c r="A2583" s="14"/>
    </row>
    <row r="2584">
      <c r="A2584" s="14"/>
    </row>
    <row r="2585">
      <c r="A2585" s="14"/>
    </row>
    <row r="2586">
      <c r="A2586" s="14"/>
    </row>
    <row r="2587">
      <c r="A2587" s="14"/>
    </row>
    <row r="2588">
      <c r="A2588" s="14"/>
    </row>
    <row r="2589">
      <c r="A2589" s="14"/>
    </row>
    <row r="2590">
      <c r="A2590" s="14"/>
    </row>
    <row r="2591">
      <c r="A2591" s="14"/>
    </row>
    <row r="2592">
      <c r="A2592" s="14"/>
    </row>
    <row r="2593">
      <c r="A2593" s="14"/>
    </row>
    <row r="2594">
      <c r="A2594" s="14"/>
    </row>
    <row r="2595">
      <c r="A2595" s="14"/>
    </row>
    <row r="2596">
      <c r="A2596" s="14"/>
    </row>
    <row r="2597">
      <c r="A2597" s="14"/>
    </row>
    <row r="2598">
      <c r="A2598" s="14"/>
    </row>
    <row r="2599">
      <c r="A2599" s="14"/>
    </row>
    <row r="2600">
      <c r="A2600" s="14"/>
    </row>
    <row r="2601">
      <c r="A2601" s="14"/>
    </row>
    <row r="2602">
      <c r="A2602" s="14"/>
    </row>
    <row r="2603">
      <c r="A2603" s="14"/>
    </row>
    <row r="2604">
      <c r="A2604" s="14"/>
    </row>
    <row r="2605">
      <c r="A2605" s="14"/>
    </row>
    <row r="2606">
      <c r="A2606" s="14"/>
    </row>
    <row r="2607">
      <c r="A2607" s="14"/>
    </row>
    <row r="2608">
      <c r="A2608" s="14"/>
    </row>
    <row r="2609">
      <c r="A2609" s="14"/>
    </row>
    <row r="2610">
      <c r="A2610" s="14"/>
    </row>
    <row r="2611">
      <c r="A2611" s="14"/>
    </row>
    <row r="2612">
      <c r="A2612" s="14"/>
    </row>
    <row r="2613">
      <c r="A2613" s="14"/>
    </row>
    <row r="2614">
      <c r="A2614" s="14"/>
    </row>
    <row r="2615">
      <c r="A2615" s="14"/>
    </row>
    <row r="2616">
      <c r="A2616" s="14"/>
    </row>
    <row r="2617">
      <c r="A2617" s="14"/>
    </row>
    <row r="2618">
      <c r="A2618" s="14"/>
    </row>
    <row r="2619">
      <c r="A2619" s="14"/>
    </row>
    <row r="2620">
      <c r="A2620" s="14"/>
    </row>
    <row r="2621">
      <c r="A2621" s="14"/>
    </row>
    <row r="2622">
      <c r="A2622" s="14"/>
    </row>
    <row r="2623">
      <c r="A2623" s="14"/>
    </row>
    <row r="2624">
      <c r="A2624" s="14"/>
    </row>
    <row r="2625">
      <c r="A2625" s="14"/>
    </row>
    <row r="2626">
      <c r="A2626" s="14"/>
    </row>
    <row r="2627">
      <c r="A2627" s="14"/>
    </row>
    <row r="2628">
      <c r="A2628" s="14"/>
    </row>
    <row r="2629">
      <c r="A2629" s="14"/>
    </row>
    <row r="2630">
      <c r="A2630" s="14"/>
    </row>
    <row r="2631">
      <c r="A2631" s="14"/>
    </row>
    <row r="2632">
      <c r="A2632" s="14"/>
    </row>
    <row r="2633">
      <c r="A2633" s="14"/>
    </row>
    <row r="2634">
      <c r="A2634" s="14"/>
    </row>
    <row r="2635">
      <c r="A2635" s="14"/>
    </row>
    <row r="2636">
      <c r="A2636" s="14"/>
    </row>
    <row r="2637">
      <c r="A2637" s="14"/>
    </row>
    <row r="2638">
      <c r="A2638" s="14"/>
    </row>
    <row r="2639">
      <c r="A2639" s="14"/>
    </row>
    <row r="2640">
      <c r="A2640" s="14"/>
    </row>
    <row r="2641">
      <c r="A2641" s="14"/>
    </row>
    <row r="2642">
      <c r="A2642" s="14"/>
    </row>
    <row r="2643">
      <c r="A2643" s="14"/>
    </row>
    <row r="2644">
      <c r="A2644" s="14"/>
    </row>
    <row r="2645">
      <c r="A2645" s="14"/>
    </row>
    <row r="2646">
      <c r="A2646" s="14"/>
    </row>
    <row r="2647">
      <c r="A2647" s="14"/>
    </row>
    <row r="2648">
      <c r="A2648" s="14"/>
    </row>
    <row r="2649">
      <c r="A2649" s="14"/>
    </row>
    <row r="2650">
      <c r="A2650" s="14"/>
    </row>
    <row r="2651">
      <c r="A2651" s="14"/>
    </row>
    <row r="2652">
      <c r="A2652" s="14"/>
    </row>
    <row r="2653">
      <c r="A2653" s="14"/>
    </row>
    <row r="2654">
      <c r="A2654" s="14"/>
    </row>
    <row r="2655">
      <c r="A2655" s="14"/>
    </row>
    <row r="2656">
      <c r="A2656" s="14"/>
    </row>
    <row r="2657">
      <c r="A2657" s="14"/>
    </row>
    <row r="2658">
      <c r="A2658" s="14"/>
    </row>
    <row r="2659">
      <c r="A2659" s="14"/>
    </row>
    <row r="2660">
      <c r="A2660" s="14"/>
    </row>
    <row r="2661">
      <c r="A2661" s="14"/>
    </row>
    <row r="2662">
      <c r="A2662" s="14"/>
    </row>
    <row r="2663">
      <c r="A2663" s="14"/>
    </row>
    <row r="2664">
      <c r="A2664" s="14"/>
    </row>
    <row r="2665">
      <c r="A2665" s="14"/>
    </row>
    <row r="2666">
      <c r="A2666" s="14"/>
    </row>
    <row r="2667">
      <c r="A2667" s="14"/>
    </row>
    <row r="2668">
      <c r="A2668" s="14"/>
    </row>
    <row r="2669">
      <c r="A2669" s="14"/>
    </row>
    <row r="2670">
      <c r="A2670" s="14"/>
    </row>
    <row r="2671">
      <c r="A2671" s="14"/>
    </row>
    <row r="2672">
      <c r="A2672" s="14"/>
    </row>
    <row r="2673">
      <c r="A2673" s="14"/>
    </row>
    <row r="2674">
      <c r="A2674" s="14"/>
    </row>
    <row r="2675">
      <c r="A2675" s="14"/>
    </row>
    <row r="2676">
      <c r="A2676" s="14"/>
    </row>
    <row r="2677">
      <c r="A2677" s="14"/>
    </row>
    <row r="2678">
      <c r="A2678" s="14"/>
    </row>
    <row r="2679">
      <c r="A2679" s="14"/>
    </row>
    <row r="2680">
      <c r="A2680" s="14"/>
    </row>
    <row r="2681">
      <c r="A2681" s="14"/>
    </row>
    <row r="2682">
      <c r="A2682" s="14"/>
    </row>
    <row r="2683">
      <c r="A2683" s="14"/>
    </row>
    <row r="2684">
      <c r="A2684" s="14"/>
    </row>
    <row r="2685">
      <c r="A2685" s="14"/>
    </row>
    <row r="2686">
      <c r="A2686" s="14"/>
    </row>
    <row r="2687">
      <c r="A2687" s="14"/>
    </row>
    <row r="2688">
      <c r="A2688" s="14"/>
    </row>
    <row r="2689">
      <c r="A2689" s="14"/>
    </row>
    <row r="2690">
      <c r="A2690" s="14"/>
    </row>
    <row r="2691">
      <c r="A2691" s="14"/>
    </row>
    <row r="2692">
      <c r="A2692" s="14"/>
    </row>
    <row r="2693">
      <c r="A2693" s="14"/>
    </row>
    <row r="2694">
      <c r="A2694" s="14"/>
    </row>
    <row r="2695">
      <c r="A2695" s="14"/>
    </row>
    <row r="2696">
      <c r="A2696" s="14"/>
    </row>
    <row r="2697">
      <c r="A2697" s="14"/>
    </row>
    <row r="2698">
      <c r="A2698" s="14"/>
    </row>
    <row r="2699">
      <c r="A2699" s="14"/>
    </row>
    <row r="2700">
      <c r="A2700" s="14"/>
    </row>
    <row r="2701">
      <c r="A2701" s="14"/>
    </row>
    <row r="2702">
      <c r="A2702" s="14"/>
    </row>
    <row r="2703">
      <c r="A2703" s="14"/>
    </row>
    <row r="2704">
      <c r="A2704" s="14"/>
    </row>
    <row r="2705">
      <c r="A2705" s="14"/>
    </row>
    <row r="2706">
      <c r="A2706" s="14"/>
    </row>
    <row r="2707">
      <c r="A2707" s="14"/>
    </row>
    <row r="2708">
      <c r="A2708" s="14"/>
    </row>
    <row r="2709">
      <c r="A2709" s="14"/>
    </row>
    <row r="2710">
      <c r="A2710" s="14"/>
    </row>
    <row r="2711">
      <c r="A2711" s="14"/>
    </row>
    <row r="2712">
      <c r="A2712" s="14"/>
    </row>
    <row r="2713">
      <c r="A2713" s="14"/>
    </row>
    <row r="2714">
      <c r="A2714" s="14"/>
    </row>
    <row r="2715">
      <c r="A2715" s="14"/>
    </row>
    <row r="2716">
      <c r="A2716" s="14"/>
    </row>
    <row r="2717">
      <c r="A2717" s="14"/>
    </row>
    <row r="2718">
      <c r="A2718" s="14"/>
    </row>
    <row r="2719">
      <c r="A2719" s="14"/>
    </row>
    <row r="2720">
      <c r="A2720" s="14"/>
    </row>
    <row r="2721">
      <c r="A2721" s="14"/>
    </row>
    <row r="2722">
      <c r="A2722" s="14"/>
    </row>
    <row r="2723">
      <c r="A2723" s="14"/>
    </row>
    <row r="2724">
      <c r="A2724" s="14"/>
    </row>
    <row r="2725">
      <c r="A2725" s="14"/>
    </row>
    <row r="2726">
      <c r="A2726" s="14"/>
    </row>
    <row r="2727">
      <c r="A2727" s="14"/>
    </row>
    <row r="2728">
      <c r="A2728" s="14"/>
    </row>
    <row r="2729">
      <c r="A2729" s="14"/>
    </row>
    <row r="2730">
      <c r="A2730" s="14"/>
    </row>
    <row r="2731">
      <c r="A2731" s="14"/>
    </row>
    <row r="2732">
      <c r="A2732" s="14"/>
    </row>
    <row r="2733">
      <c r="A2733" s="14"/>
    </row>
    <row r="2734">
      <c r="A2734" s="14"/>
    </row>
    <row r="2735">
      <c r="A2735" s="14"/>
    </row>
    <row r="2736">
      <c r="A2736" s="14"/>
    </row>
    <row r="2737">
      <c r="A2737" s="14"/>
    </row>
    <row r="2738">
      <c r="A2738" s="14"/>
    </row>
    <row r="2739">
      <c r="A2739" s="14"/>
    </row>
    <row r="2740">
      <c r="A2740" s="14"/>
    </row>
    <row r="2741">
      <c r="A2741" s="14"/>
    </row>
    <row r="2742">
      <c r="A2742" s="14"/>
    </row>
    <row r="2743">
      <c r="A2743" s="14"/>
    </row>
    <row r="2744">
      <c r="A2744" s="14"/>
    </row>
    <row r="2745">
      <c r="A2745" s="14"/>
    </row>
    <row r="2746">
      <c r="A2746" s="14"/>
    </row>
    <row r="2747">
      <c r="A2747" s="14"/>
    </row>
    <row r="2748">
      <c r="A2748" s="14"/>
    </row>
    <row r="2749">
      <c r="A2749" s="14"/>
    </row>
    <row r="2750">
      <c r="A2750" s="14"/>
    </row>
    <row r="2751">
      <c r="A2751" s="14"/>
    </row>
    <row r="2752">
      <c r="A2752" s="14"/>
    </row>
    <row r="2753">
      <c r="A2753" s="14"/>
    </row>
    <row r="2754">
      <c r="A2754" s="14"/>
    </row>
    <row r="2755">
      <c r="A2755" s="14"/>
    </row>
    <row r="2756">
      <c r="A2756" s="14"/>
    </row>
    <row r="2757">
      <c r="A2757" s="14"/>
    </row>
    <row r="2758">
      <c r="A2758" s="14"/>
    </row>
    <row r="2759">
      <c r="A2759" s="14"/>
    </row>
    <row r="2760">
      <c r="A2760" s="14"/>
    </row>
    <row r="2761">
      <c r="A2761" s="14"/>
    </row>
    <row r="2762">
      <c r="A2762" s="14"/>
    </row>
    <row r="2763">
      <c r="A2763" s="14"/>
    </row>
    <row r="2764">
      <c r="A2764" s="14"/>
    </row>
    <row r="2765">
      <c r="A2765" s="14"/>
    </row>
    <row r="2766">
      <c r="A2766" s="14"/>
    </row>
    <row r="2767">
      <c r="A2767" s="14"/>
    </row>
    <row r="2768">
      <c r="A2768" s="14"/>
    </row>
    <row r="2769">
      <c r="A2769" s="14"/>
    </row>
    <row r="2770">
      <c r="A2770" s="14"/>
    </row>
    <row r="2771">
      <c r="A2771" s="14"/>
    </row>
    <row r="2772">
      <c r="A2772" s="14"/>
    </row>
    <row r="2773">
      <c r="A2773" s="14"/>
    </row>
    <row r="2774">
      <c r="A2774" s="14"/>
    </row>
    <row r="2775">
      <c r="A2775" s="14"/>
    </row>
    <row r="2776">
      <c r="A2776" s="14"/>
    </row>
    <row r="2777">
      <c r="A2777" s="14"/>
    </row>
    <row r="2778">
      <c r="A2778" s="14"/>
    </row>
    <row r="2779">
      <c r="A2779" s="14"/>
    </row>
    <row r="2780">
      <c r="A2780" s="14"/>
    </row>
    <row r="2781">
      <c r="A2781" s="14"/>
    </row>
    <row r="2782">
      <c r="A2782" s="14"/>
    </row>
    <row r="2783">
      <c r="A2783" s="14"/>
    </row>
    <row r="2784">
      <c r="A2784" s="14"/>
    </row>
    <row r="2785">
      <c r="A2785" s="14"/>
    </row>
    <row r="2786">
      <c r="A2786" s="14"/>
    </row>
    <row r="2787">
      <c r="A2787" s="14"/>
    </row>
    <row r="2788">
      <c r="A2788" s="14"/>
    </row>
    <row r="2789">
      <c r="A2789" s="14"/>
    </row>
    <row r="2790">
      <c r="A2790" s="14"/>
    </row>
    <row r="2791">
      <c r="A2791" s="14"/>
    </row>
    <row r="2792">
      <c r="A2792" s="14"/>
    </row>
    <row r="2793">
      <c r="A2793" s="14"/>
    </row>
    <row r="2794">
      <c r="A2794" s="14"/>
    </row>
    <row r="2795">
      <c r="A2795" s="14"/>
    </row>
    <row r="2796">
      <c r="A2796" s="14"/>
    </row>
    <row r="2797">
      <c r="A2797" s="14"/>
    </row>
    <row r="2798">
      <c r="A2798" s="14"/>
    </row>
    <row r="2799">
      <c r="A2799" s="14"/>
    </row>
    <row r="2800">
      <c r="A2800" s="14"/>
    </row>
    <row r="2801">
      <c r="A2801" s="14"/>
    </row>
    <row r="2802">
      <c r="A2802" s="14"/>
    </row>
    <row r="2803">
      <c r="A2803" s="14"/>
    </row>
    <row r="2804">
      <c r="A2804" s="14"/>
    </row>
    <row r="2805">
      <c r="A2805" s="14"/>
    </row>
    <row r="2806">
      <c r="A2806" s="14"/>
    </row>
    <row r="2807">
      <c r="A2807" s="14"/>
    </row>
    <row r="2808">
      <c r="A2808" s="14"/>
    </row>
    <row r="2809">
      <c r="A2809" s="14"/>
    </row>
    <row r="2810">
      <c r="A2810" s="14"/>
    </row>
    <row r="2811">
      <c r="A2811" s="14"/>
    </row>
    <row r="2812">
      <c r="A2812" s="14"/>
    </row>
    <row r="2813">
      <c r="A2813" s="14"/>
    </row>
    <row r="2814">
      <c r="A2814" s="14"/>
    </row>
    <row r="2815">
      <c r="A2815" s="14"/>
    </row>
    <row r="2816">
      <c r="A2816" s="14"/>
    </row>
    <row r="2817">
      <c r="A2817" s="14"/>
    </row>
    <row r="2818">
      <c r="A2818" s="14"/>
    </row>
    <row r="2819">
      <c r="A2819" s="14"/>
    </row>
    <row r="2820">
      <c r="A2820" s="14"/>
    </row>
    <row r="2821">
      <c r="A2821" s="14"/>
    </row>
    <row r="2822">
      <c r="A2822" s="14"/>
    </row>
    <row r="2823">
      <c r="A2823" s="14"/>
    </row>
    <row r="2824">
      <c r="A2824" s="14"/>
    </row>
    <row r="2825">
      <c r="A2825" s="14"/>
    </row>
    <row r="2826">
      <c r="A2826" s="14"/>
    </row>
    <row r="2827">
      <c r="A2827" s="14"/>
    </row>
    <row r="2828">
      <c r="A2828" s="14"/>
    </row>
    <row r="2829">
      <c r="A2829" s="14"/>
    </row>
    <row r="2830">
      <c r="A2830" s="14"/>
    </row>
    <row r="2831">
      <c r="A2831" s="14"/>
    </row>
    <row r="2832">
      <c r="A2832" s="14"/>
    </row>
    <row r="2833">
      <c r="A2833" s="14"/>
    </row>
    <row r="2834">
      <c r="A2834" s="14"/>
    </row>
    <row r="2835">
      <c r="A2835" s="14"/>
    </row>
    <row r="2836">
      <c r="A2836" s="14"/>
    </row>
    <row r="2837">
      <c r="A2837" s="14"/>
    </row>
    <row r="2838">
      <c r="A2838" s="14"/>
    </row>
    <row r="2839">
      <c r="A2839" s="14"/>
    </row>
    <row r="2840">
      <c r="A2840" s="14"/>
    </row>
    <row r="2841">
      <c r="A2841" s="14"/>
    </row>
    <row r="2842">
      <c r="A2842" s="14"/>
    </row>
    <row r="2843">
      <c r="A2843" s="14"/>
    </row>
    <row r="2844">
      <c r="A2844" s="14"/>
    </row>
    <row r="2845">
      <c r="A2845" s="14"/>
    </row>
    <row r="2846">
      <c r="A2846" s="14"/>
    </row>
    <row r="2847">
      <c r="A2847" s="14"/>
    </row>
    <row r="2848">
      <c r="A2848" s="14"/>
    </row>
    <row r="2849">
      <c r="A2849" s="14"/>
    </row>
    <row r="2850">
      <c r="A2850" s="14"/>
    </row>
    <row r="2851">
      <c r="A2851" s="14"/>
    </row>
    <row r="2852">
      <c r="A2852" s="14"/>
    </row>
    <row r="2853">
      <c r="A2853" s="14"/>
    </row>
    <row r="2854">
      <c r="A2854" s="14"/>
    </row>
    <row r="2855">
      <c r="A2855" s="14"/>
    </row>
    <row r="2856">
      <c r="A2856" s="14"/>
    </row>
    <row r="2857">
      <c r="A2857" s="14"/>
    </row>
    <row r="2858">
      <c r="A2858" s="14"/>
    </row>
    <row r="2859">
      <c r="A2859" s="14"/>
    </row>
    <row r="2860">
      <c r="A2860" s="14"/>
    </row>
    <row r="2861">
      <c r="A2861" s="14"/>
    </row>
    <row r="2862">
      <c r="A2862" s="14"/>
    </row>
    <row r="2863">
      <c r="A2863" s="14"/>
    </row>
    <row r="2864">
      <c r="A2864" s="14"/>
    </row>
    <row r="2865">
      <c r="A2865" s="14"/>
    </row>
    <row r="2866">
      <c r="A2866" s="14"/>
    </row>
    <row r="2867">
      <c r="A2867" s="14"/>
    </row>
    <row r="2868">
      <c r="A2868" s="14"/>
    </row>
    <row r="2869">
      <c r="A2869" s="14"/>
    </row>
    <row r="2870">
      <c r="A2870" s="14"/>
    </row>
    <row r="2871">
      <c r="A2871" s="14"/>
    </row>
    <row r="2872">
      <c r="A2872" s="14"/>
    </row>
    <row r="2873">
      <c r="A2873" s="14"/>
    </row>
    <row r="2874">
      <c r="A2874" s="14"/>
    </row>
    <row r="2875">
      <c r="A2875" s="14"/>
    </row>
    <row r="2876">
      <c r="A2876" s="14"/>
    </row>
    <row r="2877">
      <c r="A2877" s="14"/>
    </row>
    <row r="2878">
      <c r="A2878" s="14"/>
    </row>
    <row r="2879">
      <c r="A2879" s="14"/>
    </row>
    <row r="2880">
      <c r="A2880" s="14"/>
    </row>
    <row r="2881">
      <c r="A2881" s="14"/>
    </row>
    <row r="2882">
      <c r="A2882" s="14"/>
    </row>
    <row r="2883">
      <c r="A2883" s="14"/>
    </row>
    <row r="2884">
      <c r="A2884" s="14"/>
    </row>
    <row r="2885">
      <c r="A2885" s="14"/>
    </row>
    <row r="2886">
      <c r="A2886" s="14"/>
    </row>
    <row r="2887">
      <c r="A2887" s="14"/>
    </row>
    <row r="2888">
      <c r="A2888" s="14"/>
    </row>
    <row r="2889">
      <c r="A2889" s="14"/>
    </row>
    <row r="2890">
      <c r="A2890" s="14"/>
    </row>
    <row r="2891">
      <c r="A2891" s="14"/>
    </row>
    <row r="2892">
      <c r="A2892" s="14"/>
    </row>
    <row r="2893">
      <c r="A2893" s="14"/>
    </row>
    <row r="2894">
      <c r="A2894" s="14"/>
    </row>
    <row r="2895">
      <c r="A2895" s="14"/>
    </row>
    <row r="2896">
      <c r="A2896" s="14"/>
    </row>
    <row r="2897">
      <c r="A2897" s="14"/>
    </row>
    <row r="2898">
      <c r="A2898" s="14"/>
    </row>
    <row r="2899">
      <c r="A2899" s="14"/>
    </row>
    <row r="2900">
      <c r="A2900" s="14"/>
    </row>
    <row r="2901">
      <c r="A2901" s="14"/>
    </row>
    <row r="2902">
      <c r="A2902" s="14"/>
    </row>
    <row r="2903">
      <c r="A2903" s="14"/>
    </row>
    <row r="2904">
      <c r="A2904" s="14"/>
    </row>
    <row r="2905">
      <c r="A2905" s="14"/>
    </row>
    <row r="2906">
      <c r="A2906" s="14"/>
    </row>
    <row r="2907">
      <c r="A2907" s="14"/>
    </row>
    <row r="2908">
      <c r="A2908" s="14"/>
    </row>
    <row r="2909">
      <c r="A2909" s="14"/>
    </row>
    <row r="2910">
      <c r="A2910" s="14"/>
    </row>
    <row r="2911">
      <c r="A2911" s="14"/>
    </row>
    <row r="2912">
      <c r="A2912" s="14"/>
    </row>
    <row r="2913">
      <c r="A2913" s="14"/>
    </row>
    <row r="2914">
      <c r="A2914" s="14"/>
    </row>
    <row r="2915">
      <c r="A2915" s="14"/>
    </row>
    <row r="2916">
      <c r="A2916" s="14"/>
    </row>
    <row r="2917">
      <c r="A2917" s="14"/>
    </row>
    <row r="2918">
      <c r="A2918" s="14"/>
    </row>
    <row r="2919">
      <c r="A2919" s="14"/>
    </row>
    <row r="2920">
      <c r="A2920" s="14"/>
    </row>
    <row r="2921">
      <c r="A2921" s="14"/>
    </row>
    <row r="2922">
      <c r="A2922" s="14"/>
    </row>
    <row r="2923">
      <c r="A2923" s="14"/>
    </row>
    <row r="2924">
      <c r="A2924" s="14"/>
    </row>
    <row r="2925">
      <c r="A2925" s="14"/>
    </row>
    <row r="2926">
      <c r="A2926" s="14"/>
    </row>
    <row r="2927">
      <c r="A2927" s="14"/>
    </row>
    <row r="2928">
      <c r="A2928" s="14"/>
    </row>
    <row r="2929">
      <c r="A2929" s="14"/>
    </row>
    <row r="2930">
      <c r="A2930" s="14"/>
    </row>
    <row r="2931">
      <c r="A2931" s="14"/>
    </row>
    <row r="2932">
      <c r="A2932" s="14"/>
    </row>
    <row r="2933">
      <c r="A2933" s="14"/>
    </row>
    <row r="2934">
      <c r="A2934" s="14"/>
    </row>
    <row r="2935">
      <c r="A2935" s="14"/>
    </row>
    <row r="2936">
      <c r="A2936" s="14"/>
    </row>
    <row r="2937">
      <c r="A2937" s="14"/>
    </row>
    <row r="2938">
      <c r="A2938" s="14"/>
    </row>
    <row r="2939">
      <c r="A2939" s="14"/>
    </row>
    <row r="2940">
      <c r="A2940" s="14"/>
    </row>
    <row r="2941">
      <c r="A2941" s="14"/>
    </row>
    <row r="2942">
      <c r="A2942" s="14"/>
    </row>
    <row r="2943">
      <c r="A2943" s="14"/>
    </row>
    <row r="2944">
      <c r="A2944" s="14"/>
    </row>
    <row r="2945">
      <c r="A2945" s="14"/>
    </row>
    <row r="2946">
      <c r="A2946" s="14"/>
    </row>
    <row r="2947">
      <c r="A2947" s="14"/>
    </row>
    <row r="2948">
      <c r="A2948" s="14"/>
    </row>
    <row r="2949">
      <c r="A2949" s="14"/>
    </row>
    <row r="2950">
      <c r="A2950" s="14"/>
    </row>
    <row r="2951">
      <c r="A2951" s="14"/>
    </row>
    <row r="2952">
      <c r="A2952" s="14"/>
    </row>
    <row r="2953">
      <c r="A2953" s="14"/>
    </row>
    <row r="2954">
      <c r="A2954" s="14"/>
    </row>
    <row r="2955">
      <c r="A2955" s="14"/>
    </row>
    <row r="2956">
      <c r="A2956" s="14"/>
    </row>
    <row r="2957">
      <c r="A2957" s="14"/>
    </row>
    <row r="2958">
      <c r="A2958" s="14"/>
    </row>
    <row r="2959">
      <c r="A2959" s="14"/>
    </row>
    <row r="2960">
      <c r="A2960" s="14"/>
    </row>
    <row r="2961">
      <c r="A2961" s="14"/>
    </row>
    <row r="2962">
      <c r="A2962" s="14"/>
    </row>
    <row r="2963">
      <c r="A2963" s="14"/>
    </row>
    <row r="2964">
      <c r="A2964" s="14"/>
    </row>
    <row r="2965">
      <c r="A2965" s="14"/>
    </row>
    <row r="2966">
      <c r="A2966" s="14"/>
    </row>
    <row r="2967">
      <c r="A2967" s="14"/>
    </row>
    <row r="2968">
      <c r="A2968" s="14"/>
    </row>
    <row r="2969">
      <c r="A2969" s="14"/>
    </row>
    <row r="2970">
      <c r="A2970" s="14"/>
    </row>
    <row r="2971">
      <c r="A2971" s="14"/>
    </row>
    <row r="2972">
      <c r="A2972" s="14"/>
    </row>
    <row r="2973">
      <c r="A2973" s="14"/>
    </row>
    <row r="2974">
      <c r="A2974" s="14"/>
    </row>
    <row r="2975">
      <c r="A2975" s="14"/>
    </row>
    <row r="2976">
      <c r="A2976" s="14"/>
    </row>
    <row r="2977">
      <c r="A2977" s="14"/>
    </row>
    <row r="2978">
      <c r="A2978" s="14"/>
    </row>
    <row r="2979">
      <c r="A2979" s="14"/>
    </row>
    <row r="2980">
      <c r="A2980" s="14"/>
    </row>
    <row r="2981">
      <c r="A2981" s="14"/>
    </row>
    <row r="2982">
      <c r="A2982" s="14"/>
    </row>
    <row r="2983">
      <c r="A2983" s="14"/>
    </row>
    <row r="2984">
      <c r="A2984" s="14"/>
    </row>
    <row r="2985">
      <c r="A2985" s="14"/>
    </row>
    <row r="2986">
      <c r="A2986" s="14"/>
    </row>
    <row r="2987">
      <c r="A2987" s="14"/>
    </row>
    <row r="2988">
      <c r="A2988" s="14"/>
    </row>
    <row r="2989">
      <c r="A2989" s="14"/>
    </row>
    <row r="2990">
      <c r="A2990" s="14"/>
    </row>
    <row r="2991">
      <c r="A2991" s="14"/>
    </row>
    <row r="2992">
      <c r="A2992" s="14"/>
    </row>
    <row r="2993">
      <c r="A2993" s="14"/>
    </row>
    <row r="2994">
      <c r="A2994" s="14"/>
    </row>
    <row r="2995">
      <c r="A2995" s="14"/>
    </row>
    <row r="2996">
      <c r="A2996" s="14"/>
    </row>
    <row r="2997">
      <c r="A2997" s="14"/>
    </row>
    <row r="2998">
      <c r="A2998" s="14"/>
    </row>
    <row r="2999">
      <c r="A2999" s="14"/>
    </row>
    <row r="3000">
      <c r="A3000" s="14"/>
    </row>
    <row r="3001">
      <c r="A3001" s="14"/>
    </row>
    <row r="3002">
      <c r="A3002" s="14"/>
    </row>
    <row r="3003">
      <c r="A3003" s="14"/>
    </row>
    <row r="3004">
      <c r="A3004" s="14"/>
    </row>
    <row r="3005">
      <c r="A3005" s="14"/>
    </row>
    <row r="3006">
      <c r="A3006" s="14"/>
    </row>
    <row r="3007">
      <c r="A3007" s="14"/>
    </row>
    <row r="3008">
      <c r="A3008" s="14"/>
    </row>
    <row r="3009">
      <c r="A3009" s="14"/>
    </row>
    <row r="3010">
      <c r="A3010" s="14"/>
    </row>
    <row r="3011">
      <c r="A3011" s="14"/>
    </row>
    <row r="3012">
      <c r="A3012" s="14"/>
    </row>
    <row r="3013">
      <c r="A3013" s="14"/>
    </row>
    <row r="3014">
      <c r="A3014" s="14"/>
    </row>
    <row r="3015">
      <c r="A3015" s="14"/>
    </row>
    <row r="3016">
      <c r="A3016" s="14"/>
    </row>
    <row r="3017">
      <c r="A3017" s="14"/>
    </row>
    <row r="3018">
      <c r="A3018" s="14"/>
    </row>
    <row r="3019">
      <c r="A3019" s="14"/>
    </row>
    <row r="3020">
      <c r="A3020" s="14"/>
    </row>
    <row r="3021">
      <c r="A3021" s="14"/>
    </row>
    <row r="3022">
      <c r="A3022" s="14"/>
    </row>
    <row r="3023">
      <c r="A3023" s="14"/>
    </row>
    <row r="3024">
      <c r="A3024" s="14"/>
    </row>
    <row r="3025">
      <c r="A3025" s="14"/>
    </row>
    <row r="3026">
      <c r="A3026" s="14"/>
    </row>
    <row r="3027">
      <c r="A3027" s="14"/>
    </row>
    <row r="3028">
      <c r="A3028" s="14"/>
    </row>
    <row r="3029">
      <c r="A3029" s="14"/>
    </row>
    <row r="3030">
      <c r="A3030" s="14"/>
    </row>
    <row r="3031">
      <c r="A3031" s="14"/>
    </row>
    <row r="3032">
      <c r="A3032" s="14"/>
    </row>
    <row r="3033">
      <c r="A3033" s="14"/>
    </row>
    <row r="3034">
      <c r="A3034" s="14"/>
    </row>
    <row r="3035">
      <c r="A3035" s="14"/>
    </row>
    <row r="3036">
      <c r="A3036" s="14"/>
    </row>
    <row r="3037">
      <c r="A3037" s="14"/>
    </row>
    <row r="3038">
      <c r="A3038" s="14"/>
    </row>
    <row r="3039">
      <c r="A3039" s="14"/>
    </row>
    <row r="3040">
      <c r="A3040" s="14"/>
    </row>
    <row r="3041">
      <c r="A3041" s="14"/>
    </row>
    <row r="3042">
      <c r="A3042" s="14"/>
    </row>
    <row r="3043">
      <c r="A3043" s="14"/>
    </row>
    <row r="3044">
      <c r="A3044" s="14"/>
    </row>
    <row r="3045">
      <c r="A3045" s="14"/>
    </row>
    <row r="3046">
      <c r="A3046" s="14"/>
    </row>
    <row r="3047">
      <c r="A3047" s="14"/>
    </row>
    <row r="3048">
      <c r="A3048" s="14"/>
    </row>
    <row r="3049">
      <c r="A3049" s="14"/>
    </row>
    <row r="3050">
      <c r="A3050" s="14"/>
    </row>
    <row r="3051">
      <c r="A3051" s="14"/>
    </row>
    <row r="3052">
      <c r="A3052" s="14"/>
    </row>
    <row r="3053">
      <c r="A3053" s="14"/>
    </row>
    <row r="3054">
      <c r="A3054" s="14"/>
    </row>
    <row r="3055">
      <c r="A3055" s="14"/>
    </row>
    <row r="3056">
      <c r="A3056" s="14"/>
    </row>
    <row r="3057">
      <c r="A3057" s="14"/>
    </row>
    <row r="3058">
      <c r="A3058" s="14"/>
    </row>
    <row r="3059">
      <c r="A3059" s="14"/>
    </row>
    <row r="3060">
      <c r="A3060" s="14"/>
    </row>
    <row r="3061">
      <c r="A3061" s="14"/>
    </row>
    <row r="3062">
      <c r="A3062" s="14"/>
    </row>
    <row r="3063">
      <c r="A3063" s="14"/>
    </row>
    <row r="3064">
      <c r="A3064" s="14"/>
    </row>
    <row r="3065">
      <c r="A3065" s="14"/>
    </row>
    <row r="3066">
      <c r="A3066" s="14"/>
    </row>
    <row r="3067">
      <c r="A3067" s="14"/>
    </row>
    <row r="3068">
      <c r="A3068" s="14"/>
    </row>
    <row r="3069">
      <c r="A3069" s="14"/>
    </row>
    <row r="3070">
      <c r="A3070" s="14"/>
    </row>
    <row r="3071">
      <c r="A3071" s="14"/>
    </row>
    <row r="3072">
      <c r="A3072" s="14"/>
    </row>
    <row r="3073">
      <c r="A3073" s="14"/>
    </row>
    <row r="3074">
      <c r="A3074" s="14"/>
    </row>
    <row r="3075">
      <c r="A3075" s="14"/>
    </row>
    <row r="3076">
      <c r="A3076" s="14"/>
    </row>
    <row r="3077">
      <c r="A3077" s="14"/>
    </row>
    <row r="3078">
      <c r="A3078" s="14"/>
    </row>
    <row r="3079">
      <c r="A3079" s="14"/>
    </row>
    <row r="3080">
      <c r="A3080" s="14"/>
    </row>
    <row r="3081">
      <c r="A3081" s="14"/>
    </row>
    <row r="3082">
      <c r="A3082" s="14"/>
    </row>
    <row r="3083">
      <c r="A3083" s="14"/>
    </row>
    <row r="3084">
      <c r="A3084" s="14"/>
    </row>
    <row r="3085">
      <c r="A3085" s="14"/>
    </row>
    <row r="3086">
      <c r="A3086" s="14"/>
    </row>
    <row r="3087">
      <c r="A3087" s="14"/>
    </row>
    <row r="3088">
      <c r="A3088" s="14"/>
    </row>
    <row r="3089">
      <c r="A3089" s="14"/>
    </row>
    <row r="3090">
      <c r="A3090" s="14"/>
    </row>
    <row r="3091">
      <c r="A3091" s="14"/>
    </row>
    <row r="3092">
      <c r="A3092" s="14"/>
    </row>
    <row r="3093">
      <c r="A3093" s="14"/>
    </row>
    <row r="3094">
      <c r="A3094" s="14"/>
    </row>
    <row r="3095">
      <c r="A3095" s="14"/>
    </row>
    <row r="3096">
      <c r="A3096" s="14"/>
    </row>
    <row r="3097">
      <c r="A3097" s="14"/>
    </row>
    <row r="3098">
      <c r="A3098" s="14"/>
    </row>
    <row r="3099">
      <c r="A3099" s="14"/>
    </row>
    <row r="3100">
      <c r="A3100" s="14"/>
    </row>
    <row r="3101">
      <c r="A3101" s="14"/>
    </row>
    <row r="3102">
      <c r="A3102" s="14"/>
    </row>
    <row r="3103">
      <c r="A3103" s="14"/>
    </row>
    <row r="3104">
      <c r="A3104" s="14"/>
    </row>
    <row r="3105">
      <c r="A3105" s="14"/>
    </row>
    <row r="3106">
      <c r="A3106" s="14"/>
    </row>
    <row r="3107">
      <c r="A3107" s="14"/>
    </row>
    <row r="3108">
      <c r="A3108" s="14"/>
    </row>
    <row r="3109">
      <c r="A3109" s="14"/>
    </row>
    <row r="3110">
      <c r="A3110" s="14"/>
    </row>
    <row r="3111">
      <c r="A3111" s="14"/>
    </row>
    <row r="3112">
      <c r="A3112" s="14"/>
    </row>
    <row r="3113">
      <c r="A3113" s="14"/>
    </row>
    <row r="3114">
      <c r="A3114" s="14"/>
    </row>
    <row r="3115">
      <c r="A3115" s="14"/>
    </row>
    <row r="3116">
      <c r="A3116" s="14"/>
    </row>
    <row r="3117">
      <c r="A3117" s="14"/>
    </row>
    <row r="3118">
      <c r="A3118" s="14"/>
    </row>
    <row r="3119">
      <c r="A3119" s="14"/>
    </row>
    <row r="3120">
      <c r="A3120" s="14"/>
    </row>
    <row r="3121">
      <c r="A3121" s="14"/>
    </row>
    <row r="3122">
      <c r="A3122" s="14"/>
    </row>
    <row r="3123">
      <c r="A3123" s="14"/>
    </row>
    <row r="3124">
      <c r="A3124" s="14"/>
    </row>
    <row r="3125">
      <c r="A3125" s="14"/>
    </row>
    <row r="3126">
      <c r="A3126" s="14"/>
    </row>
    <row r="3127">
      <c r="A3127" s="14"/>
    </row>
    <row r="3128">
      <c r="A3128" s="14"/>
    </row>
    <row r="3129">
      <c r="A3129" s="14"/>
    </row>
    <row r="3130">
      <c r="A3130" s="14"/>
    </row>
    <row r="3131">
      <c r="A3131" s="14"/>
    </row>
    <row r="3132">
      <c r="A3132" s="14"/>
    </row>
    <row r="3133">
      <c r="A3133" s="14"/>
    </row>
    <row r="3134">
      <c r="A3134" s="14"/>
    </row>
    <row r="3135">
      <c r="A3135" s="14"/>
    </row>
    <row r="3136">
      <c r="A3136" s="14"/>
    </row>
    <row r="3137">
      <c r="A3137" s="14"/>
    </row>
    <row r="3138">
      <c r="A3138" s="14"/>
    </row>
    <row r="3139">
      <c r="A3139" s="14"/>
    </row>
    <row r="3140">
      <c r="A3140" s="14"/>
    </row>
    <row r="3141">
      <c r="A3141" s="14"/>
    </row>
    <row r="3142">
      <c r="A3142" s="14"/>
    </row>
    <row r="3143">
      <c r="A3143" s="14"/>
    </row>
    <row r="3144">
      <c r="A3144" s="14"/>
    </row>
    <row r="3145">
      <c r="A3145" s="14"/>
    </row>
    <row r="3146">
      <c r="A3146" s="14"/>
    </row>
    <row r="3147">
      <c r="A3147" s="14"/>
    </row>
    <row r="3148">
      <c r="A3148" s="14"/>
    </row>
    <row r="3149">
      <c r="A3149" s="14"/>
    </row>
    <row r="3150">
      <c r="A3150" s="14"/>
    </row>
    <row r="3151">
      <c r="A3151" s="14"/>
    </row>
    <row r="3152">
      <c r="A3152" s="14"/>
    </row>
    <row r="3153">
      <c r="A3153" s="14"/>
    </row>
    <row r="3154">
      <c r="A3154" s="14"/>
    </row>
    <row r="3155">
      <c r="A3155" s="14"/>
    </row>
    <row r="3156">
      <c r="A3156" s="14"/>
    </row>
    <row r="3157">
      <c r="A3157" s="14"/>
    </row>
    <row r="3158">
      <c r="A3158" s="14"/>
    </row>
  </sheetData>
  <mergeCells count="1">
    <mergeCell ref="A1:C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88"/>
    <col customWidth="1" min="4" max="4" width="27.13"/>
    <col customWidth="1" min="6" max="6" width="27.75"/>
    <col customWidth="1" min="9" max="9" width="16.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>
      <c r="A4" s="1">
        <v>1110053.0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</row>
    <row r="5">
      <c r="A5" s="1">
        <v>1106014.0</v>
      </c>
      <c r="B5" s="1" t="s">
        <v>20</v>
      </c>
      <c r="C5" s="1" t="s">
        <v>13</v>
      </c>
      <c r="D5" s="1" t="s">
        <v>21</v>
      </c>
      <c r="E5" s="1" t="s">
        <v>22</v>
      </c>
      <c r="F5" s="1" t="s">
        <v>16</v>
      </c>
      <c r="G5" s="1" t="s">
        <v>23</v>
      </c>
      <c r="H5" s="1" t="s">
        <v>18</v>
      </c>
      <c r="I5" s="1" t="s">
        <v>19</v>
      </c>
    </row>
    <row r="6">
      <c r="A6" s="1">
        <v>1171110.0</v>
      </c>
      <c r="B6" s="1" t="s">
        <v>24</v>
      </c>
      <c r="C6" s="1" t="s">
        <v>13</v>
      </c>
      <c r="D6" s="1" t="s">
        <v>25</v>
      </c>
      <c r="E6" s="1" t="s">
        <v>26</v>
      </c>
      <c r="F6" s="1" t="s">
        <v>16</v>
      </c>
      <c r="G6" s="1" t="s">
        <v>27</v>
      </c>
      <c r="H6" s="1" t="s">
        <v>28</v>
      </c>
      <c r="I6" s="1" t="s">
        <v>29</v>
      </c>
    </row>
    <row r="7">
      <c r="A7" s="1">
        <v>1171163.0</v>
      </c>
      <c r="B7" s="1" t="s">
        <v>30</v>
      </c>
      <c r="C7" s="1" t="s">
        <v>13</v>
      </c>
      <c r="D7" s="1" t="s">
        <v>25</v>
      </c>
      <c r="E7" s="1" t="s">
        <v>31</v>
      </c>
      <c r="F7" s="1" t="s">
        <v>32</v>
      </c>
      <c r="G7" s="1" t="s">
        <v>27</v>
      </c>
      <c r="H7" s="1" t="s">
        <v>33</v>
      </c>
      <c r="I7" s="1" t="s">
        <v>34</v>
      </c>
    </row>
    <row r="8">
      <c r="A8" s="1">
        <v>1102027.0</v>
      </c>
      <c r="B8" s="1" t="s">
        <v>35</v>
      </c>
      <c r="C8" s="1" t="s">
        <v>13</v>
      </c>
      <c r="D8" s="1" t="s">
        <v>36</v>
      </c>
      <c r="E8" s="1" t="s">
        <v>37</v>
      </c>
      <c r="F8" s="1" t="s">
        <v>16</v>
      </c>
      <c r="G8" s="1" t="s">
        <v>17</v>
      </c>
      <c r="H8" s="1" t="s">
        <v>28</v>
      </c>
      <c r="I8" s="1" t="s">
        <v>29</v>
      </c>
    </row>
    <row r="9">
      <c r="A9" s="1">
        <v>1106013.0</v>
      </c>
      <c r="B9" s="1" t="s">
        <v>38</v>
      </c>
      <c r="C9" s="1" t="s">
        <v>13</v>
      </c>
      <c r="D9" s="1" t="s">
        <v>21</v>
      </c>
      <c r="E9" s="1" t="s">
        <v>39</v>
      </c>
      <c r="F9" s="1" t="s">
        <v>16</v>
      </c>
      <c r="G9" s="1" t="s">
        <v>27</v>
      </c>
      <c r="H9" s="1" t="s">
        <v>28</v>
      </c>
      <c r="I9" s="1" t="s">
        <v>40</v>
      </c>
    </row>
    <row r="10">
      <c r="A10" s="1">
        <v>1109028.0</v>
      </c>
      <c r="B10" s="1" t="s">
        <v>41</v>
      </c>
      <c r="C10" s="1" t="s">
        <v>13</v>
      </c>
      <c r="D10" s="1" t="s">
        <v>42</v>
      </c>
      <c r="E10" s="1" t="s">
        <v>43</v>
      </c>
      <c r="F10" s="1" t="s">
        <v>16</v>
      </c>
      <c r="G10" s="1" t="s">
        <v>23</v>
      </c>
      <c r="H10" s="1" t="s">
        <v>18</v>
      </c>
      <c r="I10" s="1" t="s">
        <v>44</v>
      </c>
    </row>
    <row r="11">
      <c r="A11" s="1">
        <v>1174022.0</v>
      </c>
      <c r="B11" s="1" t="s">
        <v>45</v>
      </c>
      <c r="C11" s="1" t="s">
        <v>13</v>
      </c>
      <c r="D11" s="1" t="s">
        <v>14</v>
      </c>
      <c r="E11" s="1" t="s">
        <v>46</v>
      </c>
      <c r="F11" s="1" t="s">
        <v>16</v>
      </c>
      <c r="G11" s="1" t="s">
        <v>23</v>
      </c>
      <c r="H11" s="1" t="s">
        <v>18</v>
      </c>
      <c r="I11" s="1" t="s">
        <v>19</v>
      </c>
    </row>
    <row r="12">
      <c r="A12" s="1">
        <v>1117025.0</v>
      </c>
      <c r="B12" s="1" t="s">
        <v>47</v>
      </c>
      <c r="C12" s="1" t="s">
        <v>13</v>
      </c>
      <c r="D12" s="1" t="s">
        <v>48</v>
      </c>
      <c r="E12" s="1" t="s">
        <v>49</v>
      </c>
      <c r="F12" s="1" t="s">
        <v>16</v>
      </c>
      <c r="G12" s="1" t="s">
        <v>17</v>
      </c>
      <c r="H12" s="1" t="s">
        <v>28</v>
      </c>
      <c r="I12" s="1" t="s">
        <v>40</v>
      </c>
    </row>
    <row r="13">
      <c r="A13" s="1">
        <v>1106025.0</v>
      </c>
      <c r="B13" s="1" t="s">
        <v>50</v>
      </c>
      <c r="C13" s="1" t="s">
        <v>13</v>
      </c>
      <c r="D13" s="1" t="s">
        <v>21</v>
      </c>
      <c r="E13" s="1" t="s">
        <v>51</v>
      </c>
      <c r="F13" s="1" t="s">
        <v>16</v>
      </c>
      <c r="G13" s="1" t="s">
        <v>23</v>
      </c>
      <c r="H13" s="1" t="s">
        <v>18</v>
      </c>
      <c r="I13" s="1" t="s">
        <v>19</v>
      </c>
    </row>
    <row r="14">
      <c r="A14" s="1">
        <v>1104013.0</v>
      </c>
      <c r="B14" s="1" t="s">
        <v>52</v>
      </c>
      <c r="C14" s="1" t="s">
        <v>13</v>
      </c>
      <c r="D14" s="1" t="s">
        <v>53</v>
      </c>
      <c r="E14" s="1" t="s">
        <v>54</v>
      </c>
      <c r="F14" s="1" t="s">
        <v>55</v>
      </c>
      <c r="G14" s="1" t="s">
        <v>17</v>
      </c>
      <c r="H14" s="1" t="s">
        <v>18</v>
      </c>
      <c r="I14" s="1" t="s">
        <v>19</v>
      </c>
    </row>
    <row r="15">
      <c r="A15" s="1">
        <v>1105078.0</v>
      </c>
      <c r="B15" s="1" t="s">
        <v>56</v>
      </c>
      <c r="C15" s="1" t="s">
        <v>13</v>
      </c>
      <c r="D15" s="1" t="s">
        <v>57</v>
      </c>
      <c r="E15" s="1" t="s">
        <v>58</v>
      </c>
      <c r="F15" s="1" t="s">
        <v>16</v>
      </c>
      <c r="G15" s="1" t="s">
        <v>17</v>
      </c>
      <c r="H15" s="1" t="s">
        <v>18</v>
      </c>
      <c r="I15" s="1" t="s">
        <v>59</v>
      </c>
    </row>
    <row r="16">
      <c r="A16" s="1">
        <v>1110075.0</v>
      </c>
      <c r="B16" s="1" t="s">
        <v>60</v>
      </c>
      <c r="C16" s="1" t="s">
        <v>13</v>
      </c>
      <c r="D16" s="1" t="s">
        <v>61</v>
      </c>
      <c r="E16" s="1" t="s">
        <v>62</v>
      </c>
      <c r="F16" s="1" t="s">
        <v>16</v>
      </c>
      <c r="G16" s="1" t="s">
        <v>27</v>
      </c>
      <c r="H16" s="1" t="s">
        <v>28</v>
      </c>
      <c r="I16" s="1" t="s">
        <v>40</v>
      </c>
    </row>
    <row r="17">
      <c r="A17" s="1">
        <v>1171143.0</v>
      </c>
      <c r="B17" s="1" t="s">
        <v>63</v>
      </c>
      <c r="C17" s="1" t="s">
        <v>13</v>
      </c>
      <c r="D17" s="1" t="s">
        <v>25</v>
      </c>
      <c r="E17" s="1" t="s">
        <v>64</v>
      </c>
      <c r="F17" s="1" t="s">
        <v>16</v>
      </c>
      <c r="G17" s="1" t="s">
        <v>17</v>
      </c>
      <c r="H17" s="1" t="s">
        <v>33</v>
      </c>
      <c r="I17" s="1" t="s">
        <v>65</v>
      </c>
    </row>
    <row r="18">
      <c r="A18" s="1">
        <v>1103010.0</v>
      </c>
      <c r="B18" s="1" t="s">
        <v>66</v>
      </c>
      <c r="C18" s="1" t="s">
        <v>13</v>
      </c>
      <c r="D18" s="1" t="s">
        <v>67</v>
      </c>
      <c r="E18" s="1" t="s">
        <v>68</v>
      </c>
      <c r="F18" s="1" t="s">
        <v>16</v>
      </c>
      <c r="G18" s="1" t="s">
        <v>27</v>
      </c>
      <c r="H18" s="1" t="s">
        <v>28</v>
      </c>
      <c r="I18" s="1" t="s">
        <v>40</v>
      </c>
    </row>
    <row r="19">
      <c r="A19" s="1">
        <v>1108015.0</v>
      </c>
      <c r="B19" s="1" t="s">
        <v>69</v>
      </c>
      <c r="C19" s="1" t="s">
        <v>13</v>
      </c>
      <c r="D19" s="1" t="s">
        <v>70</v>
      </c>
      <c r="E19" s="1" t="s">
        <v>71</v>
      </c>
      <c r="F19" s="1" t="s">
        <v>16</v>
      </c>
      <c r="G19" s="1" t="s">
        <v>17</v>
      </c>
      <c r="H19" s="1" t="s">
        <v>18</v>
      </c>
      <c r="I19" s="1" t="s">
        <v>40</v>
      </c>
    </row>
    <row r="20">
      <c r="A20" s="1">
        <v>1171026.0</v>
      </c>
      <c r="B20" s="1" t="s">
        <v>72</v>
      </c>
      <c r="C20" s="1" t="s">
        <v>13</v>
      </c>
      <c r="D20" s="1" t="s">
        <v>25</v>
      </c>
      <c r="E20" s="1" t="s">
        <v>73</v>
      </c>
      <c r="F20" s="1" t="s">
        <v>16</v>
      </c>
      <c r="G20" s="1" t="s">
        <v>27</v>
      </c>
      <c r="H20" s="1" t="s">
        <v>33</v>
      </c>
      <c r="I20" s="1" t="s">
        <v>74</v>
      </c>
    </row>
    <row r="21">
      <c r="A21" s="1">
        <v>1174023.0</v>
      </c>
      <c r="B21" s="1" t="s">
        <v>75</v>
      </c>
      <c r="C21" s="1" t="s">
        <v>13</v>
      </c>
      <c r="D21" s="1" t="s">
        <v>14</v>
      </c>
      <c r="E21" s="1" t="s">
        <v>76</v>
      </c>
      <c r="F21" s="1" t="s">
        <v>55</v>
      </c>
      <c r="G21" s="1" t="s">
        <v>17</v>
      </c>
      <c r="H21" s="1" t="s">
        <v>18</v>
      </c>
      <c r="I21" s="1" t="s">
        <v>19</v>
      </c>
    </row>
    <row r="22">
      <c r="A22" s="1">
        <v>1101015.0</v>
      </c>
      <c r="B22" s="1" t="s">
        <v>77</v>
      </c>
      <c r="C22" s="1" t="s">
        <v>13</v>
      </c>
      <c r="D22" s="1" t="s">
        <v>78</v>
      </c>
      <c r="E22" s="1" t="s">
        <v>79</v>
      </c>
      <c r="F22" s="1" t="s">
        <v>16</v>
      </c>
      <c r="G22" s="1" t="s">
        <v>17</v>
      </c>
      <c r="H22" s="1" t="s">
        <v>28</v>
      </c>
      <c r="I22" s="1" t="s">
        <v>40</v>
      </c>
    </row>
    <row r="23">
      <c r="A23" s="1">
        <v>1174021.0</v>
      </c>
      <c r="B23" s="1" t="s">
        <v>80</v>
      </c>
      <c r="C23" s="1" t="s">
        <v>13</v>
      </c>
      <c r="D23" s="1" t="s">
        <v>14</v>
      </c>
      <c r="E23" s="1" t="s">
        <v>81</v>
      </c>
      <c r="F23" s="1" t="s">
        <v>16</v>
      </c>
      <c r="G23" s="1" t="s">
        <v>23</v>
      </c>
      <c r="H23" s="1" t="s">
        <v>18</v>
      </c>
      <c r="I23" s="1" t="s">
        <v>19</v>
      </c>
    </row>
    <row r="24">
      <c r="A24" s="1">
        <v>1174100.0</v>
      </c>
      <c r="B24" s="1" t="s">
        <v>82</v>
      </c>
      <c r="C24" s="1" t="s">
        <v>13</v>
      </c>
      <c r="D24" s="1" t="s">
        <v>14</v>
      </c>
      <c r="E24" s="1" t="s">
        <v>83</v>
      </c>
      <c r="F24" s="1" t="s">
        <v>16</v>
      </c>
      <c r="G24" s="1" t="s">
        <v>17</v>
      </c>
      <c r="H24" s="1" t="s">
        <v>18</v>
      </c>
      <c r="I24" s="1" t="s">
        <v>74</v>
      </c>
    </row>
    <row r="25">
      <c r="A25" s="1">
        <v>1110104.0</v>
      </c>
      <c r="B25" s="1" t="s">
        <v>84</v>
      </c>
      <c r="C25" s="1" t="s">
        <v>13</v>
      </c>
      <c r="D25" s="1" t="s">
        <v>61</v>
      </c>
      <c r="E25" s="1" t="s">
        <v>85</v>
      </c>
      <c r="F25" s="1" t="s">
        <v>16</v>
      </c>
      <c r="G25" s="1" t="s">
        <v>17</v>
      </c>
      <c r="H25" s="1" t="s">
        <v>18</v>
      </c>
      <c r="I25" s="1" t="s">
        <v>19</v>
      </c>
    </row>
    <row r="26">
      <c r="A26" s="1">
        <v>1113023.0</v>
      </c>
      <c r="B26" s="1" t="s">
        <v>86</v>
      </c>
      <c r="C26" s="1" t="s">
        <v>13</v>
      </c>
      <c r="D26" s="1" t="s">
        <v>87</v>
      </c>
      <c r="E26" s="1" t="s">
        <v>88</v>
      </c>
      <c r="F26" s="1" t="s">
        <v>16</v>
      </c>
      <c r="G26" s="1" t="s">
        <v>23</v>
      </c>
      <c r="H26" s="1" t="s">
        <v>18</v>
      </c>
      <c r="I26" s="1" t="s">
        <v>34</v>
      </c>
    </row>
    <row r="27">
      <c r="A27" s="1">
        <v>1116011.0</v>
      </c>
      <c r="B27" s="1" t="s">
        <v>89</v>
      </c>
      <c r="C27" s="1" t="s">
        <v>13</v>
      </c>
      <c r="D27" s="1" t="s">
        <v>90</v>
      </c>
      <c r="E27" s="1" t="s">
        <v>91</v>
      </c>
      <c r="F27" s="1" t="s">
        <v>16</v>
      </c>
      <c r="G27" s="1" t="s">
        <v>17</v>
      </c>
      <c r="H27" s="1" t="s">
        <v>28</v>
      </c>
      <c r="I27" s="1" t="s">
        <v>40</v>
      </c>
    </row>
    <row r="28">
      <c r="A28" s="1">
        <v>1172031.0</v>
      </c>
      <c r="B28" s="1" t="s">
        <v>92</v>
      </c>
      <c r="C28" s="1" t="s">
        <v>13</v>
      </c>
      <c r="D28" s="1" t="s">
        <v>93</v>
      </c>
      <c r="E28" s="1" t="s">
        <v>94</v>
      </c>
      <c r="F28" s="1" t="s">
        <v>16</v>
      </c>
      <c r="G28" s="1" t="s">
        <v>23</v>
      </c>
      <c r="H28" s="1" t="s">
        <v>18</v>
      </c>
      <c r="I28" s="1" t="s">
        <v>95</v>
      </c>
    </row>
    <row r="29">
      <c r="A29" s="1">
        <v>1103022.0</v>
      </c>
      <c r="B29" s="1" t="s">
        <v>96</v>
      </c>
      <c r="C29" s="1" t="s">
        <v>13</v>
      </c>
      <c r="D29" s="1" t="s">
        <v>67</v>
      </c>
      <c r="E29" s="1" t="s">
        <v>97</v>
      </c>
      <c r="F29" s="1" t="s">
        <v>16</v>
      </c>
      <c r="G29" s="1" t="s">
        <v>98</v>
      </c>
      <c r="H29" s="1" t="s">
        <v>18</v>
      </c>
      <c r="I29" s="1" t="s">
        <v>40</v>
      </c>
    </row>
    <row r="30">
      <c r="A30" s="1">
        <v>1173012.0</v>
      </c>
      <c r="B30" s="1" t="s">
        <v>99</v>
      </c>
      <c r="C30" s="1" t="s">
        <v>13</v>
      </c>
      <c r="D30" s="1" t="s">
        <v>100</v>
      </c>
      <c r="E30" s="1" t="s">
        <v>101</v>
      </c>
      <c r="F30" s="1" t="s">
        <v>16</v>
      </c>
      <c r="G30" s="1" t="s">
        <v>27</v>
      </c>
      <c r="H30" s="1" t="s">
        <v>28</v>
      </c>
      <c r="I30" s="1" t="s">
        <v>29</v>
      </c>
    </row>
    <row r="31">
      <c r="A31" s="1">
        <v>1109027.0</v>
      </c>
      <c r="B31" s="1" t="s">
        <v>102</v>
      </c>
      <c r="C31" s="1" t="s">
        <v>13</v>
      </c>
      <c r="D31" s="1" t="s">
        <v>42</v>
      </c>
      <c r="E31" s="1" t="s">
        <v>103</v>
      </c>
      <c r="F31" s="1" t="s">
        <v>16</v>
      </c>
      <c r="G31" s="1" t="s">
        <v>17</v>
      </c>
      <c r="H31" s="1" t="s">
        <v>28</v>
      </c>
      <c r="I31" s="1" t="s">
        <v>40</v>
      </c>
    </row>
    <row r="32">
      <c r="A32" s="1">
        <v>1171085.0</v>
      </c>
      <c r="B32" s="1" t="s">
        <v>104</v>
      </c>
      <c r="C32" s="1" t="s">
        <v>13</v>
      </c>
      <c r="D32" s="1" t="s">
        <v>25</v>
      </c>
      <c r="E32" s="1" t="s">
        <v>105</v>
      </c>
      <c r="F32" s="1" t="s">
        <v>16</v>
      </c>
      <c r="G32" s="1" t="s">
        <v>23</v>
      </c>
      <c r="H32" s="1" t="s">
        <v>18</v>
      </c>
      <c r="I32" s="1" t="s">
        <v>59</v>
      </c>
    </row>
    <row r="33">
      <c r="A33" s="1">
        <v>1108017.0</v>
      </c>
      <c r="B33" s="1" t="s">
        <v>106</v>
      </c>
      <c r="C33" s="1" t="s">
        <v>13</v>
      </c>
      <c r="D33" s="1" t="s">
        <v>70</v>
      </c>
      <c r="E33" s="1" t="s">
        <v>107</v>
      </c>
      <c r="F33" s="1" t="s">
        <v>16</v>
      </c>
      <c r="G33" s="1" t="s">
        <v>23</v>
      </c>
      <c r="H33" s="1" t="s">
        <v>18</v>
      </c>
      <c r="I33" s="1" t="s">
        <v>19</v>
      </c>
    </row>
    <row r="34">
      <c r="A34" s="1">
        <v>1113012.0</v>
      </c>
      <c r="B34" s="1" t="s">
        <v>108</v>
      </c>
      <c r="C34" s="1" t="s">
        <v>13</v>
      </c>
      <c r="D34" s="1" t="s">
        <v>87</v>
      </c>
      <c r="E34" s="1" t="s">
        <v>109</v>
      </c>
      <c r="F34" s="1" t="s">
        <v>16</v>
      </c>
      <c r="G34" s="1" t="s">
        <v>17</v>
      </c>
      <c r="H34" s="1" t="s">
        <v>28</v>
      </c>
      <c r="I34" s="1" t="s">
        <v>40</v>
      </c>
    </row>
    <row r="35">
      <c r="A35" s="1">
        <v>1105034.0</v>
      </c>
      <c r="B35" s="1" t="s">
        <v>110</v>
      </c>
      <c r="C35" s="1" t="s">
        <v>13</v>
      </c>
      <c r="D35" s="1" t="s">
        <v>111</v>
      </c>
      <c r="E35" s="1" t="s">
        <v>112</v>
      </c>
      <c r="F35" s="1" t="s">
        <v>16</v>
      </c>
      <c r="G35" s="1" t="s">
        <v>23</v>
      </c>
      <c r="H35" s="1" t="s">
        <v>18</v>
      </c>
      <c r="I35" s="1" t="s">
        <v>113</v>
      </c>
    </row>
    <row r="36">
      <c r="A36" s="1">
        <v>1111006.0</v>
      </c>
      <c r="B36" s="1" t="s">
        <v>114</v>
      </c>
      <c r="C36" s="1" t="s">
        <v>13</v>
      </c>
      <c r="D36" s="1" t="s">
        <v>115</v>
      </c>
      <c r="E36" s="1" t="s">
        <v>116</v>
      </c>
      <c r="F36" s="1" t="s">
        <v>16</v>
      </c>
      <c r="G36" s="1" t="s">
        <v>98</v>
      </c>
      <c r="H36" s="1" t="s">
        <v>18</v>
      </c>
      <c r="I36" s="1" t="s">
        <v>40</v>
      </c>
    </row>
    <row r="37">
      <c r="A37" s="1">
        <v>1110027.0</v>
      </c>
      <c r="B37" s="1" t="s">
        <v>104</v>
      </c>
      <c r="C37" s="1" t="s">
        <v>13</v>
      </c>
      <c r="D37" s="1" t="s">
        <v>61</v>
      </c>
      <c r="E37" s="1" t="s">
        <v>117</v>
      </c>
      <c r="F37" s="1" t="s">
        <v>16</v>
      </c>
      <c r="G37" s="1" t="s">
        <v>23</v>
      </c>
      <c r="H37" s="1" t="s">
        <v>18</v>
      </c>
      <c r="I37" s="1" t="s">
        <v>59</v>
      </c>
    </row>
    <row r="38">
      <c r="A38" s="1">
        <v>1171106.0</v>
      </c>
      <c r="B38" s="1" t="s">
        <v>118</v>
      </c>
      <c r="C38" s="1" t="s">
        <v>13</v>
      </c>
      <c r="D38" s="1" t="s">
        <v>25</v>
      </c>
      <c r="E38" s="1" t="s">
        <v>119</v>
      </c>
      <c r="F38" s="1" t="s">
        <v>16</v>
      </c>
      <c r="G38" s="1" t="s">
        <v>17</v>
      </c>
      <c r="H38" s="1" t="s">
        <v>18</v>
      </c>
      <c r="I38" s="1" t="s">
        <v>59</v>
      </c>
    </row>
    <row r="39">
      <c r="A39" s="1">
        <v>1105056.0</v>
      </c>
      <c r="B39" s="1" t="s">
        <v>120</v>
      </c>
      <c r="C39" s="1" t="s">
        <v>13</v>
      </c>
      <c r="D39" s="1" t="s">
        <v>57</v>
      </c>
      <c r="E39" s="1" t="s">
        <v>121</v>
      </c>
      <c r="F39" s="1" t="s">
        <v>16</v>
      </c>
      <c r="G39" s="1" t="s">
        <v>27</v>
      </c>
      <c r="H39" s="1" t="s">
        <v>28</v>
      </c>
      <c r="I39" s="1" t="s">
        <v>40</v>
      </c>
    </row>
    <row r="40">
      <c r="A40" s="1">
        <v>1115012.0</v>
      </c>
      <c r="B40" s="1" t="s">
        <v>122</v>
      </c>
      <c r="C40" s="1" t="s">
        <v>13</v>
      </c>
      <c r="D40" s="1" t="s">
        <v>123</v>
      </c>
      <c r="E40" s="1" t="s">
        <v>124</v>
      </c>
      <c r="F40" s="1" t="s">
        <v>16</v>
      </c>
      <c r="G40" s="1" t="s">
        <v>17</v>
      </c>
      <c r="H40" s="1" t="s">
        <v>28</v>
      </c>
      <c r="I40" s="1" t="s">
        <v>40</v>
      </c>
    </row>
    <row r="41">
      <c r="A41" s="1">
        <v>1110103.0</v>
      </c>
      <c r="B41" s="1" t="s">
        <v>125</v>
      </c>
      <c r="C41" s="1" t="s">
        <v>13</v>
      </c>
      <c r="D41" s="1" t="s">
        <v>61</v>
      </c>
      <c r="E41" s="1" t="s">
        <v>126</v>
      </c>
      <c r="F41" s="1" t="s">
        <v>16</v>
      </c>
      <c r="G41" s="1" t="s">
        <v>23</v>
      </c>
      <c r="H41" s="1" t="s">
        <v>18</v>
      </c>
      <c r="I41" s="1" t="s">
        <v>19</v>
      </c>
    </row>
    <row r="42">
      <c r="A42" s="1">
        <v>1111029.0</v>
      </c>
      <c r="B42" s="1" t="s">
        <v>127</v>
      </c>
      <c r="C42" s="1" t="s">
        <v>13</v>
      </c>
      <c r="D42" s="1" t="s">
        <v>115</v>
      </c>
      <c r="E42" s="1" t="s">
        <v>128</v>
      </c>
      <c r="F42" s="1" t="s">
        <v>16</v>
      </c>
      <c r="G42" s="1" t="s">
        <v>23</v>
      </c>
      <c r="H42" s="1" t="s">
        <v>18</v>
      </c>
      <c r="I42" s="1" t="s">
        <v>19</v>
      </c>
    </row>
    <row r="43">
      <c r="A43" s="1">
        <v>1103021.0</v>
      </c>
      <c r="B43" s="1" t="s">
        <v>129</v>
      </c>
      <c r="C43" s="1" t="s">
        <v>13</v>
      </c>
      <c r="D43" s="1" t="s">
        <v>67</v>
      </c>
      <c r="E43" s="1" t="s">
        <v>130</v>
      </c>
      <c r="F43" s="1" t="s">
        <v>16</v>
      </c>
      <c r="G43" s="1" t="s">
        <v>23</v>
      </c>
      <c r="H43" s="1" t="s">
        <v>18</v>
      </c>
      <c r="I43" s="1" t="s">
        <v>34</v>
      </c>
    </row>
    <row r="44">
      <c r="A44" s="1">
        <v>1105067.0</v>
      </c>
      <c r="B44" s="1" t="s">
        <v>131</v>
      </c>
      <c r="C44" s="1" t="s">
        <v>13</v>
      </c>
      <c r="D44" s="1" t="s">
        <v>57</v>
      </c>
      <c r="E44" s="1" t="s">
        <v>132</v>
      </c>
      <c r="F44" s="1" t="s">
        <v>16</v>
      </c>
      <c r="G44" s="1" t="s">
        <v>17</v>
      </c>
      <c r="H44" s="1" t="s">
        <v>28</v>
      </c>
      <c r="I44" s="1" t="s">
        <v>40</v>
      </c>
    </row>
    <row r="45">
      <c r="A45" s="1">
        <v>1174064.0</v>
      </c>
      <c r="B45" s="1" t="s">
        <v>133</v>
      </c>
      <c r="C45" s="1" t="s">
        <v>13</v>
      </c>
      <c r="D45" s="1" t="s">
        <v>14</v>
      </c>
      <c r="E45" s="1" t="s">
        <v>134</v>
      </c>
      <c r="F45" s="1" t="s">
        <v>16</v>
      </c>
      <c r="G45" s="1" t="s">
        <v>17</v>
      </c>
      <c r="H45" s="1" t="s">
        <v>18</v>
      </c>
      <c r="I45" s="1" t="s">
        <v>59</v>
      </c>
    </row>
    <row r="46">
      <c r="A46" s="1">
        <v>1171161.0</v>
      </c>
      <c r="B46" s="1" t="s">
        <v>135</v>
      </c>
      <c r="C46" s="1" t="s">
        <v>13</v>
      </c>
      <c r="D46" s="1" t="s">
        <v>25</v>
      </c>
      <c r="E46" s="1" t="s">
        <v>136</v>
      </c>
      <c r="F46" s="1" t="s">
        <v>16</v>
      </c>
      <c r="G46" s="1" t="s">
        <v>17</v>
      </c>
      <c r="H46" s="1" t="s">
        <v>18</v>
      </c>
      <c r="I46" s="1" t="s">
        <v>44</v>
      </c>
    </row>
    <row r="47">
      <c r="A47" s="1">
        <v>1171121.0</v>
      </c>
      <c r="B47" s="1" t="s">
        <v>137</v>
      </c>
      <c r="C47" s="1" t="s">
        <v>13</v>
      </c>
      <c r="D47" s="1" t="s">
        <v>25</v>
      </c>
      <c r="E47" s="1" t="s">
        <v>138</v>
      </c>
      <c r="F47" s="1" t="s">
        <v>55</v>
      </c>
      <c r="G47" s="1" t="s">
        <v>27</v>
      </c>
      <c r="H47" s="1" t="s">
        <v>28</v>
      </c>
      <c r="I47" s="1" t="s">
        <v>139</v>
      </c>
    </row>
    <row r="48">
      <c r="A48" s="1">
        <v>1102016.0</v>
      </c>
      <c r="B48" s="1" t="s">
        <v>140</v>
      </c>
      <c r="C48" s="1" t="s">
        <v>13</v>
      </c>
      <c r="D48" s="1" t="s">
        <v>141</v>
      </c>
      <c r="E48" s="1" t="s">
        <v>142</v>
      </c>
      <c r="F48" s="1" t="s">
        <v>16</v>
      </c>
      <c r="G48" s="1" t="s">
        <v>17</v>
      </c>
      <c r="H48" s="1" t="s">
        <v>28</v>
      </c>
      <c r="I48" s="1" t="s">
        <v>40</v>
      </c>
    </row>
    <row r="49">
      <c r="A49" s="1">
        <v>1171146.0</v>
      </c>
      <c r="B49" s="1" t="s">
        <v>143</v>
      </c>
      <c r="C49" s="1" t="s">
        <v>13</v>
      </c>
      <c r="D49" s="1" t="s">
        <v>25</v>
      </c>
      <c r="E49" s="1" t="s">
        <v>144</v>
      </c>
      <c r="F49" s="1" t="s">
        <v>55</v>
      </c>
      <c r="G49" s="1" t="s">
        <v>17</v>
      </c>
      <c r="H49" s="1" t="s">
        <v>18</v>
      </c>
      <c r="I49" s="1" t="s">
        <v>44</v>
      </c>
    </row>
    <row r="50">
      <c r="A50" s="1">
        <v>1107014.0</v>
      </c>
      <c r="B50" s="1" t="s">
        <v>145</v>
      </c>
      <c r="C50" s="1" t="s">
        <v>13</v>
      </c>
      <c r="D50" s="1" t="s">
        <v>146</v>
      </c>
      <c r="E50" s="1" t="s">
        <v>147</v>
      </c>
      <c r="F50" s="1" t="s">
        <v>16</v>
      </c>
      <c r="G50" s="1" t="s">
        <v>27</v>
      </c>
      <c r="H50" s="1" t="s">
        <v>28</v>
      </c>
      <c r="I50" s="1" t="s">
        <v>40</v>
      </c>
    </row>
    <row r="51">
      <c r="A51" s="1">
        <v>1171015.0</v>
      </c>
      <c r="B51" s="1" t="s">
        <v>148</v>
      </c>
      <c r="C51" s="1" t="s">
        <v>13</v>
      </c>
      <c r="D51" s="1" t="s">
        <v>25</v>
      </c>
      <c r="E51" s="1" t="s">
        <v>149</v>
      </c>
      <c r="F51" s="1" t="s">
        <v>16</v>
      </c>
      <c r="G51" s="1" t="s">
        <v>150</v>
      </c>
      <c r="H51" s="1" t="s">
        <v>28</v>
      </c>
      <c r="I51" s="1" t="s">
        <v>139</v>
      </c>
    </row>
    <row r="52">
      <c r="A52" s="1">
        <v>1107017.0</v>
      </c>
      <c r="B52" s="1" t="s">
        <v>151</v>
      </c>
      <c r="C52" s="1" t="s">
        <v>13</v>
      </c>
      <c r="D52" s="1" t="s">
        <v>146</v>
      </c>
      <c r="E52" s="1" t="s">
        <v>152</v>
      </c>
      <c r="F52" s="1" t="s">
        <v>16</v>
      </c>
      <c r="G52" s="1" t="s">
        <v>23</v>
      </c>
      <c r="H52" s="1" t="s">
        <v>18</v>
      </c>
      <c r="I52" s="1" t="s">
        <v>74</v>
      </c>
    </row>
    <row r="53">
      <c r="A53" s="1">
        <v>1109031.0</v>
      </c>
      <c r="B53" s="1" t="s">
        <v>153</v>
      </c>
      <c r="C53" s="1" t="s">
        <v>13</v>
      </c>
      <c r="D53" s="1" t="s">
        <v>42</v>
      </c>
      <c r="E53" s="1" t="s">
        <v>154</v>
      </c>
      <c r="F53" s="1" t="s">
        <v>16</v>
      </c>
      <c r="G53" s="1" t="s">
        <v>23</v>
      </c>
      <c r="H53" s="1" t="s">
        <v>18</v>
      </c>
      <c r="I53" s="1" t="s">
        <v>19</v>
      </c>
    </row>
    <row r="54">
      <c r="A54" s="1">
        <v>1104012.0</v>
      </c>
      <c r="B54" s="1" t="s">
        <v>155</v>
      </c>
      <c r="C54" s="1" t="s">
        <v>13</v>
      </c>
      <c r="D54" s="1" t="s">
        <v>53</v>
      </c>
      <c r="E54" s="1" t="s">
        <v>156</v>
      </c>
      <c r="F54" s="1" t="s">
        <v>16</v>
      </c>
      <c r="G54" s="1" t="s">
        <v>17</v>
      </c>
      <c r="H54" s="1" t="s">
        <v>18</v>
      </c>
      <c r="I54" s="1" t="s">
        <v>19</v>
      </c>
    </row>
    <row r="55">
      <c r="A55" s="1">
        <v>1110086.0</v>
      </c>
      <c r="B55" s="1" t="s">
        <v>157</v>
      </c>
      <c r="C55" s="1" t="s">
        <v>13</v>
      </c>
      <c r="D55" s="1" t="s">
        <v>14</v>
      </c>
      <c r="E55" s="1" t="s">
        <v>158</v>
      </c>
      <c r="F55" s="1" t="s">
        <v>16</v>
      </c>
      <c r="G55" s="1" t="s">
        <v>17</v>
      </c>
      <c r="H55" s="1" t="s">
        <v>18</v>
      </c>
      <c r="I55" s="1" t="s">
        <v>59</v>
      </c>
    </row>
    <row r="56">
      <c r="A56" s="1">
        <v>1172016.0</v>
      </c>
      <c r="B56" s="1" t="s">
        <v>159</v>
      </c>
      <c r="C56" s="1" t="s">
        <v>13</v>
      </c>
      <c r="D56" s="1" t="s">
        <v>93</v>
      </c>
      <c r="E56" s="1" t="s">
        <v>160</v>
      </c>
      <c r="F56" s="1" t="s">
        <v>16</v>
      </c>
      <c r="G56" s="1" t="s">
        <v>17</v>
      </c>
      <c r="H56" s="1" t="s">
        <v>18</v>
      </c>
      <c r="I56" s="1" t="s">
        <v>29</v>
      </c>
    </row>
    <row r="57">
      <c r="A57" s="1">
        <v>1117027.0</v>
      </c>
      <c r="B57" s="1" t="s">
        <v>161</v>
      </c>
      <c r="C57" s="1" t="s">
        <v>13</v>
      </c>
      <c r="D57" s="1" t="s">
        <v>48</v>
      </c>
      <c r="E57" s="1" t="s">
        <v>162</v>
      </c>
      <c r="F57" s="1" t="s">
        <v>55</v>
      </c>
      <c r="G57" s="1" t="s">
        <v>17</v>
      </c>
      <c r="H57" s="1" t="s">
        <v>18</v>
      </c>
      <c r="I57" s="1" t="s">
        <v>163</v>
      </c>
    </row>
    <row r="58">
      <c r="A58" s="1">
        <v>1107016.0</v>
      </c>
      <c r="B58" s="1" t="s">
        <v>164</v>
      </c>
      <c r="C58" s="1" t="s">
        <v>13</v>
      </c>
      <c r="D58" s="1" t="s">
        <v>146</v>
      </c>
      <c r="E58" s="1" t="s">
        <v>165</v>
      </c>
      <c r="F58" s="1" t="s">
        <v>16</v>
      </c>
      <c r="G58" s="1" t="s">
        <v>23</v>
      </c>
      <c r="H58" s="1" t="s">
        <v>18</v>
      </c>
      <c r="I58" s="1" t="s">
        <v>19</v>
      </c>
    </row>
    <row r="59">
      <c r="A59" s="1">
        <v>1104011.0</v>
      </c>
      <c r="B59" s="1" t="s">
        <v>166</v>
      </c>
      <c r="C59" s="1" t="s">
        <v>13</v>
      </c>
      <c r="D59" s="1" t="s">
        <v>53</v>
      </c>
      <c r="E59" s="1" t="s">
        <v>167</v>
      </c>
      <c r="F59" s="1" t="s">
        <v>16</v>
      </c>
      <c r="G59" s="1" t="s">
        <v>17</v>
      </c>
      <c r="H59" s="1" t="s">
        <v>28</v>
      </c>
      <c r="I59" s="1" t="s">
        <v>40</v>
      </c>
    </row>
    <row r="60">
      <c r="A60" s="1">
        <v>1109016.0</v>
      </c>
      <c r="B60" s="1" t="s">
        <v>168</v>
      </c>
      <c r="C60" s="1" t="s">
        <v>13</v>
      </c>
      <c r="D60" s="1" t="s">
        <v>42</v>
      </c>
      <c r="E60" s="1" t="s">
        <v>169</v>
      </c>
      <c r="F60" s="1" t="s">
        <v>16</v>
      </c>
      <c r="G60" s="1" t="s">
        <v>27</v>
      </c>
      <c r="H60" s="1" t="s">
        <v>28</v>
      </c>
      <c r="I60" s="1" t="s">
        <v>40</v>
      </c>
    </row>
    <row r="61">
      <c r="A61" s="1">
        <v>1171150.0</v>
      </c>
      <c r="B61" s="1" t="s">
        <v>170</v>
      </c>
      <c r="C61" s="1" t="s">
        <v>13</v>
      </c>
      <c r="D61" s="1" t="s">
        <v>25</v>
      </c>
      <c r="E61" s="1" t="s">
        <v>171</v>
      </c>
      <c r="F61" s="1" t="s">
        <v>16</v>
      </c>
      <c r="G61" s="1" t="s">
        <v>17</v>
      </c>
      <c r="H61" s="1" t="s">
        <v>18</v>
      </c>
      <c r="I61" s="1" t="s">
        <v>44</v>
      </c>
    </row>
    <row r="62">
      <c r="A62" s="1">
        <v>1171041.0</v>
      </c>
      <c r="B62" s="1" t="s">
        <v>172</v>
      </c>
      <c r="C62" s="1" t="s">
        <v>13</v>
      </c>
      <c r="D62" s="1" t="s">
        <v>25</v>
      </c>
      <c r="E62" s="1" t="s">
        <v>173</v>
      </c>
      <c r="F62" s="1" t="s">
        <v>174</v>
      </c>
      <c r="G62" s="1" t="s">
        <v>150</v>
      </c>
      <c r="H62" s="1" t="s">
        <v>28</v>
      </c>
      <c r="I62" s="1" t="s">
        <v>139</v>
      </c>
    </row>
    <row r="63">
      <c r="A63" s="1">
        <v>1109029.0</v>
      </c>
      <c r="B63" s="1" t="s">
        <v>175</v>
      </c>
      <c r="C63" s="1" t="s">
        <v>13</v>
      </c>
      <c r="D63" s="1" t="s">
        <v>42</v>
      </c>
      <c r="E63" s="1" t="s">
        <v>176</v>
      </c>
      <c r="F63" s="1" t="s">
        <v>16</v>
      </c>
      <c r="G63" s="1" t="s">
        <v>23</v>
      </c>
      <c r="H63" s="1" t="s">
        <v>18</v>
      </c>
      <c r="I63" s="1" t="s">
        <v>44</v>
      </c>
    </row>
    <row r="64">
      <c r="A64" s="1">
        <v>1112011.0</v>
      </c>
      <c r="B64" s="1" t="s">
        <v>177</v>
      </c>
      <c r="C64" s="1" t="s">
        <v>13</v>
      </c>
      <c r="D64" s="1" t="s">
        <v>178</v>
      </c>
      <c r="E64" s="1" t="s">
        <v>179</v>
      </c>
      <c r="F64" s="1" t="s">
        <v>16</v>
      </c>
      <c r="G64" s="1" t="s">
        <v>17</v>
      </c>
      <c r="H64" s="1" t="s">
        <v>28</v>
      </c>
      <c r="I64" s="1" t="s">
        <v>40</v>
      </c>
    </row>
    <row r="65">
      <c r="A65" s="1">
        <v>1111018.0</v>
      </c>
      <c r="B65" s="1" t="s">
        <v>180</v>
      </c>
      <c r="C65" s="1" t="s">
        <v>13</v>
      </c>
      <c r="D65" s="1" t="s">
        <v>14</v>
      </c>
      <c r="E65" s="1" t="s">
        <v>181</v>
      </c>
      <c r="F65" s="1" t="s">
        <v>16</v>
      </c>
      <c r="G65" s="1" t="s">
        <v>23</v>
      </c>
      <c r="H65" s="1" t="s">
        <v>18</v>
      </c>
      <c r="I65" s="1" t="s">
        <v>59</v>
      </c>
    </row>
    <row r="66">
      <c r="A66" s="1">
        <v>1171145.0</v>
      </c>
      <c r="B66" s="1" t="s">
        <v>182</v>
      </c>
      <c r="C66" s="1" t="s">
        <v>13</v>
      </c>
      <c r="D66" s="1" t="s">
        <v>25</v>
      </c>
      <c r="E66" s="1" t="s">
        <v>183</v>
      </c>
      <c r="F66" s="1" t="s">
        <v>16</v>
      </c>
      <c r="G66" s="1" t="s">
        <v>23</v>
      </c>
      <c r="H66" s="1" t="s">
        <v>18</v>
      </c>
      <c r="I66" s="1" t="s">
        <v>19</v>
      </c>
    </row>
    <row r="67">
      <c r="A67" s="1">
        <v>1173023.0</v>
      </c>
      <c r="B67" s="1" t="s">
        <v>184</v>
      </c>
      <c r="C67" s="1" t="s">
        <v>13</v>
      </c>
      <c r="D67" s="1" t="s">
        <v>100</v>
      </c>
      <c r="E67" s="1" t="s">
        <v>185</v>
      </c>
      <c r="F67" s="1" t="s">
        <v>16</v>
      </c>
      <c r="G67" s="1" t="s">
        <v>17</v>
      </c>
      <c r="H67" s="1" t="s">
        <v>18</v>
      </c>
      <c r="I67" s="1" t="s">
        <v>113</v>
      </c>
    </row>
    <row r="68">
      <c r="A68" s="1">
        <v>1110101.0</v>
      </c>
      <c r="B68" s="1" t="s">
        <v>186</v>
      </c>
      <c r="C68" s="1" t="s">
        <v>13</v>
      </c>
      <c r="D68" s="1" t="s">
        <v>61</v>
      </c>
      <c r="E68" s="1" t="s">
        <v>187</v>
      </c>
      <c r="F68" s="1" t="s">
        <v>16</v>
      </c>
      <c r="G68" s="1" t="s">
        <v>23</v>
      </c>
      <c r="H68" s="1" t="s">
        <v>18</v>
      </c>
      <c r="I68" s="1" t="s">
        <v>59</v>
      </c>
    </row>
    <row r="69">
      <c r="A69" s="1">
        <v>1107015.0</v>
      </c>
      <c r="B69" s="1" t="s">
        <v>188</v>
      </c>
      <c r="C69" s="1" t="s">
        <v>13</v>
      </c>
      <c r="D69" s="1" t="s">
        <v>146</v>
      </c>
      <c r="E69" s="1" t="s">
        <v>189</v>
      </c>
      <c r="F69" s="1" t="s">
        <v>16</v>
      </c>
      <c r="G69" s="1" t="s">
        <v>23</v>
      </c>
      <c r="H69" s="1" t="s">
        <v>18</v>
      </c>
      <c r="I69" s="1" t="s">
        <v>19</v>
      </c>
    </row>
    <row r="70">
      <c r="A70" s="1">
        <v>1174016.0</v>
      </c>
      <c r="B70" s="1" t="s">
        <v>190</v>
      </c>
      <c r="C70" s="1" t="s">
        <v>13</v>
      </c>
      <c r="D70" s="1" t="s">
        <v>14</v>
      </c>
      <c r="E70" s="1" t="s">
        <v>191</v>
      </c>
      <c r="F70" s="1" t="s">
        <v>16</v>
      </c>
      <c r="G70" s="1" t="s">
        <v>27</v>
      </c>
      <c r="H70" s="1" t="s">
        <v>28</v>
      </c>
      <c r="I70" s="1" t="s">
        <v>40</v>
      </c>
    </row>
    <row r="71">
      <c r="A71" s="1">
        <v>1171096.0</v>
      </c>
      <c r="B71" s="1" t="s">
        <v>192</v>
      </c>
      <c r="C71" s="1" t="s">
        <v>13</v>
      </c>
      <c r="D71" s="1" t="s">
        <v>25</v>
      </c>
      <c r="E71" s="1" t="s">
        <v>193</v>
      </c>
      <c r="F71" s="1" t="s">
        <v>16</v>
      </c>
      <c r="G71" s="1" t="s">
        <v>17</v>
      </c>
      <c r="H71" s="1" t="s">
        <v>18</v>
      </c>
      <c r="I71" s="1" t="s">
        <v>59</v>
      </c>
    </row>
    <row r="72">
      <c r="A72" s="1">
        <v>1111005.0</v>
      </c>
      <c r="B72" s="1" t="s">
        <v>194</v>
      </c>
      <c r="C72" s="1" t="s">
        <v>13</v>
      </c>
      <c r="D72" s="1" t="s">
        <v>115</v>
      </c>
      <c r="E72" s="1" t="s">
        <v>195</v>
      </c>
      <c r="F72" s="1" t="s">
        <v>16</v>
      </c>
      <c r="G72" s="1" t="s">
        <v>23</v>
      </c>
      <c r="H72" s="1" t="s">
        <v>18</v>
      </c>
      <c r="I72" s="1" t="s">
        <v>44</v>
      </c>
    </row>
    <row r="73">
      <c r="A73" s="1">
        <v>1174024.0</v>
      </c>
      <c r="B73" s="1" t="s">
        <v>196</v>
      </c>
      <c r="C73" s="1" t="s">
        <v>13</v>
      </c>
      <c r="D73" s="1" t="s">
        <v>14</v>
      </c>
      <c r="E73" s="1" t="s">
        <v>197</v>
      </c>
      <c r="F73" s="1" t="s">
        <v>16</v>
      </c>
      <c r="G73" s="1" t="s">
        <v>23</v>
      </c>
      <c r="H73" s="1" t="s">
        <v>18</v>
      </c>
      <c r="I73" s="1" t="s">
        <v>44</v>
      </c>
    </row>
    <row r="74">
      <c r="A74" s="1">
        <v>1118012.0</v>
      </c>
      <c r="B74" s="1" t="s">
        <v>198</v>
      </c>
      <c r="C74" s="1" t="s">
        <v>13</v>
      </c>
      <c r="D74" s="1" t="s">
        <v>199</v>
      </c>
      <c r="E74" s="1" t="s">
        <v>200</v>
      </c>
      <c r="F74" s="1" t="s">
        <v>16</v>
      </c>
      <c r="G74" s="1" t="s">
        <v>27</v>
      </c>
      <c r="H74" s="1" t="s">
        <v>28</v>
      </c>
      <c r="I74" s="1" t="s">
        <v>40</v>
      </c>
    </row>
    <row r="75">
      <c r="A75" s="1">
        <v>1171147.0</v>
      </c>
      <c r="B75" s="1" t="s">
        <v>201</v>
      </c>
      <c r="C75" s="1" t="s">
        <v>13</v>
      </c>
      <c r="D75" s="1" t="s">
        <v>25</v>
      </c>
      <c r="E75" s="1" t="s">
        <v>202</v>
      </c>
      <c r="F75" s="1" t="s">
        <v>16</v>
      </c>
      <c r="G75" s="1" t="s">
        <v>23</v>
      </c>
      <c r="H75" s="1" t="s">
        <v>18</v>
      </c>
      <c r="I75" s="1" t="s">
        <v>34</v>
      </c>
    </row>
    <row r="76">
      <c r="A76" s="1">
        <v>1114011.0</v>
      </c>
      <c r="B76" s="1" t="s">
        <v>203</v>
      </c>
      <c r="C76" s="1" t="s">
        <v>13</v>
      </c>
      <c r="D76" s="1" t="s">
        <v>111</v>
      </c>
      <c r="E76" s="1" t="s">
        <v>204</v>
      </c>
      <c r="F76" s="1" t="s">
        <v>16</v>
      </c>
      <c r="G76" s="1" t="s">
        <v>17</v>
      </c>
      <c r="H76" s="1" t="s">
        <v>28</v>
      </c>
      <c r="I76" s="1" t="s">
        <v>40</v>
      </c>
    </row>
    <row r="77">
      <c r="A77" s="1">
        <v>1109042.0</v>
      </c>
      <c r="B77" s="1" t="s">
        <v>205</v>
      </c>
      <c r="C77" s="1" t="s">
        <v>13</v>
      </c>
      <c r="D77" s="1" t="s">
        <v>42</v>
      </c>
      <c r="E77" s="1" t="s">
        <v>206</v>
      </c>
      <c r="F77" s="1" t="s">
        <v>16</v>
      </c>
      <c r="G77" s="1" t="s">
        <v>23</v>
      </c>
      <c r="H77" s="1" t="s">
        <v>18</v>
      </c>
      <c r="I77" s="1" t="s">
        <v>19</v>
      </c>
    </row>
    <row r="78">
      <c r="A78" s="1">
        <v>1174019.0</v>
      </c>
      <c r="B78" s="1" t="s">
        <v>207</v>
      </c>
      <c r="C78" s="1" t="s">
        <v>13</v>
      </c>
      <c r="D78" s="1" t="s">
        <v>14</v>
      </c>
      <c r="E78" s="1" t="s">
        <v>208</v>
      </c>
      <c r="F78" s="1" t="s">
        <v>16</v>
      </c>
      <c r="G78" s="1" t="s">
        <v>23</v>
      </c>
      <c r="H78" s="1" t="s">
        <v>18</v>
      </c>
      <c r="I78" s="1" t="s">
        <v>163</v>
      </c>
    </row>
    <row r="79">
      <c r="A79" s="1">
        <v>1173003.0</v>
      </c>
      <c r="B79" s="1" t="s">
        <v>209</v>
      </c>
      <c r="C79" s="1" t="s">
        <v>13</v>
      </c>
      <c r="D79" s="1" t="s">
        <v>100</v>
      </c>
      <c r="E79" s="1" t="s">
        <v>210</v>
      </c>
      <c r="F79" s="1" t="s">
        <v>16</v>
      </c>
      <c r="G79" s="1" t="s">
        <v>23</v>
      </c>
      <c r="H79" s="1" t="s">
        <v>18</v>
      </c>
      <c r="I79" s="1" t="s">
        <v>19</v>
      </c>
    </row>
    <row r="80">
      <c r="A80" s="1">
        <v>1110102.0</v>
      </c>
      <c r="B80" s="1" t="s">
        <v>211</v>
      </c>
      <c r="C80" s="1" t="s">
        <v>13</v>
      </c>
      <c r="D80" s="1" t="s">
        <v>61</v>
      </c>
      <c r="E80" s="1" t="s">
        <v>212</v>
      </c>
      <c r="F80" s="1" t="s">
        <v>16</v>
      </c>
      <c r="G80" s="1" t="s">
        <v>23</v>
      </c>
      <c r="H80" s="1" t="s">
        <v>18</v>
      </c>
      <c r="I80" s="1" t="s">
        <v>59</v>
      </c>
    </row>
    <row r="81">
      <c r="A81" s="1">
        <v>1108028.0</v>
      </c>
      <c r="B81" s="1" t="s">
        <v>213</v>
      </c>
      <c r="C81" s="1" t="s">
        <v>13</v>
      </c>
      <c r="D81" s="1" t="s">
        <v>70</v>
      </c>
      <c r="E81" s="1" t="s">
        <v>214</v>
      </c>
      <c r="F81" s="1" t="s">
        <v>16</v>
      </c>
      <c r="G81" s="1" t="s">
        <v>23</v>
      </c>
      <c r="H81" s="1" t="s">
        <v>18</v>
      </c>
      <c r="I81" s="1" t="s">
        <v>19</v>
      </c>
    </row>
    <row r="82">
      <c r="A82" s="1">
        <v>1173045.0</v>
      </c>
      <c r="B82" s="1" t="s">
        <v>215</v>
      </c>
      <c r="C82" s="1" t="s">
        <v>13</v>
      </c>
      <c r="D82" s="1" t="s">
        <v>100</v>
      </c>
      <c r="E82" s="1" t="s">
        <v>216</v>
      </c>
      <c r="F82" s="1" t="s">
        <v>16</v>
      </c>
      <c r="G82" s="1" t="s">
        <v>23</v>
      </c>
      <c r="H82" s="1" t="s">
        <v>18</v>
      </c>
      <c r="I82" s="1" t="s">
        <v>59</v>
      </c>
    </row>
    <row r="83">
      <c r="A83" s="1">
        <v>1277026.0</v>
      </c>
      <c r="B83" s="1" t="s">
        <v>217</v>
      </c>
      <c r="C83" s="1" t="s">
        <v>218</v>
      </c>
      <c r="D83" s="1" t="s">
        <v>219</v>
      </c>
      <c r="E83" s="1" t="s">
        <v>220</v>
      </c>
      <c r="F83" s="1" t="s">
        <v>16</v>
      </c>
      <c r="G83" s="1" t="s">
        <v>17</v>
      </c>
      <c r="H83" s="1" t="s">
        <v>18</v>
      </c>
      <c r="I83" s="1" t="s">
        <v>59</v>
      </c>
    </row>
    <row r="84">
      <c r="A84" s="1">
        <v>1213059.0</v>
      </c>
      <c r="B84" s="1" t="s">
        <v>221</v>
      </c>
      <c r="C84" s="1" t="s">
        <v>218</v>
      </c>
      <c r="D84" s="1" t="s">
        <v>222</v>
      </c>
      <c r="E84" s="1" t="s">
        <v>223</v>
      </c>
      <c r="F84" s="1" t="s">
        <v>16</v>
      </c>
      <c r="G84" s="1" t="s">
        <v>27</v>
      </c>
      <c r="H84" s="1" t="s">
        <v>18</v>
      </c>
      <c r="I84" s="1" t="s">
        <v>19</v>
      </c>
    </row>
    <row r="85">
      <c r="A85" s="1">
        <v>1212023.0</v>
      </c>
      <c r="B85" s="1" t="s">
        <v>224</v>
      </c>
      <c r="C85" s="1" t="s">
        <v>218</v>
      </c>
      <c r="D85" s="1" t="s">
        <v>225</v>
      </c>
      <c r="E85" s="1" t="s">
        <v>226</v>
      </c>
      <c r="F85" s="1" t="s">
        <v>16</v>
      </c>
      <c r="G85" s="1" t="s">
        <v>17</v>
      </c>
      <c r="H85" s="1" t="s">
        <v>18</v>
      </c>
      <c r="I85" s="1" t="s">
        <v>19</v>
      </c>
    </row>
    <row r="86">
      <c r="A86" s="1">
        <v>1208066.0</v>
      </c>
      <c r="B86" s="1" t="s">
        <v>227</v>
      </c>
      <c r="C86" s="1" t="s">
        <v>218</v>
      </c>
      <c r="D86" s="1" t="s">
        <v>228</v>
      </c>
      <c r="E86" s="1" t="s">
        <v>229</v>
      </c>
      <c r="F86" s="1" t="s">
        <v>16</v>
      </c>
      <c r="G86" s="1" t="s">
        <v>23</v>
      </c>
      <c r="H86" s="1" t="s">
        <v>18</v>
      </c>
      <c r="I86" s="1" t="s">
        <v>19</v>
      </c>
    </row>
    <row r="87">
      <c r="A87" s="1">
        <v>1273102.0</v>
      </c>
      <c r="B87" s="1" t="s">
        <v>230</v>
      </c>
      <c r="C87" s="1" t="s">
        <v>218</v>
      </c>
      <c r="D87" s="1" t="s">
        <v>231</v>
      </c>
      <c r="E87" s="1" t="s">
        <v>232</v>
      </c>
      <c r="F87" s="1" t="s">
        <v>16</v>
      </c>
      <c r="G87" s="1" t="s">
        <v>17</v>
      </c>
      <c r="H87" s="1" t="s">
        <v>18</v>
      </c>
      <c r="I87" s="1" t="s">
        <v>44</v>
      </c>
    </row>
    <row r="88">
      <c r="A88" s="1">
        <v>1272033.0</v>
      </c>
      <c r="B88" s="1" t="s">
        <v>233</v>
      </c>
      <c r="C88" s="1" t="s">
        <v>218</v>
      </c>
      <c r="D88" s="1" t="s">
        <v>234</v>
      </c>
      <c r="E88" s="1" t="s">
        <v>235</v>
      </c>
      <c r="F88" s="1" t="s">
        <v>16</v>
      </c>
      <c r="G88" s="1" t="s">
        <v>23</v>
      </c>
      <c r="H88" s="1" t="s">
        <v>18</v>
      </c>
      <c r="I88" s="1" t="s">
        <v>44</v>
      </c>
    </row>
    <row r="89">
      <c r="A89" s="1">
        <v>1212198.0</v>
      </c>
      <c r="B89" s="1" t="s">
        <v>236</v>
      </c>
      <c r="C89" s="1" t="s">
        <v>218</v>
      </c>
      <c r="D89" s="1" t="s">
        <v>225</v>
      </c>
      <c r="E89" s="1" t="s">
        <v>237</v>
      </c>
      <c r="F89" s="1" t="s">
        <v>16</v>
      </c>
      <c r="G89" s="1" t="s">
        <v>23</v>
      </c>
      <c r="H89" s="1" t="s">
        <v>28</v>
      </c>
      <c r="I89" s="1" t="s">
        <v>40</v>
      </c>
    </row>
    <row r="90">
      <c r="A90" s="1">
        <v>1275826.0</v>
      </c>
      <c r="B90" s="1" t="s">
        <v>238</v>
      </c>
      <c r="C90" s="1" t="s">
        <v>218</v>
      </c>
      <c r="D90" s="1" t="s">
        <v>239</v>
      </c>
      <c r="E90" s="1" t="s">
        <v>240</v>
      </c>
      <c r="F90" s="1" t="s">
        <v>16</v>
      </c>
      <c r="G90" s="1" t="s">
        <v>23</v>
      </c>
      <c r="H90" s="1" t="s">
        <v>18</v>
      </c>
      <c r="I90" s="1" t="s">
        <v>19</v>
      </c>
    </row>
    <row r="91">
      <c r="A91" s="1">
        <v>1275276.0</v>
      </c>
      <c r="B91" s="1" t="s">
        <v>241</v>
      </c>
      <c r="C91" s="1" t="s">
        <v>218</v>
      </c>
      <c r="D91" s="1" t="s">
        <v>239</v>
      </c>
      <c r="E91" s="1" t="s">
        <v>242</v>
      </c>
      <c r="F91" s="1" t="s">
        <v>16</v>
      </c>
      <c r="G91" s="1" t="s">
        <v>17</v>
      </c>
      <c r="H91" s="1" t="s">
        <v>18</v>
      </c>
      <c r="I91" s="1" t="s">
        <v>59</v>
      </c>
    </row>
    <row r="92">
      <c r="A92" s="1">
        <v>1205035.0</v>
      </c>
      <c r="B92" s="1" t="s">
        <v>243</v>
      </c>
      <c r="C92" s="1" t="s">
        <v>218</v>
      </c>
      <c r="D92" s="1" t="s">
        <v>244</v>
      </c>
      <c r="E92" s="1" t="s">
        <v>245</v>
      </c>
      <c r="F92" s="1" t="s">
        <v>16</v>
      </c>
      <c r="G92" s="1" t="s">
        <v>17</v>
      </c>
      <c r="H92" s="1" t="s">
        <v>28</v>
      </c>
      <c r="I92" s="1" t="s">
        <v>40</v>
      </c>
    </row>
    <row r="93">
      <c r="A93" s="1">
        <v>1205142.0</v>
      </c>
      <c r="B93" s="1" t="s">
        <v>246</v>
      </c>
      <c r="C93" s="1" t="s">
        <v>218</v>
      </c>
      <c r="D93" s="1" t="s">
        <v>247</v>
      </c>
      <c r="E93" s="1" t="s">
        <v>248</v>
      </c>
      <c r="F93" s="1" t="s">
        <v>16</v>
      </c>
      <c r="G93" s="1" t="s">
        <v>23</v>
      </c>
      <c r="H93" s="1" t="s">
        <v>18</v>
      </c>
      <c r="I93" s="1" t="s">
        <v>249</v>
      </c>
    </row>
    <row r="94">
      <c r="A94" s="1">
        <v>1214010.0</v>
      </c>
      <c r="B94" s="1" t="s">
        <v>250</v>
      </c>
      <c r="C94" s="1" t="s">
        <v>218</v>
      </c>
      <c r="D94" s="1" t="s">
        <v>251</v>
      </c>
      <c r="E94" s="1" t="s">
        <v>252</v>
      </c>
      <c r="F94" s="1" t="s">
        <v>16</v>
      </c>
      <c r="G94" s="1" t="s">
        <v>23</v>
      </c>
      <c r="H94" s="1" t="s">
        <v>18</v>
      </c>
      <c r="I94" s="1" t="s">
        <v>40</v>
      </c>
    </row>
    <row r="95">
      <c r="A95" s="1">
        <v>1275232.0</v>
      </c>
      <c r="B95" s="1" t="s">
        <v>253</v>
      </c>
      <c r="C95" s="1" t="s">
        <v>218</v>
      </c>
      <c r="D95" s="1" t="s">
        <v>239</v>
      </c>
      <c r="E95" s="1" t="s">
        <v>254</v>
      </c>
      <c r="F95" s="1" t="s">
        <v>255</v>
      </c>
      <c r="G95" s="1" t="s">
        <v>17</v>
      </c>
      <c r="H95" s="1" t="s">
        <v>18</v>
      </c>
      <c r="I95" s="1" t="s">
        <v>59</v>
      </c>
    </row>
    <row r="96">
      <c r="A96" s="1">
        <v>1275126.0</v>
      </c>
      <c r="B96" s="1" t="s">
        <v>256</v>
      </c>
      <c r="C96" s="1" t="s">
        <v>218</v>
      </c>
      <c r="D96" s="1" t="s">
        <v>239</v>
      </c>
      <c r="E96" s="1" t="s">
        <v>257</v>
      </c>
      <c r="F96" s="1" t="s">
        <v>16</v>
      </c>
      <c r="G96" s="1" t="s">
        <v>17</v>
      </c>
      <c r="H96" s="1" t="s">
        <v>18</v>
      </c>
      <c r="I96" s="1" t="s">
        <v>258</v>
      </c>
    </row>
    <row r="97">
      <c r="A97" s="1">
        <v>1207073.0</v>
      </c>
      <c r="B97" s="1" t="s">
        <v>259</v>
      </c>
      <c r="C97" s="1" t="s">
        <v>218</v>
      </c>
      <c r="D97" s="1" t="s">
        <v>260</v>
      </c>
      <c r="E97" s="1" t="s">
        <v>261</v>
      </c>
      <c r="F97" s="1" t="s">
        <v>16</v>
      </c>
      <c r="G97" s="1" t="s">
        <v>23</v>
      </c>
      <c r="H97" s="1" t="s">
        <v>18</v>
      </c>
      <c r="I97" s="1" t="s">
        <v>19</v>
      </c>
    </row>
    <row r="98">
      <c r="A98" s="1">
        <v>1203022.0</v>
      </c>
      <c r="B98" s="1" t="s">
        <v>262</v>
      </c>
      <c r="C98" s="1" t="s">
        <v>218</v>
      </c>
      <c r="D98" s="1" t="s">
        <v>263</v>
      </c>
      <c r="E98" s="1" t="s">
        <v>264</v>
      </c>
      <c r="F98" s="1" t="s">
        <v>16</v>
      </c>
      <c r="G98" s="1" t="s">
        <v>17</v>
      </c>
      <c r="H98" s="1" t="s">
        <v>28</v>
      </c>
      <c r="I98" s="1" t="s">
        <v>40</v>
      </c>
    </row>
    <row r="99">
      <c r="A99" s="1">
        <v>1277015.0</v>
      </c>
      <c r="B99" s="1" t="s">
        <v>265</v>
      </c>
      <c r="C99" s="1" t="s">
        <v>218</v>
      </c>
      <c r="D99" s="1" t="s">
        <v>219</v>
      </c>
      <c r="E99" s="1" t="s">
        <v>266</v>
      </c>
      <c r="F99" s="1" t="s">
        <v>16</v>
      </c>
      <c r="G99" s="1" t="s">
        <v>23</v>
      </c>
      <c r="H99" s="1" t="s">
        <v>18</v>
      </c>
      <c r="I99" s="1" t="s">
        <v>74</v>
      </c>
    </row>
    <row r="100">
      <c r="A100" s="1">
        <v>1276036.0</v>
      </c>
      <c r="B100" s="1" t="s">
        <v>267</v>
      </c>
      <c r="C100" s="1" t="s">
        <v>218</v>
      </c>
      <c r="D100" s="1" t="s">
        <v>268</v>
      </c>
      <c r="E100" s="1" t="s">
        <v>269</v>
      </c>
      <c r="F100" s="1" t="s">
        <v>16</v>
      </c>
      <c r="G100" s="1" t="s">
        <v>17</v>
      </c>
      <c r="H100" s="1" t="s">
        <v>18</v>
      </c>
      <c r="I100" s="1" t="s">
        <v>59</v>
      </c>
    </row>
    <row r="101">
      <c r="A101" s="1">
        <v>1275928.0</v>
      </c>
      <c r="B101" s="1" t="s">
        <v>270</v>
      </c>
      <c r="C101" s="1" t="s">
        <v>218</v>
      </c>
      <c r="D101" s="1" t="s">
        <v>239</v>
      </c>
      <c r="E101" s="1" t="s">
        <v>271</v>
      </c>
      <c r="F101" s="1" t="s">
        <v>272</v>
      </c>
      <c r="G101" s="1" t="s">
        <v>17</v>
      </c>
      <c r="H101" s="1" t="s">
        <v>18</v>
      </c>
      <c r="I101" s="1" t="s">
        <v>44</v>
      </c>
    </row>
    <row r="102">
      <c r="A102" s="1">
        <v>1275750.0</v>
      </c>
      <c r="B102" s="1" t="s">
        <v>273</v>
      </c>
      <c r="C102" s="1" t="s">
        <v>218</v>
      </c>
      <c r="D102" s="1" t="s">
        <v>239</v>
      </c>
      <c r="E102" s="1" t="s">
        <v>274</v>
      </c>
      <c r="F102" s="1" t="s">
        <v>16</v>
      </c>
      <c r="G102" s="1" t="s">
        <v>17</v>
      </c>
      <c r="H102" s="1" t="s">
        <v>18</v>
      </c>
      <c r="I102" s="1" t="s">
        <v>59</v>
      </c>
    </row>
    <row r="103">
      <c r="A103" s="1">
        <v>1225002.0</v>
      </c>
      <c r="B103" s="1" t="s">
        <v>275</v>
      </c>
      <c r="C103" s="1" t="s">
        <v>218</v>
      </c>
      <c r="D103" s="1" t="s">
        <v>276</v>
      </c>
      <c r="E103" s="1" t="s">
        <v>277</v>
      </c>
      <c r="F103" s="1" t="s">
        <v>16</v>
      </c>
      <c r="G103" s="1" t="s">
        <v>98</v>
      </c>
      <c r="H103" s="1" t="s">
        <v>18</v>
      </c>
      <c r="I103" s="1" t="s">
        <v>40</v>
      </c>
    </row>
    <row r="104">
      <c r="A104" s="1">
        <v>1209081.0</v>
      </c>
      <c r="B104" s="1" t="s">
        <v>278</v>
      </c>
      <c r="C104" s="1" t="s">
        <v>218</v>
      </c>
      <c r="D104" s="1" t="s">
        <v>279</v>
      </c>
      <c r="E104" s="1" t="s">
        <v>280</v>
      </c>
      <c r="F104" s="1" t="s">
        <v>16</v>
      </c>
      <c r="G104" s="1" t="s">
        <v>23</v>
      </c>
      <c r="H104" s="1" t="s">
        <v>18</v>
      </c>
      <c r="I104" s="1" t="s">
        <v>19</v>
      </c>
    </row>
    <row r="105">
      <c r="A105" s="1">
        <v>1209021.0</v>
      </c>
      <c r="B105" s="1" t="s">
        <v>281</v>
      </c>
      <c r="C105" s="1" t="s">
        <v>218</v>
      </c>
      <c r="D105" s="1" t="s">
        <v>279</v>
      </c>
      <c r="E105" s="1" t="s">
        <v>282</v>
      </c>
      <c r="F105" s="1" t="s">
        <v>16</v>
      </c>
      <c r="G105" s="1" t="s">
        <v>17</v>
      </c>
      <c r="H105" s="1" t="s">
        <v>18</v>
      </c>
      <c r="I105" s="1" t="s">
        <v>113</v>
      </c>
    </row>
    <row r="106">
      <c r="A106" s="1">
        <v>1213057.0</v>
      </c>
      <c r="B106" s="1" t="s">
        <v>283</v>
      </c>
      <c r="C106" s="1" t="s">
        <v>218</v>
      </c>
      <c r="D106" s="1" t="s">
        <v>222</v>
      </c>
      <c r="E106" s="1" t="s">
        <v>284</v>
      </c>
      <c r="F106" s="1" t="s">
        <v>16</v>
      </c>
      <c r="G106" s="1" t="s">
        <v>17</v>
      </c>
      <c r="H106" s="1" t="s">
        <v>18</v>
      </c>
      <c r="I106" s="1" t="s">
        <v>59</v>
      </c>
    </row>
    <row r="107">
      <c r="A107" s="1">
        <v>1211126.0</v>
      </c>
      <c r="B107" s="1" t="s">
        <v>285</v>
      </c>
      <c r="C107" s="1" t="s">
        <v>218</v>
      </c>
      <c r="D107" s="1" t="s">
        <v>286</v>
      </c>
      <c r="E107" s="1" t="s">
        <v>287</v>
      </c>
      <c r="F107" s="1" t="s">
        <v>16</v>
      </c>
      <c r="G107" s="1" t="s">
        <v>17</v>
      </c>
      <c r="H107" s="1" t="s">
        <v>18</v>
      </c>
      <c r="I107" s="1" t="s">
        <v>44</v>
      </c>
    </row>
    <row r="108">
      <c r="A108" s="1">
        <v>1208059.0</v>
      </c>
      <c r="B108" s="1" t="s">
        <v>288</v>
      </c>
      <c r="C108" s="1" t="s">
        <v>218</v>
      </c>
      <c r="D108" s="1" t="s">
        <v>228</v>
      </c>
      <c r="E108" s="1" t="s">
        <v>289</v>
      </c>
      <c r="F108" s="1" t="s">
        <v>16</v>
      </c>
      <c r="G108" s="1" t="s">
        <v>23</v>
      </c>
      <c r="H108" s="1" t="s">
        <v>18</v>
      </c>
      <c r="I108" s="1" t="s">
        <v>163</v>
      </c>
    </row>
    <row r="109">
      <c r="A109" s="1">
        <v>1210021.0</v>
      </c>
      <c r="B109" s="1" t="s">
        <v>290</v>
      </c>
      <c r="C109" s="1" t="s">
        <v>218</v>
      </c>
      <c r="D109" s="1" t="s">
        <v>291</v>
      </c>
      <c r="E109" s="1" t="s">
        <v>292</v>
      </c>
      <c r="F109" s="1" t="s">
        <v>16</v>
      </c>
      <c r="G109" s="1" t="s">
        <v>23</v>
      </c>
      <c r="H109" s="1" t="s">
        <v>18</v>
      </c>
      <c r="I109" s="1" t="s">
        <v>44</v>
      </c>
    </row>
    <row r="110">
      <c r="A110" s="1">
        <v>1275932.0</v>
      </c>
      <c r="B110" s="1" t="s">
        <v>293</v>
      </c>
      <c r="C110" s="1" t="s">
        <v>218</v>
      </c>
      <c r="D110" s="1" t="s">
        <v>239</v>
      </c>
      <c r="E110" s="1" t="s">
        <v>294</v>
      </c>
      <c r="F110" s="1" t="s">
        <v>32</v>
      </c>
      <c r="G110" s="1" t="s">
        <v>17</v>
      </c>
      <c r="H110" s="1" t="s">
        <v>18</v>
      </c>
      <c r="I110" s="1" t="s">
        <v>19</v>
      </c>
    </row>
    <row r="111">
      <c r="A111" s="1">
        <v>1212201.0</v>
      </c>
      <c r="B111" s="1" t="s">
        <v>295</v>
      </c>
      <c r="C111" s="1" t="s">
        <v>218</v>
      </c>
      <c r="D111" s="1" t="s">
        <v>225</v>
      </c>
      <c r="E111" s="1" t="s">
        <v>296</v>
      </c>
      <c r="F111" s="1" t="s">
        <v>16</v>
      </c>
      <c r="G111" s="1" t="s">
        <v>23</v>
      </c>
      <c r="H111" s="1" t="s">
        <v>18</v>
      </c>
      <c r="I111" s="1" t="s">
        <v>19</v>
      </c>
    </row>
    <row r="112">
      <c r="A112" s="1">
        <v>1275909.0</v>
      </c>
      <c r="B112" s="1" t="s">
        <v>297</v>
      </c>
      <c r="C112" s="1" t="s">
        <v>218</v>
      </c>
      <c r="D112" s="1" t="s">
        <v>239</v>
      </c>
      <c r="E112" s="1" t="s">
        <v>298</v>
      </c>
      <c r="F112" s="1" t="s">
        <v>16</v>
      </c>
      <c r="G112" s="1" t="s">
        <v>17</v>
      </c>
      <c r="H112" s="1" t="s">
        <v>18</v>
      </c>
      <c r="I112" s="1" t="s">
        <v>44</v>
      </c>
    </row>
    <row r="113">
      <c r="A113" s="1">
        <v>1274034.0</v>
      </c>
      <c r="B113" s="1" t="s">
        <v>299</v>
      </c>
      <c r="C113" s="1" t="s">
        <v>218</v>
      </c>
      <c r="D113" s="1" t="s">
        <v>300</v>
      </c>
      <c r="E113" s="1" t="s">
        <v>301</v>
      </c>
      <c r="F113" s="1" t="s">
        <v>16</v>
      </c>
      <c r="G113" s="1" t="s">
        <v>17</v>
      </c>
      <c r="H113" s="1" t="s">
        <v>18</v>
      </c>
      <c r="I113" s="1" t="s">
        <v>113</v>
      </c>
    </row>
    <row r="114">
      <c r="A114" s="1">
        <v>1275998.0</v>
      </c>
      <c r="B114" s="1" t="s">
        <v>302</v>
      </c>
      <c r="C114" s="1" t="s">
        <v>218</v>
      </c>
      <c r="D114" s="1" t="s">
        <v>239</v>
      </c>
      <c r="E114" s="1" t="s">
        <v>303</v>
      </c>
      <c r="F114" s="1" t="s">
        <v>55</v>
      </c>
      <c r="G114" s="1" t="s">
        <v>17</v>
      </c>
      <c r="H114" s="1" t="s">
        <v>18</v>
      </c>
      <c r="I114" s="1" t="s">
        <v>44</v>
      </c>
    </row>
    <row r="115">
      <c r="A115" s="1">
        <v>1275841.0</v>
      </c>
      <c r="B115" s="1" t="s">
        <v>304</v>
      </c>
      <c r="C115" s="1" t="s">
        <v>218</v>
      </c>
      <c r="D115" s="1" t="s">
        <v>239</v>
      </c>
      <c r="E115" s="1" t="s">
        <v>305</v>
      </c>
      <c r="F115" s="1" t="s">
        <v>16</v>
      </c>
      <c r="G115" s="1" t="s">
        <v>17</v>
      </c>
      <c r="H115" s="1" t="s">
        <v>18</v>
      </c>
      <c r="I115" s="1" t="s">
        <v>44</v>
      </c>
    </row>
    <row r="116">
      <c r="A116" s="1">
        <v>1275516.0</v>
      </c>
      <c r="B116" s="1" t="s">
        <v>306</v>
      </c>
      <c r="C116" s="1" t="s">
        <v>218</v>
      </c>
      <c r="D116" s="1" t="s">
        <v>239</v>
      </c>
      <c r="E116" s="1" t="s">
        <v>307</v>
      </c>
      <c r="F116" s="1" t="s">
        <v>16</v>
      </c>
      <c r="G116" s="1" t="s">
        <v>17</v>
      </c>
      <c r="H116" s="1" t="s">
        <v>18</v>
      </c>
      <c r="I116" s="1" t="s">
        <v>59</v>
      </c>
    </row>
    <row r="117">
      <c r="A117" s="1">
        <v>1219016.0</v>
      </c>
      <c r="B117" s="1" t="s">
        <v>308</v>
      </c>
      <c r="C117" s="1" t="s">
        <v>218</v>
      </c>
      <c r="D117" s="1" t="s">
        <v>309</v>
      </c>
      <c r="E117" s="1" t="s">
        <v>310</v>
      </c>
      <c r="F117" s="1" t="s">
        <v>16</v>
      </c>
      <c r="G117" s="1" t="s">
        <v>23</v>
      </c>
      <c r="H117" s="1" t="s">
        <v>18</v>
      </c>
      <c r="I117" s="1" t="s">
        <v>163</v>
      </c>
    </row>
    <row r="118">
      <c r="A118" s="1">
        <v>1278002.0</v>
      </c>
      <c r="B118" s="1" t="s">
        <v>311</v>
      </c>
      <c r="C118" s="1" t="s">
        <v>218</v>
      </c>
      <c r="D118" s="1" t="s">
        <v>312</v>
      </c>
      <c r="E118" s="1" t="s">
        <v>313</v>
      </c>
      <c r="F118" s="1" t="s">
        <v>16</v>
      </c>
      <c r="G118" s="1" t="s">
        <v>17</v>
      </c>
      <c r="H118" s="1" t="s">
        <v>18</v>
      </c>
      <c r="I118" s="1" t="s">
        <v>59</v>
      </c>
    </row>
    <row r="119">
      <c r="A119" s="1">
        <v>1205061.0</v>
      </c>
      <c r="B119" s="1" t="s">
        <v>314</v>
      </c>
      <c r="C119" s="1" t="s">
        <v>218</v>
      </c>
      <c r="D119" s="1" t="s">
        <v>315</v>
      </c>
      <c r="E119" s="1" t="s">
        <v>316</v>
      </c>
      <c r="F119" s="1" t="s">
        <v>16</v>
      </c>
      <c r="G119" s="1" t="s">
        <v>17</v>
      </c>
      <c r="H119" s="1" t="s">
        <v>33</v>
      </c>
      <c r="I119" s="1" t="s">
        <v>258</v>
      </c>
    </row>
    <row r="120">
      <c r="A120" s="1">
        <v>1219002.0</v>
      </c>
      <c r="B120" s="1" t="s">
        <v>317</v>
      </c>
      <c r="C120" s="1" t="s">
        <v>218</v>
      </c>
      <c r="D120" s="1" t="s">
        <v>309</v>
      </c>
      <c r="E120" s="1" t="s">
        <v>318</v>
      </c>
      <c r="F120" s="1" t="s">
        <v>16</v>
      </c>
      <c r="G120" s="1" t="s">
        <v>23</v>
      </c>
      <c r="H120" s="1" t="s">
        <v>18</v>
      </c>
      <c r="I120" s="1" t="s">
        <v>59</v>
      </c>
    </row>
    <row r="121">
      <c r="A121" s="1">
        <v>1275922.0</v>
      </c>
      <c r="B121" s="1" t="s">
        <v>319</v>
      </c>
      <c r="C121" s="1" t="s">
        <v>218</v>
      </c>
      <c r="D121" s="1" t="s">
        <v>239</v>
      </c>
      <c r="E121" s="1" t="s">
        <v>320</v>
      </c>
      <c r="F121" s="1" t="s">
        <v>272</v>
      </c>
      <c r="G121" s="1" t="s">
        <v>27</v>
      </c>
      <c r="H121" s="1" t="s">
        <v>28</v>
      </c>
      <c r="I121" s="1" t="s">
        <v>139</v>
      </c>
    </row>
    <row r="122">
      <c r="A122" s="1">
        <v>1271016.0</v>
      </c>
      <c r="B122" s="1" t="s">
        <v>321</v>
      </c>
      <c r="C122" s="1" t="s">
        <v>218</v>
      </c>
      <c r="D122" s="1" t="s">
        <v>322</v>
      </c>
      <c r="E122" s="1" t="s">
        <v>323</v>
      </c>
      <c r="F122" s="1" t="s">
        <v>16</v>
      </c>
      <c r="G122" s="1" t="s">
        <v>27</v>
      </c>
      <c r="H122" s="1" t="s">
        <v>28</v>
      </c>
      <c r="I122" s="1" t="s">
        <v>29</v>
      </c>
    </row>
    <row r="123">
      <c r="A123" s="1">
        <v>1275804.0</v>
      </c>
      <c r="B123" s="1" t="s">
        <v>324</v>
      </c>
      <c r="C123" s="1" t="s">
        <v>218</v>
      </c>
      <c r="D123" s="1" t="s">
        <v>239</v>
      </c>
      <c r="E123" s="1" t="s">
        <v>325</v>
      </c>
      <c r="F123" s="1" t="s">
        <v>55</v>
      </c>
      <c r="G123" s="1" t="s">
        <v>17</v>
      </c>
      <c r="H123" s="1" t="s">
        <v>18</v>
      </c>
      <c r="I123" s="1" t="s">
        <v>44</v>
      </c>
    </row>
    <row r="124">
      <c r="A124" s="1">
        <v>1275997.0</v>
      </c>
      <c r="B124" s="1" t="s">
        <v>326</v>
      </c>
      <c r="C124" s="1" t="s">
        <v>218</v>
      </c>
      <c r="D124" s="1" t="s">
        <v>239</v>
      </c>
      <c r="E124" s="1" t="s">
        <v>327</v>
      </c>
      <c r="F124" s="1" t="s">
        <v>16</v>
      </c>
      <c r="G124" s="1" t="s">
        <v>27</v>
      </c>
      <c r="H124" s="1" t="s">
        <v>18</v>
      </c>
      <c r="I124" s="1" t="s">
        <v>59</v>
      </c>
    </row>
    <row r="125">
      <c r="A125" s="1">
        <v>1275141.0</v>
      </c>
      <c r="B125" s="1" t="s">
        <v>328</v>
      </c>
      <c r="C125" s="1" t="s">
        <v>218</v>
      </c>
      <c r="D125" s="1" t="s">
        <v>239</v>
      </c>
      <c r="E125" s="1" t="s">
        <v>329</v>
      </c>
      <c r="F125" s="1" t="s">
        <v>16</v>
      </c>
      <c r="G125" s="1" t="s">
        <v>17</v>
      </c>
      <c r="H125" s="1" t="s">
        <v>18</v>
      </c>
      <c r="I125" s="1" t="s">
        <v>95</v>
      </c>
    </row>
    <row r="126">
      <c r="A126" s="1">
        <v>1207068.0</v>
      </c>
      <c r="B126" s="1" t="s">
        <v>330</v>
      </c>
      <c r="C126" s="1" t="s">
        <v>218</v>
      </c>
      <c r="D126" s="1" t="s">
        <v>260</v>
      </c>
      <c r="E126" s="1" t="s">
        <v>331</v>
      </c>
      <c r="F126" s="1" t="s">
        <v>16</v>
      </c>
      <c r="G126" s="1" t="s">
        <v>23</v>
      </c>
      <c r="H126" s="1" t="s">
        <v>18</v>
      </c>
      <c r="I126" s="1" t="s">
        <v>19</v>
      </c>
    </row>
    <row r="127">
      <c r="A127" s="1">
        <v>1203044.0</v>
      </c>
      <c r="B127" s="1" t="s">
        <v>332</v>
      </c>
      <c r="C127" s="1" t="s">
        <v>218</v>
      </c>
      <c r="D127" s="1" t="s">
        <v>333</v>
      </c>
      <c r="E127" s="1" t="s">
        <v>334</v>
      </c>
      <c r="F127" s="1" t="s">
        <v>16</v>
      </c>
      <c r="G127" s="1" t="s">
        <v>17</v>
      </c>
      <c r="H127" s="1" t="s">
        <v>18</v>
      </c>
      <c r="I127" s="1" t="s">
        <v>40</v>
      </c>
    </row>
    <row r="128">
      <c r="A128" s="1">
        <v>1275921.0</v>
      </c>
      <c r="B128" s="1" t="s">
        <v>335</v>
      </c>
      <c r="C128" s="1" t="s">
        <v>218</v>
      </c>
      <c r="D128" s="1" t="s">
        <v>239</v>
      </c>
      <c r="E128" s="1" t="s">
        <v>336</v>
      </c>
      <c r="F128" s="1" t="s">
        <v>255</v>
      </c>
      <c r="G128" s="1" t="s">
        <v>17</v>
      </c>
      <c r="H128" s="1" t="s">
        <v>18</v>
      </c>
      <c r="I128" s="1" t="s">
        <v>44</v>
      </c>
    </row>
    <row r="129">
      <c r="A129" s="1">
        <v>1275783.0</v>
      </c>
      <c r="B129" s="1" t="s">
        <v>337</v>
      </c>
      <c r="C129" s="1" t="s">
        <v>218</v>
      </c>
      <c r="D129" s="1" t="s">
        <v>239</v>
      </c>
      <c r="E129" s="1" t="s">
        <v>338</v>
      </c>
      <c r="F129" s="1" t="s">
        <v>55</v>
      </c>
      <c r="G129" s="1" t="s">
        <v>17</v>
      </c>
      <c r="H129" s="1" t="s">
        <v>18</v>
      </c>
      <c r="I129" s="1" t="s">
        <v>44</v>
      </c>
    </row>
    <row r="130">
      <c r="A130" s="1">
        <v>1212177.0</v>
      </c>
      <c r="B130" s="1" t="s">
        <v>339</v>
      </c>
      <c r="C130" s="1" t="s">
        <v>218</v>
      </c>
      <c r="D130" s="1" t="s">
        <v>225</v>
      </c>
      <c r="E130" s="1" t="s">
        <v>340</v>
      </c>
      <c r="F130" s="1" t="s">
        <v>16</v>
      </c>
      <c r="G130" s="1" t="s">
        <v>17</v>
      </c>
      <c r="H130" s="1" t="s">
        <v>18</v>
      </c>
      <c r="I130" s="1" t="s">
        <v>44</v>
      </c>
    </row>
    <row r="131">
      <c r="A131" s="1">
        <v>1209076.0</v>
      </c>
      <c r="B131" s="1" t="s">
        <v>341</v>
      </c>
      <c r="C131" s="1" t="s">
        <v>218</v>
      </c>
      <c r="D131" s="1" t="s">
        <v>279</v>
      </c>
      <c r="E131" s="1" t="s">
        <v>342</v>
      </c>
      <c r="F131" s="1" t="s">
        <v>16</v>
      </c>
      <c r="G131" s="1" t="s">
        <v>17</v>
      </c>
      <c r="H131" s="1" t="s">
        <v>28</v>
      </c>
      <c r="I131" s="1" t="s">
        <v>40</v>
      </c>
    </row>
    <row r="132">
      <c r="A132" s="1">
        <v>1218125.0</v>
      </c>
      <c r="B132" s="1" t="s">
        <v>343</v>
      </c>
      <c r="C132" s="1" t="s">
        <v>218</v>
      </c>
      <c r="D132" s="1" t="s">
        <v>344</v>
      </c>
      <c r="E132" s="1" t="s">
        <v>345</v>
      </c>
      <c r="F132" s="1" t="s">
        <v>16</v>
      </c>
      <c r="G132" s="1" t="s">
        <v>17</v>
      </c>
      <c r="H132" s="1" t="s">
        <v>28</v>
      </c>
      <c r="I132" s="1" t="s">
        <v>40</v>
      </c>
    </row>
    <row r="133">
      <c r="A133" s="1">
        <v>1212186.0</v>
      </c>
      <c r="B133" s="1" t="s">
        <v>346</v>
      </c>
      <c r="C133" s="1" t="s">
        <v>218</v>
      </c>
      <c r="D133" s="1" t="s">
        <v>225</v>
      </c>
      <c r="E133" s="1" t="s">
        <v>347</v>
      </c>
      <c r="F133" s="1" t="s">
        <v>55</v>
      </c>
      <c r="G133" s="1" t="s">
        <v>17</v>
      </c>
      <c r="H133" s="1" t="s">
        <v>18</v>
      </c>
      <c r="I133" s="1" t="s">
        <v>44</v>
      </c>
    </row>
    <row r="134">
      <c r="A134" s="1">
        <v>1275147.0</v>
      </c>
      <c r="B134" s="1" t="s">
        <v>348</v>
      </c>
      <c r="C134" s="1" t="s">
        <v>218</v>
      </c>
      <c r="D134" s="1" t="s">
        <v>225</v>
      </c>
      <c r="E134" s="1" t="s">
        <v>349</v>
      </c>
      <c r="F134" s="1" t="s">
        <v>16</v>
      </c>
      <c r="G134" s="1" t="s">
        <v>17</v>
      </c>
      <c r="H134" s="1" t="s">
        <v>18</v>
      </c>
      <c r="I134" s="1" t="s">
        <v>59</v>
      </c>
    </row>
    <row r="135">
      <c r="A135" s="1">
        <v>1273033.0</v>
      </c>
      <c r="B135" s="1" t="s">
        <v>350</v>
      </c>
      <c r="C135" s="1" t="s">
        <v>218</v>
      </c>
      <c r="D135" s="1" t="s">
        <v>231</v>
      </c>
      <c r="E135" s="1" t="s">
        <v>351</v>
      </c>
      <c r="F135" s="1" t="s">
        <v>16</v>
      </c>
      <c r="G135" s="1" t="s">
        <v>17</v>
      </c>
      <c r="H135" s="1" t="s">
        <v>18</v>
      </c>
      <c r="I135" s="1" t="s">
        <v>249</v>
      </c>
    </row>
    <row r="136">
      <c r="A136" s="1">
        <v>1275911.0</v>
      </c>
      <c r="B136" s="1" t="s">
        <v>352</v>
      </c>
      <c r="C136" s="1" t="s">
        <v>218</v>
      </c>
      <c r="D136" s="1" t="s">
        <v>239</v>
      </c>
      <c r="E136" s="1" t="s">
        <v>353</v>
      </c>
      <c r="F136" s="1" t="s">
        <v>16</v>
      </c>
      <c r="G136" s="1" t="s">
        <v>27</v>
      </c>
      <c r="H136" s="1" t="s">
        <v>18</v>
      </c>
      <c r="I136" s="1" t="s">
        <v>44</v>
      </c>
    </row>
    <row r="137">
      <c r="A137" s="1">
        <v>1275035.0</v>
      </c>
      <c r="B137" s="1" t="s">
        <v>354</v>
      </c>
      <c r="C137" s="1" t="s">
        <v>218</v>
      </c>
      <c r="D137" s="1" t="s">
        <v>239</v>
      </c>
      <c r="E137" s="1" t="s">
        <v>355</v>
      </c>
      <c r="F137" s="1" t="s">
        <v>16</v>
      </c>
      <c r="G137" s="1" t="s">
        <v>27</v>
      </c>
      <c r="H137" s="1" t="s">
        <v>33</v>
      </c>
      <c r="I137" s="1" t="s">
        <v>74</v>
      </c>
    </row>
    <row r="138">
      <c r="A138" s="1">
        <v>1212197.0</v>
      </c>
      <c r="B138" s="1" t="s">
        <v>356</v>
      </c>
      <c r="C138" s="1" t="s">
        <v>218</v>
      </c>
      <c r="D138" s="1" t="s">
        <v>225</v>
      </c>
      <c r="E138" s="1" t="s">
        <v>357</v>
      </c>
      <c r="F138" s="1" t="s">
        <v>55</v>
      </c>
      <c r="G138" s="1" t="s">
        <v>17</v>
      </c>
      <c r="H138" s="1" t="s">
        <v>18</v>
      </c>
      <c r="I138" s="1" t="s">
        <v>19</v>
      </c>
    </row>
    <row r="139">
      <c r="A139" s="1">
        <v>1219003.0</v>
      </c>
      <c r="B139" s="1" t="s">
        <v>358</v>
      </c>
      <c r="C139" s="1" t="s">
        <v>218</v>
      </c>
      <c r="D139" s="1" t="s">
        <v>309</v>
      </c>
      <c r="E139" s="1" t="s">
        <v>359</v>
      </c>
      <c r="F139" s="1" t="s">
        <v>16</v>
      </c>
      <c r="G139" s="1" t="s">
        <v>17</v>
      </c>
      <c r="H139" s="1" t="s">
        <v>28</v>
      </c>
      <c r="I139" s="1" t="s">
        <v>40</v>
      </c>
    </row>
    <row r="140">
      <c r="A140" s="1">
        <v>1207067.0</v>
      </c>
      <c r="B140" s="1" t="s">
        <v>360</v>
      </c>
      <c r="C140" s="1" t="s">
        <v>218</v>
      </c>
      <c r="D140" s="1" t="s">
        <v>260</v>
      </c>
      <c r="E140" s="1" t="s">
        <v>361</v>
      </c>
      <c r="F140" s="1" t="s">
        <v>16</v>
      </c>
      <c r="G140" s="1" t="s">
        <v>17</v>
      </c>
      <c r="H140" s="1" t="s">
        <v>18</v>
      </c>
      <c r="I140" s="1" t="s">
        <v>44</v>
      </c>
    </row>
    <row r="141">
      <c r="A141" s="1">
        <v>1275874.0</v>
      </c>
      <c r="B141" s="1" t="s">
        <v>362</v>
      </c>
      <c r="C141" s="1" t="s">
        <v>218</v>
      </c>
      <c r="D141" s="1" t="s">
        <v>239</v>
      </c>
      <c r="E141" s="1" t="s">
        <v>363</v>
      </c>
      <c r="F141" s="1" t="s">
        <v>32</v>
      </c>
      <c r="G141" s="1" t="s">
        <v>27</v>
      </c>
      <c r="H141" s="1" t="s">
        <v>18</v>
      </c>
      <c r="I141" s="1" t="s">
        <v>34</v>
      </c>
    </row>
    <row r="142">
      <c r="A142" s="1">
        <v>1275622.0</v>
      </c>
      <c r="B142" s="1" t="s">
        <v>364</v>
      </c>
      <c r="C142" s="1" t="s">
        <v>218</v>
      </c>
      <c r="D142" s="1" t="s">
        <v>239</v>
      </c>
      <c r="E142" s="1" t="s">
        <v>365</v>
      </c>
      <c r="F142" s="1" t="s">
        <v>16</v>
      </c>
      <c r="G142" s="1" t="s">
        <v>27</v>
      </c>
      <c r="H142" s="1" t="s">
        <v>18</v>
      </c>
      <c r="I142" s="1" t="s">
        <v>44</v>
      </c>
    </row>
    <row r="143">
      <c r="A143" s="1">
        <v>1207052.0</v>
      </c>
      <c r="B143" s="1" t="s">
        <v>366</v>
      </c>
      <c r="C143" s="1" t="s">
        <v>218</v>
      </c>
      <c r="D143" s="1" t="s">
        <v>367</v>
      </c>
      <c r="E143" s="1" t="s">
        <v>368</v>
      </c>
      <c r="F143" s="1" t="s">
        <v>16</v>
      </c>
      <c r="G143" s="1" t="s">
        <v>23</v>
      </c>
      <c r="H143" s="1" t="s">
        <v>18</v>
      </c>
      <c r="I143" s="1" t="s">
        <v>113</v>
      </c>
    </row>
    <row r="144">
      <c r="A144" s="1">
        <v>1212200.0</v>
      </c>
      <c r="B144" s="1" t="s">
        <v>369</v>
      </c>
      <c r="C144" s="1" t="s">
        <v>218</v>
      </c>
      <c r="D144" s="1" t="s">
        <v>225</v>
      </c>
      <c r="E144" s="1" t="s">
        <v>370</v>
      </c>
      <c r="F144" s="1" t="s">
        <v>16</v>
      </c>
      <c r="G144" s="1" t="s">
        <v>23</v>
      </c>
      <c r="H144" s="1" t="s">
        <v>18</v>
      </c>
      <c r="I144" s="1" t="s">
        <v>163</v>
      </c>
    </row>
    <row r="145">
      <c r="A145" s="1">
        <v>1274058.0</v>
      </c>
      <c r="B145" s="1" t="s">
        <v>371</v>
      </c>
      <c r="C145" s="1" t="s">
        <v>218</v>
      </c>
      <c r="D145" s="1" t="s">
        <v>300</v>
      </c>
      <c r="E145" s="1" t="s">
        <v>372</v>
      </c>
      <c r="F145" s="1" t="s">
        <v>16</v>
      </c>
      <c r="G145" s="1" t="s">
        <v>17</v>
      </c>
      <c r="H145" s="1" t="s">
        <v>33</v>
      </c>
      <c r="I145" s="1" t="s">
        <v>65</v>
      </c>
    </row>
    <row r="146">
      <c r="A146" s="1">
        <v>1276077.0</v>
      </c>
      <c r="B146" s="1" t="s">
        <v>373</v>
      </c>
      <c r="C146" s="1" t="s">
        <v>218</v>
      </c>
      <c r="D146" s="1" t="s">
        <v>268</v>
      </c>
      <c r="E146" s="1" t="s">
        <v>374</v>
      </c>
      <c r="F146" s="1" t="s">
        <v>16</v>
      </c>
      <c r="G146" s="1" t="s">
        <v>17</v>
      </c>
      <c r="H146" s="1" t="s">
        <v>18</v>
      </c>
      <c r="I146" s="1" t="s">
        <v>44</v>
      </c>
    </row>
    <row r="147">
      <c r="A147" s="1">
        <v>1273011.0</v>
      </c>
      <c r="B147" s="1" t="s">
        <v>375</v>
      </c>
      <c r="C147" s="1" t="s">
        <v>218</v>
      </c>
      <c r="D147" s="1" t="s">
        <v>231</v>
      </c>
      <c r="E147" s="1" t="s">
        <v>376</v>
      </c>
      <c r="F147" s="1" t="s">
        <v>16</v>
      </c>
      <c r="G147" s="1" t="s">
        <v>27</v>
      </c>
      <c r="H147" s="1" t="s">
        <v>28</v>
      </c>
      <c r="I147" s="1" t="s">
        <v>29</v>
      </c>
    </row>
    <row r="148">
      <c r="A148" s="1">
        <v>1271032.0</v>
      </c>
      <c r="B148" s="1" t="s">
        <v>377</v>
      </c>
      <c r="C148" s="1" t="s">
        <v>218</v>
      </c>
      <c r="D148" s="1" t="s">
        <v>322</v>
      </c>
      <c r="E148" s="1" t="s">
        <v>378</v>
      </c>
      <c r="F148" s="1" t="s">
        <v>16</v>
      </c>
      <c r="G148" s="1" t="s">
        <v>17</v>
      </c>
      <c r="H148" s="1" t="s">
        <v>18</v>
      </c>
      <c r="I148" s="1" t="s">
        <v>44</v>
      </c>
    </row>
    <row r="149">
      <c r="A149" s="1">
        <v>1275163.0</v>
      </c>
      <c r="B149" s="1" t="s">
        <v>379</v>
      </c>
      <c r="C149" s="1" t="s">
        <v>218</v>
      </c>
      <c r="D149" s="1" t="s">
        <v>239</v>
      </c>
      <c r="E149" s="1" t="s">
        <v>380</v>
      </c>
      <c r="F149" s="1" t="s">
        <v>16</v>
      </c>
      <c r="G149" s="1" t="s">
        <v>17</v>
      </c>
      <c r="H149" s="1" t="s">
        <v>18</v>
      </c>
      <c r="I149" s="1" t="s">
        <v>59</v>
      </c>
    </row>
    <row r="150">
      <c r="A150" s="1">
        <v>1275010.0</v>
      </c>
      <c r="B150" s="1" t="s">
        <v>381</v>
      </c>
      <c r="C150" s="1" t="s">
        <v>218</v>
      </c>
      <c r="D150" s="1" t="s">
        <v>239</v>
      </c>
      <c r="E150" s="1" t="s">
        <v>382</v>
      </c>
      <c r="F150" s="1" t="s">
        <v>16</v>
      </c>
      <c r="G150" s="1" t="s">
        <v>23</v>
      </c>
      <c r="H150" s="1" t="s">
        <v>18</v>
      </c>
      <c r="I150" s="1" t="s">
        <v>19</v>
      </c>
    </row>
    <row r="151">
      <c r="A151" s="1">
        <v>1204056.0</v>
      </c>
      <c r="B151" s="1" t="s">
        <v>383</v>
      </c>
      <c r="C151" s="1" t="s">
        <v>218</v>
      </c>
      <c r="D151" s="1" t="s">
        <v>384</v>
      </c>
      <c r="E151" s="1" t="s">
        <v>385</v>
      </c>
      <c r="F151" s="1" t="s">
        <v>16</v>
      </c>
      <c r="G151" s="1" t="s">
        <v>17</v>
      </c>
      <c r="H151" s="1" t="s">
        <v>28</v>
      </c>
      <c r="I151" s="1" t="s">
        <v>40</v>
      </c>
    </row>
    <row r="152">
      <c r="A152" s="1">
        <v>1212199.0</v>
      </c>
      <c r="B152" s="1" t="s">
        <v>386</v>
      </c>
      <c r="C152" s="1" t="s">
        <v>218</v>
      </c>
      <c r="D152" s="1" t="s">
        <v>225</v>
      </c>
      <c r="E152" s="1" t="s">
        <v>387</v>
      </c>
      <c r="F152" s="1" t="s">
        <v>16</v>
      </c>
      <c r="G152" s="1" t="s">
        <v>17</v>
      </c>
      <c r="H152" s="1" t="s">
        <v>18</v>
      </c>
      <c r="I152" s="1" t="s">
        <v>44</v>
      </c>
    </row>
    <row r="153">
      <c r="A153" s="1">
        <v>1218158.0</v>
      </c>
      <c r="B153" s="1" t="s">
        <v>388</v>
      </c>
      <c r="C153" s="1" t="s">
        <v>218</v>
      </c>
      <c r="D153" s="1" t="s">
        <v>225</v>
      </c>
      <c r="E153" s="1" t="s">
        <v>389</v>
      </c>
      <c r="F153" s="1" t="s">
        <v>16</v>
      </c>
      <c r="G153" s="1" t="s">
        <v>27</v>
      </c>
      <c r="H153" s="1" t="s">
        <v>18</v>
      </c>
      <c r="I153" s="1" t="s">
        <v>59</v>
      </c>
    </row>
    <row r="154">
      <c r="A154" s="1">
        <v>1211011.0</v>
      </c>
      <c r="B154" s="1" t="s">
        <v>390</v>
      </c>
      <c r="C154" s="1" t="s">
        <v>218</v>
      </c>
      <c r="D154" s="1" t="s">
        <v>286</v>
      </c>
      <c r="E154" s="1" t="s">
        <v>391</v>
      </c>
      <c r="F154" s="1" t="s">
        <v>16</v>
      </c>
      <c r="G154" s="1" t="s">
        <v>17</v>
      </c>
      <c r="H154" s="1" t="s">
        <v>28</v>
      </c>
      <c r="I154" s="1" t="s">
        <v>40</v>
      </c>
    </row>
    <row r="155">
      <c r="A155" s="1">
        <v>1212067.0</v>
      </c>
      <c r="B155" s="1" t="s">
        <v>392</v>
      </c>
      <c r="C155" s="1" t="s">
        <v>218</v>
      </c>
      <c r="D155" s="1" t="s">
        <v>225</v>
      </c>
      <c r="E155" s="1" t="s">
        <v>393</v>
      </c>
      <c r="F155" s="1" t="s">
        <v>16</v>
      </c>
      <c r="G155" s="1" t="s">
        <v>23</v>
      </c>
      <c r="H155" s="1" t="s">
        <v>18</v>
      </c>
      <c r="I155" s="1" t="s">
        <v>59</v>
      </c>
    </row>
    <row r="156">
      <c r="A156" s="1">
        <v>1213013.0</v>
      </c>
      <c r="B156" s="1" t="s">
        <v>394</v>
      </c>
      <c r="C156" s="1" t="s">
        <v>218</v>
      </c>
      <c r="D156" s="1" t="s">
        <v>222</v>
      </c>
      <c r="E156" s="1" t="s">
        <v>395</v>
      </c>
      <c r="F156" s="1" t="s">
        <v>16</v>
      </c>
      <c r="G156" s="1" t="s">
        <v>17</v>
      </c>
      <c r="H156" s="1" t="s">
        <v>28</v>
      </c>
      <c r="I156" s="1" t="s">
        <v>40</v>
      </c>
    </row>
    <row r="157">
      <c r="A157" s="1">
        <v>1212171.0</v>
      </c>
      <c r="B157" s="1" t="s">
        <v>396</v>
      </c>
      <c r="C157" s="1" t="s">
        <v>218</v>
      </c>
      <c r="D157" s="1" t="s">
        <v>225</v>
      </c>
      <c r="E157" s="1" t="s">
        <v>397</v>
      </c>
      <c r="F157" s="1" t="s">
        <v>16</v>
      </c>
      <c r="G157" s="1" t="s">
        <v>17</v>
      </c>
      <c r="H157" s="1" t="s">
        <v>33</v>
      </c>
      <c r="I157" s="1" t="s">
        <v>59</v>
      </c>
    </row>
    <row r="158">
      <c r="A158" s="1">
        <v>1275923.0</v>
      </c>
      <c r="B158" s="1" t="s">
        <v>398</v>
      </c>
      <c r="C158" s="1" t="s">
        <v>218</v>
      </c>
      <c r="D158" s="1" t="s">
        <v>239</v>
      </c>
      <c r="E158" s="1" t="s">
        <v>399</v>
      </c>
      <c r="F158" s="1" t="s">
        <v>16</v>
      </c>
      <c r="G158" s="1" t="s">
        <v>17</v>
      </c>
      <c r="H158" s="1" t="s">
        <v>18</v>
      </c>
      <c r="I158" s="1" t="s">
        <v>19</v>
      </c>
    </row>
    <row r="159">
      <c r="A159" s="1">
        <v>1275050.0</v>
      </c>
      <c r="B159" s="1" t="s">
        <v>400</v>
      </c>
      <c r="C159" s="1" t="s">
        <v>218</v>
      </c>
      <c r="D159" s="1" t="s">
        <v>239</v>
      </c>
      <c r="E159" s="1" t="s">
        <v>401</v>
      </c>
      <c r="F159" s="1" t="s">
        <v>16</v>
      </c>
      <c r="G159" s="1" t="s">
        <v>23</v>
      </c>
      <c r="H159" s="1" t="s">
        <v>18</v>
      </c>
      <c r="I159" s="1" t="s">
        <v>59</v>
      </c>
    </row>
    <row r="160">
      <c r="A160" s="1">
        <v>1275899.0</v>
      </c>
      <c r="B160" s="1" t="s">
        <v>402</v>
      </c>
      <c r="C160" s="1" t="s">
        <v>218</v>
      </c>
      <c r="D160" s="1" t="s">
        <v>239</v>
      </c>
      <c r="E160" s="1" t="s">
        <v>403</v>
      </c>
      <c r="F160" s="1" t="s">
        <v>16</v>
      </c>
      <c r="G160" s="1" t="s">
        <v>17</v>
      </c>
      <c r="H160" s="1" t="s">
        <v>18</v>
      </c>
      <c r="I160" s="1" t="s">
        <v>59</v>
      </c>
    </row>
    <row r="161">
      <c r="A161" s="1">
        <v>1201016.0</v>
      </c>
      <c r="B161" s="1" t="s">
        <v>404</v>
      </c>
      <c r="C161" s="1" t="s">
        <v>218</v>
      </c>
      <c r="D161" s="1" t="s">
        <v>405</v>
      </c>
      <c r="E161" s="1" t="s">
        <v>406</v>
      </c>
      <c r="F161" s="1" t="s">
        <v>16</v>
      </c>
      <c r="G161" s="1" t="s">
        <v>17</v>
      </c>
      <c r="H161" s="1" t="s">
        <v>28</v>
      </c>
      <c r="I161" s="1" t="s">
        <v>40</v>
      </c>
    </row>
    <row r="162">
      <c r="A162" s="1">
        <v>1275996.0</v>
      </c>
      <c r="B162" s="1" t="s">
        <v>407</v>
      </c>
      <c r="C162" s="1" t="s">
        <v>218</v>
      </c>
      <c r="D162" s="1" t="s">
        <v>239</v>
      </c>
      <c r="E162" s="1" t="s">
        <v>408</v>
      </c>
      <c r="F162" s="1" t="s">
        <v>16</v>
      </c>
      <c r="G162" s="1" t="s">
        <v>17</v>
      </c>
      <c r="H162" s="1" t="s">
        <v>18</v>
      </c>
      <c r="I162" s="1" t="s">
        <v>59</v>
      </c>
    </row>
    <row r="163">
      <c r="A163" s="1">
        <v>1275655.0</v>
      </c>
      <c r="B163" s="1" t="s">
        <v>409</v>
      </c>
      <c r="C163" s="1" t="s">
        <v>218</v>
      </c>
      <c r="D163" s="1" t="s">
        <v>239</v>
      </c>
      <c r="E163" s="1" t="s">
        <v>410</v>
      </c>
      <c r="F163" s="1" t="s">
        <v>16</v>
      </c>
      <c r="G163" s="1" t="s">
        <v>150</v>
      </c>
      <c r="H163" s="1" t="s">
        <v>33</v>
      </c>
      <c r="I163" s="1" t="s">
        <v>411</v>
      </c>
    </row>
    <row r="164">
      <c r="A164" s="1">
        <v>1273106.0</v>
      </c>
      <c r="B164" s="1" t="s">
        <v>412</v>
      </c>
      <c r="C164" s="1" t="s">
        <v>218</v>
      </c>
      <c r="D164" s="1" t="s">
        <v>231</v>
      </c>
      <c r="E164" s="1" t="s">
        <v>413</v>
      </c>
      <c r="F164" s="1" t="s">
        <v>16</v>
      </c>
      <c r="G164" s="1" t="s">
        <v>17</v>
      </c>
      <c r="H164" s="1" t="s">
        <v>18</v>
      </c>
      <c r="I164" s="1" t="s">
        <v>163</v>
      </c>
    </row>
    <row r="165">
      <c r="A165" s="1">
        <v>1207069.0</v>
      </c>
      <c r="B165" s="1" t="s">
        <v>414</v>
      </c>
      <c r="C165" s="1" t="s">
        <v>218</v>
      </c>
      <c r="D165" s="1" t="s">
        <v>260</v>
      </c>
      <c r="E165" s="1" t="s">
        <v>415</v>
      </c>
      <c r="F165" s="1" t="s">
        <v>16</v>
      </c>
      <c r="G165" s="1" t="s">
        <v>23</v>
      </c>
      <c r="H165" s="1" t="s">
        <v>18</v>
      </c>
      <c r="I165" s="1" t="s">
        <v>44</v>
      </c>
    </row>
    <row r="166">
      <c r="A166" s="1">
        <v>1208020.0</v>
      </c>
      <c r="B166" s="1" t="s">
        <v>416</v>
      </c>
      <c r="C166" s="1" t="s">
        <v>218</v>
      </c>
      <c r="D166" s="1" t="s">
        <v>228</v>
      </c>
      <c r="E166" s="1" t="s">
        <v>417</v>
      </c>
      <c r="F166" s="1" t="s">
        <v>16</v>
      </c>
      <c r="G166" s="1" t="s">
        <v>23</v>
      </c>
      <c r="H166" s="1" t="s">
        <v>18</v>
      </c>
      <c r="I166" s="1" t="s">
        <v>19</v>
      </c>
    </row>
    <row r="167">
      <c r="A167" s="1">
        <v>1223018.0</v>
      </c>
      <c r="B167" s="1" t="s">
        <v>418</v>
      </c>
      <c r="C167" s="1" t="s">
        <v>218</v>
      </c>
      <c r="D167" s="1" t="s">
        <v>419</v>
      </c>
      <c r="E167" s="1" t="s">
        <v>420</v>
      </c>
      <c r="F167" s="1" t="s">
        <v>16</v>
      </c>
      <c r="G167" s="1" t="s">
        <v>23</v>
      </c>
      <c r="H167" s="1" t="s">
        <v>18</v>
      </c>
      <c r="I167" s="1" t="s">
        <v>19</v>
      </c>
    </row>
    <row r="168">
      <c r="A168" s="1">
        <v>1218025.0</v>
      </c>
      <c r="B168" s="1" t="s">
        <v>421</v>
      </c>
      <c r="C168" s="1" t="s">
        <v>218</v>
      </c>
      <c r="D168" s="1" t="s">
        <v>344</v>
      </c>
      <c r="E168" s="1" t="s">
        <v>422</v>
      </c>
      <c r="F168" s="1" t="s">
        <v>16</v>
      </c>
      <c r="G168" s="1" t="s">
        <v>23</v>
      </c>
      <c r="H168" s="1" t="s">
        <v>18</v>
      </c>
      <c r="I168" s="1" t="s">
        <v>44</v>
      </c>
    </row>
    <row r="169">
      <c r="A169" s="1">
        <v>1212184.0</v>
      </c>
      <c r="B169" s="1" t="s">
        <v>423</v>
      </c>
      <c r="C169" s="1" t="s">
        <v>218</v>
      </c>
      <c r="D169" s="1" t="s">
        <v>225</v>
      </c>
      <c r="E169" s="1" t="s">
        <v>424</v>
      </c>
      <c r="F169" s="1" t="s">
        <v>174</v>
      </c>
      <c r="G169" s="1" t="s">
        <v>17</v>
      </c>
      <c r="H169" s="1" t="s">
        <v>18</v>
      </c>
      <c r="I169" s="1" t="s">
        <v>19</v>
      </c>
    </row>
    <row r="170">
      <c r="A170" s="1">
        <v>1273055.0</v>
      </c>
      <c r="B170" s="1" t="s">
        <v>425</v>
      </c>
      <c r="C170" s="1" t="s">
        <v>218</v>
      </c>
      <c r="D170" s="1" t="s">
        <v>231</v>
      </c>
      <c r="E170" s="1" t="s">
        <v>426</v>
      </c>
      <c r="F170" s="1" t="s">
        <v>16</v>
      </c>
      <c r="G170" s="1" t="s">
        <v>27</v>
      </c>
      <c r="H170" s="1" t="s">
        <v>18</v>
      </c>
      <c r="I170" s="1" t="s">
        <v>44</v>
      </c>
    </row>
    <row r="171">
      <c r="A171" s="1">
        <v>1276092.0</v>
      </c>
      <c r="B171" s="1" t="s">
        <v>427</v>
      </c>
      <c r="C171" s="1" t="s">
        <v>218</v>
      </c>
      <c r="D171" s="1" t="s">
        <v>268</v>
      </c>
      <c r="E171" s="1" t="s">
        <v>428</v>
      </c>
      <c r="F171" s="1" t="s">
        <v>55</v>
      </c>
      <c r="G171" s="1" t="s">
        <v>17</v>
      </c>
      <c r="H171" s="1" t="s">
        <v>18</v>
      </c>
      <c r="I171" s="1" t="s">
        <v>19</v>
      </c>
    </row>
    <row r="172">
      <c r="A172" s="1">
        <v>1208060.0</v>
      </c>
      <c r="B172" s="1" t="s">
        <v>429</v>
      </c>
      <c r="C172" s="1" t="s">
        <v>218</v>
      </c>
      <c r="D172" s="1" t="s">
        <v>228</v>
      </c>
      <c r="E172" s="1" t="s">
        <v>430</v>
      </c>
      <c r="F172" s="1" t="s">
        <v>16</v>
      </c>
      <c r="G172" s="1" t="s">
        <v>23</v>
      </c>
      <c r="H172" s="1" t="s">
        <v>18</v>
      </c>
      <c r="I172" s="1" t="s">
        <v>163</v>
      </c>
    </row>
    <row r="173">
      <c r="A173" s="1">
        <v>1275265.0</v>
      </c>
      <c r="B173" s="1" t="s">
        <v>431</v>
      </c>
      <c r="C173" s="1" t="s">
        <v>218</v>
      </c>
      <c r="D173" s="1" t="s">
        <v>239</v>
      </c>
      <c r="E173" s="1" t="s">
        <v>432</v>
      </c>
      <c r="F173" s="1" t="s">
        <v>16</v>
      </c>
      <c r="G173" s="1" t="s">
        <v>17</v>
      </c>
      <c r="H173" s="1" t="s">
        <v>18</v>
      </c>
      <c r="I173" s="1" t="s">
        <v>59</v>
      </c>
    </row>
    <row r="174">
      <c r="A174" s="1">
        <v>1274061.0</v>
      </c>
      <c r="B174" s="1" t="s">
        <v>433</v>
      </c>
      <c r="C174" s="1" t="s">
        <v>218</v>
      </c>
      <c r="D174" s="1" t="s">
        <v>300</v>
      </c>
      <c r="E174" s="1" t="s">
        <v>434</v>
      </c>
      <c r="F174" s="1" t="s">
        <v>16</v>
      </c>
      <c r="G174" s="1" t="s">
        <v>23</v>
      </c>
      <c r="H174" s="1" t="s">
        <v>18</v>
      </c>
      <c r="I174" s="1" t="s">
        <v>44</v>
      </c>
    </row>
    <row r="175">
      <c r="A175" s="1">
        <v>1223006.0</v>
      </c>
      <c r="B175" s="1" t="s">
        <v>435</v>
      </c>
      <c r="C175" s="1" t="s">
        <v>218</v>
      </c>
      <c r="D175" s="1" t="s">
        <v>419</v>
      </c>
      <c r="E175" s="1" t="s">
        <v>436</v>
      </c>
      <c r="F175" s="1" t="s">
        <v>16</v>
      </c>
      <c r="G175" s="1" t="s">
        <v>23</v>
      </c>
      <c r="H175" s="1" t="s">
        <v>18</v>
      </c>
      <c r="I175" s="1" t="s">
        <v>44</v>
      </c>
    </row>
    <row r="176">
      <c r="A176" s="1">
        <v>1205024.0</v>
      </c>
      <c r="B176" s="1" t="s">
        <v>437</v>
      </c>
      <c r="C176" s="1" t="s">
        <v>218</v>
      </c>
      <c r="D176" s="1" t="s">
        <v>438</v>
      </c>
      <c r="E176" s="1" t="s">
        <v>439</v>
      </c>
      <c r="F176" s="1" t="s">
        <v>16</v>
      </c>
      <c r="G176" s="1" t="s">
        <v>17</v>
      </c>
      <c r="H176" s="1" t="s">
        <v>28</v>
      </c>
      <c r="I176" s="1" t="s">
        <v>40</v>
      </c>
    </row>
    <row r="177">
      <c r="A177" s="1">
        <v>1212181.0</v>
      </c>
      <c r="B177" s="1" t="s">
        <v>306</v>
      </c>
      <c r="C177" s="1" t="s">
        <v>218</v>
      </c>
      <c r="D177" s="1" t="s">
        <v>225</v>
      </c>
      <c r="E177" s="1" t="s">
        <v>440</v>
      </c>
      <c r="F177" s="1" t="s">
        <v>16</v>
      </c>
      <c r="G177" s="1" t="s">
        <v>17</v>
      </c>
      <c r="H177" s="1" t="s">
        <v>18</v>
      </c>
      <c r="I177" s="1" t="s">
        <v>19</v>
      </c>
    </row>
    <row r="178">
      <c r="A178" s="1">
        <v>1212012.0</v>
      </c>
      <c r="B178" s="1" t="s">
        <v>441</v>
      </c>
      <c r="C178" s="1" t="s">
        <v>218</v>
      </c>
      <c r="D178" s="1" t="s">
        <v>225</v>
      </c>
      <c r="E178" s="1" t="s">
        <v>442</v>
      </c>
      <c r="F178" s="1" t="s">
        <v>16</v>
      </c>
      <c r="G178" s="1" t="s">
        <v>27</v>
      </c>
      <c r="H178" s="1" t="s">
        <v>28</v>
      </c>
      <c r="I178" s="1" t="s">
        <v>40</v>
      </c>
    </row>
    <row r="179">
      <c r="A179" s="1">
        <v>1223002.0</v>
      </c>
      <c r="B179" s="1" t="s">
        <v>443</v>
      </c>
      <c r="C179" s="1" t="s">
        <v>218</v>
      </c>
      <c r="D179" s="1" t="s">
        <v>419</v>
      </c>
      <c r="E179" s="1" t="s">
        <v>444</v>
      </c>
      <c r="F179" s="1" t="s">
        <v>16</v>
      </c>
      <c r="G179" s="1" t="s">
        <v>17</v>
      </c>
      <c r="H179" s="1" t="s">
        <v>18</v>
      </c>
      <c r="I179" s="1" t="s">
        <v>40</v>
      </c>
    </row>
    <row r="180">
      <c r="A180" s="1">
        <v>1213035.0</v>
      </c>
      <c r="B180" s="1" t="s">
        <v>445</v>
      </c>
      <c r="C180" s="1" t="s">
        <v>218</v>
      </c>
      <c r="D180" s="1" t="s">
        <v>222</v>
      </c>
      <c r="E180" s="1" t="s">
        <v>446</v>
      </c>
      <c r="F180" s="1" t="s">
        <v>16</v>
      </c>
      <c r="G180" s="1" t="s">
        <v>17</v>
      </c>
      <c r="H180" s="1" t="s">
        <v>18</v>
      </c>
      <c r="I180" s="1" t="s">
        <v>113</v>
      </c>
    </row>
    <row r="181">
      <c r="A181" s="1">
        <v>1276090.0</v>
      </c>
      <c r="B181" s="1" t="s">
        <v>447</v>
      </c>
      <c r="C181" s="1" t="s">
        <v>218</v>
      </c>
      <c r="D181" s="1" t="s">
        <v>268</v>
      </c>
      <c r="E181" s="1" t="s">
        <v>448</v>
      </c>
      <c r="F181" s="1" t="s">
        <v>16</v>
      </c>
      <c r="G181" s="1" t="s">
        <v>23</v>
      </c>
      <c r="H181" s="1" t="s">
        <v>33</v>
      </c>
      <c r="I181" s="1" t="s">
        <v>19</v>
      </c>
    </row>
    <row r="182">
      <c r="A182" s="1">
        <v>1218024.0</v>
      </c>
      <c r="B182" s="1" t="s">
        <v>449</v>
      </c>
      <c r="C182" s="1" t="s">
        <v>218</v>
      </c>
      <c r="D182" s="1" t="s">
        <v>344</v>
      </c>
      <c r="E182" s="1" t="s">
        <v>450</v>
      </c>
      <c r="F182" s="1" t="s">
        <v>16</v>
      </c>
      <c r="G182" s="1" t="s">
        <v>17</v>
      </c>
      <c r="H182" s="1" t="s">
        <v>18</v>
      </c>
      <c r="I182" s="1" t="s">
        <v>59</v>
      </c>
    </row>
    <row r="183">
      <c r="A183" s="1">
        <v>1275930.0</v>
      </c>
      <c r="B183" s="1" t="s">
        <v>451</v>
      </c>
      <c r="C183" s="1" t="s">
        <v>218</v>
      </c>
      <c r="D183" s="1" t="s">
        <v>239</v>
      </c>
      <c r="E183" s="1" t="s">
        <v>452</v>
      </c>
      <c r="F183" s="1" t="s">
        <v>16</v>
      </c>
      <c r="G183" s="1" t="s">
        <v>17</v>
      </c>
      <c r="H183" s="1" t="s">
        <v>18</v>
      </c>
      <c r="I183" s="1" t="s">
        <v>19</v>
      </c>
    </row>
    <row r="184">
      <c r="A184" s="1">
        <v>1212172.0</v>
      </c>
      <c r="B184" s="1" t="s">
        <v>453</v>
      </c>
      <c r="C184" s="1" t="s">
        <v>218</v>
      </c>
      <c r="D184" s="1" t="s">
        <v>225</v>
      </c>
      <c r="E184" s="1" t="s">
        <v>454</v>
      </c>
      <c r="F184" s="1" t="s">
        <v>16</v>
      </c>
      <c r="G184" s="1" t="s">
        <v>17</v>
      </c>
      <c r="H184" s="1" t="s">
        <v>18</v>
      </c>
      <c r="I184" s="1" t="s">
        <v>44</v>
      </c>
    </row>
    <row r="185">
      <c r="A185" s="1">
        <v>1275094.0</v>
      </c>
      <c r="B185" s="1" t="s">
        <v>455</v>
      </c>
      <c r="C185" s="1" t="s">
        <v>218</v>
      </c>
      <c r="D185" s="1" t="s">
        <v>239</v>
      </c>
      <c r="E185" s="1" t="s">
        <v>456</v>
      </c>
      <c r="F185" s="1" t="s">
        <v>16</v>
      </c>
      <c r="G185" s="1" t="s">
        <v>17</v>
      </c>
      <c r="H185" s="1" t="s">
        <v>18</v>
      </c>
      <c r="I185" s="1" t="s">
        <v>59</v>
      </c>
    </row>
    <row r="186">
      <c r="A186" s="1">
        <v>1277011.0</v>
      </c>
      <c r="B186" s="1" t="s">
        <v>457</v>
      </c>
      <c r="C186" s="1" t="s">
        <v>218</v>
      </c>
      <c r="D186" s="1" t="s">
        <v>219</v>
      </c>
      <c r="E186" s="1" t="s">
        <v>458</v>
      </c>
      <c r="F186" s="1" t="s">
        <v>16</v>
      </c>
      <c r="G186" s="1" t="s">
        <v>17</v>
      </c>
      <c r="H186" s="1" t="s">
        <v>28</v>
      </c>
      <c r="I186" s="1" t="s">
        <v>29</v>
      </c>
    </row>
    <row r="187">
      <c r="A187" s="1">
        <v>1276040.0</v>
      </c>
      <c r="B187" s="1" t="s">
        <v>459</v>
      </c>
      <c r="C187" s="1" t="s">
        <v>218</v>
      </c>
      <c r="D187" s="1" t="s">
        <v>268</v>
      </c>
      <c r="E187" s="1" t="s">
        <v>460</v>
      </c>
      <c r="F187" s="1" t="s">
        <v>16</v>
      </c>
      <c r="G187" s="1" t="s">
        <v>17</v>
      </c>
      <c r="H187" s="1" t="s">
        <v>18</v>
      </c>
      <c r="I187" s="1" t="s">
        <v>74</v>
      </c>
    </row>
    <row r="188">
      <c r="A188" s="1">
        <v>1275888.0</v>
      </c>
      <c r="B188" s="1" t="s">
        <v>461</v>
      </c>
      <c r="C188" s="1" t="s">
        <v>218</v>
      </c>
      <c r="D188" s="1" t="s">
        <v>239</v>
      </c>
      <c r="E188" s="1" t="s">
        <v>462</v>
      </c>
      <c r="F188" s="1" t="s">
        <v>16</v>
      </c>
      <c r="G188" s="1" t="s">
        <v>17</v>
      </c>
      <c r="H188" s="1" t="s">
        <v>18</v>
      </c>
      <c r="I188" s="1" t="s">
        <v>44</v>
      </c>
    </row>
    <row r="189">
      <c r="A189" s="1">
        <v>1275724.0</v>
      </c>
      <c r="B189" s="1" t="s">
        <v>463</v>
      </c>
      <c r="C189" s="1" t="s">
        <v>218</v>
      </c>
      <c r="D189" s="1" t="s">
        <v>239</v>
      </c>
      <c r="E189" s="1" t="s">
        <v>464</v>
      </c>
      <c r="F189" s="1" t="s">
        <v>16</v>
      </c>
      <c r="G189" s="1" t="s">
        <v>23</v>
      </c>
      <c r="H189" s="1" t="s">
        <v>18</v>
      </c>
      <c r="I189" s="1" t="s">
        <v>44</v>
      </c>
    </row>
    <row r="190">
      <c r="A190" s="1">
        <v>1212175.0</v>
      </c>
      <c r="B190" s="1" t="s">
        <v>465</v>
      </c>
      <c r="C190" s="1" t="s">
        <v>218</v>
      </c>
      <c r="D190" s="1" t="s">
        <v>225</v>
      </c>
      <c r="E190" s="1" t="s">
        <v>466</v>
      </c>
      <c r="F190" s="1" t="s">
        <v>16</v>
      </c>
      <c r="G190" s="1" t="s">
        <v>23</v>
      </c>
      <c r="H190" s="1" t="s">
        <v>18</v>
      </c>
      <c r="I190" s="1" t="s">
        <v>59</v>
      </c>
    </row>
    <row r="191">
      <c r="A191" s="1">
        <v>1209010.0</v>
      </c>
      <c r="B191" s="1" t="s">
        <v>467</v>
      </c>
      <c r="C191" s="1" t="s">
        <v>218</v>
      </c>
      <c r="D191" s="1" t="s">
        <v>279</v>
      </c>
      <c r="E191" s="1" t="s">
        <v>468</v>
      </c>
      <c r="F191" s="1" t="s">
        <v>16</v>
      </c>
      <c r="G191" s="1" t="s">
        <v>17</v>
      </c>
      <c r="H191" s="1" t="s">
        <v>18</v>
      </c>
      <c r="I191" s="1" t="s">
        <v>113</v>
      </c>
    </row>
    <row r="192">
      <c r="A192" s="1">
        <v>1212045.0</v>
      </c>
      <c r="B192" s="1" t="s">
        <v>469</v>
      </c>
      <c r="C192" s="1" t="s">
        <v>218</v>
      </c>
      <c r="D192" s="1" t="s">
        <v>225</v>
      </c>
      <c r="E192" s="1" t="s">
        <v>470</v>
      </c>
      <c r="F192" s="1" t="s">
        <v>16</v>
      </c>
      <c r="G192" s="1" t="s">
        <v>27</v>
      </c>
      <c r="H192" s="1" t="s">
        <v>18</v>
      </c>
      <c r="I192" s="1" t="s">
        <v>59</v>
      </c>
    </row>
    <row r="193">
      <c r="A193" s="1">
        <v>1275933.0</v>
      </c>
      <c r="B193" s="1" t="s">
        <v>471</v>
      </c>
      <c r="C193" s="1" t="s">
        <v>218</v>
      </c>
      <c r="D193" s="1" t="s">
        <v>239</v>
      </c>
      <c r="E193" s="1" t="s">
        <v>472</v>
      </c>
      <c r="F193" s="1" t="s">
        <v>473</v>
      </c>
      <c r="G193" s="1" t="s">
        <v>27</v>
      </c>
      <c r="H193" s="1" t="s">
        <v>18</v>
      </c>
      <c r="I193" s="1" t="s">
        <v>139</v>
      </c>
    </row>
    <row r="194">
      <c r="A194" s="1">
        <v>1273120.0</v>
      </c>
      <c r="B194" s="1" t="s">
        <v>474</v>
      </c>
      <c r="C194" s="1" t="s">
        <v>218</v>
      </c>
      <c r="D194" s="1" t="s">
        <v>231</v>
      </c>
      <c r="E194" s="1" t="s">
        <v>475</v>
      </c>
      <c r="F194" s="1" t="s">
        <v>16</v>
      </c>
      <c r="G194" s="1" t="s">
        <v>23</v>
      </c>
      <c r="H194" s="1" t="s">
        <v>18</v>
      </c>
      <c r="I194" s="1" t="s">
        <v>44</v>
      </c>
    </row>
    <row r="195">
      <c r="A195" s="1">
        <v>1275100.0</v>
      </c>
      <c r="B195" s="1" t="s">
        <v>476</v>
      </c>
      <c r="C195" s="1" t="s">
        <v>218</v>
      </c>
      <c r="D195" s="1" t="s">
        <v>239</v>
      </c>
      <c r="E195" s="1" t="s">
        <v>477</v>
      </c>
      <c r="F195" s="1" t="s">
        <v>16</v>
      </c>
      <c r="G195" s="1" t="s">
        <v>17</v>
      </c>
      <c r="H195" s="1" t="s">
        <v>18</v>
      </c>
      <c r="I195" s="1" t="s">
        <v>59</v>
      </c>
    </row>
    <row r="196">
      <c r="A196" s="1">
        <v>1208056.0</v>
      </c>
      <c r="B196" s="1" t="s">
        <v>478</v>
      </c>
      <c r="C196" s="1" t="s">
        <v>218</v>
      </c>
      <c r="D196" s="1" t="s">
        <v>228</v>
      </c>
      <c r="E196" s="1" t="s">
        <v>479</v>
      </c>
      <c r="F196" s="1" t="s">
        <v>16</v>
      </c>
      <c r="G196" s="1" t="s">
        <v>17</v>
      </c>
      <c r="H196" s="1" t="s">
        <v>18</v>
      </c>
      <c r="I196" s="1" t="s">
        <v>19</v>
      </c>
    </row>
    <row r="197">
      <c r="A197" s="1">
        <v>1274012.0</v>
      </c>
      <c r="B197" s="1" t="s">
        <v>480</v>
      </c>
      <c r="C197" s="1" t="s">
        <v>218</v>
      </c>
      <c r="D197" s="1" t="s">
        <v>300</v>
      </c>
      <c r="E197" s="1" t="s">
        <v>481</v>
      </c>
      <c r="F197" s="1" t="s">
        <v>16</v>
      </c>
      <c r="G197" s="1" t="s">
        <v>27</v>
      </c>
      <c r="H197" s="1" t="s">
        <v>28</v>
      </c>
      <c r="I197" s="1" t="s">
        <v>29</v>
      </c>
    </row>
    <row r="198">
      <c r="A198" s="1">
        <v>1275830.0</v>
      </c>
      <c r="B198" s="1" t="s">
        <v>482</v>
      </c>
      <c r="C198" s="1" t="s">
        <v>218</v>
      </c>
      <c r="D198" s="1" t="s">
        <v>239</v>
      </c>
      <c r="E198" s="1" t="s">
        <v>483</v>
      </c>
      <c r="F198" s="1" t="s">
        <v>16</v>
      </c>
      <c r="G198" s="1" t="s">
        <v>17</v>
      </c>
      <c r="H198" s="1" t="s">
        <v>18</v>
      </c>
      <c r="I198" s="1" t="s">
        <v>44</v>
      </c>
    </row>
    <row r="199">
      <c r="A199" s="1">
        <v>1202028.0</v>
      </c>
      <c r="B199" s="1" t="s">
        <v>484</v>
      </c>
      <c r="C199" s="1" t="s">
        <v>218</v>
      </c>
      <c r="D199" s="1" t="s">
        <v>263</v>
      </c>
      <c r="E199" s="1" t="s">
        <v>485</v>
      </c>
      <c r="F199" s="1" t="s">
        <v>16</v>
      </c>
      <c r="G199" s="1" t="s">
        <v>17</v>
      </c>
      <c r="H199" s="1" t="s">
        <v>18</v>
      </c>
      <c r="I199" s="1" t="s">
        <v>59</v>
      </c>
    </row>
    <row r="200">
      <c r="A200" s="1">
        <v>1275298.0</v>
      </c>
      <c r="B200" s="1" t="s">
        <v>486</v>
      </c>
      <c r="C200" s="1" t="s">
        <v>218</v>
      </c>
      <c r="D200" s="1" t="s">
        <v>239</v>
      </c>
      <c r="E200" s="1" t="s">
        <v>487</v>
      </c>
      <c r="F200" s="1" t="s">
        <v>16</v>
      </c>
      <c r="G200" s="1" t="s">
        <v>27</v>
      </c>
      <c r="H200" s="1" t="s">
        <v>18</v>
      </c>
      <c r="I200" s="1" t="s">
        <v>44</v>
      </c>
    </row>
    <row r="201">
      <c r="A201" s="1">
        <v>1205046.0</v>
      </c>
      <c r="B201" s="1" t="s">
        <v>488</v>
      </c>
      <c r="C201" s="1" t="s">
        <v>218</v>
      </c>
      <c r="D201" s="1" t="s">
        <v>315</v>
      </c>
      <c r="E201" s="1" t="s">
        <v>489</v>
      </c>
      <c r="F201" s="1" t="s">
        <v>16</v>
      </c>
      <c r="G201" s="1" t="s">
        <v>17</v>
      </c>
      <c r="H201" s="1" t="s">
        <v>28</v>
      </c>
      <c r="I201" s="1" t="s">
        <v>40</v>
      </c>
    </row>
    <row r="202">
      <c r="A202" s="1">
        <v>1222002.0</v>
      </c>
      <c r="B202" s="1" t="s">
        <v>490</v>
      </c>
      <c r="C202" s="1" t="s">
        <v>218</v>
      </c>
      <c r="D202" s="1" t="s">
        <v>367</v>
      </c>
      <c r="E202" s="1" t="s">
        <v>491</v>
      </c>
      <c r="F202" s="1" t="s">
        <v>16</v>
      </c>
      <c r="G202" s="1" t="s">
        <v>17</v>
      </c>
      <c r="H202" s="1" t="s">
        <v>28</v>
      </c>
      <c r="I202" s="1" t="s">
        <v>40</v>
      </c>
    </row>
    <row r="203">
      <c r="A203" s="1">
        <v>1275929.0</v>
      </c>
      <c r="B203" s="1" t="s">
        <v>492</v>
      </c>
      <c r="C203" s="1" t="s">
        <v>218</v>
      </c>
      <c r="D203" s="1" t="s">
        <v>239</v>
      </c>
      <c r="E203" s="1" t="s">
        <v>493</v>
      </c>
      <c r="F203" s="1" t="s">
        <v>55</v>
      </c>
      <c r="G203" s="1" t="s">
        <v>17</v>
      </c>
      <c r="H203" s="1" t="s">
        <v>18</v>
      </c>
      <c r="I203" s="1" t="s">
        <v>44</v>
      </c>
    </row>
    <row r="204">
      <c r="A204" s="1">
        <v>1216011.0</v>
      </c>
      <c r="B204" s="1" t="s">
        <v>494</v>
      </c>
      <c r="C204" s="1" t="s">
        <v>218</v>
      </c>
      <c r="D204" s="1" t="s">
        <v>495</v>
      </c>
      <c r="E204" s="1" t="s">
        <v>496</v>
      </c>
      <c r="F204" s="1" t="s">
        <v>16</v>
      </c>
      <c r="G204" s="1" t="s">
        <v>17</v>
      </c>
      <c r="H204" s="1" t="s">
        <v>28</v>
      </c>
      <c r="I204" s="1" t="s">
        <v>40</v>
      </c>
    </row>
    <row r="205">
      <c r="A205" s="1">
        <v>1275309.0</v>
      </c>
      <c r="B205" s="1" t="s">
        <v>497</v>
      </c>
      <c r="C205" s="1" t="s">
        <v>218</v>
      </c>
      <c r="D205" s="1" t="s">
        <v>239</v>
      </c>
      <c r="E205" s="1" t="s">
        <v>498</v>
      </c>
      <c r="F205" s="1" t="s">
        <v>272</v>
      </c>
      <c r="G205" s="1" t="s">
        <v>17</v>
      </c>
      <c r="H205" s="1" t="s">
        <v>18</v>
      </c>
      <c r="I205" s="1" t="s">
        <v>59</v>
      </c>
    </row>
    <row r="206">
      <c r="A206" s="1">
        <v>1214022.0</v>
      </c>
      <c r="B206" s="1" t="s">
        <v>499</v>
      </c>
      <c r="C206" s="1" t="s">
        <v>218</v>
      </c>
      <c r="D206" s="1" t="s">
        <v>251</v>
      </c>
      <c r="E206" s="1" t="s">
        <v>500</v>
      </c>
      <c r="F206" s="1" t="s">
        <v>16</v>
      </c>
      <c r="G206" s="1" t="s">
        <v>23</v>
      </c>
      <c r="H206" s="1" t="s">
        <v>18</v>
      </c>
      <c r="I206" s="1" t="s">
        <v>40</v>
      </c>
    </row>
    <row r="207">
      <c r="A207" s="1">
        <v>1273107.0</v>
      </c>
      <c r="B207" s="1" t="s">
        <v>501</v>
      </c>
      <c r="C207" s="1" t="s">
        <v>218</v>
      </c>
      <c r="D207" s="1" t="s">
        <v>231</v>
      </c>
      <c r="E207" s="1" t="s">
        <v>502</v>
      </c>
      <c r="F207" s="1" t="s">
        <v>272</v>
      </c>
      <c r="G207" s="1" t="s">
        <v>17</v>
      </c>
      <c r="H207" s="1" t="s">
        <v>18</v>
      </c>
      <c r="I207" s="1" t="s">
        <v>19</v>
      </c>
    </row>
    <row r="208">
      <c r="A208" s="1">
        <v>1275130.0</v>
      </c>
      <c r="B208" s="1" t="s">
        <v>503</v>
      </c>
      <c r="C208" s="1" t="s">
        <v>218</v>
      </c>
      <c r="D208" s="1" t="s">
        <v>239</v>
      </c>
      <c r="E208" s="1" t="s">
        <v>504</v>
      </c>
      <c r="F208" s="1" t="s">
        <v>16</v>
      </c>
      <c r="G208" s="1" t="s">
        <v>23</v>
      </c>
      <c r="H208" s="1" t="s">
        <v>18</v>
      </c>
      <c r="I208" s="1" t="s">
        <v>59</v>
      </c>
    </row>
    <row r="209">
      <c r="A209" s="1">
        <v>1276079.0</v>
      </c>
      <c r="B209" s="1" t="s">
        <v>505</v>
      </c>
      <c r="C209" s="1" t="s">
        <v>218</v>
      </c>
      <c r="D209" s="1" t="s">
        <v>268</v>
      </c>
      <c r="E209" s="1" t="s">
        <v>506</v>
      </c>
      <c r="F209" s="1" t="s">
        <v>16</v>
      </c>
      <c r="G209" s="1" t="s">
        <v>23</v>
      </c>
      <c r="H209" s="1" t="s">
        <v>18</v>
      </c>
      <c r="I209" s="1" t="s">
        <v>44</v>
      </c>
    </row>
    <row r="210">
      <c r="A210" s="1">
        <v>1203033.0</v>
      </c>
      <c r="B210" s="1" t="s">
        <v>507</v>
      </c>
      <c r="C210" s="1" t="s">
        <v>218</v>
      </c>
      <c r="D210" s="1" t="s">
        <v>508</v>
      </c>
      <c r="E210" s="1" t="s">
        <v>509</v>
      </c>
      <c r="F210" s="1" t="s">
        <v>16</v>
      </c>
      <c r="G210" s="1" t="s">
        <v>17</v>
      </c>
      <c r="H210" s="1" t="s">
        <v>18</v>
      </c>
      <c r="I210" s="1" t="s">
        <v>40</v>
      </c>
    </row>
    <row r="211">
      <c r="A211" s="1">
        <v>1224002.0</v>
      </c>
      <c r="B211" s="1" t="s">
        <v>510</v>
      </c>
      <c r="C211" s="1" t="s">
        <v>218</v>
      </c>
      <c r="D211" s="1" t="s">
        <v>511</v>
      </c>
      <c r="E211" s="1" t="s">
        <v>512</v>
      </c>
      <c r="F211" s="1" t="s">
        <v>16</v>
      </c>
      <c r="G211" s="1" t="s">
        <v>23</v>
      </c>
      <c r="H211" s="1" t="s">
        <v>28</v>
      </c>
      <c r="I211" s="1" t="s">
        <v>40</v>
      </c>
    </row>
    <row r="212">
      <c r="A212" s="1">
        <v>1213062.0</v>
      </c>
      <c r="B212" s="1" t="s">
        <v>513</v>
      </c>
      <c r="C212" s="1" t="s">
        <v>218</v>
      </c>
      <c r="D212" s="1" t="s">
        <v>222</v>
      </c>
      <c r="E212" s="1" t="s">
        <v>514</v>
      </c>
      <c r="F212" s="1" t="s">
        <v>16</v>
      </c>
      <c r="G212" s="1" t="s">
        <v>17</v>
      </c>
      <c r="H212" s="1" t="s">
        <v>18</v>
      </c>
      <c r="I212" s="1" t="s">
        <v>44</v>
      </c>
    </row>
    <row r="213">
      <c r="A213" s="1">
        <v>1275772.0</v>
      </c>
      <c r="B213" s="1" t="s">
        <v>515</v>
      </c>
      <c r="C213" s="1" t="s">
        <v>218</v>
      </c>
      <c r="D213" s="1" t="s">
        <v>239</v>
      </c>
      <c r="E213" s="1" t="s">
        <v>516</v>
      </c>
      <c r="F213" s="1" t="s">
        <v>16</v>
      </c>
      <c r="G213" s="1" t="s">
        <v>17</v>
      </c>
      <c r="H213" s="1" t="s">
        <v>18</v>
      </c>
      <c r="I213" s="1" t="s">
        <v>59</v>
      </c>
    </row>
    <row r="214">
      <c r="A214" s="1">
        <v>1209077.0</v>
      </c>
      <c r="B214" s="1" t="s">
        <v>517</v>
      </c>
      <c r="C214" s="1" t="s">
        <v>218</v>
      </c>
      <c r="D214" s="1" t="s">
        <v>279</v>
      </c>
      <c r="E214" s="1" t="s">
        <v>518</v>
      </c>
      <c r="F214" s="1" t="s">
        <v>16</v>
      </c>
      <c r="G214" s="1" t="s">
        <v>17</v>
      </c>
      <c r="H214" s="1" t="s">
        <v>28</v>
      </c>
      <c r="I214" s="1" t="s">
        <v>40</v>
      </c>
    </row>
    <row r="215">
      <c r="A215" s="1">
        <v>1275913.0</v>
      </c>
      <c r="B215" s="1" t="s">
        <v>519</v>
      </c>
      <c r="C215" s="1" t="s">
        <v>218</v>
      </c>
      <c r="D215" s="1" t="s">
        <v>239</v>
      </c>
      <c r="E215" s="1" t="s">
        <v>520</v>
      </c>
      <c r="F215" s="1" t="s">
        <v>16</v>
      </c>
      <c r="G215" s="1" t="s">
        <v>17</v>
      </c>
      <c r="H215" s="1" t="s">
        <v>18</v>
      </c>
      <c r="I215" s="1" t="s">
        <v>34</v>
      </c>
    </row>
    <row r="216">
      <c r="A216" s="1">
        <v>1274063.0</v>
      </c>
      <c r="B216" s="1" t="s">
        <v>521</v>
      </c>
      <c r="C216" s="1" t="s">
        <v>218</v>
      </c>
      <c r="D216" s="1" t="s">
        <v>300</v>
      </c>
      <c r="E216" s="1" t="s">
        <v>522</v>
      </c>
      <c r="F216" s="1" t="s">
        <v>16</v>
      </c>
      <c r="G216" s="1" t="s">
        <v>17</v>
      </c>
      <c r="H216" s="1" t="s">
        <v>18</v>
      </c>
      <c r="I216" s="1" t="s">
        <v>44</v>
      </c>
    </row>
    <row r="217">
      <c r="A217" s="1">
        <v>1209065.0</v>
      </c>
      <c r="B217" s="1" t="s">
        <v>523</v>
      </c>
      <c r="C217" s="1" t="s">
        <v>218</v>
      </c>
      <c r="D217" s="1" t="s">
        <v>279</v>
      </c>
      <c r="E217" s="1" t="s">
        <v>524</v>
      </c>
      <c r="F217" s="1" t="s">
        <v>16</v>
      </c>
      <c r="G217" s="1" t="s">
        <v>23</v>
      </c>
      <c r="H217" s="1" t="s">
        <v>28</v>
      </c>
      <c r="I217" s="1" t="s">
        <v>40</v>
      </c>
    </row>
    <row r="218">
      <c r="A218" s="1">
        <v>1275061.0</v>
      </c>
      <c r="B218" s="1" t="s">
        <v>525</v>
      </c>
      <c r="C218" s="1" t="s">
        <v>218</v>
      </c>
      <c r="D218" s="1" t="s">
        <v>239</v>
      </c>
      <c r="E218" s="1" t="s">
        <v>526</v>
      </c>
      <c r="F218" s="1" t="s">
        <v>16</v>
      </c>
      <c r="G218" s="1" t="s">
        <v>17</v>
      </c>
      <c r="H218" s="1" t="s">
        <v>18</v>
      </c>
      <c r="I218" s="1" t="s">
        <v>59</v>
      </c>
    </row>
    <row r="219">
      <c r="A219" s="1">
        <v>1212093.0</v>
      </c>
      <c r="B219" s="1" t="s">
        <v>527</v>
      </c>
      <c r="C219" s="1" t="s">
        <v>218</v>
      </c>
      <c r="D219" s="1" t="s">
        <v>225</v>
      </c>
      <c r="E219" s="1" t="s">
        <v>528</v>
      </c>
      <c r="F219" s="1" t="s">
        <v>16</v>
      </c>
      <c r="G219" s="1" t="s">
        <v>17</v>
      </c>
      <c r="H219" s="1" t="s">
        <v>18</v>
      </c>
      <c r="I219" s="1" t="s">
        <v>59</v>
      </c>
    </row>
    <row r="220">
      <c r="A220" s="1">
        <v>1211124.0</v>
      </c>
      <c r="B220" s="1" t="s">
        <v>529</v>
      </c>
      <c r="C220" s="1" t="s">
        <v>218</v>
      </c>
      <c r="D220" s="1" t="s">
        <v>286</v>
      </c>
      <c r="E220" s="1" t="s">
        <v>530</v>
      </c>
      <c r="F220" s="1" t="s">
        <v>16</v>
      </c>
      <c r="G220" s="1" t="s">
        <v>17</v>
      </c>
      <c r="H220" s="1" t="s">
        <v>18</v>
      </c>
      <c r="I220" s="1" t="s">
        <v>19</v>
      </c>
    </row>
    <row r="221">
      <c r="A221" s="1">
        <v>1276075.0</v>
      </c>
      <c r="B221" s="1" t="s">
        <v>531</v>
      </c>
      <c r="C221" s="1" t="s">
        <v>218</v>
      </c>
      <c r="D221" s="1" t="s">
        <v>268</v>
      </c>
      <c r="E221" s="1" t="s">
        <v>532</v>
      </c>
      <c r="F221" s="1" t="s">
        <v>16</v>
      </c>
      <c r="G221" s="1" t="s">
        <v>17</v>
      </c>
      <c r="H221" s="1" t="s">
        <v>18</v>
      </c>
      <c r="I221" s="1" t="s">
        <v>44</v>
      </c>
    </row>
    <row r="222">
      <c r="A222" s="1">
        <v>1277027.0</v>
      </c>
      <c r="B222" s="1" t="s">
        <v>533</v>
      </c>
      <c r="C222" s="1" t="s">
        <v>218</v>
      </c>
      <c r="D222" s="1" t="s">
        <v>219</v>
      </c>
      <c r="E222" s="1" t="s">
        <v>534</v>
      </c>
      <c r="F222" s="1" t="s">
        <v>16</v>
      </c>
      <c r="G222" s="1" t="s">
        <v>17</v>
      </c>
      <c r="H222" s="1" t="s">
        <v>18</v>
      </c>
      <c r="I222" s="1" t="s">
        <v>44</v>
      </c>
    </row>
    <row r="223">
      <c r="A223" s="1">
        <v>1275013.0</v>
      </c>
      <c r="B223" s="1" t="s">
        <v>535</v>
      </c>
      <c r="C223" s="1" t="s">
        <v>218</v>
      </c>
      <c r="D223" s="1" t="s">
        <v>239</v>
      </c>
      <c r="E223" s="1" t="s">
        <v>536</v>
      </c>
      <c r="F223" s="1" t="s">
        <v>16</v>
      </c>
      <c r="G223" s="1" t="s">
        <v>27</v>
      </c>
      <c r="H223" s="1" t="s">
        <v>28</v>
      </c>
      <c r="I223" s="1" t="s">
        <v>29</v>
      </c>
    </row>
    <row r="224">
      <c r="A224" s="1">
        <v>1275918.0</v>
      </c>
      <c r="B224" s="1" t="s">
        <v>537</v>
      </c>
      <c r="C224" s="1" t="s">
        <v>218</v>
      </c>
      <c r="D224" s="1" t="s">
        <v>239</v>
      </c>
      <c r="E224" s="1" t="s">
        <v>538</v>
      </c>
      <c r="F224" s="1" t="s">
        <v>539</v>
      </c>
      <c r="G224" s="1" t="s">
        <v>17</v>
      </c>
      <c r="H224" s="1" t="s">
        <v>18</v>
      </c>
      <c r="I224" s="1" t="s">
        <v>44</v>
      </c>
    </row>
    <row r="225">
      <c r="A225" s="1">
        <v>1275936.0</v>
      </c>
      <c r="B225" s="1" t="s">
        <v>540</v>
      </c>
      <c r="C225" s="1" t="s">
        <v>218</v>
      </c>
      <c r="D225" s="1" t="s">
        <v>239</v>
      </c>
      <c r="E225" s="1" t="s">
        <v>541</v>
      </c>
      <c r="F225" s="1" t="s">
        <v>16</v>
      </c>
      <c r="G225" s="1" t="s">
        <v>17</v>
      </c>
      <c r="H225" s="1" t="s">
        <v>18</v>
      </c>
      <c r="I225" s="1" t="s">
        <v>19</v>
      </c>
    </row>
    <row r="226">
      <c r="A226" s="1">
        <v>1203066.0</v>
      </c>
      <c r="B226" s="1" t="s">
        <v>542</v>
      </c>
      <c r="C226" s="1" t="s">
        <v>218</v>
      </c>
      <c r="D226" s="1" t="s">
        <v>508</v>
      </c>
      <c r="E226" s="1" t="s">
        <v>543</v>
      </c>
      <c r="F226" s="1" t="s">
        <v>16</v>
      </c>
      <c r="G226" s="1" t="s">
        <v>23</v>
      </c>
      <c r="H226" s="1" t="s">
        <v>18</v>
      </c>
      <c r="I226" s="1" t="s">
        <v>40</v>
      </c>
    </row>
    <row r="227">
      <c r="A227" s="1">
        <v>1275852.0</v>
      </c>
      <c r="B227" s="1" t="s">
        <v>544</v>
      </c>
      <c r="C227" s="1" t="s">
        <v>218</v>
      </c>
      <c r="D227" s="1" t="s">
        <v>239</v>
      </c>
      <c r="E227" s="1" t="s">
        <v>545</v>
      </c>
      <c r="F227" s="1" t="s">
        <v>16</v>
      </c>
      <c r="G227" s="1" t="s">
        <v>27</v>
      </c>
      <c r="H227" s="1" t="s">
        <v>18</v>
      </c>
      <c r="I227" s="1" t="s">
        <v>19</v>
      </c>
    </row>
    <row r="228">
      <c r="A228" s="1">
        <v>1275600.0</v>
      </c>
      <c r="B228" s="1" t="s">
        <v>546</v>
      </c>
      <c r="C228" s="1" t="s">
        <v>218</v>
      </c>
      <c r="D228" s="1" t="s">
        <v>239</v>
      </c>
      <c r="E228" s="1" t="s">
        <v>547</v>
      </c>
      <c r="F228" s="1" t="s">
        <v>16</v>
      </c>
      <c r="G228" s="1" t="s">
        <v>17</v>
      </c>
      <c r="H228" s="1" t="s">
        <v>18</v>
      </c>
      <c r="I228" s="1" t="s">
        <v>44</v>
      </c>
    </row>
    <row r="229">
      <c r="A229" s="1">
        <v>1207015.0</v>
      </c>
      <c r="B229" s="1" t="s">
        <v>548</v>
      </c>
      <c r="C229" s="1" t="s">
        <v>218</v>
      </c>
      <c r="D229" s="1" t="s">
        <v>260</v>
      </c>
      <c r="E229" s="1" t="s">
        <v>549</v>
      </c>
      <c r="F229" s="1" t="s">
        <v>16</v>
      </c>
      <c r="G229" s="1" t="s">
        <v>27</v>
      </c>
      <c r="H229" s="1" t="s">
        <v>28</v>
      </c>
      <c r="I229" s="1" t="s">
        <v>40</v>
      </c>
    </row>
    <row r="230">
      <c r="A230" s="1">
        <v>1273119.0</v>
      </c>
      <c r="B230" s="1" t="s">
        <v>550</v>
      </c>
      <c r="C230" s="1" t="s">
        <v>218</v>
      </c>
      <c r="D230" s="1" t="s">
        <v>231</v>
      </c>
      <c r="E230" s="1" t="s">
        <v>551</v>
      </c>
      <c r="F230" s="1" t="s">
        <v>16</v>
      </c>
      <c r="G230" s="1" t="s">
        <v>17</v>
      </c>
      <c r="H230" s="1" t="s">
        <v>18</v>
      </c>
      <c r="I230" s="1" t="s">
        <v>19</v>
      </c>
    </row>
    <row r="231">
      <c r="A231" s="1">
        <v>1274062.0</v>
      </c>
      <c r="B231" s="1" t="s">
        <v>552</v>
      </c>
      <c r="C231" s="1" t="s">
        <v>218</v>
      </c>
      <c r="D231" s="1" t="s">
        <v>300</v>
      </c>
      <c r="E231" s="1" t="s">
        <v>553</v>
      </c>
      <c r="F231" s="1" t="s">
        <v>16</v>
      </c>
      <c r="G231" s="1" t="s">
        <v>23</v>
      </c>
      <c r="H231" s="1" t="s">
        <v>18</v>
      </c>
      <c r="I231" s="1" t="s">
        <v>59</v>
      </c>
    </row>
    <row r="232">
      <c r="A232" s="1">
        <v>1211127.0</v>
      </c>
      <c r="B232" s="1" t="s">
        <v>554</v>
      </c>
      <c r="C232" s="1" t="s">
        <v>218</v>
      </c>
      <c r="D232" s="1" t="s">
        <v>286</v>
      </c>
      <c r="E232" s="1" t="s">
        <v>555</v>
      </c>
      <c r="F232" s="1" t="s">
        <v>55</v>
      </c>
      <c r="G232" s="1" t="s">
        <v>17</v>
      </c>
      <c r="H232" s="1" t="s">
        <v>18</v>
      </c>
      <c r="I232" s="1" t="s">
        <v>19</v>
      </c>
    </row>
    <row r="233">
      <c r="A233" s="1">
        <v>1272010.0</v>
      </c>
      <c r="B233" s="1" t="s">
        <v>556</v>
      </c>
      <c r="C233" s="1" t="s">
        <v>218</v>
      </c>
      <c r="D233" s="1" t="s">
        <v>234</v>
      </c>
      <c r="E233" s="1" t="s">
        <v>557</v>
      </c>
      <c r="F233" s="1" t="s">
        <v>16</v>
      </c>
      <c r="G233" s="1" t="s">
        <v>17</v>
      </c>
      <c r="H233" s="1" t="s">
        <v>28</v>
      </c>
      <c r="I233" s="1" t="s">
        <v>29</v>
      </c>
    </row>
    <row r="234">
      <c r="A234" s="1">
        <v>1275931.0</v>
      </c>
      <c r="B234" s="1" t="s">
        <v>558</v>
      </c>
      <c r="C234" s="1" t="s">
        <v>218</v>
      </c>
      <c r="D234" s="1" t="s">
        <v>239</v>
      </c>
      <c r="E234" s="1" t="s">
        <v>559</v>
      </c>
      <c r="F234" s="1" t="s">
        <v>16</v>
      </c>
      <c r="G234" s="1" t="s">
        <v>17</v>
      </c>
      <c r="H234" s="1" t="s">
        <v>18</v>
      </c>
      <c r="I234" s="1" t="s">
        <v>44</v>
      </c>
    </row>
    <row r="235">
      <c r="A235" s="1">
        <v>1212179.0</v>
      </c>
      <c r="B235" s="1" t="s">
        <v>259</v>
      </c>
      <c r="C235" s="1" t="s">
        <v>218</v>
      </c>
      <c r="D235" s="1" t="s">
        <v>225</v>
      </c>
      <c r="E235" s="1" t="s">
        <v>560</v>
      </c>
      <c r="F235" s="1" t="s">
        <v>16</v>
      </c>
      <c r="G235" s="1" t="s">
        <v>17</v>
      </c>
      <c r="H235" s="1" t="s">
        <v>18</v>
      </c>
      <c r="I235" s="1" t="s">
        <v>44</v>
      </c>
    </row>
    <row r="236">
      <c r="A236" s="1">
        <v>1275152.0</v>
      </c>
      <c r="B236" s="1" t="s">
        <v>561</v>
      </c>
      <c r="C236" s="1" t="s">
        <v>218</v>
      </c>
      <c r="D236" s="1" t="s">
        <v>239</v>
      </c>
      <c r="E236" s="1" t="s">
        <v>562</v>
      </c>
      <c r="F236" s="1" t="s">
        <v>16</v>
      </c>
      <c r="G236" s="1" t="s">
        <v>23</v>
      </c>
      <c r="H236" s="1" t="s">
        <v>18</v>
      </c>
      <c r="I236" s="1" t="s">
        <v>563</v>
      </c>
    </row>
    <row r="237">
      <c r="A237" s="1">
        <v>1219015.0</v>
      </c>
      <c r="B237" s="1" t="s">
        <v>564</v>
      </c>
      <c r="C237" s="1" t="s">
        <v>218</v>
      </c>
      <c r="D237" s="1" t="s">
        <v>309</v>
      </c>
      <c r="E237" s="1" t="s">
        <v>565</v>
      </c>
      <c r="F237" s="1" t="s">
        <v>16</v>
      </c>
      <c r="G237" s="1" t="s">
        <v>23</v>
      </c>
      <c r="H237" s="1" t="s">
        <v>18</v>
      </c>
      <c r="I237" s="1" t="s">
        <v>19</v>
      </c>
    </row>
    <row r="238">
      <c r="A238" s="1">
        <v>1203055.0</v>
      </c>
      <c r="B238" s="1" t="s">
        <v>566</v>
      </c>
      <c r="C238" s="1" t="s">
        <v>218</v>
      </c>
      <c r="D238" s="1" t="s">
        <v>567</v>
      </c>
      <c r="E238" s="1" t="s">
        <v>568</v>
      </c>
      <c r="F238" s="1" t="s">
        <v>16</v>
      </c>
      <c r="G238" s="1" t="s">
        <v>17</v>
      </c>
      <c r="H238" s="1" t="s">
        <v>28</v>
      </c>
      <c r="I238" s="1" t="s">
        <v>40</v>
      </c>
    </row>
    <row r="239">
      <c r="A239" s="1">
        <v>1208064.0</v>
      </c>
      <c r="B239" s="1" t="s">
        <v>569</v>
      </c>
      <c r="C239" s="1" t="s">
        <v>218</v>
      </c>
      <c r="D239" s="1" t="s">
        <v>228</v>
      </c>
      <c r="E239" s="1" t="s">
        <v>570</v>
      </c>
      <c r="F239" s="1" t="s">
        <v>16</v>
      </c>
      <c r="G239" s="1" t="s">
        <v>23</v>
      </c>
      <c r="H239" s="1" t="s">
        <v>18</v>
      </c>
      <c r="I239" s="1" t="s">
        <v>44</v>
      </c>
    </row>
    <row r="240">
      <c r="A240" s="1">
        <v>1275794.0</v>
      </c>
      <c r="B240" s="1" t="s">
        <v>571</v>
      </c>
      <c r="C240" s="1" t="s">
        <v>218</v>
      </c>
      <c r="D240" s="1" t="s">
        <v>225</v>
      </c>
      <c r="E240" s="1" t="s">
        <v>572</v>
      </c>
      <c r="F240" s="1" t="s">
        <v>16</v>
      </c>
      <c r="G240" s="1" t="s">
        <v>27</v>
      </c>
      <c r="H240" s="1" t="s">
        <v>28</v>
      </c>
      <c r="I240" s="1" t="s">
        <v>139</v>
      </c>
    </row>
    <row r="241">
      <c r="A241" s="1">
        <v>1275011.0</v>
      </c>
      <c r="B241" s="1" t="s">
        <v>573</v>
      </c>
      <c r="C241" s="1" t="s">
        <v>218</v>
      </c>
      <c r="D241" s="1" t="s">
        <v>239</v>
      </c>
      <c r="E241" s="1" t="s">
        <v>574</v>
      </c>
      <c r="F241" s="1" t="s">
        <v>16</v>
      </c>
      <c r="G241" s="1" t="s">
        <v>17</v>
      </c>
      <c r="H241" s="1" t="s">
        <v>18</v>
      </c>
      <c r="I241" s="1" t="s">
        <v>19</v>
      </c>
    </row>
    <row r="242">
      <c r="A242" s="1">
        <v>1219017.0</v>
      </c>
      <c r="B242" s="1" t="s">
        <v>575</v>
      </c>
      <c r="C242" s="1" t="s">
        <v>218</v>
      </c>
      <c r="D242" s="1" t="s">
        <v>309</v>
      </c>
      <c r="E242" s="1" t="s">
        <v>576</v>
      </c>
      <c r="F242" s="1" t="s">
        <v>16</v>
      </c>
      <c r="G242" s="1" t="s">
        <v>27</v>
      </c>
      <c r="H242" s="1" t="s">
        <v>18</v>
      </c>
      <c r="I242" s="1" t="s">
        <v>44</v>
      </c>
    </row>
    <row r="243">
      <c r="A243" s="1">
        <v>1210010.0</v>
      </c>
      <c r="B243" s="1" t="s">
        <v>577</v>
      </c>
      <c r="C243" s="1" t="s">
        <v>218</v>
      </c>
      <c r="D243" s="1" t="s">
        <v>291</v>
      </c>
      <c r="E243" s="1" t="s">
        <v>578</v>
      </c>
      <c r="F243" s="1" t="s">
        <v>16</v>
      </c>
      <c r="G243" s="1" t="s">
        <v>17</v>
      </c>
      <c r="H243" s="1" t="s">
        <v>28</v>
      </c>
      <c r="I243" s="1" t="s">
        <v>40</v>
      </c>
    </row>
    <row r="244">
      <c r="A244" s="1">
        <v>1223005.0</v>
      </c>
      <c r="B244" s="1" t="s">
        <v>579</v>
      </c>
      <c r="C244" s="1" t="s">
        <v>218</v>
      </c>
      <c r="D244" s="1" t="s">
        <v>419</v>
      </c>
      <c r="E244" s="1" t="s">
        <v>580</v>
      </c>
      <c r="F244" s="1" t="s">
        <v>16</v>
      </c>
      <c r="G244" s="1" t="s">
        <v>23</v>
      </c>
      <c r="H244" s="1" t="s">
        <v>33</v>
      </c>
      <c r="I244" s="1" t="s">
        <v>163</v>
      </c>
    </row>
    <row r="245">
      <c r="A245" s="1">
        <v>1212136.0</v>
      </c>
      <c r="B245" s="1" t="s">
        <v>581</v>
      </c>
      <c r="C245" s="1" t="s">
        <v>218</v>
      </c>
      <c r="D245" s="1" t="s">
        <v>225</v>
      </c>
      <c r="E245" s="1" t="s">
        <v>582</v>
      </c>
      <c r="F245" s="1" t="s">
        <v>16</v>
      </c>
      <c r="G245" s="1" t="s">
        <v>17</v>
      </c>
      <c r="H245" s="1" t="s">
        <v>18</v>
      </c>
      <c r="I245" s="1" t="s">
        <v>59</v>
      </c>
    </row>
    <row r="246">
      <c r="A246" s="1">
        <v>1221002.0</v>
      </c>
      <c r="B246" s="1" t="s">
        <v>583</v>
      </c>
      <c r="C246" s="1" t="s">
        <v>218</v>
      </c>
      <c r="D246" s="1" t="s">
        <v>567</v>
      </c>
      <c r="E246" s="1" t="s">
        <v>584</v>
      </c>
      <c r="F246" s="1" t="s">
        <v>16</v>
      </c>
      <c r="G246" s="1" t="s">
        <v>23</v>
      </c>
      <c r="H246" s="1" t="s">
        <v>18</v>
      </c>
      <c r="I246" s="1" t="s">
        <v>19</v>
      </c>
    </row>
    <row r="247">
      <c r="A247" s="1">
        <v>1275046.0</v>
      </c>
      <c r="B247" s="1" t="s">
        <v>585</v>
      </c>
      <c r="C247" s="1" t="s">
        <v>218</v>
      </c>
      <c r="D247" s="1" t="s">
        <v>239</v>
      </c>
      <c r="E247" s="1" t="s">
        <v>586</v>
      </c>
      <c r="F247" s="1" t="s">
        <v>16</v>
      </c>
      <c r="G247" s="1" t="s">
        <v>27</v>
      </c>
      <c r="H247" s="1" t="s">
        <v>33</v>
      </c>
      <c r="I247" s="1" t="s">
        <v>65</v>
      </c>
    </row>
    <row r="248">
      <c r="A248" s="1">
        <v>1225013.0</v>
      </c>
      <c r="B248" s="1" t="s">
        <v>587</v>
      </c>
      <c r="C248" s="1" t="s">
        <v>218</v>
      </c>
      <c r="D248" s="1" t="s">
        <v>276</v>
      </c>
      <c r="E248" s="1" t="s">
        <v>588</v>
      </c>
      <c r="F248" s="1" t="s">
        <v>16</v>
      </c>
      <c r="G248" s="1" t="s">
        <v>98</v>
      </c>
      <c r="H248" s="1" t="s">
        <v>18</v>
      </c>
      <c r="I248" s="1" t="s">
        <v>40</v>
      </c>
    </row>
    <row r="249">
      <c r="A249" s="1">
        <v>1275898.0</v>
      </c>
      <c r="B249" s="1" t="s">
        <v>589</v>
      </c>
      <c r="C249" s="1" t="s">
        <v>218</v>
      </c>
      <c r="D249" s="1" t="s">
        <v>239</v>
      </c>
      <c r="E249" s="1" t="s">
        <v>590</v>
      </c>
      <c r="F249" s="1" t="s">
        <v>272</v>
      </c>
      <c r="G249" s="1" t="s">
        <v>17</v>
      </c>
      <c r="H249" s="1" t="s">
        <v>18</v>
      </c>
      <c r="I249" s="1" t="s">
        <v>44</v>
      </c>
    </row>
    <row r="250">
      <c r="A250" s="1">
        <v>1218029.0</v>
      </c>
      <c r="B250" s="1" t="s">
        <v>591</v>
      </c>
      <c r="C250" s="1" t="s">
        <v>218</v>
      </c>
      <c r="D250" s="1" t="s">
        <v>344</v>
      </c>
      <c r="E250" s="1" t="s">
        <v>592</v>
      </c>
      <c r="F250" s="1" t="s">
        <v>16</v>
      </c>
      <c r="G250" s="1" t="s">
        <v>23</v>
      </c>
      <c r="H250" s="1" t="s">
        <v>18</v>
      </c>
      <c r="I250" s="1" t="s">
        <v>19</v>
      </c>
    </row>
    <row r="251">
      <c r="A251" s="1">
        <v>1212185.0</v>
      </c>
      <c r="B251" s="1" t="s">
        <v>593</v>
      </c>
      <c r="C251" s="1" t="s">
        <v>218</v>
      </c>
      <c r="D251" s="1" t="s">
        <v>225</v>
      </c>
      <c r="E251" s="1" t="s">
        <v>594</v>
      </c>
      <c r="F251" s="1" t="s">
        <v>16</v>
      </c>
      <c r="G251" s="1" t="s">
        <v>17</v>
      </c>
      <c r="H251" s="1" t="s">
        <v>28</v>
      </c>
      <c r="I251" s="1" t="s">
        <v>40</v>
      </c>
    </row>
    <row r="252">
      <c r="A252" s="1">
        <v>1275885.0</v>
      </c>
      <c r="B252" s="1" t="s">
        <v>595</v>
      </c>
      <c r="C252" s="1" t="s">
        <v>218</v>
      </c>
      <c r="D252" s="1" t="s">
        <v>239</v>
      </c>
      <c r="E252" s="1" t="s">
        <v>596</v>
      </c>
      <c r="F252" s="1" t="s">
        <v>16</v>
      </c>
      <c r="G252" s="1" t="s">
        <v>23</v>
      </c>
      <c r="H252" s="1" t="s">
        <v>18</v>
      </c>
      <c r="I252" s="1" t="s">
        <v>59</v>
      </c>
    </row>
    <row r="253">
      <c r="A253" s="1">
        <v>1275633.0</v>
      </c>
      <c r="B253" s="1" t="s">
        <v>597</v>
      </c>
      <c r="C253" s="1" t="s">
        <v>218</v>
      </c>
      <c r="D253" s="1" t="s">
        <v>239</v>
      </c>
      <c r="E253" s="1" t="s">
        <v>598</v>
      </c>
      <c r="F253" s="1" t="s">
        <v>16</v>
      </c>
      <c r="G253" s="1" t="s">
        <v>17</v>
      </c>
      <c r="H253" s="1" t="s">
        <v>18</v>
      </c>
      <c r="I253" s="1" t="s">
        <v>44</v>
      </c>
    </row>
    <row r="254">
      <c r="A254" s="1">
        <v>1275914.0</v>
      </c>
      <c r="B254" s="1" t="s">
        <v>599</v>
      </c>
      <c r="C254" s="1" t="s">
        <v>218</v>
      </c>
      <c r="D254" s="1" t="s">
        <v>239</v>
      </c>
      <c r="E254" s="1" t="s">
        <v>600</v>
      </c>
      <c r="F254" s="1" t="s">
        <v>272</v>
      </c>
      <c r="G254" s="1" t="s">
        <v>17</v>
      </c>
      <c r="H254" s="1" t="s">
        <v>18</v>
      </c>
      <c r="I254" s="1" t="s">
        <v>19</v>
      </c>
    </row>
    <row r="255">
      <c r="A255" s="1">
        <v>1208016.0</v>
      </c>
      <c r="B255" s="1" t="s">
        <v>601</v>
      </c>
      <c r="C255" s="1" t="s">
        <v>218</v>
      </c>
      <c r="D255" s="1" t="s">
        <v>228</v>
      </c>
      <c r="E255" s="1" t="s">
        <v>602</v>
      </c>
      <c r="F255" s="1" t="s">
        <v>16</v>
      </c>
      <c r="G255" s="1" t="s">
        <v>17</v>
      </c>
      <c r="H255" s="1" t="s">
        <v>28</v>
      </c>
      <c r="I255" s="1" t="s">
        <v>40</v>
      </c>
    </row>
    <row r="256">
      <c r="A256" s="1">
        <v>1271033.0</v>
      </c>
      <c r="B256" s="1" t="s">
        <v>603</v>
      </c>
      <c r="C256" s="1" t="s">
        <v>218</v>
      </c>
      <c r="D256" s="1" t="s">
        <v>322</v>
      </c>
      <c r="E256" s="1" t="s">
        <v>604</v>
      </c>
      <c r="F256" s="1" t="s">
        <v>16</v>
      </c>
      <c r="G256" s="1" t="s">
        <v>17</v>
      </c>
      <c r="H256" s="1" t="s">
        <v>18</v>
      </c>
      <c r="I256" s="1" t="s">
        <v>19</v>
      </c>
    </row>
    <row r="257">
      <c r="A257" s="1">
        <v>1275889.0</v>
      </c>
      <c r="B257" s="1" t="s">
        <v>605</v>
      </c>
      <c r="C257" s="1" t="s">
        <v>218</v>
      </c>
      <c r="D257" s="1" t="s">
        <v>239</v>
      </c>
      <c r="E257" s="1" t="s">
        <v>606</v>
      </c>
      <c r="F257" s="1" t="s">
        <v>16</v>
      </c>
      <c r="G257" s="1" t="s">
        <v>150</v>
      </c>
      <c r="H257" s="1" t="s">
        <v>18</v>
      </c>
      <c r="I257" s="1" t="s">
        <v>44</v>
      </c>
    </row>
    <row r="258">
      <c r="A258" s="1">
        <v>1214011.0</v>
      </c>
      <c r="B258" s="1" t="s">
        <v>607</v>
      </c>
      <c r="C258" s="1" t="s">
        <v>218</v>
      </c>
      <c r="D258" s="1" t="s">
        <v>251</v>
      </c>
      <c r="E258" s="1" t="s">
        <v>608</v>
      </c>
      <c r="F258" s="1" t="s">
        <v>16</v>
      </c>
      <c r="G258" s="1" t="s">
        <v>23</v>
      </c>
      <c r="H258" s="1" t="s">
        <v>18</v>
      </c>
      <c r="I258" s="1" t="s">
        <v>249</v>
      </c>
    </row>
    <row r="259">
      <c r="A259" s="1">
        <v>1213058.0</v>
      </c>
      <c r="B259" s="1" t="s">
        <v>609</v>
      </c>
      <c r="C259" s="1" t="s">
        <v>218</v>
      </c>
      <c r="D259" s="1" t="s">
        <v>222</v>
      </c>
      <c r="E259" s="1" t="s">
        <v>610</v>
      </c>
      <c r="F259" s="1" t="s">
        <v>16</v>
      </c>
      <c r="G259" s="1" t="s">
        <v>23</v>
      </c>
      <c r="H259" s="1" t="s">
        <v>18</v>
      </c>
      <c r="I259" s="1" t="s">
        <v>44</v>
      </c>
    </row>
    <row r="260">
      <c r="A260" s="1">
        <v>1273108.0</v>
      </c>
      <c r="B260" s="1" t="s">
        <v>611</v>
      </c>
      <c r="C260" s="1" t="s">
        <v>218</v>
      </c>
      <c r="D260" s="1" t="s">
        <v>231</v>
      </c>
      <c r="E260" s="1" t="s">
        <v>612</v>
      </c>
      <c r="F260" s="1" t="s">
        <v>16</v>
      </c>
      <c r="G260" s="1" t="s">
        <v>23</v>
      </c>
      <c r="H260" s="1" t="s">
        <v>18</v>
      </c>
      <c r="I260" s="1" t="s">
        <v>19</v>
      </c>
    </row>
    <row r="261">
      <c r="A261" s="1">
        <v>1273022.0</v>
      </c>
      <c r="B261" s="1" t="s">
        <v>613</v>
      </c>
      <c r="C261" s="1" t="s">
        <v>218</v>
      </c>
      <c r="D261" s="1" t="s">
        <v>231</v>
      </c>
      <c r="E261" s="1" t="s">
        <v>614</v>
      </c>
      <c r="F261" s="1" t="s">
        <v>16</v>
      </c>
      <c r="G261" s="1" t="s">
        <v>17</v>
      </c>
      <c r="H261" s="1" t="s">
        <v>18</v>
      </c>
      <c r="I261" s="1" t="s">
        <v>74</v>
      </c>
    </row>
    <row r="262">
      <c r="A262" s="1">
        <v>1275221.0</v>
      </c>
      <c r="B262" s="1" t="s">
        <v>615</v>
      </c>
      <c r="C262" s="1" t="s">
        <v>218</v>
      </c>
      <c r="D262" s="1" t="s">
        <v>239</v>
      </c>
      <c r="E262" s="1" t="s">
        <v>616</v>
      </c>
      <c r="F262" s="1" t="s">
        <v>174</v>
      </c>
      <c r="G262" s="1" t="s">
        <v>150</v>
      </c>
      <c r="H262" s="1" t="s">
        <v>18</v>
      </c>
      <c r="I262" s="1" t="s">
        <v>139</v>
      </c>
    </row>
    <row r="263">
      <c r="A263" s="1">
        <v>1275890.0</v>
      </c>
      <c r="B263" s="1" t="s">
        <v>617</v>
      </c>
      <c r="C263" s="1" t="s">
        <v>218</v>
      </c>
      <c r="D263" s="1" t="s">
        <v>239</v>
      </c>
      <c r="E263" s="1" t="s">
        <v>618</v>
      </c>
      <c r="F263" s="1" t="s">
        <v>16</v>
      </c>
      <c r="G263" s="1" t="s">
        <v>17</v>
      </c>
      <c r="H263" s="1" t="s">
        <v>18</v>
      </c>
      <c r="I263" s="1" t="s">
        <v>44</v>
      </c>
    </row>
    <row r="264">
      <c r="A264" s="1">
        <v>1202029.0</v>
      </c>
      <c r="B264" s="1" t="s">
        <v>619</v>
      </c>
      <c r="C264" s="1" t="s">
        <v>218</v>
      </c>
      <c r="D264" s="1" t="s">
        <v>263</v>
      </c>
      <c r="E264" s="1" t="s">
        <v>620</v>
      </c>
      <c r="F264" s="1" t="s">
        <v>16</v>
      </c>
      <c r="G264" s="1" t="s">
        <v>17</v>
      </c>
      <c r="H264" s="1" t="s">
        <v>18</v>
      </c>
      <c r="I264" s="1" t="s">
        <v>59</v>
      </c>
    </row>
    <row r="265">
      <c r="A265" s="1">
        <v>1212183.0</v>
      </c>
      <c r="B265" s="1" t="s">
        <v>621</v>
      </c>
      <c r="C265" s="1" t="s">
        <v>218</v>
      </c>
      <c r="D265" s="1" t="s">
        <v>225</v>
      </c>
      <c r="E265" s="1" t="s">
        <v>622</v>
      </c>
      <c r="F265" s="1" t="s">
        <v>16</v>
      </c>
      <c r="G265" s="1" t="s">
        <v>17</v>
      </c>
      <c r="H265" s="1" t="s">
        <v>18</v>
      </c>
      <c r="I265" s="1" t="s">
        <v>44</v>
      </c>
    </row>
    <row r="266">
      <c r="A266" s="1">
        <v>1205013.0</v>
      </c>
      <c r="B266" s="1" t="s">
        <v>623</v>
      </c>
      <c r="C266" s="1" t="s">
        <v>218</v>
      </c>
      <c r="D266" s="1" t="s">
        <v>247</v>
      </c>
      <c r="E266" s="1" t="s">
        <v>624</v>
      </c>
      <c r="F266" s="1" t="s">
        <v>16</v>
      </c>
      <c r="G266" s="1" t="s">
        <v>27</v>
      </c>
      <c r="H266" s="1" t="s">
        <v>28</v>
      </c>
      <c r="I266" s="1" t="s">
        <v>40</v>
      </c>
    </row>
    <row r="267">
      <c r="A267" s="1">
        <v>1211033.0</v>
      </c>
      <c r="B267" s="1" t="s">
        <v>625</v>
      </c>
      <c r="C267" s="1" t="s">
        <v>218</v>
      </c>
      <c r="D267" s="1" t="s">
        <v>286</v>
      </c>
      <c r="E267" s="1" t="s">
        <v>626</v>
      </c>
      <c r="F267" s="1" t="s">
        <v>16</v>
      </c>
      <c r="G267" s="1" t="s">
        <v>17</v>
      </c>
      <c r="H267" s="1" t="s">
        <v>18</v>
      </c>
      <c r="I267" s="1" t="s">
        <v>139</v>
      </c>
    </row>
    <row r="268">
      <c r="A268" s="1">
        <v>1206063.0</v>
      </c>
      <c r="B268" s="1" t="s">
        <v>627</v>
      </c>
      <c r="C268" s="1" t="s">
        <v>218</v>
      </c>
      <c r="D268" s="1" t="s">
        <v>367</v>
      </c>
      <c r="E268" s="1" t="s">
        <v>628</v>
      </c>
      <c r="F268" s="1" t="s">
        <v>16</v>
      </c>
      <c r="G268" s="1" t="s">
        <v>23</v>
      </c>
      <c r="H268" s="1" t="s">
        <v>18</v>
      </c>
      <c r="I268" s="1" t="s">
        <v>44</v>
      </c>
    </row>
    <row r="269">
      <c r="A269" s="1">
        <v>1208057.0</v>
      </c>
      <c r="B269" s="1" t="s">
        <v>629</v>
      </c>
      <c r="C269" s="1" t="s">
        <v>218</v>
      </c>
      <c r="D269" s="1" t="s">
        <v>228</v>
      </c>
      <c r="E269" s="1" t="s">
        <v>630</v>
      </c>
      <c r="F269" s="1" t="s">
        <v>16</v>
      </c>
      <c r="G269" s="1" t="s">
        <v>23</v>
      </c>
      <c r="H269" s="1" t="s">
        <v>18</v>
      </c>
      <c r="I269" s="1" t="s">
        <v>19</v>
      </c>
    </row>
    <row r="270">
      <c r="A270" s="1">
        <v>1213024.0</v>
      </c>
      <c r="B270" s="1" t="s">
        <v>631</v>
      </c>
      <c r="C270" s="1" t="s">
        <v>218</v>
      </c>
      <c r="D270" s="1" t="s">
        <v>222</v>
      </c>
      <c r="E270" s="1" t="s">
        <v>632</v>
      </c>
      <c r="F270" s="1" t="s">
        <v>16</v>
      </c>
      <c r="G270" s="1" t="s">
        <v>17</v>
      </c>
      <c r="H270" s="1" t="s">
        <v>18</v>
      </c>
      <c r="I270" s="1" t="s">
        <v>113</v>
      </c>
    </row>
    <row r="271">
      <c r="A271" s="1">
        <v>1218013.0</v>
      </c>
      <c r="B271" s="1" t="s">
        <v>633</v>
      </c>
      <c r="C271" s="1" t="s">
        <v>218</v>
      </c>
      <c r="D271" s="1" t="s">
        <v>344</v>
      </c>
      <c r="E271" s="1" t="s">
        <v>634</v>
      </c>
      <c r="F271" s="1" t="s">
        <v>16</v>
      </c>
      <c r="G271" s="1" t="s">
        <v>23</v>
      </c>
      <c r="H271" s="1" t="s">
        <v>18</v>
      </c>
      <c r="I271" s="1" t="s">
        <v>59</v>
      </c>
    </row>
    <row r="272">
      <c r="A272" s="1">
        <v>1276076.0</v>
      </c>
      <c r="B272" s="1" t="s">
        <v>635</v>
      </c>
      <c r="C272" s="1" t="s">
        <v>218</v>
      </c>
      <c r="D272" s="1" t="s">
        <v>268</v>
      </c>
      <c r="E272" s="1" t="s">
        <v>636</v>
      </c>
      <c r="F272" s="1" t="s">
        <v>16</v>
      </c>
      <c r="G272" s="1" t="s">
        <v>23</v>
      </c>
      <c r="H272" s="1" t="s">
        <v>18</v>
      </c>
      <c r="I272" s="1" t="s">
        <v>44</v>
      </c>
    </row>
    <row r="273">
      <c r="A273" s="1">
        <v>1275072.0</v>
      </c>
      <c r="B273" s="1" t="s">
        <v>637</v>
      </c>
      <c r="C273" s="1" t="s">
        <v>218</v>
      </c>
      <c r="D273" s="1" t="s">
        <v>239</v>
      </c>
      <c r="E273" s="1" t="s">
        <v>638</v>
      </c>
      <c r="F273" s="1" t="s">
        <v>16</v>
      </c>
      <c r="G273" s="1" t="s">
        <v>27</v>
      </c>
      <c r="H273" s="1" t="s">
        <v>18</v>
      </c>
      <c r="I273" s="1" t="s">
        <v>249</v>
      </c>
    </row>
    <row r="274">
      <c r="A274" s="1">
        <v>1202017.0</v>
      </c>
      <c r="B274" s="1" t="s">
        <v>639</v>
      </c>
      <c r="C274" s="1" t="s">
        <v>218</v>
      </c>
      <c r="D274" s="1" t="s">
        <v>263</v>
      </c>
      <c r="E274" s="1" t="s">
        <v>640</v>
      </c>
      <c r="F274" s="1" t="s">
        <v>16</v>
      </c>
      <c r="G274" s="1" t="s">
        <v>23</v>
      </c>
      <c r="H274" s="1" t="s">
        <v>28</v>
      </c>
      <c r="I274" s="1" t="s">
        <v>40</v>
      </c>
    </row>
    <row r="275">
      <c r="A275" s="1">
        <v>1275012.0</v>
      </c>
      <c r="B275" s="1" t="s">
        <v>641</v>
      </c>
      <c r="C275" s="1" t="s">
        <v>218</v>
      </c>
      <c r="D275" s="1" t="s">
        <v>239</v>
      </c>
      <c r="E275" s="1" t="s">
        <v>642</v>
      </c>
      <c r="F275" s="1" t="s">
        <v>16</v>
      </c>
      <c r="G275" s="1" t="s">
        <v>17</v>
      </c>
      <c r="H275" s="1" t="s">
        <v>18</v>
      </c>
      <c r="I275" s="1" t="s">
        <v>29</v>
      </c>
    </row>
    <row r="276">
      <c r="A276" s="1">
        <v>1276014.0</v>
      </c>
      <c r="B276" s="1" t="s">
        <v>643</v>
      </c>
      <c r="C276" s="1" t="s">
        <v>218</v>
      </c>
      <c r="D276" s="1" t="s">
        <v>268</v>
      </c>
      <c r="E276" s="1" t="s">
        <v>644</v>
      </c>
      <c r="F276" s="1" t="s">
        <v>16</v>
      </c>
      <c r="G276" s="1" t="s">
        <v>27</v>
      </c>
      <c r="H276" s="1" t="s">
        <v>28</v>
      </c>
      <c r="I276" s="1" t="s">
        <v>29</v>
      </c>
    </row>
    <row r="277">
      <c r="A277" s="1">
        <v>1276078.0</v>
      </c>
      <c r="B277" s="1" t="s">
        <v>645</v>
      </c>
      <c r="C277" s="1" t="s">
        <v>218</v>
      </c>
      <c r="D277" s="1" t="s">
        <v>268</v>
      </c>
      <c r="E277" s="1" t="s">
        <v>646</v>
      </c>
      <c r="F277" s="1" t="s">
        <v>16</v>
      </c>
      <c r="G277" s="1" t="s">
        <v>17</v>
      </c>
      <c r="H277" s="1" t="s">
        <v>18</v>
      </c>
      <c r="I277" s="1" t="s">
        <v>59</v>
      </c>
    </row>
    <row r="278">
      <c r="A278" s="1">
        <v>1275702.0</v>
      </c>
      <c r="B278" s="1" t="s">
        <v>647</v>
      </c>
      <c r="C278" s="1" t="s">
        <v>218</v>
      </c>
      <c r="D278" s="1" t="s">
        <v>239</v>
      </c>
      <c r="E278" s="1" t="s">
        <v>648</v>
      </c>
      <c r="F278" s="1" t="s">
        <v>16</v>
      </c>
      <c r="G278" s="1" t="s">
        <v>23</v>
      </c>
      <c r="H278" s="1" t="s">
        <v>18</v>
      </c>
      <c r="I278" s="1" t="s">
        <v>59</v>
      </c>
    </row>
    <row r="279">
      <c r="A279" s="1">
        <v>1203067.0</v>
      </c>
      <c r="B279" s="1" t="s">
        <v>649</v>
      </c>
      <c r="C279" s="1" t="s">
        <v>218</v>
      </c>
      <c r="D279" s="1" t="s">
        <v>508</v>
      </c>
      <c r="E279" s="1" t="s">
        <v>650</v>
      </c>
      <c r="F279" s="1" t="s">
        <v>16</v>
      </c>
      <c r="G279" s="1" t="s">
        <v>23</v>
      </c>
      <c r="H279" s="1" t="s">
        <v>18</v>
      </c>
      <c r="I279" s="1" t="s">
        <v>65</v>
      </c>
    </row>
    <row r="280">
      <c r="A280" s="1">
        <v>1276074.0</v>
      </c>
      <c r="B280" s="1" t="s">
        <v>651</v>
      </c>
      <c r="C280" s="1" t="s">
        <v>218</v>
      </c>
      <c r="D280" s="1" t="s">
        <v>268</v>
      </c>
      <c r="E280" s="1" t="s">
        <v>652</v>
      </c>
      <c r="F280" s="1" t="s">
        <v>16</v>
      </c>
      <c r="G280" s="1" t="s">
        <v>17</v>
      </c>
      <c r="H280" s="1" t="s">
        <v>18</v>
      </c>
      <c r="I280" s="1" t="s">
        <v>44</v>
      </c>
    </row>
    <row r="281">
      <c r="A281" s="1">
        <v>1212174.0</v>
      </c>
      <c r="B281" s="1" t="s">
        <v>653</v>
      </c>
      <c r="C281" s="1" t="s">
        <v>218</v>
      </c>
      <c r="D281" s="1" t="s">
        <v>225</v>
      </c>
      <c r="E281" s="1" t="s">
        <v>654</v>
      </c>
      <c r="F281" s="1" t="s">
        <v>16</v>
      </c>
      <c r="G281" s="1" t="s">
        <v>23</v>
      </c>
      <c r="H281" s="1" t="s">
        <v>18</v>
      </c>
      <c r="I281" s="1" t="s">
        <v>59</v>
      </c>
    </row>
    <row r="282">
      <c r="A282" s="1">
        <v>1208053.0</v>
      </c>
      <c r="B282" s="1" t="s">
        <v>655</v>
      </c>
      <c r="C282" s="1" t="s">
        <v>218</v>
      </c>
      <c r="D282" s="1" t="s">
        <v>228</v>
      </c>
      <c r="E282" s="1" t="s">
        <v>656</v>
      </c>
      <c r="F282" s="1" t="s">
        <v>16</v>
      </c>
      <c r="G282" s="1" t="s">
        <v>23</v>
      </c>
      <c r="H282" s="1" t="s">
        <v>18</v>
      </c>
      <c r="I282" s="1" t="s">
        <v>44</v>
      </c>
    </row>
    <row r="283">
      <c r="A283" s="1">
        <v>1275999.0</v>
      </c>
      <c r="B283" s="1" t="s">
        <v>657</v>
      </c>
      <c r="C283" s="1" t="s">
        <v>218</v>
      </c>
      <c r="D283" s="1" t="s">
        <v>239</v>
      </c>
      <c r="E283" s="1" t="s">
        <v>658</v>
      </c>
      <c r="F283" s="1" t="s">
        <v>174</v>
      </c>
      <c r="G283" s="1" t="s">
        <v>17</v>
      </c>
      <c r="H283" s="1" t="s">
        <v>18</v>
      </c>
      <c r="I283" s="1" t="s">
        <v>59</v>
      </c>
    </row>
    <row r="284">
      <c r="A284" s="1">
        <v>1218026.0</v>
      </c>
      <c r="B284" s="1" t="s">
        <v>659</v>
      </c>
      <c r="C284" s="1" t="s">
        <v>218</v>
      </c>
      <c r="D284" s="1" t="s">
        <v>344</v>
      </c>
      <c r="E284" s="1" t="s">
        <v>660</v>
      </c>
      <c r="F284" s="1" t="s">
        <v>16</v>
      </c>
      <c r="G284" s="1" t="s">
        <v>17</v>
      </c>
      <c r="H284" s="1" t="s">
        <v>18</v>
      </c>
      <c r="I284" s="1" t="s">
        <v>113</v>
      </c>
    </row>
    <row r="285">
      <c r="A285" s="1">
        <v>1371400.0</v>
      </c>
      <c r="B285" s="1" t="s">
        <v>661</v>
      </c>
      <c r="C285" s="1" t="s">
        <v>662</v>
      </c>
      <c r="D285" s="1" t="s">
        <v>663</v>
      </c>
      <c r="E285" s="1" t="s">
        <v>664</v>
      </c>
      <c r="F285" s="1" t="s">
        <v>55</v>
      </c>
      <c r="G285" s="1" t="s">
        <v>17</v>
      </c>
      <c r="H285" s="1" t="s">
        <v>33</v>
      </c>
      <c r="I285" s="1" t="s">
        <v>59</v>
      </c>
    </row>
    <row r="286">
      <c r="A286" s="1">
        <v>1376017.0</v>
      </c>
      <c r="B286" s="1" t="s">
        <v>665</v>
      </c>
      <c r="C286" s="1" t="s">
        <v>662</v>
      </c>
      <c r="D286" s="1" t="s">
        <v>666</v>
      </c>
      <c r="E286" s="1" t="s">
        <v>667</v>
      </c>
      <c r="F286" s="1" t="s">
        <v>55</v>
      </c>
      <c r="G286" s="1" t="s">
        <v>17</v>
      </c>
      <c r="H286" s="1" t="s">
        <v>18</v>
      </c>
      <c r="I286" s="1" t="s">
        <v>163</v>
      </c>
    </row>
    <row r="287">
      <c r="A287" s="1">
        <v>1306015.0</v>
      </c>
      <c r="B287" s="1" t="s">
        <v>668</v>
      </c>
      <c r="C287" s="1" t="s">
        <v>662</v>
      </c>
      <c r="D287" s="1" t="s">
        <v>669</v>
      </c>
      <c r="E287" s="1" t="s">
        <v>670</v>
      </c>
      <c r="F287" s="1" t="s">
        <v>16</v>
      </c>
      <c r="G287" s="1" t="s">
        <v>27</v>
      </c>
      <c r="H287" s="1" t="s">
        <v>33</v>
      </c>
      <c r="I287" s="1" t="s">
        <v>139</v>
      </c>
    </row>
    <row r="288">
      <c r="A288" s="1">
        <v>1305017.0</v>
      </c>
      <c r="B288" s="1" t="s">
        <v>671</v>
      </c>
      <c r="C288" s="1" t="s">
        <v>662</v>
      </c>
      <c r="D288" s="1" t="s">
        <v>672</v>
      </c>
      <c r="E288" s="1" t="s">
        <v>673</v>
      </c>
      <c r="F288" s="1" t="s">
        <v>16</v>
      </c>
      <c r="G288" s="1" t="s">
        <v>23</v>
      </c>
      <c r="H288" s="1" t="s">
        <v>18</v>
      </c>
      <c r="I288" s="1" t="s">
        <v>19</v>
      </c>
    </row>
    <row r="289">
      <c r="A289" s="1">
        <v>1375025.0</v>
      </c>
      <c r="B289" s="1" t="s">
        <v>674</v>
      </c>
      <c r="C289" s="1" t="s">
        <v>662</v>
      </c>
      <c r="D289" s="1" t="s">
        <v>675</v>
      </c>
      <c r="E289" s="1" t="s">
        <v>676</v>
      </c>
      <c r="F289" s="1" t="s">
        <v>16</v>
      </c>
      <c r="G289" s="1" t="s">
        <v>23</v>
      </c>
      <c r="H289" s="1" t="s">
        <v>18</v>
      </c>
      <c r="I289" s="1" t="s">
        <v>74</v>
      </c>
    </row>
    <row r="290">
      <c r="A290" s="1">
        <v>1371455.0</v>
      </c>
      <c r="B290" s="1" t="s">
        <v>677</v>
      </c>
      <c r="C290" s="1" t="s">
        <v>662</v>
      </c>
      <c r="D290" s="1" t="s">
        <v>663</v>
      </c>
      <c r="E290" s="1" t="s">
        <v>678</v>
      </c>
      <c r="F290" s="1" t="s">
        <v>55</v>
      </c>
      <c r="G290" s="1" t="s">
        <v>17</v>
      </c>
      <c r="H290" s="1" t="s">
        <v>18</v>
      </c>
      <c r="I290" s="1" t="s">
        <v>163</v>
      </c>
    </row>
    <row r="291">
      <c r="A291" s="1">
        <v>1310011.0</v>
      </c>
      <c r="B291" s="1" t="s">
        <v>679</v>
      </c>
      <c r="C291" s="1" t="s">
        <v>662</v>
      </c>
      <c r="D291" s="1" t="s">
        <v>680</v>
      </c>
      <c r="E291" s="1" t="s">
        <v>681</v>
      </c>
      <c r="F291" s="1" t="s">
        <v>16</v>
      </c>
      <c r="G291" s="1" t="s">
        <v>23</v>
      </c>
      <c r="H291" s="1" t="s">
        <v>28</v>
      </c>
      <c r="I291" s="1" t="s">
        <v>40</v>
      </c>
    </row>
    <row r="292">
      <c r="A292" s="1">
        <v>1371091.0</v>
      </c>
      <c r="B292" s="1" t="s">
        <v>682</v>
      </c>
      <c r="C292" s="1" t="s">
        <v>662</v>
      </c>
      <c r="D292" s="1" t="s">
        <v>663</v>
      </c>
      <c r="E292" s="1" t="s">
        <v>683</v>
      </c>
      <c r="F292" s="1" t="s">
        <v>16</v>
      </c>
      <c r="G292" s="1" t="s">
        <v>17</v>
      </c>
      <c r="H292" s="1" t="s">
        <v>18</v>
      </c>
      <c r="I292" s="1" t="s">
        <v>684</v>
      </c>
    </row>
    <row r="293">
      <c r="A293" s="1">
        <v>1371422.0</v>
      </c>
      <c r="B293" s="1" t="s">
        <v>685</v>
      </c>
      <c r="C293" s="1" t="s">
        <v>662</v>
      </c>
      <c r="D293" s="1" t="s">
        <v>663</v>
      </c>
      <c r="E293" s="1" t="s">
        <v>686</v>
      </c>
      <c r="F293" s="1" t="s">
        <v>255</v>
      </c>
      <c r="G293" s="1" t="s">
        <v>17</v>
      </c>
      <c r="H293" s="1" t="s">
        <v>18</v>
      </c>
      <c r="I293" s="1" t="s">
        <v>59</v>
      </c>
    </row>
    <row r="294">
      <c r="A294" s="1">
        <v>1308010.0</v>
      </c>
      <c r="B294" s="1" t="s">
        <v>687</v>
      </c>
      <c r="C294" s="1" t="s">
        <v>662</v>
      </c>
      <c r="D294" s="1" t="s">
        <v>688</v>
      </c>
      <c r="E294" s="1" t="s">
        <v>689</v>
      </c>
      <c r="F294" s="1" t="s">
        <v>16</v>
      </c>
      <c r="G294" s="1" t="s">
        <v>17</v>
      </c>
      <c r="H294" s="1" t="s">
        <v>28</v>
      </c>
      <c r="I294" s="1" t="s">
        <v>40</v>
      </c>
    </row>
    <row r="295">
      <c r="A295" s="1">
        <v>1375040.0</v>
      </c>
      <c r="B295" s="1" t="s">
        <v>690</v>
      </c>
      <c r="C295" s="1" t="s">
        <v>662</v>
      </c>
      <c r="D295" s="1" t="s">
        <v>675</v>
      </c>
      <c r="E295" s="1" t="s">
        <v>691</v>
      </c>
      <c r="F295" s="1" t="s">
        <v>16</v>
      </c>
      <c r="G295" s="1" t="s">
        <v>17</v>
      </c>
      <c r="H295" s="1" t="s">
        <v>18</v>
      </c>
      <c r="I295" s="1" t="s">
        <v>684</v>
      </c>
    </row>
    <row r="296">
      <c r="A296" s="1">
        <v>1372012.0</v>
      </c>
      <c r="B296" s="1" t="s">
        <v>692</v>
      </c>
      <c r="C296" s="1" t="s">
        <v>662</v>
      </c>
      <c r="D296" s="1" t="s">
        <v>693</v>
      </c>
      <c r="E296" s="1" t="s">
        <v>694</v>
      </c>
      <c r="F296" s="1" t="s">
        <v>16</v>
      </c>
      <c r="G296" s="1" t="s">
        <v>23</v>
      </c>
      <c r="H296" s="1" t="s">
        <v>18</v>
      </c>
      <c r="I296" s="1" t="s">
        <v>74</v>
      </c>
    </row>
    <row r="297">
      <c r="A297" s="1">
        <v>1302011.0</v>
      </c>
      <c r="B297" s="1" t="s">
        <v>695</v>
      </c>
      <c r="C297" s="1" t="s">
        <v>662</v>
      </c>
      <c r="D297" s="1" t="s">
        <v>696</v>
      </c>
      <c r="E297" s="1" t="s">
        <v>697</v>
      </c>
      <c r="F297" s="1" t="s">
        <v>16</v>
      </c>
      <c r="G297" s="1" t="s">
        <v>17</v>
      </c>
      <c r="H297" s="1" t="s">
        <v>28</v>
      </c>
      <c r="I297" s="1" t="s">
        <v>40</v>
      </c>
    </row>
    <row r="298">
      <c r="A298" s="1">
        <v>1376011.0</v>
      </c>
      <c r="B298" s="1" t="s">
        <v>698</v>
      </c>
      <c r="C298" s="1" t="s">
        <v>662</v>
      </c>
      <c r="D298" s="1" t="s">
        <v>666</v>
      </c>
      <c r="E298" s="1" t="s">
        <v>699</v>
      </c>
      <c r="F298" s="1" t="s">
        <v>16</v>
      </c>
      <c r="G298" s="1" t="s">
        <v>17</v>
      </c>
      <c r="H298" s="1" t="s">
        <v>18</v>
      </c>
      <c r="I298" s="1" t="s">
        <v>684</v>
      </c>
    </row>
    <row r="299">
      <c r="A299" s="1">
        <v>1371123.0</v>
      </c>
      <c r="B299" s="1" t="s">
        <v>700</v>
      </c>
      <c r="C299" s="1" t="s">
        <v>662</v>
      </c>
      <c r="D299" s="1" t="s">
        <v>663</v>
      </c>
      <c r="E299" s="1" t="s">
        <v>701</v>
      </c>
      <c r="F299" s="1" t="s">
        <v>16</v>
      </c>
      <c r="G299" s="1" t="s">
        <v>17</v>
      </c>
      <c r="H299" s="1" t="s">
        <v>33</v>
      </c>
      <c r="I299" s="1" t="s">
        <v>65</v>
      </c>
    </row>
    <row r="300">
      <c r="A300" s="1">
        <v>1372011.0</v>
      </c>
      <c r="B300" s="1" t="s">
        <v>702</v>
      </c>
      <c r="C300" s="1" t="s">
        <v>662</v>
      </c>
      <c r="D300" s="1" t="s">
        <v>693</v>
      </c>
      <c r="E300" s="1" t="s">
        <v>703</v>
      </c>
      <c r="F300" s="1" t="s">
        <v>16</v>
      </c>
      <c r="G300" s="1" t="s">
        <v>27</v>
      </c>
      <c r="H300" s="1" t="s">
        <v>28</v>
      </c>
      <c r="I300" s="1" t="s">
        <v>139</v>
      </c>
    </row>
    <row r="301">
      <c r="A301" s="1">
        <v>1371446.0</v>
      </c>
      <c r="B301" s="1" t="s">
        <v>704</v>
      </c>
      <c r="C301" s="1" t="s">
        <v>662</v>
      </c>
      <c r="D301" s="1" t="s">
        <v>663</v>
      </c>
      <c r="E301" s="1" t="s">
        <v>705</v>
      </c>
      <c r="F301" s="1" t="s">
        <v>16</v>
      </c>
      <c r="G301" s="1" t="s">
        <v>17</v>
      </c>
      <c r="H301" s="1" t="s">
        <v>18</v>
      </c>
      <c r="I301" s="1" t="s">
        <v>163</v>
      </c>
    </row>
    <row r="302">
      <c r="A302" s="1">
        <v>1372016.0</v>
      </c>
      <c r="B302" s="1" t="s">
        <v>706</v>
      </c>
      <c r="C302" s="1" t="s">
        <v>662</v>
      </c>
      <c r="D302" s="1" t="s">
        <v>693</v>
      </c>
      <c r="E302" s="1" t="s">
        <v>707</v>
      </c>
      <c r="F302" s="1" t="s">
        <v>16</v>
      </c>
      <c r="G302" s="1" t="s">
        <v>17</v>
      </c>
      <c r="H302" s="1" t="s">
        <v>18</v>
      </c>
      <c r="I302" s="1" t="s">
        <v>29</v>
      </c>
    </row>
    <row r="303">
      <c r="A303" s="1">
        <v>1376016.0</v>
      </c>
      <c r="B303" s="1" t="s">
        <v>708</v>
      </c>
      <c r="C303" s="1" t="s">
        <v>662</v>
      </c>
      <c r="D303" s="1" t="s">
        <v>666</v>
      </c>
      <c r="E303" s="1" t="s">
        <v>709</v>
      </c>
      <c r="F303" s="1" t="s">
        <v>55</v>
      </c>
      <c r="G303" s="1" t="s">
        <v>17</v>
      </c>
      <c r="H303" s="1" t="s">
        <v>18</v>
      </c>
      <c r="I303" s="1" t="s">
        <v>44</v>
      </c>
    </row>
    <row r="304">
      <c r="A304" s="1">
        <v>1309022.0</v>
      </c>
      <c r="B304" s="1" t="s">
        <v>682</v>
      </c>
      <c r="C304" s="1" t="s">
        <v>662</v>
      </c>
      <c r="D304" s="1" t="s">
        <v>710</v>
      </c>
      <c r="E304" s="1" t="s">
        <v>711</v>
      </c>
      <c r="F304" s="1" t="s">
        <v>16</v>
      </c>
      <c r="G304" s="1" t="s">
        <v>17</v>
      </c>
      <c r="H304" s="1" t="s">
        <v>18</v>
      </c>
      <c r="I304" s="1" t="s">
        <v>684</v>
      </c>
    </row>
    <row r="305">
      <c r="A305" s="1">
        <v>1371466.0</v>
      </c>
      <c r="B305" s="1" t="s">
        <v>712</v>
      </c>
      <c r="C305" s="1" t="s">
        <v>662</v>
      </c>
      <c r="D305" s="1" t="s">
        <v>663</v>
      </c>
      <c r="E305" s="1" t="s">
        <v>713</v>
      </c>
      <c r="F305" s="1" t="s">
        <v>16</v>
      </c>
      <c r="G305" s="1" t="s">
        <v>17</v>
      </c>
      <c r="H305" s="1" t="s">
        <v>18</v>
      </c>
      <c r="I305" s="1" t="s">
        <v>19</v>
      </c>
    </row>
    <row r="306">
      <c r="A306" s="1">
        <v>1303023.0</v>
      </c>
      <c r="B306" s="1" t="s">
        <v>714</v>
      </c>
      <c r="C306" s="1" t="s">
        <v>662</v>
      </c>
      <c r="D306" s="1" t="s">
        <v>715</v>
      </c>
      <c r="E306" s="1" t="s">
        <v>716</v>
      </c>
      <c r="F306" s="1" t="s">
        <v>16</v>
      </c>
      <c r="G306" s="1" t="s">
        <v>17</v>
      </c>
      <c r="H306" s="1" t="s">
        <v>18</v>
      </c>
      <c r="I306" s="1" t="s">
        <v>40</v>
      </c>
    </row>
    <row r="307">
      <c r="A307" s="1">
        <v>1371251.0</v>
      </c>
      <c r="B307" s="1" t="s">
        <v>717</v>
      </c>
      <c r="C307" s="1" t="s">
        <v>662</v>
      </c>
      <c r="D307" s="1" t="s">
        <v>663</v>
      </c>
      <c r="E307" s="1" t="s">
        <v>718</v>
      </c>
      <c r="F307" s="1" t="s">
        <v>174</v>
      </c>
      <c r="G307" s="1" t="s">
        <v>17</v>
      </c>
      <c r="H307" s="1" t="s">
        <v>18</v>
      </c>
      <c r="I307" s="1" t="s">
        <v>59</v>
      </c>
    </row>
    <row r="308">
      <c r="A308" s="1">
        <v>1374013.0</v>
      </c>
      <c r="B308" s="1" t="s">
        <v>719</v>
      </c>
      <c r="C308" s="1" t="s">
        <v>662</v>
      </c>
      <c r="D308" s="1" t="s">
        <v>720</v>
      </c>
      <c r="E308" s="1" t="s">
        <v>721</v>
      </c>
      <c r="F308" s="1" t="s">
        <v>16</v>
      </c>
      <c r="G308" s="1" t="s">
        <v>17</v>
      </c>
      <c r="H308" s="1" t="s">
        <v>28</v>
      </c>
      <c r="I308" s="1" t="s">
        <v>29</v>
      </c>
    </row>
    <row r="309">
      <c r="A309" s="1">
        <v>1305016.0</v>
      </c>
      <c r="B309" s="1" t="s">
        <v>722</v>
      </c>
      <c r="C309" s="1" t="s">
        <v>662</v>
      </c>
      <c r="D309" s="1" t="s">
        <v>672</v>
      </c>
      <c r="E309" s="1" t="s">
        <v>723</v>
      </c>
      <c r="F309" s="1" t="s">
        <v>55</v>
      </c>
      <c r="G309" s="1" t="s">
        <v>17</v>
      </c>
      <c r="H309" s="1" t="s">
        <v>18</v>
      </c>
      <c r="I309" s="1" t="s">
        <v>44</v>
      </c>
    </row>
    <row r="310">
      <c r="A310" s="1">
        <v>1377008.0</v>
      </c>
      <c r="B310" s="1" t="s">
        <v>724</v>
      </c>
      <c r="C310" s="1" t="s">
        <v>662</v>
      </c>
      <c r="D310" s="1" t="s">
        <v>669</v>
      </c>
      <c r="E310" s="1" t="s">
        <v>725</v>
      </c>
      <c r="F310" s="1" t="s">
        <v>55</v>
      </c>
      <c r="G310" s="1" t="s">
        <v>17</v>
      </c>
      <c r="H310" s="1" t="s">
        <v>18</v>
      </c>
      <c r="I310" s="1" t="s">
        <v>19</v>
      </c>
    </row>
    <row r="311">
      <c r="A311" s="1">
        <v>1309024.0</v>
      </c>
      <c r="B311" s="1" t="s">
        <v>726</v>
      </c>
      <c r="C311" s="1" t="s">
        <v>662</v>
      </c>
      <c r="D311" s="1" t="s">
        <v>727</v>
      </c>
      <c r="E311" s="1" t="s">
        <v>728</v>
      </c>
      <c r="F311" s="1" t="s">
        <v>16</v>
      </c>
      <c r="G311" s="1" t="s">
        <v>23</v>
      </c>
      <c r="H311" s="1" t="s">
        <v>28</v>
      </c>
      <c r="I311" s="1" t="s">
        <v>40</v>
      </c>
    </row>
    <row r="312">
      <c r="A312" s="1">
        <v>1371010.0</v>
      </c>
      <c r="B312" s="1" t="s">
        <v>729</v>
      </c>
      <c r="C312" s="1" t="s">
        <v>662</v>
      </c>
      <c r="D312" s="1" t="s">
        <v>663</v>
      </c>
      <c r="E312" s="1" t="s">
        <v>730</v>
      </c>
      <c r="F312" s="1" t="s">
        <v>16</v>
      </c>
      <c r="G312" s="1" t="s">
        <v>150</v>
      </c>
      <c r="H312" s="1" t="s">
        <v>33</v>
      </c>
      <c r="I312" s="1" t="s">
        <v>411</v>
      </c>
    </row>
    <row r="313">
      <c r="A313" s="1">
        <v>1309023.0</v>
      </c>
      <c r="B313" s="1" t="s">
        <v>731</v>
      </c>
      <c r="C313" s="1" t="s">
        <v>662</v>
      </c>
      <c r="D313" s="1" t="s">
        <v>727</v>
      </c>
      <c r="E313" s="1" t="s">
        <v>732</v>
      </c>
      <c r="F313" s="1" t="s">
        <v>16</v>
      </c>
      <c r="G313" s="1" t="s">
        <v>23</v>
      </c>
      <c r="H313" s="1" t="s">
        <v>18</v>
      </c>
      <c r="I313" s="1" t="s">
        <v>19</v>
      </c>
    </row>
    <row r="314">
      <c r="A314" s="1">
        <v>1371316.0</v>
      </c>
      <c r="B314" s="1" t="s">
        <v>733</v>
      </c>
      <c r="C314" s="1" t="s">
        <v>662</v>
      </c>
      <c r="D314" s="1" t="s">
        <v>663</v>
      </c>
      <c r="E314" s="1" t="s">
        <v>734</v>
      </c>
      <c r="F314" s="1" t="s">
        <v>174</v>
      </c>
      <c r="G314" s="1" t="s">
        <v>150</v>
      </c>
      <c r="H314" s="1" t="s">
        <v>28</v>
      </c>
      <c r="I314" s="1" t="s">
        <v>139</v>
      </c>
    </row>
    <row r="315">
      <c r="A315" s="1">
        <v>1375051.0</v>
      </c>
      <c r="B315" s="1" t="s">
        <v>735</v>
      </c>
      <c r="C315" s="1" t="s">
        <v>662</v>
      </c>
      <c r="D315" s="1" t="s">
        <v>675</v>
      </c>
      <c r="E315" s="1" t="s">
        <v>736</v>
      </c>
      <c r="F315" s="1" t="s">
        <v>16</v>
      </c>
      <c r="G315" s="1" t="s">
        <v>23</v>
      </c>
      <c r="H315" s="1" t="s">
        <v>18</v>
      </c>
      <c r="I315" s="1" t="s">
        <v>684</v>
      </c>
    </row>
    <row r="316">
      <c r="A316" s="1">
        <v>1304031.0</v>
      </c>
      <c r="B316" s="1" t="s">
        <v>737</v>
      </c>
      <c r="C316" s="1" t="s">
        <v>662</v>
      </c>
      <c r="D316" s="1" t="s">
        <v>738</v>
      </c>
      <c r="E316" s="1" t="s">
        <v>739</v>
      </c>
      <c r="F316" s="1" t="s">
        <v>16</v>
      </c>
      <c r="G316" s="1" t="s">
        <v>98</v>
      </c>
      <c r="H316" s="1" t="s">
        <v>28</v>
      </c>
      <c r="I316" s="1" t="s">
        <v>40</v>
      </c>
    </row>
    <row r="317">
      <c r="A317" s="1">
        <v>1377003.0</v>
      </c>
      <c r="B317" s="1" t="s">
        <v>740</v>
      </c>
      <c r="C317" s="1" t="s">
        <v>662</v>
      </c>
      <c r="D317" s="1" t="s">
        <v>669</v>
      </c>
      <c r="E317" s="1" t="s">
        <v>741</v>
      </c>
      <c r="F317" s="1" t="s">
        <v>16</v>
      </c>
      <c r="G317" s="1" t="s">
        <v>23</v>
      </c>
      <c r="H317" s="1" t="s">
        <v>18</v>
      </c>
      <c r="I317" s="1" t="s">
        <v>59</v>
      </c>
    </row>
    <row r="318">
      <c r="A318" s="1">
        <v>1305014.0</v>
      </c>
      <c r="B318" s="1" t="s">
        <v>742</v>
      </c>
      <c r="C318" s="1" t="s">
        <v>662</v>
      </c>
      <c r="D318" s="1" t="s">
        <v>672</v>
      </c>
      <c r="E318" s="1" t="s">
        <v>743</v>
      </c>
      <c r="F318" s="1" t="s">
        <v>16</v>
      </c>
      <c r="G318" s="1" t="s">
        <v>17</v>
      </c>
      <c r="H318" s="1" t="s">
        <v>28</v>
      </c>
      <c r="I318" s="1" t="s">
        <v>40</v>
      </c>
    </row>
    <row r="319">
      <c r="A319" s="1">
        <v>1312025.0</v>
      </c>
      <c r="B319" s="1" t="s">
        <v>744</v>
      </c>
      <c r="C319" s="1" t="s">
        <v>662</v>
      </c>
      <c r="D319" s="1" t="s">
        <v>710</v>
      </c>
      <c r="E319" s="1" t="s">
        <v>745</v>
      </c>
      <c r="F319" s="1" t="s">
        <v>55</v>
      </c>
      <c r="G319" s="1" t="s">
        <v>17</v>
      </c>
      <c r="H319" s="1" t="s">
        <v>18</v>
      </c>
      <c r="I319" s="1" t="s">
        <v>163</v>
      </c>
    </row>
    <row r="320">
      <c r="A320" s="1">
        <v>1375014.0</v>
      </c>
      <c r="B320" s="1" t="s">
        <v>746</v>
      </c>
      <c r="C320" s="1" t="s">
        <v>662</v>
      </c>
      <c r="D320" s="1" t="s">
        <v>675</v>
      </c>
      <c r="E320" s="1" t="s">
        <v>747</v>
      </c>
      <c r="F320" s="1" t="s">
        <v>16</v>
      </c>
      <c r="G320" s="1" t="s">
        <v>27</v>
      </c>
      <c r="H320" s="1" t="s">
        <v>28</v>
      </c>
      <c r="I320" s="1" t="s">
        <v>139</v>
      </c>
    </row>
    <row r="321">
      <c r="A321" s="1">
        <v>1371454.0</v>
      </c>
      <c r="B321" s="1" t="s">
        <v>748</v>
      </c>
      <c r="C321" s="1" t="s">
        <v>662</v>
      </c>
      <c r="D321" s="1" t="s">
        <v>663</v>
      </c>
      <c r="E321" s="1" t="s">
        <v>749</v>
      </c>
      <c r="F321" s="1" t="s">
        <v>32</v>
      </c>
      <c r="G321" s="1" t="s">
        <v>27</v>
      </c>
      <c r="H321" s="1" t="s">
        <v>18</v>
      </c>
      <c r="I321" s="1" t="s">
        <v>684</v>
      </c>
    </row>
    <row r="322">
      <c r="A322" s="1">
        <v>1372013.0</v>
      </c>
      <c r="B322" s="1" t="s">
        <v>750</v>
      </c>
      <c r="C322" s="1" t="s">
        <v>662</v>
      </c>
      <c r="D322" s="1" t="s">
        <v>693</v>
      </c>
      <c r="E322" s="1" t="s">
        <v>751</v>
      </c>
      <c r="F322" s="1" t="s">
        <v>55</v>
      </c>
      <c r="G322" s="1" t="s">
        <v>17</v>
      </c>
      <c r="H322" s="1" t="s">
        <v>18</v>
      </c>
      <c r="I322" s="1" t="s">
        <v>44</v>
      </c>
    </row>
    <row r="323">
      <c r="A323" s="1">
        <v>1371464.0</v>
      </c>
      <c r="B323" s="1" t="s">
        <v>752</v>
      </c>
      <c r="C323" s="1" t="s">
        <v>662</v>
      </c>
      <c r="D323" s="1" t="s">
        <v>663</v>
      </c>
      <c r="E323" s="1" t="s">
        <v>753</v>
      </c>
      <c r="F323" s="1" t="s">
        <v>16</v>
      </c>
      <c r="G323" s="1" t="s">
        <v>27</v>
      </c>
      <c r="H323" s="1" t="s">
        <v>18</v>
      </c>
      <c r="I323" s="1" t="s">
        <v>34</v>
      </c>
    </row>
    <row r="324">
      <c r="A324" s="1">
        <v>1371032.0</v>
      </c>
      <c r="B324" s="1" t="s">
        <v>754</v>
      </c>
      <c r="C324" s="1" t="s">
        <v>662</v>
      </c>
      <c r="D324" s="1" t="s">
        <v>663</v>
      </c>
      <c r="E324" s="1" t="s">
        <v>755</v>
      </c>
      <c r="F324" s="1" t="s">
        <v>16</v>
      </c>
      <c r="G324" s="1" t="s">
        <v>17</v>
      </c>
      <c r="H324" s="1" t="s">
        <v>18</v>
      </c>
      <c r="I324" s="1" t="s">
        <v>249</v>
      </c>
    </row>
    <row r="325">
      <c r="A325" s="1">
        <v>1302015.0</v>
      </c>
      <c r="B325" s="1" t="s">
        <v>756</v>
      </c>
      <c r="C325" s="1" t="s">
        <v>662</v>
      </c>
      <c r="D325" s="1" t="s">
        <v>696</v>
      </c>
      <c r="E325" s="1" t="s">
        <v>757</v>
      </c>
      <c r="F325" s="1" t="s">
        <v>55</v>
      </c>
      <c r="G325" s="1" t="s">
        <v>17</v>
      </c>
      <c r="H325" s="1" t="s">
        <v>18</v>
      </c>
      <c r="I325" s="1" t="s">
        <v>19</v>
      </c>
    </row>
    <row r="326">
      <c r="A326" s="1">
        <v>1371451.0</v>
      </c>
      <c r="B326" s="1" t="s">
        <v>758</v>
      </c>
      <c r="C326" s="1" t="s">
        <v>662</v>
      </c>
      <c r="D326" s="1" t="s">
        <v>663</v>
      </c>
      <c r="E326" s="1" t="s">
        <v>759</v>
      </c>
      <c r="F326" s="1" t="s">
        <v>55</v>
      </c>
      <c r="G326" s="1" t="s">
        <v>17</v>
      </c>
      <c r="H326" s="1" t="s">
        <v>18</v>
      </c>
      <c r="I326" s="1" t="s">
        <v>19</v>
      </c>
    </row>
    <row r="327">
      <c r="A327" s="1">
        <v>1371460.0</v>
      </c>
      <c r="B327" s="1" t="s">
        <v>760</v>
      </c>
      <c r="C327" s="1" t="s">
        <v>662</v>
      </c>
      <c r="D327" s="1" t="s">
        <v>663</v>
      </c>
      <c r="E327" s="1" t="s">
        <v>761</v>
      </c>
      <c r="F327" s="1" t="s">
        <v>55</v>
      </c>
      <c r="G327" s="1" t="s">
        <v>17</v>
      </c>
      <c r="H327" s="1" t="s">
        <v>18</v>
      </c>
      <c r="I327" s="1" t="s">
        <v>44</v>
      </c>
    </row>
    <row r="328">
      <c r="A328" s="1">
        <v>1308016.0</v>
      </c>
      <c r="B328" s="1" t="s">
        <v>762</v>
      </c>
      <c r="C328" s="1" t="s">
        <v>662</v>
      </c>
      <c r="D328" s="1" t="s">
        <v>763</v>
      </c>
      <c r="E328" s="1" t="s">
        <v>764</v>
      </c>
      <c r="F328" s="1" t="s">
        <v>16</v>
      </c>
      <c r="G328" s="1" t="s">
        <v>17</v>
      </c>
      <c r="H328" s="1" t="s">
        <v>28</v>
      </c>
      <c r="I328" s="1" t="s">
        <v>40</v>
      </c>
    </row>
    <row r="329">
      <c r="A329" s="1">
        <v>1311002.0</v>
      </c>
      <c r="B329" s="1" t="s">
        <v>765</v>
      </c>
      <c r="C329" s="1" t="s">
        <v>662</v>
      </c>
      <c r="D329" s="1" t="s">
        <v>766</v>
      </c>
      <c r="E329" s="1" t="s">
        <v>767</v>
      </c>
      <c r="F329" s="1" t="s">
        <v>16</v>
      </c>
      <c r="G329" s="1" t="s">
        <v>23</v>
      </c>
      <c r="H329" s="1" t="s">
        <v>28</v>
      </c>
      <c r="I329" s="1" t="s">
        <v>40</v>
      </c>
    </row>
    <row r="330">
      <c r="A330" s="1">
        <v>1375036.0</v>
      </c>
      <c r="B330" s="1" t="s">
        <v>768</v>
      </c>
      <c r="C330" s="1" t="s">
        <v>662</v>
      </c>
      <c r="D330" s="1" t="s">
        <v>675</v>
      </c>
      <c r="E330" s="1" t="s">
        <v>769</v>
      </c>
      <c r="F330" s="1" t="s">
        <v>770</v>
      </c>
      <c r="G330" s="1" t="s">
        <v>150</v>
      </c>
      <c r="H330" s="1" t="s">
        <v>33</v>
      </c>
      <c r="I330" s="1" t="s">
        <v>411</v>
      </c>
    </row>
    <row r="331">
      <c r="A331" s="1">
        <v>1371456.0</v>
      </c>
      <c r="B331" s="1" t="s">
        <v>771</v>
      </c>
      <c r="C331" s="1" t="s">
        <v>662</v>
      </c>
      <c r="D331" s="1" t="s">
        <v>663</v>
      </c>
      <c r="E331" s="1" t="s">
        <v>772</v>
      </c>
      <c r="F331" s="1" t="s">
        <v>16</v>
      </c>
      <c r="G331" s="1" t="s">
        <v>17</v>
      </c>
      <c r="H331" s="1" t="s">
        <v>18</v>
      </c>
      <c r="I331" s="1" t="s">
        <v>684</v>
      </c>
    </row>
    <row r="332">
      <c r="A332" s="1">
        <v>1305015.0</v>
      </c>
      <c r="B332" s="1" t="s">
        <v>773</v>
      </c>
      <c r="C332" s="1" t="s">
        <v>662</v>
      </c>
      <c r="D332" s="1" t="s">
        <v>672</v>
      </c>
      <c r="E332" s="1" t="s">
        <v>774</v>
      </c>
      <c r="F332" s="1" t="s">
        <v>55</v>
      </c>
      <c r="G332" s="1" t="s">
        <v>17</v>
      </c>
      <c r="H332" s="1" t="s">
        <v>18</v>
      </c>
      <c r="I332" s="1" t="s">
        <v>19</v>
      </c>
    </row>
    <row r="333">
      <c r="A333" s="1">
        <v>1377007.0</v>
      </c>
      <c r="B333" s="1" t="s">
        <v>775</v>
      </c>
      <c r="C333" s="1" t="s">
        <v>662</v>
      </c>
      <c r="D333" s="1" t="s">
        <v>669</v>
      </c>
      <c r="E333" s="1" t="s">
        <v>776</v>
      </c>
      <c r="F333" s="1" t="s">
        <v>16</v>
      </c>
      <c r="G333" s="1" t="s">
        <v>23</v>
      </c>
      <c r="H333" s="1" t="s">
        <v>28</v>
      </c>
      <c r="I333" s="1" t="s">
        <v>29</v>
      </c>
    </row>
    <row r="334">
      <c r="A334" s="1">
        <v>1301010.0</v>
      </c>
      <c r="B334" s="1" t="s">
        <v>777</v>
      </c>
      <c r="C334" s="1" t="s">
        <v>662</v>
      </c>
      <c r="D334" s="1" t="s">
        <v>778</v>
      </c>
      <c r="E334" s="1" t="s">
        <v>779</v>
      </c>
      <c r="F334" s="1" t="s">
        <v>16</v>
      </c>
      <c r="G334" s="1" t="s">
        <v>23</v>
      </c>
      <c r="H334" s="1" t="s">
        <v>18</v>
      </c>
      <c r="I334" s="1" t="s">
        <v>40</v>
      </c>
    </row>
    <row r="335">
      <c r="A335" s="1">
        <v>1371462.0</v>
      </c>
      <c r="B335" s="1" t="s">
        <v>780</v>
      </c>
      <c r="C335" s="1" t="s">
        <v>662</v>
      </c>
      <c r="D335" s="1" t="s">
        <v>663</v>
      </c>
      <c r="E335" s="1" t="s">
        <v>781</v>
      </c>
      <c r="F335" s="1" t="s">
        <v>16</v>
      </c>
      <c r="G335" s="1" t="s">
        <v>17</v>
      </c>
      <c r="H335" s="1" t="s">
        <v>18</v>
      </c>
      <c r="I335" s="1" t="s">
        <v>19</v>
      </c>
    </row>
    <row r="336">
      <c r="A336" s="1">
        <v>1371112.0</v>
      </c>
      <c r="B336" s="1" t="s">
        <v>782</v>
      </c>
      <c r="C336" s="1" t="s">
        <v>662</v>
      </c>
      <c r="D336" s="1" t="s">
        <v>663</v>
      </c>
      <c r="E336" s="1" t="s">
        <v>783</v>
      </c>
      <c r="F336" s="1" t="s">
        <v>16</v>
      </c>
      <c r="G336" s="1" t="s">
        <v>17</v>
      </c>
      <c r="H336" s="1" t="s">
        <v>18</v>
      </c>
      <c r="I336" s="1" t="s">
        <v>59</v>
      </c>
    </row>
    <row r="337">
      <c r="A337" s="1">
        <v>1371444.0</v>
      </c>
      <c r="B337" s="1" t="s">
        <v>784</v>
      </c>
      <c r="C337" s="1" t="s">
        <v>662</v>
      </c>
      <c r="D337" s="1" t="s">
        <v>663</v>
      </c>
      <c r="E337" s="1" t="s">
        <v>785</v>
      </c>
      <c r="F337" s="1" t="s">
        <v>16</v>
      </c>
      <c r="G337" s="1" t="s">
        <v>17</v>
      </c>
      <c r="H337" s="1" t="s">
        <v>28</v>
      </c>
      <c r="I337" s="1" t="s">
        <v>29</v>
      </c>
    </row>
    <row r="338">
      <c r="A338" s="1">
        <v>1372014.0</v>
      </c>
      <c r="B338" s="1" t="s">
        <v>786</v>
      </c>
      <c r="C338" s="1" t="s">
        <v>662</v>
      </c>
      <c r="D338" s="1" t="s">
        <v>693</v>
      </c>
      <c r="E338" s="1" t="s">
        <v>787</v>
      </c>
      <c r="F338" s="1" t="s">
        <v>55</v>
      </c>
      <c r="G338" s="1" t="s">
        <v>17</v>
      </c>
      <c r="H338" s="1" t="s">
        <v>18</v>
      </c>
      <c r="I338" s="1" t="s">
        <v>19</v>
      </c>
    </row>
    <row r="339">
      <c r="A339" s="1">
        <v>1304017.0</v>
      </c>
      <c r="B339" s="1" t="s">
        <v>788</v>
      </c>
      <c r="C339" s="1" t="s">
        <v>662</v>
      </c>
      <c r="D339" s="1" t="s">
        <v>738</v>
      </c>
      <c r="E339" s="1" t="s">
        <v>789</v>
      </c>
      <c r="F339" s="1" t="s">
        <v>55</v>
      </c>
      <c r="G339" s="1" t="s">
        <v>17</v>
      </c>
      <c r="H339" s="1" t="s">
        <v>18</v>
      </c>
      <c r="I339" s="1" t="s">
        <v>163</v>
      </c>
    </row>
    <row r="340">
      <c r="A340" s="1">
        <v>1371463.0</v>
      </c>
      <c r="B340" s="1" t="s">
        <v>790</v>
      </c>
      <c r="C340" s="1" t="s">
        <v>662</v>
      </c>
      <c r="D340" s="1" t="s">
        <v>663</v>
      </c>
      <c r="E340" s="1" t="s">
        <v>791</v>
      </c>
      <c r="F340" s="1" t="s">
        <v>255</v>
      </c>
      <c r="G340" s="1" t="s">
        <v>17</v>
      </c>
      <c r="H340" s="1" t="s">
        <v>18</v>
      </c>
      <c r="I340" s="1" t="s">
        <v>19</v>
      </c>
    </row>
    <row r="341">
      <c r="A341" s="1">
        <v>1309011.0</v>
      </c>
      <c r="B341" s="1" t="s">
        <v>792</v>
      </c>
      <c r="C341" s="1" t="s">
        <v>662</v>
      </c>
      <c r="D341" s="1" t="s">
        <v>727</v>
      </c>
      <c r="E341" s="1" t="s">
        <v>793</v>
      </c>
      <c r="F341" s="1" t="s">
        <v>16</v>
      </c>
      <c r="G341" s="1" t="s">
        <v>17</v>
      </c>
      <c r="H341" s="1" t="s">
        <v>28</v>
      </c>
      <c r="I341" s="1" t="s">
        <v>40</v>
      </c>
    </row>
    <row r="342">
      <c r="A342" s="1">
        <v>1371465.0</v>
      </c>
      <c r="B342" s="1" t="s">
        <v>794</v>
      </c>
      <c r="C342" s="1" t="s">
        <v>662</v>
      </c>
      <c r="D342" s="1" t="s">
        <v>663</v>
      </c>
      <c r="E342" s="1" t="s">
        <v>795</v>
      </c>
      <c r="F342" s="1" t="s">
        <v>55</v>
      </c>
      <c r="G342" s="1" t="s">
        <v>17</v>
      </c>
      <c r="H342" s="1" t="s">
        <v>18</v>
      </c>
      <c r="I342" s="1" t="s">
        <v>19</v>
      </c>
    </row>
    <row r="343">
      <c r="A343" s="1">
        <v>1376015.0</v>
      </c>
      <c r="B343" s="1" t="s">
        <v>796</v>
      </c>
      <c r="C343" s="1" t="s">
        <v>662</v>
      </c>
      <c r="D343" s="1" t="s">
        <v>666</v>
      </c>
      <c r="E343" s="1" t="s">
        <v>797</v>
      </c>
      <c r="F343" s="1" t="s">
        <v>16</v>
      </c>
      <c r="G343" s="1" t="s">
        <v>17</v>
      </c>
      <c r="H343" s="1" t="s">
        <v>28</v>
      </c>
      <c r="I343" s="1" t="s">
        <v>29</v>
      </c>
    </row>
    <row r="344">
      <c r="A344" s="1">
        <v>1303012.0</v>
      </c>
      <c r="B344" s="1" t="s">
        <v>798</v>
      </c>
      <c r="C344" s="1" t="s">
        <v>662</v>
      </c>
      <c r="D344" s="1" t="s">
        <v>680</v>
      </c>
      <c r="E344" s="1" t="s">
        <v>799</v>
      </c>
      <c r="F344" s="1" t="s">
        <v>16</v>
      </c>
      <c r="G344" s="1" t="s">
        <v>17</v>
      </c>
      <c r="H344" s="1" t="s">
        <v>28</v>
      </c>
      <c r="I344" s="1" t="s">
        <v>40</v>
      </c>
    </row>
    <row r="345">
      <c r="A345" s="1">
        <v>1371478.0</v>
      </c>
      <c r="B345" s="1" t="s">
        <v>800</v>
      </c>
      <c r="C345" s="1" t="s">
        <v>662</v>
      </c>
      <c r="D345" s="1" t="s">
        <v>663</v>
      </c>
      <c r="E345" s="1" t="s">
        <v>801</v>
      </c>
      <c r="F345" s="1" t="s">
        <v>32</v>
      </c>
      <c r="G345" s="1" t="s">
        <v>27</v>
      </c>
      <c r="H345" s="1" t="s">
        <v>18</v>
      </c>
      <c r="I345" s="1" t="s">
        <v>34</v>
      </c>
    </row>
    <row r="346">
      <c r="A346" s="1">
        <v>1371459.0</v>
      </c>
      <c r="B346" s="1" t="s">
        <v>802</v>
      </c>
      <c r="C346" s="1" t="s">
        <v>662</v>
      </c>
      <c r="D346" s="1" t="s">
        <v>663</v>
      </c>
      <c r="E346" s="1" t="s">
        <v>803</v>
      </c>
      <c r="F346" s="1" t="s">
        <v>272</v>
      </c>
      <c r="G346" s="1" t="s">
        <v>17</v>
      </c>
      <c r="H346" s="1" t="s">
        <v>18</v>
      </c>
      <c r="I346" s="1" t="s">
        <v>44</v>
      </c>
    </row>
    <row r="347">
      <c r="A347" s="1">
        <v>1306057.0</v>
      </c>
      <c r="B347" s="1" t="s">
        <v>804</v>
      </c>
      <c r="C347" s="1" t="s">
        <v>662</v>
      </c>
      <c r="D347" s="1" t="s">
        <v>805</v>
      </c>
      <c r="E347" s="1" t="s">
        <v>806</v>
      </c>
      <c r="F347" s="1" t="s">
        <v>473</v>
      </c>
      <c r="G347" s="1" t="s">
        <v>27</v>
      </c>
      <c r="H347" s="1" t="s">
        <v>18</v>
      </c>
      <c r="I347" s="1" t="s">
        <v>139</v>
      </c>
    </row>
    <row r="348">
      <c r="A348" s="1">
        <v>1373012.0</v>
      </c>
      <c r="B348" s="1" t="s">
        <v>807</v>
      </c>
      <c r="C348" s="1" t="s">
        <v>662</v>
      </c>
      <c r="D348" s="1" t="s">
        <v>808</v>
      </c>
      <c r="E348" s="1" t="s">
        <v>809</v>
      </c>
      <c r="F348" s="1" t="s">
        <v>16</v>
      </c>
      <c r="G348" s="1" t="s">
        <v>17</v>
      </c>
      <c r="H348" s="1" t="s">
        <v>28</v>
      </c>
      <c r="I348" s="1" t="s">
        <v>29</v>
      </c>
    </row>
    <row r="349">
      <c r="A349" s="1">
        <v>1371457.0</v>
      </c>
      <c r="B349" s="1" t="s">
        <v>810</v>
      </c>
      <c r="C349" s="1" t="s">
        <v>662</v>
      </c>
      <c r="D349" s="1" t="s">
        <v>663</v>
      </c>
      <c r="E349" s="1" t="s">
        <v>811</v>
      </c>
      <c r="F349" s="1" t="s">
        <v>272</v>
      </c>
      <c r="G349" s="1" t="s">
        <v>17</v>
      </c>
      <c r="H349" s="1" t="s">
        <v>18</v>
      </c>
      <c r="I349" s="1" t="s">
        <v>19</v>
      </c>
    </row>
    <row r="350">
      <c r="A350" s="1">
        <v>1312036.0</v>
      </c>
      <c r="B350" s="1" t="s">
        <v>812</v>
      </c>
      <c r="C350" s="1" t="s">
        <v>662</v>
      </c>
      <c r="D350" s="1" t="s">
        <v>710</v>
      </c>
      <c r="E350" s="1" t="s">
        <v>813</v>
      </c>
      <c r="F350" s="1" t="s">
        <v>16</v>
      </c>
      <c r="G350" s="1" t="s">
        <v>98</v>
      </c>
      <c r="H350" s="1" t="s">
        <v>18</v>
      </c>
      <c r="I350" s="1" t="s">
        <v>40</v>
      </c>
    </row>
    <row r="351">
      <c r="A351" s="1">
        <v>1312024.0</v>
      </c>
      <c r="B351" s="1" t="s">
        <v>814</v>
      </c>
      <c r="C351" s="1" t="s">
        <v>662</v>
      </c>
      <c r="D351" s="1" t="s">
        <v>710</v>
      </c>
      <c r="E351" s="1" t="s">
        <v>815</v>
      </c>
      <c r="F351" s="1" t="s">
        <v>16</v>
      </c>
      <c r="G351" s="1" t="s">
        <v>17</v>
      </c>
      <c r="H351" s="1" t="s">
        <v>28</v>
      </c>
      <c r="I351" s="1" t="s">
        <v>40</v>
      </c>
    </row>
    <row r="352">
      <c r="A352" s="1">
        <v>1306056.0</v>
      </c>
      <c r="B352" s="1" t="s">
        <v>816</v>
      </c>
      <c r="C352" s="1" t="s">
        <v>662</v>
      </c>
      <c r="D352" s="1" t="s">
        <v>805</v>
      </c>
      <c r="E352" s="1" t="s">
        <v>817</v>
      </c>
      <c r="F352" s="1" t="s">
        <v>16</v>
      </c>
      <c r="G352" s="1" t="s">
        <v>17</v>
      </c>
      <c r="H352" s="1" t="s">
        <v>28</v>
      </c>
      <c r="I352" s="1" t="s">
        <v>40</v>
      </c>
    </row>
    <row r="353">
      <c r="A353" s="1">
        <v>1307017.0</v>
      </c>
      <c r="B353" s="1" t="s">
        <v>818</v>
      </c>
      <c r="C353" s="1" t="s">
        <v>662</v>
      </c>
      <c r="D353" s="1" t="s">
        <v>763</v>
      </c>
      <c r="E353" s="1" t="s">
        <v>819</v>
      </c>
      <c r="F353" s="1" t="s">
        <v>55</v>
      </c>
      <c r="G353" s="1" t="s">
        <v>17</v>
      </c>
      <c r="H353" s="1" t="s">
        <v>18</v>
      </c>
      <c r="I353" s="1" t="s">
        <v>163</v>
      </c>
    </row>
    <row r="354">
      <c r="A354" s="1">
        <v>1377005.0</v>
      </c>
      <c r="B354" s="1" t="s">
        <v>820</v>
      </c>
      <c r="C354" s="1" t="s">
        <v>662</v>
      </c>
      <c r="D354" s="1" t="s">
        <v>669</v>
      </c>
      <c r="E354" s="1" t="s">
        <v>821</v>
      </c>
      <c r="F354" s="1" t="s">
        <v>16</v>
      </c>
      <c r="G354" s="1" t="s">
        <v>23</v>
      </c>
      <c r="H354" s="1" t="s">
        <v>18</v>
      </c>
      <c r="I354" s="1" t="s">
        <v>19</v>
      </c>
    </row>
    <row r="355">
      <c r="A355" s="1">
        <v>1302013.0</v>
      </c>
      <c r="B355" s="1" t="s">
        <v>822</v>
      </c>
      <c r="C355" s="1" t="s">
        <v>662</v>
      </c>
      <c r="D355" s="1" t="s">
        <v>696</v>
      </c>
      <c r="E355" s="1" t="s">
        <v>823</v>
      </c>
      <c r="F355" s="1" t="s">
        <v>16</v>
      </c>
      <c r="G355" s="1" t="s">
        <v>23</v>
      </c>
      <c r="H355" s="1" t="s">
        <v>18</v>
      </c>
      <c r="I355" s="1" t="s">
        <v>40</v>
      </c>
    </row>
    <row r="356">
      <c r="A356" s="1">
        <v>1311013.0</v>
      </c>
      <c r="B356" s="1" t="s">
        <v>824</v>
      </c>
      <c r="C356" s="1" t="s">
        <v>662</v>
      </c>
      <c r="D356" s="1" t="s">
        <v>766</v>
      </c>
      <c r="E356" s="1" t="s">
        <v>825</v>
      </c>
      <c r="F356" s="1" t="s">
        <v>16</v>
      </c>
      <c r="G356" s="1" t="s">
        <v>17</v>
      </c>
      <c r="H356" s="1" t="s">
        <v>28</v>
      </c>
      <c r="I356" s="1" t="s">
        <v>40</v>
      </c>
    </row>
    <row r="357">
      <c r="A357" s="1">
        <v>1371305.0</v>
      </c>
      <c r="B357" s="1" t="s">
        <v>826</v>
      </c>
      <c r="C357" s="1" t="s">
        <v>662</v>
      </c>
      <c r="D357" s="1" t="s">
        <v>663</v>
      </c>
      <c r="E357" s="1" t="s">
        <v>827</v>
      </c>
      <c r="F357" s="1" t="s">
        <v>16</v>
      </c>
      <c r="G357" s="1" t="s">
        <v>17</v>
      </c>
      <c r="H357" s="1" t="s">
        <v>18</v>
      </c>
      <c r="I357" s="1" t="s">
        <v>19</v>
      </c>
    </row>
    <row r="358">
      <c r="A358" s="1">
        <v>1374024.0</v>
      </c>
      <c r="B358" s="1" t="s">
        <v>828</v>
      </c>
      <c r="C358" s="1" t="s">
        <v>662</v>
      </c>
      <c r="D358" s="1" t="s">
        <v>720</v>
      </c>
      <c r="E358" s="1" t="s">
        <v>829</v>
      </c>
      <c r="F358" s="1" t="s">
        <v>16</v>
      </c>
      <c r="G358" s="1" t="s">
        <v>23</v>
      </c>
      <c r="H358" s="1" t="s">
        <v>18</v>
      </c>
      <c r="I358" s="1" t="s">
        <v>684</v>
      </c>
    </row>
    <row r="359">
      <c r="A359" s="1">
        <v>1304014.0</v>
      </c>
      <c r="B359" s="1" t="s">
        <v>830</v>
      </c>
      <c r="C359" s="1" t="s">
        <v>662</v>
      </c>
      <c r="D359" s="1" t="s">
        <v>738</v>
      </c>
      <c r="E359" s="1" t="s">
        <v>831</v>
      </c>
      <c r="F359" s="1" t="s">
        <v>16</v>
      </c>
      <c r="G359" s="1" t="s">
        <v>17</v>
      </c>
      <c r="H359" s="1" t="s">
        <v>28</v>
      </c>
      <c r="I359" s="1" t="s">
        <v>40</v>
      </c>
    </row>
    <row r="360">
      <c r="A360" s="1">
        <v>1302012.0</v>
      </c>
      <c r="B360" s="1" t="s">
        <v>832</v>
      </c>
      <c r="C360" s="1" t="s">
        <v>662</v>
      </c>
      <c r="D360" s="1" t="s">
        <v>696</v>
      </c>
      <c r="E360" s="1" t="s">
        <v>833</v>
      </c>
      <c r="F360" s="1" t="s">
        <v>16</v>
      </c>
      <c r="G360" s="1" t="s">
        <v>17</v>
      </c>
      <c r="H360" s="1" t="s">
        <v>18</v>
      </c>
      <c r="I360" s="1" t="s">
        <v>44</v>
      </c>
    </row>
    <row r="361">
      <c r="A361" s="1">
        <v>1371021.0</v>
      </c>
      <c r="B361" s="1" t="s">
        <v>834</v>
      </c>
      <c r="C361" s="1" t="s">
        <v>662</v>
      </c>
      <c r="D361" s="1" t="s">
        <v>663</v>
      </c>
      <c r="E361" s="1" t="s">
        <v>835</v>
      </c>
      <c r="F361" s="1" t="s">
        <v>16</v>
      </c>
      <c r="G361" s="1" t="s">
        <v>17</v>
      </c>
      <c r="H361" s="1" t="s">
        <v>18</v>
      </c>
      <c r="I361" s="1" t="s">
        <v>74</v>
      </c>
    </row>
    <row r="362">
      <c r="A362" s="1">
        <v>1375053.0</v>
      </c>
      <c r="B362" s="1" t="s">
        <v>836</v>
      </c>
      <c r="C362" s="1" t="s">
        <v>662</v>
      </c>
      <c r="D362" s="1" t="s">
        <v>675</v>
      </c>
      <c r="E362" s="1" t="s">
        <v>837</v>
      </c>
      <c r="F362" s="1" t="s">
        <v>16</v>
      </c>
      <c r="G362" s="1" t="s">
        <v>17</v>
      </c>
      <c r="H362" s="1" t="s">
        <v>28</v>
      </c>
      <c r="I362" s="1" t="s">
        <v>29</v>
      </c>
    </row>
    <row r="363">
      <c r="A363" s="1">
        <v>1404014.0</v>
      </c>
      <c r="B363" s="1" t="s">
        <v>838</v>
      </c>
      <c r="C363" s="1" t="s">
        <v>839</v>
      </c>
      <c r="D363" s="1" t="s">
        <v>840</v>
      </c>
      <c r="E363" s="1" t="s">
        <v>841</v>
      </c>
      <c r="F363" s="1" t="s">
        <v>16</v>
      </c>
      <c r="G363" s="1" t="s">
        <v>17</v>
      </c>
      <c r="H363" s="1" t="s">
        <v>28</v>
      </c>
      <c r="I363" s="1" t="s">
        <v>40</v>
      </c>
    </row>
    <row r="364">
      <c r="A364" s="1">
        <v>1471079.0</v>
      </c>
      <c r="B364" s="1" t="s">
        <v>842</v>
      </c>
      <c r="C364" s="1" t="s">
        <v>839</v>
      </c>
      <c r="D364" s="1" t="s">
        <v>843</v>
      </c>
      <c r="E364" s="1" t="s">
        <v>844</v>
      </c>
      <c r="F364" s="1" t="s">
        <v>16</v>
      </c>
      <c r="G364" s="1" t="s">
        <v>17</v>
      </c>
      <c r="H364" s="1" t="s">
        <v>18</v>
      </c>
      <c r="I364" s="1" t="s">
        <v>19</v>
      </c>
    </row>
    <row r="365">
      <c r="A365" s="1">
        <v>1401012.0</v>
      </c>
      <c r="B365" s="1" t="s">
        <v>845</v>
      </c>
      <c r="C365" s="1" t="s">
        <v>839</v>
      </c>
      <c r="D365" s="1" t="s">
        <v>846</v>
      </c>
      <c r="E365" s="1" t="s">
        <v>847</v>
      </c>
      <c r="F365" s="1" t="s">
        <v>55</v>
      </c>
      <c r="G365" s="1" t="s">
        <v>17</v>
      </c>
      <c r="H365" s="1" t="s">
        <v>18</v>
      </c>
      <c r="I365" s="1" t="s">
        <v>19</v>
      </c>
    </row>
    <row r="366">
      <c r="A366" s="1">
        <v>1471150.0</v>
      </c>
      <c r="B366" s="1" t="s">
        <v>848</v>
      </c>
      <c r="C366" s="1" t="s">
        <v>839</v>
      </c>
      <c r="D366" s="1" t="s">
        <v>843</v>
      </c>
      <c r="E366" s="1" t="s">
        <v>849</v>
      </c>
      <c r="F366" s="1" t="s">
        <v>16</v>
      </c>
      <c r="G366" s="1" t="s">
        <v>17</v>
      </c>
      <c r="H366" s="1" t="s">
        <v>18</v>
      </c>
      <c r="I366" s="1" t="s">
        <v>59</v>
      </c>
    </row>
    <row r="367">
      <c r="A367" s="1">
        <v>1471387.0</v>
      </c>
      <c r="B367" s="1" t="s">
        <v>850</v>
      </c>
      <c r="C367" s="1" t="s">
        <v>839</v>
      </c>
      <c r="D367" s="1" t="s">
        <v>843</v>
      </c>
      <c r="E367" s="1" t="s">
        <v>851</v>
      </c>
      <c r="F367" s="1" t="s">
        <v>55</v>
      </c>
      <c r="G367" s="1" t="s">
        <v>17</v>
      </c>
      <c r="H367" s="1" t="s">
        <v>18</v>
      </c>
      <c r="I367" s="1" t="s">
        <v>44</v>
      </c>
    </row>
    <row r="368">
      <c r="A368" s="1">
        <v>1408055.0</v>
      </c>
      <c r="B368" s="1" t="s">
        <v>852</v>
      </c>
      <c r="C368" s="1" t="s">
        <v>839</v>
      </c>
      <c r="D368" s="1" t="s">
        <v>853</v>
      </c>
      <c r="E368" s="1" t="s">
        <v>854</v>
      </c>
      <c r="F368" s="1" t="s">
        <v>16</v>
      </c>
      <c r="G368" s="1" t="s">
        <v>23</v>
      </c>
      <c r="H368" s="1" t="s">
        <v>18</v>
      </c>
      <c r="I368" s="1" t="s">
        <v>19</v>
      </c>
    </row>
    <row r="369">
      <c r="A369" s="1">
        <v>1473024.0</v>
      </c>
      <c r="B369" s="1" t="s">
        <v>855</v>
      </c>
      <c r="C369" s="1" t="s">
        <v>839</v>
      </c>
      <c r="D369" s="1" t="s">
        <v>856</v>
      </c>
      <c r="E369" s="1" t="s">
        <v>857</v>
      </c>
      <c r="F369" s="1" t="s">
        <v>16</v>
      </c>
      <c r="G369" s="1" t="s">
        <v>23</v>
      </c>
      <c r="H369" s="1" t="s">
        <v>18</v>
      </c>
      <c r="I369" s="1" t="s">
        <v>113</v>
      </c>
    </row>
    <row r="370">
      <c r="A370" s="1">
        <v>1403024.0</v>
      </c>
      <c r="B370" s="1" t="s">
        <v>858</v>
      </c>
      <c r="C370" s="1" t="s">
        <v>839</v>
      </c>
      <c r="D370" s="1" t="s">
        <v>859</v>
      </c>
      <c r="E370" s="1" t="s">
        <v>860</v>
      </c>
      <c r="F370" s="1" t="s">
        <v>16</v>
      </c>
      <c r="G370" s="1" t="s">
        <v>23</v>
      </c>
      <c r="H370" s="1" t="s">
        <v>28</v>
      </c>
      <c r="I370" s="1" t="s">
        <v>40</v>
      </c>
    </row>
    <row r="371">
      <c r="A371" s="1">
        <v>1406016.0</v>
      </c>
      <c r="B371" s="1" t="s">
        <v>861</v>
      </c>
      <c r="C371" s="1" t="s">
        <v>839</v>
      </c>
      <c r="D371" s="1" t="s">
        <v>862</v>
      </c>
      <c r="E371" s="1" t="s">
        <v>863</v>
      </c>
      <c r="F371" s="1" t="s">
        <v>16</v>
      </c>
      <c r="G371" s="1" t="s">
        <v>17</v>
      </c>
      <c r="H371" s="1" t="s">
        <v>28</v>
      </c>
      <c r="I371" s="1" t="s">
        <v>40</v>
      </c>
    </row>
    <row r="372">
      <c r="A372" s="1">
        <v>1406043.0</v>
      </c>
      <c r="B372" s="1" t="s">
        <v>864</v>
      </c>
      <c r="C372" s="1" t="s">
        <v>839</v>
      </c>
      <c r="D372" s="1" t="s">
        <v>862</v>
      </c>
      <c r="E372" s="1" t="s">
        <v>865</v>
      </c>
      <c r="F372" s="1" t="s">
        <v>16</v>
      </c>
      <c r="G372" s="1" t="s">
        <v>23</v>
      </c>
      <c r="H372" s="1" t="s">
        <v>18</v>
      </c>
      <c r="I372" s="1" t="s">
        <v>44</v>
      </c>
    </row>
    <row r="373">
      <c r="A373" s="1">
        <v>1403048.0</v>
      </c>
      <c r="B373" s="1" t="s">
        <v>866</v>
      </c>
      <c r="C373" s="1" t="s">
        <v>839</v>
      </c>
      <c r="D373" s="1" t="s">
        <v>859</v>
      </c>
      <c r="E373" s="1" t="s">
        <v>867</v>
      </c>
      <c r="F373" s="1" t="s">
        <v>55</v>
      </c>
      <c r="G373" s="1" t="s">
        <v>17</v>
      </c>
      <c r="H373" s="1" t="s">
        <v>18</v>
      </c>
      <c r="I373" s="1" t="s">
        <v>19</v>
      </c>
    </row>
    <row r="374">
      <c r="A374" s="1">
        <v>1471215.0</v>
      </c>
      <c r="B374" s="1" t="s">
        <v>868</v>
      </c>
      <c r="C374" s="1" t="s">
        <v>839</v>
      </c>
      <c r="D374" s="1" t="s">
        <v>843</v>
      </c>
      <c r="E374" s="1" t="s">
        <v>869</v>
      </c>
      <c r="F374" s="1" t="s">
        <v>16</v>
      </c>
      <c r="G374" s="1" t="s">
        <v>17</v>
      </c>
      <c r="H374" s="1" t="s">
        <v>18</v>
      </c>
      <c r="I374" s="1" t="s">
        <v>563</v>
      </c>
    </row>
    <row r="375">
      <c r="A375" s="1">
        <v>1409033.0</v>
      </c>
      <c r="B375" s="1" t="s">
        <v>870</v>
      </c>
      <c r="C375" s="1" t="s">
        <v>839</v>
      </c>
      <c r="D375" s="1" t="s">
        <v>871</v>
      </c>
      <c r="E375" s="1" t="s">
        <v>872</v>
      </c>
      <c r="F375" s="1" t="s">
        <v>16</v>
      </c>
      <c r="G375" s="1" t="s">
        <v>17</v>
      </c>
      <c r="H375" s="1" t="s">
        <v>18</v>
      </c>
      <c r="I375" s="1" t="s">
        <v>19</v>
      </c>
    </row>
    <row r="376">
      <c r="A376" s="1">
        <v>1402013.0</v>
      </c>
      <c r="B376" s="1" t="s">
        <v>873</v>
      </c>
      <c r="C376" s="1" t="s">
        <v>839</v>
      </c>
      <c r="D376" s="1" t="s">
        <v>874</v>
      </c>
      <c r="E376" s="1" t="s">
        <v>875</v>
      </c>
      <c r="F376" s="1" t="s">
        <v>16</v>
      </c>
      <c r="G376" s="1" t="s">
        <v>23</v>
      </c>
      <c r="H376" s="1" t="s">
        <v>18</v>
      </c>
      <c r="I376" s="1" t="s">
        <v>44</v>
      </c>
    </row>
    <row r="377">
      <c r="A377" s="1">
        <v>1407016.0</v>
      </c>
      <c r="B377" s="1" t="s">
        <v>876</v>
      </c>
      <c r="C377" s="1" t="s">
        <v>839</v>
      </c>
      <c r="D377" s="1" t="s">
        <v>877</v>
      </c>
      <c r="E377" s="1" t="s">
        <v>878</v>
      </c>
      <c r="F377" s="1" t="s">
        <v>55</v>
      </c>
      <c r="G377" s="1" t="s">
        <v>17</v>
      </c>
      <c r="H377" s="1" t="s">
        <v>18</v>
      </c>
      <c r="I377" s="1" t="s">
        <v>163</v>
      </c>
    </row>
    <row r="378">
      <c r="A378" s="1">
        <v>1406057.0</v>
      </c>
      <c r="B378" s="1" t="s">
        <v>879</v>
      </c>
      <c r="C378" s="1" t="s">
        <v>839</v>
      </c>
      <c r="D378" s="1" t="s">
        <v>862</v>
      </c>
      <c r="E378" s="1" t="s">
        <v>880</v>
      </c>
      <c r="F378" s="1" t="s">
        <v>16</v>
      </c>
      <c r="G378" s="1" t="s">
        <v>17</v>
      </c>
      <c r="H378" s="1" t="s">
        <v>18</v>
      </c>
      <c r="I378" s="1" t="s">
        <v>19</v>
      </c>
    </row>
    <row r="379">
      <c r="A379" s="1">
        <v>1471022.0</v>
      </c>
      <c r="B379" s="1" t="s">
        <v>881</v>
      </c>
      <c r="C379" s="1" t="s">
        <v>839</v>
      </c>
      <c r="D379" s="1" t="s">
        <v>843</v>
      </c>
      <c r="E379" s="1" t="s">
        <v>882</v>
      </c>
      <c r="F379" s="1" t="s">
        <v>16</v>
      </c>
      <c r="G379" s="1" t="s">
        <v>23</v>
      </c>
      <c r="H379" s="1" t="s">
        <v>18</v>
      </c>
      <c r="I379" s="1" t="s">
        <v>74</v>
      </c>
    </row>
    <row r="380">
      <c r="A380" s="1">
        <v>1471391.0</v>
      </c>
      <c r="B380" s="1" t="s">
        <v>883</v>
      </c>
      <c r="C380" s="1" t="s">
        <v>839</v>
      </c>
      <c r="D380" s="1" t="s">
        <v>843</v>
      </c>
      <c r="E380" s="1" t="s">
        <v>884</v>
      </c>
      <c r="F380" s="1" t="s">
        <v>272</v>
      </c>
      <c r="G380" s="1" t="s">
        <v>17</v>
      </c>
      <c r="H380" s="1" t="s">
        <v>18</v>
      </c>
      <c r="I380" s="1" t="s">
        <v>44</v>
      </c>
    </row>
    <row r="381">
      <c r="A381" s="1">
        <v>1471399.0</v>
      </c>
      <c r="B381" s="1" t="s">
        <v>885</v>
      </c>
      <c r="C381" s="1" t="s">
        <v>839</v>
      </c>
      <c r="D381" s="1" t="s">
        <v>843</v>
      </c>
      <c r="E381" s="1" t="s">
        <v>886</v>
      </c>
      <c r="F381" s="1" t="s">
        <v>16</v>
      </c>
      <c r="G381" s="1" t="s">
        <v>17</v>
      </c>
      <c r="H381" s="1" t="s">
        <v>18</v>
      </c>
      <c r="I381" s="1" t="s">
        <v>19</v>
      </c>
    </row>
    <row r="382">
      <c r="A382" s="1">
        <v>1471091.0</v>
      </c>
      <c r="B382" s="1" t="s">
        <v>887</v>
      </c>
      <c r="C382" s="1" t="s">
        <v>839</v>
      </c>
      <c r="D382" s="1" t="s">
        <v>843</v>
      </c>
      <c r="E382" s="1" t="s">
        <v>888</v>
      </c>
      <c r="F382" s="1" t="s">
        <v>16</v>
      </c>
      <c r="G382" s="1" t="s">
        <v>17</v>
      </c>
      <c r="H382" s="1" t="s">
        <v>28</v>
      </c>
      <c r="I382" s="1" t="s">
        <v>139</v>
      </c>
    </row>
    <row r="383">
      <c r="A383" s="1">
        <v>1409019.0</v>
      </c>
      <c r="B383" s="1" t="s">
        <v>889</v>
      </c>
      <c r="C383" s="1" t="s">
        <v>839</v>
      </c>
      <c r="D383" s="1" t="s">
        <v>871</v>
      </c>
      <c r="E383" s="1" t="s">
        <v>890</v>
      </c>
      <c r="F383" s="1" t="s">
        <v>55</v>
      </c>
      <c r="G383" s="1" t="s">
        <v>17</v>
      </c>
      <c r="H383" s="1" t="s">
        <v>18</v>
      </c>
      <c r="I383" s="1" t="s">
        <v>44</v>
      </c>
    </row>
    <row r="384">
      <c r="A384" s="1">
        <v>1408079.0</v>
      </c>
      <c r="B384" s="1" t="s">
        <v>891</v>
      </c>
      <c r="C384" s="1" t="s">
        <v>839</v>
      </c>
      <c r="D384" s="1" t="s">
        <v>853</v>
      </c>
      <c r="E384" s="1" t="s">
        <v>892</v>
      </c>
      <c r="F384" s="1" t="s">
        <v>16</v>
      </c>
      <c r="G384" s="1" t="s">
        <v>23</v>
      </c>
      <c r="H384" s="1" t="s">
        <v>18</v>
      </c>
      <c r="I384" s="1" t="s">
        <v>19</v>
      </c>
    </row>
    <row r="385">
      <c r="A385" s="1">
        <v>1471392.0</v>
      </c>
      <c r="B385" s="1" t="s">
        <v>893</v>
      </c>
      <c r="C385" s="1" t="s">
        <v>839</v>
      </c>
      <c r="D385" s="1" t="s">
        <v>843</v>
      </c>
      <c r="E385" s="1" t="s">
        <v>894</v>
      </c>
      <c r="F385" s="1" t="s">
        <v>16</v>
      </c>
      <c r="G385" s="1" t="s">
        <v>23</v>
      </c>
      <c r="H385" s="1" t="s">
        <v>18</v>
      </c>
      <c r="I385" s="1" t="s">
        <v>34</v>
      </c>
    </row>
    <row r="386">
      <c r="A386" s="1">
        <v>1406031.0</v>
      </c>
      <c r="B386" s="1" t="s">
        <v>895</v>
      </c>
      <c r="C386" s="1" t="s">
        <v>839</v>
      </c>
      <c r="D386" s="1" t="s">
        <v>862</v>
      </c>
      <c r="E386" s="1" t="s">
        <v>896</v>
      </c>
      <c r="F386" s="1" t="s">
        <v>16</v>
      </c>
      <c r="G386" s="1" t="s">
        <v>23</v>
      </c>
      <c r="H386" s="1" t="s">
        <v>18</v>
      </c>
      <c r="I386" s="1" t="s">
        <v>113</v>
      </c>
    </row>
    <row r="387">
      <c r="A387" s="1">
        <v>1410043.0</v>
      </c>
      <c r="B387" s="1" t="s">
        <v>897</v>
      </c>
      <c r="C387" s="1" t="s">
        <v>839</v>
      </c>
      <c r="D387" s="1" t="s">
        <v>898</v>
      </c>
      <c r="E387" s="1" t="s">
        <v>899</v>
      </c>
      <c r="F387" s="1" t="s">
        <v>16</v>
      </c>
      <c r="G387" s="1" t="s">
        <v>17</v>
      </c>
      <c r="H387" s="1" t="s">
        <v>28</v>
      </c>
      <c r="I387" s="1" t="s">
        <v>40</v>
      </c>
    </row>
    <row r="388">
      <c r="A388" s="1">
        <v>1408080.0</v>
      </c>
      <c r="B388" s="1" t="s">
        <v>900</v>
      </c>
      <c r="C388" s="1" t="s">
        <v>839</v>
      </c>
      <c r="D388" s="1" t="s">
        <v>853</v>
      </c>
      <c r="E388" s="1" t="s">
        <v>901</v>
      </c>
      <c r="F388" s="1" t="s">
        <v>16</v>
      </c>
      <c r="G388" s="1" t="s">
        <v>17</v>
      </c>
      <c r="H388" s="1" t="s">
        <v>18</v>
      </c>
      <c r="I388" s="1" t="s">
        <v>44</v>
      </c>
    </row>
    <row r="389">
      <c r="A389" s="1">
        <v>1471237.0</v>
      </c>
      <c r="B389" s="1" t="s">
        <v>902</v>
      </c>
      <c r="C389" s="1" t="s">
        <v>839</v>
      </c>
      <c r="D389" s="1" t="s">
        <v>843</v>
      </c>
      <c r="E389" s="1" t="s">
        <v>903</v>
      </c>
      <c r="F389" s="1" t="s">
        <v>16</v>
      </c>
      <c r="G389" s="1" t="s">
        <v>17</v>
      </c>
      <c r="H389" s="1" t="s">
        <v>18</v>
      </c>
      <c r="I389" s="1" t="s">
        <v>19</v>
      </c>
    </row>
    <row r="390">
      <c r="A390" s="1">
        <v>1402014.0</v>
      </c>
      <c r="B390" s="1" t="s">
        <v>904</v>
      </c>
      <c r="C390" s="1" t="s">
        <v>839</v>
      </c>
      <c r="D390" s="1" t="s">
        <v>874</v>
      </c>
      <c r="E390" s="1" t="s">
        <v>905</v>
      </c>
      <c r="F390" s="1" t="s">
        <v>55</v>
      </c>
      <c r="G390" s="1" t="s">
        <v>17</v>
      </c>
      <c r="H390" s="1" t="s">
        <v>18</v>
      </c>
      <c r="I390" s="1" t="s">
        <v>44</v>
      </c>
    </row>
    <row r="391">
      <c r="A391" s="1">
        <v>1471396.0</v>
      </c>
      <c r="B391" s="1" t="s">
        <v>906</v>
      </c>
      <c r="C391" s="1" t="s">
        <v>839</v>
      </c>
      <c r="D391" s="1" t="s">
        <v>843</v>
      </c>
      <c r="E391" s="1" t="s">
        <v>907</v>
      </c>
      <c r="F391" s="1" t="s">
        <v>16</v>
      </c>
      <c r="G391" s="1" t="s">
        <v>17</v>
      </c>
      <c r="H391" s="1" t="s">
        <v>18</v>
      </c>
      <c r="I391" s="1" t="s">
        <v>44</v>
      </c>
    </row>
    <row r="392">
      <c r="A392" s="1">
        <v>1403035.0</v>
      </c>
      <c r="B392" s="1" t="s">
        <v>908</v>
      </c>
      <c r="C392" s="1" t="s">
        <v>839</v>
      </c>
      <c r="D392" s="1" t="s">
        <v>859</v>
      </c>
      <c r="E392" s="1" t="s">
        <v>909</v>
      </c>
      <c r="F392" s="1" t="s">
        <v>16</v>
      </c>
      <c r="G392" s="1" t="s">
        <v>23</v>
      </c>
      <c r="H392" s="1" t="s">
        <v>28</v>
      </c>
      <c r="I392" s="1" t="s">
        <v>40</v>
      </c>
    </row>
    <row r="393">
      <c r="A393" s="1">
        <v>1406046.0</v>
      </c>
      <c r="B393" s="1" t="s">
        <v>910</v>
      </c>
      <c r="C393" s="1" t="s">
        <v>839</v>
      </c>
      <c r="D393" s="1" t="s">
        <v>862</v>
      </c>
      <c r="E393" s="1" t="s">
        <v>911</v>
      </c>
      <c r="F393" s="1" t="s">
        <v>55</v>
      </c>
      <c r="G393" s="1" t="s">
        <v>17</v>
      </c>
      <c r="H393" s="1" t="s">
        <v>18</v>
      </c>
      <c r="I393" s="1" t="s">
        <v>19</v>
      </c>
    </row>
    <row r="394">
      <c r="A394" s="1">
        <v>1401011.0</v>
      </c>
      <c r="B394" s="1" t="s">
        <v>912</v>
      </c>
      <c r="C394" s="1" t="s">
        <v>839</v>
      </c>
      <c r="D394" s="1" t="s">
        <v>846</v>
      </c>
      <c r="E394" s="1" t="s">
        <v>913</v>
      </c>
      <c r="F394" s="1" t="s">
        <v>16</v>
      </c>
      <c r="G394" s="1" t="s">
        <v>17</v>
      </c>
      <c r="H394" s="1" t="s">
        <v>28</v>
      </c>
      <c r="I394" s="1" t="s">
        <v>40</v>
      </c>
    </row>
    <row r="395">
      <c r="A395" s="1">
        <v>1408067.0</v>
      </c>
      <c r="B395" s="1" t="s">
        <v>914</v>
      </c>
      <c r="C395" s="1" t="s">
        <v>839</v>
      </c>
      <c r="D395" s="1" t="s">
        <v>853</v>
      </c>
      <c r="E395" s="1" t="s">
        <v>915</v>
      </c>
      <c r="F395" s="1" t="s">
        <v>16</v>
      </c>
      <c r="G395" s="1" t="s">
        <v>23</v>
      </c>
      <c r="H395" s="1" t="s">
        <v>18</v>
      </c>
      <c r="I395" s="1" t="s">
        <v>44</v>
      </c>
    </row>
    <row r="396">
      <c r="A396" s="1">
        <v>1471055.0</v>
      </c>
      <c r="B396" s="1" t="s">
        <v>916</v>
      </c>
      <c r="C396" s="1" t="s">
        <v>839</v>
      </c>
      <c r="D396" s="1" t="s">
        <v>843</v>
      </c>
      <c r="E396" s="1" t="s">
        <v>917</v>
      </c>
      <c r="F396" s="1" t="s">
        <v>16</v>
      </c>
      <c r="G396" s="1" t="s">
        <v>27</v>
      </c>
      <c r="H396" s="1" t="s">
        <v>18</v>
      </c>
      <c r="I396" s="1" t="s">
        <v>59</v>
      </c>
    </row>
    <row r="397">
      <c r="A397" s="1">
        <v>1471386.0</v>
      </c>
      <c r="B397" s="1" t="s">
        <v>918</v>
      </c>
      <c r="C397" s="1" t="s">
        <v>839</v>
      </c>
      <c r="D397" s="1" t="s">
        <v>843</v>
      </c>
      <c r="E397" s="1" t="s">
        <v>919</v>
      </c>
      <c r="F397" s="1" t="s">
        <v>55</v>
      </c>
      <c r="G397" s="1" t="s">
        <v>17</v>
      </c>
      <c r="H397" s="1" t="s">
        <v>18</v>
      </c>
      <c r="I397" s="1" t="s">
        <v>44</v>
      </c>
    </row>
    <row r="398">
      <c r="A398" s="1">
        <v>1473079.0</v>
      </c>
      <c r="B398" s="1" t="s">
        <v>920</v>
      </c>
      <c r="C398" s="1" t="s">
        <v>839</v>
      </c>
      <c r="D398" s="1" t="s">
        <v>856</v>
      </c>
      <c r="E398" s="1" t="s">
        <v>921</v>
      </c>
      <c r="F398" s="1" t="s">
        <v>16</v>
      </c>
      <c r="G398" s="1" t="s">
        <v>23</v>
      </c>
      <c r="H398" s="1" t="s">
        <v>18</v>
      </c>
      <c r="I398" s="1" t="s">
        <v>19</v>
      </c>
    </row>
    <row r="399">
      <c r="A399" s="1">
        <v>1408011.0</v>
      </c>
      <c r="B399" s="1" t="s">
        <v>922</v>
      </c>
      <c r="C399" s="1" t="s">
        <v>839</v>
      </c>
      <c r="D399" s="1" t="s">
        <v>853</v>
      </c>
      <c r="E399" s="1" t="s">
        <v>923</v>
      </c>
      <c r="F399" s="1" t="s">
        <v>16</v>
      </c>
      <c r="G399" s="1" t="s">
        <v>27</v>
      </c>
      <c r="H399" s="1" t="s">
        <v>28</v>
      </c>
      <c r="I399" s="1" t="s">
        <v>40</v>
      </c>
    </row>
    <row r="400">
      <c r="A400" s="1">
        <v>1471371.0</v>
      </c>
      <c r="B400" s="1" t="s">
        <v>924</v>
      </c>
      <c r="C400" s="1" t="s">
        <v>839</v>
      </c>
      <c r="D400" s="1" t="s">
        <v>843</v>
      </c>
      <c r="E400" s="1" t="s">
        <v>925</v>
      </c>
      <c r="F400" s="1" t="s">
        <v>16</v>
      </c>
      <c r="G400" s="1" t="s">
        <v>17</v>
      </c>
      <c r="H400" s="1" t="s">
        <v>18</v>
      </c>
      <c r="I400" s="1" t="s">
        <v>19</v>
      </c>
    </row>
    <row r="401">
      <c r="A401" s="1">
        <v>1407014.0</v>
      </c>
      <c r="B401" s="1" t="s">
        <v>926</v>
      </c>
      <c r="C401" s="1" t="s">
        <v>839</v>
      </c>
      <c r="D401" s="1" t="s">
        <v>877</v>
      </c>
      <c r="E401" s="1" t="s">
        <v>927</v>
      </c>
      <c r="F401" s="1" t="s">
        <v>16</v>
      </c>
      <c r="G401" s="1" t="s">
        <v>17</v>
      </c>
      <c r="H401" s="1" t="s">
        <v>18</v>
      </c>
      <c r="I401" s="1" t="s">
        <v>44</v>
      </c>
    </row>
    <row r="402">
      <c r="A402" s="1">
        <v>1471395.0</v>
      </c>
      <c r="B402" s="1" t="s">
        <v>928</v>
      </c>
      <c r="C402" s="1" t="s">
        <v>839</v>
      </c>
      <c r="D402" s="1" t="s">
        <v>843</v>
      </c>
      <c r="E402" s="1" t="s">
        <v>929</v>
      </c>
      <c r="F402" s="1" t="s">
        <v>55</v>
      </c>
      <c r="G402" s="1" t="s">
        <v>17</v>
      </c>
      <c r="H402" s="1" t="s">
        <v>18</v>
      </c>
      <c r="I402" s="1" t="s">
        <v>44</v>
      </c>
    </row>
    <row r="403">
      <c r="A403" s="1">
        <v>1407012.0</v>
      </c>
      <c r="B403" s="1" t="s">
        <v>930</v>
      </c>
      <c r="C403" s="1" t="s">
        <v>839</v>
      </c>
      <c r="D403" s="1" t="s">
        <v>877</v>
      </c>
      <c r="E403" s="1" t="s">
        <v>931</v>
      </c>
      <c r="F403" s="1" t="s">
        <v>16</v>
      </c>
      <c r="G403" s="1" t="s">
        <v>17</v>
      </c>
      <c r="H403" s="1" t="s">
        <v>18</v>
      </c>
      <c r="I403" s="1" t="s">
        <v>44</v>
      </c>
    </row>
    <row r="404">
      <c r="A404" s="1">
        <v>1471398.0</v>
      </c>
      <c r="B404" s="1" t="s">
        <v>932</v>
      </c>
      <c r="C404" s="1" t="s">
        <v>839</v>
      </c>
      <c r="D404" s="1" t="s">
        <v>843</v>
      </c>
      <c r="E404" s="1" t="s">
        <v>933</v>
      </c>
      <c r="F404" s="1" t="s">
        <v>16</v>
      </c>
      <c r="G404" s="1" t="s">
        <v>17</v>
      </c>
      <c r="H404" s="1" t="s">
        <v>28</v>
      </c>
      <c r="I404" s="1" t="s">
        <v>29</v>
      </c>
    </row>
    <row r="405">
      <c r="A405" s="1">
        <v>1403013.0</v>
      </c>
      <c r="B405" s="1" t="s">
        <v>934</v>
      </c>
      <c r="C405" s="1" t="s">
        <v>839</v>
      </c>
      <c r="D405" s="1" t="s">
        <v>859</v>
      </c>
      <c r="E405" s="1" t="s">
        <v>935</v>
      </c>
      <c r="F405" s="1" t="s">
        <v>16</v>
      </c>
      <c r="G405" s="1" t="s">
        <v>17</v>
      </c>
      <c r="H405" s="1" t="s">
        <v>28</v>
      </c>
      <c r="I405" s="1" t="s">
        <v>40</v>
      </c>
    </row>
    <row r="406">
      <c r="A406" s="1">
        <v>1471067.0</v>
      </c>
      <c r="B406" s="1" t="s">
        <v>936</v>
      </c>
      <c r="C406" s="1" t="s">
        <v>839</v>
      </c>
      <c r="D406" s="1" t="s">
        <v>843</v>
      </c>
      <c r="E406" s="1" t="s">
        <v>937</v>
      </c>
      <c r="F406" s="1" t="s">
        <v>16</v>
      </c>
      <c r="G406" s="1" t="s">
        <v>27</v>
      </c>
      <c r="H406" s="1" t="s">
        <v>18</v>
      </c>
      <c r="I406" s="1" t="s">
        <v>19</v>
      </c>
    </row>
    <row r="407">
      <c r="A407" s="1">
        <v>1471390.0</v>
      </c>
      <c r="B407" s="1" t="s">
        <v>938</v>
      </c>
      <c r="C407" s="1" t="s">
        <v>839</v>
      </c>
      <c r="D407" s="1" t="s">
        <v>843</v>
      </c>
      <c r="E407" s="1" t="s">
        <v>939</v>
      </c>
      <c r="F407" s="1" t="s">
        <v>16</v>
      </c>
      <c r="G407" s="1" t="s">
        <v>27</v>
      </c>
      <c r="H407" s="1" t="s">
        <v>18</v>
      </c>
      <c r="I407" s="1" t="s">
        <v>44</v>
      </c>
    </row>
    <row r="408">
      <c r="A408" s="1">
        <v>1471394.0</v>
      </c>
      <c r="B408" s="1" t="s">
        <v>940</v>
      </c>
      <c r="C408" s="1" t="s">
        <v>839</v>
      </c>
      <c r="D408" s="1" t="s">
        <v>843</v>
      </c>
      <c r="E408" s="1" t="s">
        <v>941</v>
      </c>
      <c r="F408" s="1" t="s">
        <v>272</v>
      </c>
      <c r="G408" s="1" t="s">
        <v>17</v>
      </c>
      <c r="H408" s="1" t="s">
        <v>18</v>
      </c>
      <c r="I408" s="1" t="s">
        <v>44</v>
      </c>
    </row>
    <row r="409">
      <c r="A409" s="1">
        <v>1471146.0</v>
      </c>
      <c r="B409" s="1" t="s">
        <v>942</v>
      </c>
      <c r="C409" s="1" t="s">
        <v>839</v>
      </c>
      <c r="D409" s="1" t="s">
        <v>843</v>
      </c>
      <c r="E409" s="1" t="s">
        <v>943</v>
      </c>
      <c r="F409" s="1" t="s">
        <v>174</v>
      </c>
      <c r="G409" s="1" t="s">
        <v>150</v>
      </c>
      <c r="H409" s="1" t="s">
        <v>28</v>
      </c>
      <c r="I409" s="1" t="s">
        <v>139</v>
      </c>
    </row>
    <row r="410">
      <c r="A410" s="1">
        <v>1407013.0</v>
      </c>
      <c r="B410" s="1" t="s">
        <v>944</v>
      </c>
      <c r="C410" s="1" t="s">
        <v>839</v>
      </c>
      <c r="D410" s="1" t="s">
        <v>877</v>
      </c>
      <c r="E410" s="1" t="s">
        <v>945</v>
      </c>
      <c r="F410" s="1" t="s">
        <v>16</v>
      </c>
      <c r="G410" s="1" t="s">
        <v>23</v>
      </c>
      <c r="H410" s="1" t="s">
        <v>18</v>
      </c>
      <c r="I410" s="1" t="s">
        <v>19</v>
      </c>
    </row>
    <row r="411">
      <c r="A411" s="1">
        <v>1404026.0</v>
      </c>
      <c r="B411" s="1" t="s">
        <v>946</v>
      </c>
      <c r="C411" s="1" t="s">
        <v>839</v>
      </c>
      <c r="D411" s="1" t="s">
        <v>840</v>
      </c>
      <c r="E411" s="1" t="s">
        <v>947</v>
      </c>
      <c r="F411" s="1" t="s">
        <v>16</v>
      </c>
      <c r="G411" s="1" t="s">
        <v>23</v>
      </c>
      <c r="H411" s="1" t="s">
        <v>18</v>
      </c>
      <c r="I411" s="1" t="s">
        <v>19</v>
      </c>
    </row>
    <row r="412">
      <c r="A412" s="1">
        <v>1409013.0</v>
      </c>
      <c r="B412" s="1" t="s">
        <v>948</v>
      </c>
      <c r="C412" s="1" t="s">
        <v>839</v>
      </c>
      <c r="D412" s="1" t="s">
        <v>871</v>
      </c>
      <c r="E412" s="1" t="s">
        <v>949</v>
      </c>
      <c r="F412" s="1" t="s">
        <v>16</v>
      </c>
      <c r="G412" s="1" t="s">
        <v>23</v>
      </c>
      <c r="H412" s="1" t="s">
        <v>33</v>
      </c>
      <c r="I412" s="1" t="s">
        <v>44</v>
      </c>
    </row>
    <row r="413">
      <c r="A413" s="1">
        <v>1404027.0</v>
      </c>
      <c r="B413" s="1" t="s">
        <v>950</v>
      </c>
      <c r="C413" s="1" t="s">
        <v>839</v>
      </c>
      <c r="D413" s="1" t="s">
        <v>840</v>
      </c>
      <c r="E413" s="1" t="s">
        <v>951</v>
      </c>
      <c r="F413" s="1" t="s">
        <v>16</v>
      </c>
      <c r="G413" s="1" t="s">
        <v>23</v>
      </c>
      <c r="H413" s="1" t="s">
        <v>18</v>
      </c>
      <c r="I413" s="1" t="s">
        <v>44</v>
      </c>
    </row>
    <row r="414">
      <c r="A414" s="1">
        <v>1408032.0</v>
      </c>
      <c r="B414" s="1" t="s">
        <v>952</v>
      </c>
      <c r="C414" s="1" t="s">
        <v>839</v>
      </c>
      <c r="D414" s="1" t="s">
        <v>853</v>
      </c>
      <c r="E414" s="1" t="s">
        <v>953</v>
      </c>
      <c r="F414" s="1" t="s">
        <v>16</v>
      </c>
      <c r="G414" s="1" t="s">
        <v>17</v>
      </c>
      <c r="H414" s="1" t="s">
        <v>28</v>
      </c>
      <c r="I414" s="1" t="s">
        <v>40</v>
      </c>
    </row>
    <row r="415">
      <c r="A415" s="1">
        <v>1406045.0</v>
      </c>
      <c r="B415" s="1" t="s">
        <v>954</v>
      </c>
      <c r="C415" s="1" t="s">
        <v>839</v>
      </c>
      <c r="D415" s="1" t="s">
        <v>862</v>
      </c>
      <c r="E415" s="1" t="s">
        <v>955</v>
      </c>
      <c r="F415" s="1" t="s">
        <v>55</v>
      </c>
      <c r="G415" s="1" t="s">
        <v>17</v>
      </c>
      <c r="H415" s="1" t="s">
        <v>18</v>
      </c>
      <c r="I415" s="1" t="s">
        <v>163</v>
      </c>
    </row>
    <row r="416">
      <c r="A416" s="1">
        <v>1471397.0</v>
      </c>
      <c r="B416" s="1" t="s">
        <v>956</v>
      </c>
      <c r="C416" s="1" t="s">
        <v>839</v>
      </c>
      <c r="D416" s="1" t="s">
        <v>843</v>
      </c>
      <c r="E416" s="1" t="s">
        <v>957</v>
      </c>
      <c r="F416" s="1" t="s">
        <v>16</v>
      </c>
      <c r="G416" s="1" t="s">
        <v>17</v>
      </c>
      <c r="H416" s="1" t="s">
        <v>18</v>
      </c>
      <c r="I416" s="1" t="s">
        <v>44</v>
      </c>
    </row>
    <row r="417">
      <c r="A417" s="1">
        <v>1409018.0</v>
      </c>
      <c r="B417" s="1" t="s">
        <v>958</v>
      </c>
      <c r="C417" s="1" t="s">
        <v>839</v>
      </c>
      <c r="D417" s="1" t="s">
        <v>871</v>
      </c>
      <c r="E417" s="1" t="s">
        <v>959</v>
      </c>
      <c r="F417" s="1" t="s">
        <v>16</v>
      </c>
      <c r="G417" s="1" t="s">
        <v>23</v>
      </c>
      <c r="H417" s="1" t="s">
        <v>18</v>
      </c>
      <c r="I417" s="1" t="s">
        <v>19</v>
      </c>
    </row>
    <row r="418">
      <c r="A418" s="1">
        <v>1473013.0</v>
      </c>
      <c r="B418" s="1" t="s">
        <v>960</v>
      </c>
      <c r="C418" s="1" t="s">
        <v>839</v>
      </c>
      <c r="D418" s="1" t="s">
        <v>856</v>
      </c>
      <c r="E418" s="1" t="s">
        <v>961</v>
      </c>
      <c r="F418" s="1" t="s">
        <v>16</v>
      </c>
      <c r="G418" s="1" t="s">
        <v>27</v>
      </c>
      <c r="H418" s="1" t="s">
        <v>28</v>
      </c>
      <c r="I418" s="1" t="s">
        <v>29</v>
      </c>
    </row>
    <row r="419">
      <c r="A419" s="1">
        <v>1405015.0</v>
      </c>
      <c r="B419" s="1" t="s">
        <v>962</v>
      </c>
      <c r="C419" s="1" t="s">
        <v>839</v>
      </c>
      <c r="D419" s="1" t="s">
        <v>963</v>
      </c>
      <c r="E419" s="1" t="s">
        <v>964</v>
      </c>
      <c r="F419" s="1" t="s">
        <v>16</v>
      </c>
      <c r="G419" s="1" t="s">
        <v>17</v>
      </c>
      <c r="H419" s="1" t="s">
        <v>28</v>
      </c>
      <c r="I419" s="1" t="s">
        <v>40</v>
      </c>
    </row>
    <row r="420">
      <c r="A420" s="1">
        <v>1405032.0</v>
      </c>
      <c r="B420" s="1" t="s">
        <v>965</v>
      </c>
      <c r="C420" s="1" t="s">
        <v>839</v>
      </c>
      <c r="D420" s="1" t="s">
        <v>963</v>
      </c>
      <c r="E420" s="1" t="s">
        <v>966</v>
      </c>
      <c r="F420" s="1" t="s">
        <v>16</v>
      </c>
      <c r="G420" s="1" t="s">
        <v>23</v>
      </c>
      <c r="H420" s="1" t="s">
        <v>18</v>
      </c>
      <c r="I420" s="1" t="s">
        <v>40</v>
      </c>
    </row>
    <row r="421">
      <c r="A421" s="1">
        <v>1471161.0</v>
      </c>
      <c r="B421" s="1" t="s">
        <v>967</v>
      </c>
      <c r="C421" s="1" t="s">
        <v>839</v>
      </c>
      <c r="D421" s="1" t="s">
        <v>843</v>
      </c>
      <c r="E421" s="1" t="s">
        <v>968</v>
      </c>
      <c r="F421" s="1" t="s">
        <v>16</v>
      </c>
      <c r="G421" s="1" t="s">
        <v>23</v>
      </c>
      <c r="H421" s="1" t="s">
        <v>18</v>
      </c>
      <c r="I421" s="1" t="s">
        <v>44</v>
      </c>
    </row>
    <row r="422">
      <c r="A422" s="1">
        <v>1402015.0</v>
      </c>
      <c r="B422" s="1" t="s">
        <v>969</v>
      </c>
      <c r="C422" s="1" t="s">
        <v>839</v>
      </c>
      <c r="D422" s="1" t="s">
        <v>874</v>
      </c>
      <c r="E422" s="1" t="s">
        <v>970</v>
      </c>
      <c r="F422" s="1" t="s">
        <v>16</v>
      </c>
      <c r="G422" s="1" t="s">
        <v>23</v>
      </c>
      <c r="H422" s="1" t="s">
        <v>18</v>
      </c>
      <c r="I422" s="1" t="s">
        <v>44</v>
      </c>
    </row>
    <row r="423">
      <c r="A423" s="1">
        <v>1471011.0</v>
      </c>
      <c r="B423" s="1" t="s">
        <v>971</v>
      </c>
      <c r="C423" s="1" t="s">
        <v>839</v>
      </c>
      <c r="D423" s="1" t="s">
        <v>843</v>
      </c>
      <c r="E423" s="1" t="s">
        <v>972</v>
      </c>
      <c r="F423" s="1" t="s">
        <v>16</v>
      </c>
      <c r="G423" s="1" t="s">
        <v>27</v>
      </c>
      <c r="H423" s="1" t="s">
        <v>28</v>
      </c>
      <c r="I423" s="1" t="s">
        <v>139</v>
      </c>
    </row>
    <row r="424">
      <c r="A424" s="1">
        <v>1472080.0</v>
      </c>
      <c r="B424" s="1" t="s">
        <v>973</v>
      </c>
      <c r="C424" s="1" t="s">
        <v>839</v>
      </c>
      <c r="D424" s="1" t="s">
        <v>856</v>
      </c>
      <c r="E424" s="1" t="s">
        <v>974</v>
      </c>
      <c r="F424" s="1" t="s">
        <v>16</v>
      </c>
      <c r="G424" s="1" t="s">
        <v>17</v>
      </c>
      <c r="H424" s="1" t="s">
        <v>18</v>
      </c>
      <c r="I424" s="1" t="s">
        <v>44</v>
      </c>
    </row>
    <row r="425">
      <c r="A425" s="1">
        <v>1407017.0</v>
      </c>
      <c r="B425" s="1" t="s">
        <v>975</v>
      </c>
      <c r="C425" s="1" t="s">
        <v>839</v>
      </c>
      <c r="D425" s="1" t="s">
        <v>877</v>
      </c>
      <c r="E425" s="1" t="s">
        <v>976</v>
      </c>
      <c r="F425" s="1" t="s">
        <v>16</v>
      </c>
      <c r="G425" s="1" t="s">
        <v>23</v>
      </c>
      <c r="H425" s="1" t="s">
        <v>33</v>
      </c>
      <c r="I425" s="1" t="s">
        <v>19</v>
      </c>
    </row>
    <row r="426">
      <c r="A426" s="1">
        <v>1471383.0</v>
      </c>
      <c r="B426" s="1" t="s">
        <v>977</v>
      </c>
      <c r="C426" s="1" t="s">
        <v>839</v>
      </c>
      <c r="D426" s="1" t="s">
        <v>843</v>
      </c>
      <c r="E426" s="1" t="s">
        <v>978</v>
      </c>
      <c r="F426" s="1" t="s">
        <v>16</v>
      </c>
      <c r="G426" s="1" t="s">
        <v>17</v>
      </c>
      <c r="H426" s="1" t="s">
        <v>18</v>
      </c>
      <c r="I426" s="1" t="s">
        <v>19</v>
      </c>
    </row>
    <row r="427">
      <c r="A427" s="1">
        <v>1471226.0</v>
      </c>
      <c r="B427" s="1" t="s">
        <v>979</v>
      </c>
      <c r="C427" s="1" t="s">
        <v>839</v>
      </c>
      <c r="D427" s="1" t="s">
        <v>843</v>
      </c>
      <c r="E427" s="1" t="s">
        <v>980</v>
      </c>
      <c r="F427" s="1" t="s">
        <v>16</v>
      </c>
      <c r="G427" s="1" t="s">
        <v>150</v>
      </c>
      <c r="H427" s="1" t="s">
        <v>18</v>
      </c>
      <c r="I427" s="1" t="s">
        <v>19</v>
      </c>
    </row>
    <row r="428">
      <c r="A428" s="1">
        <v>1471389.0</v>
      </c>
      <c r="B428" s="1" t="s">
        <v>981</v>
      </c>
      <c r="C428" s="1" t="s">
        <v>839</v>
      </c>
      <c r="D428" s="1" t="s">
        <v>843</v>
      </c>
      <c r="E428" s="1" t="s">
        <v>982</v>
      </c>
      <c r="F428" s="1" t="s">
        <v>55</v>
      </c>
      <c r="G428" s="1" t="s">
        <v>17</v>
      </c>
      <c r="H428" s="1" t="s">
        <v>18</v>
      </c>
      <c r="I428" s="1" t="s">
        <v>44</v>
      </c>
    </row>
    <row r="429">
      <c r="A429" s="1">
        <v>1409014.0</v>
      </c>
      <c r="B429" s="1" t="s">
        <v>983</v>
      </c>
      <c r="C429" s="1" t="s">
        <v>839</v>
      </c>
      <c r="D429" s="1" t="s">
        <v>871</v>
      </c>
      <c r="E429" s="1" t="s">
        <v>984</v>
      </c>
      <c r="F429" s="1" t="s">
        <v>16</v>
      </c>
      <c r="G429" s="1" t="s">
        <v>23</v>
      </c>
      <c r="H429" s="1" t="s">
        <v>18</v>
      </c>
      <c r="I429" s="1" t="s">
        <v>19</v>
      </c>
    </row>
    <row r="430">
      <c r="A430" s="1">
        <v>1473081.0</v>
      </c>
      <c r="B430" s="1" t="s">
        <v>985</v>
      </c>
      <c r="C430" s="1" t="s">
        <v>839</v>
      </c>
      <c r="D430" s="1" t="s">
        <v>856</v>
      </c>
      <c r="E430" s="1" t="s">
        <v>986</v>
      </c>
      <c r="F430" s="1" t="s">
        <v>16</v>
      </c>
      <c r="G430" s="1" t="s">
        <v>17</v>
      </c>
      <c r="H430" s="1" t="s">
        <v>18</v>
      </c>
      <c r="I430" s="1" t="s">
        <v>44</v>
      </c>
    </row>
    <row r="431">
      <c r="A431" s="1">
        <v>1404025.0</v>
      </c>
      <c r="B431" s="1" t="s">
        <v>987</v>
      </c>
      <c r="C431" s="1" t="s">
        <v>839</v>
      </c>
      <c r="D431" s="1" t="s">
        <v>840</v>
      </c>
      <c r="E431" s="1" t="s">
        <v>988</v>
      </c>
      <c r="F431" s="1" t="s">
        <v>16</v>
      </c>
      <c r="G431" s="1" t="s">
        <v>17</v>
      </c>
      <c r="H431" s="1" t="s">
        <v>18</v>
      </c>
      <c r="I431" s="1" t="s">
        <v>19</v>
      </c>
    </row>
    <row r="432">
      <c r="A432" s="1">
        <v>1405017.0</v>
      </c>
      <c r="B432" s="1" t="s">
        <v>989</v>
      </c>
      <c r="C432" s="1" t="s">
        <v>839</v>
      </c>
      <c r="D432" s="1" t="s">
        <v>963</v>
      </c>
      <c r="E432" s="1" t="s">
        <v>990</v>
      </c>
      <c r="F432" s="1" t="s">
        <v>16</v>
      </c>
      <c r="G432" s="1" t="s">
        <v>23</v>
      </c>
      <c r="H432" s="1" t="s">
        <v>28</v>
      </c>
      <c r="I432" s="1" t="s">
        <v>40</v>
      </c>
    </row>
    <row r="433">
      <c r="A433" s="1">
        <v>1471033.0</v>
      </c>
      <c r="B433" s="1" t="s">
        <v>991</v>
      </c>
      <c r="C433" s="1" t="s">
        <v>839</v>
      </c>
      <c r="D433" s="1" t="s">
        <v>843</v>
      </c>
      <c r="E433" s="1" t="s">
        <v>992</v>
      </c>
      <c r="F433" s="1" t="s">
        <v>16</v>
      </c>
      <c r="G433" s="1" t="s">
        <v>17</v>
      </c>
      <c r="H433" s="1" t="s">
        <v>33</v>
      </c>
      <c r="I433" s="1" t="s">
        <v>65</v>
      </c>
    </row>
    <row r="434">
      <c r="A434" s="1">
        <v>1471384.0</v>
      </c>
      <c r="B434" s="1" t="s">
        <v>993</v>
      </c>
      <c r="C434" s="1" t="s">
        <v>839</v>
      </c>
      <c r="D434" s="1" t="s">
        <v>843</v>
      </c>
      <c r="E434" s="1" t="s">
        <v>994</v>
      </c>
      <c r="F434" s="1" t="s">
        <v>16</v>
      </c>
      <c r="G434" s="1" t="s">
        <v>17</v>
      </c>
      <c r="H434" s="1" t="s">
        <v>18</v>
      </c>
      <c r="I434" s="1" t="s">
        <v>44</v>
      </c>
    </row>
    <row r="435">
      <c r="A435" s="1">
        <v>1407011.0</v>
      </c>
      <c r="B435" s="1" t="s">
        <v>995</v>
      </c>
      <c r="C435" s="1" t="s">
        <v>839</v>
      </c>
      <c r="D435" s="1" t="s">
        <v>877</v>
      </c>
      <c r="E435" s="1" t="s">
        <v>996</v>
      </c>
      <c r="F435" s="1" t="s">
        <v>16</v>
      </c>
      <c r="G435" s="1" t="s">
        <v>17</v>
      </c>
      <c r="H435" s="1" t="s">
        <v>28</v>
      </c>
      <c r="I435" s="1" t="s">
        <v>40</v>
      </c>
    </row>
    <row r="436">
      <c r="A436" s="1">
        <v>1471259.0</v>
      </c>
      <c r="B436" s="1" t="s">
        <v>997</v>
      </c>
      <c r="C436" s="1" t="s">
        <v>839</v>
      </c>
      <c r="D436" s="1" t="s">
        <v>843</v>
      </c>
      <c r="E436" s="1" t="s">
        <v>998</v>
      </c>
      <c r="F436" s="1" t="s">
        <v>55</v>
      </c>
      <c r="G436" s="1" t="s">
        <v>17</v>
      </c>
      <c r="H436" s="1" t="s">
        <v>18</v>
      </c>
      <c r="I436" s="1" t="s">
        <v>19</v>
      </c>
    </row>
    <row r="437">
      <c r="A437" s="1">
        <v>1402012.0</v>
      </c>
      <c r="B437" s="1" t="s">
        <v>999</v>
      </c>
      <c r="C437" s="1" t="s">
        <v>839</v>
      </c>
      <c r="D437" s="1" t="s">
        <v>874</v>
      </c>
      <c r="E437" s="1" t="s">
        <v>1000</v>
      </c>
      <c r="F437" s="1" t="s">
        <v>16</v>
      </c>
      <c r="G437" s="1" t="s">
        <v>17</v>
      </c>
      <c r="H437" s="1" t="s">
        <v>28</v>
      </c>
      <c r="I437" s="1" t="s">
        <v>40</v>
      </c>
    </row>
    <row r="438">
      <c r="A438" s="1">
        <v>1473078.0</v>
      </c>
      <c r="B438" s="1" t="s">
        <v>1001</v>
      </c>
      <c r="C438" s="1" t="s">
        <v>839</v>
      </c>
      <c r="D438" s="1" t="s">
        <v>856</v>
      </c>
      <c r="E438" s="1" t="s">
        <v>1002</v>
      </c>
      <c r="F438" s="1" t="s">
        <v>16</v>
      </c>
      <c r="G438" s="1" t="s">
        <v>23</v>
      </c>
      <c r="H438" s="1" t="s">
        <v>18</v>
      </c>
      <c r="I438" s="1" t="s">
        <v>65</v>
      </c>
    </row>
    <row r="439">
      <c r="A439" s="1">
        <v>1471135.0</v>
      </c>
      <c r="B439" s="1" t="s">
        <v>1003</v>
      </c>
      <c r="C439" s="1" t="s">
        <v>839</v>
      </c>
      <c r="D439" s="1" t="s">
        <v>843</v>
      </c>
      <c r="E439" s="1" t="s">
        <v>1004</v>
      </c>
      <c r="F439" s="1" t="s">
        <v>16</v>
      </c>
      <c r="G439" s="1" t="s">
        <v>17</v>
      </c>
      <c r="H439" s="1" t="s">
        <v>18</v>
      </c>
      <c r="I439" s="1" t="s">
        <v>684</v>
      </c>
    </row>
    <row r="440">
      <c r="A440" s="1">
        <v>1406058.0</v>
      </c>
      <c r="B440" s="1" t="s">
        <v>1005</v>
      </c>
      <c r="C440" s="1" t="s">
        <v>839</v>
      </c>
      <c r="D440" s="1" t="s">
        <v>862</v>
      </c>
      <c r="E440" s="1" t="s">
        <v>1006</v>
      </c>
      <c r="F440" s="1" t="s">
        <v>16</v>
      </c>
      <c r="G440" s="1" t="s">
        <v>23</v>
      </c>
      <c r="H440" s="1" t="s">
        <v>18</v>
      </c>
      <c r="I440" s="1" t="s">
        <v>19</v>
      </c>
    </row>
    <row r="441">
      <c r="A441" s="1">
        <v>1406044.0</v>
      </c>
      <c r="B441" s="1" t="s">
        <v>1007</v>
      </c>
      <c r="C441" s="1" t="s">
        <v>839</v>
      </c>
      <c r="D441" s="1" t="s">
        <v>862</v>
      </c>
      <c r="E441" s="1" t="s">
        <v>1008</v>
      </c>
      <c r="F441" s="1" t="s">
        <v>55</v>
      </c>
      <c r="G441" s="1" t="s">
        <v>17</v>
      </c>
      <c r="H441" s="1" t="s">
        <v>18</v>
      </c>
      <c r="I441" s="1" t="s">
        <v>163</v>
      </c>
    </row>
    <row r="442">
      <c r="A442" s="1">
        <v>1409022.0</v>
      </c>
      <c r="B442" s="1" t="s">
        <v>1009</v>
      </c>
      <c r="C442" s="1" t="s">
        <v>839</v>
      </c>
      <c r="D442" s="1" t="s">
        <v>871</v>
      </c>
      <c r="E442" s="1" t="s">
        <v>1010</v>
      </c>
      <c r="F442" s="1" t="s">
        <v>16</v>
      </c>
      <c r="G442" s="1" t="s">
        <v>17</v>
      </c>
      <c r="H442" s="1" t="s">
        <v>28</v>
      </c>
      <c r="I442" s="1" t="s">
        <v>40</v>
      </c>
    </row>
    <row r="443">
      <c r="A443" s="1">
        <v>1471382.0</v>
      </c>
      <c r="B443" s="1" t="s">
        <v>1011</v>
      </c>
      <c r="C443" s="1" t="s">
        <v>839</v>
      </c>
      <c r="D443" s="1" t="s">
        <v>843</v>
      </c>
      <c r="E443" s="1" t="s">
        <v>1012</v>
      </c>
      <c r="F443" s="1" t="s">
        <v>16</v>
      </c>
      <c r="G443" s="1" t="s">
        <v>17</v>
      </c>
      <c r="H443" s="1" t="s">
        <v>18</v>
      </c>
      <c r="I443" s="1" t="s">
        <v>19</v>
      </c>
    </row>
    <row r="444">
      <c r="A444" s="1">
        <v>1509031.0</v>
      </c>
      <c r="B444" s="1" t="s">
        <v>1013</v>
      </c>
      <c r="C444" s="1" t="s">
        <v>1014</v>
      </c>
      <c r="D444" s="1" t="s">
        <v>1015</v>
      </c>
      <c r="E444" s="1" t="s">
        <v>1016</v>
      </c>
      <c r="F444" s="1" t="s">
        <v>16</v>
      </c>
      <c r="G444" s="1" t="s">
        <v>23</v>
      </c>
      <c r="H444" s="1" t="s">
        <v>18</v>
      </c>
      <c r="I444" s="1" t="s">
        <v>19</v>
      </c>
    </row>
    <row r="445">
      <c r="A445" s="1">
        <v>1505028.0</v>
      </c>
      <c r="B445" s="1" t="s">
        <v>1017</v>
      </c>
      <c r="C445" s="1" t="s">
        <v>1014</v>
      </c>
      <c r="D445" s="1" t="s">
        <v>1018</v>
      </c>
      <c r="E445" s="1" t="s">
        <v>1019</v>
      </c>
      <c r="F445" s="1" t="s">
        <v>16</v>
      </c>
      <c r="G445" s="1" t="s">
        <v>23</v>
      </c>
      <c r="H445" s="1" t="s">
        <v>28</v>
      </c>
      <c r="I445" s="1" t="s">
        <v>40</v>
      </c>
    </row>
    <row r="446">
      <c r="A446" s="1">
        <v>1509043.0</v>
      </c>
      <c r="B446" s="1" t="s">
        <v>1020</v>
      </c>
      <c r="C446" s="1" t="s">
        <v>1014</v>
      </c>
      <c r="D446" s="1" t="s">
        <v>1015</v>
      </c>
      <c r="E446" s="1" t="s">
        <v>1021</v>
      </c>
      <c r="F446" s="1" t="s">
        <v>16</v>
      </c>
      <c r="G446" s="1" t="s">
        <v>1022</v>
      </c>
      <c r="H446" s="1" t="s">
        <v>18</v>
      </c>
      <c r="I446" s="1" t="s">
        <v>40</v>
      </c>
    </row>
    <row r="447">
      <c r="A447" s="1">
        <v>1507010.0</v>
      </c>
      <c r="B447" s="1" t="s">
        <v>1023</v>
      </c>
      <c r="C447" s="1" t="s">
        <v>1014</v>
      </c>
      <c r="D447" s="1" t="s">
        <v>1024</v>
      </c>
      <c r="E447" s="1" t="s">
        <v>1025</v>
      </c>
      <c r="F447" s="1" t="s">
        <v>16</v>
      </c>
      <c r="G447" s="1" t="s">
        <v>17</v>
      </c>
      <c r="H447" s="1" t="s">
        <v>28</v>
      </c>
      <c r="I447" s="1" t="s">
        <v>40</v>
      </c>
    </row>
    <row r="448">
      <c r="A448" s="1">
        <v>1571158.0</v>
      </c>
      <c r="B448" s="1" t="s">
        <v>1026</v>
      </c>
      <c r="C448" s="1" t="s">
        <v>1014</v>
      </c>
      <c r="D448" s="1" t="s">
        <v>1027</v>
      </c>
      <c r="E448" s="1" t="s">
        <v>1028</v>
      </c>
      <c r="F448" s="1" t="s">
        <v>16</v>
      </c>
      <c r="G448" s="1" t="s">
        <v>17</v>
      </c>
      <c r="H448" s="1" t="s">
        <v>28</v>
      </c>
      <c r="I448" s="1" t="s">
        <v>29</v>
      </c>
    </row>
    <row r="449">
      <c r="A449" s="1">
        <v>1571162.0</v>
      </c>
      <c r="B449" s="1" t="s">
        <v>1029</v>
      </c>
      <c r="C449" s="1" t="s">
        <v>1014</v>
      </c>
      <c r="D449" s="1" t="s">
        <v>1027</v>
      </c>
      <c r="E449" s="1" t="s">
        <v>1030</v>
      </c>
      <c r="F449" s="1" t="s">
        <v>16</v>
      </c>
      <c r="G449" s="1" t="s">
        <v>17</v>
      </c>
      <c r="H449" s="1" t="s">
        <v>18</v>
      </c>
      <c r="I449" s="1" t="s">
        <v>44</v>
      </c>
    </row>
    <row r="450">
      <c r="A450" s="1">
        <v>1571159.0</v>
      </c>
      <c r="B450" s="1" t="s">
        <v>1031</v>
      </c>
      <c r="C450" s="1" t="s">
        <v>1014</v>
      </c>
      <c r="D450" s="1" t="s">
        <v>1027</v>
      </c>
      <c r="E450" s="1" t="s">
        <v>1032</v>
      </c>
      <c r="F450" s="1" t="s">
        <v>16</v>
      </c>
      <c r="G450" s="1" t="s">
        <v>17</v>
      </c>
      <c r="H450" s="1" t="s">
        <v>18</v>
      </c>
      <c r="I450" s="1" t="s">
        <v>44</v>
      </c>
    </row>
    <row r="451">
      <c r="A451" s="1">
        <v>1571163.0</v>
      </c>
      <c r="B451" s="1" t="s">
        <v>1033</v>
      </c>
      <c r="C451" s="1" t="s">
        <v>1014</v>
      </c>
      <c r="D451" s="1" t="s">
        <v>1027</v>
      </c>
      <c r="E451" s="1" t="s">
        <v>1034</v>
      </c>
      <c r="F451" s="1" t="s">
        <v>16</v>
      </c>
      <c r="G451" s="1" t="s">
        <v>17</v>
      </c>
      <c r="H451" s="1" t="s">
        <v>18</v>
      </c>
      <c r="I451" s="1" t="s">
        <v>19</v>
      </c>
    </row>
    <row r="452">
      <c r="A452" s="1">
        <v>1509013.0</v>
      </c>
      <c r="B452" s="1" t="s">
        <v>1035</v>
      </c>
      <c r="C452" s="1" t="s">
        <v>1014</v>
      </c>
      <c r="D452" s="1" t="s">
        <v>1015</v>
      </c>
      <c r="E452" s="1" t="s">
        <v>1036</v>
      </c>
      <c r="F452" s="1" t="s">
        <v>16</v>
      </c>
      <c r="G452" s="1" t="s">
        <v>27</v>
      </c>
      <c r="H452" s="1" t="s">
        <v>28</v>
      </c>
      <c r="I452" s="1" t="s">
        <v>40</v>
      </c>
    </row>
    <row r="453">
      <c r="A453" s="1">
        <v>1509028.0</v>
      </c>
      <c r="B453" s="1" t="s">
        <v>569</v>
      </c>
      <c r="C453" s="1" t="s">
        <v>1014</v>
      </c>
      <c r="D453" s="1" t="s">
        <v>1015</v>
      </c>
      <c r="E453" s="1" t="s">
        <v>1037</v>
      </c>
      <c r="F453" s="1" t="s">
        <v>16</v>
      </c>
      <c r="G453" s="1" t="s">
        <v>17</v>
      </c>
      <c r="H453" s="1" t="s">
        <v>18</v>
      </c>
      <c r="I453" s="1" t="s">
        <v>44</v>
      </c>
    </row>
    <row r="454">
      <c r="A454" s="1">
        <v>1508013.0</v>
      </c>
      <c r="B454" s="1" t="s">
        <v>1038</v>
      </c>
      <c r="C454" s="1" t="s">
        <v>1014</v>
      </c>
      <c r="D454" s="1" t="s">
        <v>1039</v>
      </c>
      <c r="E454" s="1" t="s">
        <v>1040</v>
      </c>
      <c r="F454" s="1" t="s">
        <v>16</v>
      </c>
      <c r="G454" s="1" t="s">
        <v>17</v>
      </c>
      <c r="H454" s="1" t="s">
        <v>28</v>
      </c>
      <c r="I454" s="1" t="s">
        <v>40</v>
      </c>
    </row>
    <row r="455">
      <c r="A455" s="1">
        <v>1502015.0</v>
      </c>
      <c r="B455" s="1" t="s">
        <v>1041</v>
      </c>
      <c r="C455" s="1" t="s">
        <v>1014</v>
      </c>
      <c r="D455" s="1" t="s">
        <v>1042</v>
      </c>
      <c r="E455" s="1" t="s">
        <v>1043</v>
      </c>
      <c r="F455" s="1" t="s">
        <v>16</v>
      </c>
      <c r="G455" s="1" t="s">
        <v>17</v>
      </c>
      <c r="H455" s="1" t="s">
        <v>18</v>
      </c>
      <c r="I455" s="1" t="s">
        <v>19</v>
      </c>
    </row>
    <row r="456">
      <c r="A456" s="1">
        <v>1571023.0</v>
      </c>
      <c r="B456" s="1" t="s">
        <v>1044</v>
      </c>
      <c r="C456" s="1" t="s">
        <v>1014</v>
      </c>
      <c r="D456" s="1" t="s">
        <v>1027</v>
      </c>
      <c r="E456" s="1" t="s">
        <v>1045</v>
      </c>
      <c r="F456" s="1" t="s">
        <v>16</v>
      </c>
      <c r="G456" s="1" t="s">
        <v>17</v>
      </c>
      <c r="H456" s="1" t="s">
        <v>33</v>
      </c>
      <c r="I456" s="1" t="s">
        <v>74</v>
      </c>
    </row>
    <row r="457">
      <c r="A457" s="1">
        <v>1507013.0</v>
      </c>
      <c r="B457" s="1" t="s">
        <v>1046</v>
      </c>
      <c r="C457" s="1" t="s">
        <v>1014</v>
      </c>
      <c r="D457" s="1" t="s">
        <v>1024</v>
      </c>
      <c r="E457" s="1" t="s">
        <v>1047</v>
      </c>
      <c r="F457" s="1" t="s">
        <v>16</v>
      </c>
      <c r="G457" s="1" t="s">
        <v>23</v>
      </c>
      <c r="H457" s="1" t="s">
        <v>28</v>
      </c>
      <c r="I457" s="1" t="s">
        <v>40</v>
      </c>
    </row>
    <row r="458">
      <c r="A458" s="1">
        <v>1571165.0</v>
      </c>
      <c r="B458" s="1" t="s">
        <v>1048</v>
      </c>
      <c r="C458" s="1" t="s">
        <v>1014</v>
      </c>
      <c r="D458" s="1" t="s">
        <v>1027</v>
      </c>
      <c r="E458" s="1" t="s">
        <v>1049</v>
      </c>
      <c r="F458" s="1" t="s">
        <v>16</v>
      </c>
      <c r="G458" s="1" t="s">
        <v>23</v>
      </c>
      <c r="H458" s="1" t="s">
        <v>18</v>
      </c>
      <c r="I458" s="1" t="s">
        <v>19</v>
      </c>
    </row>
    <row r="459">
      <c r="A459" s="1">
        <v>1506022.0</v>
      </c>
      <c r="B459" s="1" t="s">
        <v>1050</v>
      </c>
      <c r="C459" s="1" t="s">
        <v>1014</v>
      </c>
      <c r="D459" s="1" t="s">
        <v>1051</v>
      </c>
      <c r="E459" s="1" t="s">
        <v>1052</v>
      </c>
      <c r="F459" s="1" t="s">
        <v>16</v>
      </c>
      <c r="G459" s="1" t="s">
        <v>98</v>
      </c>
      <c r="H459" s="1" t="s">
        <v>18</v>
      </c>
      <c r="I459" s="1" t="s">
        <v>40</v>
      </c>
    </row>
    <row r="460">
      <c r="A460" s="1">
        <v>1503036.0</v>
      </c>
      <c r="B460" s="1" t="s">
        <v>1053</v>
      </c>
      <c r="C460" s="1" t="s">
        <v>1014</v>
      </c>
      <c r="D460" s="1" t="s">
        <v>1054</v>
      </c>
      <c r="E460" s="1" t="s">
        <v>1055</v>
      </c>
      <c r="F460" s="1" t="s">
        <v>16</v>
      </c>
      <c r="G460" s="1" t="s">
        <v>17</v>
      </c>
      <c r="H460" s="1" t="s">
        <v>28</v>
      </c>
      <c r="I460" s="1" t="s">
        <v>40</v>
      </c>
    </row>
    <row r="461">
      <c r="A461" s="1">
        <v>1571169.0</v>
      </c>
      <c r="B461" s="1" t="s">
        <v>1056</v>
      </c>
      <c r="C461" s="1" t="s">
        <v>1014</v>
      </c>
      <c r="D461" s="1" t="s">
        <v>1027</v>
      </c>
      <c r="E461" s="1" t="s">
        <v>1057</v>
      </c>
      <c r="F461" s="1" t="s">
        <v>16</v>
      </c>
      <c r="G461" s="1" t="s">
        <v>23</v>
      </c>
      <c r="H461" s="1" t="s">
        <v>18</v>
      </c>
      <c r="I461" s="1" t="s">
        <v>29</v>
      </c>
    </row>
    <row r="462">
      <c r="A462" s="1">
        <v>1504017.0</v>
      </c>
      <c r="B462" s="1" t="s">
        <v>1058</v>
      </c>
      <c r="C462" s="1" t="s">
        <v>1014</v>
      </c>
      <c r="D462" s="1" t="s">
        <v>1027</v>
      </c>
      <c r="E462" s="1" t="s">
        <v>1059</v>
      </c>
      <c r="F462" s="1" t="s">
        <v>16</v>
      </c>
      <c r="G462" s="1" t="s">
        <v>17</v>
      </c>
      <c r="H462" s="1" t="s">
        <v>18</v>
      </c>
      <c r="I462" s="1" t="s">
        <v>163</v>
      </c>
    </row>
    <row r="463">
      <c r="A463" s="1">
        <v>1571168.0</v>
      </c>
      <c r="B463" s="1" t="s">
        <v>1060</v>
      </c>
      <c r="C463" s="1" t="s">
        <v>1014</v>
      </c>
      <c r="D463" s="1" t="s">
        <v>1027</v>
      </c>
      <c r="E463" s="1" t="s">
        <v>1061</v>
      </c>
      <c r="F463" s="1" t="s">
        <v>16</v>
      </c>
      <c r="G463" s="1" t="s">
        <v>17</v>
      </c>
      <c r="H463" s="1" t="s">
        <v>18</v>
      </c>
      <c r="I463" s="1" t="s">
        <v>19</v>
      </c>
    </row>
    <row r="464">
      <c r="A464" s="1">
        <v>1571045.0</v>
      </c>
      <c r="B464" s="1" t="s">
        <v>1062</v>
      </c>
      <c r="C464" s="1" t="s">
        <v>1014</v>
      </c>
      <c r="D464" s="1" t="s">
        <v>1027</v>
      </c>
      <c r="E464" s="1" t="s">
        <v>1063</v>
      </c>
      <c r="F464" s="1" t="s">
        <v>16</v>
      </c>
      <c r="G464" s="1" t="s">
        <v>17</v>
      </c>
      <c r="H464" s="1" t="s">
        <v>18</v>
      </c>
      <c r="I464" s="1" t="s">
        <v>19</v>
      </c>
    </row>
    <row r="465">
      <c r="A465" s="1">
        <v>1503039.0</v>
      </c>
      <c r="B465" s="1" t="s">
        <v>1064</v>
      </c>
      <c r="C465" s="1" t="s">
        <v>1014</v>
      </c>
      <c r="D465" s="1" t="s">
        <v>1054</v>
      </c>
      <c r="E465" s="1" t="s">
        <v>1065</v>
      </c>
      <c r="F465" s="1" t="s">
        <v>16</v>
      </c>
      <c r="G465" s="1" t="s">
        <v>17</v>
      </c>
      <c r="H465" s="1" t="s">
        <v>18</v>
      </c>
      <c r="I465" s="1" t="s">
        <v>19</v>
      </c>
    </row>
    <row r="466">
      <c r="A466" s="1">
        <v>1505016.0</v>
      </c>
      <c r="B466" s="1" t="s">
        <v>1066</v>
      </c>
      <c r="C466" s="1" t="s">
        <v>1014</v>
      </c>
      <c r="D466" s="1" t="s">
        <v>1018</v>
      </c>
      <c r="E466" s="1" t="s">
        <v>1067</v>
      </c>
      <c r="F466" s="1" t="s">
        <v>16</v>
      </c>
      <c r="G466" s="1" t="s">
        <v>17</v>
      </c>
      <c r="H466" s="1" t="s">
        <v>28</v>
      </c>
      <c r="I466" s="1" t="s">
        <v>40</v>
      </c>
    </row>
    <row r="467">
      <c r="A467" s="1">
        <v>1571147.0</v>
      </c>
      <c r="B467" s="1" t="s">
        <v>1068</v>
      </c>
      <c r="C467" s="1" t="s">
        <v>1014</v>
      </c>
      <c r="D467" s="1" t="s">
        <v>1027</v>
      </c>
      <c r="E467" s="1" t="s">
        <v>1069</v>
      </c>
      <c r="F467" s="1" t="s">
        <v>16</v>
      </c>
      <c r="G467" s="1" t="s">
        <v>27</v>
      </c>
      <c r="H467" s="1" t="s">
        <v>18</v>
      </c>
      <c r="I467" s="1" t="s">
        <v>19</v>
      </c>
    </row>
    <row r="468">
      <c r="A468" s="1">
        <v>1505027.0</v>
      </c>
      <c r="B468" s="1" t="s">
        <v>1070</v>
      </c>
      <c r="C468" s="1" t="s">
        <v>1014</v>
      </c>
      <c r="D468" s="1" t="s">
        <v>1018</v>
      </c>
      <c r="E468" s="1" t="s">
        <v>1071</v>
      </c>
      <c r="F468" s="1" t="s">
        <v>16</v>
      </c>
      <c r="G468" s="1" t="s">
        <v>23</v>
      </c>
      <c r="H468" s="1" t="s">
        <v>28</v>
      </c>
      <c r="I468" s="1" t="s">
        <v>40</v>
      </c>
    </row>
    <row r="469">
      <c r="A469" s="1">
        <v>1509029.0</v>
      </c>
      <c r="B469" s="1" t="s">
        <v>1072</v>
      </c>
      <c r="C469" s="1" t="s">
        <v>1014</v>
      </c>
      <c r="D469" s="1" t="s">
        <v>1015</v>
      </c>
      <c r="E469" s="1" t="s">
        <v>1073</v>
      </c>
      <c r="F469" s="1" t="s">
        <v>55</v>
      </c>
      <c r="G469" s="1" t="s">
        <v>17</v>
      </c>
      <c r="H469" s="1" t="s">
        <v>18</v>
      </c>
      <c r="I469" s="1" t="s">
        <v>163</v>
      </c>
    </row>
    <row r="470">
      <c r="A470" s="1">
        <v>1506011.0</v>
      </c>
      <c r="B470" s="1" t="s">
        <v>1074</v>
      </c>
      <c r="C470" s="1" t="s">
        <v>1014</v>
      </c>
      <c r="D470" s="1" t="s">
        <v>1051</v>
      </c>
      <c r="E470" s="1" t="s">
        <v>1075</v>
      </c>
      <c r="F470" s="1" t="s">
        <v>16</v>
      </c>
      <c r="G470" s="1" t="s">
        <v>17</v>
      </c>
      <c r="H470" s="1" t="s">
        <v>28</v>
      </c>
      <c r="I470" s="1" t="s">
        <v>40</v>
      </c>
    </row>
    <row r="471">
      <c r="A471" s="1">
        <v>1571164.0</v>
      </c>
      <c r="B471" s="1" t="s">
        <v>1076</v>
      </c>
      <c r="C471" s="1" t="s">
        <v>1014</v>
      </c>
      <c r="D471" s="1" t="s">
        <v>1027</v>
      </c>
      <c r="E471" s="1" t="s">
        <v>1077</v>
      </c>
      <c r="F471" s="1" t="s">
        <v>16</v>
      </c>
      <c r="G471" s="1" t="s">
        <v>23</v>
      </c>
      <c r="H471" s="1" t="s">
        <v>18</v>
      </c>
      <c r="I471" s="1" t="s">
        <v>59</v>
      </c>
    </row>
    <row r="472">
      <c r="A472" s="1">
        <v>1571180.0</v>
      </c>
      <c r="B472" s="1" t="s">
        <v>1078</v>
      </c>
      <c r="C472" s="1" t="s">
        <v>1014</v>
      </c>
      <c r="D472" s="1" t="s">
        <v>1027</v>
      </c>
      <c r="E472" s="1" t="s">
        <v>1079</v>
      </c>
      <c r="F472" s="1" t="s">
        <v>16</v>
      </c>
      <c r="G472" s="1" t="s">
        <v>17</v>
      </c>
      <c r="H472" s="1" t="s">
        <v>18</v>
      </c>
      <c r="I472" s="1" t="s">
        <v>19</v>
      </c>
    </row>
    <row r="473">
      <c r="A473" s="1">
        <v>1504018.0</v>
      </c>
      <c r="B473" s="1" t="s">
        <v>1080</v>
      </c>
      <c r="C473" s="1" t="s">
        <v>1014</v>
      </c>
      <c r="D473" s="1" t="s">
        <v>1081</v>
      </c>
      <c r="E473" s="1" t="s">
        <v>1082</v>
      </c>
      <c r="F473" s="1" t="s">
        <v>16</v>
      </c>
      <c r="G473" s="1" t="s">
        <v>17</v>
      </c>
      <c r="H473" s="1" t="s">
        <v>18</v>
      </c>
      <c r="I473" s="1" t="s">
        <v>19</v>
      </c>
    </row>
    <row r="474">
      <c r="A474" s="1">
        <v>1501012.0</v>
      </c>
      <c r="B474" s="1" t="s">
        <v>1083</v>
      </c>
      <c r="C474" s="1" t="s">
        <v>1014</v>
      </c>
      <c r="D474" s="1" t="s">
        <v>1084</v>
      </c>
      <c r="E474" s="1" t="s">
        <v>1085</v>
      </c>
      <c r="F474" s="1" t="s">
        <v>16</v>
      </c>
      <c r="G474" s="1" t="s">
        <v>17</v>
      </c>
      <c r="H474" s="1" t="s">
        <v>28</v>
      </c>
      <c r="I474" s="1" t="s">
        <v>29</v>
      </c>
    </row>
    <row r="475">
      <c r="A475" s="1">
        <v>1571161.0</v>
      </c>
      <c r="B475" s="1" t="s">
        <v>918</v>
      </c>
      <c r="C475" s="1" t="s">
        <v>1014</v>
      </c>
      <c r="D475" s="1" t="s">
        <v>1027</v>
      </c>
      <c r="E475" s="1" t="s">
        <v>1086</v>
      </c>
      <c r="F475" s="1" t="s">
        <v>55</v>
      </c>
      <c r="G475" s="1" t="s">
        <v>17</v>
      </c>
      <c r="H475" s="1" t="s">
        <v>18</v>
      </c>
      <c r="I475" s="1" t="s">
        <v>44</v>
      </c>
    </row>
    <row r="476">
      <c r="A476" s="1">
        <v>1502019.0</v>
      </c>
      <c r="B476" s="1" t="s">
        <v>1087</v>
      </c>
      <c r="C476" s="1" t="s">
        <v>1014</v>
      </c>
      <c r="D476" s="1" t="s">
        <v>1042</v>
      </c>
      <c r="E476" s="1" t="s">
        <v>1088</v>
      </c>
      <c r="F476" s="1" t="s">
        <v>16</v>
      </c>
      <c r="G476" s="1" t="s">
        <v>23</v>
      </c>
      <c r="H476" s="1" t="s">
        <v>33</v>
      </c>
      <c r="I476" s="1" t="s">
        <v>19</v>
      </c>
    </row>
    <row r="477">
      <c r="A477" s="1">
        <v>1571012.0</v>
      </c>
      <c r="B477" s="1" t="s">
        <v>1089</v>
      </c>
      <c r="C477" s="1" t="s">
        <v>1014</v>
      </c>
      <c r="D477" s="1" t="s">
        <v>1027</v>
      </c>
      <c r="E477" s="1" t="s">
        <v>1090</v>
      </c>
      <c r="F477" s="1" t="s">
        <v>16</v>
      </c>
      <c r="G477" s="1" t="s">
        <v>27</v>
      </c>
      <c r="H477" s="1" t="s">
        <v>28</v>
      </c>
      <c r="I477" s="1" t="s">
        <v>139</v>
      </c>
    </row>
    <row r="478">
      <c r="A478" s="1">
        <v>1572003.0</v>
      </c>
      <c r="B478" s="1" t="s">
        <v>449</v>
      </c>
      <c r="C478" s="1" t="s">
        <v>1014</v>
      </c>
      <c r="D478" s="1" t="s">
        <v>1084</v>
      </c>
      <c r="E478" s="1" t="s">
        <v>1091</v>
      </c>
      <c r="F478" s="1" t="s">
        <v>16</v>
      </c>
      <c r="G478" s="1" t="s">
        <v>23</v>
      </c>
      <c r="H478" s="1" t="s">
        <v>18</v>
      </c>
      <c r="I478" s="1" t="s">
        <v>44</v>
      </c>
    </row>
    <row r="479">
      <c r="A479" s="1">
        <v>1502014.0</v>
      </c>
      <c r="B479" s="1" t="s">
        <v>1092</v>
      </c>
      <c r="C479" s="1" t="s">
        <v>1014</v>
      </c>
      <c r="D479" s="1" t="s">
        <v>1042</v>
      </c>
      <c r="E479" s="1" t="s">
        <v>1093</v>
      </c>
      <c r="F479" s="1" t="s">
        <v>16</v>
      </c>
      <c r="G479" s="1" t="s">
        <v>17</v>
      </c>
      <c r="H479" s="1" t="s">
        <v>28</v>
      </c>
      <c r="I479" s="1" t="s">
        <v>40</v>
      </c>
    </row>
    <row r="480">
      <c r="A480" s="1">
        <v>1502018.0</v>
      </c>
      <c r="B480" s="1" t="s">
        <v>1094</v>
      </c>
      <c r="C480" s="1" t="s">
        <v>1014</v>
      </c>
      <c r="D480" s="1" t="s">
        <v>1042</v>
      </c>
      <c r="E480" s="1" t="s">
        <v>1095</v>
      </c>
      <c r="F480" s="1" t="s">
        <v>16</v>
      </c>
      <c r="G480" s="1" t="s">
        <v>23</v>
      </c>
      <c r="H480" s="1" t="s">
        <v>18</v>
      </c>
      <c r="I480" s="1" t="s">
        <v>19</v>
      </c>
    </row>
    <row r="481">
      <c r="A481" s="1">
        <v>1571034.0</v>
      </c>
      <c r="B481" s="1" t="s">
        <v>1096</v>
      </c>
      <c r="C481" s="1" t="s">
        <v>1014</v>
      </c>
      <c r="D481" s="1" t="s">
        <v>1027</v>
      </c>
      <c r="E481" s="1" t="s">
        <v>1097</v>
      </c>
      <c r="F481" s="1" t="s">
        <v>16</v>
      </c>
      <c r="G481" s="1" t="s">
        <v>17</v>
      </c>
      <c r="H481" s="1" t="s">
        <v>18</v>
      </c>
      <c r="I481" s="1" t="s">
        <v>65</v>
      </c>
    </row>
    <row r="482">
      <c r="A482" s="1">
        <v>1504015.0</v>
      </c>
      <c r="B482" s="1" t="s">
        <v>1098</v>
      </c>
      <c r="C482" s="1" t="s">
        <v>1014</v>
      </c>
      <c r="D482" s="1" t="s">
        <v>1081</v>
      </c>
      <c r="E482" s="1" t="s">
        <v>1099</v>
      </c>
      <c r="F482" s="1" t="s">
        <v>16</v>
      </c>
      <c r="G482" s="1" t="s">
        <v>17</v>
      </c>
      <c r="H482" s="1" t="s">
        <v>28</v>
      </c>
      <c r="I482" s="1" t="s">
        <v>40</v>
      </c>
    </row>
    <row r="483">
      <c r="A483" s="1">
        <v>1571136.0</v>
      </c>
      <c r="B483" s="1" t="s">
        <v>1100</v>
      </c>
      <c r="C483" s="1" t="s">
        <v>1014</v>
      </c>
      <c r="D483" s="1" t="s">
        <v>1027</v>
      </c>
      <c r="E483" s="1" t="s">
        <v>1101</v>
      </c>
      <c r="F483" s="1" t="s">
        <v>174</v>
      </c>
      <c r="G483" s="1" t="s">
        <v>27</v>
      </c>
      <c r="H483" s="1" t="s">
        <v>28</v>
      </c>
      <c r="I483" s="1" t="s">
        <v>139</v>
      </c>
    </row>
    <row r="484">
      <c r="A484" s="1">
        <v>1508002.0</v>
      </c>
      <c r="B484" s="1" t="s">
        <v>1102</v>
      </c>
      <c r="C484" s="1" t="s">
        <v>1014</v>
      </c>
      <c r="D484" s="1" t="s">
        <v>1039</v>
      </c>
      <c r="E484" s="1" t="s">
        <v>1103</v>
      </c>
      <c r="F484" s="1" t="s">
        <v>16</v>
      </c>
      <c r="G484" s="1" t="s">
        <v>23</v>
      </c>
      <c r="H484" s="1" t="s">
        <v>18</v>
      </c>
      <c r="I484" s="1" t="s">
        <v>44</v>
      </c>
    </row>
    <row r="485">
      <c r="A485" s="1">
        <v>1509042.0</v>
      </c>
      <c r="B485" s="1" t="s">
        <v>1104</v>
      </c>
      <c r="C485" s="1" t="s">
        <v>1014</v>
      </c>
      <c r="D485" s="1" t="s">
        <v>1015</v>
      </c>
      <c r="E485" s="1" t="s">
        <v>1105</v>
      </c>
      <c r="F485" s="1" t="s">
        <v>16</v>
      </c>
      <c r="G485" s="1" t="s">
        <v>23</v>
      </c>
      <c r="H485" s="1" t="s">
        <v>18</v>
      </c>
      <c r="I485" s="1" t="s">
        <v>40</v>
      </c>
    </row>
    <row r="486">
      <c r="A486" s="1">
        <v>1671337.0</v>
      </c>
      <c r="B486" s="1" t="s">
        <v>1106</v>
      </c>
      <c r="C486" s="1" t="s">
        <v>1107</v>
      </c>
      <c r="D486" s="1" t="s">
        <v>1108</v>
      </c>
      <c r="E486" s="1" t="s">
        <v>1109</v>
      </c>
      <c r="F486" s="1" t="s">
        <v>55</v>
      </c>
      <c r="G486" s="1" t="s">
        <v>17</v>
      </c>
      <c r="H486" s="1" t="s">
        <v>18</v>
      </c>
      <c r="I486" s="1" t="s">
        <v>19</v>
      </c>
    </row>
    <row r="487">
      <c r="A487" s="1">
        <v>1671347.0</v>
      </c>
      <c r="B487" s="1" t="s">
        <v>1110</v>
      </c>
      <c r="C487" s="1" t="s">
        <v>1107</v>
      </c>
      <c r="D487" s="1" t="s">
        <v>1108</v>
      </c>
      <c r="E487" s="1" t="s">
        <v>1111</v>
      </c>
      <c r="F487" s="1" t="s">
        <v>16</v>
      </c>
      <c r="G487" s="1" t="s">
        <v>27</v>
      </c>
      <c r="H487" s="1" t="s">
        <v>28</v>
      </c>
      <c r="I487" s="1" t="s">
        <v>139</v>
      </c>
    </row>
    <row r="488">
      <c r="A488" s="1">
        <v>1672026.0</v>
      </c>
      <c r="B488" s="1" t="s">
        <v>1112</v>
      </c>
      <c r="C488" s="1" t="s">
        <v>1107</v>
      </c>
      <c r="D488" s="1" t="s">
        <v>1113</v>
      </c>
      <c r="E488" s="1" t="s">
        <v>1114</v>
      </c>
      <c r="F488" s="1" t="s">
        <v>16</v>
      </c>
      <c r="G488" s="1" t="s">
        <v>17</v>
      </c>
      <c r="H488" s="1" t="s">
        <v>18</v>
      </c>
      <c r="I488" s="1" t="s">
        <v>113</v>
      </c>
    </row>
    <row r="489">
      <c r="A489" s="1">
        <v>1607016.0</v>
      </c>
      <c r="B489" s="1" t="s">
        <v>1115</v>
      </c>
      <c r="C489" s="1" t="s">
        <v>1107</v>
      </c>
      <c r="D489" s="1" t="s">
        <v>1116</v>
      </c>
      <c r="E489" s="1" t="s">
        <v>1117</v>
      </c>
      <c r="F489" s="1" t="s">
        <v>16</v>
      </c>
      <c r="G489" s="1" t="s">
        <v>23</v>
      </c>
      <c r="H489" s="1" t="s">
        <v>28</v>
      </c>
      <c r="I489" s="1" t="s">
        <v>40</v>
      </c>
    </row>
    <row r="490">
      <c r="A490" s="1">
        <v>1604032.0</v>
      </c>
      <c r="B490" s="1" t="s">
        <v>1118</v>
      </c>
      <c r="C490" s="1" t="s">
        <v>1107</v>
      </c>
      <c r="D490" s="1" t="s">
        <v>1119</v>
      </c>
      <c r="E490" s="1" t="s">
        <v>1120</v>
      </c>
      <c r="F490" s="1" t="s">
        <v>55</v>
      </c>
      <c r="G490" s="1" t="s">
        <v>17</v>
      </c>
      <c r="H490" s="1" t="s">
        <v>18</v>
      </c>
      <c r="I490" s="1" t="s">
        <v>19</v>
      </c>
    </row>
    <row r="491">
      <c r="A491" s="1">
        <v>1606032.0</v>
      </c>
      <c r="B491" s="1" t="s">
        <v>1121</v>
      </c>
      <c r="C491" s="1" t="s">
        <v>1107</v>
      </c>
      <c r="D491" s="1" t="s">
        <v>1122</v>
      </c>
      <c r="E491" s="1" t="s">
        <v>1123</v>
      </c>
      <c r="F491" s="1" t="s">
        <v>16</v>
      </c>
      <c r="G491" s="1" t="s">
        <v>17</v>
      </c>
      <c r="H491" s="1" t="s">
        <v>28</v>
      </c>
      <c r="I491" s="1" t="s">
        <v>40</v>
      </c>
    </row>
    <row r="492">
      <c r="A492" s="1">
        <v>1674032.0</v>
      </c>
      <c r="B492" s="1" t="s">
        <v>1124</v>
      </c>
      <c r="C492" s="1" t="s">
        <v>1107</v>
      </c>
      <c r="D492" s="1" t="s">
        <v>1125</v>
      </c>
      <c r="E492" s="1" t="s">
        <v>1126</v>
      </c>
      <c r="F492" s="1" t="s">
        <v>16</v>
      </c>
      <c r="G492" s="1" t="s">
        <v>17</v>
      </c>
      <c r="H492" s="1" t="s">
        <v>28</v>
      </c>
      <c r="I492" s="1" t="s">
        <v>29</v>
      </c>
    </row>
    <row r="493">
      <c r="A493" s="1">
        <v>1671083.0</v>
      </c>
      <c r="B493" s="1" t="s">
        <v>1127</v>
      </c>
      <c r="C493" s="1" t="s">
        <v>1107</v>
      </c>
      <c r="D493" s="1" t="s">
        <v>1108</v>
      </c>
      <c r="E493" s="1" t="s">
        <v>1128</v>
      </c>
      <c r="F493" s="1" t="s">
        <v>16</v>
      </c>
      <c r="G493" s="1" t="s">
        <v>27</v>
      </c>
      <c r="H493" s="1" t="s">
        <v>18</v>
      </c>
      <c r="I493" s="1" t="s">
        <v>59</v>
      </c>
    </row>
    <row r="494">
      <c r="A494" s="1">
        <v>1671341.0</v>
      </c>
      <c r="B494" s="1" t="s">
        <v>1129</v>
      </c>
      <c r="C494" s="1" t="s">
        <v>1107</v>
      </c>
      <c r="D494" s="1" t="s">
        <v>1108</v>
      </c>
      <c r="E494" s="1" t="s">
        <v>1130</v>
      </c>
      <c r="F494" s="1" t="s">
        <v>55</v>
      </c>
      <c r="G494" s="1" t="s">
        <v>17</v>
      </c>
      <c r="H494" s="1" t="s">
        <v>18</v>
      </c>
      <c r="I494" s="1" t="s">
        <v>59</v>
      </c>
    </row>
    <row r="495">
      <c r="A495" s="1">
        <v>1603063.0</v>
      </c>
      <c r="B495" s="1" t="s">
        <v>1131</v>
      </c>
      <c r="C495" s="1" t="s">
        <v>1107</v>
      </c>
      <c r="D495" s="1" t="s">
        <v>1132</v>
      </c>
      <c r="E495" s="1" t="s">
        <v>1133</v>
      </c>
      <c r="F495" s="1" t="s">
        <v>16</v>
      </c>
      <c r="G495" s="1" t="s">
        <v>27</v>
      </c>
      <c r="H495" s="1" t="s">
        <v>28</v>
      </c>
      <c r="I495" s="1" t="s">
        <v>40</v>
      </c>
    </row>
    <row r="496">
      <c r="A496" s="1">
        <v>1671324.0</v>
      </c>
      <c r="B496" s="1" t="s">
        <v>1134</v>
      </c>
      <c r="C496" s="1" t="s">
        <v>1107</v>
      </c>
      <c r="D496" s="1" t="s">
        <v>1108</v>
      </c>
      <c r="E496" s="1" t="s">
        <v>1135</v>
      </c>
      <c r="F496" s="1" t="s">
        <v>55</v>
      </c>
      <c r="G496" s="1" t="s">
        <v>17</v>
      </c>
      <c r="H496" s="1" t="s">
        <v>18</v>
      </c>
      <c r="I496" s="1" t="s">
        <v>59</v>
      </c>
    </row>
    <row r="497">
      <c r="A497" s="1">
        <v>1601089.0</v>
      </c>
      <c r="B497" s="1" t="s">
        <v>1136</v>
      </c>
      <c r="C497" s="1" t="s">
        <v>1107</v>
      </c>
      <c r="D497" s="1" t="s">
        <v>1137</v>
      </c>
      <c r="E497" s="1" t="s">
        <v>1138</v>
      </c>
      <c r="F497" s="1" t="s">
        <v>55</v>
      </c>
      <c r="G497" s="1" t="s">
        <v>17</v>
      </c>
      <c r="H497" s="1" t="s">
        <v>18</v>
      </c>
      <c r="I497" s="1" t="s">
        <v>44</v>
      </c>
    </row>
    <row r="498">
      <c r="A498" s="1">
        <v>1608051.0</v>
      </c>
      <c r="B498" s="1" t="s">
        <v>1139</v>
      </c>
      <c r="C498" s="1" t="s">
        <v>1107</v>
      </c>
      <c r="D498" s="1" t="s">
        <v>1140</v>
      </c>
      <c r="E498" s="1" t="s">
        <v>1141</v>
      </c>
      <c r="F498" s="1" t="s">
        <v>16</v>
      </c>
      <c r="G498" s="1" t="s">
        <v>23</v>
      </c>
      <c r="H498" s="1" t="s">
        <v>28</v>
      </c>
      <c r="I498" s="1" t="s">
        <v>40</v>
      </c>
    </row>
    <row r="499">
      <c r="A499" s="1">
        <v>1671072.0</v>
      </c>
      <c r="B499" s="1" t="s">
        <v>1142</v>
      </c>
      <c r="C499" s="1" t="s">
        <v>1107</v>
      </c>
      <c r="D499" s="1" t="s">
        <v>1116</v>
      </c>
      <c r="E499" s="1" t="s">
        <v>1143</v>
      </c>
      <c r="F499" s="1" t="s">
        <v>16</v>
      </c>
      <c r="G499" s="1" t="s">
        <v>17</v>
      </c>
      <c r="H499" s="1" t="s">
        <v>33</v>
      </c>
      <c r="I499" s="1" t="s">
        <v>411</v>
      </c>
    </row>
    <row r="500">
      <c r="A500" s="1">
        <v>1601035.0</v>
      </c>
      <c r="B500" s="1" t="s">
        <v>1144</v>
      </c>
      <c r="C500" s="1" t="s">
        <v>1107</v>
      </c>
      <c r="D500" s="1" t="s">
        <v>1137</v>
      </c>
      <c r="E500" s="1" t="s">
        <v>1145</v>
      </c>
      <c r="F500" s="1" t="s">
        <v>16</v>
      </c>
      <c r="G500" s="1" t="s">
        <v>17</v>
      </c>
      <c r="H500" s="1" t="s">
        <v>18</v>
      </c>
      <c r="I500" s="1" t="s">
        <v>249</v>
      </c>
    </row>
    <row r="501">
      <c r="A501" s="1">
        <v>1606011.0</v>
      </c>
      <c r="B501" s="1" t="s">
        <v>1146</v>
      </c>
      <c r="C501" s="1" t="s">
        <v>1107</v>
      </c>
      <c r="D501" s="1" t="s">
        <v>1122</v>
      </c>
      <c r="E501" s="1" t="s">
        <v>1147</v>
      </c>
      <c r="F501" s="1" t="s">
        <v>16</v>
      </c>
      <c r="G501" s="1" t="s">
        <v>27</v>
      </c>
      <c r="H501" s="1" t="s">
        <v>28</v>
      </c>
      <c r="I501" s="1" t="s">
        <v>40</v>
      </c>
    </row>
    <row r="502">
      <c r="A502" s="1">
        <v>1674003.0</v>
      </c>
      <c r="B502" s="1" t="s">
        <v>1148</v>
      </c>
      <c r="C502" s="1" t="s">
        <v>1107</v>
      </c>
      <c r="D502" s="1" t="s">
        <v>1125</v>
      </c>
      <c r="E502" s="1" t="s">
        <v>1149</v>
      </c>
      <c r="F502" s="1" t="s">
        <v>16</v>
      </c>
      <c r="G502" s="1" t="s">
        <v>17</v>
      </c>
      <c r="H502" s="1" t="s">
        <v>18</v>
      </c>
      <c r="I502" s="1" t="s">
        <v>19</v>
      </c>
    </row>
    <row r="503">
      <c r="A503" s="1">
        <v>1671265.0</v>
      </c>
      <c r="B503" s="1" t="s">
        <v>1150</v>
      </c>
      <c r="C503" s="1" t="s">
        <v>1107</v>
      </c>
      <c r="D503" s="1" t="s">
        <v>1108</v>
      </c>
      <c r="E503" s="1" t="s">
        <v>1151</v>
      </c>
      <c r="F503" s="1" t="s">
        <v>16</v>
      </c>
      <c r="G503" s="1" t="s">
        <v>27</v>
      </c>
      <c r="H503" s="1" t="s">
        <v>28</v>
      </c>
      <c r="I503" s="1" t="s">
        <v>29</v>
      </c>
    </row>
    <row r="504">
      <c r="A504" s="1">
        <v>1603090.0</v>
      </c>
      <c r="B504" s="1" t="s">
        <v>1152</v>
      </c>
      <c r="C504" s="1" t="s">
        <v>1107</v>
      </c>
      <c r="D504" s="1" t="s">
        <v>1132</v>
      </c>
      <c r="E504" s="1" t="s">
        <v>1153</v>
      </c>
      <c r="F504" s="1" t="s">
        <v>55</v>
      </c>
      <c r="G504" s="1" t="s">
        <v>17</v>
      </c>
      <c r="H504" s="1" t="s">
        <v>18</v>
      </c>
      <c r="I504" s="1" t="s">
        <v>163</v>
      </c>
    </row>
    <row r="505">
      <c r="A505" s="1">
        <v>1671094.0</v>
      </c>
      <c r="B505" s="1" t="s">
        <v>1154</v>
      </c>
      <c r="C505" s="1" t="s">
        <v>1107</v>
      </c>
      <c r="D505" s="1" t="s">
        <v>1108</v>
      </c>
      <c r="E505" s="1" t="s">
        <v>1155</v>
      </c>
      <c r="F505" s="1" t="s">
        <v>16</v>
      </c>
      <c r="G505" s="1" t="s">
        <v>17</v>
      </c>
      <c r="H505" s="1" t="s">
        <v>18</v>
      </c>
      <c r="I505" s="1" t="s">
        <v>44</v>
      </c>
    </row>
    <row r="506">
      <c r="A506" s="1">
        <v>1603085.0</v>
      </c>
      <c r="B506" s="1" t="s">
        <v>1156</v>
      </c>
      <c r="C506" s="1" t="s">
        <v>1107</v>
      </c>
      <c r="D506" s="1" t="s">
        <v>1157</v>
      </c>
      <c r="E506" s="1" t="s">
        <v>1158</v>
      </c>
      <c r="F506" s="1" t="s">
        <v>16</v>
      </c>
      <c r="G506" s="1" t="s">
        <v>23</v>
      </c>
      <c r="H506" s="1" t="s">
        <v>28</v>
      </c>
      <c r="I506" s="1" t="s">
        <v>40</v>
      </c>
    </row>
    <row r="507">
      <c r="A507" s="1">
        <v>1671328.0</v>
      </c>
      <c r="B507" s="1" t="s">
        <v>1159</v>
      </c>
      <c r="C507" s="1" t="s">
        <v>1107</v>
      </c>
      <c r="D507" s="1" t="s">
        <v>1108</v>
      </c>
      <c r="E507" s="1" t="s">
        <v>1160</v>
      </c>
      <c r="F507" s="1" t="s">
        <v>32</v>
      </c>
      <c r="G507" s="1" t="s">
        <v>17</v>
      </c>
      <c r="H507" s="1" t="s">
        <v>28</v>
      </c>
      <c r="I507" s="1" t="s">
        <v>139</v>
      </c>
    </row>
    <row r="508">
      <c r="A508" s="1">
        <v>1671024.0</v>
      </c>
      <c r="B508" s="1" t="s">
        <v>1161</v>
      </c>
      <c r="C508" s="1" t="s">
        <v>1107</v>
      </c>
      <c r="D508" s="1" t="s">
        <v>1108</v>
      </c>
      <c r="E508" s="1" t="s">
        <v>1162</v>
      </c>
      <c r="F508" s="1" t="s">
        <v>16</v>
      </c>
      <c r="G508" s="1" t="s">
        <v>17</v>
      </c>
      <c r="H508" s="1" t="s">
        <v>18</v>
      </c>
      <c r="I508" s="1" t="s">
        <v>113</v>
      </c>
    </row>
    <row r="509">
      <c r="A509" s="1">
        <v>1601086.0</v>
      </c>
      <c r="B509" s="1" t="s">
        <v>1163</v>
      </c>
      <c r="C509" s="1" t="s">
        <v>1107</v>
      </c>
      <c r="D509" s="1" t="s">
        <v>1137</v>
      </c>
      <c r="E509" s="1" t="s">
        <v>1164</v>
      </c>
      <c r="F509" s="1" t="s">
        <v>55</v>
      </c>
      <c r="G509" s="1" t="s">
        <v>17</v>
      </c>
      <c r="H509" s="1" t="s">
        <v>18</v>
      </c>
      <c r="I509" s="1" t="s">
        <v>19</v>
      </c>
    </row>
    <row r="510">
      <c r="A510" s="1">
        <v>1603087.0</v>
      </c>
      <c r="B510" s="1" t="s">
        <v>1165</v>
      </c>
      <c r="C510" s="1" t="s">
        <v>1107</v>
      </c>
      <c r="D510" s="1" t="s">
        <v>1132</v>
      </c>
      <c r="E510" s="1" t="s">
        <v>1166</v>
      </c>
      <c r="F510" s="1" t="s">
        <v>16</v>
      </c>
      <c r="G510" s="1" t="s">
        <v>23</v>
      </c>
      <c r="H510" s="1" t="s">
        <v>18</v>
      </c>
      <c r="I510" s="1" t="s">
        <v>40</v>
      </c>
    </row>
    <row r="511">
      <c r="A511" s="1">
        <v>1609083.0</v>
      </c>
      <c r="B511" s="1" t="s">
        <v>1167</v>
      </c>
      <c r="C511" s="1" t="s">
        <v>1107</v>
      </c>
      <c r="D511" s="1" t="s">
        <v>1168</v>
      </c>
      <c r="E511" s="1" t="s">
        <v>1169</v>
      </c>
      <c r="F511" s="1" t="s">
        <v>16</v>
      </c>
      <c r="G511" s="1" t="s">
        <v>17</v>
      </c>
      <c r="H511" s="1" t="s">
        <v>28</v>
      </c>
      <c r="I511" s="1" t="s">
        <v>40</v>
      </c>
    </row>
    <row r="512">
      <c r="A512" s="1">
        <v>1674007.0</v>
      </c>
      <c r="B512" s="1" t="s">
        <v>1170</v>
      </c>
      <c r="C512" s="1" t="s">
        <v>1107</v>
      </c>
      <c r="D512" s="1" t="s">
        <v>1125</v>
      </c>
      <c r="E512" s="1" t="s">
        <v>1171</v>
      </c>
      <c r="F512" s="1" t="s">
        <v>55</v>
      </c>
      <c r="G512" s="1" t="s">
        <v>17</v>
      </c>
      <c r="H512" s="1" t="s">
        <v>18</v>
      </c>
      <c r="I512" s="1" t="s">
        <v>163</v>
      </c>
    </row>
    <row r="513">
      <c r="A513" s="1">
        <v>1671301.0</v>
      </c>
      <c r="B513" s="1" t="s">
        <v>1172</v>
      </c>
      <c r="C513" s="1" t="s">
        <v>1107</v>
      </c>
      <c r="D513" s="1" t="s">
        <v>1108</v>
      </c>
      <c r="E513" s="1" t="s">
        <v>1173</v>
      </c>
      <c r="F513" s="1" t="s">
        <v>16</v>
      </c>
      <c r="G513" s="1" t="s">
        <v>17</v>
      </c>
      <c r="H513" s="1" t="s">
        <v>18</v>
      </c>
      <c r="I513" s="1" t="s">
        <v>684</v>
      </c>
    </row>
    <row r="514">
      <c r="A514" s="1">
        <v>1671350.0</v>
      </c>
      <c r="B514" s="1" t="s">
        <v>1174</v>
      </c>
      <c r="C514" s="1" t="s">
        <v>1107</v>
      </c>
      <c r="D514" s="1" t="s">
        <v>1108</v>
      </c>
      <c r="E514" s="1" t="s">
        <v>1175</v>
      </c>
      <c r="F514" s="1" t="s">
        <v>16</v>
      </c>
      <c r="G514" s="1" t="s">
        <v>23</v>
      </c>
      <c r="H514" s="1" t="s">
        <v>28</v>
      </c>
      <c r="I514" s="1" t="s">
        <v>29</v>
      </c>
    </row>
    <row r="515">
      <c r="A515" s="1">
        <v>1602015.0</v>
      </c>
      <c r="B515" s="1" t="s">
        <v>1176</v>
      </c>
      <c r="C515" s="1" t="s">
        <v>1107</v>
      </c>
      <c r="D515" s="1" t="s">
        <v>1177</v>
      </c>
      <c r="E515" s="1" t="s">
        <v>1178</v>
      </c>
      <c r="F515" s="1" t="s">
        <v>16</v>
      </c>
      <c r="G515" s="1" t="s">
        <v>23</v>
      </c>
      <c r="H515" s="1" t="s">
        <v>28</v>
      </c>
      <c r="I515" s="1" t="s">
        <v>40</v>
      </c>
    </row>
    <row r="516">
      <c r="A516" s="1">
        <v>1671332.0</v>
      </c>
      <c r="B516" s="1" t="s">
        <v>1179</v>
      </c>
      <c r="C516" s="1" t="s">
        <v>1107</v>
      </c>
      <c r="D516" s="1" t="s">
        <v>1108</v>
      </c>
      <c r="E516" s="1" t="s">
        <v>1180</v>
      </c>
      <c r="F516" s="1" t="s">
        <v>16</v>
      </c>
      <c r="G516" s="1" t="s">
        <v>17</v>
      </c>
      <c r="H516" s="1" t="s">
        <v>18</v>
      </c>
      <c r="I516" s="1" t="s">
        <v>163</v>
      </c>
    </row>
    <row r="517">
      <c r="A517" s="1">
        <v>1604020.0</v>
      </c>
      <c r="B517" s="1" t="s">
        <v>1181</v>
      </c>
      <c r="C517" s="1" t="s">
        <v>1107</v>
      </c>
      <c r="D517" s="1" t="s">
        <v>1119</v>
      </c>
      <c r="E517" s="1" t="s">
        <v>1182</v>
      </c>
      <c r="F517" s="1" t="s">
        <v>16</v>
      </c>
      <c r="G517" s="1" t="s">
        <v>23</v>
      </c>
      <c r="H517" s="1" t="s">
        <v>18</v>
      </c>
      <c r="I517" s="1" t="s">
        <v>74</v>
      </c>
    </row>
    <row r="518">
      <c r="A518" s="1">
        <v>1671046.0</v>
      </c>
      <c r="B518" s="1" t="s">
        <v>1183</v>
      </c>
      <c r="C518" s="1" t="s">
        <v>1107</v>
      </c>
      <c r="D518" s="1" t="s">
        <v>1108</v>
      </c>
      <c r="E518" s="1" t="s">
        <v>1184</v>
      </c>
      <c r="F518" s="1" t="s">
        <v>16</v>
      </c>
      <c r="G518" s="1" t="s">
        <v>17</v>
      </c>
      <c r="H518" s="1" t="s">
        <v>18</v>
      </c>
      <c r="I518" s="1" t="s">
        <v>44</v>
      </c>
    </row>
    <row r="519">
      <c r="A519" s="1">
        <v>1601100.0</v>
      </c>
      <c r="B519" s="1" t="s">
        <v>1185</v>
      </c>
      <c r="C519" s="1" t="s">
        <v>1107</v>
      </c>
      <c r="D519" s="1" t="s">
        <v>1137</v>
      </c>
      <c r="E519" s="1" t="s">
        <v>1186</v>
      </c>
      <c r="F519" s="1" t="s">
        <v>55</v>
      </c>
      <c r="G519" s="1" t="s">
        <v>17</v>
      </c>
      <c r="H519" s="1" t="s">
        <v>18</v>
      </c>
      <c r="I519" s="1" t="s">
        <v>19</v>
      </c>
    </row>
    <row r="520">
      <c r="A520" s="1">
        <v>1603089.0</v>
      </c>
      <c r="B520" s="1" t="s">
        <v>1187</v>
      </c>
      <c r="C520" s="1" t="s">
        <v>1107</v>
      </c>
      <c r="D520" s="1" t="s">
        <v>1132</v>
      </c>
      <c r="E520" s="1" t="s">
        <v>1188</v>
      </c>
      <c r="F520" s="1" t="s">
        <v>16</v>
      </c>
      <c r="G520" s="1" t="s">
        <v>23</v>
      </c>
      <c r="H520" s="1" t="s">
        <v>18</v>
      </c>
      <c r="I520" s="1" t="s">
        <v>40</v>
      </c>
    </row>
    <row r="521">
      <c r="A521" s="1">
        <v>1672015.0</v>
      </c>
      <c r="B521" s="1" t="s">
        <v>1189</v>
      </c>
      <c r="C521" s="1" t="s">
        <v>1107</v>
      </c>
      <c r="D521" s="1" t="s">
        <v>1113</v>
      </c>
      <c r="E521" s="1" t="s">
        <v>1190</v>
      </c>
      <c r="F521" s="1" t="s">
        <v>16</v>
      </c>
      <c r="G521" s="1" t="s">
        <v>17</v>
      </c>
      <c r="H521" s="1" t="s">
        <v>28</v>
      </c>
      <c r="I521" s="1" t="s">
        <v>29</v>
      </c>
    </row>
    <row r="522">
      <c r="A522" s="1">
        <v>1671335.0</v>
      </c>
      <c r="B522" s="1" t="s">
        <v>1191</v>
      </c>
      <c r="C522" s="1" t="s">
        <v>1107</v>
      </c>
      <c r="D522" s="1" t="s">
        <v>1108</v>
      </c>
      <c r="E522" s="1" t="s">
        <v>1192</v>
      </c>
      <c r="F522" s="1" t="s">
        <v>16</v>
      </c>
      <c r="G522" s="1" t="s">
        <v>17</v>
      </c>
      <c r="H522" s="1" t="s">
        <v>18</v>
      </c>
      <c r="I522" s="1" t="s">
        <v>44</v>
      </c>
    </row>
    <row r="523">
      <c r="A523" s="1">
        <v>1607015.0</v>
      </c>
      <c r="B523" s="1" t="s">
        <v>1193</v>
      </c>
      <c r="C523" s="1" t="s">
        <v>1107</v>
      </c>
      <c r="D523" s="1" t="s">
        <v>1116</v>
      </c>
      <c r="E523" s="1" t="s">
        <v>1194</v>
      </c>
      <c r="F523" s="1" t="s">
        <v>16</v>
      </c>
      <c r="G523" s="1" t="s">
        <v>98</v>
      </c>
      <c r="H523" s="1" t="s">
        <v>18</v>
      </c>
      <c r="I523" s="1" t="s">
        <v>40</v>
      </c>
    </row>
    <row r="524">
      <c r="A524" s="1">
        <v>1609011.0</v>
      </c>
      <c r="B524" s="1" t="s">
        <v>1195</v>
      </c>
      <c r="C524" s="1" t="s">
        <v>1107</v>
      </c>
      <c r="D524" s="1" t="s">
        <v>1168</v>
      </c>
      <c r="E524" s="1" t="s">
        <v>1196</v>
      </c>
      <c r="F524" s="1" t="s">
        <v>16</v>
      </c>
      <c r="G524" s="1" t="s">
        <v>23</v>
      </c>
      <c r="H524" s="1" t="s">
        <v>28</v>
      </c>
      <c r="I524" s="1" t="s">
        <v>40</v>
      </c>
    </row>
    <row r="525">
      <c r="A525" s="1">
        <v>1671340.0</v>
      </c>
      <c r="B525" s="1" t="s">
        <v>1197</v>
      </c>
      <c r="C525" s="1" t="s">
        <v>1107</v>
      </c>
      <c r="D525" s="1" t="s">
        <v>1108</v>
      </c>
      <c r="E525" s="1" t="s">
        <v>1198</v>
      </c>
      <c r="F525" s="1" t="s">
        <v>55</v>
      </c>
      <c r="G525" s="1" t="s">
        <v>17</v>
      </c>
      <c r="H525" s="1" t="s">
        <v>18</v>
      </c>
      <c r="I525" s="1" t="s">
        <v>59</v>
      </c>
    </row>
    <row r="526">
      <c r="A526" s="1">
        <v>1671325.0</v>
      </c>
      <c r="B526" s="1" t="s">
        <v>1199</v>
      </c>
      <c r="C526" s="1" t="s">
        <v>1107</v>
      </c>
      <c r="D526" s="1" t="s">
        <v>1108</v>
      </c>
      <c r="E526" s="1" t="s">
        <v>1200</v>
      </c>
      <c r="F526" s="1" t="s">
        <v>16</v>
      </c>
      <c r="G526" s="1" t="s">
        <v>17</v>
      </c>
      <c r="H526" s="1" t="s">
        <v>18</v>
      </c>
      <c r="I526" s="1" t="s">
        <v>44</v>
      </c>
    </row>
    <row r="527">
      <c r="A527" s="1">
        <v>1603101.0</v>
      </c>
      <c r="B527" s="1" t="s">
        <v>1201</v>
      </c>
      <c r="C527" s="1" t="s">
        <v>1107</v>
      </c>
      <c r="D527" s="1" t="s">
        <v>1132</v>
      </c>
      <c r="E527" s="1" t="s">
        <v>1202</v>
      </c>
      <c r="F527" s="1" t="s">
        <v>16</v>
      </c>
      <c r="G527" s="1" t="s">
        <v>23</v>
      </c>
      <c r="H527" s="1" t="s">
        <v>18</v>
      </c>
      <c r="I527" s="1" t="s">
        <v>44</v>
      </c>
    </row>
    <row r="528">
      <c r="A528" s="1">
        <v>1674010.0</v>
      </c>
      <c r="B528" s="1" t="s">
        <v>1203</v>
      </c>
      <c r="C528" s="1" t="s">
        <v>1107</v>
      </c>
      <c r="D528" s="1" t="s">
        <v>1204</v>
      </c>
      <c r="E528" s="1" t="s">
        <v>1205</v>
      </c>
      <c r="F528" s="1" t="s">
        <v>16</v>
      </c>
      <c r="G528" s="1" t="s">
        <v>17</v>
      </c>
      <c r="H528" s="1" t="s">
        <v>28</v>
      </c>
      <c r="I528" s="1" t="s">
        <v>40</v>
      </c>
    </row>
    <row r="529">
      <c r="A529" s="1">
        <v>1671061.0</v>
      </c>
      <c r="B529" s="1" t="s">
        <v>1206</v>
      </c>
      <c r="C529" s="1" t="s">
        <v>1107</v>
      </c>
      <c r="D529" s="1" t="s">
        <v>1108</v>
      </c>
      <c r="E529" s="1" t="s">
        <v>1207</v>
      </c>
      <c r="F529" s="1" t="s">
        <v>174</v>
      </c>
      <c r="G529" s="1" t="s">
        <v>150</v>
      </c>
      <c r="H529" s="1" t="s">
        <v>28</v>
      </c>
      <c r="I529" s="1" t="s">
        <v>139</v>
      </c>
    </row>
    <row r="530">
      <c r="A530" s="1">
        <v>1609012.0</v>
      </c>
      <c r="B530" s="1" t="s">
        <v>1208</v>
      </c>
      <c r="C530" s="1" t="s">
        <v>1107</v>
      </c>
      <c r="D530" s="1" t="s">
        <v>1168</v>
      </c>
      <c r="E530" s="1" t="s">
        <v>1209</v>
      </c>
      <c r="F530" s="1" t="s">
        <v>16</v>
      </c>
      <c r="G530" s="1" t="s">
        <v>17</v>
      </c>
      <c r="H530" s="1" t="s">
        <v>18</v>
      </c>
      <c r="I530" s="1" t="s">
        <v>19</v>
      </c>
    </row>
    <row r="531">
      <c r="A531" s="1">
        <v>1610005.0</v>
      </c>
      <c r="B531" s="1" t="s">
        <v>1210</v>
      </c>
      <c r="C531" s="1" t="s">
        <v>1107</v>
      </c>
      <c r="D531" s="1" t="s">
        <v>1211</v>
      </c>
      <c r="E531" s="1" t="s">
        <v>1212</v>
      </c>
      <c r="F531" s="1" t="s">
        <v>16</v>
      </c>
      <c r="G531" s="1" t="s">
        <v>23</v>
      </c>
      <c r="H531" s="1" t="s">
        <v>18</v>
      </c>
      <c r="I531" s="1" t="s">
        <v>19</v>
      </c>
    </row>
    <row r="532">
      <c r="A532" s="1">
        <v>1603030.0</v>
      </c>
      <c r="B532" s="1" t="s">
        <v>1213</v>
      </c>
      <c r="C532" s="1" t="s">
        <v>1107</v>
      </c>
      <c r="D532" s="1" t="s">
        <v>1132</v>
      </c>
      <c r="E532" s="1" t="s">
        <v>1214</v>
      </c>
      <c r="F532" s="1" t="s">
        <v>16</v>
      </c>
      <c r="G532" s="1" t="s">
        <v>17</v>
      </c>
      <c r="H532" s="1" t="s">
        <v>18</v>
      </c>
      <c r="I532" s="1" t="s">
        <v>113</v>
      </c>
    </row>
    <row r="533">
      <c r="A533" s="1">
        <v>1607012.0</v>
      </c>
      <c r="B533" s="1" t="s">
        <v>1215</v>
      </c>
      <c r="C533" s="1" t="s">
        <v>1107</v>
      </c>
      <c r="D533" s="1" t="s">
        <v>1116</v>
      </c>
      <c r="E533" s="1" t="s">
        <v>1216</v>
      </c>
      <c r="F533" s="1" t="s">
        <v>16</v>
      </c>
      <c r="G533" s="1" t="s">
        <v>17</v>
      </c>
      <c r="H533" s="1" t="s">
        <v>28</v>
      </c>
      <c r="I533" s="1" t="s">
        <v>40</v>
      </c>
    </row>
    <row r="534">
      <c r="A534" s="1">
        <v>1671342.0</v>
      </c>
      <c r="B534" s="1" t="s">
        <v>1217</v>
      </c>
      <c r="C534" s="1" t="s">
        <v>1107</v>
      </c>
      <c r="D534" s="1" t="s">
        <v>1108</v>
      </c>
      <c r="E534" s="1" t="s">
        <v>1218</v>
      </c>
      <c r="F534" s="1" t="s">
        <v>16</v>
      </c>
      <c r="G534" s="1" t="s">
        <v>17</v>
      </c>
      <c r="H534" s="1" t="s">
        <v>18</v>
      </c>
      <c r="I534" s="1" t="s">
        <v>44</v>
      </c>
    </row>
    <row r="535">
      <c r="A535" s="1">
        <v>1671333.0</v>
      </c>
      <c r="B535" s="1" t="s">
        <v>1219</v>
      </c>
      <c r="C535" s="1" t="s">
        <v>1107</v>
      </c>
      <c r="D535" s="1" t="s">
        <v>1108</v>
      </c>
      <c r="E535" s="1" t="s">
        <v>1220</v>
      </c>
      <c r="F535" s="1" t="s">
        <v>16</v>
      </c>
      <c r="G535" s="1" t="s">
        <v>17</v>
      </c>
      <c r="H535" s="1" t="s">
        <v>18</v>
      </c>
      <c r="I535" s="1" t="s">
        <v>44</v>
      </c>
    </row>
    <row r="536">
      <c r="A536" s="1">
        <v>1612011.0</v>
      </c>
      <c r="B536" s="1" t="s">
        <v>1221</v>
      </c>
      <c r="C536" s="1" t="s">
        <v>1107</v>
      </c>
      <c r="D536" s="1" t="s">
        <v>1157</v>
      </c>
      <c r="E536" s="1" t="s">
        <v>1222</v>
      </c>
      <c r="F536" s="1" t="s">
        <v>16</v>
      </c>
      <c r="G536" s="1" t="s">
        <v>98</v>
      </c>
      <c r="H536" s="1" t="s">
        <v>18</v>
      </c>
      <c r="I536" s="1" t="s">
        <v>40</v>
      </c>
    </row>
    <row r="537">
      <c r="A537" s="1">
        <v>1601013.0</v>
      </c>
      <c r="B537" s="1" t="s">
        <v>1223</v>
      </c>
      <c r="C537" s="1" t="s">
        <v>1107</v>
      </c>
      <c r="D537" s="1" t="s">
        <v>1137</v>
      </c>
      <c r="E537" s="1" t="s">
        <v>1224</v>
      </c>
      <c r="F537" s="1" t="s">
        <v>16</v>
      </c>
      <c r="G537" s="1" t="s">
        <v>17</v>
      </c>
      <c r="H537" s="1" t="s">
        <v>28</v>
      </c>
      <c r="I537" s="1" t="s">
        <v>40</v>
      </c>
    </row>
    <row r="538">
      <c r="A538" s="1">
        <v>1671348.0</v>
      </c>
      <c r="B538" s="1" t="s">
        <v>1225</v>
      </c>
      <c r="C538" s="1" t="s">
        <v>1107</v>
      </c>
      <c r="D538" s="1" t="s">
        <v>1108</v>
      </c>
      <c r="E538" s="1" t="s">
        <v>1226</v>
      </c>
      <c r="F538" s="1" t="s">
        <v>55</v>
      </c>
      <c r="G538" s="1" t="s">
        <v>17</v>
      </c>
      <c r="H538" s="1" t="s">
        <v>18</v>
      </c>
      <c r="I538" s="1" t="s">
        <v>44</v>
      </c>
    </row>
    <row r="539">
      <c r="A539" s="1">
        <v>1607014.0</v>
      </c>
      <c r="B539" s="1" t="s">
        <v>1227</v>
      </c>
      <c r="C539" s="1" t="s">
        <v>1107</v>
      </c>
      <c r="D539" s="1" t="s">
        <v>1116</v>
      </c>
      <c r="E539" s="1" t="s">
        <v>1228</v>
      </c>
      <c r="F539" s="1" t="s">
        <v>16</v>
      </c>
      <c r="G539" s="1" t="s">
        <v>17</v>
      </c>
      <c r="H539" s="1" t="s">
        <v>18</v>
      </c>
      <c r="I539" s="1" t="s">
        <v>44</v>
      </c>
    </row>
    <row r="540">
      <c r="A540" s="1">
        <v>1605043.0</v>
      </c>
      <c r="B540" s="1" t="s">
        <v>1229</v>
      </c>
      <c r="C540" s="1" t="s">
        <v>1107</v>
      </c>
      <c r="D540" s="1" t="s">
        <v>1230</v>
      </c>
      <c r="E540" s="1" t="s">
        <v>1231</v>
      </c>
      <c r="F540" s="1" t="s">
        <v>16</v>
      </c>
      <c r="G540" s="1" t="s">
        <v>23</v>
      </c>
      <c r="H540" s="1" t="s">
        <v>28</v>
      </c>
      <c r="I540" s="1" t="s">
        <v>40</v>
      </c>
    </row>
    <row r="541">
      <c r="A541" s="1">
        <v>1671243.0</v>
      </c>
      <c r="B541" s="1" t="s">
        <v>1232</v>
      </c>
      <c r="C541" s="1" t="s">
        <v>1107</v>
      </c>
      <c r="D541" s="1" t="s">
        <v>1108</v>
      </c>
      <c r="E541" s="1" t="s">
        <v>1233</v>
      </c>
      <c r="F541" s="1" t="s">
        <v>16</v>
      </c>
      <c r="G541" s="1" t="s">
        <v>17</v>
      </c>
      <c r="H541" s="1" t="s">
        <v>18</v>
      </c>
      <c r="I541" s="1" t="s">
        <v>59</v>
      </c>
    </row>
    <row r="542">
      <c r="A542" s="1">
        <v>1611042.0</v>
      </c>
      <c r="B542" s="1" t="s">
        <v>1234</v>
      </c>
      <c r="C542" s="1" t="s">
        <v>1107</v>
      </c>
      <c r="D542" s="1" t="s">
        <v>1235</v>
      </c>
      <c r="E542" s="1" t="s">
        <v>1236</v>
      </c>
      <c r="F542" s="1" t="s">
        <v>16</v>
      </c>
      <c r="G542" s="1" t="s">
        <v>17</v>
      </c>
      <c r="H542" s="1" t="s">
        <v>28</v>
      </c>
      <c r="I542" s="1" t="s">
        <v>40</v>
      </c>
    </row>
    <row r="543">
      <c r="A543" s="1">
        <v>1671361.0</v>
      </c>
      <c r="B543" s="1" t="s">
        <v>1237</v>
      </c>
      <c r="C543" s="1" t="s">
        <v>1107</v>
      </c>
      <c r="D543" s="1" t="s">
        <v>1108</v>
      </c>
      <c r="E543" s="1" t="s">
        <v>1238</v>
      </c>
      <c r="F543" s="1" t="s">
        <v>16</v>
      </c>
      <c r="G543" s="1" t="s">
        <v>17</v>
      </c>
      <c r="H543" s="1" t="s">
        <v>18</v>
      </c>
      <c r="I543" s="1" t="s">
        <v>44</v>
      </c>
    </row>
    <row r="544">
      <c r="A544" s="1">
        <v>1672074.0</v>
      </c>
      <c r="B544" s="1" t="s">
        <v>1239</v>
      </c>
      <c r="C544" s="1" t="s">
        <v>1107</v>
      </c>
      <c r="D544" s="1" t="s">
        <v>1113</v>
      </c>
      <c r="E544" s="1" t="s">
        <v>1240</v>
      </c>
      <c r="F544" s="1" t="s">
        <v>16</v>
      </c>
      <c r="G544" s="1" t="s">
        <v>17</v>
      </c>
      <c r="H544" s="1" t="s">
        <v>18</v>
      </c>
      <c r="I544" s="1" t="s">
        <v>44</v>
      </c>
    </row>
    <row r="545">
      <c r="A545" s="1">
        <v>1671013.0</v>
      </c>
      <c r="B545" s="1" t="s">
        <v>1241</v>
      </c>
      <c r="C545" s="1" t="s">
        <v>1107</v>
      </c>
      <c r="D545" s="1" t="s">
        <v>1108</v>
      </c>
      <c r="E545" s="1" t="s">
        <v>1242</v>
      </c>
      <c r="F545" s="1" t="s">
        <v>16</v>
      </c>
      <c r="G545" s="1" t="s">
        <v>150</v>
      </c>
      <c r="H545" s="1" t="s">
        <v>33</v>
      </c>
      <c r="I545" s="1" t="s">
        <v>411</v>
      </c>
    </row>
    <row r="546">
      <c r="A546" s="1">
        <v>1671343.0</v>
      </c>
      <c r="B546" s="1" t="s">
        <v>1243</v>
      </c>
      <c r="C546" s="1" t="s">
        <v>1107</v>
      </c>
      <c r="D546" s="1" t="s">
        <v>1108</v>
      </c>
      <c r="E546" s="1" t="s">
        <v>1244</v>
      </c>
      <c r="F546" s="1" t="s">
        <v>16</v>
      </c>
      <c r="G546" s="1" t="s">
        <v>17</v>
      </c>
      <c r="H546" s="1" t="s">
        <v>18</v>
      </c>
      <c r="I546" s="1" t="s">
        <v>19</v>
      </c>
    </row>
    <row r="547">
      <c r="A547" s="1">
        <v>1607017.0</v>
      </c>
      <c r="B547" s="1" t="s">
        <v>1245</v>
      </c>
      <c r="C547" s="1" t="s">
        <v>1107</v>
      </c>
      <c r="D547" s="1" t="s">
        <v>1116</v>
      </c>
      <c r="E547" s="1" t="s">
        <v>1246</v>
      </c>
      <c r="F547" s="1" t="s">
        <v>16</v>
      </c>
      <c r="G547" s="1" t="s">
        <v>17</v>
      </c>
      <c r="H547" s="1" t="s">
        <v>18</v>
      </c>
      <c r="I547" s="1" t="s">
        <v>44</v>
      </c>
    </row>
    <row r="548">
      <c r="A548" s="1">
        <v>1674008.0</v>
      </c>
      <c r="B548" s="1" t="s">
        <v>1247</v>
      </c>
      <c r="C548" s="1" t="s">
        <v>1107</v>
      </c>
      <c r="D548" s="1" t="s">
        <v>1125</v>
      </c>
      <c r="E548" s="1" t="s">
        <v>1248</v>
      </c>
      <c r="F548" s="1" t="s">
        <v>16</v>
      </c>
      <c r="G548" s="1" t="s">
        <v>23</v>
      </c>
      <c r="H548" s="1" t="s">
        <v>28</v>
      </c>
      <c r="I548" s="1" t="s">
        <v>29</v>
      </c>
    </row>
    <row r="549">
      <c r="A549" s="1">
        <v>1609046.0</v>
      </c>
      <c r="B549" s="1" t="s">
        <v>1249</v>
      </c>
      <c r="C549" s="1" t="s">
        <v>1107</v>
      </c>
      <c r="D549" s="1" t="s">
        <v>1168</v>
      </c>
      <c r="E549" s="1" t="s">
        <v>1250</v>
      </c>
      <c r="F549" s="1" t="s">
        <v>16</v>
      </c>
      <c r="G549" s="1" t="s">
        <v>23</v>
      </c>
      <c r="H549" s="1" t="s">
        <v>18</v>
      </c>
      <c r="I549" s="1" t="s">
        <v>59</v>
      </c>
    </row>
    <row r="550">
      <c r="A550" s="1">
        <v>1606022.0</v>
      </c>
      <c r="B550" s="1" t="s">
        <v>1251</v>
      </c>
      <c r="C550" s="1" t="s">
        <v>1107</v>
      </c>
      <c r="D550" s="1" t="s">
        <v>1122</v>
      </c>
      <c r="E550" s="1" t="s">
        <v>1252</v>
      </c>
      <c r="F550" s="1" t="s">
        <v>16</v>
      </c>
      <c r="G550" s="1" t="s">
        <v>17</v>
      </c>
      <c r="H550" s="1" t="s">
        <v>28</v>
      </c>
      <c r="I550" s="1" t="s">
        <v>40</v>
      </c>
    </row>
    <row r="551">
      <c r="A551" s="1">
        <v>1671276.0</v>
      </c>
      <c r="B551" s="1" t="s">
        <v>1253</v>
      </c>
      <c r="C551" s="1" t="s">
        <v>1107</v>
      </c>
      <c r="D551" s="1" t="s">
        <v>1108</v>
      </c>
      <c r="E551" s="1" t="s">
        <v>1254</v>
      </c>
      <c r="F551" s="1" t="s">
        <v>16</v>
      </c>
      <c r="G551" s="1" t="s">
        <v>17</v>
      </c>
      <c r="H551" s="1" t="s">
        <v>18</v>
      </c>
      <c r="I551" s="1" t="s">
        <v>249</v>
      </c>
    </row>
    <row r="552">
      <c r="A552" s="1">
        <v>1671336.0</v>
      </c>
      <c r="B552" s="1" t="s">
        <v>1255</v>
      </c>
      <c r="C552" s="1" t="s">
        <v>1107</v>
      </c>
      <c r="D552" s="1" t="s">
        <v>1108</v>
      </c>
      <c r="E552" s="1" t="s">
        <v>1256</v>
      </c>
      <c r="F552" s="1" t="s">
        <v>16</v>
      </c>
      <c r="G552" s="1" t="s">
        <v>23</v>
      </c>
      <c r="H552" s="1" t="s">
        <v>18</v>
      </c>
      <c r="I552" s="1" t="s">
        <v>44</v>
      </c>
    </row>
    <row r="553">
      <c r="A553" s="1">
        <v>1604016.0</v>
      </c>
      <c r="B553" s="1" t="s">
        <v>1257</v>
      </c>
      <c r="C553" s="1" t="s">
        <v>1107</v>
      </c>
      <c r="D553" s="1" t="s">
        <v>1119</v>
      </c>
      <c r="E553" s="1" t="s">
        <v>1258</v>
      </c>
      <c r="F553" s="1" t="s">
        <v>16</v>
      </c>
      <c r="G553" s="1" t="s">
        <v>17</v>
      </c>
      <c r="H553" s="1" t="s">
        <v>28</v>
      </c>
      <c r="I553" s="1" t="s">
        <v>40</v>
      </c>
    </row>
    <row r="554">
      <c r="A554" s="1">
        <v>1671339.0</v>
      </c>
      <c r="B554" s="1" t="s">
        <v>1259</v>
      </c>
      <c r="C554" s="1" t="s">
        <v>1107</v>
      </c>
      <c r="D554" s="1" t="s">
        <v>1108</v>
      </c>
      <c r="E554" s="1" t="s">
        <v>1260</v>
      </c>
      <c r="F554" s="1" t="s">
        <v>55</v>
      </c>
      <c r="G554" s="1" t="s">
        <v>17</v>
      </c>
      <c r="H554" s="1" t="s">
        <v>18</v>
      </c>
      <c r="I554" s="1" t="s">
        <v>44</v>
      </c>
    </row>
    <row r="555">
      <c r="A555" s="1">
        <v>1671035.0</v>
      </c>
      <c r="B555" s="1" t="s">
        <v>1261</v>
      </c>
      <c r="C555" s="1" t="s">
        <v>1107</v>
      </c>
      <c r="D555" s="1" t="s">
        <v>1108</v>
      </c>
      <c r="E555" s="1" t="s">
        <v>1262</v>
      </c>
      <c r="F555" s="1" t="s">
        <v>16</v>
      </c>
      <c r="G555" s="1" t="s">
        <v>17</v>
      </c>
      <c r="H555" s="1" t="s">
        <v>33</v>
      </c>
      <c r="I555" s="1" t="s">
        <v>74</v>
      </c>
    </row>
    <row r="556">
      <c r="A556" s="1">
        <v>1671331.0</v>
      </c>
      <c r="B556" s="1" t="s">
        <v>1263</v>
      </c>
      <c r="C556" s="1" t="s">
        <v>1107</v>
      </c>
      <c r="D556" s="1" t="s">
        <v>1108</v>
      </c>
      <c r="E556" s="1" t="s">
        <v>1264</v>
      </c>
      <c r="F556" s="1" t="s">
        <v>16</v>
      </c>
      <c r="G556" s="1" t="s">
        <v>17</v>
      </c>
      <c r="H556" s="1" t="s">
        <v>33</v>
      </c>
      <c r="I556" s="1" t="s">
        <v>65</v>
      </c>
    </row>
    <row r="557">
      <c r="A557" s="1">
        <v>1674002.0</v>
      </c>
      <c r="B557" s="1" t="s">
        <v>1265</v>
      </c>
      <c r="C557" s="1" t="s">
        <v>1107</v>
      </c>
      <c r="D557" s="1" t="s">
        <v>1125</v>
      </c>
      <c r="E557" s="1" t="s">
        <v>1266</v>
      </c>
      <c r="F557" s="1" t="s">
        <v>16</v>
      </c>
      <c r="G557" s="1" t="s">
        <v>17</v>
      </c>
      <c r="H557" s="1" t="s">
        <v>18</v>
      </c>
      <c r="I557" s="1" t="s">
        <v>19</v>
      </c>
    </row>
    <row r="558">
      <c r="A558" s="1">
        <v>1674005.0</v>
      </c>
      <c r="B558" s="1" t="s">
        <v>1267</v>
      </c>
      <c r="C558" s="1" t="s">
        <v>1107</v>
      </c>
      <c r="D558" s="1" t="s">
        <v>1125</v>
      </c>
      <c r="E558" s="1" t="s">
        <v>1268</v>
      </c>
      <c r="F558" s="1" t="s">
        <v>55</v>
      </c>
      <c r="G558" s="1" t="s">
        <v>17</v>
      </c>
      <c r="H558" s="1" t="s">
        <v>18</v>
      </c>
      <c r="I558" s="1" t="s">
        <v>163</v>
      </c>
    </row>
    <row r="559">
      <c r="A559" s="1">
        <v>1603088.0</v>
      </c>
      <c r="B559" s="1" t="s">
        <v>1269</v>
      </c>
      <c r="C559" s="1" t="s">
        <v>1107</v>
      </c>
      <c r="D559" s="1" t="s">
        <v>1132</v>
      </c>
      <c r="E559" s="1" t="s">
        <v>1270</v>
      </c>
      <c r="F559" s="1" t="s">
        <v>16</v>
      </c>
      <c r="G559" s="1" t="s">
        <v>23</v>
      </c>
      <c r="H559" s="1" t="s">
        <v>18</v>
      </c>
      <c r="I559" s="1" t="s">
        <v>40</v>
      </c>
    </row>
    <row r="560">
      <c r="A560" s="1">
        <v>1602014.0</v>
      </c>
      <c r="B560" s="1" t="s">
        <v>1271</v>
      </c>
      <c r="C560" s="1" t="s">
        <v>1107</v>
      </c>
      <c r="D560" s="1" t="s">
        <v>1177</v>
      </c>
      <c r="E560" s="1" t="s">
        <v>1272</v>
      </c>
      <c r="F560" s="1" t="s">
        <v>16</v>
      </c>
      <c r="G560" s="1" t="s">
        <v>17</v>
      </c>
      <c r="H560" s="1" t="s">
        <v>28</v>
      </c>
      <c r="I560" s="1" t="s">
        <v>40</v>
      </c>
    </row>
    <row r="561">
      <c r="A561" s="1">
        <v>1672002.0</v>
      </c>
      <c r="B561" s="1" t="s">
        <v>1273</v>
      </c>
      <c r="C561" s="1" t="s">
        <v>1107</v>
      </c>
      <c r="D561" s="1" t="s">
        <v>1113</v>
      </c>
      <c r="E561" s="1" t="s">
        <v>1274</v>
      </c>
      <c r="F561" s="1" t="s">
        <v>16</v>
      </c>
      <c r="G561" s="1" t="s">
        <v>23</v>
      </c>
      <c r="H561" s="1" t="s">
        <v>18</v>
      </c>
      <c r="I561" s="1" t="s">
        <v>44</v>
      </c>
    </row>
    <row r="562">
      <c r="A562" s="1">
        <v>1601088.0</v>
      </c>
      <c r="B562" s="1" t="s">
        <v>1275</v>
      </c>
      <c r="C562" s="1" t="s">
        <v>1107</v>
      </c>
      <c r="D562" s="1" t="s">
        <v>1137</v>
      </c>
      <c r="E562" s="1" t="s">
        <v>1276</v>
      </c>
      <c r="F562" s="1" t="s">
        <v>55</v>
      </c>
      <c r="G562" s="1" t="s">
        <v>17</v>
      </c>
      <c r="H562" s="1" t="s">
        <v>18</v>
      </c>
      <c r="I562" s="1" t="s">
        <v>19</v>
      </c>
    </row>
    <row r="563">
      <c r="A563" s="1">
        <v>1601002.0</v>
      </c>
      <c r="B563" s="1" t="s">
        <v>1277</v>
      </c>
      <c r="C563" s="1" t="s">
        <v>1107</v>
      </c>
      <c r="D563" s="1" t="s">
        <v>1137</v>
      </c>
      <c r="E563" s="1" t="s">
        <v>1278</v>
      </c>
      <c r="F563" s="1" t="s">
        <v>16</v>
      </c>
      <c r="G563" s="1" t="s">
        <v>17</v>
      </c>
      <c r="H563" s="1" t="s">
        <v>18</v>
      </c>
      <c r="I563" s="1" t="s">
        <v>74</v>
      </c>
    </row>
    <row r="564">
      <c r="A564" s="1">
        <v>1610003.0</v>
      </c>
      <c r="B564" s="1" t="s">
        <v>1279</v>
      </c>
      <c r="C564" s="1" t="s">
        <v>1107</v>
      </c>
      <c r="D564" s="1" t="s">
        <v>1211</v>
      </c>
      <c r="E564" s="1" t="s">
        <v>1280</v>
      </c>
      <c r="F564" s="1" t="s">
        <v>16</v>
      </c>
      <c r="G564" s="1" t="s">
        <v>17</v>
      </c>
      <c r="H564" s="1" t="s">
        <v>28</v>
      </c>
      <c r="I564" s="1" t="s">
        <v>40</v>
      </c>
    </row>
    <row r="565">
      <c r="A565" s="1">
        <v>1671323.0</v>
      </c>
      <c r="B565" s="1" t="s">
        <v>1281</v>
      </c>
      <c r="C565" s="1" t="s">
        <v>1107</v>
      </c>
      <c r="D565" s="1" t="s">
        <v>1108</v>
      </c>
      <c r="E565" s="1" t="s">
        <v>1282</v>
      </c>
      <c r="F565" s="1" t="s">
        <v>272</v>
      </c>
      <c r="G565" s="1" t="s">
        <v>27</v>
      </c>
      <c r="H565" s="1" t="s">
        <v>28</v>
      </c>
      <c r="I565" s="1" t="s">
        <v>139</v>
      </c>
    </row>
    <row r="566">
      <c r="A566" s="1">
        <v>1611002.0</v>
      </c>
      <c r="B566" s="1" t="s">
        <v>1283</v>
      </c>
      <c r="C566" s="1" t="s">
        <v>1107</v>
      </c>
      <c r="D566" s="1" t="s">
        <v>1235</v>
      </c>
      <c r="E566" s="1" t="s">
        <v>1284</v>
      </c>
      <c r="F566" s="1" t="s">
        <v>16</v>
      </c>
      <c r="G566" s="1" t="s">
        <v>98</v>
      </c>
      <c r="H566" s="1" t="s">
        <v>18</v>
      </c>
      <c r="I566" s="1" t="s">
        <v>40</v>
      </c>
    </row>
    <row r="567">
      <c r="A567" s="1">
        <v>1673031.0</v>
      </c>
      <c r="B567" s="1" t="s">
        <v>1285</v>
      </c>
      <c r="C567" s="1" t="s">
        <v>1107</v>
      </c>
      <c r="D567" s="1" t="s">
        <v>1286</v>
      </c>
      <c r="E567" s="1" t="s">
        <v>1287</v>
      </c>
      <c r="F567" s="1" t="s">
        <v>16</v>
      </c>
      <c r="G567" s="1" t="s">
        <v>17</v>
      </c>
      <c r="H567" s="1" t="s">
        <v>28</v>
      </c>
      <c r="I567" s="1" t="s">
        <v>29</v>
      </c>
    </row>
    <row r="568">
      <c r="A568" s="1">
        <v>1610004.0</v>
      </c>
      <c r="B568" s="1" t="s">
        <v>1288</v>
      </c>
      <c r="C568" s="1" t="s">
        <v>1107</v>
      </c>
      <c r="D568" s="1" t="s">
        <v>1211</v>
      </c>
      <c r="E568" s="1" t="s">
        <v>1289</v>
      </c>
      <c r="F568" s="1" t="s">
        <v>16</v>
      </c>
      <c r="G568" s="1" t="s">
        <v>23</v>
      </c>
      <c r="H568" s="1" t="s">
        <v>18</v>
      </c>
      <c r="I568" s="1" t="s">
        <v>19</v>
      </c>
    </row>
    <row r="569">
      <c r="A569" s="1">
        <v>1671050.0</v>
      </c>
      <c r="B569" s="1" t="s">
        <v>1290</v>
      </c>
      <c r="C569" s="1" t="s">
        <v>1107</v>
      </c>
      <c r="D569" s="1" t="s">
        <v>1108</v>
      </c>
      <c r="E569" s="1" t="s">
        <v>1291</v>
      </c>
      <c r="F569" s="1" t="s">
        <v>16</v>
      </c>
      <c r="G569" s="1" t="s">
        <v>27</v>
      </c>
      <c r="H569" s="1" t="s">
        <v>18</v>
      </c>
      <c r="I569" s="1" t="s">
        <v>59</v>
      </c>
    </row>
    <row r="570">
      <c r="A570" s="1">
        <v>1605044.0</v>
      </c>
      <c r="B570" s="1" t="s">
        <v>1292</v>
      </c>
      <c r="C570" s="1" t="s">
        <v>1107</v>
      </c>
      <c r="D570" s="1" t="s">
        <v>1204</v>
      </c>
      <c r="E570" s="1" t="s">
        <v>1293</v>
      </c>
      <c r="F570" s="1" t="s">
        <v>16</v>
      </c>
      <c r="G570" s="1" t="s">
        <v>23</v>
      </c>
      <c r="H570" s="1" t="s">
        <v>28</v>
      </c>
      <c r="I570" s="1" t="s">
        <v>40</v>
      </c>
    </row>
    <row r="571">
      <c r="A571" s="1">
        <v>1671327.0</v>
      </c>
      <c r="B571" s="1" t="s">
        <v>1294</v>
      </c>
      <c r="C571" s="1" t="s">
        <v>1107</v>
      </c>
      <c r="D571" s="1" t="s">
        <v>1108</v>
      </c>
      <c r="E571" s="1" t="s">
        <v>1295</v>
      </c>
      <c r="F571" s="1" t="s">
        <v>16</v>
      </c>
      <c r="G571" s="1" t="s">
        <v>23</v>
      </c>
      <c r="H571" s="1" t="s">
        <v>18</v>
      </c>
      <c r="I571" s="1" t="s">
        <v>59</v>
      </c>
    </row>
    <row r="572">
      <c r="A572" s="1">
        <v>1601084.0</v>
      </c>
      <c r="B572" s="1" t="s">
        <v>1296</v>
      </c>
      <c r="C572" s="1" t="s">
        <v>1107</v>
      </c>
      <c r="D572" s="1" t="s">
        <v>1137</v>
      </c>
      <c r="E572" s="1" t="s">
        <v>1297</v>
      </c>
      <c r="F572" s="1" t="s">
        <v>255</v>
      </c>
      <c r="G572" s="1" t="s">
        <v>17</v>
      </c>
      <c r="H572" s="1" t="s">
        <v>18</v>
      </c>
      <c r="I572" s="1" t="s">
        <v>44</v>
      </c>
    </row>
    <row r="573">
      <c r="A573" s="1">
        <v>1771073.0</v>
      </c>
      <c r="B573" s="1" t="s">
        <v>1298</v>
      </c>
      <c r="C573" s="1" t="s">
        <v>1299</v>
      </c>
      <c r="D573" s="1" t="s">
        <v>1300</v>
      </c>
      <c r="E573" s="1" t="s">
        <v>1301</v>
      </c>
      <c r="F573" s="1" t="s">
        <v>55</v>
      </c>
      <c r="G573" s="1" t="s">
        <v>17</v>
      </c>
      <c r="H573" s="1" t="s">
        <v>18</v>
      </c>
      <c r="I573" s="1" t="s">
        <v>29</v>
      </c>
    </row>
    <row r="574">
      <c r="A574" s="1">
        <v>1702015.0</v>
      </c>
      <c r="B574" s="1" t="s">
        <v>1302</v>
      </c>
      <c r="C574" s="1" t="s">
        <v>1299</v>
      </c>
      <c r="D574" s="1" t="s">
        <v>1303</v>
      </c>
      <c r="E574" s="1" t="s">
        <v>1304</v>
      </c>
      <c r="F574" s="1" t="s">
        <v>16</v>
      </c>
      <c r="G574" s="1" t="s">
        <v>17</v>
      </c>
      <c r="H574" s="1" t="s">
        <v>28</v>
      </c>
      <c r="I574" s="1" t="s">
        <v>40</v>
      </c>
    </row>
    <row r="575">
      <c r="A575" s="1">
        <v>1709038.0</v>
      </c>
      <c r="B575" s="1" t="s">
        <v>1305</v>
      </c>
      <c r="C575" s="1" t="s">
        <v>1299</v>
      </c>
      <c r="D575" s="1" t="s">
        <v>1306</v>
      </c>
      <c r="E575" s="1" t="s">
        <v>1307</v>
      </c>
      <c r="F575" s="1" t="s">
        <v>16</v>
      </c>
      <c r="G575" s="1" t="s">
        <v>23</v>
      </c>
      <c r="H575" s="1" t="s">
        <v>28</v>
      </c>
      <c r="I575" s="1" t="s">
        <v>40</v>
      </c>
    </row>
    <row r="576">
      <c r="A576" s="1">
        <v>1702047.0</v>
      </c>
      <c r="B576" s="1" t="s">
        <v>1308</v>
      </c>
      <c r="C576" s="1" t="s">
        <v>1299</v>
      </c>
      <c r="D576" s="1" t="s">
        <v>1303</v>
      </c>
      <c r="E576" s="1" t="s">
        <v>1309</v>
      </c>
      <c r="F576" s="1" t="s">
        <v>16</v>
      </c>
      <c r="G576" s="1" t="s">
        <v>23</v>
      </c>
      <c r="H576" s="1" t="s">
        <v>18</v>
      </c>
      <c r="I576" s="1" t="s">
        <v>19</v>
      </c>
    </row>
    <row r="577">
      <c r="A577" s="1">
        <v>1771036.0</v>
      </c>
      <c r="B577" s="1" t="s">
        <v>1310</v>
      </c>
      <c r="C577" s="1" t="s">
        <v>1299</v>
      </c>
      <c r="D577" s="1" t="s">
        <v>1300</v>
      </c>
      <c r="E577" s="1" t="s">
        <v>1311</v>
      </c>
      <c r="F577" s="1" t="s">
        <v>16</v>
      </c>
      <c r="G577" s="1" t="s">
        <v>17</v>
      </c>
      <c r="H577" s="1" t="s">
        <v>18</v>
      </c>
      <c r="I577" s="1" t="s">
        <v>59</v>
      </c>
    </row>
    <row r="578">
      <c r="A578" s="1">
        <v>1703016.0</v>
      </c>
      <c r="B578" s="1" t="s">
        <v>1312</v>
      </c>
      <c r="C578" s="1" t="s">
        <v>1299</v>
      </c>
      <c r="D578" s="1" t="s">
        <v>1313</v>
      </c>
      <c r="E578" s="1" t="s">
        <v>1314</v>
      </c>
      <c r="F578" s="1" t="s">
        <v>16</v>
      </c>
      <c r="G578" s="1" t="s">
        <v>17</v>
      </c>
      <c r="H578" s="1" t="s">
        <v>18</v>
      </c>
      <c r="I578" s="1" t="s">
        <v>40</v>
      </c>
    </row>
    <row r="579">
      <c r="A579" s="1">
        <v>1701016.0</v>
      </c>
      <c r="B579" s="1" t="s">
        <v>1315</v>
      </c>
      <c r="C579" s="1" t="s">
        <v>1299</v>
      </c>
      <c r="D579" s="1" t="s">
        <v>1316</v>
      </c>
      <c r="E579" s="1" t="s">
        <v>1317</v>
      </c>
      <c r="F579" s="1" t="s">
        <v>16</v>
      </c>
      <c r="G579" s="1" t="s">
        <v>23</v>
      </c>
      <c r="H579" s="1" t="s">
        <v>18</v>
      </c>
      <c r="I579" s="1" t="s">
        <v>19</v>
      </c>
    </row>
    <row r="580">
      <c r="A580" s="1">
        <v>1771051.0</v>
      </c>
      <c r="B580" s="1" t="s">
        <v>1318</v>
      </c>
      <c r="C580" s="1" t="s">
        <v>1299</v>
      </c>
      <c r="D580" s="1" t="s">
        <v>1300</v>
      </c>
      <c r="E580" s="1" t="s">
        <v>1319</v>
      </c>
      <c r="F580" s="1" t="s">
        <v>16</v>
      </c>
      <c r="G580" s="1" t="s">
        <v>17</v>
      </c>
      <c r="H580" s="1" t="s">
        <v>33</v>
      </c>
      <c r="I580" s="1" t="s">
        <v>65</v>
      </c>
    </row>
    <row r="581">
      <c r="A581" s="1">
        <v>1705018.0</v>
      </c>
      <c r="B581" s="1" t="s">
        <v>1320</v>
      </c>
      <c r="C581" s="1" t="s">
        <v>1299</v>
      </c>
      <c r="D581" s="1" t="s">
        <v>1321</v>
      </c>
      <c r="E581" s="1" t="s">
        <v>1322</v>
      </c>
      <c r="F581" s="1" t="s">
        <v>16</v>
      </c>
      <c r="G581" s="1" t="s">
        <v>17</v>
      </c>
      <c r="H581" s="1" t="s">
        <v>28</v>
      </c>
      <c r="I581" s="1" t="s">
        <v>40</v>
      </c>
    </row>
    <row r="582">
      <c r="A582" s="1">
        <v>1703046.0</v>
      </c>
      <c r="B582" s="1" t="s">
        <v>1323</v>
      </c>
      <c r="C582" s="1" t="s">
        <v>1299</v>
      </c>
      <c r="D582" s="1" t="s">
        <v>1313</v>
      </c>
      <c r="E582" s="1" t="s">
        <v>1324</v>
      </c>
      <c r="F582" s="1" t="s">
        <v>16</v>
      </c>
      <c r="G582" s="1" t="s">
        <v>23</v>
      </c>
      <c r="H582" s="1" t="s">
        <v>28</v>
      </c>
      <c r="I582" s="1" t="s">
        <v>40</v>
      </c>
    </row>
    <row r="583">
      <c r="A583" s="1">
        <v>1771007.0</v>
      </c>
      <c r="B583" s="1" t="s">
        <v>1325</v>
      </c>
      <c r="C583" s="1" t="s">
        <v>1299</v>
      </c>
      <c r="D583" s="1" t="s">
        <v>1300</v>
      </c>
      <c r="E583" s="1" t="s">
        <v>1326</v>
      </c>
      <c r="F583" s="1" t="s">
        <v>16</v>
      </c>
      <c r="G583" s="1" t="s">
        <v>17</v>
      </c>
      <c r="H583" s="1" t="s">
        <v>18</v>
      </c>
      <c r="I583" s="1" t="s">
        <v>19</v>
      </c>
    </row>
    <row r="584">
      <c r="A584" s="1">
        <v>1771009.0</v>
      </c>
      <c r="B584" s="1" t="s">
        <v>1327</v>
      </c>
      <c r="C584" s="1" t="s">
        <v>1299</v>
      </c>
      <c r="D584" s="1" t="s">
        <v>1300</v>
      </c>
      <c r="E584" s="1" t="s">
        <v>1328</v>
      </c>
      <c r="F584" s="1" t="s">
        <v>16</v>
      </c>
      <c r="G584" s="1" t="s">
        <v>17</v>
      </c>
      <c r="H584" s="1" t="s">
        <v>18</v>
      </c>
      <c r="I584" s="1" t="s">
        <v>19</v>
      </c>
    </row>
    <row r="585">
      <c r="A585" s="1">
        <v>1708010.0</v>
      </c>
      <c r="B585" s="1" t="s">
        <v>1329</v>
      </c>
      <c r="C585" s="1" t="s">
        <v>1299</v>
      </c>
      <c r="D585" s="1" t="s">
        <v>1330</v>
      </c>
      <c r="E585" s="1" t="s">
        <v>1331</v>
      </c>
      <c r="F585" s="1" t="s">
        <v>16</v>
      </c>
      <c r="G585" s="1" t="s">
        <v>17</v>
      </c>
      <c r="H585" s="1" t="s">
        <v>28</v>
      </c>
      <c r="I585" s="1" t="s">
        <v>40</v>
      </c>
    </row>
    <row r="586">
      <c r="A586" s="1">
        <v>1771062.0</v>
      </c>
      <c r="B586" s="1" t="s">
        <v>1332</v>
      </c>
      <c r="C586" s="1" t="s">
        <v>1299</v>
      </c>
      <c r="D586" s="1" t="s">
        <v>1300</v>
      </c>
      <c r="E586" s="1" t="s">
        <v>1333</v>
      </c>
      <c r="F586" s="1" t="s">
        <v>16</v>
      </c>
      <c r="G586" s="1" t="s">
        <v>17</v>
      </c>
      <c r="H586" s="1" t="s">
        <v>18</v>
      </c>
      <c r="I586" s="1" t="s">
        <v>44</v>
      </c>
    </row>
    <row r="587">
      <c r="A587" s="1">
        <v>1701014.0</v>
      </c>
      <c r="B587" s="1" t="s">
        <v>1334</v>
      </c>
      <c r="C587" s="1" t="s">
        <v>1299</v>
      </c>
      <c r="D587" s="1" t="s">
        <v>1316</v>
      </c>
      <c r="E587" s="1" t="s">
        <v>1335</v>
      </c>
      <c r="F587" s="1" t="s">
        <v>16</v>
      </c>
      <c r="G587" s="1" t="s">
        <v>17</v>
      </c>
      <c r="H587" s="1" t="s">
        <v>28</v>
      </c>
      <c r="I587" s="1" t="s">
        <v>40</v>
      </c>
    </row>
    <row r="588">
      <c r="A588" s="1">
        <v>1771025.0</v>
      </c>
      <c r="B588" s="1" t="s">
        <v>1336</v>
      </c>
      <c r="C588" s="1" t="s">
        <v>1299</v>
      </c>
      <c r="D588" s="1" t="s">
        <v>1300</v>
      </c>
      <c r="E588" s="1" t="s">
        <v>1337</v>
      </c>
      <c r="F588" s="1" t="s">
        <v>174</v>
      </c>
      <c r="G588" s="1" t="s">
        <v>27</v>
      </c>
      <c r="H588" s="1" t="s">
        <v>28</v>
      </c>
      <c r="I588" s="1" t="s">
        <v>139</v>
      </c>
    </row>
    <row r="589">
      <c r="A589" s="1">
        <v>1707026.0</v>
      </c>
      <c r="B589" s="1" t="s">
        <v>1338</v>
      </c>
      <c r="C589" s="1" t="s">
        <v>1299</v>
      </c>
      <c r="D589" s="1" t="s">
        <v>1339</v>
      </c>
      <c r="E589" s="1" t="s">
        <v>1340</v>
      </c>
      <c r="F589" s="1" t="s">
        <v>16</v>
      </c>
      <c r="G589" s="1" t="s">
        <v>17</v>
      </c>
      <c r="H589" s="1" t="s">
        <v>28</v>
      </c>
      <c r="I589" s="1" t="s">
        <v>40</v>
      </c>
    </row>
    <row r="590">
      <c r="A590" s="1">
        <v>1771040.0</v>
      </c>
      <c r="B590" s="1" t="s">
        <v>1341</v>
      </c>
      <c r="C590" s="1" t="s">
        <v>1299</v>
      </c>
      <c r="D590" s="1" t="s">
        <v>1300</v>
      </c>
      <c r="E590" s="1" t="s">
        <v>1342</v>
      </c>
      <c r="F590" s="1" t="s">
        <v>16</v>
      </c>
      <c r="G590" s="1" t="s">
        <v>23</v>
      </c>
      <c r="H590" s="1" t="s">
        <v>18</v>
      </c>
      <c r="I590" s="1" t="s">
        <v>74</v>
      </c>
    </row>
    <row r="591">
      <c r="A591" s="1">
        <v>1704028.0</v>
      </c>
      <c r="B591" s="1" t="s">
        <v>1343</v>
      </c>
      <c r="C591" s="1" t="s">
        <v>1299</v>
      </c>
      <c r="D591" s="1" t="s">
        <v>1344</v>
      </c>
      <c r="E591" s="1" t="s">
        <v>1345</v>
      </c>
      <c r="F591" s="1" t="s">
        <v>16</v>
      </c>
      <c r="G591" s="1" t="s">
        <v>17</v>
      </c>
      <c r="H591" s="1" t="s">
        <v>28</v>
      </c>
      <c r="I591" s="1" t="s">
        <v>40</v>
      </c>
    </row>
    <row r="592">
      <c r="A592" s="1">
        <v>1703027.0</v>
      </c>
      <c r="B592" s="1" t="s">
        <v>1346</v>
      </c>
      <c r="C592" s="1" t="s">
        <v>1299</v>
      </c>
      <c r="D592" s="1" t="s">
        <v>1313</v>
      </c>
      <c r="E592" s="1" t="s">
        <v>1347</v>
      </c>
      <c r="F592" s="1" t="s">
        <v>16</v>
      </c>
      <c r="G592" s="1" t="s">
        <v>23</v>
      </c>
      <c r="H592" s="1" t="s">
        <v>18</v>
      </c>
      <c r="I592" s="1" t="s">
        <v>40</v>
      </c>
    </row>
    <row r="593">
      <c r="A593" s="1">
        <v>1771002.0</v>
      </c>
      <c r="B593" s="1" t="s">
        <v>1348</v>
      </c>
      <c r="C593" s="1" t="s">
        <v>1299</v>
      </c>
      <c r="D593" s="1" t="s">
        <v>1300</v>
      </c>
      <c r="E593" s="1" t="s">
        <v>1349</v>
      </c>
      <c r="F593" s="1" t="s">
        <v>16</v>
      </c>
      <c r="G593" s="1" t="s">
        <v>17</v>
      </c>
      <c r="H593" s="1" t="s">
        <v>28</v>
      </c>
      <c r="I593" s="1" t="s">
        <v>29</v>
      </c>
    </row>
    <row r="594">
      <c r="A594" s="1">
        <v>1703045.0</v>
      </c>
      <c r="B594" s="1" t="s">
        <v>1350</v>
      </c>
      <c r="C594" s="1" t="s">
        <v>1299</v>
      </c>
      <c r="D594" s="1" t="s">
        <v>1313</v>
      </c>
      <c r="E594" s="1" t="s">
        <v>1351</v>
      </c>
      <c r="F594" s="1" t="s">
        <v>16</v>
      </c>
      <c r="G594" s="1" t="s">
        <v>23</v>
      </c>
      <c r="H594" s="1" t="s">
        <v>18</v>
      </c>
      <c r="I594" s="1" t="s">
        <v>249</v>
      </c>
    </row>
    <row r="595">
      <c r="A595" s="1">
        <v>1706019.0</v>
      </c>
      <c r="B595" s="1" t="s">
        <v>1352</v>
      </c>
      <c r="C595" s="1" t="s">
        <v>1299</v>
      </c>
      <c r="D595" s="1" t="s">
        <v>1353</v>
      </c>
      <c r="E595" s="1" t="s">
        <v>1354</v>
      </c>
      <c r="F595" s="1" t="s">
        <v>16</v>
      </c>
      <c r="G595" s="1" t="s">
        <v>17</v>
      </c>
      <c r="H595" s="1" t="s">
        <v>28</v>
      </c>
      <c r="I595" s="1" t="s">
        <v>40</v>
      </c>
    </row>
    <row r="596">
      <c r="A596" s="1">
        <v>1706020.0</v>
      </c>
      <c r="B596" s="1" t="s">
        <v>1355</v>
      </c>
      <c r="C596" s="1" t="s">
        <v>1299</v>
      </c>
      <c r="D596" s="1" t="s">
        <v>1353</v>
      </c>
      <c r="E596" s="1" t="s">
        <v>1356</v>
      </c>
      <c r="F596" s="1" t="s">
        <v>55</v>
      </c>
      <c r="G596" s="1" t="s">
        <v>17</v>
      </c>
      <c r="H596" s="1" t="s">
        <v>18</v>
      </c>
      <c r="I596" s="1" t="s">
        <v>19</v>
      </c>
    </row>
    <row r="597">
      <c r="A597" s="1">
        <v>1702035.0</v>
      </c>
      <c r="B597" s="1" t="s">
        <v>1357</v>
      </c>
      <c r="C597" s="1" t="s">
        <v>1299</v>
      </c>
      <c r="D597" s="1" t="s">
        <v>1303</v>
      </c>
      <c r="E597" s="1" t="s">
        <v>1358</v>
      </c>
      <c r="F597" s="1" t="s">
        <v>16</v>
      </c>
      <c r="G597" s="1" t="s">
        <v>23</v>
      </c>
      <c r="H597" s="1" t="s">
        <v>18</v>
      </c>
      <c r="I597" s="1" t="s">
        <v>19</v>
      </c>
    </row>
    <row r="598">
      <c r="A598" s="1">
        <v>1771014.0</v>
      </c>
      <c r="B598" s="1" t="s">
        <v>1359</v>
      </c>
      <c r="C598" s="1" t="s">
        <v>1299</v>
      </c>
      <c r="D598" s="1" t="s">
        <v>1300</v>
      </c>
      <c r="E598" s="1" t="s">
        <v>1360</v>
      </c>
      <c r="F598" s="1" t="s">
        <v>16</v>
      </c>
      <c r="G598" s="1" t="s">
        <v>27</v>
      </c>
      <c r="H598" s="1" t="s">
        <v>28</v>
      </c>
      <c r="I598" s="1" t="s">
        <v>139</v>
      </c>
    </row>
    <row r="599">
      <c r="A599" s="1">
        <v>1803010.0</v>
      </c>
      <c r="B599" s="1" t="s">
        <v>1361</v>
      </c>
      <c r="C599" s="1" t="s">
        <v>1362</v>
      </c>
      <c r="D599" s="1" t="s">
        <v>1363</v>
      </c>
      <c r="E599" s="1" t="s">
        <v>1364</v>
      </c>
      <c r="F599" s="1" t="s">
        <v>16</v>
      </c>
      <c r="G599" s="1" t="s">
        <v>17</v>
      </c>
      <c r="H599" s="1" t="s">
        <v>28</v>
      </c>
      <c r="I599" s="1" t="s">
        <v>40</v>
      </c>
    </row>
    <row r="600">
      <c r="A600" s="1">
        <v>1803033.0</v>
      </c>
      <c r="B600" s="1" t="s">
        <v>1365</v>
      </c>
      <c r="C600" s="1" t="s">
        <v>1362</v>
      </c>
      <c r="D600" s="1" t="s">
        <v>1366</v>
      </c>
      <c r="E600" s="1" t="s">
        <v>1367</v>
      </c>
      <c r="F600" s="1" t="s">
        <v>16</v>
      </c>
      <c r="G600" s="1" t="s">
        <v>17</v>
      </c>
      <c r="H600" s="1" t="s">
        <v>18</v>
      </c>
      <c r="I600" s="1" t="s">
        <v>44</v>
      </c>
    </row>
    <row r="601">
      <c r="A601" s="1">
        <v>1871282.0</v>
      </c>
      <c r="B601" s="1" t="s">
        <v>1368</v>
      </c>
      <c r="C601" s="1" t="s">
        <v>1362</v>
      </c>
      <c r="D601" s="1" t="s">
        <v>1369</v>
      </c>
      <c r="E601" s="1" t="s">
        <v>1370</v>
      </c>
      <c r="F601" s="1" t="s">
        <v>16</v>
      </c>
      <c r="G601" s="1" t="s">
        <v>17</v>
      </c>
      <c r="H601" s="1" t="s">
        <v>18</v>
      </c>
      <c r="I601" s="1" t="s">
        <v>59</v>
      </c>
    </row>
    <row r="602">
      <c r="A602" s="1">
        <v>1803048.0</v>
      </c>
      <c r="B602" s="1" t="s">
        <v>1371</v>
      </c>
      <c r="C602" s="1" t="s">
        <v>1362</v>
      </c>
      <c r="D602" s="1" t="s">
        <v>1366</v>
      </c>
      <c r="E602" s="1" t="s">
        <v>1372</v>
      </c>
      <c r="F602" s="1" t="s">
        <v>16</v>
      </c>
      <c r="G602" s="1" t="s">
        <v>23</v>
      </c>
      <c r="H602" s="1" t="s">
        <v>18</v>
      </c>
      <c r="I602" s="1" t="s">
        <v>44</v>
      </c>
    </row>
    <row r="603">
      <c r="A603" s="1">
        <v>1803034.0</v>
      </c>
      <c r="B603" s="1" t="s">
        <v>1373</v>
      </c>
      <c r="C603" s="1" t="s">
        <v>1362</v>
      </c>
      <c r="D603" s="1" t="s">
        <v>1366</v>
      </c>
      <c r="E603" s="1" t="s">
        <v>1374</v>
      </c>
      <c r="F603" s="1" t="s">
        <v>55</v>
      </c>
      <c r="G603" s="1" t="s">
        <v>17</v>
      </c>
      <c r="H603" s="1" t="s">
        <v>18</v>
      </c>
      <c r="I603" s="1" t="s">
        <v>19</v>
      </c>
    </row>
    <row r="604">
      <c r="A604" s="1">
        <v>1808015.0</v>
      </c>
      <c r="B604" s="1" t="s">
        <v>1375</v>
      </c>
      <c r="C604" s="1" t="s">
        <v>1362</v>
      </c>
      <c r="D604" s="1" t="s">
        <v>1376</v>
      </c>
      <c r="E604" s="1" t="s">
        <v>1377</v>
      </c>
      <c r="F604" s="1" t="s">
        <v>16</v>
      </c>
      <c r="G604" s="1" t="s">
        <v>27</v>
      </c>
      <c r="H604" s="1" t="s">
        <v>28</v>
      </c>
      <c r="I604" s="1" t="s">
        <v>40</v>
      </c>
    </row>
    <row r="605">
      <c r="A605" s="1">
        <v>1806039.0</v>
      </c>
      <c r="B605" s="1" t="s">
        <v>1378</v>
      </c>
      <c r="C605" s="1" t="s">
        <v>1362</v>
      </c>
      <c r="D605" s="1" t="s">
        <v>1379</v>
      </c>
      <c r="E605" s="1" t="s">
        <v>1380</v>
      </c>
      <c r="F605" s="1" t="s">
        <v>16</v>
      </c>
      <c r="G605" s="1" t="s">
        <v>17</v>
      </c>
      <c r="H605" s="1" t="s">
        <v>33</v>
      </c>
      <c r="I605" s="1" t="s">
        <v>19</v>
      </c>
    </row>
    <row r="606">
      <c r="A606" s="1">
        <v>1805046.0</v>
      </c>
      <c r="B606" s="1" t="s">
        <v>1381</v>
      </c>
      <c r="C606" s="1" t="s">
        <v>1362</v>
      </c>
      <c r="D606" s="1" t="s">
        <v>1382</v>
      </c>
      <c r="E606" s="1" t="s">
        <v>1383</v>
      </c>
      <c r="F606" s="1" t="s">
        <v>16</v>
      </c>
      <c r="G606" s="1" t="s">
        <v>17</v>
      </c>
      <c r="H606" s="1" t="s">
        <v>18</v>
      </c>
      <c r="I606" s="1" t="s">
        <v>19</v>
      </c>
    </row>
    <row r="607">
      <c r="A607" s="1">
        <v>1801016.0</v>
      </c>
      <c r="B607" s="1" t="s">
        <v>1384</v>
      </c>
      <c r="C607" s="1" t="s">
        <v>1362</v>
      </c>
      <c r="D607" s="1" t="s">
        <v>1385</v>
      </c>
      <c r="E607" s="1" t="s">
        <v>1386</v>
      </c>
      <c r="F607" s="1" t="s">
        <v>55</v>
      </c>
      <c r="G607" s="1" t="s">
        <v>17</v>
      </c>
      <c r="H607" s="1" t="s">
        <v>18</v>
      </c>
      <c r="I607" s="1" t="s">
        <v>44</v>
      </c>
    </row>
    <row r="608">
      <c r="A608" s="1">
        <v>1871448.0</v>
      </c>
      <c r="B608" s="1" t="s">
        <v>1387</v>
      </c>
      <c r="C608" s="1" t="s">
        <v>1362</v>
      </c>
      <c r="D608" s="1" t="s">
        <v>1369</v>
      </c>
      <c r="E608" s="1" t="s">
        <v>1388</v>
      </c>
      <c r="F608" s="1" t="s">
        <v>272</v>
      </c>
      <c r="G608" s="1" t="s">
        <v>17</v>
      </c>
      <c r="H608" s="1" t="s">
        <v>18</v>
      </c>
      <c r="I608" s="1" t="s">
        <v>19</v>
      </c>
    </row>
    <row r="609">
      <c r="A609" s="1">
        <v>1808018.0</v>
      </c>
      <c r="B609" s="1" t="s">
        <v>1389</v>
      </c>
      <c r="C609" s="1" t="s">
        <v>1362</v>
      </c>
      <c r="D609" s="1" t="s">
        <v>1376</v>
      </c>
      <c r="E609" s="1" t="s">
        <v>1390</v>
      </c>
      <c r="F609" s="1" t="s">
        <v>16</v>
      </c>
      <c r="G609" s="1" t="s">
        <v>23</v>
      </c>
      <c r="H609" s="1" t="s">
        <v>18</v>
      </c>
      <c r="I609" s="1" t="s">
        <v>44</v>
      </c>
    </row>
    <row r="610">
      <c r="A610" s="1">
        <v>1804011.0</v>
      </c>
      <c r="B610" s="1" t="s">
        <v>1391</v>
      </c>
      <c r="C610" s="1" t="s">
        <v>1362</v>
      </c>
      <c r="D610" s="1" t="s">
        <v>1392</v>
      </c>
      <c r="E610" s="1" t="s">
        <v>1393</v>
      </c>
      <c r="F610" s="1" t="s">
        <v>16</v>
      </c>
      <c r="G610" s="1" t="s">
        <v>17</v>
      </c>
      <c r="H610" s="1" t="s">
        <v>28</v>
      </c>
      <c r="I610" s="1" t="s">
        <v>40</v>
      </c>
    </row>
    <row r="611">
      <c r="A611" s="1">
        <v>1807016.0</v>
      </c>
      <c r="B611" s="1" t="s">
        <v>1394</v>
      </c>
      <c r="C611" s="1" t="s">
        <v>1362</v>
      </c>
      <c r="D611" s="1" t="s">
        <v>1395</v>
      </c>
      <c r="E611" s="1" t="s">
        <v>1396</v>
      </c>
      <c r="F611" s="1" t="s">
        <v>16</v>
      </c>
      <c r="G611" s="1" t="s">
        <v>17</v>
      </c>
      <c r="H611" s="1" t="s">
        <v>18</v>
      </c>
      <c r="I611" s="1" t="s">
        <v>59</v>
      </c>
    </row>
    <row r="612">
      <c r="A612" s="1">
        <v>1871447.0</v>
      </c>
      <c r="B612" s="1" t="s">
        <v>1397</v>
      </c>
      <c r="C612" s="1" t="s">
        <v>1362</v>
      </c>
      <c r="D612" s="1" t="s">
        <v>1369</v>
      </c>
      <c r="E612" s="1" t="s">
        <v>1398</v>
      </c>
      <c r="F612" s="1" t="s">
        <v>16</v>
      </c>
      <c r="G612" s="1" t="s">
        <v>17</v>
      </c>
      <c r="H612" s="1" t="s">
        <v>18</v>
      </c>
      <c r="I612" s="1" t="s">
        <v>44</v>
      </c>
    </row>
    <row r="613">
      <c r="A613" s="1">
        <v>1871416.0</v>
      </c>
      <c r="B613" s="1" t="s">
        <v>1399</v>
      </c>
      <c r="C613" s="1" t="s">
        <v>1362</v>
      </c>
      <c r="D613" s="1" t="s">
        <v>1369</v>
      </c>
      <c r="E613" s="1" t="s">
        <v>1400</v>
      </c>
      <c r="F613" s="1" t="s">
        <v>16</v>
      </c>
      <c r="G613" s="1" t="s">
        <v>17</v>
      </c>
      <c r="H613" s="1" t="s">
        <v>18</v>
      </c>
      <c r="I613" s="1" t="s">
        <v>44</v>
      </c>
    </row>
    <row r="614">
      <c r="A614" s="1">
        <v>1871439.0</v>
      </c>
      <c r="B614" s="1" t="s">
        <v>1401</v>
      </c>
      <c r="C614" s="1" t="s">
        <v>1362</v>
      </c>
      <c r="D614" s="1" t="s">
        <v>1369</v>
      </c>
      <c r="E614" s="1" t="s">
        <v>1402</v>
      </c>
      <c r="F614" s="1" t="s">
        <v>55</v>
      </c>
      <c r="G614" s="1" t="s">
        <v>17</v>
      </c>
      <c r="H614" s="1" t="s">
        <v>18</v>
      </c>
      <c r="I614" s="1" t="s">
        <v>44</v>
      </c>
    </row>
    <row r="615">
      <c r="A615" s="1">
        <v>1803036.0</v>
      </c>
      <c r="B615" s="1" t="s">
        <v>1403</v>
      </c>
      <c r="C615" s="1" t="s">
        <v>1362</v>
      </c>
      <c r="D615" s="1" t="s">
        <v>1366</v>
      </c>
      <c r="E615" s="1" t="s">
        <v>1404</v>
      </c>
      <c r="F615" s="1" t="s">
        <v>16</v>
      </c>
      <c r="G615" s="1" t="s">
        <v>17</v>
      </c>
      <c r="H615" s="1" t="s">
        <v>18</v>
      </c>
      <c r="I615" s="1" t="s">
        <v>19</v>
      </c>
    </row>
    <row r="616">
      <c r="A616" s="1">
        <v>1813001.0</v>
      </c>
      <c r="B616" s="1" t="s">
        <v>1405</v>
      </c>
      <c r="C616" s="1" t="s">
        <v>1362</v>
      </c>
      <c r="D616" s="1" t="s">
        <v>1406</v>
      </c>
      <c r="E616" s="1" t="s">
        <v>1407</v>
      </c>
      <c r="F616" s="1" t="s">
        <v>16</v>
      </c>
      <c r="G616" s="1" t="s">
        <v>23</v>
      </c>
      <c r="H616" s="1" t="s">
        <v>18</v>
      </c>
      <c r="I616" s="1" t="s">
        <v>40</v>
      </c>
    </row>
    <row r="617">
      <c r="A617" s="1">
        <v>1871026.0</v>
      </c>
      <c r="B617" s="1" t="s">
        <v>1408</v>
      </c>
      <c r="C617" s="1" t="s">
        <v>1362</v>
      </c>
      <c r="D617" s="1" t="s">
        <v>1369</v>
      </c>
      <c r="E617" s="1" t="s">
        <v>1409</v>
      </c>
      <c r="F617" s="1" t="s">
        <v>16</v>
      </c>
      <c r="G617" s="1" t="s">
        <v>17</v>
      </c>
      <c r="H617" s="1" t="s">
        <v>18</v>
      </c>
      <c r="I617" s="1" t="s">
        <v>74</v>
      </c>
    </row>
    <row r="618">
      <c r="A618" s="1">
        <v>1805045.0</v>
      </c>
      <c r="B618" s="1" t="s">
        <v>1410</v>
      </c>
      <c r="C618" s="1" t="s">
        <v>1362</v>
      </c>
      <c r="D618" s="1" t="s">
        <v>1382</v>
      </c>
      <c r="E618" s="1" t="s">
        <v>1411</v>
      </c>
      <c r="F618" s="1" t="s">
        <v>16</v>
      </c>
      <c r="G618" s="1" t="s">
        <v>17</v>
      </c>
      <c r="H618" s="1" t="s">
        <v>18</v>
      </c>
      <c r="I618" s="1" t="s">
        <v>44</v>
      </c>
    </row>
    <row r="619">
      <c r="A619" s="1">
        <v>1805060.0</v>
      </c>
      <c r="B619" s="1" t="s">
        <v>1412</v>
      </c>
      <c r="C619" s="1" t="s">
        <v>1362</v>
      </c>
      <c r="D619" s="1" t="s">
        <v>1382</v>
      </c>
      <c r="E619" s="1" t="s">
        <v>1413</v>
      </c>
      <c r="F619" s="1" t="s">
        <v>16</v>
      </c>
      <c r="G619" s="1" t="s">
        <v>23</v>
      </c>
      <c r="H619" s="1" t="s">
        <v>18</v>
      </c>
      <c r="I619" s="1" t="s">
        <v>44</v>
      </c>
    </row>
    <row r="620">
      <c r="A620" s="1">
        <v>1812003.0</v>
      </c>
      <c r="B620" s="1" t="s">
        <v>1414</v>
      </c>
      <c r="C620" s="1" t="s">
        <v>1362</v>
      </c>
      <c r="D620" s="1" t="s">
        <v>1415</v>
      </c>
      <c r="E620" s="1" t="s">
        <v>1416</v>
      </c>
      <c r="F620" s="1" t="s">
        <v>16</v>
      </c>
      <c r="G620" s="1" t="s">
        <v>23</v>
      </c>
      <c r="H620" s="1" t="s">
        <v>28</v>
      </c>
      <c r="I620" s="1" t="s">
        <v>40</v>
      </c>
    </row>
    <row r="621">
      <c r="A621" s="1">
        <v>1805023.0</v>
      </c>
      <c r="B621" s="1" t="s">
        <v>1417</v>
      </c>
      <c r="C621" s="1" t="s">
        <v>1362</v>
      </c>
      <c r="D621" s="1" t="s">
        <v>1382</v>
      </c>
      <c r="E621" s="1" t="s">
        <v>1418</v>
      </c>
      <c r="F621" s="1" t="s">
        <v>16</v>
      </c>
      <c r="G621" s="1" t="s">
        <v>27</v>
      </c>
      <c r="H621" s="1" t="s">
        <v>18</v>
      </c>
      <c r="I621" s="1" t="s">
        <v>19</v>
      </c>
    </row>
    <row r="622">
      <c r="A622" s="1">
        <v>1804012.0</v>
      </c>
      <c r="B622" s="1" t="s">
        <v>1419</v>
      </c>
      <c r="C622" s="1" t="s">
        <v>1362</v>
      </c>
      <c r="D622" s="1" t="s">
        <v>1392</v>
      </c>
      <c r="E622" s="1" t="s">
        <v>1420</v>
      </c>
      <c r="F622" s="1" t="s">
        <v>16</v>
      </c>
      <c r="G622" s="1" t="s">
        <v>17</v>
      </c>
      <c r="H622" s="1" t="s">
        <v>18</v>
      </c>
      <c r="I622" s="1" t="s">
        <v>163</v>
      </c>
    </row>
    <row r="623">
      <c r="A623" s="1">
        <v>1871438.0</v>
      </c>
      <c r="B623" s="1" t="s">
        <v>1421</v>
      </c>
      <c r="C623" s="1" t="s">
        <v>1362</v>
      </c>
      <c r="D623" s="1" t="s">
        <v>1369</v>
      </c>
      <c r="E623" s="1" t="s">
        <v>1422</v>
      </c>
      <c r="F623" s="1" t="s">
        <v>16</v>
      </c>
      <c r="G623" s="1" t="s">
        <v>17</v>
      </c>
      <c r="H623" s="1" t="s">
        <v>33</v>
      </c>
      <c r="I623" s="1" t="s">
        <v>65</v>
      </c>
    </row>
    <row r="624">
      <c r="A624" s="1">
        <v>1872031.0</v>
      </c>
      <c r="B624" s="1" t="s">
        <v>1423</v>
      </c>
      <c r="C624" s="1" t="s">
        <v>1362</v>
      </c>
      <c r="D624" s="1" t="s">
        <v>1424</v>
      </c>
      <c r="E624" s="1" t="s">
        <v>1425</v>
      </c>
      <c r="F624" s="1" t="s">
        <v>16</v>
      </c>
      <c r="G624" s="1" t="s">
        <v>23</v>
      </c>
      <c r="H624" s="1" t="s">
        <v>18</v>
      </c>
      <c r="I624" s="1" t="s">
        <v>59</v>
      </c>
    </row>
    <row r="625">
      <c r="A625" s="1">
        <v>1871442.0</v>
      </c>
      <c r="B625" s="1" t="s">
        <v>1426</v>
      </c>
      <c r="C625" s="1" t="s">
        <v>1362</v>
      </c>
      <c r="D625" s="1" t="s">
        <v>1369</v>
      </c>
      <c r="E625" s="1" t="s">
        <v>1427</v>
      </c>
      <c r="F625" s="1" t="s">
        <v>55</v>
      </c>
      <c r="G625" s="1" t="s">
        <v>17</v>
      </c>
      <c r="H625" s="1" t="s">
        <v>18</v>
      </c>
      <c r="I625" s="1" t="s">
        <v>44</v>
      </c>
    </row>
    <row r="626">
      <c r="A626" s="1">
        <v>1806037.0</v>
      </c>
      <c r="B626" s="1" t="s">
        <v>1428</v>
      </c>
      <c r="C626" s="1" t="s">
        <v>1362</v>
      </c>
      <c r="D626" s="1" t="s">
        <v>1379</v>
      </c>
      <c r="E626" s="1" t="s">
        <v>1429</v>
      </c>
      <c r="F626" s="1" t="s">
        <v>16</v>
      </c>
      <c r="G626" s="1" t="s">
        <v>23</v>
      </c>
      <c r="H626" s="1" t="s">
        <v>18</v>
      </c>
      <c r="I626" s="1" t="s">
        <v>249</v>
      </c>
    </row>
    <row r="627">
      <c r="A627" s="1">
        <v>1871180.0</v>
      </c>
      <c r="B627" s="1" t="s">
        <v>1430</v>
      </c>
      <c r="C627" s="1" t="s">
        <v>1362</v>
      </c>
      <c r="D627" s="1" t="s">
        <v>1369</v>
      </c>
      <c r="E627" s="1" t="s">
        <v>1431</v>
      </c>
      <c r="F627" s="1" t="s">
        <v>16</v>
      </c>
      <c r="G627" s="1" t="s">
        <v>27</v>
      </c>
      <c r="H627" s="1" t="s">
        <v>18</v>
      </c>
      <c r="I627" s="1" t="s">
        <v>258</v>
      </c>
    </row>
    <row r="628">
      <c r="A628" s="1">
        <v>1809002.0</v>
      </c>
      <c r="B628" s="1" t="s">
        <v>1432</v>
      </c>
      <c r="C628" s="1" t="s">
        <v>1362</v>
      </c>
      <c r="D628" s="1" t="s">
        <v>1433</v>
      </c>
      <c r="E628" s="1" t="s">
        <v>1434</v>
      </c>
      <c r="F628" s="1" t="s">
        <v>16</v>
      </c>
      <c r="G628" s="1" t="s">
        <v>17</v>
      </c>
      <c r="H628" s="1" t="s">
        <v>28</v>
      </c>
      <c r="I628" s="1" t="s">
        <v>40</v>
      </c>
    </row>
    <row r="629">
      <c r="A629" s="1">
        <v>1804014.0</v>
      </c>
      <c r="B629" s="1" t="s">
        <v>1435</v>
      </c>
      <c r="C629" s="1" t="s">
        <v>1362</v>
      </c>
      <c r="D629" s="1" t="s">
        <v>1392</v>
      </c>
      <c r="E629" s="1" t="s">
        <v>1436</v>
      </c>
      <c r="F629" s="1" t="s">
        <v>55</v>
      </c>
      <c r="G629" s="1" t="s">
        <v>17</v>
      </c>
      <c r="H629" s="1" t="s">
        <v>18</v>
      </c>
      <c r="I629" s="1" t="s">
        <v>59</v>
      </c>
    </row>
    <row r="630">
      <c r="A630" s="1">
        <v>1802016.0</v>
      </c>
      <c r="B630" s="1" t="s">
        <v>1437</v>
      </c>
      <c r="C630" s="1" t="s">
        <v>1362</v>
      </c>
      <c r="D630" s="1" t="s">
        <v>1438</v>
      </c>
      <c r="E630" s="1" t="s">
        <v>1439</v>
      </c>
      <c r="F630" s="1" t="s">
        <v>16</v>
      </c>
      <c r="G630" s="1" t="s">
        <v>23</v>
      </c>
      <c r="H630" s="1" t="s">
        <v>18</v>
      </c>
      <c r="I630" s="1" t="s">
        <v>59</v>
      </c>
    </row>
    <row r="631">
      <c r="A631" s="1">
        <v>1805048.0</v>
      </c>
      <c r="B631" s="1" t="s">
        <v>1440</v>
      </c>
      <c r="C631" s="1" t="s">
        <v>1362</v>
      </c>
      <c r="D631" s="1" t="s">
        <v>1382</v>
      </c>
      <c r="E631" s="1" t="s">
        <v>1441</v>
      </c>
      <c r="F631" s="1" t="s">
        <v>16</v>
      </c>
      <c r="G631" s="1" t="s">
        <v>17</v>
      </c>
      <c r="H631" s="1" t="s">
        <v>18</v>
      </c>
      <c r="I631" s="1" t="s">
        <v>44</v>
      </c>
    </row>
    <row r="632">
      <c r="A632" s="1">
        <v>1805024.0</v>
      </c>
      <c r="B632" s="1" t="s">
        <v>1442</v>
      </c>
      <c r="C632" s="1" t="s">
        <v>1362</v>
      </c>
      <c r="D632" s="1" t="s">
        <v>1382</v>
      </c>
      <c r="E632" s="1" t="s">
        <v>1443</v>
      </c>
      <c r="F632" s="1" t="s">
        <v>16</v>
      </c>
      <c r="G632" s="1" t="s">
        <v>17</v>
      </c>
      <c r="H632" s="1" t="s">
        <v>18</v>
      </c>
      <c r="I632" s="1" t="s">
        <v>44</v>
      </c>
    </row>
    <row r="633">
      <c r="A633" s="1">
        <v>1871048.0</v>
      </c>
      <c r="B633" s="1" t="s">
        <v>1444</v>
      </c>
      <c r="C633" s="1" t="s">
        <v>1362</v>
      </c>
      <c r="D633" s="1" t="s">
        <v>1369</v>
      </c>
      <c r="E633" s="1" t="s">
        <v>1445</v>
      </c>
      <c r="F633" s="1" t="s">
        <v>16</v>
      </c>
      <c r="G633" s="1" t="s">
        <v>17</v>
      </c>
      <c r="H633" s="1" t="s">
        <v>28</v>
      </c>
      <c r="I633" s="1" t="s">
        <v>29</v>
      </c>
    </row>
    <row r="634">
      <c r="A634" s="1">
        <v>1871020.0</v>
      </c>
      <c r="B634" s="1" t="s">
        <v>1446</v>
      </c>
      <c r="C634" s="1" t="s">
        <v>1362</v>
      </c>
      <c r="D634" s="1" t="s">
        <v>1424</v>
      </c>
      <c r="E634" s="1" t="s">
        <v>1447</v>
      </c>
      <c r="F634" s="1" t="s">
        <v>16</v>
      </c>
      <c r="G634" s="1" t="s">
        <v>17</v>
      </c>
      <c r="H634" s="1" t="s">
        <v>18</v>
      </c>
      <c r="I634" s="1" t="s">
        <v>59</v>
      </c>
    </row>
    <row r="635">
      <c r="A635" s="1">
        <v>1871234.0</v>
      </c>
      <c r="B635" s="1" t="s">
        <v>1448</v>
      </c>
      <c r="C635" s="1" t="s">
        <v>1362</v>
      </c>
      <c r="D635" s="1" t="s">
        <v>1369</v>
      </c>
      <c r="E635" s="1" t="s">
        <v>1449</v>
      </c>
      <c r="F635" s="1" t="s">
        <v>16</v>
      </c>
      <c r="G635" s="1" t="s">
        <v>17</v>
      </c>
      <c r="H635" s="1" t="s">
        <v>18</v>
      </c>
      <c r="I635" s="1" t="s">
        <v>59</v>
      </c>
    </row>
    <row r="636">
      <c r="A636" s="1">
        <v>1808016.0</v>
      </c>
      <c r="B636" s="1" t="s">
        <v>1450</v>
      </c>
      <c r="C636" s="1" t="s">
        <v>1362</v>
      </c>
      <c r="D636" s="1" t="s">
        <v>1376</v>
      </c>
      <c r="E636" s="1" t="s">
        <v>1451</v>
      </c>
      <c r="F636" s="1" t="s">
        <v>16</v>
      </c>
      <c r="G636" s="1" t="s">
        <v>23</v>
      </c>
      <c r="H636" s="1" t="s">
        <v>18</v>
      </c>
      <c r="I636" s="1" t="s">
        <v>19</v>
      </c>
    </row>
    <row r="637">
      <c r="A637" s="1">
        <v>1802038.0</v>
      </c>
      <c r="B637" s="1" t="s">
        <v>1452</v>
      </c>
      <c r="C637" s="1" t="s">
        <v>1362</v>
      </c>
      <c r="D637" s="1" t="s">
        <v>1363</v>
      </c>
      <c r="E637" s="1" t="s">
        <v>1453</v>
      </c>
      <c r="F637" s="1" t="s">
        <v>16</v>
      </c>
      <c r="G637" s="1" t="s">
        <v>17</v>
      </c>
      <c r="H637" s="1" t="s">
        <v>18</v>
      </c>
      <c r="I637" s="1" t="s">
        <v>19</v>
      </c>
    </row>
    <row r="638">
      <c r="A638" s="1">
        <v>1807014.0</v>
      </c>
      <c r="B638" s="1" t="s">
        <v>1454</v>
      </c>
      <c r="C638" s="1" t="s">
        <v>1362</v>
      </c>
      <c r="D638" s="1" t="s">
        <v>1395</v>
      </c>
      <c r="E638" s="1" t="s">
        <v>1455</v>
      </c>
      <c r="F638" s="1" t="s">
        <v>16</v>
      </c>
      <c r="G638" s="1" t="s">
        <v>17</v>
      </c>
      <c r="H638" s="1" t="s">
        <v>28</v>
      </c>
      <c r="I638" s="1" t="s">
        <v>40</v>
      </c>
    </row>
    <row r="639">
      <c r="A639" s="1">
        <v>1871446.0</v>
      </c>
      <c r="B639" s="1" t="s">
        <v>1456</v>
      </c>
      <c r="C639" s="1" t="s">
        <v>1362</v>
      </c>
      <c r="D639" s="1" t="s">
        <v>1369</v>
      </c>
      <c r="E639" s="1" t="s">
        <v>1457</v>
      </c>
      <c r="F639" s="1" t="s">
        <v>55</v>
      </c>
      <c r="G639" s="1" t="s">
        <v>17</v>
      </c>
      <c r="H639" s="1" t="s">
        <v>18</v>
      </c>
      <c r="I639" s="1" t="s">
        <v>44</v>
      </c>
    </row>
    <row r="640">
      <c r="A640" s="1">
        <v>1804013.0</v>
      </c>
      <c r="B640" s="1" t="s">
        <v>1458</v>
      </c>
      <c r="C640" s="1" t="s">
        <v>1362</v>
      </c>
      <c r="D640" s="1" t="s">
        <v>1392</v>
      </c>
      <c r="E640" s="1" t="s">
        <v>1459</v>
      </c>
      <c r="F640" s="1" t="s">
        <v>55</v>
      </c>
      <c r="G640" s="1" t="s">
        <v>17</v>
      </c>
      <c r="H640" s="1" t="s">
        <v>18</v>
      </c>
      <c r="I640" s="1" t="s">
        <v>19</v>
      </c>
    </row>
    <row r="641">
      <c r="A641" s="1">
        <v>1805047.0</v>
      </c>
      <c r="B641" s="1" t="s">
        <v>1460</v>
      </c>
      <c r="C641" s="1" t="s">
        <v>1362</v>
      </c>
      <c r="D641" s="1" t="s">
        <v>1382</v>
      </c>
      <c r="E641" s="1" t="s">
        <v>1461</v>
      </c>
      <c r="F641" s="1" t="s">
        <v>55</v>
      </c>
      <c r="G641" s="1" t="s">
        <v>17</v>
      </c>
      <c r="H641" s="1" t="s">
        <v>18</v>
      </c>
      <c r="I641" s="1" t="s">
        <v>44</v>
      </c>
    </row>
    <row r="642">
      <c r="A642" s="1">
        <v>1803021.0</v>
      </c>
      <c r="B642" s="1" t="s">
        <v>1462</v>
      </c>
      <c r="C642" s="1" t="s">
        <v>1362</v>
      </c>
      <c r="D642" s="1" t="s">
        <v>1366</v>
      </c>
      <c r="E642" s="1" t="s">
        <v>1463</v>
      </c>
      <c r="F642" s="1" t="s">
        <v>16</v>
      </c>
      <c r="G642" s="1" t="s">
        <v>17</v>
      </c>
      <c r="H642" s="1" t="s">
        <v>28</v>
      </c>
      <c r="I642" s="1" t="s">
        <v>40</v>
      </c>
    </row>
    <row r="643">
      <c r="A643" s="1">
        <v>1810003.0</v>
      </c>
      <c r="B643" s="1" t="s">
        <v>1464</v>
      </c>
      <c r="C643" s="1" t="s">
        <v>1362</v>
      </c>
      <c r="D643" s="1" t="s">
        <v>1363</v>
      </c>
      <c r="E643" s="1" t="s">
        <v>1465</v>
      </c>
      <c r="F643" s="1" t="s">
        <v>16</v>
      </c>
      <c r="G643" s="1" t="s">
        <v>23</v>
      </c>
      <c r="H643" s="1" t="s">
        <v>18</v>
      </c>
      <c r="I643" s="1" t="s">
        <v>163</v>
      </c>
    </row>
    <row r="644">
      <c r="A644" s="1">
        <v>1871405.0</v>
      </c>
      <c r="B644" s="1" t="s">
        <v>1466</v>
      </c>
      <c r="C644" s="1" t="s">
        <v>1362</v>
      </c>
      <c r="D644" s="1" t="s">
        <v>1369</v>
      </c>
      <c r="E644" s="1" t="s">
        <v>1467</v>
      </c>
      <c r="F644" s="1" t="s">
        <v>16</v>
      </c>
      <c r="G644" s="1" t="s">
        <v>150</v>
      </c>
      <c r="H644" s="1" t="s">
        <v>18</v>
      </c>
      <c r="I644" s="1" t="s">
        <v>44</v>
      </c>
    </row>
    <row r="645">
      <c r="A645" s="1">
        <v>1804015.0</v>
      </c>
      <c r="B645" s="1" t="s">
        <v>569</v>
      </c>
      <c r="C645" s="1" t="s">
        <v>1362</v>
      </c>
      <c r="D645" s="1" t="s">
        <v>1392</v>
      </c>
      <c r="E645" s="1" t="s">
        <v>1468</v>
      </c>
      <c r="F645" s="1" t="s">
        <v>16</v>
      </c>
      <c r="G645" s="1" t="s">
        <v>17</v>
      </c>
      <c r="H645" s="1" t="s">
        <v>18</v>
      </c>
      <c r="I645" s="1" t="s">
        <v>19</v>
      </c>
    </row>
    <row r="646">
      <c r="A646" s="1">
        <v>1808017.0</v>
      </c>
      <c r="B646" s="1" t="s">
        <v>1469</v>
      </c>
      <c r="C646" s="1" t="s">
        <v>1362</v>
      </c>
      <c r="D646" s="1" t="s">
        <v>1376</v>
      </c>
      <c r="E646" s="1" t="s">
        <v>1470</v>
      </c>
      <c r="F646" s="1" t="s">
        <v>16</v>
      </c>
      <c r="G646" s="1" t="s">
        <v>23</v>
      </c>
      <c r="H646" s="1" t="s">
        <v>18</v>
      </c>
      <c r="I646" s="1" t="s">
        <v>44</v>
      </c>
    </row>
    <row r="647">
      <c r="A647" s="1">
        <v>1801017.0</v>
      </c>
      <c r="B647" s="1" t="s">
        <v>1471</v>
      </c>
      <c r="C647" s="1" t="s">
        <v>1362</v>
      </c>
      <c r="D647" s="1" t="s">
        <v>1369</v>
      </c>
      <c r="E647" s="1" t="s">
        <v>1472</v>
      </c>
      <c r="F647" s="1" t="s">
        <v>16</v>
      </c>
      <c r="G647" s="1" t="s">
        <v>150</v>
      </c>
      <c r="H647" s="1" t="s">
        <v>28</v>
      </c>
      <c r="I647" s="1" t="s">
        <v>139</v>
      </c>
    </row>
    <row r="648">
      <c r="A648" s="1">
        <v>1805034.0</v>
      </c>
      <c r="B648" s="1" t="s">
        <v>1473</v>
      </c>
      <c r="C648" s="1" t="s">
        <v>1362</v>
      </c>
      <c r="D648" s="1" t="s">
        <v>1382</v>
      </c>
      <c r="E648" s="1" t="s">
        <v>1474</v>
      </c>
      <c r="F648" s="1" t="s">
        <v>16</v>
      </c>
      <c r="G648" s="1" t="s">
        <v>17</v>
      </c>
      <c r="H648" s="1" t="s">
        <v>28</v>
      </c>
      <c r="I648" s="1" t="s">
        <v>40</v>
      </c>
    </row>
    <row r="649">
      <c r="A649" s="1">
        <v>1812014.0</v>
      </c>
      <c r="B649" s="1" t="s">
        <v>1475</v>
      </c>
      <c r="C649" s="1" t="s">
        <v>1362</v>
      </c>
      <c r="D649" s="1" t="s">
        <v>1415</v>
      </c>
      <c r="E649" s="1" t="s">
        <v>1476</v>
      </c>
      <c r="F649" s="1" t="s">
        <v>55</v>
      </c>
      <c r="G649" s="1" t="s">
        <v>17</v>
      </c>
      <c r="H649" s="1" t="s">
        <v>18</v>
      </c>
      <c r="I649" s="1" t="s">
        <v>19</v>
      </c>
    </row>
    <row r="650">
      <c r="A650" s="1">
        <v>1871440.0</v>
      </c>
      <c r="B650" s="1" t="s">
        <v>1477</v>
      </c>
      <c r="C650" s="1" t="s">
        <v>1362</v>
      </c>
      <c r="D650" s="1" t="s">
        <v>1369</v>
      </c>
      <c r="E650" s="1" t="s">
        <v>1478</v>
      </c>
      <c r="F650" s="1" t="s">
        <v>55</v>
      </c>
      <c r="G650" s="1" t="s">
        <v>17</v>
      </c>
      <c r="H650" s="1" t="s">
        <v>18</v>
      </c>
      <c r="I650" s="1" t="s">
        <v>44</v>
      </c>
    </row>
    <row r="651">
      <c r="A651" s="1">
        <v>1809003.0</v>
      </c>
      <c r="B651" s="1" t="s">
        <v>1479</v>
      </c>
      <c r="C651" s="1" t="s">
        <v>1362</v>
      </c>
      <c r="D651" s="1" t="s">
        <v>1433</v>
      </c>
      <c r="E651" s="1" t="s">
        <v>1480</v>
      </c>
      <c r="F651" s="1" t="s">
        <v>16</v>
      </c>
      <c r="G651" s="1" t="s">
        <v>17</v>
      </c>
      <c r="H651" s="1" t="s">
        <v>18</v>
      </c>
      <c r="I651" s="1" t="s">
        <v>19</v>
      </c>
    </row>
    <row r="652">
      <c r="A652" s="1">
        <v>1805012.0</v>
      </c>
      <c r="B652" s="1" t="s">
        <v>1481</v>
      </c>
      <c r="C652" s="1" t="s">
        <v>1362</v>
      </c>
      <c r="D652" s="1" t="s">
        <v>1382</v>
      </c>
      <c r="E652" s="1" t="s">
        <v>1482</v>
      </c>
      <c r="F652" s="1" t="s">
        <v>16</v>
      </c>
      <c r="G652" s="1" t="s">
        <v>17</v>
      </c>
      <c r="H652" s="1" t="s">
        <v>18</v>
      </c>
      <c r="I652" s="1" t="s">
        <v>19</v>
      </c>
    </row>
    <row r="653">
      <c r="A653" s="1">
        <v>1810004.0</v>
      </c>
      <c r="B653" s="1" t="s">
        <v>1483</v>
      </c>
      <c r="C653" s="1" t="s">
        <v>1362</v>
      </c>
      <c r="D653" s="1" t="s">
        <v>1363</v>
      </c>
      <c r="E653" s="1" t="s">
        <v>1484</v>
      </c>
      <c r="F653" s="1" t="s">
        <v>55</v>
      </c>
      <c r="G653" s="1" t="s">
        <v>17</v>
      </c>
      <c r="H653" s="1" t="s">
        <v>18</v>
      </c>
      <c r="I653" s="1" t="s">
        <v>44</v>
      </c>
    </row>
    <row r="654">
      <c r="A654" s="1">
        <v>1872066.0</v>
      </c>
      <c r="B654" s="1" t="s">
        <v>1485</v>
      </c>
      <c r="C654" s="1" t="s">
        <v>1362</v>
      </c>
      <c r="D654" s="1" t="s">
        <v>1424</v>
      </c>
      <c r="E654" s="1" t="s">
        <v>1486</v>
      </c>
      <c r="F654" s="1" t="s">
        <v>16</v>
      </c>
      <c r="G654" s="1" t="s">
        <v>23</v>
      </c>
      <c r="H654" s="1" t="s">
        <v>18</v>
      </c>
      <c r="I654" s="1" t="s">
        <v>44</v>
      </c>
    </row>
    <row r="655">
      <c r="A655" s="1">
        <v>1871427.0</v>
      </c>
      <c r="B655" s="1" t="s">
        <v>1487</v>
      </c>
      <c r="C655" s="1" t="s">
        <v>1362</v>
      </c>
      <c r="D655" s="1" t="s">
        <v>1369</v>
      </c>
      <c r="E655" s="1" t="s">
        <v>1488</v>
      </c>
      <c r="F655" s="1" t="s">
        <v>16</v>
      </c>
      <c r="G655" s="1" t="s">
        <v>17</v>
      </c>
      <c r="H655" s="1" t="s">
        <v>18</v>
      </c>
      <c r="I655" s="1" t="s">
        <v>44</v>
      </c>
    </row>
    <row r="656">
      <c r="A656" s="1">
        <v>1871176.0</v>
      </c>
      <c r="B656" s="1" t="s">
        <v>1489</v>
      </c>
      <c r="C656" s="1" t="s">
        <v>1362</v>
      </c>
      <c r="D656" s="1" t="s">
        <v>1433</v>
      </c>
      <c r="E656" s="1" t="s">
        <v>1490</v>
      </c>
      <c r="F656" s="1" t="s">
        <v>174</v>
      </c>
      <c r="G656" s="1" t="s">
        <v>27</v>
      </c>
      <c r="H656" s="1" t="s">
        <v>28</v>
      </c>
      <c r="I656" s="1" t="s">
        <v>139</v>
      </c>
    </row>
    <row r="657">
      <c r="A657" s="1">
        <v>1872065.0</v>
      </c>
      <c r="B657" s="1" t="s">
        <v>1491</v>
      </c>
      <c r="C657" s="1" t="s">
        <v>1362</v>
      </c>
      <c r="D657" s="1" t="s">
        <v>1424</v>
      </c>
      <c r="E657" s="1" t="s">
        <v>1492</v>
      </c>
      <c r="F657" s="1" t="s">
        <v>55</v>
      </c>
      <c r="G657" s="1" t="s">
        <v>17</v>
      </c>
      <c r="H657" s="1" t="s">
        <v>18</v>
      </c>
      <c r="I657" s="1" t="s">
        <v>59</v>
      </c>
    </row>
    <row r="658">
      <c r="A658" s="1">
        <v>1811013.0</v>
      </c>
      <c r="B658" s="1" t="s">
        <v>1493</v>
      </c>
      <c r="C658" s="1" t="s">
        <v>1362</v>
      </c>
      <c r="D658" s="1" t="s">
        <v>1494</v>
      </c>
      <c r="E658" s="1" t="s">
        <v>1495</v>
      </c>
      <c r="F658" s="1" t="s">
        <v>16</v>
      </c>
      <c r="G658" s="1" t="s">
        <v>23</v>
      </c>
      <c r="H658" s="1" t="s">
        <v>18</v>
      </c>
      <c r="I658" s="1" t="s">
        <v>19</v>
      </c>
    </row>
    <row r="659">
      <c r="A659" s="1">
        <v>1801015.0</v>
      </c>
      <c r="B659" s="1" t="s">
        <v>1496</v>
      </c>
      <c r="C659" s="1" t="s">
        <v>1362</v>
      </c>
      <c r="D659" s="1" t="s">
        <v>1385</v>
      </c>
      <c r="E659" s="1" t="s">
        <v>1497</v>
      </c>
      <c r="F659" s="1" t="s">
        <v>16</v>
      </c>
      <c r="G659" s="1" t="s">
        <v>17</v>
      </c>
      <c r="H659" s="1" t="s">
        <v>28</v>
      </c>
      <c r="I659" s="1" t="s">
        <v>40</v>
      </c>
    </row>
    <row r="660">
      <c r="A660" s="1">
        <v>1806013.0</v>
      </c>
      <c r="B660" s="1" t="s">
        <v>1498</v>
      </c>
      <c r="C660" s="1" t="s">
        <v>1362</v>
      </c>
      <c r="D660" s="1" t="s">
        <v>1379</v>
      </c>
      <c r="E660" s="1" t="s">
        <v>1499</v>
      </c>
      <c r="F660" s="1" t="s">
        <v>16</v>
      </c>
      <c r="G660" s="1" t="s">
        <v>17</v>
      </c>
      <c r="H660" s="1" t="s">
        <v>28</v>
      </c>
      <c r="I660" s="1" t="s">
        <v>40</v>
      </c>
    </row>
    <row r="661">
      <c r="A661" s="1">
        <v>1872064.0</v>
      </c>
      <c r="B661" s="1" t="s">
        <v>1500</v>
      </c>
      <c r="C661" s="1" t="s">
        <v>1362</v>
      </c>
      <c r="D661" s="1" t="s">
        <v>1424</v>
      </c>
      <c r="E661" s="1" t="s">
        <v>1501</v>
      </c>
      <c r="F661" s="1" t="s">
        <v>16</v>
      </c>
      <c r="G661" s="1" t="s">
        <v>17</v>
      </c>
      <c r="H661" s="1" t="s">
        <v>18</v>
      </c>
      <c r="I661" s="1" t="s">
        <v>59</v>
      </c>
    </row>
    <row r="662">
      <c r="A662" s="1">
        <v>1871449.0</v>
      </c>
      <c r="B662" s="1" t="s">
        <v>1502</v>
      </c>
      <c r="C662" s="1" t="s">
        <v>1362</v>
      </c>
      <c r="D662" s="1" t="s">
        <v>1369</v>
      </c>
      <c r="E662" s="1" t="s">
        <v>1503</v>
      </c>
      <c r="F662" s="1" t="s">
        <v>16</v>
      </c>
      <c r="G662" s="1" t="s">
        <v>17</v>
      </c>
      <c r="H662" s="1" t="s">
        <v>18</v>
      </c>
      <c r="I662" s="1" t="s">
        <v>19</v>
      </c>
    </row>
    <row r="663">
      <c r="A663" s="1">
        <v>1806038.0</v>
      </c>
      <c r="B663" s="1" t="s">
        <v>1504</v>
      </c>
      <c r="C663" s="1" t="s">
        <v>1362</v>
      </c>
      <c r="D663" s="1" t="s">
        <v>1379</v>
      </c>
      <c r="E663" s="1" t="s">
        <v>1505</v>
      </c>
      <c r="F663" s="1" t="s">
        <v>16</v>
      </c>
      <c r="G663" s="1" t="s">
        <v>23</v>
      </c>
      <c r="H663" s="1" t="s">
        <v>18</v>
      </c>
      <c r="I663" s="1" t="s">
        <v>19</v>
      </c>
    </row>
    <row r="664">
      <c r="A664" s="1">
        <v>1872016.0</v>
      </c>
      <c r="B664" s="1" t="s">
        <v>1506</v>
      </c>
      <c r="C664" s="1" t="s">
        <v>1362</v>
      </c>
      <c r="D664" s="1" t="s">
        <v>1424</v>
      </c>
      <c r="E664" s="1" t="s">
        <v>1507</v>
      </c>
      <c r="F664" s="1" t="s">
        <v>16</v>
      </c>
      <c r="G664" s="1" t="s">
        <v>27</v>
      </c>
      <c r="H664" s="1" t="s">
        <v>28</v>
      </c>
      <c r="I664" s="1" t="s">
        <v>29</v>
      </c>
    </row>
    <row r="665">
      <c r="A665" s="1">
        <v>1872053.0</v>
      </c>
      <c r="B665" s="1" t="s">
        <v>1508</v>
      </c>
      <c r="C665" s="1" t="s">
        <v>1362</v>
      </c>
      <c r="D665" s="1" t="s">
        <v>1424</v>
      </c>
      <c r="E665" s="1" t="s">
        <v>1509</v>
      </c>
      <c r="F665" s="1" t="s">
        <v>55</v>
      </c>
      <c r="G665" s="1" t="s">
        <v>17</v>
      </c>
      <c r="H665" s="1" t="s">
        <v>18</v>
      </c>
      <c r="I665" s="1" t="s">
        <v>59</v>
      </c>
    </row>
    <row r="666">
      <c r="A666" s="1">
        <v>1871443.0</v>
      </c>
      <c r="B666" s="1" t="s">
        <v>1510</v>
      </c>
      <c r="C666" s="1" t="s">
        <v>1362</v>
      </c>
      <c r="D666" s="1" t="s">
        <v>1369</v>
      </c>
      <c r="E666" s="1" t="s">
        <v>1511</v>
      </c>
      <c r="F666" s="1" t="s">
        <v>55</v>
      </c>
      <c r="G666" s="1" t="s">
        <v>17</v>
      </c>
      <c r="H666" s="1" t="s">
        <v>18</v>
      </c>
      <c r="I666" s="1" t="s">
        <v>19</v>
      </c>
    </row>
    <row r="667">
      <c r="A667" s="1">
        <v>1812002.0</v>
      </c>
      <c r="B667" s="1" t="s">
        <v>1512</v>
      </c>
      <c r="C667" s="1" t="s">
        <v>1362</v>
      </c>
      <c r="D667" s="1" t="s">
        <v>1415</v>
      </c>
      <c r="E667" s="1" t="s">
        <v>1513</v>
      </c>
      <c r="F667" s="1" t="s">
        <v>16</v>
      </c>
      <c r="G667" s="1" t="s">
        <v>23</v>
      </c>
      <c r="H667" s="1" t="s">
        <v>18</v>
      </c>
      <c r="I667" s="1" t="s">
        <v>44</v>
      </c>
    </row>
    <row r="668">
      <c r="A668" s="1">
        <v>1871223.0</v>
      </c>
      <c r="B668" s="1" t="s">
        <v>1514</v>
      </c>
      <c r="C668" s="1" t="s">
        <v>1362</v>
      </c>
      <c r="D668" s="1" t="s">
        <v>1369</v>
      </c>
      <c r="E668" s="1" t="s">
        <v>1515</v>
      </c>
      <c r="F668" s="1" t="s">
        <v>272</v>
      </c>
      <c r="G668" s="1" t="s">
        <v>17</v>
      </c>
      <c r="H668" s="1" t="s">
        <v>18</v>
      </c>
      <c r="I668" s="1" t="s">
        <v>59</v>
      </c>
    </row>
    <row r="669">
      <c r="A669" s="1">
        <v>1806036.0</v>
      </c>
      <c r="B669" s="1" t="s">
        <v>1516</v>
      </c>
      <c r="C669" s="1" t="s">
        <v>1362</v>
      </c>
      <c r="D669" s="1" t="s">
        <v>1379</v>
      </c>
      <c r="E669" s="1" t="s">
        <v>1517</v>
      </c>
      <c r="F669" s="1" t="s">
        <v>16</v>
      </c>
      <c r="G669" s="1" t="s">
        <v>23</v>
      </c>
      <c r="H669" s="1" t="s">
        <v>18</v>
      </c>
      <c r="I669" s="1" t="s">
        <v>44</v>
      </c>
    </row>
    <row r="670">
      <c r="A670" s="1">
        <v>1871002.0</v>
      </c>
      <c r="B670" s="1" t="s">
        <v>1518</v>
      </c>
      <c r="C670" s="1" t="s">
        <v>1362</v>
      </c>
      <c r="D670" s="1" t="s">
        <v>1363</v>
      </c>
      <c r="E670" s="1" t="s">
        <v>1519</v>
      </c>
      <c r="F670" s="1" t="s">
        <v>16</v>
      </c>
      <c r="G670" s="1" t="s">
        <v>23</v>
      </c>
      <c r="H670" s="1" t="s">
        <v>18</v>
      </c>
      <c r="I670" s="1" t="s">
        <v>163</v>
      </c>
    </row>
    <row r="671">
      <c r="A671" s="1">
        <v>1811002.0</v>
      </c>
      <c r="B671" s="1" t="s">
        <v>1520</v>
      </c>
      <c r="C671" s="1" t="s">
        <v>1362</v>
      </c>
      <c r="D671" s="1" t="s">
        <v>1494</v>
      </c>
      <c r="E671" s="1" t="s">
        <v>1521</v>
      </c>
      <c r="F671" s="1" t="s">
        <v>16</v>
      </c>
      <c r="G671" s="1" t="s">
        <v>17</v>
      </c>
      <c r="H671" s="1" t="s">
        <v>28</v>
      </c>
      <c r="I671" s="1" t="s">
        <v>40</v>
      </c>
    </row>
    <row r="672">
      <c r="A672" s="1">
        <v>1802027.0</v>
      </c>
      <c r="B672" s="1" t="s">
        <v>1522</v>
      </c>
      <c r="C672" s="1" t="s">
        <v>1362</v>
      </c>
      <c r="D672" s="1" t="s">
        <v>1438</v>
      </c>
      <c r="E672" s="1" t="s">
        <v>1523</v>
      </c>
      <c r="F672" s="1" t="s">
        <v>16</v>
      </c>
      <c r="G672" s="1" t="s">
        <v>17</v>
      </c>
      <c r="H672" s="1" t="s">
        <v>28</v>
      </c>
      <c r="I672" s="1" t="s">
        <v>40</v>
      </c>
    </row>
    <row r="673">
      <c r="A673" s="1">
        <v>1806035.0</v>
      </c>
      <c r="B673" s="1" t="s">
        <v>1524</v>
      </c>
      <c r="C673" s="1" t="s">
        <v>1362</v>
      </c>
      <c r="D673" s="1" t="s">
        <v>1379</v>
      </c>
      <c r="E673" s="1" t="s">
        <v>1525</v>
      </c>
      <c r="F673" s="1" t="s">
        <v>16</v>
      </c>
      <c r="G673" s="1" t="s">
        <v>17</v>
      </c>
      <c r="H673" s="1" t="s">
        <v>18</v>
      </c>
      <c r="I673" s="1" t="s">
        <v>44</v>
      </c>
    </row>
    <row r="674">
      <c r="A674" s="1">
        <v>1872042.0</v>
      </c>
      <c r="B674" s="1" t="s">
        <v>1526</v>
      </c>
      <c r="C674" s="1" t="s">
        <v>1362</v>
      </c>
      <c r="D674" s="1" t="s">
        <v>1424</v>
      </c>
      <c r="E674" s="1" t="s">
        <v>1527</v>
      </c>
      <c r="F674" s="1" t="s">
        <v>16</v>
      </c>
      <c r="G674" s="1" t="s">
        <v>17</v>
      </c>
      <c r="H674" s="1" t="s">
        <v>18</v>
      </c>
      <c r="I674" s="1" t="s">
        <v>59</v>
      </c>
    </row>
    <row r="675">
      <c r="A675" s="1">
        <v>1805049.0</v>
      </c>
      <c r="B675" s="1" t="s">
        <v>1528</v>
      </c>
      <c r="C675" s="1" t="s">
        <v>1362</v>
      </c>
      <c r="D675" s="1" t="s">
        <v>1382</v>
      </c>
      <c r="E675" s="1" t="s">
        <v>1529</v>
      </c>
      <c r="F675" s="1" t="s">
        <v>55</v>
      </c>
      <c r="G675" s="1" t="s">
        <v>17</v>
      </c>
      <c r="H675" s="1" t="s">
        <v>18</v>
      </c>
      <c r="I675" s="1" t="s">
        <v>19</v>
      </c>
    </row>
    <row r="676">
      <c r="A676" s="1">
        <v>1810005.0</v>
      </c>
      <c r="B676" s="1" t="s">
        <v>1530</v>
      </c>
      <c r="C676" s="1" t="s">
        <v>1362</v>
      </c>
      <c r="D676" s="1" t="s">
        <v>1363</v>
      </c>
      <c r="E676" s="1" t="s">
        <v>1531</v>
      </c>
      <c r="F676" s="1" t="s">
        <v>55</v>
      </c>
      <c r="G676" s="1" t="s">
        <v>17</v>
      </c>
      <c r="H676" s="1" t="s">
        <v>18</v>
      </c>
      <c r="I676" s="1" t="s">
        <v>19</v>
      </c>
    </row>
    <row r="677">
      <c r="A677" s="1">
        <v>1803035.0</v>
      </c>
      <c r="B677" s="1" t="s">
        <v>1532</v>
      </c>
      <c r="C677" s="1" t="s">
        <v>1362</v>
      </c>
      <c r="D677" s="1" t="s">
        <v>1366</v>
      </c>
      <c r="E677" s="1" t="s">
        <v>1533</v>
      </c>
      <c r="F677" s="1" t="s">
        <v>16</v>
      </c>
      <c r="G677" s="1" t="s">
        <v>17</v>
      </c>
      <c r="H677" s="1" t="s">
        <v>18</v>
      </c>
      <c r="I677" s="1" t="s">
        <v>139</v>
      </c>
    </row>
    <row r="678">
      <c r="A678" s="1">
        <v>1872067.0</v>
      </c>
      <c r="B678" s="1" t="s">
        <v>1534</v>
      </c>
      <c r="C678" s="1" t="s">
        <v>1362</v>
      </c>
      <c r="D678" s="1" t="s">
        <v>1424</v>
      </c>
      <c r="E678" s="1" t="s">
        <v>1535</v>
      </c>
      <c r="F678" s="1" t="s">
        <v>16</v>
      </c>
      <c r="G678" s="1" t="s">
        <v>23</v>
      </c>
      <c r="H678" s="1" t="s">
        <v>28</v>
      </c>
      <c r="I678" s="1" t="s">
        <v>29</v>
      </c>
    </row>
    <row r="679">
      <c r="A679" s="1">
        <v>1971043.0</v>
      </c>
      <c r="B679" s="1" t="s">
        <v>1536</v>
      </c>
      <c r="C679" s="1" t="s">
        <v>1537</v>
      </c>
      <c r="D679" s="1" t="s">
        <v>1538</v>
      </c>
      <c r="E679" s="1" t="s">
        <v>1539</v>
      </c>
      <c r="F679" s="1" t="s">
        <v>16</v>
      </c>
      <c r="G679" s="1" t="s">
        <v>17</v>
      </c>
      <c r="H679" s="1" t="s">
        <v>18</v>
      </c>
      <c r="I679" s="1" t="s">
        <v>44</v>
      </c>
    </row>
    <row r="680">
      <c r="A680" s="1">
        <v>1904016.0</v>
      </c>
      <c r="B680" s="1" t="s">
        <v>1540</v>
      </c>
      <c r="C680" s="1" t="s">
        <v>1537</v>
      </c>
      <c r="D680" s="1" t="s">
        <v>1541</v>
      </c>
      <c r="E680" s="1" t="s">
        <v>1542</v>
      </c>
      <c r="F680" s="1" t="s">
        <v>16</v>
      </c>
      <c r="G680" s="1" t="s">
        <v>23</v>
      </c>
      <c r="H680" s="1" t="s">
        <v>18</v>
      </c>
      <c r="I680" s="1" t="s">
        <v>65</v>
      </c>
    </row>
    <row r="681">
      <c r="A681" s="1">
        <v>1901043.0</v>
      </c>
      <c r="B681" s="1" t="s">
        <v>1543</v>
      </c>
      <c r="C681" s="1" t="s">
        <v>1537</v>
      </c>
      <c r="D681" s="1" t="s">
        <v>1544</v>
      </c>
      <c r="E681" s="1" t="s">
        <v>1545</v>
      </c>
      <c r="F681" s="1" t="s">
        <v>16</v>
      </c>
      <c r="G681" s="1" t="s">
        <v>27</v>
      </c>
      <c r="H681" s="1" t="s">
        <v>28</v>
      </c>
      <c r="I681" s="1" t="s">
        <v>139</v>
      </c>
    </row>
    <row r="682">
      <c r="A682" s="1">
        <v>1901031.0</v>
      </c>
      <c r="B682" s="1" t="s">
        <v>1546</v>
      </c>
      <c r="C682" s="1" t="s">
        <v>1537</v>
      </c>
      <c r="D682" s="1" t="s">
        <v>1544</v>
      </c>
      <c r="E682" s="1" t="s">
        <v>1547</v>
      </c>
      <c r="F682" s="1" t="s">
        <v>16</v>
      </c>
      <c r="G682" s="1" t="s">
        <v>17</v>
      </c>
      <c r="H682" s="1" t="s">
        <v>18</v>
      </c>
      <c r="I682" s="1" t="s">
        <v>44</v>
      </c>
    </row>
    <row r="683">
      <c r="A683" s="1">
        <v>1971006.0</v>
      </c>
      <c r="B683" s="1" t="s">
        <v>1548</v>
      </c>
      <c r="C683" s="1" t="s">
        <v>1537</v>
      </c>
      <c r="D683" s="1" t="s">
        <v>1538</v>
      </c>
      <c r="E683" s="1" t="s">
        <v>1549</v>
      </c>
      <c r="F683" s="1" t="s">
        <v>55</v>
      </c>
      <c r="G683" s="1" t="s">
        <v>17</v>
      </c>
      <c r="H683" s="1" t="s">
        <v>18</v>
      </c>
      <c r="I683" s="1" t="s">
        <v>19</v>
      </c>
    </row>
    <row r="684">
      <c r="A684" s="1">
        <v>1971003.0</v>
      </c>
      <c r="B684" s="1" t="s">
        <v>1550</v>
      </c>
      <c r="C684" s="1" t="s">
        <v>1537</v>
      </c>
      <c r="D684" s="1" t="s">
        <v>1538</v>
      </c>
      <c r="E684" s="1" t="s">
        <v>1551</v>
      </c>
      <c r="F684" s="1" t="s">
        <v>55</v>
      </c>
      <c r="G684" s="1" t="s">
        <v>17</v>
      </c>
      <c r="H684" s="1" t="s">
        <v>18</v>
      </c>
      <c r="I684" s="1" t="s">
        <v>44</v>
      </c>
    </row>
    <row r="685">
      <c r="A685" s="1">
        <v>1971054.0</v>
      </c>
      <c r="B685" s="1" t="s">
        <v>1552</v>
      </c>
      <c r="C685" s="1" t="s">
        <v>1537</v>
      </c>
      <c r="D685" s="1" t="s">
        <v>1538</v>
      </c>
      <c r="E685" s="1" t="s">
        <v>1553</v>
      </c>
      <c r="F685" s="1" t="s">
        <v>16</v>
      </c>
      <c r="G685" s="1" t="s">
        <v>23</v>
      </c>
      <c r="H685" s="1" t="s">
        <v>18</v>
      </c>
      <c r="I685" s="1" t="s">
        <v>74</v>
      </c>
    </row>
    <row r="686">
      <c r="A686" s="1">
        <v>1904013.0</v>
      </c>
      <c r="B686" s="1" t="s">
        <v>1554</v>
      </c>
      <c r="C686" s="1" t="s">
        <v>1537</v>
      </c>
      <c r="D686" s="1" t="s">
        <v>1541</v>
      </c>
      <c r="E686" s="1" t="s">
        <v>1555</v>
      </c>
      <c r="F686" s="1" t="s">
        <v>16</v>
      </c>
      <c r="G686" s="1" t="s">
        <v>17</v>
      </c>
      <c r="H686" s="1" t="s">
        <v>28</v>
      </c>
      <c r="I686" s="1" t="s">
        <v>40</v>
      </c>
    </row>
    <row r="687">
      <c r="A687" s="1">
        <v>1905026.0</v>
      </c>
      <c r="B687" s="1" t="s">
        <v>1556</v>
      </c>
      <c r="C687" s="1" t="s">
        <v>1537</v>
      </c>
      <c r="D687" s="1" t="s">
        <v>1557</v>
      </c>
      <c r="E687" s="1" t="s">
        <v>1558</v>
      </c>
      <c r="F687" s="1" t="s">
        <v>16</v>
      </c>
      <c r="G687" s="1" t="s">
        <v>23</v>
      </c>
      <c r="H687" s="1" t="s">
        <v>28</v>
      </c>
      <c r="I687" s="1" t="s">
        <v>40</v>
      </c>
    </row>
    <row r="688">
      <c r="A688" s="1">
        <v>1905024.0</v>
      </c>
      <c r="B688" s="1" t="s">
        <v>1559</v>
      </c>
      <c r="C688" s="1" t="s">
        <v>1537</v>
      </c>
      <c r="D688" s="1" t="s">
        <v>1557</v>
      </c>
      <c r="E688" s="1" t="s">
        <v>1560</v>
      </c>
      <c r="F688" s="1" t="s">
        <v>16</v>
      </c>
      <c r="G688" s="1" t="s">
        <v>17</v>
      </c>
      <c r="H688" s="1" t="s">
        <v>28</v>
      </c>
      <c r="I688" s="1" t="s">
        <v>40</v>
      </c>
    </row>
    <row r="689">
      <c r="A689" s="1">
        <v>1901046.0</v>
      </c>
      <c r="B689" s="1" t="s">
        <v>1561</v>
      </c>
      <c r="C689" s="1" t="s">
        <v>1537</v>
      </c>
      <c r="D689" s="1" t="s">
        <v>1544</v>
      </c>
      <c r="E689" s="1" t="s">
        <v>1562</v>
      </c>
      <c r="F689" s="1" t="s">
        <v>16</v>
      </c>
      <c r="G689" s="1" t="s">
        <v>98</v>
      </c>
      <c r="H689" s="1" t="s">
        <v>28</v>
      </c>
      <c r="I689" s="1" t="s">
        <v>40</v>
      </c>
    </row>
    <row r="690">
      <c r="A690" s="1">
        <v>1971021.0</v>
      </c>
      <c r="B690" s="1" t="s">
        <v>1563</v>
      </c>
      <c r="C690" s="1" t="s">
        <v>1537</v>
      </c>
      <c r="D690" s="1" t="s">
        <v>1538</v>
      </c>
      <c r="E690" s="1" t="s">
        <v>1564</v>
      </c>
      <c r="F690" s="1" t="s">
        <v>16</v>
      </c>
      <c r="G690" s="1" t="s">
        <v>17</v>
      </c>
      <c r="H690" s="1" t="s">
        <v>28</v>
      </c>
      <c r="I690" s="1" t="s">
        <v>29</v>
      </c>
    </row>
    <row r="691">
      <c r="A691" s="1">
        <v>1902011.0</v>
      </c>
      <c r="B691" s="1" t="s">
        <v>1565</v>
      </c>
      <c r="C691" s="1" t="s">
        <v>1537</v>
      </c>
      <c r="D691" s="1" t="s">
        <v>1566</v>
      </c>
      <c r="E691" s="1" t="s">
        <v>1567</v>
      </c>
      <c r="F691" s="1" t="s">
        <v>16</v>
      </c>
      <c r="G691" s="1" t="s">
        <v>23</v>
      </c>
      <c r="H691" s="1" t="s">
        <v>18</v>
      </c>
      <c r="I691" s="1" t="s">
        <v>19</v>
      </c>
    </row>
    <row r="692">
      <c r="A692" s="1">
        <v>1904015.0</v>
      </c>
      <c r="B692" s="1" t="s">
        <v>1568</v>
      </c>
      <c r="C692" s="1" t="s">
        <v>1537</v>
      </c>
      <c r="D692" s="1" t="s">
        <v>1541</v>
      </c>
      <c r="E692" s="1" t="s">
        <v>1569</v>
      </c>
      <c r="F692" s="1" t="s">
        <v>16</v>
      </c>
      <c r="G692" s="1" t="s">
        <v>98</v>
      </c>
      <c r="H692" s="1" t="s">
        <v>28</v>
      </c>
      <c r="I692" s="1" t="s">
        <v>40</v>
      </c>
    </row>
    <row r="693">
      <c r="A693" s="1">
        <v>1901020.0</v>
      </c>
      <c r="B693" s="1" t="s">
        <v>1570</v>
      </c>
      <c r="C693" s="1" t="s">
        <v>1537</v>
      </c>
      <c r="D693" s="1" t="s">
        <v>1544</v>
      </c>
      <c r="E693" s="1" t="s">
        <v>1571</v>
      </c>
      <c r="F693" s="1" t="s">
        <v>174</v>
      </c>
      <c r="G693" s="1" t="s">
        <v>27</v>
      </c>
      <c r="H693" s="1" t="s">
        <v>28</v>
      </c>
      <c r="I693" s="1" t="s">
        <v>139</v>
      </c>
    </row>
    <row r="694">
      <c r="A694" s="1">
        <v>1971005.0</v>
      </c>
      <c r="B694" s="1" t="s">
        <v>1572</v>
      </c>
      <c r="C694" s="1" t="s">
        <v>1537</v>
      </c>
      <c r="D694" s="1" t="s">
        <v>1538</v>
      </c>
      <c r="E694" s="1" t="s">
        <v>1573</v>
      </c>
      <c r="F694" s="1" t="s">
        <v>55</v>
      </c>
      <c r="G694" s="1" t="s">
        <v>17</v>
      </c>
      <c r="H694" s="1" t="s">
        <v>18</v>
      </c>
      <c r="I694" s="1" t="s">
        <v>44</v>
      </c>
    </row>
    <row r="695">
      <c r="A695" s="1">
        <v>1904014.0</v>
      </c>
      <c r="B695" s="1" t="s">
        <v>1574</v>
      </c>
      <c r="C695" s="1" t="s">
        <v>1537</v>
      </c>
      <c r="D695" s="1" t="s">
        <v>1541</v>
      </c>
      <c r="E695" s="1" t="s">
        <v>1575</v>
      </c>
      <c r="F695" s="1" t="s">
        <v>16</v>
      </c>
      <c r="G695" s="1" t="s">
        <v>17</v>
      </c>
      <c r="H695" s="1" t="s">
        <v>18</v>
      </c>
      <c r="I695" s="1" t="s">
        <v>44</v>
      </c>
    </row>
    <row r="696">
      <c r="A696" s="1">
        <v>1903002.0</v>
      </c>
      <c r="B696" s="1" t="s">
        <v>1576</v>
      </c>
      <c r="C696" s="1" t="s">
        <v>1537</v>
      </c>
      <c r="D696" s="1" t="s">
        <v>1577</v>
      </c>
      <c r="E696" s="1" t="s">
        <v>1578</v>
      </c>
      <c r="F696" s="1" t="s">
        <v>16</v>
      </c>
      <c r="G696" s="1" t="s">
        <v>23</v>
      </c>
      <c r="H696" s="1" t="s">
        <v>18</v>
      </c>
      <c r="I696" s="1" t="s">
        <v>44</v>
      </c>
    </row>
    <row r="697">
      <c r="A697" s="1">
        <v>1971002.0</v>
      </c>
      <c r="B697" s="1" t="s">
        <v>1579</v>
      </c>
      <c r="C697" s="1" t="s">
        <v>1537</v>
      </c>
      <c r="D697" s="1" t="s">
        <v>1538</v>
      </c>
      <c r="E697" s="1" t="s">
        <v>1580</v>
      </c>
      <c r="F697" s="1" t="s">
        <v>16</v>
      </c>
      <c r="G697" s="1" t="s">
        <v>17</v>
      </c>
      <c r="H697" s="1" t="s">
        <v>18</v>
      </c>
      <c r="I697" s="1" t="s">
        <v>44</v>
      </c>
    </row>
    <row r="698">
      <c r="A698" s="1">
        <v>1902010.0</v>
      </c>
      <c r="B698" s="1" t="s">
        <v>1581</v>
      </c>
      <c r="C698" s="1" t="s">
        <v>1537</v>
      </c>
      <c r="D698" s="1" t="s">
        <v>1566</v>
      </c>
      <c r="E698" s="1" t="s">
        <v>1582</v>
      </c>
      <c r="F698" s="1" t="s">
        <v>16</v>
      </c>
      <c r="G698" s="1" t="s">
        <v>17</v>
      </c>
      <c r="H698" s="1" t="s">
        <v>28</v>
      </c>
      <c r="I698" s="1" t="s">
        <v>40</v>
      </c>
    </row>
    <row r="699">
      <c r="A699" s="1">
        <v>1901044.0</v>
      </c>
      <c r="B699" s="1" t="s">
        <v>1583</v>
      </c>
      <c r="C699" s="1" t="s">
        <v>1537</v>
      </c>
      <c r="D699" s="1" t="s">
        <v>1544</v>
      </c>
      <c r="E699" s="1" t="s">
        <v>1584</v>
      </c>
      <c r="F699" s="1" t="s">
        <v>16</v>
      </c>
      <c r="G699" s="1" t="s">
        <v>23</v>
      </c>
      <c r="H699" s="1" t="s">
        <v>18</v>
      </c>
      <c r="I699" s="1" t="s">
        <v>40</v>
      </c>
    </row>
    <row r="700">
      <c r="A700" s="1">
        <v>1903013.0</v>
      </c>
      <c r="B700" s="1" t="s">
        <v>1585</v>
      </c>
      <c r="C700" s="1" t="s">
        <v>1537</v>
      </c>
      <c r="D700" s="1" t="s">
        <v>1577</v>
      </c>
      <c r="E700" s="1" t="s">
        <v>1586</v>
      </c>
      <c r="F700" s="1" t="s">
        <v>16</v>
      </c>
      <c r="G700" s="1" t="s">
        <v>17</v>
      </c>
      <c r="H700" s="1" t="s">
        <v>28</v>
      </c>
      <c r="I700" s="1" t="s">
        <v>40</v>
      </c>
    </row>
    <row r="701">
      <c r="A701" s="1">
        <v>1902042.0</v>
      </c>
      <c r="B701" s="1" t="s">
        <v>1587</v>
      </c>
      <c r="C701" s="1" t="s">
        <v>1537</v>
      </c>
      <c r="D701" s="1" t="s">
        <v>1544</v>
      </c>
      <c r="E701" s="1" t="s">
        <v>1588</v>
      </c>
      <c r="F701" s="1" t="s">
        <v>16</v>
      </c>
      <c r="G701" s="1" t="s">
        <v>17</v>
      </c>
      <c r="H701" s="1" t="s">
        <v>18</v>
      </c>
      <c r="I701" s="1" t="s">
        <v>19</v>
      </c>
    </row>
    <row r="702">
      <c r="A702" s="1">
        <v>1902012.0</v>
      </c>
      <c r="B702" s="1" t="s">
        <v>1589</v>
      </c>
      <c r="C702" s="1" t="s">
        <v>1537</v>
      </c>
      <c r="D702" s="1" t="s">
        <v>1566</v>
      </c>
      <c r="E702" s="1" t="s">
        <v>1590</v>
      </c>
      <c r="F702" s="1" t="s">
        <v>16</v>
      </c>
      <c r="G702" s="1" t="s">
        <v>23</v>
      </c>
      <c r="H702" s="1" t="s">
        <v>18</v>
      </c>
      <c r="I702" s="1" t="s">
        <v>163</v>
      </c>
    </row>
    <row r="703">
      <c r="A703" s="1">
        <v>1971004.0</v>
      </c>
      <c r="B703" s="1" t="s">
        <v>1591</v>
      </c>
      <c r="C703" s="1" t="s">
        <v>1537</v>
      </c>
      <c r="D703" s="1" t="s">
        <v>1538</v>
      </c>
      <c r="E703" s="1" t="s">
        <v>1592</v>
      </c>
      <c r="F703" s="1" t="s">
        <v>16</v>
      </c>
      <c r="G703" s="1" t="s">
        <v>17</v>
      </c>
      <c r="H703" s="1" t="s">
        <v>18</v>
      </c>
      <c r="I703" s="1" t="s">
        <v>44</v>
      </c>
    </row>
    <row r="704">
      <c r="A704" s="1">
        <v>1906014.0</v>
      </c>
      <c r="B704" s="1" t="s">
        <v>1593</v>
      </c>
      <c r="C704" s="1" t="s">
        <v>1537</v>
      </c>
      <c r="D704" s="1" t="s">
        <v>1594</v>
      </c>
      <c r="E704" s="1" t="s">
        <v>1595</v>
      </c>
      <c r="F704" s="1" t="s">
        <v>16</v>
      </c>
      <c r="G704" s="1" t="s">
        <v>17</v>
      </c>
      <c r="H704" s="1" t="s">
        <v>28</v>
      </c>
      <c r="I704" s="1" t="s">
        <v>40</v>
      </c>
    </row>
    <row r="705">
      <c r="A705" s="1">
        <v>1903005.0</v>
      </c>
      <c r="B705" s="1" t="s">
        <v>1596</v>
      </c>
      <c r="C705" s="1" t="s">
        <v>1537</v>
      </c>
      <c r="D705" s="1" t="s">
        <v>1577</v>
      </c>
      <c r="E705" s="1" t="s">
        <v>1597</v>
      </c>
      <c r="F705" s="1" t="s">
        <v>16</v>
      </c>
      <c r="G705" s="1" t="s">
        <v>23</v>
      </c>
      <c r="H705" s="1" t="s">
        <v>18</v>
      </c>
      <c r="I705" s="1" t="s">
        <v>44</v>
      </c>
    </row>
    <row r="706">
      <c r="A706" s="1">
        <v>1901016.0</v>
      </c>
      <c r="B706" s="1" t="s">
        <v>1598</v>
      </c>
      <c r="C706" s="1" t="s">
        <v>1537</v>
      </c>
      <c r="D706" s="1" t="s">
        <v>1544</v>
      </c>
      <c r="E706" s="1" t="s">
        <v>1599</v>
      </c>
      <c r="F706" s="1" t="s">
        <v>16</v>
      </c>
      <c r="G706" s="1" t="s">
        <v>17</v>
      </c>
      <c r="H706" s="1" t="s">
        <v>28</v>
      </c>
      <c r="I706" s="1" t="s">
        <v>40</v>
      </c>
    </row>
    <row r="707">
      <c r="A707" s="1">
        <v>2171062.0</v>
      </c>
      <c r="B707" s="1" t="s">
        <v>1600</v>
      </c>
      <c r="C707" s="1" t="s">
        <v>1601</v>
      </c>
      <c r="D707" s="1" t="s">
        <v>1602</v>
      </c>
      <c r="E707" s="1" t="s">
        <v>1603</v>
      </c>
      <c r="F707" s="1" t="s">
        <v>16</v>
      </c>
      <c r="G707" s="1" t="s">
        <v>17</v>
      </c>
      <c r="H707" s="1" t="s">
        <v>18</v>
      </c>
      <c r="I707" s="1" t="s">
        <v>44</v>
      </c>
    </row>
    <row r="708">
      <c r="A708" s="1">
        <v>2071114.0</v>
      </c>
      <c r="B708" s="1" t="s">
        <v>1604</v>
      </c>
      <c r="C708" s="1" t="s">
        <v>1601</v>
      </c>
      <c r="D708" s="1" t="s">
        <v>1602</v>
      </c>
      <c r="E708" s="1" t="s">
        <v>1605</v>
      </c>
      <c r="F708" s="1" t="s">
        <v>16</v>
      </c>
      <c r="G708" s="1" t="s">
        <v>27</v>
      </c>
      <c r="H708" s="1" t="s">
        <v>28</v>
      </c>
      <c r="I708" s="1" t="s">
        <v>29</v>
      </c>
    </row>
    <row r="709">
      <c r="A709" s="1">
        <v>2071054.0</v>
      </c>
      <c r="B709" s="1" t="s">
        <v>1606</v>
      </c>
      <c r="C709" s="1" t="s">
        <v>1601</v>
      </c>
      <c r="D709" s="1" t="s">
        <v>1602</v>
      </c>
      <c r="E709" s="1" t="s">
        <v>1607</v>
      </c>
      <c r="F709" s="1" t="s">
        <v>55</v>
      </c>
      <c r="G709" s="1" t="s">
        <v>17</v>
      </c>
      <c r="H709" s="1" t="s">
        <v>18</v>
      </c>
      <c r="I709" s="1" t="s">
        <v>44</v>
      </c>
    </row>
    <row r="710">
      <c r="A710" s="1">
        <v>2003011.0</v>
      </c>
      <c r="B710" s="1" t="s">
        <v>1608</v>
      </c>
      <c r="C710" s="1" t="s">
        <v>1601</v>
      </c>
      <c r="D710" s="1" t="s">
        <v>1609</v>
      </c>
      <c r="E710" s="1" t="s">
        <v>1610</v>
      </c>
      <c r="F710" s="1" t="s">
        <v>16</v>
      </c>
      <c r="G710" s="1" t="s">
        <v>17</v>
      </c>
      <c r="H710" s="1" t="s">
        <v>28</v>
      </c>
      <c r="I710" s="1" t="s">
        <v>40</v>
      </c>
    </row>
    <row r="711">
      <c r="A711" s="1">
        <v>2004136.0</v>
      </c>
      <c r="B711" s="1" t="s">
        <v>1611</v>
      </c>
      <c r="C711" s="1" t="s">
        <v>1601</v>
      </c>
      <c r="D711" s="1" t="s">
        <v>1612</v>
      </c>
      <c r="E711" s="1" t="s">
        <v>1613</v>
      </c>
      <c r="F711" s="1" t="s">
        <v>16</v>
      </c>
      <c r="G711" s="1" t="s">
        <v>23</v>
      </c>
      <c r="H711" s="1" t="s">
        <v>28</v>
      </c>
      <c r="I711" s="1" t="s">
        <v>40</v>
      </c>
    </row>
    <row r="712">
      <c r="A712" s="1">
        <v>2101003.0</v>
      </c>
      <c r="B712" s="1" t="s">
        <v>1614</v>
      </c>
      <c r="C712" s="1" t="s">
        <v>1601</v>
      </c>
      <c r="D712" s="1" t="s">
        <v>1615</v>
      </c>
      <c r="E712" s="1" t="s">
        <v>1616</v>
      </c>
      <c r="F712" s="1" t="s">
        <v>16</v>
      </c>
      <c r="G712" s="1" t="s">
        <v>98</v>
      </c>
      <c r="H712" s="1" t="s">
        <v>28</v>
      </c>
      <c r="I712" s="1" t="s">
        <v>40</v>
      </c>
    </row>
    <row r="713">
      <c r="A713" s="1">
        <v>2071053.0</v>
      </c>
      <c r="B713" s="1" t="s">
        <v>1617</v>
      </c>
      <c r="C713" s="1" t="s">
        <v>1601</v>
      </c>
      <c r="D713" s="1" t="s">
        <v>1602</v>
      </c>
      <c r="E713" s="1" t="s">
        <v>1618</v>
      </c>
      <c r="F713" s="1" t="s">
        <v>16</v>
      </c>
      <c r="G713" s="1" t="s">
        <v>17</v>
      </c>
      <c r="H713" s="1" t="s">
        <v>18</v>
      </c>
      <c r="I713" s="1" t="s">
        <v>44</v>
      </c>
    </row>
    <row r="714">
      <c r="A714" s="1">
        <v>2071012.0</v>
      </c>
      <c r="B714" s="1" t="s">
        <v>1619</v>
      </c>
      <c r="C714" s="1" t="s">
        <v>1601</v>
      </c>
      <c r="D714" s="1" t="s">
        <v>1602</v>
      </c>
      <c r="E714" s="1" t="s">
        <v>1620</v>
      </c>
      <c r="F714" s="1" t="s">
        <v>16</v>
      </c>
      <c r="G714" s="1" t="s">
        <v>27</v>
      </c>
      <c r="H714" s="1" t="s">
        <v>18</v>
      </c>
      <c r="I714" s="1" t="s">
        <v>59</v>
      </c>
    </row>
    <row r="715">
      <c r="A715" s="1">
        <v>2171077.0</v>
      </c>
      <c r="B715" s="1" t="s">
        <v>1621</v>
      </c>
      <c r="C715" s="1" t="s">
        <v>1601</v>
      </c>
      <c r="D715" s="1" t="s">
        <v>1602</v>
      </c>
      <c r="E715" s="1" t="s">
        <v>1622</v>
      </c>
      <c r="F715" s="1" t="s">
        <v>16</v>
      </c>
      <c r="G715" s="1" t="s">
        <v>23</v>
      </c>
      <c r="H715" s="1" t="s">
        <v>18</v>
      </c>
      <c r="I715" s="1" t="s">
        <v>19</v>
      </c>
    </row>
    <row r="716">
      <c r="A716" s="1">
        <v>2072023.0</v>
      </c>
      <c r="B716" s="1" t="s">
        <v>1623</v>
      </c>
      <c r="C716" s="1" t="s">
        <v>1601</v>
      </c>
      <c r="D716" s="1" t="s">
        <v>1624</v>
      </c>
      <c r="E716" s="1" t="s">
        <v>1625</v>
      </c>
      <c r="F716" s="1" t="s">
        <v>16</v>
      </c>
      <c r="G716" s="1" t="s">
        <v>27</v>
      </c>
      <c r="H716" s="1" t="s">
        <v>18</v>
      </c>
      <c r="I716" s="1" t="s">
        <v>95</v>
      </c>
    </row>
    <row r="717">
      <c r="A717" s="1">
        <v>2002002.0</v>
      </c>
      <c r="B717" s="1" t="s">
        <v>1626</v>
      </c>
      <c r="C717" s="1" t="s">
        <v>1601</v>
      </c>
      <c r="D717" s="1" t="s">
        <v>1627</v>
      </c>
      <c r="E717" s="1" t="s">
        <v>1628</v>
      </c>
      <c r="F717" s="1" t="s">
        <v>16</v>
      </c>
      <c r="G717" s="1" t="s">
        <v>17</v>
      </c>
      <c r="H717" s="1" t="s">
        <v>28</v>
      </c>
      <c r="I717" s="1" t="s">
        <v>40</v>
      </c>
    </row>
    <row r="718">
      <c r="A718" s="1">
        <v>2071034.0</v>
      </c>
      <c r="B718" s="1" t="s">
        <v>1629</v>
      </c>
      <c r="C718" s="1" t="s">
        <v>1601</v>
      </c>
      <c r="D718" s="1" t="s">
        <v>1602</v>
      </c>
      <c r="E718" s="1" t="s">
        <v>1630</v>
      </c>
      <c r="F718" s="1" t="s">
        <v>16</v>
      </c>
      <c r="G718" s="1" t="s">
        <v>27</v>
      </c>
      <c r="H718" s="1" t="s">
        <v>18</v>
      </c>
      <c r="I718" s="1" t="s">
        <v>34</v>
      </c>
    </row>
    <row r="719">
      <c r="A719" s="1">
        <v>2071057.0</v>
      </c>
      <c r="B719" s="1" t="s">
        <v>1631</v>
      </c>
      <c r="C719" s="1" t="s">
        <v>1601</v>
      </c>
      <c r="D719" s="1" t="s">
        <v>1602</v>
      </c>
      <c r="E719" s="1" t="s">
        <v>1632</v>
      </c>
      <c r="F719" s="1" t="s">
        <v>55</v>
      </c>
      <c r="G719" s="1" t="s">
        <v>17</v>
      </c>
      <c r="H719" s="1" t="s">
        <v>18</v>
      </c>
      <c r="I719" s="1" t="s">
        <v>44</v>
      </c>
    </row>
    <row r="720">
      <c r="A720" s="1">
        <v>2003056.0</v>
      </c>
      <c r="B720" s="1" t="s">
        <v>1633</v>
      </c>
      <c r="C720" s="1" t="s">
        <v>1601</v>
      </c>
      <c r="D720" s="1" t="s">
        <v>1609</v>
      </c>
      <c r="E720" s="1" t="s">
        <v>1634</v>
      </c>
      <c r="F720" s="1" t="s">
        <v>16</v>
      </c>
      <c r="G720" s="1" t="s">
        <v>23</v>
      </c>
      <c r="H720" s="1" t="s">
        <v>18</v>
      </c>
      <c r="I720" s="1" t="s">
        <v>563</v>
      </c>
    </row>
    <row r="721">
      <c r="A721" s="1">
        <v>2171083.0</v>
      </c>
      <c r="B721" s="1" t="s">
        <v>1635</v>
      </c>
      <c r="C721" s="1" t="s">
        <v>1601</v>
      </c>
      <c r="D721" s="1" t="s">
        <v>1602</v>
      </c>
      <c r="E721" s="1" t="s">
        <v>1636</v>
      </c>
      <c r="F721" s="1" t="s">
        <v>16</v>
      </c>
      <c r="G721" s="1" t="s">
        <v>17</v>
      </c>
      <c r="H721" s="1" t="s">
        <v>18</v>
      </c>
      <c r="I721" s="1" t="s">
        <v>19</v>
      </c>
    </row>
    <row r="722">
      <c r="A722" s="1">
        <v>2071103.0</v>
      </c>
      <c r="B722" s="1" t="s">
        <v>1637</v>
      </c>
      <c r="C722" s="1" t="s">
        <v>1601</v>
      </c>
      <c r="D722" s="1" t="s">
        <v>1602</v>
      </c>
      <c r="E722" s="1" t="s">
        <v>1638</v>
      </c>
      <c r="F722" s="1" t="s">
        <v>16</v>
      </c>
      <c r="G722" s="1" t="s">
        <v>27</v>
      </c>
      <c r="H722" s="1" t="s">
        <v>18</v>
      </c>
      <c r="I722" s="1" t="s">
        <v>44</v>
      </c>
    </row>
    <row r="723">
      <c r="A723" s="1">
        <v>2071015.0</v>
      </c>
      <c r="B723" s="1" t="s">
        <v>1639</v>
      </c>
      <c r="C723" s="1" t="s">
        <v>1601</v>
      </c>
      <c r="D723" s="1" t="s">
        <v>1602</v>
      </c>
      <c r="E723" s="1" t="s">
        <v>1640</v>
      </c>
      <c r="F723" s="1" t="s">
        <v>16</v>
      </c>
      <c r="G723" s="1" t="s">
        <v>17</v>
      </c>
      <c r="H723" s="1" t="s">
        <v>18</v>
      </c>
      <c r="I723" s="1" t="s">
        <v>249</v>
      </c>
    </row>
    <row r="724">
      <c r="A724" s="1">
        <v>2171065.0</v>
      </c>
      <c r="B724" s="1" t="s">
        <v>1641</v>
      </c>
      <c r="C724" s="1" t="s">
        <v>1601</v>
      </c>
      <c r="D724" s="1" t="s">
        <v>1602</v>
      </c>
      <c r="E724" s="1" t="s">
        <v>1642</v>
      </c>
      <c r="F724" s="1" t="s">
        <v>16</v>
      </c>
      <c r="G724" s="1" t="s">
        <v>27</v>
      </c>
      <c r="H724" s="1" t="s">
        <v>18</v>
      </c>
      <c r="I724" s="1" t="s">
        <v>19</v>
      </c>
    </row>
    <row r="725">
      <c r="A725" s="1">
        <v>2002010.0</v>
      </c>
      <c r="B725" s="1" t="s">
        <v>1643</v>
      </c>
      <c r="C725" s="1" t="s">
        <v>1601</v>
      </c>
      <c r="D725" s="1" t="s">
        <v>1627</v>
      </c>
      <c r="E725" s="1" t="s">
        <v>1644</v>
      </c>
      <c r="F725" s="1" t="s">
        <v>174</v>
      </c>
      <c r="G725" s="1" t="s">
        <v>27</v>
      </c>
      <c r="H725" s="1" t="s">
        <v>28</v>
      </c>
      <c r="I725" s="1" t="s">
        <v>139</v>
      </c>
    </row>
    <row r="726">
      <c r="A726" s="1">
        <v>2105005.0</v>
      </c>
      <c r="B726" s="1" t="s">
        <v>1645</v>
      </c>
      <c r="C726" s="1" t="s">
        <v>1601</v>
      </c>
      <c r="D726" s="1" t="s">
        <v>1646</v>
      </c>
      <c r="E726" s="1" t="s">
        <v>1647</v>
      </c>
      <c r="F726" s="1" t="s">
        <v>16</v>
      </c>
      <c r="G726" s="1" t="s">
        <v>23</v>
      </c>
      <c r="H726" s="1" t="s">
        <v>18</v>
      </c>
      <c r="I726" s="1" t="s">
        <v>40</v>
      </c>
    </row>
    <row r="727">
      <c r="A727" s="1">
        <v>2003125.0</v>
      </c>
      <c r="B727" s="1" t="s">
        <v>1648</v>
      </c>
      <c r="C727" s="1" t="s">
        <v>1601</v>
      </c>
      <c r="D727" s="1" t="s">
        <v>1646</v>
      </c>
      <c r="E727" s="1" t="s">
        <v>1649</v>
      </c>
      <c r="F727" s="1" t="s">
        <v>16</v>
      </c>
      <c r="G727" s="1" t="s">
        <v>23</v>
      </c>
      <c r="H727" s="1" t="s">
        <v>28</v>
      </c>
      <c r="I727" s="1" t="s">
        <v>40</v>
      </c>
    </row>
    <row r="728">
      <c r="A728" s="1">
        <v>2071037.0</v>
      </c>
      <c r="B728" s="1" t="s">
        <v>1650</v>
      </c>
      <c r="C728" s="1" t="s">
        <v>1601</v>
      </c>
      <c r="D728" s="1" t="s">
        <v>1602</v>
      </c>
      <c r="E728" s="1" t="s">
        <v>1651</v>
      </c>
      <c r="F728" s="1" t="s">
        <v>16</v>
      </c>
      <c r="G728" s="1" t="s">
        <v>17</v>
      </c>
      <c r="H728" s="1" t="s">
        <v>18</v>
      </c>
      <c r="I728" s="1" t="s">
        <v>19</v>
      </c>
    </row>
    <row r="729">
      <c r="A729" s="1">
        <v>2171078.0</v>
      </c>
      <c r="B729" s="1" t="s">
        <v>1652</v>
      </c>
      <c r="C729" s="1" t="s">
        <v>1601</v>
      </c>
      <c r="D729" s="1" t="s">
        <v>1602</v>
      </c>
      <c r="E729" s="1" t="s">
        <v>1653</v>
      </c>
      <c r="F729" s="1" t="s">
        <v>16</v>
      </c>
      <c r="G729" s="1" t="s">
        <v>17</v>
      </c>
      <c r="H729" s="1" t="s">
        <v>18</v>
      </c>
      <c r="I729" s="1" t="s">
        <v>19</v>
      </c>
    </row>
    <row r="730">
      <c r="A730" s="1">
        <v>2072012.0</v>
      </c>
      <c r="B730" s="1" t="s">
        <v>1654</v>
      </c>
      <c r="C730" s="1" t="s">
        <v>1601</v>
      </c>
      <c r="D730" s="1" t="s">
        <v>1624</v>
      </c>
      <c r="E730" s="1" t="s">
        <v>1655</v>
      </c>
      <c r="F730" s="1" t="s">
        <v>16</v>
      </c>
      <c r="G730" s="1" t="s">
        <v>17</v>
      </c>
      <c r="H730" s="1" t="s">
        <v>28</v>
      </c>
      <c r="I730" s="1" t="s">
        <v>29</v>
      </c>
    </row>
    <row r="731">
      <c r="A731" s="1">
        <v>2171061.0</v>
      </c>
      <c r="B731" s="1" t="s">
        <v>1656</v>
      </c>
      <c r="C731" s="1" t="s">
        <v>1601</v>
      </c>
      <c r="D731" s="1" t="s">
        <v>1602</v>
      </c>
      <c r="E731" s="1" t="s">
        <v>1657</v>
      </c>
      <c r="F731" s="1" t="s">
        <v>16</v>
      </c>
      <c r="G731" s="1" t="s">
        <v>23</v>
      </c>
      <c r="H731" s="1" t="s">
        <v>33</v>
      </c>
      <c r="I731" s="1" t="s">
        <v>65</v>
      </c>
    </row>
    <row r="732">
      <c r="A732" s="1">
        <v>2071023.0</v>
      </c>
      <c r="B732" s="1" t="s">
        <v>1658</v>
      </c>
      <c r="C732" s="1" t="s">
        <v>1601</v>
      </c>
      <c r="D732" s="1" t="s">
        <v>1602</v>
      </c>
      <c r="E732" s="1" t="s">
        <v>1659</v>
      </c>
      <c r="F732" s="1" t="s">
        <v>16</v>
      </c>
      <c r="G732" s="1" t="s">
        <v>17</v>
      </c>
      <c r="H732" s="1" t="s">
        <v>18</v>
      </c>
      <c r="I732" s="1" t="s">
        <v>59</v>
      </c>
    </row>
    <row r="733">
      <c r="A733" s="1">
        <v>2072002.0</v>
      </c>
      <c r="B733" s="1" t="s">
        <v>1660</v>
      </c>
      <c r="C733" s="1" t="s">
        <v>1601</v>
      </c>
      <c r="D733" s="1" t="s">
        <v>1624</v>
      </c>
      <c r="E733" s="1" t="s">
        <v>1661</v>
      </c>
      <c r="F733" s="1" t="s">
        <v>16</v>
      </c>
      <c r="G733" s="1" t="s">
        <v>27</v>
      </c>
      <c r="H733" s="1" t="s">
        <v>28</v>
      </c>
      <c r="I733" s="1" t="s">
        <v>139</v>
      </c>
    </row>
    <row r="734">
      <c r="A734" s="1">
        <v>2005002.0</v>
      </c>
      <c r="B734" s="1" t="s">
        <v>1662</v>
      </c>
      <c r="C734" s="1" t="s">
        <v>1601</v>
      </c>
      <c r="D734" s="1" t="s">
        <v>1646</v>
      </c>
      <c r="E734" s="1" t="s">
        <v>1663</v>
      </c>
      <c r="F734" s="1" t="s">
        <v>16</v>
      </c>
      <c r="G734" s="1" t="s">
        <v>23</v>
      </c>
      <c r="H734" s="1" t="s">
        <v>28</v>
      </c>
      <c r="I734" s="1" t="s">
        <v>40</v>
      </c>
    </row>
    <row r="735">
      <c r="A735" s="1">
        <v>2171064.0</v>
      </c>
      <c r="B735" s="1" t="s">
        <v>1664</v>
      </c>
      <c r="C735" s="1" t="s">
        <v>1601</v>
      </c>
      <c r="D735" s="1" t="s">
        <v>1602</v>
      </c>
      <c r="E735" s="1" t="s">
        <v>1665</v>
      </c>
      <c r="F735" s="1" t="s">
        <v>16</v>
      </c>
      <c r="G735" s="1" t="s">
        <v>23</v>
      </c>
      <c r="H735" s="1" t="s">
        <v>18</v>
      </c>
      <c r="I735" s="1" t="s">
        <v>44</v>
      </c>
    </row>
    <row r="736">
      <c r="A736" s="1">
        <v>2004012.0</v>
      </c>
      <c r="B736" s="1" t="s">
        <v>1666</v>
      </c>
      <c r="C736" s="1" t="s">
        <v>1601</v>
      </c>
      <c r="D736" s="1" t="s">
        <v>1612</v>
      </c>
      <c r="E736" s="1" t="s">
        <v>1667</v>
      </c>
      <c r="F736" s="1" t="s">
        <v>16</v>
      </c>
      <c r="G736" s="1" t="s">
        <v>17</v>
      </c>
      <c r="H736" s="1" t="s">
        <v>28</v>
      </c>
      <c r="I736" s="1" t="s">
        <v>40</v>
      </c>
    </row>
    <row r="737">
      <c r="A737" s="1">
        <v>2001045.0</v>
      </c>
      <c r="B737" s="1" t="s">
        <v>1668</v>
      </c>
      <c r="C737" s="1" t="s">
        <v>1601</v>
      </c>
      <c r="D737" s="1" t="s">
        <v>1615</v>
      </c>
      <c r="E737" s="1" t="s">
        <v>1669</v>
      </c>
      <c r="F737" s="1" t="s">
        <v>16</v>
      </c>
      <c r="G737" s="1" t="s">
        <v>17</v>
      </c>
      <c r="H737" s="1" t="s">
        <v>18</v>
      </c>
      <c r="I737" s="1" t="s">
        <v>44</v>
      </c>
    </row>
    <row r="738">
      <c r="A738" s="1">
        <v>2071050.0</v>
      </c>
      <c r="B738" s="1" t="s">
        <v>1670</v>
      </c>
      <c r="C738" s="1" t="s">
        <v>1601</v>
      </c>
      <c r="D738" s="1" t="s">
        <v>1602</v>
      </c>
      <c r="E738" s="1" t="s">
        <v>1671</v>
      </c>
      <c r="F738" s="1" t="s">
        <v>16</v>
      </c>
      <c r="G738" s="1" t="s">
        <v>17</v>
      </c>
      <c r="H738" s="1" t="s">
        <v>18</v>
      </c>
      <c r="I738" s="1" t="s">
        <v>44</v>
      </c>
    </row>
    <row r="739">
      <c r="A739" s="1">
        <v>2071059.0</v>
      </c>
      <c r="B739" s="1" t="s">
        <v>1672</v>
      </c>
      <c r="C739" s="1" t="s">
        <v>1601</v>
      </c>
      <c r="D739" s="1" t="s">
        <v>1602</v>
      </c>
      <c r="E739" s="1" t="s">
        <v>1673</v>
      </c>
      <c r="F739" s="1" t="s">
        <v>16</v>
      </c>
      <c r="G739" s="1" t="s">
        <v>17</v>
      </c>
      <c r="H739" s="1" t="s">
        <v>18</v>
      </c>
      <c r="I739" s="1" t="s">
        <v>59</v>
      </c>
    </row>
    <row r="740">
      <c r="A740" s="1">
        <v>2071056.0</v>
      </c>
      <c r="B740" s="1" t="s">
        <v>1674</v>
      </c>
      <c r="C740" s="1" t="s">
        <v>1601</v>
      </c>
      <c r="D740" s="1" t="s">
        <v>1602</v>
      </c>
      <c r="E740" s="1" t="s">
        <v>1675</v>
      </c>
      <c r="F740" s="1" t="s">
        <v>16</v>
      </c>
      <c r="G740" s="1" t="s">
        <v>17</v>
      </c>
      <c r="H740" s="1" t="s">
        <v>18</v>
      </c>
      <c r="I740" s="1" t="s">
        <v>44</v>
      </c>
    </row>
    <row r="741">
      <c r="A741" s="1">
        <v>2001013.0</v>
      </c>
      <c r="B741" s="1" t="s">
        <v>1676</v>
      </c>
      <c r="C741" s="1" t="s">
        <v>1601</v>
      </c>
      <c r="D741" s="1" t="s">
        <v>1615</v>
      </c>
      <c r="E741" s="1" t="s">
        <v>1677</v>
      </c>
      <c r="F741" s="1" t="s">
        <v>16</v>
      </c>
      <c r="G741" s="1" t="s">
        <v>17</v>
      </c>
      <c r="H741" s="1" t="s">
        <v>28</v>
      </c>
      <c r="I741" s="1" t="s">
        <v>40</v>
      </c>
    </row>
    <row r="742">
      <c r="A742" s="1">
        <v>3173084.0</v>
      </c>
      <c r="B742" s="1" t="s">
        <v>1678</v>
      </c>
      <c r="C742" s="1" t="s">
        <v>1679</v>
      </c>
      <c r="D742" s="1" t="s">
        <v>1680</v>
      </c>
      <c r="E742" s="1" t="s">
        <v>1681</v>
      </c>
      <c r="F742" s="1" t="s">
        <v>16</v>
      </c>
      <c r="G742" s="1" t="s">
        <v>27</v>
      </c>
      <c r="H742" s="1" t="s">
        <v>33</v>
      </c>
      <c r="I742" s="1" t="s">
        <v>74</v>
      </c>
    </row>
    <row r="743">
      <c r="A743" s="1">
        <v>3172765.0</v>
      </c>
      <c r="B743" s="1" t="s">
        <v>1682</v>
      </c>
      <c r="C743" s="1" t="s">
        <v>1679</v>
      </c>
      <c r="D743" s="1" t="s">
        <v>1680</v>
      </c>
      <c r="E743" s="1" t="s">
        <v>1683</v>
      </c>
      <c r="F743" s="1" t="s">
        <v>55</v>
      </c>
      <c r="G743" s="1" t="s">
        <v>17</v>
      </c>
      <c r="H743" s="1" t="s">
        <v>18</v>
      </c>
      <c r="I743" s="1" t="s">
        <v>19</v>
      </c>
    </row>
    <row r="744">
      <c r="A744" s="1">
        <v>3171574.0</v>
      </c>
      <c r="B744" s="1" t="s">
        <v>1684</v>
      </c>
      <c r="C744" s="1" t="s">
        <v>1679</v>
      </c>
      <c r="D744" s="1" t="s">
        <v>1685</v>
      </c>
      <c r="E744" s="1" t="s">
        <v>1686</v>
      </c>
      <c r="F744" s="1" t="s">
        <v>16</v>
      </c>
      <c r="G744" s="1" t="s">
        <v>17</v>
      </c>
      <c r="H744" s="1" t="s">
        <v>18</v>
      </c>
      <c r="I744" s="1" t="s">
        <v>59</v>
      </c>
    </row>
    <row r="745">
      <c r="A745" s="1">
        <v>3173671.0</v>
      </c>
      <c r="B745" s="1" t="s">
        <v>1687</v>
      </c>
      <c r="C745" s="1" t="s">
        <v>1679</v>
      </c>
      <c r="D745" s="1" t="s">
        <v>1688</v>
      </c>
      <c r="E745" s="1" t="s">
        <v>1689</v>
      </c>
      <c r="F745" s="1" t="s">
        <v>32</v>
      </c>
      <c r="G745" s="1" t="s">
        <v>150</v>
      </c>
      <c r="H745" s="1" t="s">
        <v>18</v>
      </c>
      <c r="I745" s="1" t="s">
        <v>34</v>
      </c>
    </row>
    <row r="746">
      <c r="A746" s="1">
        <v>3171768.0</v>
      </c>
      <c r="B746" s="1" t="s">
        <v>1690</v>
      </c>
      <c r="C746" s="1" t="s">
        <v>1679</v>
      </c>
      <c r="D746" s="1" t="s">
        <v>1688</v>
      </c>
      <c r="E746" s="1" t="s">
        <v>1691</v>
      </c>
      <c r="F746" s="1" t="s">
        <v>16</v>
      </c>
      <c r="G746" s="1" t="s">
        <v>17</v>
      </c>
      <c r="H746" s="1" t="s">
        <v>18</v>
      </c>
      <c r="I746" s="1" t="s">
        <v>19</v>
      </c>
    </row>
    <row r="747">
      <c r="A747" s="1">
        <v>3174508.0</v>
      </c>
      <c r="B747" s="1" t="s">
        <v>1692</v>
      </c>
      <c r="C747" s="1" t="s">
        <v>1679</v>
      </c>
      <c r="D747" s="1" t="s">
        <v>1693</v>
      </c>
      <c r="E747" s="1" t="s">
        <v>1694</v>
      </c>
      <c r="F747" s="1" t="s">
        <v>16</v>
      </c>
      <c r="G747" s="1" t="s">
        <v>27</v>
      </c>
      <c r="H747" s="1" t="s">
        <v>18</v>
      </c>
      <c r="I747" s="1" t="s">
        <v>19</v>
      </c>
    </row>
    <row r="748">
      <c r="A748" s="1">
        <v>3172516.0</v>
      </c>
      <c r="B748" s="1" t="s">
        <v>1695</v>
      </c>
      <c r="C748" s="1" t="s">
        <v>1679</v>
      </c>
      <c r="D748" s="1" t="s">
        <v>1680</v>
      </c>
      <c r="E748" s="1" t="s">
        <v>1696</v>
      </c>
      <c r="F748" s="1" t="s">
        <v>16</v>
      </c>
      <c r="G748" s="1" t="s">
        <v>17</v>
      </c>
      <c r="H748" s="1" t="s">
        <v>18</v>
      </c>
      <c r="I748" s="1" t="s">
        <v>59</v>
      </c>
    </row>
    <row r="749">
      <c r="A749" s="1">
        <v>3172750.0</v>
      </c>
      <c r="B749" s="1" t="s">
        <v>1697</v>
      </c>
      <c r="C749" s="1" t="s">
        <v>1679</v>
      </c>
      <c r="D749" s="1" t="s">
        <v>1680</v>
      </c>
      <c r="E749" s="1" t="s">
        <v>1698</v>
      </c>
      <c r="F749" s="1" t="s">
        <v>55</v>
      </c>
      <c r="G749" s="1" t="s">
        <v>17</v>
      </c>
      <c r="H749" s="1" t="s">
        <v>18</v>
      </c>
      <c r="I749" s="1" t="s">
        <v>44</v>
      </c>
    </row>
    <row r="750">
      <c r="A750" s="1">
        <v>3175407.0</v>
      </c>
      <c r="B750" s="1" t="s">
        <v>1699</v>
      </c>
      <c r="C750" s="1" t="s">
        <v>1679</v>
      </c>
      <c r="D750" s="1" t="s">
        <v>1700</v>
      </c>
      <c r="E750" s="1" t="s">
        <v>1701</v>
      </c>
      <c r="F750" s="1" t="s">
        <v>16</v>
      </c>
      <c r="G750" s="1" t="s">
        <v>27</v>
      </c>
      <c r="H750" s="1" t="s">
        <v>18</v>
      </c>
      <c r="I750" s="1" t="s">
        <v>19</v>
      </c>
    </row>
    <row r="751">
      <c r="A751" s="1">
        <v>3172761.0</v>
      </c>
      <c r="B751" s="1" t="s">
        <v>1702</v>
      </c>
      <c r="C751" s="1" t="s">
        <v>1679</v>
      </c>
      <c r="D751" s="1" t="s">
        <v>1680</v>
      </c>
      <c r="E751" s="1" t="s">
        <v>1703</v>
      </c>
      <c r="F751" s="1" t="s">
        <v>16</v>
      </c>
      <c r="G751" s="1" t="s">
        <v>17</v>
      </c>
      <c r="H751" s="1" t="s">
        <v>28</v>
      </c>
      <c r="I751" s="1" t="s">
        <v>139</v>
      </c>
    </row>
    <row r="752">
      <c r="A752" s="1">
        <v>3174525.0</v>
      </c>
      <c r="B752" s="1" t="s">
        <v>1704</v>
      </c>
      <c r="C752" s="1" t="s">
        <v>1679</v>
      </c>
      <c r="D752" s="1" t="s">
        <v>1693</v>
      </c>
      <c r="E752" s="1" t="s">
        <v>1705</v>
      </c>
      <c r="F752" s="1" t="s">
        <v>16</v>
      </c>
      <c r="G752" s="1" t="s">
        <v>23</v>
      </c>
      <c r="H752" s="1" t="s">
        <v>28</v>
      </c>
      <c r="I752" s="1" t="s">
        <v>139</v>
      </c>
    </row>
    <row r="753">
      <c r="A753" s="1">
        <v>3174510.0</v>
      </c>
      <c r="B753" s="1" t="s">
        <v>1706</v>
      </c>
      <c r="C753" s="1" t="s">
        <v>1679</v>
      </c>
      <c r="D753" s="1" t="s">
        <v>1693</v>
      </c>
      <c r="E753" s="1" t="s">
        <v>1707</v>
      </c>
      <c r="F753" s="1" t="s">
        <v>16</v>
      </c>
      <c r="G753" s="1" t="s">
        <v>23</v>
      </c>
      <c r="H753" s="1" t="s">
        <v>18</v>
      </c>
      <c r="I753" s="1" t="s">
        <v>19</v>
      </c>
    </row>
    <row r="754">
      <c r="A754" s="1">
        <v>3173543.0</v>
      </c>
      <c r="B754" s="1" t="s">
        <v>1708</v>
      </c>
      <c r="C754" s="1" t="s">
        <v>1679</v>
      </c>
      <c r="D754" s="1" t="s">
        <v>1688</v>
      </c>
      <c r="E754" s="1" t="s">
        <v>1709</v>
      </c>
      <c r="F754" s="1" t="s">
        <v>16</v>
      </c>
      <c r="G754" s="1" t="s">
        <v>27</v>
      </c>
      <c r="H754" s="1" t="s">
        <v>18</v>
      </c>
      <c r="I754" s="1" t="s">
        <v>59</v>
      </c>
    </row>
    <row r="755">
      <c r="A755" s="1">
        <v>3171798.0</v>
      </c>
      <c r="B755" s="1" t="s">
        <v>1710</v>
      </c>
      <c r="C755" s="1" t="s">
        <v>1679</v>
      </c>
      <c r="D755" s="1" t="s">
        <v>1685</v>
      </c>
      <c r="E755" s="1" t="s">
        <v>1711</v>
      </c>
      <c r="F755" s="1" t="s">
        <v>16</v>
      </c>
      <c r="G755" s="1" t="s">
        <v>17</v>
      </c>
      <c r="H755" s="1" t="s">
        <v>18</v>
      </c>
      <c r="I755" s="1" t="s">
        <v>163</v>
      </c>
    </row>
    <row r="756">
      <c r="A756" s="1">
        <v>3171724.0</v>
      </c>
      <c r="B756" s="1" t="s">
        <v>1712</v>
      </c>
      <c r="C756" s="1" t="s">
        <v>1679</v>
      </c>
      <c r="D756" s="1" t="s">
        <v>1685</v>
      </c>
      <c r="E756" s="1" t="s">
        <v>1713</v>
      </c>
      <c r="F756" s="1" t="s">
        <v>55</v>
      </c>
      <c r="G756" s="1" t="s">
        <v>27</v>
      </c>
      <c r="H756" s="1" t="s">
        <v>18</v>
      </c>
      <c r="I756" s="1" t="s">
        <v>19</v>
      </c>
    </row>
    <row r="757">
      <c r="A757" s="1">
        <v>3174351.0</v>
      </c>
      <c r="B757" s="1" t="s">
        <v>1714</v>
      </c>
      <c r="C757" s="1" t="s">
        <v>1679</v>
      </c>
      <c r="D757" s="1" t="s">
        <v>1693</v>
      </c>
      <c r="E757" s="1" t="s">
        <v>1715</v>
      </c>
      <c r="F757" s="1" t="s">
        <v>16</v>
      </c>
      <c r="G757" s="1" t="s">
        <v>27</v>
      </c>
      <c r="H757" s="1" t="s">
        <v>18</v>
      </c>
      <c r="I757" s="1" t="s">
        <v>19</v>
      </c>
    </row>
    <row r="758">
      <c r="A758" s="1">
        <v>3173696.0</v>
      </c>
      <c r="B758" s="1" t="s">
        <v>1716</v>
      </c>
      <c r="C758" s="1" t="s">
        <v>1679</v>
      </c>
      <c r="D758" s="1" t="s">
        <v>1688</v>
      </c>
      <c r="E758" s="1" t="s">
        <v>1717</v>
      </c>
      <c r="F758" s="1" t="s">
        <v>16</v>
      </c>
      <c r="G758" s="1" t="s">
        <v>17</v>
      </c>
      <c r="H758" s="1" t="s">
        <v>18</v>
      </c>
      <c r="I758" s="1" t="s">
        <v>44</v>
      </c>
    </row>
    <row r="759">
      <c r="A759" s="1">
        <v>3175416.0</v>
      </c>
      <c r="B759" s="1" t="s">
        <v>1718</v>
      </c>
      <c r="C759" s="1" t="s">
        <v>1679</v>
      </c>
      <c r="D759" s="1" t="s">
        <v>1700</v>
      </c>
      <c r="E759" s="1" t="s">
        <v>1719</v>
      </c>
      <c r="F759" s="1" t="s">
        <v>16</v>
      </c>
      <c r="G759" s="1" t="s">
        <v>23</v>
      </c>
      <c r="H759" s="1" t="s">
        <v>28</v>
      </c>
      <c r="I759" s="1" t="s">
        <v>139</v>
      </c>
    </row>
    <row r="760">
      <c r="A760" s="1">
        <v>3171802.0</v>
      </c>
      <c r="B760" s="1" t="s">
        <v>1720</v>
      </c>
      <c r="C760" s="1" t="s">
        <v>1679</v>
      </c>
      <c r="D760" s="1" t="s">
        <v>1685</v>
      </c>
      <c r="E760" s="1" t="s">
        <v>1721</v>
      </c>
      <c r="F760" s="1" t="s">
        <v>255</v>
      </c>
      <c r="G760" s="1" t="s">
        <v>17</v>
      </c>
      <c r="H760" s="1" t="s">
        <v>18</v>
      </c>
      <c r="I760" s="1" t="s">
        <v>44</v>
      </c>
    </row>
    <row r="761">
      <c r="A761" s="1">
        <v>3172094.0</v>
      </c>
      <c r="B761" s="1" t="s">
        <v>1722</v>
      </c>
      <c r="C761" s="1" t="s">
        <v>1679</v>
      </c>
      <c r="D761" s="1" t="s">
        <v>1680</v>
      </c>
      <c r="E761" s="1" t="s">
        <v>1723</v>
      </c>
      <c r="F761" s="1" t="s">
        <v>16</v>
      </c>
      <c r="G761" s="1" t="s">
        <v>27</v>
      </c>
      <c r="H761" s="1" t="s">
        <v>18</v>
      </c>
      <c r="I761" s="1" t="s">
        <v>258</v>
      </c>
    </row>
    <row r="762">
      <c r="A762" s="1">
        <v>3171789.0</v>
      </c>
      <c r="B762" s="1" t="s">
        <v>1724</v>
      </c>
      <c r="C762" s="1" t="s">
        <v>1679</v>
      </c>
      <c r="D762" s="1" t="s">
        <v>1685</v>
      </c>
      <c r="E762" s="1" t="s">
        <v>1725</v>
      </c>
      <c r="F762" s="1" t="s">
        <v>16</v>
      </c>
      <c r="G762" s="1" t="s">
        <v>27</v>
      </c>
      <c r="H762" s="1" t="s">
        <v>18</v>
      </c>
      <c r="I762" s="1" t="s">
        <v>44</v>
      </c>
    </row>
    <row r="763">
      <c r="A763" s="1">
        <v>3175330.0</v>
      </c>
      <c r="B763" s="1" t="s">
        <v>1726</v>
      </c>
      <c r="C763" s="1" t="s">
        <v>1679</v>
      </c>
      <c r="D763" s="1" t="s">
        <v>1700</v>
      </c>
      <c r="E763" s="1" t="s">
        <v>1727</v>
      </c>
      <c r="F763" s="1" t="s">
        <v>16</v>
      </c>
      <c r="G763" s="1" t="s">
        <v>27</v>
      </c>
      <c r="H763" s="1" t="s">
        <v>18</v>
      </c>
      <c r="I763" s="1" t="s">
        <v>59</v>
      </c>
    </row>
    <row r="764">
      <c r="A764" s="1">
        <v>3173697.0</v>
      </c>
      <c r="B764" s="1" t="s">
        <v>1728</v>
      </c>
      <c r="C764" s="1" t="s">
        <v>1679</v>
      </c>
      <c r="D764" s="1" t="s">
        <v>1688</v>
      </c>
      <c r="E764" s="1" t="s">
        <v>1729</v>
      </c>
      <c r="F764" s="1" t="s">
        <v>32</v>
      </c>
      <c r="G764" s="1" t="s">
        <v>27</v>
      </c>
      <c r="H764" s="1" t="s">
        <v>18</v>
      </c>
      <c r="I764" s="1" t="s">
        <v>95</v>
      </c>
    </row>
    <row r="765">
      <c r="A765" s="1">
        <v>3172762.0</v>
      </c>
      <c r="B765" s="1" t="s">
        <v>1730</v>
      </c>
      <c r="C765" s="1" t="s">
        <v>1679</v>
      </c>
      <c r="D765" s="1" t="s">
        <v>1680</v>
      </c>
      <c r="E765" s="1" t="s">
        <v>1731</v>
      </c>
      <c r="F765" s="1" t="s">
        <v>16</v>
      </c>
      <c r="G765" s="1" t="s">
        <v>23</v>
      </c>
      <c r="H765" s="1" t="s">
        <v>18</v>
      </c>
      <c r="I765" s="1" t="s">
        <v>139</v>
      </c>
    </row>
    <row r="766">
      <c r="A766" s="1">
        <v>3173014.0</v>
      </c>
      <c r="B766" s="1" t="s">
        <v>1732</v>
      </c>
      <c r="C766" s="1" t="s">
        <v>1679</v>
      </c>
      <c r="D766" s="1" t="s">
        <v>1688</v>
      </c>
      <c r="E766" s="1" t="s">
        <v>1733</v>
      </c>
      <c r="F766" s="1" t="s">
        <v>16</v>
      </c>
      <c r="G766" s="1" t="s">
        <v>150</v>
      </c>
      <c r="H766" s="1" t="s">
        <v>33</v>
      </c>
      <c r="I766" s="1" t="s">
        <v>411</v>
      </c>
    </row>
    <row r="767">
      <c r="A767" s="1">
        <v>3174052.0</v>
      </c>
      <c r="B767" s="1" t="s">
        <v>1734</v>
      </c>
      <c r="C767" s="1" t="s">
        <v>1679</v>
      </c>
      <c r="D767" s="1" t="s">
        <v>1693</v>
      </c>
      <c r="E767" s="1" t="s">
        <v>1735</v>
      </c>
      <c r="F767" s="1" t="s">
        <v>16</v>
      </c>
      <c r="G767" s="1" t="s">
        <v>27</v>
      </c>
      <c r="H767" s="1" t="s">
        <v>18</v>
      </c>
      <c r="I767" s="1" t="s">
        <v>44</v>
      </c>
    </row>
    <row r="768">
      <c r="A768" s="1">
        <v>3171511.0</v>
      </c>
      <c r="B768" s="1" t="s">
        <v>1736</v>
      </c>
      <c r="C768" s="1" t="s">
        <v>1679</v>
      </c>
      <c r="D768" s="1" t="s">
        <v>1685</v>
      </c>
      <c r="E768" s="1" t="s">
        <v>1737</v>
      </c>
      <c r="F768" s="1" t="s">
        <v>255</v>
      </c>
      <c r="G768" s="1" t="s">
        <v>27</v>
      </c>
      <c r="H768" s="1" t="s">
        <v>18</v>
      </c>
      <c r="I768" s="1" t="s">
        <v>44</v>
      </c>
    </row>
    <row r="769">
      <c r="A769" s="1">
        <v>3175411.0</v>
      </c>
      <c r="B769" s="1" t="s">
        <v>1738</v>
      </c>
      <c r="C769" s="1" t="s">
        <v>1679</v>
      </c>
      <c r="D769" s="1" t="s">
        <v>1700</v>
      </c>
      <c r="E769" s="1" t="s">
        <v>1739</v>
      </c>
      <c r="F769" s="1" t="s">
        <v>16</v>
      </c>
      <c r="G769" s="1" t="s">
        <v>17</v>
      </c>
      <c r="H769" s="1" t="s">
        <v>18</v>
      </c>
      <c r="I769" s="1" t="s">
        <v>19</v>
      </c>
    </row>
    <row r="770">
      <c r="A770" s="1">
        <v>3173116.0</v>
      </c>
      <c r="B770" s="1" t="s">
        <v>1740</v>
      </c>
      <c r="C770" s="1" t="s">
        <v>1679</v>
      </c>
      <c r="D770" s="1" t="s">
        <v>1688</v>
      </c>
      <c r="E770" s="1" t="s">
        <v>1741</v>
      </c>
      <c r="F770" s="1" t="s">
        <v>16</v>
      </c>
      <c r="G770" s="1" t="s">
        <v>23</v>
      </c>
      <c r="H770" s="1" t="s">
        <v>18</v>
      </c>
      <c r="I770" s="1" t="s">
        <v>59</v>
      </c>
    </row>
    <row r="771">
      <c r="A771" s="1">
        <v>3171782.0</v>
      </c>
      <c r="B771" s="1" t="s">
        <v>1742</v>
      </c>
      <c r="C771" s="1" t="s">
        <v>1679</v>
      </c>
      <c r="D771" s="1" t="s">
        <v>1685</v>
      </c>
      <c r="E771" s="1" t="s">
        <v>1743</v>
      </c>
      <c r="F771" s="1" t="s">
        <v>16</v>
      </c>
      <c r="G771" s="1" t="s">
        <v>17</v>
      </c>
      <c r="H771" s="1" t="s">
        <v>18</v>
      </c>
      <c r="I771" s="1" t="s">
        <v>59</v>
      </c>
    </row>
    <row r="772">
      <c r="A772" s="1">
        <v>3171632.0</v>
      </c>
      <c r="B772" s="1" t="s">
        <v>1744</v>
      </c>
      <c r="C772" s="1" t="s">
        <v>1679</v>
      </c>
      <c r="D772" s="1" t="s">
        <v>1685</v>
      </c>
      <c r="E772" s="1" t="s">
        <v>1745</v>
      </c>
      <c r="F772" s="1" t="s">
        <v>16</v>
      </c>
      <c r="G772" s="1" t="s">
        <v>17</v>
      </c>
      <c r="H772" s="1" t="s">
        <v>18</v>
      </c>
      <c r="I772" s="1" t="s">
        <v>59</v>
      </c>
    </row>
    <row r="773">
      <c r="A773" s="1">
        <v>3174015.0</v>
      </c>
      <c r="B773" s="1" t="s">
        <v>1746</v>
      </c>
      <c r="C773" s="1" t="s">
        <v>1679</v>
      </c>
      <c r="D773" s="1" t="s">
        <v>1693</v>
      </c>
      <c r="E773" s="1" t="s">
        <v>1747</v>
      </c>
      <c r="F773" s="1" t="s">
        <v>16</v>
      </c>
      <c r="G773" s="1" t="s">
        <v>27</v>
      </c>
      <c r="H773" s="1" t="s">
        <v>18</v>
      </c>
      <c r="I773" s="1" t="s">
        <v>59</v>
      </c>
    </row>
    <row r="774">
      <c r="A774" s="1">
        <v>3172013.0</v>
      </c>
      <c r="B774" s="1" t="s">
        <v>1748</v>
      </c>
      <c r="C774" s="1" t="s">
        <v>1679</v>
      </c>
      <c r="D774" s="1" t="s">
        <v>1680</v>
      </c>
      <c r="E774" s="1" t="s">
        <v>1749</v>
      </c>
      <c r="F774" s="1" t="s">
        <v>16</v>
      </c>
      <c r="G774" s="1" t="s">
        <v>150</v>
      </c>
      <c r="H774" s="1" t="s">
        <v>33</v>
      </c>
      <c r="I774" s="1" t="s">
        <v>411</v>
      </c>
    </row>
    <row r="775">
      <c r="A775" s="1">
        <v>3173704.0</v>
      </c>
      <c r="B775" s="1" t="s">
        <v>1750</v>
      </c>
      <c r="C775" s="1" t="s">
        <v>1679</v>
      </c>
      <c r="D775" s="1" t="s">
        <v>1688</v>
      </c>
      <c r="E775" s="1" t="s">
        <v>1751</v>
      </c>
      <c r="F775" s="1" t="s">
        <v>1752</v>
      </c>
      <c r="G775" s="1" t="s">
        <v>17</v>
      </c>
      <c r="H775" s="1" t="s">
        <v>18</v>
      </c>
      <c r="I775" s="1" t="s">
        <v>19</v>
      </c>
    </row>
    <row r="776">
      <c r="A776" s="1">
        <v>3175031.0</v>
      </c>
      <c r="B776" s="1" t="s">
        <v>1753</v>
      </c>
      <c r="C776" s="1" t="s">
        <v>1679</v>
      </c>
      <c r="D776" s="1" t="s">
        <v>1700</v>
      </c>
      <c r="E776" s="1" t="s">
        <v>1754</v>
      </c>
      <c r="F776" s="1" t="s">
        <v>16</v>
      </c>
      <c r="G776" s="1" t="s">
        <v>27</v>
      </c>
      <c r="H776" s="1" t="s">
        <v>18</v>
      </c>
      <c r="I776" s="1" t="s">
        <v>249</v>
      </c>
    </row>
    <row r="777">
      <c r="A777" s="1">
        <v>3172531.0</v>
      </c>
      <c r="B777" s="1" t="s">
        <v>1755</v>
      </c>
      <c r="C777" s="1" t="s">
        <v>1679</v>
      </c>
      <c r="D777" s="1" t="s">
        <v>1680</v>
      </c>
      <c r="E777" s="1" t="s">
        <v>1756</v>
      </c>
      <c r="F777" s="1" t="s">
        <v>16</v>
      </c>
      <c r="G777" s="1" t="s">
        <v>17</v>
      </c>
      <c r="H777" s="1" t="s">
        <v>18</v>
      </c>
      <c r="I777" s="1" t="s">
        <v>59</v>
      </c>
    </row>
    <row r="778">
      <c r="A778" s="1">
        <v>3171450.0</v>
      </c>
      <c r="B778" s="1" t="s">
        <v>1757</v>
      </c>
      <c r="C778" s="1" t="s">
        <v>1679</v>
      </c>
      <c r="D778" s="1" t="s">
        <v>1685</v>
      </c>
      <c r="E778" s="1" t="s">
        <v>1758</v>
      </c>
      <c r="F778" s="1" t="s">
        <v>16</v>
      </c>
      <c r="G778" s="1" t="s">
        <v>17</v>
      </c>
      <c r="H778" s="1" t="s">
        <v>18</v>
      </c>
      <c r="I778" s="1" t="s">
        <v>59</v>
      </c>
    </row>
    <row r="779">
      <c r="A779" s="1">
        <v>3171072.0</v>
      </c>
      <c r="B779" s="1" t="s">
        <v>1759</v>
      </c>
      <c r="C779" s="1" t="s">
        <v>1679</v>
      </c>
      <c r="D779" s="1" t="s">
        <v>1685</v>
      </c>
      <c r="E779" s="1" t="s">
        <v>1760</v>
      </c>
      <c r="F779" s="1" t="s">
        <v>16</v>
      </c>
      <c r="G779" s="1" t="s">
        <v>150</v>
      </c>
      <c r="H779" s="1" t="s">
        <v>33</v>
      </c>
      <c r="I779" s="1" t="s">
        <v>34</v>
      </c>
    </row>
    <row r="780">
      <c r="A780" s="1">
        <v>3175413.0</v>
      </c>
      <c r="B780" s="1" t="s">
        <v>1761</v>
      </c>
      <c r="C780" s="1" t="s">
        <v>1679</v>
      </c>
      <c r="D780" s="1" t="s">
        <v>1700</v>
      </c>
      <c r="E780" s="1" t="s">
        <v>1762</v>
      </c>
      <c r="F780" s="1" t="s">
        <v>16</v>
      </c>
      <c r="G780" s="1" t="s">
        <v>23</v>
      </c>
      <c r="H780" s="1" t="s">
        <v>28</v>
      </c>
      <c r="I780" s="1" t="s">
        <v>139</v>
      </c>
    </row>
    <row r="781">
      <c r="A781" s="1">
        <v>3173723.0</v>
      </c>
      <c r="B781" s="1" t="s">
        <v>1763</v>
      </c>
      <c r="C781" s="1" t="s">
        <v>1679</v>
      </c>
      <c r="D781" s="1" t="s">
        <v>1688</v>
      </c>
      <c r="E781" s="1" t="s">
        <v>1764</v>
      </c>
      <c r="F781" s="1" t="s">
        <v>16</v>
      </c>
      <c r="G781" s="1" t="s">
        <v>17</v>
      </c>
      <c r="H781" s="1" t="s">
        <v>18</v>
      </c>
      <c r="I781" s="1" t="s">
        <v>19</v>
      </c>
    </row>
    <row r="782">
      <c r="A782" s="1">
        <v>3173612.0</v>
      </c>
      <c r="B782" s="1" t="s">
        <v>1765</v>
      </c>
      <c r="C782" s="1" t="s">
        <v>1679</v>
      </c>
      <c r="D782" s="1" t="s">
        <v>1688</v>
      </c>
      <c r="E782" s="1" t="s">
        <v>1766</v>
      </c>
      <c r="F782" s="1" t="s">
        <v>1752</v>
      </c>
      <c r="G782" s="1" t="s">
        <v>17</v>
      </c>
      <c r="H782" s="1" t="s">
        <v>18</v>
      </c>
      <c r="I782" s="1" t="s">
        <v>19</v>
      </c>
    </row>
    <row r="783">
      <c r="A783" s="1">
        <v>3173698.0</v>
      </c>
      <c r="B783" s="1" t="s">
        <v>1767</v>
      </c>
      <c r="C783" s="1" t="s">
        <v>1679</v>
      </c>
      <c r="D783" s="1" t="s">
        <v>1688</v>
      </c>
      <c r="E783" s="1" t="s">
        <v>1768</v>
      </c>
      <c r="F783" s="1" t="s">
        <v>16</v>
      </c>
      <c r="G783" s="1" t="s">
        <v>23</v>
      </c>
      <c r="H783" s="1" t="s">
        <v>28</v>
      </c>
      <c r="I783" s="1" t="s">
        <v>139</v>
      </c>
    </row>
    <row r="784">
      <c r="A784" s="1">
        <v>3171746.0</v>
      </c>
      <c r="B784" s="1" t="s">
        <v>1769</v>
      </c>
      <c r="C784" s="1" t="s">
        <v>1679</v>
      </c>
      <c r="D784" s="1" t="s">
        <v>1685</v>
      </c>
      <c r="E784" s="1" t="s">
        <v>1770</v>
      </c>
      <c r="F784" s="1" t="s">
        <v>16</v>
      </c>
      <c r="G784" s="1" t="s">
        <v>17</v>
      </c>
      <c r="H784" s="1" t="s">
        <v>18</v>
      </c>
      <c r="I784" s="1" t="s">
        <v>19</v>
      </c>
    </row>
    <row r="785">
      <c r="A785" s="1">
        <v>3172748.0</v>
      </c>
      <c r="B785" s="1" t="s">
        <v>1771</v>
      </c>
      <c r="C785" s="1" t="s">
        <v>1679</v>
      </c>
      <c r="D785" s="1" t="s">
        <v>1680</v>
      </c>
      <c r="E785" s="1" t="s">
        <v>1772</v>
      </c>
      <c r="F785" s="1" t="s">
        <v>16</v>
      </c>
      <c r="G785" s="1" t="s">
        <v>17</v>
      </c>
      <c r="H785" s="1" t="s">
        <v>18</v>
      </c>
      <c r="I785" s="1" t="s">
        <v>44</v>
      </c>
    </row>
    <row r="786">
      <c r="A786" s="1">
        <v>3174420.0</v>
      </c>
      <c r="B786" s="1" t="s">
        <v>1773</v>
      </c>
      <c r="C786" s="1" t="s">
        <v>1679</v>
      </c>
      <c r="D786" s="1" t="s">
        <v>1693</v>
      </c>
      <c r="E786" s="1" t="s">
        <v>1774</v>
      </c>
      <c r="F786" s="1" t="s">
        <v>16</v>
      </c>
      <c r="G786" s="1" t="s">
        <v>17</v>
      </c>
      <c r="H786" s="1" t="s">
        <v>18</v>
      </c>
      <c r="I786" s="1" t="s">
        <v>19</v>
      </c>
    </row>
    <row r="787">
      <c r="A787" s="1">
        <v>3172206.0</v>
      </c>
      <c r="B787" s="1" t="s">
        <v>1775</v>
      </c>
      <c r="C787" s="1" t="s">
        <v>1679</v>
      </c>
      <c r="D787" s="1" t="s">
        <v>1680</v>
      </c>
      <c r="E787" s="1" t="s">
        <v>1776</v>
      </c>
      <c r="F787" s="1" t="s">
        <v>16</v>
      </c>
      <c r="G787" s="1" t="s">
        <v>27</v>
      </c>
      <c r="H787" s="1" t="s">
        <v>18</v>
      </c>
      <c r="I787" s="1" t="s">
        <v>19</v>
      </c>
    </row>
    <row r="788">
      <c r="A788" s="1">
        <v>3175352.0</v>
      </c>
      <c r="B788" s="1" t="s">
        <v>1777</v>
      </c>
      <c r="C788" s="1" t="s">
        <v>1679</v>
      </c>
      <c r="D788" s="1" t="s">
        <v>1700</v>
      </c>
      <c r="E788" s="1" t="s">
        <v>1778</v>
      </c>
      <c r="F788" s="1" t="s">
        <v>16</v>
      </c>
      <c r="G788" s="1" t="s">
        <v>27</v>
      </c>
      <c r="H788" s="1" t="s">
        <v>18</v>
      </c>
      <c r="I788" s="1" t="s">
        <v>19</v>
      </c>
    </row>
    <row r="789">
      <c r="A789" s="1">
        <v>3171786.0</v>
      </c>
      <c r="B789" s="1" t="s">
        <v>1779</v>
      </c>
      <c r="C789" s="1" t="s">
        <v>1679</v>
      </c>
      <c r="D789" s="1" t="s">
        <v>1685</v>
      </c>
      <c r="E789" s="1" t="s">
        <v>1780</v>
      </c>
      <c r="F789" s="1" t="s">
        <v>16</v>
      </c>
      <c r="G789" s="1" t="s">
        <v>27</v>
      </c>
      <c r="H789" s="1" t="s">
        <v>18</v>
      </c>
      <c r="I789" s="1" t="s">
        <v>44</v>
      </c>
    </row>
    <row r="790">
      <c r="A790" s="1">
        <v>3175414.0</v>
      </c>
      <c r="B790" s="1" t="s">
        <v>1781</v>
      </c>
      <c r="C790" s="1" t="s">
        <v>1679</v>
      </c>
      <c r="D790" s="1" t="s">
        <v>1700</v>
      </c>
      <c r="E790" s="1" t="s">
        <v>1782</v>
      </c>
      <c r="F790" s="1" t="s">
        <v>16</v>
      </c>
      <c r="G790" s="1" t="s">
        <v>17</v>
      </c>
      <c r="H790" s="1" t="s">
        <v>28</v>
      </c>
      <c r="I790" s="1" t="s">
        <v>139</v>
      </c>
    </row>
    <row r="791">
      <c r="A791" s="1">
        <v>3173036.0</v>
      </c>
      <c r="B791" s="1" t="s">
        <v>1783</v>
      </c>
      <c r="C791" s="1" t="s">
        <v>1679</v>
      </c>
      <c r="D791" s="1" t="s">
        <v>1688</v>
      </c>
      <c r="E791" s="1" t="s">
        <v>1784</v>
      </c>
      <c r="F791" s="1" t="s">
        <v>16</v>
      </c>
      <c r="G791" s="1" t="s">
        <v>27</v>
      </c>
      <c r="H791" s="1" t="s">
        <v>33</v>
      </c>
      <c r="I791" s="1" t="s">
        <v>95</v>
      </c>
    </row>
    <row r="792">
      <c r="A792" s="1">
        <v>3173441.0</v>
      </c>
      <c r="B792" s="1" t="s">
        <v>1785</v>
      </c>
      <c r="C792" s="1" t="s">
        <v>1679</v>
      </c>
      <c r="D792" s="1" t="s">
        <v>1688</v>
      </c>
      <c r="E792" s="1" t="s">
        <v>1786</v>
      </c>
      <c r="F792" s="1" t="s">
        <v>16</v>
      </c>
      <c r="G792" s="1" t="s">
        <v>17</v>
      </c>
      <c r="H792" s="1" t="s">
        <v>18</v>
      </c>
      <c r="I792" s="1" t="s">
        <v>59</v>
      </c>
    </row>
    <row r="793">
      <c r="A793" s="1">
        <v>3171056.0</v>
      </c>
      <c r="B793" s="1" t="s">
        <v>1787</v>
      </c>
      <c r="C793" s="1" t="s">
        <v>1679</v>
      </c>
      <c r="D793" s="1" t="s">
        <v>1685</v>
      </c>
      <c r="E793" s="1" t="s">
        <v>1788</v>
      </c>
      <c r="F793" s="1" t="s">
        <v>1789</v>
      </c>
      <c r="G793" s="1" t="s">
        <v>150</v>
      </c>
      <c r="H793" s="1" t="s">
        <v>18</v>
      </c>
      <c r="I793" s="1" t="s">
        <v>44</v>
      </c>
    </row>
    <row r="794">
      <c r="A794" s="1">
        <v>3171665.0</v>
      </c>
      <c r="B794" s="1" t="s">
        <v>1790</v>
      </c>
      <c r="C794" s="1" t="s">
        <v>1679</v>
      </c>
      <c r="D794" s="1" t="s">
        <v>1685</v>
      </c>
      <c r="E794" s="1" t="s">
        <v>1791</v>
      </c>
      <c r="F794" s="1" t="s">
        <v>16</v>
      </c>
      <c r="G794" s="1" t="s">
        <v>27</v>
      </c>
      <c r="H794" s="1" t="s">
        <v>18</v>
      </c>
      <c r="I794" s="1" t="s">
        <v>19</v>
      </c>
    </row>
    <row r="795">
      <c r="A795" s="1">
        <v>3175408.0</v>
      </c>
      <c r="B795" s="1" t="s">
        <v>1792</v>
      </c>
      <c r="C795" s="1" t="s">
        <v>1679</v>
      </c>
      <c r="D795" s="1" t="s">
        <v>1700</v>
      </c>
      <c r="E795" s="1" t="s">
        <v>1793</v>
      </c>
      <c r="F795" s="1" t="s">
        <v>16</v>
      </c>
      <c r="G795" s="1" t="s">
        <v>17</v>
      </c>
      <c r="H795" s="1" t="s">
        <v>18</v>
      </c>
      <c r="I795" s="1" t="s">
        <v>44</v>
      </c>
    </row>
    <row r="796">
      <c r="A796" s="1">
        <v>3174515.0</v>
      </c>
      <c r="B796" s="1" t="s">
        <v>1794</v>
      </c>
      <c r="C796" s="1" t="s">
        <v>1679</v>
      </c>
      <c r="D796" s="1" t="s">
        <v>1693</v>
      </c>
      <c r="E796" s="1" t="s">
        <v>1795</v>
      </c>
      <c r="F796" s="1" t="s">
        <v>272</v>
      </c>
      <c r="G796" s="1" t="s">
        <v>150</v>
      </c>
      <c r="H796" s="1" t="s">
        <v>18</v>
      </c>
      <c r="I796" s="1" t="s">
        <v>44</v>
      </c>
    </row>
    <row r="797">
      <c r="A797" s="1">
        <v>3174030.0</v>
      </c>
      <c r="B797" s="1" t="s">
        <v>1796</v>
      </c>
      <c r="C797" s="1" t="s">
        <v>1679</v>
      </c>
      <c r="D797" s="1" t="s">
        <v>1693</v>
      </c>
      <c r="E797" s="1" t="s">
        <v>1797</v>
      </c>
      <c r="F797" s="1" t="s">
        <v>16</v>
      </c>
      <c r="G797" s="1" t="s">
        <v>17</v>
      </c>
      <c r="H797" s="1" t="s">
        <v>18</v>
      </c>
      <c r="I797" s="1" t="s">
        <v>59</v>
      </c>
    </row>
    <row r="798">
      <c r="A798" s="1">
        <v>3172035.0</v>
      </c>
      <c r="B798" s="1" t="s">
        <v>1798</v>
      </c>
      <c r="C798" s="1" t="s">
        <v>1679</v>
      </c>
      <c r="D798" s="1" t="s">
        <v>1680</v>
      </c>
      <c r="E798" s="1" t="s">
        <v>1799</v>
      </c>
      <c r="F798" s="1" t="s">
        <v>16</v>
      </c>
      <c r="G798" s="1" t="s">
        <v>23</v>
      </c>
      <c r="H798" s="1" t="s">
        <v>18</v>
      </c>
      <c r="I798" s="1" t="s">
        <v>34</v>
      </c>
    </row>
    <row r="799">
      <c r="A799" s="1">
        <v>3175064.0</v>
      </c>
      <c r="B799" s="1" t="s">
        <v>1800</v>
      </c>
      <c r="C799" s="1" t="s">
        <v>1679</v>
      </c>
      <c r="D799" s="1" t="s">
        <v>1700</v>
      </c>
      <c r="E799" s="1" t="s">
        <v>1801</v>
      </c>
      <c r="F799" s="1" t="s">
        <v>1802</v>
      </c>
      <c r="G799" s="1" t="s">
        <v>150</v>
      </c>
      <c r="H799" s="1" t="s">
        <v>33</v>
      </c>
      <c r="I799" s="1" t="s">
        <v>411</v>
      </c>
    </row>
    <row r="800">
      <c r="A800" s="1">
        <v>3171785.0</v>
      </c>
      <c r="B800" s="1" t="s">
        <v>1803</v>
      </c>
      <c r="C800" s="1" t="s">
        <v>1679</v>
      </c>
      <c r="D800" s="1" t="s">
        <v>1685</v>
      </c>
      <c r="E800" s="1" t="s">
        <v>1804</v>
      </c>
      <c r="F800" s="1" t="s">
        <v>16</v>
      </c>
      <c r="G800" s="1" t="s">
        <v>17</v>
      </c>
      <c r="H800" s="1" t="s">
        <v>33</v>
      </c>
      <c r="I800" s="1" t="s">
        <v>65</v>
      </c>
    </row>
    <row r="801">
      <c r="A801" s="1">
        <v>3171792.0</v>
      </c>
      <c r="B801" s="1" t="s">
        <v>1805</v>
      </c>
      <c r="C801" s="1" t="s">
        <v>1679</v>
      </c>
      <c r="D801" s="1" t="s">
        <v>1685</v>
      </c>
      <c r="E801" s="1" t="s">
        <v>1806</v>
      </c>
      <c r="F801" s="1" t="s">
        <v>16</v>
      </c>
      <c r="G801" s="1" t="s">
        <v>23</v>
      </c>
      <c r="H801" s="1" t="s">
        <v>28</v>
      </c>
      <c r="I801" s="1" t="s">
        <v>139</v>
      </c>
    </row>
    <row r="802">
      <c r="A802" s="1">
        <v>3171804.0</v>
      </c>
      <c r="B802" s="1" t="s">
        <v>1807</v>
      </c>
      <c r="C802" s="1" t="s">
        <v>1679</v>
      </c>
      <c r="D802" s="1" t="s">
        <v>1685</v>
      </c>
      <c r="E802" s="1" t="s">
        <v>1808</v>
      </c>
      <c r="F802" s="1" t="s">
        <v>272</v>
      </c>
      <c r="G802" s="1" t="s">
        <v>17</v>
      </c>
      <c r="H802" s="1" t="s">
        <v>18</v>
      </c>
      <c r="I802" s="1" t="s">
        <v>19</v>
      </c>
    </row>
    <row r="803">
      <c r="A803" s="1">
        <v>3172590.0</v>
      </c>
      <c r="B803" s="1" t="s">
        <v>1809</v>
      </c>
      <c r="C803" s="1" t="s">
        <v>1679</v>
      </c>
      <c r="D803" s="1" t="s">
        <v>1680</v>
      </c>
      <c r="E803" s="1" t="s">
        <v>1810</v>
      </c>
      <c r="F803" s="1" t="s">
        <v>16</v>
      </c>
      <c r="G803" s="1" t="s">
        <v>17</v>
      </c>
      <c r="H803" s="1" t="s">
        <v>18</v>
      </c>
      <c r="I803" s="1" t="s">
        <v>59</v>
      </c>
    </row>
    <row r="804">
      <c r="A804" s="1">
        <v>3171801.0</v>
      </c>
      <c r="B804" s="1" t="s">
        <v>1811</v>
      </c>
      <c r="C804" s="1" t="s">
        <v>1679</v>
      </c>
      <c r="D804" s="1" t="s">
        <v>1685</v>
      </c>
      <c r="E804" s="1" t="s">
        <v>1812</v>
      </c>
      <c r="F804" s="1" t="s">
        <v>16</v>
      </c>
      <c r="G804" s="1" t="s">
        <v>23</v>
      </c>
      <c r="H804" s="1" t="s">
        <v>28</v>
      </c>
      <c r="I804" s="1" t="s">
        <v>139</v>
      </c>
    </row>
    <row r="805">
      <c r="A805" s="1">
        <v>3175418.0</v>
      </c>
      <c r="B805" s="1" t="s">
        <v>1813</v>
      </c>
      <c r="C805" s="1" t="s">
        <v>1679</v>
      </c>
      <c r="D805" s="1" t="s">
        <v>1700</v>
      </c>
      <c r="E805" s="1" t="s">
        <v>1814</v>
      </c>
      <c r="F805" s="1" t="s">
        <v>16</v>
      </c>
      <c r="G805" s="1" t="s">
        <v>27</v>
      </c>
      <c r="H805" s="1" t="s">
        <v>18</v>
      </c>
      <c r="I805" s="1" t="s">
        <v>1815</v>
      </c>
    </row>
    <row r="806">
      <c r="A806" s="1">
        <v>3171023.0</v>
      </c>
      <c r="B806" s="1" t="s">
        <v>1816</v>
      </c>
      <c r="C806" s="1" t="s">
        <v>1679</v>
      </c>
      <c r="D806" s="1" t="s">
        <v>1685</v>
      </c>
      <c r="E806" s="1" t="s">
        <v>1817</v>
      </c>
      <c r="F806" s="1" t="s">
        <v>16</v>
      </c>
      <c r="G806" s="1" t="s">
        <v>27</v>
      </c>
      <c r="H806" s="1" t="s">
        <v>18</v>
      </c>
      <c r="I806" s="1" t="s">
        <v>113</v>
      </c>
    </row>
    <row r="807">
      <c r="A807" s="1">
        <v>3172759.0</v>
      </c>
      <c r="B807" s="1" t="s">
        <v>1818</v>
      </c>
      <c r="C807" s="1" t="s">
        <v>1679</v>
      </c>
      <c r="D807" s="1" t="s">
        <v>1680</v>
      </c>
      <c r="E807" s="1" t="s">
        <v>1819</v>
      </c>
      <c r="F807" s="1" t="s">
        <v>16</v>
      </c>
      <c r="G807" s="1" t="s">
        <v>17</v>
      </c>
      <c r="H807" s="1" t="s">
        <v>18</v>
      </c>
      <c r="I807" s="1" t="s">
        <v>19</v>
      </c>
    </row>
    <row r="808">
      <c r="A808" s="1">
        <v>3171504.0</v>
      </c>
      <c r="B808" s="1" t="s">
        <v>1820</v>
      </c>
      <c r="C808" s="1" t="s">
        <v>1679</v>
      </c>
      <c r="D808" s="1" t="s">
        <v>1685</v>
      </c>
      <c r="E808" s="1" t="s">
        <v>1821</v>
      </c>
      <c r="F808" s="1" t="s">
        <v>16</v>
      </c>
      <c r="G808" s="1" t="s">
        <v>27</v>
      </c>
      <c r="H808" s="1" t="s">
        <v>18</v>
      </c>
      <c r="I808" s="1" t="s">
        <v>19</v>
      </c>
    </row>
    <row r="809">
      <c r="A809" s="1">
        <v>3173634.0</v>
      </c>
      <c r="B809" s="1" t="s">
        <v>1822</v>
      </c>
      <c r="C809" s="1" t="s">
        <v>1679</v>
      </c>
      <c r="D809" s="1" t="s">
        <v>1688</v>
      </c>
      <c r="E809" s="1" t="s">
        <v>1823</v>
      </c>
      <c r="F809" s="1" t="s">
        <v>255</v>
      </c>
      <c r="G809" s="1" t="s">
        <v>17</v>
      </c>
      <c r="H809" s="1" t="s">
        <v>18</v>
      </c>
      <c r="I809" s="1" t="s">
        <v>59</v>
      </c>
    </row>
    <row r="810">
      <c r="A810" s="1">
        <v>3101002.0</v>
      </c>
      <c r="B810" s="1" t="s">
        <v>1824</v>
      </c>
      <c r="C810" s="1" t="s">
        <v>1679</v>
      </c>
      <c r="D810" s="1" t="s">
        <v>1825</v>
      </c>
      <c r="E810" s="1" t="s">
        <v>1826</v>
      </c>
      <c r="F810" s="1" t="s">
        <v>16</v>
      </c>
      <c r="G810" s="1" t="s">
        <v>16</v>
      </c>
      <c r="H810" s="1" t="s">
        <v>23</v>
      </c>
      <c r="I810" s="1" t="s">
        <v>28</v>
      </c>
    </row>
    <row r="811">
      <c r="A811" s="1">
        <v>3174542.0</v>
      </c>
      <c r="B811" s="1" t="s">
        <v>1828</v>
      </c>
      <c r="C811" s="1" t="s">
        <v>1679</v>
      </c>
      <c r="D811" s="1" t="s">
        <v>1693</v>
      </c>
      <c r="E811" s="1" t="s">
        <v>1829</v>
      </c>
      <c r="F811" s="1" t="s">
        <v>16</v>
      </c>
      <c r="G811" s="1" t="s">
        <v>23</v>
      </c>
      <c r="H811" s="1" t="s">
        <v>18</v>
      </c>
      <c r="I811" s="1" t="s">
        <v>19</v>
      </c>
    </row>
    <row r="812">
      <c r="A812" s="1">
        <v>3174453.0</v>
      </c>
      <c r="B812" s="1" t="s">
        <v>1830</v>
      </c>
      <c r="C812" s="1" t="s">
        <v>1679</v>
      </c>
      <c r="D812" s="1" t="s">
        <v>1693</v>
      </c>
      <c r="E812" s="1" t="s">
        <v>1831</v>
      </c>
      <c r="F812" s="1" t="s">
        <v>16</v>
      </c>
      <c r="G812" s="1" t="s">
        <v>17</v>
      </c>
      <c r="H812" s="1" t="s">
        <v>18</v>
      </c>
      <c r="I812" s="1" t="s">
        <v>59</v>
      </c>
    </row>
    <row r="813">
      <c r="A813" s="1">
        <v>3172758.0</v>
      </c>
      <c r="B813" s="1" t="s">
        <v>1832</v>
      </c>
      <c r="C813" s="1" t="s">
        <v>1679</v>
      </c>
      <c r="D813" s="1" t="s">
        <v>1680</v>
      </c>
      <c r="E813" s="1" t="s">
        <v>1833</v>
      </c>
      <c r="F813" s="1" t="s">
        <v>255</v>
      </c>
      <c r="G813" s="1" t="s">
        <v>150</v>
      </c>
      <c r="H813" s="1" t="s">
        <v>18</v>
      </c>
      <c r="I813" s="1" t="s">
        <v>44</v>
      </c>
    </row>
    <row r="814">
      <c r="A814" s="1">
        <v>3172301.0</v>
      </c>
      <c r="B814" s="1" t="s">
        <v>1834</v>
      </c>
      <c r="C814" s="1" t="s">
        <v>1679</v>
      </c>
      <c r="D814" s="1" t="s">
        <v>1680</v>
      </c>
      <c r="E814" s="1" t="s">
        <v>1835</v>
      </c>
      <c r="F814" s="1" t="s">
        <v>255</v>
      </c>
      <c r="G814" s="1" t="s">
        <v>17</v>
      </c>
      <c r="H814" s="1" t="s">
        <v>18</v>
      </c>
      <c r="I814" s="1" t="s">
        <v>59</v>
      </c>
    </row>
    <row r="815">
      <c r="A815" s="1">
        <v>3171784.0</v>
      </c>
      <c r="B815" s="1" t="s">
        <v>1836</v>
      </c>
      <c r="C815" s="1" t="s">
        <v>1679</v>
      </c>
      <c r="D815" s="1" t="s">
        <v>1685</v>
      </c>
      <c r="E815" s="1" t="s">
        <v>1837</v>
      </c>
      <c r="F815" s="1" t="s">
        <v>16</v>
      </c>
      <c r="G815" s="1" t="s">
        <v>17</v>
      </c>
      <c r="H815" s="1" t="s">
        <v>18</v>
      </c>
      <c r="I815" s="1" t="s">
        <v>44</v>
      </c>
    </row>
    <row r="816">
      <c r="A816" s="1">
        <v>3175374.0</v>
      </c>
      <c r="B816" s="1" t="s">
        <v>1838</v>
      </c>
      <c r="C816" s="1" t="s">
        <v>1679</v>
      </c>
      <c r="D816" s="1" t="s">
        <v>1700</v>
      </c>
      <c r="E816" s="1" t="s">
        <v>1839</v>
      </c>
      <c r="F816" s="1" t="s">
        <v>16</v>
      </c>
      <c r="G816" s="1" t="s">
        <v>17</v>
      </c>
      <c r="H816" s="1" t="s">
        <v>18</v>
      </c>
      <c r="I816" s="1" t="s">
        <v>19</v>
      </c>
    </row>
    <row r="817">
      <c r="A817" s="1">
        <v>3173051.0</v>
      </c>
      <c r="B817" s="1" t="s">
        <v>1840</v>
      </c>
      <c r="C817" s="1" t="s">
        <v>1679</v>
      </c>
      <c r="D817" s="1" t="s">
        <v>1688</v>
      </c>
      <c r="E817" s="1" t="s">
        <v>1841</v>
      </c>
      <c r="F817" s="1" t="s">
        <v>16</v>
      </c>
      <c r="G817" s="1" t="s">
        <v>27</v>
      </c>
      <c r="H817" s="1" t="s">
        <v>18</v>
      </c>
      <c r="I817" s="1" t="s">
        <v>249</v>
      </c>
    </row>
    <row r="818">
      <c r="A818" s="1">
        <v>3173506.0</v>
      </c>
      <c r="B818" s="1" t="s">
        <v>1842</v>
      </c>
      <c r="C818" s="1" t="s">
        <v>1679</v>
      </c>
      <c r="D818" s="1" t="s">
        <v>1688</v>
      </c>
      <c r="E818" s="1" t="s">
        <v>1843</v>
      </c>
      <c r="F818" s="1" t="s">
        <v>16</v>
      </c>
      <c r="G818" s="1" t="s">
        <v>27</v>
      </c>
      <c r="H818" s="1" t="s">
        <v>18</v>
      </c>
      <c r="I818" s="1" t="s">
        <v>59</v>
      </c>
    </row>
    <row r="819">
      <c r="A819" s="1">
        <v>3171691.0</v>
      </c>
      <c r="B819" s="1" t="s">
        <v>1844</v>
      </c>
      <c r="C819" s="1" t="s">
        <v>1679</v>
      </c>
      <c r="D819" s="1" t="s">
        <v>1685</v>
      </c>
      <c r="E819" s="1" t="s">
        <v>1845</v>
      </c>
      <c r="F819" s="1" t="s">
        <v>32</v>
      </c>
      <c r="G819" s="1" t="s">
        <v>27</v>
      </c>
      <c r="H819" s="1" t="s">
        <v>18</v>
      </c>
      <c r="I819" s="1" t="s">
        <v>59</v>
      </c>
    </row>
    <row r="820">
      <c r="A820" s="1">
        <v>3174063.0</v>
      </c>
      <c r="B820" s="1" t="s">
        <v>1846</v>
      </c>
      <c r="C820" s="1" t="s">
        <v>1679</v>
      </c>
      <c r="D820" s="1" t="s">
        <v>1693</v>
      </c>
      <c r="E820" s="1" t="s">
        <v>1847</v>
      </c>
      <c r="F820" s="1" t="s">
        <v>1789</v>
      </c>
      <c r="G820" s="1" t="s">
        <v>150</v>
      </c>
      <c r="H820" s="1" t="s">
        <v>33</v>
      </c>
      <c r="I820" s="1" t="s">
        <v>411</v>
      </c>
    </row>
    <row r="821">
      <c r="A821" s="1">
        <v>3171790.0</v>
      </c>
      <c r="B821" s="1" t="s">
        <v>1848</v>
      </c>
      <c r="C821" s="1" t="s">
        <v>1679</v>
      </c>
      <c r="D821" s="1" t="s">
        <v>1685</v>
      </c>
      <c r="E821" s="1" t="s">
        <v>1849</v>
      </c>
      <c r="F821" s="1" t="s">
        <v>16</v>
      </c>
      <c r="G821" s="1" t="s">
        <v>17</v>
      </c>
      <c r="H821" s="1" t="s">
        <v>28</v>
      </c>
      <c r="I821" s="1" t="s">
        <v>139</v>
      </c>
    </row>
    <row r="822">
      <c r="A822" s="1">
        <v>3172061.0</v>
      </c>
      <c r="B822" s="1" t="s">
        <v>1850</v>
      </c>
      <c r="C822" s="1" t="s">
        <v>1679</v>
      </c>
      <c r="D822" s="1" t="s">
        <v>1680</v>
      </c>
      <c r="E822" s="1" t="s">
        <v>1851</v>
      </c>
      <c r="F822" s="1" t="s">
        <v>16</v>
      </c>
      <c r="G822" s="1" t="s">
        <v>27</v>
      </c>
      <c r="H822" s="1" t="s">
        <v>33</v>
      </c>
      <c r="I822" s="1" t="s">
        <v>563</v>
      </c>
    </row>
    <row r="823">
      <c r="A823" s="1">
        <v>3172137.0</v>
      </c>
      <c r="B823" s="1" t="s">
        <v>1852</v>
      </c>
      <c r="C823" s="1" t="s">
        <v>1679</v>
      </c>
      <c r="D823" s="1" t="s">
        <v>1680</v>
      </c>
      <c r="E823" s="1" t="s">
        <v>1853</v>
      </c>
      <c r="F823" s="1" t="s">
        <v>55</v>
      </c>
      <c r="G823" s="1" t="s">
        <v>17</v>
      </c>
      <c r="H823" s="1" t="s">
        <v>18</v>
      </c>
      <c r="I823" s="1" t="s">
        <v>19</v>
      </c>
    </row>
    <row r="824">
      <c r="A824" s="1">
        <v>3174522.0</v>
      </c>
      <c r="B824" s="1" t="s">
        <v>1854</v>
      </c>
      <c r="C824" s="1" t="s">
        <v>1679</v>
      </c>
      <c r="D824" s="1" t="s">
        <v>1693</v>
      </c>
      <c r="E824" s="1" t="s">
        <v>1855</v>
      </c>
      <c r="F824" s="1" t="s">
        <v>16</v>
      </c>
      <c r="G824" s="1" t="s">
        <v>27</v>
      </c>
      <c r="H824" s="1" t="s">
        <v>18</v>
      </c>
      <c r="I824" s="1" t="s">
        <v>19</v>
      </c>
    </row>
    <row r="825">
      <c r="A825" s="1">
        <v>3172769.0</v>
      </c>
      <c r="B825" s="1" t="s">
        <v>1856</v>
      </c>
      <c r="C825" s="1" t="s">
        <v>1679</v>
      </c>
      <c r="D825" s="1" t="s">
        <v>1680</v>
      </c>
      <c r="E825" s="1" t="s">
        <v>1857</v>
      </c>
      <c r="F825" s="1" t="s">
        <v>16</v>
      </c>
      <c r="G825" s="1" t="s">
        <v>17</v>
      </c>
      <c r="H825" s="1" t="s">
        <v>18</v>
      </c>
      <c r="I825" s="1" t="s">
        <v>44</v>
      </c>
    </row>
    <row r="826">
      <c r="A826" s="1">
        <v>3175304.0</v>
      </c>
      <c r="B826" s="1" t="s">
        <v>1858</v>
      </c>
      <c r="C826" s="1" t="s">
        <v>1679</v>
      </c>
      <c r="D826" s="1" t="s">
        <v>1700</v>
      </c>
      <c r="E826" s="1" t="s">
        <v>1859</v>
      </c>
      <c r="F826" s="1" t="s">
        <v>16</v>
      </c>
      <c r="G826" s="1" t="s">
        <v>17</v>
      </c>
      <c r="H826" s="1" t="s">
        <v>18</v>
      </c>
      <c r="I826" s="1" t="s">
        <v>19</v>
      </c>
    </row>
    <row r="827">
      <c r="A827" s="1">
        <v>3172724.0</v>
      </c>
      <c r="B827" s="1" t="s">
        <v>1860</v>
      </c>
      <c r="C827" s="1" t="s">
        <v>1679</v>
      </c>
      <c r="D827" s="1" t="s">
        <v>1680</v>
      </c>
      <c r="E827" s="1" t="s">
        <v>1861</v>
      </c>
      <c r="F827" s="1" t="s">
        <v>16</v>
      </c>
      <c r="G827" s="1" t="s">
        <v>27</v>
      </c>
      <c r="H827" s="1" t="s">
        <v>33</v>
      </c>
      <c r="I827" s="1" t="s">
        <v>44</v>
      </c>
    </row>
    <row r="828">
      <c r="A828" s="1">
        <v>3171045.0</v>
      </c>
      <c r="B828" s="1" t="s">
        <v>1862</v>
      </c>
      <c r="C828" s="1" t="s">
        <v>1679</v>
      </c>
      <c r="D828" s="1" t="s">
        <v>1685</v>
      </c>
      <c r="E828" s="1" t="s">
        <v>1863</v>
      </c>
      <c r="F828" s="1" t="s">
        <v>16</v>
      </c>
      <c r="G828" s="1" t="s">
        <v>17</v>
      </c>
      <c r="H828" s="1" t="s">
        <v>18</v>
      </c>
      <c r="I828" s="1" t="s">
        <v>59</v>
      </c>
    </row>
    <row r="829">
      <c r="A829" s="1">
        <v>3171783.0</v>
      </c>
      <c r="B829" s="1" t="s">
        <v>1864</v>
      </c>
      <c r="C829" s="1" t="s">
        <v>1679</v>
      </c>
      <c r="D829" s="1" t="s">
        <v>1685</v>
      </c>
      <c r="E829" s="1" t="s">
        <v>1865</v>
      </c>
      <c r="F829" s="1" t="s">
        <v>55</v>
      </c>
      <c r="G829" s="1" t="s">
        <v>27</v>
      </c>
      <c r="H829" s="1" t="s">
        <v>18</v>
      </c>
      <c r="I829" s="1" t="s">
        <v>44</v>
      </c>
    </row>
    <row r="830">
      <c r="A830" s="1">
        <v>3174519.0</v>
      </c>
      <c r="B830" s="1" t="s">
        <v>1866</v>
      </c>
      <c r="C830" s="1" t="s">
        <v>1679</v>
      </c>
      <c r="D830" s="1" t="s">
        <v>1693</v>
      </c>
      <c r="E830" s="1" t="s">
        <v>1867</v>
      </c>
      <c r="F830" s="1" t="s">
        <v>16</v>
      </c>
      <c r="G830" s="1" t="s">
        <v>17</v>
      </c>
      <c r="H830" s="1" t="s">
        <v>18</v>
      </c>
      <c r="I830" s="1" t="s">
        <v>44</v>
      </c>
    </row>
    <row r="831">
      <c r="A831" s="1">
        <v>3173699.0</v>
      </c>
      <c r="B831" s="1" t="s">
        <v>1868</v>
      </c>
      <c r="C831" s="1" t="s">
        <v>1679</v>
      </c>
      <c r="D831" s="1" t="s">
        <v>1688</v>
      </c>
      <c r="E831" s="1" t="s">
        <v>1869</v>
      </c>
      <c r="F831" s="1" t="s">
        <v>16</v>
      </c>
      <c r="G831" s="1" t="s">
        <v>23</v>
      </c>
      <c r="H831" s="1" t="s">
        <v>28</v>
      </c>
      <c r="I831" s="1" t="s">
        <v>139</v>
      </c>
    </row>
    <row r="832">
      <c r="A832" s="1">
        <v>3173656.0</v>
      </c>
      <c r="B832" s="1" t="s">
        <v>1870</v>
      </c>
      <c r="C832" s="1" t="s">
        <v>1679</v>
      </c>
      <c r="D832" s="1" t="s">
        <v>1688</v>
      </c>
      <c r="E832" s="1" t="s">
        <v>1871</v>
      </c>
      <c r="F832" s="1" t="s">
        <v>16</v>
      </c>
      <c r="G832" s="1" t="s">
        <v>27</v>
      </c>
      <c r="H832" s="1" t="s">
        <v>18</v>
      </c>
      <c r="I832" s="1" t="s">
        <v>19</v>
      </c>
    </row>
    <row r="833">
      <c r="A833" s="1">
        <v>3174509.0</v>
      </c>
      <c r="B833" s="1" t="s">
        <v>1872</v>
      </c>
      <c r="C833" s="1" t="s">
        <v>1679</v>
      </c>
      <c r="D833" s="1" t="s">
        <v>1700</v>
      </c>
      <c r="E833" s="1" t="s">
        <v>1873</v>
      </c>
      <c r="F833" s="1" t="s">
        <v>55</v>
      </c>
      <c r="G833" s="1" t="s">
        <v>17</v>
      </c>
      <c r="H833" s="1" t="s">
        <v>18</v>
      </c>
      <c r="I833" s="1" t="s">
        <v>249</v>
      </c>
    </row>
    <row r="834">
      <c r="A834" s="1">
        <v>3174497.0</v>
      </c>
      <c r="B834" s="1" t="s">
        <v>1874</v>
      </c>
      <c r="C834" s="1" t="s">
        <v>1679</v>
      </c>
      <c r="D834" s="1" t="s">
        <v>1693</v>
      </c>
      <c r="E834" s="1" t="s">
        <v>1875</v>
      </c>
      <c r="F834" s="1" t="s">
        <v>55</v>
      </c>
      <c r="G834" s="1" t="s">
        <v>17</v>
      </c>
      <c r="H834" s="1" t="s">
        <v>18</v>
      </c>
      <c r="I834" s="1" t="s">
        <v>19</v>
      </c>
    </row>
    <row r="835">
      <c r="A835" s="1">
        <v>3174531.0</v>
      </c>
      <c r="B835" s="1" t="s">
        <v>1876</v>
      </c>
      <c r="C835" s="1" t="s">
        <v>1679</v>
      </c>
      <c r="D835" s="1" t="s">
        <v>1693</v>
      </c>
      <c r="E835" s="1" t="s">
        <v>1877</v>
      </c>
      <c r="F835" s="1" t="s">
        <v>16</v>
      </c>
      <c r="G835" s="1" t="s">
        <v>17</v>
      </c>
      <c r="H835" s="1" t="s">
        <v>18</v>
      </c>
      <c r="I835" s="1" t="s">
        <v>44</v>
      </c>
    </row>
    <row r="836">
      <c r="A836" s="1">
        <v>3172505.0</v>
      </c>
      <c r="B836" s="1" t="s">
        <v>1878</v>
      </c>
      <c r="C836" s="1" t="s">
        <v>1679</v>
      </c>
      <c r="D836" s="1" t="s">
        <v>1680</v>
      </c>
      <c r="E836" s="1" t="s">
        <v>1879</v>
      </c>
      <c r="F836" s="1" t="s">
        <v>16</v>
      </c>
      <c r="G836" s="1" t="s">
        <v>27</v>
      </c>
      <c r="H836" s="1" t="s">
        <v>18</v>
      </c>
      <c r="I836" s="1" t="s">
        <v>684</v>
      </c>
    </row>
    <row r="837">
      <c r="A837" s="1">
        <v>3171806.0</v>
      </c>
      <c r="B837" s="1" t="s">
        <v>1880</v>
      </c>
      <c r="C837" s="1" t="s">
        <v>1679</v>
      </c>
      <c r="D837" s="1" t="s">
        <v>1685</v>
      </c>
      <c r="E837" s="1" t="s">
        <v>1881</v>
      </c>
      <c r="F837" s="1" t="s">
        <v>16</v>
      </c>
      <c r="G837" s="1" t="s">
        <v>23</v>
      </c>
      <c r="H837" s="1" t="s">
        <v>18</v>
      </c>
      <c r="I837" s="1" t="s">
        <v>19</v>
      </c>
    </row>
    <row r="838">
      <c r="A838" s="1">
        <v>3171912.0</v>
      </c>
      <c r="B838" s="1" t="s">
        <v>1882</v>
      </c>
      <c r="C838" s="1" t="s">
        <v>1679</v>
      </c>
      <c r="D838" s="1" t="s">
        <v>1685</v>
      </c>
      <c r="E838" s="1" t="s">
        <v>1883</v>
      </c>
      <c r="F838" s="1" t="s">
        <v>1884</v>
      </c>
      <c r="G838" s="1" t="s">
        <v>17</v>
      </c>
      <c r="H838" s="1" t="s">
        <v>18</v>
      </c>
      <c r="I838" s="1" t="s">
        <v>19</v>
      </c>
    </row>
    <row r="839">
      <c r="A839" s="1">
        <v>3175396.0</v>
      </c>
      <c r="B839" s="1" t="s">
        <v>1885</v>
      </c>
      <c r="C839" s="1" t="s">
        <v>1679</v>
      </c>
      <c r="D839" s="1" t="s">
        <v>1700</v>
      </c>
      <c r="E839" s="1" t="s">
        <v>1886</v>
      </c>
      <c r="F839" s="1" t="s">
        <v>16</v>
      </c>
      <c r="G839" s="1" t="s">
        <v>23</v>
      </c>
      <c r="H839" s="1" t="s">
        <v>18</v>
      </c>
      <c r="I839" s="1" t="s">
        <v>19</v>
      </c>
    </row>
    <row r="840">
      <c r="A840" s="1">
        <v>3173073.0</v>
      </c>
      <c r="B840" s="1" t="s">
        <v>1887</v>
      </c>
      <c r="C840" s="1" t="s">
        <v>1679</v>
      </c>
      <c r="D840" s="1" t="s">
        <v>1688</v>
      </c>
      <c r="E840" s="1" t="s">
        <v>1888</v>
      </c>
      <c r="F840" s="1" t="s">
        <v>16</v>
      </c>
      <c r="G840" s="1" t="s">
        <v>27</v>
      </c>
      <c r="H840" s="1" t="s">
        <v>18</v>
      </c>
      <c r="I840" s="1" t="s">
        <v>684</v>
      </c>
    </row>
    <row r="841">
      <c r="A841" s="1">
        <v>3171413.0</v>
      </c>
      <c r="B841" s="1" t="s">
        <v>1889</v>
      </c>
      <c r="C841" s="1" t="s">
        <v>1679</v>
      </c>
      <c r="D841" s="1" t="s">
        <v>1685</v>
      </c>
      <c r="E841" s="1" t="s">
        <v>1890</v>
      </c>
      <c r="F841" s="1" t="s">
        <v>55</v>
      </c>
      <c r="G841" s="1" t="s">
        <v>17</v>
      </c>
      <c r="H841" s="1" t="s">
        <v>18</v>
      </c>
      <c r="I841" s="1" t="s">
        <v>44</v>
      </c>
    </row>
    <row r="842">
      <c r="A842" s="1">
        <v>3172756.0</v>
      </c>
      <c r="B842" s="1" t="s">
        <v>1891</v>
      </c>
      <c r="C842" s="1" t="s">
        <v>1679</v>
      </c>
      <c r="D842" s="1" t="s">
        <v>1680</v>
      </c>
      <c r="E842" s="1" t="s">
        <v>1892</v>
      </c>
      <c r="F842" s="1" t="s">
        <v>55</v>
      </c>
      <c r="G842" s="1" t="s">
        <v>17</v>
      </c>
      <c r="H842" s="1" t="s">
        <v>18</v>
      </c>
      <c r="I842" s="1" t="s">
        <v>44</v>
      </c>
    </row>
    <row r="843">
      <c r="A843" s="1">
        <v>3173532.0</v>
      </c>
      <c r="B843" s="1" t="s">
        <v>1893</v>
      </c>
      <c r="C843" s="1" t="s">
        <v>1679</v>
      </c>
      <c r="D843" s="1" t="s">
        <v>1688</v>
      </c>
      <c r="E843" s="1" t="s">
        <v>1894</v>
      </c>
      <c r="F843" s="1" t="s">
        <v>1752</v>
      </c>
      <c r="G843" s="1" t="s">
        <v>27</v>
      </c>
      <c r="H843" s="1" t="s">
        <v>18</v>
      </c>
      <c r="I843" s="1" t="s">
        <v>19</v>
      </c>
    </row>
    <row r="844">
      <c r="A844" s="1">
        <v>3175075.0</v>
      </c>
      <c r="B844" s="1" t="s">
        <v>1895</v>
      </c>
      <c r="C844" s="1" t="s">
        <v>1679</v>
      </c>
      <c r="D844" s="1" t="s">
        <v>1700</v>
      </c>
      <c r="E844" s="1" t="s">
        <v>1896</v>
      </c>
      <c r="F844" s="1" t="s">
        <v>16</v>
      </c>
      <c r="G844" s="1" t="s">
        <v>17</v>
      </c>
      <c r="H844" s="1" t="s">
        <v>18</v>
      </c>
      <c r="I844" s="1" t="s">
        <v>19</v>
      </c>
    </row>
    <row r="845">
      <c r="A845" s="1">
        <v>3172766.0</v>
      </c>
      <c r="B845" s="1" t="s">
        <v>1897</v>
      </c>
      <c r="C845" s="1" t="s">
        <v>1679</v>
      </c>
      <c r="D845" s="1" t="s">
        <v>1680</v>
      </c>
      <c r="E845" s="1" t="s">
        <v>1898</v>
      </c>
      <c r="F845" s="1" t="s">
        <v>16</v>
      </c>
      <c r="G845" s="1" t="s">
        <v>23</v>
      </c>
      <c r="H845" s="1" t="s">
        <v>18</v>
      </c>
      <c r="I845" s="1" t="s">
        <v>34</v>
      </c>
    </row>
    <row r="846">
      <c r="A846" s="1">
        <v>3171713.0</v>
      </c>
      <c r="B846" s="1" t="s">
        <v>1381</v>
      </c>
      <c r="C846" s="1" t="s">
        <v>1679</v>
      </c>
      <c r="D846" s="1" t="s">
        <v>1685</v>
      </c>
      <c r="E846" s="1" t="s">
        <v>1899</v>
      </c>
      <c r="F846" s="1" t="s">
        <v>16</v>
      </c>
      <c r="G846" s="1" t="s">
        <v>17</v>
      </c>
      <c r="H846" s="1" t="s">
        <v>18</v>
      </c>
      <c r="I846" s="1" t="s">
        <v>19</v>
      </c>
    </row>
    <row r="847">
      <c r="A847" s="1">
        <v>3175409.0</v>
      </c>
      <c r="B847" s="1" t="s">
        <v>1900</v>
      </c>
      <c r="C847" s="1" t="s">
        <v>1679</v>
      </c>
      <c r="D847" s="1" t="s">
        <v>1700</v>
      </c>
      <c r="E847" s="1" t="s">
        <v>1901</v>
      </c>
      <c r="F847" s="1" t="s">
        <v>55</v>
      </c>
      <c r="G847" s="1" t="s">
        <v>17</v>
      </c>
      <c r="H847" s="1" t="s">
        <v>18</v>
      </c>
      <c r="I847" s="1" t="s">
        <v>44</v>
      </c>
    </row>
    <row r="848">
      <c r="A848" s="1">
        <v>3174282.0</v>
      </c>
      <c r="B848" s="1" t="s">
        <v>1902</v>
      </c>
      <c r="C848" s="1" t="s">
        <v>1679</v>
      </c>
      <c r="D848" s="1" t="s">
        <v>1693</v>
      </c>
      <c r="E848" s="1" t="s">
        <v>1903</v>
      </c>
      <c r="F848" s="1" t="s">
        <v>1884</v>
      </c>
      <c r="G848" s="1" t="s">
        <v>150</v>
      </c>
      <c r="H848" s="1" t="s">
        <v>33</v>
      </c>
      <c r="I848" s="1" t="s">
        <v>411</v>
      </c>
    </row>
    <row r="849">
      <c r="A849" s="1">
        <v>3172083.0</v>
      </c>
      <c r="B849" s="1" t="s">
        <v>1904</v>
      </c>
      <c r="C849" s="1" t="s">
        <v>1679</v>
      </c>
      <c r="D849" s="1" t="s">
        <v>1680</v>
      </c>
      <c r="E849" s="1" t="s">
        <v>1905</v>
      </c>
      <c r="F849" s="1" t="s">
        <v>16</v>
      </c>
      <c r="G849" s="1" t="s">
        <v>17</v>
      </c>
      <c r="H849" s="1" t="s">
        <v>18</v>
      </c>
      <c r="I849" s="1" t="s">
        <v>74</v>
      </c>
    </row>
    <row r="850">
      <c r="A850" s="1">
        <v>3172749.0</v>
      </c>
      <c r="B850" s="1" t="s">
        <v>1906</v>
      </c>
      <c r="C850" s="1" t="s">
        <v>1679</v>
      </c>
      <c r="D850" s="1" t="s">
        <v>1680</v>
      </c>
      <c r="E850" s="1" t="s">
        <v>1907</v>
      </c>
      <c r="F850" s="1" t="s">
        <v>1908</v>
      </c>
      <c r="G850" s="1" t="s">
        <v>150</v>
      </c>
      <c r="H850" s="1" t="s">
        <v>33</v>
      </c>
      <c r="I850" s="1" t="s">
        <v>411</v>
      </c>
    </row>
    <row r="851">
      <c r="A851" s="1">
        <v>3175326.0</v>
      </c>
      <c r="B851" s="1" t="s">
        <v>1909</v>
      </c>
      <c r="C851" s="1" t="s">
        <v>1679</v>
      </c>
      <c r="D851" s="1" t="s">
        <v>1700</v>
      </c>
      <c r="E851" s="1" t="s">
        <v>1910</v>
      </c>
      <c r="F851" s="1" t="s">
        <v>16</v>
      </c>
      <c r="G851" s="1" t="s">
        <v>17</v>
      </c>
      <c r="H851" s="1" t="s">
        <v>18</v>
      </c>
      <c r="I851" s="1" t="s">
        <v>59</v>
      </c>
    </row>
    <row r="852">
      <c r="A852" s="1">
        <v>3171791.0</v>
      </c>
      <c r="B852" s="1" t="s">
        <v>1911</v>
      </c>
      <c r="C852" s="1" t="s">
        <v>1679</v>
      </c>
      <c r="D852" s="1" t="s">
        <v>1685</v>
      </c>
      <c r="E852" s="1" t="s">
        <v>1912</v>
      </c>
      <c r="F852" s="1" t="s">
        <v>16</v>
      </c>
      <c r="G852" s="1" t="s">
        <v>17</v>
      </c>
      <c r="H852" s="1" t="s">
        <v>28</v>
      </c>
      <c r="I852" s="1" t="s">
        <v>139</v>
      </c>
    </row>
    <row r="853">
      <c r="A853" s="1">
        <v>3172746.0</v>
      </c>
      <c r="B853" s="1" t="s">
        <v>1913</v>
      </c>
      <c r="C853" s="1" t="s">
        <v>1679</v>
      </c>
      <c r="D853" s="1" t="s">
        <v>1680</v>
      </c>
      <c r="E853" s="1" t="s">
        <v>1914</v>
      </c>
      <c r="F853" s="1" t="s">
        <v>174</v>
      </c>
      <c r="G853" s="1" t="s">
        <v>150</v>
      </c>
      <c r="H853" s="1" t="s">
        <v>28</v>
      </c>
      <c r="I853" s="1" t="s">
        <v>139</v>
      </c>
    </row>
    <row r="854">
      <c r="A854" s="1">
        <v>3173105.0</v>
      </c>
      <c r="B854" s="1" t="s">
        <v>1915</v>
      </c>
      <c r="C854" s="1" t="s">
        <v>1679</v>
      </c>
      <c r="D854" s="1" t="s">
        <v>1688</v>
      </c>
      <c r="E854" s="1" t="s">
        <v>1916</v>
      </c>
      <c r="F854" s="1" t="s">
        <v>16</v>
      </c>
      <c r="G854" s="1" t="s">
        <v>17</v>
      </c>
      <c r="H854" s="1" t="s">
        <v>18</v>
      </c>
      <c r="I854" s="1" t="s">
        <v>59</v>
      </c>
    </row>
    <row r="855">
      <c r="A855" s="1">
        <v>3171621.0</v>
      </c>
      <c r="B855" s="1" t="s">
        <v>1917</v>
      </c>
      <c r="C855" s="1" t="s">
        <v>1679</v>
      </c>
      <c r="D855" s="1" t="s">
        <v>1685</v>
      </c>
      <c r="E855" s="1" t="s">
        <v>1918</v>
      </c>
      <c r="F855" s="1" t="s">
        <v>16</v>
      </c>
      <c r="G855" s="1" t="s">
        <v>23</v>
      </c>
      <c r="H855" s="1" t="s">
        <v>18</v>
      </c>
      <c r="I855" s="1" t="s">
        <v>19</v>
      </c>
    </row>
    <row r="856">
      <c r="A856" s="1">
        <v>3172753.0</v>
      </c>
      <c r="B856" s="1" t="s">
        <v>1919</v>
      </c>
      <c r="C856" s="1" t="s">
        <v>1679</v>
      </c>
      <c r="D856" s="1" t="s">
        <v>1680</v>
      </c>
      <c r="E856" s="1" t="s">
        <v>1920</v>
      </c>
      <c r="F856" s="1" t="s">
        <v>16</v>
      </c>
      <c r="G856" s="1" t="s">
        <v>17</v>
      </c>
      <c r="H856" s="1" t="s">
        <v>18</v>
      </c>
      <c r="I856" s="1" t="s">
        <v>19</v>
      </c>
    </row>
    <row r="857">
      <c r="A857" s="1">
        <v>3173695.0</v>
      </c>
      <c r="B857" s="1" t="s">
        <v>1921</v>
      </c>
      <c r="C857" s="1" t="s">
        <v>1679</v>
      </c>
      <c r="D857" s="1" t="s">
        <v>1688</v>
      </c>
      <c r="E857" s="1" t="s">
        <v>1922</v>
      </c>
      <c r="F857" s="1" t="s">
        <v>55</v>
      </c>
      <c r="G857" s="1" t="s">
        <v>17</v>
      </c>
      <c r="H857" s="1" t="s">
        <v>18</v>
      </c>
      <c r="I857" s="1" t="s">
        <v>19</v>
      </c>
    </row>
    <row r="858">
      <c r="A858" s="1">
        <v>3171781.0</v>
      </c>
      <c r="B858" s="1" t="s">
        <v>1923</v>
      </c>
      <c r="C858" s="1" t="s">
        <v>1679</v>
      </c>
      <c r="D858" s="1" t="s">
        <v>1685</v>
      </c>
      <c r="E858" s="1" t="s">
        <v>1924</v>
      </c>
      <c r="F858" s="1" t="s">
        <v>16</v>
      </c>
      <c r="G858" s="1" t="s">
        <v>17</v>
      </c>
      <c r="H858" s="1" t="s">
        <v>18</v>
      </c>
      <c r="I858" s="1" t="s">
        <v>684</v>
      </c>
    </row>
    <row r="859">
      <c r="A859" s="1">
        <v>3175016.0</v>
      </c>
      <c r="B859" s="1" t="s">
        <v>1925</v>
      </c>
      <c r="C859" s="1" t="s">
        <v>1679</v>
      </c>
      <c r="D859" s="1" t="s">
        <v>1700</v>
      </c>
      <c r="E859" s="1" t="s">
        <v>1926</v>
      </c>
      <c r="F859" s="1" t="s">
        <v>16</v>
      </c>
      <c r="G859" s="1" t="s">
        <v>27</v>
      </c>
      <c r="H859" s="1" t="s">
        <v>18</v>
      </c>
      <c r="I859" s="1" t="s">
        <v>139</v>
      </c>
    </row>
    <row r="860">
      <c r="A860" s="1">
        <v>3172752.0</v>
      </c>
      <c r="B860" s="1" t="s">
        <v>1927</v>
      </c>
      <c r="C860" s="1" t="s">
        <v>1679</v>
      </c>
      <c r="D860" s="1" t="s">
        <v>1680</v>
      </c>
      <c r="E860" s="1" t="s">
        <v>1928</v>
      </c>
      <c r="F860" s="1" t="s">
        <v>1884</v>
      </c>
      <c r="G860" s="1" t="s">
        <v>17</v>
      </c>
      <c r="H860" s="1" t="s">
        <v>18</v>
      </c>
      <c r="I860" s="1" t="s">
        <v>44</v>
      </c>
    </row>
    <row r="861">
      <c r="A861" s="1">
        <v>3172520.0</v>
      </c>
      <c r="B861" s="1" t="s">
        <v>1929</v>
      </c>
      <c r="C861" s="1" t="s">
        <v>1679</v>
      </c>
      <c r="D861" s="1" t="s">
        <v>1680</v>
      </c>
      <c r="E861" s="1" t="s">
        <v>1930</v>
      </c>
      <c r="F861" s="1" t="s">
        <v>16</v>
      </c>
      <c r="G861" s="1" t="s">
        <v>17</v>
      </c>
      <c r="H861" s="1" t="s">
        <v>18</v>
      </c>
      <c r="I861" s="1" t="s">
        <v>59</v>
      </c>
    </row>
    <row r="862">
      <c r="A862" s="1">
        <v>3174518.0</v>
      </c>
      <c r="B862" s="1" t="s">
        <v>1931</v>
      </c>
      <c r="C862" s="1" t="s">
        <v>1679</v>
      </c>
      <c r="D862" s="1" t="s">
        <v>1693</v>
      </c>
      <c r="E862" s="1" t="s">
        <v>1932</v>
      </c>
      <c r="F862" s="1" t="s">
        <v>16</v>
      </c>
      <c r="G862" s="1" t="s">
        <v>17</v>
      </c>
      <c r="H862" s="1" t="s">
        <v>28</v>
      </c>
      <c r="I862" s="1" t="s">
        <v>139</v>
      </c>
    </row>
    <row r="863">
      <c r="A863" s="1">
        <v>3171435.0</v>
      </c>
      <c r="B863" s="1" t="s">
        <v>1933</v>
      </c>
      <c r="C863" s="1" t="s">
        <v>1679</v>
      </c>
      <c r="D863" s="1" t="s">
        <v>1680</v>
      </c>
      <c r="E863" s="1" t="s">
        <v>1934</v>
      </c>
      <c r="F863" s="1" t="s">
        <v>1935</v>
      </c>
      <c r="G863" s="1" t="s">
        <v>27</v>
      </c>
      <c r="H863" s="1" t="s">
        <v>33</v>
      </c>
      <c r="I863" s="1" t="s">
        <v>411</v>
      </c>
    </row>
    <row r="864">
      <c r="A864" s="1">
        <v>3173700.0</v>
      </c>
      <c r="B864" s="1" t="s">
        <v>1936</v>
      </c>
      <c r="C864" s="1" t="s">
        <v>1679</v>
      </c>
      <c r="D864" s="1" t="s">
        <v>1688</v>
      </c>
      <c r="E864" s="1" t="s">
        <v>1937</v>
      </c>
      <c r="F864" s="1" t="s">
        <v>16</v>
      </c>
      <c r="G864" s="1" t="s">
        <v>23</v>
      </c>
      <c r="H864" s="1" t="s">
        <v>28</v>
      </c>
      <c r="I864" s="1" t="s">
        <v>139</v>
      </c>
    </row>
    <row r="865">
      <c r="A865" s="1">
        <v>3173706.0</v>
      </c>
      <c r="B865" s="1" t="s">
        <v>1938</v>
      </c>
      <c r="C865" s="1" t="s">
        <v>1679</v>
      </c>
      <c r="D865" s="1" t="s">
        <v>1688</v>
      </c>
      <c r="E865" s="1" t="s">
        <v>1939</v>
      </c>
      <c r="F865" s="1" t="s">
        <v>16</v>
      </c>
      <c r="G865" s="1" t="s">
        <v>27</v>
      </c>
      <c r="H865" s="1" t="s">
        <v>18</v>
      </c>
      <c r="I865" s="1" t="s">
        <v>19</v>
      </c>
    </row>
    <row r="866">
      <c r="A866" s="1">
        <v>3173580.0</v>
      </c>
      <c r="B866" s="1" t="s">
        <v>1940</v>
      </c>
      <c r="C866" s="1" t="s">
        <v>1679</v>
      </c>
      <c r="D866" s="1" t="s">
        <v>1688</v>
      </c>
      <c r="E866" s="1" t="s">
        <v>1941</v>
      </c>
      <c r="F866" s="1" t="s">
        <v>16</v>
      </c>
      <c r="G866" s="1" t="s">
        <v>17</v>
      </c>
      <c r="H866" s="1" t="s">
        <v>18</v>
      </c>
      <c r="I866" s="1" t="s">
        <v>59</v>
      </c>
    </row>
    <row r="867">
      <c r="A867" s="1">
        <v>3171735.0</v>
      </c>
      <c r="B867" s="1" t="s">
        <v>1942</v>
      </c>
      <c r="C867" s="1" t="s">
        <v>1679</v>
      </c>
      <c r="D867" s="1" t="s">
        <v>1685</v>
      </c>
      <c r="E867" s="1" t="s">
        <v>1943</v>
      </c>
      <c r="F867" s="1" t="s">
        <v>16</v>
      </c>
      <c r="G867" s="1" t="s">
        <v>17</v>
      </c>
      <c r="H867" s="1" t="s">
        <v>18</v>
      </c>
      <c r="I867" s="1" t="s">
        <v>19</v>
      </c>
    </row>
    <row r="868">
      <c r="A868" s="1">
        <v>3175410.0</v>
      </c>
      <c r="B868" s="1" t="s">
        <v>1944</v>
      </c>
      <c r="C868" s="1" t="s">
        <v>1679</v>
      </c>
      <c r="D868" s="1" t="s">
        <v>1700</v>
      </c>
      <c r="E868" s="1" t="s">
        <v>1945</v>
      </c>
      <c r="F868" s="1" t="s">
        <v>16</v>
      </c>
      <c r="G868" s="1" t="s">
        <v>17</v>
      </c>
      <c r="H868" s="1" t="s">
        <v>18</v>
      </c>
      <c r="I868" s="1" t="s">
        <v>19</v>
      </c>
    </row>
    <row r="869">
      <c r="A869" s="1">
        <v>3174416.0</v>
      </c>
      <c r="B869" s="1" t="s">
        <v>1946</v>
      </c>
      <c r="C869" s="1" t="s">
        <v>1679</v>
      </c>
      <c r="D869" s="1" t="s">
        <v>1693</v>
      </c>
      <c r="E869" s="1" t="s">
        <v>1947</v>
      </c>
      <c r="F869" s="1" t="s">
        <v>16</v>
      </c>
      <c r="G869" s="1" t="s">
        <v>17</v>
      </c>
      <c r="H869" s="1" t="s">
        <v>18</v>
      </c>
      <c r="I869" s="1" t="s">
        <v>59</v>
      </c>
    </row>
    <row r="870">
      <c r="A870" s="1">
        <v>3172757.0</v>
      </c>
      <c r="B870" s="1" t="s">
        <v>1948</v>
      </c>
      <c r="C870" s="1" t="s">
        <v>1679</v>
      </c>
      <c r="D870" s="1" t="s">
        <v>1680</v>
      </c>
      <c r="E870" s="1" t="s">
        <v>1949</v>
      </c>
      <c r="F870" s="1" t="s">
        <v>16</v>
      </c>
      <c r="G870" s="1" t="s">
        <v>27</v>
      </c>
      <c r="H870" s="1" t="s">
        <v>33</v>
      </c>
      <c r="I870" s="1" t="s">
        <v>34</v>
      </c>
    </row>
    <row r="871">
      <c r="A871" s="1">
        <v>3173705.0</v>
      </c>
      <c r="B871" s="1" t="s">
        <v>1950</v>
      </c>
      <c r="C871" s="1" t="s">
        <v>1679</v>
      </c>
      <c r="D871" s="1" t="s">
        <v>1688</v>
      </c>
      <c r="E871" s="1" t="s">
        <v>1951</v>
      </c>
      <c r="F871" s="1" t="s">
        <v>16</v>
      </c>
      <c r="G871" s="1" t="s">
        <v>23</v>
      </c>
      <c r="H871" s="1" t="s">
        <v>18</v>
      </c>
      <c r="I871" s="1" t="s">
        <v>139</v>
      </c>
    </row>
    <row r="872">
      <c r="A872" s="1">
        <v>3172771.0</v>
      </c>
      <c r="B872" s="1" t="s">
        <v>1952</v>
      </c>
      <c r="C872" s="1" t="s">
        <v>1679</v>
      </c>
      <c r="D872" s="1" t="s">
        <v>1680</v>
      </c>
      <c r="E872" s="1" t="s">
        <v>1953</v>
      </c>
      <c r="F872" s="1" t="s">
        <v>16</v>
      </c>
      <c r="G872" s="1" t="s">
        <v>23</v>
      </c>
      <c r="H872" s="1" t="s">
        <v>28</v>
      </c>
      <c r="I872" s="1" t="s">
        <v>139</v>
      </c>
    </row>
    <row r="873">
      <c r="A873" s="1">
        <v>3172126.0</v>
      </c>
      <c r="B873" s="1" t="s">
        <v>1954</v>
      </c>
      <c r="C873" s="1" t="s">
        <v>1679</v>
      </c>
      <c r="D873" s="1" t="s">
        <v>1680</v>
      </c>
      <c r="E873" s="1" t="s">
        <v>1955</v>
      </c>
      <c r="F873" s="1" t="s">
        <v>16</v>
      </c>
      <c r="G873" s="1" t="s">
        <v>27</v>
      </c>
      <c r="H873" s="1" t="s">
        <v>28</v>
      </c>
      <c r="I873" s="1" t="s">
        <v>139</v>
      </c>
    </row>
    <row r="874">
      <c r="A874" s="1">
        <v>3175417.0</v>
      </c>
      <c r="B874" s="1" t="s">
        <v>1956</v>
      </c>
      <c r="C874" s="1" t="s">
        <v>1679</v>
      </c>
      <c r="D874" s="1" t="s">
        <v>1700</v>
      </c>
      <c r="E874" s="1" t="s">
        <v>1957</v>
      </c>
      <c r="F874" s="1" t="s">
        <v>272</v>
      </c>
      <c r="G874" s="1" t="s">
        <v>17</v>
      </c>
      <c r="H874" s="1" t="s">
        <v>18</v>
      </c>
      <c r="I874" s="1" t="s">
        <v>163</v>
      </c>
    </row>
    <row r="875">
      <c r="A875" s="1">
        <v>3175341.0</v>
      </c>
      <c r="B875" s="1" t="s">
        <v>1958</v>
      </c>
      <c r="C875" s="1" t="s">
        <v>1679</v>
      </c>
      <c r="D875" s="1" t="s">
        <v>1700</v>
      </c>
      <c r="E875" s="1" t="s">
        <v>1959</v>
      </c>
      <c r="F875" s="1" t="s">
        <v>16</v>
      </c>
      <c r="G875" s="1" t="s">
        <v>27</v>
      </c>
      <c r="H875" s="1" t="s">
        <v>18</v>
      </c>
      <c r="I875" s="1" t="s">
        <v>19</v>
      </c>
    </row>
    <row r="876">
      <c r="A876" s="1">
        <v>3173701.0</v>
      </c>
      <c r="B876" s="1" t="s">
        <v>1960</v>
      </c>
      <c r="C876" s="1" t="s">
        <v>1679</v>
      </c>
      <c r="D876" s="1" t="s">
        <v>1688</v>
      </c>
      <c r="E876" s="1" t="s">
        <v>1961</v>
      </c>
      <c r="F876" s="1" t="s">
        <v>16</v>
      </c>
      <c r="G876" s="1" t="s">
        <v>23</v>
      </c>
      <c r="H876" s="1" t="s">
        <v>28</v>
      </c>
      <c r="I876" s="1" t="s">
        <v>139</v>
      </c>
    </row>
    <row r="877">
      <c r="A877" s="1">
        <v>3173025.0</v>
      </c>
      <c r="B877" s="1" t="s">
        <v>1962</v>
      </c>
      <c r="C877" s="1" t="s">
        <v>1679</v>
      </c>
      <c r="D877" s="1" t="s">
        <v>1688</v>
      </c>
      <c r="E877" s="1" t="s">
        <v>1963</v>
      </c>
      <c r="F877" s="1" t="s">
        <v>16</v>
      </c>
      <c r="G877" s="1" t="s">
        <v>150</v>
      </c>
      <c r="H877" s="1" t="s">
        <v>33</v>
      </c>
      <c r="I877" s="1" t="s">
        <v>74</v>
      </c>
    </row>
    <row r="878">
      <c r="A878" s="1">
        <v>3173120.0</v>
      </c>
      <c r="B878" s="1" t="s">
        <v>1964</v>
      </c>
      <c r="C878" s="1" t="s">
        <v>1679</v>
      </c>
      <c r="D878" s="1" t="s">
        <v>1688</v>
      </c>
      <c r="E878" s="1" t="s">
        <v>1965</v>
      </c>
      <c r="F878" s="1" t="s">
        <v>55</v>
      </c>
      <c r="G878" s="1" t="s">
        <v>27</v>
      </c>
      <c r="H878" s="1" t="s">
        <v>18</v>
      </c>
      <c r="I878" s="1" t="s">
        <v>44</v>
      </c>
    </row>
    <row r="879">
      <c r="A879" s="1">
        <v>3171911.0</v>
      </c>
      <c r="B879" s="1" t="s">
        <v>1966</v>
      </c>
      <c r="C879" s="1" t="s">
        <v>1679</v>
      </c>
      <c r="D879" s="1" t="s">
        <v>1685</v>
      </c>
      <c r="E879" s="1" t="s">
        <v>1967</v>
      </c>
      <c r="F879" s="1" t="s">
        <v>55</v>
      </c>
      <c r="G879" s="1" t="s">
        <v>17</v>
      </c>
      <c r="H879" s="1" t="s">
        <v>18</v>
      </c>
      <c r="I879" s="1" t="s">
        <v>19</v>
      </c>
    </row>
    <row r="880">
      <c r="A880" s="1">
        <v>3171643.0</v>
      </c>
      <c r="B880" s="1" t="s">
        <v>1968</v>
      </c>
      <c r="C880" s="1" t="s">
        <v>1679</v>
      </c>
      <c r="D880" s="1" t="s">
        <v>1685</v>
      </c>
      <c r="E880" s="1" t="s">
        <v>1969</v>
      </c>
      <c r="F880" s="1" t="s">
        <v>1970</v>
      </c>
      <c r="G880" s="1" t="s">
        <v>17</v>
      </c>
      <c r="H880" s="1" t="s">
        <v>18</v>
      </c>
      <c r="I880" s="1" t="s">
        <v>59</v>
      </c>
    </row>
    <row r="881">
      <c r="A881" s="1">
        <v>3174026.0</v>
      </c>
      <c r="B881" s="1" t="s">
        <v>1971</v>
      </c>
      <c r="C881" s="1" t="s">
        <v>1679</v>
      </c>
      <c r="D881" s="1" t="s">
        <v>1693</v>
      </c>
      <c r="E881" s="1" t="s">
        <v>1972</v>
      </c>
      <c r="F881" s="1" t="s">
        <v>16</v>
      </c>
      <c r="G881" s="1" t="s">
        <v>27</v>
      </c>
      <c r="H881" s="1" t="s">
        <v>18</v>
      </c>
      <c r="I881" s="1" t="s">
        <v>113</v>
      </c>
    </row>
    <row r="882">
      <c r="A882" s="1">
        <v>3172024.0</v>
      </c>
      <c r="B882" s="1" t="s">
        <v>1973</v>
      </c>
      <c r="C882" s="1" t="s">
        <v>1679</v>
      </c>
      <c r="D882" s="1" t="s">
        <v>1680</v>
      </c>
      <c r="E882" s="1" t="s">
        <v>1974</v>
      </c>
      <c r="F882" s="1" t="s">
        <v>16</v>
      </c>
      <c r="G882" s="1" t="s">
        <v>27</v>
      </c>
      <c r="H882" s="1" t="s">
        <v>28</v>
      </c>
      <c r="I882" s="1" t="s">
        <v>139</v>
      </c>
    </row>
    <row r="883">
      <c r="A883" s="1">
        <v>3175042.0</v>
      </c>
      <c r="B883" s="1" t="s">
        <v>1975</v>
      </c>
      <c r="C883" s="1" t="s">
        <v>1679</v>
      </c>
      <c r="D883" s="1" t="s">
        <v>1700</v>
      </c>
      <c r="E883" s="1" t="s">
        <v>1976</v>
      </c>
      <c r="F883" s="1" t="s">
        <v>16</v>
      </c>
      <c r="G883" s="1" t="s">
        <v>17</v>
      </c>
      <c r="H883" s="1" t="s">
        <v>18</v>
      </c>
      <c r="I883" s="1" t="s">
        <v>113</v>
      </c>
    </row>
    <row r="884">
      <c r="A884" s="1">
        <v>3175412.0</v>
      </c>
      <c r="B884" s="1" t="s">
        <v>1977</v>
      </c>
      <c r="C884" s="1" t="s">
        <v>1679</v>
      </c>
      <c r="D884" s="1" t="s">
        <v>1700</v>
      </c>
      <c r="E884" s="1" t="s">
        <v>1978</v>
      </c>
      <c r="F884" s="1" t="s">
        <v>16</v>
      </c>
      <c r="G884" s="1" t="s">
        <v>17</v>
      </c>
      <c r="H884" s="1" t="s">
        <v>28</v>
      </c>
      <c r="I884" s="1" t="s">
        <v>139</v>
      </c>
    </row>
    <row r="885">
      <c r="A885" s="1">
        <v>3172553.0</v>
      </c>
      <c r="B885" s="1" t="s">
        <v>1410</v>
      </c>
      <c r="C885" s="1" t="s">
        <v>1679</v>
      </c>
      <c r="D885" s="1" t="s">
        <v>1680</v>
      </c>
      <c r="E885" s="1" t="s">
        <v>1979</v>
      </c>
      <c r="F885" s="1" t="s">
        <v>16</v>
      </c>
      <c r="G885" s="1" t="s">
        <v>27</v>
      </c>
      <c r="H885" s="1" t="s">
        <v>18</v>
      </c>
      <c r="I885" s="1" t="s">
        <v>19</v>
      </c>
    </row>
    <row r="886">
      <c r="A886" s="1">
        <v>3171800.0</v>
      </c>
      <c r="B886" s="1" t="s">
        <v>1980</v>
      </c>
      <c r="C886" s="1" t="s">
        <v>1679</v>
      </c>
      <c r="D886" s="1" t="s">
        <v>1685</v>
      </c>
      <c r="E886" s="1" t="s">
        <v>1981</v>
      </c>
      <c r="F886" s="1" t="s">
        <v>16</v>
      </c>
      <c r="G886" s="1" t="s">
        <v>23</v>
      </c>
      <c r="H886" s="1" t="s">
        <v>18</v>
      </c>
      <c r="I886" s="1" t="s">
        <v>139</v>
      </c>
    </row>
    <row r="887">
      <c r="A887" s="1">
        <v>3171012.0</v>
      </c>
      <c r="B887" s="1" t="s">
        <v>1982</v>
      </c>
      <c r="C887" s="1" t="s">
        <v>1679</v>
      </c>
      <c r="D887" s="1" t="s">
        <v>1685</v>
      </c>
      <c r="E887" s="1" t="s">
        <v>1983</v>
      </c>
      <c r="F887" s="1" t="s">
        <v>16</v>
      </c>
      <c r="G887" s="1" t="s">
        <v>150</v>
      </c>
      <c r="H887" s="1" t="s">
        <v>33</v>
      </c>
      <c r="I887" s="1" t="s">
        <v>411</v>
      </c>
    </row>
    <row r="888">
      <c r="A888" s="1">
        <v>3174527.0</v>
      </c>
      <c r="B888" s="1" t="s">
        <v>1984</v>
      </c>
      <c r="C888" s="1" t="s">
        <v>1679</v>
      </c>
      <c r="D888" s="1" t="s">
        <v>1693</v>
      </c>
      <c r="E888" s="1" t="s">
        <v>1985</v>
      </c>
      <c r="F888" s="1" t="s">
        <v>32</v>
      </c>
      <c r="G888" s="1" t="s">
        <v>150</v>
      </c>
      <c r="H888" s="1" t="s">
        <v>18</v>
      </c>
      <c r="I888" s="1" t="s">
        <v>44</v>
      </c>
    </row>
    <row r="889">
      <c r="A889" s="1">
        <v>3171461.0</v>
      </c>
      <c r="B889" s="1" t="s">
        <v>1986</v>
      </c>
      <c r="C889" s="1" t="s">
        <v>1679</v>
      </c>
      <c r="D889" s="1" t="s">
        <v>1685</v>
      </c>
      <c r="E889" s="1" t="s">
        <v>1987</v>
      </c>
      <c r="F889" s="1" t="s">
        <v>16</v>
      </c>
      <c r="G889" s="1" t="s">
        <v>27</v>
      </c>
      <c r="H889" s="1" t="s">
        <v>18</v>
      </c>
      <c r="I889" s="1" t="s">
        <v>59</v>
      </c>
    </row>
    <row r="890">
      <c r="A890" s="1">
        <v>3174517.0</v>
      </c>
      <c r="B890" s="1" t="s">
        <v>1988</v>
      </c>
      <c r="C890" s="1" t="s">
        <v>1679</v>
      </c>
      <c r="D890" s="1" t="s">
        <v>1693</v>
      </c>
      <c r="E890" s="1" t="s">
        <v>1989</v>
      </c>
      <c r="F890" s="1" t="s">
        <v>16</v>
      </c>
      <c r="G890" s="1" t="s">
        <v>17</v>
      </c>
      <c r="H890" s="1" t="s">
        <v>18</v>
      </c>
      <c r="I890" s="1" t="s">
        <v>139</v>
      </c>
    </row>
    <row r="891">
      <c r="A891" s="1">
        <v>3173712.0</v>
      </c>
      <c r="B891" s="1" t="s">
        <v>1990</v>
      </c>
      <c r="C891" s="1" t="s">
        <v>1679</v>
      </c>
      <c r="D891" s="1" t="s">
        <v>1688</v>
      </c>
      <c r="E891" s="1" t="s">
        <v>1991</v>
      </c>
      <c r="F891" s="1" t="s">
        <v>16</v>
      </c>
      <c r="G891" s="1" t="s">
        <v>27</v>
      </c>
      <c r="H891" s="1" t="s">
        <v>18</v>
      </c>
      <c r="I891" s="1" t="s">
        <v>44</v>
      </c>
    </row>
    <row r="892">
      <c r="A892" s="1">
        <v>3173623.0</v>
      </c>
      <c r="B892" s="1" t="s">
        <v>1992</v>
      </c>
      <c r="C892" s="1" t="s">
        <v>1679</v>
      </c>
      <c r="D892" s="1" t="s">
        <v>1688</v>
      </c>
      <c r="E892" s="1" t="s">
        <v>1993</v>
      </c>
      <c r="F892" s="1" t="s">
        <v>272</v>
      </c>
      <c r="G892" s="1" t="s">
        <v>27</v>
      </c>
      <c r="H892" s="1" t="s">
        <v>18</v>
      </c>
      <c r="I892" s="1" t="s">
        <v>19</v>
      </c>
    </row>
    <row r="893">
      <c r="A893" s="1">
        <v>3172751.0</v>
      </c>
      <c r="B893" s="1" t="s">
        <v>1994</v>
      </c>
      <c r="C893" s="1" t="s">
        <v>1679</v>
      </c>
      <c r="D893" s="1" t="s">
        <v>1680</v>
      </c>
      <c r="E893" s="1" t="s">
        <v>1995</v>
      </c>
      <c r="F893" s="1" t="s">
        <v>32</v>
      </c>
      <c r="G893" s="1" t="s">
        <v>27</v>
      </c>
      <c r="H893" s="1" t="s">
        <v>18</v>
      </c>
      <c r="I893" s="1" t="s">
        <v>563</v>
      </c>
    </row>
    <row r="894">
      <c r="A894" s="1">
        <v>3171757.0</v>
      </c>
      <c r="B894" s="1" t="s">
        <v>1996</v>
      </c>
      <c r="C894" s="1" t="s">
        <v>1679</v>
      </c>
      <c r="D894" s="1" t="s">
        <v>1685</v>
      </c>
      <c r="E894" s="1" t="s">
        <v>1997</v>
      </c>
      <c r="F894" s="1" t="s">
        <v>55</v>
      </c>
      <c r="G894" s="1" t="s">
        <v>17</v>
      </c>
      <c r="H894" s="1" t="s">
        <v>18</v>
      </c>
      <c r="I894" s="1" t="s">
        <v>19</v>
      </c>
    </row>
    <row r="895">
      <c r="A895" s="1">
        <v>3171805.0</v>
      </c>
      <c r="B895" s="1" t="s">
        <v>1998</v>
      </c>
      <c r="C895" s="1" t="s">
        <v>1679</v>
      </c>
      <c r="D895" s="1" t="s">
        <v>1685</v>
      </c>
      <c r="E895" s="1" t="s">
        <v>1999</v>
      </c>
      <c r="F895" s="1" t="s">
        <v>16</v>
      </c>
      <c r="G895" s="1" t="s">
        <v>17</v>
      </c>
      <c r="H895" s="1" t="s">
        <v>18</v>
      </c>
      <c r="I895" s="1" t="s">
        <v>44</v>
      </c>
    </row>
    <row r="896">
      <c r="A896" s="1">
        <v>3174431.0</v>
      </c>
      <c r="B896" s="1" t="s">
        <v>2000</v>
      </c>
      <c r="C896" s="1" t="s">
        <v>1679</v>
      </c>
      <c r="D896" s="1" t="s">
        <v>1693</v>
      </c>
      <c r="E896" s="1" t="s">
        <v>2001</v>
      </c>
      <c r="F896" s="1" t="s">
        <v>16</v>
      </c>
      <c r="G896" s="1" t="s">
        <v>27</v>
      </c>
      <c r="H896" s="1" t="s">
        <v>18</v>
      </c>
      <c r="I896" s="1" t="s">
        <v>19</v>
      </c>
    </row>
    <row r="897">
      <c r="A897" s="1">
        <v>3172755.0</v>
      </c>
      <c r="B897" s="1" t="s">
        <v>2002</v>
      </c>
      <c r="C897" s="1" t="s">
        <v>1679</v>
      </c>
      <c r="D897" s="1" t="s">
        <v>1680</v>
      </c>
      <c r="E897" s="1" t="s">
        <v>2003</v>
      </c>
      <c r="F897" s="1" t="s">
        <v>1884</v>
      </c>
      <c r="G897" s="1" t="s">
        <v>27</v>
      </c>
      <c r="H897" s="1" t="s">
        <v>18</v>
      </c>
      <c r="I897" s="1" t="s">
        <v>44</v>
      </c>
    </row>
    <row r="898">
      <c r="A898" s="1">
        <v>3171803.0</v>
      </c>
      <c r="B898" s="1" t="s">
        <v>2004</v>
      </c>
      <c r="C898" s="1" t="s">
        <v>1679</v>
      </c>
      <c r="D898" s="1" t="s">
        <v>1685</v>
      </c>
      <c r="E898" s="1" t="s">
        <v>2005</v>
      </c>
      <c r="F898" s="1" t="s">
        <v>16</v>
      </c>
      <c r="G898" s="1" t="s">
        <v>23</v>
      </c>
      <c r="H898" s="1" t="s">
        <v>28</v>
      </c>
      <c r="I898" s="1" t="s">
        <v>139</v>
      </c>
    </row>
    <row r="899">
      <c r="A899" s="1">
        <v>3172243.0</v>
      </c>
      <c r="B899" s="1" t="s">
        <v>2006</v>
      </c>
      <c r="C899" s="1" t="s">
        <v>1679</v>
      </c>
      <c r="D899" s="1" t="s">
        <v>1680</v>
      </c>
      <c r="E899" s="1" t="s">
        <v>2007</v>
      </c>
      <c r="F899" s="1" t="s">
        <v>16</v>
      </c>
      <c r="G899" s="1" t="s">
        <v>27</v>
      </c>
      <c r="H899" s="1" t="s">
        <v>18</v>
      </c>
      <c r="I899" s="1" t="s">
        <v>19</v>
      </c>
    </row>
    <row r="900">
      <c r="A900" s="1">
        <v>3175363.0</v>
      </c>
      <c r="B900" s="1" t="s">
        <v>2008</v>
      </c>
      <c r="C900" s="1" t="s">
        <v>1679</v>
      </c>
      <c r="D900" s="1" t="s">
        <v>1700</v>
      </c>
      <c r="E900" s="1" t="s">
        <v>2009</v>
      </c>
      <c r="F900" s="1" t="s">
        <v>55</v>
      </c>
      <c r="G900" s="1" t="s">
        <v>17</v>
      </c>
      <c r="H900" s="1" t="s">
        <v>18</v>
      </c>
      <c r="I900" s="1" t="s">
        <v>19</v>
      </c>
    </row>
    <row r="901">
      <c r="A901" s="1">
        <v>3171793.0</v>
      </c>
      <c r="B901" s="1" t="s">
        <v>2010</v>
      </c>
      <c r="C901" s="1" t="s">
        <v>1679</v>
      </c>
      <c r="D901" s="1" t="s">
        <v>1685</v>
      </c>
      <c r="E901" s="1" t="s">
        <v>2011</v>
      </c>
      <c r="F901" s="1" t="s">
        <v>16</v>
      </c>
      <c r="G901" s="1" t="s">
        <v>23</v>
      </c>
      <c r="H901" s="1" t="s">
        <v>28</v>
      </c>
      <c r="I901" s="1" t="s">
        <v>139</v>
      </c>
    </row>
    <row r="902">
      <c r="A902" s="1">
        <v>3171807.0</v>
      </c>
      <c r="B902" s="1" t="s">
        <v>2012</v>
      </c>
      <c r="C902" s="1" t="s">
        <v>1679</v>
      </c>
      <c r="D902" s="1" t="s">
        <v>1685</v>
      </c>
      <c r="E902" s="1" t="s">
        <v>2013</v>
      </c>
      <c r="F902" s="1" t="s">
        <v>16</v>
      </c>
      <c r="G902" s="1" t="s">
        <v>17</v>
      </c>
      <c r="H902" s="1" t="s">
        <v>18</v>
      </c>
      <c r="I902" s="1" t="s">
        <v>19</v>
      </c>
    </row>
    <row r="903">
      <c r="A903" s="1">
        <v>3173040.0</v>
      </c>
      <c r="B903" s="1" t="s">
        <v>2014</v>
      </c>
      <c r="C903" s="1" t="s">
        <v>1679</v>
      </c>
      <c r="D903" s="1" t="s">
        <v>1688</v>
      </c>
      <c r="E903" s="1" t="s">
        <v>2015</v>
      </c>
      <c r="F903" s="1" t="s">
        <v>16</v>
      </c>
      <c r="G903" s="1" t="s">
        <v>27</v>
      </c>
      <c r="H903" s="1" t="s">
        <v>18</v>
      </c>
      <c r="I903" s="1" t="s">
        <v>19</v>
      </c>
    </row>
    <row r="904">
      <c r="A904" s="1">
        <v>3173474.0</v>
      </c>
      <c r="B904" s="1" t="s">
        <v>2016</v>
      </c>
      <c r="C904" s="1" t="s">
        <v>1679</v>
      </c>
      <c r="D904" s="1" t="s">
        <v>1688</v>
      </c>
      <c r="E904" s="1" t="s">
        <v>2017</v>
      </c>
      <c r="F904" s="1" t="s">
        <v>16</v>
      </c>
      <c r="G904" s="1" t="s">
        <v>17</v>
      </c>
      <c r="H904" s="1" t="s">
        <v>18</v>
      </c>
      <c r="I904" s="1" t="s">
        <v>113</v>
      </c>
    </row>
    <row r="905">
      <c r="A905" s="1">
        <v>3171680.0</v>
      </c>
      <c r="B905" s="1" t="s">
        <v>2018</v>
      </c>
      <c r="C905" s="1" t="s">
        <v>1679</v>
      </c>
      <c r="D905" s="1" t="s">
        <v>1685</v>
      </c>
      <c r="E905" s="1" t="s">
        <v>2019</v>
      </c>
      <c r="F905" s="1" t="s">
        <v>16</v>
      </c>
      <c r="G905" s="1" t="s">
        <v>17</v>
      </c>
      <c r="H905" s="1" t="s">
        <v>18</v>
      </c>
      <c r="I905" s="1" t="s">
        <v>19</v>
      </c>
    </row>
    <row r="906">
      <c r="A906" s="1">
        <v>3171795.0</v>
      </c>
      <c r="B906" s="1" t="s">
        <v>2020</v>
      </c>
      <c r="C906" s="1" t="s">
        <v>1679</v>
      </c>
      <c r="D906" s="1" t="s">
        <v>1685</v>
      </c>
      <c r="E906" s="1" t="s">
        <v>2021</v>
      </c>
      <c r="F906" s="1" t="s">
        <v>16</v>
      </c>
      <c r="G906" s="1" t="s">
        <v>27</v>
      </c>
      <c r="H906" s="1" t="s">
        <v>28</v>
      </c>
      <c r="I906" s="1" t="s">
        <v>139</v>
      </c>
    </row>
    <row r="907">
      <c r="A907" s="1">
        <v>3174041.0</v>
      </c>
      <c r="B907" s="1" t="s">
        <v>2022</v>
      </c>
      <c r="C907" s="1" t="s">
        <v>1679</v>
      </c>
      <c r="D907" s="1" t="s">
        <v>1693</v>
      </c>
      <c r="E907" s="1" t="s">
        <v>2023</v>
      </c>
      <c r="F907" s="1" t="s">
        <v>174</v>
      </c>
      <c r="G907" s="1" t="s">
        <v>150</v>
      </c>
      <c r="H907" s="1" t="s">
        <v>33</v>
      </c>
      <c r="I907" s="1" t="s">
        <v>411</v>
      </c>
    </row>
    <row r="908">
      <c r="A908" s="1">
        <v>3172050.0</v>
      </c>
      <c r="B908" s="1" t="s">
        <v>2024</v>
      </c>
      <c r="C908" s="1" t="s">
        <v>1679</v>
      </c>
      <c r="D908" s="1" t="s">
        <v>1680</v>
      </c>
      <c r="E908" s="1" t="s">
        <v>2025</v>
      </c>
      <c r="F908" s="1" t="s">
        <v>16</v>
      </c>
      <c r="G908" s="1" t="s">
        <v>17</v>
      </c>
      <c r="H908" s="1" t="s">
        <v>18</v>
      </c>
      <c r="I908" s="1" t="s">
        <v>74</v>
      </c>
    </row>
    <row r="909">
      <c r="A909" s="1">
        <v>3175181.0</v>
      </c>
      <c r="B909" s="1" t="s">
        <v>2026</v>
      </c>
      <c r="C909" s="1" t="s">
        <v>1679</v>
      </c>
      <c r="D909" s="1" t="s">
        <v>1700</v>
      </c>
      <c r="E909" s="1" t="s">
        <v>2027</v>
      </c>
      <c r="F909" s="1" t="s">
        <v>16</v>
      </c>
      <c r="G909" s="1" t="s">
        <v>17</v>
      </c>
      <c r="H909" s="1" t="s">
        <v>18</v>
      </c>
      <c r="I909" s="1" t="s">
        <v>19</v>
      </c>
    </row>
    <row r="910">
      <c r="A910" s="1">
        <v>3172702.0</v>
      </c>
      <c r="B910" s="1" t="s">
        <v>2028</v>
      </c>
      <c r="C910" s="1" t="s">
        <v>1679</v>
      </c>
      <c r="D910" s="1" t="s">
        <v>1680</v>
      </c>
      <c r="E910" s="1" t="s">
        <v>2029</v>
      </c>
      <c r="F910" s="1" t="s">
        <v>16</v>
      </c>
      <c r="G910" s="1" t="s">
        <v>17</v>
      </c>
      <c r="H910" s="1" t="s">
        <v>18</v>
      </c>
      <c r="I910" s="1" t="s">
        <v>19</v>
      </c>
    </row>
    <row r="911">
      <c r="A911" s="1">
        <v>3171034.0</v>
      </c>
      <c r="B911" s="1" t="s">
        <v>2030</v>
      </c>
      <c r="C911" s="1" t="s">
        <v>1679</v>
      </c>
      <c r="D911" s="1" t="s">
        <v>1685</v>
      </c>
      <c r="E911" s="1" t="s">
        <v>2031</v>
      </c>
      <c r="F911" s="1" t="s">
        <v>16</v>
      </c>
      <c r="G911" s="1" t="s">
        <v>27</v>
      </c>
      <c r="H911" s="1" t="s">
        <v>33</v>
      </c>
      <c r="I911" s="1" t="s">
        <v>95</v>
      </c>
    </row>
    <row r="912">
      <c r="A912" s="1">
        <v>3171515.0</v>
      </c>
      <c r="B912" s="1" t="s">
        <v>2032</v>
      </c>
      <c r="C912" s="1" t="s">
        <v>1679</v>
      </c>
      <c r="D912" s="1" t="s">
        <v>1685</v>
      </c>
      <c r="E912" s="1" t="s">
        <v>2033</v>
      </c>
      <c r="F912" s="1" t="s">
        <v>16</v>
      </c>
      <c r="G912" s="1" t="s">
        <v>27</v>
      </c>
      <c r="H912" s="1" t="s">
        <v>18</v>
      </c>
      <c r="I912" s="1" t="s">
        <v>19</v>
      </c>
    </row>
    <row r="913">
      <c r="A913" s="1">
        <v>3173645.0</v>
      </c>
      <c r="B913" s="1" t="s">
        <v>2034</v>
      </c>
      <c r="C913" s="1" t="s">
        <v>1679</v>
      </c>
      <c r="D913" s="1" t="s">
        <v>1688</v>
      </c>
      <c r="E913" s="1" t="s">
        <v>2035</v>
      </c>
      <c r="F913" s="1" t="s">
        <v>16</v>
      </c>
      <c r="G913" s="1" t="s">
        <v>17</v>
      </c>
      <c r="H913" s="1" t="s">
        <v>18</v>
      </c>
      <c r="I913" s="1" t="s">
        <v>19</v>
      </c>
    </row>
    <row r="914">
      <c r="A914" s="1">
        <v>3174544.0</v>
      </c>
      <c r="B914" s="1" t="s">
        <v>2036</v>
      </c>
      <c r="C914" s="1" t="s">
        <v>1679</v>
      </c>
      <c r="D914" s="1" t="s">
        <v>1693</v>
      </c>
      <c r="E914" s="1" t="s">
        <v>2037</v>
      </c>
      <c r="F914" s="1" t="s">
        <v>2038</v>
      </c>
      <c r="G914" s="1" t="s">
        <v>17</v>
      </c>
      <c r="H914" s="1" t="s">
        <v>18</v>
      </c>
      <c r="I914" s="1" t="s">
        <v>34</v>
      </c>
    </row>
    <row r="915">
      <c r="A915" s="1">
        <v>3174486.0</v>
      </c>
      <c r="B915" s="1" t="s">
        <v>2039</v>
      </c>
      <c r="C915" s="1" t="s">
        <v>1679</v>
      </c>
      <c r="D915" s="1" t="s">
        <v>1693</v>
      </c>
      <c r="E915" s="1" t="s">
        <v>2040</v>
      </c>
      <c r="F915" s="1" t="s">
        <v>16</v>
      </c>
      <c r="G915" s="1" t="s">
        <v>27</v>
      </c>
      <c r="H915" s="1" t="s">
        <v>18</v>
      </c>
      <c r="I915" s="1" t="s">
        <v>19</v>
      </c>
    </row>
    <row r="916">
      <c r="A916" s="1">
        <v>3172495.0</v>
      </c>
      <c r="B916" s="1" t="s">
        <v>2041</v>
      </c>
      <c r="C916" s="1" t="s">
        <v>1679</v>
      </c>
      <c r="D916" s="1" t="s">
        <v>1680</v>
      </c>
      <c r="E916" s="1" t="s">
        <v>2042</v>
      </c>
      <c r="F916" s="1" t="s">
        <v>16</v>
      </c>
      <c r="G916" s="1" t="s">
        <v>27</v>
      </c>
      <c r="H916" s="1" t="s">
        <v>18</v>
      </c>
      <c r="I916" s="1" t="s">
        <v>19</v>
      </c>
    </row>
    <row r="917">
      <c r="A917" s="1">
        <v>3175385.0</v>
      </c>
      <c r="B917" s="1" t="s">
        <v>2043</v>
      </c>
      <c r="C917" s="1" t="s">
        <v>1679</v>
      </c>
      <c r="D917" s="1" t="s">
        <v>1700</v>
      </c>
      <c r="E917" s="1" t="s">
        <v>2044</v>
      </c>
      <c r="F917" s="1" t="s">
        <v>16</v>
      </c>
      <c r="G917" s="1" t="s">
        <v>27</v>
      </c>
      <c r="H917" s="1" t="s">
        <v>18</v>
      </c>
      <c r="I917" s="1" t="s">
        <v>19</v>
      </c>
    </row>
    <row r="918">
      <c r="A918" s="1">
        <v>3173062.0</v>
      </c>
      <c r="B918" s="1" t="s">
        <v>2045</v>
      </c>
      <c r="C918" s="1" t="s">
        <v>1679</v>
      </c>
      <c r="D918" s="1" t="s">
        <v>1688</v>
      </c>
      <c r="E918" s="1" t="s">
        <v>2046</v>
      </c>
      <c r="F918" s="1" t="s">
        <v>16</v>
      </c>
      <c r="G918" s="1" t="s">
        <v>27</v>
      </c>
      <c r="H918" s="1" t="s">
        <v>18</v>
      </c>
      <c r="I918" s="1" t="s">
        <v>258</v>
      </c>
    </row>
    <row r="919">
      <c r="A919" s="1">
        <v>3173521.0</v>
      </c>
      <c r="B919" s="1" t="s">
        <v>2047</v>
      </c>
      <c r="C919" s="1" t="s">
        <v>1679</v>
      </c>
      <c r="D919" s="1" t="s">
        <v>1688</v>
      </c>
      <c r="E919" s="1" t="s">
        <v>2048</v>
      </c>
      <c r="F919" s="1" t="s">
        <v>16</v>
      </c>
      <c r="G919" s="1" t="s">
        <v>150</v>
      </c>
      <c r="H919" s="1" t="s">
        <v>28</v>
      </c>
      <c r="I919" s="1" t="s">
        <v>139</v>
      </c>
    </row>
    <row r="920">
      <c r="A920" s="1">
        <v>3171702.0</v>
      </c>
      <c r="B920" s="1" t="s">
        <v>2049</v>
      </c>
      <c r="C920" s="1" t="s">
        <v>1679</v>
      </c>
      <c r="D920" s="1" t="s">
        <v>1685</v>
      </c>
      <c r="E920" s="1" t="s">
        <v>2050</v>
      </c>
      <c r="F920" s="1" t="s">
        <v>16</v>
      </c>
      <c r="G920" s="1" t="s">
        <v>17</v>
      </c>
      <c r="H920" s="1" t="s">
        <v>18</v>
      </c>
      <c r="I920" s="1" t="s">
        <v>19</v>
      </c>
    </row>
    <row r="921">
      <c r="A921" s="1">
        <v>3171796.0</v>
      </c>
      <c r="B921" s="1" t="s">
        <v>2051</v>
      </c>
      <c r="C921" s="1" t="s">
        <v>1679</v>
      </c>
      <c r="D921" s="1" t="s">
        <v>1685</v>
      </c>
      <c r="E921" s="1" t="s">
        <v>2052</v>
      </c>
      <c r="F921" s="1" t="s">
        <v>16</v>
      </c>
      <c r="G921" s="1" t="s">
        <v>23</v>
      </c>
      <c r="H921" s="1" t="s">
        <v>18</v>
      </c>
      <c r="I921" s="1" t="s">
        <v>19</v>
      </c>
    </row>
    <row r="922">
      <c r="A922" s="1">
        <v>3174260.0</v>
      </c>
      <c r="B922" s="1" t="s">
        <v>2053</v>
      </c>
      <c r="C922" s="1" t="s">
        <v>1679</v>
      </c>
      <c r="D922" s="1" t="s">
        <v>1693</v>
      </c>
      <c r="E922" s="1" t="s">
        <v>2054</v>
      </c>
      <c r="F922" s="1" t="s">
        <v>55</v>
      </c>
      <c r="G922" s="1" t="s">
        <v>150</v>
      </c>
      <c r="H922" s="1" t="s">
        <v>33</v>
      </c>
      <c r="I922" s="1" t="s">
        <v>411</v>
      </c>
    </row>
    <row r="923">
      <c r="A923" s="1">
        <v>3174523.0</v>
      </c>
      <c r="B923" s="1" t="s">
        <v>2055</v>
      </c>
      <c r="C923" s="1" t="s">
        <v>1679</v>
      </c>
      <c r="D923" s="1" t="s">
        <v>1680</v>
      </c>
      <c r="E923" s="1" t="s">
        <v>2056</v>
      </c>
      <c r="F923" s="1" t="s">
        <v>16</v>
      </c>
      <c r="G923" s="1" t="s">
        <v>23</v>
      </c>
      <c r="H923" s="1" t="s">
        <v>18</v>
      </c>
      <c r="I923" s="1" t="s">
        <v>139</v>
      </c>
    </row>
    <row r="924">
      <c r="A924" s="1">
        <v>3173707.0</v>
      </c>
      <c r="B924" s="1" t="s">
        <v>2057</v>
      </c>
      <c r="C924" s="1" t="s">
        <v>1679</v>
      </c>
      <c r="D924" s="1" t="s">
        <v>1688</v>
      </c>
      <c r="E924" s="1" t="s">
        <v>2058</v>
      </c>
      <c r="F924" s="1" t="s">
        <v>32</v>
      </c>
      <c r="G924" s="1" t="s">
        <v>27</v>
      </c>
      <c r="H924" s="1" t="s">
        <v>18</v>
      </c>
      <c r="I924" s="1" t="s">
        <v>19</v>
      </c>
    </row>
    <row r="925">
      <c r="A925" s="1">
        <v>3172072.0</v>
      </c>
      <c r="B925" s="1" t="s">
        <v>2059</v>
      </c>
      <c r="C925" s="1" t="s">
        <v>1679</v>
      </c>
      <c r="D925" s="1" t="s">
        <v>1680</v>
      </c>
      <c r="E925" s="1" t="s">
        <v>2060</v>
      </c>
      <c r="F925" s="1" t="s">
        <v>16</v>
      </c>
      <c r="G925" s="1" t="s">
        <v>150</v>
      </c>
      <c r="H925" s="1" t="s">
        <v>33</v>
      </c>
      <c r="I925" s="1" t="s">
        <v>65</v>
      </c>
    </row>
    <row r="926">
      <c r="A926" s="1">
        <v>3174074.0</v>
      </c>
      <c r="B926" s="1" t="s">
        <v>2061</v>
      </c>
      <c r="C926" s="1" t="s">
        <v>1679</v>
      </c>
      <c r="D926" s="1" t="s">
        <v>1693</v>
      </c>
      <c r="E926" s="1" t="s">
        <v>2062</v>
      </c>
      <c r="F926" s="1" t="s">
        <v>16</v>
      </c>
      <c r="G926" s="1" t="s">
        <v>27</v>
      </c>
      <c r="H926" s="1" t="s">
        <v>28</v>
      </c>
      <c r="I926" s="1" t="s">
        <v>139</v>
      </c>
    </row>
    <row r="927">
      <c r="A927" s="1">
        <v>3175315.0</v>
      </c>
      <c r="B927" s="1" t="s">
        <v>2063</v>
      </c>
      <c r="C927" s="1" t="s">
        <v>1679</v>
      </c>
      <c r="D927" s="1" t="s">
        <v>1700</v>
      </c>
      <c r="E927" s="1" t="s">
        <v>2064</v>
      </c>
      <c r="F927" s="1" t="s">
        <v>16</v>
      </c>
      <c r="G927" s="1" t="s">
        <v>17</v>
      </c>
      <c r="H927" s="1" t="s">
        <v>18</v>
      </c>
      <c r="I927" s="1" t="s">
        <v>59</v>
      </c>
    </row>
    <row r="928">
      <c r="A928" s="1">
        <v>3172735.0</v>
      </c>
      <c r="B928" s="1" t="s">
        <v>2065</v>
      </c>
      <c r="C928" s="1" t="s">
        <v>1679</v>
      </c>
      <c r="D928" s="1" t="s">
        <v>1680</v>
      </c>
      <c r="E928" s="1" t="s">
        <v>2066</v>
      </c>
      <c r="F928" s="1" t="s">
        <v>174</v>
      </c>
      <c r="G928" s="1" t="s">
        <v>17</v>
      </c>
      <c r="H928" s="1" t="s">
        <v>18</v>
      </c>
      <c r="I928" s="1" t="s">
        <v>684</v>
      </c>
    </row>
    <row r="929">
      <c r="A929" s="1">
        <v>3171060.0</v>
      </c>
      <c r="B929" s="1" t="s">
        <v>2067</v>
      </c>
      <c r="C929" s="1" t="s">
        <v>1679</v>
      </c>
      <c r="D929" s="1" t="s">
        <v>1685</v>
      </c>
      <c r="E929" s="1" t="s">
        <v>2068</v>
      </c>
      <c r="F929" s="1" t="s">
        <v>174</v>
      </c>
      <c r="G929" s="1" t="s">
        <v>17</v>
      </c>
      <c r="H929" s="1" t="s">
        <v>18</v>
      </c>
      <c r="I929" s="1" t="s">
        <v>59</v>
      </c>
    </row>
    <row r="930">
      <c r="A930" s="1">
        <v>3215067.0</v>
      </c>
      <c r="B930" s="1" t="s">
        <v>2069</v>
      </c>
      <c r="C930" s="1" t="s">
        <v>2070</v>
      </c>
      <c r="D930" s="1" t="s">
        <v>2071</v>
      </c>
      <c r="E930" s="1" t="s">
        <v>2072</v>
      </c>
      <c r="F930" s="1" t="s">
        <v>16</v>
      </c>
      <c r="G930" s="1" t="s">
        <v>17</v>
      </c>
      <c r="H930" s="1" t="s">
        <v>18</v>
      </c>
      <c r="I930" s="1" t="s">
        <v>19</v>
      </c>
    </row>
    <row r="931">
      <c r="A931" s="1">
        <v>3208057.0</v>
      </c>
      <c r="B931" s="1" t="s">
        <v>2073</v>
      </c>
      <c r="C931" s="1" t="s">
        <v>2070</v>
      </c>
      <c r="D931" s="1" t="s">
        <v>2074</v>
      </c>
      <c r="E931" s="1" t="s">
        <v>2075</v>
      </c>
      <c r="F931" s="1" t="s">
        <v>16</v>
      </c>
      <c r="G931" s="1" t="s">
        <v>23</v>
      </c>
      <c r="H931" s="1" t="s">
        <v>18</v>
      </c>
      <c r="I931" s="1" t="s">
        <v>44</v>
      </c>
    </row>
    <row r="932">
      <c r="A932" s="1">
        <v>3278018.0</v>
      </c>
      <c r="B932" s="1" t="s">
        <v>2076</v>
      </c>
      <c r="C932" s="1" t="s">
        <v>2070</v>
      </c>
      <c r="D932" s="1" t="s">
        <v>2077</v>
      </c>
      <c r="E932" s="1" t="s">
        <v>2078</v>
      </c>
      <c r="F932" s="1" t="s">
        <v>16</v>
      </c>
      <c r="G932" s="1" t="s">
        <v>23</v>
      </c>
      <c r="H932" s="1" t="s">
        <v>18</v>
      </c>
      <c r="I932" s="1" t="s">
        <v>19</v>
      </c>
    </row>
    <row r="933">
      <c r="A933" s="1">
        <v>3216414.0</v>
      </c>
      <c r="B933" s="1" t="s">
        <v>285</v>
      </c>
      <c r="C933" s="1" t="s">
        <v>2070</v>
      </c>
      <c r="D933" s="1" t="s">
        <v>2079</v>
      </c>
      <c r="E933" s="1" t="s">
        <v>2080</v>
      </c>
      <c r="F933" s="1" t="s">
        <v>16</v>
      </c>
      <c r="G933" s="1" t="s">
        <v>17</v>
      </c>
      <c r="H933" s="1" t="s">
        <v>18</v>
      </c>
      <c r="I933" s="1" t="s">
        <v>44</v>
      </c>
    </row>
    <row r="934">
      <c r="A934" s="1">
        <v>3276169.0</v>
      </c>
      <c r="B934" s="1" t="s">
        <v>2081</v>
      </c>
      <c r="C934" s="1" t="s">
        <v>2070</v>
      </c>
      <c r="D934" s="1" t="s">
        <v>2082</v>
      </c>
      <c r="E934" s="1" t="s">
        <v>2083</v>
      </c>
      <c r="F934" s="1" t="s">
        <v>16</v>
      </c>
      <c r="G934" s="1" t="s">
        <v>17</v>
      </c>
      <c r="H934" s="1" t="s">
        <v>18</v>
      </c>
      <c r="I934" s="1" t="s">
        <v>44</v>
      </c>
    </row>
    <row r="935">
      <c r="A935" s="1">
        <v>3202014.0</v>
      </c>
      <c r="B935" s="1" t="s">
        <v>2084</v>
      </c>
      <c r="C935" s="1" t="s">
        <v>2070</v>
      </c>
      <c r="D935" s="1" t="s">
        <v>2085</v>
      </c>
      <c r="E935" s="1" t="s">
        <v>2086</v>
      </c>
      <c r="F935" s="1" t="s">
        <v>16</v>
      </c>
      <c r="G935" s="1" t="s">
        <v>27</v>
      </c>
      <c r="H935" s="1" t="s">
        <v>28</v>
      </c>
      <c r="I935" s="1" t="s">
        <v>40</v>
      </c>
    </row>
    <row r="936">
      <c r="A936" s="1">
        <v>3273420.0</v>
      </c>
      <c r="B936" s="1" t="s">
        <v>2087</v>
      </c>
      <c r="C936" s="1" t="s">
        <v>2070</v>
      </c>
      <c r="D936" s="1" t="s">
        <v>2088</v>
      </c>
      <c r="E936" s="1" t="s">
        <v>2089</v>
      </c>
      <c r="F936" s="1" t="s">
        <v>16</v>
      </c>
      <c r="G936" s="1" t="s">
        <v>27</v>
      </c>
      <c r="H936" s="1" t="s">
        <v>18</v>
      </c>
      <c r="I936" s="1" t="s">
        <v>19</v>
      </c>
    </row>
    <row r="937">
      <c r="A937" s="1">
        <v>3204154.0</v>
      </c>
      <c r="B937" s="1" t="s">
        <v>2090</v>
      </c>
      <c r="C937" s="1" t="s">
        <v>2070</v>
      </c>
      <c r="D937" s="1" t="s">
        <v>2091</v>
      </c>
      <c r="E937" s="1" t="s">
        <v>2092</v>
      </c>
      <c r="F937" s="1" t="s">
        <v>16</v>
      </c>
      <c r="G937" s="1" t="s">
        <v>23</v>
      </c>
      <c r="H937" s="1" t="s">
        <v>18</v>
      </c>
      <c r="I937" s="1" t="s">
        <v>563</v>
      </c>
    </row>
    <row r="938">
      <c r="A938" s="1">
        <v>3203038.0</v>
      </c>
      <c r="B938" s="1" t="s">
        <v>2093</v>
      </c>
      <c r="C938" s="1" t="s">
        <v>2070</v>
      </c>
      <c r="D938" s="1" t="s">
        <v>2094</v>
      </c>
      <c r="E938" s="1" t="s">
        <v>2095</v>
      </c>
      <c r="F938" s="1" t="s">
        <v>16</v>
      </c>
      <c r="G938" s="1" t="s">
        <v>17</v>
      </c>
      <c r="H938" s="1" t="s">
        <v>18</v>
      </c>
      <c r="I938" s="1" t="s">
        <v>163</v>
      </c>
    </row>
    <row r="939">
      <c r="A939" s="1">
        <v>3201247.0</v>
      </c>
      <c r="B939" s="1" t="s">
        <v>2096</v>
      </c>
      <c r="C939" s="1" t="s">
        <v>2070</v>
      </c>
      <c r="D939" s="1" t="s">
        <v>2097</v>
      </c>
      <c r="E939" s="1" t="s">
        <v>2098</v>
      </c>
      <c r="F939" s="1" t="s">
        <v>16</v>
      </c>
      <c r="G939" s="1" t="s">
        <v>27</v>
      </c>
      <c r="H939" s="1" t="s">
        <v>18</v>
      </c>
      <c r="I939" s="1" t="s">
        <v>44</v>
      </c>
    </row>
    <row r="940">
      <c r="A940" s="1">
        <v>3216126.0</v>
      </c>
      <c r="B940" s="1" t="s">
        <v>2099</v>
      </c>
      <c r="C940" s="1" t="s">
        <v>2070</v>
      </c>
      <c r="D940" s="1" t="s">
        <v>2079</v>
      </c>
      <c r="E940" s="1" t="s">
        <v>2100</v>
      </c>
      <c r="F940" s="1" t="s">
        <v>16</v>
      </c>
      <c r="G940" s="1" t="s">
        <v>17</v>
      </c>
      <c r="H940" s="1" t="s">
        <v>18</v>
      </c>
      <c r="I940" s="1" t="s">
        <v>19</v>
      </c>
    </row>
    <row r="941">
      <c r="A941" s="1">
        <v>3215182.0</v>
      </c>
      <c r="B941" s="1" t="s">
        <v>2101</v>
      </c>
      <c r="C941" s="1" t="s">
        <v>2070</v>
      </c>
      <c r="D941" s="1" t="s">
        <v>2071</v>
      </c>
      <c r="E941" s="1" t="s">
        <v>2102</v>
      </c>
      <c r="F941" s="1" t="s">
        <v>16</v>
      </c>
      <c r="G941" s="1" t="s">
        <v>17</v>
      </c>
      <c r="H941" s="1" t="s">
        <v>18</v>
      </c>
      <c r="I941" s="1" t="s">
        <v>19</v>
      </c>
    </row>
    <row r="942">
      <c r="A942" s="1">
        <v>3204101.0</v>
      </c>
      <c r="B942" s="1" t="s">
        <v>2103</v>
      </c>
      <c r="C942" s="1" t="s">
        <v>2070</v>
      </c>
      <c r="D942" s="1" t="s">
        <v>2091</v>
      </c>
      <c r="E942" s="1" t="s">
        <v>2104</v>
      </c>
      <c r="F942" s="1" t="s">
        <v>16</v>
      </c>
      <c r="G942" s="1" t="s">
        <v>17</v>
      </c>
      <c r="H942" s="1" t="s">
        <v>28</v>
      </c>
      <c r="I942" s="1" t="s">
        <v>40</v>
      </c>
    </row>
    <row r="943">
      <c r="A943" s="1">
        <v>3209053.0</v>
      </c>
      <c r="B943" s="1" t="s">
        <v>2105</v>
      </c>
      <c r="C943" s="1" t="s">
        <v>2070</v>
      </c>
      <c r="D943" s="1" t="s">
        <v>2106</v>
      </c>
      <c r="E943" s="1" t="s">
        <v>2107</v>
      </c>
      <c r="F943" s="1" t="s">
        <v>16</v>
      </c>
      <c r="G943" s="1" t="s">
        <v>17</v>
      </c>
      <c r="H943" s="1" t="s">
        <v>18</v>
      </c>
      <c r="I943" s="1" t="s">
        <v>19</v>
      </c>
    </row>
    <row r="944">
      <c r="A944" s="1">
        <v>3215162.0</v>
      </c>
      <c r="B944" s="1" t="s">
        <v>2108</v>
      </c>
      <c r="C944" s="1" t="s">
        <v>2070</v>
      </c>
      <c r="D944" s="1" t="s">
        <v>2071</v>
      </c>
      <c r="E944" s="1" t="s">
        <v>2109</v>
      </c>
      <c r="F944" s="1" t="s">
        <v>16</v>
      </c>
      <c r="G944" s="1" t="s">
        <v>17</v>
      </c>
      <c r="H944" s="1" t="s">
        <v>18</v>
      </c>
      <c r="I944" s="1" t="s">
        <v>44</v>
      </c>
    </row>
    <row r="945">
      <c r="A945" s="1">
        <v>3208060.0</v>
      </c>
      <c r="B945" s="1" t="s">
        <v>2110</v>
      </c>
      <c r="C945" s="1" t="s">
        <v>2070</v>
      </c>
      <c r="D945" s="1" t="s">
        <v>2074</v>
      </c>
      <c r="E945" s="1" t="s">
        <v>2111</v>
      </c>
      <c r="F945" s="1" t="s">
        <v>16</v>
      </c>
      <c r="G945" s="1" t="s">
        <v>17</v>
      </c>
      <c r="H945" s="1" t="s">
        <v>18</v>
      </c>
      <c r="I945" s="1" t="s">
        <v>44</v>
      </c>
    </row>
    <row r="946">
      <c r="A946" s="1">
        <v>3215169.0</v>
      </c>
      <c r="B946" s="1" t="s">
        <v>2112</v>
      </c>
      <c r="C946" s="1" t="s">
        <v>2070</v>
      </c>
      <c r="D946" s="1" t="s">
        <v>2071</v>
      </c>
      <c r="E946" s="1" t="s">
        <v>2113</v>
      </c>
      <c r="F946" s="1" t="s">
        <v>16</v>
      </c>
      <c r="G946" s="1" t="s">
        <v>17</v>
      </c>
      <c r="H946" s="1" t="s">
        <v>18</v>
      </c>
      <c r="I946" s="1" t="s">
        <v>44</v>
      </c>
    </row>
    <row r="947">
      <c r="A947" s="1">
        <v>3216318.0</v>
      </c>
      <c r="B947" s="1" t="s">
        <v>2114</v>
      </c>
      <c r="C947" s="1" t="s">
        <v>2070</v>
      </c>
      <c r="D947" s="1" t="s">
        <v>2079</v>
      </c>
      <c r="E947" s="1" t="s">
        <v>2115</v>
      </c>
      <c r="F947" s="1" t="s">
        <v>16</v>
      </c>
      <c r="G947" s="1" t="s">
        <v>27</v>
      </c>
      <c r="H947" s="1" t="s">
        <v>18</v>
      </c>
      <c r="I947" s="1" t="s">
        <v>19</v>
      </c>
    </row>
    <row r="948">
      <c r="A948" s="1">
        <v>3209040.0</v>
      </c>
      <c r="B948" s="1" t="s">
        <v>2116</v>
      </c>
      <c r="C948" s="1" t="s">
        <v>2070</v>
      </c>
      <c r="D948" s="1" t="s">
        <v>2106</v>
      </c>
      <c r="E948" s="1" t="s">
        <v>2117</v>
      </c>
      <c r="F948" s="1" t="s">
        <v>16</v>
      </c>
      <c r="G948" s="1" t="s">
        <v>27</v>
      </c>
      <c r="H948" s="1" t="s">
        <v>28</v>
      </c>
      <c r="I948" s="1" t="s">
        <v>40</v>
      </c>
    </row>
    <row r="949">
      <c r="A949" s="1">
        <v>3275141.0</v>
      </c>
      <c r="B949" s="1" t="s">
        <v>2118</v>
      </c>
      <c r="C949" s="1" t="s">
        <v>2070</v>
      </c>
      <c r="D949" s="1" t="s">
        <v>2119</v>
      </c>
      <c r="E949" s="1" t="s">
        <v>2120</v>
      </c>
      <c r="F949" s="1" t="s">
        <v>16</v>
      </c>
      <c r="G949" s="1" t="s">
        <v>17</v>
      </c>
      <c r="H949" s="1" t="s">
        <v>18</v>
      </c>
      <c r="I949" s="1" t="s">
        <v>19</v>
      </c>
    </row>
    <row r="950">
      <c r="A950" s="1">
        <v>3273030.0</v>
      </c>
      <c r="B950" s="1" t="s">
        <v>2121</v>
      </c>
      <c r="C950" s="1" t="s">
        <v>2070</v>
      </c>
      <c r="D950" s="1" t="s">
        <v>2088</v>
      </c>
      <c r="E950" s="1" t="s">
        <v>2122</v>
      </c>
      <c r="F950" s="1" t="s">
        <v>16</v>
      </c>
      <c r="G950" s="1" t="s">
        <v>27</v>
      </c>
      <c r="H950" s="1" t="s">
        <v>33</v>
      </c>
      <c r="I950" s="1" t="s">
        <v>563</v>
      </c>
    </row>
    <row r="951">
      <c r="A951" s="1">
        <v>3274064.0</v>
      </c>
      <c r="B951" s="1" t="s">
        <v>2123</v>
      </c>
      <c r="C951" s="1" t="s">
        <v>2070</v>
      </c>
      <c r="D951" s="1" t="s">
        <v>2124</v>
      </c>
      <c r="E951" s="1" t="s">
        <v>2125</v>
      </c>
      <c r="F951" s="1" t="s">
        <v>16</v>
      </c>
      <c r="G951" s="1" t="s">
        <v>17</v>
      </c>
      <c r="H951" s="1" t="s">
        <v>18</v>
      </c>
      <c r="I951" s="1" t="s">
        <v>44</v>
      </c>
    </row>
    <row r="952">
      <c r="A952" s="1">
        <v>3213061.0</v>
      </c>
      <c r="B952" s="1" t="s">
        <v>2126</v>
      </c>
      <c r="C952" s="1" t="s">
        <v>2070</v>
      </c>
      <c r="D952" s="1" t="s">
        <v>2127</v>
      </c>
      <c r="E952" s="1" t="s">
        <v>2128</v>
      </c>
      <c r="F952" s="1" t="s">
        <v>16</v>
      </c>
      <c r="G952" s="1" t="s">
        <v>17</v>
      </c>
      <c r="H952" s="1" t="s">
        <v>18</v>
      </c>
      <c r="I952" s="1" t="s">
        <v>19</v>
      </c>
    </row>
    <row r="953">
      <c r="A953" s="1">
        <v>3201130.0</v>
      </c>
      <c r="B953" s="1" t="s">
        <v>2129</v>
      </c>
      <c r="C953" s="1" t="s">
        <v>2070</v>
      </c>
      <c r="D953" s="1" t="s">
        <v>2097</v>
      </c>
      <c r="E953" s="1" t="s">
        <v>2130</v>
      </c>
      <c r="F953" s="1" t="s">
        <v>55</v>
      </c>
      <c r="G953" s="1" t="s">
        <v>17</v>
      </c>
      <c r="H953" s="1" t="s">
        <v>18</v>
      </c>
      <c r="I953" s="1" t="s">
        <v>19</v>
      </c>
    </row>
    <row r="954">
      <c r="A954" s="1">
        <v>3273121.0</v>
      </c>
      <c r="B954" s="1" t="s">
        <v>2131</v>
      </c>
      <c r="C954" s="1" t="s">
        <v>2070</v>
      </c>
      <c r="D954" s="1" t="s">
        <v>2088</v>
      </c>
      <c r="E954" s="1" t="s">
        <v>2132</v>
      </c>
      <c r="F954" s="1" t="s">
        <v>16</v>
      </c>
      <c r="G954" s="1" t="s">
        <v>17</v>
      </c>
      <c r="H954" s="1" t="s">
        <v>18</v>
      </c>
      <c r="I954" s="1" t="s">
        <v>59</v>
      </c>
    </row>
    <row r="955">
      <c r="A955" s="1">
        <v>3216397.0</v>
      </c>
      <c r="B955" s="1" t="s">
        <v>2133</v>
      </c>
      <c r="C955" s="1" t="s">
        <v>2070</v>
      </c>
      <c r="D955" s="1" t="s">
        <v>2079</v>
      </c>
      <c r="E955" s="1" t="s">
        <v>2134</v>
      </c>
      <c r="F955" s="1" t="s">
        <v>16</v>
      </c>
      <c r="G955" s="1" t="s">
        <v>23</v>
      </c>
      <c r="H955" s="1" t="s">
        <v>18</v>
      </c>
      <c r="I955" s="1" t="s">
        <v>44</v>
      </c>
    </row>
    <row r="956">
      <c r="A956" s="1">
        <v>3275024.0</v>
      </c>
      <c r="B956" s="1" t="s">
        <v>2135</v>
      </c>
      <c r="C956" s="1" t="s">
        <v>2070</v>
      </c>
      <c r="D956" s="1" t="s">
        <v>2119</v>
      </c>
      <c r="E956" s="1" t="s">
        <v>2136</v>
      </c>
      <c r="F956" s="1" t="s">
        <v>16</v>
      </c>
      <c r="G956" s="1" t="s">
        <v>17</v>
      </c>
      <c r="H956" s="1" t="s">
        <v>18</v>
      </c>
      <c r="I956" s="1" t="s">
        <v>59</v>
      </c>
    </row>
    <row r="957">
      <c r="A957" s="1">
        <v>3201083.0</v>
      </c>
      <c r="B957" s="1" t="s">
        <v>2137</v>
      </c>
      <c r="C957" s="1" t="s">
        <v>2070</v>
      </c>
      <c r="D957" s="1" t="s">
        <v>2097</v>
      </c>
      <c r="E957" s="1" t="s">
        <v>2138</v>
      </c>
      <c r="F957" s="1" t="s">
        <v>16</v>
      </c>
      <c r="G957" s="1" t="s">
        <v>27</v>
      </c>
      <c r="H957" s="1" t="s">
        <v>28</v>
      </c>
      <c r="I957" s="1" t="s">
        <v>40</v>
      </c>
    </row>
    <row r="958">
      <c r="A958" s="1">
        <v>3276151.0</v>
      </c>
      <c r="B958" s="1" t="s">
        <v>2139</v>
      </c>
      <c r="C958" s="1" t="s">
        <v>2070</v>
      </c>
      <c r="D958" s="1" t="s">
        <v>2082</v>
      </c>
      <c r="E958" s="1" t="s">
        <v>2140</v>
      </c>
      <c r="F958" s="1" t="s">
        <v>16</v>
      </c>
      <c r="G958" s="1" t="s">
        <v>17</v>
      </c>
      <c r="H958" s="1" t="s">
        <v>18</v>
      </c>
      <c r="I958" s="1" t="s">
        <v>44</v>
      </c>
    </row>
    <row r="959">
      <c r="A959" s="1">
        <v>3275065.0</v>
      </c>
      <c r="B959" s="1" t="s">
        <v>2141</v>
      </c>
      <c r="C959" s="1" t="s">
        <v>2070</v>
      </c>
      <c r="D959" s="1" t="s">
        <v>2119</v>
      </c>
      <c r="E959" s="1" t="s">
        <v>2142</v>
      </c>
      <c r="F959" s="1" t="s">
        <v>16</v>
      </c>
      <c r="G959" s="1" t="s">
        <v>17</v>
      </c>
      <c r="H959" s="1" t="s">
        <v>18</v>
      </c>
      <c r="I959" s="1" t="s">
        <v>44</v>
      </c>
    </row>
    <row r="960">
      <c r="A960" s="1">
        <v>3217042.0</v>
      </c>
      <c r="B960" s="1" t="s">
        <v>2143</v>
      </c>
      <c r="C960" s="1" t="s">
        <v>2070</v>
      </c>
      <c r="D960" s="1" t="s">
        <v>2144</v>
      </c>
      <c r="E960" s="1" t="s">
        <v>2145</v>
      </c>
      <c r="F960" s="1" t="s">
        <v>174</v>
      </c>
      <c r="G960" s="1" t="s">
        <v>150</v>
      </c>
      <c r="H960" s="1" t="s">
        <v>28</v>
      </c>
      <c r="I960" s="1" t="s">
        <v>139</v>
      </c>
    </row>
    <row r="961">
      <c r="A961" s="1">
        <v>3274016.0</v>
      </c>
      <c r="B961" s="1" t="s">
        <v>2146</v>
      </c>
      <c r="C961" s="1" t="s">
        <v>2070</v>
      </c>
      <c r="D961" s="1" t="s">
        <v>2124</v>
      </c>
      <c r="E961" s="1" t="s">
        <v>2147</v>
      </c>
      <c r="F961" s="1" t="s">
        <v>16</v>
      </c>
      <c r="G961" s="1" t="s">
        <v>27</v>
      </c>
      <c r="H961" s="1" t="s">
        <v>28</v>
      </c>
      <c r="I961" s="1" t="s">
        <v>29</v>
      </c>
    </row>
    <row r="962">
      <c r="A962" s="1">
        <v>3279002.0</v>
      </c>
      <c r="B962" s="1" t="s">
        <v>2148</v>
      </c>
      <c r="C962" s="1" t="s">
        <v>2070</v>
      </c>
      <c r="D962" s="1" t="s">
        <v>2149</v>
      </c>
      <c r="E962" s="1" t="s">
        <v>2150</v>
      </c>
      <c r="F962" s="1" t="s">
        <v>16</v>
      </c>
      <c r="G962" s="1" t="s">
        <v>23</v>
      </c>
      <c r="H962" s="1" t="s">
        <v>18</v>
      </c>
      <c r="I962" s="1" t="s">
        <v>44</v>
      </c>
    </row>
    <row r="963">
      <c r="A963" s="1">
        <v>3202086.0</v>
      </c>
      <c r="B963" s="1" t="s">
        <v>2151</v>
      </c>
      <c r="C963" s="1" t="s">
        <v>2070</v>
      </c>
      <c r="D963" s="1" t="s">
        <v>2085</v>
      </c>
      <c r="E963" s="1" t="s">
        <v>2152</v>
      </c>
      <c r="F963" s="1" t="s">
        <v>16</v>
      </c>
      <c r="G963" s="1" t="s">
        <v>17</v>
      </c>
      <c r="H963" s="1" t="s">
        <v>18</v>
      </c>
      <c r="I963" s="1" t="s">
        <v>19</v>
      </c>
    </row>
    <row r="964">
      <c r="A964" s="1">
        <v>3204170.0</v>
      </c>
      <c r="B964" s="1" t="s">
        <v>2153</v>
      </c>
      <c r="C964" s="1" t="s">
        <v>2070</v>
      </c>
      <c r="D964" s="1" t="s">
        <v>2091</v>
      </c>
      <c r="E964" s="1" t="s">
        <v>2154</v>
      </c>
      <c r="F964" s="1" t="s">
        <v>16</v>
      </c>
      <c r="G964" s="1" t="s">
        <v>23</v>
      </c>
      <c r="H964" s="1" t="s">
        <v>18</v>
      </c>
      <c r="I964" s="1" t="s">
        <v>40</v>
      </c>
    </row>
    <row r="965">
      <c r="A965" s="1">
        <v>3203052.0</v>
      </c>
      <c r="B965" s="1" t="s">
        <v>2155</v>
      </c>
      <c r="C965" s="1" t="s">
        <v>2070</v>
      </c>
      <c r="D965" s="1" t="s">
        <v>2094</v>
      </c>
      <c r="E965" s="1" t="s">
        <v>2156</v>
      </c>
      <c r="F965" s="1" t="s">
        <v>16</v>
      </c>
      <c r="G965" s="1" t="s">
        <v>23</v>
      </c>
      <c r="H965" s="1" t="s">
        <v>18</v>
      </c>
      <c r="I965" s="1" t="s">
        <v>40</v>
      </c>
    </row>
    <row r="966">
      <c r="A966" s="1">
        <v>3275229.0</v>
      </c>
      <c r="B966" s="1" t="s">
        <v>2157</v>
      </c>
      <c r="C966" s="1" t="s">
        <v>2070</v>
      </c>
      <c r="D966" s="1" t="s">
        <v>2119</v>
      </c>
      <c r="E966" s="1" t="s">
        <v>2158</v>
      </c>
      <c r="F966" s="1" t="s">
        <v>16</v>
      </c>
      <c r="G966" s="1" t="s">
        <v>17</v>
      </c>
      <c r="H966" s="1" t="s">
        <v>18</v>
      </c>
      <c r="I966" s="1" t="s">
        <v>19</v>
      </c>
    </row>
    <row r="967">
      <c r="A967" s="1">
        <v>3275067.0</v>
      </c>
      <c r="B967" s="1" t="s">
        <v>2159</v>
      </c>
      <c r="C967" s="1" t="s">
        <v>2070</v>
      </c>
      <c r="D967" s="1" t="s">
        <v>2119</v>
      </c>
      <c r="E967" s="1" t="s">
        <v>2160</v>
      </c>
      <c r="F967" s="1" t="s">
        <v>16</v>
      </c>
      <c r="G967" s="1" t="s">
        <v>23</v>
      </c>
      <c r="H967" s="1" t="s">
        <v>28</v>
      </c>
      <c r="I967" s="1" t="s">
        <v>29</v>
      </c>
    </row>
    <row r="968">
      <c r="A968" s="1">
        <v>3207045.0</v>
      </c>
      <c r="B968" s="1" t="s">
        <v>2161</v>
      </c>
      <c r="C968" s="1" t="s">
        <v>2070</v>
      </c>
      <c r="D968" s="1" t="s">
        <v>2162</v>
      </c>
      <c r="E968" s="1" t="s">
        <v>2163</v>
      </c>
      <c r="F968" s="1" t="s">
        <v>16</v>
      </c>
      <c r="G968" s="1" t="s">
        <v>23</v>
      </c>
      <c r="H968" s="1" t="s">
        <v>18</v>
      </c>
      <c r="I968" s="1" t="s">
        <v>59</v>
      </c>
    </row>
    <row r="969">
      <c r="A969" s="1">
        <v>3207056.0</v>
      </c>
      <c r="B969" s="1" t="s">
        <v>2164</v>
      </c>
      <c r="C969" s="1" t="s">
        <v>2070</v>
      </c>
      <c r="D969" s="1" t="s">
        <v>2162</v>
      </c>
      <c r="E969" s="1" t="s">
        <v>2165</v>
      </c>
      <c r="F969" s="1" t="s">
        <v>16</v>
      </c>
      <c r="G969" s="1" t="s">
        <v>23</v>
      </c>
      <c r="H969" s="1" t="s">
        <v>18</v>
      </c>
      <c r="I969" s="1" t="s">
        <v>59</v>
      </c>
    </row>
    <row r="970">
      <c r="A970" s="1">
        <v>3276147.0</v>
      </c>
      <c r="B970" s="1" t="s">
        <v>2166</v>
      </c>
      <c r="C970" s="1" t="s">
        <v>2070</v>
      </c>
      <c r="D970" s="1" t="s">
        <v>2082</v>
      </c>
      <c r="E970" s="1" t="s">
        <v>2167</v>
      </c>
      <c r="F970" s="1" t="s">
        <v>55</v>
      </c>
      <c r="G970" s="1" t="s">
        <v>17</v>
      </c>
      <c r="H970" s="1" t="s">
        <v>18</v>
      </c>
      <c r="I970" s="1" t="s">
        <v>44</v>
      </c>
    </row>
    <row r="971">
      <c r="A971" s="1">
        <v>3209052.0</v>
      </c>
      <c r="B971" s="1" t="s">
        <v>2168</v>
      </c>
      <c r="C971" s="1" t="s">
        <v>2070</v>
      </c>
      <c r="D971" s="1" t="s">
        <v>2106</v>
      </c>
      <c r="E971" s="1" t="s">
        <v>2169</v>
      </c>
      <c r="F971" s="1" t="s">
        <v>16</v>
      </c>
      <c r="G971" s="1" t="s">
        <v>17</v>
      </c>
      <c r="H971" s="1" t="s">
        <v>18</v>
      </c>
      <c r="I971" s="1" t="s">
        <v>684</v>
      </c>
    </row>
    <row r="972">
      <c r="A972" s="1">
        <v>3201242.0</v>
      </c>
      <c r="B972" s="1" t="s">
        <v>2170</v>
      </c>
      <c r="C972" s="1" t="s">
        <v>2070</v>
      </c>
      <c r="D972" s="1" t="s">
        <v>2097</v>
      </c>
      <c r="E972" s="1" t="s">
        <v>2171</v>
      </c>
      <c r="F972" s="1" t="s">
        <v>55</v>
      </c>
      <c r="G972" s="1" t="s">
        <v>17</v>
      </c>
      <c r="H972" s="1" t="s">
        <v>18</v>
      </c>
      <c r="I972" s="1" t="s">
        <v>19</v>
      </c>
    </row>
    <row r="973">
      <c r="A973" s="1">
        <v>3201246.0</v>
      </c>
      <c r="B973" s="1" t="s">
        <v>2172</v>
      </c>
      <c r="C973" s="1" t="s">
        <v>2070</v>
      </c>
      <c r="D973" s="1" t="s">
        <v>2173</v>
      </c>
      <c r="E973" s="1" t="s">
        <v>2174</v>
      </c>
      <c r="F973" s="1" t="s">
        <v>55</v>
      </c>
      <c r="G973" s="1" t="s">
        <v>17</v>
      </c>
      <c r="H973" s="1" t="s">
        <v>18</v>
      </c>
      <c r="I973" s="1" t="s">
        <v>19</v>
      </c>
    </row>
    <row r="974">
      <c r="A974" s="1">
        <v>3213047.0</v>
      </c>
      <c r="B974" s="1" t="s">
        <v>2175</v>
      </c>
      <c r="C974" s="1" t="s">
        <v>2070</v>
      </c>
      <c r="D974" s="1" t="s">
        <v>2127</v>
      </c>
      <c r="E974" s="1" t="s">
        <v>2176</v>
      </c>
      <c r="F974" s="1" t="s">
        <v>16</v>
      </c>
      <c r="G974" s="1" t="s">
        <v>23</v>
      </c>
      <c r="H974" s="1" t="s">
        <v>18</v>
      </c>
      <c r="I974" s="1" t="s">
        <v>19</v>
      </c>
    </row>
    <row r="975">
      <c r="A975" s="1">
        <v>3203053.0</v>
      </c>
      <c r="B975" s="1" t="s">
        <v>2177</v>
      </c>
      <c r="C975" s="1" t="s">
        <v>2070</v>
      </c>
      <c r="D975" s="1" t="s">
        <v>2094</v>
      </c>
      <c r="E975" s="1" t="s">
        <v>2178</v>
      </c>
      <c r="F975" s="1" t="s">
        <v>16</v>
      </c>
      <c r="G975" s="1" t="s">
        <v>17</v>
      </c>
      <c r="H975" s="1" t="s">
        <v>18</v>
      </c>
      <c r="I975" s="1" t="s">
        <v>44</v>
      </c>
    </row>
    <row r="976">
      <c r="A976" s="1">
        <v>3271126.0</v>
      </c>
      <c r="B976" s="1" t="s">
        <v>2179</v>
      </c>
      <c r="C976" s="1" t="s">
        <v>2070</v>
      </c>
      <c r="D976" s="1" t="s">
        <v>2173</v>
      </c>
      <c r="E976" s="1" t="s">
        <v>2180</v>
      </c>
      <c r="F976" s="1" t="s">
        <v>16</v>
      </c>
      <c r="G976" s="1" t="s">
        <v>17</v>
      </c>
      <c r="H976" s="1" t="s">
        <v>18</v>
      </c>
      <c r="I976" s="1" t="s">
        <v>44</v>
      </c>
    </row>
    <row r="977">
      <c r="A977" s="1">
        <v>3214040.0</v>
      </c>
      <c r="B977" s="1" t="s">
        <v>2181</v>
      </c>
      <c r="C977" s="1" t="s">
        <v>2070</v>
      </c>
      <c r="D977" s="1" t="s">
        <v>2182</v>
      </c>
      <c r="E977" s="1" t="s">
        <v>2183</v>
      </c>
      <c r="F977" s="1" t="s">
        <v>16</v>
      </c>
      <c r="G977" s="1" t="s">
        <v>23</v>
      </c>
      <c r="H977" s="1" t="s">
        <v>18</v>
      </c>
      <c r="I977" s="1" t="s">
        <v>44</v>
      </c>
    </row>
    <row r="978">
      <c r="A978" s="1">
        <v>3213010.0</v>
      </c>
      <c r="B978" s="1" t="s">
        <v>2184</v>
      </c>
      <c r="C978" s="1" t="s">
        <v>2070</v>
      </c>
      <c r="D978" s="1" t="s">
        <v>2127</v>
      </c>
      <c r="E978" s="1" t="s">
        <v>2185</v>
      </c>
      <c r="F978" s="1" t="s">
        <v>16</v>
      </c>
      <c r="G978" s="1" t="s">
        <v>27</v>
      </c>
      <c r="H978" s="1" t="s">
        <v>28</v>
      </c>
      <c r="I978" s="1" t="s">
        <v>40</v>
      </c>
    </row>
    <row r="979">
      <c r="A979" s="1">
        <v>3275052.0</v>
      </c>
      <c r="B979" s="1" t="s">
        <v>2186</v>
      </c>
      <c r="C979" s="1" t="s">
        <v>2070</v>
      </c>
      <c r="D979" s="1" t="s">
        <v>2119</v>
      </c>
      <c r="E979" s="1" t="s">
        <v>2187</v>
      </c>
      <c r="F979" s="1" t="s">
        <v>16</v>
      </c>
      <c r="G979" s="1" t="s">
        <v>17</v>
      </c>
      <c r="H979" s="1" t="s">
        <v>18</v>
      </c>
      <c r="I979" s="1" t="s">
        <v>19</v>
      </c>
    </row>
    <row r="980">
      <c r="A980" s="1">
        <v>3212058.0</v>
      </c>
      <c r="B980" s="1" t="s">
        <v>2188</v>
      </c>
      <c r="C980" s="1" t="s">
        <v>2070</v>
      </c>
      <c r="D980" s="1" t="s">
        <v>2189</v>
      </c>
      <c r="E980" s="1" t="s">
        <v>2190</v>
      </c>
      <c r="F980" s="1" t="s">
        <v>55</v>
      </c>
      <c r="G980" s="1" t="s">
        <v>17</v>
      </c>
      <c r="H980" s="1" t="s">
        <v>18</v>
      </c>
      <c r="I980" s="1" t="s">
        <v>19</v>
      </c>
    </row>
    <row r="981">
      <c r="A981" s="1">
        <v>3215089.0</v>
      </c>
      <c r="B981" s="1" t="s">
        <v>2191</v>
      </c>
      <c r="C981" s="1" t="s">
        <v>2070</v>
      </c>
      <c r="D981" s="1" t="s">
        <v>2071</v>
      </c>
      <c r="E981" s="1" t="s">
        <v>2192</v>
      </c>
      <c r="F981" s="1" t="s">
        <v>16</v>
      </c>
      <c r="G981" s="1" t="s">
        <v>23</v>
      </c>
      <c r="H981" s="1" t="s">
        <v>18</v>
      </c>
      <c r="I981" s="1" t="s">
        <v>19</v>
      </c>
    </row>
    <row r="982">
      <c r="A982" s="1">
        <v>3216415.0</v>
      </c>
      <c r="B982" s="1" t="s">
        <v>2193</v>
      </c>
      <c r="C982" s="1" t="s">
        <v>2070</v>
      </c>
      <c r="D982" s="1" t="s">
        <v>2079</v>
      </c>
      <c r="E982" s="1" t="s">
        <v>2194</v>
      </c>
      <c r="F982" s="1" t="s">
        <v>16</v>
      </c>
      <c r="G982" s="1" t="s">
        <v>17</v>
      </c>
      <c r="H982" s="1" t="s">
        <v>18</v>
      </c>
      <c r="I982" s="1" t="s">
        <v>19</v>
      </c>
    </row>
    <row r="983">
      <c r="A983" s="1">
        <v>3208061.0</v>
      </c>
      <c r="B983" s="1" t="s">
        <v>2195</v>
      </c>
      <c r="C983" s="1" t="s">
        <v>2070</v>
      </c>
      <c r="D983" s="1" t="s">
        <v>2074</v>
      </c>
      <c r="E983" s="1" t="s">
        <v>2196</v>
      </c>
      <c r="F983" s="1" t="s">
        <v>1884</v>
      </c>
      <c r="G983" s="1" t="s">
        <v>27</v>
      </c>
      <c r="H983" s="1" t="s">
        <v>18</v>
      </c>
      <c r="I983" s="1" t="s">
        <v>44</v>
      </c>
    </row>
    <row r="984">
      <c r="A984" s="1">
        <v>3202051.0</v>
      </c>
      <c r="B984" s="1" t="s">
        <v>2197</v>
      </c>
      <c r="C984" s="1" t="s">
        <v>2070</v>
      </c>
      <c r="D984" s="1" t="s">
        <v>2085</v>
      </c>
      <c r="E984" s="1" t="s">
        <v>2198</v>
      </c>
      <c r="F984" s="1" t="s">
        <v>16</v>
      </c>
      <c r="G984" s="1" t="s">
        <v>17</v>
      </c>
      <c r="H984" s="1" t="s">
        <v>28</v>
      </c>
      <c r="I984" s="1" t="s">
        <v>139</v>
      </c>
    </row>
    <row r="985">
      <c r="A985" s="1">
        <v>3273442.0</v>
      </c>
      <c r="B985" s="1" t="s">
        <v>2199</v>
      </c>
      <c r="C985" s="1" t="s">
        <v>2070</v>
      </c>
      <c r="D985" s="1" t="s">
        <v>2091</v>
      </c>
      <c r="E985" s="1" t="s">
        <v>2200</v>
      </c>
      <c r="F985" s="1" t="s">
        <v>16</v>
      </c>
      <c r="G985" s="1" t="s">
        <v>23</v>
      </c>
      <c r="H985" s="1" t="s">
        <v>18</v>
      </c>
      <c r="I985" s="1" t="s">
        <v>19</v>
      </c>
    </row>
    <row r="986">
      <c r="A986" s="1">
        <v>3216420.0</v>
      </c>
      <c r="B986" s="1" t="s">
        <v>2201</v>
      </c>
      <c r="C986" s="1" t="s">
        <v>2070</v>
      </c>
      <c r="D986" s="1" t="s">
        <v>2079</v>
      </c>
      <c r="E986" s="1" t="s">
        <v>2202</v>
      </c>
      <c r="F986" s="1" t="s">
        <v>16</v>
      </c>
      <c r="G986" s="1" t="s">
        <v>17</v>
      </c>
      <c r="H986" s="1" t="s">
        <v>18</v>
      </c>
      <c r="I986" s="1" t="s">
        <v>44</v>
      </c>
    </row>
    <row r="987">
      <c r="A987" s="1">
        <v>3212071.0</v>
      </c>
      <c r="B987" s="1" t="s">
        <v>2203</v>
      </c>
      <c r="C987" s="1" t="s">
        <v>2070</v>
      </c>
      <c r="D987" s="1" t="s">
        <v>2189</v>
      </c>
      <c r="E987" s="1" t="s">
        <v>2204</v>
      </c>
      <c r="F987" s="1" t="s">
        <v>16</v>
      </c>
      <c r="G987" s="1" t="s">
        <v>23</v>
      </c>
      <c r="H987" s="1" t="s">
        <v>18</v>
      </c>
      <c r="I987" s="1" t="s">
        <v>684</v>
      </c>
    </row>
    <row r="988">
      <c r="A988" s="1">
        <v>3216152.0</v>
      </c>
      <c r="B988" s="1" t="s">
        <v>2205</v>
      </c>
      <c r="C988" s="1" t="s">
        <v>2070</v>
      </c>
      <c r="D988" s="1" t="s">
        <v>2079</v>
      </c>
      <c r="E988" s="1" t="s">
        <v>2206</v>
      </c>
      <c r="F988" s="1" t="s">
        <v>16</v>
      </c>
      <c r="G988" s="1" t="s">
        <v>27</v>
      </c>
      <c r="H988" s="1" t="s">
        <v>18</v>
      </c>
      <c r="I988" s="1" t="s">
        <v>19</v>
      </c>
    </row>
    <row r="989">
      <c r="A989" s="1">
        <v>3276152.0</v>
      </c>
      <c r="B989" s="1" t="s">
        <v>2207</v>
      </c>
      <c r="C989" s="1" t="s">
        <v>2070</v>
      </c>
      <c r="D989" s="1" t="s">
        <v>2082</v>
      </c>
      <c r="E989" s="1" t="s">
        <v>2208</v>
      </c>
      <c r="F989" s="1" t="s">
        <v>16</v>
      </c>
      <c r="G989" s="1" t="s">
        <v>17</v>
      </c>
      <c r="H989" s="1" t="s">
        <v>18</v>
      </c>
      <c r="I989" s="1" t="s">
        <v>19</v>
      </c>
    </row>
    <row r="990">
      <c r="A990" s="1">
        <v>3213049.0</v>
      </c>
      <c r="B990" s="1" t="s">
        <v>2209</v>
      </c>
      <c r="C990" s="1" t="s">
        <v>2070</v>
      </c>
      <c r="D990" s="1" t="s">
        <v>2127</v>
      </c>
      <c r="E990" s="1" t="s">
        <v>2210</v>
      </c>
      <c r="F990" s="1" t="s">
        <v>55</v>
      </c>
      <c r="G990" s="1" t="s">
        <v>17</v>
      </c>
      <c r="H990" s="1" t="s">
        <v>18</v>
      </c>
      <c r="I990" s="1" t="s">
        <v>44</v>
      </c>
    </row>
    <row r="991">
      <c r="A991" s="1">
        <v>3216462.0</v>
      </c>
      <c r="B991" s="1" t="s">
        <v>2211</v>
      </c>
      <c r="C991" s="1" t="s">
        <v>2070</v>
      </c>
      <c r="D991" s="1" t="s">
        <v>2079</v>
      </c>
      <c r="E991" s="1" t="s">
        <v>2212</v>
      </c>
      <c r="F991" s="1" t="s">
        <v>16</v>
      </c>
      <c r="G991" s="1" t="s">
        <v>23</v>
      </c>
      <c r="H991" s="1" t="s">
        <v>18</v>
      </c>
      <c r="I991" s="1" t="s">
        <v>44</v>
      </c>
    </row>
    <row r="992">
      <c r="A992" s="1">
        <v>3205021.0</v>
      </c>
      <c r="B992" s="1" t="s">
        <v>2213</v>
      </c>
      <c r="C992" s="1" t="s">
        <v>2070</v>
      </c>
      <c r="D992" s="1" t="s">
        <v>2214</v>
      </c>
      <c r="E992" s="1" t="s">
        <v>2215</v>
      </c>
      <c r="F992" s="1" t="s">
        <v>16</v>
      </c>
      <c r="G992" s="1" t="s">
        <v>17</v>
      </c>
      <c r="H992" s="1" t="s">
        <v>33</v>
      </c>
      <c r="I992" s="1" t="s">
        <v>74</v>
      </c>
    </row>
    <row r="993">
      <c r="A993" s="1">
        <v>3277021.0</v>
      </c>
      <c r="B993" s="1" t="s">
        <v>2216</v>
      </c>
      <c r="C993" s="1" t="s">
        <v>2070</v>
      </c>
      <c r="D993" s="1" t="s">
        <v>2217</v>
      </c>
      <c r="E993" s="1" t="s">
        <v>2218</v>
      </c>
      <c r="F993" s="1" t="s">
        <v>16</v>
      </c>
      <c r="G993" s="1" t="s">
        <v>17</v>
      </c>
      <c r="H993" s="1" t="s">
        <v>18</v>
      </c>
      <c r="I993" s="1" t="s">
        <v>44</v>
      </c>
    </row>
    <row r="994">
      <c r="A994" s="1">
        <v>3209144.0</v>
      </c>
      <c r="B994" s="1" t="s">
        <v>2219</v>
      </c>
      <c r="C994" s="1" t="s">
        <v>2070</v>
      </c>
      <c r="D994" s="1" t="s">
        <v>2106</v>
      </c>
      <c r="E994" s="1" t="s">
        <v>2220</v>
      </c>
      <c r="F994" s="1" t="s">
        <v>16</v>
      </c>
      <c r="G994" s="1" t="s">
        <v>17</v>
      </c>
      <c r="H994" s="1" t="s">
        <v>18</v>
      </c>
      <c r="I994" s="1" t="s">
        <v>19</v>
      </c>
    </row>
    <row r="995">
      <c r="A995" s="1">
        <v>3271013.0</v>
      </c>
      <c r="B995" s="1" t="s">
        <v>2221</v>
      </c>
      <c r="C995" s="1" t="s">
        <v>2070</v>
      </c>
      <c r="D995" s="1" t="s">
        <v>2173</v>
      </c>
      <c r="E995" s="1" t="s">
        <v>2222</v>
      </c>
      <c r="F995" s="1" t="s">
        <v>16</v>
      </c>
      <c r="G995" s="1" t="s">
        <v>27</v>
      </c>
      <c r="H995" s="1" t="s">
        <v>18</v>
      </c>
      <c r="I995" s="1" t="s">
        <v>59</v>
      </c>
    </row>
    <row r="996">
      <c r="A996" s="1">
        <v>3276028.0</v>
      </c>
      <c r="B996" s="1" t="s">
        <v>2223</v>
      </c>
      <c r="C996" s="1" t="s">
        <v>2070</v>
      </c>
      <c r="D996" s="1" t="s">
        <v>2082</v>
      </c>
      <c r="E996" s="1" t="s">
        <v>2224</v>
      </c>
      <c r="F996" s="1" t="s">
        <v>16</v>
      </c>
      <c r="G996" s="1" t="s">
        <v>17</v>
      </c>
      <c r="H996" s="1" t="s">
        <v>18</v>
      </c>
      <c r="I996" s="1" t="s">
        <v>44</v>
      </c>
    </row>
    <row r="997">
      <c r="A997" s="1">
        <v>3204130.0</v>
      </c>
      <c r="B997" s="1" t="s">
        <v>2225</v>
      </c>
      <c r="C997" s="1" t="s">
        <v>2070</v>
      </c>
      <c r="D997" s="1" t="s">
        <v>2088</v>
      </c>
      <c r="E997" s="1" t="s">
        <v>2226</v>
      </c>
      <c r="F997" s="1" t="s">
        <v>272</v>
      </c>
      <c r="G997" s="1" t="s">
        <v>17</v>
      </c>
      <c r="H997" s="1" t="s">
        <v>18</v>
      </c>
      <c r="I997" s="1" t="s">
        <v>19</v>
      </c>
    </row>
    <row r="998">
      <c r="A998" s="1">
        <v>3210014.0</v>
      </c>
      <c r="B998" s="1" t="s">
        <v>2227</v>
      </c>
      <c r="C998" s="1" t="s">
        <v>2070</v>
      </c>
      <c r="D998" s="1" t="s">
        <v>2228</v>
      </c>
      <c r="E998" s="1" t="s">
        <v>2229</v>
      </c>
      <c r="F998" s="1" t="s">
        <v>16</v>
      </c>
      <c r="G998" s="1" t="s">
        <v>17</v>
      </c>
      <c r="H998" s="1" t="s">
        <v>28</v>
      </c>
      <c r="I998" s="1" t="s">
        <v>40</v>
      </c>
    </row>
    <row r="999">
      <c r="A999" s="1">
        <v>3216351.0</v>
      </c>
      <c r="B999" s="1" t="s">
        <v>2230</v>
      </c>
      <c r="C999" s="1" t="s">
        <v>2070</v>
      </c>
      <c r="D999" s="1" t="s">
        <v>2079</v>
      </c>
      <c r="E999" s="1" t="s">
        <v>2231</v>
      </c>
      <c r="F999" s="1" t="s">
        <v>16</v>
      </c>
      <c r="G999" s="1" t="s">
        <v>17</v>
      </c>
      <c r="H999" s="1" t="s">
        <v>18</v>
      </c>
      <c r="I999" s="1" t="s">
        <v>19</v>
      </c>
    </row>
    <row r="1000">
      <c r="A1000" s="1">
        <v>3201229.0</v>
      </c>
      <c r="B1000" s="1" t="s">
        <v>2232</v>
      </c>
      <c r="C1000" s="1" t="s">
        <v>2070</v>
      </c>
      <c r="D1000" s="1" t="s">
        <v>2097</v>
      </c>
      <c r="E1000" s="1" t="s">
        <v>2233</v>
      </c>
      <c r="F1000" s="1" t="s">
        <v>16</v>
      </c>
      <c r="G1000" s="1" t="s">
        <v>17</v>
      </c>
      <c r="H1000" s="1" t="s">
        <v>18</v>
      </c>
      <c r="I1000" s="1" t="s">
        <v>19</v>
      </c>
    </row>
    <row r="1001">
      <c r="A1001" s="1">
        <v>3205023.0</v>
      </c>
      <c r="B1001" s="1" t="s">
        <v>2234</v>
      </c>
      <c r="C1001" s="1" t="s">
        <v>2070</v>
      </c>
      <c r="D1001" s="1" t="s">
        <v>2214</v>
      </c>
      <c r="E1001" s="1" t="s">
        <v>2235</v>
      </c>
      <c r="F1001" s="1" t="s">
        <v>16</v>
      </c>
      <c r="G1001" s="1" t="s">
        <v>23</v>
      </c>
      <c r="H1001" s="1" t="s">
        <v>18</v>
      </c>
      <c r="I1001" s="1" t="s">
        <v>59</v>
      </c>
    </row>
    <row r="1002">
      <c r="A1002" s="1">
        <v>3205026.0</v>
      </c>
      <c r="B1002" s="1" t="s">
        <v>2236</v>
      </c>
      <c r="C1002" s="1" t="s">
        <v>2070</v>
      </c>
      <c r="D1002" s="1" t="s">
        <v>2214</v>
      </c>
      <c r="E1002" s="1" t="s">
        <v>2237</v>
      </c>
      <c r="F1002" s="1" t="s">
        <v>16</v>
      </c>
      <c r="G1002" s="1" t="s">
        <v>17</v>
      </c>
      <c r="H1002" s="1" t="s">
        <v>18</v>
      </c>
      <c r="I1002" s="1" t="s">
        <v>19</v>
      </c>
    </row>
    <row r="1003">
      <c r="A1003" s="1">
        <v>3204137.0</v>
      </c>
      <c r="B1003" s="1" t="s">
        <v>2238</v>
      </c>
      <c r="C1003" s="1" t="s">
        <v>2070</v>
      </c>
      <c r="D1003" s="1" t="s">
        <v>2088</v>
      </c>
      <c r="E1003" s="1" t="s">
        <v>2239</v>
      </c>
      <c r="F1003" s="1" t="s">
        <v>16</v>
      </c>
      <c r="G1003" s="1" t="s">
        <v>23</v>
      </c>
      <c r="H1003" s="1" t="s">
        <v>18</v>
      </c>
      <c r="I1003" s="1" t="s">
        <v>19</v>
      </c>
    </row>
    <row r="1004">
      <c r="A1004" s="1">
        <v>3273561.0</v>
      </c>
      <c r="B1004" s="1" t="s">
        <v>2240</v>
      </c>
      <c r="C1004" s="1" t="s">
        <v>2070</v>
      </c>
      <c r="D1004" s="1" t="s">
        <v>2088</v>
      </c>
      <c r="E1004" s="1" t="s">
        <v>2241</v>
      </c>
      <c r="F1004" s="1" t="s">
        <v>16</v>
      </c>
      <c r="G1004" s="1" t="s">
        <v>17</v>
      </c>
      <c r="H1004" s="1" t="s">
        <v>18</v>
      </c>
      <c r="I1004" s="1" t="s">
        <v>19</v>
      </c>
    </row>
    <row r="1005">
      <c r="A1005" s="1">
        <v>3201035.0</v>
      </c>
      <c r="B1005" s="1" t="s">
        <v>2242</v>
      </c>
      <c r="C1005" s="1" t="s">
        <v>2070</v>
      </c>
      <c r="D1005" s="1" t="s">
        <v>2082</v>
      </c>
      <c r="E1005" s="1" t="s">
        <v>2243</v>
      </c>
      <c r="F1005" s="1" t="s">
        <v>16</v>
      </c>
      <c r="G1005" s="1" t="s">
        <v>17</v>
      </c>
      <c r="H1005" s="1" t="s">
        <v>18</v>
      </c>
      <c r="I1005" s="1" t="s">
        <v>59</v>
      </c>
    </row>
    <row r="1006">
      <c r="A1006" s="1">
        <v>3273052.0</v>
      </c>
      <c r="B1006" s="1" t="s">
        <v>2244</v>
      </c>
      <c r="C1006" s="1" t="s">
        <v>2070</v>
      </c>
      <c r="D1006" s="1" t="s">
        <v>2088</v>
      </c>
      <c r="E1006" s="1" t="s">
        <v>2245</v>
      </c>
      <c r="F1006" s="1" t="s">
        <v>16</v>
      </c>
      <c r="G1006" s="1" t="s">
        <v>27</v>
      </c>
      <c r="H1006" s="1" t="s">
        <v>18</v>
      </c>
      <c r="I1006" s="1" t="s">
        <v>258</v>
      </c>
    </row>
    <row r="1007">
      <c r="A1007" s="1">
        <v>3274100.0</v>
      </c>
      <c r="B1007" s="1" t="s">
        <v>2246</v>
      </c>
      <c r="C1007" s="1" t="s">
        <v>2070</v>
      </c>
      <c r="D1007" s="1" t="s">
        <v>2124</v>
      </c>
      <c r="E1007" s="1" t="s">
        <v>2247</v>
      </c>
      <c r="F1007" s="1" t="s">
        <v>16</v>
      </c>
      <c r="G1007" s="1" t="s">
        <v>23</v>
      </c>
      <c r="H1007" s="1" t="s">
        <v>18</v>
      </c>
      <c r="I1007" s="1" t="s">
        <v>59</v>
      </c>
    </row>
    <row r="1008">
      <c r="A1008" s="1">
        <v>3214034.0</v>
      </c>
      <c r="B1008" s="1" t="s">
        <v>2248</v>
      </c>
      <c r="C1008" s="1" t="s">
        <v>2070</v>
      </c>
      <c r="D1008" s="1" t="s">
        <v>2182</v>
      </c>
      <c r="E1008" s="1" t="s">
        <v>2249</v>
      </c>
      <c r="F1008" s="1" t="s">
        <v>16</v>
      </c>
      <c r="G1008" s="1" t="s">
        <v>17</v>
      </c>
      <c r="H1008" s="1" t="s">
        <v>18</v>
      </c>
      <c r="I1008" s="1" t="s">
        <v>44</v>
      </c>
    </row>
    <row r="1009">
      <c r="A1009" s="1">
        <v>3201152.0</v>
      </c>
      <c r="B1009" s="1" t="s">
        <v>2250</v>
      </c>
      <c r="C1009" s="1" t="s">
        <v>2070</v>
      </c>
      <c r="D1009" s="1" t="s">
        <v>2097</v>
      </c>
      <c r="E1009" s="1" t="s">
        <v>2251</v>
      </c>
      <c r="F1009" s="1" t="s">
        <v>16</v>
      </c>
      <c r="G1009" s="1" t="s">
        <v>17</v>
      </c>
      <c r="H1009" s="1" t="s">
        <v>18</v>
      </c>
      <c r="I1009" s="1" t="s">
        <v>19</v>
      </c>
    </row>
    <row r="1010">
      <c r="A1010" s="1">
        <v>3273176.0</v>
      </c>
      <c r="B1010" s="1" t="s">
        <v>2252</v>
      </c>
      <c r="C1010" s="1" t="s">
        <v>2070</v>
      </c>
      <c r="D1010" s="1" t="s">
        <v>2088</v>
      </c>
      <c r="E1010" s="1" t="s">
        <v>2253</v>
      </c>
      <c r="F1010" s="1" t="s">
        <v>16</v>
      </c>
      <c r="G1010" s="1" t="s">
        <v>23</v>
      </c>
      <c r="H1010" s="1" t="s">
        <v>18</v>
      </c>
      <c r="I1010" s="1" t="s">
        <v>74</v>
      </c>
    </row>
    <row r="1011">
      <c r="A1011" s="1">
        <v>3274134.0</v>
      </c>
      <c r="B1011" s="1" t="s">
        <v>2254</v>
      </c>
      <c r="C1011" s="1" t="s">
        <v>2070</v>
      </c>
      <c r="D1011" s="1" t="s">
        <v>2124</v>
      </c>
      <c r="E1011" s="1" t="s">
        <v>2255</v>
      </c>
      <c r="F1011" s="1" t="s">
        <v>16</v>
      </c>
      <c r="G1011" s="1" t="s">
        <v>17</v>
      </c>
      <c r="H1011" s="1" t="s">
        <v>18</v>
      </c>
      <c r="I1011" s="1" t="s">
        <v>19</v>
      </c>
    </row>
    <row r="1012">
      <c r="A1012" s="1">
        <v>3216072.0</v>
      </c>
      <c r="B1012" s="1" t="s">
        <v>2256</v>
      </c>
      <c r="C1012" s="1" t="s">
        <v>2070</v>
      </c>
      <c r="D1012" s="1" t="s">
        <v>2079</v>
      </c>
      <c r="E1012" s="1" t="s">
        <v>2257</v>
      </c>
      <c r="F1012" s="1" t="s">
        <v>16</v>
      </c>
      <c r="G1012" s="1" t="s">
        <v>17</v>
      </c>
      <c r="H1012" s="1" t="s">
        <v>18</v>
      </c>
      <c r="I1012" s="1" t="s">
        <v>59</v>
      </c>
    </row>
    <row r="1013">
      <c r="A1013" s="1">
        <v>3204086.0</v>
      </c>
      <c r="B1013" s="1" t="s">
        <v>2258</v>
      </c>
      <c r="C1013" s="1" t="s">
        <v>2070</v>
      </c>
      <c r="D1013" s="1" t="s">
        <v>2091</v>
      </c>
      <c r="E1013" s="1" t="s">
        <v>2259</v>
      </c>
      <c r="F1013" s="1" t="s">
        <v>16</v>
      </c>
      <c r="G1013" s="1" t="s">
        <v>27</v>
      </c>
      <c r="H1013" s="1" t="s">
        <v>28</v>
      </c>
      <c r="I1013" s="1" t="s">
        <v>139</v>
      </c>
    </row>
    <row r="1014">
      <c r="A1014" s="1">
        <v>3274031.0</v>
      </c>
      <c r="B1014" s="1" t="s">
        <v>2260</v>
      </c>
      <c r="C1014" s="1" t="s">
        <v>2070</v>
      </c>
      <c r="D1014" s="1" t="s">
        <v>2124</v>
      </c>
      <c r="E1014" s="1" t="s">
        <v>2261</v>
      </c>
      <c r="F1014" s="1" t="s">
        <v>16</v>
      </c>
      <c r="G1014" s="1" t="s">
        <v>17</v>
      </c>
      <c r="H1014" s="1" t="s">
        <v>18</v>
      </c>
      <c r="I1014" s="1" t="s">
        <v>19</v>
      </c>
    </row>
    <row r="1015">
      <c r="A1015" s="1">
        <v>3277019.0</v>
      </c>
      <c r="B1015" s="1" t="s">
        <v>2262</v>
      </c>
      <c r="C1015" s="1" t="s">
        <v>2070</v>
      </c>
      <c r="D1015" s="1" t="s">
        <v>2217</v>
      </c>
      <c r="E1015" s="1" t="s">
        <v>2263</v>
      </c>
      <c r="F1015" s="1" t="s">
        <v>16</v>
      </c>
      <c r="G1015" s="1" t="s">
        <v>17</v>
      </c>
      <c r="H1015" s="1" t="s">
        <v>18</v>
      </c>
      <c r="I1015" s="1" t="s">
        <v>44</v>
      </c>
    </row>
    <row r="1016">
      <c r="A1016" s="1">
        <v>3216421.0</v>
      </c>
      <c r="B1016" s="1" t="s">
        <v>2264</v>
      </c>
      <c r="C1016" s="1" t="s">
        <v>2070</v>
      </c>
      <c r="D1016" s="1" t="s">
        <v>2079</v>
      </c>
      <c r="E1016" s="1" t="s">
        <v>2265</v>
      </c>
      <c r="F1016" s="1" t="s">
        <v>16</v>
      </c>
      <c r="G1016" s="1" t="s">
        <v>23</v>
      </c>
      <c r="H1016" s="1" t="s">
        <v>18</v>
      </c>
      <c r="I1016" s="1" t="s">
        <v>19</v>
      </c>
    </row>
    <row r="1017">
      <c r="A1017" s="1">
        <v>3216426.0</v>
      </c>
      <c r="B1017" s="1" t="s">
        <v>2266</v>
      </c>
      <c r="C1017" s="1" t="s">
        <v>2070</v>
      </c>
      <c r="D1017" s="1" t="s">
        <v>2079</v>
      </c>
      <c r="E1017" s="1" t="s">
        <v>2267</v>
      </c>
      <c r="F1017" s="1" t="s">
        <v>16</v>
      </c>
      <c r="G1017" s="1" t="s">
        <v>17</v>
      </c>
      <c r="H1017" s="1" t="s">
        <v>18</v>
      </c>
      <c r="I1017" s="1" t="s">
        <v>44</v>
      </c>
    </row>
    <row r="1018">
      <c r="A1018" s="1">
        <v>3201251.0</v>
      </c>
      <c r="B1018" s="1" t="s">
        <v>2268</v>
      </c>
      <c r="C1018" s="1" t="s">
        <v>2070</v>
      </c>
      <c r="D1018" s="1" t="s">
        <v>2173</v>
      </c>
      <c r="E1018" s="1" t="s">
        <v>2269</v>
      </c>
      <c r="F1018" s="1" t="s">
        <v>16</v>
      </c>
      <c r="G1018" s="1" t="s">
        <v>17</v>
      </c>
      <c r="H1018" s="1" t="s">
        <v>18</v>
      </c>
      <c r="I1018" s="1" t="s">
        <v>44</v>
      </c>
    </row>
    <row r="1019">
      <c r="A1019" s="1">
        <v>3218001.0</v>
      </c>
      <c r="B1019" s="1" t="s">
        <v>2270</v>
      </c>
      <c r="C1019" s="1" t="s">
        <v>2070</v>
      </c>
      <c r="D1019" s="1" t="s">
        <v>2271</v>
      </c>
      <c r="E1019" s="1" t="s">
        <v>2272</v>
      </c>
      <c r="F1019" s="1" t="s">
        <v>16</v>
      </c>
      <c r="G1019" s="1" t="s">
        <v>17</v>
      </c>
      <c r="H1019" s="1" t="s">
        <v>28</v>
      </c>
      <c r="I1019" s="1" t="s">
        <v>40</v>
      </c>
    </row>
    <row r="1020">
      <c r="A1020" s="1">
        <v>3275263.0</v>
      </c>
      <c r="B1020" s="1" t="s">
        <v>2273</v>
      </c>
      <c r="C1020" s="1" t="s">
        <v>2070</v>
      </c>
      <c r="D1020" s="1" t="s">
        <v>2119</v>
      </c>
      <c r="E1020" s="1" t="s">
        <v>2274</v>
      </c>
      <c r="F1020" s="1" t="s">
        <v>16</v>
      </c>
      <c r="G1020" s="1" t="s">
        <v>17</v>
      </c>
      <c r="H1020" s="1" t="s">
        <v>18</v>
      </c>
      <c r="I1020" s="1" t="s">
        <v>19</v>
      </c>
    </row>
    <row r="1021">
      <c r="A1021" s="1">
        <v>3208024.0</v>
      </c>
      <c r="B1021" s="1" t="s">
        <v>2275</v>
      </c>
      <c r="C1021" s="1" t="s">
        <v>2070</v>
      </c>
      <c r="D1021" s="1" t="s">
        <v>2074</v>
      </c>
      <c r="E1021" s="1" t="s">
        <v>2276</v>
      </c>
      <c r="F1021" s="1" t="s">
        <v>16</v>
      </c>
      <c r="G1021" s="1" t="s">
        <v>17</v>
      </c>
      <c r="H1021" s="1" t="s">
        <v>18</v>
      </c>
      <c r="I1021" s="1" t="s">
        <v>59</v>
      </c>
    </row>
    <row r="1022">
      <c r="A1022" s="1">
        <v>3212042.0</v>
      </c>
      <c r="B1022" s="1" t="s">
        <v>2277</v>
      </c>
      <c r="C1022" s="1" t="s">
        <v>2070</v>
      </c>
      <c r="D1022" s="1" t="s">
        <v>2189</v>
      </c>
      <c r="E1022" s="1" t="s">
        <v>2278</v>
      </c>
      <c r="F1022" s="1" t="s">
        <v>16</v>
      </c>
      <c r="G1022" s="1" t="s">
        <v>17</v>
      </c>
      <c r="H1022" s="1" t="s">
        <v>33</v>
      </c>
      <c r="I1022" s="1" t="s">
        <v>65</v>
      </c>
    </row>
    <row r="1023">
      <c r="A1023" s="1">
        <v>3201240.0</v>
      </c>
      <c r="B1023" s="1" t="s">
        <v>2279</v>
      </c>
      <c r="C1023" s="1" t="s">
        <v>2070</v>
      </c>
      <c r="D1023" s="1" t="s">
        <v>2173</v>
      </c>
      <c r="E1023" s="1" t="s">
        <v>2280</v>
      </c>
      <c r="F1023" s="1" t="s">
        <v>16</v>
      </c>
      <c r="G1023" s="1" t="s">
        <v>17</v>
      </c>
      <c r="H1023" s="1" t="s">
        <v>18</v>
      </c>
      <c r="I1023" s="1" t="s">
        <v>19</v>
      </c>
    </row>
    <row r="1024">
      <c r="A1024" s="1">
        <v>3275062.0</v>
      </c>
      <c r="B1024" s="1" t="s">
        <v>2281</v>
      </c>
      <c r="C1024" s="1" t="s">
        <v>2070</v>
      </c>
      <c r="D1024" s="1" t="s">
        <v>2119</v>
      </c>
      <c r="E1024" s="1" t="s">
        <v>2282</v>
      </c>
      <c r="F1024" s="1" t="s">
        <v>16</v>
      </c>
      <c r="G1024" s="1" t="s">
        <v>17</v>
      </c>
      <c r="H1024" s="1" t="s">
        <v>18</v>
      </c>
      <c r="I1024" s="1" t="s">
        <v>19</v>
      </c>
    </row>
    <row r="1025">
      <c r="A1025" s="1">
        <v>3210049.0</v>
      </c>
      <c r="B1025" s="1" t="s">
        <v>2283</v>
      </c>
      <c r="C1025" s="1" t="s">
        <v>2070</v>
      </c>
      <c r="D1025" s="1" t="s">
        <v>2228</v>
      </c>
      <c r="E1025" s="1" t="s">
        <v>2284</v>
      </c>
      <c r="F1025" s="1" t="s">
        <v>16</v>
      </c>
      <c r="G1025" s="1" t="s">
        <v>23</v>
      </c>
      <c r="H1025" s="1" t="s">
        <v>18</v>
      </c>
      <c r="I1025" s="1" t="s">
        <v>40</v>
      </c>
    </row>
    <row r="1026">
      <c r="A1026" s="1">
        <v>3211039.0</v>
      </c>
      <c r="B1026" s="1" t="s">
        <v>2285</v>
      </c>
      <c r="C1026" s="1" t="s">
        <v>2070</v>
      </c>
      <c r="D1026" s="1" t="s">
        <v>2286</v>
      </c>
      <c r="E1026" s="1" t="s">
        <v>2287</v>
      </c>
      <c r="F1026" s="1" t="s">
        <v>16</v>
      </c>
      <c r="G1026" s="1" t="s">
        <v>17</v>
      </c>
      <c r="H1026" s="1" t="s">
        <v>18</v>
      </c>
      <c r="I1026" s="1" t="s">
        <v>19</v>
      </c>
    </row>
    <row r="1027">
      <c r="A1027" s="1">
        <v>3272014.0</v>
      </c>
      <c r="B1027" s="1" t="s">
        <v>2288</v>
      </c>
      <c r="C1027" s="1" t="s">
        <v>2070</v>
      </c>
      <c r="D1027" s="1" t="s">
        <v>2289</v>
      </c>
      <c r="E1027" s="1" t="s">
        <v>2290</v>
      </c>
      <c r="F1027" s="1" t="s">
        <v>16</v>
      </c>
      <c r="G1027" s="1" t="s">
        <v>27</v>
      </c>
      <c r="H1027" s="1" t="s">
        <v>28</v>
      </c>
      <c r="I1027" s="1" t="s">
        <v>29</v>
      </c>
    </row>
    <row r="1028">
      <c r="A1028" s="1">
        <v>3214032.0</v>
      </c>
      <c r="B1028" s="1" t="s">
        <v>2291</v>
      </c>
      <c r="C1028" s="1" t="s">
        <v>2070</v>
      </c>
      <c r="D1028" s="1" t="s">
        <v>2182</v>
      </c>
      <c r="E1028" s="1" t="s">
        <v>2292</v>
      </c>
      <c r="F1028" s="1" t="s">
        <v>16</v>
      </c>
      <c r="G1028" s="1" t="s">
        <v>27</v>
      </c>
      <c r="H1028" s="1" t="s">
        <v>18</v>
      </c>
      <c r="I1028" s="1" t="s">
        <v>44</v>
      </c>
    </row>
    <row r="1029">
      <c r="A1029" s="1">
        <v>3213032.0</v>
      </c>
      <c r="B1029" s="1" t="s">
        <v>2293</v>
      </c>
      <c r="C1029" s="1" t="s">
        <v>2070</v>
      </c>
      <c r="D1029" s="1" t="s">
        <v>2127</v>
      </c>
      <c r="E1029" s="1" t="s">
        <v>2294</v>
      </c>
      <c r="F1029" s="1" t="s">
        <v>16</v>
      </c>
      <c r="G1029" s="1" t="s">
        <v>23</v>
      </c>
      <c r="H1029" s="1" t="s">
        <v>18</v>
      </c>
      <c r="I1029" s="1" t="s">
        <v>563</v>
      </c>
    </row>
    <row r="1030">
      <c r="A1030" s="1">
        <v>3277018.0</v>
      </c>
      <c r="B1030" s="1" t="s">
        <v>2295</v>
      </c>
      <c r="C1030" s="1" t="s">
        <v>2070</v>
      </c>
      <c r="D1030" s="1" t="s">
        <v>2217</v>
      </c>
      <c r="E1030" s="1" t="s">
        <v>2296</v>
      </c>
      <c r="F1030" s="1" t="s">
        <v>16</v>
      </c>
      <c r="G1030" s="1" t="s">
        <v>17</v>
      </c>
      <c r="H1030" s="1" t="s">
        <v>18</v>
      </c>
      <c r="I1030" s="1" t="s">
        <v>59</v>
      </c>
    </row>
    <row r="1031">
      <c r="A1031" s="1">
        <v>3216408.0</v>
      </c>
      <c r="B1031" s="1" t="s">
        <v>2297</v>
      </c>
      <c r="C1031" s="1" t="s">
        <v>2070</v>
      </c>
      <c r="D1031" s="1" t="s">
        <v>2079</v>
      </c>
      <c r="E1031" s="1" t="s">
        <v>2298</v>
      </c>
      <c r="F1031" s="1" t="s">
        <v>16</v>
      </c>
      <c r="G1031" s="1" t="s">
        <v>17</v>
      </c>
      <c r="H1031" s="1" t="s">
        <v>18</v>
      </c>
      <c r="I1031" s="1" t="s">
        <v>19</v>
      </c>
    </row>
    <row r="1032">
      <c r="A1032" s="1">
        <v>3215112.0</v>
      </c>
      <c r="B1032" s="1" t="s">
        <v>2299</v>
      </c>
      <c r="C1032" s="1" t="s">
        <v>2070</v>
      </c>
      <c r="D1032" s="1" t="s">
        <v>2071</v>
      </c>
      <c r="E1032" s="1" t="s">
        <v>2300</v>
      </c>
      <c r="F1032" s="1" t="s">
        <v>55</v>
      </c>
      <c r="G1032" s="1" t="s">
        <v>17</v>
      </c>
      <c r="H1032" s="1" t="s">
        <v>18</v>
      </c>
      <c r="I1032" s="1" t="s">
        <v>19</v>
      </c>
    </row>
    <row r="1033">
      <c r="A1033" s="1">
        <v>3216416.0</v>
      </c>
      <c r="B1033" s="1" t="s">
        <v>2301</v>
      </c>
      <c r="C1033" s="1" t="s">
        <v>2070</v>
      </c>
      <c r="D1033" s="1" t="s">
        <v>2079</v>
      </c>
      <c r="E1033" s="1" t="s">
        <v>2302</v>
      </c>
      <c r="F1033" s="1" t="s">
        <v>16</v>
      </c>
      <c r="G1033" s="1" t="s">
        <v>17</v>
      </c>
      <c r="H1033" s="1" t="s">
        <v>18</v>
      </c>
      <c r="I1033" s="1" t="s">
        <v>19</v>
      </c>
    </row>
    <row r="1034">
      <c r="A1034" s="1">
        <v>3216434.0</v>
      </c>
      <c r="B1034" s="1" t="s">
        <v>2303</v>
      </c>
      <c r="C1034" s="1" t="s">
        <v>2070</v>
      </c>
      <c r="D1034" s="1" t="s">
        <v>2079</v>
      </c>
      <c r="E1034" s="1" t="s">
        <v>2304</v>
      </c>
      <c r="F1034" s="1" t="s">
        <v>16</v>
      </c>
      <c r="G1034" s="1" t="s">
        <v>23</v>
      </c>
      <c r="H1034" s="1" t="s">
        <v>18</v>
      </c>
      <c r="I1034" s="1" t="s">
        <v>163</v>
      </c>
    </row>
    <row r="1035">
      <c r="A1035" s="1">
        <v>3203015.0</v>
      </c>
      <c r="B1035" s="1" t="s">
        <v>2305</v>
      </c>
      <c r="C1035" s="1" t="s">
        <v>2070</v>
      </c>
      <c r="D1035" s="1" t="s">
        <v>2094</v>
      </c>
      <c r="E1035" s="1" t="s">
        <v>2306</v>
      </c>
      <c r="F1035" s="1" t="s">
        <v>16</v>
      </c>
      <c r="G1035" s="1" t="s">
        <v>27</v>
      </c>
      <c r="H1035" s="1" t="s">
        <v>28</v>
      </c>
      <c r="I1035" s="1" t="s">
        <v>40</v>
      </c>
    </row>
    <row r="1036">
      <c r="A1036" s="1">
        <v>3273464.0</v>
      </c>
      <c r="B1036" s="1" t="s">
        <v>2307</v>
      </c>
      <c r="C1036" s="1" t="s">
        <v>2070</v>
      </c>
      <c r="D1036" s="1" t="s">
        <v>2088</v>
      </c>
      <c r="E1036" s="1" t="s">
        <v>2308</v>
      </c>
      <c r="F1036" s="1" t="s">
        <v>32</v>
      </c>
      <c r="G1036" s="1" t="s">
        <v>150</v>
      </c>
      <c r="H1036" s="1" t="s">
        <v>18</v>
      </c>
      <c r="I1036" s="1" t="s">
        <v>34</v>
      </c>
    </row>
    <row r="1037">
      <c r="A1037" s="1">
        <v>3276039.0</v>
      </c>
      <c r="B1037" s="1" t="s">
        <v>2309</v>
      </c>
      <c r="C1037" s="1" t="s">
        <v>2070</v>
      </c>
      <c r="D1037" s="1" t="s">
        <v>2082</v>
      </c>
      <c r="E1037" s="1" t="s">
        <v>2310</v>
      </c>
      <c r="F1037" s="1" t="s">
        <v>16</v>
      </c>
      <c r="G1037" s="1" t="s">
        <v>17</v>
      </c>
      <c r="H1037" s="1" t="s">
        <v>33</v>
      </c>
      <c r="I1037" s="1" t="s">
        <v>65</v>
      </c>
    </row>
    <row r="1038">
      <c r="A1038" s="1">
        <v>3201271.0</v>
      </c>
      <c r="B1038" s="1" t="s">
        <v>2311</v>
      </c>
      <c r="C1038" s="1" t="s">
        <v>2070</v>
      </c>
      <c r="D1038" s="1" t="s">
        <v>2097</v>
      </c>
      <c r="E1038" s="1" t="s">
        <v>2312</v>
      </c>
      <c r="F1038" s="1" t="s">
        <v>16</v>
      </c>
      <c r="G1038" s="1" t="s">
        <v>17</v>
      </c>
      <c r="H1038" s="1" t="s">
        <v>18</v>
      </c>
      <c r="I1038" s="1" t="s">
        <v>44</v>
      </c>
    </row>
    <row r="1039">
      <c r="A1039" s="1">
        <v>3216174.0</v>
      </c>
      <c r="B1039" s="1" t="s">
        <v>2313</v>
      </c>
      <c r="C1039" s="1" t="s">
        <v>2070</v>
      </c>
      <c r="D1039" s="1" t="s">
        <v>2119</v>
      </c>
      <c r="E1039" s="1" t="s">
        <v>2314</v>
      </c>
      <c r="F1039" s="1" t="s">
        <v>16</v>
      </c>
      <c r="G1039" s="1" t="s">
        <v>17</v>
      </c>
      <c r="H1039" s="1" t="s">
        <v>18</v>
      </c>
      <c r="I1039" s="1" t="s">
        <v>59</v>
      </c>
    </row>
    <row r="1040">
      <c r="A1040" s="1">
        <v>3216443.0</v>
      </c>
      <c r="B1040" s="1" t="s">
        <v>2315</v>
      </c>
      <c r="C1040" s="1" t="s">
        <v>2070</v>
      </c>
      <c r="D1040" s="1" t="s">
        <v>2079</v>
      </c>
      <c r="E1040" s="1" t="s">
        <v>2316</v>
      </c>
      <c r="F1040" s="1" t="s">
        <v>16</v>
      </c>
      <c r="G1040" s="1" t="s">
        <v>17</v>
      </c>
      <c r="H1040" s="1" t="s">
        <v>18</v>
      </c>
      <c r="I1040" s="1" t="s">
        <v>19</v>
      </c>
    </row>
    <row r="1041">
      <c r="A1041" s="1">
        <v>3206055.0</v>
      </c>
      <c r="B1041" s="1" t="s">
        <v>2317</v>
      </c>
      <c r="C1041" s="1" t="s">
        <v>2070</v>
      </c>
      <c r="D1041" s="1" t="s">
        <v>2077</v>
      </c>
      <c r="E1041" s="1" t="s">
        <v>2318</v>
      </c>
      <c r="F1041" s="1" t="s">
        <v>16</v>
      </c>
      <c r="G1041" s="1" t="s">
        <v>23</v>
      </c>
      <c r="H1041" s="1" t="s">
        <v>18</v>
      </c>
      <c r="I1041" s="1" t="s">
        <v>684</v>
      </c>
    </row>
    <row r="1042">
      <c r="A1042" s="1">
        <v>3215161.0</v>
      </c>
      <c r="B1042" s="1" t="s">
        <v>2319</v>
      </c>
      <c r="C1042" s="1" t="s">
        <v>2070</v>
      </c>
      <c r="D1042" s="1" t="s">
        <v>2071</v>
      </c>
      <c r="E1042" s="1" t="s">
        <v>2320</v>
      </c>
      <c r="F1042" s="1" t="s">
        <v>16</v>
      </c>
      <c r="G1042" s="1" t="s">
        <v>17</v>
      </c>
      <c r="H1042" s="1" t="s">
        <v>18</v>
      </c>
      <c r="I1042" s="1" t="s">
        <v>44</v>
      </c>
    </row>
    <row r="1043">
      <c r="A1043" s="1">
        <v>3201245.0</v>
      </c>
      <c r="B1043" s="1" t="s">
        <v>2321</v>
      </c>
      <c r="C1043" s="1" t="s">
        <v>2070</v>
      </c>
      <c r="D1043" s="1" t="s">
        <v>2097</v>
      </c>
      <c r="E1043" s="1" t="s">
        <v>2322</v>
      </c>
      <c r="F1043" s="1" t="s">
        <v>16</v>
      </c>
      <c r="G1043" s="1" t="s">
        <v>17</v>
      </c>
      <c r="H1043" s="1" t="s">
        <v>18</v>
      </c>
      <c r="I1043" s="1" t="s">
        <v>19</v>
      </c>
    </row>
    <row r="1044">
      <c r="A1044" s="1">
        <v>3205027.0</v>
      </c>
      <c r="B1044" s="1" t="s">
        <v>2323</v>
      </c>
      <c r="C1044" s="1" t="s">
        <v>2070</v>
      </c>
      <c r="D1044" s="1" t="s">
        <v>2214</v>
      </c>
      <c r="E1044" s="1" t="s">
        <v>2324</v>
      </c>
      <c r="F1044" s="1" t="s">
        <v>16</v>
      </c>
      <c r="G1044" s="1" t="s">
        <v>23</v>
      </c>
      <c r="H1044" s="1" t="s">
        <v>18</v>
      </c>
      <c r="I1044" s="1" t="s">
        <v>44</v>
      </c>
    </row>
    <row r="1045">
      <c r="A1045" s="1">
        <v>3276167.0</v>
      </c>
      <c r="B1045" s="1" t="s">
        <v>2325</v>
      </c>
      <c r="C1045" s="1" t="s">
        <v>2070</v>
      </c>
      <c r="D1045" s="1" t="s">
        <v>2082</v>
      </c>
      <c r="E1045" s="1" t="s">
        <v>2326</v>
      </c>
      <c r="F1045" s="1" t="s">
        <v>16</v>
      </c>
      <c r="G1045" s="1" t="s">
        <v>17</v>
      </c>
      <c r="H1045" s="1" t="s">
        <v>18</v>
      </c>
      <c r="I1045" s="1" t="s">
        <v>19</v>
      </c>
    </row>
    <row r="1046">
      <c r="A1046" s="1">
        <v>3271035.0</v>
      </c>
      <c r="B1046" s="1" t="s">
        <v>2327</v>
      </c>
      <c r="C1046" s="1" t="s">
        <v>2070</v>
      </c>
      <c r="D1046" s="1" t="s">
        <v>2097</v>
      </c>
      <c r="E1046" s="1" t="s">
        <v>2328</v>
      </c>
      <c r="F1046" s="1" t="s">
        <v>16</v>
      </c>
      <c r="G1046" s="1" t="s">
        <v>17</v>
      </c>
      <c r="H1046" s="1" t="s">
        <v>18</v>
      </c>
      <c r="I1046" s="1" t="s">
        <v>563</v>
      </c>
    </row>
    <row r="1047">
      <c r="A1047" s="1">
        <v>3210036.0</v>
      </c>
      <c r="B1047" s="1" t="s">
        <v>2329</v>
      </c>
      <c r="C1047" s="1" t="s">
        <v>2070</v>
      </c>
      <c r="D1047" s="1" t="s">
        <v>2228</v>
      </c>
      <c r="E1047" s="1" t="s">
        <v>2330</v>
      </c>
      <c r="F1047" s="1" t="s">
        <v>255</v>
      </c>
      <c r="G1047" s="1" t="s">
        <v>17</v>
      </c>
      <c r="H1047" s="1" t="s">
        <v>18</v>
      </c>
      <c r="I1047" s="1" t="s">
        <v>59</v>
      </c>
    </row>
    <row r="1048">
      <c r="A1048" s="1">
        <v>3201150.0</v>
      </c>
      <c r="B1048" s="1" t="s">
        <v>2331</v>
      </c>
      <c r="C1048" s="1" t="s">
        <v>2070</v>
      </c>
      <c r="D1048" s="1" t="s">
        <v>2097</v>
      </c>
      <c r="E1048" s="1" t="s">
        <v>2332</v>
      </c>
      <c r="F1048" s="1" t="s">
        <v>16</v>
      </c>
      <c r="G1048" s="1" t="s">
        <v>17</v>
      </c>
      <c r="H1048" s="1" t="s">
        <v>18</v>
      </c>
      <c r="I1048" s="1" t="s">
        <v>19</v>
      </c>
    </row>
    <row r="1049">
      <c r="A1049" s="1">
        <v>3201231.0</v>
      </c>
      <c r="B1049" s="1" t="s">
        <v>2333</v>
      </c>
      <c r="C1049" s="1" t="s">
        <v>2070</v>
      </c>
      <c r="D1049" s="1" t="s">
        <v>2097</v>
      </c>
      <c r="E1049" s="1" t="s">
        <v>2334</v>
      </c>
      <c r="F1049" s="1" t="s">
        <v>16</v>
      </c>
      <c r="G1049" s="1" t="s">
        <v>17</v>
      </c>
      <c r="H1049" s="1" t="s">
        <v>18</v>
      </c>
      <c r="I1049" s="1" t="s">
        <v>44</v>
      </c>
    </row>
    <row r="1050">
      <c r="A1050" s="1">
        <v>3201050.0</v>
      </c>
      <c r="B1050" s="1" t="s">
        <v>2335</v>
      </c>
      <c r="C1050" s="1" t="s">
        <v>2070</v>
      </c>
      <c r="D1050" s="1" t="s">
        <v>2097</v>
      </c>
      <c r="E1050" s="1" t="s">
        <v>2336</v>
      </c>
      <c r="F1050" s="1" t="s">
        <v>16</v>
      </c>
      <c r="G1050" s="1" t="s">
        <v>27</v>
      </c>
      <c r="H1050" s="1" t="s">
        <v>28</v>
      </c>
      <c r="I1050" s="1" t="s">
        <v>40</v>
      </c>
    </row>
    <row r="1051">
      <c r="A1051" s="1">
        <v>3273074.0</v>
      </c>
      <c r="B1051" s="1" t="s">
        <v>2337</v>
      </c>
      <c r="C1051" s="1" t="s">
        <v>2070</v>
      </c>
      <c r="D1051" s="1" t="s">
        <v>2088</v>
      </c>
      <c r="E1051" s="1" t="s">
        <v>2338</v>
      </c>
      <c r="F1051" s="1" t="s">
        <v>16</v>
      </c>
      <c r="G1051" s="1" t="s">
        <v>27</v>
      </c>
      <c r="H1051" s="1" t="s">
        <v>18</v>
      </c>
      <c r="I1051" s="1" t="s">
        <v>249</v>
      </c>
    </row>
    <row r="1052">
      <c r="A1052" s="1">
        <v>3209133.0</v>
      </c>
      <c r="B1052" s="1" t="s">
        <v>1746</v>
      </c>
      <c r="C1052" s="1" t="s">
        <v>2070</v>
      </c>
      <c r="D1052" s="1" t="s">
        <v>2106</v>
      </c>
      <c r="E1052" s="1" t="s">
        <v>2339</v>
      </c>
      <c r="F1052" s="1" t="s">
        <v>16</v>
      </c>
      <c r="G1052" s="1" t="s">
        <v>27</v>
      </c>
      <c r="H1052" s="1" t="s">
        <v>18</v>
      </c>
      <c r="I1052" s="1" t="s">
        <v>19</v>
      </c>
    </row>
    <row r="1053">
      <c r="A1053" s="1">
        <v>3201196.0</v>
      </c>
      <c r="B1053" s="1" t="s">
        <v>2340</v>
      </c>
      <c r="C1053" s="1" t="s">
        <v>2070</v>
      </c>
      <c r="D1053" s="1" t="s">
        <v>2082</v>
      </c>
      <c r="E1053" s="1" t="s">
        <v>2341</v>
      </c>
      <c r="F1053" s="1" t="s">
        <v>16</v>
      </c>
      <c r="G1053" s="1" t="s">
        <v>17</v>
      </c>
      <c r="H1053" s="1" t="s">
        <v>18</v>
      </c>
      <c r="I1053" s="1" t="s">
        <v>19</v>
      </c>
    </row>
    <row r="1054">
      <c r="A1054" s="1">
        <v>3273201.0</v>
      </c>
      <c r="B1054" s="1" t="s">
        <v>2342</v>
      </c>
      <c r="C1054" s="1" t="s">
        <v>2070</v>
      </c>
      <c r="D1054" s="1" t="s">
        <v>2088</v>
      </c>
      <c r="E1054" s="1" t="s">
        <v>2343</v>
      </c>
      <c r="F1054" s="1" t="s">
        <v>473</v>
      </c>
      <c r="G1054" s="1" t="s">
        <v>150</v>
      </c>
      <c r="H1054" s="1" t="s">
        <v>33</v>
      </c>
      <c r="I1054" s="1" t="s">
        <v>411</v>
      </c>
    </row>
    <row r="1055">
      <c r="A1055" s="1">
        <v>3279004.0</v>
      </c>
      <c r="B1055" s="1" t="s">
        <v>2344</v>
      </c>
      <c r="C1055" s="1" t="s">
        <v>2070</v>
      </c>
      <c r="D1055" s="1" t="s">
        <v>2149</v>
      </c>
      <c r="E1055" s="1" t="s">
        <v>2345</v>
      </c>
      <c r="F1055" s="1" t="s">
        <v>16</v>
      </c>
      <c r="G1055" s="1" t="s">
        <v>23</v>
      </c>
      <c r="H1055" s="1" t="s">
        <v>18</v>
      </c>
      <c r="I1055" s="1" t="s">
        <v>29</v>
      </c>
    </row>
    <row r="1056">
      <c r="A1056" s="1">
        <v>3275094.0</v>
      </c>
      <c r="B1056" s="1" t="s">
        <v>2346</v>
      </c>
      <c r="C1056" s="1" t="s">
        <v>2070</v>
      </c>
      <c r="D1056" s="1" t="s">
        <v>2119</v>
      </c>
      <c r="E1056" s="1" t="s">
        <v>2347</v>
      </c>
      <c r="F1056" s="1" t="s">
        <v>16</v>
      </c>
      <c r="G1056" s="1" t="s">
        <v>27</v>
      </c>
      <c r="H1056" s="1" t="s">
        <v>18</v>
      </c>
      <c r="I1056" s="1" t="s">
        <v>19</v>
      </c>
    </row>
    <row r="1057">
      <c r="A1057" s="1">
        <v>3215160.0</v>
      </c>
      <c r="B1057" s="1" t="s">
        <v>2348</v>
      </c>
      <c r="C1057" s="1" t="s">
        <v>2070</v>
      </c>
      <c r="D1057" s="1" t="s">
        <v>2071</v>
      </c>
      <c r="E1057" s="1" t="s">
        <v>2349</v>
      </c>
      <c r="F1057" s="1" t="s">
        <v>16</v>
      </c>
      <c r="G1057" s="1" t="s">
        <v>17</v>
      </c>
      <c r="H1057" s="1" t="s">
        <v>18</v>
      </c>
      <c r="I1057" s="1" t="s">
        <v>44</v>
      </c>
    </row>
    <row r="1058">
      <c r="A1058" s="1">
        <v>3217004.0</v>
      </c>
      <c r="B1058" s="1" t="s">
        <v>2350</v>
      </c>
      <c r="C1058" s="1" t="s">
        <v>2070</v>
      </c>
      <c r="D1058" s="1" t="s">
        <v>2144</v>
      </c>
      <c r="E1058" s="1" t="s">
        <v>2351</v>
      </c>
      <c r="F1058" s="1" t="s">
        <v>16</v>
      </c>
      <c r="G1058" s="1" t="s">
        <v>17</v>
      </c>
      <c r="H1058" s="1" t="s">
        <v>28</v>
      </c>
      <c r="I1058" s="1" t="s">
        <v>40</v>
      </c>
    </row>
    <row r="1059">
      <c r="A1059" s="1">
        <v>3215146.0</v>
      </c>
      <c r="B1059" s="1" t="s">
        <v>2352</v>
      </c>
      <c r="C1059" s="1" t="s">
        <v>2070</v>
      </c>
      <c r="D1059" s="1" t="s">
        <v>2071</v>
      </c>
      <c r="E1059" s="1" t="s">
        <v>2353</v>
      </c>
      <c r="F1059" s="1" t="s">
        <v>16</v>
      </c>
      <c r="G1059" s="1" t="s">
        <v>17</v>
      </c>
      <c r="H1059" s="1" t="s">
        <v>28</v>
      </c>
      <c r="I1059" s="1" t="s">
        <v>40</v>
      </c>
    </row>
    <row r="1060">
      <c r="A1060" s="1">
        <v>3216285.0</v>
      </c>
      <c r="B1060" s="1" t="s">
        <v>2354</v>
      </c>
      <c r="C1060" s="1" t="s">
        <v>2070</v>
      </c>
      <c r="D1060" s="1" t="s">
        <v>2119</v>
      </c>
      <c r="E1060" s="1" t="s">
        <v>2355</v>
      </c>
      <c r="F1060" s="1" t="s">
        <v>16</v>
      </c>
      <c r="G1060" s="1" t="s">
        <v>17</v>
      </c>
      <c r="H1060" s="1" t="s">
        <v>18</v>
      </c>
      <c r="I1060" s="1" t="s">
        <v>59</v>
      </c>
    </row>
    <row r="1061">
      <c r="A1061" s="1">
        <v>3202084.0</v>
      </c>
      <c r="B1061" s="1" t="s">
        <v>2356</v>
      </c>
      <c r="C1061" s="1" t="s">
        <v>2070</v>
      </c>
      <c r="D1061" s="1" t="s">
        <v>2085</v>
      </c>
      <c r="E1061" s="1" t="s">
        <v>2357</v>
      </c>
      <c r="F1061" s="1" t="s">
        <v>16</v>
      </c>
      <c r="G1061" s="1" t="s">
        <v>17</v>
      </c>
      <c r="H1061" s="1" t="s">
        <v>18</v>
      </c>
      <c r="I1061" s="1" t="s">
        <v>19</v>
      </c>
    </row>
    <row r="1062">
      <c r="A1062" s="1">
        <v>3209014.0</v>
      </c>
      <c r="B1062" s="1" t="s">
        <v>2358</v>
      </c>
      <c r="C1062" s="1" t="s">
        <v>2070</v>
      </c>
      <c r="D1062" s="1" t="s">
        <v>2106</v>
      </c>
      <c r="E1062" s="1" t="s">
        <v>2359</v>
      </c>
      <c r="F1062" s="1" t="s">
        <v>16</v>
      </c>
      <c r="G1062" s="1" t="s">
        <v>27</v>
      </c>
      <c r="H1062" s="1" t="s">
        <v>28</v>
      </c>
      <c r="I1062" s="1" t="s">
        <v>40</v>
      </c>
    </row>
    <row r="1063">
      <c r="A1063" s="1">
        <v>3215045.0</v>
      </c>
      <c r="B1063" s="1" t="s">
        <v>2360</v>
      </c>
      <c r="C1063" s="1" t="s">
        <v>2070</v>
      </c>
      <c r="D1063" s="1" t="s">
        <v>2071</v>
      </c>
      <c r="E1063" s="1" t="s">
        <v>2361</v>
      </c>
      <c r="F1063" s="1" t="s">
        <v>16</v>
      </c>
      <c r="G1063" s="1" t="s">
        <v>17</v>
      </c>
      <c r="H1063" s="1" t="s">
        <v>18</v>
      </c>
      <c r="I1063" s="1" t="s">
        <v>19</v>
      </c>
    </row>
    <row r="1064">
      <c r="A1064" s="1">
        <v>3216393.0</v>
      </c>
      <c r="B1064" s="1" t="s">
        <v>2362</v>
      </c>
      <c r="C1064" s="1" t="s">
        <v>2070</v>
      </c>
      <c r="D1064" s="1" t="s">
        <v>2079</v>
      </c>
      <c r="E1064" s="1" t="s">
        <v>2363</v>
      </c>
      <c r="F1064" s="1" t="s">
        <v>16</v>
      </c>
      <c r="G1064" s="1" t="s">
        <v>27</v>
      </c>
      <c r="H1064" s="1" t="s">
        <v>18</v>
      </c>
      <c r="I1064" s="1" t="s">
        <v>44</v>
      </c>
    </row>
    <row r="1065">
      <c r="A1065" s="1">
        <v>3209054.0</v>
      </c>
      <c r="B1065" s="1" t="s">
        <v>2364</v>
      </c>
      <c r="C1065" s="1" t="s">
        <v>2070</v>
      </c>
      <c r="D1065" s="1" t="s">
        <v>2106</v>
      </c>
      <c r="E1065" s="1" t="s">
        <v>2365</v>
      </c>
      <c r="F1065" s="1" t="s">
        <v>16</v>
      </c>
      <c r="G1065" s="1" t="s">
        <v>27</v>
      </c>
      <c r="H1065" s="1" t="s">
        <v>18</v>
      </c>
      <c r="I1065" s="1" t="s">
        <v>19</v>
      </c>
    </row>
    <row r="1066">
      <c r="A1066" s="1">
        <v>3271166.0</v>
      </c>
      <c r="B1066" s="1" t="s">
        <v>2366</v>
      </c>
      <c r="C1066" s="1" t="s">
        <v>2070</v>
      </c>
      <c r="D1066" s="1" t="s">
        <v>2173</v>
      </c>
      <c r="E1066" s="1" t="s">
        <v>2367</v>
      </c>
      <c r="F1066" s="1" t="s">
        <v>16</v>
      </c>
      <c r="G1066" s="1" t="s">
        <v>23</v>
      </c>
      <c r="H1066" s="1" t="s">
        <v>18</v>
      </c>
      <c r="I1066" s="1" t="s">
        <v>65</v>
      </c>
    </row>
    <row r="1067">
      <c r="A1067" s="1">
        <v>3272051.0</v>
      </c>
      <c r="B1067" s="1" t="s">
        <v>2368</v>
      </c>
      <c r="C1067" s="1" t="s">
        <v>2070</v>
      </c>
      <c r="D1067" s="1" t="s">
        <v>2289</v>
      </c>
      <c r="E1067" s="1" t="s">
        <v>2369</v>
      </c>
      <c r="F1067" s="1" t="s">
        <v>16</v>
      </c>
      <c r="G1067" s="1" t="s">
        <v>17</v>
      </c>
      <c r="H1067" s="1" t="s">
        <v>18</v>
      </c>
      <c r="I1067" s="1" t="s">
        <v>59</v>
      </c>
    </row>
    <row r="1068">
      <c r="A1068" s="1">
        <v>3215012.0</v>
      </c>
      <c r="B1068" s="1" t="s">
        <v>2370</v>
      </c>
      <c r="C1068" s="1" t="s">
        <v>2070</v>
      </c>
      <c r="D1068" s="1" t="s">
        <v>2071</v>
      </c>
      <c r="E1068" s="1" t="s">
        <v>2371</v>
      </c>
      <c r="F1068" s="1" t="s">
        <v>16</v>
      </c>
      <c r="G1068" s="1" t="s">
        <v>27</v>
      </c>
      <c r="H1068" s="1" t="s">
        <v>28</v>
      </c>
      <c r="I1068" s="1" t="s">
        <v>40</v>
      </c>
    </row>
    <row r="1069">
      <c r="A1069" s="1">
        <v>3216389.0</v>
      </c>
      <c r="B1069" s="1" t="s">
        <v>2372</v>
      </c>
      <c r="C1069" s="1" t="s">
        <v>2070</v>
      </c>
      <c r="D1069" s="1" t="s">
        <v>2119</v>
      </c>
      <c r="E1069" s="1" t="s">
        <v>2373</v>
      </c>
      <c r="F1069" s="1" t="s">
        <v>16</v>
      </c>
      <c r="G1069" s="1" t="s">
        <v>17</v>
      </c>
      <c r="H1069" s="1" t="s">
        <v>18</v>
      </c>
      <c r="I1069" s="1" t="s">
        <v>44</v>
      </c>
    </row>
    <row r="1070">
      <c r="A1070" s="1">
        <v>3205039.0</v>
      </c>
      <c r="B1070" s="1" t="s">
        <v>2374</v>
      </c>
      <c r="C1070" s="1" t="s">
        <v>2070</v>
      </c>
      <c r="D1070" s="1" t="s">
        <v>2214</v>
      </c>
      <c r="E1070" s="1" t="s">
        <v>2375</v>
      </c>
      <c r="F1070" s="1" t="s">
        <v>16</v>
      </c>
      <c r="G1070" s="1" t="s">
        <v>23</v>
      </c>
      <c r="H1070" s="1" t="s">
        <v>18</v>
      </c>
      <c r="I1070" s="1" t="s">
        <v>19</v>
      </c>
    </row>
    <row r="1071">
      <c r="A1071" s="1">
        <v>3215134.0</v>
      </c>
      <c r="B1071" s="1" t="s">
        <v>2376</v>
      </c>
      <c r="C1071" s="1" t="s">
        <v>2070</v>
      </c>
      <c r="D1071" s="1" t="s">
        <v>2071</v>
      </c>
      <c r="E1071" s="1" t="s">
        <v>2377</v>
      </c>
      <c r="F1071" s="1" t="s">
        <v>16</v>
      </c>
      <c r="G1071" s="1" t="s">
        <v>17</v>
      </c>
      <c r="H1071" s="1" t="s">
        <v>18</v>
      </c>
      <c r="I1071" s="1" t="s">
        <v>19</v>
      </c>
    </row>
    <row r="1072">
      <c r="A1072" s="1">
        <v>3215164.0</v>
      </c>
      <c r="B1072" s="1" t="s">
        <v>2378</v>
      </c>
      <c r="C1072" s="1" t="s">
        <v>2070</v>
      </c>
      <c r="D1072" s="1" t="s">
        <v>2071</v>
      </c>
      <c r="E1072" s="1" t="s">
        <v>2379</v>
      </c>
      <c r="F1072" s="1" t="s">
        <v>16</v>
      </c>
      <c r="G1072" s="1" t="s">
        <v>23</v>
      </c>
      <c r="H1072" s="1" t="s">
        <v>18</v>
      </c>
      <c r="I1072" s="1" t="s">
        <v>44</v>
      </c>
    </row>
    <row r="1073">
      <c r="A1073" s="1">
        <v>3216463.0</v>
      </c>
      <c r="B1073" s="1" t="s">
        <v>2380</v>
      </c>
      <c r="C1073" s="1" t="s">
        <v>2070</v>
      </c>
      <c r="D1073" s="1" t="s">
        <v>2079</v>
      </c>
      <c r="E1073" s="1" t="s">
        <v>2381</v>
      </c>
      <c r="F1073" s="1" t="s">
        <v>16</v>
      </c>
      <c r="G1073" s="1" t="s">
        <v>17</v>
      </c>
      <c r="H1073" s="1" t="s">
        <v>18</v>
      </c>
      <c r="I1073" s="1" t="s">
        <v>44</v>
      </c>
    </row>
    <row r="1074">
      <c r="A1074" s="1">
        <v>3204016.0</v>
      </c>
      <c r="B1074" s="1" t="s">
        <v>2382</v>
      </c>
      <c r="C1074" s="1" t="s">
        <v>2070</v>
      </c>
      <c r="D1074" s="1" t="s">
        <v>2091</v>
      </c>
      <c r="E1074" s="1" t="s">
        <v>2383</v>
      </c>
      <c r="F1074" s="1" t="s">
        <v>16</v>
      </c>
      <c r="G1074" s="1" t="s">
        <v>27</v>
      </c>
      <c r="H1074" s="1" t="s">
        <v>28</v>
      </c>
      <c r="I1074" s="1" t="s">
        <v>40</v>
      </c>
    </row>
    <row r="1075">
      <c r="A1075" s="1">
        <v>3273517.0</v>
      </c>
      <c r="B1075" s="1" t="s">
        <v>2384</v>
      </c>
      <c r="C1075" s="1" t="s">
        <v>2070</v>
      </c>
      <c r="D1075" s="1" t="s">
        <v>2091</v>
      </c>
      <c r="E1075" s="1" t="s">
        <v>2385</v>
      </c>
      <c r="F1075" s="1" t="s">
        <v>16</v>
      </c>
      <c r="G1075" s="1" t="s">
        <v>17</v>
      </c>
      <c r="H1075" s="1" t="s">
        <v>18</v>
      </c>
      <c r="I1075" s="1" t="s">
        <v>44</v>
      </c>
    </row>
    <row r="1076">
      <c r="A1076" s="1">
        <v>3201230.0</v>
      </c>
      <c r="B1076" s="1" t="s">
        <v>2386</v>
      </c>
      <c r="C1076" s="1" t="s">
        <v>2070</v>
      </c>
      <c r="D1076" s="1" t="s">
        <v>2097</v>
      </c>
      <c r="E1076" s="1" t="s">
        <v>2387</v>
      </c>
      <c r="F1076" s="1" t="s">
        <v>16</v>
      </c>
      <c r="G1076" s="1" t="s">
        <v>27</v>
      </c>
      <c r="H1076" s="1" t="s">
        <v>18</v>
      </c>
      <c r="I1076" s="1" t="s">
        <v>19</v>
      </c>
    </row>
    <row r="1077">
      <c r="A1077" s="1">
        <v>3206083.0</v>
      </c>
      <c r="B1077" s="1" t="s">
        <v>2388</v>
      </c>
      <c r="C1077" s="1" t="s">
        <v>2070</v>
      </c>
      <c r="D1077" s="1" t="s">
        <v>2077</v>
      </c>
      <c r="E1077" s="1" t="s">
        <v>2389</v>
      </c>
      <c r="F1077" s="1" t="s">
        <v>55</v>
      </c>
      <c r="G1077" s="1" t="s">
        <v>17</v>
      </c>
      <c r="H1077" s="1" t="s">
        <v>18</v>
      </c>
      <c r="I1077" s="1" t="s">
        <v>59</v>
      </c>
    </row>
    <row r="1078">
      <c r="A1078" s="1">
        <v>3272075.0</v>
      </c>
      <c r="B1078" s="1" t="s">
        <v>2390</v>
      </c>
      <c r="C1078" s="1" t="s">
        <v>2070</v>
      </c>
      <c r="D1078" s="1" t="s">
        <v>2289</v>
      </c>
      <c r="E1078" s="1" t="s">
        <v>2391</v>
      </c>
      <c r="F1078" s="1" t="s">
        <v>16</v>
      </c>
      <c r="G1078" s="1" t="s">
        <v>23</v>
      </c>
      <c r="H1078" s="1" t="s">
        <v>28</v>
      </c>
      <c r="I1078" s="1" t="s">
        <v>29</v>
      </c>
    </row>
    <row r="1079">
      <c r="A1079" s="1">
        <v>3201256.0</v>
      </c>
      <c r="B1079" s="1" t="s">
        <v>2392</v>
      </c>
      <c r="C1079" s="1" t="s">
        <v>2070</v>
      </c>
      <c r="D1079" s="1" t="s">
        <v>2082</v>
      </c>
      <c r="E1079" s="1" t="s">
        <v>2393</v>
      </c>
      <c r="F1079" s="1" t="s">
        <v>16</v>
      </c>
      <c r="G1079" s="1" t="s">
        <v>150</v>
      </c>
      <c r="H1079" s="1" t="s">
        <v>18</v>
      </c>
      <c r="I1079" s="1" t="s">
        <v>34</v>
      </c>
    </row>
    <row r="1080">
      <c r="A1080" s="1">
        <v>3277023.0</v>
      </c>
      <c r="B1080" s="1" t="s">
        <v>2394</v>
      </c>
      <c r="C1080" s="1" t="s">
        <v>2070</v>
      </c>
      <c r="D1080" s="1" t="s">
        <v>2217</v>
      </c>
      <c r="E1080" s="1" t="s">
        <v>2395</v>
      </c>
      <c r="F1080" s="1" t="s">
        <v>16</v>
      </c>
      <c r="G1080" s="1" t="s">
        <v>23</v>
      </c>
      <c r="H1080" s="1" t="s">
        <v>18</v>
      </c>
      <c r="I1080" s="1" t="s">
        <v>44</v>
      </c>
    </row>
    <row r="1081">
      <c r="A1081" s="1">
        <v>3204172.0</v>
      </c>
      <c r="B1081" s="1" t="s">
        <v>2396</v>
      </c>
      <c r="C1081" s="1" t="s">
        <v>2070</v>
      </c>
      <c r="D1081" s="1" t="s">
        <v>2091</v>
      </c>
      <c r="E1081" s="1" t="s">
        <v>2397</v>
      </c>
      <c r="F1081" s="1" t="s">
        <v>16</v>
      </c>
      <c r="G1081" s="1" t="s">
        <v>23</v>
      </c>
      <c r="H1081" s="1" t="s">
        <v>18</v>
      </c>
      <c r="I1081" s="1" t="s">
        <v>40</v>
      </c>
    </row>
    <row r="1082">
      <c r="A1082" s="1">
        <v>3275196.0</v>
      </c>
      <c r="B1082" s="1" t="s">
        <v>2398</v>
      </c>
      <c r="C1082" s="1" t="s">
        <v>2070</v>
      </c>
      <c r="D1082" s="1" t="s">
        <v>2119</v>
      </c>
      <c r="E1082" s="1" t="s">
        <v>2399</v>
      </c>
      <c r="F1082" s="1" t="s">
        <v>16</v>
      </c>
      <c r="G1082" s="1" t="s">
        <v>17</v>
      </c>
      <c r="H1082" s="1" t="s">
        <v>18</v>
      </c>
      <c r="I1082" s="1" t="s">
        <v>19</v>
      </c>
    </row>
    <row r="1083">
      <c r="A1083" s="1">
        <v>3216444.0</v>
      </c>
      <c r="B1083" s="1" t="s">
        <v>2400</v>
      </c>
      <c r="C1083" s="1" t="s">
        <v>2070</v>
      </c>
      <c r="D1083" s="1" t="s">
        <v>2079</v>
      </c>
      <c r="E1083" s="1" t="s">
        <v>2401</v>
      </c>
      <c r="F1083" s="1" t="s">
        <v>16</v>
      </c>
      <c r="G1083" s="1" t="s">
        <v>17</v>
      </c>
      <c r="H1083" s="1" t="s">
        <v>18</v>
      </c>
      <c r="I1083" s="1" t="s">
        <v>163</v>
      </c>
    </row>
    <row r="1084">
      <c r="A1084" s="1">
        <v>3278081.0</v>
      </c>
      <c r="B1084" s="1" t="s">
        <v>2402</v>
      </c>
      <c r="C1084" s="1" t="s">
        <v>2070</v>
      </c>
      <c r="D1084" s="1" t="s">
        <v>2077</v>
      </c>
      <c r="E1084" s="1" t="s">
        <v>2403</v>
      </c>
      <c r="F1084" s="1" t="s">
        <v>16</v>
      </c>
      <c r="G1084" s="1" t="s">
        <v>17</v>
      </c>
      <c r="H1084" s="1" t="s">
        <v>18</v>
      </c>
      <c r="I1084" s="1" t="s">
        <v>19</v>
      </c>
    </row>
    <row r="1085">
      <c r="A1085" s="1">
        <v>3216374.0</v>
      </c>
      <c r="B1085" s="1" t="s">
        <v>2404</v>
      </c>
      <c r="C1085" s="1" t="s">
        <v>2070</v>
      </c>
      <c r="D1085" s="1" t="s">
        <v>2079</v>
      </c>
      <c r="E1085" s="1" t="s">
        <v>2405</v>
      </c>
      <c r="F1085" s="1" t="s">
        <v>16</v>
      </c>
      <c r="G1085" s="1" t="s">
        <v>17</v>
      </c>
      <c r="H1085" s="1" t="s">
        <v>18</v>
      </c>
      <c r="I1085" s="1" t="s">
        <v>44</v>
      </c>
    </row>
    <row r="1086">
      <c r="A1086" s="1">
        <v>3271164.0</v>
      </c>
      <c r="B1086" s="1" t="s">
        <v>2406</v>
      </c>
      <c r="C1086" s="1" t="s">
        <v>2070</v>
      </c>
      <c r="D1086" s="1" t="s">
        <v>2173</v>
      </c>
      <c r="E1086" s="1" t="s">
        <v>2407</v>
      </c>
      <c r="F1086" s="1" t="s">
        <v>16</v>
      </c>
      <c r="G1086" s="1" t="s">
        <v>17</v>
      </c>
      <c r="H1086" s="1" t="s">
        <v>18</v>
      </c>
      <c r="I1086" s="1" t="s">
        <v>44</v>
      </c>
    </row>
    <row r="1087">
      <c r="A1087" s="1">
        <v>3271072.0</v>
      </c>
      <c r="B1087" s="1" t="s">
        <v>2408</v>
      </c>
      <c r="C1087" s="1" t="s">
        <v>2070</v>
      </c>
      <c r="D1087" s="1" t="s">
        <v>2173</v>
      </c>
      <c r="E1087" s="1" t="s">
        <v>2409</v>
      </c>
      <c r="F1087" s="1" t="s">
        <v>16</v>
      </c>
      <c r="G1087" s="1" t="s">
        <v>17</v>
      </c>
      <c r="H1087" s="1" t="s">
        <v>18</v>
      </c>
      <c r="I1087" s="1" t="s">
        <v>44</v>
      </c>
    </row>
    <row r="1088">
      <c r="A1088" s="1">
        <v>3201232.0</v>
      </c>
      <c r="B1088" s="1" t="s">
        <v>2410</v>
      </c>
      <c r="C1088" s="1" t="s">
        <v>2070</v>
      </c>
      <c r="D1088" s="1" t="s">
        <v>2097</v>
      </c>
      <c r="E1088" s="1" t="s">
        <v>2411</v>
      </c>
      <c r="F1088" s="1" t="s">
        <v>16</v>
      </c>
      <c r="G1088" s="1" t="s">
        <v>27</v>
      </c>
      <c r="H1088" s="1" t="s">
        <v>28</v>
      </c>
      <c r="I1088" s="1" t="s">
        <v>40</v>
      </c>
    </row>
    <row r="1089">
      <c r="A1089" s="1">
        <v>3204124.0</v>
      </c>
      <c r="B1089" s="1" t="s">
        <v>2412</v>
      </c>
      <c r="C1089" s="1" t="s">
        <v>2070</v>
      </c>
      <c r="D1089" s="1" t="s">
        <v>2088</v>
      </c>
      <c r="E1089" s="1" t="s">
        <v>2413</v>
      </c>
      <c r="F1089" s="1" t="s">
        <v>32</v>
      </c>
      <c r="G1089" s="1" t="s">
        <v>27</v>
      </c>
      <c r="H1089" s="1" t="s">
        <v>18</v>
      </c>
      <c r="I1089" s="1" t="s">
        <v>19</v>
      </c>
    </row>
    <row r="1090">
      <c r="A1090" s="1">
        <v>3211026.0</v>
      </c>
      <c r="B1090" s="1" t="s">
        <v>2414</v>
      </c>
      <c r="C1090" s="1" t="s">
        <v>2070</v>
      </c>
      <c r="D1090" s="1" t="s">
        <v>2286</v>
      </c>
      <c r="E1090" s="1" t="s">
        <v>2415</v>
      </c>
      <c r="F1090" s="1" t="s">
        <v>16</v>
      </c>
      <c r="G1090" s="1" t="s">
        <v>17</v>
      </c>
      <c r="H1090" s="1" t="s">
        <v>18</v>
      </c>
      <c r="I1090" s="1" t="s">
        <v>19</v>
      </c>
    </row>
    <row r="1091">
      <c r="A1091" s="1">
        <v>3272062.0</v>
      </c>
      <c r="B1091" s="1" t="s">
        <v>2416</v>
      </c>
      <c r="C1091" s="1" t="s">
        <v>2070</v>
      </c>
      <c r="D1091" s="1" t="s">
        <v>2289</v>
      </c>
      <c r="E1091" s="1" t="s">
        <v>2417</v>
      </c>
      <c r="F1091" s="1" t="s">
        <v>16</v>
      </c>
      <c r="G1091" s="1" t="s">
        <v>17</v>
      </c>
      <c r="H1091" s="1" t="s">
        <v>18</v>
      </c>
      <c r="I1091" s="1" t="s">
        <v>19</v>
      </c>
    </row>
    <row r="1092">
      <c r="A1092" s="1">
        <v>3216402.0</v>
      </c>
      <c r="B1092" s="1" t="s">
        <v>2418</v>
      </c>
      <c r="C1092" s="1" t="s">
        <v>2070</v>
      </c>
      <c r="D1092" s="1" t="s">
        <v>2119</v>
      </c>
      <c r="E1092" s="1" t="s">
        <v>2419</v>
      </c>
      <c r="F1092" s="1" t="s">
        <v>16</v>
      </c>
      <c r="G1092" s="1" t="s">
        <v>17</v>
      </c>
      <c r="H1092" s="1" t="s">
        <v>18</v>
      </c>
      <c r="I1092" s="1" t="s">
        <v>44</v>
      </c>
    </row>
    <row r="1093">
      <c r="A1093" s="1">
        <v>3273547.0</v>
      </c>
      <c r="B1093" s="1" t="s">
        <v>2420</v>
      </c>
      <c r="C1093" s="1" t="s">
        <v>2070</v>
      </c>
      <c r="D1093" s="1" t="s">
        <v>2088</v>
      </c>
      <c r="E1093" s="1" t="s">
        <v>2421</v>
      </c>
      <c r="F1093" s="1" t="s">
        <v>16</v>
      </c>
      <c r="G1093" s="1" t="s">
        <v>17</v>
      </c>
      <c r="H1093" s="1" t="s">
        <v>18</v>
      </c>
      <c r="I1093" s="1" t="s">
        <v>44</v>
      </c>
    </row>
    <row r="1094">
      <c r="A1094" s="1">
        <v>3216465.0</v>
      </c>
      <c r="B1094" s="1" t="s">
        <v>2422</v>
      </c>
      <c r="C1094" s="1" t="s">
        <v>2070</v>
      </c>
      <c r="D1094" s="1" t="s">
        <v>2079</v>
      </c>
      <c r="E1094" s="1" t="s">
        <v>2423</v>
      </c>
      <c r="F1094" s="1" t="s">
        <v>16</v>
      </c>
      <c r="G1094" s="1" t="s">
        <v>17</v>
      </c>
      <c r="H1094" s="1" t="s">
        <v>18</v>
      </c>
      <c r="I1094" s="1" t="s">
        <v>19</v>
      </c>
    </row>
    <row r="1095">
      <c r="A1095" s="1">
        <v>3201072.0</v>
      </c>
      <c r="B1095" s="1" t="s">
        <v>2424</v>
      </c>
      <c r="C1095" s="1" t="s">
        <v>2070</v>
      </c>
      <c r="D1095" s="1" t="s">
        <v>2082</v>
      </c>
      <c r="E1095" s="1" t="s">
        <v>2425</v>
      </c>
      <c r="F1095" s="1" t="s">
        <v>16</v>
      </c>
      <c r="G1095" s="1" t="s">
        <v>27</v>
      </c>
      <c r="H1095" s="1" t="s">
        <v>18</v>
      </c>
      <c r="I1095" s="1" t="s">
        <v>19</v>
      </c>
    </row>
    <row r="1096">
      <c r="A1096" s="1">
        <v>3273096.0</v>
      </c>
      <c r="B1096" s="1" t="s">
        <v>2426</v>
      </c>
      <c r="C1096" s="1" t="s">
        <v>2070</v>
      </c>
      <c r="D1096" s="1" t="s">
        <v>2088</v>
      </c>
      <c r="E1096" s="1" t="s">
        <v>2427</v>
      </c>
      <c r="F1096" s="1" t="s">
        <v>16</v>
      </c>
      <c r="G1096" s="1" t="s">
        <v>17</v>
      </c>
      <c r="H1096" s="1" t="s">
        <v>18</v>
      </c>
      <c r="I1096" s="1" t="s">
        <v>19</v>
      </c>
    </row>
    <row r="1097">
      <c r="A1097" s="1">
        <v>3276135.0</v>
      </c>
      <c r="B1097" s="1" t="s">
        <v>2428</v>
      </c>
      <c r="C1097" s="1" t="s">
        <v>2070</v>
      </c>
      <c r="D1097" s="1" t="s">
        <v>2082</v>
      </c>
      <c r="E1097" s="1" t="s">
        <v>2429</v>
      </c>
      <c r="F1097" s="1" t="s">
        <v>16</v>
      </c>
      <c r="G1097" s="1" t="s">
        <v>17</v>
      </c>
      <c r="H1097" s="1" t="s">
        <v>18</v>
      </c>
      <c r="I1097" s="1" t="s">
        <v>44</v>
      </c>
    </row>
    <row r="1098">
      <c r="A1098" s="1">
        <v>3275403.0</v>
      </c>
      <c r="B1098" s="1" t="s">
        <v>2430</v>
      </c>
      <c r="C1098" s="1" t="s">
        <v>2070</v>
      </c>
      <c r="D1098" s="1" t="s">
        <v>2119</v>
      </c>
      <c r="E1098" s="1" t="s">
        <v>2431</v>
      </c>
      <c r="F1098" s="1" t="s">
        <v>55</v>
      </c>
      <c r="G1098" s="1" t="s">
        <v>17</v>
      </c>
      <c r="H1098" s="1" t="s">
        <v>18</v>
      </c>
      <c r="I1098" s="1" t="s">
        <v>44</v>
      </c>
    </row>
    <row r="1099">
      <c r="A1099" s="1">
        <v>3201218.0</v>
      </c>
      <c r="B1099" s="1" t="s">
        <v>2432</v>
      </c>
      <c r="C1099" s="1" t="s">
        <v>2070</v>
      </c>
      <c r="D1099" s="1" t="s">
        <v>2173</v>
      </c>
      <c r="E1099" s="1" t="s">
        <v>2433</v>
      </c>
      <c r="F1099" s="1" t="s">
        <v>16</v>
      </c>
      <c r="G1099" s="1" t="s">
        <v>17</v>
      </c>
      <c r="H1099" s="1" t="s">
        <v>18</v>
      </c>
      <c r="I1099" s="1" t="s">
        <v>59</v>
      </c>
    </row>
    <row r="1100">
      <c r="A1100" s="1">
        <v>3273405.0</v>
      </c>
      <c r="B1100" s="1" t="s">
        <v>2434</v>
      </c>
      <c r="C1100" s="1" t="s">
        <v>2070</v>
      </c>
      <c r="D1100" s="1" t="s">
        <v>2088</v>
      </c>
      <c r="E1100" s="1" t="s">
        <v>2435</v>
      </c>
      <c r="F1100" s="1" t="s">
        <v>16</v>
      </c>
      <c r="G1100" s="1" t="s">
        <v>27</v>
      </c>
      <c r="H1100" s="1" t="s">
        <v>28</v>
      </c>
      <c r="I1100" s="1" t="s">
        <v>29</v>
      </c>
    </row>
    <row r="1101">
      <c r="A1101" s="1">
        <v>3204123.0</v>
      </c>
      <c r="B1101" s="1" t="s">
        <v>2436</v>
      </c>
      <c r="C1101" s="1" t="s">
        <v>2070</v>
      </c>
      <c r="D1101" s="1" t="s">
        <v>2088</v>
      </c>
      <c r="E1101" s="1" t="s">
        <v>2437</v>
      </c>
      <c r="F1101" s="1" t="s">
        <v>16</v>
      </c>
      <c r="G1101" s="1" t="s">
        <v>17</v>
      </c>
      <c r="H1101" s="1" t="s">
        <v>18</v>
      </c>
      <c r="I1101" s="1" t="s">
        <v>19</v>
      </c>
    </row>
    <row r="1102">
      <c r="A1102" s="1">
        <v>3214038.0</v>
      </c>
      <c r="B1102" s="1" t="s">
        <v>2438</v>
      </c>
      <c r="C1102" s="1" t="s">
        <v>2070</v>
      </c>
      <c r="D1102" s="1" t="s">
        <v>2182</v>
      </c>
      <c r="E1102" s="1" t="s">
        <v>2439</v>
      </c>
      <c r="F1102" s="1" t="s">
        <v>16</v>
      </c>
      <c r="G1102" s="1" t="s">
        <v>17</v>
      </c>
      <c r="H1102" s="1" t="s">
        <v>18</v>
      </c>
      <c r="I1102" s="1" t="s">
        <v>44</v>
      </c>
    </row>
    <row r="1103">
      <c r="A1103" s="1">
        <v>3211027.0</v>
      </c>
      <c r="B1103" s="1" t="s">
        <v>2440</v>
      </c>
      <c r="C1103" s="1" t="s">
        <v>2070</v>
      </c>
      <c r="D1103" s="1" t="s">
        <v>2286</v>
      </c>
      <c r="E1103" s="1" t="s">
        <v>2441</v>
      </c>
      <c r="F1103" s="1" t="s">
        <v>16</v>
      </c>
      <c r="G1103" s="1" t="s">
        <v>23</v>
      </c>
      <c r="H1103" s="1" t="s">
        <v>18</v>
      </c>
      <c r="I1103" s="1" t="s">
        <v>44</v>
      </c>
    </row>
    <row r="1104">
      <c r="A1104" s="1">
        <v>3276166.0</v>
      </c>
      <c r="B1104" s="1" t="s">
        <v>2442</v>
      </c>
      <c r="C1104" s="1" t="s">
        <v>2070</v>
      </c>
      <c r="D1104" s="1" t="s">
        <v>2082</v>
      </c>
      <c r="E1104" s="1" t="s">
        <v>2443</v>
      </c>
      <c r="F1104" s="1" t="s">
        <v>16</v>
      </c>
      <c r="G1104" s="1" t="s">
        <v>17</v>
      </c>
      <c r="H1104" s="1" t="s">
        <v>18</v>
      </c>
      <c r="I1104" s="1" t="s">
        <v>19</v>
      </c>
    </row>
    <row r="1105">
      <c r="A1105" s="1">
        <v>3204169.0</v>
      </c>
      <c r="B1105" s="1" t="s">
        <v>2444</v>
      </c>
      <c r="C1105" s="1" t="s">
        <v>2070</v>
      </c>
      <c r="D1105" s="1" t="s">
        <v>2091</v>
      </c>
      <c r="E1105" s="1" t="s">
        <v>2445</v>
      </c>
      <c r="F1105" s="1" t="s">
        <v>16</v>
      </c>
      <c r="G1105" s="1" t="s">
        <v>23</v>
      </c>
      <c r="H1105" s="1" t="s">
        <v>18</v>
      </c>
      <c r="I1105" s="1" t="s">
        <v>684</v>
      </c>
    </row>
    <row r="1106">
      <c r="A1106" s="1">
        <v>3275115.0</v>
      </c>
      <c r="B1106" s="1" t="s">
        <v>2446</v>
      </c>
      <c r="C1106" s="1" t="s">
        <v>2070</v>
      </c>
      <c r="D1106" s="1" t="s">
        <v>2119</v>
      </c>
      <c r="E1106" s="1" t="s">
        <v>2447</v>
      </c>
      <c r="F1106" s="1" t="s">
        <v>16</v>
      </c>
      <c r="G1106" s="1" t="s">
        <v>27</v>
      </c>
      <c r="H1106" s="1" t="s">
        <v>18</v>
      </c>
      <c r="I1106" s="1" t="s">
        <v>19</v>
      </c>
    </row>
    <row r="1107">
      <c r="A1107" s="1">
        <v>3216385.0</v>
      </c>
      <c r="B1107" s="1" t="s">
        <v>2448</v>
      </c>
      <c r="C1107" s="1" t="s">
        <v>2070</v>
      </c>
      <c r="D1107" s="1" t="s">
        <v>2079</v>
      </c>
      <c r="E1107" s="1" t="s">
        <v>2449</v>
      </c>
      <c r="F1107" s="1" t="s">
        <v>16</v>
      </c>
      <c r="G1107" s="1" t="s">
        <v>17</v>
      </c>
      <c r="H1107" s="1" t="s">
        <v>18</v>
      </c>
      <c r="I1107" s="1" t="s">
        <v>44</v>
      </c>
    </row>
    <row r="1108">
      <c r="A1108" s="1">
        <v>3201236.0</v>
      </c>
      <c r="B1108" s="1" t="s">
        <v>2450</v>
      </c>
      <c r="C1108" s="1" t="s">
        <v>2070</v>
      </c>
      <c r="D1108" s="1" t="s">
        <v>2173</v>
      </c>
      <c r="E1108" s="1" t="s">
        <v>2451</v>
      </c>
      <c r="F1108" s="1" t="s">
        <v>16</v>
      </c>
      <c r="G1108" s="1" t="s">
        <v>17</v>
      </c>
      <c r="H1108" s="1" t="s">
        <v>18</v>
      </c>
      <c r="I1108" s="1" t="s">
        <v>44</v>
      </c>
    </row>
    <row r="1109">
      <c r="A1109" s="1">
        <v>3278021.0</v>
      </c>
      <c r="B1109" s="1" t="s">
        <v>2452</v>
      </c>
      <c r="C1109" s="1" t="s">
        <v>2070</v>
      </c>
      <c r="D1109" s="1" t="s">
        <v>2077</v>
      </c>
      <c r="E1109" s="1" t="s">
        <v>2453</v>
      </c>
      <c r="F1109" s="1" t="s">
        <v>55</v>
      </c>
      <c r="G1109" s="1" t="s">
        <v>17</v>
      </c>
      <c r="H1109" s="1" t="s">
        <v>18</v>
      </c>
      <c r="I1109" s="1" t="s">
        <v>19</v>
      </c>
    </row>
    <row r="1110">
      <c r="A1110" s="1">
        <v>3201249.0</v>
      </c>
      <c r="B1110" s="1" t="s">
        <v>2454</v>
      </c>
      <c r="C1110" s="1" t="s">
        <v>2070</v>
      </c>
      <c r="D1110" s="1" t="s">
        <v>2097</v>
      </c>
      <c r="E1110" s="1" t="s">
        <v>2455</v>
      </c>
      <c r="F1110" s="1" t="s">
        <v>16</v>
      </c>
      <c r="G1110" s="1" t="s">
        <v>17</v>
      </c>
      <c r="H1110" s="1" t="s">
        <v>18</v>
      </c>
      <c r="I1110" s="1" t="s">
        <v>19</v>
      </c>
    </row>
    <row r="1111">
      <c r="A1111" s="1">
        <v>3275415.0</v>
      </c>
      <c r="B1111" s="1" t="s">
        <v>2456</v>
      </c>
      <c r="C1111" s="1" t="s">
        <v>2070</v>
      </c>
      <c r="D1111" s="1" t="s">
        <v>2119</v>
      </c>
      <c r="E1111" s="1" t="s">
        <v>2457</v>
      </c>
      <c r="F1111" s="1" t="s">
        <v>16</v>
      </c>
      <c r="G1111" s="1" t="s">
        <v>23</v>
      </c>
      <c r="H1111" s="1" t="s">
        <v>18</v>
      </c>
      <c r="I1111" s="1" t="s">
        <v>19</v>
      </c>
    </row>
    <row r="1112">
      <c r="A1112" s="1">
        <v>3275390.0</v>
      </c>
      <c r="B1112" s="1" t="s">
        <v>2458</v>
      </c>
      <c r="C1112" s="1" t="s">
        <v>2070</v>
      </c>
      <c r="D1112" s="1" t="s">
        <v>2119</v>
      </c>
      <c r="E1112" s="1" t="s">
        <v>2459</v>
      </c>
      <c r="F1112" s="1" t="s">
        <v>55</v>
      </c>
      <c r="G1112" s="1" t="s">
        <v>17</v>
      </c>
      <c r="H1112" s="1" t="s">
        <v>18</v>
      </c>
      <c r="I1112" s="1" t="s">
        <v>19</v>
      </c>
    </row>
    <row r="1113">
      <c r="A1113" s="1">
        <v>3213044.0</v>
      </c>
      <c r="B1113" s="1" t="s">
        <v>2460</v>
      </c>
      <c r="C1113" s="1" t="s">
        <v>2070</v>
      </c>
      <c r="D1113" s="1" t="s">
        <v>2127</v>
      </c>
      <c r="E1113" s="1" t="s">
        <v>2461</v>
      </c>
      <c r="F1113" s="1" t="s">
        <v>16</v>
      </c>
      <c r="G1113" s="1" t="s">
        <v>17</v>
      </c>
      <c r="H1113" s="1" t="s">
        <v>18</v>
      </c>
      <c r="I1113" s="1" t="s">
        <v>19</v>
      </c>
    </row>
    <row r="1114">
      <c r="A1114" s="1">
        <v>3275307.0</v>
      </c>
      <c r="B1114" s="1" t="s">
        <v>2462</v>
      </c>
      <c r="C1114" s="1" t="s">
        <v>2070</v>
      </c>
      <c r="D1114" s="1" t="s">
        <v>2119</v>
      </c>
      <c r="E1114" s="1" t="s">
        <v>2463</v>
      </c>
      <c r="F1114" s="1" t="s">
        <v>16</v>
      </c>
      <c r="G1114" s="1" t="s">
        <v>17</v>
      </c>
      <c r="H1114" s="1" t="s">
        <v>18</v>
      </c>
      <c r="I1114" s="1" t="s">
        <v>19</v>
      </c>
    </row>
    <row r="1115">
      <c r="A1115" s="1">
        <v>3201244.0</v>
      </c>
      <c r="B1115" s="1" t="s">
        <v>2464</v>
      </c>
      <c r="C1115" s="1" t="s">
        <v>2070</v>
      </c>
      <c r="D1115" s="1" t="s">
        <v>2097</v>
      </c>
      <c r="E1115" s="1" t="s">
        <v>2465</v>
      </c>
      <c r="F1115" s="1" t="s">
        <v>16</v>
      </c>
      <c r="G1115" s="1" t="s">
        <v>17</v>
      </c>
      <c r="H1115" s="1" t="s">
        <v>18</v>
      </c>
      <c r="I1115" s="1" t="s">
        <v>44</v>
      </c>
    </row>
    <row r="1116">
      <c r="A1116" s="1">
        <v>3217008.0</v>
      </c>
      <c r="B1116" s="1" t="s">
        <v>2466</v>
      </c>
      <c r="C1116" s="1" t="s">
        <v>2070</v>
      </c>
      <c r="D1116" s="1" t="s">
        <v>2144</v>
      </c>
      <c r="E1116" s="1" t="s">
        <v>2467</v>
      </c>
      <c r="F1116" s="1" t="s">
        <v>55</v>
      </c>
      <c r="G1116" s="1" t="s">
        <v>17</v>
      </c>
      <c r="H1116" s="1" t="s">
        <v>18</v>
      </c>
      <c r="I1116" s="1" t="s">
        <v>19</v>
      </c>
    </row>
    <row r="1117">
      <c r="A1117" s="1">
        <v>3273558.0</v>
      </c>
      <c r="B1117" s="1" t="s">
        <v>2468</v>
      </c>
      <c r="C1117" s="1" t="s">
        <v>2070</v>
      </c>
      <c r="D1117" s="1" t="s">
        <v>2088</v>
      </c>
      <c r="E1117" s="1" t="s">
        <v>2469</v>
      </c>
      <c r="F1117" s="1" t="s">
        <v>1884</v>
      </c>
      <c r="G1117" s="1" t="s">
        <v>17</v>
      </c>
      <c r="H1117" s="1" t="s">
        <v>18</v>
      </c>
      <c r="I1117" s="1" t="s">
        <v>44</v>
      </c>
    </row>
    <row r="1118">
      <c r="A1118" s="1">
        <v>3209036.0</v>
      </c>
      <c r="B1118" s="1" t="s">
        <v>2470</v>
      </c>
      <c r="C1118" s="1" t="s">
        <v>2070</v>
      </c>
      <c r="D1118" s="1" t="s">
        <v>2106</v>
      </c>
      <c r="E1118" s="1" t="s">
        <v>2471</v>
      </c>
      <c r="F1118" s="1" t="s">
        <v>473</v>
      </c>
      <c r="G1118" s="1" t="s">
        <v>27</v>
      </c>
      <c r="H1118" s="1" t="s">
        <v>28</v>
      </c>
      <c r="I1118" s="1" t="s">
        <v>139</v>
      </c>
    </row>
    <row r="1119">
      <c r="A1119" s="1">
        <v>3275035.0</v>
      </c>
      <c r="B1119" s="1" t="s">
        <v>2472</v>
      </c>
      <c r="C1119" s="1" t="s">
        <v>2070</v>
      </c>
      <c r="D1119" s="1" t="s">
        <v>2119</v>
      </c>
      <c r="E1119" s="1" t="s">
        <v>2473</v>
      </c>
      <c r="F1119" s="1" t="s">
        <v>16</v>
      </c>
      <c r="G1119" s="1" t="s">
        <v>17</v>
      </c>
      <c r="H1119" s="1" t="s">
        <v>18</v>
      </c>
      <c r="I1119" s="1" t="s">
        <v>19</v>
      </c>
    </row>
    <row r="1120">
      <c r="A1120" s="1">
        <v>3276149.0</v>
      </c>
      <c r="B1120" s="1" t="s">
        <v>2474</v>
      </c>
      <c r="C1120" s="1" t="s">
        <v>2070</v>
      </c>
      <c r="D1120" s="1" t="s">
        <v>2082</v>
      </c>
      <c r="E1120" s="1" t="s">
        <v>2475</v>
      </c>
      <c r="F1120" s="1" t="s">
        <v>55</v>
      </c>
      <c r="G1120" s="1" t="s">
        <v>17</v>
      </c>
      <c r="H1120" s="1" t="s">
        <v>18</v>
      </c>
      <c r="I1120" s="1" t="s">
        <v>44</v>
      </c>
    </row>
    <row r="1121">
      <c r="A1121" s="1">
        <v>3216440.0</v>
      </c>
      <c r="B1121" s="1" t="s">
        <v>2476</v>
      </c>
      <c r="C1121" s="1" t="s">
        <v>2070</v>
      </c>
      <c r="D1121" s="1" t="s">
        <v>2079</v>
      </c>
      <c r="E1121" s="1" t="s">
        <v>2477</v>
      </c>
      <c r="F1121" s="1" t="s">
        <v>16</v>
      </c>
      <c r="G1121" s="1" t="s">
        <v>23</v>
      </c>
      <c r="H1121" s="1" t="s">
        <v>28</v>
      </c>
      <c r="I1121" s="1" t="s">
        <v>40</v>
      </c>
    </row>
    <row r="1122">
      <c r="A1122" s="1">
        <v>3273026.0</v>
      </c>
      <c r="B1122" s="1" t="s">
        <v>2478</v>
      </c>
      <c r="C1122" s="1" t="s">
        <v>2070</v>
      </c>
      <c r="D1122" s="1" t="s">
        <v>2088</v>
      </c>
      <c r="E1122" s="1" t="s">
        <v>2479</v>
      </c>
      <c r="F1122" s="1" t="s">
        <v>16</v>
      </c>
      <c r="G1122" s="1" t="s">
        <v>27</v>
      </c>
      <c r="H1122" s="1" t="s">
        <v>18</v>
      </c>
      <c r="I1122" s="1" t="s">
        <v>65</v>
      </c>
    </row>
    <row r="1123">
      <c r="A1123" s="1">
        <v>3215056.0</v>
      </c>
      <c r="B1123" s="1" t="s">
        <v>278</v>
      </c>
      <c r="C1123" s="1" t="s">
        <v>2070</v>
      </c>
      <c r="D1123" s="1" t="s">
        <v>2071</v>
      </c>
      <c r="E1123" s="1" t="s">
        <v>2480</v>
      </c>
      <c r="F1123" s="1" t="s">
        <v>16</v>
      </c>
      <c r="G1123" s="1" t="s">
        <v>17</v>
      </c>
      <c r="H1123" s="1" t="s">
        <v>18</v>
      </c>
      <c r="I1123" s="1" t="s">
        <v>44</v>
      </c>
    </row>
    <row r="1124">
      <c r="A1124" s="1">
        <v>3216413.0</v>
      </c>
      <c r="B1124" s="1" t="s">
        <v>2481</v>
      </c>
      <c r="C1124" s="1" t="s">
        <v>2070</v>
      </c>
      <c r="D1124" s="1" t="s">
        <v>2079</v>
      </c>
      <c r="E1124" s="1" t="s">
        <v>2482</v>
      </c>
      <c r="F1124" s="1" t="s">
        <v>16</v>
      </c>
      <c r="G1124" s="1" t="s">
        <v>17</v>
      </c>
      <c r="H1124" s="1" t="s">
        <v>18</v>
      </c>
      <c r="I1124" s="1" t="s">
        <v>44</v>
      </c>
    </row>
    <row r="1125">
      <c r="A1125" s="1">
        <v>3216448.0</v>
      </c>
      <c r="B1125" s="1" t="s">
        <v>2483</v>
      </c>
      <c r="C1125" s="1" t="s">
        <v>2070</v>
      </c>
      <c r="D1125" s="1" t="s">
        <v>2119</v>
      </c>
      <c r="E1125" s="1" t="s">
        <v>2484</v>
      </c>
      <c r="F1125" s="1" t="s">
        <v>16</v>
      </c>
      <c r="G1125" s="1" t="s">
        <v>17</v>
      </c>
      <c r="H1125" s="1" t="s">
        <v>18</v>
      </c>
      <c r="I1125" s="1" t="s">
        <v>19</v>
      </c>
    </row>
    <row r="1126">
      <c r="A1126" s="1">
        <v>3201126.0</v>
      </c>
      <c r="B1126" s="1" t="s">
        <v>2485</v>
      </c>
      <c r="C1126" s="1" t="s">
        <v>2070</v>
      </c>
      <c r="D1126" s="1" t="s">
        <v>2082</v>
      </c>
      <c r="E1126" s="1" t="s">
        <v>2486</v>
      </c>
      <c r="F1126" s="1" t="s">
        <v>16</v>
      </c>
      <c r="G1126" s="1" t="s">
        <v>27</v>
      </c>
      <c r="H1126" s="1" t="s">
        <v>18</v>
      </c>
      <c r="I1126" s="1" t="s">
        <v>59</v>
      </c>
    </row>
    <row r="1127">
      <c r="A1127" s="1">
        <v>3273110.0</v>
      </c>
      <c r="B1127" s="1" t="s">
        <v>2487</v>
      </c>
      <c r="C1127" s="1" t="s">
        <v>2070</v>
      </c>
      <c r="D1127" s="1" t="s">
        <v>2088</v>
      </c>
      <c r="E1127" s="1" t="s">
        <v>2488</v>
      </c>
      <c r="F1127" s="1" t="s">
        <v>16</v>
      </c>
      <c r="G1127" s="1" t="s">
        <v>23</v>
      </c>
      <c r="H1127" s="1" t="s">
        <v>18</v>
      </c>
      <c r="I1127" s="1" t="s">
        <v>59</v>
      </c>
    </row>
    <row r="1128">
      <c r="A1128" s="1">
        <v>3214035.0</v>
      </c>
      <c r="B1128" s="1" t="s">
        <v>2489</v>
      </c>
      <c r="C1128" s="1" t="s">
        <v>2070</v>
      </c>
      <c r="D1128" s="1" t="s">
        <v>2182</v>
      </c>
      <c r="E1128" s="1" t="s">
        <v>2490</v>
      </c>
      <c r="F1128" s="1" t="s">
        <v>16</v>
      </c>
      <c r="G1128" s="1" t="s">
        <v>17</v>
      </c>
      <c r="H1128" s="1" t="s">
        <v>18</v>
      </c>
      <c r="I1128" s="1" t="s">
        <v>44</v>
      </c>
    </row>
    <row r="1129">
      <c r="A1129" s="1">
        <v>3203039.0</v>
      </c>
      <c r="B1129" s="1" t="s">
        <v>2491</v>
      </c>
      <c r="C1129" s="1" t="s">
        <v>2070</v>
      </c>
      <c r="D1129" s="1" t="s">
        <v>2094</v>
      </c>
      <c r="E1129" s="1" t="s">
        <v>2492</v>
      </c>
      <c r="F1129" s="1" t="s">
        <v>16</v>
      </c>
      <c r="G1129" s="1" t="s">
        <v>17</v>
      </c>
      <c r="H1129" s="1" t="s">
        <v>28</v>
      </c>
      <c r="I1129" s="1" t="s">
        <v>40</v>
      </c>
    </row>
    <row r="1130">
      <c r="A1130" s="1">
        <v>3275013.0</v>
      </c>
      <c r="B1130" s="1" t="s">
        <v>2493</v>
      </c>
      <c r="C1130" s="1" t="s">
        <v>2070</v>
      </c>
      <c r="D1130" s="1" t="s">
        <v>2119</v>
      </c>
      <c r="E1130" s="1" t="s">
        <v>2494</v>
      </c>
      <c r="F1130" s="1" t="s">
        <v>16</v>
      </c>
      <c r="G1130" s="1" t="s">
        <v>27</v>
      </c>
      <c r="H1130" s="1" t="s">
        <v>28</v>
      </c>
      <c r="I1130" s="1" t="s">
        <v>29</v>
      </c>
    </row>
    <row r="1131">
      <c r="A1131" s="1">
        <v>3273540.0</v>
      </c>
      <c r="B1131" s="1" t="s">
        <v>2495</v>
      </c>
      <c r="C1131" s="1" t="s">
        <v>2070</v>
      </c>
      <c r="D1131" s="1" t="s">
        <v>2088</v>
      </c>
      <c r="E1131" s="1" t="s">
        <v>2496</v>
      </c>
      <c r="F1131" s="1" t="s">
        <v>32</v>
      </c>
      <c r="G1131" s="1" t="s">
        <v>27</v>
      </c>
      <c r="H1131" s="1" t="s">
        <v>28</v>
      </c>
      <c r="I1131" s="1" t="s">
        <v>29</v>
      </c>
    </row>
    <row r="1132">
      <c r="A1132" s="1">
        <v>3216424.0</v>
      </c>
      <c r="B1132" s="1" t="s">
        <v>2497</v>
      </c>
      <c r="C1132" s="1" t="s">
        <v>2070</v>
      </c>
      <c r="D1132" s="1" t="s">
        <v>2079</v>
      </c>
      <c r="E1132" s="1" t="s">
        <v>2498</v>
      </c>
      <c r="F1132" s="1" t="s">
        <v>55</v>
      </c>
      <c r="G1132" s="1" t="s">
        <v>17</v>
      </c>
      <c r="H1132" s="1" t="s">
        <v>18</v>
      </c>
      <c r="I1132" s="1" t="s">
        <v>44</v>
      </c>
    </row>
    <row r="1133">
      <c r="A1133" s="1">
        <v>3207057.0</v>
      </c>
      <c r="B1133" s="1" t="s">
        <v>2499</v>
      </c>
      <c r="C1133" s="1" t="s">
        <v>2070</v>
      </c>
      <c r="D1133" s="1" t="s">
        <v>2162</v>
      </c>
      <c r="E1133" s="1" t="s">
        <v>2500</v>
      </c>
      <c r="F1133" s="1" t="s">
        <v>16</v>
      </c>
      <c r="G1133" s="1" t="s">
        <v>17</v>
      </c>
      <c r="H1133" s="1" t="s">
        <v>18</v>
      </c>
      <c r="I1133" s="1" t="s">
        <v>19</v>
      </c>
    </row>
    <row r="1134">
      <c r="A1134" s="1">
        <v>3273559.0</v>
      </c>
      <c r="B1134" s="1" t="s">
        <v>2501</v>
      </c>
      <c r="C1134" s="1" t="s">
        <v>2070</v>
      </c>
      <c r="D1134" s="1" t="s">
        <v>2088</v>
      </c>
      <c r="E1134" s="1" t="s">
        <v>2502</v>
      </c>
      <c r="F1134" s="1" t="s">
        <v>16</v>
      </c>
      <c r="G1134" s="1" t="s">
        <v>27</v>
      </c>
      <c r="H1134" s="1" t="s">
        <v>18</v>
      </c>
      <c r="I1134" s="1" t="s">
        <v>19</v>
      </c>
    </row>
    <row r="1135">
      <c r="A1135" s="1">
        <v>3277031.0</v>
      </c>
      <c r="B1135" s="1" t="s">
        <v>2503</v>
      </c>
      <c r="C1135" s="1" t="s">
        <v>2070</v>
      </c>
      <c r="D1135" s="1" t="s">
        <v>2217</v>
      </c>
      <c r="E1135" s="1" t="s">
        <v>2504</v>
      </c>
      <c r="F1135" s="1" t="s">
        <v>16</v>
      </c>
      <c r="G1135" s="1" t="s">
        <v>27</v>
      </c>
      <c r="H1135" s="1" t="s">
        <v>33</v>
      </c>
      <c r="I1135" s="1" t="s">
        <v>74</v>
      </c>
    </row>
    <row r="1136">
      <c r="A1136" s="1">
        <v>3273539.0</v>
      </c>
      <c r="B1136" s="1" t="s">
        <v>2505</v>
      </c>
      <c r="C1136" s="1" t="s">
        <v>2070</v>
      </c>
      <c r="D1136" s="1" t="s">
        <v>2088</v>
      </c>
      <c r="E1136" s="1" t="s">
        <v>2506</v>
      </c>
      <c r="F1136" s="1" t="s">
        <v>16</v>
      </c>
      <c r="G1136" s="1" t="s">
        <v>27</v>
      </c>
      <c r="H1136" s="1" t="s">
        <v>18</v>
      </c>
      <c r="I1136" s="1" t="s">
        <v>19</v>
      </c>
    </row>
    <row r="1137">
      <c r="A1137" s="1">
        <v>3214037.0</v>
      </c>
      <c r="B1137" s="1" t="s">
        <v>2507</v>
      </c>
      <c r="C1137" s="1" t="s">
        <v>2070</v>
      </c>
      <c r="D1137" s="1" t="s">
        <v>2182</v>
      </c>
      <c r="E1137" s="1" t="s">
        <v>2508</v>
      </c>
      <c r="F1137" s="1" t="s">
        <v>16</v>
      </c>
      <c r="G1137" s="1" t="s">
        <v>17</v>
      </c>
      <c r="H1137" s="1" t="s">
        <v>18</v>
      </c>
      <c r="I1137" s="1" t="s">
        <v>44</v>
      </c>
    </row>
    <row r="1138">
      <c r="A1138" s="1">
        <v>3212056.0</v>
      </c>
      <c r="B1138" s="1" t="s">
        <v>2509</v>
      </c>
      <c r="C1138" s="1" t="s">
        <v>2070</v>
      </c>
      <c r="D1138" s="1" t="s">
        <v>2189</v>
      </c>
      <c r="E1138" s="1" t="s">
        <v>2510</v>
      </c>
      <c r="F1138" s="1" t="s">
        <v>16</v>
      </c>
      <c r="G1138" s="1" t="s">
        <v>23</v>
      </c>
      <c r="H1138" s="1" t="s">
        <v>28</v>
      </c>
      <c r="I1138" s="1" t="s">
        <v>40</v>
      </c>
    </row>
    <row r="1139">
      <c r="A1139" s="1">
        <v>3210038.0</v>
      </c>
      <c r="B1139" s="1" t="s">
        <v>2511</v>
      </c>
      <c r="C1139" s="1" t="s">
        <v>2070</v>
      </c>
      <c r="D1139" s="1" t="s">
        <v>2228</v>
      </c>
      <c r="E1139" s="1" t="s">
        <v>2512</v>
      </c>
      <c r="F1139" s="1" t="s">
        <v>16</v>
      </c>
      <c r="G1139" s="1" t="s">
        <v>17</v>
      </c>
      <c r="H1139" s="1" t="s">
        <v>18</v>
      </c>
      <c r="I1139" s="1" t="s">
        <v>19</v>
      </c>
    </row>
    <row r="1140">
      <c r="A1140" s="1">
        <v>3216218.0</v>
      </c>
      <c r="B1140" s="1" t="s">
        <v>2513</v>
      </c>
      <c r="C1140" s="1" t="s">
        <v>2070</v>
      </c>
      <c r="D1140" s="1" t="s">
        <v>2119</v>
      </c>
      <c r="E1140" s="1" t="s">
        <v>2514</v>
      </c>
      <c r="F1140" s="1" t="s">
        <v>16</v>
      </c>
      <c r="G1140" s="1" t="s">
        <v>27</v>
      </c>
      <c r="H1140" s="1" t="s">
        <v>18</v>
      </c>
      <c r="I1140" s="1" t="s">
        <v>19</v>
      </c>
    </row>
    <row r="1141">
      <c r="A1141" s="1">
        <v>3205024.0</v>
      </c>
      <c r="B1141" s="1" t="s">
        <v>2515</v>
      </c>
      <c r="C1141" s="1" t="s">
        <v>2070</v>
      </c>
      <c r="D1141" s="1" t="s">
        <v>2214</v>
      </c>
      <c r="E1141" s="1" t="s">
        <v>2516</v>
      </c>
      <c r="F1141" s="1" t="s">
        <v>16</v>
      </c>
      <c r="G1141" s="1" t="s">
        <v>23</v>
      </c>
      <c r="H1141" s="1" t="s">
        <v>18</v>
      </c>
      <c r="I1141" s="1" t="s">
        <v>44</v>
      </c>
    </row>
    <row r="1142">
      <c r="A1142" s="1">
        <v>3275066.0</v>
      </c>
      <c r="B1142" s="1" t="s">
        <v>2517</v>
      </c>
      <c r="C1142" s="1" t="s">
        <v>2070</v>
      </c>
      <c r="D1142" s="1" t="s">
        <v>2119</v>
      </c>
      <c r="E1142" s="1" t="s">
        <v>2518</v>
      </c>
      <c r="F1142" s="1" t="s">
        <v>16</v>
      </c>
      <c r="G1142" s="1" t="s">
        <v>23</v>
      </c>
      <c r="H1142" s="1" t="s">
        <v>28</v>
      </c>
      <c r="I1142" s="1" t="s">
        <v>29</v>
      </c>
    </row>
    <row r="1143">
      <c r="A1143" s="1">
        <v>3207023.0</v>
      </c>
      <c r="B1143" s="1" t="s">
        <v>2519</v>
      </c>
      <c r="C1143" s="1" t="s">
        <v>2070</v>
      </c>
      <c r="D1143" s="1" t="s">
        <v>2149</v>
      </c>
      <c r="E1143" s="1" t="s">
        <v>2520</v>
      </c>
      <c r="F1143" s="1" t="s">
        <v>16</v>
      </c>
      <c r="G1143" s="1" t="s">
        <v>27</v>
      </c>
      <c r="H1143" s="1" t="s">
        <v>28</v>
      </c>
      <c r="I1143" s="1" t="s">
        <v>29</v>
      </c>
    </row>
    <row r="1144">
      <c r="A1144" s="1">
        <v>3202073.0</v>
      </c>
      <c r="B1144" s="1" t="s">
        <v>2521</v>
      </c>
      <c r="C1144" s="1" t="s">
        <v>2070</v>
      </c>
      <c r="D1144" s="1" t="s">
        <v>2085</v>
      </c>
      <c r="E1144" s="1" t="s">
        <v>2522</v>
      </c>
      <c r="F1144" s="1" t="s">
        <v>16</v>
      </c>
      <c r="G1144" s="1" t="s">
        <v>17</v>
      </c>
      <c r="H1144" s="1" t="s">
        <v>18</v>
      </c>
      <c r="I1144" s="1" t="s">
        <v>19</v>
      </c>
    </row>
    <row r="1145">
      <c r="A1145" s="1">
        <v>3208058.0</v>
      </c>
      <c r="B1145" s="1" t="s">
        <v>2523</v>
      </c>
      <c r="C1145" s="1" t="s">
        <v>2070</v>
      </c>
      <c r="D1145" s="1" t="s">
        <v>2074</v>
      </c>
      <c r="E1145" s="1" t="s">
        <v>2524</v>
      </c>
      <c r="F1145" s="1" t="s">
        <v>16</v>
      </c>
      <c r="G1145" s="1" t="s">
        <v>17</v>
      </c>
      <c r="H1145" s="1" t="s">
        <v>18</v>
      </c>
      <c r="I1145" s="1" t="s">
        <v>44</v>
      </c>
    </row>
    <row r="1146">
      <c r="A1146" s="1">
        <v>3217002.0</v>
      </c>
      <c r="B1146" s="1" t="s">
        <v>2525</v>
      </c>
      <c r="C1146" s="1" t="s">
        <v>2070</v>
      </c>
      <c r="D1146" s="1" t="s">
        <v>2144</v>
      </c>
      <c r="E1146" s="1" t="s">
        <v>2526</v>
      </c>
      <c r="F1146" s="1" t="s">
        <v>16</v>
      </c>
      <c r="G1146" s="1" t="s">
        <v>17</v>
      </c>
      <c r="H1146" s="1" t="s">
        <v>28</v>
      </c>
      <c r="I1146" s="1" t="s">
        <v>40</v>
      </c>
    </row>
    <row r="1147">
      <c r="A1147" s="1">
        <v>3274135.0</v>
      </c>
      <c r="B1147" s="1" t="s">
        <v>2527</v>
      </c>
      <c r="C1147" s="1" t="s">
        <v>2070</v>
      </c>
      <c r="D1147" s="1" t="s">
        <v>2106</v>
      </c>
      <c r="E1147" s="1" t="s">
        <v>2528</v>
      </c>
      <c r="F1147" s="1" t="s">
        <v>16</v>
      </c>
      <c r="G1147" s="1" t="s">
        <v>17</v>
      </c>
      <c r="H1147" s="1" t="s">
        <v>18</v>
      </c>
      <c r="I1147" s="1" t="s">
        <v>19</v>
      </c>
    </row>
    <row r="1148">
      <c r="A1148" s="1">
        <v>3217007.0</v>
      </c>
      <c r="B1148" s="1" t="s">
        <v>2529</v>
      </c>
      <c r="C1148" s="1" t="s">
        <v>2070</v>
      </c>
      <c r="D1148" s="1" t="s">
        <v>2144</v>
      </c>
      <c r="E1148" s="1" t="s">
        <v>2530</v>
      </c>
      <c r="F1148" s="1" t="s">
        <v>16</v>
      </c>
      <c r="G1148" s="1" t="s">
        <v>17</v>
      </c>
      <c r="H1148" s="1" t="s">
        <v>28</v>
      </c>
      <c r="I1148" s="1" t="s">
        <v>40</v>
      </c>
    </row>
    <row r="1149">
      <c r="A1149" s="1">
        <v>3203041.0</v>
      </c>
      <c r="B1149" s="1" t="s">
        <v>2531</v>
      </c>
      <c r="C1149" s="1" t="s">
        <v>2070</v>
      </c>
      <c r="D1149" s="1" t="s">
        <v>2094</v>
      </c>
      <c r="E1149" s="1" t="s">
        <v>2532</v>
      </c>
      <c r="F1149" s="1" t="s">
        <v>16</v>
      </c>
      <c r="G1149" s="1" t="s">
        <v>23</v>
      </c>
      <c r="H1149" s="1" t="s">
        <v>18</v>
      </c>
      <c r="I1149" s="1" t="s">
        <v>65</v>
      </c>
    </row>
    <row r="1150">
      <c r="A1150" s="1">
        <v>3201273.0</v>
      </c>
      <c r="B1150" s="1" t="s">
        <v>2533</v>
      </c>
      <c r="C1150" s="1" t="s">
        <v>2070</v>
      </c>
      <c r="D1150" s="1" t="s">
        <v>2097</v>
      </c>
      <c r="E1150" s="1" t="s">
        <v>2534</v>
      </c>
      <c r="F1150" s="1" t="s">
        <v>16</v>
      </c>
      <c r="G1150" s="1" t="s">
        <v>17</v>
      </c>
      <c r="H1150" s="1" t="s">
        <v>18</v>
      </c>
      <c r="I1150" s="1" t="s">
        <v>19</v>
      </c>
    </row>
    <row r="1151">
      <c r="A1151" s="1">
        <v>3271115.0</v>
      </c>
      <c r="B1151" s="1" t="s">
        <v>2535</v>
      </c>
      <c r="C1151" s="1" t="s">
        <v>2070</v>
      </c>
      <c r="D1151" s="1" t="s">
        <v>2173</v>
      </c>
      <c r="E1151" s="1" t="s">
        <v>2536</v>
      </c>
      <c r="F1151" s="1" t="s">
        <v>16</v>
      </c>
      <c r="G1151" s="1" t="s">
        <v>27</v>
      </c>
      <c r="H1151" s="1" t="s">
        <v>18</v>
      </c>
      <c r="I1151" s="1" t="s">
        <v>44</v>
      </c>
    </row>
    <row r="1152">
      <c r="A1152" s="1">
        <v>3271163.0</v>
      </c>
      <c r="B1152" s="1" t="s">
        <v>2537</v>
      </c>
      <c r="C1152" s="1" t="s">
        <v>2070</v>
      </c>
      <c r="D1152" s="1" t="s">
        <v>2173</v>
      </c>
      <c r="E1152" s="1" t="s">
        <v>2538</v>
      </c>
      <c r="F1152" s="1" t="s">
        <v>16</v>
      </c>
      <c r="G1152" s="1" t="s">
        <v>17</v>
      </c>
      <c r="H1152" s="1" t="s">
        <v>18</v>
      </c>
      <c r="I1152" s="1" t="s">
        <v>44</v>
      </c>
    </row>
    <row r="1153">
      <c r="A1153" s="1">
        <v>3276154.0</v>
      </c>
      <c r="B1153" s="1" t="s">
        <v>1771</v>
      </c>
      <c r="C1153" s="1" t="s">
        <v>2070</v>
      </c>
      <c r="D1153" s="1" t="s">
        <v>2082</v>
      </c>
      <c r="E1153" s="1" t="s">
        <v>2539</v>
      </c>
      <c r="F1153" s="1" t="s">
        <v>16</v>
      </c>
      <c r="G1153" s="1" t="s">
        <v>27</v>
      </c>
      <c r="H1153" s="1" t="s">
        <v>18</v>
      </c>
      <c r="I1153" s="1" t="s">
        <v>44</v>
      </c>
    </row>
    <row r="1154">
      <c r="A1154" s="1">
        <v>3212031.0</v>
      </c>
      <c r="B1154" s="1" t="s">
        <v>2540</v>
      </c>
      <c r="C1154" s="1" t="s">
        <v>2070</v>
      </c>
      <c r="D1154" s="1" t="s">
        <v>2189</v>
      </c>
      <c r="E1154" s="1" t="s">
        <v>2541</v>
      </c>
      <c r="F1154" s="1" t="s">
        <v>16</v>
      </c>
      <c r="G1154" s="1" t="s">
        <v>17</v>
      </c>
      <c r="H1154" s="1" t="s">
        <v>28</v>
      </c>
      <c r="I1154" s="1" t="s">
        <v>40</v>
      </c>
    </row>
    <row r="1155">
      <c r="A1155" s="1">
        <v>3275039.0</v>
      </c>
      <c r="B1155" s="1" t="s">
        <v>2542</v>
      </c>
      <c r="C1155" s="1" t="s">
        <v>2070</v>
      </c>
      <c r="D1155" s="1" t="s">
        <v>2119</v>
      </c>
      <c r="E1155" s="1" t="s">
        <v>2543</v>
      </c>
      <c r="F1155" s="1" t="s">
        <v>16</v>
      </c>
      <c r="G1155" s="1" t="s">
        <v>17</v>
      </c>
      <c r="H1155" s="1" t="s">
        <v>18</v>
      </c>
      <c r="I1155" s="1" t="s">
        <v>19</v>
      </c>
    </row>
    <row r="1156">
      <c r="A1156" s="1">
        <v>3216406.0</v>
      </c>
      <c r="B1156" s="1" t="s">
        <v>2544</v>
      </c>
      <c r="C1156" s="1" t="s">
        <v>2070</v>
      </c>
      <c r="D1156" s="1" t="s">
        <v>2079</v>
      </c>
      <c r="E1156" s="1" t="s">
        <v>2545</v>
      </c>
      <c r="F1156" s="1" t="s">
        <v>16</v>
      </c>
      <c r="G1156" s="1" t="s">
        <v>17</v>
      </c>
      <c r="H1156" s="1" t="s">
        <v>18</v>
      </c>
      <c r="I1156" s="1" t="s">
        <v>44</v>
      </c>
    </row>
    <row r="1157">
      <c r="A1157" s="1">
        <v>3275060.0</v>
      </c>
      <c r="B1157" s="1" t="s">
        <v>2546</v>
      </c>
      <c r="C1157" s="1" t="s">
        <v>2070</v>
      </c>
      <c r="D1157" s="1" t="s">
        <v>2119</v>
      </c>
      <c r="E1157" s="1" t="s">
        <v>2547</v>
      </c>
      <c r="F1157" s="1" t="s">
        <v>16</v>
      </c>
      <c r="G1157" s="1" t="s">
        <v>17</v>
      </c>
      <c r="H1157" s="1" t="s">
        <v>18</v>
      </c>
      <c r="I1157" s="1" t="s">
        <v>19</v>
      </c>
    </row>
    <row r="1158">
      <c r="A1158" s="1">
        <v>3215078.0</v>
      </c>
      <c r="B1158" s="1" t="s">
        <v>2548</v>
      </c>
      <c r="C1158" s="1" t="s">
        <v>2070</v>
      </c>
      <c r="D1158" s="1" t="s">
        <v>2071</v>
      </c>
      <c r="E1158" s="1" t="s">
        <v>2549</v>
      </c>
      <c r="F1158" s="1" t="s">
        <v>16</v>
      </c>
      <c r="G1158" s="1" t="s">
        <v>17</v>
      </c>
      <c r="H1158" s="1" t="s">
        <v>18</v>
      </c>
      <c r="I1158" s="1" t="s">
        <v>59</v>
      </c>
    </row>
    <row r="1159">
      <c r="A1159" s="1">
        <v>3274136.0</v>
      </c>
      <c r="B1159" s="1" t="s">
        <v>2550</v>
      </c>
      <c r="C1159" s="1" t="s">
        <v>2070</v>
      </c>
      <c r="D1159" s="1" t="s">
        <v>2106</v>
      </c>
      <c r="E1159" s="1" t="s">
        <v>2551</v>
      </c>
      <c r="F1159" s="1" t="s">
        <v>1884</v>
      </c>
      <c r="G1159" s="1" t="s">
        <v>27</v>
      </c>
      <c r="H1159" s="1" t="s">
        <v>18</v>
      </c>
      <c r="I1159" s="1" t="s">
        <v>19</v>
      </c>
    </row>
    <row r="1160">
      <c r="A1160" s="1">
        <v>3216438.0</v>
      </c>
      <c r="B1160" s="1" t="s">
        <v>2552</v>
      </c>
      <c r="C1160" s="1" t="s">
        <v>2070</v>
      </c>
      <c r="D1160" s="1" t="s">
        <v>2079</v>
      </c>
      <c r="E1160" s="1" t="s">
        <v>2553</v>
      </c>
      <c r="F1160" s="1" t="s">
        <v>16</v>
      </c>
      <c r="G1160" s="1" t="s">
        <v>23</v>
      </c>
      <c r="H1160" s="1" t="s">
        <v>18</v>
      </c>
      <c r="I1160" s="1" t="s">
        <v>19</v>
      </c>
    </row>
    <row r="1161">
      <c r="A1161" s="1">
        <v>3209055.0</v>
      </c>
      <c r="B1161" s="1" t="s">
        <v>2554</v>
      </c>
      <c r="C1161" s="1" t="s">
        <v>2070</v>
      </c>
      <c r="D1161" s="1" t="s">
        <v>2106</v>
      </c>
      <c r="E1161" s="1" t="s">
        <v>2555</v>
      </c>
      <c r="F1161" s="1" t="s">
        <v>16</v>
      </c>
      <c r="G1161" s="1" t="s">
        <v>23</v>
      </c>
      <c r="H1161" s="1" t="s">
        <v>18</v>
      </c>
      <c r="I1161" s="1" t="s">
        <v>44</v>
      </c>
    </row>
    <row r="1162">
      <c r="A1162" s="1">
        <v>3202040.0</v>
      </c>
      <c r="B1162" s="1" t="s">
        <v>2556</v>
      </c>
      <c r="C1162" s="1" t="s">
        <v>2070</v>
      </c>
      <c r="D1162" s="1" t="s">
        <v>2085</v>
      </c>
      <c r="E1162" s="1" t="s">
        <v>2557</v>
      </c>
      <c r="F1162" s="1" t="s">
        <v>16</v>
      </c>
      <c r="G1162" s="1" t="s">
        <v>17</v>
      </c>
      <c r="H1162" s="1" t="s">
        <v>28</v>
      </c>
      <c r="I1162" s="1" t="s">
        <v>40</v>
      </c>
    </row>
    <row r="1163">
      <c r="A1163" s="1">
        <v>3273431.0</v>
      </c>
      <c r="B1163" s="1" t="s">
        <v>2558</v>
      </c>
      <c r="C1163" s="1" t="s">
        <v>2070</v>
      </c>
      <c r="D1163" s="1" t="s">
        <v>2088</v>
      </c>
      <c r="E1163" s="1" t="s">
        <v>2559</v>
      </c>
      <c r="F1163" s="1" t="s">
        <v>255</v>
      </c>
      <c r="G1163" s="1" t="s">
        <v>17</v>
      </c>
      <c r="H1163" s="1" t="s">
        <v>18</v>
      </c>
      <c r="I1163" s="1" t="s">
        <v>59</v>
      </c>
    </row>
    <row r="1164">
      <c r="A1164" s="1">
        <v>3275057.0</v>
      </c>
      <c r="B1164" s="1" t="s">
        <v>2560</v>
      </c>
      <c r="C1164" s="1" t="s">
        <v>2070</v>
      </c>
      <c r="D1164" s="1" t="s">
        <v>2119</v>
      </c>
      <c r="E1164" s="1" t="s">
        <v>2561</v>
      </c>
      <c r="F1164" s="1" t="s">
        <v>16</v>
      </c>
      <c r="G1164" s="1" t="s">
        <v>17</v>
      </c>
      <c r="H1164" s="1" t="s">
        <v>18</v>
      </c>
      <c r="I1164" s="1" t="s">
        <v>44</v>
      </c>
    </row>
    <row r="1165">
      <c r="A1165" s="1">
        <v>3216435.0</v>
      </c>
      <c r="B1165" s="1" t="s">
        <v>2562</v>
      </c>
      <c r="C1165" s="1" t="s">
        <v>2070</v>
      </c>
      <c r="D1165" s="1" t="s">
        <v>2079</v>
      </c>
      <c r="E1165" s="1" t="s">
        <v>2563</v>
      </c>
      <c r="F1165" s="1" t="s">
        <v>16</v>
      </c>
      <c r="G1165" s="1" t="s">
        <v>23</v>
      </c>
      <c r="H1165" s="1" t="s">
        <v>18</v>
      </c>
      <c r="I1165" s="1" t="s">
        <v>19</v>
      </c>
    </row>
    <row r="1166">
      <c r="A1166" s="1">
        <v>3204134.0</v>
      </c>
      <c r="B1166" s="1" t="s">
        <v>2564</v>
      </c>
      <c r="C1166" s="1" t="s">
        <v>2070</v>
      </c>
      <c r="D1166" s="1" t="s">
        <v>2091</v>
      </c>
      <c r="E1166" s="1" t="s">
        <v>2565</v>
      </c>
      <c r="F1166" s="1" t="s">
        <v>16</v>
      </c>
      <c r="G1166" s="1" t="s">
        <v>23</v>
      </c>
      <c r="H1166" s="1" t="s">
        <v>28</v>
      </c>
      <c r="I1166" s="1" t="s">
        <v>139</v>
      </c>
    </row>
    <row r="1167">
      <c r="A1167" s="1">
        <v>3275414.0</v>
      </c>
      <c r="B1167" s="1" t="s">
        <v>2566</v>
      </c>
      <c r="C1167" s="1" t="s">
        <v>2070</v>
      </c>
      <c r="D1167" s="1" t="s">
        <v>2119</v>
      </c>
      <c r="E1167" s="1" t="s">
        <v>2567</v>
      </c>
      <c r="F1167" s="1" t="s">
        <v>16</v>
      </c>
      <c r="G1167" s="1" t="s">
        <v>17</v>
      </c>
      <c r="H1167" s="1" t="s">
        <v>18</v>
      </c>
      <c r="I1167" s="1" t="s">
        <v>19</v>
      </c>
    </row>
    <row r="1168">
      <c r="A1168" s="1">
        <v>3273562.0</v>
      </c>
      <c r="B1168" s="1" t="s">
        <v>2568</v>
      </c>
      <c r="C1168" s="1" t="s">
        <v>2070</v>
      </c>
      <c r="D1168" s="1" t="s">
        <v>2088</v>
      </c>
      <c r="E1168" s="1" t="s">
        <v>2569</v>
      </c>
      <c r="F1168" s="1" t="s">
        <v>16</v>
      </c>
      <c r="G1168" s="1" t="s">
        <v>17</v>
      </c>
      <c r="H1168" s="1" t="s">
        <v>18</v>
      </c>
      <c r="I1168" s="1" t="s">
        <v>19</v>
      </c>
    </row>
    <row r="1169">
      <c r="A1169" s="1">
        <v>3275130.0</v>
      </c>
      <c r="B1169" s="1" t="s">
        <v>2570</v>
      </c>
      <c r="C1169" s="1" t="s">
        <v>2070</v>
      </c>
      <c r="D1169" s="1" t="s">
        <v>2119</v>
      </c>
      <c r="E1169" s="1" t="s">
        <v>2571</v>
      </c>
      <c r="F1169" s="1" t="s">
        <v>16</v>
      </c>
      <c r="G1169" s="1" t="s">
        <v>17</v>
      </c>
      <c r="H1169" s="1" t="s">
        <v>18</v>
      </c>
      <c r="I1169" s="1" t="s">
        <v>59</v>
      </c>
    </row>
    <row r="1170">
      <c r="A1170" s="1">
        <v>3278016.0</v>
      </c>
      <c r="B1170" s="1" t="s">
        <v>2572</v>
      </c>
      <c r="C1170" s="1" t="s">
        <v>2070</v>
      </c>
      <c r="D1170" s="1" t="s">
        <v>2077</v>
      </c>
      <c r="E1170" s="1" t="s">
        <v>2573</v>
      </c>
      <c r="F1170" s="1" t="s">
        <v>55</v>
      </c>
      <c r="G1170" s="1" t="s">
        <v>17</v>
      </c>
      <c r="H1170" s="1" t="s">
        <v>18</v>
      </c>
      <c r="I1170" s="1" t="s">
        <v>19</v>
      </c>
    </row>
    <row r="1171">
      <c r="A1171" s="1">
        <v>3205010.0</v>
      </c>
      <c r="B1171" s="1" t="s">
        <v>2574</v>
      </c>
      <c r="C1171" s="1" t="s">
        <v>2070</v>
      </c>
      <c r="D1171" s="1" t="s">
        <v>2214</v>
      </c>
      <c r="E1171" s="1" t="s">
        <v>2575</v>
      </c>
      <c r="F1171" s="1" t="s">
        <v>16</v>
      </c>
      <c r="G1171" s="1" t="s">
        <v>27</v>
      </c>
      <c r="H1171" s="1" t="s">
        <v>28</v>
      </c>
      <c r="I1171" s="1" t="s">
        <v>40</v>
      </c>
    </row>
    <row r="1172">
      <c r="A1172" s="1">
        <v>3216386.0</v>
      </c>
      <c r="B1172" s="1" t="s">
        <v>2576</v>
      </c>
      <c r="C1172" s="1" t="s">
        <v>2070</v>
      </c>
      <c r="D1172" s="1" t="s">
        <v>2079</v>
      </c>
      <c r="E1172" s="1" t="s">
        <v>2577</v>
      </c>
      <c r="F1172" s="1" t="s">
        <v>16</v>
      </c>
      <c r="G1172" s="1" t="s">
        <v>17</v>
      </c>
      <c r="H1172" s="1" t="s">
        <v>18</v>
      </c>
      <c r="I1172" s="1" t="s">
        <v>44</v>
      </c>
    </row>
    <row r="1173">
      <c r="A1173" s="1">
        <v>3275053.0</v>
      </c>
      <c r="B1173" s="1" t="s">
        <v>2578</v>
      </c>
      <c r="C1173" s="1" t="s">
        <v>2070</v>
      </c>
      <c r="D1173" s="1" t="s">
        <v>2119</v>
      </c>
      <c r="E1173" s="1" t="s">
        <v>2579</v>
      </c>
      <c r="F1173" s="1" t="s">
        <v>16</v>
      </c>
      <c r="G1173" s="1" t="s">
        <v>17</v>
      </c>
      <c r="H1173" s="1" t="s">
        <v>18</v>
      </c>
      <c r="I1173" s="1" t="s">
        <v>44</v>
      </c>
    </row>
    <row r="1174">
      <c r="A1174" s="1">
        <v>3215163.0</v>
      </c>
      <c r="B1174" s="1" t="s">
        <v>2580</v>
      </c>
      <c r="C1174" s="1" t="s">
        <v>2070</v>
      </c>
      <c r="D1174" s="1" t="s">
        <v>2071</v>
      </c>
      <c r="E1174" s="1" t="s">
        <v>2581</v>
      </c>
      <c r="F1174" s="1" t="s">
        <v>16</v>
      </c>
      <c r="G1174" s="1" t="s">
        <v>23</v>
      </c>
      <c r="H1174" s="1" t="s">
        <v>18</v>
      </c>
      <c r="I1174" s="1" t="s">
        <v>44</v>
      </c>
    </row>
    <row r="1175">
      <c r="A1175" s="1">
        <v>3215170.0</v>
      </c>
      <c r="B1175" s="1" t="s">
        <v>2582</v>
      </c>
      <c r="C1175" s="1" t="s">
        <v>2070</v>
      </c>
      <c r="D1175" s="1" t="s">
        <v>2071</v>
      </c>
      <c r="E1175" s="1" t="s">
        <v>2583</v>
      </c>
      <c r="F1175" s="1" t="s">
        <v>16</v>
      </c>
      <c r="G1175" s="1" t="s">
        <v>17</v>
      </c>
      <c r="H1175" s="1" t="s">
        <v>18</v>
      </c>
      <c r="I1175" s="1" t="s">
        <v>19</v>
      </c>
    </row>
    <row r="1176">
      <c r="A1176" s="1">
        <v>3202088.0</v>
      </c>
      <c r="B1176" s="1" t="s">
        <v>2584</v>
      </c>
      <c r="C1176" s="1" t="s">
        <v>2070</v>
      </c>
      <c r="D1176" s="1" t="s">
        <v>2085</v>
      </c>
      <c r="E1176" s="1" t="s">
        <v>2585</v>
      </c>
      <c r="F1176" s="1" t="s">
        <v>16</v>
      </c>
      <c r="G1176" s="1" t="s">
        <v>17</v>
      </c>
      <c r="H1176" s="1" t="s">
        <v>18</v>
      </c>
      <c r="I1176" s="1" t="s">
        <v>19</v>
      </c>
    </row>
    <row r="1177">
      <c r="A1177" s="1">
        <v>3216329.0</v>
      </c>
      <c r="B1177" s="1" t="s">
        <v>2586</v>
      </c>
      <c r="C1177" s="1" t="s">
        <v>2070</v>
      </c>
      <c r="D1177" s="1" t="s">
        <v>2119</v>
      </c>
      <c r="E1177" s="1" t="s">
        <v>2587</v>
      </c>
      <c r="F1177" s="1" t="s">
        <v>16</v>
      </c>
      <c r="G1177" s="1" t="s">
        <v>27</v>
      </c>
      <c r="H1177" s="1" t="s">
        <v>18</v>
      </c>
      <c r="I1177" s="1" t="s">
        <v>19</v>
      </c>
    </row>
    <row r="1178">
      <c r="A1178" s="1">
        <v>3210037.0</v>
      </c>
      <c r="B1178" s="1" t="s">
        <v>2588</v>
      </c>
      <c r="C1178" s="1" t="s">
        <v>2070</v>
      </c>
      <c r="D1178" s="1" t="s">
        <v>2228</v>
      </c>
      <c r="E1178" s="1" t="s">
        <v>2589</v>
      </c>
      <c r="F1178" s="1" t="s">
        <v>16</v>
      </c>
      <c r="G1178" s="1" t="s">
        <v>17</v>
      </c>
      <c r="H1178" s="1" t="s">
        <v>18</v>
      </c>
      <c r="I1178" s="1" t="s">
        <v>44</v>
      </c>
    </row>
    <row r="1179">
      <c r="A1179" s="1">
        <v>3201252.0</v>
      </c>
      <c r="B1179" s="1" t="s">
        <v>2590</v>
      </c>
      <c r="C1179" s="1" t="s">
        <v>2070</v>
      </c>
      <c r="D1179" s="1" t="s">
        <v>2097</v>
      </c>
      <c r="E1179" s="1" t="s">
        <v>2591</v>
      </c>
      <c r="F1179" s="1" t="s">
        <v>16</v>
      </c>
      <c r="G1179" s="1" t="s">
        <v>17</v>
      </c>
      <c r="H1179" s="1" t="s">
        <v>18</v>
      </c>
      <c r="I1179" s="1" t="s">
        <v>44</v>
      </c>
    </row>
    <row r="1180">
      <c r="A1180" s="1">
        <v>3201258.0</v>
      </c>
      <c r="B1180" s="1" t="s">
        <v>2592</v>
      </c>
      <c r="C1180" s="1" t="s">
        <v>2070</v>
      </c>
      <c r="D1180" s="1" t="s">
        <v>2097</v>
      </c>
      <c r="E1180" s="1" t="s">
        <v>2593</v>
      </c>
      <c r="F1180" s="1" t="s">
        <v>16</v>
      </c>
      <c r="G1180" s="1" t="s">
        <v>27</v>
      </c>
      <c r="H1180" s="1" t="s">
        <v>18</v>
      </c>
      <c r="I1180" s="1" t="s">
        <v>44</v>
      </c>
    </row>
    <row r="1181">
      <c r="A1181" s="1">
        <v>3209051.0</v>
      </c>
      <c r="B1181" s="1" t="s">
        <v>2594</v>
      </c>
      <c r="C1181" s="1" t="s">
        <v>2070</v>
      </c>
      <c r="D1181" s="1" t="s">
        <v>2106</v>
      </c>
      <c r="E1181" s="1" t="s">
        <v>2595</v>
      </c>
      <c r="F1181" s="1" t="s">
        <v>16</v>
      </c>
      <c r="G1181" s="1" t="s">
        <v>27</v>
      </c>
      <c r="H1181" s="1" t="s">
        <v>18</v>
      </c>
      <c r="I1181" s="1" t="s">
        <v>19</v>
      </c>
    </row>
    <row r="1182">
      <c r="A1182" s="1">
        <v>3216340.0</v>
      </c>
      <c r="B1182" s="1" t="s">
        <v>2596</v>
      </c>
      <c r="C1182" s="1" t="s">
        <v>2070</v>
      </c>
      <c r="D1182" s="1" t="s">
        <v>2079</v>
      </c>
      <c r="E1182" s="1" t="s">
        <v>2597</v>
      </c>
      <c r="F1182" s="1" t="s">
        <v>16</v>
      </c>
      <c r="G1182" s="1" t="s">
        <v>17</v>
      </c>
      <c r="H1182" s="1" t="s">
        <v>18</v>
      </c>
      <c r="I1182" s="1" t="s">
        <v>59</v>
      </c>
    </row>
    <row r="1183">
      <c r="A1183" s="1">
        <v>3212073.0</v>
      </c>
      <c r="B1183" s="1" t="s">
        <v>2598</v>
      </c>
      <c r="C1183" s="1" t="s">
        <v>2070</v>
      </c>
      <c r="D1183" s="1" t="s">
        <v>2189</v>
      </c>
      <c r="E1183" s="1" t="s">
        <v>2599</v>
      </c>
      <c r="F1183" s="1" t="s">
        <v>16</v>
      </c>
      <c r="G1183" s="1" t="s">
        <v>17</v>
      </c>
      <c r="H1183" s="1" t="s">
        <v>18</v>
      </c>
      <c r="I1183" s="1" t="s">
        <v>19</v>
      </c>
    </row>
    <row r="1184">
      <c r="A1184" s="1">
        <v>3278095.0</v>
      </c>
      <c r="B1184" s="1" t="s">
        <v>2600</v>
      </c>
      <c r="C1184" s="1" t="s">
        <v>2070</v>
      </c>
      <c r="D1184" s="1" t="s">
        <v>2077</v>
      </c>
      <c r="E1184" s="1" t="s">
        <v>2601</v>
      </c>
      <c r="F1184" s="1" t="s">
        <v>16</v>
      </c>
      <c r="G1184" s="1" t="s">
        <v>23</v>
      </c>
      <c r="H1184" s="1" t="s">
        <v>18</v>
      </c>
      <c r="I1184" s="1" t="s">
        <v>29</v>
      </c>
    </row>
    <row r="1185">
      <c r="A1185" s="1">
        <v>3201024.0</v>
      </c>
      <c r="B1185" s="1" t="s">
        <v>2602</v>
      </c>
      <c r="C1185" s="1" t="s">
        <v>2070</v>
      </c>
      <c r="D1185" s="1" t="s">
        <v>2097</v>
      </c>
      <c r="E1185" s="1" t="s">
        <v>2603</v>
      </c>
      <c r="F1185" s="1" t="s">
        <v>473</v>
      </c>
      <c r="G1185" s="1" t="s">
        <v>150</v>
      </c>
      <c r="H1185" s="1" t="s">
        <v>33</v>
      </c>
      <c r="I1185" s="1" t="s">
        <v>411</v>
      </c>
    </row>
    <row r="1186">
      <c r="A1186" s="1">
        <v>3204041.0</v>
      </c>
      <c r="B1186" s="1" t="s">
        <v>2604</v>
      </c>
      <c r="C1186" s="1" t="s">
        <v>2070</v>
      </c>
      <c r="D1186" s="1" t="s">
        <v>2088</v>
      </c>
      <c r="E1186" s="1" t="s">
        <v>2605</v>
      </c>
      <c r="F1186" s="1" t="s">
        <v>16</v>
      </c>
      <c r="G1186" s="1" t="s">
        <v>17</v>
      </c>
      <c r="H1186" s="1" t="s">
        <v>18</v>
      </c>
      <c r="I1186" s="1" t="s">
        <v>19</v>
      </c>
    </row>
    <row r="1187">
      <c r="A1187" s="1">
        <v>3274090.0</v>
      </c>
      <c r="B1187" s="1" t="s">
        <v>2606</v>
      </c>
      <c r="C1187" s="1" t="s">
        <v>2070</v>
      </c>
      <c r="D1187" s="1" t="s">
        <v>2124</v>
      </c>
      <c r="E1187" s="1" t="s">
        <v>2607</v>
      </c>
      <c r="F1187" s="1" t="s">
        <v>16</v>
      </c>
      <c r="G1187" s="1" t="s">
        <v>17</v>
      </c>
      <c r="H1187" s="1" t="s">
        <v>18</v>
      </c>
      <c r="I1187" s="1" t="s">
        <v>19</v>
      </c>
    </row>
    <row r="1188">
      <c r="A1188" s="1">
        <v>3278017.0</v>
      </c>
      <c r="B1188" s="1" t="s">
        <v>2608</v>
      </c>
      <c r="C1188" s="1" t="s">
        <v>2070</v>
      </c>
      <c r="D1188" s="1" t="s">
        <v>2077</v>
      </c>
      <c r="E1188" s="1" t="s">
        <v>2609</v>
      </c>
      <c r="F1188" s="1" t="s">
        <v>55</v>
      </c>
      <c r="G1188" s="1" t="s">
        <v>17</v>
      </c>
      <c r="H1188" s="1" t="s">
        <v>18</v>
      </c>
      <c r="I1188" s="1" t="s">
        <v>44</v>
      </c>
    </row>
    <row r="1189">
      <c r="A1189" s="1">
        <v>3214033.0</v>
      </c>
      <c r="B1189" s="1" t="s">
        <v>2610</v>
      </c>
      <c r="C1189" s="1" t="s">
        <v>2070</v>
      </c>
      <c r="D1189" s="1" t="s">
        <v>2182</v>
      </c>
      <c r="E1189" s="1" t="s">
        <v>2611</v>
      </c>
      <c r="F1189" s="1" t="s">
        <v>16</v>
      </c>
      <c r="G1189" s="1" t="s">
        <v>17</v>
      </c>
      <c r="H1189" s="1" t="s">
        <v>18</v>
      </c>
      <c r="I1189" s="1" t="s">
        <v>44</v>
      </c>
    </row>
    <row r="1190">
      <c r="A1190" s="1">
        <v>3212055.0</v>
      </c>
      <c r="B1190" s="1" t="s">
        <v>2612</v>
      </c>
      <c r="C1190" s="1" t="s">
        <v>2070</v>
      </c>
      <c r="D1190" s="1" t="s">
        <v>2189</v>
      </c>
      <c r="E1190" s="1" t="s">
        <v>2613</v>
      </c>
      <c r="F1190" s="1" t="s">
        <v>16</v>
      </c>
      <c r="G1190" s="1" t="s">
        <v>23</v>
      </c>
      <c r="H1190" s="1" t="s">
        <v>18</v>
      </c>
      <c r="I1190" s="1" t="s">
        <v>113</v>
      </c>
    </row>
    <row r="1191">
      <c r="A1191" s="1">
        <v>3204168.0</v>
      </c>
      <c r="B1191" s="1" t="s">
        <v>2614</v>
      </c>
      <c r="C1191" s="1" t="s">
        <v>2070</v>
      </c>
      <c r="D1191" s="1" t="s">
        <v>2091</v>
      </c>
      <c r="E1191" s="1" t="s">
        <v>2615</v>
      </c>
      <c r="F1191" s="1" t="s">
        <v>16</v>
      </c>
      <c r="G1191" s="1" t="s">
        <v>17</v>
      </c>
      <c r="H1191" s="1" t="s">
        <v>18</v>
      </c>
      <c r="I1191" s="1" t="s">
        <v>19</v>
      </c>
    </row>
    <row r="1192">
      <c r="A1192" s="1">
        <v>3201141.0</v>
      </c>
      <c r="B1192" s="1" t="s">
        <v>2616</v>
      </c>
      <c r="C1192" s="1" t="s">
        <v>2070</v>
      </c>
      <c r="D1192" s="1" t="s">
        <v>2082</v>
      </c>
      <c r="E1192" s="1" t="s">
        <v>2617</v>
      </c>
      <c r="F1192" s="1" t="s">
        <v>55</v>
      </c>
      <c r="G1192" s="1" t="s">
        <v>17</v>
      </c>
      <c r="H1192" s="1" t="s">
        <v>18</v>
      </c>
      <c r="I1192" s="1" t="s">
        <v>59</v>
      </c>
    </row>
    <row r="1193">
      <c r="A1193" s="1">
        <v>3273165.0</v>
      </c>
      <c r="B1193" s="1" t="s">
        <v>2618</v>
      </c>
      <c r="C1193" s="1" t="s">
        <v>2070</v>
      </c>
      <c r="D1193" s="1" t="s">
        <v>2088</v>
      </c>
      <c r="E1193" s="1" t="s">
        <v>2619</v>
      </c>
      <c r="F1193" s="1" t="s">
        <v>55</v>
      </c>
      <c r="G1193" s="1" t="s">
        <v>27</v>
      </c>
      <c r="H1193" s="1" t="s">
        <v>18</v>
      </c>
      <c r="I1193" s="1" t="s">
        <v>44</v>
      </c>
    </row>
    <row r="1194">
      <c r="A1194" s="1">
        <v>3216445.0</v>
      </c>
      <c r="B1194" s="1" t="s">
        <v>2620</v>
      </c>
      <c r="C1194" s="1" t="s">
        <v>2070</v>
      </c>
      <c r="D1194" s="1" t="s">
        <v>2119</v>
      </c>
      <c r="E1194" s="1" t="s">
        <v>2621</v>
      </c>
      <c r="F1194" s="1" t="s">
        <v>16</v>
      </c>
      <c r="G1194" s="1" t="s">
        <v>17</v>
      </c>
      <c r="H1194" s="1" t="s">
        <v>18</v>
      </c>
      <c r="I1194" s="1" t="s">
        <v>19</v>
      </c>
    </row>
    <row r="1195">
      <c r="A1195" s="1">
        <v>3275061.0</v>
      </c>
      <c r="B1195" s="1" t="s">
        <v>2622</v>
      </c>
      <c r="C1195" s="1" t="s">
        <v>2070</v>
      </c>
      <c r="D1195" s="1" t="s">
        <v>2119</v>
      </c>
      <c r="E1195" s="1" t="s">
        <v>2623</v>
      </c>
      <c r="F1195" s="1" t="s">
        <v>16</v>
      </c>
      <c r="G1195" s="1" t="s">
        <v>17</v>
      </c>
      <c r="H1195" s="1" t="s">
        <v>18</v>
      </c>
      <c r="I1195" s="1" t="s">
        <v>19</v>
      </c>
    </row>
    <row r="1196">
      <c r="A1196" s="1">
        <v>3206023.0</v>
      </c>
      <c r="B1196" s="1" t="s">
        <v>2624</v>
      </c>
      <c r="C1196" s="1" t="s">
        <v>2070</v>
      </c>
      <c r="D1196" s="1" t="s">
        <v>2625</v>
      </c>
      <c r="E1196" s="1" t="s">
        <v>2626</v>
      </c>
      <c r="F1196" s="1" t="s">
        <v>16</v>
      </c>
      <c r="G1196" s="1" t="s">
        <v>17</v>
      </c>
      <c r="H1196" s="1" t="s">
        <v>28</v>
      </c>
      <c r="I1196" s="1" t="s">
        <v>40</v>
      </c>
    </row>
    <row r="1197">
      <c r="A1197" s="1">
        <v>3201243.0</v>
      </c>
      <c r="B1197" s="1" t="s">
        <v>2627</v>
      </c>
      <c r="C1197" s="1" t="s">
        <v>2070</v>
      </c>
      <c r="D1197" s="1" t="s">
        <v>2173</v>
      </c>
      <c r="E1197" s="1" t="s">
        <v>2628</v>
      </c>
      <c r="F1197" s="1" t="s">
        <v>55</v>
      </c>
      <c r="G1197" s="1" t="s">
        <v>17</v>
      </c>
      <c r="H1197" s="1" t="s">
        <v>18</v>
      </c>
      <c r="I1197" s="1" t="s">
        <v>19</v>
      </c>
    </row>
    <row r="1198">
      <c r="A1198" s="1">
        <v>3204133.0</v>
      </c>
      <c r="B1198" s="1" t="s">
        <v>2629</v>
      </c>
      <c r="C1198" s="1" t="s">
        <v>2070</v>
      </c>
      <c r="D1198" s="1" t="s">
        <v>2091</v>
      </c>
      <c r="E1198" s="1" t="s">
        <v>2630</v>
      </c>
      <c r="F1198" s="1" t="s">
        <v>16</v>
      </c>
      <c r="G1198" s="1" t="s">
        <v>17</v>
      </c>
      <c r="H1198" s="1" t="s">
        <v>18</v>
      </c>
      <c r="I1198" s="1" t="s">
        <v>44</v>
      </c>
    </row>
    <row r="1199">
      <c r="A1199" s="1">
        <v>3216449.0</v>
      </c>
      <c r="B1199" s="1" t="s">
        <v>2631</v>
      </c>
      <c r="C1199" s="1" t="s">
        <v>2070</v>
      </c>
      <c r="D1199" s="1" t="s">
        <v>2079</v>
      </c>
      <c r="E1199" s="1" t="s">
        <v>2632</v>
      </c>
      <c r="F1199" s="1" t="s">
        <v>16</v>
      </c>
      <c r="G1199" s="1" t="s">
        <v>17</v>
      </c>
      <c r="H1199" s="1" t="s">
        <v>18</v>
      </c>
      <c r="I1199" s="1" t="s">
        <v>19</v>
      </c>
    </row>
    <row r="1200">
      <c r="A1200" s="1">
        <v>3204075.0</v>
      </c>
      <c r="B1200" s="1" t="s">
        <v>2633</v>
      </c>
      <c r="C1200" s="1" t="s">
        <v>2070</v>
      </c>
      <c r="D1200" s="1" t="s">
        <v>2217</v>
      </c>
      <c r="E1200" s="1" t="s">
        <v>2634</v>
      </c>
      <c r="F1200" s="1" t="s">
        <v>16</v>
      </c>
      <c r="G1200" s="1" t="s">
        <v>17</v>
      </c>
      <c r="H1200" s="1" t="s">
        <v>18</v>
      </c>
      <c r="I1200" s="1" t="s">
        <v>59</v>
      </c>
    </row>
    <row r="1201">
      <c r="A1201" s="1">
        <v>3274020.0</v>
      </c>
      <c r="B1201" s="1" t="s">
        <v>2635</v>
      </c>
      <c r="C1201" s="1" t="s">
        <v>2070</v>
      </c>
      <c r="D1201" s="1" t="s">
        <v>2124</v>
      </c>
      <c r="E1201" s="1" t="s">
        <v>2636</v>
      </c>
      <c r="F1201" s="1" t="s">
        <v>16</v>
      </c>
      <c r="G1201" s="1" t="s">
        <v>27</v>
      </c>
      <c r="H1201" s="1" t="s">
        <v>33</v>
      </c>
      <c r="I1201" s="1" t="s">
        <v>74</v>
      </c>
    </row>
    <row r="1202">
      <c r="A1202" s="1">
        <v>3279003.0</v>
      </c>
      <c r="B1202" s="1" t="s">
        <v>2637</v>
      </c>
      <c r="C1202" s="1" t="s">
        <v>2070</v>
      </c>
      <c r="D1202" s="1" t="s">
        <v>2149</v>
      </c>
      <c r="E1202" s="1" t="s">
        <v>2638</v>
      </c>
      <c r="F1202" s="1" t="s">
        <v>16</v>
      </c>
      <c r="G1202" s="1" t="s">
        <v>23</v>
      </c>
      <c r="H1202" s="1" t="s">
        <v>18</v>
      </c>
      <c r="I1202" s="1" t="s">
        <v>44</v>
      </c>
    </row>
    <row r="1203">
      <c r="A1203" s="1">
        <v>3204171.0</v>
      </c>
      <c r="B1203" s="1" t="s">
        <v>2639</v>
      </c>
      <c r="C1203" s="1" t="s">
        <v>2070</v>
      </c>
      <c r="D1203" s="1" t="s">
        <v>2091</v>
      </c>
      <c r="E1203" s="1" t="s">
        <v>2640</v>
      </c>
      <c r="F1203" s="1" t="s">
        <v>16</v>
      </c>
      <c r="G1203" s="1" t="s">
        <v>23</v>
      </c>
      <c r="H1203" s="1" t="s">
        <v>18</v>
      </c>
      <c r="I1203" s="1" t="s">
        <v>40</v>
      </c>
    </row>
    <row r="1204">
      <c r="A1204" s="1">
        <v>3217134.0</v>
      </c>
      <c r="B1204" s="1" t="s">
        <v>2641</v>
      </c>
      <c r="C1204" s="1" t="s">
        <v>2070</v>
      </c>
      <c r="D1204" s="1" t="s">
        <v>2144</v>
      </c>
      <c r="E1204" s="1" t="s">
        <v>2642</v>
      </c>
      <c r="F1204" s="1" t="s">
        <v>55</v>
      </c>
      <c r="G1204" s="1" t="s">
        <v>17</v>
      </c>
      <c r="H1204" s="1" t="s">
        <v>18</v>
      </c>
      <c r="I1204" s="1" t="s">
        <v>44</v>
      </c>
    </row>
    <row r="1205">
      <c r="A1205" s="1">
        <v>3216252.0</v>
      </c>
      <c r="B1205" s="1" t="s">
        <v>2643</v>
      </c>
      <c r="C1205" s="1" t="s">
        <v>2070</v>
      </c>
      <c r="D1205" s="1" t="s">
        <v>2079</v>
      </c>
      <c r="E1205" s="1" t="s">
        <v>2644</v>
      </c>
      <c r="F1205" s="1" t="s">
        <v>16</v>
      </c>
      <c r="G1205" s="1" t="s">
        <v>27</v>
      </c>
      <c r="H1205" s="1" t="s">
        <v>28</v>
      </c>
      <c r="I1205" s="1" t="s">
        <v>40</v>
      </c>
    </row>
    <row r="1206">
      <c r="A1206" s="1">
        <v>3275068.0</v>
      </c>
      <c r="B1206" s="1" t="s">
        <v>2645</v>
      </c>
      <c r="C1206" s="1" t="s">
        <v>2070</v>
      </c>
      <c r="D1206" s="1" t="s">
        <v>2119</v>
      </c>
      <c r="E1206" s="1" t="s">
        <v>2646</v>
      </c>
      <c r="F1206" s="1" t="s">
        <v>16</v>
      </c>
      <c r="G1206" s="1" t="s">
        <v>23</v>
      </c>
      <c r="H1206" s="1" t="s">
        <v>28</v>
      </c>
      <c r="I1206" s="1" t="s">
        <v>29</v>
      </c>
    </row>
    <row r="1207">
      <c r="A1207" s="1">
        <v>3208013.0</v>
      </c>
      <c r="B1207" s="1" t="s">
        <v>2647</v>
      </c>
      <c r="C1207" s="1" t="s">
        <v>2070</v>
      </c>
      <c r="D1207" s="1" t="s">
        <v>2074</v>
      </c>
      <c r="E1207" s="1" t="s">
        <v>2648</v>
      </c>
      <c r="F1207" s="1" t="s">
        <v>16</v>
      </c>
      <c r="G1207" s="1" t="s">
        <v>27</v>
      </c>
      <c r="H1207" s="1" t="s">
        <v>33</v>
      </c>
      <c r="I1207" s="1" t="s">
        <v>40</v>
      </c>
    </row>
    <row r="1208">
      <c r="A1208" s="1">
        <v>3208046.0</v>
      </c>
      <c r="B1208" s="1" t="s">
        <v>2649</v>
      </c>
      <c r="C1208" s="1" t="s">
        <v>2070</v>
      </c>
      <c r="D1208" s="1" t="s">
        <v>2074</v>
      </c>
      <c r="E1208" s="1" t="s">
        <v>2650</v>
      </c>
      <c r="F1208" s="1" t="s">
        <v>16</v>
      </c>
      <c r="G1208" s="1" t="s">
        <v>17</v>
      </c>
      <c r="H1208" s="1" t="s">
        <v>18</v>
      </c>
      <c r="I1208" s="1" t="s">
        <v>44</v>
      </c>
    </row>
    <row r="1209">
      <c r="A1209" s="1">
        <v>3275392.0</v>
      </c>
      <c r="B1209" s="1" t="s">
        <v>2651</v>
      </c>
      <c r="C1209" s="1" t="s">
        <v>2070</v>
      </c>
      <c r="D1209" s="1" t="s">
        <v>2119</v>
      </c>
      <c r="E1209" s="1" t="s">
        <v>2652</v>
      </c>
      <c r="F1209" s="1" t="s">
        <v>16</v>
      </c>
      <c r="G1209" s="1" t="s">
        <v>27</v>
      </c>
      <c r="H1209" s="1" t="s">
        <v>18</v>
      </c>
      <c r="I1209" s="1" t="s">
        <v>44</v>
      </c>
    </row>
    <row r="1210">
      <c r="A1210" s="1">
        <v>3271139.0</v>
      </c>
      <c r="B1210" s="1" t="s">
        <v>2653</v>
      </c>
      <c r="C1210" s="1" t="s">
        <v>2070</v>
      </c>
      <c r="D1210" s="1" t="s">
        <v>2097</v>
      </c>
      <c r="E1210" s="1" t="s">
        <v>2654</v>
      </c>
      <c r="F1210" s="1" t="s">
        <v>16</v>
      </c>
      <c r="G1210" s="1" t="s">
        <v>17</v>
      </c>
      <c r="H1210" s="1" t="s">
        <v>18</v>
      </c>
      <c r="I1210" s="1" t="s">
        <v>44</v>
      </c>
    </row>
    <row r="1211">
      <c r="A1211" s="1">
        <v>3275373.0</v>
      </c>
      <c r="B1211" s="1" t="s">
        <v>2655</v>
      </c>
      <c r="C1211" s="1" t="s">
        <v>2070</v>
      </c>
      <c r="D1211" s="1" t="s">
        <v>2119</v>
      </c>
      <c r="E1211" s="1" t="s">
        <v>2656</v>
      </c>
      <c r="F1211" s="1" t="s">
        <v>16</v>
      </c>
      <c r="G1211" s="1" t="s">
        <v>17</v>
      </c>
      <c r="H1211" s="1" t="s">
        <v>18</v>
      </c>
      <c r="I1211" s="1" t="s">
        <v>44</v>
      </c>
    </row>
    <row r="1212">
      <c r="A1212" s="1">
        <v>3201238.0</v>
      </c>
      <c r="B1212" s="1" t="s">
        <v>2657</v>
      </c>
      <c r="C1212" s="1" t="s">
        <v>2070</v>
      </c>
      <c r="D1212" s="1" t="s">
        <v>2097</v>
      </c>
      <c r="E1212" s="1" t="s">
        <v>2658</v>
      </c>
      <c r="F1212" s="1" t="s">
        <v>16</v>
      </c>
      <c r="G1212" s="1" t="s">
        <v>17</v>
      </c>
      <c r="H1212" s="1" t="s">
        <v>18</v>
      </c>
      <c r="I1212" s="1" t="s">
        <v>44</v>
      </c>
    </row>
    <row r="1213">
      <c r="A1213" s="1">
        <v>3275064.0</v>
      </c>
      <c r="B1213" s="1" t="s">
        <v>2659</v>
      </c>
      <c r="C1213" s="1" t="s">
        <v>2070</v>
      </c>
      <c r="D1213" s="1" t="s">
        <v>2119</v>
      </c>
      <c r="E1213" s="1" t="s">
        <v>2660</v>
      </c>
      <c r="F1213" s="1" t="s">
        <v>16</v>
      </c>
      <c r="G1213" s="1" t="s">
        <v>23</v>
      </c>
      <c r="H1213" s="1" t="s">
        <v>18</v>
      </c>
      <c r="I1213" s="1" t="s">
        <v>44</v>
      </c>
    </row>
    <row r="1214">
      <c r="A1214" s="1">
        <v>3213021.0</v>
      </c>
      <c r="B1214" s="1" t="s">
        <v>2661</v>
      </c>
      <c r="C1214" s="1" t="s">
        <v>2070</v>
      </c>
      <c r="D1214" s="1" t="s">
        <v>2127</v>
      </c>
      <c r="E1214" s="1" t="s">
        <v>2662</v>
      </c>
      <c r="F1214" s="1" t="s">
        <v>16</v>
      </c>
      <c r="G1214" s="1" t="s">
        <v>23</v>
      </c>
      <c r="H1214" s="1" t="s">
        <v>18</v>
      </c>
      <c r="I1214" s="1" t="s">
        <v>113</v>
      </c>
    </row>
    <row r="1215">
      <c r="A1215" s="1">
        <v>3276017.0</v>
      </c>
      <c r="B1215" s="1" t="s">
        <v>2663</v>
      </c>
      <c r="C1215" s="1" t="s">
        <v>2070</v>
      </c>
      <c r="D1215" s="1" t="s">
        <v>2082</v>
      </c>
      <c r="E1215" s="1" t="s">
        <v>2664</v>
      </c>
      <c r="F1215" s="1" t="s">
        <v>16</v>
      </c>
      <c r="G1215" s="1" t="s">
        <v>27</v>
      </c>
      <c r="H1215" s="1" t="s">
        <v>18</v>
      </c>
      <c r="I1215" s="1" t="s">
        <v>19</v>
      </c>
    </row>
    <row r="1216">
      <c r="A1216" s="1">
        <v>3275046.0</v>
      </c>
      <c r="B1216" s="1" t="s">
        <v>2665</v>
      </c>
      <c r="C1216" s="1" t="s">
        <v>2070</v>
      </c>
      <c r="D1216" s="1" t="s">
        <v>2119</v>
      </c>
      <c r="E1216" s="1" t="s">
        <v>2666</v>
      </c>
      <c r="F1216" s="1" t="s">
        <v>16</v>
      </c>
      <c r="G1216" s="1" t="s">
        <v>27</v>
      </c>
      <c r="H1216" s="1" t="s">
        <v>18</v>
      </c>
      <c r="I1216" s="1" t="s">
        <v>44</v>
      </c>
    </row>
    <row r="1217">
      <c r="A1217" s="1">
        <v>3278015.0</v>
      </c>
      <c r="B1217" s="1" t="s">
        <v>2667</v>
      </c>
      <c r="C1217" s="1" t="s">
        <v>2070</v>
      </c>
      <c r="D1217" s="1" t="s">
        <v>2077</v>
      </c>
      <c r="E1217" s="1" t="s">
        <v>2668</v>
      </c>
      <c r="F1217" s="1" t="s">
        <v>55</v>
      </c>
      <c r="G1217" s="1" t="s">
        <v>17</v>
      </c>
      <c r="H1217" s="1" t="s">
        <v>18</v>
      </c>
      <c r="I1217" s="1" t="s">
        <v>19</v>
      </c>
    </row>
    <row r="1218">
      <c r="A1218" s="1">
        <v>3216407.0</v>
      </c>
      <c r="B1218" s="1" t="s">
        <v>2669</v>
      </c>
      <c r="C1218" s="1" t="s">
        <v>2070</v>
      </c>
      <c r="D1218" s="1" t="s">
        <v>2079</v>
      </c>
      <c r="E1218" s="1" t="s">
        <v>2670</v>
      </c>
      <c r="F1218" s="1" t="s">
        <v>16</v>
      </c>
      <c r="G1218" s="1" t="s">
        <v>23</v>
      </c>
      <c r="H1218" s="1" t="s">
        <v>18</v>
      </c>
      <c r="I1218" s="1" t="s">
        <v>44</v>
      </c>
    </row>
    <row r="1219">
      <c r="A1219" s="1">
        <v>3275070.0</v>
      </c>
      <c r="B1219" s="1" t="s">
        <v>2671</v>
      </c>
      <c r="C1219" s="1" t="s">
        <v>2070</v>
      </c>
      <c r="D1219" s="1" t="s">
        <v>2119</v>
      </c>
      <c r="E1219" s="1" t="s">
        <v>2672</v>
      </c>
      <c r="F1219" s="1" t="s">
        <v>16</v>
      </c>
      <c r="G1219" s="1" t="s">
        <v>23</v>
      </c>
      <c r="H1219" s="1" t="s">
        <v>28</v>
      </c>
      <c r="I1219" s="1" t="s">
        <v>29</v>
      </c>
    </row>
    <row r="1220">
      <c r="A1220" s="1">
        <v>3215100.0</v>
      </c>
      <c r="B1220" s="1" t="s">
        <v>2673</v>
      </c>
      <c r="C1220" s="1" t="s">
        <v>2070</v>
      </c>
      <c r="D1220" s="1" t="s">
        <v>2071</v>
      </c>
      <c r="E1220" s="1" t="s">
        <v>2674</v>
      </c>
      <c r="F1220" s="1" t="s">
        <v>16</v>
      </c>
      <c r="G1220" s="1" t="s">
        <v>23</v>
      </c>
      <c r="H1220" s="1" t="s">
        <v>18</v>
      </c>
      <c r="I1220" s="1" t="s">
        <v>19</v>
      </c>
    </row>
    <row r="1221">
      <c r="A1221" s="1">
        <v>3273145.0</v>
      </c>
      <c r="B1221" s="1" t="s">
        <v>2675</v>
      </c>
      <c r="C1221" s="1" t="s">
        <v>2070</v>
      </c>
      <c r="D1221" s="1" t="s">
        <v>2088</v>
      </c>
      <c r="E1221" s="1" t="s">
        <v>2676</v>
      </c>
      <c r="F1221" s="1" t="s">
        <v>16</v>
      </c>
      <c r="G1221" s="1" t="s">
        <v>17</v>
      </c>
      <c r="H1221" s="1" t="s">
        <v>18</v>
      </c>
      <c r="I1221" s="1" t="s">
        <v>44</v>
      </c>
    </row>
    <row r="1222">
      <c r="A1222" s="1">
        <v>3273542.0</v>
      </c>
      <c r="B1222" s="1" t="s">
        <v>2677</v>
      </c>
      <c r="C1222" s="1" t="s">
        <v>2070</v>
      </c>
      <c r="D1222" s="1" t="s">
        <v>2088</v>
      </c>
      <c r="E1222" s="1" t="s">
        <v>2678</v>
      </c>
      <c r="F1222" s="1" t="s">
        <v>16</v>
      </c>
      <c r="G1222" s="1" t="s">
        <v>150</v>
      </c>
      <c r="H1222" s="1" t="s">
        <v>18</v>
      </c>
      <c r="I1222" s="1" t="s">
        <v>19</v>
      </c>
    </row>
    <row r="1223">
      <c r="A1223" s="1">
        <v>3201257.0</v>
      </c>
      <c r="B1223" s="1" t="s">
        <v>2679</v>
      </c>
      <c r="C1223" s="1" t="s">
        <v>2070</v>
      </c>
      <c r="D1223" s="1" t="s">
        <v>2173</v>
      </c>
      <c r="E1223" s="1" t="s">
        <v>2680</v>
      </c>
      <c r="F1223" s="1" t="s">
        <v>16</v>
      </c>
      <c r="G1223" s="1" t="s">
        <v>17</v>
      </c>
      <c r="H1223" s="1" t="s">
        <v>18</v>
      </c>
      <c r="I1223" s="1" t="s">
        <v>19</v>
      </c>
    </row>
    <row r="1224">
      <c r="A1224" s="1">
        <v>3202087.0</v>
      </c>
      <c r="B1224" s="1" t="s">
        <v>2681</v>
      </c>
      <c r="C1224" s="1" t="s">
        <v>2070</v>
      </c>
      <c r="D1224" s="1" t="s">
        <v>2085</v>
      </c>
      <c r="E1224" s="1" t="s">
        <v>2682</v>
      </c>
      <c r="F1224" s="1" t="s">
        <v>16</v>
      </c>
      <c r="G1224" s="1" t="s">
        <v>23</v>
      </c>
      <c r="H1224" s="1" t="s">
        <v>28</v>
      </c>
      <c r="I1224" s="1" t="s">
        <v>40</v>
      </c>
    </row>
    <row r="1225">
      <c r="A1225" s="1">
        <v>3202062.0</v>
      </c>
      <c r="B1225" s="1" t="s">
        <v>2683</v>
      </c>
      <c r="C1225" s="1" t="s">
        <v>2070</v>
      </c>
      <c r="D1225" s="1" t="s">
        <v>2085</v>
      </c>
      <c r="E1225" s="1" t="s">
        <v>2684</v>
      </c>
      <c r="F1225" s="1" t="s">
        <v>16</v>
      </c>
      <c r="G1225" s="1" t="s">
        <v>17</v>
      </c>
      <c r="H1225" s="1" t="s">
        <v>18</v>
      </c>
      <c r="I1225" s="1" t="s">
        <v>19</v>
      </c>
    </row>
    <row r="1226">
      <c r="A1226" s="1">
        <v>3273453.0</v>
      </c>
      <c r="B1226" s="1" t="s">
        <v>2685</v>
      </c>
      <c r="C1226" s="1" t="s">
        <v>2070</v>
      </c>
      <c r="D1226" s="1" t="s">
        <v>2088</v>
      </c>
      <c r="E1226" s="1" t="s">
        <v>2686</v>
      </c>
      <c r="F1226" s="1" t="s">
        <v>539</v>
      </c>
      <c r="G1226" s="1" t="s">
        <v>17</v>
      </c>
      <c r="H1226" s="1" t="s">
        <v>18</v>
      </c>
      <c r="I1226" s="1" t="s">
        <v>59</v>
      </c>
    </row>
    <row r="1227">
      <c r="A1227" s="1">
        <v>3217121.0</v>
      </c>
      <c r="B1227" s="1" t="s">
        <v>2687</v>
      </c>
      <c r="C1227" s="1" t="s">
        <v>2070</v>
      </c>
      <c r="D1227" s="1" t="s">
        <v>2144</v>
      </c>
      <c r="E1227" s="1" t="s">
        <v>2688</v>
      </c>
      <c r="F1227" s="1" t="s">
        <v>16</v>
      </c>
      <c r="G1227" s="1" t="s">
        <v>17</v>
      </c>
      <c r="H1227" s="1" t="s">
        <v>18</v>
      </c>
      <c r="I1227" s="1" t="s">
        <v>249</v>
      </c>
    </row>
    <row r="1228">
      <c r="A1228" s="1">
        <v>3216464.0</v>
      </c>
      <c r="B1228" s="1" t="s">
        <v>2689</v>
      </c>
      <c r="C1228" s="1" t="s">
        <v>2070</v>
      </c>
      <c r="D1228" s="1" t="s">
        <v>2079</v>
      </c>
      <c r="E1228" s="1" t="s">
        <v>2690</v>
      </c>
      <c r="F1228" s="1" t="s">
        <v>16</v>
      </c>
      <c r="G1228" s="1" t="s">
        <v>17</v>
      </c>
      <c r="H1228" s="1" t="s">
        <v>18</v>
      </c>
      <c r="I1228" s="1" t="s">
        <v>19</v>
      </c>
    </row>
    <row r="1229">
      <c r="A1229" s="1">
        <v>3216163.0</v>
      </c>
      <c r="B1229" s="1" t="s">
        <v>2663</v>
      </c>
      <c r="C1229" s="1" t="s">
        <v>2070</v>
      </c>
      <c r="D1229" s="1" t="s">
        <v>2079</v>
      </c>
      <c r="E1229" s="1" t="s">
        <v>2691</v>
      </c>
      <c r="F1229" s="1" t="s">
        <v>16</v>
      </c>
      <c r="G1229" s="1" t="s">
        <v>27</v>
      </c>
      <c r="H1229" s="1" t="s">
        <v>18</v>
      </c>
      <c r="I1229" s="1" t="s">
        <v>59</v>
      </c>
    </row>
    <row r="1230">
      <c r="A1230" s="1">
        <v>3216425.0</v>
      </c>
      <c r="B1230" s="1" t="s">
        <v>288</v>
      </c>
      <c r="C1230" s="1" t="s">
        <v>2070</v>
      </c>
      <c r="D1230" s="1" t="s">
        <v>2079</v>
      </c>
      <c r="E1230" s="1" t="s">
        <v>2692</v>
      </c>
      <c r="F1230" s="1" t="s">
        <v>16</v>
      </c>
      <c r="G1230" s="1" t="s">
        <v>23</v>
      </c>
      <c r="H1230" s="1" t="s">
        <v>18</v>
      </c>
      <c r="I1230" s="1" t="s">
        <v>19</v>
      </c>
    </row>
    <row r="1231">
      <c r="A1231" s="1">
        <v>3201233.0</v>
      </c>
      <c r="B1231" s="1" t="s">
        <v>2693</v>
      </c>
      <c r="C1231" s="1" t="s">
        <v>2070</v>
      </c>
      <c r="D1231" s="1" t="s">
        <v>2097</v>
      </c>
      <c r="E1231" s="1" t="s">
        <v>2694</v>
      </c>
      <c r="F1231" s="1" t="s">
        <v>16</v>
      </c>
      <c r="G1231" s="1" t="s">
        <v>17</v>
      </c>
      <c r="H1231" s="1" t="s">
        <v>18</v>
      </c>
      <c r="I1231" s="1" t="s">
        <v>59</v>
      </c>
    </row>
    <row r="1232">
      <c r="A1232" s="1">
        <v>3212059.0</v>
      </c>
      <c r="B1232" s="1" t="s">
        <v>2695</v>
      </c>
      <c r="C1232" s="1" t="s">
        <v>2070</v>
      </c>
      <c r="D1232" s="1" t="s">
        <v>2189</v>
      </c>
      <c r="E1232" s="1" t="s">
        <v>2696</v>
      </c>
      <c r="F1232" s="1" t="s">
        <v>16</v>
      </c>
      <c r="G1232" s="1" t="s">
        <v>27</v>
      </c>
      <c r="H1232" s="1" t="s">
        <v>18</v>
      </c>
      <c r="I1232" s="1" t="s">
        <v>19</v>
      </c>
    </row>
    <row r="1233">
      <c r="A1233" s="1">
        <v>3205038.0</v>
      </c>
      <c r="B1233" s="1" t="s">
        <v>2697</v>
      </c>
      <c r="C1233" s="1" t="s">
        <v>2070</v>
      </c>
      <c r="D1233" s="1" t="s">
        <v>2214</v>
      </c>
      <c r="E1233" s="1" t="s">
        <v>2698</v>
      </c>
      <c r="F1233" s="1" t="s">
        <v>16</v>
      </c>
      <c r="G1233" s="1" t="s">
        <v>23</v>
      </c>
      <c r="H1233" s="1" t="s">
        <v>28</v>
      </c>
      <c r="I1233" s="1" t="s">
        <v>40</v>
      </c>
    </row>
    <row r="1234">
      <c r="A1234" s="1">
        <v>3206011.0</v>
      </c>
      <c r="B1234" s="1" t="s">
        <v>2699</v>
      </c>
      <c r="C1234" s="1" t="s">
        <v>2070</v>
      </c>
      <c r="D1234" s="1" t="s">
        <v>2077</v>
      </c>
      <c r="E1234" s="1" t="s">
        <v>2700</v>
      </c>
      <c r="F1234" s="1" t="s">
        <v>16</v>
      </c>
      <c r="G1234" s="1" t="s">
        <v>27</v>
      </c>
      <c r="H1234" s="1" t="s">
        <v>28</v>
      </c>
      <c r="I1234" s="1" t="s">
        <v>29</v>
      </c>
    </row>
    <row r="1235">
      <c r="A1235" s="1">
        <v>3271162.0</v>
      </c>
      <c r="B1235" s="1" t="s">
        <v>2701</v>
      </c>
      <c r="C1235" s="1" t="s">
        <v>2070</v>
      </c>
      <c r="D1235" s="1" t="s">
        <v>2173</v>
      </c>
      <c r="E1235" s="1" t="s">
        <v>2702</v>
      </c>
      <c r="F1235" s="1" t="s">
        <v>55</v>
      </c>
      <c r="G1235" s="1" t="s">
        <v>17</v>
      </c>
      <c r="H1235" s="1" t="s">
        <v>18</v>
      </c>
      <c r="I1235" s="1" t="s">
        <v>44</v>
      </c>
    </row>
    <row r="1236">
      <c r="A1236" s="1">
        <v>3216399.0</v>
      </c>
      <c r="B1236" s="1" t="s">
        <v>2703</v>
      </c>
      <c r="C1236" s="1" t="s">
        <v>2070</v>
      </c>
      <c r="D1236" s="1" t="s">
        <v>2079</v>
      </c>
      <c r="E1236" s="1" t="s">
        <v>2704</v>
      </c>
      <c r="F1236" s="1" t="s">
        <v>16</v>
      </c>
      <c r="G1236" s="1" t="s">
        <v>17</v>
      </c>
      <c r="H1236" s="1" t="s">
        <v>18</v>
      </c>
      <c r="I1236" s="1" t="s">
        <v>19</v>
      </c>
    </row>
    <row r="1237">
      <c r="A1237" s="1">
        <v>3271024.0</v>
      </c>
      <c r="B1237" s="1" t="s">
        <v>2705</v>
      </c>
      <c r="C1237" s="1" t="s">
        <v>2070</v>
      </c>
      <c r="D1237" s="1" t="s">
        <v>2173</v>
      </c>
      <c r="E1237" s="1" t="s">
        <v>2706</v>
      </c>
      <c r="F1237" s="1" t="s">
        <v>16</v>
      </c>
      <c r="G1237" s="1" t="s">
        <v>17</v>
      </c>
      <c r="H1237" s="1" t="s">
        <v>33</v>
      </c>
      <c r="I1237" s="1" t="s">
        <v>74</v>
      </c>
    </row>
    <row r="1238">
      <c r="A1238" s="1">
        <v>3216466.0</v>
      </c>
      <c r="B1238" s="1" t="s">
        <v>2707</v>
      </c>
      <c r="C1238" s="1" t="s">
        <v>2070</v>
      </c>
      <c r="D1238" s="1" t="s">
        <v>2079</v>
      </c>
      <c r="E1238" s="1" t="s">
        <v>2708</v>
      </c>
      <c r="F1238" s="1" t="s">
        <v>16</v>
      </c>
      <c r="G1238" s="1" t="s">
        <v>17</v>
      </c>
      <c r="H1238" s="1" t="s">
        <v>18</v>
      </c>
      <c r="I1238" s="1" t="s">
        <v>34</v>
      </c>
    </row>
    <row r="1239">
      <c r="A1239" s="1">
        <v>3210025.0</v>
      </c>
      <c r="B1239" s="1" t="s">
        <v>2709</v>
      </c>
      <c r="C1239" s="1" t="s">
        <v>2070</v>
      </c>
      <c r="D1239" s="1" t="s">
        <v>2228</v>
      </c>
      <c r="E1239" s="1" t="s">
        <v>2710</v>
      </c>
      <c r="F1239" s="1" t="s">
        <v>16</v>
      </c>
      <c r="G1239" s="1" t="s">
        <v>27</v>
      </c>
      <c r="H1239" s="1" t="s">
        <v>28</v>
      </c>
      <c r="I1239" s="1" t="s">
        <v>40</v>
      </c>
    </row>
    <row r="1240">
      <c r="A1240" s="1">
        <v>3216362.0</v>
      </c>
      <c r="B1240" s="1" t="s">
        <v>2711</v>
      </c>
      <c r="C1240" s="1" t="s">
        <v>2070</v>
      </c>
      <c r="D1240" s="1" t="s">
        <v>2079</v>
      </c>
      <c r="E1240" s="1" t="s">
        <v>2712</v>
      </c>
      <c r="F1240" s="1" t="s">
        <v>16</v>
      </c>
      <c r="G1240" s="1" t="s">
        <v>17</v>
      </c>
      <c r="H1240" s="1" t="s">
        <v>18</v>
      </c>
      <c r="I1240" s="1" t="s">
        <v>19</v>
      </c>
    </row>
    <row r="1241">
      <c r="A1241" s="1">
        <v>3215158.0</v>
      </c>
      <c r="B1241" s="1" t="s">
        <v>2713</v>
      </c>
      <c r="C1241" s="1" t="s">
        <v>2070</v>
      </c>
      <c r="D1241" s="1" t="s">
        <v>2071</v>
      </c>
      <c r="E1241" s="1" t="s">
        <v>2714</v>
      </c>
      <c r="F1241" s="1" t="s">
        <v>16</v>
      </c>
      <c r="G1241" s="1" t="s">
        <v>17</v>
      </c>
      <c r="H1241" s="1" t="s">
        <v>18</v>
      </c>
      <c r="I1241" s="1" t="s">
        <v>44</v>
      </c>
    </row>
    <row r="1242">
      <c r="A1242" s="1">
        <v>3216432.0</v>
      </c>
      <c r="B1242" s="1" t="s">
        <v>2715</v>
      </c>
      <c r="C1242" s="1" t="s">
        <v>2070</v>
      </c>
      <c r="D1242" s="1" t="s">
        <v>2079</v>
      </c>
      <c r="E1242" s="1" t="s">
        <v>2716</v>
      </c>
      <c r="F1242" s="1" t="s">
        <v>55</v>
      </c>
      <c r="G1242" s="1" t="s">
        <v>17</v>
      </c>
      <c r="H1242" s="1" t="s">
        <v>18</v>
      </c>
      <c r="I1242" s="1" t="s">
        <v>163</v>
      </c>
    </row>
    <row r="1243">
      <c r="A1243" s="1">
        <v>3201254.0</v>
      </c>
      <c r="B1243" s="1" t="s">
        <v>2717</v>
      </c>
      <c r="C1243" s="1" t="s">
        <v>2070</v>
      </c>
      <c r="D1243" s="1" t="s">
        <v>2173</v>
      </c>
      <c r="E1243" s="1" t="s">
        <v>2718</v>
      </c>
      <c r="F1243" s="1" t="s">
        <v>16</v>
      </c>
      <c r="G1243" s="1" t="s">
        <v>17</v>
      </c>
      <c r="H1243" s="1" t="s">
        <v>18</v>
      </c>
      <c r="I1243" s="1" t="s">
        <v>19</v>
      </c>
    </row>
    <row r="1244">
      <c r="A1244" s="1">
        <v>3201046.0</v>
      </c>
      <c r="B1244" s="1" t="s">
        <v>2719</v>
      </c>
      <c r="C1244" s="1" t="s">
        <v>2070</v>
      </c>
      <c r="D1244" s="1" t="s">
        <v>2097</v>
      </c>
      <c r="E1244" s="1" t="s">
        <v>2720</v>
      </c>
      <c r="F1244" s="1" t="s">
        <v>16</v>
      </c>
      <c r="G1244" s="1" t="s">
        <v>27</v>
      </c>
      <c r="H1244" s="1" t="s">
        <v>28</v>
      </c>
      <c r="I1244" s="1" t="s">
        <v>40</v>
      </c>
    </row>
    <row r="1245">
      <c r="A1245" s="1">
        <v>3273063.0</v>
      </c>
      <c r="B1245" s="1" t="s">
        <v>2721</v>
      </c>
      <c r="C1245" s="1" t="s">
        <v>2070</v>
      </c>
      <c r="D1245" s="1" t="s">
        <v>2088</v>
      </c>
      <c r="E1245" s="1" t="s">
        <v>2722</v>
      </c>
      <c r="F1245" s="1" t="s">
        <v>16</v>
      </c>
      <c r="G1245" s="1" t="s">
        <v>17</v>
      </c>
      <c r="H1245" s="1" t="s">
        <v>18</v>
      </c>
      <c r="I1245" s="1" t="s">
        <v>249</v>
      </c>
    </row>
    <row r="1246">
      <c r="A1246" s="1">
        <v>3274111.0</v>
      </c>
      <c r="B1246" s="1" t="s">
        <v>2723</v>
      </c>
      <c r="C1246" s="1" t="s">
        <v>2070</v>
      </c>
      <c r="D1246" s="1" t="s">
        <v>2124</v>
      </c>
      <c r="E1246" s="1" t="s">
        <v>2724</v>
      </c>
      <c r="F1246" s="1" t="s">
        <v>16</v>
      </c>
      <c r="G1246" s="1" t="s">
        <v>23</v>
      </c>
      <c r="H1246" s="1" t="s">
        <v>18</v>
      </c>
      <c r="I1246" s="1" t="s">
        <v>684</v>
      </c>
    </row>
    <row r="1247">
      <c r="A1247" s="1">
        <v>3208059.0</v>
      </c>
      <c r="B1247" s="1" t="s">
        <v>2725</v>
      </c>
      <c r="C1247" s="1" t="s">
        <v>2070</v>
      </c>
      <c r="D1247" s="1" t="s">
        <v>2074</v>
      </c>
      <c r="E1247" s="1" t="s">
        <v>2726</v>
      </c>
      <c r="F1247" s="1" t="s">
        <v>16</v>
      </c>
      <c r="G1247" s="1" t="s">
        <v>17</v>
      </c>
      <c r="H1247" s="1" t="s">
        <v>28</v>
      </c>
      <c r="I1247" s="1" t="s">
        <v>40</v>
      </c>
    </row>
    <row r="1248">
      <c r="A1248" s="1">
        <v>3201185.0</v>
      </c>
      <c r="B1248" s="1" t="s">
        <v>2727</v>
      </c>
      <c r="C1248" s="1" t="s">
        <v>2070</v>
      </c>
      <c r="D1248" s="1" t="s">
        <v>2082</v>
      </c>
      <c r="E1248" s="1" t="s">
        <v>2728</v>
      </c>
      <c r="F1248" s="1" t="s">
        <v>16</v>
      </c>
      <c r="G1248" s="1" t="s">
        <v>27</v>
      </c>
      <c r="H1248" s="1" t="s">
        <v>18</v>
      </c>
      <c r="I1248" s="1" t="s">
        <v>19</v>
      </c>
    </row>
    <row r="1249">
      <c r="A1249" s="1">
        <v>3273191.0</v>
      </c>
      <c r="B1249" s="1" t="s">
        <v>2729</v>
      </c>
      <c r="C1249" s="1" t="s">
        <v>2070</v>
      </c>
      <c r="D1249" s="1" t="s">
        <v>2088</v>
      </c>
      <c r="E1249" s="1" t="s">
        <v>2730</v>
      </c>
      <c r="F1249" s="1" t="s">
        <v>272</v>
      </c>
      <c r="G1249" s="1" t="s">
        <v>150</v>
      </c>
      <c r="H1249" s="1" t="s">
        <v>33</v>
      </c>
      <c r="I1249" s="1" t="s">
        <v>411</v>
      </c>
    </row>
    <row r="1250">
      <c r="A1250" s="1">
        <v>3216447.0</v>
      </c>
      <c r="B1250" s="1" t="s">
        <v>2731</v>
      </c>
      <c r="C1250" s="1" t="s">
        <v>2070</v>
      </c>
      <c r="D1250" s="1" t="s">
        <v>2079</v>
      </c>
      <c r="E1250" s="1" t="s">
        <v>2732</v>
      </c>
      <c r="F1250" s="1" t="s">
        <v>55</v>
      </c>
      <c r="G1250" s="1" t="s">
        <v>23</v>
      </c>
      <c r="H1250" s="1" t="s">
        <v>18</v>
      </c>
      <c r="I1250" s="1" t="s">
        <v>19</v>
      </c>
    </row>
    <row r="1251">
      <c r="A1251" s="1">
        <v>3276153.0</v>
      </c>
      <c r="B1251" s="1" t="s">
        <v>2733</v>
      </c>
      <c r="C1251" s="1" t="s">
        <v>2070</v>
      </c>
      <c r="D1251" s="1" t="s">
        <v>2082</v>
      </c>
      <c r="E1251" s="1" t="s">
        <v>2734</v>
      </c>
      <c r="F1251" s="1" t="s">
        <v>16</v>
      </c>
      <c r="G1251" s="1" t="s">
        <v>17</v>
      </c>
      <c r="H1251" s="1" t="s">
        <v>18</v>
      </c>
      <c r="I1251" s="1" t="s">
        <v>44</v>
      </c>
    </row>
    <row r="1252">
      <c r="A1252" s="1">
        <v>3201259.0</v>
      </c>
      <c r="B1252" s="1" t="s">
        <v>2735</v>
      </c>
      <c r="C1252" s="1" t="s">
        <v>2070</v>
      </c>
      <c r="D1252" s="1" t="s">
        <v>2097</v>
      </c>
      <c r="E1252" s="1" t="s">
        <v>2736</v>
      </c>
      <c r="F1252" s="1" t="s">
        <v>16</v>
      </c>
      <c r="G1252" s="1" t="s">
        <v>17</v>
      </c>
      <c r="H1252" s="1" t="s">
        <v>18</v>
      </c>
      <c r="I1252" s="1" t="s">
        <v>19</v>
      </c>
    </row>
    <row r="1253">
      <c r="A1253" s="1">
        <v>3275083.0</v>
      </c>
      <c r="B1253" s="1" t="s">
        <v>2737</v>
      </c>
      <c r="C1253" s="1" t="s">
        <v>2070</v>
      </c>
      <c r="D1253" s="1" t="s">
        <v>2119</v>
      </c>
      <c r="E1253" s="1" t="s">
        <v>2738</v>
      </c>
      <c r="F1253" s="1" t="s">
        <v>16</v>
      </c>
      <c r="G1253" s="1" t="s">
        <v>23</v>
      </c>
      <c r="H1253" s="1" t="s">
        <v>18</v>
      </c>
      <c r="I1253" s="1" t="s">
        <v>59</v>
      </c>
    </row>
    <row r="1254">
      <c r="A1254" s="1">
        <v>3278082.0</v>
      </c>
      <c r="B1254" s="1" t="s">
        <v>2161</v>
      </c>
      <c r="C1254" s="1" t="s">
        <v>2070</v>
      </c>
      <c r="D1254" s="1" t="s">
        <v>2077</v>
      </c>
      <c r="E1254" s="1" t="s">
        <v>2739</v>
      </c>
      <c r="F1254" s="1" t="s">
        <v>16</v>
      </c>
      <c r="G1254" s="1" t="s">
        <v>17</v>
      </c>
      <c r="H1254" s="1" t="s">
        <v>18</v>
      </c>
      <c r="I1254" s="1" t="s">
        <v>19</v>
      </c>
    </row>
    <row r="1255">
      <c r="A1255" s="1">
        <v>3275054.0</v>
      </c>
      <c r="B1255" s="1" t="s">
        <v>2740</v>
      </c>
      <c r="C1255" s="1" t="s">
        <v>2070</v>
      </c>
      <c r="D1255" s="1" t="s">
        <v>2079</v>
      </c>
      <c r="E1255" s="1" t="s">
        <v>2741</v>
      </c>
      <c r="F1255" s="1" t="s">
        <v>16</v>
      </c>
      <c r="G1255" s="1" t="s">
        <v>17</v>
      </c>
      <c r="H1255" s="1" t="s">
        <v>18</v>
      </c>
      <c r="I1255" s="1" t="s">
        <v>19</v>
      </c>
    </row>
    <row r="1256">
      <c r="A1256" s="1">
        <v>3201272.0</v>
      </c>
      <c r="B1256" s="1" t="s">
        <v>2742</v>
      </c>
      <c r="C1256" s="1" t="s">
        <v>2070</v>
      </c>
      <c r="D1256" s="1" t="s">
        <v>2097</v>
      </c>
      <c r="E1256" s="1" t="s">
        <v>2743</v>
      </c>
      <c r="F1256" s="1" t="s">
        <v>16</v>
      </c>
      <c r="G1256" s="1" t="s">
        <v>17</v>
      </c>
      <c r="H1256" s="1" t="s">
        <v>18</v>
      </c>
      <c r="I1256" s="1" t="s">
        <v>19</v>
      </c>
    </row>
    <row r="1257">
      <c r="A1257" s="1">
        <v>3204090.0</v>
      </c>
      <c r="B1257" s="1" t="s">
        <v>2744</v>
      </c>
      <c r="C1257" s="1" t="s">
        <v>2070</v>
      </c>
      <c r="D1257" s="1" t="s">
        <v>2091</v>
      </c>
      <c r="E1257" s="1" t="s">
        <v>2745</v>
      </c>
      <c r="F1257" s="1" t="s">
        <v>16</v>
      </c>
      <c r="G1257" s="1" t="s">
        <v>27</v>
      </c>
      <c r="H1257" s="1" t="s">
        <v>28</v>
      </c>
      <c r="I1257" s="1" t="s">
        <v>40</v>
      </c>
    </row>
    <row r="1258">
      <c r="A1258" s="1">
        <v>3274053.0</v>
      </c>
      <c r="B1258" s="1" t="s">
        <v>2746</v>
      </c>
      <c r="C1258" s="1" t="s">
        <v>2070</v>
      </c>
      <c r="D1258" s="1" t="s">
        <v>2124</v>
      </c>
      <c r="E1258" s="1" t="s">
        <v>2747</v>
      </c>
      <c r="F1258" s="1" t="s">
        <v>16</v>
      </c>
      <c r="G1258" s="1" t="s">
        <v>17</v>
      </c>
      <c r="H1258" s="1" t="s">
        <v>18</v>
      </c>
      <c r="I1258" s="1" t="s">
        <v>113</v>
      </c>
    </row>
    <row r="1259">
      <c r="A1259" s="1">
        <v>3216388.0</v>
      </c>
      <c r="B1259" s="1" t="s">
        <v>2748</v>
      </c>
      <c r="C1259" s="1" t="s">
        <v>2070</v>
      </c>
      <c r="D1259" s="1" t="s">
        <v>2079</v>
      </c>
      <c r="E1259" s="1" t="s">
        <v>2749</v>
      </c>
      <c r="F1259" s="1" t="s">
        <v>16</v>
      </c>
      <c r="G1259" s="1" t="s">
        <v>17</v>
      </c>
      <c r="H1259" s="1" t="s">
        <v>18</v>
      </c>
      <c r="I1259" s="1" t="s">
        <v>44</v>
      </c>
    </row>
    <row r="1260">
      <c r="A1260" s="1">
        <v>3216439.0</v>
      </c>
      <c r="B1260" s="1" t="s">
        <v>2750</v>
      </c>
      <c r="C1260" s="1" t="s">
        <v>2070</v>
      </c>
      <c r="D1260" s="1" t="s">
        <v>2079</v>
      </c>
      <c r="E1260" s="1" t="s">
        <v>2751</v>
      </c>
      <c r="F1260" s="1" t="s">
        <v>16</v>
      </c>
      <c r="G1260" s="1" t="s">
        <v>23</v>
      </c>
      <c r="H1260" s="1" t="s">
        <v>18</v>
      </c>
      <c r="I1260" s="1" t="s">
        <v>163</v>
      </c>
    </row>
    <row r="1261">
      <c r="A1261" s="1">
        <v>3275274.0</v>
      </c>
      <c r="B1261" s="1" t="s">
        <v>2752</v>
      </c>
      <c r="C1261" s="1" t="s">
        <v>2070</v>
      </c>
      <c r="D1261" s="1" t="s">
        <v>2119</v>
      </c>
      <c r="E1261" s="1" t="s">
        <v>2753</v>
      </c>
      <c r="F1261" s="1" t="s">
        <v>16</v>
      </c>
      <c r="G1261" s="1" t="s">
        <v>17</v>
      </c>
      <c r="H1261" s="1" t="s">
        <v>18</v>
      </c>
      <c r="I1261" s="1" t="s">
        <v>19</v>
      </c>
    </row>
    <row r="1262">
      <c r="A1262" s="1">
        <v>3204129.0</v>
      </c>
      <c r="B1262" s="1" t="s">
        <v>2754</v>
      </c>
      <c r="C1262" s="1" t="s">
        <v>2070</v>
      </c>
      <c r="D1262" s="1" t="s">
        <v>2088</v>
      </c>
      <c r="E1262" s="1" t="s">
        <v>2755</v>
      </c>
      <c r="F1262" s="1" t="s">
        <v>55</v>
      </c>
      <c r="G1262" s="1" t="s">
        <v>17</v>
      </c>
      <c r="H1262" s="1" t="s">
        <v>18</v>
      </c>
      <c r="I1262" s="1" t="s">
        <v>19</v>
      </c>
    </row>
    <row r="1263">
      <c r="A1263" s="1">
        <v>3208065.0</v>
      </c>
      <c r="B1263" s="1" t="s">
        <v>2756</v>
      </c>
      <c r="C1263" s="1" t="s">
        <v>2070</v>
      </c>
      <c r="D1263" s="1" t="s">
        <v>2074</v>
      </c>
      <c r="E1263" s="1" t="s">
        <v>2757</v>
      </c>
      <c r="F1263" s="1" t="s">
        <v>16</v>
      </c>
      <c r="G1263" s="1" t="s">
        <v>17</v>
      </c>
      <c r="H1263" s="1" t="s">
        <v>18</v>
      </c>
      <c r="I1263" s="1" t="s">
        <v>44</v>
      </c>
    </row>
    <row r="1264">
      <c r="A1264" s="1">
        <v>3208035.0</v>
      </c>
      <c r="B1264" s="1" t="s">
        <v>2758</v>
      </c>
      <c r="C1264" s="1" t="s">
        <v>2070</v>
      </c>
      <c r="D1264" s="1" t="s">
        <v>2074</v>
      </c>
      <c r="E1264" s="1" t="s">
        <v>2759</v>
      </c>
      <c r="F1264" s="1" t="s">
        <v>16</v>
      </c>
      <c r="G1264" s="1" t="s">
        <v>17</v>
      </c>
      <c r="H1264" s="1" t="s">
        <v>18</v>
      </c>
      <c r="I1264" s="1" t="s">
        <v>59</v>
      </c>
    </row>
    <row r="1265">
      <c r="A1265" s="1">
        <v>3214031.0</v>
      </c>
      <c r="B1265" s="1" t="s">
        <v>2760</v>
      </c>
      <c r="C1265" s="1" t="s">
        <v>2070</v>
      </c>
      <c r="D1265" s="1" t="s">
        <v>2182</v>
      </c>
      <c r="E1265" s="1" t="s">
        <v>2761</v>
      </c>
      <c r="F1265" s="1" t="s">
        <v>16</v>
      </c>
      <c r="G1265" s="1" t="s">
        <v>27</v>
      </c>
      <c r="H1265" s="1" t="s">
        <v>18</v>
      </c>
      <c r="I1265" s="1" t="s">
        <v>44</v>
      </c>
    </row>
    <row r="1266">
      <c r="A1266" s="1">
        <v>3201241.0</v>
      </c>
      <c r="B1266" s="1" t="s">
        <v>2762</v>
      </c>
      <c r="C1266" s="1" t="s">
        <v>2070</v>
      </c>
      <c r="D1266" s="1" t="s">
        <v>2173</v>
      </c>
      <c r="E1266" s="1" t="s">
        <v>2763</v>
      </c>
      <c r="F1266" s="1" t="s">
        <v>16</v>
      </c>
      <c r="G1266" s="1" t="s">
        <v>17</v>
      </c>
      <c r="H1266" s="1" t="s">
        <v>18</v>
      </c>
      <c r="I1266" s="1" t="s">
        <v>44</v>
      </c>
    </row>
    <row r="1267">
      <c r="A1267" s="1">
        <v>3216423.0</v>
      </c>
      <c r="B1267" s="1" t="s">
        <v>2230</v>
      </c>
      <c r="C1267" s="1" t="s">
        <v>2070</v>
      </c>
      <c r="D1267" s="1" t="s">
        <v>2119</v>
      </c>
      <c r="E1267" s="1" t="s">
        <v>2764</v>
      </c>
      <c r="F1267" s="1" t="s">
        <v>16</v>
      </c>
      <c r="G1267" s="1" t="s">
        <v>17</v>
      </c>
      <c r="H1267" s="1" t="s">
        <v>18</v>
      </c>
      <c r="I1267" s="1" t="s">
        <v>19</v>
      </c>
    </row>
    <row r="1268">
      <c r="A1268" s="1">
        <v>3278093.0</v>
      </c>
      <c r="B1268" s="1" t="s">
        <v>2765</v>
      </c>
      <c r="C1268" s="1" t="s">
        <v>2070</v>
      </c>
      <c r="D1268" s="1" t="s">
        <v>2077</v>
      </c>
      <c r="E1268" s="1" t="s">
        <v>2766</v>
      </c>
      <c r="F1268" s="1" t="s">
        <v>16</v>
      </c>
      <c r="G1268" s="1" t="s">
        <v>17</v>
      </c>
      <c r="H1268" s="1" t="s">
        <v>18</v>
      </c>
      <c r="I1268" s="1" t="s">
        <v>19</v>
      </c>
    </row>
    <row r="1269">
      <c r="A1269" s="1">
        <v>3272036.0</v>
      </c>
      <c r="B1269" s="1" t="s">
        <v>2767</v>
      </c>
      <c r="C1269" s="1" t="s">
        <v>2070</v>
      </c>
      <c r="D1269" s="1" t="s">
        <v>2289</v>
      </c>
      <c r="E1269" s="1" t="s">
        <v>2768</v>
      </c>
      <c r="F1269" s="1" t="s">
        <v>16</v>
      </c>
      <c r="G1269" s="1" t="s">
        <v>23</v>
      </c>
      <c r="H1269" s="1" t="s">
        <v>18</v>
      </c>
      <c r="I1269" s="1" t="s">
        <v>59</v>
      </c>
    </row>
    <row r="1270">
      <c r="A1270" s="1">
        <v>3216450.0</v>
      </c>
      <c r="B1270" s="1" t="s">
        <v>2769</v>
      </c>
      <c r="C1270" s="1" t="s">
        <v>2070</v>
      </c>
      <c r="D1270" s="1" t="s">
        <v>2079</v>
      </c>
      <c r="E1270" s="1" t="s">
        <v>2770</v>
      </c>
      <c r="F1270" s="1" t="s">
        <v>16</v>
      </c>
      <c r="G1270" s="1" t="s">
        <v>27</v>
      </c>
      <c r="H1270" s="1" t="s">
        <v>18</v>
      </c>
      <c r="I1270" s="1" t="s">
        <v>19</v>
      </c>
    </row>
    <row r="1271">
      <c r="A1271" s="1">
        <v>3214011.0</v>
      </c>
      <c r="B1271" s="1" t="s">
        <v>2771</v>
      </c>
      <c r="C1271" s="1" t="s">
        <v>2070</v>
      </c>
      <c r="D1271" s="1" t="s">
        <v>2182</v>
      </c>
      <c r="E1271" s="1" t="s">
        <v>2772</v>
      </c>
      <c r="F1271" s="1" t="s">
        <v>16</v>
      </c>
      <c r="G1271" s="1" t="s">
        <v>27</v>
      </c>
      <c r="H1271" s="1" t="s">
        <v>28</v>
      </c>
      <c r="I1271" s="1" t="s">
        <v>40</v>
      </c>
    </row>
    <row r="1272">
      <c r="A1272" s="1">
        <v>3213045.0</v>
      </c>
      <c r="B1272" s="1" t="s">
        <v>2773</v>
      </c>
      <c r="C1272" s="1" t="s">
        <v>2070</v>
      </c>
      <c r="D1272" s="1" t="s">
        <v>2127</v>
      </c>
      <c r="E1272" s="1" t="s">
        <v>2774</v>
      </c>
      <c r="F1272" s="1" t="s">
        <v>16</v>
      </c>
      <c r="G1272" s="1" t="s">
        <v>17</v>
      </c>
      <c r="H1272" s="1" t="s">
        <v>18</v>
      </c>
      <c r="I1272" s="1" t="s">
        <v>44</v>
      </c>
    </row>
    <row r="1273">
      <c r="A1273" s="1">
        <v>3215123.0</v>
      </c>
      <c r="B1273" s="1" t="s">
        <v>2775</v>
      </c>
      <c r="C1273" s="1" t="s">
        <v>2070</v>
      </c>
      <c r="D1273" s="1" t="s">
        <v>2071</v>
      </c>
      <c r="E1273" s="1" t="s">
        <v>2776</v>
      </c>
      <c r="F1273" s="1" t="s">
        <v>16</v>
      </c>
      <c r="G1273" s="1" t="s">
        <v>17</v>
      </c>
      <c r="H1273" s="1" t="s">
        <v>18</v>
      </c>
      <c r="I1273" s="1" t="s">
        <v>19</v>
      </c>
    </row>
    <row r="1274">
      <c r="A1274" s="1">
        <v>3216417.0</v>
      </c>
      <c r="B1274" s="1" t="s">
        <v>2777</v>
      </c>
      <c r="C1274" s="1" t="s">
        <v>2070</v>
      </c>
      <c r="D1274" s="1" t="s">
        <v>2079</v>
      </c>
      <c r="E1274" s="1" t="s">
        <v>2778</v>
      </c>
      <c r="F1274" s="1" t="s">
        <v>16</v>
      </c>
      <c r="G1274" s="1" t="s">
        <v>17</v>
      </c>
      <c r="H1274" s="1" t="s">
        <v>18</v>
      </c>
      <c r="I1274" s="1" t="s">
        <v>44</v>
      </c>
    </row>
    <row r="1275">
      <c r="A1275" s="1">
        <v>3206084.0</v>
      </c>
      <c r="B1275" s="1" t="s">
        <v>2779</v>
      </c>
      <c r="C1275" s="1" t="s">
        <v>2070</v>
      </c>
      <c r="D1275" s="1" t="s">
        <v>2625</v>
      </c>
      <c r="E1275" s="1" t="s">
        <v>2780</v>
      </c>
      <c r="F1275" s="1" t="s">
        <v>55</v>
      </c>
      <c r="G1275" s="1" t="s">
        <v>17</v>
      </c>
      <c r="H1275" s="1" t="s">
        <v>18</v>
      </c>
      <c r="I1275" s="1" t="s">
        <v>44</v>
      </c>
    </row>
    <row r="1276">
      <c r="A1276" s="1">
        <v>3217132.0</v>
      </c>
      <c r="B1276" s="1" t="s">
        <v>2781</v>
      </c>
      <c r="C1276" s="1" t="s">
        <v>2070</v>
      </c>
      <c r="D1276" s="1" t="s">
        <v>2144</v>
      </c>
      <c r="E1276" s="1" t="s">
        <v>2782</v>
      </c>
      <c r="F1276" s="1" t="s">
        <v>55</v>
      </c>
      <c r="G1276" s="1" t="s">
        <v>17</v>
      </c>
      <c r="H1276" s="1" t="s">
        <v>18</v>
      </c>
      <c r="I1276" s="1" t="s">
        <v>19</v>
      </c>
    </row>
    <row r="1277">
      <c r="A1277" s="1">
        <v>3203037.0</v>
      </c>
      <c r="B1277" s="1" t="s">
        <v>2783</v>
      </c>
      <c r="C1277" s="1" t="s">
        <v>2070</v>
      </c>
      <c r="D1277" s="1" t="s">
        <v>2094</v>
      </c>
      <c r="E1277" s="1" t="s">
        <v>2784</v>
      </c>
      <c r="F1277" s="1" t="s">
        <v>16</v>
      </c>
      <c r="G1277" s="1" t="s">
        <v>17</v>
      </c>
      <c r="H1277" s="1" t="s">
        <v>28</v>
      </c>
      <c r="I1277" s="1" t="s">
        <v>40</v>
      </c>
    </row>
    <row r="1278">
      <c r="A1278" s="1">
        <v>3273486.0</v>
      </c>
      <c r="B1278" s="1" t="s">
        <v>2785</v>
      </c>
      <c r="C1278" s="1" t="s">
        <v>2070</v>
      </c>
      <c r="D1278" s="1" t="s">
        <v>2088</v>
      </c>
      <c r="E1278" s="1" t="s">
        <v>2786</v>
      </c>
      <c r="F1278" s="1" t="s">
        <v>16</v>
      </c>
      <c r="G1278" s="1" t="s">
        <v>150</v>
      </c>
      <c r="H1278" s="1" t="s">
        <v>18</v>
      </c>
      <c r="I1278" s="1" t="s">
        <v>19</v>
      </c>
    </row>
    <row r="1279">
      <c r="A1279" s="1">
        <v>3278014.0</v>
      </c>
      <c r="B1279" s="1" t="s">
        <v>2787</v>
      </c>
      <c r="C1279" s="1" t="s">
        <v>2070</v>
      </c>
      <c r="D1279" s="1" t="s">
        <v>2077</v>
      </c>
      <c r="E1279" s="1" t="s">
        <v>2788</v>
      </c>
      <c r="F1279" s="1" t="s">
        <v>16</v>
      </c>
      <c r="G1279" s="1" t="s">
        <v>17</v>
      </c>
      <c r="H1279" s="1" t="s">
        <v>18</v>
      </c>
      <c r="I1279" s="1" t="s">
        <v>44</v>
      </c>
    </row>
    <row r="1280">
      <c r="A1280" s="1">
        <v>3216185.0</v>
      </c>
      <c r="B1280" s="1" t="s">
        <v>2789</v>
      </c>
      <c r="C1280" s="1" t="s">
        <v>2070</v>
      </c>
      <c r="D1280" s="1" t="s">
        <v>2079</v>
      </c>
      <c r="E1280" s="1" t="s">
        <v>2790</v>
      </c>
      <c r="F1280" s="1" t="s">
        <v>16</v>
      </c>
      <c r="G1280" s="1" t="s">
        <v>17</v>
      </c>
      <c r="H1280" s="1" t="s">
        <v>18</v>
      </c>
      <c r="I1280" s="1" t="s">
        <v>19</v>
      </c>
    </row>
    <row r="1281">
      <c r="A1281" s="1">
        <v>3215165.0</v>
      </c>
      <c r="B1281" s="1" t="s">
        <v>2791</v>
      </c>
      <c r="C1281" s="1" t="s">
        <v>2070</v>
      </c>
      <c r="D1281" s="1" t="s">
        <v>2071</v>
      </c>
      <c r="E1281" s="1" t="s">
        <v>2792</v>
      </c>
      <c r="F1281" s="1" t="s">
        <v>16</v>
      </c>
      <c r="G1281" s="1" t="s">
        <v>23</v>
      </c>
      <c r="H1281" s="1" t="s">
        <v>18</v>
      </c>
      <c r="I1281" s="1" t="s">
        <v>44</v>
      </c>
    </row>
    <row r="1282">
      <c r="A1282" s="1">
        <v>3206070.0</v>
      </c>
      <c r="B1282" s="1" t="s">
        <v>2793</v>
      </c>
      <c r="C1282" s="1" t="s">
        <v>2070</v>
      </c>
      <c r="D1282" s="1" t="s">
        <v>2077</v>
      </c>
      <c r="E1282" s="1" t="s">
        <v>2794</v>
      </c>
      <c r="F1282" s="1" t="s">
        <v>16</v>
      </c>
      <c r="G1282" s="1" t="s">
        <v>17</v>
      </c>
      <c r="H1282" s="1" t="s">
        <v>18</v>
      </c>
      <c r="I1282" s="1" t="s">
        <v>44</v>
      </c>
    </row>
    <row r="1283">
      <c r="A1283" s="1">
        <v>3216451.0</v>
      </c>
      <c r="B1283" s="1" t="s">
        <v>2795</v>
      </c>
      <c r="C1283" s="1" t="s">
        <v>2070</v>
      </c>
      <c r="D1283" s="1" t="s">
        <v>2079</v>
      </c>
      <c r="E1283" s="1" t="s">
        <v>2796</v>
      </c>
      <c r="F1283" s="1" t="s">
        <v>16</v>
      </c>
      <c r="G1283" s="1" t="s">
        <v>17</v>
      </c>
      <c r="H1283" s="1" t="s">
        <v>18</v>
      </c>
      <c r="I1283" s="1" t="s">
        <v>44</v>
      </c>
    </row>
    <row r="1284">
      <c r="A1284" s="1">
        <v>3271046.0</v>
      </c>
      <c r="B1284" s="1" t="s">
        <v>2797</v>
      </c>
      <c r="C1284" s="1" t="s">
        <v>2070</v>
      </c>
      <c r="D1284" s="1" t="s">
        <v>2173</v>
      </c>
      <c r="E1284" s="1" t="s">
        <v>2798</v>
      </c>
      <c r="F1284" s="1" t="s">
        <v>174</v>
      </c>
      <c r="G1284" s="1" t="s">
        <v>150</v>
      </c>
      <c r="H1284" s="1" t="s">
        <v>33</v>
      </c>
      <c r="I1284" s="1" t="s">
        <v>411</v>
      </c>
    </row>
    <row r="1285">
      <c r="A1285" s="1">
        <v>3272025.0</v>
      </c>
      <c r="B1285" s="1" t="s">
        <v>2799</v>
      </c>
      <c r="C1285" s="1" t="s">
        <v>2070</v>
      </c>
      <c r="D1285" s="1" t="s">
        <v>2289</v>
      </c>
      <c r="E1285" s="1" t="s">
        <v>2800</v>
      </c>
      <c r="F1285" s="1" t="s">
        <v>16</v>
      </c>
      <c r="G1285" s="1" t="s">
        <v>17</v>
      </c>
      <c r="H1285" s="1" t="s">
        <v>33</v>
      </c>
      <c r="I1285" s="1" t="s">
        <v>65</v>
      </c>
    </row>
    <row r="1286">
      <c r="A1286" s="1">
        <v>3211015.0</v>
      </c>
      <c r="B1286" s="1" t="s">
        <v>2801</v>
      </c>
      <c r="C1286" s="1" t="s">
        <v>2070</v>
      </c>
      <c r="D1286" s="1" t="s">
        <v>2286</v>
      </c>
      <c r="E1286" s="1" t="s">
        <v>2802</v>
      </c>
      <c r="F1286" s="1" t="s">
        <v>16</v>
      </c>
      <c r="G1286" s="1" t="s">
        <v>27</v>
      </c>
      <c r="H1286" s="1" t="s">
        <v>28</v>
      </c>
      <c r="I1286" s="1" t="s">
        <v>40</v>
      </c>
    </row>
    <row r="1287">
      <c r="A1287" s="1">
        <v>3271161.0</v>
      </c>
      <c r="B1287" s="1" t="s">
        <v>2803</v>
      </c>
      <c r="C1287" s="1" t="s">
        <v>2070</v>
      </c>
      <c r="D1287" s="1" t="s">
        <v>2173</v>
      </c>
      <c r="E1287" s="1" t="s">
        <v>2804</v>
      </c>
      <c r="F1287" s="1" t="s">
        <v>16</v>
      </c>
      <c r="G1287" s="1" t="s">
        <v>17</v>
      </c>
      <c r="H1287" s="1" t="s">
        <v>18</v>
      </c>
      <c r="I1287" s="1" t="s">
        <v>44</v>
      </c>
    </row>
    <row r="1288">
      <c r="A1288" s="1">
        <v>3216427.0</v>
      </c>
      <c r="B1288" s="1" t="s">
        <v>2805</v>
      </c>
      <c r="C1288" s="1" t="s">
        <v>2070</v>
      </c>
      <c r="D1288" s="1" t="s">
        <v>2119</v>
      </c>
      <c r="E1288" s="1" t="s">
        <v>2806</v>
      </c>
      <c r="F1288" s="1" t="s">
        <v>16</v>
      </c>
      <c r="G1288" s="1" t="s">
        <v>17</v>
      </c>
      <c r="H1288" s="1" t="s">
        <v>18</v>
      </c>
      <c r="I1288" s="1" t="s">
        <v>19</v>
      </c>
    </row>
    <row r="1289">
      <c r="A1289" s="1">
        <v>3216441.0</v>
      </c>
      <c r="B1289" s="1" t="s">
        <v>2807</v>
      </c>
      <c r="C1289" s="1" t="s">
        <v>2070</v>
      </c>
      <c r="D1289" s="1" t="s">
        <v>2079</v>
      </c>
      <c r="E1289" s="1" t="s">
        <v>2808</v>
      </c>
      <c r="F1289" s="1" t="s">
        <v>16</v>
      </c>
      <c r="G1289" s="1" t="s">
        <v>17</v>
      </c>
      <c r="H1289" s="1" t="s">
        <v>18</v>
      </c>
      <c r="I1289" s="1" t="s">
        <v>19</v>
      </c>
    </row>
    <row r="1290">
      <c r="A1290" s="1">
        <v>3201061.0</v>
      </c>
      <c r="B1290" s="1" t="s">
        <v>2809</v>
      </c>
      <c r="C1290" s="1" t="s">
        <v>2070</v>
      </c>
      <c r="D1290" s="1" t="s">
        <v>2082</v>
      </c>
      <c r="E1290" s="1" t="s">
        <v>2810</v>
      </c>
      <c r="F1290" s="1" t="s">
        <v>16</v>
      </c>
      <c r="G1290" s="1" t="s">
        <v>17</v>
      </c>
      <c r="H1290" s="1" t="s">
        <v>18</v>
      </c>
      <c r="I1290" s="1" t="s">
        <v>59</v>
      </c>
    </row>
    <row r="1291">
      <c r="A1291" s="1">
        <v>3273085.0</v>
      </c>
      <c r="B1291" s="1" t="s">
        <v>2811</v>
      </c>
      <c r="C1291" s="1" t="s">
        <v>2070</v>
      </c>
      <c r="D1291" s="1" t="s">
        <v>2088</v>
      </c>
      <c r="E1291" s="1" t="s">
        <v>2812</v>
      </c>
      <c r="F1291" s="1" t="s">
        <v>16</v>
      </c>
      <c r="G1291" s="1" t="s">
        <v>27</v>
      </c>
      <c r="H1291" s="1" t="s">
        <v>18</v>
      </c>
      <c r="I1291" s="1" t="s">
        <v>59</v>
      </c>
    </row>
    <row r="1292">
      <c r="A1292" s="1">
        <v>3276124.0</v>
      </c>
      <c r="B1292" s="1" t="s">
        <v>2813</v>
      </c>
      <c r="C1292" s="1" t="s">
        <v>2070</v>
      </c>
      <c r="D1292" s="1" t="s">
        <v>2082</v>
      </c>
      <c r="E1292" s="1" t="s">
        <v>2814</v>
      </c>
      <c r="F1292" s="1" t="s">
        <v>16</v>
      </c>
      <c r="G1292" s="1" t="s">
        <v>17</v>
      </c>
      <c r="H1292" s="1" t="s">
        <v>28</v>
      </c>
      <c r="I1292" s="1" t="s">
        <v>29</v>
      </c>
    </row>
    <row r="1293">
      <c r="A1293" s="1">
        <v>3216396.0</v>
      </c>
      <c r="B1293" s="1" t="s">
        <v>2815</v>
      </c>
      <c r="C1293" s="1" t="s">
        <v>2070</v>
      </c>
      <c r="D1293" s="1" t="s">
        <v>2119</v>
      </c>
      <c r="E1293" s="1" t="s">
        <v>2816</v>
      </c>
      <c r="F1293" s="1" t="s">
        <v>16</v>
      </c>
      <c r="G1293" s="1" t="s">
        <v>23</v>
      </c>
      <c r="H1293" s="1" t="s">
        <v>18</v>
      </c>
      <c r="I1293" s="1" t="s">
        <v>44</v>
      </c>
    </row>
    <row r="1294">
      <c r="A1294" s="1">
        <v>3215167.0</v>
      </c>
      <c r="B1294" s="1" t="s">
        <v>2817</v>
      </c>
      <c r="C1294" s="1" t="s">
        <v>2070</v>
      </c>
      <c r="D1294" s="1" t="s">
        <v>2071</v>
      </c>
      <c r="E1294" s="1" t="s">
        <v>2818</v>
      </c>
      <c r="F1294" s="1" t="s">
        <v>16</v>
      </c>
      <c r="G1294" s="1" t="s">
        <v>17</v>
      </c>
      <c r="H1294" s="1" t="s">
        <v>18</v>
      </c>
      <c r="I1294" s="1" t="s">
        <v>44</v>
      </c>
    </row>
    <row r="1295">
      <c r="A1295" s="1">
        <v>3212060.0</v>
      </c>
      <c r="B1295" s="1" t="s">
        <v>2819</v>
      </c>
      <c r="C1295" s="1" t="s">
        <v>2070</v>
      </c>
      <c r="D1295" s="1" t="s">
        <v>2189</v>
      </c>
      <c r="E1295" s="1" t="s">
        <v>2820</v>
      </c>
      <c r="F1295" s="1" t="s">
        <v>16</v>
      </c>
      <c r="G1295" s="1" t="s">
        <v>17</v>
      </c>
      <c r="H1295" s="1" t="s">
        <v>18</v>
      </c>
      <c r="I1295" s="1" t="s">
        <v>19</v>
      </c>
    </row>
    <row r="1296">
      <c r="A1296" s="1">
        <v>3217133.0</v>
      </c>
      <c r="B1296" s="1" t="s">
        <v>2821</v>
      </c>
      <c r="C1296" s="1" t="s">
        <v>2070</v>
      </c>
      <c r="D1296" s="1" t="s">
        <v>2144</v>
      </c>
      <c r="E1296" s="1" t="s">
        <v>2822</v>
      </c>
      <c r="F1296" s="1" t="s">
        <v>55</v>
      </c>
      <c r="G1296" s="1" t="s">
        <v>17</v>
      </c>
      <c r="H1296" s="1" t="s">
        <v>18</v>
      </c>
      <c r="I1296" s="1" t="s">
        <v>19</v>
      </c>
    </row>
    <row r="1297">
      <c r="A1297" s="1">
        <v>3208076.0</v>
      </c>
      <c r="B1297" s="1" t="s">
        <v>2823</v>
      </c>
      <c r="C1297" s="1" t="s">
        <v>2070</v>
      </c>
      <c r="D1297" s="1" t="s">
        <v>2074</v>
      </c>
      <c r="E1297" s="1" t="s">
        <v>2824</v>
      </c>
      <c r="F1297" s="1" t="s">
        <v>16</v>
      </c>
      <c r="G1297" s="1" t="s">
        <v>23</v>
      </c>
      <c r="H1297" s="1" t="s">
        <v>18</v>
      </c>
      <c r="I1297" s="1" t="s">
        <v>19</v>
      </c>
    </row>
    <row r="1298">
      <c r="A1298" s="1">
        <v>3201207.0</v>
      </c>
      <c r="B1298" s="1" t="s">
        <v>2825</v>
      </c>
      <c r="C1298" s="1" t="s">
        <v>2070</v>
      </c>
      <c r="D1298" s="1" t="s">
        <v>2097</v>
      </c>
      <c r="E1298" s="1" t="s">
        <v>2826</v>
      </c>
      <c r="F1298" s="1" t="s">
        <v>16</v>
      </c>
      <c r="G1298" s="1" t="s">
        <v>17</v>
      </c>
      <c r="H1298" s="1" t="s">
        <v>18</v>
      </c>
      <c r="I1298" s="1" t="s">
        <v>19</v>
      </c>
    </row>
    <row r="1299">
      <c r="A1299" s="1">
        <v>3273260.0</v>
      </c>
      <c r="B1299" s="1" t="s">
        <v>2827</v>
      </c>
      <c r="C1299" s="1" t="s">
        <v>2070</v>
      </c>
      <c r="D1299" s="1" t="s">
        <v>2088</v>
      </c>
      <c r="E1299" s="1" t="s">
        <v>2828</v>
      </c>
      <c r="F1299" s="1" t="s">
        <v>16</v>
      </c>
      <c r="G1299" s="1" t="s">
        <v>27</v>
      </c>
      <c r="H1299" s="1" t="s">
        <v>28</v>
      </c>
      <c r="I1299" s="1" t="s">
        <v>29</v>
      </c>
    </row>
    <row r="1300">
      <c r="A1300" s="1">
        <v>3277022.0</v>
      </c>
      <c r="B1300" s="1" t="s">
        <v>2829</v>
      </c>
      <c r="C1300" s="1" t="s">
        <v>2070</v>
      </c>
      <c r="D1300" s="1" t="s">
        <v>2217</v>
      </c>
      <c r="E1300" s="1" t="s">
        <v>2830</v>
      </c>
      <c r="F1300" s="1" t="s">
        <v>32</v>
      </c>
      <c r="G1300" s="1" t="s">
        <v>27</v>
      </c>
      <c r="H1300" s="1" t="s">
        <v>18</v>
      </c>
      <c r="I1300" s="1" t="s">
        <v>19</v>
      </c>
    </row>
    <row r="1301">
      <c r="A1301" s="1">
        <v>3211038.0</v>
      </c>
      <c r="B1301" s="1" t="s">
        <v>2831</v>
      </c>
      <c r="C1301" s="1" t="s">
        <v>2070</v>
      </c>
      <c r="D1301" s="1" t="s">
        <v>2286</v>
      </c>
      <c r="E1301" s="1" t="s">
        <v>2832</v>
      </c>
      <c r="F1301" s="1" t="s">
        <v>16</v>
      </c>
      <c r="G1301" s="1" t="s">
        <v>27</v>
      </c>
      <c r="H1301" s="1" t="s">
        <v>18</v>
      </c>
      <c r="I1301" s="1" t="s">
        <v>34</v>
      </c>
    </row>
    <row r="1302">
      <c r="A1302" s="1">
        <v>3216104.0</v>
      </c>
      <c r="B1302" s="1" t="s">
        <v>2833</v>
      </c>
      <c r="C1302" s="1" t="s">
        <v>2070</v>
      </c>
      <c r="D1302" s="1" t="s">
        <v>2079</v>
      </c>
      <c r="E1302" s="1" t="s">
        <v>2834</v>
      </c>
      <c r="F1302" s="1" t="s">
        <v>16</v>
      </c>
      <c r="G1302" s="1" t="s">
        <v>17</v>
      </c>
      <c r="H1302" s="1" t="s">
        <v>18</v>
      </c>
      <c r="I1302" s="1" t="s">
        <v>59</v>
      </c>
    </row>
    <row r="1303">
      <c r="A1303" s="1">
        <v>3276041.0</v>
      </c>
      <c r="B1303" s="1" t="s">
        <v>2835</v>
      </c>
      <c r="C1303" s="1" t="s">
        <v>2070</v>
      </c>
      <c r="D1303" s="1" t="s">
        <v>2082</v>
      </c>
      <c r="E1303" s="1" t="s">
        <v>2836</v>
      </c>
      <c r="F1303" s="1" t="s">
        <v>16</v>
      </c>
      <c r="G1303" s="1" t="s">
        <v>17</v>
      </c>
      <c r="H1303" s="1" t="s">
        <v>18</v>
      </c>
      <c r="I1303" s="1" t="s">
        <v>44</v>
      </c>
    </row>
    <row r="1304">
      <c r="A1304" s="1">
        <v>3274137.0</v>
      </c>
      <c r="B1304" s="1" t="s">
        <v>2837</v>
      </c>
      <c r="C1304" s="1" t="s">
        <v>2070</v>
      </c>
      <c r="D1304" s="1" t="s">
        <v>2124</v>
      </c>
      <c r="E1304" s="1" t="s">
        <v>2838</v>
      </c>
      <c r="F1304" s="1" t="s">
        <v>55</v>
      </c>
      <c r="G1304" s="1" t="s">
        <v>17</v>
      </c>
      <c r="H1304" s="1" t="s">
        <v>18</v>
      </c>
      <c r="I1304" s="1" t="s">
        <v>19</v>
      </c>
    </row>
    <row r="1305">
      <c r="A1305" s="1">
        <v>3275063.0</v>
      </c>
      <c r="B1305" s="1" t="s">
        <v>2839</v>
      </c>
      <c r="C1305" s="1" t="s">
        <v>2070</v>
      </c>
      <c r="D1305" s="1" t="s">
        <v>2119</v>
      </c>
      <c r="E1305" s="1" t="s">
        <v>2840</v>
      </c>
      <c r="F1305" s="1" t="s">
        <v>16</v>
      </c>
      <c r="G1305" s="1" t="s">
        <v>27</v>
      </c>
      <c r="H1305" s="1" t="s">
        <v>18</v>
      </c>
      <c r="I1305" s="1" t="s">
        <v>44</v>
      </c>
    </row>
    <row r="1306">
      <c r="A1306" s="1">
        <v>3217009.0</v>
      </c>
      <c r="B1306" s="1" t="s">
        <v>2841</v>
      </c>
      <c r="C1306" s="1" t="s">
        <v>2070</v>
      </c>
      <c r="D1306" s="1" t="s">
        <v>2144</v>
      </c>
      <c r="E1306" s="1" t="s">
        <v>2842</v>
      </c>
      <c r="F1306" s="1" t="s">
        <v>55</v>
      </c>
      <c r="G1306" s="1" t="s">
        <v>17</v>
      </c>
      <c r="H1306" s="1" t="s">
        <v>18</v>
      </c>
      <c r="I1306" s="1" t="s">
        <v>44</v>
      </c>
    </row>
    <row r="1307">
      <c r="A1307" s="1">
        <v>3215171.0</v>
      </c>
      <c r="B1307" s="1" t="s">
        <v>2843</v>
      </c>
      <c r="C1307" s="1" t="s">
        <v>2070</v>
      </c>
      <c r="D1307" s="1" t="s">
        <v>2071</v>
      </c>
      <c r="E1307" s="1" t="s">
        <v>2844</v>
      </c>
      <c r="F1307" s="1" t="s">
        <v>16</v>
      </c>
      <c r="G1307" s="1" t="s">
        <v>17</v>
      </c>
      <c r="H1307" s="1" t="s">
        <v>18</v>
      </c>
      <c r="I1307" s="1" t="s">
        <v>19</v>
      </c>
    </row>
    <row r="1308">
      <c r="A1308" s="1">
        <v>3275296.0</v>
      </c>
      <c r="B1308" s="1" t="s">
        <v>2845</v>
      </c>
      <c r="C1308" s="1" t="s">
        <v>2070</v>
      </c>
      <c r="D1308" s="1" t="s">
        <v>2119</v>
      </c>
      <c r="E1308" s="1" t="s">
        <v>2846</v>
      </c>
      <c r="F1308" s="1" t="s">
        <v>16</v>
      </c>
      <c r="G1308" s="1" t="s">
        <v>23</v>
      </c>
      <c r="H1308" s="1" t="s">
        <v>18</v>
      </c>
      <c r="I1308" s="1" t="s">
        <v>59</v>
      </c>
    </row>
    <row r="1309">
      <c r="A1309" s="1">
        <v>3216436.0</v>
      </c>
      <c r="B1309" s="1" t="s">
        <v>2847</v>
      </c>
      <c r="C1309" s="1" t="s">
        <v>2070</v>
      </c>
      <c r="D1309" s="1" t="s">
        <v>2079</v>
      </c>
      <c r="E1309" s="1" t="s">
        <v>2848</v>
      </c>
      <c r="F1309" s="1" t="s">
        <v>16</v>
      </c>
      <c r="G1309" s="1" t="s">
        <v>27</v>
      </c>
      <c r="H1309" s="1" t="s">
        <v>18</v>
      </c>
      <c r="I1309" s="1" t="s">
        <v>44</v>
      </c>
    </row>
    <row r="1310">
      <c r="A1310" s="1">
        <v>3209025.0</v>
      </c>
      <c r="B1310" s="1" t="s">
        <v>2849</v>
      </c>
      <c r="C1310" s="1" t="s">
        <v>2070</v>
      </c>
      <c r="D1310" s="1" t="s">
        <v>2106</v>
      </c>
      <c r="E1310" s="1" t="s">
        <v>2850</v>
      </c>
      <c r="F1310" s="1" t="s">
        <v>16</v>
      </c>
      <c r="G1310" s="1" t="s">
        <v>17</v>
      </c>
      <c r="H1310" s="1" t="s">
        <v>18</v>
      </c>
      <c r="I1310" s="1" t="s">
        <v>19</v>
      </c>
    </row>
    <row r="1311">
      <c r="A1311" s="1">
        <v>3215156.0</v>
      </c>
      <c r="B1311" s="1" t="s">
        <v>2851</v>
      </c>
      <c r="C1311" s="1" t="s">
        <v>2070</v>
      </c>
      <c r="D1311" s="1" t="s">
        <v>2071</v>
      </c>
      <c r="E1311" s="1" t="s">
        <v>2852</v>
      </c>
      <c r="F1311" s="1" t="s">
        <v>16</v>
      </c>
      <c r="G1311" s="1" t="s">
        <v>27</v>
      </c>
      <c r="H1311" s="1" t="s">
        <v>18</v>
      </c>
      <c r="I1311" s="1" t="s">
        <v>19</v>
      </c>
    </row>
    <row r="1312">
      <c r="A1312" s="1">
        <v>3217005.0</v>
      </c>
      <c r="B1312" s="1" t="s">
        <v>2853</v>
      </c>
      <c r="C1312" s="1" t="s">
        <v>2070</v>
      </c>
      <c r="D1312" s="1" t="s">
        <v>2144</v>
      </c>
      <c r="E1312" s="1" t="s">
        <v>2854</v>
      </c>
      <c r="F1312" s="1" t="s">
        <v>16</v>
      </c>
      <c r="G1312" s="1" t="s">
        <v>17</v>
      </c>
      <c r="H1312" s="1" t="s">
        <v>18</v>
      </c>
      <c r="I1312" s="1" t="s">
        <v>44</v>
      </c>
    </row>
    <row r="1313">
      <c r="A1313" s="1">
        <v>3271168.0</v>
      </c>
      <c r="B1313" s="1" t="s">
        <v>2855</v>
      </c>
      <c r="C1313" s="1" t="s">
        <v>2070</v>
      </c>
      <c r="D1313" s="1" t="s">
        <v>2173</v>
      </c>
      <c r="E1313" s="1" t="s">
        <v>2856</v>
      </c>
      <c r="F1313" s="1" t="s">
        <v>16</v>
      </c>
      <c r="G1313" s="1" t="s">
        <v>17</v>
      </c>
      <c r="H1313" s="1" t="s">
        <v>18</v>
      </c>
      <c r="I1313" s="1" t="s">
        <v>44</v>
      </c>
    </row>
    <row r="1314">
      <c r="A1314" s="1">
        <v>3276168.0</v>
      </c>
      <c r="B1314" s="1" t="s">
        <v>2857</v>
      </c>
      <c r="C1314" s="1" t="s">
        <v>2070</v>
      </c>
      <c r="D1314" s="1" t="s">
        <v>2082</v>
      </c>
      <c r="E1314" s="1" t="s">
        <v>2858</v>
      </c>
      <c r="F1314" s="1" t="s">
        <v>16</v>
      </c>
      <c r="G1314" s="1" t="s">
        <v>17</v>
      </c>
      <c r="H1314" s="1" t="s">
        <v>28</v>
      </c>
      <c r="I1314" s="1" t="s">
        <v>29</v>
      </c>
    </row>
    <row r="1315">
      <c r="A1315" s="1">
        <v>3273560.0</v>
      </c>
      <c r="B1315" s="1" t="s">
        <v>2859</v>
      </c>
      <c r="C1315" s="1" t="s">
        <v>2070</v>
      </c>
      <c r="D1315" s="1" t="s">
        <v>2088</v>
      </c>
      <c r="E1315" s="1" t="s">
        <v>2860</v>
      </c>
      <c r="F1315" s="1" t="s">
        <v>1884</v>
      </c>
      <c r="G1315" s="1" t="s">
        <v>17</v>
      </c>
      <c r="H1315" s="1" t="s">
        <v>18</v>
      </c>
      <c r="I1315" s="1" t="s">
        <v>19</v>
      </c>
    </row>
    <row r="1316">
      <c r="A1316" s="1">
        <v>3273015.0</v>
      </c>
      <c r="B1316" s="1" t="s">
        <v>2861</v>
      </c>
      <c r="C1316" s="1" t="s">
        <v>2070</v>
      </c>
      <c r="D1316" s="1" t="s">
        <v>2088</v>
      </c>
      <c r="E1316" s="1" t="s">
        <v>2862</v>
      </c>
      <c r="F1316" s="1" t="s">
        <v>16</v>
      </c>
      <c r="G1316" s="1" t="s">
        <v>150</v>
      </c>
      <c r="H1316" s="1" t="s">
        <v>33</v>
      </c>
      <c r="I1316" s="1" t="s">
        <v>411</v>
      </c>
    </row>
    <row r="1317">
      <c r="A1317" s="1">
        <v>3215023.0</v>
      </c>
      <c r="B1317" s="1" t="s">
        <v>2863</v>
      </c>
      <c r="C1317" s="1" t="s">
        <v>2070</v>
      </c>
      <c r="D1317" s="1" t="s">
        <v>2071</v>
      </c>
      <c r="E1317" s="1" t="s">
        <v>2864</v>
      </c>
      <c r="F1317" s="1" t="s">
        <v>16</v>
      </c>
      <c r="G1317" s="1" t="s">
        <v>17</v>
      </c>
      <c r="H1317" s="1" t="s">
        <v>18</v>
      </c>
      <c r="I1317" s="1" t="s">
        <v>258</v>
      </c>
    </row>
    <row r="1318">
      <c r="A1318" s="1">
        <v>3216409.0</v>
      </c>
      <c r="B1318" s="1" t="s">
        <v>2865</v>
      </c>
      <c r="C1318" s="1" t="s">
        <v>2070</v>
      </c>
      <c r="D1318" s="1" t="s">
        <v>2079</v>
      </c>
      <c r="E1318" s="1" t="s">
        <v>2866</v>
      </c>
      <c r="F1318" s="1" t="s">
        <v>16</v>
      </c>
      <c r="G1318" s="1" t="s">
        <v>17</v>
      </c>
      <c r="H1318" s="1" t="s">
        <v>18</v>
      </c>
      <c r="I1318" s="1" t="s">
        <v>19</v>
      </c>
    </row>
    <row r="1319">
      <c r="A1319" s="1">
        <v>3273541.0</v>
      </c>
      <c r="B1319" s="1" t="s">
        <v>2867</v>
      </c>
      <c r="C1319" s="1" t="s">
        <v>2070</v>
      </c>
      <c r="D1319" s="1" t="s">
        <v>2088</v>
      </c>
      <c r="E1319" s="1" t="s">
        <v>2868</v>
      </c>
      <c r="F1319" s="1" t="s">
        <v>55</v>
      </c>
      <c r="G1319" s="1" t="s">
        <v>17</v>
      </c>
      <c r="H1319" s="1" t="s">
        <v>18</v>
      </c>
      <c r="I1319" s="1" t="s">
        <v>19</v>
      </c>
    </row>
    <row r="1320">
      <c r="A1320" s="1">
        <v>3215145.0</v>
      </c>
      <c r="B1320" s="1" t="s">
        <v>2869</v>
      </c>
      <c r="C1320" s="1" t="s">
        <v>2070</v>
      </c>
      <c r="D1320" s="1" t="s">
        <v>2071</v>
      </c>
      <c r="E1320" s="1" t="s">
        <v>2870</v>
      </c>
      <c r="F1320" s="1" t="s">
        <v>16</v>
      </c>
      <c r="G1320" s="1" t="s">
        <v>17</v>
      </c>
      <c r="H1320" s="1" t="s">
        <v>18</v>
      </c>
      <c r="I1320" s="1" t="s">
        <v>19</v>
      </c>
    </row>
    <row r="1321">
      <c r="A1321" s="1">
        <v>3216387.0</v>
      </c>
      <c r="B1321" s="1" t="s">
        <v>2871</v>
      </c>
      <c r="C1321" s="1" t="s">
        <v>2070</v>
      </c>
      <c r="D1321" s="1" t="s">
        <v>2079</v>
      </c>
      <c r="E1321" s="1" t="s">
        <v>2872</v>
      </c>
      <c r="F1321" s="1" t="s">
        <v>16</v>
      </c>
      <c r="G1321" s="1" t="s">
        <v>17</v>
      </c>
      <c r="H1321" s="1" t="s">
        <v>18</v>
      </c>
      <c r="I1321" s="1" t="s">
        <v>44</v>
      </c>
    </row>
    <row r="1322">
      <c r="A1322" s="1">
        <v>3213062.0</v>
      </c>
      <c r="B1322" s="1" t="s">
        <v>2873</v>
      </c>
      <c r="C1322" s="1" t="s">
        <v>2070</v>
      </c>
      <c r="D1322" s="1" t="s">
        <v>2127</v>
      </c>
      <c r="E1322" s="1" t="s">
        <v>2874</v>
      </c>
      <c r="F1322" s="1" t="s">
        <v>16</v>
      </c>
      <c r="G1322" s="1" t="s">
        <v>17</v>
      </c>
      <c r="H1322" s="1" t="s">
        <v>18</v>
      </c>
      <c r="I1322" s="1" t="s">
        <v>19</v>
      </c>
    </row>
    <row r="1323">
      <c r="A1323" s="1">
        <v>3277020.0</v>
      </c>
      <c r="B1323" s="1" t="s">
        <v>2875</v>
      </c>
      <c r="C1323" s="1" t="s">
        <v>2070</v>
      </c>
      <c r="D1323" s="1" t="s">
        <v>2217</v>
      </c>
      <c r="E1323" s="1" t="s">
        <v>2876</v>
      </c>
      <c r="F1323" s="1" t="s">
        <v>16</v>
      </c>
      <c r="G1323" s="1" t="s">
        <v>27</v>
      </c>
      <c r="H1323" s="1" t="s">
        <v>28</v>
      </c>
      <c r="I1323" s="1" t="s">
        <v>29</v>
      </c>
    </row>
    <row r="1324">
      <c r="A1324" s="1">
        <v>3273528.0</v>
      </c>
      <c r="B1324" s="1" t="s">
        <v>2877</v>
      </c>
      <c r="C1324" s="1" t="s">
        <v>2070</v>
      </c>
      <c r="D1324" s="1" t="s">
        <v>2088</v>
      </c>
      <c r="E1324" s="1" t="s">
        <v>2878</v>
      </c>
      <c r="F1324" s="1" t="s">
        <v>55</v>
      </c>
      <c r="G1324" s="1" t="s">
        <v>17</v>
      </c>
      <c r="H1324" s="1" t="s">
        <v>18</v>
      </c>
      <c r="I1324" s="1" t="s">
        <v>19</v>
      </c>
    </row>
    <row r="1325">
      <c r="A1325" s="1">
        <v>3214036.0</v>
      </c>
      <c r="B1325" s="1" t="s">
        <v>2879</v>
      </c>
      <c r="C1325" s="1" t="s">
        <v>2070</v>
      </c>
      <c r="D1325" s="1" t="s">
        <v>2182</v>
      </c>
      <c r="E1325" s="1" t="s">
        <v>2880</v>
      </c>
      <c r="F1325" s="1" t="s">
        <v>55</v>
      </c>
      <c r="G1325" s="1" t="s">
        <v>17</v>
      </c>
      <c r="H1325" s="1" t="s">
        <v>18</v>
      </c>
      <c r="I1325" s="1" t="s">
        <v>44</v>
      </c>
    </row>
    <row r="1326">
      <c r="A1326" s="1">
        <v>3201239.0</v>
      </c>
      <c r="B1326" s="1" t="s">
        <v>2881</v>
      </c>
      <c r="C1326" s="1" t="s">
        <v>2070</v>
      </c>
      <c r="D1326" s="1" t="s">
        <v>2097</v>
      </c>
      <c r="E1326" s="1" t="s">
        <v>2882</v>
      </c>
      <c r="F1326" s="1" t="s">
        <v>55</v>
      </c>
      <c r="G1326" s="1" t="s">
        <v>17</v>
      </c>
      <c r="H1326" s="1" t="s">
        <v>18</v>
      </c>
      <c r="I1326" s="1" t="s">
        <v>44</v>
      </c>
    </row>
    <row r="1327">
      <c r="A1327" s="1">
        <v>3201250.0</v>
      </c>
      <c r="B1327" s="1" t="s">
        <v>2883</v>
      </c>
      <c r="C1327" s="1" t="s">
        <v>2070</v>
      </c>
      <c r="D1327" s="1" t="s">
        <v>2097</v>
      </c>
      <c r="E1327" s="1" t="s">
        <v>2884</v>
      </c>
      <c r="F1327" s="1" t="s">
        <v>16</v>
      </c>
      <c r="G1327" s="1" t="s">
        <v>17</v>
      </c>
      <c r="H1327" s="1" t="s">
        <v>18</v>
      </c>
      <c r="I1327" s="1" t="s">
        <v>44</v>
      </c>
    </row>
    <row r="1328">
      <c r="A1328" s="1">
        <v>3204173.0</v>
      </c>
      <c r="B1328" s="1" t="s">
        <v>2885</v>
      </c>
      <c r="C1328" s="1" t="s">
        <v>2070</v>
      </c>
      <c r="D1328" s="1" t="s">
        <v>2091</v>
      </c>
      <c r="E1328" s="1" t="s">
        <v>2886</v>
      </c>
      <c r="F1328" s="1" t="s">
        <v>16</v>
      </c>
      <c r="G1328" s="1" t="s">
        <v>23</v>
      </c>
      <c r="H1328" s="1" t="s">
        <v>18</v>
      </c>
      <c r="I1328" s="1" t="s">
        <v>40</v>
      </c>
    </row>
    <row r="1329">
      <c r="A1329" s="1">
        <v>3275207.0</v>
      </c>
      <c r="B1329" s="1" t="s">
        <v>2887</v>
      </c>
      <c r="C1329" s="1" t="s">
        <v>2070</v>
      </c>
      <c r="D1329" s="1" t="s">
        <v>2119</v>
      </c>
      <c r="E1329" s="1" t="s">
        <v>2888</v>
      </c>
      <c r="F1329" s="1" t="s">
        <v>16</v>
      </c>
      <c r="G1329" s="1" t="s">
        <v>17</v>
      </c>
      <c r="H1329" s="1" t="s">
        <v>18</v>
      </c>
      <c r="I1329" s="1" t="s">
        <v>19</v>
      </c>
    </row>
    <row r="1330">
      <c r="A1330" s="1">
        <v>3276155.0</v>
      </c>
      <c r="B1330" s="1" t="s">
        <v>2889</v>
      </c>
      <c r="C1330" s="1" t="s">
        <v>2070</v>
      </c>
      <c r="D1330" s="1" t="s">
        <v>2082</v>
      </c>
      <c r="E1330" s="1" t="s">
        <v>2890</v>
      </c>
      <c r="F1330" s="1" t="s">
        <v>16</v>
      </c>
      <c r="G1330" s="1" t="s">
        <v>23</v>
      </c>
      <c r="H1330" s="1" t="s">
        <v>18</v>
      </c>
      <c r="I1330" s="1" t="s">
        <v>19</v>
      </c>
    </row>
    <row r="1331">
      <c r="A1331" s="1">
        <v>3204135.0</v>
      </c>
      <c r="B1331" s="1" t="s">
        <v>2891</v>
      </c>
      <c r="C1331" s="1" t="s">
        <v>2070</v>
      </c>
      <c r="D1331" s="1" t="s">
        <v>2091</v>
      </c>
      <c r="E1331" s="1" t="s">
        <v>2892</v>
      </c>
      <c r="F1331" s="1" t="s">
        <v>16</v>
      </c>
      <c r="G1331" s="1" t="s">
        <v>23</v>
      </c>
      <c r="H1331" s="1" t="s">
        <v>18</v>
      </c>
      <c r="I1331" s="1" t="s">
        <v>19</v>
      </c>
    </row>
    <row r="1332">
      <c r="A1332" s="1">
        <v>3207012.0</v>
      </c>
      <c r="B1332" s="1" t="s">
        <v>2893</v>
      </c>
      <c r="C1332" s="1" t="s">
        <v>2070</v>
      </c>
      <c r="D1332" s="1" t="s">
        <v>2162</v>
      </c>
      <c r="E1332" s="1" t="s">
        <v>2894</v>
      </c>
      <c r="F1332" s="1" t="s">
        <v>16</v>
      </c>
      <c r="G1332" s="1" t="s">
        <v>17</v>
      </c>
      <c r="H1332" s="1" t="s">
        <v>28</v>
      </c>
      <c r="I1332" s="1" t="s">
        <v>40</v>
      </c>
    </row>
    <row r="1333">
      <c r="A1333" s="1">
        <v>3216400.0</v>
      </c>
      <c r="B1333" s="1" t="s">
        <v>2895</v>
      </c>
      <c r="C1333" s="1" t="s">
        <v>2070</v>
      </c>
      <c r="D1333" s="1" t="s">
        <v>2079</v>
      </c>
      <c r="E1333" s="1" t="s">
        <v>2896</v>
      </c>
      <c r="F1333" s="1" t="s">
        <v>16</v>
      </c>
      <c r="G1333" s="1" t="s">
        <v>17</v>
      </c>
      <c r="H1333" s="1" t="s">
        <v>18</v>
      </c>
      <c r="I1333" s="1" t="s">
        <v>44</v>
      </c>
    </row>
    <row r="1334">
      <c r="A1334" s="1">
        <v>3276150.0</v>
      </c>
      <c r="B1334" s="1" t="s">
        <v>2897</v>
      </c>
      <c r="C1334" s="1" t="s">
        <v>2070</v>
      </c>
      <c r="D1334" s="1" t="s">
        <v>2082</v>
      </c>
      <c r="E1334" s="1" t="s">
        <v>2898</v>
      </c>
      <c r="F1334" s="1" t="s">
        <v>1884</v>
      </c>
      <c r="G1334" s="1" t="s">
        <v>27</v>
      </c>
      <c r="H1334" s="1" t="s">
        <v>18</v>
      </c>
      <c r="I1334" s="1" t="s">
        <v>44</v>
      </c>
    </row>
    <row r="1335">
      <c r="A1335" s="1">
        <v>3271104.0</v>
      </c>
      <c r="B1335" s="1" t="s">
        <v>2899</v>
      </c>
      <c r="C1335" s="1" t="s">
        <v>2070</v>
      </c>
      <c r="D1335" s="1" t="s">
        <v>2173</v>
      </c>
      <c r="E1335" s="1" t="s">
        <v>2900</v>
      </c>
      <c r="F1335" s="1" t="s">
        <v>16</v>
      </c>
      <c r="G1335" s="1" t="s">
        <v>27</v>
      </c>
      <c r="H1335" s="1" t="s">
        <v>28</v>
      </c>
      <c r="I1335" s="1" t="s">
        <v>29</v>
      </c>
    </row>
    <row r="1336">
      <c r="A1336" s="1">
        <v>3207059.0</v>
      </c>
      <c r="B1336" s="1" t="s">
        <v>2901</v>
      </c>
      <c r="C1336" s="1" t="s">
        <v>2070</v>
      </c>
      <c r="D1336" s="1" t="s">
        <v>2162</v>
      </c>
      <c r="E1336" s="1" t="s">
        <v>2902</v>
      </c>
      <c r="F1336" s="1" t="s">
        <v>1970</v>
      </c>
      <c r="G1336" s="1" t="s">
        <v>17</v>
      </c>
      <c r="H1336" s="1" t="s">
        <v>18</v>
      </c>
      <c r="I1336" s="1" t="s">
        <v>19</v>
      </c>
    </row>
    <row r="1337">
      <c r="A1337" s="1">
        <v>3204165.0</v>
      </c>
      <c r="B1337" s="1" t="s">
        <v>2903</v>
      </c>
      <c r="C1337" s="1" t="s">
        <v>2070</v>
      </c>
      <c r="D1337" s="1" t="s">
        <v>2091</v>
      </c>
      <c r="E1337" s="1" t="s">
        <v>2904</v>
      </c>
      <c r="F1337" s="1" t="s">
        <v>16</v>
      </c>
      <c r="G1337" s="1" t="s">
        <v>17</v>
      </c>
      <c r="H1337" s="1" t="s">
        <v>18</v>
      </c>
      <c r="I1337" s="1" t="s">
        <v>19</v>
      </c>
    </row>
    <row r="1338">
      <c r="A1338" s="1">
        <v>3212016.0</v>
      </c>
      <c r="B1338" s="1" t="s">
        <v>2905</v>
      </c>
      <c r="C1338" s="1" t="s">
        <v>2070</v>
      </c>
      <c r="D1338" s="1" t="s">
        <v>2189</v>
      </c>
      <c r="E1338" s="1" t="s">
        <v>2906</v>
      </c>
      <c r="F1338" s="1" t="s">
        <v>16</v>
      </c>
      <c r="G1338" s="1" t="s">
        <v>27</v>
      </c>
      <c r="H1338" s="1" t="s">
        <v>28</v>
      </c>
      <c r="I1338" s="1" t="s">
        <v>40</v>
      </c>
    </row>
    <row r="1339">
      <c r="A1339" s="1">
        <v>3275017.0</v>
      </c>
      <c r="B1339" s="1" t="s">
        <v>2907</v>
      </c>
      <c r="C1339" s="1" t="s">
        <v>2070</v>
      </c>
      <c r="D1339" s="1" t="s">
        <v>2119</v>
      </c>
      <c r="E1339" s="1" t="s">
        <v>2908</v>
      </c>
      <c r="F1339" s="1" t="s">
        <v>16</v>
      </c>
      <c r="G1339" s="1" t="s">
        <v>17</v>
      </c>
      <c r="H1339" s="1" t="s">
        <v>18</v>
      </c>
      <c r="I1339" s="1" t="s">
        <v>19</v>
      </c>
    </row>
    <row r="1340">
      <c r="A1340" s="1">
        <v>3201094.0</v>
      </c>
      <c r="B1340" s="1" t="s">
        <v>2099</v>
      </c>
      <c r="C1340" s="1" t="s">
        <v>2070</v>
      </c>
      <c r="D1340" s="1" t="s">
        <v>2097</v>
      </c>
      <c r="E1340" s="1" t="s">
        <v>2909</v>
      </c>
      <c r="F1340" s="1" t="s">
        <v>16</v>
      </c>
      <c r="G1340" s="1" t="s">
        <v>17</v>
      </c>
      <c r="H1340" s="1" t="s">
        <v>18</v>
      </c>
      <c r="I1340" s="1" t="s">
        <v>19</v>
      </c>
    </row>
    <row r="1341">
      <c r="A1341" s="1">
        <v>3273546.0</v>
      </c>
      <c r="B1341" s="1" t="s">
        <v>2910</v>
      </c>
      <c r="C1341" s="1" t="s">
        <v>2070</v>
      </c>
      <c r="D1341" s="1" t="s">
        <v>2088</v>
      </c>
      <c r="E1341" s="1" t="s">
        <v>2911</v>
      </c>
      <c r="F1341" s="1" t="s">
        <v>55</v>
      </c>
      <c r="G1341" s="1" t="s">
        <v>17</v>
      </c>
      <c r="H1341" s="1" t="s">
        <v>18</v>
      </c>
      <c r="I1341" s="1" t="s">
        <v>19</v>
      </c>
    </row>
    <row r="1342">
      <c r="A1342" s="1">
        <v>3212057.0</v>
      </c>
      <c r="B1342" s="1" t="s">
        <v>2912</v>
      </c>
      <c r="C1342" s="1" t="s">
        <v>2070</v>
      </c>
      <c r="D1342" s="1" t="s">
        <v>2189</v>
      </c>
      <c r="E1342" s="1" t="s">
        <v>2913</v>
      </c>
      <c r="F1342" s="1" t="s">
        <v>16</v>
      </c>
      <c r="G1342" s="1" t="s">
        <v>23</v>
      </c>
      <c r="H1342" s="1" t="s">
        <v>18</v>
      </c>
      <c r="I1342" s="1" t="s">
        <v>19</v>
      </c>
    </row>
    <row r="1343">
      <c r="A1343" s="1">
        <v>3207060.0</v>
      </c>
      <c r="B1343" s="1" t="s">
        <v>2914</v>
      </c>
      <c r="C1343" s="1" t="s">
        <v>2070</v>
      </c>
      <c r="D1343" s="1" t="s">
        <v>2162</v>
      </c>
      <c r="E1343" s="1" t="s">
        <v>2915</v>
      </c>
      <c r="F1343" s="1" t="s">
        <v>16</v>
      </c>
      <c r="G1343" s="1" t="s">
        <v>23</v>
      </c>
      <c r="H1343" s="1" t="s">
        <v>28</v>
      </c>
      <c r="I1343" s="1" t="s">
        <v>40</v>
      </c>
    </row>
    <row r="1344">
      <c r="A1344" s="1">
        <v>3278094.0</v>
      </c>
      <c r="B1344" s="1" t="s">
        <v>2916</v>
      </c>
      <c r="C1344" s="1" t="s">
        <v>2070</v>
      </c>
      <c r="D1344" s="1" t="s">
        <v>2077</v>
      </c>
      <c r="E1344" s="1" t="s">
        <v>2917</v>
      </c>
      <c r="F1344" s="1" t="s">
        <v>1884</v>
      </c>
      <c r="G1344" s="1" t="s">
        <v>27</v>
      </c>
      <c r="H1344" s="1" t="s">
        <v>18</v>
      </c>
      <c r="I1344" s="1" t="s">
        <v>44</v>
      </c>
    </row>
    <row r="1345">
      <c r="A1345" s="1">
        <v>3201115.0</v>
      </c>
      <c r="B1345" s="1" t="s">
        <v>2918</v>
      </c>
      <c r="C1345" s="1" t="s">
        <v>2070</v>
      </c>
      <c r="D1345" s="1" t="s">
        <v>2097</v>
      </c>
      <c r="E1345" s="1" t="s">
        <v>2919</v>
      </c>
      <c r="F1345" s="1" t="s">
        <v>16</v>
      </c>
      <c r="G1345" s="1" t="s">
        <v>17</v>
      </c>
      <c r="H1345" s="1" t="s">
        <v>18</v>
      </c>
      <c r="I1345" s="1" t="s">
        <v>19</v>
      </c>
    </row>
    <row r="1346">
      <c r="A1346" s="1">
        <v>3273106.0</v>
      </c>
      <c r="B1346" s="1" t="s">
        <v>2723</v>
      </c>
      <c r="C1346" s="1" t="s">
        <v>2070</v>
      </c>
      <c r="D1346" s="1" t="s">
        <v>2088</v>
      </c>
      <c r="E1346" s="1" t="s">
        <v>2920</v>
      </c>
      <c r="F1346" s="1" t="s">
        <v>16</v>
      </c>
      <c r="G1346" s="1" t="s">
        <v>17</v>
      </c>
      <c r="H1346" s="1" t="s">
        <v>18</v>
      </c>
      <c r="I1346" s="1" t="s">
        <v>684</v>
      </c>
    </row>
    <row r="1347">
      <c r="A1347" s="1">
        <v>3276146.0</v>
      </c>
      <c r="B1347" s="1" t="s">
        <v>2921</v>
      </c>
      <c r="C1347" s="1" t="s">
        <v>2070</v>
      </c>
      <c r="D1347" s="1" t="s">
        <v>2082</v>
      </c>
      <c r="E1347" s="1" t="s">
        <v>2922</v>
      </c>
      <c r="F1347" s="1" t="s">
        <v>16</v>
      </c>
      <c r="G1347" s="1" t="s">
        <v>17</v>
      </c>
      <c r="H1347" s="1" t="s">
        <v>18</v>
      </c>
      <c r="I1347" s="1" t="s">
        <v>44</v>
      </c>
    </row>
    <row r="1348">
      <c r="A1348" s="1">
        <v>3205022.0</v>
      </c>
      <c r="B1348" s="1" t="s">
        <v>2923</v>
      </c>
      <c r="C1348" s="1" t="s">
        <v>2070</v>
      </c>
      <c r="D1348" s="1" t="s">
        <v>2214</v>
      </c>
      <c r="E1348" s="1" t="s">
        <v>2924</v>
      </c>
      <c r="F1348" s="1" t="s">
        <v>16</v>
      </c>
      <c r="G1348" s="1" t="s">
        <v>17</v>
      </c>
      <c r="H1348" s="1" t="s">
        <v>28</v>
      </c>
      <c r="I1348" s="1" t="s">
        <v>139</v>
      </c>
    </row>
    <row r="1349">
      <c r="A1349" s="1">
        <v>3212054.0</v>
      </c>
      <c r="B1349" s="1" t="s">
        <v>2925</v>
      </c>
      <c r="C1349" s="1" t="s">
        <v>2070</v>
      </c>
      <c r="D1349" s="1" t="s">
        <v>2189</v>
      </c>
      <c r="E1349" s="1" t="s">
        <v>2926</v>
      </c>
      <c r="F1349" s="1" t="s">
        <v>16</v>
      </c>
      <c r="G1349" s="1" t="s">
        <v>23</v>
      </c>
      <c r="H1349" s="1" t="s">
        <v>18</v>
      </c>
      <c r="I1349" s="1" t="s">
        <v>44</v>
      </c>
    </row>
    <row r="1350">
      <c r="A1350" s="1">
        <v>3273543.0</v>
      </c>
      <c r="B1350" s="1" t="s">
        <v>2927</v>
      </c>
      <c r="C1350" s="1" t="s">
        <v>2070</v>
      </c>
      <c r="D1350" s="1" t="s">
        <v>2088</v>
      </c>
      <c r="E1350" s="1" t="s">
        <v>2928</v>
      </c>
      <c r="F1350" s="1" t="s">
        <v>16</v>
      </c>
      <c r="G1350" s="1" t="s">
        <v>17</v>
      </c>
      <c r="H1350" s="1" t="s">
        <v>18</v>
      </c>
      <c r="I1350" s="1" t="s">
        <v>19</v>
      </c>
    </row>
    <row r="1351">
      <c r="A1351" s="1">
        <v>3313022.0</v>
      </c>
      <c r="B1351" s="1" t="s">
        <v>2929</v>
      </c>
      <c r="C1351" s="1" t="s">
        <v>2930</v>
      </c>
      <c r="D1351" s="1" t="s">
        <v>2931</v>
      </c>
      <c r="E1351" s="1" t="s">
        <v>2932</v>
      </c>
      <c r="F1351" s="1" t="s">
        <v>16</v>
      </c>
      <c r="G1351" s="1" t="s">
        <v>23</v>
      </c>
      <c r="H1351" s="1" t="s">
        <v>18</v>
      </c>
      <c r="I1351" s="1" t="s">
        <v>563</v>
      </c>
    </row>
    <row r="1352">
      <c r="A1352" s="1">
        <v>3319025.0</v>
      </c>
      <c r="B1352" s="1" t="s">
        <v>2933</v>
      </c>
      <c r="C1352" s="1" t="s">
        <v>2930</v>
      </c>
      <c r="D1352" s="1" t="s">
        <v>2934</v>
      </c>
      <c r="E1352" s="1" t="s">
        <v>2935</v>
      </c>
      <c r="F1352" s="1" t="s">
        <v>55</v>
      </c>
      <c r="G1352" s="1" t="s">
        <v>17</v>
      </c>
      <c r="H1352" s="1" t="s">
        <v>18</v>
      </c>
      <c r="I1352" s="1" t="s">
        <v>249</v>
      </c>
    </row>
    <row r="1353">
      <c r="A1353" s="1">
        <v>3302030.0</v>
      </c>
      <c r="B1353" s="1" t="s">
        <v>2936</v>
      </c>
      <c r="C1353" s="1" t="s">
        <v>2930</v>
      </c>
      <c r="D1353" s="1" t="s">
        <v>2937</v>
      </c>
      <c r="E1353" s="1" t="s">
        <v>2938</v>
      </c>
      <c r="F1353" s="1" t="s">
        <v>16</v>
      </c>
      <c r="G1353" s="1" t="s">
        <v>17</v>
      </c>
      <c r="H1353" s="1" t="s">
        <v>33</v>
      </c>
      <c r="I1353" s="1" t="s">
        <v>74</v>
      </c>
    </row>
    <row r="1354">
      <c r="A1354" s="1">
        <v>3371131.0</v>
      </c>
      <c r="B1354" s="1" t="s">
        <v>350</v>
      </c>
      <c r="C1354" s="1" t="s">
        <v>2930</v>
      </c>
      <c r="D1354" s="1" t="s">
        <v>2939</v>
      </c>
      <c r="E1354" s="1" t="s">
        <v>2940</v>
      </c>
      <c r="F1354" s="1" t="s">
        <v>16</v>
      </c>
      <c r="G1354" s="1" t="s">
        <v>17</v>
      </c>
      <c r="H1354" s="1" t="s">
        <v>18</v>
      </c>
      <c r="I1354" s="1" t="s">
        <v>19</v>
      </c>
    </row>
    <row r="1355">
      <c r="A1355" s="1">
        <v>3306105.0</v>
      </c>
      <c r="B1355" s="1" t="s">
        <v>2941</v>
      </c>
      <c r="C1355" s="1" t="s">
        <v>2930</v>
      </c>
      <c r="D1355" s="1" t="s">
        <v>2942</v>
      </c>
      <c r="E1355" s="1" t="s">
        <v>2943</v>
      </c>
      <c r="F1355" s="1" t="s">
        <v>55</v>
      </c>
      <c r="G1355" s="1" t="s">
        <v>17</v>
      </c>
      <c r="H1355" s="1" t="s">
        <v>18</v>
      </c>
      <c r="I1355" s="1" t="s">
        <v>44</v>
      </c>
    </row>
    <row r="1356">
      <c r="A1356" s="1">
        <v>3314108.0</v>
      </c>
      <c r="B1356" s="1" t="s">
        <v>2944</v>
      </c>
      <c r="C1356" s="1" t="s">
        <v>2930</v>
      </c>
      <c r="D1356" s="1" t="s">
        <v>2945</v>
      </c>
      <c r="E1356" s="1" t="s">
        <v>2946</v>
      </c>
      <c r="F1356" s="1" t="s">
        <v>16</v>
      </c>
      <c r="G1356" s="1" t="s">
        <v>23</v>
      </c>
      <c r="H1356" s="1" t="s">
        <v>28</v>
      </c>
      <c r="I1356" s="1" t="s">
        <v>40</v>
      </c>
    </row>
    <row r="1357">
      <c r="A1357" s="1">
        <v>3374392.0</v>
      </c>
      <c r="B1357" s="1" t="s">
        <v>2947</v>
      </c>
      <c r="C1357" s="1" t="s">
        <v>2930</v>
      </c>
      <c r="D1357" s="1" t="s">
        <v>2948</v>
      </c>
      <c r="E1357" s="1" t="s">
        <v>2949</v>
      </c>
      <c r="F1357" s="1" t="s">
        <v>16</v>
      </c>
      <c r="G1357" s="1" t="s">
        <v>23</v>
      </c>
      <c r="H1357" s="1" t="s">
        <v>18</v>
      </c>
      <c r="I1357" s="1" t="s">
        <v>29</v>
      </c>
    </row>
    <row r="1358">
      <c r="A1358" s="1">
        <v>3316062.0</v>
      </c>
      <c r="B1358" s="1" t="s">
        <v>2950</v>
      </c>
      <c r="C1358" s="1" t="s">
        <v>2930</v>
      </c>
      <c r="D1358" s="1" t="s">
        <v>2951</v>
      </c>
      <c r="E1358" s="1" t="s">
        <v>2952</v>
      </c>
      <c r="F1358" s="1" t="s">
        <v>16</v>
      </c>
      <c r="G1358" s="1" t="s">
        <v>23</v>
      </c>
      <c r="H1358" s="1" t="s">
        <v>18</v>
      </c>
      <c r="I1358" s="1" t="s">
        <v>74</v>
      </c>
    </row>
    <row r="1359">
      <c r="A1359" s="1">
        <v>3313042.0</v>
      </c>
      <c r="B1359" s="1" t="s">
        <v>2953</v>
      </c>
      <c r="C1359" s="1" t="s">
        <v>2930</v>
      </c>
      <c r="D1359" s="1" t="s">
        <v>2931</v>
      </c>
      <c r="E1359" s="1" t="s">
        <v>2954</v>
      </c>
      <c r="F1359" s="1" t="s">
        <v>55</v>
      </c>
      <c r="G1359" s="1" t="s">
        <v>17</v>
      </c>
      <c r="H1359" s="1" t="s">
        <v>18</v>
      </c>
      <c r="I1359" s="1" t="s">
        <v>19</v>
      </c>
    </row>
    <row r="1360">
      <c r="A1360" s="1">
        <v>3319043.0</v>
      </c>
      <c r="B1360" s="1" t="s">
        <v>2955</v>
      </c>
      <c r="C1360" s="1" t="s">
        <v>2930</v>
      </c>
      <c r="D1360" s="1" t="s">
        <v>2934</v>
      </c>
      <c r="E1360" s="1" t="s">
        <v>2956</v>
      </c>
      <c r="F1360" s="1" t="s">
        <v>16</v>
      </c>
      <c r="G1360" s="1" t="s">
        <v>23</v>
      </c>
      <c r="H1360" s="1" t="s">
        <v>18</v>
      </c>
      <c r="I1360" s="1" t="s">
        <v>684</v>
      </c>
    </row>
    <row r="1361">
      <c r="A1361" s="1">
        <v>3305033.0</v>
      </c>
      <c r="B1361" s="1" t="s">
        <v>2957</v>
      </c>
      <c r="C1361" s="1" t="s">
        <v>2930</v>
      </c>
      <c r="D1361" s="1" t="s">
        <v>2958</v>
      </c>
      <c r="E1361" s="1" t="s">
        <v>2959</v>
      </c>
      <c r="F1361" s="1" t="s">
        <v>16</v>
      </c>
      <c r="G1361" s="1" t="s">
        <v>17</v>
      </c>
      <c r="H1361" s="1" t="s">
        <v>18</v>
      </c>
      <c r="I1361" s="1" t="s">
        <v>59</v>
      </c>
    </row>
    <row r="1362">
      <c r="A1362" s="1">
        <v>3373042.0</v>
      </c>
      <c r="B1362" s="1" t="s">
        <v>2960</v>
      </c>
      <c r="C1362" s="1" t="s">
        <v>2930</v>
      </c>
      <c r="D1362" s="1" t="s">
        <v>2961</v>
      </c>
      <c r="E1362" s="1" t="s">
        <v>2962</v>
      </c>
      <c r="F1362" s="1" t="s">
        <v>473</v>
      </c>
      <c r="G1362" s="1" t="s">
        <v>150</v>
      </c>
      <c r="H1362" s="1" t="s">
        <v>33</v>
      </c>
      <c r="I1362" s="1" t="s">
        <v>411</v>
      </c>
    </row>
    <row r="1363">
      <c r="A1363" s="1">
        <v>3321033.0</v>
      </c>
      <c r="B1363" s="1" t="s">
        <v>2963</v>
      </c>
      <c r="C1363" s="1" t="s">
        <v>2930</v>
      </c>
      <c r="D1363" s="1" t="s">
        <v>2964</v>
      </c>
      <c r="E1363" s="1" t="s">
        <v>2965</v>
      </c>
      <c r="F1363" s="1" t="s">
        <v>16</v>
      </c>
      <c r="G1363" s="1" t="s">
        <v>17</v>
      </c>
      <c r="H1363" s="1" t="s">
        <v>18</v>
      </c>
      <c r="I1363" s="1" t="s">
        <v>684</v>
      </c>
    </row>
    <row r="1364">
      <c r="A1364" s="1">
        <v>3372236.0</v>
      </c>
      <c r="B1364" s="1" t="s">
        <v>2966</v>
      </c>
      <c r="C1364" s="1" t="s">
        <v>2930</v>
      </c>
      <c r="D1364" s="1" t="s">
        <v>2967</v>
      </c>
      <c r="E1364" s="1" t="s">
        <v>2968</v>
      </c>
      <c r="F1364" s="1" t="s">
        <v>16</v>
      </c>
      <c r="G1364" s="1" t="s">
        <v>17</v>
      </c>
      <c r="H1364" s="1" t="s">
        <v>18</v>
      </c>
      <c r="I1364" s="1" t="s">
        <v>19</v>
      </c>
    </row>
    <row r="1365">
      <c r="A1365" s="1">
        <v>3324040.0</v>
      </c>
      <c r="B1365" s="1" t="s">
        <v>2969</v>
      </c>
      <c r="C1365" s="1" t="s">
        <v>2930</v>
      </c>
      <c r="D1365" s="1" t="s">
        <v>2970</v>
      </c>
      <c r="E1365" s="1" t="s">
        <v>2971</v>
      </c>
      <c r="F1365" s="1" t="s">
        <v>16</v>
      </c>
      <c r="G1365" s="1" t="s">
        <v>17</v>
      </c>
      <c r="H1365" s="1" t="s">
        <v>18</v>
      </c>
      <c r="I1365" s="1" t="s">
        <v>44</v>
      </c>
    </row>
    <row r="1366">
      <c r="A1366" s="1">
        <v>3309096.0</v>
      </c>
      <c r="B1366" s="1" t="s">
        <v>2972</v>
      </c>
      <c r="C1366" s="1" t="s">
        <v>2930</v>
      </c>
      <c r="D1366" s="1" t="s">
        <v>2973</v>
      </c>
      <c r="E1366" s="1" t="s">
        <v>2974</v>
      </c>
      <c r="F1366" s="1" t="s">
        <v>16</v>
      </c>
      <c r="G1366" s="1" t="s">
        <v>17</v>
      </c>
      <c r="H1366" s="1" t="s">
        <v>28</v>
      </c>
      <c r="I1366" s="1" t="s">
        <v>40</v>
      </c>
    </row>
    <row r="1367">
      <c r="A1367" s="1">
        <v>3374273.0</v>
      </c>
      <c r="B1367" s="1" t="s">
        <v>2975</v>
      </c>
      <c r="C1367" s="1" t="s">
        <v>2930</v>
      </c>
      <c r="D1367" s="1" t="s">
        <v>2948</v>
      </c>
      <c r="E1367" s="1" t="s">
        <v>2976</v>
      </c>
      <c r="F1367" s="1" t="s">
        <v>55</v>
      </c>
      <c r="G1367" s="1" t="s">
        <v>17</v>
      </c>
      <c r="H1367" s="1" t="s">
        <v>18</v>
      </c>
      <c r="I1367" s="1" t="s">
        <v>19</v>
      </c>
    </row>
    <row r="1368">
      <c r="A1368" s="1">
        <v>3325037.0</v>
      </c>
      <c r="B1368" s="1" t="s">
        <v>2977</v>
      </c>
      <c r="C1368" s="1" t="s">
        <v>2930</v>
      </c>
      <c r="D1368" s="1" t="s">
        <v>2978</v>
      </c>
      <c r="E1368" s="1" t="s">
        <v>2979</v>
      </c>
      <c r="F1368" s="1" t="s">
        <v>16</v>
      </c>
      <c r="G1368" s="1" t="s">
        <v>17</v>
      </c>
      <c r="H1368" s="1" t="s">
        <v>18</v>
      </c>
      <c r="I1368" s="1" t="s">
        <v>19</v>
      </c>
    </row>
    <row r="1369">
      <c r="A1369" s="1">
        <v>3306109.0</v>
      </c>
      <c r="B1369" s="1" t="s">
        <v>2980</v>
      </c>
      <c r="C1369" s="1" t="s">
        <v>2930</v>
      </c>
      <c r="D1369" s="1" t="s">
        <v>2942</v>
      </c>
      <c r="E1369" s="1" t="s">
        <v>2981</v>
      </c>
      <c r="F1369" s="1" t="s">
        <v>16</v>
      </c>
      <c r="G1369" s="1" t="s">
        <v>23</v>
      </c>
      <c r="H1369" s="1" t="s">
        <v>18</v>
      </c>
      <c r="I1369" s="1" t="s">
        <v>684</v>
      </c>
    </row>
    <row r="1370">
      <c r="A1370" s="1">
        <v>3307062.0</v>
      </c>
      <c r="B1370" s="1" t="s">
        <v>2982</v>
      </c>
      <c r="C1370" s="1" t="s">
        <v>2930</v>
      </c>
      <c r="D1370" s="1" t="s">
        <v>2983</v>
      </c>
      <c r="E1370" s="1" t="s">
        <v>2984</v>
      </c>
      <c r="F1370" s="1" t="s">
        <v>16</v>
      </c>
      <c r="G1370" s="1" t="s">
        <v>23</v>
      </c>
      <c r="H1370" s="1" t="s">
        <v>18</v>
      </c>
      <c r="I1370" s="1" t="s">
        <v>44</v>
      </c>
    </row>
    <row r="1371">
      <c r="A1371" s="1">
        <v>3326049.0</v>
      </c>
      <c r="B1371" s="1" t="s">
        <v>2985</v>
      </c>
      <c r="C1371" s="1" t="s">
        <v>2930</v>
      </c>
      <c r="D1371" s="1" t="s">
        <v>2986</v>
      </c>
      <c r="E1371" s="1" t="s">
        <v>2987</v>
      </c>
      <c r="F1371" s="1" t="s">
        <v>16</v>
      </c>
      <c r="G1371" s="1" t="s">
        <v>17</v>
      </c>
      <c r="H1371" s="1" t="s">
        <v>28</v>
      </c>
      <c r="I1371" s="1" t="s">
        <v>29</v>
      </c>
    </row>
    <row r="1372">
      <c r="A1372" s="1">
        <v>3310416.0</v>
      </c>
      <c r="B1372" s="1" t="s">
        <v>2988</v>
      </c>
      <c r="C1372" s="1" t="s">
        <v>2930</v>
      </c>
      <c r="D1372" s="1" t="s">
        <v>2989</v>
      </c>
      <c r="E1372" s="1" t="s">
        <v>2990</v>
      </c>
      <c r="F1372" s="1" t="s">
        <v>16</v>
      </c>
      <c r="G1372" s="1" t="s">
        <v>17</v>
      </c>
      <c r="H1372" s="1" t="s">
        <v>18</v>
      </c>
      <c r="I1372" s="1" t="s">
        <v>684</v>
      </c>
    </row>
    <row r="1373">
      <c r="A1373" s="1">
        <v>3374373.0</v>
      </c>
      <c r="B1373" s="1" t="s">
        <v>2991</v>
      </c>
      <c r="C1373" s="1" t="s">
        <v>2930</v>
      </c>
      <c r="D1373" s="1" t="s">
        <v>2948</v>
      </c>
      <c r="E1373" s="1" t="s">
        <v>2992</v>
      </c>
      <c r="F1373" s="1" t="s">
        <v>32</v>
      </c>
      <c r="G1373" s="1" t="s">
        <v>17</v>
      </c>
      <c r="H1373" s="1" t="s">
        <v>18</v>
      </c>
      <c r="I1373" s="1" t="s">
        <v>19</v>
      </c>
    </row>
    <row r="1374">
      <c r="A1374" s="1">
        <v>3316077.0</v>
      </c>
      <c r="B1374" s="1" t="s">
        <v>2993</v>
      </c>
      <c r="C1374" s="1" t="s">
        <v>2930</v>
      </c>
      <c r="D1374" s="1" t="s">
        <v>2951</v>
      </c>
      <c r="E1374" s="1" t="s">
        <v>2994</v>
      </c>
      <c r="F1374" s="1" t="s">
        <v>16</v>
      </c>
      <c r="G1374" s="1" t="s">
        <v>23</v>
      </c>
      <c r="H1374" s="1" t="s">
        <v>18</v>
      </c>
      <c r="I1374" s="1" t="s">
        <v>65</v>
      </c>
    </row>
    <row r="1375">
      <c r="A1375" s="1">
        <v>3301036.0</v>
      </c>
      <c r="B1375" s="1" t="s">
        <v>2995</v>
      </c>
      <c r="C1375" s="1" t="s">
        <v>2930</v>
      </c>
      <c r="D1375" s="1" t="s">
        <v>2996</v>
      </c>
      <c r="E1375" s="1" t="s">
        <v>2997</v>
      </c>
      <c r="F1375" s="1" t="s">
        <v>16</v>
      </c>
      <c r="G1375" s="1" t="s">
        <v>23</v>
      </c>
      <c r="H1375" s="1" t="s">
        <v>18</v>
      </c>
      <c r="I1375" s="1" t="s">
        <v>113</v>
      </c>
    </row>
    <row r="1376">
      <c r="A1376" s="1">
        <v>3329067.0</v>
      </c>
      <c r="B1376" s="1" t="s">
        <v>2998</v>
      </c>
      <c r="C1376" s="1" t="s">
        <v>2930</v>
      </c>
      <c r="D1376" s="1" t="s">
        <v>2999</v>
      </c>
      <c r="E1376" s="1" t="s">
        <v>3000</v>
      </c>
      <c r="F1376" s="1" t="s">
        <v>16</v>
      </c>
      <c r="G1376" s="1" t="s">
        <v>23</v>
      </c>
      <c r="H1376" s="1" t="s">
        <v>18</v>
      </c>
      <c r="I1376" s="1" t="s">
        <v>19</v>
      </c>
    </row>
    <row r="1377">
      <c r="A1377" s="1">
        <v>3306108.0</v>
      </c>
      <c r="B1377" s="1" t="s">
        <v>3001</v>
      </c>
      <c r="C1377" s="1" t="s">
        <v>2930</v>
      </c>
      <c r="D1377" s="1" t="s">
        <v>2942</v>
      </c>
      <c r="E1377" s="1" t="s">
        <v>3002</v>
      </c>
      <c r="F1377" s="1" t="s">
        <v>16</v>
      </c>
      <c r="G1377" s="1" t="s">
        <v>23</v>
      </c>
      <c r="H1377" s="1" t="s">
        <v>18</v>
      </c>
      <c r="I1377" s="1" t="s">
        <v>59</v>
      </c>
    </row>
    <row r="1378">
      <c r="A1378" s="1">
        <v>3302229.0</v>
      </c>
      <c r="B1378" s="1" t="s">
        <v>3003</v>
      </c>
      <c r="C1378" s="1" t="s">
        <v>2930</v>
      </c>
      <c r="D1378" s="1" t="s">
        <v>2937</v>
      </c>
      <c r="E1378" s="1" t="s">
        <v>3004</v>
      </c>
      <c r="F1378" s="1" t="s">
        <v>16</v>
      </c>
      <c r="G1378" s="1" t="s">
        <v>17</v>
      </c>
      <c r="H1378" s="1" t="s">
        <v>18</v>
      </c>
      <c r="I1378" s="1" t="s">
        <v>19</v>
      </c>
    </row>
    <row r="1379">
      <c r="A1379" s="1">
        <v>3315035.0</v>
      </c>
      <c r="B1379" s="1" t="s">
        <v>2380</v>
      </c>
      <c r="C1379" s="1" t="s">
        <v>2930</v>
      </c>
      <c r="D1379" s="1" t="s">
        <v>3005</v>
      </c>
      <c r="E1379" s="1" t="s">
        <v>3006</v>
      </c>
      <c r="F1379" s="1" t="s">
        <v>16</v>
      </c>
      <c r="G1379" s="1" t="s">
        <v>17</v>
      </c>
      <c r="H1379" s="1" t="s">
        <v>18</v>
      </c>
      <c r="I1379" s="1" t="s">
        <v>44</v>
      </c>
    </row>
    <row r="1380">
      <c r="A1380" s="1">
        <v>3302224.0</v>
      </c>
      <c r="B1380" s="1" t="s">
        <v>3007</v>
      </c>
      <c r="C1380" s="1" t="s">
        <v>2930</v>
      </c>
      <c r="D1380" s="1" t="s">
        <v>2937</v>
      </c>
      <c r="E1380" s="1" t="s">
        <v>3008</v>
      </c>
      <c r="F1380" s="1" t="s">
        <v>16</v>
      </c>
      <c r="G1380" s="1" t="s">
        <v>17</v>
      </c>
      <c r="H1380" s="1" t="s">
        <v>18</v>
      </c>
      <c r="I1380" s="1" t="s">
        <v>59</v>
      </c>
    </row>
    <row r="1381">
      <c r="A1381" s="1">
        <v>3372096.0</v>
      </c>
      <c r="B1381" s="1" t="s">
        <v>3009</v>
      </c>
      <c r="C1381" s="1" t="s">
        <v>2930</v>
      </c>
      <c r="D1381" s="1" t="s">
        <v>2967</v>
      </c>
      <c r="E1381" s="1" t="s">
        <v>3010</v>
      </c>
      <c r="F1381" s="1" t="s">
        <v>16</v>
      </c>
      <c r="G1381" s="1" t="s">
        <v>27</v>
      </c>
      <c r="H1381" s="1" t="s">
        <v>18</v>
      </c>
      <c r="I1381" s="1" t="s">
        <v>684</v>
      </c>
    </row>
    <row r="1382">
      <c r="A1382" s="1">
        <v>3305023.0</v>
      </c>
      <c r="B1382" s="1" t="s">
        <v>3011</v>
      </c>
      <c r="C1382" s="1" t="s">
        <v>2930</v>
      </c>
      <c r="D1382" s="1" t="s">
        <v>2958</v>
      </c>
      <c r="E1382" s="1" t="s">
        <v>3012</v>
      </c>
      <c r="F1382" s="1" t="s">
        <v>16</v>
      </c>
      <c r="G1382" s="1" t="s">
        <v>17</v>
      </c>
      <c r="H1382" s="1" t="s">
        <v>18</v>
      </c>
      <c r="I1382" s="1" t="s">
        <v>19</v>
      </c>
    </row>
    <row r="1383">
      <c r="A1383" s="1">
        <v>3311231.0</v>
      </c>
      <c r="B1383" s="1" t="s">
        <v>3013</v>
      </c>
      <c r="C1383" s="1" t="s">
        <v>2930</v>
      </c>
      <c r="D1383" s="1" t="s">
        <v>3014</v>
      </c>
      <c r="E1383" s="1" t="s">
        <v>3015</v>
      </c>
      <c r="F1383" s="1" t="s">
        <v>16</v>
      </c>
      <c r="G1383" s="1" t="s">
        <v>17</v>
      </c>
      <c r="H1383" s="1" t="s">
        <v>18</v>
      </c>
      <c r="I1383" s="1" t="s">
        <v>684</v>
      </c>
    </row>
    <row r="1384">
      <c r="A1384" s="1">
        <v>3319091.0</v>
      </c>
      <c r="B1384" s="1" t="s">
        <v>3016</v>
      </c>
      <c r="C1384" s="1" t="s">
        <v>2930</v>
      </c>
      <c r="D1384" s="1" t="s">
        <v>2934</v>
      </c>
      <c r="E1384" s="1" t="s">
        <v>3017</v>
      </c>
      <c r="F1384" s="1" t="s">
        <v>55</v>
      </c>
      <c r="G1384" s="1" t="s">
        <v>17</v>
      </c>
      <c r="H1384" s="1" t="s">
        <v>18</v>
      </c>
      <c r="I1384" s="1" t="s">
        <v>59</v>
      </c>
    </row>
    <row r="1385">
      <c r="A1385" s="1">
        <v>3307035.0</v>
      </c>
      <c r="B1385" s="1" t="s">
        <v>3018</v>
      </c>
      <c r="C1385" s="1" t="s">
        <v>2930</v>
      </c>
      <c r="D1385" s="1" t="s">
        <v>2983</v>
      </c>
      <c r="E1385" s="1" t="s">
        <v>3019</v>
      </c>
      <c r="F1385" s="1" t="s">
        <v>55</v>
      </c>
      <c r="G1385" s="1" t="s">
        <v>17</v>
      </c>
      <c r="H1385" s="1" t="s">
        <v>18</v>
      </c>
      <c r="I1385" s="1" t="s">
        <v>59</v>
      </c>
    </row>
    <row r="1386">
      <c r="A1386" s="1">
        <v>3374080.0</v>
      </c>
      <c r="B1386" s="1" t="s">
        <v>3020</v>
      </c>
      <c r="C1386" s="1" t="s">
        <v>2930</v>
      </c>
      <c r="D1386" s="1" t="s">
        <v>2948</v>
      </c>
      <c r="E1386" s="1" t="s">
        <v>3021</v>
      </c>
      <c r="F1386" s="1" t="s">
        <v>16</v>
      </c>
      <c r="G1386" s="1" t="s">
        <v>17</v>
      </c>
      <c r="H1386" s="1" t="s">
        <v>18</v>
      </c>
      <c r="I1386" s="1" t="s">
        <v>684</v>
      </c>
    </row>
    <row r="1387">
      <c r="A1387" s="1">
        <v>3374369.0</v>
      </c>
      <c r="B1387" s="1" t="s">
        <v>3022</v>
      </c>
      <c r="C1387" s="1" t="s">
        <v>2930</v>
      </c>
      <c r="D1387" s="1" t="s">
        <v>2948</v>
      </c>
      <c r="E1387" s="1" t="s">
        <v>3023</v>
      </c>
      <c r="F1387" s="1" t="s">
        <v>55</v>
      </c>
      <c r="G1387" s="1" t="s">
        <v>17</v>
      </c>
      <c r="H1387" s="1" t="s">
        <v>18</v>
      </c>
      <c r="I1387" s="1" t="s">
        <v>44</v>
      </c>
    </row>
    <row r="1388">
      <c r="A1388" s="1">
        <v>3324036.0</v>
      </c>
      <c r="B1388" s="1" t="s">
        <v>3024</v>
      </c>
      <c r="C1388" s="1" t="s">
        <v>2930</v>
      </c>
      <c r="D1388" s="1" t="s">
        <v>2970</v>
      </c>
      <c r="E1388" s="1" t="s">
        <v>3025</v>
      </c>
      <c r="F1388" s="1" t="s">
        <v>16</v>
      </c>
      <c r="G1388" s="1" t="s">
        <v>17</v>
      </c>
      <c r="H1388" s="1" t="s">
        <v>18</v>
      </c>
      <c r="I1388" s="1" t="s">
        <v>684</v>
      </c>
    </row>
    <row r="1389">
      <c r="A1389" s="1">
        <v>3315059.0</v>
      </c>
      <c r="B1389" s="1" t="s">
        <v>3026</v>
      </c>
      <c r="C1389" s="1" t="s">
        <v>2930</v>
      </c>
      <c r="D1389" s="1" t="s">
        <v>3005</v>
      </c>
      <c r="E1389" s="1" t="s">
        <v>3027</v>
      </c>
      <c r="F1389" s="1" t="s">
        <v>16</v>
      </c>
      <c r="G1389" s="1" t="s">
        <v>23</v>
      </c>
      <c r="H1389" s="1" t="s">
        <v>18</v>
      </c>
      <c r="I1389" s="1" t="s">
        <v>684</v>
      </c>
    </row>
    <row r="1390">
      <c r="A1390" s="1">
        <v>3311213.0</v>
      </c>
      <c r="B1390" s="1" t="s">
        <v>3028</v>
      </c>
      <c r="C1390" s="1" t="s">
        <v>2930</v>
      </c>
      <c r="D1390" s="1" t="s">
        <v>3014</v>
      </c>
      <c r="E1390" s="1" t="s">
        <v>3029</v>
      </c>
      <c r="F1390" s="1" t="s">
        <v>16</v>
      </c>
      <c r="G1390" s="1" t="s">
        <v>17</v>
      </c>
      <c r="H1390" s="1" t="s">
        <v>18</v>
      </c>
      <c r="I1390" s="1" t="s">
        <v>19</v>
      </c>
    </row>
    <row r="1391">
      <c r="A1391" s="1">
        <v>3375071.0</v>
      </c>
      <c r="B1391" s="1" t="s">
        <v>3030</v>
      </c>
      <c r="C1391" s="1" t="s">
        <v>2930</v>
      </c>
      <c r="D1391" s="1" t="s">
        <v>2986</v>
      </c>
      <c r="E1391" s="1" t="s">
        <v>3031</v>
      </c>
      <c r="F1391" s="1" t="s">
        <v>16</v>
      </c>
      <c r="G1391" s="1" t="s">
        <v>23</v>
      </c>
      <c r="H1391" s="1" t="s">
        <v>18</v>
      </c>
      <c r="I1391" s="1" t="s">
        <v>19</v>
      </c>
    </row>
    <row r="1392">
      <c r="A1392" s="1">
        <v>3326063.0</v>
      </c>
      <c r="B1392" s="1" t="s">
        <v>3032</v>
      </c>
      <c r="C1392" s="1" t="s">
        <v>2930</v>
      </c>
      <c r="D1392" s="1" t="s">
        <v>3033</v>
      </c>
      <c r="E1392" s="1" t="s">
        <v>3034</v>
      </c>
      <c r="F1392" s="1" t="s">
        <v>16</v>
      </c>
      <c r="G1392" s="1" t="s">
        <v>23</v>
      </c>
      <c r="H1392" s="1" t="s">
        <v>18</v>
      </c>
      <c r="I1392" s="1" t="s">
        <v>163</v>
      </c>
    </row>
    <row r="1393">
      <c r="A1393" s="1">
        <v>3314012.0</v>
      </c>
      <c r="B1393" s="1" t="s">
        <v>3035</v>
      </c>
      <c r="C1393" s="1" t="s">
        <v>2930</v>
      </c>
      <c r="D1393" s="1" t="s">
        <v>2945</v>
      </c>
      <c r="E1393" s="1" t="s">
        <v>3036</v>
      </c>
      <c r="F1393" s="1" t="s">
        <v>16</v>
      </c>
      <c r="G1393" s="1" t="s">
        <v>27</v>
      </c>
      <c r="H1393" s="1" t="s">
        <v>28</v>
      </c>
      <c r="I1393" s="1" t="s">
        <v>40</v>
      </c>
    </row>
    <row r="1394">
      <c r="A1394" s="1">
        <v>3328081.0</v>
      </c>
      <c r="B1394" s="1" t="s">
        <v>3037</v>
      </c>
      <c r="C1394" s="1" t="s">
        <v>2930</v>
      </c>
      <c r="D1394" s="1" t="s">
        <v>3038</v>
      </c>
      <c r="E1394" s="1" t="s">
        <v>3039</v>
      </c>
      <c r="F1394" s="1" t="s">
        <v>16</v>
      </c>
      <c r="G1394" s="1" t="s">
        <v>23</v>
      </c>
      <c r="H1394" s="1" t="s">
        <v>18</v>
      </c>
      <c r="I1394" s="1" t="s">
        <v>19</v>
      </c>
    </row>
    <row r="1395">
      <c r="A1395" s="1">
        <v>3315074.0</v>
      </c>
      <c r="B1395" s="1" t="s">
        <v>3040</v>
      </c>
      <c r="C1395" s="1" t="s">
        <v>2930</v>
      </c>
      <c r="D1395" s="1" t="s">
        <v>3005</v>
      </c>
      <c r="E1395" s="1" t="s">
        <v>3041</v>
      </c>
      <c r="F1395" s="1" t="s">
        <v>16</v>
      </c>
      <c r="G1395" s="1" t="s">
        <v>23</v>
      </c>
      <c r="H1395" s="1" t="s">
        <v>18</v>
      </c>
      <c r="I1395" s="1" t="s">
        <v>44</v>
      </c>
    </row>
    <row r="1396">
      <c r="A1396" s="1">
        <v>3302132.0</v>
      </c>
      <c r="B1396" s="1" t="s">
        <v>3042</v>
      </c>
      <c r="C1396" s="1" t="s">
        <v>2930</v>
      </c>
      <c r="D1396" s="1" t="s">
        <v>2937</v>
      </c>
      <c r="E1396" s="1" t="s">
        <v>3043</v>
      </c>
      <c r="F1396" s="1" t="s">
        <v>16</v>
      </c>
      <c r="G1396" s="1" t="s">
        <v>17</v>
      </c>
      <c r="H1396" s="1" t="s">
        <v>18</v>
      </c>
      <c r="I1396" s="1" t="s">
        <v>684</v>
      </c>
    </row>
    <row r="1397">
      <c r="A1397" s="1">
        <v>3372015.0</v>
      </c>
      <c r="B1397" s="1" t="s">
        <v>3044</v>
      </c>
      <c r="C1397" s="1" t="s">
        <v>2930</v>
      </c>
      <c r="D1397" s="1" t="s">
        <v>2967</v>
      </c>
      <c r="E1397" s="1" t="s">
        <v>3045</v>
      </c>
      <c r="F1397" s="1" t="s">
        <v>16</v>
      </c>
      <c r="G1397" s="1" t="s">
        <v>150</v>
      </c>
      <c r="H1397" s="1" t="s">
        <v>28</v>
      </c>
      <c r="I1397" s="1" t="s">
        <v>139</v>
      </c>
    </row>
    <row r="1398">
      <c r="A1398" s="1">
        <v>3316063.0</v>
      </c>
      <c r="B1398" s="1" t="s">
        <v>3046</v>
      </c>
      <c r="C1398" s="1" t="s">
        <v>2930</v>
      </c>
      <c r="D1398" s="1" t="s">
        <v>2951</v>
      </c>
      <c r="E1398" s="1" t="s">
        <v>3047</v>
      </c>
      <c r="F1398" s="1" t="s">
        <v>16</v>
      </c>
      <c r="G1398" s="1" t="s">
        <v>23</v>
      </c>
      <c r="H1398" s="1" t="s">
        <v>18</v>
      </c>
      <c r="I1398" s="1" t="s">
        <v>19</v>
      </c>
    </row>
    <row r="1399">
      <c r="A1399" s="1">
        <v>3318016.0</v>
      </c>
      <c r="B1399" s="1" t="s">
        <v>3048</v>
      </c>
      <c r="C1399" s="1" t="s">
        <v>2930</v>
      </c>
      <c r="D1399" s="1" t="s">
        <v>3049</v>
      </c>
      <c r="E1399" s="1" t="s">
        <v>3050</v>
      </c>
      <c r="F1399" s="1" t="s">
        <v>16</v>
      </c>
      <c r="G1399" s="1" t="s">
        <v>27</v>
      </c>
      <c r="H1399" s="1" t="s">
        <v>28</v>
      </c>
      <c r="I1399" s="1" t="s">
        <v>40</v>
      </c>
    </row>
    <row r="1400">
      <c r="A1400" s="1">
        <v>3328011.0</v>
      </c>
      <c r="B1400" s="1" t="s">
        <v>3051</v>
      </c>
      <c r="C1400" s="1" t="s">
        <v>2930</v>
      </c>
      <c r="D1400" s="1" t="s">
        <v>3038</v>
      </c>
      <c r="E1400" s="1" t="s">
        <v>3052</v>
      </c>
      <c r="F1400" s="1" t="s">
        <v>16</v>
      </c>
      <c r="G1400" s="1" t="s">
        <v>27</v>
      </c>
      <c r="H1400" s="1" t="s">
        <v>28</v>
      </c>
      <c r="I1400" s="1" t="s">
        <v>40</v>
      </c>
    </row>
    <row r="1401">
      <c r="A1401" s="1">
        <v>3327048.0</v>
      </c>
      <c r="B1401" s="1" t="s">
        <v>3053</v>
      </c>
      <c r="C1401" s="1" t="s">
        <v>2930</v>
      </c>
      <c r="D1401" s="1" t="s">
        <v>3054</v>
      </c>
      <c r="E1401" s="1" t="s">
        <v>3055</v>
      </c>
      <c r="F1401" s="1" t="s">
        <v>16</v>
      </c>
      <c r="G1401" s="1" t="s">
        <v>23</v>
      </c>
      <c r="H1401" s="1" t="s">
        <v>18</v>
      </c>
      <c r="I1401" s="1" t="s">
        <v>19</v>
      </c>
    </row>
    <row r="1402">
      <c r="A1402" s="1">
        <v>3305081.0</v>
      </c>
      <c r="B1402" s="1" t="s">
        <v>3056</v>
      </c>
      <c r="C1402" s="1" t="s">
        <v>2930</v>
      </c>
      <c r="D1402" s="1" t="s">
        <v>2958</v>
      </c>
      <c r="E1402" s="1" t="s">
        <v>3057</v>
      </c>
      <c r="F1402" s="1" t="s">
        <v>16</v>
      </c>
      <c r="G1402" s="1" t="s">
        <v>23</v>
      </c>
      <c r="H1402" s="1" t="s">
        <v>18</v>
      </c>
      <c r="I1402" s="1" t="s">
        <v>59</v>
      </c>
    </row>
    <row r="1403">
      <c r="A1403" s="1">
        <v>3373090.0</v>
      </c>
      <c r="B1403" s="1" t="s">
        <v>2348</v>
      </c>
      <c r="C1403" s="1" t="s">
        <v>2930</v>
      </c>
      <c r="D1403" s="1" t="s">
        <v>2961</v>
      </c>
      <c r="E1403" s="1" t="s">
        <v>3058</v>
      </c>
      <c r="F1403" s="1" t="s">
        <v>16</v>
      </c>
      <c r="G1403" s="1" t="s">
        <v>17</v>
      </c>
      <c r="H1403" s="1" t="s">
        <v>18</v>
      </c>
      <c r="I1403" s="1" t="s">
        <v>19</v>
      </c>
    </row>
    <row r="1404">
      <c r="A1404" s="1">
        <v>3329101.0</v>
      </c>
      <c r="B1404" s="1" t="s">
        <v>3059</v>
      </c>
      <c r="C1404" s="1" t="s">
        <v>2930</v>
      </c>
      <c r="D1404" s="1" t="s">
        <v>2999</v>
      </c>
      <c r="E1404" s="1" t="s">
        <v>3060</v>
      </c>
      <c r="F1404" s="1" t="s">
        <v>16</v>
      </c>
      <c r="G1404" s="1" t="s">
        <v>23</v>
      </c>
      <c r="H1404" s="1" t="s">
        <v>18</v>
      </c>
      <c r="I1404" s="1" t="s">
        <v>19</v>
      </c>
    </row>
    <row r="1405">
      <c r="A1405" s="1">
        <v>3315073.0</v>
      </c>
      <c r="B1405" s="1" t="s">
        <v>3061</v>
      </c>
      <c r="C1405" s="1" t="s">
        <v>2930</v>
      </c>
      <c r="D1405" s="1" t="s">
        <v>3005</v>
      </c>
      <c r="E1405" s="1" t="s">
        <v>3062</v>
      </c>
      <c r="F1405" s="1" t="s">
        <v>16</v>
      </c>
      <c r="G1405" s="1" t="s">
        <v>23</v>
      </c>
      <c r="H1405" s="1" t="s">
        <v>18</v>
      </c>
      <c r="I1405" s="1" t="s">
        <v>163</v>
      </c>
    </row>
    <row r="1406">
      <c r="A1406" s="1">
        <v>3322023.0</v>
      </c>
      <c r="B1406" s="1" t="s">
        <v>3063</v>
      </c>
      <c r="C1406" s="1" t="s">
        <v>2930</v>
      </c>
      <c r="D1406" s="1" t="s">
        <v>3064</v>
      </c>
      <c r="E1406" s="1" t="s">
        <v>3065</v>
      </c>
      <c r="F1406" s="1" t="s">
        <v>16</v>
      </c>
      <c r="G1406" s="1" t="s">
        <v>17</v>
      </c>
      <c r="H1406" s="1" t="s">
        <v>28</v>
      </c>
      <c r="I1406" s="1" t="s">
        <v>40</v>
      </c>
    </row>
    <row r="1407">
      <c r="A1407" s="1">
        <v>3310015.0</v>
      </c>
      <c r="B1407" s="1" t="s">
        <v>3066</v>
      </c>
      <c r="C1407" s="1" t="s">
        <v>2930</v>
      </c>
      <c r="D1407" s="1" t="s">
        <v>2989</v>
      </c>
      <c r="E1407" s="1" t="s">
        <v>3067</v>
      </c>
      <c r="F1407" s="1" t="s">
        <v>16</v>
      </c>
      <c r="G1407" s="1" t="s">
        <v>16</v>
      </c>
      <c r="H1407" s="1" t="s">
        <v>150</v>
      </c>
      <c r="I1407" s="1" t="s">
        <v>33</v>
      </c>
    </row>
    <row r="1408">
      <c r="A1408" s="1">
        <v>3374316.0</v>
      </c>
      <c r="B1408" s="1" t="s">
        <v>3068</v>
      </c>
      <c r="C1408" s="1" t="s">
        <v>2930</v>
      </c>
      <c r="D1408" s="1" t="s">
        <v>2948</v>
      </c>
      <c r="E1408" s="1" t="s">
        <v>3069</v>
      </c>
      <c r="F1408" s="1" t="s">
        <v>55</v>
      </c>
      <c r="G1408" s="1" t="s">
        <v>17</v>
      </c>
      <c r="H1408" s="1" t="s">
        <v>18</v>
      </c>
      <c r="I1408" s="1" t="s">
        <v>59</v>
      </c>
    </row>
    <row r="1409">
      <c r="A1409" s="1">
        <v>3314096.0</v>
      </c>
      <c r="B1409" s="1" t="s">
        <v>3070</v>
      </c>
      <c r="C1409" s="1" t="s">
        <v>2930</v>
      </c>
      <c r="D1409" s="1" t="s">
        <v>2945</v>
      </c>
      <c r="E1409" s="1" t="s">
        <v>3071</v>
      </c>
      <c r="F1409" s="1" t="s">
        <v>16</v>
      </c>
      <c r="G1409" s="1" t="s">
        <v>23</v>
      </c>
      <c r="H1409" s="1" t="s">
        <v>18</v>
      </c>
      <c r="I1409" s="1" t="s">
        <v>44</v>
      </c>
    </row>
    <row r="1410">
      <c r="A1410" s="1">
        <v>3327021.0</v>
      </c>
      <c r="B1410" s="1" t="s">
        <v>3072</v>
      </c>
      <c r="C1410" s="1" t="s">
        <v>2930</v>
      </c>
      <c r="D1410" s="1" t="s">
        <v>3054</v>
      </c>
      <c r="E1410" s="1" t="s">
        <v>3073</v>
      </c>
      <c r="F1410" s="1" t="s">
        <v>16</v>
      </c>
      <c r="G1410" s="1" t="s">
        <v>17</v>
      </c>
      <c r="H1410" s="1" t="s">
        <v>18</v>
      </c>
      <c r="I1410" s="1" t="s">
        <v>249</v>
      </c>
    </row>
    <row r="1411">
      <c r="A1411" s="1">
        <v>3329102.0</v>
      </c>
      <c r="B1411" s="1" t="s">
        <v>3074</v>
      </c>
      <c r="C1411" s="1" t="s">
        <v>2930</v>
      </c>
      <c r="D1411" s="1" t="s">
        <v>2999</v>
      </c>
      <c r="E1411" s="1" t="s">
        <v>3075</v>
      </c>
      <c r="F1411" s="1" t="s">
        <v>16</v>
      </c>
      <c r="G1411" s="1" t="s">
        <v>17</v>
      </c>
      <c r="H1411" s="1" t="s">
        <v>28</v>
      </c>
      <c r="I1411" s="1" t="s">
        <v>40</v>
      </c>
    </row>
    <row r="1412">
      <c r="A1412" s="1">
        <v>3309129.0</v>
      </c>
      <c r="B1412" s="1" t="s">
        <v>3076</v>
      </c>
      <c r="C1412" s="1" t="s">
        <v>2930</v>
      </c>
      <c r="D1412" s="1" t="s">
        <v>2973</v>
      </c>
      <c r="E1412" s="1" t="s">
        <v>3077</v>
      </c>
      <c r="F1412" s="1" t="s">
        <v>16</v>
      </c>
      <c r="G1412" s="1" t="s">
        <v>23</v>
      </c>
      <c r="H1412" s="1" t="s">
        <v>18</v>
      </c>
      <c r="I1412" s="1" t="s">
        <v>19</v>
      </c>
    </row>
    <row r="1413">
      <c r="A1413" s="1">
        <v>3325039.0</v>
      </c>
      <c r="B1413" s="1" t="s">
        <v>3078</v>
      </c>
      <c r="C1413" s="1" t="s">
        <v>2930</v>
      </c>
      <c r="D1413" s="1" t="s">
        <v>2978</v>
      </c>
      <c r="E1413" s="1" t="s">
        <v>3079</v>
      </c>
      <c r="F1413" s="1" t="s">
        <v>16</v>
      </c>
      <c r="G1413" s="1" t="s">
        <v>17</v>
      </c>
      <c r="H1413" s="1" t="s">
        <v>28</v>
      </c>
      <c r="I1413" s="1" t="s">
        <v>40</v>
      </c>
    </row>
    <row r="1414">
      <c r="A1414" s="1">
        <v>3301084.0</v>
      </c>
      <c r="B1414" s="1" t="s">
        <v>3080</v>
      </c>
      <c r="C1414" s="1" t="s">
        <v>2930</v>
      </c>
      <c r="D1414" s="1" t="s">
        <v>2996</v>
      </c>
      <c r="E1414" s="1" t="s">
        <v>3081</v>
      </c>
      <c r="F1414" s="1" t="s">
        <v>16</v>
      </c>
      <c r="G1414" s="1" t="s">
        <v>17</v>
      </c>
      <c r="H1414" s="1" t="s">
        <v>28</v>
      </c>
      <c r="I1414" s="1" t="s">
        <v>40</v>
      </c>
    </row>
    <row r="1415">
      <c r="A1415" s="1">
        <v>3371014.0</v>
      </c>
      <c r="B1415" s="1" t="s">
        <v>3082</v>
      </c>
      <c r="C1415" s="1" t="s">
        <v>2930</v>
      </c>
      <c r="D1415" s="1" t="s">
        <v>2939</v>
      </c>
      <c r="E1415" s="1" t="s">
        <v>3083</v>
      </c>
      <c r="F1415" s="1" t="s">
        <v>16</v>
      </c>
      <c r="G1415" s="1" t="s">
        <v>27</v>
      </c>
      <c r="H1415" s="1" t="s">
        <v>28</v>
      </c>
      <c r="I1415" s="1" t="s">
        <v>29</v>
      </c>
    </row>
    <row r="1416">
      <c r="A1416" s="1">
        <v>3324037.0</v>
      </c>
      <c r="B1416" s="1" t="s">
        <v>3084</v>
      </c>
      <c r="C1416" s="1" t="s">
        <v>2930</v>
      </c>
      <c r="D1416" s="1" t="s">
        <v>2970</v>
      </c>
      <c r="E1416" s="1" t="s">
        <v>3085</v>
      </c>
      <c r="F1416" s="1" t="s">
        <v>16</v>
      </c>
      <c r="G1416" s="1" t="s">
        <v>23</v>
      </c>
      <c r="H1416" s="1" t="s">
        <v>18</v>
      </c>
      <c r="I1416" s="1" t="s">
        <v>684</v>
      </c>
    </row>
    <row r="1417">
      <c r="A1417" s="1">
        <v>3371144.0</v>
      </c>
      <c r="B1417" s="1" t="s">
        <v>3086</v>
      </c>
      <c r="C1417" s="1" t="s">
        <v>2930</v>
      </c>
      <c r="D1417" s="1" t="s">
        <v>2939</v>
      </c>
      <c r="E1417" s="1" t="s">
        <v>3087</v>
      </c>
      <c r="F1417" s="1" t="s">
        <v>16</v>
      </c>
      <c r="G1417" s="1" t="s">
        <v>23</v>
      </c>
      <c r="H1417" s="1" t="s">
        <v>28</v>
      </c>
      <c r="I1417" s="1" t="s">
        <v>29</v>
      </c>
    </row>
    <row r="1418">
      <c r="A1418" s="1">
        <v>3319113.0</v>
      </c>
      <c r="B1418" s="1" t="s">
        <v>3088</v>
      </c>
      <c r="C1418" s="1" t="s">
        <v>2930</v>
      </c>
      <c r="D1418" s="1" t="s">
        <v>2934</v>
      </c>
      <c r="E1418" s="1" t="s">
        <v>3089</v>
      </c>
      <c r="F1418" s="1" t="s">
        <v>16</v>
      </c>
      <c r="G1418" s="1" t="s">
        <v>17</v>
      </c>
      <c r="H1418" s="1" t="s">
        <v>18</v>
      </c>
      <c r="I1418" s="1" t="s">
        <v>19</v>
      </c>
    </row>
    <row r="1419">
      <c r="A1419" s="1">
        <v>3315057.0</v>
      </c>
      <c r="B1419" s="1" t="s">
        <v>3090</v>
      </c>
      <c r="C1419" s="1" t="s">
        <v>2930</v>
      </c>
      <c r="D1419" s="1" t="s">
        <v>3005</v>
      </c>
      <c r="E1419" s="1" t="s">
        <v>3091</v>
      </c>
      <c r="F1419" s="1" t="s">
        <v>16</v>
      </c>
      <c r="G1419" s="1" t="s">
        <v>23</v>
      </c>
      <c r="H1419" s="1" t="s">
        <v>18</v>
      </c>
      <c r="I1419" s="1" t="s">
        <v>59</v>
      </c>
    </row>
    <row r="1420">
      <c r="A1420" s="1">
        <v>3302074.0</v>
      </c>
      <c r="B1420" s="1" t="s">
        <v>3092</v>
      </c>
      <c r="C1420" s="1" t="s">
        <v>2930</v>
      </c>
      <c r="D1420" s="1" t="s">
        <v>2937</v>
      </c>
      <c r="E1420" s="1" t="s">
        <v>3093</v>
      </c>
      <c r="F1420" s="1" t="s">
        <v>16</v>
      </c>
      <c r="G1420" s="1" t="s">
        <v>23</v>
      </c>
      <c r="H1420" s="1" t="s">
        <v>18</v>
      </c>
      <c r="I1420" s="1" t="s">
        <v>44</v>
      </c>
    </row>
    <row r="1421">
      <c r="A1421" s="1">
        <v>3328079.0</v>
      </c>
      <c r="B1421" s="1" t="s">
        <v>3094</v>
      </c>
      <c r="C1421" s="1" t="s">
        <v>2930</v>
      </c>
      <c r="D1421" s="1" t="s">
        <v>3038</v>
      </c>
      <c r="E1421" s="1" t="s">
        <v>3095</v>
      </c>
      <c r="F1421" s="1" t="s">
        <v>55</v>
      </c>
      <c r="G1421" s="1" t="s">
        <v>17</v>
      </c>
      <c r="H1421" s="1" t="s">
        <v>18</v>
      </c>
      <c r="I1421" s="1" t="s">
        <v>19</v>
      </c>
    </row>
    <row r="1422">
      <c r="A1422" s="1">
        <v>3301109.0</v>
      </c>
      <c r="B1422" s="1" t="s">
        <v>3096</v>
      </c>
      <c r="C1422" s="1" t="s">
        <v>2930</v>
      </c>
      <c r="D1422" s="1" t="s">
        <v>2996</v>
      </c>
      <c r="E1422" s="1" t="s">
        <v>3097</v>
      </c>
      <c r="F1422" s="1" t="s">
        <v>16</v>
      </c>
      <c r="G1422" s="1" t="s">
        <v>17</v>
      </c>
      <c r="H1422" s="1" t="s">
        <v>18</v>
      </c>
      <c r="I1422" s="1" t="s">
        <v>19</v>
      </c>
    </row>
    <row r="1423">
      <c r="A1423" s="1">
        <v>3303064.0</v>
      </c>
      <c r="B1423" s="1" t="s">
        <v>3098</v>
      </c>
      <c r="C1423" s="1" t="s">
        <v>2930</v>
      </c>
      <c r="D1423" s="1" t="s">
        <v>3099</v>
      </c>
      <c r="E1423" s="1" t="s">
        <v>3100</v>
      </c>
      <c r="F1423" s="1" t="s">
        <v>16</v>
      </c>
      <c r="G1423" s="1" t="s">
        <v>17</v>
      </c>
      <c r="H1423" s="1" t="s">
        <v>18</v>
      </c>
      <c r="I1423" s="1" t="s">
        <v>59</v>
      </c>
    </row>
    <row r="1424">
      <c r="A1424" s="1">
        <v>3372165.0</v>
      </c>
      <c r="B1424" s="1" t="s">
        <v>3101</v>
      </c>
      <c r="C1424" s="1" t="s">
        <v>2930</v>
      </c>
      <c r="D1424" s="1" t="s">
        <v>2967</v>
      </c>
      <c r="E1424" s="1" t="s">
        <v>3102</v>
      </c>
      <c r="F1424" s="1" t="s">
        <v>16</v>
      </c>
      <c r="G1424" s="1" t="s">
        <v>27</v>
      </c>
      <c r="H1424" s="1" t="s">
        <v>18</v>
      </c>
      <c r="I1424" s="1" t="s">
        <v>44</v>
      </c>
    </row>
    <row r="1425">
      <c r="A1425" s="1">
        <v>3320010.0</v>
      </c>
      <c r="B1425" s="1" t="s">
        <v>3103</v>
      </c>
      <c r="C1425" s="1" t="s">
        <v>2930</v>
      </c>
      <c r="D1425" s="1" t="s">
        <v>3104</v>
      </c>
      <c r="E1425" s="1" t="s">
        <v>3105</v>
      </c>
      <c r="F1425" s="1" t="s">
        <v>16</v>
      </c>
      <c r="G1425" s="1" t="s">
        <v>27</v>
      </c>
      <c r="H1425" s="1" t="s">
        <v>28</v>
      </c>
      <c r="I1425" s="1" t="s">
        <v>40</v>
      </c>
    </row>
    <row r="1426">
      <c r="A1426" s="1">
        <v>3308033.0</v>
      </c>
      <c r="B1426" s="1" t="s">
        <v>3106</v>
      </c>
      <c r="C1426" s="1" t="s">
        <v>2930</v>
      </c>
      <c r="D1426" s="1" t="s">
        <v>3107</v>
      </c>
      <c r="E1426" s="1" t="s">
        <v>3108</v>
      </c>
      <c r="F1426" s="1" t="s">
        <v>16</v>
      </c>
      <c r="G1426" s="1" t="s">
        <v>23</v>
      </c>
      <c r="H1426" s="1" t="s">
        <v>18</v>
      </c>
      <c r="I1426" s="1" t="s">
        <v>40</v>
      </c>
    </row>
    <row r="1427">
      <c r="A1427" s="1">
        <v>3374390.0</v>
      </c>
      <c r="B1427" s="1" t="s">
        <v>3109</v>
      </c>
      <c r="C1427" s="1" t="s">
        <v>2930</v>
      </c>
      <c r="D1427" s="1" t="s">
        <v>2948</v>
      </c>
      <c r="E1427" s="1" t="s">
        <v>3110</v>
      </c>
      <c r="F1427" s="1" t="s">
        <v>16</v>
      </c>
      <c r="G1427" s="1" t="s">
        <v>23</v>
      </c>
      <c r="H1427" s="1" t="s">
        <v>18</v>
      </c>
      <c r="I1427" s="1" t="s">
        <v>19</v>
      </c>
    </row>
    <row r="1428">
      <c r="A1428" s="1">
        <v>3308014.0</v>
      </c>
      <c r="B1428" s="1" t="s">
        <v>3111</v>
      </c>
      <c r="C1428" s="1" t="s">
        <v>2930</v>
      </c>
      <c r="D1428" s="1" t="s">
        <v>3107</v>
      </c>
      <c r="E1428" s="1" t="s">
        <v>3112</v>
      </c>
      <c r="F1428" s="1" t="s">
        <v>16</v>
      </c>
      <c r="G1428" s="1" t="s">
        <v>17</v>
      </c>
      <c r="H1428" s="1" t="s">
        <v>28</v>
      </c>
      <c r="I1428" s="1" t="s">
        <v>40</v>
      </c>
    </row>
    <row r="1429">
      <c r="A1429" s="1">
        <v>3374123.0</v>
      </c>
      <c r="B1429" s="1" t="s">
        <v>3113</v>
      </c>
      <c r="C1429" s="1" t="s">
        <v>2930</v>
      </c>
      <c r="D1429" s="1" t="s">
        <v>2948</v>
      </c>
      <c r="E1429" s="1" t="s">
        <v>3114</v>
      </c>
      <c r="F1429" s="1" t="s">
        <v>174</v>
      </c>
      <c r="G1429" s="1" t="s">
        <v>150</v>
      </c>
      <c r="H1429" s="1" t="s">
        <v>28</v>
      </c>
      <c r="I1429" s="1" t="s">
        <v>139</v>
      </c>
    </row>
    <row r="1430">
      <c r="A1430" s="1">
        <v>3326016.0</v>
      </c>
      <c r="B1430" s="1" t="s">
        <v>3115</v>
      </c>
      <c r="C1430" s="1" t="s">
        <v>2930</v>
      </c>
      <c r="D1430" s="1" t="s">
        <v>3033</v>
      </c>
      <c r="E1430" s="1" t="s">
        <v>3116</v>
      </c>
      <c r="F1430" s="1" t="s">
        <v>16</v>
      </c>
      <c r="G1430" s="1" t="s">
        <v>17</v>
      </c>
      <c r="H1430" s="1" t="s">
        <v>18</v>
      </c>
      <c r="I1430" s="1" t="s">
        <v>684</v>
      </c>
    </row>
    <row r="1431">
      <c r="A1431" s="1">
        <v>3312010.0</v>
      </c>
      <c r="B1431" s="1" t="s">
        <v>3117</v>
      </c>
      <c r="C1431" s="1" t="s">
        <v>2930</v>
      </c>
      <c r="D1431" s="1" t="s">
        <v>3118</v>
      </c>
      <c r="E1431" s="1" t="s">
        <v>3119</v>
      </c>
      <c r="F1431" s="1" t="s">
        <v>16</v>
      </c>
      <c r="G1431" s="1" t="s">
        <v>27</v>
      </c>
      <c r="H1431" s="1" t="s">
        <v>28</v>
      </c>
      <c r="I1431" s="1" t="s">
        <v>40</v>
      </c>
    </row>
    <row r="1432">
      <c r="A1432" s="1">
        <v>3376023.0</v>
      </c>
      <c r="B1432" s="1" t="s">
        <v>3120</v>
      </c>
      <c r="C1432" s="1" t="s">
        <v>2930</v>
      </c>
      <c r="D1432" s="1" t="s">
        <v>3038</v>
      </c>
      <c r="E1432" s="1" t="s">
        <v>3121</v>
      </c>
      <c r="F1432" s="1" t="s">
        <v>16</v>
      </c>
      <c r="G1432" s="1" t="s">
        <v>17</v>
      </c>
      <c r="H1432" s="1" t="s">
        <v>18</v>
      </c>
      <c r="I1432" s="1" t="s">
        <v>19</v>
      </c>
    </row>
    <row r="1433">
      <c r="A1433" s="1">
        <v>3310425.0</v>
      </c>
      <c r="B1433" s="1" t="s">
        <v>3122</v>
      </c>
      <c r="C1433" s="1" t="s">
        <v>2930</v>
      </c>
      <c r="D1433" s="1" t="s">
        <v>2989</v>
      </c>
      <c r="E1433" s="1" t="s">
        <v>3123</v>
      </c>
      <c r="F1433" s="1" t="s">
        <v>16</v>
      </c>
      <c r="G1433" s="1" t="s">
        <v>23</v>
      </c>
      <c r="H1433" s="1" t="s">
        <v>18</v>
      </c>
      <c r="I1433" s="1" t="s">
        <v>684</v>
      </c>
    </row>
    <row r="1434">
      <c r="A1434" s="1">
        <v>3374371.0</v>
      </c>
      <c r="B1434" s="1" t="s">
        <v>3124</v>
      </c>
      <c r="C1434" s="1" t="s">
        <v>2930</v>
      </c>
      <c r="D1434" s="1" t="s">
        <v>2948</v>
      </c>
      <c r="E1434" s="1" t="s">
        <v>3125</v>
      </c>
      <c r="F1434" s="1" t="s">
        <v>55</v>
      </c>
      <c r="G1434" s="1" t="s">
        <v>17</v>
      </c>
      <c r="H1434" s="1" t="s">
        <v>18</v>
      </c>
      <c r="I1434" s="1" t="s">
        <v>19</v>
      </c>
    </row>
    <row r="1435">
      <c r="A1435" s="1">
        <v>3309136.0</v>
      </c>
      <c r="B1435" s="1" t="s">
        <v>3126</v>
      </c>
      <c r="C1435" s="1" t="s">
        <v>2930</v>
      </c>
      <c r="D1435" s="1" t="s">
        <v>2973</v>
      </c>
      <c r="E1435" s="1" t="s">
        <v>3127</v>
      </c>
      <c r="F1435" s="1" t="s">
        <v>16</v>
      </c>
      <c r="G1435" s="1" t="s">
        <v>17</v>
      </c>
      <c r="H1435" s="1" t="s">
        <v>18</v>
      </c>
      <c r="I1435" s="1" t="s">
        <v>19</v>
      </c>
    </row>
    <row r="1436">
      <c r="A1436" s="1">
        <v>3314045.0</v>
      </c>
      <c r="B1436" s="1" t="s">
        <v>3128</v>
      </c>
      <c r="C1436" s="1" t="s">
        <v>2930</v>
      </c>
      <c r="D1436" s="1" t="s">
        <v>2945</v>
      </c>
      <c r="E1436" s="1" t="s">
        <v>3129</v>
      </c>
      <c r="F1436" s="1" t="s">
        <v>16</v>
      </c>
      <c r="G1436" s="1" t="s">
        <v>17</v>
      </c>
      <c r="H1436" s="1" t="s">
        <v>18</v>
      </c>
      <c r="I1436" s="1" t="s">
        <v>59</v>
      </c>
    </row>
    <row r="1437">
      <c r="A1437" s="1">
        <v>3310418.0</v>
      </c>
      <c r="B1437" s="1" t="s">
        <v>3130</v>
      </c>
      <c r="C1437" s="1" t="s">
        <v>2930</v>
      </c>
      <c r="D1437" s="1" t="s">
        <v>2989</v>
      </c>
      <c r="E1437" s="1" t="s">
        <v>3131</v>
      </c>
      <c r="F1437" s="1" t="s">
        <v>16</v>
      </c>
      <c r="G1437" s="1" t="s">
        <v>23</v>
      </c>
      <c r="H1437" s="1" t="s">
        <v>18</v>
      </c>
      <c r="I1437" s="1" t="s">
        <v>684</v>
      </c>
    </row>
    <row r="1438">
      <c r="A1438" s="1">
        <v>3302154.0</v>
      </c>
      <c r="B1438" s="1" t="s">
        <v>157</v>
      </c>
      <c r="C1438" s="1" t="s">
        <v>2930</v>
      </c>
      <c r="D1438" s="1" t="s">
        <v>2937</v>
      </c>
      <c r="E1438" s="1" t="s">
        <v>3132</v>
      </c>
      <c r="F1438" s="1" t="s">
        <v>16</v>
      </c>
      <c r="G1438" s="1" t="s">
        <v>23</v>
      </c>
      <c r="H1438" s="1" t="s">
        <v>18</v>
      </c>
      <c r="I1438" s="1" t="s">
        <v>59</v>
      </c>
    </row>
    <row r="1439">
      <c r="A1439" s="1">
        <v>3372030.0</v>
      </c>
      <c r="B1439" s="1" t="s">
        <v>3133</v>
      </c>
      <c r="C1439" s="1" t="s">
        <v>2930</v>
      </c>
      <c r="D1439" s="1" t="s">
        <v>2967</v>
      </c>
      <c r="E1439" s="1" t="s">
        <v>3134</v>
      </c>
      <c r="F1439" s="1" t="s">
        <v>16</v>
      </c>
      <c r="G1439" s="1" t="s">
        <v>17</v>
      </c>
      <c r="H1439" s="1" t="s">
        <v>33</v>
      </c>
      <c r="I1439" s="1" t="s">
        <v>74</v>
      </c>
    </row>
    <row r="1440">
      <c r="A1440" s="1">
        <v>3372238.0</v>
      </c>
      <c r="B1440" s="1" t="s">
        <v>3135</v>
      </c>
      <c r="C1440" s="1" t="s">
        <v>2930</v>
      </c>
      <c r="D1440" s="1" t="s">
        <v>2967</v>
      </c>
      <c r="E1440" s="1" t="s">
        <v>3136</v>
      </c>
      <c r="F1440" s="1" t="s">
        <v>16</v>
      </c>
      <c r="G1440" s="1" t="s">
        <v>23</v>
      </c>
      <c r="H1440" s="1" t="s">
        <v>18</v>
      </c>
      <c r="I1440" s="1" t="s">
        <v>684</v>
      </c>
    </row>
    <row r="1441">
      <c r="A1441" s="1">
        <v>3318075.0</v>
      </c>
      <c r="B1441" s="1" t="s">
        <v>3137</v>
      </c>
      <c r="C1441" s="1" t="s">
        <v>2930</v>
      </c>
      <c r="D1441" s="1" t="s">
        <v>3049</v>
      </c>
      <c r="E1441" s="1" t="s">
        <v>3138</v>
      </c>
      <c r="F1441" s="1" t="s">
        <v>16</v>
      </c>
      <c r="G1441" s="1" t="s">
        <v>17</v>
      </c>
      <c r="H1441" s="1" t="s">
        <v>18</v>
      </c>
      <c r="I1441" s="1" t="s">
        <v>59</v>
      </c>
    </row>
    <row r="1442">
      <c r="A1442" s="1">
        <v>3305103.0</v>
      </c>
      <c r="B1442" s="1" t="s">
        <v>3139</v>
      </c>
      <c r="C1442" s="1" t="s">
        <v>2930</v>
      </c>
      <c r="D1442" s="1" t="s">
        <v>2958</v>
      </c>
      <c r="E1442" s="1" t="s">
        <v>3140</v>
      </c>
      <c r="F1442" s="1" t="s">
        <v>16</v>
      </c>
      <c r="G1442" s="1" t="s">
        <v>17</v>
      </c>
      <c r="H1442" s="1" t="s">
        <v>18</v>
      </c>
      <c r="I1442" s="1" t="s">
        <v>684</v>
      </c>
    </row>
    <row r="1443">
      <c r="A1443" s="1">
        <v>3374021.0</v>
      </c>
      <c r="B1443" s="1" t="s">
        <v>3141</v>
      </c>
      <c r="C1443" s="1" t="s">
        <v>2930</v>
      </c>
      <c r="D1443" s="1" t="s">
        <v>2948</v>
      </c>
      <c r="E1443" s="1" t="s">
        <v>3142</v>
      </c>
      <c r="F1443" s="1" t="s">
        <v>16</v>
      </c>
      <c r="G1443" s="1" t="s">
        <v>27</v>
      </c>
      <c r="H1443" s="1" t="s">
        <v>18</v>
      </c>
      <c r="I1443" s="1" t="s">
        <v>249</v>
      </c>
    </row>
    <row r="1444">
      <c r="A1444" s="1">
        <v>3318111.0</v>
      </c>
      <c r="B1444" s="1" t="s">
        <v>3143</v>
      </c>
      <c r="C1444" s="1" t="s">
        <v>2930</v>
      </c>
      <c r="D1444" s="1" t="s">
        <v>3049</v>
      </c>
      <c r="E1444" s="1" t="s">
        <v>3144</v>
      </c>
      <c r="F1444" s="1" t="s">
        <v>16</v>
      </c>
      <c r="G1444" s="1" t="s">
        <v>17</v>
      </c>
      <c r="H1444" s="1" t="s">
        <v>18</v>
      </c>
      <c r="I1444" s="1" t="s">
        <v>19</v>
      </c>
    </row>
    <row r="1445">
      <c r="A1445" s="1">
        <v>3323013.0</v>
      </c>
      <c r="B1445" s="1" t="s">
        <v>3145</v>
      </c>
      <c r="C1445" s="1" t="s">
        <v>2930</v>
      </c>
      <c r="D1445" s="1" t="s">
        <v>3146</v>
      </c>
      <c r="E1445" s="1" t="s">
        <v>3147</v>
      </c>
      <c r="F1445" s="1" t="s">
        <v>16</v>
      </c>
      <c r="G1445" s="1" t="s">
        <v>27</v>
      </c>
      <c r="H1445" s="1" t="s">
        <v>28</v>
      </c>
      <c r="I1445" s="1" t="s">
        <v>40</v>
      </c>
    </row>
    <row r="1446">
      <c r="A1446" s="1">
        <v>3311225.0</v>
      </c>
      <c r="B1446" s="1" t="s">
        <v>3148</v>
      </c>
      <c r="C1446" s="1" t="s">
        <v>2930</v>
      </c>
      <c r="D1446" s="1" t="s">
        <v>3014</v>
      </c>
      <c r="E1446" s="1" t="s">
        <v>3149</v>
      </c>
      <c r="F1446" s="1" t="s">
        <v>16</v>
      </c>
      <c r="G1446" s="1" t="s">
        <v>17</v>
      </c>
      <c r="H1446" s="1" t="s">
        <v>18</v>
      </c>
      <c r="I1446" s="1" t="s">
        <v>684</v>
      </c>
    </row>
    <row r="1447">
      <c r="A1447" s="1">
        <v>3372253.0</v>
      </c>
      <c r="B1447" s="1" t="s">
        <v>3150</v>
      </c>
      <c r="C1447" s="1" t="s">
        <v>2930</v>
      </c>
      <c r="D1447" s="1" t="s">
        <v>2967</v>
      </c>
      <c r="E1447" s="1" t="s">
        <v>3151</v>
      </c>
      <c r="F1447" s="1" t="s">
        <v>16</v>
      </c>
      <c r="G1447" s="1" t="s">
        <v>23</v>
      </c>
      <c r="H1447" s="1" t="s">
        <v>18</v>
      </c>
      <c r="I1447" s="1" t="s">
        <v>65</v>
      </c>
    </row>
    <row r="1448">
      <c r="A1448" s="1">
        <v>3318125.0</v>
      </c>
      <c r="B1448" s="1" t="s">
        <v>3152</v>
      </c>
      <c r="C1448" s="1" t="s">
        <v>2930</v>
      </c>
      <c r="D1448" s="1" t="s">
        <v>3049</v>
      </c>
      <c r="E1448" s="1" t="s">
        <v>3153</v>
      </c>
      <c r="F1448" s="1" t="s">
        <v>55</v>
      </c>
      <c r="G1448" s="1" t="s">
        <v>17</v>
      </c>
      <c r="H1448" s="1" t="s">
        <v>18</v>
      </c>
      <c r="I1448" s="1" t="s">
        <v>19</v>
      </c>
    </row>
    <row r="1449">
      <c r="A1449" s="1">
        <v>3310052.0</v>
      </c>
      <c r="B1449" s="1" t="s">
        <v>3154</v>
      </c>
      <c r="C1449" s="1" t="s">
        <v>2930</v>
      </c>
      <c r="D1449" s="1" t="s">
        <v>2989</v>
      </c>
      <c r="E1449" s="1" t="s">
        <v>3155</v>
      </c>
      <c r="F1449" s="1" t="s">
        <v>16</v>
      </c>
      <c r="G1449" s="1" t="s">
        <v>17</v>
      </c>
      <c r="H1449" s="1" t="s">
        <v>18</v>
      </c>
      <c r="I1449" s="1" t="s">
        <v>684</v>
      </c>
    </row>
    <row r="1450">
      <c r="A1450" s="1">
        <v>3374342.0</v>
      </c>
      <c r="B1450" s="1" t="s">
        <v>3156</v>
      </c>
      <c r="C1450" s="1" t="s">
        <v>2930</v>
      </c>
      <c r="D1450" s="1" t="s">
        <v>2948</v>
      </c>
      <c r="E1450" s="1" t="s">
        <v>3157</v>
      </c>
      <c r="F1450" s="1" t="s">
        <v>16</v>
      </c>
      <c r="G1450" s="1" t="s">
        <v>27</v>
      </c>
      <c r="H1450" s="1" t="s">
        <v>28</v>
      </c>
      <c r="I1450" s="1" t="s">
        <v>29</v>
      </c>
    </row>
    <row r="1451">
      <c r="A1451" s="1">
        <v>3310417.0</v>
      </c>
      <c r="B1451" s="1" t="s">
        <v>3158</v>
      </c>
      <c r="C1451" s="1" t="s">
        <v>2930</v>
      </c>
      <c r="D1451" s="1" t="s">
        <v>2989</v>
      </c>
      <c r="E1451" s="1" t="s">
        <v>3159</v>
      </c>
      <c r="F1451" s="1" t="s">
        <v>16</v>
      </c>
      <c r="G1451" s="1" t="s">
        <v>17</v>
      </c>
      <c r="H1451" s="1" t="s">
        <v>18</v>
      </c>
      <c r="I1451" s="1" t="s">
        <v>19</v>
      </c>
    </row>
    <row r="1452">
      <c r="A1452" s="1">
        <v>3327043.0</v>
      </c>
      <c r="B1452" s="1" t="s">
        <v>3160</v>
      </c>
      <c r="C1452" s="1" t="s">
        <v>2930</v>
      </c>
      <c r="D1452" s="1" t="s">
        <v>3054</v>
      </c>
      <c r="E1452" s="1" t="s">
        <v>3161</v>
      </c>
      <c r="F1452" s="1" t="s">
        <v>16</v>
      </c>
      <c r="G1452" s="1" t="s">
        <v>17</v>
      </c>
      <c r="H1452" s="1" t="s">
        <v>18</v>
      </c>
      <c r="I1452" s="1" t="s">
        <v>684</v>
      </c>
    </row>
    <row r="1453">
      <c r="A1453" s="1">
        <v>3311229.0</v>
      </c>
      <c r="B1453" s="1" t="s">
        <v>3162</v>
      </c>
      <c r="C1453" s="1" t="s">
        <v>2930</v>
      </c>
      <c r="D1453" s="1" t="s">
        <v>3014</v>
      </c>
      <c r="E1453" s="1" t="s">
        <v>3163</v>
      </c>
      <c r="F1453" s="1" t="s">
        <v>16</v>
      </c>
      <c r="G1453" s="1" t="s">
        <v>17</v>
      </c>
      <c r="H1453" s="1" t="s">
        <v>18</v>
      </c>
      <c r="I1453" s="1" t="s">
        <v>19</v>
      </c>
    </row>
    <row r="1454">
      <c r="A1454" s="1">
        <v>3302232.0</v>
      </c>
      <c r="B1454" s="1" t="s">
        <v>3164</v>
      </c>
      <c r="C1454" s="1" t="s">
        <v>2930</v>
      </c>
      <c r="D1454" s="1" t="s">
        <v>2937</v>
      </c>
      <c r="E1454" s="1" t="s">
        <v>3165</v>
      </c>
      <c r="F1454" s="1" t="s">
        <v>16</v>
      </c>
      <c r="G1454" s="1" t="s">
        <v>17</v>
      </c>
      <c r="H1454" s="1" t="s">
        <v>18</v>
      </c>
      <c r="I1454" s="1" t="s">
        <v>44</v>
      </c>
    </row>
    <row r="1455">
      <c r="A1455" s="1">
        <v>3320046.0</v>
      </c>
      <c r="B1455" s="1" t="s">
        <v>3166</v>
      </c>
      <c r="C1455" s="1" t="s">
        <v>2930</v>
      </c>
      <c r="D1455" s="1" t="s">
        <v>3104</v>
      </c>
      <c r="E1455" s="1" t="s">
        <v>3167</v>
      </c>
      <c r="F1455" s="1" t="s">
        <v>16</v>
      </c>
      <c r="G1455" s="1" t="s">
        <v>23</v>
      </c>
      <c r="H1455" s="1" t="s">
        <v>18</v>
      </c>
      <c r="I1455" s="1" t="s">
        <v>684</v>
      </c>
    </row>
    <row r="1456">
      <c r="A1456" s="1">
        <v>3315075.0</v>
      </c>
      <c r="B1456" s="1" t="s">
        <v>3168</v>
      </c>
      <c r="C1456" s="1" t="s">
        <v>2930</v>
      </c>
      <c r="D1456" s="1" t="s">
        <v>3005</v>
      </c>
      <c r="E1456" s="1" t="s">
        <v>3169</v>
      </c>
      <c r="F1456" s="1" t="s">
        <v>16</v>
      </c>
      <c r="G1456" s="1" t="s">
        <v>23</v>
      </c>
      <c r="H1456" s="1" t="s">
        <v>18</v>
      </c>
      <c r="I1456" s="1" t="s">
        <v>44</v>
      </c>
    </row>
    <row r="1457">
      <c r="A1457" s="1">
        <v>3301105.0</v>
      </c>
      <c r="B1457" s="1" t="s">
        <v>3170</v>
      </c>
      <c r="C1457" s="1" t="s">
        <v>2930</v>
      </c>
      <c r="D1457" s="1" t="s">
        <v>2996</v>
      </c>
      <c r="E1457" s="1" t="s">
        <v>3171</v>
      </c>
      <c r="F1457" s="1" t="s">
        <v>16</v>
      </c>
      <c r="G1457" s="1" t="s">
        <v>23</v>
      </c>
      <c r="H1457" s="1" t="s">
        <v>18</v>
      </c>
      <c r="I1457" s="1" t="s">
        <v>59</v>
      </c>
    </row>
    <row r="1458">
      <c r="A1458" s="1">
        <v>3371040.0</v>
      </c>
      <c r="B1458" s="1" t="s">
        <v>3172</v>
      </c>
      <c r="C1458" s="1" t="s">
        <v>2930</v>
      </c>
      <c r="D1458" s="1" t="s">
        <v>2939</v>
      </c>
      <c r="E1458" s="1" t="s">
        <v>3173</v>
      </c>
      <c r="F1458" s="1" t="s">
        <v>174</v>
      </c>
      <c r="G1458" s="1" t="s">
        <v>150</v>
      </c>
      <c r="H1458" s="1" t="s">
        <v>33</v>
      </c>
      <c r="I1458" s="1" t="s">
        <v>411</v>
      </c>
    </row>
    <row r="1459">
      <c r="A1459" s="1">
        <v>3316025.0</v>
      </c>
      <c r="B1459" s="1" t="s">
        <v>3174</v>
      </c>
      <c r="C1459" s="1" t="s">
        <v>2930</v>
      </c>
      <c r="D1459" s="1" t="s">
        <v>2951</v>
      </c>
      <c r="E1459" s="1" t="s">
        <v>3175</v>
      </c>
      <c r="F1459" s="1" t="s">
        <v>16</v>
      </c>
      <c r="G1459" s="1" t="s">
        <v>17</v>
      </c>
      <c r="H1459" s="1" t="s">
        <v>28</v>
      </c>
      <c r="I1459" s="1" t="s">
        <v>40</v>
      </c>
    </row>
    <row r="1460">
      <c r="A1460" s="1">
        <v>3302174.0</v>
      </c>
      <c r="B1460" s="1" t="s">
        <v>3176</v>
      </c>
      <c r="C1460" s="1" t="s">
        <v>2930</v>
      </c>
      <c r="D1460" s="1" t="s">
        <v>2937</v>
      </c>
      <c r="E1460" s="1" t="s">
        <v>3177</v>
      </c>
      <c r="F1460" s="1" t="s">
        <v>55</v>
      </c>
      <c r="G1460" s="1" t="s">
        <v>17</v>
      </c>
      <c r="H1460" s="1" t="s">
        <v>18</v>
      </c>
      <c r="I1460" s="1" t="s">
        <v>59</v>
      </c>
    </row>
    <row r="1461">
      <c r="A1461" s="1">
        <v>3309128.0</v>
      </c>
      <c r="B1461" s="1" t="s">
        <v>3178</v>
      </c>
      <c r="C1461" s="1" t="s">
        <v>2930</v>
      </c>
      <c r="D1461" s="1" t="s">
        <v>2973</v>
      </c>
      <c r="E1461" s="1" t="s">
        <v>3179</v>
      </c>
      <c r="F1461" s="1" t="s">
        <v>16</v>
      </c>
      <c r="G1461" s="1" t="s">
        <v>23</v>
      </c>
      <c r="H1461" s="1" t="s">
        <v>18</v>
      </c>
      <c r="I1461" s="1" t="s">
        <v>684</v>
      </c>
    </row>
    <row r="1462">
      <c r="A1462" s="1">
        <v>3328082.0</v>
      </c>
      <c r="B1462" s="1" t="s">
        <v>3180</v>
      </c>
      <c r="C1462" s="1" t="s">
        <v>2930</v>
      </c>
      <c r="D1462" s="1" t="s">
        <v>3038</v>
      </c>
      <c r="E1462" s="1" t="s">
        <v>3181</v>
      </c>
      <c r="F1462" s="1" t="s">
        <v>16</v>
      </c>
      <c r="G1462" s="1" t="s">
        <v>23</v>
      </c>
      <c r="H1462" s="1" t="s">
        <v>18</v>
      </c>
      <c r="I1462" s="1" t="s">
        <v>163</v>
      </c>
    </row>
    <row r="1463">
      <c r="A1463" s="1">
        <v>3304010.0</v>
      </c>
      <c r="B1463" s="1" t="s">
        <v>3182</v>
      </c>
      <c r="C1463" s="1" t="s">
        <v>2930</v>
      </c>
      <c r="D1463" s="1" t="s">
        <v>3183</v>
      </c>
      <c r="E1463" s="1" t="s">
        <v>3184</v>
      </c>
      <c r="F1463" s="1" t="s">
        <v>16</v>
      </c>
      <c r="G1463" s="1" t="s">
        <v>17</v>
      </c>
      <c r="H1463" s="1" t="s">
        <v>28</v>
      </c>
      <c r="I1463" s="1" t="s">
        <v>40</v>
      </c>
    </row>
    <row r="1464">
      <c r="A1464" s="1">
        <v>3372234.0</v>
      </c>
      <c r="B1464" s="1" t="s">
        <v>3185</v>
      </c>
      <c r="C1464" s="1" t="s">
        <v>2930</v>
      </c>
      <c r="D1464" s="1" t="s">
        <v>2967</v>
      </c>
      <c r="E1464" s="1" t="s">
        <v>3186</v>
      </c>
      <c r="F1464" s="1" t="s">
        <v>16</v>
      </c>
      <c r="G1464" s="1" t="s">
        <v>17</v>
      </c>
      <c r="H1464" s="1" t="s">
        <v>28</v>
      </c>
      <c r="I1464" s="1" t="s">
        <v>29</v>
      </c>
    </row>
    <row r="1465">
      <c r="A1465" s="1">
        <v>3373092.0</v>
      </c>
      <c r="B1465" s="1" t="s">
        <v>3187</v>
      </c>
      <c r="C1465" s="1" t="s">
        <v>2930</v>
      </c>
      <c r="D1465" s="1" t="s">
        <v>2961</v>
      </c>
      <c r="E1465" s="1" t="s">
        <v>3188</v>
      </c>
      <c r="F1465" s="1" t="s">
        <v>55</v>
      </c>
      <c r="G1465" s="1" t="s">
        <v>17</v>
      </c>
      <c r="H1465" s="1" t="s">
        <v>18</v>
      </c>
      <c r="I1465" s="1" t="s">
        <v>163</v>
      </c>
    </row>
    <row r="1466">
      <c r="A1466" s="1">
        <v>3320032.0</v>
      </c>
      <c r="B1466" s="1" t="s">
        <v>3189</v>
      </c>
      <c r="C1466" s="1" t="s">
        <v>2930</v>
      </c>
      <c r="D1466" s="1" t="s">
        <v>3104</v>
      </c>
      <c r="E1466" s="1" t="s">
        <v>3190</v>
      </c>
      <c r="F1466" s="1" t="s">
        <v>16</v>
      </c>
      <c r="G1466" s="1" t="s">
        <v>17</v>
      </c>
      <c r="H1466" s="1" t="s">
        <v>18</v>
      </c>
      <c r="I1466" s="1" t="s">
        <v>684</v>
      </c>
    </row>
    <row r="1467">
      <c r="A1467" s="1">
        <v>3311228.0</v>
      </c>
      <c r="B1467" s="1" t="s">
        <v>3191</v>
      </c>
      <c r="C1467" s="1" t="s">
        <v>2930</v>
      </c>
      <c r="D1467" s="1" t="s">
        <v>3014</v>
      </c>
      <c r="E1467" s="1" t="s">
        <v>3192</v>
      </c>
      <c r="F1467" s="1" t="s">
        <v>16</v>
      </c>
      <c r="G1467" s="1" t="s">
        <v>17</v>
      </c>
      <c r="H1467" s="1" t="s">
        <v>18</v>
      </c>
      <c r="I1467" s="1" t="s">
        <v>34</v>
      </c>
    </row>
    <row r="1468">
      <c r="A1468" s="1">
        <v>3374372.0</v>
      </c>
      <c r="B1468" s="1" t="s">
        <v>3193</v>
      </c>
      <c r="C1468" s="1" t="s">
        <v>2930</v>
      </c>
      <c r="D1468" s="1" t="s">
        <v>2948</v>
      </c>
      <c r="E1468" s="1" t="s">
        <v>3194</v>
      </c>
      <c r="F1468" s="1" t="s">
        <v>32</v>
      </c>
      <c r="G1468" s="1" t="s">
        <v>27</v>
      </c>
      <c r="H1468" s="1" t="s">
        <v>18</v>
      </c>
      <c r="I1468" s="1" t="s">
        <v>19</v>
      </c>
    </row>
    <row r="1469">
      <c r="A1469" s="1">
        <v>3327049.0</v>
      </c>
      <c r="B1469" s="1" t="s">
        <v>3195</v>
      </c>
      <c r="C1469" s="1" t="s">
        <v>2930</v>
      </c>
      <c r="D1469" s="1" t="s">
        <v>3054</v>
      </c>
      <c r="E1469" s="1" t="s">
        <v>3196</v>
      </c>
      <c r="F1469" s="1" t="s">
        <v>16</v>
      </c>
      <c r="G1469" s="1" t="s">
        <v>23</v>
      </c>
      <c r="H1469" s="1" t="s">
        <v>18</v>
      </c>
      <c r="I1469" s="1" t="s">
        <v>19</v>
      </c>
    </row>
    <row r="1470">
      <c r="A1470" s="1">
        <v>3309063.0</v>
      </c>
      <c r="B1470" s="1" t="s">
        <v>3197</v>
      </c>
      <c r="C1470" s="1" t="s">
        <v>2930</v>
      </c>
      <c r="D1470" s="1" t="s">
        <v>2973</v>
      </c>
      <c r="E1470" s="1" t="s">
        <v>3198</v>
      </c>
      <c r="F1470" s="1" t="s">
        <v>16</v>
      </c>
      <c r="G1470" s="1" t="s">
        <v>17</v>
      </c>
      <c r="H1470" s="1" t="s">
        <v>18</v>
      </c>
      <c r="I1470" s="1" t="s">
        <v>684</v>
      </c>
    </row>
    <row r="1471">
      <c r="A1471" s="1">
        <v>3374145.0</v>
      </c>
      <c r="B1471" s="1" t="s">
        <v>3199</v>
      </c>
      <c r="C1471" s="1" t="s">
        <v>2930</v>
      </c>
      <c r="D1471" s="1" t="s">
        <v>2948</v>
      </c>
      <c r="E1471" s="1" t="s">
        <v>3200</v>
      </c>
      <c r="F1471" s="1" t="s">
        <v>16</v>
      </c>
      <c r="G1471" s="1" t="s">
        <v>17</v>
      </c>
      <c r="H1471" s="1" t="s">
        <v>18</v>
      </c>
      <c r="I1471" s="1" t="s">
        <v>19</v>
      </c>
    </row>
    <row r="1472">
      <c r="A1472" s="1">
        <v>3305117.0</v>
      </c>
      <c r="B1472" s="1" t="s">
        <v>3201</v>
      </c>
      <c r="C1472" s="1" t="s">
        <v>2930</v>
      </c>
      <c r="D1472" s="1" t="s">
        <v>2958</v>
      </c>
      <c r="E1472" s="1" t="s">
        <v>3202</v>
      </c>
      <c r="F1472" s="1" t="s">
        <v>16</v>
      </c>
      <c r="G1472" s="1" t="s">
        <v>23</v>
      </c>
      <c r="H1472" s="1" t="s">
        <v>18</v>
      </c>
      <c r="I1472" s="1" t="s">
        <v>684</v>
      </c>
    </row>
    <row r="1473">
      <c r="A1473" s="1">
        <v>3301115.0</v>
      </c>
      <c r="B1473" s="1" t="s">
        <v>3203</v>
      </c>
      <c r="C1473" s="1" t="s">
        <v>2930</v>
      </c>
      <c r="D1473" s="1" t="s">
        <v>2996</v>
      </c>
      <c r="E1473" s="1" t="s">
        <v>3204</v>
      </c>
      <c r="F1473" s="1" t="s">
        <v>16</v>
      </c>
      <c r="G1473" s="1" t="s">
        <v>17</v>
      </c>
      <c r="H1473" s="1" t="s">
        <v>18</v>
      </c>
      <c r="I1473" s="1" t="s">
        <v>44</v>
      </c>
    </row>
    <row r="1474">
      <c r="A1474" s="1">
        <v>3312295.0</v>
      </c>
      <c r="B1474" s="1" t="s">
        <v>3205</v>
      </c>
      <c r="C1474" s="1" t="s">
        <v>2930</v>
      </c>
      <c r="D1474" s="1" t="s">
        <v>3118</v>
      </c>
      <c r="E1474" s="1" t="s">
        <v>3206</v>
      </c>
      <c r="F1474" s="1" t="s">
        <v>16</v>
      </c>
      <c r="G1474" s="1" t="s">
        <v>17</v>
      </c>
      <c r="H1474" s="1" t="s">
        <v>18</v>
      </c>
      <c r="I1474" s="1" t="s">
        <v>19</v>
      </c>
    </row>
    <row r="1475">
      <c r="A1475" s="1">
        <v>3376082.0</v>
      </c>
      <c r="B1475" s="1" t="s">
        <v>3207</v>
      </c>
      <c r="C1475" s="1" t="s">
        <v>2930</v>
      </c>
      <c r="D1475" s="1" t="s">
        <v>3208</v>
      </c>
      <c r="E1475" s="1" t="s">
        <v>3209</v>
      </c>
      <c r="F1475" s="1" t="s">
        <v>16</v>
      </c>
      <c r="G1475" s="1" t="s">
        <v>27</v>
      </c>
      <c r="H1475" s="1" t="s">
        <v>18</v>
      </c>
      <c r="I1475" s="1" t="s">
        <v>684</v>
      </c>
    </row>
    <row r="1476">
      <c r="A1476" s="1">
        <v>3304032.0</v>
      </c>
      <c r="B1476" s="1" t="s">
        <v>3210</v>
      </c>
      <c r="C1476" s="1" t="s">
        <v>2930</v>
      </c>
      <c r="D1476" s="1" t="s">
        <v>3183</v>
      </c>
      <c r="E1476" s="1" t="s">
        <v>3211</v>
      </c>
      <c r="F1476" s="1" t="s">
        <v>16</v>
      </c>
      <c r="G1476" s="1" t="s">
        <v>17</v>
      </c>
      <c r="H1476" s="1" t="s">
        <v>18</v>
      </c>
      <c r="I1476" s="1" t="s">
        <v>59</v>
      </c>
    </row>
    <row r="1477">
      <c r="A1477" s="1">
        <v>3314090.0</v>
      </c>
      <c r="B1477" s="1" t="s">
        <v>3212</v>
      </c>
      <c r="C1477" s="1" t="s">
        <v>2930</v>
      </c>
      <c r="D1477" s="1" t="s">
        <v>2945</v>
      </c>
      <c r="E1477" s="1" t="s">
        <v>3213</v>
      </c>
      <c r="F1477" s="1" t="s">
        <v>16</v>
      </c>
      <c r="G1477" s="1" t="s">
        <v>17</v>
      </c>
      <c r="H1477" s="1" t="s">
        <v>18</v>
      </c>
      <c r="I1477" s="1" t="s">
        <v>19</v>
      </c>
    </row>
    <row r="1478">
      <c r="A1478" s="1">
        <v>3314067.0</v>
      </c>
      <c r="B1478" s="1" t="s">
        <v>3214</v>
      </c>
      <c r="C1478" s="1" t="s">
        <v>2930</v>
      </c>
      <c r="D1478" s="1" t="s">
        <v>2945</v>
      </c>
      <c r="E1478" s="1" t="s">
        <v>3215</v>
      </c>
      <c r="F1478" s="1" t="s">
        <v>16</v>
      </c>
      <c r="G1478" s="1" t="s">
        <v>23</v>
      </c>
      <c r="H1478" s="1" t="s">
        <v>18</v>
      </c>
      <c r="I1478" s="1" t="s">
        <v>44</v>
      </c>
    </row>
    <row r="1479">
      <c r="A1479" s="1">
        <v>3311230.0</v>
      </c>
      <c r="B1479" s="1" t="s">
        <v>3216</v>
      </c>
      <c r="C1479" s="1" t="s">
        <v>2930</v>
      </c>
      <c r="D1479" s="1" t="s">
        <v>3014</v>
      </c>
      <c r="E1479" s="1" t="s">
        <v>3217</v>
      </c>
      <c r="F1479" s="1" t="s">
        <v>16</v>
      </c>
      <c r="G1479" s="1" t="s">
        <v>23</v>
      </c>
      <c r="H1479" s="1" t="s">
        <v>18</v>
      </c>
      <c r="I1479" s="1" t="s">
        <v>684</v>
      </c>
    </row>
    <row r="1480">
      <c r="A1480" s="1">
        <v>3329112.0</v>
      </c>
      <c r="B1480" s="1" t="s">
        <v>3218</v>
      </c>
      <c r="C1480" s="1" t="s">
        <v>2930</v>
      </c>
      <c r="D1480" s="1" t="s">
        <v>2999</v>
      </c>
      <c r="E1480" s="1" t="s">
        <v>3219</v>
      </c>
      <c r="F1480" s="1" t="s">
        <v>16</v>
      </c>
      <c r="G1480" s="1" t="s">
        <v>23</v>
      </c>
      <c r="H1480" s="1" t="s">
        <v>18</v>
      </c>
      <c r="I1480" s="1" t="s">
        <v>44</v>
      </c>
    </row>
    <row r="1481">
      <c r="A1481" s="1">
        <v>3318114.0</v>
      </c>
      <c r="B1481" s="1" t="s">
        <v>3220</v>
      </c>
      <c r="C1481" s="1" t="s">
        <v>2930</v>
      </c>
      <c r="D1481" s="1" t="s">
        <v>3049</v>
      </c>
      <c r="E1481" s="1" t="s">
        <v>3221</v>
      </c>
      <c r="F1481" s="1" t="s">
        <v>16</v>
      </c>
      <c r="G1481" s="1" t="s">
        <v>17</v>
      </c>
      <c r="H1481" s="1" t="s">
        <v>18</v>
      </c>
      <c r="I1481" s="1" t="s">
        <v>44</v>
      </c>
    </row>
    <row r="1482">
      <c r="A1482" s="1">
        <v>3302180.0</v>
      </c>
      <c r="B1482" s="1" t="s">
        <v>3222</v>
      </c>
      <c r="C1482" s="1" t="s">
        <v>2930</v>
      </c>
      <c r="D1482" s="1" t="s">
        <v>2937</v>
      </c>
      <c r="E1482" s="1" t="s">
        <v>3223</v>
      </c>
      <c r="F1482" s="1" t="s">
        <v>16</v>
      </c>
      <c r="G1482" s="1" t="s">
        <v>23</v>
      </c>
      <c r="H1482" s="1" t="s">
        <v>18</v>
      </c>
      <c r="I1482" s="1" t="s">
        <v>59</v>
      </c>
    </row>
    <row r="1483">
      <c r="A1483" s="1">
        <v>3372052.0</v>
      </c>
      <c r="B1483" s="1" t="s">
        <v>3224</v>
      </c>
      <c r="C1483" s="1" t="s">
        <v>2930</v>
      </c>
      <c r="D1483" s="1" t="s">
        <v>2967</v>
      </c>
      <c r="E1483" s="1" t="s">
        <v>3225</v>
      </c>
      <c r="F1483" s="1" t="s">
        <v>174</v>
      </c>
      <c r="G1483" s="1" t="s">
        <v>150</v>
      </c>
      <c r="H1483" s="1" t="s">
        <v>28</v>
      </c>
      <c r="I1483" s="1" t="s">
        <v>139</v>
      </c>
    </row>
    <row r="1484">
      <c r="A1484" s="1">
        <v>3328035.0</v>
      </c>
      <c r="B1484" s="1" t="s">
        <v>3226</v>
      </c>
      <c r="C1484" s="1" t="s">
        <v>2930</v>
      </c>
      <c r="D1484" s="1" t="s">
        <v>3038</v>
      </c>
      <c r="E1484" s="1" t="s">
        <v>3227</v>
      </c>
      <c r="F1484" s="1" t="s">
        <v>16</v>
      </c>
      <c r="G1484" s="1" t="s">
        <v>17</v>
      </c>
      <c r="H1484" s="1" t="s">
        <v>28</v>
      </c>
      <c r="I1484" s="1" t="s">
        <v>40</v>
      </c>
    </row>
    <row r="1485">
      <c r="A1485" s="1">
        <v>3312309.0</v>
      </c>
      <c r="B1485" s="1" t="s">
        <v>3228</v>
      </c>
      <c r="C1485" s="1" t="s">
        <v>2930</v>
      </c>
      <c r="D1485" s="1" t="s">
        <v>3118</v>
      </c>
      <c r="E1485" s="1" t="s">
        <v>3229</v>
      </c>
      <c r="F1485" s="1" t="s">
        <v>16</v>
      </c>
      <c r="G1485" s="1" t="s">
        <v>23</v>
      </c>
      <c r="H1485" s="1" t="s">
        <v>18</v>
      </c>
      <c r="I1485" s="1" t="s">
        <v>44</v>
      </c>
    </row>
    <row r="1486">
      <c r="A1486" s="1">
        <v>3319010.0</v>
      </c>
      <c r="B1486" s="1" t="s">
        <v>3230</v>
      </c>
      <c r="C1486" s="1" t="s">
        <v>2930</v>
      </c>
      <c r="D1486" s="1" t="s">
        <v>2934</v>
      </c>
      <c r="E1486" s="1" t="s">
        <v>3231</v>
      </c>
      <c r="F1486" s="1" t="s">
        <v>16</v>
      </c>
      <c r="G1486" s="1" t="s">
        <v>27</v>
      </c>
      <c r="H1486" s="1" t="s">
        <v>28</v>
      </c>
      <c r="I1486" s="1" t="s">
        <v>40</v>
      </c>
    </row>
    <row r="1487">
      <c r="A1487" s="1">
        <v>3318109.0</v>
      </c>
      <c r="B1487" s="1" t="s">
        <v>3232</v>
      </c>
      <c r="C1487" s="1" t="s">
        <v>2930</v>
      </c>
      <c r="D1487" s="1" t="s">
        <v>3049</v>
      </c>
      <c r="E1487" s="1" t="s">
        <v>3233</v>
      </c>
      <c r="F1487" s="1" t="s">
        <v>16</v>
      </c>
      <c r="G1487" s="1" t="s">
        <v>23</v>
      </c>
      <c r="H1487" s="1" t="s">
        <v>18</v>
      </c>
      <c r="I1487" s="1" t="s">
        <v>19</v>
      </c>
    </row>
    <row r="1488">
      <c r="A1488" s="1">
        <v>3329126.0</v>
      </c>
      <c r="B1488" s="1" t="s">
        <v>3234</v>
      </c>
      <c r="C1488" s="1" t="s">
        <v>2930</v>
      </c>
      <c r="D1488" s="1" t="s">
        <v>2999</v>
      </c>
      <c r="E1488" s="1" t="s">
        <v>3235</v>
      </c>
      <c r="F1488" s="1" t="s">
        <v>55</v>
      </c>
      <c r="G1488" s="1" t="s">
        <v>17</v>
      </c>
      <c r="H1488" s="1" t="s">
        <v>18</v>
      </c>
      <c r="I1488" s="1" t="s">
        <v>19</v>
      </c>
    </row>
    <row r="1489">
      <c r="A1489" s="1">
        <v>3306082.0</v>
      </c>
      <c r="B1489" s="1" t="s">
        <v>3236</v>
      </c>
      <c r="C1489" s="1" t="s">
        <v>2930</v>
      </c>
      <c r="D1489" s="1" t="s">
        <v>2942</v>
      </c>
      <c r="E1489" s="1" t="s">
        <v>3237</v>
      </c>
      <c r="F1489" s="1" t="s">
        <v>16</v>
      </c>
      <c r="G1489" s="1" t="s">
        <v>23</v>
      </c>
      <c r="H1489" s="1" t="s">
        <v>18</v>
      </c>
      <c r="I1489" s="1" t="s">
        <v>59</v>
      </c>
    </row>
    <row r="1490">
      <c r="A1490" s="1">
        <v>3374043.0</v>
      </c>
      <c r="B1490" s="1" t="s">
        <v>3238</v>
      </c>
      <c r="C1490" s="1" t="s">
        <v>2930</v>
      </c>
      <c r="D1490" s="1" t="s">
        <v>2948</v>
      </c>
      <c r="E1490" s="1" t="s">
        <v>3239</v>
      </c>
      <c r="F1490" s="1" t="s">
        <v>16</v>
      </c>
      <c r="G1490" s="1" t="s">
        <v>27</v>
      </c>
      <c r="H1490" s="1" t="s">
        <v>18</v>
      </c>
      <c r="I1490" s="1" t="s">
        <v>59</v>
      </c>
    </row>
    <row r="1491">
      <c r="A1491" s="1">
        <v>3323046.0</v>
      </c>
      <c r="B1491" s="1" t="s">
        <v>3240</v>
      </c>
      <c r="C1491" s="1" t="s">
        <v>2930</v>
      </c>
      <c r="D1491" s="1" t="s">
        <v>3146</v>
      </c>
      <c r="E1491" s="1" t="s">
        <v>3241</v>
      </c>
      <c r="F1491" s="1" t="s">
        <v>16</v>
      </c>
      <c r="G1491" s="1" t="s">
        <v>23</v>
      </c>
      <c r="H1491" s="1" t="s">
        <v>18</v>
      </c>
      <c r="I1491" s="1" t="s">
        <v>59</v>
      </c>
    </row>
    <row r="1492">
      <c r="A1492" s="1">
        <v>3324038.0</v>
      </c>
      <c r="B1492" s="1" t="s">
        <v>3242</v>
      </c>
      <c r="C1492" s="1" t="s">
        <v>2930</v>
      </c>
      <c r="D1492" s="1" t="s">
        <v>2970</v>
      </c>
      <c r="E1492" s="1" t="s">
        <v>3243</v>
      </c>
      <c r="F1492" s="1" t="s">
        <v>16</v>
      </c>
      <c r="G1492" s="1" t="s">
        <v>23</v>
      </c>
      <c r="H1492" s="1" t="s">
        <v>18</v>
      </c>
      <c r="I1492" s="1" t="s">
        <v>44</v>
      </c>
    </row>
    <row r="1493">
      <c r="A1493" s="1">
        <v>3327047.0</v>
      </c>
      <c r="B1493" s="1" t="s">
        <v>3244</v>
      </c>
      <c r="C1493" s="1" t="s">
        <v>2930</v>
      </c>
      <c r="D1493" s="1" t="s">
        <v>3054</v>
      </c>
      <c r="E1493" s="1" t="s">
        <v>3245</v>
      </c>
      <c r="F1493" s="1" t="s">
        <v>16</v>
      </c>
      <c r="G1493" s="1" t="s">
        <v>23</v>
      </c>
      <c r="H1493" s="1" t="s">
        <v>18</v>
      </c>
      <c r="I1493" s="1" t="s">
        <v>684</v>
      </c>
    </row>
    <row r="1494">
      <c r="A1494" s="1">
        <v>3303103.0</v>
      </c>
      <c r="B1494" s="1" t="s">
        <v>3246</v>
      </c>
      <c r="C1494" s="1" t="s">
        <v>2930</v>
      </c>
      <c r="D1494" s="1" t="s">
        <v>3099</v>
      </c>
      <c r="E1494" s="1" t="s">
        <v>3247</v>
      </c>
      <c r="F1494" s="1" t="s">
        <v>16</v>
      </c>
      <c r="G1494" s="1" t="s">
        <v>17</v>
      </c>
      <c r="H1494" s="1" t="s">
        <v>18</v>
      </c>
      <c r="I1494" s="1" t="s">
        <v>19</v>
      </c>
    </row>
    <row r="1495">
      <c r="A1495" s="1">
        <v>3324052.0</v>
      </c>
      <c r="B1495" s="1" t="s">
        <v>3248</v>
      </c>
      <c r="C1495" s="1" t="s">
        <v>2930</v>
      </c>
      <c r="D1495" s="1" t="s">
        <v>2970</v>
      </c>
      <c r="E1495" s="1" t="s">
        <v>3249</v>
      </c>
      <c r="F1495" s="1" t="s">
        <v>16</v>
      </c>
      <c r="G1495" s="1" t="s">
        <v>23</v>
      </c>
      <c r="H1495" s="1" t="s">
        <v>18</v>
      </c>
      <c r="I1495" s="1" t="s">
        <v>684</v>
      </c>
    </row>
    <row r="1496">
      <c r="A1496" s="1">
        <v>3316075.0</v>
      </c>
      <c r="B1496" s="1" t="s">
        <v>3250</v>
      </c>
      <c r="C1496" s="1" t="s">
        <v>2930</v>
      </c>
      <c r="D1496" s="1" t="s">
        <v>2951</v>
      </c>
      <c r="E1496" s="1" t="s">
        <v>3251</v>
      </c>
      <c r="F1496" s="1" t="s">
        <v>16</v>
      </c>
      <c r="G1496" s="1" t="s">
        <v>23</v>
      </c>
      <c r="H1496" s="1" t="s">
        <v>28</v>
      </c>
      <c r="I1496" s="1" t="s">
        <v>40</v>
      </c>
    </row>
    <row r="1497">
      <c r="A1497" s="1">
        <v>3310395.0</v>
      </c>
      <c r="B1497" s="1" t="s">
        <v>3252</v>
      </c>
      <c r="C1497" s="1" t="s">
        <v>2930</v>
      </c>
      <c r="D1497" s="1" t="s">
        <v>2989</v>
      </c>
      <c r="E1497" s="1" t="s">
        <v>3253</v>
      </c>
      <c r="F1497" s="1" t="s">
        <v>16</v>
      </c>
      <c r="G1497" s="1" t="s">
        <v>17</v>
      </c>
      <c r="H1497" s="1" t="s">
        <v>18</v>
      </c>
      <c r="I1497" s="1" t="s">
        <v>59</v>
      </c>
    </row>
    <row r="1498">
      <c r="A1498" s="1">
        <v>3326011.0</v>
      </c>
      <c r="B1498" s="1" t="s">
        <v>3254</v>
      </c>
      <c r="C1498" s="1" t="s">
        <v>2930</v>
      </c>
      <c r="D1498" s="1" t="s">
        <v>3033</v>
      </c>
      <c r="E1498" s="1" t="s">
        <v>3255</v>
      </c>
      <c r="F1498" s="1" t="s">
        <v>16</v>
      </c>
      <c r="G1498" s="1" t="s">
        <v>27</v>
      </c>
      <c r="H1498" s="1" t="s">
        <v>28</v>
      </c>
      <c r="I1498" s="1" t="s">
        <v>40</v>
      </c>
    </row>
    <row r="1499">
      <c r="A1499" s="1">
        <v>3319022.0</v>
      </c>
      <c r="B1499" s="1" t="s">
        <v>3256</v>
      </c>
      <c r="C1499" s="1" t="s">
        <v>2930</v>
      </c>
      <c r="D1499" s="1" t="s">
        <v>2934</v>
      </c>
      <c r="E1499" s="1" t="s">
        <v>3257</v>
      </c>
      <c r="F1499" s="1" t="s">
        <v>16</v>
      </c>
      <c r="G1499" s="1" t="s">
        <v>17</v>
      </c>
      <c r="H1499" s="1" t="s">
        <v>18</v>
      </c>
      <c r="I1499" s="1" t="s">
        <v>59</v>
      </c>
    </row>
    <row r="1500">
      <c r="A1500" s="1">
        <v>3329012.0</v>
      </c>
      <c r="B1500" s="1" t="s">
        <v>3258</v>
      </c>
      <c r="C1500" s="1" t="s">
        <v>2930</v>
      </c>
      <c r="D1500" s="1" t="s">
        <v>2999</v>
      </c>
      <c r="E1500" s="1" t="s">
        <v>3259</v>
      </c>
      <c r="F1500" s="1" t="s">
        <v>16</v>
      </c>
      <c r="G1500" s="1" t="s">
        <v>27</v>
      </c>
      <c r="H1500" s="1" t="s">
        <v>28</v>
      </c>
      <c r="I1500" s="1" t="s">
        <v>40</v>
      </c>
    </row>
    <row r="1501">
      <c r="A1501" s="1">
        <v>3302026.0</v>
      </c>
      <c r="B1501" s="1" t="s">
        <v>3260</v>
      </c>
      <c r="C1501" s="1" t="s">
        <v>2930</v>
      </c>
      <c r="D1501" s="1" t="s">
        <v>2937</v>
      </c>
      <c r="E1501" s="1" t="s">
        <v>3261</v>
      </c>
      <c r="F1501" s="1" t="s">
        <v>16</v>
      </c>
      <c r="G1501" s="1" t="s">
        <v>150</v>
      </c>
      <c r="H1501" s="1" t="s">
        <v>28</v>
      </c>
      <c r="I1501" s="1" t="s">
        <v>139</v>
      </c>
    </row>
    <row r="1502">
      <c r="A1502" s="1">
        <v>3371105.0</v>
      </c>
      <c r="B1502" s="1" t="s">
        <v>3262</v>
      </c>
      <c r="C1502" s="1" t="s">
        <v>2930</v>
      </c>
      <c r="D1502" s="1" t="s">
        <v>2939</v>
      </c>
      <c r="E1502" s="1" t="s">
        <v>3263</v>
      </c>
      <c r="F1502" s="1" t="s">
        <v>55</v>
      </c>
      <c r="G1502" s="1" t="s">
        <v>17</v>
      </c>
      <c r="H1502" s="1" t="s">
        <v>18</v>
      </c>
      <c r="I1502" s="1" t="s">
        <v>59</v>
      </c>
    </row>
    <row r="1503">
      <c r="A1503" s="1">
        <v>3307051.0</v>
      </c>
      <c r="B1503" s="1" t="s">
        <v>3264</v>
      </c>
      <c r="C1503" s="1" t="s">
        <v>2930</v>
      </c>
      <c r="D1503" s="1" t="s">
        <v>2983</v>
      </c>
      <c r="E1503" s="1" t="s">
        <v>3265</v>
      </c>
      <c r="F1503" s="1" t="s">
        <v>16</v>
      </c>
      <c r="G1503" s="1" t="s">
        <v>17</v>
      </c>
      <c r="H1503" s="1" t="s">
        <v>18</v>
      </c>
      <c r="I1503" s="1" t="s">
        <v>19</v>
      </c>
    </row>
    <row r="1504">
      <c r="A1504" s="1">
        <v>3321035.0</v>
      </c>
      <c r="B1504" s="1" t="s">
        <v>3266</v>
      </c>
      <c r="C1504" s="1" t="s">
        <v>2930</v>
      </c>
      <c r="D1504" s="1" t="s">
        <v>2964</v>
      </c>
      <c r="E1504" s="1" t="s">
        <v>3267</v>
      </c>
      <c r="F1504" s="1" t="s">
        <v>16</v>
      </c>
      <c r="G1504" s="1" t="s">
        <v>17</v>
      </c>
      <c r="H1504" s="1" t="s">
        <v>28</v>
      </c>
      <c r="I1504" s="1" t="s">
        <v>40</v>
      </c>
    </row>
    <row r="1505">
      <c r="A1505" s="1">
        <v>3316051.0</v>
      </c>
      <c r="B1505" s="1" t="s">
        <v>3268</v>
      </c>
      <c r="C1505" s="1" t="s">
        <v>2930</v>
      </c>
      <c r="D1505" s="1" t="s">
        <v>2951</v>
      </c>
      <c r="E1505" s="1" t="s">
        <v>3269</v>
      </c>
      <c r="F1505" s="1" t="s">
        <v>16</v>
      </c>
      <c r="G1505" s="1" t="s">
        <v>17</v>
      </c>
      <c r="H1505" s="1" t="s">
        <v>18</v>
      </c>
      <c r="I1505" s="1" t="s">
        <v>59</v>
      </c>
    </row>
    <row r="1506">
      <c r="A1506" s="1">
        <v>3311027.0</v>
      </c>
      <c r="B1506" s="1" t="s">
        <v>3270</v>
      </c>
      <c r="C1506" s="1" t="s">
        <v>2930</v>
      </c>
      <c r="D1506" s="1" t="s">
        <v>3014</v>
      </c>
      <c r="E1506" s="1" t="s">
        <v>3271</v>
      </c>
      <c r="F1506" s="1" t="s">
        <v>1970</v>
      </c>
      <c r="G1506" s="1" t="s">
        <v>17</v>
      </c>
      <c r="H1506" s="1" t="s">
        <v>18</v>
      </c>
      <c r="I1506" s="1" t="s">
        <v>19</v>
      </c>
    </row>
    <row r="1507">
      <c r="A1507" s="1">
        <v>3317026.0</v>
      </c>
      <c r="B1507" s="1" t="s">
        <v>3272</v>
      </c>
      <c r="C1507" s="1" t="s">
        <v>2930</v>
      </c>
      <c r="D1507" s="1" t="s">
        <v>3273</v>
      </c>
      <c r="E1507" s="1" t="s">
        <v>3274</v>
      </c>
      <c r="F1507" s="1" t="s">
        <v>16</v>
      </c>
      <c r="G1507" s="1" t="s">
        <v>23</v>
      </c>
      <c r="H1507" s="1" t="s">
        <v>18</v>
      </c>
      <c r="I1507" s="1" t="s">
        <v>684</v>
      </c>
    </row>
    <row r="1508">
      <c r="A1508" s="1">
        <v>3305011.0</v>
      </c>
      <c r="B1508" s="1" t="s">
        <v>3275</v>
      </c>
      <c r="C1508" s="1" t="s">
        <v>2930</v>
      </c>
      <c r="D1508" s="1" t="s">
        <v>2958</v>
      </c>
      <c r="E1508" s="1" t="s">
        <v>3276</v>
      </c>
      <c r="F1508" s="1" t="s">
        <v>16</v>
      </c>
      <c r="G1508" s="1" t="s">
        <v>17</v>
      </c>
      <c r="H1508" s="1" t="s">
        <v>28</v>
      </c>
      <c r="I1508" s="1" t="s">
        <v>40</v>
      </c>
    </row>
    <row r="1509">
      <c r="A1509" s="1">
        <v>3373020.0</v>
      </c>
      <c r="B1509" s="1" t="s">
        <v>3277</v>
      </c>
      <c r="C1509" s="1" t="s">
        <v>2930</v>
      </c>
      <c r="D1509" s="1" t="s">
        <v>2961</v>
      </c>
      <c r="E1509" s="1" t="s">
        <v>3278</v>
      </c>
      <c r="F1509" s="1" t="s">
        <v>16</v>
      </c>
      <c r="G1509" s="1" t="s">
        <v>17</v>
      </c>
      <c r="H1509" s="1" t="s">
        <v>18</v>
      </c>
      <c r="I1509" s="1" t="s">
        <v>74</v>
      </c>
    </row>
    <row r="1510">
      <c r="A1510" s="1">
        <v>3321011.0</v>
      </c>
      <c r="B1510" s="1" t="s">
        <v>3279</v>
      </c>
      <c r="C1510" s="1" t="s">
        <v>2930</v>
      </c>
      <c r="D1510" s="1" t="s">
        <v>2964</v>
      </c>
      <c r="E1510" s="1" t="s">
        <v>3280</v>
      </c>
      <c r="F1510" s="1" t="s">
        <v>16</v>
      </c>
      <c r="G1510" s="1" t="s">
        <v>17</v>
      </c>
      <c r="H1510" s="1" t="s">
        <v>28</v>
      </c>
      <c r="I1510" s="1" t="s">
        <v>40</v>
      </c>
    </row>
    <row r="1511">
      <c r="A1511" s="1">
        <v>3318110.0</v>
      </c>
      <c r="B1511" s="1" t="s">
        <v>3281</v>
      </c>
      <c r="C1511" s="1" t="s">
        <v>2930</v>
      </c>
      <c r="D1511" s="1" t="s">
        <v>3049</v>
      </c>
      <c r="E1511" s="1" t="s">
        <v>3282</v>
      </c>
      <c r="F1511" s="1" t="s">
        <v>16</v>
      </c>
      <c r="G1511" s="1" t="s">
        <v>17</v>
      </c>
      <c r="H1511" s="1" t="s">
        <v>18</v>
      </c>
      <c r="I1511" s="1" t="s">
        <v>684</v>
      </c>
    </row>
    <row r="1512">
      <c r="A1512" s="1">
        <v>3329113.0</v>
      </c>
      <c r="B1512" s="1" t="s">
        <v>3283</v>
      </c>
      <c r="C1512" s="1" t="s">
        <v>2930</v>
      </c>
      <c r="D1512" s="1" t="s">
        <v>2999</v>
      </c>
      <c r="E1512" s="1" t="s">
        <v>3284</v>
      </c>
      <c r="F1512" s="1" t="s">
        <v>16</v>
      </c>
      <c r="G1512" s="1" t="s">
        <v>23</v>
      </c>
      <c r="H1512" s="1" t="s">
        <v>18</v>
      </c>
      <c r="I1512" s="1" t="s">
        <v>44</v>
      </c>
    </row>
    <row r="1513">
      <c r="A1513" s="1">
        <v>3309085.0</v>
      </c>
      <c r="B1513" s="1" t="s">
        <v>3285</v>
      </c>
      <c r="C1513" s="1" t="s">
        <v>2930</v>
      </c>
      <c r="D1513" s="1" t="s">
        <v>2973</v>
      </c>
      <c r="E1513" s="1" t="s">
        <v>3286</v>
      </c>
      <c r="F1513" s="1" t="s">
        <v>16</v>
      </c>
      <c r="G1513" s="1" t="s">
        <v>23</v>
      </c>
      <c r="H1513" s="1" t="s">
        <v>18</v>
      </c>
      <c r="I1513" s="1" t="s">
        <v>19</v>
      </c>
    </row>
    <row r="1514">
      <c r="A1514" s="1">
        <v>3374240.0</v>
      </c>
      <c r="B1514" s="1" t="s">
        <v>3287</v>
      </c>
      <c r="C1514" s="1" t="s">
        <v>2930</v>
      </c>
      <c r="D1514" s="1" t="s">
        <v>2948</v>
      </c>
      <c r="E1514" s="1" t="s">
        <v>3288</v>
      </c>
      <c r="F1514" s="1" t="s">
        <v>16</v>
      </c>
      <c r="G1514" s="1" t="s">
        <v>17</v>
      </c>
      <c r="H1514" s="1" t="s">
        <v>18</v>
      </c>
      <c r="I1514" s="1" t="s">
        <v>258</v>
      </c>
    </row>
    <row r="1515">
      <c r="A1515" s="1">
        <v>3302225.0</v>
      </c>
      <c r="B1515" s="1" t="s">
        <v>3289</v>
      </c>
      <c r="C1515" s="1" t="s">
        <v>2930</v>
      </c>
      <c r="D1515" s="1" t="s">
        <v>2937</v>
      </c>
      <c r="E1515" s="1" t="s">
        <v>3290</v>
      </c>
      <c r="F1515" s="1" t="s">
        <v>255</v>
      </c>
      <c r="G1515" s="1" t="s">
        <v>17</v>
      </c>
      <c r="H1515" s="1" t="s">
        <v>18</v>
      </c>
      <c r="I1515" s="1" t="s">
        <v>44</v>
      </c>
    </row>
    <row r="1516">
      <c r="A1516" s="1">
        <v>3313011.0</v>
      </c>
      <c r="B1516" s="1" t="s">
        <v>3291</v>
      </c>
      <c r="C1516" s="1" t="s">
        <v>2930</v>
      </c>
      <c r="D1516" s="1" t="s">
        <v>2931</v>
      </c>
      <c r="E1516" s="1" t="s">
        <v>3292</v>
      </c>
      <c r="F1516" s="1" t="s">
        <v>16</v>
      </c>
      <c r="G1516" s="1" t="s">
        <v>17</v>
      </c>
      <c r="H1516" s="1" t="s">
        <v>28</v>
      </c>
      <c r="I1516" s="1" t="s">
        <v>40</v>
      </c>
    </row>
    <row r="1517">
      <c r="A1517" s="1">
        <v>3374365.0</v>
      </c>
      <c r="B1517" s="1" t="s">
        <v>3293</v>
      </c>
      <c r="C1517" s="1" t="s">
        <v>2930</v>
      </c>
      <c r="D1517" s="1" t="s">
        <v>2948</v>
      </c>
      <c r="E1517" s="1" t="s">
        <v>3294</v>
      </c>
      <c r="F1517" s="1" t="s">
        <v>16</v>
      </c>
      <c r="G1517" s="1" t="s">
        <v>17</v>
      </c>
      <c r="H1517" s="1" t="s">
        <v>18</v>
      </c>
      <c r="I1517" s="1" t="s">
        <v>44</v>
      </c>
    </row>
    <row r="1518">
      <c r="A1518" s="1">
        <v>3301014.0</v>
      </c>
      <c r="B1518" s="1" t="s">
        <v>3295</v>
      </c>
      <c r="C1518" s="1" t="s">
        <v>2930</v>
      </c>
      <c r="D1518" s="1" t="s">
        <v>2996</v>
      </c>
      <c r="E1518" s="1" t="s">
        <v>3296</v>
      </c>
      <c r="F1518" s="1" t="s">
        <v>16</v>
      </c>
      <c r="G1518" s="1" t="s">
        <v>27</v>
      </c>
      <c r="H1518" s="1" t="s">
        <v>28</v>
      </c>
      <c r="I1518" s="1" t="s">
        <v>40</v>
      </c>
    </row>
    <row r="1519">
      <c r="A1519" s="1">
        <v>3329056.0</v>
      </c>
      <c r="B1519" s="1" t="s">
        <v>3297</v>
      </c>
      <c r="C1519" s="1" t="s">
        <v>2930</v>
      </c>
      <c r="D1519" s="1" t="s">
        <v>2999</v>
      </c>
      <c r="E1519" s="1" t="s">
        <v>3298</v>
      </c>
      <c r="F1519" s="1" t="s">
        <v>16</v>
      </c>
      <c r="G1519" s="1" t="s">
        <v>17</v>
      </c>
      <c r="H1519" s="1" t="s">
        <v>18</v>
      </c>
      <c r="I1519" s="1" t="s">
        <v>684</v>
      </c>
    </row>
    <row r="1520">
      <c r="A1520" s="1">
        <v>3313055.0</v>
      </c>
      <c r="B1520" s="1" t="s">
        <v>3299</v>
      </c>
      <c r="C1520" s="1" t="s">
        <v>2930</v>
      </c>
      <c r="D1520" s="1" t="s">
        <v>2931</v>
      </c>
      <c r="E1520" s="1" t="s">
        <v>3300</v>
      </c>
      <c r="F1520" s="1" t="s">
        <v>16</v>
      </c>
      <c r="G1520" s="1" t="s">
        <v>23</v>
      </c>
      <c r="H1520" s="1" t="s">
        <v>18</v>
      </c>
      <c r="I1520" s="1" t="s">
        <v>59</v>
      </c>
    </row>
    <row r="1521">
      <c r="A1521" s="1">
        <v>3329109.0</v>
      </c>
      <c r="B1521" s="1" t="s">
        <v>3301</v>
      </c>
      <c r="C1521" s="1" t="s">
        <v>2930</v>
      </c>
      <c r="D1521" s="1" t="s">
        <v>2999</v>
      </c>
      <c r="E1521" s="1" t="s">
        <v>3302</v>
      </c>
      <c r="F1521" s="1" t="s">
        <v>16</v>
      </c>
      <c r="G1521" s="1" t="s">
        <v>23</v>
      </c>
      <c r="H1521" s="1" t="s">
        <v>18</v>
      </c>
      <c r="I1521" s="1" t="s">
        <v>44</v>
      </c>
    </row>
    <row r="1522">
      <c r="A1522" s="1">
        <v>3303116.0</v>
      </c>
      <c r="B1522" s="1" t="s">
        <v>3303</v>
      </c>
      <c r="C1522" s="1" t="s">
        <v>2930</v>
      </c>
      <c r="D1522" s="1" t="s">
        <v>3099</v>
      </c>
      <c r="E1522" s="1" t="s">
        <v>3304</v>
      </c>
      <c r="F1522" s="1" t="s">
        <v>55</v>
      </c>
      <c r="G1522" s="1" t="s">
        <v>17</v>
      </c>
      <c r="H1522" s="1" t="s">
        <v>18</v>
      </c>
      <c r="I1522" s="1" t="s">
        <v>34</v>
      </c>
    </row>
    <row r="1523">
      <c r="A1523" s="1">
        <v>3315024.0</v>
      </c>
      <c r="B1523" s="1" t="s">
        <v>3305</v>
      </c>
      <c r="C1523" s="1" t="s">
        <v>2930</v>
      </c>
      <c r="D1523" s="1" t="s">
        <v>3005</v>
      </c>
      <c r="E1523" s="1" t="s">
        <v>3306</v>
      </c>
      <c r="F1523" s="1" t="s">
        <v>16</v>
      </c>
      <c r="G1523" s="1" t="s">
        <v>17</v>
      </c>
      <c r="H1523" s="1" t="s">
        <v>18</v>
      </c>
      <c r="I1523" s="1" t="s">
        <v>59</v>
      </c>
    </row>
    <row r="1524">
      <c r="A1524" s="1">
        <v>3302052.0</v>
      </c>
      <c r="B1524" s="1" t="s">
        <v>3307</v>
      </c>
      <c r="C1524" s="1" t="s">
        <v>2930</v>
      </c>
      <c r="D1524" s="1" t="s">
        <v>2937</v>
      </c>
      <c r="E1524" s="1" t="s">
        <v>3308</v>
      </c>
      <c r="F1524" s="1" t="s">
        <v>1970</v>
      </c>
      <c r="G1524" s="1" t="s">
        <v>17</v>
      </c>
      <c r="H1524" s="1" t="s">
        <v>18</v>
      </c>
      <c r="I1524" s="1" t="s">
        <v>19</v>
      </c>
    </row>
    <row r="1525">
      <c r="A1525" s="1">
        <v>3374091.0</v>
      </c>
      <c r="B1525" s="1" t="s">
        <v>3309</v>
      </c>
      <c r="C1525" s="1" t="s">
        <v>2930</v>
      </c>
      <c r="D1525" s="1" t="s">
        <v>2948</v>
      </c>
      <c r="E1525" s="1" t="s">
        <v>3310</v>
      </c>
      <c r="F1525" s="1" t="s">
        <v>16</v>
      </c>
      <c r="G1525" s="1" t="s">
        <v>17</v>
      </c>
      <c r="H1525" s="1" t="s">
        <v>33</v>
      </c>
      <c r="I1525" s="1" t="s">
        <v>65</v>
      </c>
    </row>
    <row r="1526">
      <c r="A1526" s="1">
        <v>3301106.0</v>
      </c>
      <c r="B1526" s="1" t="s">
        <v>3311</v>
      </c>
      <c r="C1526" s="1" t="s">
        <v>2930</v>
      </c>
      <c r="D1526" s="1" t="s">
        <v>2996</v>
      </c>
      <c r="E1526" s="1" t="s">
        <v>3312</v>
      </c>
      <c r="F1526" s="1" t="s">
        <v>16</v>
      </c>
      <c r="G1526" s="1" t="s">
        <v>23</v>
      </c>
      <c r="H1526" s="1" t="s">
        <v>18</v>
      </c>
      <c r="I1526" s="1" t="s">
        <v>44</v>
      </c>
    </row>
    <row r="1527">
      <c r="A1527" s="1">
        <v>3302213.0</v>
      </c>
      <c r="B1527" s="1" t="s">
        <v>3313</v>
      </c>
      <c r="C1527" s="1" t="s">
        <v>2930</v>
      </c>
      <c r="D1527" s="1" t="s">
        <v>2937</v>
      </c>
      <c r="E1527" s="1" t="s">
        <v>3314</v>
      </c>
      <c r="F1527" s="1" t="s">
        <v>16</v>
      </c>
      <c r="G1527" s="1" t="s">
        <v>17</v>
      </c>
      <c r="H1527" s="1" t="s">
        <v>18</v>
      </c>
      <c r="I1527" s="1" t="s">
        <v>59</v>
      </c>
    </row>
    <row r="1528">
      <c r="A1528" s="1">
        <v>3372074.0</v>
      </c>
      <c r="B1528" s="1" t="s">
        <v>3315</v>
      </c>
      <c r="C1528" s="1" t="s">
        <v>2930</v>
      </c>
      <c r="D1528" s="1" t="s">
        <v>2967</v>
      </c>
      <c r="E1528" s="1" t="s">
        <v>3316</v>
      </c>
      <c r="F1528" s="1" t="s">
        <v>16</v>
      </c>
      <c r="G1528" s="1" t="s">
        <v>17</v>
      </c>
      <c r="H1528" s="1" t="s">
        <v>18</v>
      </c>
      <c r="I1528" s="1" t="s">
        <v>59</v>
      </c>
    </row>
    <row r="1529">
      <c r="A1529" s="1">
        <v>3319080.0</v>
      </c>
      <c r="B1529" s="1" t="s">
        <v>3317</v>
      </c>
      <c r="C1529" s="1" t="s">
        <v>2930</v>
      </c>
      <c r="D1529" s="1" t="s">
        <v>2934</v>
      </c>
      <c r="E1529" s="1" t="s">
        <v>3318</v>
      </c>
      <c r="F1529" s="1" t="s">
        <v>16</v>
      </c>
      <c r="G1529" s="1" t="s">
        <v>17</v>
      </c>
      <c r="H1529" s="1" t="s">
        <v>18</v>
      </c>
      <c r="I1529" s="1" t="s">
        <v>684</v>
      </c>
    </row>
    <row r="1530">
      <c r="A1530" s="1">
        <v>3307013.0</v>
      </c>
      <c r="B1530" s="1" t="s">
        <v>3319</v>
      </c>
      <c r="C1530" s="1" t="s">
        <v>2930</v>
      </c>
      <c r="D1530" s="1" t="s">
        <v>2983</v>
      </c>
      <c r="E1530" s="1" t="s">
        <v>3320</v>
      </c>
      <c r="F1530" s="1" t="s">
        <v>16</v>
      </c>
      <c r="G1530" s="1" t="s">
        <v>17</v>
      </c>
      <c r="H1530" s="1" t="s">
        <v>28</v>
      </c>
      <c r="I1530" s="1" t="s">
        <v>40</v>
      </c>
    </row>
    <row r="1531">
      <c r="A1531" s="1">
        <v>3374076.0</v>
      </c>
      <c r="B1531" s="1" t="s">
        <v>3321</v>
      </c>
      <c r="C1531" s="1" t="s">
        <v>2930</v>
      </c>
      <c r="D1531" s="1" t="s">
        <v>2948</v>
      </c>
      <c r="E1531" s="1" t="s">
        <v>3322</v>
      </c>
      <c r="F1531" s="1" t="s">
        <v>16</v>
      </c>
      <c r="G1531" s="1" t="s">
        <v>27</v>
      </c>
      <c r="H1531" s="1" t="s">
        <v>18</v>
      </c>
      <c r="I1531" s="1" t="s">
        <v>684</v>
      </c>
    </row>
    <row r="1532">
      <c r="A1532" s="1">
        <v>3301108.0</v>
      </c>
      <c r="B1532" s="1" t="s">
        <v>3323</v>
      </c>
      <c r="C1532" s="1" t="s">
        <v>2930</v>
      </c>
      <c r="D1532" s="1" t="s">
        <v>2996</v>
      </c>
      <c r="E1532" s="1" t="s">
        <v>3324</v>
      </c>
      <c r="F1532" s="1" t="s">
        <v>16</v>
      </c>
      <c r="G1532" s="1" t="s">
        <v>17</v>
      </c>
      <c r="H1532" s="1" t="s">
        <v>18</v>
      </c>
      <c r="I1532" s="1" t="s">
        <v>19</v>
      </c>
    </row>
    <row r="1533">
      <c r="A1533" s="1">
        <v>3324014.0</v>
      </c>
      <c r="B1533" s="1" t="s">
        <v>3325</v>
      </c>
      <c r="C1533" s="1" t="s">
        <v>2930</v>
      </c>
      <c r="D1533" s="1" t="s">
        <v>2970</v>
      </c>
      <c r="E1533" s="1" t="s">
        <v>3326</v>
      </c>
      <c r="F1533" s="1" t="s">
        <v>16</v>
      </c>
      <c r="G1533" s="1" t="s">
        <v>27</v>
      </c>
      <c r="H1533" s="1" t="s">
        <v>28</v>
      </c>
      <c r="I1533" s="1" t="s">
        <v>40</v>
      </c>
    </row>
    <row r="1534">
      <c r="A1534" s="1">
        <v>3312021.0</v>
      </c>
      <c r="B1534" s="1" t="s">
        <v>3327</v>
      </c>
      <c r="C1534" s="1" t="s">
        <v>2930</v>
      </c>
      <c r="D1534" s="1" t="s">
        <v>3118</v>
      </c>
      <c r="E1534" s="1" t="s">
        <v>3328</v>
      </c>
      <c r="F1534" s="1" t="s">
        <v>16</v>
      </c>
      <c r="G1534" s="1" t="s">
        <v>23</v>
      </c>
      <c r="H1534" s="1" t="s">
        <v>18</v>
      </c>
      <c r="I1534" s="1" t="s">
        <v>44</v>
      </c>
    </row>
    <row r="1535">
      <c r="A1535" s="1">
        <v>3322084.0</v>
      </c>
      <c r="B1535" s="1" t="s">
        <v>3329</v>
      </c>
      <c r="C1535" s="1" t="s">
        <v>2930</v>
      </c>
      <c r="D1535" s="1" t="s">
        <v>3064</v>
      </c>
      <c r="E1535" s="1" t="s">
        <v>3330</v>
      </c>
      <c r="F1535" s="1" t="s">
        <v>16</v>
      </c>
      <c r="G1535" s="1" t="s">
        <v>17</v>
      </c>
      <c r="H1535" s="1" t="s">
        <v>18</v>
      </c>
      <c r="I1535" s="1" t="s">
        <v>44</v>
      </c>
    </row>
    <row r="1536">
      <c r="A1536" s="1">
        <v>3316076.0</v>
      </c>
      <c r="B1536" s="1" t="s">
        <v>3331</v>
      </c>
      <c r="C1536" s="1" t="s">
        <v>2930</v>
      </c>
      <c r="D1536" s="1" t="s">
        <v>2951</v>
      </c>
      <c r="E1536" s="1" t="s">
        <v>3332</v>
      </c>
      <c r="F1536" s="1" t="s">
        <v>55</v>
      </c>
      <c r="G1536" s="1" t="s">
        <v>17</v>
      </c>
      <c r="H1536" s="1" t="s">
        <v>18</v>
      </c>
      <c r="I1536" s="1" t="s">
        <v>44</v>
      </c>
    </row>
    <row r="1537">
      <c r="A1537" s="1">
        <v>3311016.0</v>
      </c>
      <c r="B1537" s="1" t="s">
        <v>3333</v>
      </c>
      <c r="C1537" s="1" t="s">
        <v>2930</v>
      </c>
      <c r="D1537" s="1" t="s">
        <v>3014</v>
      </c>
      <c r="E1537" s="1" t="s">
        <v>3334</v>
      </c>
      <c r="F1537" s="1" t="s">
        <v>16</v>
      </c>
      <c r="G1537" s="1" t="s">
        <v>27</v>
      </c>
      <c r="H1537" s="1" t="s">
        <v>28</v>
      </c>
      <c r="I1537" s="1" t="s">
        <v>40</v>
      </c>
    </row>
    <row r="1538">
      <c r="A1538" s="1">
        <v>3375033.0</v>
      </c>
      <c r="B1538" s="1" t="s">
        <v>3335</v>
      </c>
      <c r="C1538" s="1" t="s">
        <v>2930</v>
      </c>
      <c r="D1538" s="1" t="s">
        <v>2986</v>
      </c>
      <c r="E1538" s="1" t="s">
        <v>3336</v>
      </c>
      <c r="F1538" s="1" t="s">
        <v>16</v>
      </c>
      <c r="G1538" s="1" t="s">
        <v>17</v>
      </c>
      <c r="H1538" s="1" t="s">
        <v>18</v>
      </c>
      <c r="I1538" s="1" t="s">
        <v>684</v>
      </c>
    </row>
    <row r="1539">
      <c r="A1539" s="1">
        <v>3317027.0</v>
      </c>
      <c r="B1539" s="1" t="s">
        <v>3337</v>
      </c>
      <c r="C1539" s="1" t="s">
        <v>2930</v>
      </c>
      <c r="D1539" s="1" t="s">
        <v>3273</v>
      </c>
      <c r="E1539" s="1" t="s">
        <v>3338</v>
      </c>
      <c r="F1539" s="1" t="s">
        <v>16</v>
      </c>
      <c r="G1539" s="1" t="s">
        <v>17</v>
      </c>
      <c r="H1539" s="1" t="s">
        <v>18</v>
      </c>
      <c r="I1539" s="1" t="s">
        <v>44</v>
      </c>
    </row>
    <row r="1540">
      <c r="A1540" s="1">
        <v>3329125.0</v>
      </c>
      <c r="B1540" s="1" t="s">
        <v>3339</v>
      </c>
      <c r="C1540" s="1" t="s">
        <v>2930</v>
      </c>
      <c r="D1540" s="1" t="s">
        <v>2999</v>
      </c>
      <c r="E1540" s="1" t="s">
        <v>3340</v>
      </c>
      <c r="F1540" s="1" t="s">
        <v>16</v>
      </c>
      <c r="G1540" s="1" t="s">
        <v>23</v>
      </c>
      <c r="H1540" s="1" t="s">
        <v>28</v>
      </c>
      <c r="I1540" s="1" t="s">
        <v>40</v>
      </c>
    </row>
    <row r="1541">
      <c r="A1541" s="1">
        <v>3313033.0</v>
      </c>
      <c r="B1541" s="1" t="s">
        <v>3341</v>
      </c>
      <c r="C1541" s="1" t="s">
        <v>2930</v>
      </c>
      <c r="D1541" s="1" t="s">
        <v>2931</v>
      </c>
      <c r="E1541" s="1" t="s">
        <v>3342</v>
      </c>
      <c r="F1541" s="1" t="s">
        <v>16</v>
      </c>
      <c r="G1541" s="1" t="s">
        <v>17</v>
      </c>
      <c r="H1541" s="1" t="s">
        <v>18</v>
      </c>
      <c r="I1541" s="1" t="s">
        <v>684</v>
      </c>
    </row>
    <row r="1542">
      <c r="A1542" s="1">
        <v>3372235.0</v>
      </c>
      <c r="B1542" s="1" t="s">
        <v>3343</v>
      </c>
      <c r="C1542" s="1" t="s">
        <v>2930</v>
      </c>
      <c r="D1542" s="1" t="s">
        <v>2967</v>
      </c>
      <c r="E1542" s="1" t="s">
        <v>3344</v>
      </c>
      <c r="F1542" s="1" t="s">
        <v>272</v>
      </c>
      <c r="G1542" s="1" t="s">
        <v>17</v>
      </c>
      <c r="H1542" s="1" t="s">
        <v>18</v>
      </c>
      <c r="I1542" s="1" t="s">
        <v>44</v>
      </c>
    </row>
    <row r="1543">
      <c r="A1543" s="1">
        <v>3322073.0</v>
      </c>
      <c r="B1543" s="1" t="s">
        <v>3345</v>
      </c>
      <c r="C1543" s="1" t="s">
        <v>2930</v>
      </c>
      <c r="D1543" s="1" t="s">
        <v>3064</v>
      </c>
      <c r="E1543" s="1" t="s">
        <v>3346</v>
      </c>
      <c r="F1543" s="1" t="s">
        <v>16</v>
      </c>
      <c r="G1543" s="1" t="s">
        <v>23</v>
      </c>
      <c r="H1543" s="1" t="s">
        <v>18</v>
      </c>
      <c r="I1543" s="1" t="s">
        <v>44</v>
      </c>
    </row>
    <row r="1544">
      <c r="A1544" s="1">
        <v>3302041.0</v>
      </c>
      <c r="B1544" s="1" t="s">
        <v>3347</v>
      </c>
      <c r="C1544" s="1" t="s">
        <v>2930</v>
      </c>
      <c r="D1544" s="1" t="s">
        <v>2937</v>
      </c>
      <c r="E1544" s="1" t="s">
        <v>3348</v>
      </c>
      <c r="F1544" s="1" t="s">
        <v>16</v>
      </c>
      <c r="G1544" s="1" t="s">
        <v>17</v>
      </c>
      <c r="H1544" s="1" t="s">
        <v>18</v>
      </c>
      <c r="I1544" s="1" t="s">
        <v>249</v>
      </c>
    </row>
    <row r="1545">
      <c r="A1545" s="1">
        <v>3371142.0</v>
      </c>
      <c r="B1545" s="1" t="s">
        <v>3349</v>
      </c>
      <c r="C1545" s="1" t="s">
        <v>2930</v>
      </c>
      <c r="D1545" s="1" t="s">
        <v>2939</v>
      </c>
      <c r="E1545" s="1" t="s">
        <v>3350</v>
      </c>
      <c r="F1545" s="1" t="s">
        <v>16</v>
      </c>
      <c r="G1545" s="1" t="s">
        <v>23</v>
      </c>
      <c r="H1545" s="1" t="s">
        <v>18</v>
      </c>
      <c r="I1545" s="1" t="s">
        <v>59</v>
      </c>
    </row>
    <row r="1546">
      <c r="A1546" s="1">
        <v>3319023.0</v>
      </c>
      <c r="B1546" s="1" t="s">
        <v>1530</v>
      </c>
      <c r="C1546" s="1" t="s">
        <v>2930</v>
      </c>
      <c r="D1546" s="1" t="s">
        <v>2934</v>
      </c>
      <c r="E1546" s="1" t="s">
        <v>3351</v>
      </c>
      <c r="F1546" s="1" t="s">
        <v>55</v>
      </c>
      <c r="G1546" s="1" t="s">
        <v>17</v>
      </c>
      <c r="H1546" s="1" t="s">
        <v>18</v>
      </c>
      <c r="I1546" s="1" t="s">
        <v>19</v>
      </c>
    </row>
    <row r="1547">
      <c r="A1547" s="1">
        <v>3308017.0</v>
      </c>
      <c r="B1547" s="1" t="s">
        <v>3352</v>
      </c>
      <c r="C1547" s="1" t="s">
        <v>2930</v>
      </c>
      <c r="D1547" s="1" t="s">
        <v>3107</v>
      </c>
      <c r="E1547" s="1" t="s">
        <v>3353</v>
      </c>
      <c r="F1547" s="1" t="s">
        <v>16</v>
      </c>
      <c r="G1547" s="1" t="s">
        <v>17</v>
      </c>
      <c r="H1547" s="1" t="s">
        <v>18</v>
      </c>
      <c r="I1547" s="1" t="s">
        <v>19</v>
      </c>
    </row>
    <row r="1548">
      <c r="A1548" s="1">
        <v>3317015.0</v>
      </c>
      <c r="B1548" s="1" t="s">
        <v>3354</v>
      </c>
      <c r="C1548" s="1" t="s">
        <v>2930</v>
      </c>
      <c r="D1548" s="1" t="s">
        <v>3273</v>
      </c>
      <c r="E1548" s="1" t="s">
        <v>3355</v>
      </c>
      <c r="F1548" s="1" t="s">
        <v>16</v>
      </c>
      <c r="G1548" s="1" t="s">
        <v>17</v>
      </c>
      <c r="H1548" s="1" t="s">
        <v>28</v>
      </c>
      <c r="I1548" s="1" t="s">
        <v>40</v>
      </c>
    </row>
    <row r="1549">
      <c r="A1549" s="1">
        <v>3318108.0</v>
      </c>
      <c r="B1549" s="1" t="s">
        <v>3356</v>
      </c>
      <c r="C1549" s="1" t="s">
        <v>2930</v>
      </c>
      <c r="D1549" s="1" t="s">
        <v>3049</v>
      </c>
      <c r="E1549" s="1" t="s">
        <v>3357</v>
      </c>
      <c r="F1549" s="1" t="s">
        <v>16</v>
      </c>
      <c r="G1549" s="1" t="s">
        <v>17</v>
      </c>
      <c r="H1549" s="1" t="s">
        <v>18</v>
      </c>
      <c r="I1549" s="1" t="s">
        <v>44</v>
      </c>
    </row>
    <row r="1550">
      <c r="A1550" s="1">
        <v>3328042.0</v>
      </c>
      <c r="B1550" s="1" t="s">
        <v>3358</v>
      </c>
      <c r="C1550" s="1" t="s">
        <v>2930</v>
      </c>
      <c r="D1550" s="1" t="s">
        <v>3208</v>
      </c>
      <c r="E1550" s="1" t="s">
        <v>3359</v>
      </c>
      <c r="F1550" s="1" t="s">
        <v>16</v>
      </c>
      <c r="G1550" s="1" t="s">
        <v>17</v>
      </c>
      <c r="H1550" s="1" t="s">
        <v>18</v>
      </c>
      <c r="I1550" s="1" t="s">
        <v>19</v>
      </c>
    </row>
    <row r="1551">
      <c r="A1551" s="1">
        <v>3312307.0</v>
      </c>
      <c r="B1551" s="1" t="s">
        <v>3360</v>
      </c>
      <c r="C1551" s="1" t="s">
        <v>2930</v>
      </c>
      <c r="D1551" s="1" t="s">
        <v>3118</v>
      </c>
      <c r="E1551" s="1" t="s">
        <v>3361</v>
      </c>
      <c r="F1551" s="1" t="s">
        <v>16</v>
      </c>
      <c r="G1551" s="1" t="s">
        <v>23</v>
      </c>
      <c r="H1551" s="1" t="s">
        <v>18</v>
      </c>
      <c r="I1551" s="1" t="s">
        <v>44</v>
      </c>
    </row>
    <row r="1552">
      <c r="A1552" s="1">
        <v>3372240.0</v>
      </c>
      <c r="B1552" s="1" t="s">
        <v>3362</v>
      </c>
      <c r="C1552" s="1" t="s">
        <v>2930</v>
      </c>
      <c r="D1552" s="1" t="s">
        <v>2967</v>
      </c>
      <c r="E1552" s="1" t="s">
        <v>3363</v>
      </c>
      <c r="F1552" s="1" t="s">
        <v>16</v>
      </c>
      <c r="G1552" s="1" t="s">
        <v>17</v>
      </c>
      <c r="H1552" s="1" t="s">
        <v>28</v>
      </c>
      <c r="I1552" s="1" t="s">
        <v>29</v>
      </c>
    </row>
    <row r="1553">
      <c r="A1553" s="1">
        <v>3305066.0</v>
      </c>
      <c r="B1553" s="1" t="s">
        <v>3364</v>
      </c>
      <c r="C1553" s="1" t="s">
        <v>2930</v>
      </c>
      <c r="D1553" s="1" t="s">
        <v>2958</v>
      </c>
      <c r="E1553" s="1" t="s">
        <v>3365</v>
      </c>
      <c r="F1553" s="1" t="s">
        <v>16</v>
      </c>
      <c r="G1553" s="1" t="s">
        <v>27</v>
      </c>
      <c r="H1553" s="1" t="s">
        <v>18</v>
      </c>
      <c r="I1553" s="1" t="s">
        <v>684</v>
      </c>
    </row>
    <row r="1554">
      <c r="A1554" s="1">
        <v>3372239.0</v>
      </c>
      <c r="B1554" s="1" t="s">
        <v>3366</v>
      </c>
      <c r="C1554" s="1" t="s">
        <v>2930</v>
      </c>
      <c r="D1554" s="1" t="s">
        <v>2967</v>
      </c>
      <c r="E1554" s="1" t="s">
        <v>3367</v>
      </c>
      <c r="F1554" s="1" t="s">
        <v>32</v>
      </c>
      <c r="G1554" s="1" t="s">
        <v>17</v>
      </c>
      <c r="H1554" s="1" t="s">
        <v>18</v>
      </c>
      <c r="I1554" s="1" t="s">
        <v>163</v>
      </c>
    </row>
    <row r="1555">
      <c r="A1555" s="1">
        <v>3322012.0</v>
      </c>
      <c r="B1555" s="1" t="s">
        <v>3368</v>
      </c>
      <c r="C1555" s="1" t="s">
        <v>2930</v>
      </c>
      <c r="D1555" s="1" t="s">
        <v>3064</v>
      </c>
      <c r="E1555" s="1" t="s">
        <v>3369</v>
      </c>
      <c r="F1555" s="1" t="s">
        <v>16</v>
      </c>
      <c r="G1555" s="1" t="s">
        <v>17</v>
      </c>
      <c r="H1555" s="1" t="s">
        <v>28</v>
      </c>
      <c r="I1555" s="1" t="s">
        <v>40</v>
      </c>
    </row>
    <row r="1556">
      <c r="A1556" s="1">
        <v>3329105.0</v>
      </c>
      <c r="B1556" s="1" t="s">
        <v>3370</v>
      </c>
      <c r="C1556" s="1" t="s">
        <v>2930</v>
      </c>
      <c r="D1556" s="1" t="s">
        <v>2999</v>
      </c>
      <c r="E1556" s="1" t="s">
        <v>3371</v>
      </c>
      <c r="F1556" s="1" t="s">
        <v>55</v>
      </c>
      <c r="G1556" s="1" t="s">
        <v>17</v>
      </c>
      <c r="H1556" s="1" t="s">
        <v>18</v>
      </c>
      <c r="I1556" s="1" t="s">
        <v>19</v>
      </c>
    </row>
    <row r="1557">
      <c r="A1557" s="1">
        <v>3303102.0</v>
      </c>
      <c r="B1557" s="1" t="s">
        <v>3372</v>
      </c>
      <c r="C1557" s="1" t="s">
        <v>2930</v>
      </c>
      <c r="D1557" s="1" t="s">
        <v>3099</v>
      </c>
      <c r="E1557" s="1" t="s">
        <v>3373</v>
      </c>
      <c r="F1557" s="1" t="s">
        <v>16</v>
      </c>
      <c r="G1557" s="1" t="s">
        <v>23</v>
      </c>
      <c r="H1557" s="1" t="s">
        <v>18</v>
      </c>
      <c r="I1557" s="1" t="s">
        <v>684</v>
      </c>
    </row>
    <row r="1558">
      <c r="A1558" s="1">
        <v>3309107.0</v>
      </c>
      <c r="B1558" s="1" t="s">
        <v>3374</v>
      </c>
      <c r="C1558" s="1" t="s">
        <v>2930</v>
      </c>
      <c r="D1558" s="1" t="s">
        <v>2973</v>
      </c>
      <c r="E1558" s="1" t="s">
        <v>3375</v>
      </c>
      <c r="F1558" s="1" t="s">
        <v>16</v>
      </c>
      <c r="G1558" s="1" t="s">
        <v>23</v>
      </c>
      <c r="H1558" s="1" t="s">
        <v>28</v>
      </c>
      <c r="I1558" s="1" t="s">
        <v>40</v>
      </c>
    </row>
    <row r="1559">
      <c r="A1559" s="1">
        <v>3374284.0</v>
      </c>
      <c r="B1559" s="1" t="s">
        <v>3376</v>
      </c>
      <c r="C1559" s="1" t="s">
        <v>2930</v>
      </c>
      <c r="D1559" s="1" t="s">
        <v>2948</v>
      </c>
      <c r="E1559" s="1" t="s">
        <v>3377</v>
      </c>
      <c r="F1559" s="1" t="s">
        <v>55</v>
      </c>
      <c r="G1559" s="1" t="s">
        <v>17</v>
      </c>
      <c r="H1559" s="1" t="s">
        <v>18</v>
      </c>
      <c r="I1559" s="1" t="s">
        <v>59</v>
      </c>
    </row>
    <row r="1560">
      <c r="A1560" s="1">
        <v>3375074.0</v>
      </c>
      <c r="B1560" s="1" t="s">
        <v>3378</v>
      </c>
      <c r="C1560" s="1" t="s">
        <v>2930</v>
      </c>
      <c r="D1560" s="1" t="s">
        <v>2986</v>
      </c>
      <c r="E1560" s="1" t="s">
        <v>3379</v>
      </c>
      <c r="F1560" s="1" t="s">
        <v>16</v>
      </c>
      <c r="G1560" s="1" t="s">
        <v>23</v>
      </c>
      <c r="H1560" s="1" t="s">
        <v>18</v>
      </c>
      <c r="I1560" s="1" t="s">
        <v>19</v>
      </c>
    </row>
    <row r="1561">
      <c r="A1561" s="1">
        <v>3327010.0</v>
      </c>
      <c r="B1561" s="1" t="s">
        <v>3380</v>
      </c>
      <c r="C1561" s="1" t="s">
        <v>2930</v>
      </c>
      <c r="D1561" s="1" t="s">
        <v>3054</v>
      </c>
      <c r="E1561" s="1" t="s">
        <v>3381</v>
      </c>
      <c r="F1561" s="1" t="s">
        <v>16</v>
      </c>
      <c r="G1561" s="1" t="s">
        <v>17</v>
      </c>
      <c r="H1561" s="1" t="s">
        <v>28</v>
      </c>
      <c r="I1561" s="1" t="s">
        <v>40</v>
      </c>
    </row>
    <row r="1562">
      <c r="A1562" s="1">
        <v>3320089.0</v>
      </c>
      <c r="B1562" s="1" t="s">
        <v>3382</v>
      </c>
      <c r="C1562" s="1" t="s">
        <v>2930</v>
      </c>
      <c r="D1562" s="1" t="s">
        <v>3104</v>
      </c>
      <c r="E1562" s="1" t="s">
        <v>3383</v>
      </c>
      <c r="F1562" s="1" t="s">
        <v>16</v>
      </c>
      <c r="G1562" s="1" t="s">
        <v>17</v>
      </c>
      <c r="H1562" s="1" t="s">
        <v>18</v>
      </c>
      <c r="I1562" s="1" t="s">
        <v>684</v>
      </c>
    </row>
    <row r="1563">
      <c r="A1563" s="1">
        <v>3318113.0</v>
      </c>
      <c r="B1563" s="1" t="s">
        <v>3384</v>
      </c>
      <c r="C1563" s="1" t="s">
        <v>2930</v>
      </c>
      <c r="D1563" s="1" t="s">
        <v>3049</v>
      </c>
      <c r="E1563" s="1" t="s">
        <v>3385</v>
      </c>
      <c r="F1563" s="1" t="s">
        <v>16</v>
      </c>
      <c r="G1563" s="1" t="s">
        <v>23</v>
      </c>
      <c r="H1563" s="1" t="s">
        <v>18</v>
      </c>
      <c r="I1563" s="1" t="s">
        <v>19</v>
      </c>
    </row>
    <row r="1564">
      <c r="A1564" s="1">
        <v>3301073.0</v>
      </c>
      <c r="B1564" s="1" t="s">
        <v>3386</v>
      </c>
      <c r="C1564" s="1" t="s">
        <v>2930</v>
      </c>
      <c r="D1564" s="1" t="s">
        <v>2996</v>
      </c>
      <c r="E1564" s="1" t="s">
        <v>3387</v>
      </c>
      <c r="F1564" s="1" t="s">
        <v>16</v>
      </c>
      <c r="G1564" s="1" t="s">
        <v>17</v>
      </c>
      <c r="H1564" s="1" t="s">
        <v>18</v>
      </c>
      <c r="I1564" s="1" t="s">
        <v>684</v>
      </c>
    </row>
    <row r="1565">
      <c r="A1565" s="1">
        <v>3329078.0</v>
      </c>
      <c r="B1565" s="1" t="s">
        <v>3388</v>
      </c>
      <c r="C1565" s="1" t="s">
        <v>2930</v>
      </c>
      <c r="D1565" s="1" t="s">
        <v>2999</v>
      </c>
      <c r="E1565" s="1" t="s">
        <v>3389</v>
      </c>
      <c r="F1565" s="1" t="s">
        <v>16</v>
      </c>
      <c r="G1565" s="1" t="s">
        <v>17</v>
      </c>
      <c r="H1565" s="1" t="s">
        <v>18</v>
      </c>
      <c r="I1565" s="1" t="s">
        <v>19</v>
      </c>
    </row>
    <row r="1566">
      <c r="A1566" s="1">
        <v>3303099.0</v>
      </c>
      <c r="B1566" s="1" t="s">
        <v>3390</v>
      </c>
      <c r="C1566" s="1" t="s">
        <v>2930</v>
      </c>
      <c r="D1566" s="1" t="s">
        <v>3099</v>
      </c>
      <c r="E1566" s="1" t="s">
        <v>3391</v>
      </c>
      <c r="F1566" s="1" t="s">
        <v>55</v>
      </c>
      <c r="G1566" s="1" t="s">
        <v>17</v>
      </c>
      <c r="H1566" s="1" t="s">
        <v>18</v>
      </c>
      <c r="I1566" s="1" t="s">
        <v>44</v>
      </c>
    </row>
    <row r="1567">
      <c r="A1567" s="1">
        <v>3326062.0</v>
      </c>
      <c r="B1567" s="1" t="s">
        <v>3392</v>
      </c>
      <c r="C1567" s="1" t="s">
        <v>2930</v>
      </c>
      <c r="D1567" s="1" t="s">
        <v>3033</v>
      </c>
      <c r="E1567" s="1" t="s">
        <v>3393</v>
      </c>
      <c r="F1567" s="1" t="s">
        <v>16</v>
      </c>
      <c r="G1567" s="1" t="s">
        <v>23</v>
      </c>
      <c r="H1567" s="1" t="s">
        <v>28</v>
      </c>
      <c r="I1567" s="1" t="s">
        <v>40</v>
      </c>
    </row>
    <row r="1568">
      <c r="A1568" s="1">
        <v>3374391.0</v>
      </c>
      <c r="B1568" s="1" t="s">
        <v>3394</v>
      </c>
      <c r="C1568" s="1" t="s">
        <v>2930</v>
      </c>
      <c r="D1568" s="1" t="s">
        <v>2948</v>
      </c>
      <c r="E1568" s="1" t="s">
        <v>3395</v>
      </c>
      <c r="F1568" s="1" t="s">
        <v>16</v>
      </c>
      <c r="G1568" s="1" t="s">
        <v>17</v>
      </c>
      <c r="H1568" s="1" t="s">
        <v>18</v>
      </c>
      <c r="I1568" s="1" t="s">
        <v>19</v>
      </c>
    </row>
    <row r="1569">
      <c r="A1569" s="1">
        <v>3315046.0</v>
      </c>
      <c r="B1569" s="1" t="s">
        <v>3396</v>
      </c>
      <c r="C1569" s="1" t="s">
        <v>2930</v>
      </c>
      <c r="D1569" s="1" t="s">
        <v>3005</v>
      </c>
      <c r="E1569" s="1" t="s">
        <v>3397</v>
      </c>
      <c r="F1569" s="1" t="s">
        <v>16</v>
      </c>
      <c r="G1569" s="1" t="s">
        <v>23</v>
      </c>
      <c r="H1569" s="1" t="s">
        <v>18</v>
      </c>
      <c r="I1569" s="1" t="s">
        <v>684</v>
      </c>
    </row>
    <row r="1570">
      <c r="A1570" s="1">
        <v>3319021.0</v>
      </c>
      <c r="B1570" s="1" t="s">
        <v>3398</v>
      </c>
      <c r="C1570" s="1" t="s">
        <v>2930</v>
      </c>
      <c r="D1570" s="1" t="s">
        <v>2934</v>
      </c>
      <c r="E1570" s="1" t="s">
        <v>3399</v>
      </c>
      <c r="F1570" s="1" t="s">
        <v>16</v>
      </c>
      <c r="G1570" s="1" t="s">
        <v>23</v>
      </c>
      <c r="H1570" s="1" t="s">
        <v>18</v>
      </c>
      <c r="I1570" s="1" t="s">
        <v>19</v>
      </c>
    </row>
    <row r="1571">
      <c r="A1571" s="1">
        <v>3327045.0</v>
      </c>
      <c r="B1571" s="1" t="s">
        <v>3400</v>
      </c>
      <c r="C1571" s="1" t="s">
        <v>2930</v>
      </c>
      <c r="D1571" s="1" t="s">
        <v>3054</v>
      </c>
      <c r="E1571" s="1" t="s">
        <v>3401</v>
      </c>
      <c r="F1571" s="1" t="s">
        <v>16</v>
      </c>
      <c r="G1571" s="1" t="s">
        <v>17</v>
      </c>
      <c r="H1571" s="1" t="s">
        <v>18</v>
      </c>
      <c r="I1571" s="1" t="s">
        <v>19</v>
      </c>
    </row>
    <row r="1572">
      <c r="A1572" s="1">
        <v>3305118.0</v>
      </c>
      <c r="B1572" s="1" t="s">
        <v>3402</v>
      </c>
      <c r="C1572" s="1" t="s">
        <v>2930</v>
      </c>
      <c r="D1572" s="1" t="s">
        <v>2958</v>
      </c>
      <c r="E1572" s="1" t="s">
        <v>3403</v>
      </c>
      <c r="F1572" s="1" t="s">
        <v>16</v>
      </c>
      <c r="G1572" s="1" t="s">
        <v>23</v>
      </c>
      <c r="H1572" s="1" t="s">
        <v>18</v>
      </c>
      <c r="I1572" s="1" t="s">
        <v>684</v>
      </c>
    </row>
    <row r="1573">
      <c r="A1573" s="1">
        <v>3306110.0</v>
      </c>
      <c r="B1573" s="1" t="s">
        <v>3404</v>
      </c>
      <c r="C1573" s="1" t="s">
        <v>2930</v>
      </c>
      <c r="D1573" s="1" t="s">
        <v>2942</v>
      </c>
      <c r="E1573" s="1" t="s">
        <v>3405</v>
      </c>
      <c r="F1573" s="1" t="s">
        <v>16</v>
      </c>
      <c r="G1573" s="1" t="s">
        <v>23</v>
      </c>
      <c r="H1573" s="1" t="s">
        <v>18</v>
      </c>
      <c r="I1573" s="1" t="s">
        <v>19</v>
      </c>
    </row>
    <row r="1574">
      <c r="A1574" s="1">
        <v>3303016.0</v>
      </c>
      <c r="B1574" s="1" t="s">
        <v>3406</v>
      </c>
      <c r="C1574" s="1" t="s">
        <v>2930</v>
      </c>
      <c r="D1574" s="1" t="s">
        <v>3099</v>
      </c>
      <c r="E1574" s="1" t="s">
        <v>3407</v>
      </c>
      <c r="F1574" s="1" t="s">
        <v>16</v>
      </c>
      <c r="G1574" s="1" t="s">
        <v>17</v>
      </c>
      <c r="H1574" s="1" t="s">
        <v>28</v>
      </c>
      <c r="I1574" s="1" t="s">
        <v>40</v>
      </c>
    </row>
    <row r="1575">
      <c r="A1575" s="1">
        <v>3372132.0</v>
      </c>
      <c r="B1575" s="1" t="s">
        <v>3408</v>
      </c>
      <c r="C1575" s="1" t="s">
        <v>2930</v>
      </c>
      <c r="D1575" s="1" t="s">
        <v>2967</v>
      </c>
      <c r="E1575" s="1" t="s">
        <v>3409</v>
      </c>
      <c r="F1575" s="1" t="s">
        <v>16</v>
      </c>
      <c r="G1575" s="1" t="s">
        <v>17</v>
      </c>
      <c r="H1575" s="1" t="s">
        <v>18</v>
      </c>
      <c r="I1575" s="1" t="s">
        <v>684</v>
      </c>
    </row>
    <row r="1576">
      <c r="A1576" s="1">
        <v>3306111.0</v>
      </c>
      <c r="B1576" s="1" t="s">
        <v>3410</v>
      </c>
      <c r="C1576" s="1" t="s">
        <v>2930</v>
      </c>
      <c r="D1576" s="1" t="s">
        <v>2942</v>
      </c>
      <c r="E1576" s="1" t="s">
        <v>3411</v>
      </c>
      <c r="F1576" s="1" t="s">
        <v>16</v>
      </c>
      <c r="G1576" s="1" t="s">
        <v>17</v>
      </c>
      <c r="H1576" s="1" t="s">
        <v>18</v>
      </c>
      <c r="I1576" s="1" t="s">
        <v>44</v>
      </c>
    </row>
    <row r="1577">
      <c r="A1577" s="1">
        <v>3319102.0</v>
      </c>
      <c r="B1577" s="1" t="s">
        <v>3412</v>
      </c>
      <c r="C1577" s="1" t="s">
        <v>2930</v>
      </c>
      <c r="D1577" s="1" t="s">
        <v>2934</v>
      </c>
      <c r="E1577" s="1" t="s">
        <v>3413</v>
      </c>
      <c r="F1577" s="1" t="s">
        <v>16</v>
      </c>
      <c r="G1577" s="1" t="s">
        <v>23</v>
      </c>
      <c r="H1577" s="1" t="s">
        <v>18</v>
      </c>
      <c r="I1577" s="1" t="s">
        <v>74</v>
      </c>
    </row>
    <row r="1578">
      <c r="A1578" s="1">
        <v>3307050.0</v>
      </c>
      <c r="B1578" s="1" t="s">
        <v>3414</v>
      </c>
      <c r="C1578" s="1" t="s">
        <v>2930</v>
      </c>
      <c r="D1578" s="1" t="s">
        <v>2983</v>
      </c>
      <c r="E1578" s="1" t="s">
        <v>3415</v>
      </c>
      <c r="F1578" s="1" t="s">
        <v>16</v>
      </c>
      <c r="G1578" s="1" t="s">
        <v>17</v>
      </c>
      <c r="H1578" s="1" t="s">
        <v>18</v>
      </c>
      <c r="I1578" s="1" t="s">
        <v>684</v>
      </c>
    </row>
    <row r="1579">
      <c r="A1579" s="1">
        <v>3374112.0</v>
      </c>
      <c r="B1579" s="1" t="s">
        <v>3416</v>
      </c>
      <c r="C1579" s="1" t="s">
        <v>2930</v>
      </c>
      <c r="D1579" s="1" t="s">
        <v>2948</v>
      </c>
      <c r="E1579" s="1" t="s">
        <v>3417</v>
      </c>
      <c r="F1579" s="1" t="s">
        <v>16</v>
      </c>
      <c r="G1579" s="1" t="s">
        <v>17</v>
      </c>
      <c r="H1579" s="1" t="s">
        <v>18</v>
      </c>
      <c r="I1579" s="1" t="s">
        <v>258</v>
      </c>
    </row>
    <row r="1580">
      <c r="A1580" s="1">
        <v>3309131.0</v>
      </c>
      <c r="B1580" s="1" t="s">
        <v>3418</v>
      </c>
      <c r="C1580" s="1" t="s">
        <v>2930</v>
      </c>
      <c r="D1580" s="1" t="s">
        <v>2973</v>
      </c>
      <c r="E1580" s="1" t="s">
        <v>3419</v>
      </c>
      <c r="F1580" s="1" t="s">
        <v>16</v>
      </c>
      <c r="G1580" s="1" t="s">
        <v>17</v>
      </c>
      <c r="H1580" s="1" t="s">
        <v>18</v>
      </c>
      <c r="I1580" s="1" t="s">
        <v>19</v>
      </c>
    </row>
    <row r="1581">
      <c r="A1581" s="1">
        <v>3373103.0</v>
      </c>
      <c r="B1581" s="1" t="s">
        <v>3420</v>
      </c>
      <c r="C1581" s="1" t="s">
        <v>2930</v>
      </c>
      <c r="D1581" s="1" t="s">
        <v>2961</v>
      </c>
      <c r="E1581" s="1" t="s">
        <v>3421</v>
      </c>
      <c r="F1581" s="1" t="s">
        <v>16</v>
      </c>
      <c r="G1581" s="1" t="s">
        <v>23</v>
      </c>
      <c r="H1581" s="1" t="s">
        <v>18</v>
      </c>
      <c r="I1581" s="1" t="s">
        <v>44</v>
      </c>
    </row>
    <row r="1582">
      <c r="A1582" s="1">
        <v>3325015.0</v>
      </c>
      <c r="B1582" s="1" t="s">
        <v>3422</v>
      </c>
      <c r="C1582" s="1" t="s">
        <v>2930</v>
      </c>
      <c r="D1582" s="1" t="s">
        <v>2978</v>
      </c>
      <c r="E1582" s="1" t="s">
        <v>3423</v>
      </c>
      <c r="F1582" s="1" t="s">
        <v>16</v>
      </c>
      <c r="G1582" s="1" t="s">
        <v>17</v>
      </c>
      <c r="H1582" s="1" t="s">
        <v>28</v>
      </c>
      <c r="I1582" s="1" t="s">
        <v>40</v>
      </c>
    </row>
    <row r="1583">
      <c r="A1583" s="1">
        <v>3309135.0</v>
      </c>
      <c r="B1583" s="1" t="s">
        <v>3424</v>
      </c>
      <c r="C1583" s="1" t="s">
        <v>2930</v>
      </c>
      <c r="D1583" s="1" t="s">
        <v>2973</v>
      </c>
      <c r="E1583" s="1" t="s">
        <v>3425</v>
      </c>
      <c r="F1583" s="1" t="s">
        <v>16</v>
      </c>
      <c r="G1583" s="1" t="s">
        <v>23</v>
      </c>
      <c r="H1583" s="1" t="s">
        <v>18</v>
      </c>
      <c r="I1583" s="1" t="s">
        <v>19</v>
      </c>
    </row>
    <row r="1584">
      <c r="A1584" s="1">
        <v>3372242.0</v>
      </c>
      <c r="B1584" s="1" t="s">
        <v>3426</v>
      </c>
      <c r="C1584" s="1" t="s">
        <v>2930</v>
      </c>
      <c r="D1584" s="1" t="s">
        <v>2967</v>
      </c>
      <c r="E1584" s="1" t="s">
        <v>3427</v>
      </c>
      <c r="F1584" s="1" t="s">
        <v>1789</v>
      </c>
      <c r="G1584" s="1" t="s">
        <v>17</v>
      </c>
      <c r="H1584" s="1" t="s">
        <v>18</v>
      </c>
      <c r="I1584" s="1" t="s">
        <v>19</v>
      </c>
    </row>
    <row r="1585">
      <c r="A1585" s="1">
        <v>3317038.0</v>
      </c>
      <c r="B1585" s="1" t="s">
        <v>3428</v>
      </c>
      <c r="C1585" s="1" t="s">
        <v>2930</v>
      </c>
      <c r="D1585" s="1" t="s">
        <v>3273</v>
      </c>
      <c r="E1585" s="1" t="s">
        <v>3429</v>
      </c>
      <c r="F1585" s="1" t="s">
        <v>16</v>
      </c>
      <c r="G1585" s="1" t="s">
        <v>23</v>
      </c>
      <c r="H1585" s="1" t="s">
        <v>18</v>
      </c>
      <c r="I1585" s="1" t="s">
        <v>684</v>
      </c>
    </row>
    <row r="1586">
      <c r="A1586" s="1">
        <v>3311224.0</v>
      </c>
      <c r="B1586" s="1" t="s">
        <v>3430</v>
      </c>
      <c r="C1586" s="1" t="s">
        <v>2930</v>
      </c>
      <c r="D1586" s="1" t="s">
        <v>3014</v>
      </c>
      <c r="E1586" s="1" t="s">
        <v>3431</v>
      </c>
      <c r="F1586" s="1" t="s">
        <v>16</v>
      </c>
      <c r="G1586" s="1" t="s">
        <v>17</v>
      </c>
      <c r="H1586" s="1" t="s">
        <v>18</v>
      </c>
      <c r="I1586" s="1" t="s">
        <v>59</v>
      </c>
    </row>
    <row r="1587">
      <c r="A1587" s="1">
        <v>3376012.0</v>
      </c>
      <c r="B1587" s="1" t="s">
        <v>3432</v>
      </c>
      <c r="C1587" s="1" t="s">
        <v>2930</v>
      </c>
      <c r="D1587" s="1" t="s">
        <v>3208</v>
      </c>
      <c r="E1587" s="1" t="s">
        <v>3433</v>
      </c>
      <c r="F1587" s="1" t="s">
        <v>16</v>
      </c>
      <c r="G1587" s="1" t="s">
        <v>27</v>
      </c>
      <c r="H1587" s="1" t="s">
        <v>28</v>
      </c>
      <c r="I1587" s="1" t="s">
        <v>29</v>
      </c>
    </row>
    <row r="1588">
      <c r="A1588" s="1">
        <v>3306112.0</v>
      </c>
      <c r="B1588" s="1" t="s">
        <v>3434</v>
      </c>
      <c r="C1588" s="1" t="s">
        <v>2930</v>
      </c>
      <c r="D1588" s="1" t="s">
        <v>2942</v>
      </c>
      <c r="E1588" s="1" t="s">
        <v>3435</v>
      </c>
      <c r="F1588" s="1" t="s">
        <v>16</v>
      </c>
      <c r="G1588" s="1" t="s">
        <v>23</v>
      </c>
      <c r="H1588" s="1" t="s">
        <v>18</v>
      </c>
      <c r="I1588" s="1" t="s">
        <v>19</v>
      </c>
    </row>
    <row r="1589">
      <c r="A1589" s="1">
        <v>3304035.0</v>
      </c>
      <c r="B1589" s="1" t="s">
        <v>3436</v>
      </c>
      <c r="C1589" s="1" t="s">
        <v>2930</v>
      </c>
      <c r="D1589" s="1" t="s">
        <v>3183</v>
      </c>
      <c r="E1589" s="1" t="s">
        <v>3437</v>
      </c>
      <c r="F1589" s="1" t="s">
        <v>16</v>
      </c>
      <c r="G1589" s="1" t="s">
        <v>23</v>
      </c>
      <c r="H1589" s="1" t="s">
        <v>18</v>
      </c>
      <c r="I1589" s="1" t="s">
        <v>684</v>
      </c>
    </row>
    <row r="1590">
      <c r="A1590" s="1">
        <v>3314023.0</v>
      </c>
      <c r="B1590" s="1" t="s">
        <v>3438</v>
      </c>
      <c r="C1590" s="1" t="s">
        <v>2930</v>
      </c>
      <c r="D1590" s="1" t="s">
        <v>2945</v>
      </c>
      <c r="E1590" s="1" t="s">
        <v>3439</v>
      </c>
      <c r="F1590" s="1" t="s">
        <v>16</v>
      </c>
      <c r="G1590" s="1" t="s">
        <v>23</v>
      </c>
      <c r="H1590" s="1" t="s">
        <v>18</v>
      </c>
      <c r="I1590" s="1" t="s">
        <v>59</v>
      </c>
    </row>
    <row r="1591">
      <c r="A1591" s="1">
        <v>3374366.0</v>
      </c>
      <c r="B1591" s="1" t="s">
        <v>3440</v>
      </c>
      <c r="C1591" s="1" t="s">
        <v>2930</v>
      </c>
      <c r="D1591" s="1" t="s">
        <v>2948</v>
      </c>
      <c r="E1591" s="1" t="s">
        <v>3441</v>
      </c>
      <c r="F1591" s="1" t="s">
        <v>255</v>
      </c>
      <c r="G1591" s="1" t="s">
        <v>150</v>
      </c>
      <c r="H1591" s="1" t="s">
        <v>18</v>
      </c>
      <c r="I1591" s="1" t="s">
        <v>44</v>
      </c>
    </row>
    <row r="1592">
      <c r="A1592" s="1">
        <v>3326051.0</v>
      </c>
      <c r="B1592" s="1" t="s">
        <v>3442</v>
      </c>
      <c r="C1592" s="1" t="s">
        <v>2930</v>
      </c>
      <c r="D1592" s="1" t="s">
        <v>3033</v>
      </c>
      <c r="E1592" s="1" t="s">
        <v>3443</v>
      </c>
      <c r="F1592" s="1" t="s">
        <v>55</v>
      </c>
      <c r="G1592" s="1" t="s">
        <v>17</v>
      </c>
      <c r="H1592" s="1" t="s">
        <v>18</v>
      </c>
      <c r="I1592" s="1" t="s">
        <v>684</v>
      </c>
    </row>
    <row r="1593">
      <c r="A1593" s="1">
        <v>3302143.0</v>
      </c>
      <c r="B1593" s="1" t="s">
        <v>3444</v>
      </c>
      <c r="C1593" s="1" t="s">
        <v>2930</v>
      </c>
      <c r="D1593" s="1" t="s">
        <v>2937</v>
      </c>
      <c r="E1593" s="1" t="s">
        <v>3445</v>
      </c>
      <c r="F1593" s="1" t="s">
        <v>16</v>
      </c>
      <c r="G1593" s="1" t="s">
        <v>23</v>
      </c>
      <c r="H1593" s="1" t="s">
        <v>18</v>
      </c>
      <c r="I1593" s="1" t="s">
        <v>19</v>
      </c>
    </row>
    <row r="1594">
      <c r="A1594" s="1">
        <v>3372026.0</v>
      </c>
      <c r="B1594" s="1" t="s">
        <v>3446</v>
      </c>
      <c r="C1594" s="1" t="s">
        <v>2930</v>
      </c>
      <c r="D1594" s="1" t="s">
        <v>2967</v>
      </c>
      <c r="E1594" s="1" t="s">
        <v>3447</v>
      </c>
      <c r="F1594" s="1" t="s">
        <v>16</v>
      </c>
      <c r="G1594" s="1" t="s">
        <v>27</v>
      </c>
      <c r="H1594" s="1" t="s">
        <v>18</v>
      </c>
      <c r="I1594" s="1" t="s">
        <v>59</v>
      </c>
    </row>
    <row r="1595">
      <c r="A1595" s="1">
        <v>3322072.0</v>
      </c>
      <c r="B1595" s="1" t="s">
        <v>3448</v>
      </c>
      <c r="C1595" s="1" t="s">
        <v>2930</v>
      </c>
      <c r="D1595" s="1" t="s">
        <v>2948</v>
      </c>
      <c r="E1595" s="1" t="s">
        <v>3449</v>
      </c>
      <c r="F1595" s="1" t="s">
        <v>55</v>
      </c>
      <c r="G1595" s="1" t="s">
        <v>17</v>
      </c>
      <c r="H1595" s="1" t="s">
        <v>18</v>
      </c>
      <c r="I1595" s="1" t="s">
        <v>44</v>
      </c>
    </row>
    <row r="1596">
      <c r="A1596" s="1">
        <v>3310421.0</v>
      </c>
      <c r="B1596" s="1" t="s">
        <v>3450</v>
      </c>
      <c r="C1596" s="1" t="s">
        <v>2930</v>
      </c>
      <c r="D1596" s="1" t="s">
        <v>2989</v>
      </c>
      <c r="E1596" s="1" t="s">
        <v>3451</v>
      </c>
      <c r="F1596" s="1" t="s">
        <v>16</v>
      </c>
      <c r="G1596" s="1" t="s">
        <v>17</v>
      </c>
      <c r="H1596" s="1" t="s">
        <v>28</v>
      </c>
      <c r="I1596" s="1" t="s">
        <v>40</v>
      </c>
    </row>
    <row r="1597">
      <c r="A1597" s="1">
        <v>3318064.0</v>
      </c>
      <c r="B1597" s="1" t="s">
        <v>3452</v>
      </c>
      <c r="C1597" s="1" t="s">
        <v>2930</v>
      </c>
      <c r="D1597" s="1" t="s">
        <v>3049</v>
      </c>
      <c r="E1597" s="1" t="s">
        <v>3453</v>
      </c>
      <c r="F1597" s="1" t="s">
        <v>16</v>
      </c>
      <c r="G1597" s="1" t="s">
        <v>17</v>
      </c>
      <c r="H1597" s="1" t="s">
        <v>18</v>
      </c>
      <c r="I1597" s="1" t="s">
        <v>684</v>
      </c>
    </row>
    <row r="1598">
      <c r="A1598" s="1">
        <v>3374054.0</v>
      </c>
      <c r="B1598" s="1" t="s">
        <v>3454</v>
      </c>
      <c r="C1598" s="1" t="s">
        <v>2930</v>
      </c>
      <c r="D1598" s="1" t="s">
        <v>2948</v>
      </c>
      <c r="E1598" s="1" t="s">
        <v>3455</v>
      </c>
      <c r="F1598" s="1" t="s">
        <v>16</v>
      </c>
      <c r="G1598" s="1" t="s">
        <v>17</v>
      </c>
      <c r="H1598" s="1" t="s">
        <v>18</v>
      </c>
      <c r="I1598" s="1" t="s">
        <v>19</v>
      </c>
    </row>
    <row r="1599">
      <c r="A1599" s="1">
        <v>3321034.0</v>
      </c>
      <c r="B1599" s="1" t="s">
        <v>3456</v>
      </c>
      <c r="C1599" s="1" t="s">
        <v>2930</v>
      </c>
      <c r="D1599" s="1" t="s">
        <v>2964</v>
      </c>
      <c r="E1599" s="1" t="s">
        <v>3457</v>
      </c>
      <c r="F1599" s="1" t="s">
        <v>16</v>
      </c>
      <c r="G1599" s="1" t="s">
        <v>17</v>
      </c>
      <c r="H1599" s="1" t="s">
        <v>18</v>
      </c>
      <c r="I1599" s="1" t="s">
        <v>19</v>
      </c>
    </row>
    <row r="1600">
      <c r="A1600" s="1">
        <v>3315061.0</v>
      </c>
      <c r="B1600" s="1" t="s">
        <v>3458</v>
      </c>
      <c r="C1600" s="1" t="s">
        <v>2930</v>
      </c>
      <c r="D1600" s="1" t="s">
        <v>3005</v>
      </c>
      <c r="E1600" s="1" t="s">
        <v>3459</v>
      </c>
      <c r="F1600" s="1" t="s">
        <v>16</v>
      </c>
      <c r="G1600" s="1" t="s">
        <v>23</v>
      </c>
      <c r="H1600" s="1" t="s">
        <v>18</v>
      </c>
      <c r="I1600" s="1" t="s">
        <v>40</v>
      </c>
    </row>
    <row r="1601">
      <c r="A1601" s="1">
        <v>3302248.0</v>
      </c>
      <c r="B1601" s="1" t="s">
        <v>3460</v>
      </c>
      <c r="C1601" s="1" t="s">
        <v>2930</v>
      </c>
      <c r="D1601" s="1" t="s">
        <v>2937</v>
      </c>
      <c r="E1601" s="1" t="s">
        <v>3461</v>
      </c>
      <c r="F1601" s="1" t="s">
        <v>272</v>
      </c>
      <c r="G1601" s="1" t="s">
        <v>17</v>
      </c>
      <c r="H1601" s="1" t="s">
        <v>33</v>
      </c>
      <c r="I1601" s="1" t="s">
        <v>40</v>
      </c>
    </row>
    <row r="1602">
      <c r="A1602" s="1">
        <v>3374389.0</v>
      </c>
      <c r="B1602" s="1" t="s">
        <v>3462</v>
      </c>
      <c r="C1602" s="1" t="s">
        <v>2930</v>
      </c>
      <c r="D1602" s="1" t="s">
        <v>2948</v>
      </c>
      <c r="E1602" s="1" t="s">
        <v>3463</v>
      </c>
      <c r="F1602" s="1" t="s">
        <v>16</v>
      </c>
      <c r="G1602" s="1" t="s">
        <v>17</v>
      </c>
      <c r="H1602" s="1" t="s">
        <v>18</v>
      </c>
      <c r="I1602" s="1" t="s">
        <v>19</v>
      </c>
    </row>
    <row r="1603">
      <c r="A1603" s="1">
        <v>3305092.0</v>
      </c>
      <c r="B1603" s="1" t="s">
        <v>3464</v>
      </c>
      <c r="C1603" s="1" t="s">
        <v>2930</v>
      </c>
      <c r="D1603" s="1" t="s">
        <v>2958</v>
      </c>
      <c r="E1603" s="1" t="s">
        <v>3465</v>
      </c>
      <c r="F1603" s="1" t="s">
        <v>16</v>
      </c>
      <c r="G1603" s="1" t="s">
        <v>17</v>
      </c>
      <c r="H1603" s="1" t="s">
        <v>18</v>
      </c>
      <c r="I1603" s="1" t="s">
        <v>59</v>
      </c>
    </row>
    <row r="1604">
      <c r="A1604" s="1">
        <v>3374010.0</v>
      </c>
      <c r="B1604" s="1" t="s">
        <v>3466</v>
      </c>
      <c r="C1604" s="1" t="s">
        <v>2930</v>
      </c>
      <c r="D1604" s="1" t="s">
        <v>2948</v>
      </c>
      <c r="E1604" s="1" t="s">
        <v>3467</v>
      </c>
      <c r="F1604" s="1" t="s">
        <v>16</v>
      </c>
      <c r="G1604" s="1" t="s">
        <v>150</v>
      </c>
      <c r="H1604" s="1" t="s">
        <v>33</v>
      </c>
      <c r="I1604" s="1" t="s">
        <v>411</v>
      </c>
    </row>
    <row r="1605">
      <c r="A1605" s="1">
        <v>3312308.0</v>
      </c>
      <c r="B1605" s="1" t="s">
        <v>3468</v>
      </c>
      <c r="C1605" s="1" t="s">
        <v>2930</v>
      </c>
      <c r="D1605" s="1" t="s">
        <v>3118</v>
      </c>
      <c r="E1605" s="1" t="s">
        <v>3469</v>
      </c>
      <c r="F1605" s="1" t="s">
        <v>16</v>
      </c>
      <c r="G1605" s="1" t="s">
        <v>23</v>
      </c>
      <c r="H1605" s="1" t="s">
        <v>18</v>
      </c>
      <c r="I1605" s="1" t="s">
        <v>44</v>
      </c>
    </row>
    <row r="1606">
      <c r="A1606" s="1">
        <v>3322071.0</v>
      </c>
      <c r="B1606" s="1" t="s">
        <v>326</v>
      </c>
      <c r="C1606" s="1" t="s">
        <v>2930</v>
      </c>
      <c r="D1606" s="1" t="s">
        <v>3064</v>
      </c>
      <c r="E1606" s="1" t="s">
        <v>3470</v>
      </c>
      <c r="F1606" s="1" t="s">
        <v>16</v>
      </c>
      <c r="G1606" s="1" t="s">
        <v>23</v>
      </c>
      <c r="H1606" s="1" t="s">
        <v>18</v>
      </c>
      <c r="I1606" s="1" t="s">
        <v>59</v>
      </c>
    </row>
    <row r="1607">
      <c r="A1607" s="1">
        <v>3310026.0</v>
      </c>
      <c r="B1607" s="1" t="s">
        <v>3471</v>
      </c>
      <c r="C1607" s="1" t="s">
        <v>2930</v>
      </c>
      <c r="D1607" s="1" t="s">
        <v>2989</v>
      </c>
      <c r="E1607" s="1" t="s">
        <v>3472</v>
      </c>
      <c r="F1607" s="1" t="s">
        <v>174</v>
      </c>
      <c r="G1607" s="1" t="s">
        <v>150</v>
      </c>
      <c r="H1607" s="1" t="s">
        <v>28</v>
      </c>
      <c r="I1607" s="1" t="s">
        <v>139</v>
      </c>
    </row>
    <row r="1608">
      <c r="A1608" s="1">
        <v>3374331.0</v>
      </c>
      <c r="B1608" s="1" t="s">
        <v>3473</v>
      </c>
      <c r="C1608" s="1" t="s">
        <v>2930</v>
      </c>
      <c r="D1608" s="1" t="s">
        <v>2948</v>
      </c>
      <c r="E1608" s="1" t="s">
        <v>3474</v>
      </c>
      <c r="F1608" s="1" t="s">
        <v>16</v>
      </c>
      <c r="G1608" s="1" t="s">
        <v>23</v>
      </c>
      <c r="H1608" s="1" t="s">
        <v>18</v>
      </c>
      <c r="I1608" s="1" t="s">
        <v>19</v>
      </c>
    </row>
    <row r="1609">
      <c r="A1609" s="1">
        <v>3314109.0</v>
      </c>
      <c r="B1609" s="1" t="s">
        <v>3475</v>
      </c>
      <c r="C1609" s="1" t="s">
        <v>2930</v>
      </c>
      <c r="D1609" s="1" t="s">
        <v>2945</v>
      </c>
      <c r="E1609" s="1" t="s">
        <v>3476</v>
      </c>
      <c r="F1609" s="1" t="s">
        <v>16</v>
      </c>
      <c r="G1609" s="1" t="s">
        <v>23</v>
      </c>
      <c r="H1609" s="1" t="s">
        <v>18</v>
      </c>
      <c r="I1609" s="1" t="s">
        <v>163</v>
      </c>
    </row>
    <row r="1610">
      <c r="A1610" s="1">
        <v>3327032.0</v>
      </c>
      <c r="B1610" s="1" t="s">
        <v>3477</v>
      </c>
      <c r="C1610" s="1" t="s">
        <v>2930</v>
      </c>
      <c r="D1610" s="1" t="s">
        <v>3054</v>
      </c>
      <c r="E1610" s="1" t="s">
        <v>3478</v>
      </c>
      <c r="F1610" s="1" t="s">
        <v>16</v>
      </c>
      <c r="G1610" s="1" t="s">
        <v>23</v>
      </c>
      <c r="H1610" s="1" t="s">
        <v>18</v>
      </c>
      <c r="I1610" s="1" t="s">
        <v>684</v>
      </c>
    </row>
    <row r="1611">
      <c r="A1611" s="1">
        <v>3328078.0</v>
      </c>
      <c r="B1611" s="1" t="s">
        <v>3479</v>
      </c>
      <c r="C1611" s="1" t="s">
        <v>2930</v>
      </c>
      <c r="D1611" s="1" t="s">
        <v>3038</v>
      </c>
      <c r="E1611" s="1" t="s">
        <v>3480</v>
      </c>
      <c r="F1611" s="1" t="s">
        <v>16</v>
      </c>
      <c r="G1611" s="1" t="s">
        <v>23</v>
      </c>
      <c r="H1611" s="1" t="s">
        <v>18</v>
      </c>
      <c r="I1611" s="1" t="s">
        <v>19</v>
      </c>
    </row>
    <row r="1612">
      <c r="A1612" s="1">
        <v>3375073.0</v>
      </c>
      <c r="B1612" s="1" t="s">
        <v>3481</v>
      </c>
      <c r="C1612" s="1" t="s">
        <v>2930</v>
      </c>
      <c r="D1612" s="1" t="s">
        <v>2986</v>
      </c>
      <c r="E1612" s="1" t="s">
        <v>3482</v>
      </c>
      <c r="F1612" s="1" t="s">
        <v>16</v>
      </c>
      <c r="G1612" s="1" t="s">
        <v>23</v>
      </c>
      <c r="H1612" s="1" t="s">
        <v>18</v>
      </c>
      <c r="I1612" s="1" t="s">
        <v>19</v>
      </c>
    </row>
    <row r="1613">
      <c r="A1613" s="1">
        <v>3301107.0</v>
      </c>
      <c r="B1613" s="1" t="s">
        <v>3483</v>
      </c>
      <c r="C1613" s="1" t="s">
        <v>2930</v>
      </c>
      <c r="D1613" s="1" t="s">
        <v>2996</v>
      </c>
      <c r="E1613" s="1" t="s">
        <v>3484</v>
      </c>
      <c r="F1613" s="1" t="s">
        <v>16</v>
      </c>
      <c r="G1613" s="1" t="s">
        <v>23</v>
      </c>
      <c r="H1613" s="1" t="s">
        <v>18</v>
      </c>
      <c r="I1613" s="1" t="s">
        <v>249</v>
      </c>
    </row>
    <row r="1614">
      <c r="A1614" s="1">
        <v>3302249.0</v>
      </c>
      <c r="B1614" s="1" t="s">
        <v>3485</v>
      </c>
      <c r="C1614" s="1" t="s">
        <v>2930</v>
      </c>
      <c r="D1614" s="1" t="s">
        <v>2937</v>
      </c>
      <c r="E1614" s="1" t="s">
        <v>3486</v>
      </c>
      <c r="F1614" s="1" t="s">
        <v>16</v>
      </c>
      <c r="G1614" s="1" t="s">
        <v>17</v>
      </c>
      <c r="H1614" s="1" t="s">
        <v>18</v>
      </c>
      <c r="I1614" s="1" t="s">
        <v>44</v>
      </c>
    </row>
    <row r="1615">
      <c r="A1615" s="1">
        <v>3324053.0</v>
      </c>
      <c r="B1615" s="1" t="s">
        <v>3487</v>
      </c>
      <c r="C1615" s="1" t="s">
        <v>2930</v>
      </c>
      <c r="D1615" s="1" t="s">
        <v>2970</v>
      </c>
      <c r="E1615" s="1" t="s">
        <v>3488</v>
      </c>
      <c r="F1615" s="1" t="s">
        <v>16</v>
      </c>
      <c r="G1615" s="1" t="s">
        <v>23</v>
      </c>
      <c r="H1615" s="1" t="s">
        <v>18</v>
      </c>
      <c r="I1615" s="1" t="s">
        <v>19</v>
      </c>
    </row>
    <row r="1616">
      <c r="A1616" s="1">
        <v>3301095.0</v>
      </c>
      <c r="B1616" s="1" t="s">
        <v>918</v>
      </c>
      <c r="C1616" s="1" t="s">
        <v>2930</v>
      </c>
      <c r="D1616" s="1" t="s">
        <v>2996</v>
      </c>
      <c r="E1616" s="1" t="s">
        <v>3489</v>
      </c>
      <c r="F1616" s="1" t="s">
        <v>55</v>
      </c>
      <c r="G1616" s="1" t="s">
        <v>17</v>
      </c>
      <c r="H1616" s="1" t="s">
        <v>18</v>
      </c>
      <c r="I1616" s="1" t="s">
        <v>684</v>
      </c>
    </row>
    <row r="1617">
      <c r="A1617" s="1">
        <v>3371025.0</v>
      </c>
      <c r="B1617" s="1" t="s">
        <v>3490</v>
      </c>
      <c r="C1617" s="1" t="s">
        <v>2930</v>
      </c>
      <c r="D1617" s="1" t="s">
        <v>2939</v>
      </c>
      <c r="E1617" s="1" t="s">
        <v>3491</v>
      </c>
      <c r="F1617" s="1" t="s">
        <v>16</v>
      </c>
      <c r="G1617" s="1" t="s">
        <v>27</v>
      </c>
      <c r="H1617" s="1" t="s">
        <v>33</v>
      </c>
      <c r="I1617" s="1" t="s">
        <v>74</v>
      </c>
    </row>
    <row r="1618">
      <c r="A1618" s="1">
        <v>3314092.0</v>
      </c>
      <c r="B1618" s="1" t="s">
        <v>3492</v>
      </c>
      <c r="C1618" s="1" t="s">
        <v>2930</v>
      </c>
      <c r="D1618" s="1" t="s">
        <v>2945</v>
      </c>
      <c r="E1618" s="1" t="s">
        <v>3493</v>
      </c>
      <c r="F1618" s="1" t="s">
        <v>16</v>
      </c>
      <c r="G1618" s="1" t="s">
        <v>23</v>
      </c>
      <c r="H1618" s="1" t="s">
        <v>18</v>
      </c>
      <c r="I1618" s="1" t="s">
        <v>44</v>
      </c>
    </row>
    <row r="1619">
      <c r="A1619" s="1">
        <v>3316014.0</v>
      </c>
      <c r="B1619" s="1" t="s">
        <v>3494</v>
      </c>
      <c r="C1619" s="1" t="s">
        <v>2930</v>
      </c>
      <c r="D1619" s="1" t="s">
        <v>2951</v>
      </c>
      <c r="E1619" s="1" t="s">
        <v>3495</v>
      </c>
      <c r="F1619" s="1" t="s">
        <v>16</v>
      </c>
      <c r="G1619" s="1" t="s">
        <v>17</v>
      </c>
      <c r="H1619" s="1" t="s">
        <v>28</v>
      </c>
      <c r="I1619" s="1" t="s">
        <v>40</v>
      </c>
    </row>
    <row r="1620">
      <c r="A1620" s="1">
        <v>3302121.0</v>
      </c>
      <c r="B1620" s="1" t="s">
        <v>3496</v>
      </c>
      <c r="C1620" s="1" t="s">
        <v>2930</v>
      </c>
      <c r="D1620" s="1" t="s">
        <v>2937</v>
      </c>
      <c r="E1620" s="1" t="s">
        <v>3497</v>
      </c>
      <c r="F1620" s="1" t="s">
        <v>16</v>
      </c>
      <c r="G1620" s="1" t="s">
        <v>23</v>
      </c>
      <c r="H1620" s="1" t="s">
        <v>18</v>
      </c>
      <c r="I1620" s="1" t="s">
        <v>59</v>
      </c>
    </row>
    <row r="1621">
      <c r="A1621" s="1">
        <v>3306023.0</v>
      </c>
      <c r="B1621" s="1" t="s">
        <v>3498</v>
      </c>
      <c r="C1621" s="1" t="s">
        <v>2930</v>
      </c>
      <c r="D1621" s="1" t="s">
        <v>2942</v>
      </c>
      <c r="E1621" s="1" t="s">
        <v>3499</v>
      </c>
      <c r="F1621" s="1" t="s">
        <v>16</v>
      </c>
      <c r="G1621" s="1" t="s">
        <v>23</v>
      </c>
      <c r="H1621" s="1" t="s">
        <v>18</v>
      </c>
      <c r="I1621" s="1" t="s">
        <v>684</v>
      </c>
    </row>
    <row r="1622">
      <c r="A1622" s="1">
        <v>3303075.0</v>
      </c>
      <c r="B1622" s="1" t="s">
        <v>205</v>
      </c>
      <c r="C1622" s="1" t="s">
        <v>2930</v>
      </c>
      <c r="D1622" s="1" t="s">
        <v>3099</v>
      </c>
      <c r="E1622" s="1" t="s">
        <v>3500</v>
      </c>
      <c r="F1622" s="1" t="s">
        <v>16</v>
      </c>
      <c r="G1622" s="1" t="s">
        <v>17</v>
      </c>
      <c r="H1622" s="1" t="s">
        <v>18</v>
      </c>
      <c r="I1622" s="1" t="s">
        <v>59</v>
      </c>
    </row>
    <row r="1623">
      <c r="A1623" s="1">
        <v>3372191.0</v>
      </c>
      <c r="B1623" s="1" t="s">
        <v>3501</v>
      </c>
      <c r="C1623" s="1" t="s">
        <v>2930</v>
      </c>
      <c r="D1623" s="1" t="s">
        <v>2967</v>
      </c>
      <c r="E1623" s="1" t="s">
        <v>3502</v>
      </c>
      <c r="F1623" s="1" t="s">
        <v>16</v>
      </c>
      <c r="G1623" s="1" t="s">
        <v>17</v>
      </c>
      <c r="H1623" s="1" t="s">
        <v>18</v>
      </c>
      <c r="I1623" s="1" t="s">
        <v>19</v>
      </c>
    </row>
    <row r="1624">
      <c r="A1624" s="1">
        <v>3303097.0</v>
      </c>
      <c r="B1624" s="1" t="s">
        <v>3503</v>
      </c>
      <c r="C1624" s="1" t="s">
        <v>2930</v>
      </c>
      <c r="D1624" s="1" t="s">
        <v>3099</v>
      </c>
      <c r="E1624" s="1" t="s">
        <v>3504</v>
      </c>
      <c r="F1624" s="1" t="s">
        <v>16</v>
      </c>
      <c r="G1624" s="1" t="s">
        <v>17</v>
      </c>
      <c r="H1624" s="1" t="s">
        <v>28</v>
      </c>
      <c r="I1624" s="1" t="s">
        <v>40</v>
      </c>
    </row>
    <row r="1625">
      <c r="A1625" s="1">
        <v>3327044.0</v>
      </c>
      <c r="B1625" s="1" t="s">
        <v>3505</v>
      </c>
      <c r="C1625" s="1" t="s">
        <v>2930</v>
      </c>
      <c r="D1625" s="1" t="s">
        <v>3054</v>
      </c>
      <c r="E1625" s="1" t="s">
        <v>3506</v>
      </c>
      <c r="F1625" s="1" t="s">
        <v>16</v>
      </c>
      <c r="G1625" s="1" t="s">
        <v>17</v>
      </c>
      <c r="H1625" s="1" t="s">
        <v>18</v>
      </c>
      <c r="I1625" s="1" t="s">
        <v>19</v>
      </c>
    </row>
    <row r="1626">
      <c r="A1626" s="1">
        <v>3316074.0</v>
      </c>
      <c r="B1626" s="1" t="s">
        <v>3507</v>
      </c>
      <c r="C1626" s="1" t="s">
        <v>2930</v>
      </c>
      <c r="D1626" s="1" t="s">
        <v>2951</v>
      </c>
      <c r="E1626" s="1" t="s">
        <v>3508</v>
      </c>
      <c r="F1626" s="1" t="s">
        <v>55</v>
      </c>
      <c r="G1626" s="1" t="s">
        <v>17</v>
      </c>
      <c r="H1626" s="1" t="s">
        <v>18</v>
      </c>
      <c r="I1626" s="1" t="s">
        <v>44</v>
      </c>
    </row>
    <row r="1627">
      <c r="A1627" s="1">
        <v>3374388.0</v>
      </c>
      <c r="B1627" s="1" t="s">
        <v>3509</v>
      </c>
      <c r="C1627" s="1" t="s">
        <v>2930</v>
      </c>
      <c r="D1627" s="1" t="s">
        <v>2948</v>
      </c>
      <c r="E1627" s="1" t="s">
        <v>3510</v>
      </c>
      <c r="F1627" s="1" t="s">
        <v>16</v>
      </c>
      <c r="G1627" s="1" t="s">
        <v>17</v>
      </c>
      <c r="H1627" s="1" t="s">
        <v>18</v>
      </c>
      <c r="I1627" s="1" t="s">
        <v>19</v>
      </c>
    </row>
    <row r="1628">
      <c r="A1628" s="1">
        <v>3320021.0</v>
      </c>
      <c r="B1628" s="1" t="s">
        <v>3511</v>
      </c>
      <c r="C1628" s="1" t="s">
        <v>2930</v>
      </c>
      <c r="D1628" s="1" t="s">
        <v>3104</v>
      </c>
      <c r="E1628" s="1" t="s">
        <v>3512</v>
      </c>
      <c r="F1628" s="1" t="s">
        <v>16</v>
      </c>
      <c r="G1628" s="1" t="s">
        <v>17</v>
      </c>
      <c r="H1628" s="1" t="s">
        <v>28</v>
      </c>
      <c r="I1628" s="1" t="s">
        <v>139</v>
      </c>
    </row>
    <row r="1629">
      <c r="A1629" s="1">
        <v>3308034.0</v>
      </c>
      <c r="B1629" s="1" t="s">
        <v>3513</v>
      </c>
      <c r="C1629" s="1" t="s">
        <v>2930</v>
      </c>
      <c r="D1629" s="1" t="s">
        <v>3107</v>
      </c>
      <c r="E1629" s="1" t="s">
        <v>3514</v>
      </c>
      <c r="F1629" s="1" t="s">
        <v>16</v>
      </c>
      <c r="G1629" s="1" t="s">
        <v>23</v>
      </c>
      <c r="H1629" s="1" t="s">
        <v>18</v>
      </c>
      <c r="I1629" s="1" t="s">
        <v>40</v>
      </c>
    </row>
    <row r="1630">
      <c r="A1630" s="1">
        <v>3309015.0</v>
      </c>
      <c r="B1630" s="1" t="s">
        <v>3515</v>
      </c>
      <c r="C1630" s="1" t="s">
        <v>2930</v>
      </c>
      <c r="D1630" s="1" t="s">
        <v>2973</v>
      </c>
      <c r="E1630" s="1" t="s">
        <v>3516</v>
      </c>
      <c r="F1630" s="1" t="s">
        <v>16</v>
      </c>
      <c r="G1630" s="1" t="s">
        <v>27</v>
      </c>
      <c r="H1630" s="1" t="s">
        <v>28</v>
      </c>
      <c r="I1630" s="1" t="s">
        <v>40</v>
      </c>
    </row>
    <row r="1631">
      <c r="A1631" s="1">
        <v>3374134.0</v>
      </c>
      <c r="B1631" s="1" t="s">
        <v>3517</v>
      </c>
      <c r="C1631" s="1" t="s">
        <v>2930</v>
      </c>
      <c r="D1631" s="1" t="s">
        <v>2948</v>
      </c>
      <c r="E1631" s="1" t="s">
        <v>3518</v>
      </c>
      <c r="F1631" s="1" t="s">
        <v>16</v>
      </c>
      <c r="G1631" s="1" t="s">
        <v>27</v>
      </c>
      <c r="H1631" s="1" t="s">
        <v>28</v>
      </c>
      <c r="I1631" s="1" t="s">
        <v>139</v>
      </c>
    </row>
    <row r="1632">
      <c r="A1632" s="1">
        <v>3322034.0</v>
      </c>
      <c r="B1632" s="1" t="s">
        <v>3519</v>
      </c>
      <c r="C1632" s="1" t="s">
        <v>2930</v>
      </c>
      <c r="D1632" s="1" t="s">
        <v>3064</v>
      </c>
      <c r="E1632" s="1" t="s">
        <v>3520</v>
      </c>
      <c r="F1632" s="1" t="s">
        <v>16</v>
      </c>
      <c r="G1632" s="1" t="s">
        <v>17</v>
      </c>
      <c r="H1632" s="1" t="s">
        <v>18</v>
      </c>
      <c r="I1632" s="1" t="s">
        <v>44</v>
      </c>
    </row>
    <row r="1633">
      <c r="A1633" s="1">
        <v>3308022.0</v>
      </c>
      <c r="B1633" s="1" t="s">
        <v>3521</v>
      </c>
      <c r="C1633" s="1" t="s">
        <v>2930</v>
      </c>
      <c r="D1633" s="1" t="s">
        <v>3107</v>
      </c>
      <c r="E1633" s="1" t="s">
        <v>3522</v>
      </c>
      <c r="F1633" s="1" t="s">
        <v>16</v>
      </c>
      <c r="G1633" s="1" t="s">
        <v>17</v>
      </c>
      <c r="H1633" s="1" t="s">
        <v>28</v>
      </c>
      <c r="I1633" s="1" t="s">
        <v>40</v>
      </c>
    </row>
    <row r="1634">
      <c r="A1634" s="1">
        <v>3321047.0</v>
      </c>
      <c r="B1634" s="1" t="s">
        <v>3523</v>
      </c>
      <c r="C1634" s="1" t="s">
        <v>2930</v>
      </c>
      <c r="D1634" s="1" t="s">
        <v>2964</v>
      </c>
      <c r="E1634" s="1" t="s">
        <v>3524</v>
      </c>
      <c r="F1634" s="1" t="s">
        <v>16</v>
      </c>
      <c r="G1634" s="1" t="s">
        <v>17</v>
      </c>
      <c r="H1634" s="1" t="s">
        <v>18</v>
      </c>
      <c r="I1634" s="1" t="s">
        <v>19</v>
      </c>
    </row>
    <row r="1635">
      <c r="A1635" s="1">
        <v>3326038.0</v>
      </c>
      <c r="B1635" s="1" t="s">
        <v>3525</v>
      </c>
      <c r="C1635" s="1" t="s">
        <v>2930</v>
      </c>
      <c r="D1635" s="1" t="s">
        <v>3033</v>
      </c>
      <c r="E1635" s="1" t="s">
        <v>3526</v>
      </c>
      <c r="F1635" s="1" t="s">
        <v>16</v>
      </c>
      <c r="G1635" s="1" t="s">
        <v>17</v>
      </c>
      <c r="H1635" s="1" t="s">
        <v>28</v>
      </c>
      <c r="I1635" s="1" t="s">
        <v>40</v>
      </c>
    </row>
    <row r="1636">
      <c r="A1636" s="1">
        <v>3310419.0</v>
      </c>
      <c r="B1636" s="1" t="s">
        <v>3527</v>
      </c>
      <c r="C1636" s="1" t="s">
        <v>2930</v>
      </c>
      <c r="D1636" s="1" t="s">
        <v>2989</v>
      </c>
      <c r="E1636" s="1" t="s">
        <v>3528</v>
      </c>
      <c r="F1636" s="1" t="s">
        <v>16</v>
      </c>
      <c r="G1636" s="1" t="s">
        <v>23</v>
      </c>
      <c r="H1636" s="1" t="s">
        <v>18</v>
      </c>
      <c r="I1636" s="1" t="s">
        <v>44</v>
      </c>
    </row>
    <row r="1637">
      <c r="A1637" s="1">
        <v>3312284.0</v>
      </c>
      <c r="B1637" s="1" t="s">
        <v>3529</v>
      </c>
      <c r="C1637" s="1" t="s">
        <v>2930</v>
      </c>
      <c r="D1637" s="1" t="s">
        <v>3118</v>
      </c>
      <c r="E1637" s="1" t="s">
        <v>3530</v>
      </c>
      <c r="F1637" s="1" t="s">
        <v>16</v>
      </c>
      <c r="G1637" s="1" t="s">
        <v>23</v>
      </c>
      <c r="H1637" s="1" t="s">
        <v>18</v>
      </c>
      <c r="I1637" s="1" t="s">
        <v>684</v>
      </c>
    </row>
    <row r="1638">
      <c r="A1638" s="1">
        <v>3376034.0</v>
      </c>
      <c r="B1638" s="1" t="s">
        <v>3531</v>
      </c>
      <c r="C1638" s="1" t="s">
        <v>2930</v>
      </c>
      <c r="D1638" s="1" t="s">
        <v>3038</v>
      </c>
      <c r="E1638" s="1" t="s">
        <v>3532</v>
      </c>
      <c r="F1638" s="1" t="s">
        <v>16</v>
      </c>
      <c r="G1638" s="1" t="s">
        <v>23</v>
      </c>
      <c r="H1638" s="1" t="s">
        <v>18</v>
      </c>
      <c r="I1638" s="1" t="s">
        <v>74</v>
      </c>
    </row>
    <row r="1639">
      <c r="A1639" s="1">
        <v>3302063.0</v>
      </c>
      <c r="B1639" s="1" t="s">
        <v>3533</v>
      </c>
      <c r="C1639" s="1" t="s">
        <v>2930</v>
      </c>
      <c r="D1639" s="1" t="s">
        <v>2937</v>
      </c>
      <c r="E1639" s="1" t="s">
        <v>3534</v>
      </c>
      <c r="F1639" s="1" t="s">
        <v>255</v>
      </c>
      <c r="G1639" s="1" t="s">
        <v>17</v>
      </c>
      <c r="H1639" s="1" t="s">
        <v>18</v>
      </c>
      <c r="I1639" s="1" t="s">
        <v>19</v>
      </c>
    </row>
    <row r="1640">
      <c r="A1640" s="1">
        <v>3302226.0</v>
      </c>
      <c r="B1640" s="1" t="s">
        <v>3535</v>
      </c>
      <c r="C1640" s="1" t="s">
        <v>2930</v>
      </c>
      <c r="D1640" s="1" t="s">
        <v>2937</v>
      </c>
      <c r="E1640" s="1" t="s">
        <v>3536</v>
      </c>
      <c r="F1640" s="1" t="s">
        <v>55</v>
      </c>
      <c r="G1640" s="1" t="s">
        <v>17</v>
      </c>
      <c r="H1640" s="1" t="s">
        <v>18</v>
      </c>
      <c r="I1640" s="1" t="s">
        <v>59</v>
      </c>
    </row>
    <row r="1641">
      <c r="A1641" s="1">
        <v>3310426.0</v>
      </c>
      <c r="B1641" s="1" t="s">
        <v>3537</v>
      </c>
      <c r="C1641" s="1" t="s">
        <v>2930</v>
      </c>
      <c r="D1641" s="1" t="s">
        <v>2989</v>
      </c>
      <c r="E1641" s="1" t="s">
        <v>3538</v>
      </c>
      <c r="F1641" s="1" t="s">
        <v>16</v>
      </c>
      <c r="G1641" s="1" t="s">
        <v>23</v>
      </c>
      <c r="H1641" s="1" t="s">
        <v>18</v>
      </c>
      <c r="I1641" s="1" t="s">
        <v>684</v>
      </c>
    </row>
    <row r="1642">
      <c r="A1642" s="1">
        <v>3314056.0</v>
      </c>
      <c r="B1642" s="1" t="s">
        <v>3539</v>
      </c>
      <c r="C1642" s="1" t="s">
        <v>2930</v>
      </c>
      <c r="D1642" s="1" t="s">
        <v>2945</v>
      </c>
      <c r="E1642" s="1" t="s">
        <v>3540</v>
      </c>
      <c r="F1642" s="1" t="s">
        <v>16</v>
      </c>
      <c r="G1642" s="1" t="s">
        <v>17</v>
      </c>
      <c r="H1642" s="1" t="s">
        <v>18</v>
      </c>
      <c r="I1642" s="1" t="s">
        <v>684</v>
      </c>
    </row>
    <row r="1643">
      <c r="A1643" s="1">
        <v>3374367.0</v>
      </c>
      <c r="B1643" s="1" t="s">
        <v>3541</v>
      </c>
      <c r="C1643" s="1" t="s">
        <v>2930</v>
      </c>
      <c r="D1643" s="1" t="s">
        <v>2948</v>
      </c>
      <c r="E1643" s="1" t="s">
        <v>3542</v>
      </c>
      <c r="F1643" s="1" t="s">
        <v>16</v>
      </c>
      <c r="G1643" s="1" t="s">
        <v>17</v>
      </c>
      <c r="H1643" s="1" t="s">
        <v>18</v>
      </c>
      <c r="I1643" s="1" t="s">
        <v>34</v>
      </c>
    </row>
    <row r="1644">
      <c r="A1644" s="1">
        <v>3302165.0</v>
      </c>
      <c r="B1644" s="1" t="s">
        <v>3543</v>
      </c>
      <c r="C1644" s="1" t="s">
        <v>2930</v>
      </c>
      <c r="D1644" s="1" t="s">
        <v>2937</v>
      </c>
      <c r="E1644" s="1" t="s">
        <v>3544</v>
      </c>
      <c r="F1644" s="1" t="s">
        <v>16</v>
      </c>
      <c r="G1644" s="1" t="s">
        <v>17</v>
      </c>
      <c r="H1644" s="1" t="s">
        <v>18</v>
      </c>
      <c r="I1644" s="1" t="s">
        <v>59</v>
      </c>
    </row>
    <row r="1645">
      <c r="A1645" s="1">
        <v>3372041.0</v>
      </c>
      <c r="B1645" s="1" t="s">
        <v>3545</v>
      </c>
      <c r="C1645" s="1" t="s">
        <v>2930</v>
      </c>
      <c r="D1645" s="1" t="s">
        <v>2967</v>
      </c>
      <c r="E1645" s="1" t="s">
        <v>3546</v>
      </c>
      <c r="F1645" s="1" t="s">
        <v>16</v>
      </c>
      <c r="G1645" s="1" t="s">
        <v>17</v>
      </c>
      <c r="H1645" s="1" t="s">
        <v>18</v>
      </c>
      <c r="I1645" s="1" t="s">
        <v>59</v>
      </c>
    </row>
    <row r="1646">
      <c r="A1646" s="1">
        <v>3313054.0</v>
      </c>
      <c r="B1646" s="1" t="s">
        <v>3547</v>
      </c>
      <c r="C1646" s="1" t="s">
        <v>2930</v>
      </c>
      <c r="D1646" s="1" t="s">
        <v>2931</v>
      </c>
      <c r="E1646" s="1" t="s">
        <v>3548</v>
      </c>
      <c r="F1646" s="1" t="s">
        <v>16</v>
      </c>
      <c r="G1646" s="1" t="s">
        <v>23</v>
      </c>
      <c r="H1646" s="1" t="s">
        <v>18</v>
      </c>
      <c r="I1646" s="1" t="s">
        <v>19</v>
      </c>
    </row>
    <row r="1647">
      <c r="A1647" s="1">
        <v>3308018.0</v>
      </c>
      <c r="B1647" s="1" t="s">
        <v>3549</v>
      </c>
      <c r="C1647" s="1" t="s">
        <v>2930</v>
      </c>
      <c r="D1647" s="1" t="s">
        <v>3107</v>
      </c>
      <c r="E1647" s="1" t="s">
        <v>3550</v>
      </c>
      <c r="F1647" s="1" t="s">
        <v>16</v>
      </c>
      <c r="G1647" s="1" t="s">
        <v>23</v>
      </c>
      <c r="H1647" s="1" t="s">
        <v>18</v>
      </c>
      <c r="I1647" s="1" t="s">
        <v>44</v>
      </c>
    </row>
    <row r="1648">
      <c r="A1648" s="1">
        <v>3312310.0</v>
      </c>
      <c r="B1648" s="1" t="s">
        <v>3551</v>
      </c>
      <c r="C1648" s="1" t="s">
        <v>2930</v>
      </c>
      <c r="D1648" s="1" t="s">
        <v>3118</v>
      </c>
      <c r="E1648" s="1" t="s">
        <v>3552</v>
      </c>
      <c r="F1648" s="1" t="s">
        <v>16</v>
      </c>
      <c r="G1648" s="1" t="s">
        <v>23</v>
      </c>
      <c r="H1648" s="1" t="s">
        <v>18</v>
      </c>
      <c r="I1648" s="1" t="s">
        <v>684</v>
      </c>
    </row>
    <row r="1649">
      <c r="A1649" s="1">
        <v>3321036.0</v>
      </c>
      <c r="B1649" s="1" t="s">
        <v>3553</v>
      </c>
      <c r="C1649" s="1" t="s">
        <v>2930</v>
      </c>
      <c r="D1649" s="1" t="s">
        <v>2964</v>
      </c>
      <c r="E1649" s="1" t="s">
        <v>3554</v>
      </c>
      <c r="F1649" s="1" t="s">
        <v>16</v>
      </c>
      <c r="G1649" s="1" t="s">
        <v>23</v>
      </c>
      <c r="H1649" s="1" t="s">
        <v>18</v>
      </c>
      <c r="I1649" s="1" t="s">
        <v>684</v>
      </c>
    </row>
    <row r="1650">
      <c r="A1650" s="1">
        <v>3309149.0</v>
      </c>
      <c r="B1650" s="1" t="s">
        <v>3555</v>
      </c>
      <c r="C1650" s="1" t="s">
        <v>2930</v>
      </c>
      <c r="D1650" s="1" t="s">
        <v>2973</v>
      </c>
      <c r="E1650" s="1" t="s">
        <v>3556</v>
      </c>
      <c r="F1650" s="1" t="s">
        <v>16</v>
      </c>
      <c r="G1650" s="1" t="s">
        <v>23</v>
      </c>
      <c r="H1650" s="1" t="s">
        <v>18</v>
      </c>
      <c r="I1650" s="1" t="s">
        <v>684</v>
      </c>
    </row>
    <row r="1651">
      <c r="A1651" s="1">
        <v>3318086.0</v>
      </c>
      <c r="B1651" s="1" t="s">
        <v>3557</v>
      </c>
      <c r="C1651" s="1" t="s">
        <v>2930</v>
      </c>
      <c r="D1651" s="1" t="s">
        <v>3049</v>
      </c>
      <c r="E1651" s="1" t="s">
        <v>3558</v>
      </c>
      <c r="F1651" s="1" t="s">
        <v>16</v>
      </c>
      <c r="G1651" s="1" t="s">
        <v>17</v>
      </c>
      <c r="H1651" s="1" t="s">
        <v>28</v>
      </c>
      <c r="I1651" s="1" t="s">
        <v>40</v>
      </c>
    </row>
    <row r="1652">
      <c r="A1652" s="1">
        <v>3306012.0</v>
      </c>
      <c r="B1652" s="1" t="s">
        <v>3559</v>
      </c>
      <c r="C1652" s="1" t="s">
        <v>2930</v>
      </c>
      <c r="D1652" s="1" t="s">
        <v>2942</v>
      </c>
      <c r="E1652" s="1" t="s">
        <v>3560</v>
      </c>
      <c r="F1652" s="1" t="s">
        <v>16</v>
      </c>
      <c r="G1652" s="1" t="s">
        <v>27</v>
      </c>
      <c r="H1652" s="1" t="s">
        <v>28</v>
      </c>
      <c r="I1652" s="1" t="s">
        <v>40</v>
      </c>
    </row>
    <row r="1653">
      <c r="A1653" s="1">
        <v>3374032.0</v>
      </c>
      <c r="B1653" s="1" t="s">
        <v>3561</v>
      </c>
      <c r="C1653" s="1" t="s">
        <v>2930</v>
      </c>
      <c r="D1653" s="1" t="s">
        <v>2948</v>
      </c>
      <c r="E1653" s="1" t="s">
        <v>3562</v>
      </c>
      <c r="F1653" s="1" t="s">
        <v>16</v>
      </c>
      <c r="G1653" s="1" t="s">
        <v>17</v>
      </c>
      <c r="H1653" s="1" t="s">
        <v>18</v>
      </c>
      <c r="I1653" s="1" t="s">
        <v>59</v>
      </c>
    </row>
    <row r="1654">
      <c r="A1654" s="1">
        <v>3323024.0</v>
      </c>
      <c r="B1654" s="1" t="s">
        <v>3563</v>
      </c>
      <c r="C1654" s="1" t="s">
        <v>2930</v>
      </c>
      <c r="D1654" s="1" t="s">
        <v>3146</v>
      </c>
      <c r="E1654" s="1" t="s">
        <v>3564</v>
      </c>
      <c r="F1654" s="1" t="s">
        <v>16</v>
      </c>
      <c r="G1654" s="1" t="s">
        <v>17</v>
      </c>
      <c r="H1654" s="1" t="s">
        <v>18</v>
      </c>
      <c r="I1654" s="1" t="s">
        <v>258</v>
      </c>
    </row>
    <row r="1655">
      <c r="A1655" s="1">
        <v>3305120.0</v>
      </c>
      <c r="B1655" s="1" t="s">
        <v>3565</v>
      </c>
      <c r="C1655" s="1" t="s">
        <v>2930</v>
      </c>
      <c r="D1655" s="1" t="s">
        <v>2958</v>
      </c>
      <c r="E1655" s="1" t="s">
        <v>3566</v>
      </c>
      <c r="F1655" s="1" t="s">
        <v>16</v>
      </c>
      <c r="G1655" s="1" t="s">
        <v>17</v>
      </c>
      <c r="H1655" s="1" t="s">
        <v>28</v>
      </c>
      <c r="I1655" s="1" t="s">
        <v>40</v>
      </c>
    </row>
    <row r="1656">
      <c r="A1656" s="1">
        <v>3328094.0</v>
      </c>
      <c r="B1656" s="1" t="s">
        <v>3567</v>
      </c>
      <c r="C1656" s="1" t="s">
        <v>2930</v>
      </c>
      <c r="D1656" s="1" t="s">
        <v>3038</v>
      </c>
      <c r="E1656" s="1" t="s">
        <v>3568</v>
      </c>
      <c r="F1656" s="1" t="s">
        <v>16</v>
      </c>
      <c r="G1656" s="1" t="s">
        <v>17</v>
      </c>
      <c r="H1656" s="1" t="s">
        <v>18</v>
      </c>
      <c r="I1656" s="1" t="s">
        <v>44</v>
      </c>
    </row>
    <row r="1657">
      <c r="A1657" s="1">
        <v>3310384.0</v>
      </c>
      <c r="B1657" s="1" t="s">
        <v>3569</v>
      </c>
      <c r="C1657" s="1" t="s">
        <v>2930</v>
      </c>
      <c r="D1657" s="1" t="s">
        <v>2989</v>
      </c>
      <c r="E1657" s="1" t="s">
        <v>3570</v>
      </c>
      <c r="F1657" s="1" t="s">
        <v>16</v>
      </c>
      <c r="G1657" s="1" t="s">
        <v>27</v>
      </c>
      <c r="H1657" s="1" t="s">
        <v>18</v>
      </c>
      <c r="I1657" s="1" t="s">
        <v>684</v>
      </c>
    </row>
    <row r="1658">
      <c r="A1658" s="1">
        <v>3374353.0</v>
      </c>
      <c r="B1658" s="1" t="s">
        <v>3571</v>
      </c>
      <c r="C1658" s="1" t="s">
        <v>2930</v>
      </c>
      <c r="D1658" s="1" t="s">
        <v>2948</v>
      </c>
      <c r="E1658" s="1" t="s">
        <v>3572</v>
      </c>
      <c r="F1658" s="1" t="s">
        <v>55</v>
      </c>
      <c r="G1658" s="1" t="s">
        <v>17</v>
      </c>
      <c r="H1658" s="1" t="s">
        <v>18</v>
      </c>
      <c r="I1658" s="1" t="s">
        <v>19</v>
      </c>
    </row>
    <row r="1659">
      <c r="A1659" s="1">
        <v>3375072.0</v>
      </c>
      <c r="B1659" s="1" t="s">
        <v>3573</v>
      </c>
      <c r="C1659" s="1" t="s">
        <v>2930</v>
      </c>
      <c r="D1659" s="1" t="s">
        <v>2986</v>
      </c>
      <c r="E1659" s="1" t="s">
        <v>3574</v>
      </c>
      <c r="F1659" s="1" t="s">
        <v>16</v>
      </c>
      <c r="G1659" s="1" t="s">
        <v>23</v>
      </c>
      <c r="H1659" s="1" t="s">
        <v>18</v>
      </c>
      <c r="I1659" s="1" t="s">
        <v>19</v>
      </c>
    </row>
    <row r="1660">
      <c r="A1660" s="1">
        <v>3301112.0</v>
      </c>
      <c r="B1660" s="1" t="s">
        <v>3575</v>
      </c>
      <c r="C1660" s="1" t="s">
        <v>2930</v>
      </c>
      <c r="D1660" s="1" t="s">
        <v>2996</v>
      </c>
      <c r="E1660" s="1" t="s">
        <v>3576</v>
      </c>
      <c r="F1660" s="1" t="s">
        <v>16</v>
      </c>
      <c r="G1660" s="1" t="s">
        <v>17</v>
      </c>
      <c r="H1660" s="1" t="s">
        <v>18</v>
      </c>
      <c r="I1660" s="1" t="s">
        <v>19</v>
      </c>
    </row>
    <row r="1661">
      <c r="A1661" s="1">
        <v>3313067.0</v>
      </c>
      <c r="B1661" s="1" t="s">
        <v>3577</v>
      </c>
      <c r="C1661" s="1" t="s">
        <v>2930</v>
      </c>
      <c r="D1661" s="1" t="s">
        <v>2931</v>
      </c>
      <c r="E1661" s="1" t="s">
        <v>3578</v>
      </c>
      <c r="F1661" s="1" t="s">
        <v>16</v>
      </c>
      <c r="G1661" s="1" t="s">
        <v>17</v>
      </c>
      <c r="H1661" s="1" t="s">
        <v>18</v>
      </c>
      <c r="I1661" s="1" t="s">
        <v>19</v>
      </c>
    </row>
    <row r="1662">
      <c r="A1662" s="1">
        <v>3328055.0</v>
      </c>
      <c r="B1662" s="1" t="s">
        <v>3579</v>
      </c>
      <c r="C1662" s="1" t="s">
        <v>2930</v>
      </c>
      <c r="D1662" s="1" t="s">
        <v>3038</v>
      </c>
      <c r="E1662" s="1" t="s">
        <v>3580</v>
      </c>
      <c r="F1662" s="1" t="s">
        <v>16</v>
      </c>
      <c r="G1662" s="1" t="s">
        <v>17</v>
      </c>
      <c r="H1662" s="1" t="s">
        <v>18</v>
      </c>
      <c r="I1662" s="1" t="s">
        <v>59</v>
      </c>
    </row>
    <row r="1663">
      <c r="A1663" s="1">
        <v>3306106.0</v>
      </c>
      <c r="B1663" s="1" t="s">
        <v>3581</v>
      </c>
      <c r="C1663" s="1" t="s">
        <v>2930</v>
      </c>
      <c r="D1663" s="1" t="s">
        <v>2942</v>
      </c>
      <c r="E1663" s="1" t="s">
        <v>3582</v>
      </c>
      <c r="F1663" s="1" t="s">
        <v>16</v>
      </c>
      <c r="G1663" s="1" t="s">
        <v>23</v>
      </c>
      <c r="H1663" s="1" t="s">
        <v>18</v>
      </c>
      <c r="I1663" s="1" t="s">
        <v>44</v>
      </c>
    </row>
    <row r="1664">
      <c r="A1664" s="1">
        <v>3302015.0</v>
      </c>
      <c r="B1664" s="1" t="s">
        <v>3583</v>
      </c>
      <c r="C1664" s="1" t="s">
        <v>2930</v>
      </c>
      <c r="D1664" s="1" t="s">
        <v>2937</v>
      </c>
      <c r="E1664" s="1" t="s">
        <v>3584</v>
      </c>
      <c r="F1664" s="1" t="s">
        <v>16</v>
      </c>
      <c r="G1664" s="1" t="s">
        <v>27</v>
      </c>
      <c r="H1664" s="1" t="s">
        <v>28</v>
      </c>
      <c r="I1664" s="1" t="s">
        <v>40</v>
      </c>
    </row>
    <row r="1665">
      <c r="A1665" s="1">
        <v>3371084.0</v>
      </c>
      <c r="B1665" s="1" t="s">
        <v>3585</v>
      </c>
      <c r="C1665" s="1" t="s">
        <v>2930</v>
      </c>
      <c r="D1665" s="1" t="s">
        <v>2939</v>
      </c>
      <c r="E1665" s="1" t="s">
        <v>3586</v>
      </c>
      <c r="F1665" s="1" t="s">
        <v>16</v>
      </c>
      <c r="G1665" s="1" t="s">
        <v>23</v>
      </c>
      <c r="H1665" s="1" t="s">
        <v>18</v>
      </c>
      <c r="I1665" s="1" t="s">
        <v>59</v>
      </c>
    </row>
    <row r="1666">
      <c r="A1666" s="1">
        <v>3374374.0</v>
      </c>
      <c r="B1666" s="1" t="s">
        <v>3587</v>
      </c>
      <c r="C1666" s="1" t="s">
        <v>2930</v>
      </c>
      <c r="D1666" s="1" t="s">
        <v>2948</v>
      </c>
      <c r="E1666" s="1" t="s">
        <v>3588</v>
      </c>
      <c r="F1666" s="1" t="s">
        <v>16</v>
      </c>
      <c r="G1666" s="1" t="s">
        <v>17</v>
      </c>
      <c r="H1666" s="1" t="s">
        <v>18</v>
      </c>
      <c r="I1666" s="1" t="s">
        <v>19</v>
      </c>
    </row>
    <row r="1667">
      <c r="A1667" s="1">
        <v>3316040.0</v>
      </c>
      <c r="B1667" s="1" t="s">
        <v>3589</v>
      </c>
      <c r="C1667" s="1" t="s">
        <v>2930</v>
      </c>
      <c r="D1667" s="1" t="s">
        <v>2951</v>
      </c>
      <c r="E1667" s="1" t="s">
        <v>3590</v>
      </c>
      <c r="F1667" s="1" t="s">
        <v>16</v>
      </c>
      <c r="G1667" s="1" t="s">
        <v>23</v>
      </c>
      <c r="H1667" s="1" t="s">
        <v>18</v>
      </c>
      <c r="I1667" s="1" t="s">
        <v>59</v>
      </c>
    </row>
    <row r="1668">
      <c r="A1668" s="1">
        <v>3305114.0</v>
      </c>
      <c r="B1668" s="1" t="s">
        <v>3591</v>
      </c>
      <c r="C1668" s="1" t="s">
        <v>2930</v>
      </c>
      <c r="D1668" s="1" t="s">
        <v>2958</v>
      </c>
      <c r="E1668" s="1" t="s">
        <v>3592</v>
      </c>
      <c r="F1668" s="1" t="s">
        <v>16</v>
      </c>
      <c r="G1668" s="1" t="s">
        <v>23</v>
      </c>
      <c r="H1668" s="1" t="s">
        <v>18</v>
      </c>
      <c r="I1668" s="1" t="s">
        <v>59</v>
      </c>
    </row>
    <row r="1669">
      <c r="A1669" s="1">
        <v>3314078.0</v>
      </c>
      <c r="B1669" s="1" t="s">
        <v>794</v>
      </c>
      <c r="C1669" s="1" t="s">
        <v>2930</v>
      </c>
      <c r="D1669" s="1" t="s">
        <v>2945</v>
      </c>
      <c r="E1669" s="1" t="s">
        <v>3593</v>
      </c>
      <c r="F1669" s="1" t="s">
        <v>55</v>
      </c>
      <c r="G1669" s="1" t="s">
        <v>17</v>
      </c>
      <c r="H1669" s="1" t="s">
        <v>18</v>
      </c>
      <c r="I1669" s="1" t="s">
        <v>59</v>
      </c>
    </row>
    <row r="1670">
      <c r="A1670" s="1">
        <v>3328093.0</v>
      </c>
      <c r="B1670" s="1" t="s">
        <v>3594</v>
      </c>
      <c r="C1670" s="1" t="s">
        <v>2930</v>
      </c>
      <c r="D1670" s="1" t="s">
        <v>3038</v>
      </c>
      <c r="E1670" s="1" t="s">
        <v>3595</v>
      </c>
      <c r="F1670" s="1" t="s">
        <v>16</v>
      </c>
      <c r="G1670" s="1" t="s">
        <v>17</v>
      </c>
      <c r="H1670" s="1" t="s">
        <v>18</v>
      </c>
      <c r="I1670" s="1" t="s">
        <v>44</v>
      </c>
    </row>
    <row r="1671">
      <c r="A1671" s="1">
        <v>3304021.0</v>
      </c>
      <c r="B1671" s="1" t="s">
        <v>3596</v>
      </c>
      <c r="C1671" s="1" t="s">
        <v>2930</v>
      </c>
      <c r="D1671" s="1" t="s">
        <v>3183</v>
      </c>
      <c r="E1671" s="1" t="s">
        <v>3597</v>
      </c>
      <c r="F1671" s="1" t="s">
        <v>16</v>
      </c>
      <c r="G1671" s="1" t="s">
        <v>17</v>
      </c>
      <c r="H1671" s="1" t="s">
        <v>18</v>
      </c>
      <c r="I1671" s="1" t="s">
        <v>258</v>
      </c>
    </row>
    <row r="1672">
      <c r="A1672" s="1">
        <v>3373016.0</v>
      </c>
      <c r="B1672" s="1" t="s">
        <v>3598</v>
      </c>
      <c r="C1672" s="1" t="s">
        <v>2930</v>
      </c>
      <c r="D1672" s="1" t="s">
        <v>2961</v>
      </c>
      <c r="E1672" s="1" t="s">
        <v>3599</v>
      </c>
      <c r="F1672" s="1" t="s">
        <v>16</v>
      </c>
      <c r="G1672" s="1" t="s">
        <v>27</v>
      </c>
      <c r="H1672" s="1" t="s">
        <v>28</v>
      </c>
      <c r="I1672" s="1" t="s">
        <v>29</v>
      </c>
    </row>
    <row r="1673">
      <c r="A1673" s="1">
        <v>3329108.0</v>
      </c>
      <c r="B1673" s="1" t="s">
        <v>3600</v>
      </c>
      <c r="C1673" s="1" t="s">
        <v>2930</v>
      </c>
      <c r="D1673" s="1" t="s">
        <v>2999</v>
      </c>
      <c r="E1673" s="1" t="s">
        <v>3601</v>
      </c>
      <c r="F1673" s="1" t="s">
        <v>16</v>
      </c>
      <c r="G1673" s="1" t="s">
        <v>17</v>
      </c>
      <c r="H1673" s="1" t="s">
        <v>18</v>
      </c>
      <c r="I1673" s="1" t="s">
        <v>19</v>
      </c>
    </row>
    <row r="1674">
      <c r="A1674" s="1">
        <v>3308021.0</v>
      </c>
      <c r="B1674" s="1" t="s">
        <v>3602</v>
      </c>
      <c r="C1674" s="1" t="s">
        <v>2930</v>
      </c>
      <c r="D1674" s="1" t="s">
        <v>3107</v>
      </c>
      <c r="E1674" s="1" t="s">
        <v>3603</v>
      </c>
      <c r="F1674" s="1" t="s">
        <v>16</v>
      </c>
      <c r="G1674" s="1" t="s">
        <v>17</v>
      </c>
      <c r="H1674" s="1" t="s">
        <v>18</v>
      </c>
      <c r="I1674" s="1" t="s">
        <v>44</v>
      </c>
    </row>
    <row r="1675">
      <c r="A1675" s="1">
        <v>3315072.0</v>
      </c>
      <c r="B1675" s="1" t="s">
        <v>3604</v>
      </c>
      <c r="C1675" s="1" t="s">
        <v>2930</v>
      </c>
      <c r="D1675" s="1" t="s">
        <v>3005</v>
      </c>
      <c r="E1675" s="1" t="s">
        <v>3605</v>
      </c>
      <c r="F1675" s="1" t="s">
        <v>1970</v>
      </c>
      <c r="G1675" s="1" t="s">
        <v>17</v>
      </c>
      <c r="H1675" s="1" t="s">
        <v>18</v>
      </c>
      <c r="I1675" s="1" t="s">
        <v>19</v>
      </c>
    </row>
    <row r="1676">
      <c r="A1676" s="1">
        <v>3320043.0</v>
      </c>
      <c r="B1676" s="1" t="s">
        <v>3606</v>
      </c>
      <c r="C1676" s="1" t="s">
        <v>2930</v>
      </c>
      <c r="D1676" s="1" t="s">
        <v>3104</v>
      </c>
      <c r="E1676" s="1" t="s">
        <v>3607</v>
      </c>
      <c r="F1676" s="1" t="s">
        <v>16</v>
      </c>
      <c r="G1676" s="1" t="s">
        <v>23</v>
      </c>
      <c r="H1676" s="1" t="s">
        <v>18</v>
      </c>
      <c r="I1676" s="1" t="s">
        <v>59</v>
      </c>
    </row>
    <row r="1677">
      <c r="A1677" s="1">
        <v>3314089.0</v>
      </c>
      <c r="B1677" s="1" t="s">
        <v>3608</v>
      </c>
      <c r="C1677" s="1" t="s">
        <v>2930</v>
      </c>
      <c r="D1677" s="1" t="s">
        <v>2945</v>
      </c>
      <c r="E1677" s="1" t="s">
        <v>3609</v>
      </c>
      <c r="F1677" s="1" t="s">
        <v>16</v>
      </c>
      <c r="G1677" s="1" t="s">
        <v>17</v>
      </c>
      <c r="H1677" s="1" t="s">
        <v>28</v>
      </c>
      <c r="I1677" s="1" t="s">
        <v>40</v>
      </c>
    </row>
    <row r="1678">
      <c r="A1678" s="1">
        <v>3309074.0</v>
      </c>
      <c r="B1678" s="1" t="s">
        <v>3610</v>
      </c>
      <c r="C1678" s="1" t="s">
        <v>2930</v>
      </c>
      <c r="D1678" s="1" t="s">
        <v>2973</v>
      </c>
      <c r="E1678" s="1" t="s">
        <v>3611</v>
      </c>
      <c r="F1678" s="1" t="s">
        <v>16</v>
      </c>
      <c r="G1678" s="1" t="s">
        <v>23</v>
      </c>
      <c r="H1678" s="1" t="s">
        <v>18</v>
      </c>
      <c r="I1678" s="1" t="s">
        <v>59</v>
      </c>
    </row>
    <row r="1679">
      <c r="A1679" s="1">
        <v>3374203.0</v>
      </c>
      <c r="B1679" s="1" t="s">
        <v>3612</v>
      </c>
      <c r="C1679" s="1" t="s">
        <v>2930</v>
      </c>
      <c r="D1679" s="1" t="s">
        <v>2948</v>
      </c>
      <c r="E1679" s="1" t="s">
        <v>3613</v>
      </c>
      <c r="F1679" s="1" t="s">
        <v>16</v>
      </c>
      <c r="G1679" s="1" t="s">
        <v>17</v>
      </c>
      <c r="H1679" s="1" t="s">
        <v>18</v>
      </c>
      <c r="I1679" s="1" t="s">
        <v>65</v>
      </c>
    </row>
    <row r="1680">
      <c r="A1680" s="1">
        <v>3329114.0</v>
      </c>
      <c r="B1680" s="1" t="s">
        <v>3614</v>
      </c>
      <c r="C1680" s="1" t="s">
        <v>2930</v>
      </c>
      <c r="D1680" s="1" t="s">
        <v>2999</v>
      </c>
      <c r="E1680" s="1" t="s">
        <v>3615</v>
      </c>
      <c r="F1680" s="1" t="s">
        <v>16</v>
      </c>
      <c r="G1680" s="1" t="s">
        <v>17</v>
      </c>
      <c r="H1680" s="1" t="s">
        <v>18</v>
      </c>
      <c r="I1680" s="1" t="s">
        <v>44</v>
      </c>
    </row>
    <row r="1681">
      <c r="A1681" s="1">
        <v>3312306.0</v>
      </c>
      <c r="B1681" s="1" t="s">
        <v>3616</v>
      </c>
      <c r="C1681" s="1" t="s">
        <v>2930</v>
      </c>
      <c r="D1681" s="1" t="s">
        <v>3118</v>
      </c>
      <c r="E1681" s="1" t="s">
        <v>3617</v>
      </c>
      <c r="F1681" s="1" t="s">
        <v>16</v>
      </c>
      <c r="G1681" s="1" t="s">
        <v>17</v>
      </c>
      <c r="H1681" s="1" t="s">
        <v>18</v>
      </c>
      <c r="I1681" s="1" t="s">
        <v>19</v>
      </c>
    </row>
    <row r="1682">
      <c r="A1682" s="1">
        <v>3376093.0</v>
      </c>
      <c r="B1682" s="1" t="s">
        <v>3618</v>
      </c>
      <c r="C1682" s="1" t="s">
        <v>2930</v>
      </c>
      <c r="D1682" s="1" t="s">
        <v>3208</v>
      </c>
      <c r="E1682" s="1" t="s">
        <v>3619</v>
      </c>
      <c r="F1682" s="1" t="s">
        <v>55</v>
      </c>
      <c r="G1682" s="1" t="s">
        <v>17</v>
      </c>
      <c r="H1682" s="1" t="s">
        <v>18</v>
      </c>
      <c r="I1682" s="1" t="s">
        <v>59</v>
      </c>
    </row>
    <row r="1683">
      <c r="A1683" s="1">
        <v>3309132.0</v>
      </c>
      <c r="B1683" s="1" t="s">
        <v>3620</v>
      </c>
      <c r="C1683" s="1" t="s">
        <v>2930</v>
      </c>
      <c r="D1683" s="1" t="s">
        <v>2973</v>
      </c>
      <c r="E1683" s="1" t="s">
        <v>3621</v>
      </c>
      <c r="F1683" s="1" t="s">
        <v>16</v>
      </c>
      <c r="G1683" s="1" t="s">
        <v>23</v>
      </c>
      <c r="H1683" s="1" t="s">
        <v>18</v>
      </c>
      <c r="I1683" s="1" t="s">
        <v>19</v>
      </c>
    </row>
    <row r="1684">
      <c r="A1684" s="1">
        <v>3301114.0</v>
      </c>
      <c r="B1684" s="1" t="s">
        <v>3622</v>
      </c>
      <c r="C1684" s="1" t="s">
        <v>2930</v>
      </c>
      <c r="D1684" s="1" t="s">
        <v>2996</v>
      </c>
      <c r="E1684" s="1" t="s">
        <v>3623</v>
      </c>
      <c r="F1684" s="1" t="s">
        <v>16</v>
      </c>
      <c r="G1684" s="1" t="s">
        <v>23</v>
      </c>
      <c r="H1684" s="1" t="s">
        <v>18</v>
      </c>
      <c r="I1684" s="1" t="s">
        <v>19</v>
      </c>
    </row>
    <row r="1685">
      <c r="A1685" s="1">
        <v>3306113.0</v>
      </c>
      <c r="B1685" s="1" t="s">
        <v>3624</v>
      </c>
      <c r="C1685" s="1" t="s">
        <v>2930</v>
      </c>
      <c r="D1685" s="1" t="s">
        <v>2942</v>
      </c>
      <c r="E1685" s="1" t="s">
        <v>3625</v>
      </c>
      <c r="F1685" s="1" t="s">
        <v>16</v>
      </c>
      <c r="G1685" s="1" t="s">
        <v>17</v>
      </c>
      <c r="H1685" s="1" t="s">
        <v>28</v>
      </c>
      <c r="I1685" s="1" t="s">
        <v>40</v>
      </c>
    </row>
    <row r="1686">
      <c r="A1686" s="1">
        <v>3315013.0</v>
      </c>
      <c r="B1686" s="1" t="s">
        <v>3626</v>
      </c>
      <c r="C1686" s="1" t="s">
        <v>2930</v>
      </c>
      <c r="D1686" s="1" t="s">
        <v>3005</v>
      </c>
      <c r="E1686" s="1" t="s">
        <v>3627</v>
      </c>
      <c r="F1686" s="1" t="s">
        <v>16</v>
      </c>
      <c r="G1686" s="1" t="s">
        <v>27</v>
      </c>
      <c r="H1686" s="1" t="s">
        <v>28</v>
      </c>
      <c r="I1686" s="1" t="s">
        <v>40</v>
      </c>
    </row>
    <row r="1687">
      <c r="A1687" s="1">
        <v>3302191.0</v>
      </c>
      <c r="B1687" s="1" t="s">
        <v>3628</v>
      </c>
      <c r="C1687" s="1" t="s">
        <v>2930</v>
      </c>
      <c r="D1687" s="1" t="s">
        <v>2937</v>
      </c>
      <c r="E1687" s="1" t="s">
        <v>3629</v>
      </c>
      <c r="F1687" s="1" t="s">
        <v>16</v>
      </c>
      <c r="G1687" s="1" t="s">
        <v>17</v>
      </c>
      <c r="H1687" s="1" t="s">
        <v>28</v>
      </c>
      <c r="I1687" s="1" t="s">
        <v>40</v>
      </c>
    </row>
    <row r="1688">
      <c r="A1688" s="1">
        <v>3372063.0</v>
      </c>
      <c r="B1688" s="1" t="s">
        <v>3630</v>
      </c>
      <c r="C1688" s="1" t="s">
        <v>2930</v>
      </c>
      <c r="D1688" s="1" t="s">
        <v>3014</v>
      </c>
      <c r="E1688" s="1" t="s">
        <v>3631</v>
      </c>
      <c r="F1688" s="1" t="s">
        <v>1970</v>
      </c>
      <c r="G1688" s="1" t="s">
        <v>150</v>
      </c>
      <c r="H1688" s="1" t="s">
        <v>33</v>
      </c>
      <c r="I1688" s="1" t="s">
        <v>411</v>
      </c>
    </row>
    <row r="1689">
      <c r="A1689" s="1">
        <v>3329103.0</v>
      </c>
      <c r="B1689" s="1" t="s">
        <v>3632</v>
      </c>
      <c r="C1689" s="1" t="s">
        <v>2930</v>
      </c>
      <c r="D1689" s="1" t="s">
        <v>2999</v>
      </c>
      <c r="E1689" s="1" t="s">
        <v>3633</v>
      </c>
      <c r="F1689" s="1" t="s">
        <v>16</v>
      </c>
      <c r="G1689" s="1" t="s">
        <v>17</v>
      </c>
      <c r="H1689" s="1" t="s">
        <v>18</v>
      </c>
      <c r="I1689" s="1" t="s">
        <v>44</v>
      </c>
    </row>
    <row r="1690">
      <c r="A1690" s="1">
        <v>3374375.0</v>
      </c>
      <c r="B1690" s="1" t="s">
        <v>3634</v>
      </c>
      <c r="C1690" s="1" t="s">
        <v>2930</v>
      </c>
      <c r="D1690" s="1" t="s">
        <v>2948</v>
      </c>
      <c r="E1690" s="1" t="s">
        <v>3635</v>
      </c>
      <c r="F1690" s="1" t="s">
        <v>272</v>
      </c>
      <c r="G1690" s="1" t="s">
        <v>17</v>
      </c>
      <c r="H1690" s="1" t="s">
        <v>18</v>
      </c>
      <c r="I1690" s="1" t="s">
        <v>44</v>
      </c>
    </row>
    <row r="1691">
      <c r="A1691" s="1">
        <v>3319032.0</v>
      </c>
      <c r="B1691" s="1" t="s">
        <v>3636</v>
      </c>
      <c r="C1691" s="1" t="s">
        <v>2930</v>
      </c>
      <c r="D1691" s="1" t="s">
        <v>2934</v>
      </c>
      <c r="E1691" s="1" t="s">
        <v>3637</v>
      </c>
      <c r="F1691" s="1" t="s">
        <v>16</v>
      </c>
      <c r="G1691" s="1" t="s">
        <v>27</v>
      </c>
      <c r="H1691" s="1" t="s">
        <v>18</v>
      </c>
      <c r="I1691" s="1" t="s">
        <v>59</v>
      </c>
    </row>
    <row r="1692">
      <c r="A1692" s="1">
        <v>3302227.0</v>
      </c>
      <c r="B1692" s="1" t="s">
        <v>3638</v>
      </c>
      <c r="C1692" s="1" t="s">
        <v>2930</v>
      </c>
      <c r="D1692" s="1" t="s">
        <v>2937</v>
      </c>
      <c r="E1692" s="1" t="s">
        <v>3639</v>
      </c>
      <c r="F1692" s="1" t="s">
        <v>16</v>
      </c>
      <c r="G1692" s="1" t="s">
        <v>23</v>
      </c>
      <c r="H1692" s="1" t="s">
        <v>18</v>
      </c>
      <c r="I1692" s="1" t="s">
        <v>19</v>
      </c>
    </row>
    <row r="1693">
      <c r="A1693" s="1">
        <v>3303101.0</v>
      </c>
      <c r="B1693" s="1" t="s">
        <v>3640</v>
      </c>
      <c r="C1693" s="1" t="s">
        <v>2930</v>
      </c>
      <c r="D1693" s="1" t="s">
        <v>3099</v>
      </c>
      <c r="E1693" s="1" t="s">
        <v>3641</v>
      </c>
      <c r="F1693" s="1" t="s">
        <v>16</v>
      </c>
      <c r="G1693" s="1" t="s">
        <v>17</v>
      </c>
      <c r="H1693" s="1" t="s">
        <v>18</v>
      </c>
      <c r="I1693" s="1" t="s">
        <v>19</v>
      </c>
    </row>
    <row r="1694">
      <c r="A1694" s="1">
        <v>3372241.0</v>
      </c>
      <c r="B1694" s="1" t="s">
        <v>3642</v>
      </c>
      <c r="C1694" s="1" t="s">
        <v>2930</v>
      </c>
      <c r="D1694" s="1" t="s">
        <v>2967</v>
      </c>
      <c r="E1694" s="1" t="s">
        <v>3643</v>
      </c>
      <c r="F1694" s="1" t="s">
        <v>16</v>
      </c>
      <c r="G1694" s="1" t="s">
        <v>17</v>
      </c>
      <c r="H1694" s="1" t="s">
        <v>18</v>
      </c>
      <c r="I1694" s="1" t="s">
        <v>19</v>
      </c>
    </row>
    <row r="1695">
      <c r="A1695" s="1">
        <v>3306104.0</v>
      </c>
      <c r="B1695" s="1" t="s">
        <v>3644</v>
      </c>
      <c r="C1695" s="1" t="s">
        <v>2930</v>
      </c>
      <c r="D1695" s="1" t="s">
        <v>2942</v>
      </c>
      <c r="E1695" s="1" t="s">
        <v>3645</v>
      </c>
      <c r="F1695" s="1" t="s">
        <v>16</v>
      </c>
      <c r="G1695" s="1" t="s">
        <v>17</v>
      </c>
      <c r="H1695" s="1" t="s">
        <v>18</v>
      </c>
      <c r="I1695" s="1" t="s">
        <v>59</v>
      </c>
    </row>
    <row r="1696">
      <c r="A1696" s="1">
        <v>3374065.0</v>
      </c>
      <c r="B1696" s="1" t="s">
        <v>3646</v>
      </c>
      <c r="C1696" s="1" t="s">
        <v>2930</v>
      </c>
      <c r="D1696" s="1" t="s">
        <v>2948</v>
      </c>
      <c r="E1696" s="1" t="s">
        <v>3647</v>
      </c>
      <c r="F1696" s="1" t="s">
        <v>16</v>
      </c>
      <c r="G1696" s="1" t="s">
        <v>17</v>
      </c>
      <c r="H1696" s="1" t="s">
        <v>18</v>
      </c>
      <c r="I1696" s="1" t="s">
        <v>74</v>
      </c>
    </row>
    <row r="1697">
      <c r="A1697" s="1">
        <v>3375075.0</v>
      </c>
      <c r="B1697" s="1" t="s">
        <v>3648</v>
      </c>
      <c r="C1697" s="1" t="s">
        <v>2930</v>
      </c>
      <c r="D1697" s="1" t="s">
        <v>2986</v>
      </c>
      <c r="E1697" s="1" t="s">
        <v>3649</v>
      </c>
      <c r="F1697" s="1" t="s">
        <v>16</v>
      </c>
      <c r="G1697" s="1" t="s">
        <v>23</v>
      </c>
      <c r="H1697" s="1" t="s">
        <v>18</v>
      </c>
      <c r="I1697" s="1" t="s">
        <v>44</v>
      </c>
    </row>
    <row r="1698">
      <c r="A1698" s="1">
        <v>3323050.0</v>
      </c>
      <c r="B1698" s="1" t="s">
        <v>3650</v>
      </c>
      <c r="C1698" s="1" t="s">
        <v>2930</v>
      </c>
      <c r="D1698" s="1" t="s">
        <v>3146</v>
      </c>
      <c r="E1698" s="1" t="s">
        <v>3651</v>
      </c>
      <c r="F1698" s="1" t="s">
        <v>16</v>
      </c>
      <c r="G1698" s="1" t="s">
        <v>17</v>
      </c>
      <c r="H1698" s="1" t="s">
        <v>18</v>
      </c>
      <c r="I1698" s="1" t="s">
        <v>684</v>
      </c>
    </row>
    <row r="1699">
      <c r="A1699" s="1">
        <v>3313053.0</v>
      </c>
      <c r="B1699" s="1" t="s">
        <v>3652</v>
      </c>
      <c r="C1699" s="1" t="s">
        <v>2930</v>
      </c>
      <c r="D1699" s="1" t="s">
        <v>2931</v>
      </c>
      <c r="E1699" s="1" t="s">
        <v>3653</v>
      </c>
      <c r="F1699" s="1" t="s">
        <v>16</v>
      </c>
      <c r="G1699" s="1" t="s">
        <v>23</v>
      </c>
      <c r="H1699" s="1" t="s">
        <v>18</v>
      </c>
      <c r="I1699" s="1" t="s">
        <v>163</v>
      </c>
    </row>
    <row r="1700">
      <c r="A1700" s="1">
        <v>3314097.0</v>
      </c>
      <c r="B1700" s="1" t="s">
        <v>3654</v>
      </c>
      <c r="C1700" s="1" t="s">
        <v>2930</v>
      </c>
      <c r="D1700" s="1" t="s">
        <v>2945</v>
      </c>
      <c r="E1700" s="1" t="s">
        <v>3655</v>
      </c>
      <c r="F1700" s="1" t="s">
        <v>16</v>
      </c>
      <c r="G1700" s="1" t="s">
        <v>23</v>
      </c>
      <c r="H1700" s="1" t="s">
        <v>18</v>
      </c>
      <c r="I1700" s="1" t="s">
        <v>44</v>
      </c>
    </row>
    <row r="1701">
      <c r="A1701" s="1">
        <v>3310405.0</v>
      </c>
      <c r="B1701" s="1" t="s">
        <v>3656</v>
      </c>
      <c r="C1701" s="1" t="s">
        <v>2930</v>
      </c>
      <c r="D1701" s="1" t="s">
        <v>2989</v>
      </c>
      <c r="E1701" s="1" t="s">
        <v>3657</v>
      </c>
      <c r="F1701" s="1" t="s">
        <v>16</v>
      </c>
      <c r="G1701" s="1" t="s">
        <v>17</v>
      </c>
      <c r="H1701" s="1" t="s">
        <v>18</v>
      </c>
      <c r="I1701" s="1" t="s">
        <v>59</v>
      </c>
    </row>
    <row r="1702">
      <c r="A1702" s="1">
        <v>3375022.0</v>
      </c>
      <c r="B1702" s="1" t="s">
        <v>3658</v>
      </c>
      <c r="C1702" s="1" t="s">
        <v>2930</v>
      </c>
      <c r="D1702" s="1" t="s">
        <v>2986</v>
      </c>
      <c r="E1702" s="1" t="s">
        <v>3659</v>
      </c>
      <c r="F1702" s="1" t="s">
        <v>16</v>
      </c>
      <c r="G1702" s="1" t="s">
        <v>17</v>
      </c>
      <c r="H1702" s="1" t="s">
        <v>18</v>
      </c>
      <c r="I1702" s="1" t="s">
        <v>249</v>
      </c>
    </row>
    <row r="1703">
      <c r="A1703" s="1">
        <v>3329045.0</v>
      </c>
      <c r="B1703" s="1" t="s">
        <v>3660</v>
      </c>
      <c r="C1703" s="1" t="s">
        <v>2930</v>
      </c>
      <c r="D1703" s="1" t="s">
        <v>2999</v>
      </c>
      <c r="E1703" s="1" t="s">
        <v>3661</v>
      </c>
      <c r="F1703" s="1" t="s">
        <v>16</v>
      </c>
      <c r="G1703" s="1" t="s">
        <v>23</v>
      </c>
      <c r="H1703" s="1" t="s">
        <v>18</v>
      </c>
      <c r="I1703" s="1" t="s">
        <v>19</v>
      </c>
    </row>
    <row r="1704">
      <c r="A1704" s="1">
        <v>3302228.0</v>
      </c>
      <c r="B1704" s="1" t="s">
        <v>3662</v>
      </c>
      <c r="C1704" s="1" t="s">
        <v>2930</v>
      </c>
      <c r="D1704" s="1" t="s">
        <v>2937</v>
      </c>
      <c r="E1704" s="1" t="s">
        <v>3663</v>
      </c>
      <c r="F1704" s="1" t="s">
        <v>32</v>
      </c>
      <c r="G1704" s="1" t="s">
        <v>27</v>
      </c>
      <c r="H1704" s="1" t="s">
        <v>18</v>
      </c>
      <c r="I1704" s="1" t="s">
        <v>34</v>
      </c>
    </row>
    <row r="1705">
      <c r="A1705" s="1">
        <v>3372201.0</v>
      </c>
      <c r="B1705" s="1" t="s">
        <v>3664</v>
      </c>
      <c r="C1705" s="1" t="s">
        <v>2930</v>
      </c>
      <c r="D1705" s="1" t="s">
        <v>2967</v>
      </c>
      <c r="E1705" s="1" t="s">
        <v>3665</v>
      </c>
      <c r="F1705" s="1" t="s">
        <v>16</v>
      </c>
      <c r="G1705" s="1" t="s">
        <v>17</v>
      </c>
      <c r="H1705" s="1" t="s">
        <v>33</v>
      </c>
      <c r="I1705" s="1" t="s">
        <v>411</v>
      </c>
    </row>
    <row r="1706">
      <c r="A1706" s="1">
        <v>3401026.0</v>
      </c>
      <c r="B1706" s="1" t="s">
        <v>3666</v>
      </c>
      <c r="C1706" s="1" t="s">
        <v>3667</v>
      </c>
      <c r="D1706" s="1" t="s">
        <v>3668</v>
      </c>
      <c r="E1706" s="1" t="s">
        <v>3669</v>
      </c>
      <c r="F1706" s="1" t="s">
        <v>16</v>
      </c>
      <c r="G1706" s="1" t="s">
        <v>23</v>
      </c>
      <c r="H1706" s="1" t="s">
        <v>18</v>
      </c>
      <c r="I1706" s="1" t="s">
        <v>59</v>
      </c>
    </row>
    <row r="1707">
      <c r="A1707" s="1">
        <v>3401051.0</v>
      </c>
      <c r="B1707" s="1" t="s">
        <v>3670</v>
      </c>
      <c r="C1707" s="1" t="s">
        <v>3667</v>
      </c>
      <c r="D1707" s="1" t="s">
        <v>3668</v>
      </c>
      <c r="E1707" s="1" t="s">
        <v>3671</v>
      </c>
      <c r="F1707" s="1" t="s">
        <v>16</v>
      </c>
      <c r="G1707" s="1" t="s">
        <v>23</v>
      </c>
      <c r="H1707" s="1" t="s">
        <v>18</v>
      </c>
      <c r="I1707" s="1" t="s">
        <v>19</v>
      </c>
    </row>
    <row r="1708">
      <c r="A1708" s="1">
        <v>3404189.0</v>
      </c>
      <c r="B1708" s="1" t="s">
        <v>3672</v>
      </c>
      <c r="C1708" s="1" t="s">
        <v>3667</v>
      </c>
      <c r="D1708" s="1" t="s">
        <v>3673</v>
      </c>
      <c r="E1708" s="1" t="s">
        <v>3674</v>
      </c>
      <c r="F1708" s="1" t="s">
        <v>16</v>
      </c>
      <c r="G1708" s="1" t="s">
        <v>27</v>
      </c>
      <c r="H1708" s="1" t="s">
        <v>18</v>
      </c>
      <c r="I1708" s="1" t="s">
        <v>34</v>
      </c>
    </row>
    <row r="1709">
      <c r="A1709" s="1">
        <v>3404157.0</v>
      </c>
      <c r="B1709" s="1" t="s">
        <v>3675</v>
      </c>
      <c r="C1709" s="1" t="s">
        <v>3667</v>
      </c>
      <c r="D1709" s="1" t="s">
        <v>3673</v>
      </c>
      <c r="E1709" s="1" t="s">
        <v>3676</v>
      </c>
      <c r="F1709" s="1" t="s">
        <v>16</v>
      </c>
      <c r="G1709" s="1" t="s">
        <v>17</v>
      </c>
      <c r="H1709" s="1" t="s">
        <v>18</v>
      </c>
      <c r="I1709" s="1" t="s">
        <v>59</v>
      </c>
    </row>
    <row r="1710">
      <c r="A1710" s="1">
        <v>3404181.0</v>
      </c>
      <c r="B1710" s="1" t="s">
        <v>3677</v>
      </c>
      <c r="C1710" s="1" t="s">
        <v>3667</v>
      </c>
      <c r="D1710" s="1" t="s">
        <v>3673</v>
      </c>
      <c r="E1710" s="1" t="s">
        <v>3678</v>
      </c>
      <c r="F1710" s="1" t="s">
        <v>16</v>
      </c>
      <c r="G1710" s="1" t="s">
        <v>23</v>
      </c>
      <c r="H1710" s="1" t="s">
        <v>18</v>
      </c>
      <c r="I1710" s="1" t="s">
        <v>684</v>
      </c>
    </row>
    <row r="1711">
      <c r="A1711" s="1">
        <v>3403022.0</v>
      </c>
      <c r="B1711" s="1" t="s">
        <v>3679</v>
      </c>
      <c r="C1711" s="1" t="s">
        <v>3667</v>
      </c>
      <c r="D1711" s="1" t="s">
        <v>3680</v>
      </c>
      <c r="E1711" s="1" t="s">
        <v>3681</v>
      </c>
      <c r="F1711" s="1" t="s">
        <v>16</v>
      </c>
      <c r="G1711" s="1" t="s">
        <v>23</v>
      </c>
      <c r="H1711" s="1" t="s">
        <v>18</v>
      </c>
      <c r="I1711" s="1" t="s">
        <v>163</v>
      </c>
    </row>
    <row r="1712">
      <c r="A1712" s="1">
        <v>3403025.0</v>
      </c>
      <c r="B1712" s="1" t="s">
        <v>3682</v>
      </c>
      <c r="C1712" s="1" t="s">
        <v>3667</v>
      </c>
      <c r="D1712" s="1" t="s">
        <v>3680</v>
      </c>
      <c r="E1712" s="1" t="s">
        <v>3683</v>
      </c>
      <c r="F1712" s="1" t="s">
        <v>16</v>
      </c>
      <c r="G1712" s="1" t="s">
        <v>23</v>
      </c>
      <c r="H1712" s="1" t="s">
        <v>18</v>
      </c>
      <c r="I1712" s="1" t="s">
        <v>258</v>
      </c>
    </row>
    <row r="1713">
      <c r="A1713" s="1">
        <v>3404179.0</v>
      </c>
      <c r="B1713" s="1" t="s">
        <v>3684</v>
      </c>
      <c r="C1713" s="1" t="s">
        <v>3667</v>
      </c>
      <c r="D1713" s="1" t="s">
        <v>3673</v>
      </c>
      <c r="E1713" s="1" t="s">
        <v>3685</v>
      </c>
      <c r="F1713" s="1" t="s">
        <v>16</v>
      </c>
      <c r="G1713" s="1" t="s">
        <v>23</v>
      </c>
      <c r="H1713" s="1" t="s">
        <v>18</v>
      </c>
      <c r="I1713" s="1" t="s">
        <v>59</v>
      </c>
    </row>
    <row r="1714">
      <c r="A1714" s="1">
        <v>3404011.0</v>
      </c>
      <c r="B1714" s="1" t="s">
        <v>3686</v>
      </c>
      <c r="C1714" s="1" t="s">
        <v>3667</v>
      </c>
      <c r="D1714" s="1" t="s">
        <v>3673</v>
      </c>
      <c r="E1714" s="1" t="s">
        <v>3687</v>
      </c>
      <c r="F1714" s="1" t="s">
        <v>16</v>
      </c>
      <c r="G1714" s="1" t="s">
        <v>27</v>
      </c>
      <c r="H1714" s="1" t="s">
        <v>28</v>
      </c>
      <c r="I1714" s="1" t="s">
        <v>40</v>
      </c>
    </row>
    <row r="1715">
      <c r="A1715" s="1">
        <v>3404193.0</v>
      </c>
      <c r="B1715" s="1" t="s">
        <v>3688</v>
      </c>
      <c r="C1715" s="1" t="s">
        <v>3667</v>
      </c>
      <c r="D1715" s="1" t="s">
        <v>3673</v>
      </c>
      <c r="E1715" s="1" t="s">
        <v>3689</v>
      </c>
      <c r="F1715" s="1" t="s">
        <v>16</v>
      </c>
      <c r="G1715" s="1" t="s">
        <v>17</v>
      </c>
      <c r="H1715" s="1" t="s">
        <v>18</v>
      </c>
      <c r="I1715" s="1" t="s">
        <v>44</v>
      </c>
    </row>
    <row r="1716">
      <c r="A1716" s="1">
        <v>3471096.0</v>
      </c>
      <c r="B1716" s="1" t="s">
        <v>3690</v>
      </c>
      <c r="C1716" s="1" t="s">
        <v>3667</v>
      </c>
      <c r="D1716" s="1" t="s">
        <v>3691</v>
      </c>
      <c r="E1716" s="1" t="s">
        <v>3692</v>
      </c>
      <c r="F1716" s="1" t="s">
        <v>272</v>
      </c>
      <c r="G1716" s="1" t="s">
        <v>27</v>
      </c>
      <c r="H1716" s="1" t="s">
        <v>18</v>
      </c>
      <c r="I1716" s="1" t="s">
        <v>59</v>
      </c>
    </row>
    <row r="1717">
      <c r="A1717" s="1">
        <v>3404092.0</v>
      </c>
      <c r="B1717" s="1" t="s">
        <v>3693</v>
      </c>
      <c r="C1717" s="1" t="s">
        <v>3667</v>
      </c>
      <c r="D1717" s="1" t="s">
        <v>3673</v>
      </c>
      <c r="E1717" s="1" t="s">
        <v>3694</v>
      </c>
      <c r="F1717" s="1" t="s">
        <v>16</v>
      </c>
      <c r="G1717" s="1" t="s">
        <v>23</v>
      </c>
      <c r="H1717" s="1" t="s">
        <v>18</v>
      </c>
      <c r="I1717" s="1" t="s">
        <v>19</v>
      </c>
    </row>
    <row r="1718">
      <c r="A1718" s="1">
        <v>3401053.0</v>
      </c>
      <c r="B1718" s="1" t="s">
        <v>3695</v>
      </c>
      <c r="C1718" s="1" t="s">
        <v>3667</v>
      </c>
      <c r="D1718" s="1" t="s">
        <v>3668</v>
      </c>
      <c r="E1718" s="1" t="s">
        <v>3696</v>
      </c>
      <c r="F1718" s="1" t="s">
        <v>16</v>
      </c>
      <c r="G1718" s="1" t="s">
        <v>23</v>
      </c>
      <c r="H1718" s="1" t="s">
        <v>18</v>
      </c>
      <c r="I1718" s="1" t="s">
        <v>19</v>
      </c>
    </row>
    <row r="1719">
      <c r="A1719" s="1">
        <v>3471379.0</v>
      </c>
      <c r="B1719" s="1" t="s">
        <v>3697</v>
      </c>
      <c r="C1719" s="1" t="s">
        <v>3667</v>
      </c>
      <c r="D1719" s="1" t="s">
        <v>3691</v>
      </c>
      <c r="E1719" s="1" t="s">
        <v>3698</v>
      </c>
      <c r="F1719" s="1" t="s">
        <v>55</v>
      </c>
      <c r="G1719" s="1" t="s">
        <v>17</v>
      </c>
      <c r="H1719" s="1" t="s">
        <v>33</v>
      </c>
      <c r="I1719" s="1" t="s">
        <v>44</v>
      </c>
    </row>
    <row r="1720">
      <c r="A1720" s="1">
        <v>3402016.0</v>
      </c>
      <c r="B1720" s="1" t="s">
        <v>3699</v>
      </c>
      <c r="C1720" s="1" t="s">
        <v>3667</v>
      </c>
      <c r="D1720" s="1" t="s">
        <v>3700</v>
      </c>
      <c r="E1720" s="1" t="s">
        <v>3701</v>
      </c>
      <c r="F1720" s="1" t="s">
        <v>16</v>
      </c>
      <c r="G1720" s="1" t="s">
        <v>27</v>
      </c>
      <c r="H1720" s="1" t="s">
        <v>28</v>
      </c>
      <c r="I1720" s="1" t="s">
        <v>40</v>
      </c>
    </row>
    <row r="1721">
      <c r="A1721" s="1">
        <v>3471026.0</v>
      </c>
      <c r="B1721" s="1" t="s">
        <v>3702</v>
      </c>
      <c r="C1721" s="1" t="s">
        <v>3667</v>
      </c>
      <c r="D1721" s="1" t="s">
        <v>3691</v>
      </c>
      <c r="E1721" s="1" t="s">
        <v>3703</v>
      </c>
      <c r="F1721" s="1" t="s">
        <v>16</v>
      </c>
      <c r="G1721" s="1" t="s">
        <v>23</v>
      </c>
      <c r="H1721" s="1" t="s">
        <v>18</v>
      </c>
      <c r="I1721" s="1" t="s">
        <v>684</v>
      </c>
    </row>
    <row r="1722">
      <c r="A1722" s="1">
        <v>3403024.0</v>
      </c>
      <c r="B1722" s="1" t="s">
        <v>3704</v>
      </c>
      <c r="C1722" s="1" t="s">
        <v>3667</v>
      </c>
      <c r="D1722" s="1" t="s">
        <v>3680</v>
      </c>
      <c r="E1722" s="1" t="s">
        <v>3705</v>
      </c>
      <c r="F1722" s="1" t="s">
        <v>16</v>
      </c>
      <c r="G1722" s="1" t="s">
        <v>23</v>
      </c>
      <c r="H1722" s="1" t="s">
        <v>18</v>
      </c>
      <c r="I1722" s="1" t="s">
        <v>684</v>
      </c>
    </row>
    <row r="1723">
      <c r="A1723" s="1">
        <v>3404056.0</v>
      </c>
      <c r="B1723" s="1" t="s">
        <v>3706</v>
      </c>
      <c r="C1723" s="1" t="s">
        <v>3667</v>
      </c>
      <c r="D1723" s="1" t="s">
        <v>3673</v>
      </c>
      <c r="E1723" s="1" t="s">
        <v>3707</v>
      </c>
      <c r="F1723" s="1" t="s">
        <v>16</v>
      </c>
      <c r="G1723" s="1" t="s">
        <v>27</v>
      </c>
      <c r="H1723" s="1" t="s">
        <v>18</v>
      </c>
      <c r="I1723" s="1" t="s">
        <v>44</v>
      </c>
    </row>
    <row r="1724">
      <c r="A1724" s="1">
        <v>3404183.0</v>
      </c>
      <c r="B1724" s="1" t="s">
        <v>3708</v>
      </c>
      <c r="C1724" s="1" t="s">
        <v>3667</v>
      </c>
      <c r="D1724" s="1" t="s">
        <v>3673</v>
      </c>
      <c r="E1724" s="1" t="s">
        <v>3709</v>
      </c>
      <c r="F1724" s="1" t="s">
        <v>16</v>
      </c>
      <c r="G1724" s="1" t="s">
        <v>27</v>
      </c>
      <c r="H1724" s="1" t="s">
        <v>18</v>
      </c>
      <c r="I1724" s="1" t="s">
        <v>59</v>
      </c>
    </row>
    <row r="1725">
      <c r="A1725" s="1">
        <v>3404033.0</v>
      </c>
      <c r="B1725" s="1" t="s">
        <v>3710</v>
      </c>
      <c r="C1725" s="1" t="s">
        <v>3667</v>
      </c>
      <c r="D1725" s="1" t="s">
        <v>3673</v>
      </c>
      <c r="E1725" s="1" t="s">
        <v>3711</v>
      </c>
      <c r="F1725" s="1" t="s">
        <v>16</v>
      </c>
      <c r="G1725" s="1" t="s">
        <v>23</v>
      </c>
      <c r="H1725" s="1" t="s">
        <v>18</v>
      </c>
      <c r="I1725" s="1" t="s">
        <v>59</v>
      </c>
    </row>
    <row r="1726">
      <c r="A1726" s="1">
        <v>3402097.0</v>
      </c>
      <c r="B1726" s="1" t="s">
        <v>3712</v>
      </c>
      <c r="C1726" s="1" t="s">
        <v>3667</v>
      </c>
      <c r="D1726" s="1" t="s">
        <v>3700</v>
      </c>
      <c r="E1726" s="1" t="s">
        <v>3713</v>
      </c>
      <c r="F1726" s="1" t="s">
        <v>16</v>
      </c>
      <c r="G1726" s="1" t="s">
        <v>23</v>
      </c>
      <c r="H1726" s="1" t="s">
        <v>28</v>
      </c>
      <c r="I1726" s="1" t="s">
        <v>40</v>
      </c>
    </row>
    <row r="1727">
      <c r="A1727" s="1">
        <v>3471282.0</v>
      </c>
      <c r="B1727" s="1" t="s">
        <v>3714</v>
      </c>
      <c r="C1727" s="1" t="s">
        <v>3667</v>
      </c>
      <c r="D1727" s="1" t="s">
        <v>3691</v>
      </c>
      <c r="E1727" s="1" t="s">
        <v>3715</v>
      </c>
      <c r="F1727" s="1" t="s">
        <v>16</v>
      </c>
      <c r="G1727" s="1" t="s">
        <v>23</v>
      </c>
      <c r="H1727" s="1" t="s">
        <v>18</v>
      </c>
      <c r="I1727" s="1" t="s">
        <v>59</v>
      </c>
    </row>
    <row r="1728">
      <c r="A1728" s="1">
        <v>3471381.0</v>
      </c>
      <c r="B1728" s="1" t="s">
        <v>3716</v>
      </c>
      <c r="C1728" s="1" t="s">
        <v>3667</v>
      </c>
      <c r="D1728" s="1" t="s">
        <v>3691</v>
      </c>
      <c r="E1728" s="1" t="s">
        <v>3717</v>
      </c>
      <c r="F1728" s="1" t="s">
        <v>16</v>
      </c>
      <c r="G1728" s="1" t="s">
        <v>23</v>
      </c>
      <c r="H1728" s="1" t="s">
        <v>18</v>
      </c>
      <c r="I1728" s="1" t="s">
        <v>44</v>
      </c>
    </row>
    <row r="1729">
      <c r="A1729" s="1">
        <v>3403038.0</v>
      </c>
      <c r="B1729" s="1" t="s">
        <v>3718</v>
      </c>
      <c r="C1729" s="1" t="s">
        <v>3667</v>
      </c>
      <c r="D1729" s="1" t="s">
        <v>3680</v>
      </c>
      <c r="E1729" s="1" t="s">
        <v>3719</v>
      </c>
      <c r="F1729" s="1" t="s">
        <v>16</v>
      </c>
      <c r="G1729" s="1" t="s">
        <v>23</v>
      </c>
      <c r="H1729" s="1" t="s">
        <v>18</v>
      </c>
      <c r="I1729" s="1" t="s">
        <v>19</v>
      </c>
    </row>
    <row r="1730">
      <c r="A1730" s="1">
        <v>3404191.0</v>
      </c>
      <c r="B1730" s="1" t="s">
        <v>3720</v>
      </c>
      <c r="C1730" s="1" t="s">
        <v>3667</v>
      </c>
      <c r="D1730" s="1" t="s">
        <v>3673</v>
      </c>
      <c r="E1730" s="1" t="s">
        <v>3721</v>
      </c>
      <c r="F1730" s="1" t="s">
        <v>16</v>
      </c>
      <c r="G1730" s="1" t="s">
        <v>23</v>
      </c>
      <c r="H1730" s="1" t="s">
        <v>18</v>
      </c>
      <c r="I1730" s="1" t="s">
        <v>19</v>
      </c>
    </row>
    <row r="1731">
      <c r="A1731" s="1">
        <v>3402031.0</v>
      </c>
      <c r="B1731" s="1" t="s">
        <v>3722</v>
      </c>
      <c r="C1731" s="1" t="s">
        <v>3667</v>
      </c>
      <c r="D1731" s="1" t="s">
        <v>3700</v>
      </c>
      <c r="E1731" s="1" t="s">
        <v>3723</v>
      </c>
      <c r="F1731" s="1" t="s">
        <v>16</v>
      </c>
      <c r="G1731" s="1" t="s">
        <v>17</v>
      </c>
      <c r="H1731" s="1" t="s">
        <v>18</v>
      </c>
      <c r="I1731" s="1" t="s">
        <v>684</v>
      </c>
    </row>
    <row r="1732">
      <c r="A1732" s="1">
        <v>3471041.0</v>
      </c>
      <c r="B1732" s="1" t="s">
        <v>3724</v>
      </c>
      <c r="C1732" s="1" t="s">
        <v>3667</v>
      </c>
      <c r="D1732" s="1" t="s">
        <v>3691</v>
      </c>
      <c r="E1732" s="1" t="s">
        <v>3725</v>
      </c>
      <c r="F1732" s="1" t="s">
        <v>16</v>
      </c>
      <c r="G1732" s="1" t="s">
        <v>27</v>
      </c>
      <c r="H1732" s="1" t="s">
        <v>18</v>
      </c>
      <c r="I1732" s="1" t="s">
        <v>684</v>
      </c>
    </row>
    <row r="1733">
      <c r="A1733" s="1">
        <v>3401048.0</v>
      </c>
      <c r="B1733" s="1" t="s">
        <v>3726</v>
      </c>
      <c r="C1733" s="1" t="s">
        <v>3667</v>
      </c>
      <c r="D1733" s="1" t="s">
        <v>3668</v>
      </c>
      <c r="E1733" s="1" t="s">
        <v>3727</v>
      </c>
      <c r="F1733" s="1" t="s">
        <v>16</v>
      </c>
      <c r="G1733" s="1" t="s">
        <v>23</v>
      </c>
      <c r="H1733" s="1" t="s">
        <v>18</v>
      </c>
      <c r="I1733" s="1" t="s">
        <v>19</v>
      </c>
    </row>
    <row r="1734">
      <c r="A1734" s="1">
        <v>3404182.0</v>
      </c>
      <c r="B1734" s="1" t="s">
        <v>3728</v>
      </c>
      <c r="C1734" s="1" t="s">
        <v>3667</v>
      </c>
      <c r="D1734" s="1" t="s">
        <v>3673</v>
      </c>
      <c r="E1734" s="1" t="s">
        <v>3729</v>
      </c>
      <c r="F1734" s="1" t="s">
        <v>16</v>
      </c>
      <c r="G1734" s="1" t="s">
        <v>23</v>
      </c>
      <c r="H1734" s="1" t="s">
        <v>18</v>
      </c>
      <c r="I1734" s="1" t="s">
        <v>44</v>
      </c>
    </row>
    <row r="1735">
      <c r="A1735" s="1">
        <v>3471374.0</v>
      </c>
      <c r="B1735" s="1" t="s">
        <v>3730</v>
      </c>
      <c r="C1735" s="1" t="s">
        <v>3667</v>
      </c>
      <c r="D1735" s="1" t="s">
        <v>3691</v>
      </c>
      <c r="E1735" s="1" t="s">
        <v>3731</v>
      </c>
      <c r="F1735" s="1" t="s">
        <v>32</v>
      </c>
      <c r="G1735" s="1" t="s">
        <v>150</v>
      </c>
      <c r="H1735" s="1" t="s">
        <v>18</v>
      </c>
      <c r="I1735" s="1" t="s">
        <v>19</v>
      </c>
    </row>
    <row r="1736">
      <c r="A1736" s="1">
        <v>3404102.0</v>
      </c>
      <c r="B1736" s="1" t="s">
        <v>3732</v>
      </c>
      <c r="C1736" s="1" t="s">
        <v>3667</v>
      </c>
      <c r="D1736" s="1" t="s">
        <v>3673</v>
      </c>
      <c r="E1736" s="1" t="s">
        <v>3733</v>
      </c>
      <c r="F1736" s="1" t="s">
        <v>16</v>
      </c>
      <c r="G1736" s="1" t="s">
        <v>17</v>
      </c>
      <c r="H1736" s="1" t="s">
        <v>18</v>
      </c>
      <c r="I1736" s="1" t="s">
        <v>249</v>
      </c>
    </row>
    <row r="1737">
      <c r="A1737" s="1">
        <v>3471336.0</v>
      </c>
      <c r="B1737" s="1" t="s">
        <v>3734</v>
      </c>
      <c r="C1737" s="1" t="s">
        <v>3667</v>
      </c>
      <c r="D1737" s="1" t="s">
        <v>3691</v>
      </c>
      <c r="E1737" s="1" t="s">
        <v>3735</v>
      </c>
      <c r="F1737" s="1" t="s">
        <v>16</v>
      </c>
      <c r="G1737" s="1" t="s">
        <v>23</v>
      </c>
      <c r="H1737" s="1" t="s">
        <v>18</v>
      </c>
      <c r="I1737" s="1" t="s">
        <v>59</v>
      </c>
    </row>
    <row r="1738">
      <c r="A1738" s="1">
        <v>3401052.0</v>
      </c>
      <c r="B1738" s="1" t="s">
        <v>3736</v>
      </c>
      <c r="C1738" s="1" t="s">
        <v>3667</v>
      </c>
      <c r="D1738" s="1" t="s">
        <v>3668</v>
      </c>
      <c r="E1738" s="1" t="s">
        <v>3737</v>
      </c>
      <c r="F1738" s="1" t="s">
        <v>16</v>
      </c>
      <c r="G1738" s="1" t="s">
        <v>17</v>
      </c>
      <c r="H1738" s="1" t="s">
        <v>28</v>
      </c>
      <c r="I1738" s="1" t="s">
        <v>40</v>
      </c>
    </row>
    <row r="1739">
      <c r="A1739" s="1">
        <v>3471107.0</v>
      </c>
      <c r="B1739" s="1" t="s">
        <v>3738</v>
      </c>
      <c r="C1739" s="1" t="s">
        <v>3667</v>
      </c>
      <c r="D1739" s="1" t="s">
        <v>3691</v>
      </c>
      <c r="E1739" s="1" t="s">
        <v>3739</v>
      </c>
      <c r="F1739" s="1" t="s">
        <v>55</v>
      </c>
      <c r="G1739" s="1" t="s">
        <v>17</v>
      </c>
      <c r="H1739" s="1" t="s">
        <v>18</v>
      </c>
      <c r="I1739" s="1" t="s">
        <v>684</v>
      </c>
    </row>
    <row r="1740">
      <c r="A1740" s="1">
        <v>3402053.0</v>
      </c>
      <c r="B1740" s="1" t="s">
        <v>3740</v>
      </c>
      <c r="C1740" s="1" t="s">
        <v>3667</v>
      </c>
      <c r="D1740" s="1" t="s">
        <v>3700</v>
      </c>
      <c r="E1740" s="1" t="s">
        <v>3741</v>
      </c>
      <c r="F1740" s="1" t="s">
        <v>16</v>
      </c>
      <c r="G1740" s="1" t="s">
        <v>23</v>
      </c>
      <c r="H1740" s="1" t="s">
        <v>18</v>
      </c>
      <c r="I1740" s="1" t="s">
        <v>59</v>
      </c>
    </row>
    <row r="1741">
      <c r="A1741" s="1">
        <v>3471063.0</v>
      </c>
      <c r="B1741" s="1" t="s">
        <v>3742</v>
      </c>
      <c r="C1741" s="1" t="s">
        <v>3667</v>
      </c>
      <c r="D1741" s="1" t="s">
        <v>3691</v>
      </c>
      <c r="E1741" s="1" t="s">
        <v>3743</v>
      </c>
      <c r="F1741" s="1" t="s">
        <v>16</v>
      </c>
      <c r="G1741" s="1" t="s">
        <v>27</v>
      </c>
      <c r="H1741" s="1" t="s">
        <v>18</v>
      </c>
      <c r="I1741" s="1" t="s">
        <v>59</v>
      </c>
    </row>
    <row r="1742">
      <c r="A1742" s="1">
        <v>3402086.0</v>
      </c>
      <c r="B1742" s="1" t="s">
        <v>3744</v>
      </c>
      <c r="C1742" s="1" t="s">
        <v>3667</v>
      </c>
      <c r="D1742" s="1" t="s">
        <v>3700</v>
      </c>
      <c r="E1742" s="1" t="s">
        <v>3745</v>
      </c>
      <c r="F1742" s="1" t="s">
        <v>16</v>
      </c>
      <c r="G1742" s="1" t="s">
        <v>23</v>
      </c>
      <c r="H1742" s="1" t="s">
        <v>18</v>
      </c>
      <c r="I1742" s="1" t="s">
        <v>59</v>
      </c>
    </row>
    <row r="1743">
      <c r="A1743" s="1">
        <v>3404190.0</v>
      </c>
      <c r="B1743" s="1" t="s">
        <v>465</v>
      </c>
      <c r="C1743" s="1" t="s">
        <v>3667</v>
      </c>
      <c r="D1743" s="1" t="s">
        <v>3673</v>
      </c>
      <c r="E1743" s="1" t="s">
        <v>3746</v>
      </c>
      <c r="F1743" s="1" t="s">
        <v>16</v>
      </c>
      <c r="G1743" s="1" t="s">
        <v>23</v>
      </c>
      <c r="H1743" s="1" t="s">
        <v>18</v>
      </c>
      <c r="I1743" s="1" t="s">
        <v>44</v>
      </c>
    </row>
    <row r="1744">
      <c r="A1744" s="1">
        <v>3404196.0</v>
      </c>
      <c r="B1744" s="1" t="s">
        <v>3747</v>
      </c>
      <c r="C1744" s="1" t="s">
        <v>3667</v>
      </c>
      <c r="D1744" s="1" t="s">
        <v>3673</v>
      </c>
      <c r="E1744" s="1" t="s">
        <v>3748</v>
      </c>
      <c r="F1744" s="1" t="s">
        <v>16</v>
      </c>
      <c r="G1744" s="1" t="s">
        <v>23</v>
      </c>
      <c r="H1744" s="1" t="s">
        <v>18</v>
      </c>
      <c r="I1744" s="1" t="s">
        <v>19</v>
      </c>
    </row>
    <row r="1745">
      <c r="A1745" s="1">
        <v>3401050.0</v>
      </c>
      <c r="B1745" s="1" t="s">
        <v>3749</v>
      </c>
      <c r="C1745" s="1" t="s">
        <v>3667</v>
      </c>
      <c r="D1745" s="1" t="s">
        <v>3668</v>
      </c>
      <c r="E1745" s="1" t="s">
        <v>3750</v>
      </c>
      <c r="F1745" s="1" t="s">
        <v>16</v>
      </c>
      <c r="G1745" s="1" t="s">
        <v>23</v>
      </c>
      <c r="H1745" s="1" t="s">
        <v>18</v>
      </c>
      <c r="I1745" s="1" t="s">
        <v>59</v>
      </c>
    </row>
    <row r="1746">
      <c r="A1746" s="1">
        <v>3404146.0</v>
      </c>
      <c r="B1746" s="1" t="s">
        <v>3751</v>
      </c>
      <c r="C1746" s="1" t="s">
        <v>3667</v>
      </c>
      <c r="D1746" s="1" t="s">
        <v>3673</v>
      </c>
      <c r="E1746" s="1" t="s">
        <v>3752</v>
      </c>
      <c r="F1746" s="1" t="s">
        <v>16</v>
      </c>
      <c r="G1746" s="1" t="s">
        <v>17</v>
      </c>
      <c r="H1746" s="1" t="s">
        <v>18</v>
      </c>
      <c r="I1746" s="1" t="s">
        <v>59</v>
      </c>
    </row>
    <row r="1747">
      <c r="A1747" s="1">
        <v>3471373.0</v>
      </c>
      <c r="B1747" s="1" t="s">
        <v>3753</v>
      </c>
      <c r="C1747" s="1" t="s">
        <v>3667</v>
      </c>
      <c r="D1747" s="1" t="s">
        <v>3691</v>
      </c>
      <c r="E1747" s="1" t="s">
        <v>3754</v>
      </c>
      <c r="F1747" s="1" t="s">
        <v>16</v>
      </c>
      <c r="G1747" s="1" t="s">
        <v>17</v>
      </c>
      <c r="H1747" s="1" t="s">
        <v>18</v>
      </c>
      <c r="I1747" s="1" t="s">
        <v>19</v>
      </c>
    </row>
    <row r="1748">
      <c r="A1748" s="1">
        <v>3401015.0</v>
      </c>
      <c r="B1748" s="1" t="s">
        <v>3755</v>
      </c>
      <c r="C1748" s="1" t="s">
        <v>3667</v>
      </c>
      <c r="D1748" s="1" t="s">
        <v>3668</v>
      </c>
      <c r="E1748" s="1" t="s">
        <v>3756</v>
      </c>
      <c r="F1748" s="1" t="s">
        <v>16</v>
      </c>
      <c r="G1748" s="1" t="s">
        <v>27</v>
      </c>
      <c r="H1748" s="1" t="s">
        <v>28</v>
      </c>
      <c r="I1748" s="1" t="s">
        <v>40</v>
      </c>
    </row>
    <row r="1749">
      <c r="A1749" s="1">
        <v>3403021.0</v>
      </c>
      <c r="B1749" s="1" t="s">
        <v>3757</v>
      </c>
      <c r="C1749" s="1" t="s">
        <v>3667</v>
      </c>
      <c r="D1749" s="1" t="s">
        <v>3680</v>
      </c>
      <c r="E1749" s="1" t="s">
        <v>3758</v>
      </c>
      <c r="F1749" s="1" t="s">
        <v>16</v>
      </c>
      <c r="G1749" s="1" t="s">
        <v>23</v>
      </c>
      <c r="H1749" s="1" t="s">
        <v>18</v>
      </c>
      <c r="I1749" s="1" t="s">
        <v>44</v>
      </c>
    </row>
    <row r="1750">
      <c r="A1750" s="1">
        <v>3471085.0</v>
      </c>
      <c r="B1750" s="1" t="s">
        <v>3759</v>
      </c>
      <c r="C1750" s="1" t="s">
        <v>3667</v>
      </c>
      <c r="D1750" s="1" t="s">
        <v>3691</v>
      </c>
      <c r="E1750" s="1" t="s">
        <v>3760</v>
      </c>
      <c r="F1750" s="1" t="s">
        <v>16</v>
      </c>
      <c r="G1750" s="1" t="s">
        <v>174</v>
      </c>
      <c r="H1750" s="1" t="s">
        <v>17</v>
      </c>
      <c r="I1750" s="1" t="s">
        <v>18</v>
      </c>
    </row>
    <row r="1751">
      <c r="A1751" s="1">
        <v>3404081.0</v>
      </c>
      <c r="B1751" s="1" t="s">
        <v>3761</v>
      </c>
      <c r="C1751" s="1" t="s">
        <v>3667</v>
      </c>
      <c r="D1751" s="1" t="s">
        <v>3673</v>
      </c>
      <c r="E1751" s="1" t="s">
        <v>3762</v>
      </c>
      <c r="F1751" s="1" t="s">
        <v>16</v>
      </c>
      <c r="G1751" s="1" t="s">
        <v>23</v>
      </c>
      <c r="H1751" s="1" t="s">
        <v>18</v>
      </c>
      <c r="I1751" s="1" t="s">
        <v>19</v>
      </c>
    </row>
    <row r="1752">
      <c r="A1752" s="1">
        <v>3402077.0</v>
      </c>
      <c r="B1752" s="1" t="s">
        <v>3763</v>
      </c>
      <c r="C1752" s="1" t="s">
        <v>3667</v>
      </c>
      <c r="D1752" s="1" t="s">
        <v>3700</v>
      </c>
      <c r="E1752" s="1" t="s">
        <v>3764</v>
      </c>
      <c r="F1752" s="1" t="s">
        <v>16</v>
      </c>
      <c r="G1752" s="1" t="s">
        <v>23</v>
      </c>
      <c r="H1752" s="1" t="s">
        <v>18</v>
      </c>
      <c r="I1752" s="1" t="s">
        <v>44</v>
      </c>
    </row>
    <row r="1753">
      <c r="A1753" s="1">
        <v>3403023.0</v>
      </c>
      <c r="B1753" s="1" t="s">
        <v>3305</v>
      </c>
      <c r="C1753" s="1" t="s">
        <v>3667</v>
      </c>
      <c r="D1753" s="1" t="s">
        <v>3680</v>
      </c>
      <c r="E1753" s="1" t="s">
        <v>3765</v>
      </c>
      <c r="F1753" s="1" t="s">
        <v>16</v>
      </c>
      <c r="G1753" s="1" t="s">
        <v>17</v>
      </c>
      <c r="H1753" s="1" t="s">
        <v>18</v>
      </c>
      <c r="I1753" s="1" t="s">
        <v>19</v>
      </c>
    </row>
    <row r="1754">
      <c r="A1754" s="1">
        <v>3402084.0</v>
      </c>
      <c r="B1754" s="1" t="s">
        <v>3766</v>
      </c>
      <c r="C1754" s="1" t="s">
        <v>3667</v>
      </c>
      <c r="D1754" s="1" t="s">
        <v>3700</v>
      </c>
      <c r="E1754" s="1" t="s">
        <v>3767</v>
      </c>
      <c r="F1754" s="1" t="s">
        <v>16</v>
      </c>
      <c r="G1754" s="1" t="s">
        <v>17</v>
      </c>
      <c r="H1754" s="1" t="s">
        <v>18</v>
      </c>
      <c r="I1754" s="1" t="s">
        <v>19</v>
      </c>
    </row>
    <row r="1755">
      <c r="A1755" s="1">
        <v>3401037.0</v>
      </c>
      <c r="B1755" s="1" t="s">
        <v>3768</v>
      </c>
      <c r="C1755" s="1" t="s">
        <v>3667</v>
      </c>
      <c r="D1755" s="1" t="s">
        <v>3668</v>
      </c>
      <c r="E1755" s="1" t="s">
        <v>3769</v>
      </c>
      <c r="F1755" s="1" t="s">
        <v>16</v>
      </c>
      <c r="G1755" s="1" t="s">
        <v>23</v>
      </c>
      <c r="H1755" s="1" t="s">
        <v>18</v>
      </c>
      <c r="I1755" s="1" t="s">
        <v>59</v>
      </c>
    </row>
    <row r="1756">
      <c r="A1756" s="1">
        <v>3404015.0</v>
      </c>
      <c r="B1756" s="1" t="s">
        <v>3770</v>
      </c>
      <c r="C1756" s="1" t="s">
        <v>3667</v>
      </c>
      <c r="D1756" s="1" t="s">
        <v>3673</v>
      </c>
      <c r="E1756" s="1" t="s">
        <v>3771</v>
      </c>
      <c r="F1756" s="1" t="s">
        <v>16</v>
      </c>
      <c r="G1756" s="1" t="s">
        <v>150</v>
      </c>
      <c r="H1756" s="1" t="s">
        <v>33</v>
      </c>
      <c r="I1756" s="1" t="s">
        <v>411</v>
      </c>
    </row>
    <row r="1757">
      <c r="A1757" s="1">
        <v>3471377.0</v>
      </c>
      <c r="B1757" s="1" t="s">
        <v>3772</v>
      </c>
      <c r="C1757" s="1" t="s">
        <v>3667</v>
      </c>
      <c r="D1757" s="1" t="s">
        <v>3691</v>
      </c>
      <c r="E1757" s="1" t="s">
        <v>3773</v>
      </c>
      <c r="F1757" s="1" t="s">
        <v>16</v>
      </c>
      <c r="G1757" s="1" t="s">
        <v>23</v>
      </c>
      <c r="H1757" s="1" t="s">
        <v>18</v>
      </c>
      <c r="I1757" s="1" t="s">
        <v>29</v>
      </c>
    </row>
    <row r="1758">
      <c r="A1758" s="1">
        <v>3404210.0</v>
      </c>
      <c r="B1758" s="1" t="s">
        <v>3774</v>
      </c>
      <c r="C1758" s="1" t="s">
        <v>3667</v>
      </c>
      <c r="D1758" s="1" t="s">
        <v>3673</v>
      </c>
      <c r="E1758" s="1" t="s">
        <v>3775</v>
      </c>
      <c r="F1758" s="1" t="s">
        <v>16</v>
      </c>
      <c r="G1758" s="1" t="s">
        <v>17</v>
      </c>
      <c r="H1758" s="1" t="s">
        <v>18</v>
      </c>
      <c r="I1758" s="1" t="s">
        <v>684</v>
      </c>
    </row>
    <row r="1759">
      <c r="A1759" s="1">
        <v>3404187.0</v>
      </c>
      <c r="B1759" s="1" t="s">
        <v>3776</v>
      </c>
      <c r="C1759" s="1" t="s">
        <v>3667</v>
      </c>
      <c r="D1759" s="1" t="s">
        <v>3673</v>
      </c>
      <c r="E1759" s="1" t="s">
        <v>3777</v>
      </c>
      <c r="F1759" s="1" t="s">
        <v>55</v>
      </c>
      <c r="G1759" s="1" t="s">
        <v>17</v>
      </c>
      <c r="H1759" s="1" t="s">
        <v>18</v>
      </c>
      <c r="I1759" s="1" t="s">
        <v>44</v>
      </c>
    </row>
    <row r="1760">
      <c r="A1760" s="1">
        <v>3404022.0</v>
      </c>
      <c r="B1760" s="1" t="s">
        <v>3778</v>
      </c>
      <c r="C1760" s="1" t="s">
        <v>3667</v>
      </c>
      <c r="D1760" s="1" t="s">
        <v>3673</v>
      </c>
      <c r="E1760" s="1" t="s">
        <v>3779</v>
      </c>
      <c r="F1760" s="1" t="s">
        <v>174</v>
      </c>
      <c r="G1760" s="1" t="s">
        <v>150</v>
      </c>
      <c r="H1760" s="1" t="s">
        <v>28</v>
      </c>
      <c r="I1760" s="1" t="s">
        <v>139</v>
      </c>
    </row>
    <row r="1761">
      <c r="A1761" s="1">
        <v>3402080.0</v>
      </c>
      <c r="B1761" s="1" t="s">
        <v>3780</v>
      </c>
      <c r="C1761" s="1" t="s">
        <v>3667</v>
      </c>
      <c r="D1761" s="1" t="s">
        <v>3700</v>
      </c>
      <c r="E1761" s="1" t="s">
        <v>3781</v>
      </c>
      <c r="F1761" s="1" t="s">
        <v>55</v>
      </c>
      <c r="G1761" s="1" t="s">
        <v>17</v>
      </c>
      <c r="H1761" s="1" t="s">
        <v>18</v>
      </c>
      <c r="I1761" s="1" t="s">
        <v>44</v>
      </c>
    </row>
    <row r="1762">
      <c r="A1762" s="1">
        <v>3403026.0</v>
      </c>
      <c r="B1762" s="1" t="s">
        <v>3782</v>
      </c>
      <c r="C1762" s="1" t="s">
        <v>3667</v>
      </c>
      <c r="D1762" s="1" t="s">
        <v>3680</v>
      </c>
      <c r="E1762" s="1" t="s">
        <v>3783</v>
      </c>
      <c r="F1762" s="1" t="s">
        <v>55</v>
      </c>
      <c r="G1762" s="1" t="s">
        <v>17</v>
      </c>
      <c r="H1762" s="1" t="s">
        <v>18</v>
      </c>
      <c r="I1762" s="1" t="s">
        <v>19</v>
      </c>
    </row>
    <row r="1763">
      <c r="A1763" s="1">
        <v>3471121.0</v>
      </c>
      <c r="B1763" s="1" t="s">
        <v>3784</v>
      </c>
      <c r="C1763" s="1" t="s">
        <v>3667</v>
      </c>
      <c r="D1763" s="1" t="s">
        <v>3700</v>
      </c>
      <c r="E1763" s="1" t="s">
        <v>3785</v>
      </c>
      <c r="F1763" s="1" t="s">
        <v>473</v>
      </c>
      <c r="G1763" s="1" t="s">
        <v>17</v>
      </c>
      <c r="H1763" s="1" t="s">
        <v>18</v>
      </c>
      <c r="I1763" s="1" t="s">
        <v>139</v>
      </c>
    </row>
    <row r="1764">
      <c r="A1764" s="1">
        <v>3471234.0</v>
      </c>
      <c r="B1764" s="1" t="s">
        <v>3786</v>
      </c>
      <c r="C1764" s="1" t="s">
        <v>3667</v>
      </c>
      <c r="D1764" s="1" t="s">
        <v>3691</v>
      </c>
      <c r="E1764" s="1" t="s">
        <v>3787</v>
      </c>
      <c r="F1764" s="1" t="s">
        <v>16</v>
      </c>
      <c r="G1764" s="1" t="s">
        <v>27</v>
      </c>
      <c r="H1764" s="1" t="s">
        <v>28</v>
      </c>
      <c r="I1764" s="1" t="s">
        <v>29</v>
      </c>
    </row>
    <row r="1765">
      <c r="A1765" s="1">
        <v>3404168.0</v>
      </c>
      <c r="B1765" s="1" t="s">
        <v>3788</v>
      </c>
      <c r="C1765" s="1" t="s">
        <v>3667</v>
      </c>
      <c r="D1765" s="1" t="s">
        <v>3673</v>
      </c>
      <c r="E1765" s="1" t="s">
        <v>3789</v>
      </c>
      <c r="F1765" s="1" t="s">
        <v>16</v>
      </c>
      <c r="G1765" s="1" t="s">
        <v>17</v>
      </c>
      <c r="H1765" s="1" t="s">
        <v>28</v>
      </c>
      <c r="I1765" s="1" t="s">
        <v>40</v>
      </c>
    </row>
    <row r="1766">
      <c r="A1766" s="1">
        <v>3402020.0</v>
      </c>
      <c r="B1766" s="1" t="s">
        <v>3790</v>
      </c>
      <c r="C1766" s="1" t="s">
        <v>3667</v>
      </c>
      <c r="D1766" s="1" t="s">
        <v>3700</v>
      </c>
      <c r="E1766" s="1" t="s">
        <v>3791</v>
      </c>
      <c r="F1766" s="1" t="s">
        <v>16</v>
      </c>
      <c r="G1766" s="1" t="s">
        <v>23</v>
      </c>
      <c r="H1766" s="1" t="s">
        <v>18</v>
      </c>
      <c r="I1766" s="1" t="s">
        <v>249</v>
      </c>
    </row>
    <row r="1767">
      <c r="A1767" s="1">
        <v>3471030.0</v>
      </c>
      <c r="B1767" s="1" t="s">
        <v>3792</v>
      </c>
      <c r="C1767" s="1" t="s">
        <v>3667</v>
      </c>
      <c r="D1767" s="1" t="s">
        <v>3691</v>
      </c>
      <c r="E1767" s="1" t="s">
        <v>3793</v>
      </c>
      <c r="F1767" s="1" t="s">
        <v>16</v>
      </c>
      <c r="G1767" s="1" t="s">
        <v>17</v>
      </c>
      <c r="H1767" s="1" t="s">
        <v>18</v>
      </c>
      <c r="I1767" s="1" t="s">
        <v>74</v>
      </c>
    </row>
    <row r="1768">
      <c r="A1768" s="1">
        <v>3402081.0</v>
      </c>
      <c r="B1768" s="1" t="s">
        <v>3794</v>
      </c>
      <c r="C1768" s="1" t="s">
        <v>3667</v>
      </c>
      <c r="D1768" s="1" t="s">
        <v>3700</v>
      </c>
      <c r="E1768" s="1" t="s">
        <v>3795</v>
      </c>
      <c r="F1768" s="1" t="s">
        <v>255</v>
      </c>
      <c r="G1768" s="1" t="s">
        <v>17</v>
      </c>
      <c r="H1768" s="1" t="s">
        <v>18</v>
      </c>
      <c r="I1768" s="1" t="s">
        <v>19</v>
      </c>
    </row>
    <row r="1769">
      <c r="A1769" s="1">
        <v>3404184.0</v>
      </c>
      <c r="B1769" s="1" t="s">
        <v>3796</v>
      </c>
      <c r="C1769" s="1" t="s">
        <v>3667</v>
      </c>
      <c r="D1769" s="1" t="s">
        <v>3673</v>
      </c>
      <c r="E1769" s="1" t="s">
        <v>3797</v>
      </c>
      <c r="F1769" s="1" t="s">
        <v>16</v>
      </c>
      <c r="G1769" s="1" t="s">
        <v>23</v>
      </c>
      <c r="H1769" s="1" t="s">
        <v>33</v>
      </c>
      <c r="I1769" s="1" t="s">
        <v>65</v>
      </c>
    </row>
    <row r="1770">
      <c r="A1770" s="1">
        <v>3404070.0</v>
      </c>
      <c r="B1770" s="1" t="s">
        <v>3798</v>
      </c>
      <c r="C1770" s="1" t="s">
        <v>3667</v>
      </c>
      <c r="D1770" s="1" t="s">
        <v>3673</v>
      </c>
      <c r="E1770" s="1" t="s">
        <v>3799</v>
      </c>
      <c r="F1770" s="1" t="s">
        <v>255</v>
      </c>
      <c r="G1770" s="1" t="s">
        <v>17</v>
      </c>
      <c r="H1770" s="1" t="s">
        <v>18</v>
      </c>
      <c r="I1770" s="1" t="s">
        <v>59</v>
      </c>
    </row>
    <row r="1771">
      <c r="A1771" s="1">
        <v>3471325.0</v>
      </c>
      <c r="B1771" s="1" t="s">
        <v>3800</v>
      </c>
      <c r="C1771" s="1" t="s">
        <v>3667</v>
      </c>
      <c r="D1771" s="1" t="s">
        <v>3691</v>
      </c>
      <c r="E1771" s="1" t="s">
        <v>3801</v>
      </c>
      <c r="F1771" s="1" t="s">
        <v>55</v>
      </c>
      <c r="G1771" s="1" t="s">
        <v>17</v>
      </c>
      <c r="H1771" s="1" t="s">
        <v>18</v>
      </c>
      <c r="I1771" s="1" t="s">
        <v>59</v>
      </c>
    </row>
    <row r="1772">
      <c r="A1772" s="1">
        <v>3402042.0</v>
      </c>
      <c r="B1772" s="1" t="s">
        <v>3802</v>
      </c>
      <c r="C1772" s="1" t="s">
        <v>3667</v>
      </c>
      <c r="D1772" s="1" t="s">
        <v>3700</v>
      </c>
      <c r="E1772" s="1" t="s">
        <v>3803</v>
      </c>
      <c r="F1772" s="1" t="s">
        <v>55</v>
      </c>
      <c r="G1772" s="1" t="s">
        <v>17</v>
      </c>
      <c r="H1772" s="1" t="s">
        <v>18</v>
      </c>
      <c r="I1772" s="1" t="s">
        <v>59</v>
      </c>
    </row>
    <row r="1773">
      <c r="A1773" s="1">
        <v>3471052.0</v>
      </c>
      <c r="B1773" s="1" t="s">
        <v>3804</v>
      </c>
      <c r="C1773" s="1" t="s">
        <v>3667</v>
      </c>
      <c r="D1773" s="1" t="s">
        <v>3691</v>
      </c>
      <c r="E1773" s="1" t="s">
        <v>3805</v>
      </c>
      <c r="F1773" s="1" t="s">
        <v>16</v>
      </c>
      <c r="G1773" s="1" t="s">
        <v>27</v>
      </c>
      <c r="H1773" s="1" t="s">
        <v>18</v>
      </c>
      <c r="I1773" s="1" t="s">
        <v>59</v>
      </c>
    </row>
    <row r="1774">
      <c r="A1774" s="1">
        <v>3402064.0</v>
      </c>
      <c r="B1774" s="1" t="s">
        <v>3806</v>
      </c>
      <c r="C1774" s="1" t="s">
        <v>3667</v>
      </c>
      <c r="D1774" s="1" t="s">
        <v>3700</v>
      </c>
      <c r="E1774" s="1" t="s">
        <v>3807</v>
      </c>
      <c r="F1774" s="1" t="s">
        <v>16</v>
      </c>
      <c r="G1774" s="1" t="s">
        <v>17</v>
      </c>
      <c r="H1774" s="1" t="s">
        <v>18</v>
      </c>
      <c r="I1774" s="1" t="s">
        <v>59</v>
      </c>
    </row>
    <row r="1775">
      <c r="A1775" s="1">
        <v>3403027.0</v>
      </c>
      <c r="B1775" s="1" t="s">
        <v>3808</v>
      </c>
      <c r="C1775" s="1" t="s">
        <v>3667</v>
      </c>
      <c r="D1775" s="1" t="s">
        <v>3680</v>
      </c>
      <c r="E1775" s="1" t="s">
        <v>3809</v>
      </c>
      <c r="F1775" s="1" t="s">
        <v>16</v>
      </c>
      <c r="G1775" s="1" t="s">
        <v>23</v>
      </c>
      <c r="H1775" s="1" t="s">
        <v>28</v>
      </c>
      <c r="I1775" s="1" t="s">
        <v>40</v>
      </c>
    </row>
    <row r="1776">
      <c r="A1776" s="1">
        <v>3402076.0</v>
      </c>
      <c r="B1776" s="1" t="s">
        <v>3810</v>
      </c>
      <c r="C1776" s="1" t="s">
        <v>3667</v>
      </c>
      <c r="D1776" s="1" t="s">
        <v>3700</v>
      </c>
      <c r="E1776" s="1" t="s">
        <v>3811</v>
      </c>
      <c r="F1776" s="1" t="s">
        <v>255</v>
      </c>
      <c r="G1776" s="1" t="s">
        <v>17</v>
      </c>
      <c r="H1776" s="1" t="s">
        <v>18</v>
      </c>
      <c r="I1776" s="1" t="s">
        <v>19</v>
      </c>
    </row>
    <row r="1777">
      <c r="A1777" s="1">
        <v>3404124.0</v>
      </c>
      <c r="B1777" s="1" t="s">
        <v>3812</v>
      </c>
      <c r="C1777" s="1" t="s">
        <v>3667</v>
      </c>
      <c r="D1777" s="1" t="s">
        <v>3673</v>
      </c>
      <c r="E1777" s="1" t="s">
        <v>3813</v>
      </c>
      <c r="F1777" s="1" t="s">
        <v>16</v>
      </c>
      <c r="G1777" s="1" t="s">
        <v>23</v>
      </c>
      <c r="H1777" s="1" t="s">
        <v>18</v>
      </c>
      <c r="I1777" s="1" t="s">
        <v>59</v>
      </c>
    </row>
    <row r="1778">
      <c r="A1778" s="1">
        <v>3471362.0</v>
      </c>
      <c r="B1778" s="1" t="s">
        <v>3814</v>
      </c>
      <c r="C1778" s="1" t="s">
        <v>3667</v>
      </c>
      <c r="D1778" s="1" t="s">
        <v>3673</v>
      </c>
      <c r="E1778" s="1" t="s">
        <v>3815</v>
      </c>
      <c r="F1778" s="1" t="s">
        <v>32</v>
      </c>
      <c r="G1778" s="1" t="s">
        <v>27</v>
      </c>
      <c r="H1778" s="1" t="s">
        <v>18</v>
      </c>
      <c r="I1778" s="1" t="s">
        <v>113</v>
      </c>
    </row>
    <row r="1779">
      <c r="A1779" s="1">
        <v>3402075.0</v>
      </c>
      <c r="B1779" s="1" t="s">
        <v>3816</v>
      </c>
      <c r="C1779" s="1" t="s">
        <v>3667</v>
      </c>
      <c r="D1779" s="1" t="s">
        <v>3700</v>
      </c>
      <c r="E1779" s="1" t="s">
        <v>3817</v>
      </c>
      <c r="F1779" s="1" t="s">
        <v>16</v>
      </c>
      <c r="G1779" s="1" t="s">
        <v>23</v>
      </c>
      <c r="H1779" s="1" t="s">
        <v>18</v>
      </c>
      <c r="I1779" s="1" t="s">
        <v>59</v>
      </c>
    </row>
    <row r="1780">
      <c r="A1780" s="1">
        <v>3403010.0</v>
      </c>
      <c r="B1780" s="1" t="s">
        <v>3818</v>
      </c>
      <c r="C1780" s="1" t="s">
        <v>3667</v>
      </c>
      <c r="D1780" s="1" t="s">
        <v>3680</v>
      </c>
      <c r="E1780" s="1" t="s">
        <v>3819</v>
      </c>
      <c r="F1780" s="1" t="s">
        <v>16</v>
      </c>
      <c r="G1780" s="1" t="s">
        <v>27</v>
      </c>
      <c r="H1780" s="1" t="s">
        <v>28</v>
      </c>
      <c r="I1780" s="1" t="s">
        <v>40</v>
      </c>
    </row>
    <row r="1781">
      <c r="A1781" s="1">
        <v>3471380.0</v>
      </c>
      <c r="B1781" s="1" t="s">
        <v>3820</v>
      </c>
      <c r="C1781" s="1" t="s">
        <v>3667</v>
      </c>
      <c r="D1781" s="1" t="s">
        <v>3691</v>
      </c>
      <c r="E1781" s="1" t="s">
        <v>3821</v>
      </c>
      <c r="F1781" s="1" t="s">
        <v>16</v>
      </c>
      <c r="G1781" s="1" t="s">
        <v>17</v>
      </c>
      <c r="H1781" s="1" t="s">
        <v>18</v>
      </c>
      <c r="I1781" s="1" t="s">
        <v>44</v>
      </c>
    </row>
    <row r="1782">
      <c r="A1782" s="1">
        <v>3401058.0</v>
      </c>
      <c r="B1782" s="1" t="s">
        <v>3822</v>
      </c>
      <c r="C1782" s="1" t="s">
        <v>3667</v>
      </c>
      <c r="D1782" s="1" t="s">
        <v>3668</v>
      </c>
      <c r="E1782" s="1" t="s">
        <v>3823</v>
      </c>
      <c r="F1782" s="1" t="s">
        <v>16</v>
      </c>
      <c r="G1782" s="1" t="s">
        <v>23</v>
      </c>
      <c r="H1782" s="1" t="s">
        <v>18</v>
      </c>
      <c r="I1782" s="1" t="s">
        <v>19</v>
      </c>
    </row>
    <row r="1783">
      <c r="A1783" s="1">
        <v>3471074.0</v>
      </c>
      <c r="B1783" s="1" t="s">
        <v>3824</v>
      </c>
      <c r="C1783" s="1" t="s">
        <v>3667</v>
      </c>
      <c r="D1783" s="1" t="s">
        <v>3700</v>
      </c>
      <c r="E1783" s="1" t="s">
        <v>3825</v>
      </c>
      <c r="F1783" s="1" t="s">
        <v>16</v>
      </c>
      <c r="G1783" s="1" t="s">
        <v>27</v>
      </c>
      <c r="H1783" s="1" t="s">
        <v>18</v>
      </c>
      <c r="I1783" s="1" t="s">
        <v>563</v>
      </c>
    </row>
    <row r="1784">
      <c r="A1784" s="1">
        <v>3404045.0</v>
      </c>
      <c r="B1784" s="1" t="s">
        <v>3826</v>
      </c>
      <c r="C1784" s="1" t="s">
        <v>3667</v>
      </c>
      <c r="D1784" s="1" t="s">
        <v>3673</v>
      </c>
      <c r="E1784" s="1" t="s">
        <v>3827</v>
      </c>
      <c r="F1784" s="1" t="s">
        <v>16</v>
      </c>
      <c r="G1784" s="1" t="s">
        <v>23</v>
      </c>
      <c r="H1784" s="1" t="s">
        <v>18</v>
      </c>
      <c r="I1784" s="1" t="s">
        <v>19</v>
      </c>
    </row>
    <row r="1785">
      <c r="A1785" s="1">
        <v>3404180.0</v>
      </c>
      <c r="B1785" s="1" t="s">
        <v>3828</v>
      </c>
      <c r="C1785" s="1" t="s">
        <v>3667</v>
      </c>
      <c r="D1785" s="1" t="s">
        <v>3673</v>
      </c>
      <c r="E1785" s="1" t="s">
        <v>3829</v>
      </c>
      <c r="F1785" s="1" t="s">
        <v>55</v>
      </c>
      <c r="G1785" s="1" t="s">
        <v>17</v>
      </c>
      <c r="H1785" s="1" t="s">
        <v>18</v>
      </c>
      <c r="I1785" s="1" t="s">
        <v>59</v>
      </c>
    </row>
    <row r="1786">
      <c r="A1786" s="1">
        <v>3526011.0</v>
      </c>
      <c r="B1786" s="1" t="s">
        <v>3830</v>
      </c>
      <c r="C1786" s="1" t="s">
        <v>3831</v>
      </c>
      <c r="D1786" s="1" t="s">
        <v>3832</v>
      </c>
      <c r="E1786" s="1" t="s">
        <v>3833</v>
      </c>
      <c r="F1786" s="1" t="s">
        <v>16</v>
      </c>
      <c r="G1786" s="1" t="s">
        <v>27</v>
      </c>
      <c r="H1786" s="1" t="s">
        <v>28</v>
      </c>
      <c r="I1786" s="1" t="s">
        <v>40</v>
      </c>
    </row>
    <row r="1787">
      <c r="A1787" s="1">
        <v>3518045.0</v>
      </c>
      <c r="B1787" s="1" t="s">
        <v>3834</v>
      </c>
      <c r="C1787" s="1" t="s">
        <v>3831</v>
      </c>
      <c r="D1787" s="1" t="s">
        <v>3835</v>
      </c>
      <c r="E1787" s="1" t="s">
        <v>3836</v>
      </c>
      <c r="F1787" s="1" t="s">
        <v>16</v>
      </c>
      <c r="G1787" s="1" t="s">
        <v>17</v>
      </c>
      <c r="H1787" s="1" t="s">
        <v>33</v>
      </c>
      <c r="I1787" s="1" t="s">
        <v>65</v>
      </c>
    </row>
    <row r="1788">
      <c r="A1788" s="1">
        <v>3521014.0</v>
      </c>
      <c r="B1788" s="1" t="s">
        <v>3837</v>
      </c>
      <c r="C1788" s="1" t="s">
        <v>3831</v>
      </c>
      <c r="D1788" s="1" t="s">
        <v>3838</v>
      </c>
      <c r="E1788" s="1" t="s">
        <v>3839</v>
      </c>
      <c r="F1788" s="1" t="s">
        <v>16</v>
      </c>
      <c r="G1788" s="1" t="s">
        <v>17</v>
      </c>
      <c r="H1788" s="1" t="s">
        <v>18</v>
      </c>
      <c r="I1788" s="1" t="s">
        <v>19</v>
      </c>
    </row>
    <row r="1789">
      <c r="A1789" s="1">
        <v>3528026.0</v>
      </c>
      <c r="B1789" s="1" t="s">
        <v>3840</v>
      </c>
      <c r="C1789" s="1" t="s">
        <v>3831</v>
      </c>
      <c r="D1789" s="1" t="s">
        <v>3841</v>
      </c>
      <c r="E1789" s="1" t="s">
        <v>3842</v>
      </c>
      <c r="F1789" s="1" t="s">
        <v>55</v>
      </c>
      <c r="G1789" s="1" t="s">
        <v>17</v>
      </c>
      <c r="H1789" s="1" t="s">
        <v>18</v>
      </c>
      <c r="I1789" s="1" t="s">
        <v>44</v>
      </c>
    </row>
    <row r="1790">
      <c r="A1790" s="1">
        <v>3510010.0</v>
      </c>
      <c r="B1790" s="1" t="s">
        <v>3843</v>
      </c>
      <c r="C1790" s="1" t="s">
        <v>3831</v>
      </c>
      <c r="D1790" s="1" t="s">
        <v>3844</v>
      </c>
      <c r="E1790" s="1" t="s">
        <v>3845</v>
      </c>
      <c r="F1790" s="1" t="s">
        <v>16</v>
      </c>
      <c r="G1790" s="1" t="s">
        <v>27</v>
      </c>
      <c r="H1790" s="1" t="s">
        <v>28</v>
      </c>
      <c r="I1790" s="1" t="s">
        <v>40</v>
      </c>
    </row>
    <row r="1791">
      <c r="A1791" s="1">
        <v>3578261.0</v>
      </c>
      <c r="B1791" s="1" t="s">
        <v>3846</v>
      </c>
      <c r="C1791" s="1" t="s">
        <v>3831</v>
      </c>
      <c r="D1791" s="1" t="s">
        <v>3847</v>
      </c>
      <c r="E1791" s="1" t="s">
        <v>3848</v>
      </c>
      <c r="F1791" s="1" t="s">
        <v>55</v>
      </c>
      <c r="G1791" s="1" t="s">
        <v>17</v>
      </c>
      <c r="H1791" s="1" t="s">
        <v>18</v>
      </c>
      <c r="I1791" s="1" t="s">
        <v>59</v>
      </c>
    </row>
    <row r="1792">
      <c r="A1792" s="1">
        <v>3504056.0</v>
      </c>
      <c r="B1792" s="1" t="s">
        <v>3849</v>
      </c>
      <c r="C1792" s="1" t="s">
        <v>3831</v>
      </c>
      <c r="D1792" s="1" t="s">
        <v>3850</v>
      </c>
      <c r="E1792" s="1" t="s">
        <v>3851</v>
      </c>
      <c r="F1792" s="1" t="s">
        <v>16</v>
      </c>
      <c r="G1792" s="1" t="s">
        <v>17</v>
      </c>
      <c r="H1792" s="1" t="s">
        <v>18</v>
      </c>
      <c r="I1792" s="1" t="s">
        <v>19</v>
      </c>
    </row>
    <row r="1793">
      <c r="A1793" s="1">
        <v>3513026.0</v>
      </c>
      <c r="B1793" s="1" t="s">
        <v>3852</v>
      </c>
      <c r="C1793" s="1" t="s">
        <v>3831</v>
      </c>
      <c r="D1793" s="1" t="s">
        <v>3853</v>
      </c>
      <c r="E1793" s="1" t="s">
        <v>3854</v>
      </c>
      <c r="F1793" s="1" t="s">
        <v>16</v>
      </c>
      <c r="G1793" s="1" t="s">
        <v>17</v>
      </c>
      <c r="H1793" s="1" t="s">
        <v>18</v>
      </c>
      <c r="I1793" s="1" t="s">
        <v>19</v>
      </c>
    </row>
    <row r="1794">
      <c r="A1794" s="1">
        <v>3524047.0</v>
      </c>
      <c r="B1794" s="1" t="s">
        <v>3855</v>
      </c>
      <c r="C1794" s="1" t="s">
        <v>3831</v>
      </c>
      <c r="D1794" s="1" t="s">
        <v>3856</v>
      </c>
      <c r="E1794" s="1" t="s">
        <v>3857</v>
      </c>
      <c r="F1794" s="1" t="s">
        <v>16</v>
      </c>
      <c r="G1794" s="1" t="s">
        <v>23</v>
      </c>
      <c r="H1794" s="1" t="s">
        <v>18</v>
      </c>
      <c r="I1794" s="1" t="s">
        <v>19</v>
      </c>
    </row>
    <row r="1795">
      <c r="A1795" s="1">
        <v>3505054.0</v>
      </c>
      <c r="B1795" s="1" t="s">
        <v>3858</v>
      </c>
      <c r="C1795" s="1" t="s">
        <v>3831</v>
      </c>
      <c r="D1795" s="1" t="s">
        <v>3859</v>
      </c>
      <c r="E1795" s="1" t="s">
        <v>3860</v>
      </c>
      <c r="F1795" s="1" t="s">
        <v>16</v>
      </c>
      <c r="G1795" s="1" t="s">
        <v>23</v>
      </c>
      <c r="H1795" s="1" t="s">
        <v>18</v>
      </c>
      <c r="I1795" s="1" t="s">
        <v>19</v>
      </c>
    </row>
    <row r="1796">
      <c r="A1796" s="1">
        <v>3507104.0</v>
      </c>
      <c r="B1796" s="1" t="s">
        <v>3861</v>
      </c>
      <c r="C1796" s="1" t="s">
        <v>3831</v>
      </c>
      <c r="D1796" s="1" t="s">
        <v>3862</v>
      </c>
      <c r="E1796" s="1" t="s">
        <v>3863</v>
      </c>
      <c r="F1796" s="1" t="s">
        <v>16</v>
      </c>
      <c r="G1796" s="1" t="s">
        <v>17</v>
      </c>
      <c r="H1796" s="1" t="s">
        <v>18</v>
      </c>
      <c r="I1796" s="1" t="s">
        <v>19</v>
      </c>
    </row>
    <row r="1797">
      <c r="A1797" s="1">
        <v>3525104.0</v>
      </c>
      <c r="B1797" s="1" t="s">
        <v>3864</v>
      </c>
      <c r="C1797" s="1" t="s">
        <v>3831</v>
      </c>
      <c r="D1797" s="1" t="s">
        <v>3865</v>
      </c>
      <c r="E1797" s="1" t="s">
        <v>3866</v>
      </c>
      <c r="F1797" s="1" t="s">
        <v>55</v>
      </c>
      <c r="G1797" s="1" t="s">
        <v>17</v>
      </c>
      <c r="H1797" s="1" t="s">
        <v>18</v>
      </c>
      <c r="I1797" s="1" t="s">
        <v>44</v>
      </c>
    </row>
    <row r="1798">
      <c r="A1798" s="1">
        <v>3524073.0</v>
      </c>
      <c r="B1798" s="1" t="s">
        <v>3867</v>
      </c>
      <c r="C1798" s="1" t="s">
        <v>3831</v>
      </c>
      <c r="D1798" s="1" t="s">
        <v>3856</v>
      </c>
      <c r="E1798" s="1" t="s">
        <v>3868</v>
      </c>
      <c r="F1798" s="1" t="s">
        <v>16</v>
      </c>
      <c r="G1798" s="1" t="s">
        <v>23</v>
      </c>
      <c r="H1798" s="1" t="s">
        <v>18</v>
      </c>
      <c r="I1798" s="1" t="s">
        <v>19</v>
      </c>
    </row>
    <row r="1799">
      <c r="A1799" s="1">
        <v>3515096.0</v>
      </c>
      <c r="B1799" s="1" t="s">
        <v>3869</v>
      </c>
      <c r="C1799" s="1" t="s">
        <v>3831</v>
      </c>
      <c r="D1799" s="1" t="s">
        <v>3870</v>
      </c>
      <c r="E1799" s="1" t="s">
        <v>3871</v>
      </c>
      <c r="F1799" s="1" t="s">
        <v>16</v>
      </c>
      <c r="G1799" s="1" t="s">
        <v>17</v>
      </c>
      <c r="H1799" s="1" t="s">
        <v>18</v>
      </c>
      <c r="I1799" s="1" t="s">
        <v>44</v>
      </c>
    </row>
    <row r="1800">
      <c r="A1800" s="1">
        <v>3578769.0</v>
      </c>
      <c r="B1800" s="1" t="s">
        <v>3872</v>
      </c>
      <c r="C1800" s="1" t="s">
        <v>3831</v>
      </c>
      <c r="D1800" s="1" t="s">
        <v>3847</v>
      </c>
      <c r="E1800" s="1" t="s">
        <v>3873</v>
      </c>
      <c r="F1800" s="1" t="s">
        <v>55</v>
      </c>
      <c r="G1800" s="1" t="s">
        <v>17</v>
      </c>
      <c r="H1800" s="1" t="s">
        <v>18</v>
      </c>
      <c r="I1800" s="1" t="s">
        <v>19</v>
      </c>
    </row>
    <row r="1801">
      <c r="A1801" s="1">
        <v>3514054.0</v>
      </c>
      <c r="B1801" s="1" t="s">
        <v>3874</v>
      </c>
      <c r="C1801" s="1" t="s">
        <v>3831</v>
      </c>
      <c r="D1801" s="1" t="s">
        <v>3875</v>
      </c>
      <c r="E1801" s="1" t="s">
        <v>3876</v>
      </c>
      <c r="F1801" s="1" t="s">
        <v>16</v>
      </c>
      <c r="G1801" s="1" t="s">
        <v>23</v>
      </c>
      <c r="H1801" s="1" t="s">
        <v>18</v>
      </c>
      <c r="I1801" s="1" t="s">
        <v>163</v>
      </c>
    </row>
    <row r="1802">
      <c r="A1802" s="1">
        <v>3520016.0</v>
      </c>
      <c r="B1802" s="1" t="s">
        <v>3877</v>
      </c>
      <c r="C1802" s="1" t="s">
        <v>3831</v>
      </c>
      <c r="D1802" s="1" t="s">
        <v>3878</v>
      </c>
      <c r="E1802" s="1" t="s">
        <v>3879</v>
      </c>
      <c r="F1802" s="1" t="s">
        <v>55</v>
      </c>
      <c r="G1802" s="1" t="s">
        <v>17</v>
      </c>
      <c r="H1802" s="1" t="s">
        <v>18</v>
      </c>
      <c r="I1802" s="1" t="s">
        <v>19</v>
      </c>
    </row>
    <row r="1803">
      <c r="A1803" s="1">
        <v>3501016.0</v>
      </c>
      <c r="B1803" s="1" t="s">
        <v>3880</v>
      </c>
      <c r="C1803" s="1" t="s">
        <v>3831</v>
      </c>
      <c r="D1803" s="1" t="s">
        <v>3881</v>
      </c>
      <c r="E1803" s="1" t="s">
        <v>3882</v>
      </c>
      <c r="F1803" s="1" t="s">
        <v>16</v>
      </c>
      <c r="G1803" s="1" t="s">
        <v>17</v>
      </c>
      <c r="H1803" s="1" t="s">
        <v>28</v>
      </c>
      <c r="I1803" s="1" t="s">
        <v>40</v>
      </c>
    </row>
    <row r="1804">
      <c r="A1804" s="1">
        <v>3513067.0</v>
      </c>
      <c r="B1804" s="1" t="s">
        <v>3883</v>
      </c>
      <c r="C1804" s="1" t="s">
        <v>3831</v>
      </c>
      <c r="D1804" s="1" t="s">
        <v>3853</v>
      </c>
      <c r="E1804" s="1" t="s">
        <v>3884</v>
      </c>
      <c r="F1804" s="1" t="s">
        <v>16</v>
      </c>
      <c r="G1804" s="1" t="s">
        <v>17</v>
      </c>
      <c r="H1804" s="1" t="s">
        <v>28</v>
      </c>
      <c r="I1804" s="1" t="s">
        <v>40</v>
      </c>
    </row>
    <row r="1805">
      <c r="A1805" s="1">
        <v>3578768.0</v>
      </c>
      <c r="B1805" s="1" t="s">
        <v>3885</v>
      </c>
      <c r="C1805" s="1" t="s">
        <v>3831</v>
      </c>
      <c r="D1805" s="1" t="s">
        <v>3847</v>
      </c>
      <c r="E1805" s="1" t="s">
        <v>3886</v>
      </c>
      <c r="F1805" s="1" t="s">
        <v>55</v>
      </c>
      <c r="G1805" s="1" t="s">
        <v>17</v>
      </c>
      <c r="H1805" s="1" t="s">
        <v>18</v>
      </c>
      <c r="I1805" s="1" t="s">
        <v>44</v>
      </c>
    </row>
    <row r="1806">
      <c r="A1806" s="1">
        <v>3515132.0</v>
      </c>
      <c r="B1806" s="1" t="s">
        <v>3887</v>
      </c>
      <c r="C1806" s="1" t="s">
        <v>3831</v>
      </c>
      <c r="D1806" s="1" t="s">
        <v>3870</v>
      </c>
      <c r="E1806" s="1" t="s">
        <v>3888</v>
      </c>
      <c r="F1806" s="1" t="s">
        <v>16</v>
      </c>
      <c r="G1806" s="1" t="s">
        <v>23</v>
      </c>
      <c r="H1806" s="1" t="s">
        <v>18</v>
      </c>
      <c r="I1806" s="1" t="s">
        <v>19</v>
      </c>
    </row>
    <row r="1807">
      <c r="A1807" s="1">
        <v>3509136.0</v>
      </c>
      <c r="B1807" s="1" t="s">
        <v>3889</v>
      </c>
      <c r="C1807" s="1" t="s">
        <v>3831</v>
      </c>
      <c r="D1807" s="1" t="s">
        <v>3890</v>
      </c>
      <c r="E1807" s="1" t="s">
        <v>3891</v>
      </c>
      <c r="F1807" s="1" t="s">
        <v>16</v>
      </c>
      <c r="G1807" s="1" t="s">
        <v>17</v>
      </c>
      <c r="H1807" s="1" t="s">
        <v>18</v>
      </c>
      <c r="I1807" s="1" t="s">
        <v>19</v>
      </c>
    </row>
    <row r="1808">
      <c r="A1808" s="1">
        <v>3504081.0</v>
      </c>
      <c r="B1808" s="1" t="s">
        <v>3400</v>
      </c>
      <c r="C1808" s="1" t="s">
        <v>3831</v>
      </c>
      <c r="D1808" s="1" t="s">
        <v>3850</v>
      </c>
      <c r="E1808" s="1" t="s">
        <v>3892</v>
      </c>
      <c r="F1808" s="1" t="s">
        <v>16</v>
      </c>
      <c r="G1808" s="1" t="s">
        <v>23</v>
      </c>
      <c r="H1808" s="1" t="s">
        <v>18</v>
      </c>
      <c r="I1808" s="1" t="s">
        <v>19</v>
      </c>
    </row>
    <row r="1809">
      <c r="A1809" s="1">
        <v>3506066.0</v>
      </c>
      <c r="B1809" s="1" t="s">
        <v>3893</v>
      </c>
      <c r="C1809" s="1" t="s">
        <v>3831</v>
      </c>
      <c r="D1809" s="1" t="s">
        <v>3894</v>
      </c>
      <c r="E1809" s="1" t="s">
        <v>3895</v>
      </c>
      <c r="F1809" s="1" t="s">
        <v>16</v>
      </c>
      <c r="G1809" s="1" t="s">
        <v>17</v>
      </c>
      <c r="H1809" s="1" t="s">
        <v>18</v>
      </c>
      <c r="I1809" s="1" t="s">
        <v>40</v>
      </c>
    </row>
    <row r="1810">
      <c r="A1810" s="1">
        <v>3522014.0</v>
      </c>
      <c r="B1810" s="1" t="s">
        <v>3896</v>
      </c>
      <c r="C1810" s="1" t="s">
        <v>3831</v>
      </c>
      <c r="D1810" s="1" t="s">
        <v>3897</v>
      </c>
      <c r="E1810" s="1" t="s">
        <v>3898</v>
      </c>
      <c r="F1810" s="1" t="s">
        <v>16</v>
      </c>
      <c r="G1810" s="1" t="s">
        <v>27</v>
      </c>
      <c r="H1810" s="1" t="s">
        <v>28</v>
      </c>
      <c r="I1810" s="1" t="s">
        <v>40</v>
      </c>
    </row>
    <row r="1811">
      <c r="A1811" s="1">
        <v>3515127.0</v>
      </c>
      <c r="B1811" s="1" t="s">
        <v>3899</v>
      </c>
      <c r="C1811" s="1" t="s">
        <v>3831</v>
      </c>
      <c r="D1811" s="1" t="s">
        <v>3870</v>
      </c>
      <c r="E1811" s="1" t="s">
        <v>3900</v>
      </c>
      <c r="F1811" s="1" t="s">
        <v>16</v>
      </c>
      <c r="G1811" s="1" t="s">
        <v>23</v>
      </c>
      <c r="H1811" s="1" t="s">
        <v>18</v>
      </c>
      <c r="I1811" s="1" t="s">
        <v>44</v>
      </c>
    </row>
    <row r="1812">
      <c r="A1812" s="1">
        <v>3521028.0</v>
      </c>
      <c r="B1812" s="1" t="s">
        <v>3901</v>
      </c>
      <c r="C1812" s="1" t="s">
        <v>3831</v>
      </c>
      <c r="D1812" s="1" t="s">
        <v>3838</v>
      </c>
      <c r="E1812" s="1" t="s">
        <v>3902</v>
      </c>
      <c r="F1812" s="1" t="s">
        <v>16</v>
      </c>
      <c r="G1812" s="1" t="s">
        <v>23</v>
      </c>
      <c r="H1812" s="1" t="s">
        <v>28</v>
      </c>
      <c r="I1812" s="1" t="s">
        <v>40</v>
      </c>
    </row>
    <row r="1813">
      <c r="A1813" s="1">
        <v>3506036.0</v>
      </c>
      <c r="B1813" s="1" t="s">
        <v>3903</v>
      </c>
      <c r="C1813" s="1" t="s">
        <v>3831</v>
      </c>
      <c r="D1813" s="1" t="s">
        <v>3894</v>
      </c>
      <c r="E1813" s="1" t="s">
        <v>3904</v>
      </c>
      <c r="F1813" s="1" t="s">
        <v>16</v>
      </c>
      <c r="G1813" s="1" t="s">
        <v>23</v>
      </c>
      <c r="H1813" s="1" t="s">
        <v>18</v>
      </c>
      <c r="I1813" s="1" t="s">
        <v>19</v>
      </c>
    </row>
    <row r="1814">
      <c r="A1814" s="1">
        <v>3577085.0</v>
      </c>
      <c r="B1814" s="1" t="s">
        <v>3905</v>
      </c>
      <c r="C1814" s="1" t="s">
        <v>3831</v>
      </c>
      <c r="D1814" s="1" t="s">
        <v>3906</v>
      </c>
      <c r="E1814" s="1" t="s">
        <v>3907</v>
      </c>
      <c r="F1814" s="1" t="s">
        <v>16</v>
      </c>
      <c r="G1814" s="1" t="s">
        <v>17</v>
      </c>
      <c r="H1814" s="1" t="s">
        <v>28</v>
      </c>
      <c r="I1814" s="1" t="s">
        <v>29</v>
      </c>
    </row>
    <row r="1815">
      <c r="A1815" s="1">
        <v>3516033.0</v>
      </c>
      <c r="B1815" s="1" t="s">
        <v>3908</v>
      </c>
      <c r="C1815" s="1" t="s">
        <v>3831</v>
      </c>
      <c r="D1815" s="1" t="s">
        <v>3909</v>
      </c>
      <c r="E1815" s="1" t="s">
        <v>3910</v>
      </c>
      <c r="F1815" s="1" t="s">
        <v>16</v>
      </c>
      <c r="G1815" s="1" t="s">
        <v>23</v>
      </c>
      <c r="H1815" s="1" t="s">
        <v>18</v>
      </c>
      <c r="I1815" s="1" t="s">
        <v>19</v>
      </c>
    </row>
    <row r="1816">
      <c r="A1816" s="1">
        <v>3528025.0</v>
      </c>
      <c r="B1816" s="1" t="s">
        <v>3911</v>
      </c>
      <c r="C1816" s="1" t="s">
        <v>3831</v>
      </c>
      <c r="D1816" s="1" t="s">
        <v>3841</v>
      </c>
      <c r="E1816" s="1" t="s">
        <v>3912</v>
      </c>
      <c r="F1816" s="1" t="s">
        <v>16</v>
      </c>
      <c r="G1816" s="1" t="s">
        <v>23</v>
      </c>
      <c r="H1816" s="1" t="s">
        <v>18</v>
      </c>
      <c r="I1816" s="1" t="s">
        <v>19</v>
      </c>
    </row>
    <row r="1817">
      <c r="A1817" s="1">
        <v>3524052.0</v>
      </c>
      <c r="B1817" s="1" t="s">
        <v>3913</v>
      </c>
      <c r="C1817" s="1" t="s">
        <v>3831</v>
      </c>
      <c r="D1817" s="1" t="s">
        <v>3856</v>
      </c>
      <c r="E1817" s="1" t="s">
        <v>3914</v>
      </c>
      <c r="F1817" s="1" t="s">
        <v>16</v>
      </c>
      <c r="G1817" s="1" t="s">
        <v>23</v>
      </c>
      <c r="H1817" s="1" t="s">
        <v>28</v>
      </c>
      <c r="I1817" s="1" t="s">
        <v>40</v>
      </c>
    </row>
    <row r="1818">
      <c r="A1818" s="1">
        <v>3509021.0</v>
      </c>
      <c r="B1818" s="1" t="s">
        <v>3915</v>
      </c>
      <c r="C1818" s="1" t="s">
        <v>3831</v>
      </c>
      <c r="D1818" s="1" t="s">
        <v>3890</v>
      </c>
      <c r="E1818" s="1" t="s">
        <v>3916</v>
      </c>
      <c r="F1818" s="1" t="s">
        <v>16</v>
      </c>
      <c r="G1818" s="1" t="s">
        <v>17</v>
      </c>
      <c r="H1818" s="1" t="s">
        <v>18</v>
      </c>
      <c r="I1818" s="1" t="s">
        <v>113</v>
      </c>
    </row>
    <row r="1819">
      <c r="A1819" s="1">
        <v>3578100.0</v>
      </c>
      <c r="B1819" s="1" t="s">
        <v>3917</v>
      </c>
      <c r="C1819" s="1" t="s">
        <v>3831</v>
      </c>
      <c r="D1819" s="1" t="s">
        <v>3847</v>
      </c>
      <c r="E1819" s="1" t="s">
        <v>3918</v>
      </c>
      <c r="F1819" s="1" t="s">
        <v>16</v>
      </c>
      <c r="G1819" s="1" t="s">
        <v>17</v>
      </c>
      <c r="H1819" s="1" t="s">
        <v>18</v>
      </c>
      <c r="I1819" s="1" t="s">
        <v>59</v>
      </c>
    </row>
    <row r="1820">
      <c r="A1820" s="1">
        <v>3578793.0</v>
      </c>
      <c r="B1820" s="1" t="s">
        <v>3919</v>
      </c>
      <c r="C1820" s="1" t="s">
        <v>3831</v>
      </c>
      <c r="D1820" s="1" t="s">
        <v>3847</v>
      </c>
      <c r="E1820" s="1" t="s">
        <v>3920</v>
      </c>
      <c r="F1820" s="1" t="s">
        <v>16</v>
      </c>
      <c r="G1820" s="1" t="s">
        <v>23</v>
      </c>
      <c r="H1820" s="1" t="s">
        <v>18</v>
      </c>
      <c r="I1820" s="1" t="s">
        <v>684</v>
      </c>
    </row>
    <row r="1821">
      <c r="A1821" s="1">
        <v>3579004.0</v>
      </c>
      <c r="B1821" s="1" t="s">
        <v>3921</v>
      </c>
      <c r="C1821" s="1" t="s">
        <v>3831</v>
      </c>
      <c r="D1821" s="1" t="s">
        <v>3922</v>
      </c>
      <c r="E1821" s="1" t="s">
        <v>3923</v>
      </c>
      <c r="F1821" s="1" t="s">
        <v>16</v>
      </c>
      <c r="G1821" s="1" t="s">
        <v>23</v>
      </c>
      <c r="H1821" s="1" t="s">
        <v>18</v>
      </c>
      <c r="I1821" s="1" t="s">
        <v>19</v>
      </c>
    </row>
    <row r="1822">
      <c r="A1822" s="1">
        <v>3527013.0</v>
      </c>
      <c r="B1822" s="1" t="s">
        <v>3924</v>
      </c>
      <c r="C1822" s="1" t="s">
        <v>3831</v>
      </c>
      <c r="D1822" s="1" t="s">
        <v>3925</v>
      </c>
      <c r="E1822" s="1" t="s">
        <v>3926</v>
      </c>
      <c r="F1822" s="1" t="s">
        <v>16</v>
      </c>
      <c r="G1822" s="1" t="s">
        <v>23</v>
      </c>
      <c r="H1822" s="1" t="s">
        <v>18</v>
      </c>
      <c r="I1822" s="1" t="s">
        <v>163</v>
      </c>
    </row>
    <row r="1823">
      <c r="A1823" s="1">
        <v>3514071.0</v>
      </c>
      <c r="B1823" s="1" t="s">
        <v>3927</v>
      </c>
      <c r="C1823" s="1" t="s">
        <v>3831</v>
      </c>
      <c r="D1823" s="1" t="s">
        <v>3875</v>
      </c>
      <c r="E1823" s="1" t="s">
        <v>3928</v>
      </c>
      <c r="F1823" s="1" t="s">
        <v>16</v>
      </c>
      <c r="G1823" s="1" t="s">
        <v>17</v>
      </c>
      <c r="H1823" s="1" t="s">
        <v>18</v>
      </c>
      <c r="I1823" s="1" t="s">
        <v>19</v>
      </c>
    </row>
    <row r="1824">
      <c r="A1824" s="1">
        <v>3571042.0</v>
      </c>
      <c r="B1824" s="1" t="s">
        <v>3929</v>
      </c>
      <c r="C1824" s="1" t="s">
        <v>3831</v>
      </c>
      <c r="D1824" s="1" t="s">
        <v>3930</v>
      </c>
      <c r="E1824" s="1" t="s">
        <v>3931</v>
      </c>
      <c r="F1824" s="1" t="s">
        <v>16</v>
      </c>
      <c r="G1824" s="1" t="s">
        <v>27</v>
      </c>
      <c r="H1824" s="1" t="s">
        <v>18</v>
      </c>
      <c r="I1824" s="1" t="s">
        <v>258</v>
      </c>
    </row>
    <row r="1825">
      <c r="A1825" s="1">
        <v>3571148.0</v>
      </c>
      <c r="B1825" s="1" t="s">
        <v>2877</v>
      </c>
      <c r="C1825" s="1" t="s">
        <v>3831</v>
      </c>
      <c r="D1825" s="1" t="s">
        <v>3930</v>
      </c>
      <c r="E1825" s="1" t="s">
        <v>3932</v>
      </c>
      <c r="F1825" s="1" t="s">
        <v>55</v>
      </c>
      <c r="G1825" s="1" t="s">
        <v>17</v>
      </c>
      <c r="H1825" s="1" t="s">
        <v>18</v>
      </c>
      <c r="I1825" s="1" t="s">
        <v>19</v>
      </c>
    </row>
    <row r="1826">
      <c r="A1826" s="1">
        <v>3578781.0</v>
      </c>
      <c r="B1826" s="1" t="s">
        <v>3933</v>
      </c>
      <c r="C1826" s="1" t="s">
        <v>3831</v>
      </c>
      <c r="D1826" s="1" t="s">
        <v>3847</v>
      </c>
      <c r="E1826" s="1" t="s">
        <v>3934</v>
      </c>
      <c r="F1826" s="1" t="s">
        <v>16</v>
      </c>
      <c r="G1826" s="1" t="s">
        <v>27</v>
      </c>
      <c r="H1826" s="1" t="s">
        <v>18</v>
      </c>
      <c r="I1826" s="1" t="s">
        <v>19</v>
      </c>
    </row>
    <row r="1827">
      <c r="A1827" s="1">
        <v>3578810.0</v>
      </c>
      <c r="B1827" s="1" t="s">
        <v>3935</v>
      </c>
      <c r="C1827" s="1" t="s">
        <v>3831</v>
      </c>
      <c r="D1827" s="1" t="s">
        <v>3847</v>
      </c>
      <c r="E1827" s="1" t="s">
        <v>3936</v>
      </c>
      <c r="F1827" s="1" t="s">
        <v>16</v>
      </c>
      <c r="G1827" s="1" t="s">
        <v>27</v>
      </c>
      <c r="H1827" s="1" t="s">
        <v>18</v>
      </c>
      <c r="I1827" s="1" t="s">
        <v>44</v>
      </c>
    </row>
    <row r="1828">
      <c r="A1828" s="1">
        <v>3573277.0</v>
      </c>
      <c r="B1828" s="1" t="s">
        <v>3937</v>
      </c>
      <c r="C1828" s="1" t="s">
        <v>3831</v>
      </c>
      <c r="D1828" s="1" t="s">
        <v>3938</v>
      </c>
      <c r="E1828" s="1" t="s">
        <v>3939</v>
      </c>
      <c r="F1828" s="1" t="s">
        <v>55</v>
      </c>
      <c r="G1828" s="1" t="s">
        <v>17</v>
      </c>
      <c r="H1828" s="1" t="s">
        <v>18</v>
      </c>
      <c r="I1828" s="1" t="s">
        <v>163</v>
      </c>
    </row>
    <row r="1829">
      <c r="A1829" s="1">
        <v>3513013.0</v>
      </c>
      <c r="B1829" s="1" t="s">
        <v>3940</v>
      </c>
      <c r="C1829" s="1" t="s">
        <v>3831</v>
      </c>
      <c r="D1829" s="1" t="s">
        <v>3853</v>
      </c>
      <c r="E1829" s="1" t="s">
        <v>3941</v>
      </c>
      <c r="F1829" s="1" t="s">
        <v>16</v>
      </c>
      <c r="G1829" s="1" t="s">
        <v>27</v>
      </c>
      <c r="H1829" s="1" t="s">
        <v>28</v>
      </c>
      <c r="I1829" s="1" t="s">
        <v>40</v>
      </c>
    </row>
    <row r="1830">
      <c r="A1830" s="1">
        <v>3578603.0</v>
      </c>
      <c r="B1830" s="1" t="s">
        <v>3942</v>
      </c>
      <c r="C1830" s="1" t="s">
        <v>3831</v>
      </c>
      <c r="D1830" s="1" t="s">
        <v>3847</v>
      </c>
      <c r="E1830" s="1" t="s">
        <v>3943</v>
      </c>
      <c r="F1830" s="1" t="s">
        <v>16</v>
      </c>
      <c r="G1830" s="1" t="s">
        <v>17</v>
      </c>
      <c r="H1830" s="1" t="s">
        <v>18</v>
      </c>
      <c r="I1830" s="1" t="s">
        <v>59</v>
      </c>
    </row>
    <row r="1831">
      <c r="A1831" s="1">
        <v>3525091.0</v>
      </c>
      <c r="B1831" s="1" t="s">
        <v>3944</v>
      </c>
      <c r="C1831" s="1" t="s">
        <v>3831</v>
      </c>
      <c r="D1831" s="1" t="s">
        <v>3865</v>
      </c>
      <c r="E1831" s="1" t="s">
        <v>3945</v>
      </c>
      <c r="F1831" s="1" t="s">
        <v>16</v>
      </c>
      <c r="G1831" s="1" t="s">
        <v>23</v>
      </c>
      <c r="H1831" s="1" t="s">
        <v>18</v>
      </c>
      <c r="I1831" s="1" t="s">
        <v>44</v>
      </c>
    </row>
    <row r="1832">
      <c r="A1832" s="1">
        <v>3578794.0</v>
      </c>
      <c r="B1832" s="1" t="s">
        <v>3946</v>
      </c>
      <c r="C1832" s="1" t="s">
        <v>3831</v>
      </c>
      <c r="D1832" s="1" t="s">
        <v>3847</v>
      </c>
      <c r="E1832" s="1" t="s">
        <v>3947</v>
      </c>
      <c r="F1832" s="1" t="s">
        <v>55</v>
      </c>
      <c r="G1832" s="1" t="s">
        <v>17</v>
      </c>
      <c r="H1832" s="1" t="s">
        <v>18</v>
      </c>
      <c r="I1832" s="1" t="s">
        <v>19</v>
      </c>
    </row>
    <row r="1833">
      <c r="A1833" s="1">
        <v>3514059.0</v>
      </c>
      <c r="B1833" s="1" t="s">
        <v>3861</v>
      </c>
      <c r="C1833" s="1" t="s">
        <v>3831</v>
      </c>
      <c r="D1833" s="1" t="s">
        <v>3875</v>
      </c>
      <c r="E1833" s="1" t="s">
        <v>3948</v>
      </c>
      <c r="F1833" s="1" t="s">
        <v>16</v>
      </c>
      <c r="G1833" s="1" t="s">
        <v>17</v>
      </c>
      <c r="H1833" s="1" t="s">
        <v>18</v>
      </c>
      <c r="I1833" s="1" t="s">
        <v>19</v>
      </c>
    </row>
    <row r="1834">
      <c r="A1834" s="1">
        <v>3507204.0</v>
      </c>
      <c r="B1834" s="1" t="s">
        <v>3949</v>
      </c>
      <c r="C1834" s="1" t="s">
        <v>3831</v>
      </c>
      <c r="D1834" s="1" t="s">
        <v>3862</v>
      </c>
      <c r="E1834" s="1" t="s">
        <v>3950</v>
      </c>
      <c r="F1834" s="1" t="s">
        <v>16</v>
      </c>
      <c r="G1834" s="1" t="s">
        <v>17</v>
      </c>
      <c r="H1834" s="1" t="s">
        <v>18</v>
      </c>
      <c r="I1834" s="1" t="s">
        <v>19</v>
      </c>
    </row>
    <row r="1835">
      <c r="A1835" s="1">
        <v>3579002.0</v>
      </c>
      <c r="B1835" s="1" t="s">
        <v>3951</v>
      </c>
      <c r="C1835" s="1" t="s">
        <v>3831</v>
      </c>
      <c r="D1835" s="1" t="s">
        <v>3922</v>
      </c>
      <c r="E1835" s="1" t="s">
        <v>3952</v>
      </c>
      <c r="F1835" s="1" t="s">
        <v>16</v>
      </c>
      <c r="G1835" s="1" t="s">
        <v>23</v>
      </c>
      <c r="H1835" s="1" t="s">
        <v>18</v>
      </c>
      <c r="I1835" s="1" t="s">
        <v>19</v>
      </c>
    </row>
    <row r="1836">
      <c r="A1836" s="1">
        <v>3528029.0</v>
      </c>
      <c r="B1836" s="1" t="s">
        <v>3953</v>
      </c>
      <c r="C1836" s="1" t="s">
        <v>3831</v>
      </c>
      <c r="D1836" s="1" t="s">
        <v>3841</v>
      </c>
      <c r="E1836" s="1" t="s">
        <v>3954</v>
      </c>
      <c r="F1836" s="1" t="s">
        <v>16</v>
      </c>
      <c r="G1836" s="1" t="s">
        <v>23</v>
      </c>
      <c r="H1836" s="1" t="s">
        <v>18</v>
      </c>
      <c r="I1836" s="1" t="s">
        <v>19</v>
      </c>
    </row>
    <row r="1837">
      <c r="A1837" s="1">
        <v>3517076.0</v>
      </c>
      <c r="B1837" s="1" t="s">
        <v>3955</v>
      </c>
      <c r="C1837" s="1" t="s">
        <v>3831</v>
      </c>
      <c r="D1837" s="1" t="s">
        <v>3956</v>
      </c>
      <c r="E1837" s="1" t="s">
        <v>3957</v>
      </c>
      <c r="F1837" s="1" t="s">
        <v>16</v>
      </c>
      <c r="G1837" s="1" t="s">
        <v>23</v>
      </c>
      <c r="H1837" s="1" t="s">
        <v>18</v>
      </c>
      <c r="I1837" s="1" t="s">
        <v>19</v>
      </c>
    </row>
    <row r="1838">
      <c r="A1838" s="1">
        <v>3571145.0</v>
      </c>
      <c r="B1838" s="1" t="s">
        <v>3958</v>
      </c>
      <c r="C1838" s="1" t="s">
        <v>3831</v>
      </c>
      <c r="D1838" s="1" t="s">
        <v>3930</v>
      </c>
      <c r="E1838" s="1" t="s">
        <v>3959</v>
      </c>
      <c r="F1838" s="1" t="s">
        <v>55</v>
      </c>
      <c r="G1838" s="1" t="s">
        <v>17</v>
      </c>
      <c r="H1838" s="1" t="s">
        <v>18</v>
      </c>
      <c r="I1838" s="1" t="s">
        <v>19</v>
      </c>
    </row>
    <row r="1839">
      <c r="A1839" s="1">
        <v>3504045.0</v>
      </c>
      <c r="B1839" s="1" t="s">
        <v>3960</v>
      </c>
      <c r="C1839" s="1" t="s">
        <v>3831</v>
      </c>
      <c r="D1839" s="1" t="s">
        <v>3850</v>
      </c>
      <c r="E1839" s="1" t="s">
        <v>3961</v>
      </c>
      <c r="F1839" s="1" t="s">
        <v>16</v>
      </c>
      <c r="G1839" s="1" t="s">
        <v>17</v>
      </c>
      <c r="H1839" s="1" t="s">
        <v>18</v>
      </c>
      <c r="I1839" s="1" t="s">
        <v>19</v>
      </c>
    </row>
    <row r="1840">
      <c r="A1840" s="1">
        <v>3577026.0</v>
      </c>
      <c r="B1840" s="1" t="s">
        <v>3962</v>
      </c>
      <c r="C1840" s="1" t="s">
        <v>3831</v>
      </c>
      <c r="D1840" s="1" t="s">
        <v>3906</v>
      </c>
      <c r="E1840" s="1" t="s">
        <v>3963</v>
      </c>
      <c r="F1840" s="1" t="s">
        <v>16</v>
      </c>
      <c r="G1840" s="1" t="s">
        <v>17</v>
      </c>
      <c r="H1840" s="1" t="s">
        <v>18</v>
      </c>
      <c r="I1840" s="1" t="s">
        <v>19</v>
      </c>
    </row>
    <row r="1841">
      <c r="A1841" s="1">
        <v>3515123.0</v>
      </c>
      <c r="B1841" s="1" t="s">
        <v>3964</v>
      </c>
      <c r="C1841" s="1" t="s">
        <v>3831</v>
      </c>
      <c r="D1841" s="1" t="s">
        <v>3870</v>
      </c>
      <c r="E1841" s="1" t="s">
        <v>3965</v>
      </c>
      <c r="F1841" s="1" t="s">
        <v>16</v>
      </c>
      <c r="G1841" s="1" t="s">
        <v>23</v>
      </c>
      <c r="H1841" s="1" t="s">
        <v>18</v>
      </c>
      <c r="I1841" s="1" t="s">
        <v>44</v>
      </c>
    </row>
    <row r="1842">
      <c r="A1842" s="1">
        <v>3512050.0</v>
      </c>
      <c r="B1842" s="1" t="s">
        <v>3966</v>
      </c>
      <c r="C1842" s="1" t="s">
        <v>3831</v>
      </c>
      <c r="D1842" s="1" t="s">
        <v>3967</v>
      </c>
      <c r="E1842" s="1" t="s">
        <v>3968</v>
      </c>
      <c r="F1842" s="1" t="s">
        <v>55</v>
      </c>
      <c r="G1842" s="1" t="s">
        <v>17</v>
      </c>
      <c r="H1842" s="1" t="s">
        <v>18</v>
      </c>
      <c r="I1842" s="1" t="s">
        <v>19</v>
      </c>
    </row>
    <row r="1843">
      <c r="A1843" s="1">
        <v>3524020.0</v>
      </c>
      <c r="B1843" s="1" t="s">
        <v>3969</v>
      </c>
      <c r="C1843" s="1" t="s">
        <v>3831</v>
      </c>
      <c r="D1843" s="1" t="s">
        <v>3856</v>
      </c>
      <c r="E1843" s="1" t="s">
        <v>3970</v>
      </c>
      <c r="F1843" s="1" t="s">
        <v>16</v>
      </c>
      <c r="G1843" s="1" t="s">
        <v>17</v>
      </c>
      <c r="H1843" s="1" t="s">
        <v>18</v>
      </c>
      <c r="I1843" s="1" t="s">
        <v>19</v>
      </c>
    </row>
    <row r="1844">
      <c r="A1844" s="1">
        <v>3573250.0</v>
      </c>
      <c r="B1844" s="1" t="s">
        <v>3971</v>
      </c>
      <c r="C1844" s="1" t="s">
        <v>3831</v>
      </c>
      <c r="D1844" s="1" t="s">
        <v>3938</v>
      </c>
      <c r="E1844" s="1" t="s">
        <v>3972</v>
      </c>
      <c r="F1844" s="1" t="s">
        <v>55</v>
      </c>
      <c r="G1844" s="1" t="s">
        <v>17</v>
      </c>
      <c r="H1844" s="1" t="s">
        <v>18</v>
      </c>
      <c r="I1844" s="1" t="s">
        <v>19</v>
      </c>
    </row>
    <row r="1845">
      <c r="A1845" s="1">
        <v>3517025.0</v>
      </c>
      <c r="B1845" s="1" t="s">
        <v>3973</v>
      </c>
      <c r="C1845" s="1" t="s">
        <v>3831</v>
      </c>
      <c r="D1845" s="1" t="s">
        <v>3956</v>
      </c>
      <c r="E1845" s="1" t="s">
        <v>3974</v>
      </c>
      <c r="F1845" s="1" t="s">
        <v>16</v>
      </c>
      <c r="G1845" s="1" t="s">
        <v>23</v>
      </c>
      <c r="H1845" s="1" t="s">
        <v>18</v>
      </c>
      <c r="I1845" s="1" t="s">
        <v>19</v>
      </c>
    </row>
    <row r="1846">
      <c r="A1846" s="1">
        <v>3515140.0</v>
      </c>
      <c r="B1846" s="1" t="s">
        <v>3975</v>
      </c>
      <c r="C1846" s="1" t="s">
        <v>3831</v>
      </c>
      <c r="D1846" s="1" t="s">
        <v>3870</v>
      </c>
      <c r="E1846" s="1" t="s">
        <v>3976</v>
      </c>
      <c r="F1846" s="1" t="s">
        <v>16</v>
      </c>
      <c r="G1846" s="1" t="s">
        <v>23</v>
      </c>
      <c r="H1846" s="1" t="s">
        <v>18</v>
      </c>
      <c r="I1846" s="1" t="s">
        <v>44</v>
      </c>
    </row>
    <row r="1847">
      <c r="A1847" s="1">
        <v>3506064.0</v>
      </c>
      <c r="B1847" s="1" t="s">
        <v>3977</v>
      </c>
      <c r="C1847" s="1" t="s">
        <v>3831</v>
      </c>
      <c r="D1847" s="1" t="s">
        <v>3894</v>
      </c>
      <c r="E1847" s="1" t="s">
        <v>3978</v>
      </c>
      <c r="F1847" s="1" t="s">
        <v>55</v>
      </c>
      <c r="G1847" s="1" t="s">
        <v>17</v>
      </c>
      <c r="H1847" s="1" t="s">
        <v>18</v>
      </c>
      <c r="I1847" s="1" t="s">
        <v>19</v>
      </c>
    </row>
    <row r="1848">
      <c r="A1848" s="1">
        <v>3510109.0</v>
      </c>
      <c r="B1848" s="1" t="s">
        <v>3979</v>
      </c>
      <c r="C1848" s="1" t="s">
        <v>3831</v>
      </c>
      <c r="D1848" s="1" t="s">
        <v>3844</v>
      </c>
      <c r="E1848" s="1" t="s">
        <v>3980</v>
      </c>
      <c r="F1848" s="1" t="s">
        <v>16</v>
      </c>
      <c r="G1848" s="1" t="s">
        <v>23</v>
      </c>
      <c r="H1848" s="1" t="s">
        <v>18</v>
      </c>
      <c r="I1848" s="1" t="s">
        <v>19</v>
      </c>
    </row>
    <row r="1849">
      <c r="A1849" s="1">
        <v>3523056.0</v>
      </c>
      <c r="B1849" s="1" t="s">
        <v>3981</v>
      </c>
      <c r="C1849" s="1" t="s">
        <v>3831</v>
      </c>
      <c r="D1849" s="1" t="s">
        <v>3982</v>
      </c>
      <c r="E1849" s="1" t="s">
        <v>3983</v>
      </c>
      <c r="F1849" s="1" t="s">
        <v>16</v>
      </c>
      <c r="G1849" s="1" t="s">
        <v>23</v>
      </c>
      <c r="H1849" s="1" t="s">
        <v>18</v>
      </c>
      <c r="I1849" s="1" t="s">
        <v>44</v>
      </c>
    </row>
    <row r="1850">
      <c r="A1850" s="1">
        <v>3515158.0</v>
      </c>
      <c r="B1850" s="1" t="s">
        <v>3984</v>
      </c>
      <c r="C1850" s="1" t="s">
        <v>3831</v>
      </c>
      <c r="D1850" s="1" t="s">
        <v>3870</v>
      </c>
      <c r="E1850" s="1" t="s">
        <v>3985</v>
      </c>
      <c r="F1850" s="1" t="s">
        <v>55</v>
      </c>
      <c r="G1850" s="1" t="s">
        <v>17</v>
      </c>
      <c r="H1850" s="1" t="s">
        <v>18</v>
      </c>
      <c r="I1850" s="1" t="s">
        <v>19</v>
      </c>
    </row>
    <row r="1851">
      <c r="A1851" s="1">
        <v>3528013.0</v>
      </c>
      <c r="B1851" s="1" t="s">
        <v>3986</v>
      </c>
      <c r="C1851" s="1" t="s">
        <v>3831</v>
      </c>
      <c r="D1851" s="1" t="s">
        <v>3841</v>
      </c>
      <c r="E1851" s="1" t="s">
        <v>3987</v>
      </c>
      <c r="F1851" s="1" t="s">
        <v>16</v>
      </c>
      <c r="G1851" s="1" t="s">
        <v>27</v>
      </c>
      <c r="H1851" s="1" t="s">
        <v>28</v>
      </c>
      <c r="I1851" s="1" t="s">
        <v>40</v>
      </c>
    </row>
    <row r="1852">
      <c r="A1852" s="1">
        <v>3507096.0</v>
      </c>
      <c r="B1852" s="1" t="s">
        <v>3988</v>
      </c>
      <c r="C1852" s="1" t="s">
        <v>3831</v>
      </c>
      <c r="D1852" s="1" t="s">
        <v>3862</v>
      </c>
      <c r="E1852" s="1" t="s">
        <v>3989</v>
      </c>
      <c r="F1852" s="1" t="s">
        <v>16</v>
      </c>
      <c r="G1852" s="1" t="s">
        <v>27</v>
      </c>
      <c r="H1852" s="1" t="s">
        <v>18</v>
      </c>
      <c r="I1852" s="1" t="s">
        <v>19</v>
      </c>
    </row>
    <row r="1853">
      <c r="A1853" s="1">
        <v>3516036.0</v>
      </c>
      <c r="B1853" s="1" t="s">
        <v>3990</v>
      </c>
      <c r="C1853" s="1" t="s">
        <v>3831</v>
      </c>
      <c r="D1853" s="1" t="s">
        <v>3909</v>
      </c>
      <c r="E1853" s="1" t="s">
        <v>3991</v>
      </c>
      <c r="F1853" s="1" t="s">
        <v>16</v>
      </c>
      <c r="G1853" s="1" t="s">
        <v>23</v>
      </c>
      <c r="H1853" s="1" t="s">
        <v>18</v>
      </c>
      <c r="I1853" s="1" t="s">
        <v>19</v>
      </c>
    </row>
    <row r="1854">
      <c r="A1854" s="1">
        <v>3521015.0</v>
      </c>
      <c r="B1854" s="1" t="s">
        <v>3992</v>
      </c>
      <c r="C1854" s="1" t="s">
        <v>3831</v>
      </c>
      <c r="D1854" s="1" t="s">
        <v>3838</v>
      </c>
      <c r="E1854" s="1" t="s">
        <v>3993</v>
      </c>
      <c r="F1854" s="1" t="s">
        <v>16</v>
      </c>
      <c r="G1854" s="1" t="s">
        <v>17</v>
      </c>
      <c r="H1854" s="1" t="s">
        <v>18</v>
      </c>
      <c r="I1854" s="1" t="s">
        <v>19</v>
      </c>
    </row>
    <row r="1855">
      <c r="A1855" s="1">
        <v>3524072.0</v>
      </c>
      <c r="B1855" s="1" t="s">
        <v>3994</v>
      </c>
      <c r="C1855" s="1" t="s">
        <v>3831</v>
      </c>
      <c r="D1855" s="1" t="s">
        <v>3856</v>
      </c>
      <c r="E1855" s="1" t="s">
        <v>3995</v>
      </c>
      <c r="F1855" s="1" t="s">
        <v>16</v>
      </c>
      <c r="G1855" s="1" t="s">
        <v>23</v>
      </c>
      <c r="H1855" s="1" t="s">
        <v>18</v>
      </c>
      <c r="I1855" s="1" t="s">
        <v>19</v>
      </c>
    </row>
    <row r="1856">
      <c r="A1856" s="1">
        <v>3510043.0</v>
      </c>
      <c r="B1856" s="1" t="s">
        <v>3996</v>
      </c>
      <c r="C1856" s="1" t="s">
        <v>3831</v>
      </c>
      <c r="D1856" s="1" t="s">
        <v>3844</v>
      </c>
      <c r="E1856" s="1" t="s">
        <v>3997</v>
      </c>
      <c r="F1856" s="1" t="s">
        <v>16</v>
      </c>
      <c r="G1856" s="1" t="s">
        <v>17</v>
      </c>
      <c r="H1856" s="1" t="s">
        <v>28</v>
      </c>
      <c r="I1856" s="1" t="s">
        <v>40</v>
      </c>
    </row>
    <row r="1857">
      <c r="A1857" s="1">
        <v>3578476.0</v>
      </c>
      <c r="B1857" s="1" t="s">
        <v>3998</v>
      </c>
      <c r="C1857" s="1" t="s">
        <v>3831</v>
      </c>
      <c r="D1857" s="1" t="s">
        <v>3847</v>
      </c>
      <c r="E1857" s="1" t="s">
        <v>3999</v>
      </c>
      <c r="F1857" s="1" t="s">
        <v>16</v>
      </c>
      <c r="G1857" s="1" t="s">
        <v>17</v>
      </c>
      <c r="H1857" s="1" t="s">
        <v>18</v>
      </c>
      <c r="I1857" s="1" t="s">
        <v>59</v>
      </c>
    </row>
    <row r="1858">
      <c r="A1858" s="1">
        <v>3510104.0</v>
      </c>
      <c r="B1858" s="1" t="s">
        <v>4000</v>
      </c>
      <c r="C1858" s="1" t="s">
        <v>3831</v>
      </c>
      <c r="D1858" s="1" t="s">
        <v>3844</v>
      </c>
      <c r="E1858" s="1" t="s">
        <v>4001</v>
      </c>
      <c r="F1858" s="1" t="s">
        <v>16</v>
      </c>
      <c r="G1858" s="1" t="s">
        <v>23</v>
      </c>
      <c r="H1858" s="1" t="s">
        <v>18</v>
      </c>
      <c r="I1858" s="1" t="s">
        <v>19</v>
      </c>
    </row>
    <row r="1859">
      <c r="A1859" s="1">
        <v>3519026.0</v>
      </c>
      <c r="B1859" s="1" t="s">
        <v>4002</v>
      </c>
      <c r="C1859" s="1" t="s">
        <v>3831</v>
      </c>
      <c r="D1859" s="1" t="s">
        <v>3906</v>
      </c>
      <c r="E1859" s="1" t="s">
        <v>4003</v>
      </c>
      <c r="F1859" s="1" t="s">
        <v>473</v>
      </c>
      <c r="G1859" s="1" t="s">
        <v>17</v>
      </c>
      <c r="H1859" s="1" t="s">
        <v>28</v>
      </c>
      <c r="I1859" s="1" t="s">
        <v>139</v>
      </c>
    </row>
    <row r="1860">
      <c r="A1860" s="1">
        <v>3521027.0</v>
      </c>
      <c r="B1860" s="1" t="s">
        <v>4004</v>
      </c>
      <c r="C1860" s="1" t="s">
        <v>3831</v>
      </c>
      <c r="D1860" s="1" t="s">
        <v>3838</v>
      </c>
      <c r="E1860" s="1" t="s">
        <v>4005</v>
      </c>
      <c r="F1860" s="1" t="s">
        <v>16</v>
      </c>
      <c r="G1860" s="1" t="s">
        <v>23</v>
      </c>
      <c r="H1860" s="1" t="s">
        <v>18</v>
      </c>
      <c r="I1860" s="1" t="s">
        <v>40</v>
      </c>
    </row>
    <row r="1861">
      <c r="A1861" s="1">
        <v>3573022.0</v>
      </c>
      <c r="B1861" s="1" t="s">
        <v>4006</v>
      </c>
      <c r="C1861" s="1" t="s">
        <v>3831</v>
      </c>
      <c r="D1861" s="1" t="s">
        <v>3938</v>
      </c>
      <c r="E1861" s="1" t="s">
        <v>4007</v>
      </c>
      <c r="F1861" s="1" t="s">
        <v>16</v>
      </c>
      <c r="G1861" s="1" t="s">
        <v>27</v>
      </c>
      <c r="H1861" s="1" t="s">
        <v>33</v>
      </c>
      <c r="I1861" s="1" t="s">
        <v>74</v>
      </c>
    </row>
    <row r="1862">
      <c r="A1862" s="1">
        <v>3506059.0</v>
      </c>
      <c r="B1862" s="1" t="s">
        <v>4008</v>
      </c>
      <c r="C1862" s="1" t="s">
        <v>3831</v>
      </c>
      <c r="D1862" s="1" t="s">
        <v>3894</v>
      </c>
      <c r="E1862" s="1" t="s">
        <v>4009</v>
      </c>
      <c r="F1862" s="1" t="s">
        <v>16</v>
      </c>
      <c r="G1862" s="1" t="s">
        <v>23</v>
      </c>
      <c r="H1862" s="1" t="s">
        <v>18</v>
      </c>
      <c r="I1862" s="1" t="s">
        <v>19</v>
      </c>
    </row>
    <row r="1863">
      <c r="A1863" s="1">
        <v>3517094.0</v>
      </c>
      <c r="B1863" s="1" t="s">
        <v>4010</v>
      </c>
      <c r="C1863" s="1" t="s">
        <v>3831</v>
      </c>
      <c r="D1863" s="1" t="s">
        <v>3956</v>
      </c>
      <c r="E1863" s="1" t="s">
        <v>4011</v>
      </c>
      <c r="F1863" s="1" t="s">
        <v>16</v>
      </c>
      <c r="G1863" s="1" t="s">
        <v>23</v>
      </c>
      <c r="H1863" s="1" t="s">
        <v>18</v>
      </c>
      <c r="I1863" s="1" t="s">
        <v>19</v>
      </c>
    </row>
    <row r="1864">
      <c r="A1864" s="1">
        <v>3502158.0</v>
      </c>
      <c r="B1864" s="1" t="s">
        <v>4012</v>
      </c>
      <c r="C1864" s="1" t="s">
        <v>3831</v>
      </c>
      <c r="D1864" s="1" t="s">
        <v>4013</v>
      </c>
      <c r="E1864" s="1" t="s">
        <v>4014</v>
      </c>
      <c r="F1864" s="1" t="s">
        <v>16</v>
      </c>
      <c r="G1864" s="1" t="s">
        <v>23</v>
      </c>
      <c r="H1864" s="1" t="s">
        <v>28</v>
      </c>
      <c r="I1864" s="1" t="s">
        <v>40</v>
      </c>
    </row>
    <row r="1865">
      <c r="A1865" s="1">
        <v>3515110.0</v>
      </c>
      <c r="B1865" s="1" t="s">
        <v>4015</v>
      </c>
      <c r="C1865" s="1" t="s">
        <v>3831</v>
      </c>
      <c r="D1865" s="1" t="s">
        <v>3870</v>
      </c>
      <c r="E1865" s="1" t="s">
        <v>4016</v>
      </c>
      <c r="F1865" s="1" t="s">
        <v>16</v>
      </c>
      <c r="G1865" s="1" t="s">
        <v>23</v>
      </c>
      <c r="H1865" s="1" t="s">
        <v>18</v>
      </c>
      <c r="I1865" s="1" t="s">
        <v>19</v>
      </c>
    </row>
    <row r="1866">
      <c r="A1866" s="1">
        <v>3502112.0</v>
      </c>
      <c r="B1866" s="1" t="s">
        <v>4017</v>
      </c>
      <c r="C1866" s="1" t="s">
        <v>3831</v>
      </c>
      <c r="D1866" s="1" t="s">
        <v>4013</v>
      </c>
      <c r="E1866" s="1" t="s">
        <v>4018</v>
      </c>
      <c r="F1866" s="1" t="s">
        <v>16</v>
      </c>
      <c r="G1866" s="1" t="s">
        <v>17</v>
      </c>
      <c r="H1866" s="1" t="s">
        <v>18</v>
      </c>
      <c r="I1866" s="1" t="s">
        <v>19</v>
      </c>
    </row>
    <row r="1867">
      <c r="A1867" s="1">
        <v>3576014.0</v>
      </c>
      <c r="B1867" s="1" t="s">
        <v>4019</v>
      </c>
      <c r="C1867" s="1" t="s">
        <v>3831</v>
      </c>
      <c r="D1867" s="1" t="s">
        <v>4020</v>
      </c>
      <c r="E1867" s="1" t="s">
        <v>4021</v>
      </c>
      <c r="F1867" s="1" t="s">
        <v>16</v>
      </c>
      <c r="G1867" s="1" t="s">
        <v>27</v>
      </c>
      <c r="H1867" s="1" t="s">
        <v>28</v>
      </c>
      <c r="I1867" s="1" t="s">
        <v>29</v>
      </c>
    </row>
    <row r="1868">
      <c r="A1868" s="1">
        <v>3578771.0</v>
      </c>
      <c r="B1868" s="1" t="s">
        <v>4022</v>
      </c>
      <c r="C1868" s="1" t="s">
        <v>3831</v>
      </c>
      <c r="D1868" s="1" t="s">
        <v>3847</v>
      </c>
      <c r="E1868" s="1" t="s">
        <v>4023</v>
      </c>
      <c r="F1868" s="1" t="s">
        <v>55</v>
      </c>
      <c r="G1868" s="1" t="s">
        <v>17</v>
      </c>
      <c r="H1868" s="1" t="s">
        <v>18</v>
      </c>
      <c r="I1868" s="1" t="s">
        <v>19</v>
      </c>
    </row>
    <row r="1869">
      <c r="A1869" s="1">
        <v>3515134.0</v>
      </c>
      <c r="B1869" s="1" t="s">
        <v>4024</v>
      </c>
      <c r="C1869" s="1" t="s">
        <v>3831</v>
      </c>
      <c r="D1869" s="1" t="s">
        <v>3870</v>
      </c>
      <c r="E1869" s="1" t="s">
        <v>4025</v>
      </c>
      <c r="F1869" s="1" t="s">
        <v>55</v>
      </c>
      <c r="G1869" s="1" t="s">
        <v>17</v>
      </c>
      <c r="H1869" s="1" t="s">
        <v>18</v>
      </c>
      <c r="I1869" s="1" t="s">
        <v>59</v>
      </c>
    </row>
    <row r="1870">
      <c r="A1870" s="1">
        <v>3524046.0</v>
      </c>
      <c r="B1870" s="1" t="s">
        <v>4026</v>
      </c>
      <c r="C1870" s="1" t="s">
        <v>3831</v>
      </c>
      <c r="D1870" s="1" t="s">
        <v>3856</v>
      </c>
      <c r="E1870" s="1" t="s">
        <v>4027</v>
      </c>
      <c r="F1870" s="1" t="s">
        <v>16</v>
      </c>
      <c r="G1870" s="1" t="s">
        <v>17</v>
      </c>
      <c r="H1870" s="1" t="s">
        <v>18</v>
      </c>
      <c r="I1870" s="1" t="s">
        <v>19</v>
      </c>
    </row>
    <row r="1871">
      <c r="A1871" s="1">
        <v>3507116.0</v>
      </c>
      <c r="B1871" s="1" t="s">
        <v>4028</v>
      </c>
      <c r="C1871" s="1" t="s">
        <v>3831</v>
      </c>
      <c r="D1871" s="1" t="s">
        <v>3862</v>
      </c>
      <c r="E1871" s="1" t="s">
        <v>4029</v>
      </c>
      <c r="F1871" s="1" t="s">
        <v>16</v>
      </c>
      <c r="G1871" s="1" t="s">
        <v>23</v>
      </c>
      <c r="H1871" s="1" t="s">
        <v>18</v>
      </c>
      <c r="I1871" s="1" t="s">
        <v>44</v>
      </c>
    </row>
    <row r="1872">
      <c r="A1872" s="1">
        <v>3523055.0</v>
      </c>
      <c r="B1872" s="1" t="s">
        <v>4030</v>
      </c>
      <c r="C1872" s="1" t="s">
        <v>3831</v>
      </c>
      <c r="D1872" s="1" t="s">
        <v>3982</v>
      </c>
      <c r="E1872" s="1" t="s">
        <v>4031</v>
      </c>
      <c r="F1872" s="1" t="s">
        <v>16</v>
      </c>
      <c r="G1872" s="1" t="s">
        <v>23</v>
      </c>
      <c r="H1872" s="1" t="s">
        <v>28</v>
      </c>
      <c r="I1872" s="1" t="s">
        <v>40</v>
      </c>
    </row>
    <row r="1873">
      <c r="A1873" s="1">
        <v>3522036.0</v>
      </c>
      <c r="B1873" s="1" t="s">
        <v>4032</v>
      </c>
      <c r="C1873" s="1" t="s">
        <v>3831</v>
      </c>
      <c r="D1873" s="1" t="s">
        <v>3897</v>
      </c>
      <c r="E1873" s="1" t="s">
        <v>4033</v>
      </c>
      <c r="F1873" s="1" t="s">
        <v>16</v>
      </c>
      <c r="G1873" s="1" t="s">
        <v>23</v>
      </c>
      <c r="H1873" s="1" t="s">
        <v>18</v>
      </c>
      <c r="I1873" s="1" t="s">
        <v>684</v>
      </c>
    </row>
    <row r="1874">
      <c r="A1874" s="1">
        <v>3573249.0</v>
      </c>
      <c r="B1874" s="1" t="s">
        <v>2161</v>
      </c>
      <c r="C1874" s="1" t="s">
        <v>3831</v>
      </c>
      <c r="D1874" s="1" t="s">
        <v>3938</v>
      </c>
      <c r="E1874" s="1" t="s">
        <v>4034</v>
      </c>
      <c r="F1874" s="1" t="s">
        <v>16</v>
      </c>
      <c r="G1874" s="1" t="s">
        <v>23</v>
      </c>
      <c r="H1874" s="1" t="s">
        <v>18</v>
      </c>
      <c r="I1874" s="1" t="s">
        <v>44</v>
      </c>
    </row>
    <row r="1875">
      <c r="A1875" s="1">
        <v>3507026.0</v>
      </c>
      <c r="B1875" s="1" t="s">
        <v>4035</v>
      </c>
      <c r="C1875" s="1" t="s">
        <v>3831</v>
      </c>
      <c r="D1875" s="1" t="s">
        <v>3862</v>
      </c>
      <c r="E1875" s="1" t="s">
        <v>4036</v>
      </c>
      <c r="F1875" s="1" t="s">
        <v>174</v>
      </c>
      <c r="G1875" s="1" t="s">
        <v>150</v>
      </c>
      <c r="H1875" s="1" t="s">
        <v>33</v>
      </c>
      <c r="I1875" s="1" t="s">
        <v>411</v>
      </c>
    </row>
    <row r="1876">
      <c r="A1876" s="1">
        <v>3578020.0</v>
      </c>
      <c r="B1876" s="1" t="s">
        <v>4037</v>
      </c>
      <c r="C1876" s="1" t="s">
        <v>3831</v>
      </c>
      <c r="D1876" s="1" t="s">
        <v>3847</v>
      </c>
      <c r="E1876" s="1" t="s">
        <v>4038</v>
      </c>
      <c r="F1876" s="1" t="s">
        <v>16</v>
      </c>
      <c r="G1876" s="1" t="s">
        <v>150</v>
      </c>
      <c r="H1876" s="1" t="s">
        <v>33</v>
      </c>
      <c r="I1876" s="1" t="s">
        <v>95</v>
      </c>
    </row>
    <row r="1877">
      <c r="A1877" s="1">
        <v>3576074.0</v>
      </c>
      <c r="B1877" s="1" t="s">
        <v>4039</v>
      </c>
      <c r="C1877" s="1" t="s">
        <v>3831</v>
      </c>
      <c r="D1877" s="1" t="s">
        <v>4020</v>
      </c>
      <c r="E1877" s="1" t="s">
        <v>4040</v>
      </c>
      <c r="F1877" s="1" t="s">
        <v>16</v>
      </c>
      <c r="G1877" s="1" t="s">
        <v>23</v>
      </c>
      <c r="H1877" s="1" t="s">
        <v>18</v>
      </c>
      <c r="I1877" s="1" t="s">
        <v>44</v>
      </c>
    </row>
    <row r="1878">
      <c r="A1878" s="1">
        <v>3509043.0</v>
      </c>
      <c r="B1878" s="1" t="s">
        <v>4041</v>
      </c>
      <c r="C1878" s="1" t="s">
        <v>3831</v>
      </c>
      <c r="D1878" s="1" t="s">
        <v>3890</v>
      </c>
      <c r="E1878" s="1" t="s">
        <v>4042</v>
      </c>
      <c r="F1878" s="1" t="s">
        <v>473</v>
      </c>
      <c r="G1878" s="1" t="s">
        <v>27</v>
      </c>
      <c r="H1878" s="1" t="s">
        <v>28</v>
      </c>
      <c r="I1878" s="1" t="s">
        <v>139</v>
      </c>
    </row>
    <row r="1879">
      <c r="A1879" s="1">
        <v>3578122.0</v>
      </c>
      <c r="B1879" s="1" t="s">
        <v>4043</v>
      </c>
      <c r="C1879" s="1" t="s">
        <v>3831</v>
      </c>
      <c r="D1879" s="1" t="s">
        <v>3847</v>
      </c>
      <c r="E1879" s="1" t="s">
        <v>4044</v>
      </c>
      <c r="F1879" s="1" t="s">
        <v>16</v>
      </c>
      <c r="G1879" s="1" t="s">
        <v>17</v>
      </c>
      <c r="H1879" s="1" t="s">
        <v>18</v>
      </c>
      <c r="I1879" s="1" t="s">
        <v>74</v>
      </c>
    </row>
    <row r="1880">
      <c r="A1880" s="1">
        <v>3574068.0</v>
      </c>
      <c r="B1880" s="1" t="s">
        <v>4045</v>
      </c>
      <c r="C1880" s="1" t="s">
        <v>3831</v>
      </c>
      <c r="D1880" s="1" t="s">
        <v>4046</v>
      </c>
      <c r="E1880" s="1" t="s">
        <v>4047</v>
      </c>
      <c r="F1880" s="1" t="s">
        <v>55</v>
      </c>
      <c r="G1880" s="1" t="s">
        <v>17</v>
      </c>
      <c r="H1880" s="1" t="s">
        <v>18</v>
      </c>
      <c r="I1880" s="1" t="s">
        <v>44</v>
      </c>
    </row>
    <row r="1881">
      <c r="A1881" s="1">
        <v>3515141.0</v>
      </c>
      <c r="B1881" s="1" t="s">
        <v>157</v>
      </c>
      <c r="C1881" s="1" t="s">
        <v>3831</v>
      </c>
      <c r="D1881" s="1" t="s">
        <v>3870</v>
      </c>
      <c r="E1881" s="1" t="s">
        <v>4048</v>
      </c>
      <c r="F1881" s="1" t="s">
        <v>16</v>
      </c>
      <c r="G1881" s="1" t="s">
        <v>17</v>
      </c>
      <c r="H1881" s="1" t="s">
        <v>18</v>
      </c>
      <c r="I1881" s="1" t="s">
        <v>19</v>
      </c>
    </row>
    <row r="1882">
      <c r="A1882" s="1">
        <v>3522064.0</v>
      </c>
      <c r="B1882" s="1" t="s">
        <v>4049</v>
      </c>
      <c r="C1882" s="1" t="s">
        <v>3831</v>
      </c>
      <c r="D1882" s="1" t="s">
        <v>3897</v>
      </c>
      <c r="E1882" s="1" t="s">
        <v>4050</v>
      </c>
      <c r="F1882" s="1" t="s">
        <v>55</v>
      </c>
      <c r="G1882" s="1" t="s">
        <v>17</v>
      </c>
      <c r="H1882" s="1" t="s">
        <v>18</v>
      </c>
      <c r="I1882" s="1" t="s">
        <v>19</v>
      </c>
    </row>
    <row r="1883">
      <c r="A1883" s="1">
        <v>3506065.0</v>
      </c>
      <c r="B1883" s="1" t="s">
        <v>4051</v>
      </c>
      <c r="C1883" s="1" t="s">
        <v>3831</v>
      </c>
      <c r="D1883" s="1" t="s">
        <v>3930</v>
      </c>
      <c r="E1883" s="1" t="s">
        <v>4052</v>
      </c>
      <c r="F1883" s="1" t="s">
        <v>32</v>
      </c>
      <c r="G1883" s="1" t="s">
        <v>17</v>
      </c>
      <c r="H1883" s="1" t="s">
        <v>18</v>
      </c>
      <c r="I1883" s="1" t="s">
        <v>19</v>
      </c>
    </row>
    <row r="1884">
      <c r="A1884" s="1">
        <v>3526029.0</v>
      </c>
      <c r="B1884" s="1" t="s">
        <v>4053</v>
      </c>
      <c r="C1884" s="1" t="s">
        <v>3831</v>
      </c>
      <c r="D1884" s="1" t="s">
        <v>3832</v>
      </c>
      <c r="E1884" s="1" t="s">
        <v>4054</v>
      </c>
      <c r="F1884" s="1" t="s">
        <v>16</v>
      </c>
      <c r="G1884" s="1" t="s">
        <v>23</v>
      </c>
      <c r="H1884" s="1" t="s">
        <v>18</v>
      </c>
      <c r="I1884" s="1" t="s">
        <v>19</v>
      </c>
    </row>
    <row r="1885">
      <c r="A1885" s="1">
        <v>3524056.0</v>
      </c>
      <c r="B1885" s="1" t="s">
        <v>4055</v>
      </c>
      <c r="C1885" s="1" t="s">
        <v>3831</v>
      </c>
      <c r="D1885" s="1" t="s">
        <v>3856</v>
      </c>
      <c r="E1885" s="1" t="s">
        <v>4056</v>
      </c>
      <c r="F1885" s="1" t="s">
        <v>16</v>
      </c>
      <c r="G1885" s="1" t="s">
        <v>23</v>
      </c>
      <c r="H1885" s="1" t="s">
        <v>18</v>
      </c>
      <c r="I1885" s="1" t="s">
        <v>684</v>
      </c>
    </row>
    <row r="1886">
      <c r="A1886" s="1">
        <v>3571111.0</v>
      </c>
      <c r="B1886" s="1" t="s">
        <v>4057</v>
      </c>
      <c r="C1886" s="1" t="s">
        <v>3831</v>
      </c>
      <c r="D1886" s="1" t="s">
        <v>3930</v>
      </c>
      <c r="E1886" s="1" t="s">
        <v>4058</v>
      </c>
      <c r="F1886" s="1" t="s">
        <v>55</v>
      </c>
      <c r="G1886" s="1" t="s">
        <v>17</v>
      </c>
      <c r="H1886" s="1" t="s">
        <v>18</v>
      </c>
      <c r="I1886" s="1" t="s">
        <v>19</v>
      </c>
    </row>
    <row r="1887">
      <c r="A1887" s="1">
        <v>3516037.0</v>
      </c>
      <c r="B1887" s="1" t="s">
        <v>1381</v>
      </c>
      <c r="C1887" s="1" t="s">
        <v>3831</v>
      </c>
      <c r="D1887" s="1" t="s">
        <v>3909</v>
      </c>
      <c r="E1887" s="1" t="s">
        <v>4059</v>
      </c>
      <c r="F1887" s="1" t="s">
        <v>16</v>
      </c>
      <c r="G1887" s="1" t="s">
        <v>23</v>
      </c>
      <c r="H1887" s="1" t="s">
        <v>18</v>
      </c>
      <c r="I1887" s="1" t="s">
        <v>59</v>
      </c>
    </row>
    <row r="1888">
      <c r="A1888" s="1">
        <v>3526031.0</v>
      </c>
      <c r="B1888" s="1" t="s">
        <v>4060</v>
      </c>
      <c r="C1888" s="1" t="s">
        <v>3831</v>
      </c>
      <c r="D1888" s="1" t="s">
        <v>3832</v>
      </c>
      <c r="E1888" s="1" t="s">
        <v>4061</v>
      </c>
      <c r="F1888" s="1" t="s">
        <v>55</v>
      </c>
      <c r="G1888" s="1" t="s">
        <v>17</v>
      </c>
      <c r="H1888" s="1" t="s">
        <v>18</v>
      </c>
      <c r="I1888" s="1" t="s">
        <v>163</v>
      </c>
    </row>
    <row r="1889">
      <c r="A1889" s="1">
        <v>3514025.0</v>
      </c>
      <c r="B1889" s="1" t="s">
        <v>4062</v>
      </c>
      <c r="C1889" s="1" t="s">
        <v>3831</v>
      </c>
      <c r="D1889" s="1" t="s">
        <v>3875</v>
      </c>
      <c r="E1889" s="1" t="s">
        <v>4063</v>
      </c>
      <c r="F1889" s="1" t="s">
        <v>16</v>
      </c>
      <c r="G1889" s="1" t="s">
        <v>17</v>
      </c>
      <c r="H1889" s="1" t="s">
        <v>18</v>
      </c>
      <c r="I1889" s="1" t="s">
        <v>19</v>
      </c>
    </row>
    <row r="1890">
      <c r="A1890" s="1">
        <v>3578625.0</v>
      </c>
      <c r="B1890" s="1" t="s">
        <v>4064</v>
      </c>
      <c r="C1890" s="1" t="s">
        <v>3831</v>
      </c>
      <c r="D1890" s="1" t="s">
        <v>3847</v>
      </c>
      <c r="E1890" s="1" t="s">
        <v>4065</v>
      </c>
      <c r="F1890" s="1" t="s">
        <v>32</v>
      </c>
      <c r="G1890" s="1" t="s">
        <v>27</v>
      </c>
      <c r="H1890" s="1" t="s">
        <v>18</v>
      </c>
      <c r="I1890" s="1" t="s">
        <v>34</v>
      </c>
    </row>
    <row r="1891">
      <c r="A1891" s="1">
        <v>3578778.0</v>
      </c>
      <c r="B1891" s="1" t="s">
        <v>4066</v>
      </c>
      <c r="C1891" s="1" t="s">
        <v>3831</v>
      </c>
      <c r="D1891" s="1" t="s">
        <v>3847</v>
      </c>
      <c r="E1891" s="1" t="s">
        <v>4067</v>
      </c>
      <c r="F1891" s="1" t="s">
        <v>16</v>
      </c>
      <c r="G1891" s="1" t="s">
        <v>27</v>
      </c>
      <c r="H1891" s="1" t="s">
        <v>18</v>
      </c>
      <c r="I1891" s="1" t="s">
        <v>19</v>
      </c>
    </row>
    <row r="1892">
      <c r="A1892" s="1">
        <v>3505041.0</v>
      </c>
      <c r="B1892" s="1" t="s">
        <v>4068</v>
      </c>
      <c r="C1892" s="1" t="s">
        <v>3831</v>
      </c>
      <c r="D1892" s="1" t="s">
        <v>3859</v>
      </c>
      <c r="E1892" s="1" t="s">
        <v>4069</v>
      </c>
      <c r="F1892" s="1" t="s">
        <v>16</v>
      </c>
      <c r="G1892" s="1" t="s">
        <v>23</v>
      </c>
      <c r="H1892" s="1" t="s">
        <v>18</v>
      </c>
      <c r="I1892" s="1" t="s">
        <v>19</v>
      </c>
    </row>
    <row r="1893">
      <c r="A1893" s="1">
        <v>3578812.0</v>
      </c>
      <c r="B1893" s="1" t="s">
        <v>4070</v>
      </c>
      <c r="C1893" s="1" t="s">
        <v>3831</v>
      </c>
      <c r="D1893" s="1" t="s">
        <v>3847</v>
      </c>
      <c r="E1893" s="1" t="s">
        <v>4071</v>
      </c>
      <c r="F1893" s="1" t="s">
        <v>55</v>
      </c>
      <c r="G1893" s="1" t="s">
        <v>17</v>
      </c>
      <c r="H1893" s="1" t="s">
        <v>18</v>
      </c>
      <c r="I1893" s="1" t="s">
        <v>163</v>
      </c>
    </row>
    <row r="1894">
      <c r="A1894" s="1">
        <v>3573226.0</v>
      </c>
      <c r="B1894" s="1" t="s">
        <v>4072</v>
      </c>
      <c r="C1894" s="1" t="s">
        <v>3831</v>
      </c>
      <c r="D1894" s="1" t="s">
        <v>3938</v>
      </c>
      <c r="E1894" s="1" t="s">
        <v>4073</v>
      </c>
      <c r="F1894" s="1" t="s">
        <v>16</v>
      </c>
      <c r="G1894" s="1" t="s">
        <v>17</v>
      </c>
      <c r="H1894" s="1" t="s">
        <v>18</v>
      </c>
      <c r="I1894" s="1" t="s">
        <v>19</v>
      </c>
    </row>
    <row r="1895">
      <c r="A1895" s="1">
        <v>3507085.0</v>
      </c>
      <c r="B1895" s="1" t="s">
        <v>4074</v>
      </c>
      <c r="C1895" s="1" t="s">
        <v>3831</v>
      </c>
      <c r="D1895" s="1" t="s">
        <v>3862</v>
      </c>
      <c r="E1895" s="1" t="s">
        <v>4075</v>
      </c>
      <c r="F1895" s="1" t="s">
        <v>16</v>
      </c>
      <c r="G1895" s="1" t="s">
        <v>17</v>
      </c>
      <c r="H1895" s="1" t="s">
        <v>28</v>
      </c>
      <c r="I1895" s="1" t="s">
        <v>40</v>
      </c>
    </row>
    <row r="1896">
      <c r="A1896" s="1">
        <v>3523053.0</v>
      </c>
      <c r="B1896" s="1" t="s">
        <v>4076</v>
      </c>
      <c r="C1896" s="1" t="s">
        <v>3831</v>
      </c>
      <c r="D1896" s="1" t="s">
        <v>3982</v>
      </c>
      <c r="E1896" s="1" t="s">
        <v>4077</v>
      </c>
      <c r="F1896" s="1" t="s">
        <v>16</v>
      </c>
      <c r="G1896" s="1" t="s">
        <v>17</v>
      </c>
      <c r="H1896" s="1" t="s">
        <v>18</v>
      </c>
      <c r="I1896" s="1" t="s">
        <v>19</v>
      </c>
    </row>
    <row r="1897">
      <c r="A1897" s="1">
        <v>3529026.0</v>
      </c>
      <c r="B1897" s="1" t="s">
        <v>4078</v>
      </c>
      <c r="C1897" s="1" t="s">
        <v>3831</v>
      </c>
      <c r="D1897" s="1" t="s">
        <v>4079</v>
      </c>
      <c r="E1897" s="1" t="s">
        <v>4080</v>
      </c>
      <c r="F1897" s="1" t="s">
        <v>55</v>
      </c>
      <c r="G1897" s="1" t="s">
        <v>17</v>
      </c>
      <c r="H1897" s="1" t="s">
        <v>18</v>
      </c>
      <c r="I1897" s="1" t="s">
        <v>19</v>
      </c>
    </row>
    <row r="1898">
      <c r="A1898" s="1">
        <v>3504074.0</v>
      </c>
      <c r="B1898" s="1" t="s">
        <v>4081</v>
      </c>
      <c r="C1898" s="1" t="s">
        <v>3831</v>
      </c>
      <c r="D1898" s="1" t="s">
        <v>3850</v>
      </c>
      <c r="E1898" s="1" t="s">
        <v>4082</v>
      </c>
      <c r="F1898" s="1" t="s">
        <v>55</v>
      </c>
      <c r="G1898" s="1" t="s">
        <v>17</v>
      </c>
      <c r="H1898" s="1" t="s">
        <v>18</v>
      </c>
      <c r="I1898" s="1" t="s">
        <v>19</v>
      </c>
    </row>
    <row r="1899">
      <c r="A1899" s="1">
        <v>3527014.0</v>
      </c>
      <c r="B1899" s="1" t="s">
        <v>4083</v>
      </c>
      <c r="C1899" s="1" t="s">
        <v>3831</v>
      </c>
      <c r="D1899" s="1" t="s">
        <v>3925</v>
      </c>
      <c r="E1899" s="1" t="s">
        <v>4084</v>
      </c>
      <c r="F1899" s="1" t="s">
        <v>16</v>
      </c>
      <c r="G1899" s="1" t="s">
        <v>23</v>
      </c>
      <c r="H1899" s="1" t="s">
        <v>28</v>
      </c>
      <c r="I1899" s="1" t="s">
        <v>40</v>
      </c>
    </row>
    <row r="1900">
      <c r="A1900" s="1">
        <v>3518022.0</v>
      </c>
      <c r="B1900" s="1" t="s">
        <v>4085</v>
      </c>
      <c r="C1900" s="1" t="s">
        <v>3831</v>
      </c>
      <c r="D1900" s="1" t="s">
        <v>3835</v>
      </c>
      <c r="E1900" s="1" t="s">
        <v>4086</v>
      </c>
      <c r="F1900" s="1" t="s">
        <v>16</v>
      </c>
      <c r="G1900" s="1" t="s">
        <v>17</v>
      </c>
      <c r="H1900" s="1" t="s">
        <v>28</v>
      </c>
      <c r="I1900" s="1" t="s">
        <v>40</v>
      </c>
    </row>
    <row r="1901">
      <c r="A1901" s="1">
        <v>3573244.0</v>
      </c>
      <c r="B1901" s="1" t="s">
        <v>4087</v>
      </c>
      <c r="C1901" s="1" t="s">
        <v>3831</v>
      </c>
      <c r="D1901" s="1" t="s">
        <v>3938</v>
      </c>
      <c r="E1901" s="1" t="s">
        <v>4088</v>
      </c>
      <c r="F1901" s="1" t="s">
        <v>55</v>
      </c>
      <c r="G1901" s="1" t="s">
        <v>17</v>
      </c>
      <c r="H1901" s="1" t="s">
        <v>18</v>
      </c>
      <c r="I1901" s="1" t="s">
        <v>19</v>
      </c>
    </row>
    <row r="1902">
      <c r="A1902" s="1">
        <v>3525095.0</v>
      </c>
      <c r="B1902" s="1" t="s">
        <v>4089</v>
      </c>
      <c r="C1902" s="1" t="s">
        <v>3831</v>
      </c>
      <c r="D1902" s="1" t="s">
        <v>3865</v>
      </c>
      <c r="E1902" s="1" t="s">
        <v>4090</v>
      </c>
      <c r="F1902" s="1" t="s">
        <v>16</v>
      </c>
      <c r="G1902" s="1" t="s">
        <v>23</v>
      </c>
      <c r="H1902" s="1" t="s">
        <v>18</v>
      </c>
      <c r="I1902" s="1" t="s">
        <v>19</v>
      </c>
    </row>
    <row r="1903">
      <c r="A1903" s="1">
        <v>3506014.0</v>
      </c>
      <c r="B1903" s="1" t="s">
        <v>4091</v>
      </c>
      <c r="C1903" s="1" t="s">
        <v>3831</v>
      </c>
      <c r="D1903" s="1" t="s">
        <v>3894</v>
      </c>
      <c r="E1903" s="1" t="s">
        <v>4092</v>
      </c>
      <c r="F1903" s="1" t="s">
        <v>16</v>
      </c>
      <c r="G1903" s="1" t="s">
        <v>27</v>
      </c>
      <c r="H1903" s="1" t="s">
        <v>28</v>
      </c>
      <c r="I1903" s="1" t="s">
        <v>40</v>
      </c>
    </row>
    <row r="1904">
      <c r="A1904" s="1">
        <v>3520041.0</v>
      </c>
      <c r="B1904" s="1" t="s">
        <v>4093</v>
      </c>
      <c r="C1904" s="1" t="s">
        <v>3831</v>
      </c>
      <c r="D1904" s="1" t="s">
        <v>3878</v>
      </c>
      <c r="E1904" s="1" t="s">
        <v>4094</v>
      </c>
      <c r="F1904" s="1" t="s">
        <v>16</v>
      </c>
      <c r="G1904" s="1" t="s">
        <v>17</v>
      </c>
      <c r="H1904" s="1" t="s">
        <v>18</v>
      </c>
      <c r="I1904" s="1" t="s">
        <v>563</v>
      </c>
    </row>
    <row r="1905">
      <c r="A1905" s="1">
        <v>3515125.0</v>
      </c>
      <c r="B1905" s="1" t="s">
        <v>4095</v>
      </c>
      <c r="C1905" s="1" t="s">
        <v>3831</v>
      </c>
      <c r="D1905" s="1" t="s">
        <v>3870</v>
      </c>
      <c r="E1905" s="1" t="s">
        <v>4096</v>
      </c>
      <c r="F1905" s="1" t="s">
        <v>55</v>
      </c>
      <c r="G1905" s="1" t="s">
        <v>17</v>
      </c>
      <c r="H1905" s="1" t="s">
        <v>18</v>
      </c>
      <c r="I1905" s="1" t="s">
        <v>44</v>
      </c>
    </row>
    <row r="1906">
      <c r="A1906" s="1">
        <v>3515129.0</v>
      </c>
      <c r="B1906" s="1" t="s">
        <v>4097</v>
      </c>
      <c r="C1906" s="1" t="s">
        <v>3831</v>
      </c>
      <c r="D1906" s="1" t="s">
        <v>3870</v>
      </c>
      <c r="E1906" s="1" t="s">
        <v>4098</v>
      </c>
      <c r="F1906" s="1" t="s">
        <v>55</v>
      </c>
      <c r="G1906" s="1" t="s">
        <v>17</v>
      </c>
      <c r="H1906" s="1" t="s">
        <v>18</v>
      </c>
      <c r="I1906" s="1" t="s">
        <v>44</v>
      </c>
    </row>
    <row r="1907">
      <c r="A1907" s="1">
        <v>3526027.0</v>
      </c>
      <c r="B1907" s="1" t="s">
        <v>4099</v>
      </c>
      <c r="C1907" s="1" t="s">
        <v>3831</v>
      </c>
      <c r="D1907" s="1" t="s">
        <v>3832</v>
      </c>
      <c r="E1907" s="1" t="s">
        <v>4100</v>
      </c>
      <c r="F1907" s="1" t="s">
        <v>16</v>
      </c>
      <c r="G1907" s="1" t="s">
        <v>23</v>
      </c>
      <c r="H1907" s="1" t="s">
        <v>18</v>
      </c>
      <c r="I1907" s="1" t="s">
        <v>19</v>
      </c>
    </row>
    <row r="1908">
      <c r="A1908" s="1">
        <v>3578786.0</v>
      </c>
      <c r="B1908" s="1" t="s">
        <v>4101</v>
      </c>
      <c r="C1908" s="1" t="s">
        <v>3831</v>
      </c>
      <c r="D1908" s="1" t="s">
        <v>3847</v>
      </c>
      <c r="E1908" s="1" t="s">
        <v>4102</v>
      </c>
      <c r="F1908" s="1" t="s">
        <v>272</v>
      </c>
      <c r="G1908" s="1" t="s">
        <v>27</v>
      </c>
      <c r="H1908" s="1" t="s">
        <v>28</v>
      </c>
      <c r="I1908" s="1" t="s">
        <v>139</v>
      </c>
    </row>
    <row r="1909">
      <c r="A1909" s="1">
        <v>3525010.0</v>
      </c>
      <c r="B1909" s="1" t="s">
        <v>4103</v>
      </c>
      <c r="C1909" s="1" t="s">
        <v>3831</v>
      </c>
      <c r="D1909" s="1" t="s">
        <v>3865</v>
      </c>
      <c r="E1909" s="1" t="s">
        <v>4104</v>
      </c>
      <c r="F1909" s="1" t="s">
        <v>16</v>
      </c>
      <c r="G1909" s="1" t="s">
        <v>27</v>
      </c>
      <c r="H1909" s="1" t="s">
        <v>28</v>
      </c>
      <c r="I1909" s="1" t="s">
        <v>40</v>
      </c>
    </row>
    <row r="1910">
      <c r="A1910" s="1">
        <v>3506047.0</v>
      </c>
      <c r="B1910" s="1" t="s">
        <v>4105</v>
      </c>
      <c r="C1910" s="1" t="s">
        <v>3831</v>
      </c>
      <c r="D1910" s="1" t="s">
        <v>3894</v>
      </c>
      <c r="E1910" s="1" t="s">
        <v>4106</v>
      </c>
      <c r="F1910" s="1" t="s">
        <v>16</v>
      </c>
      <c r="G1910" s="1" t="s">
        <v>23</v>
      </c>
      <c r="H1910" s="1" t="s">
        <v>18</v>
      </c>
      <c r="I1910" s="1" t="s">
        <v>19</v>
      </c>
    </row>
    <row r="1911">
      <c r="A1911" s="1">
        <v>3517092.0</v>
      </c>
      <c r="B1911" s="1" t="s">
        <v>4107</v>
      </c>
      <c r="C1911" s="1" t="s">
        <v>3831</v>
      </c>
      <c r="D1911" s="1" t="s">
        <v>3956</v>
      </c>
      <c r="E1911" s="1" t="s">
        <v>4108</v>
      </c>
      <c r="F1911" s="1" t="s">
        <v>16</v>
      </c>
      <c r="G1911" s="1" t="s">
        <v>23</v>
      </c>
      <c r="H1911" s="1" t="s">
        <v>18</v>
      </c>
      <c r="I1911" s="1" t="s">
        <v>684</v>
      </c>
    </row>
    <row r="1912">
      <c r="A1912" s="1">
        <v>3515144.0</v>
      </c>
      <c r="B1912" s="1" t="s">
        <v>4109</v>
      </c>
      <c r="C1912" s="1" t="s">
        <v>3831</v>
      </c>
      <c r="D1912" s="1" t="s">
        <v>3870</v>
      </c>
      <c r="E1912" s="1" t="s">
        <v>4110</v>
      </c>
      <c r="F1912" s="1" t="s">
        <v>16</v>
      </c>
      <c r="G1912" s="1" t="s">
        <v>23</v>
      </c>
      <c r="H1912" s="1" t="s">
        <v>18</v>
      </c>
      <c r="I1912" s="1" t="s">
        <v>19</v>
      </c>
    </row>
    <row r="1913">
      <c r="A1913" s="1">
        <v>3529014.0</v>
      </c>
      <c r="B1913" s="1" t="s">
        <v>4111</v>
      </c>
      <c r="C1913" s="1" t="s">
        <v>3831</v>
      </c>
      <c r="D1913" s="1" t="s">
        <v>4079</v>
      </c>
      <c r="E1913" s="1" t="s">
        <v>4112</v>
      </c>
      <c r="F1913" s="1" t="s">
        <v>16</v>
      </c>
      <c r="G1913" s="1" t="s">
        <v>17</v>
      </c>
      <c r="H1913" s="1" t="s">
        <v>28</v>
      </c>
      <c r="I1913" s="1" t="s">
        <v>40</v>
      </c>
    </row>
    <row r="1914">
      <c r="A1914" s="1">
        <v>3520014.0</v>
      </c>
      <c r="B1914" s="1" t="s">
        <v>4113</v>
      </c>
      <c r="C1914" s="1" t="s">
        <v>3831</v>
      </c>
      <c r="D1914" s="1" t="s">
        <v>3878</v>
      </c>
      <c r="E1914" s="1" t="s">
        <v>4114</v>
      </c>
      <c r="F1914" s="1" t="s">
        <v>55</v>
      </c>
      <c r="G1914" s="1" t="s">
        <v>17</v>
      </c>
      <c r="H1914" s="1" t="s">
        <v>18</v>
      </c>
      <c r="I1914" s="1" t="s">
        <v>19</v>
      </c>
    </row>
    <row r="1915">
      <c r="A1915" s="1">
        <v>3504078.0</v>
      </c>
      <c r="B1915" s="1" t="s">
        <v>4115</v>
      </c>
      <c r="C1915" s="1" t="s">
        <v>3831</v>
      </c>
      <c r="D1915" s="1" t="s">
        <v>3850</v>
      </c>
      <c r="E1915" s="1" t="s">
        <v>4116</v>
      </c>
      <c r="F1915" s="1" t="s">
        <v>55</v>
      </c>
      <c r="G1915" s="1" t="s">
        <v>17</v>
      </c>
      <c r="H1915" s="1" t="s">
        <v>18</v>
      </c>
      <c r="I1915" s="1" t="s">
        <v>19</v>
      </c>
    </row>
    <row r="1916">
      <c r="A1916" s="1">
        <v>3524075.0</v>
      </c>
      <c r="B1916" s="1" t="s">
        <v>4117</v>
      </c>
      <c r="C1916" s="1" t="s">
        <v>3831</v>
      </c>
      <c r="D1916" s="1" t="s">
        <v>3856</v>
      </c>
      <c r="E1916" s="1" t="s">
        <v>4118</v>
      </c>
      <c r="F1916" s="1" t="s">
        <v>272</v>
      </c>
      <c r="G1916" s="1" t="s">
        <v>17</v>
      </c>
      <c r="H1916" s="1" t="s">
        <v>18</v>
      </c>
      <c r="I1916" s="1" t="s">
        <v>44</v>
      </c>
    </row>
    <row r="1917">
      <c r="A1917" s="1">
        <v>3510076.0</v>
      </c>
      <c r="B1917" s="1" t="s">
        <v>4119</v>
      </c>
      <c r="C1917" s="1" t="s">
        <v>3831</v>
      </c>
      <c r="D1917" s="1" t="s">
        <v>3844</v>
      </c>
      <c r="E1917" s="1" t="s">
        <v>4120</v>
      </c>
      <c r="F1917" s="1" t="s">
        <v>16</v>
      </c>
      <c r="G1917" s="1" t="s">
        <v>17</v>
      </c>
      <c r="H1917" s="1" t="s">
        <v>18</v>
      </c>
      <c r="I1917" s="1" t="s">
        <v>19</v>
      </c>
    </row>
    <row r="1918">
      <c r="A1918" s="1">
        <v>3578556.0</v>
      </c>
      <c r="B1918" s="1" t="s">
        <v>4121</v>
      </c>
      <c r="C1918" s="1" t="s">
        <v>3831</v>
      </c>
      <c r="D1918" s="1" t="s">
        <v>3847</v>
      </c>
      <c r="E1918" s="1" t="s">
        <v>4122</v>
      </c>
      <c r="F1918" s="1" t="s">
        <v>16</v>
      </c>
      <c r="G1918" s="1" t="s">
        <v>27</v>
      </c>
      <c r="H1918" s="1" t="s">
        <v>18</v>
      </c>
      <c r="I1918" s="1" t="s">
        <v>19</v>
      </c>
    </row>
    <row r="1919">
      <c r="A1919" s="1">
        <v>3502146.0</v>
      </c>
      <c r="B1919" s="1" t="s">
        <v>4123</v>
      </c>
      <c r="C1919" s="1" t="s">
        <v>3831</v>
      </c>
      <c r="D1919" s="1" t="s">
        <v>4013</v>
      </c>
      <c r="E1919" s="1" t="s">
        <v>4124</v>
      </c>
      <c r="F1919" s="1" t="s">
        <v>16</v>
      </c>
      <c r="G1919" s="1" t="s">
        <v>17</v>
      </c>
      <c r="H1919" s="1" t="s">
        <v>18</v>
      </c>
      <c r="I1919" s="1" t="s">
        <v>19</v>
      </c>
    </row>
    <row r="1920">
      <c r="A1920" s="1">
        <v>3578811.0</v>
      </c>
      <c r="B1920" s="1" t="s">
        <v>4125</v>
      </c>
      <c r="C1920" s="1" t="s">
        <v>3831</v>
      </c>
      <c r="D1920" s="1" t="s">
        <v>3847</v>
      </c>
      <c r="E1920" s="1" t="s">
        <v>4126</v>
      </c>
      <c r="F1920" s="1" t="s">
        <v>16</v>
      </c>
      <c r="G1920" s="1" t="s">
        <v>150</v>
      </c>
      <c r="H1920" s="1" t="s">
        <v>18</v>
      </c>
      <c r="I1920" s="1" t="s">
        <v>411</v>
      </c>
    </row>
    <row r="1921">
      <c r="A1921" s="1">
        <v>3573055.0</v>
      </c>
      <c r="B1921" s="1" t="s">
        <v>4127</v>
      </c>
      <c r="C1921" s="1" t="s">
        <v>3831</v>
      </c>
      <c r="D1921" s="1" t="s">
        <v>3938</v>
      </c>
      <c r="E1921" s="1" t="s">
        <v>4128</v>
      </c>
      <c r="F1921" s="1" t="s">
        <v>16</v>
      </c>
      <c r="G1921" s="1" t="s">
        <v>27</v>
      </c>
      <c r="H1921" s="1" t="s">
        <v>18</v>
      </c>
      <c r="I1921" s="1" t="s">
        <v>19</v>
      </c>
    </row>
    <row r="1922">
      <c r="A1922" s="1">
        <v>3511012.0</v>
      </c>
      <c r="B1922" s="1" t="s">
        <v>4129</v>
      </c>
      <c r="C1922" s="1" t="s">
        <v>3831</v>
      </c>
      <c r="D1922" s="1" t="s">
        <v>4130</v>
      </c>
      <c r="E1922" s="1" t="s">
        <v>4131</v>
      </c>
      <c r="F1922" s="1" t="s">
        <v>16</v>
      </c>
      <c r="G1922" s="1" t="s">
        <v>17</v>
      </c>
      <c r="H1922" s="1" t="s">
        <v>33</v>
      </c>
      <c r="I1922" s="1" t="s">
        <v>65</v>
      </c>
    </row>
    <row r="1923">
      <c r="A1923" s="1">
        <v>3514053.0</v>
      </c>
      <c r="B1923" s="1" t="s">
        <v>4132</v>
      </c>
      <c r="C1923" s="1" t="s">
        <v>3831</v>
      </c>
      <c r="D1923" s="1" t="s">
        <v>3875</v>
      </c>
      <c r="E1923" s="1" t="s">
        <v>4133</v>
      </c>
      <c r="F1923" s="1" t="s">
        <v>16</v>
      </c>
      <c r="G1923" s="1" t="s">
        <v>23</v>
      </c>
      <c r="H1923" s="1" t="s">
        <v>18</v>
      </c>
      <c r="I1923" s="1" t="s">
        <v>19</v>
      </c>
    </row>
    <row r="1924">
      <c r="A1924" s="1">
        <v>3508058.0</v>
      </c>
      <c r="B1924" s="1" t="s">
        <v>4134</v>
      </c>
      <c r="C1924" s="1" t="s">
        <v>3831</v>
      </c>
      <c r="D1924" s="1" t="s">
        <v>4135</v>
      </c>
      <c r="E1924" s="1" t="s">
        <v>4136</v>
      </c>
      <c r="F1924" s="1" t="s">
        <v>16</v>
      </c>
      <c r="G1924" s="1" t="s">
        <v>17</v>
      </c>
      <c r="H1924" s="1" t="s">
        <v>28</v>
      </c>
      <c r="I1924" s="1" t="s">
        <v>40</v>
      </c>
    </row>
    <row r="1925">
      <c r="A1925" s="1">
        <v>3516020.0</v>
      </c>
      <c r="B1925" s="1" t="s">
        <v>4137</v>
      </c>
      <c r="C1925" s="1" t="s">
        <v>3831</v>
      </c>
      <c r="D1925" s="1" t="s">
        <v>3909</v>
      </c>
      <c r="E1925" s="1" t="s">
        <v>4138</v>
      </c>
      <c r="F1925" s="1" t="s">
        <v>16</v>
      </c>
      <c r="G1925" s="1" t="s">
        <v>27</v>
      </c>
      <c r="H1925" s="1" t="s">
        <v>28</v>
      </c>
      <c r="I1925" s="1" t="s">
        <v>40</v>
      </c>
    </row>
    <row r="1926">
      <c r="A1926" s="1">
        <v>3573243.0</v>
      </c>
      <c r="B1926" s="1" t="s">
        <v>4139</v>
      </c>
      <c r="C1926" s="1" t="s">
        <v>3831</v>
      </c>
      <c r="D1926" s="1" t="s">
        <v>3938</v>
      </c>
      <c r="E1926" s="1" t="s">
        <v>4140</v>
      </c>
      <c r="F1926" s="1" t="s">
        <v>55</v>
      </c>
      <c r="G1926" s="1" t="s">
        <v>17</v>
      </c>
      <c r="H1926" s="1" t="s">
        <v>18</v>
      </c>
      <c r="I1926" s="1" t="s">
        <v>19</v>
      </c>
    </row>
    <row r="1927">
      <c r="A1927" s="1">
        <v>3510105.0</v>
      </c>
      <c r="B1927" s="1" t="s">
        <v>4141</v>
      </c>
      <c r="C1927" s="1" t="s">
        <v>3831</v>
      </c>
      <c r="D1927" s="1" t="s">
        <v>3844</v>
      </c>
      <c r="E1927" s="1" t="s">
        <v>4142</v>
      </c>
      <c r="F1927" s="1" t="s">
        <v>16</v>
      </c>
      <c r="G1927" s="1" t="s">
        <v>23</v>
      </c>
      <c r="H1927" s="1" t="s">
        <v>18</v>
      </c>
      <c r="I1927" s="1" t="s">
        <v>19</v>
      </c>
    </row>
    <row r="1928">
      <c r="A1928" s="1">
        <v>3502134.0</v>
      </c>
      <c r="B1928" s="1" t="s">
        <v>4143</v>
      </c>
      <c r="C1928" s="1" t="s">
        <v>3831</v>
      </c>
      <c r="D1928" s="1" t="s">
        <v>4013</v>
      </c>
      <c r="E1928" s="1" t="s">
        <v>4144</v>
      </c>
      <c r="F1928" s="1" t="s">
        <v>16</v>
      </c>
      <c r="G1928" s="1" t="s">
        <v>17</v>
      </c>
      <c r="H1928" s="1" t="s">
        <v>18</v>
      </c>
      <c r="I1928" s="1" t="s">
        <v>19</v>
      </c>
    </row>
    <row r="1929">
      <c r="A1929" s="1">
        <v>3576040.0</v>
      </c>
      <c r="B1929" s="1" t="s">
        <v>4145</v>
      </c>
      <c r="C1929" s="1" t="s">
        <v>3831</v>
      </c>
      <c r="D1929" s="1" t="s">
        <v>4020</v>
      </c>
      <c r="E1929" s="1" t="s">
        <v>4146</v>
      </c>
      <c r="F1929" s="1" t="s">
        <v>16</v>
      </c>
      <c r="G1929" s="1" t="s">
        <v>17</v>
      </c>
      <c r="H1929" s="1" t="s">
        <v>18</v>
      </c>
      <c r="I1929" s="1" t="s">
        <v>59</v>
      </c>
    </row>
    <row r="1930">
      <c r="A1930" s="1">
        <v>3504069.0</v>
      </c>
      <c r="B1930" s="1" t="s">
        <v>4147</v>
      </c>
      <c r="C1930" s="1" t="s">
        <v>3831</v>
      </c>
      <c r="D1930" s="1" t="s">
        <v>3850</v>
      </c>
      <c r="E1930" s="1" t="s">
        <v>4148</v>
      </c>
      <c r="F1930" s="1" t="s">
        <v>16</v>
      </c>
      <c r="G1930" s="1" t="s">
        <v>23</v>
      </c>
      <c r="H1930" s="1" t="s">
        <v>18</v>
      </c>
      <c r="I1930" s="1" t="s">
        <v>19</v>
      </c>
    </row>
    <row r="1931">
      <c r="A1931" s="1">
        <v>3522058.0</v>
      </c>
      <c r="B1931" s="1" t="s">
        <v>4149</v>
      </c>
      <c r="C1931" s="1" t="s">
        <v>3831</v>
      </c>
      <c r="D1931" s="1" t="s">
        <v>3897</v>
      </c>
      <c r="E1931" s="1" t="s">
        <v>4150</v>
      </c>
      <c r="F1931" s="1" t="s">
        <v>16</v>
      </c>
      <c r="G1931" s="1" t="s">
        <v>17</v>
      </c>
      <c r="H1931" s="1" t="s">
        <v>28</v>
      </c>
      <c r="I1931" s="1" t="s">
        <v>40</v>
      </c>
    </row>
    <row r="1932">
      <c r="A1932" s="1">
        <v>3524042.0</v>
      </c>
      <c r="B1932" s="1" t="s">
        <v>4151</v>
      </c>
      <c r="C1932" s="1" t="s">
        <v>3831</v>
      </c>
      <c r="D1932" s="1" t="s">
        <v>3856</v>
      </c>
      <c r="E1932" s="1" t="s">
        <v>4152</v>
      </c>
      <c r="F1932" s="1" t="s">
        <v>16</v>
      </c>
      <c r="G1932" s="1" t="s">
        <v>17</v>
      </c>
      <c r="H1932" s="1" t="s">
        <v>18</v>
      </c>
      <c r="I1932" s="1" t="s">
        <v>40</v>
      </c>
    </row>
    <row r="1933">
      <c r="A1933" s="1">
        <v>3529029.0</v>
      </c>
      <c r="B1933" s="1" t="s">
        <v>4153</v>
      </c>
      <c r="C1933" s="1" t="s">
        <v>3831</v>
      </c>
      <c r="D1933" s="1" t="s">
        <v>4079</v>
      </c>
      <c r="E1933" s="1" t="s">
        <v>4154</v>
      </c>
      <c r="F1933" s="1" t="s">
        <v>16</v>
      </c>
      <c r="G1933" s="1" t="s">
        <v>17</v>
      </c>
      <c r="H1933" s="1" t="s">
        <v>18</v>
      </c>
      <c r="I1933" s="1" t="s">
        <v>19</v>
      </c>
    </row>
    <row r="1934">
      <c r="A1934" s="1">
        <v>3514057.0</v>
      </c>
      <c r="B1934" s="1" t="s">
        <v>4155</v>
      </c>
      <c r="C1934" s="1" t="s">
        <v>3831</v>
      </c>
      <c r="D1934" s="1" t="s">
        <v>4156</v>
      </c>
      <c r="E1934" s="1" t="s">
        <v>4157</v>
      </c>
      <c r="F1934" s="1" t="s">
        <v>16</v>
      </c>
      <c r="G1934" s="1" t="s">
        <v>23</v>
      </c>
      <c r="H1934" s="1" t="s">
        <v>18</v>
      </c>
      <c r="I1934" s="1" t="s">
        <v>19</v>
      </c>
    </row>
    <row r="1935">
      <c r="A1935" s="1">
        <v>3512051.0</v>
      </c>
      <c r="B1935" s="1" t="s">
        <v>4158</v>
      </c>
      <c r="C1935" s="1" t="s">
        <v>3831</v>
      </c>
      <c r="D1935" s="1" t="s">
        <v>3967</v>
      </c>
      <c r="E1935" s="1" t="s">
        <v>4159</v>
      </c>
      <c r="F1935" s="1" t="s">
        <v>272</v>
      </c>
      <c r="G1935" s="1" t="s">
        <v>17</v>
      </c>
      <c r="H1935" s="1" t="s">
        <v>18</v>
      </c>
      <c r="I1935" s="1" t="s">
        <v>19</v>
      </c>
    </row>
    <row r="1936">
      <c r="A1936" s="1">
        <v>3507052.0</v>
      </c>
      <c r="B1936" s="1" t="s">
        <v>4160</v>
      </c>
      <c r="C1936" s="1" t="s">
        <v>3831</v>
      </c>
      <c r="D1936" s="1" t="s">
        <v>3862</v>
      </c>
      <c r="E1936" s="1" t="s">
        <v>4161</v>
      </c>
      <c r="F1936" s="1" t="s">
        <v>16</v>
      </c>
      <c r="G1936" s="1" t="s">
        <v>27</v>
      </c>
      <c r="H1936" s="1" t="s">
        <v>28</v>
      </c>
      <c r="I1936" s="1" t="s">
        <v>40</v>
      </c>
    </row>
    <row r="1937">
      <c r="A1937" s="1">
        <v>3578042.0</v>
      </c>
      <c r="B1937" s="1" t="s">
        <v>4162</v>
      </c>
      <c r="C1937" s="1" t="s">
        <v>3831</v>
      </c>
      <c r="D1937" s="1" t="s">
        <v>3847</v>
      </c>
      <c r="E1937" s="1" t="s">
        <v>4163</v>
      </c>
      <c r="F1937" s="1" t="s">
        <v>16</v>
      </c>
      <c r="G1937" s="1" t="s">
        <v>27</v>
      </c>
      <c r="H1937" s="1" t="s">
        <v>18</v>
      </c>
      <c r="I1937" s="1" t="s">
        <v>249</v>
      </c>
    </row>
    <row r="1938">
      <c r="A1938" s="1">
        <v>3504087.0</v>
      </c>
      <c r="B1938" s="1" t="s">
        <v>4164</v>
      </c>
      <c r="C1938" s="1" t="s">
        <v>3831</v>
      </c>
      <c r="D1938" s="1" t="s">
        <v>3850</v>
      </c>
      <c r="E1938" s="1" t="s">
        <v>4165</v>
      </c>
      <c r="F1938" s="1" t="s">
        <v>16</v>
      </c>
      <c r="G1938" s="1" t="s">
        <v>23</v>
      </c>
      <c r="H1938" s="1" t="s">
        <v>28</v>
      </c>
      <c r="I1938" s="1" t="s">
        <v>40</v>
      </c>
    </row>
    <row r="1939">
      <c r="A1939" s="1">
        <v>3515157.0</v>
      </c>
      <c r="B1939" s="1" t="s">
        <v>4166</v>
      </c>
      <c r="C1939" s="1" t="s">
        <v>3831</v>
      </c>
      <c r="D1939" s="1" t="s">
        <v>3870</v>
      </c>
      <c r="E1939" s="1" t="s">
        <v>4167</v>
      </c>
      <c r="F1939" s="1" t="s">
        <v>16</v>
      </c>
      <c r="G1939" s="1" t="s">
        <v>17</v>
      </c>
      <c r="H1939" s="1" t="s">
        <v>28</v>
      </c>
      <c r="I1939" s="1" t="s">
        <v>40</v>
      </c>
    </row>
    <row r="1940">
      <c r="A1940" s="1">
        <v>3509112.0</v>
      </c>
      <c r="B1940" s="1" t="s">
        <v>4168</v>
      </c>
      <c r="C1940" s="1" t="s">
        <v>3831</v>
      </c>
      <c r="D1940" s="1" t="s">
        <v>3890</v>
      </c>
      <c r="E1940" s="1" t="s">
        <v>4169</v>
      </c>
      <c r="F1940" s="1" t="s">
        <v>32</v>
      </c>
      <c r="G1940" s="1" t="s">
        <v>17</v>
      </c>
      <c r="H1940" s="1" t="s">
        <v>33</v>
      </c>
      <c r="I1940" s="1" t="s">
        <v>34</v>
      </c>
    </row>
    <row r="1941">
      <c r="A1941" s="1">
        <v>3578166.0</v>
      </c>
      <c r="B1941" s="1" t="s">
        <v>4170</v>
      </c>
      <c r="C1941" s="1" t="s">
        <v>3831</v>
      </c>
      <c r="D1941" s="1" t="s">
        <v>3847</v>
      </c>
      <c r="E1941" s="1" t="s">
        <v>4171</v>
      </c>
      <c r="F1941" s="1" t="s">
        <v>16</v>
      </c>
      <c r="G1941" s="1" t="s">
        <v>23</v>
      </c>
      <c r="H1941" s="1" t="s">
        <v>18</v>
      </c>
      <c r="I1941" s="1" t="s">
        <v>563</v>
      </c>
    </row>
    <row r="1942">
      <c r="A1942" s="1">
        <v>3515138.0</v>
      </c>
      <c r="B1942" s="1" t="s">
        <v>4172</v>
      </c>
      <c r="C1942" s="1" t="s">
        <v>3831</v>
      </c>
      <c r="D1942" s="1" t="s">
        <v>3870</v>
      </c>
      <c r="E1942" s="1" t="s">
        <v>4173</v>
      </c>
      <c r="F1942" s="1" t="s">
        <v>16</v>
      </c>
      <c r="G1942" s="1" t="s">
        <v>23</v>
      </c>
      <c r="H1942" s="1" t="s">
        <v>18</v>
      </c>
      <c r="I1942" s="1" t="s">
        <v>684</v>
      </c>
    </row>
    <row r="1943">
      <c r="A1943" s="1">
        <v>3528027.0</v>
      </c>
      <c r="B1943" s="1" t="s">
        <v>4174</v>
      </c>
      <c r="C1943" s="1" t="s">
        <v>3831</v>
      </c>
      <c r="D1943" s="1" t="s">
        <v>3841</v>
      </c>
      <c r="E1943" s="1" t="s">
        <v>4175</v>
      </c>
      <c r="F1943" s="1" t="s">
        <v>16</v>
      </c>
      <c r="G1943" s="1" t="s">
        <v>17</v>
      </c>
      <c r="H1943" s="1" t="s">
        <v>18</v>
      </c>
      <c r="I1943" s="1" t="s">
        <v>139</v>
      </c>
    </row>
    <row r="1944">
      <c r="A1944" s="1">
        <v>3505043.0</v>
      </c>
      <c r="B1944" s="1" t="s">
        <v>4176</v>
      </c>
      <c r="C1944" s="1" t="s">
        <v>3831</v>
      </c>
      <c r="D1944" s="1" t="s">
        <v>3859</v>
      </c>
      <c r="E1944" s="1" t="s">
        <v>4177</v>
      </c>
      <c r="F1944" s="1" t="s">
        <v>16</v>
      </c>
      <c r="G1944" s="1" t="s">
        <v>17</v>
      </c>
      <c r="H1944" s="1" t="s">
        <v>18</v>
      </c>
      <c r="I1944" s="1" t="s">
        <v>19</v>
      </c>
    </row>
    <row r="1945">
      <c r="A1945" s="1">
        <v>3572010.0</v>
      </c>
      <c r="B1945" s="1" t="s">
        <v>4178</v>
      </c>
      <c r="C1945" s="1" t="s">
        <v>3831</v>
      </c>
      <c r="D1945" s="1" t="s">
        <v>4179</v>
      </c>
      <c r="E1945" s="1" t="s">
        <v>4180</v>
      </c>
      <c r="F1945" s="1" t="s">
        <v>16</v>
      </c>
      <c r="G1945" s="1" t="s">
        <v>27</v>
      </c>
      <c r="H1945" s="1" t="s">
        <v>28</v>
      </c>
      <c r="I1945" s="1" t="s">
        <v>29</v>
      </c>
    </row>
    <row r="1946">
      <c r="A1946" s="1">
        <v>3573251.0</v>
      </c>
      <c r="B1946" s="1" t="s">
        <v>4181</v>
      </c>
      <c r="C1946" s="1" t="s">
        <v>3831</v>
      </c>
      <c r="D1946" s="1" t="s">
        <v>3938</v>
      </c>
      <c r="E1946" s="1" t="s">
        <v>4182</v>
      </c>
      <c r="F1946" s="1" t="s">
        <v>55</v>
      </c>
      <c r="G1946" s="1" t="s">
        <v>17</v>
      </c>
      <c r="H1946" s="1" t="s">
        <v>18</v>
      </c>
      <c r="I1946" s="1" t="s">
        <v>19</v>
      </c>
    </row>
    <row r="1947">
      <c r="A1947" s="1">
        <v>3572072.0</v>
      </c>
      <c r="B1947" s="1" t="s">
        <v>4183</v>
      </c>
      <c r="C1947" s="1" t="s">
        <v>3831</v>
      </c>
      <c r="D1947" s="1" t="s">
        <v>4179</v>
      </c>
      <c r="E1947" s="1" t="s">
        <v>4184</v>
      </c>
      <c r="F1947" s="1" t="s">
        <v>55</v>
      </c>
      <c r="G1947" s="1" t="s">
        <v>17</v>
      </c>
      <c r="H1947" s="1" t="s">
        <v>18</v>
      </c>
      <c r="I1947" s="1" t="s">
        <v>19</v>
      </c>
    </row>
    <row r="1948">
      <c r="A1948" s="1">
        <v>3515015.0</v>
      </c>
      <c r="B1948" s="1" t="s">
        <v>4185</v>
      </c>
      <c r="C1948" s="1" t="s">
        <v>3831</v>
      </c>
      <c r="D1948" s="1" t="s">
        <v>3870</v>
      </c>
      <c r="E1948" s="1" t="s">
        <v>4186</v>
      </c>
      <c r="F1948" s="1" t="s">
        <v>16</v>
      </c>
      <c r="G1948" s="1" t="s">
        <v>150</v>
      </c>
      <c r="H1948" s="1" t="s">
        <v>28</v>
      </c>
      <c r="I1948" s="1" t="s">
        <v>40</v>
      </c>
    </row>
    <row r="1949">
      <c r="A1949" s="1">
        <v>3578742.0</v>
      </c>
      <c r="B1949" s="1" t="s">
        <v>4187</v>
      </c>
      <c r="C1949" s="1" t="s">
        <v>3831</v>
      </c>
      <c r="D1949" s="1" t="s">
        <v>3847</v>
      </c>
      <c r="E1949" s="1" t="s">
        <v>4188</v>
      </c>
      <c r="F1949" s="1" t="s">
        <v>16</v>
      </c>
      <c r="G1949" s="1" t="s">
        <v>17</v>
      </c>
      <c r="H1949" s="1" t="s">
        <v>18</v>
      </c>
      <c r="I1949" s="1" t="s">
        <v>59</v>
      </c>
    </row>
    <row r="1950">
      <c r="A1950" s="1">
        <v>3519024.0</v>
      </c>
      <c r="B1950" s="1" t="s">
        <v>4189</v>
      </c>
      <c r="C1950" s="1" t="s">
        <v>3831</v>
      </c>
      <c r="D1950" s="1" t="s">
        <v>4190</v>
      </c>
      <c r="E1950" s="1" t="s">
        <v>4191</v>
      </c>
      <c r="F1950" s="1" t="s">
        <v>16</v>
      </c>
      <c r="G1950" s="1" t="s">
        <v>17</v>
      </c>
      <c r="H1950" s="1" t="s">
        <v>28</v>
      </c>
      <c r="I1950" s="1" t="s">
        <v>40</v>
      </c>
    </row>
    <row r="1951">
      <c r="A1951" s="1">
        <v>3515131.0</v>
      </c>
      <c r="B1951" s="1" t="s">
        <v>259</v>
      </c>
      <c r="C1951" s="1" t="s">
        <v>3831</v>
      </c>
      <c r="D1951" s="1" t="s">
        <v>3870</v>
      </c>
      <c r="E1951" s="1" t="s">
        <v>4192</v>
      </c>
      <c r="F1951" s="1" t="s">
        <v>16</v>
      </c>
      <c r="G1951" s="1" t="s">
        <v>17</v>
      </c>
      <c r="H1951" s="1" t="s">
        <v>18</v>
      </c>
      <c r="I1951" s="1" t="s">
        <v>19</v>
      </c>
    </row>
    <row r="1952">
      <c r="A1952" s="1">
        <v>3501019.0</v>
      </c>
      <c r="B1952" s="1" t="s">
        <v>4193</v>
      </c>
      <c r="C1952" s="1" t="s">
        <v>3831</v>
      </c>
      <c r="D1952" s="1" t="s">
        <v>3881</v>
      </c>
      <c r="E1952" s="1" t="s">
        <v>4194</v>
      </c>
      <c r="F1952" s="1" t="s">
        <v>16</v>
      </c>
      <c r="G1952" s="1" t="s">
        <v>23</v>
      </c>
      <c r="H1952" s="1" t="s">
        <v>18</v>
      </c>
      <c r="I1952" s="1" t="s">
        <v>44</v>
      </c>
    </row>
    <row r="1953">
      <c r="A1953" s="1">
        <v>3507241.0</v>
      </c>
      <c r="B1953" s="1" t="s">
        <v>4195</v>
      </c>
      <c r="C1953" s="1" t="s">
        <v>3831</v>
      </c>
      <c r="D1953" s="1" t="s">
        <v>3862</v>
      </c>
      <c r="E1953" s="1" t="s">
        <v>4196</v>
      </c>
      <c r="F1953" s="1" t="s">
        <v>16</v>
      </c>
      <c r="G1953" s="1" t="s">
        <v>23</v>
      </c>
      <c r="H1953" s="1" t="s">
        <v>18</v>
      </c>
      <c r="I1953" s="1" t="s">
        <v>19</v>
      </c>
    </row>
    <row r="1954">
      <c r="A1954" s="1">
        <v>3517087.0</v>
      </c>
      <c r="B1954" s="1" t="s">
        <v>4197</v>
      </c>
      <c r="C1954" s="1" t="s">
        <v>3831</v>
      </c>
      <c r="D1954" s="1" t="s">
        <v>3956</v>
      </c>
      <c r="E1954" s="1" t="s">
        <v>4198</v>
      </c>
      <c r="F1954" s="1" t="s">
        <v>16</v>
      </c>
      <c r="G1954" s="1" t="s">
        <v>23</v>
      </c>
      <c r="H1954" s="1" t="s">
        <v>18</v>
      </c>
      <c r="I1954" s="1" t="s">
        <v>19</v>
      </c>
    </row>
    <row r="1955">
      <c r="A1955" s="1">
        <v>3578322.0</v>
      </c>
      <c r="B1955" s="1" t="s">
        <v>4199</v>
      </c>
      <c r="C1955" s="1" t="s">
        <v>3831</v>
      </c>
      <c r="D1955" s="1" t="s">
        <v>3847</v>
      </c>
      <c r="E1955" s="1" t="s">
        <v>4200</v>
      </c>
      <c r="F1955" s="1" t="s">
        <v>16</v>
      </c>
      <c r="G1955" s="1" t="s">
        <v>17</v>
      </c>
      <c r="H1955" s="1" t="s">
        <v>28</v>
      </c>
      <c r="I1955" s="1" t="s">
        <v>139</v>
      </c>
    </row>
    <row r="1956">
      <c r="A1956" s="1">
        <v>3515136.0</v>
      </c>
      <c r="B1956" s="1" t="s">
        <v>4201</v>
      </c>
      <c r="C1956" s="1" t="s">
        <v>3831</v>
      </c>
      <c r="D1956" s="1" t="s">
        <v>3870</v>
      </c>
      <c r="E1956" s="1" t="s">
        <v>4202</v>
      </c>
      <c r="F1956" s="1" t="s">
        <v>272</v>
      </c>
      <c r="G1956" s="1" t="s">
        <v>17</v>
      </c>
      <c r="H1956" s="1" t="s">
        <v>18</v>
      </c>
      <c r="I1956" s="1" t="s">
        <v>19</v>
      </c>
    </row>
    <row r="1957">
      <c r="A1957" s="1">
        <v>3579005.0</v>
      </c>
      <c r="B1957" s="1" t="s">
        <v>4203</v>
      </c>
      <c r="C1957" s="1" t="s">
        <v>3831</v>
      </c>
      <c r="D1957" s="1" t="s">
        <v>3922</v>
      </c>
      <c r="E1957" s="1" t="s">
        <v>4204</v>
      </c>
      <c r="F1957" s="1" t="s">
        <v>55</v>
      </c>
      <c r="G1957" s="1" t="s">
        <v>17</v>
      </c>
      <c r="H1957" s="1" t="s">
        <v>18</v>
      </c>
      <c r="I1957" s="1" t="s">
        <v>19</v>
      </c>
    </row>
    <row r="1958">
      <c r="A1958" s="1">
        <v>3574080.0</v>
      </c>
      <c r="B1958" s="1" t="s">
        <v>4205</v>
      </c>
      <c r="C1958" s="1" t="s">
        <v>3831</v>
      </c>
      <c r="D1958" s="1" t="s">
        <v>4046</v>
      </c>
      <c r="E1958" s="1" t="s">
        <v>4206</v>
      </c>
      <c r="F1958" s="1" t="s">
        <v>16</v>
      </c>
      <c r="G1958" s="1" t="s">
        <v>17</v>
      </c>
      <c r="H1958" s="1" t="s">
        <v>18</v>
      </c>
      <c r="I1958" s="1" t="s">
        <v>40</v>
      </c>
    </row>
    <row r="1959">
      <c r="A1959" s="1">
        <v>3519023.0</v>
      </c>
      <c r="B1959" s="1" t="s">
        <v>4207</v>
      </c>
      <c r="C1959" s="1" t="s">
        <v>3831</v>
      </c>
      <c r="D1959" s="1" t="s">
        <v>4190</v>
      </c>
      <c r="E1959" s="1" t="s">
        <v>4208</v>
      </c>
      <c r="F1959" s="1" t="s">
        <v>16</v>
      </c>
      <c r="G1959" s="1" t="s">
        <v>17</v>
      </c>
      <c r="H1959" s="1" t="s">
        <v>28</v>
      </c>
      <c r="I1959" s="1" t="s">
        <v>40</v>
      </c>
    </row>
    <row r="1960">
      <c r="A1960" s="1">
        <v>3507100.0</v>
      </c>
      <c r="B1960" s="1" t="s">
        <v>4209</v>
      </c>
      <c r="C1960" s="1" t="s">
        <v>3831</v>
      </c>
      <c r="D1960" s="1" t="s">
        <v>3862</v>
      </c>
      <c r="E1960" s="1" t="s">
        <v>4210</v>
      </c>
      <c r="F1960" s="1" t="s">
        <v>16</v>
      </c>
      <c r="G1960" s="1" t="s">
        <v>23</v>
      </c>
      <c r="H1960" s="1" t="s">
        <v>18</v>
      </c>
      <c r="I1960" s="1" t="s">
        <v>19</v>
      </c>
    </row>
    <row r="1961">
      <c r="A1961" s="1">
        <v>3525043.0</v>
      </c>
      <c r="B1961" s="1" t="s">
        <v>4211</v>
      </c>
      <c r="C1961" s="1" t="s">
        <v>3831</v>
      </c>
      <c r="D1961" s="1" t="s">
        <v>3865</v>
      </c>
      <c r="E1961" s="1" t="s">
        <v>4212</v>
      </c>
      <c r="F1961" s="1" t="s">
        <v>16</v>
      </c>
      <c r="G1961" s="1" t="s">
        <v>17</v>
      </c>
      <c r="H1961" s="1" t="s">
        <v>18</v>
      </c>
      <c r="I1961" s="1" t="s">
        <v>19</v>
      </c>
    </row>
    <row r="1962">
      <c r="A1962" s="1">
        <v>3512036.0</v>
      </c>
      <c r="B1962" s="1" t="s">
        <v>4213</v>
      </c>
      <c r="C1962" s="1" t="s">
        <v>3831</v>
      </c>
      <c r="D1962" s="1" t="s">
        <v>3967</v>
      </c>
      <c r="E1962" s="1" t="s">
        <v>4214</v>
      </c>
      <c r="F1962" s="1" t="s">
        <v>16</v>
      </c>
      <c r="G1962" s="1" t="s">
        <v>23</v>
      </c>
      <c r="H1962" s="1" t="s">
        <v>28</v>
      </c>
      <c r="I1962" s="1" t="s">
        <v>40</v>
      </c>
    </row>
    <row r="1963">
      <c r="A1963" s="1">
        <v>3528028.0</v>
      </c>
      <c r="B1963" s="1" t="s">
        <v>4215</v>
      </c>
      <c r="C1963" s="1" t="s">
        <v>3831</v>
      </c>
      <c r="D1963" s="1" t="s">
        <v>3841</v>
      </c>
      <c r="E1963" s="1" t="s">
        <v>4216</v>
      </c>
      <c r="F1963" s="1" t="s">
        <v>16</v>
      </c>
      <c r="G1963" s="1" t="s">
        <v>23</v>
      </c>
      <c r="H1963" s="1" t="s">
        <v>28</v>
      </c>
      <c r="I1963" s="1" t="s">
        <v>40</v>
      </c>
    </row>
    <row r="1964">
      <c r="A1964" s="1">
        <v>3571016.0</v>
      </c>
      <c r="B1964" s="1" t="s">
        <v>4217</v>
      </c>
      <c r="C1964" s="1" t="s">
        <v>3831</v>
      </c>
      <c r="D1964" s="1" t="s">
        <v>3930</v>
      </c>
      <c r="E1964" s="1" t="s">
        <v>4218</v>
      </c>
      <c r="F1964" s="1" t="s">
        <v>16</v>
      </c>
      <c r="G1964" s="1" t="s">
        <v>27</v>
      </c>
      <c r="H1964" s="1" t="s">
        <v>28</v>
      </c>
      <c r="I1964" s="1" t="s">
        <v>29</v>
      </c>
    </row>
    <row r="1965">
      <c r="A1965" s="1">
        <v>3578772.0</v>
      </c>
      <c r="B1965" s="1" t="s">
        <v>4219</v>
      </c>
      <c r="C1965" s="1" t="s">
        <v>3831</v>
      </c>
      <c r="D1965" s="1" t="s">
        <v>3847</v>
      </c>
      <c r="E1965" s="1" t="s">
        <v>4220</v>
      </c>
      <c r="F1965" s="1" t="s">
        <v>16</v>
      </c>
      <c r="G1965" s="1" t="s">
        <v>17</v>
      </c>
      <c r="H1965" s="1" t="s">
        <v>18</v>
      </c>
      <c r="I1965" s="1" t="s">
        <v>44</v>
      </c>
    </row>
    <row r="1966">
      <c r="A1966" s="1">
        <v>3511011.0</v>
      </c>
      <c r="B1966" s="1" t="s">
        <v>4221</v>
      </c>
      <c r="C1966" s="1" t="s">
        <v>3831</v>
      </c>
      <c r="D1966" s="1" t="s">
        <v>4130</v>
      </c>
      <c r="E1966" s="1" t="s">
        <v>4222</v>
      </c>
      <c r="F1966" s="1" t="s">
        <v>16</v>
      </c>
      <c r="G1966" s="1" t="s">
        <v>27</v>
      </c>
      <c r="H1966" s="1" t="s">
        <v>28</v>
      </c>
      <c r="I1966" s="1" t="s">
        <v>40</v>
      </c>
    </row>
    <row r="1967">
      <c r="A1967" s="1">
        <v>3578571.0</v>
      </c>
      <c r="B1967" s="1" t="s">
        <v>4223</v>
      </c>
      <c r="C1967" s="1" t="s">
        <v>3831</v>
      </c>
      <c r="D1967" s="1" t="s">
        <v>3847</v>
      </c>
      <c r="E1967" s="1" t="s">
        <v>4224</v>
      </c>
      <c r="F1967" s="1" t="s">
        <v>16</v>
      </c>
      <c r="G1967" s="1" t="s">
        <v>27</v>
      </c>
      <c r="H1967" s="1" t="s">
        <v>28</v>
      </c>
      <c r="I1967" s="1" t="s">
        <v>29</v>
      </c>
    </row>
    <row r="1968">
      <c r="A1968" s="1">
        <v>3513027.0</v>
      </c>
      <c r="B1968" s="1" t="s">
        <v>4225</v>
      </c>
      <c r="C1968" s="1" t="s">
        <v>3831</v>
      </c>
      <c r="D1968" s="1" t="s">
        <v>3853</v>
      </c>
      <c r="E1968" s="1" t="s">
        <v>4226</v>
      </c>
      <c r="F1968" s="1" t="s">
        <v>16</v>
      </c>
      <c r="G1968" s="1" t="s">
        <v>17</v>
      </c>
      <c r="H1968" s="1" t="s">
        <v>18</v>
      </c>
      <c r="I1968" s="1" t="s">
        <v>44</v>
      </c>
    </row>
    <row r="1969">
      <c r="A1969" s="1">
        <v>3507259.0</v>
      </c>
      <c r="B1969" s="1" t="s">
        <v>4227</v>
      </c>
      <c r="C1969" s="1" t="s">
        <v>3831</v>
      </c>
      <c r="D1969" s="1" t="s">
        <v>3862</v>
      </c>
      <c r="E1969" s="1" t="s">
        <v>4228</v>
      </c>
      <c r="F1969" s="1" t="s">
        <v>16</v>
      </c>
      <c r="G1969" s="1" t="s">
        <v>23</v>
      </c>
      <c r="H1969" s="1" t="s">
        <v>18</v>
      </c>
      <c r="I1969" s="1" t="s">
        <v>19</v>
      </c>
    </row>
    <row r="1970">
      <c r="A1970" s="1">
        <v>3508071.0</v>
      </c>
      <c r="B1970" s="1" t="s">
        <v>4229</v>
      </c>
      <c r="C1970" s="1" t="s">
        <v>3831</v>
      </c>
      <c r="D1970" s="1" t="s">
        <v>4135</v>
      </c>
      <c r="E1970" s="1" t="s">
        <v>4230</v>
      </c>
      <c r="F1970" s="1" t="s">
        <v>16</v>
      </c>
      <c r="G1970" s="1" t="s">
        <v>23</v>
      </c>
      <c r="H1970" s="1" t="s">
        <v>18</v>
      </c>
      <c r="I1970" s="1" t="s">
        <v>684</v>
      </c>
    </row>
    <row r="1971">
      <c r="A1971" s="1">
        <v>3507070.0</v>
      </c>
      <c r="B1971" s="1" t="s">
        <v>4231</v>
      </c>
      <c r="C1971" s="1" t="s">
        <v>3831</v>
      </c>
      <c r="D1971" s="1" t="s">
        <v>3862</v>
      </c>
      <c r="E1971" s="1" t="s">
        <v>4232</v>
      </c>
      <c r="F1971" s="1" t="s">
        <v>16</v>
      </c>
      <c r="G1971" s="1" t="s">
        <v>23</v>
      </c>
      <c r="H1971" s="1" t="s">
        <v>18</v>
      </c>
      <c r="I1971" s="1" t="s">
        <v>258</v>
      </c>
    </row>
    <row r="1972">
      <c r="A1972" s="1">
        <v>3515142.0</v>
      </c>
      <c r="B1972" s="1" t="s">
        <v>4233</v>
      </c>
      <c r="C1972" s="1" t="s">
        <v>3831</v>
      </c>
      <c r="D1972" s="1" t="s">
        <v>3870</v>
      </c>
      <c r="E1972" s="1" t="s">
        <v>4234</v>
      </c>
      <c r="F1972" s="1" t="s">
        <v>16</v>
      </c>
      <c r="G1972" s="1" t="s">
        <v>23</v>
      </c>
      <c r="H1972" s="1" t="s">
        <v>18</v>
      </c>
      <c r="I1972" s="1" t="s">
        <v>19</v>
      </c>
    </row>
    <row r="1973">
      <c r="A1973" s="1">
        <v>3517010.0</v>
      </c>
      <c r="B1973" s="1" t="s">
        <v>4235</v>
      </c>
      <c r="C1973" s="1" t="s">
        <v>3831</v>
      </c>
      <c r="D1973" s="1" t="s">
        <v>3956</v>
      </c>
      <c r="E1973" s="1" t="s">
        <v>4236</v>
      </c>
      <c r="F1973" s="1" t="s">
        <v>16</v>
      </c>
      <c r="G1973" s="1" t="s">
        <v>27</v>
      </c>
      <c r="H1973" s="1" t="s">
        <v>28</v>
      </c>
      <c r="I1973" s="1" t="s">
        <v>40</v>
      </c>
    </row>
    <row r="1974">
      <c r="A1974" s="1">
        <v>3503045.0</v>
      </c>
      <c r="B1974" s="1" t="s">
        <v>4237</v>
      </c>
      <c r="C1974" s="1" t="s">
        <v>3831</v>
      </c>
      <c r="D1974" s="1" t="s">
        <v>4238</v>
      </c>
      <c r="E1974" s="1" t="s">
        <v>4239</v>
      </c>
      <c r="F1974" s="1" t="s">
        <v>55</v>
      </c>
      <c r="G1974" s="1" t="s">
        <v>17</v>
      </c>
      <c r="H1974" s="1" t="s">
        <v>18</v>
      </c>
      <c r="I1974" s="1" t="s">
        <v>59</v>
      </c>
    </row>
    <row r="1975">
      <c r="A1975" s="1">
        <v>3503011.0</v>
      </c>
      <c r="B1975" s="1" t="s">
        <v>4240</v>
      </c>
      <c r="C1975" s="1" t="s">
        <v>3831</v>
      </c>
      <c r="D1975" s="1" t="s">
        <v>4238</v>
      </c>
      <c r="E1975" s="1" t="s">
        <v>4241</v>
      </c>
      <c r="F1975" s="1" t="s">
        <v>16</v>
      </c>
      <c r="G1975" s="1" t="s">
        <v>17</v>
      </c>
      <c r="H1975" s="1" t="s">
        <v>28</v>
      </c>
      <c r="I1975" s="1" t="s">
        <v>40</v>
      </c>
    </row>
    <row r="1976">
      <c r="A1976" s="1">
        <v>3516062.0</v>
      </c>
      <c r="B1976" s="1" t="s">
        <v>4242</v>
      </c>
      <c r="C1976" s="1" t="s">
        <v>3831</v>
      </c>
      <c r="D1976" s="1" t="s">
        <v>3909</v>
      </c>
      <c r="E1976" s="1" t="s">
        <v>4243</v>
      </c>
      <c r="F1976" s="1" t="s">
        <v>16</v>
      </c>
      <c r="G1976" s="1" t="s">
        <v>17</v>
      </c>
      <c r="H1976" s="1" t="s">
        <v>18</v>
      </c>
      <c r="I1976" s="1" t="s">
        <v>19</v>
      </c>
    </row>
    <row r="1977">
      <c r="A1977" s="1">
        <v>3573097.0</v>
      </c>
      <c r="B1977" s="1" t="s">
        <v>4244</v>
      </c>
      <c r="C1977" s="1" t="s">
        <v>3831</v>
      </c>
      <c r="D1977" s="1" t="s">
        <v>3938</v>
      </c>
      <c r="E1977" s="1" t="s">
        <v>4245</v>
      </c>
      <c r="F1977" s="1" t="s">
        <v>55</v>
      </c>
      <c r="G1977" s="1" t="s">
        <v>17</v>
      </c>
      <c r="H1977" s="1" t="s">
        <v>18</v>
      </c>
      <c r="I1977" s="1" t="s">
        <v>19</v>
      </c>
    </row>
    <row r="1978">
      <c r="A1978" s="1">
        <v>3501017.0</v>
      </c>
      <c r="B1978" s="1" t="s">
        <v>4246</v>
      </c>
      <c r="C1978" s="1" t="s">
        <v>3831</v>
      </c>
      <c r="D1978" s="1" t="s">
        <v>3881</v>
      </c>
      <c r="E1978" s="1" t="s">
        <v>4247</v>
      </c>
      <c r="F1978" s="1" t="s">
        <v>16</v>
      </c>
      <c r="G1978" s="1" t="s">
        <v>23</v>
      </c>
      <c r="H1978" s="1" t="s">
        <v>18</v>
      </c>
      <c r="I1978" s="1" t="s">
        <v>19</v>
      </c>
    </row>
    <row r="1979">
      <c r="A1979" s="1">
        <v>3509138.0</v>
      </c>
      <c r="B1979" s="1" t="s">
        <v>4248</v>
      </c>
      <c r="C1979" s="1" t="s">
        <v>3831</v>
      </c>
      <c r="D1979" s="1" t="s">
        <v>3890</v>
      </c>
      <c r="E1979" s="1" t="s">
        <v>4249</v>
      </c>
      <c r="F1979" s="1" t="s">
        <v>16</v>
      </c>
      <c r="G1979" s="1" t="s">
        <v>17</v>
      </c>
      <c r="H1979" s="1" t="s">
        <v>18</v>
      </c>
      <c r="I1979" s="1" t="s">
        <v>44</v>
      </c>
    </row>
    <row r="1980">
      <c r="A1980" s="1">
        <v>3523041.0</v>
      </c>
      <c r="B1980" s="1" t="s">
        <v>4250</v>
      </c>
      <c r="C1980" s="1" t="s">
        <v>3831</v>
      </c>
      <c r="D1980" s="1" t="s">
        <v>3982</v>
      </c>
      <c r="E1980" s="1" t="s">
        <v>4251</v>
      </c>
      <c r="F1980" s="1" t="s">
        <v>16</v>
      </c>
      <c r="G1980" s="1" t="s">
        <v>17</v>
      </c>
      <c r="H1980" s="1" t="s">
        <v>18</v>
      </c>
      <c r="I1980" s="1" t="s">
        <v>59</v>
      </c>
    </row>
    <row r="1981">
      <c r="A1981" s="1">
        <v>3572065.0</v>
      </c>
      <c r="B1981" s="1" t="s">
        <v>4252</v>
      </c>
      <c r="C1981" s="1" t="s">
        <v>3831</v>
      </c>
      <c r="D1981" s="1" t="s">
        <v>4179</v>
      </c>
      <c r="E1981" s="1" t="s">
        <v>4253</v>
      </c>
      <c r="F1981" s="1" t="s">
        <v>16</v>
      </c>
      <c r="G1981" s="1" t="s">
        <v>17</v>
      </c>
      <c r="H1981" s="1" t="s">
        <v>18</v>
      </c>
      <c r="I1981" s="1" t="s">
        <v>684</v>
      </c>
    </row>
    <row r="1982">
      <c r="A1982" s="1">
        <v>3522059.0</v>
      </c>
      <c r="B1982" s="1" t="s">
        <v>4254</v>
      </c>
      <c r="C1982" s="1" t="s">
        <v>3831</v>
      </c>
      <c r="D1982" s="1" t="s">
        <v>3897</v>
      </c>
      <c r="E1982" s="1" t="s">
        <v>4255</v>
      </c>
      <c r="F1982" s="1" t="s">
        <v>16</v>
      </c>
      <c r="G1982" s="1" t="s">
        <v>17</v>
      </c>
      <c r="H1982" s="1" t="s">
        <v>33</v>
      </c>
      <c r="I1982" s="1" t="s">
        <v>65</v>
      </c>
    </row>
    <row r="1983">
      <c r="A1983" s="1">
        <v>3508016.0</v>
      </c>
      <c r="B1983" s="1" t="s">
        <v>4256</v>
      </c>
      <c r="C1983" s="1" t="s">
        <v>3831</v>
      </c>
      <c r="D1983" s="1" t="s">
        <v>4135</v>
      </c>
      <c r="E1983" s="1" t="s">
        <v>4257</v>
      </c>
      <c r="F1983" s="1" t="s">
        <v>16</v>
      </c>
      <c r="G1983" s="1" t="s">
        <v>27</v>
      </c>
      <c r="H1983" s="1" t="s">
        <v>28</v>
      </c>
      <c r="I1983" s="1" t="s">
        <v>40</v>
      </c>
    </row>
    <row r="1984">
      <c r="A1984" s="1">
        <v>3578064.0</v>
      </c>
      <c r="B1984" s="1" t="s">
        <v>4258</v>
      </c>
      <c r="C1984" s="1" t="s">
        <v>3831</v>
      </c>
      <c r="D1984" s="1" t="s">
        <v>3847</v>
      </c>
      <c r="E1984" s="1" t="s">
        <v>4259</v>
      </c>
      <c r="F1984" s="1" t="s">
        <v>16</v>
      </c>
      <c r="G1984" s="1" t="s">
        <v>27</v>
      </c>
      <c r="H1984" s="1" t="s">
        <v>18</v>
      </c>
      <c r="I1984" s="1" t="s">
        <v>19</v>
      </c>
    </row>
    <row r="1985">
      <c r="A1985" s="1">
        <v>3573252.0</v>
      </c>
      <c r="B1985" s="1" t="s">
        <v>760</v>
      </c>
      <c r="C1985" s="1" t="s">
        <v>3831</v>
      </c>
      <c r="D1985" s="1" t="s">
        <v>3938</v>
      </c>
      <c r="E1985" s="1" t="s">
        <v>4260</v>
      </c>
      <c r="F1985" s="1" t="s">
        <v>55</v>
      </c>
      <c r="G1985" s="1" t="s">
        <v>17</v>
      </c>
      <c r="H1985" s="1" t="s">
        <v>18</v>
      </c>
      <c r="I1985" s="1" t="s">
        <v>19</v>
      </c>
    </row>
    <row r="1986">
      <c r="A1986" s="1">
        <v>3573261.0</v>
      </c>
      <c r="B1986" s="1" t="s">
        <v>4261</v>
      </c>
      <c r="C1986" s="1" t="s">
        <v>3831</v>
      </c>
      <c r="D1986" s="1" t="s">
        <v>3938</v>
      </c>
      <c r="E1986" s="1" t="s">
        <v>4262</v>
      </c>
      <c r="F1986" s="1" t="s">
        <v>16</v>
      </c>
      <c r="G1986" s="1" t="s">
        <v>23</v>
      </c>
      <c r="H1986" s="1" t="s">
        <v>18</v>
      </c>
      <c r="I1986" s="1" t="s">
        <v>74</v>
      </c>
    </row>
    <row r="1987">
      <c r="A1987" s="1">
        <v>3509134.0</v>
      </c>
      <c r="B1987" s="1" t="s">
        <v>4263</v>
      </c>
      <c r="C1987" s="1" t="s">
        <v>3831</v>
      </c>
      <c r="D1987" s="1" t="s">
        <v>3890</v>
      </c>
      <c r="E1987" s="1" t="s">
        <v>4264</v>
      </c>
      <c r="F1987" s="1" t="s">
        <v>16</v>
      </c>
      <c r="G1987" s="1" t="s">
        <v>17</v>
      </c>
      <c r="H1987" s="1" t="s">
        <v>28</v>
      </c>
      <c r="I1987" s="1" t="s">
        <v>40</v>
      </c>
    </row>
    <row r="1988">
      <c r="A1988" s="1">
        <v>3578202.0</v>
      </c>
      <c r="B1988" s="1" t="s">
        <v>4265</v>
      </c>
      <c r="C1988" s="1" t="s">
        <v>3831</v>
      </c>
      <c r="D1988" s="1" t="s">
        <v>3847</v>
      </c>
      <c r="E1988" s="1" t="s">
        <v>4266</v>
      </c>
      <c r="F1988" s="1" t="s">
        <v>272</v>
      </c>
      <c r="G1988" s="1" t="s">
        <v>27</v>
      </c>
      <c r="H1988" s="1" t="s">
        <v>18</v>
      </c>
      <c r="I1988" s="1" t="s">
        <v>59</v>
      </c>
    </row>
    <row r="1989">
      <c r="A1989" s="1">
        <v>3515130.0</v>
      </c>
      <c r="B1989" s="1" t="s">
        <v>4267</v>
      </c>
      <c r="C1989" s="1" t="s">
        <v>3831</v>
      </c>
      <c r="D1989" s="1" t="s">
        <v>3870</v>
      </c>
      <c r="E1989" s="1" t="s">
        <v>4268</v>
      </c>
      <c r="F1989" s="1" t="s">
        <v>16</v>
      </c>
      <c r="G1989" s="1" t="s">
        <v>23</v>
      </c>
      <c r="H1989" s="1" t="s">
        <v>18</v>
      </c>
      <c r="I1989" s="1" t="s">
        <v>19</v>
      </c>
    </row>
    <row r="1990">
      <c r="A1990" s="1">
        <v>3507119.0</v>
      </c>
      <c r="B1990" s="1" t="s">
        <v>4269</v>
      </c>
      <c r="C1990" s="1" t="s">
        <v>3831</v>
      </c>
      <c r="D1990" s="1" t="s">
        <v>3862</v>
      </c>
      <c r="E1990" s="1" t="s">
        <v>4270</v>
      </c>
      <c r="F1990" s="1" t="s">
        <v>16</v>
      </c>
      <c r="G1990" s="1" t="s">
        <v>23</v>
      </c>
      <c r="H1990" s="1" t="s">
        <v>18</v>
      </c>
      <c r="I1990" s="1" t="s">
        <v>19</v>
      </c>
    </row>
    <row r="1991">
      <c r="A1991" s="1">
        <v>3572043.0</v>
      </c>
      <c r="B1991" s="1" t="s">
        <v>4271</v>
      </c>
      <c r="C1991" s="1" t="s">
        <v>3831</v>
      </c>
      <c r="D1991" s="1" t="s">
        <v>4179</v>
      </c>
      <c r="E1991" s="1" t="s">
        <v>4272</v>
      </c>
      <c r="F1991" s="1" t="s">
        <v>16</v>
      </c>
      <c r="G1991" s="1" t="s">
        <v>17</v>
      </c>
      <c r="H1991" s="1" t="s">
        <v>18</v>
      </c>
      <c r="I1991" s="1" t="s">
        <v>19</v>
      </c>
    </row>
    <row r="1992">
      <c r="A1992" s="1">
        <v>3515030.0</v>
      </c>
      <c r="B1992" s="1" t="s">
        <v>4273</v>
      </c>
      <c r="C1992" s="1" t="s">
        <v>3831</v>
      </c>
      <c r="D1992" s="1" t="s">
        <v>3870</v>
      </c>
      <c r="E1992" s="1" t="s">
        <v>4274</v>
      </c>
      <c r="F1992" s="1" t="s">
        <v>16</v>
      </c>
      <c r="G1992" s="1" t="s">
        <v>17</v>
      </c>
      <c r="H1992" s="1" t="s">
        <v>33</v>
      </c>
      <c r="I1992" s="1" t="s">
        <v>65</v>
      </c>
    </row>
    <row r="1993">
      <c r="A1993" s="1">
        <v>3578764.0</v>
      </c>
      <c r="B1993" s="1" t="s">
        <v>4275</v>
      </c>
      <c r="C1993" s="1" t="s">
        <v>3831</v>
      </c>
      <c r="D1993" s="1" t="s">
        <v>3847</v>
      </c>
      <c r="E1993" s="1" t="s">
        <v>4276</v>
      </c>
      <c r="F1993" s="1" t="s">
        <v>16</v>
      </c>
      <c r="G1993" s="1" t="s">
        <v>27</v>
      </c>
      <c r="H1993" s="1" t="s">
        <v>18</v>
      </c>
      <c r="I1993" s="1" t="s">
        <v>65</v>
      </c>
    </row>
    <row r="1994">
      <c r="A1994" s="1">
        <v>3573257.0</v>
      </c>
      <c r="B1994" s="1" t="s">
        <v>4277</v>
      </c>
      <c r="C1994" s="1" t="s">
        <v>3831</v>
      </c>
      <c r="D1994" s="1" t="s">
        <v>3938</v>
      </c>
      <c r="E1994" s="1" t="s">
        <v>4278</v>
      </c>
      <c r="F1994" s="1" t="s">
        <v>16</v>
      </c>
      <c r="G1994" s="1" t="s">
        <v>27</v>
      </c>
      <c r="H1994" s="1" t="s">
        <v>18</v>
      </c>
      <c r="I1994" s="1" t="s">
        <v>19</v>
      </c>
    </row>
    <row r="1995">
      <c r="A1995" s="1">
        <v>3573276.0</v>
      </c>
      <c r="B1995" s="1" t="s">
        <v>4279</v>
      </c>
      <c r="C1995" s="1" t="s">
        <v>3831</v>
      </c>
      <c r="D1995" s="1" t="s">
        <v>3938</v>
      </c>
      <c r="E1995" s="1" t="s">
        <v>4280</v>
      </c>
      <c r="F1995" s="1" t="s">
        <v>16</v>
      </c>
      <c r="G1995" s="1" t="s">
        <v>23</v>
      </c>
      <c r="H1995" s="1" t="s">
        <v>18</v>
      </c>
      <c r="I1995" s="1" t="s">
        <v>19</v>
      </c>
    </row>
    <row r="1996">
      <c r="A1996" s="1">
        <v>3577099.0</v>
      </c>
      <c r="B1996" s="1" t="s">
        <v>4281</v>
      </c>
      <c r="C1996" s="1" t="s">
        <v>3831</v>
      </c>
      <c r="D1996" s="1" t="s">
        <v>3906</v>
      </c>
      <c r="E1996" s="1" t="s">
        <v>4282</v>
      </c>
      <c r="F1996" s="1" t="s">
        <v>16</v>
      </c>
      <c r="G1996" s="1" t="s">
        <v>17</v>
      </c>
      <c r="H1996" s="1" t="s">
        <v>18</v>
      </c>
      <c r="I1996" s="1" t="s">
        <v>44</v>
      </c>
    </row>
    <row r="1997">
      <c r="A1997" s="1">
        <v>3574023.0</v>
      </c>
      <c r="B1997" s="1" t="s">
        <v>4283</v>
      </c>
      <c r="C1997" s="1" t="s">
        <v>3831</v>
      </c>
      <c r="D1997" s="1" t="s">
        <v>4046</v>
      </c>
      <c r="E1997" s="1" t="s">
        <v>4284</v>
      </c>
      <c r="F1997" s="1" t="s">
        <v>16</v>
      </c>
      <c r="G1997" s="1" t="s">
        <v>23</v>
      </c>
      <c r="H1997" s="1" t="s">
        <v>18</v>
      </c>
      <c r="I1997" s="1" t="s">
        <v>19</v>
      </c>
    </row>
    <row r="1998">
      <c r="A1998" s="1">
        <v>3578224.0</v>
      </c>
      <c r="B1998" s="1" t="s">
        <v>4285</v>
      </c>
      <c r="C1998" s="1" t="s">
        <v>3831</v>
      </c>
      <c r="D1998" s="1" t="s">
        <v>3847</v>
      </c>
      <c r="E1998" s="1" t="s">
        <v>4286</v>
      </c>
      <c r="F1998" s="1" t="s">
        <v>16</v>
      </c>
      <c r="G1998" s="1" t="s">
        <v>27</v>
      </c>
      <c r="H1998" s="1" t="s">
        <v>18</v>
      </c>
      <c r="I1998" s="1" t="s">
        <v>19</v>
      </c>
    </row>
    <row r="1999">
      <c r="A1999" s="1">
        <v>3578767.0</v>
      </c>
      <c r="B1999" s="1" t="s">
        <v>4287</v>
      </c>
      <c r="C1999" s="1" t="s">
        <v>3831</v>
      </c>
      <c r="D1999" s="1" t="s">
        <v>3847</v>
      </c>
      <c r="E1999" s="1" t="s">
        <v>4288</v>
      </c>
      <c r="F1999" s="1" t="s">
        <v>55</v>
      </c>
      <c r="G1999" s="1" t="s">
        <v>17</v>
      </c>
      <c r="H1999" s="1" t="s">
        <v>18</v>
      </c>
      <c r="I1999" s="1" t="s">
        <v>44</v>
      </c>
    </row>
    <row r="2000">
      <c r="A2000" s="1">
        <v>3521013.0</v>
      </c>
      <c r="B2000" s="1" t="s">
        <v>4289</v>
      </c>
      <c r="C2000" s="1" t="s">
        <v>3831</v>
      </c>
      <c r="D2000" s="1" t="s">
        <v>3838</v>
      </c>
      <c r="E2000" s="1" t="s">
        <v>4290</v>
      </c>
      <c r="F2000" s="1" t="s">
        <v>16</v>
      </c>
      <c r="G2000" s="1" t="s">
        <v>17</v>
      </c>
      <c r="H2000" s="1" t="s">
        <v>28</v>
      </c>
      <c r="I2000" s="1" t="s">
        <v>40</v>
      </c>
    </row>
    <row r="2001">
      <c r="A2001" s="1">
        <v>3573247.0</v>
      </c>
      <c r="B2001" s="1" t="s">
        <v>3016</v>
      </c>
      <c r="C2001" s="1" t="s">
        <v>3831</v>
      </c>
      <c r="D2001" s="1" t="s">
        <v>3938</v>
      </c>
      <c r="E2001" s="1" t="s">
        <v>4291</v>
      </c>
      <c r="F2001" s="1" t="s">
        <v>55</v>
      </c>
      <c r="G2001" s="1" t="s">
        <v>17</v>
      </c>
      <c r="H2001" s="1" t="s">
        <v>18</v>
      </c>
      <c r="I2001" s="1" t="s">
        <v>19</v>
      </c>
    </row>
    <row r="2002">
      <c r="A2002" s="1">
        <v>3525089.0</v>
      </c>
      <c r="B2002" s="1" t="s">
        <v>4292</v>
      </c>
      <c r="C2002" s="1" t="s">
        <v>3831</v>
      </c>
      <c r="D2002" s="1" t="s">
        <v>3865</v>
      </c>
      <c r="E2002" s="1" t="s">
        <v>4293</v>
      </c>
      <c r="F2002" s="1" t="s">
        <v>16</v>
      </c>
      <c r="G2002" s="1" t="s">
        <v>23</v>
      </c>
      <c r="H2002" s="1" t="s">
        <v>18</v>
      </c>
      <c r="I2002" s="1" t="s">
        <v>19</v>
      </c>
    </row>
    <row r="2003">
      <c r="A2003" s="1">
        <v>3511013.0</v>
      </c>
      <c r="B2003" s="1" t="s">
        <v>4294</v>
      </c>
      <c r="C2003" s="1" t="s">
        <v>3831</v>
      </c>
      <c r="D2003" s="1" t="s">
        <v>4130</v>
      </c>
      <c r="E2003" s="1" t="s">
        <v>4295</v>
      </c>
      <c r="F2003" s="1" t="s">
        <v>16</v>
      </c>
      <c r="G2003" s="1" t="s">
        <v>17</v>
      </c>
      <c r="H2003" s="1" t="s">
        <v>18</v>
      </c>
      <c r="I2003" s="1" t="s">
        <v>19</v>
      </c>
    </row>
    <row r="2004">
      <c r="A2004" s="1">
        <v>3529040.0</v>
      </c>
      <c r="B2004" s="1" t="s">
        <v>4296</v>
      </c>
      <c r="C2004" s="1" t="s">
        <v>3831</v>
      </c>
      <c r="D2004" s="1" t="s">
        <v>4079</v>
      </c>
      <c r="E2004" s="1" t="s">
        <v>4297</v>
      </c>
      <c r="F2004" s="1" t="s">
        <v>16</v>
      </c>
      <c r="G2004" s="1" t="s">
        <v>23</v>
      </c>
      <c r="H2004" s="1" t="s">
        <v>18</v>
      </c>
      <c r="I2004" s="1" t="s">
        <v>40</v>
      </c>
    </row>
    <row r="2005">
      <c r="A2005" s="1">
        <v>3525087.0</v>
      </c>
      <c r="B2005" s="1" t="s">
        <v>4298</v>
      </c>
      <c r="C2005" s="1" t="s">
        <v>3831</v>
      </c>
      <c r="D2005" s="1" t="s">
        <v>3865</v>
      </c>
      <c r="E2005" s="1" t="s">
        <v>4299</v>
      </c>
      <c r="F2005" s="1" t="s">
        <v>16</v>
      </c>
      <c r="G2005" s="1" t="s">
        <v>23</v>
      </c>
      <c r="H2005" s="1" t="s">
        <v>18</v>
      </c>
      <c r="I2005" s="1" t="s">
        <v>19</v>
      </c>
    </row>
    <row r="2006">
      <c r="A2006" s="1">
        <v>3514052.0</v>
      </c>
      <c r="B2006" s="1" t="s">
        <v>4300</v>
      </c>
      <c r="C2006" s="1" t="s">
        <v>3831</v>
      </c>
      <c r="D2006" s="1" t="s">
        <v>3875</v>
      </c>
      <c r="E2006" s="1" t="s">
        <v>4301</v>
      </c>
      <c r="F2006" s="1" t="s">
        <v>16</v>
      </c>
      <c r="G2006" s="1" t="s">
        <v>23</v>
      </c>
      <c r="H2006" s="1" t="s">
        <v>33</v>
      </c>
      <c r="I2006" s="1" t="s">
        <v>65</v>
      </c>
    </row>
    <row r="2007">
      <c r="A2007" s="1">
        <v>3505045.0</v>
      </c>
      <c r="B2007" s="1" t="s">
        <v>4302</v>
      </c>
      <c r="C2007" s="1" t="s">
        <v>3831</v>
      </c>
      <c r="D2007" s="1" t="s">
        <v>3859</v>
      </c>
      <c r="E2007" s="1" t="s">
        <v>4303</v>
      </c>
      <c r="F2007" s="1" t="s">
        <v>16</v>
      </c>
      <c r="G2007" s="1" t="s">
        <v>17</v>
      </c>
      <c r="H2007" s="1" t="s">
        <v>28</v>
      </c>
      <c r="I2007" s="1" t="s">
        <v>40</v>
      </c>
    </row>
    <row r="2008">
      <c r="A2008" s="1">
        <v>3512052.0</v>
      </c>
      <c r="B2008" s="1" t="s">
        <v>4304</v>
      </c>
      <c r="C2008" s="1" t="s">
        <v>3831</v>
      </c>
      <c r="D2008" s="1" t="s">
        <v>3967</v>
      </c>
      <c r="E2008" s="1" t="s">
        <v>4305</v>
      </c>
      <c r="F2008" s="1" t="s">
        <v>16</v>
      </c>
      <c r="G2008" s="1" t="s">
        <v>23</v>
      </c>
      <c r="H2008" s="1" t="s">
        <v>18</v>
      </c>
      <c r="I2008" s="1" t="s">
        <v>19</v>
      </c>
    </row>
    <row r="2009">
      <c r="A2009" s="1">
        <v>3509010.0</v>
      </c>
      <c r="B2009" s="1" t="s">
        <v>4306</v>
      </c>
      <c r="C2009" s="1" t="s">
        <v>3831</v>
      </c>
      <c r="D2009" s="1" t="s">
        <v>3890</v>
      </c>
      <c r="E2009" s="1" t="s">
        <v>4307</v>
      </c>
      <c r="F2009" s="1" t="s">
        <v>16</v>
      </c>
      <c r="G2009" s="1" t="s">
        <v>27</v>
      </c>
      <c r="H2009" s="1" t="s">
        <v>28</v>
      </c>
      <c r="I2009" s="1" t="s">
        <v>40</v>
      </c>
    </row>
    <row r="2010">
      <c r="A2010" s="1">
        <v>3578090.0</v>
      </c>
      <c r="B2010" s="1" t="s">
        <v>4308</v>
      </c>
      <c r="C2010" s="1" t="s">
        <v>3831</v>
      </c>
      <c r="D2010" s="1" t="s">
        <v>3847</v>
      </c>
      <c r="E2010" s="1" t="s">
        <v>4309</v>
      </c>
      <c r="F2010" s="1" t="s">
        <v>16</v>
      </c>
      <c r="G2010" s="1" t="s">
        <v>23</v>
      </c>
      <c r="H2010" s="1" t="s">
        <v>18</v>
      </c>
      <c r="I2010" s="1" t="s">
        <v>95</v>
      </c>
    </row>
    <row r="2011">
      <c r="A2011" s="1">
        <v>3573260.0</v>
      </c>
      <c r="B2011" s="1" t="s">
        <v>4310</v>
      </c>
      <c r="C2011" s="1" t="s">
        <v>3831</v>
      </c>
      <c r="D2011" s="1" t="s">
        <v>3938</v>
      </c>
      <c r="E2011" s="1" t="s">
        <v>4311</v>
      </c>
      <c r="F2011" s="1" t="s">
        <v>55</v>
      </c>
      <c r="G2011" s="1" t="s">
        <v>17</v>
      </c>
      <c r="H2011" s="1" t="s">
        <v>18</v>
      </c>
      <c r="I2011" s="1" t="s">
        <v>163</v>
      </c>
    </row>
    <row r="2012">
      <c r="A2012" s="1">
        <v>3515146.0</v>
      </c>
      <c r="B2012" s="1" t="s">
        <v>4312</v>
      </c>
      <c r="C2012" s="1" t="s">
        <v>3831</v>
      </c>
      <c r="D2012" s="1" t="s">
        <v>3870</v>
      </c>
      <c r="E2012" s="1" t="s">
        <v>4313</v>
      </c>
      <c r="F2012" s="1" t="s">
        <v>16</v>
      </c>
      <c r="G2012" s="1" t="s">
        <v>23</v>
      </c>
      <c r="H2012" s="1" t="s">
        <v>18</v>
      </c>
      <c r="I2012" s="1" t="s">
        <v>19</v>
      </c>
    </row>
    <row r="2013">
      <c r="A2013" s="1">
        <v>3571031.0</v>
      </c>
      <c r="B2013" s="1" t="s">
        <v>4314</v>
      </c>
      <c r="C2013" s="1" t="s">
        <v>3831</v>
      </c>
      <c r="D2013" s="1" t="s">
        <v>3930</v>
      </c>
      <c r="E2013" s="1" t="s">
        <v>4315</v>
      </c>
      <c r="F2013" s="1" t="s">
        <v>16</v>
      </c>
      <c r="G2013" s="1" t="s">
        <v>27</v>
      </c>
      <c r="H2013" s="1" t="s">
        <v>33</v>
      </c>
      <c r="I2013" s="1" t="s">
        <v>65</v>
      </c>
    </row>
    <row r="2014">
      <c r="A2014" s="1">
        <v>3574069.0</v>
      </c>
      <c r="B2014" s="1" t="s">
        <v>4316</v>
      </c>
      <c r="C2014" s="1" t="s">
        <v>3831</v>
      </c>
      <c r="D2014" s="1" t="s">
        <v>4046</v>
      </c>
      <c r="E2014" s="1" t="s">
        <v>4317</v>
      </c>
      <c r="F2014" s="1" t="s">
        <v>55</v>
      </c>
      <c r="G2014" s="1" t="s">
        <v>17</v>
      </c>
      <c r="H2014" s="1" t="s">
        <v>18</v>
      </c>
      <c r="I2014" s="1" t="s">
        <v>19</v>
      </c>
    </row>
    <row r="2015">
      <c r="A2015" s="1">
        <v>3525102.0</v>
      </c>
      <c r="B2015" s="1" t="s">
        <v>4318</v>
      </c>
      <c r="C2015" s="1" t="s">
        <v>3831</v>
      </c>
      <c r="D2015" s="1" t="s">
        <v>3865</v>
      </c>
      <c r="E2015" s="1" t="s">
        <v>4319</v>
      </c>
      <c r="F2015" s="1" t="s">
        <v>16</v>
      </c>
      <c r="G2015" s="1" t="s">
        <v>23</v>
      </c>
      <c r="H2015" s="1" t="s">
        <v>18</v>
      </c>
      <c r="I2015" s="1" t="s">
        <v>44</v>
      </c>
    </row>
    <row r="2016">
      <c r="A2016" s="1">
        <v>3573264.0</v>
      </c>
      <c r="B2016" s="1" t="s">
        <v>4320</v>
      </c>
      <c r="C2016" s="1" t="s">
        <v>3831</v>
      </c>
      <c r="D2016" s="1" t="s">
        <v>3938</v>
      </c>
      <c r="E2016" s="1" t="s">
        <v>4321</v>
      </c>
      <c r="F2016" s="1" t="s">
        <v>55</v>
      </c>
      <c r="G2016" s="1" t="s">
        <v>17</v>
      </c>
      <c r="H2016" s="1" t="s">
        <v>18</v>
      </c>
      <c r="I2016" s="1" t="s">
        <v>19</v>
      </c>
    </row>
    <row r="2017">
      <c r="A2017" s="1">
        <v>3512034.0</v>
      </c>
      <c r="B2017" s="1" t="s">
        <v>4322</v>
      </c>
      <c r="C2017" s="1" t="s">
        <v>3831</v>
      </c>
      <c r="D2017" s="1" t="s">
        <v>3967</v>
      </c>
      <c r="E2017" s="1" t="s">
        <v>4323</v>
      </c>
      <c r="F2017" s="1" t="s">
        <v>16</v>
      </c>
      <c r="G2017" s="1" t="s">
        <v>17</v>
      </c>
      <c r="H2017" s="1" t="s">
        <v>18</v>
      </c>
      <c r="I2017" s="1" t="s">
        <v>19</v>
      </c>
    </row>
    <row r="2018">
      <c r="A2018" s="1">
        <v>3578593.0</v>
      </c>
      <c r="B2018" s="1" t="s">
        <v>4324</v>
      </c>
      <c r="C2018" s="1" t="s">
        <v>3831</v>
      </c>
      <c r="D2018" s="1" t="s">
        <v>3847</v>
      </c>
      <c r="E2018" s="1" t="s">
        <v>4325</v>
      </c>
      <c r="F2018" s="1" t="s">
        <v>55</v>
      </c>
      <c r="G2018" s="1" t="s">
        <v>17</v>
      </c>
      <c r="H2018" s="1" t="s">
        <v>18</v>
      </c>
      <c r="I2018" s="1" t="s">
        <v>59</v>
      </c>
    </row>
    <row r="2019">
      <c r="A2019" s="1">
        <v>3578789.0</v>
      </c>
      <c r="B2019" s="1" t="s">
        <v>4326</v>
      </c>
      <c r="C2019" s="1" t="s">
        <v>3831</v>
      </c>
      <c r="D2019" s="1" t="s">
        <v>3847</v>
      </c>
      <c r="E2019" s="1" t="s">
        <v>4327</v>
      </c>
      <c r="F2019" s="1" t="s">
        <v>55</v>
      </c>
      <c r="G2019" s="1" t="s">
        <v>17</v>
      </c>
      <c r="H2019" s="1" t="s">
        <v>18</v>
      </c>
      <c r="I2019" s="1" t="s">
        <v>19</v>
      </c>
    </row>
    <row r="2020">
      <c r="A2020" s="1">
        <v>3573135.0</v>
      </c>
      <c r="B2020" s="1" t="s">
        <v>4328</v>
      </c>
      <c r="C2020" s="1" t="s">
        <v>3831</v>
      </c>
      <c r="D2020" s="1" t="s">
        <v>3938</v>
      </c>
      <c r="E2020" s="1" t="s">
        <v>4329</v>
      </c>
      <c r="F2020" s="1" t="s">
        <v>55</v>
      </c>
      <c r="G2020" s="1" t="s">
        <v>17</v>
      </c>
      <c r="H2020" s="1" t="s">
        <v>18</v>
      </c>
      <c r="I2020" s="1" t="s">
        <v>19</v>
      </c>
    </row>
    <row r="2021">
      <c r="A2021" s="1">
        <v>3522062.0</v>
      </c>
      <c r="B2021" s="1" t="s">
        <v>4330</v>
      </c>
      <c r="C2021" s="1" t="s">
        <v>3831</v>
      </c>
      <c r="D2021" s="1" t="s">
        <v>3897</v>
      </c>
      <c r="E2021" s="1" t="s">
        <v>4331</v>
      </c>
      <c r="F2021" s="1" t="s">
        <v>16</v>
      </c>
      <c r="G2021" s="1" t="s">
        <v>23</v>
      </c>
      <c r="H2021" s="1" t="s">
        <v>18</v>
      </c>
      <c r="I2021" s="1" t="s">
        <v>684</v>
      </c>
    </row>
    <row r="2022">
      <c r="A2022" s="1">
        <v>3525101.0</v>
      </c>
      <c r="B2022" s="1" t="s">
        <v>4332</v>
      </c>
      <c r="C2022" s="1" t="s">
        <v>3831</v>
      </c>
      <c r="D2022" s="1" t="s">
        <v>3865</v>
      </c>
      <c r="E2022" s="1" t="s">
        <v>4333</v>
      </c>
      <c r="F2022" s="1" t="s">
        <v>16</v>
      </c>
      <c r="G2022" s="1" t="s">
        <v>23</v>
      </c>
      <c r="H2022" s="1" t="s">
        <v>28</v>
      </c>
      <c r="I2022" s="1" t="s">
        <v>40</v>
      </c>
    </row>
    <row r="2023">
      <c r="A2023" s="1">
        <v>3512039.0</v>
      </c>
      <c r="B2023" s="1" t="s">
        <v>4334</v>
      </c>
      <c r="C2023" s="1" t="s">
        <v>3831</v>
      </c>
      <c r="D2023" s="1" t="s">
        <v>3967</v>
      </c>
      <c r="E2023" s="1" t="s">
        <v>4335</v>
      </c>
      <c r="F2023" s="1" t="s">
        <v>55</v>
      </c>
      <c r="G2023" s="1" t="s">
        <v>17</v>
      </c>
      <c r="H2023" s="1" t="s">
        <v>18</v>
      </c>
      <c r="I2023" s="1" t="s">
        <v>19</v>
      </c>
    </row>
    <row r="2024">
      <c r="A2024" s="1">
        <v>3503062.0</v>
      </c>
      <c r="B2024" s="1" t="s">
        <v>4336</v>
      </c>
      <c r="C2024" s="1" t="s">
        <v>3831</v>
      </c>
      <c r="D2024" s="1" t="s">
        <v>4238</v>
      </c>
      <c r="E2024" s="1" t="s">
        <v>4337</v>
      </c>
      <c r="F2024" s="1" t="s">
        <v>16</v>
      </c>
      <c r="G2024" s="1" t="s">
        <v>23</v>
      </c>
      <c r="H2024" s="1" t="s">
        <v>28</v>
      </c>
      <c r="I2024" s="1" t="s">
        <v>40</v>
      </c>
    </row>
    <row r="2025">
      <c r="A2025" s="1">
        <v>3507261.0</v>
      </c>
      <c r="B2025" s="1" t="s">
        <v>4338</v>
      </c>
      <c r="C2025" s="1" t="s">
        <v>3831</v>
      </c>
      <c r="D2025" s="1" t="s">
        <v>3862</v>
      </c>
      <c r="E2025" s="1" t="s">
        <v>4339</v>
      </c>
      <c r="F2025" s="1" t="s">
        <v>16</v>
      </c>
      <c r="G2025" s="1" t="s">
        <v>23</v>
      </c>
      <c r="H2025" s="1" t="s">
        <v>18</v>
      </c>
      <c r="I2025" s="1" t="s">
        <v>19</v>
      </c>
    </row>
    <row r="2026">
      <c r="A2026" s="1">
        <v>3517043.0</v>
      </c>
      <c r="B2026" s="1" t="s">
        <v>4340</v>
      </c>
      <c r="C2026" s="1" t="s">
        <v>3831</v>
      </c>
      <c r="D2026" s="1" t="s">
        <v>3956</v>
      </c>
      <c r="E2026" s="1" t="s">
        <v>4341</v>
      </c>
      <c r="F2026" s="1" t="s">
        <v>55</v>
      </c>
      <c r="G2026" s="1" t="s">
        <v>17</v>
      </c>
      <c r="H2026" s="1" t="s">
        <v>18</v>
      </c>
      <c r="I2026" s="1" t="s">
        <v>19</v>
      </c>
    </row>
    <row r="2027">
      <c r="A2027" s="1">
        <v>3525088.0</v>
      </c>
      <c r="B2027" s="1" t="s">
        <v>4342</v>
      </c>
      <c r="C2027" s="1" t="s">
        <v>3831</v>
      </c>
      <c r="D2027" s="1" t="s">
        <v>3865</v>
      </c>
      <c r="E2027" s="1" t="s">
        <v>4343</v>
      </c>
      <c r="F2027" s="1" t="s">
        <v>16</v>
      </c>
      <c r="G2027" s="1" t="s">
        <v>17</v>
      </c>
      <c r="H2027" s="1" t="s">
        <v>18</v>
      </c>
      <c r="I2027" s="1" t="s">
        <v>684</v>
      </c>
    </row>
    <row r="2028">
      <c r="A2028" s="1">
        <v>3528040.0</v>
      </c>
      <c r="B2028" s="1" t="s">
        <v>4344</v>
      </c>
      <c r="C2028" s="1" t="s">
        <v>3831</v>
      </c>
      <c r="D2028" s="1" t="s">
        <v>3841</v>
      </c>
      <c r="E2028" s="1" t="s">
        <v>4345</v>
      </c>
      <c r="F2028" s="1" t="s">
        <v>55</v>
      </c>
      <c r="G2028" s="1" t="s">
        <v>17</v>
      </c>
      <c r="H2028" s="1" t="s">
        <v>18</v>
      </c>
      <c r="I2028" s="1" t="s">
        <v>684</v>
      </c>
    </row>
    <row r="2029">
      <c r="A2029" s="1">
        <v>3504012.0</v>
      </c>
      <c r="B2029" s="1" t="s">
        <v>4346</v>
      </c>
      <c r="C2029" s="1" t="s">
        <v>3831</v>
      </c>
      <c r="D2029" s="1" t="s">
        <v>3850</v>
      </c>
      <c r="E2029" s="1" t="s">
        <v>4347</v>
      </c>
      <c r="F2029" s="1" t="s">
        <v>16</v>
      </c>
      <c r="G2029" s="1" t="s">
        <v>27</v>
      </c>
      <c r="H2029" s="1" t="s">
        <v>28</v>
      </c>
      <c r="I2029" s="1" t="s">
        <v>40</v>
      </c>
    </row>
    <row r="2030">
      <c r="A2030" s="1">
        <v>3577015.0</v>
      </c>
      <c r="B2030" s="1" t="s">
        <v>4348</v>
      </c>
      <c r="C2030" s="1" t="s">
        <v>3831</v>
      </c>
      <c r="D2030" s="1" t="s">
        <v>3906</v>
      </c>
      <c r="E2030" s="1" t="s">
        <v>4349</v>
      </c>
      <c r="F2030" s="1" t="s">
        <v>16</v>
      </c>
      <c r="G2030" s="1" t="s">
        <v>27</v>
      </c>
      <c r="H2030" s="1" t="s">
        <v>28</v>
      </c>
      <c r="I2030" s="1" t="s">
        <v>139</v>
      </c>
    </row>
    <row r="2031">
      <c r="A2031" s="1">
        <v>3506060.0</v>
      </c>
      <c r="B2031" s="1" t="s">
        <v>4350</v>
      </c>
      <c r="C2031" s="1" t="s">
        <v>3831</v>
      </c>
      <c r="D2031" s="1" t="s">
        <v>3894</v>
      </c>
      <c r="E2031" s="1" t="s">
        <v>4351</v>
      </c>
      <c r="F2031" s="1" t="s">
        <v>55</v>
      </c>
      <c r="G2031" s="1" t="s">
        <v>17</v>
      </c>
      <c r="H2031" s="1" t="s">
        <v>18</v>
      </c>
      <c r="I2031" s="1" t="s">
        <v>19</v>
      </c>
    </row>
    <row r="2032">
      <c r="A2032" s="1">
        <v>3509135.0</v>
      </c>
      <c r="B2032" s="1" t="s">
        <v>4352</v>
      </c>
      <c r="C2032" s="1" t="s">
        <v>3831</v>
      </c>
      <c r="D2032" s="1" t="s">
        <v>3890</v>
      </c>
      <c r="E2032" s="1" t="s">
        <v>4353</v>
      </c>
      <c r="F2032" s="1" t="s">
        <v>16</v>
      </c>
      <c r="G2032" s="1" t="s">
        <v>17</v>
      </c>
      <c r="H2032" s="1" t="s">
        <v>18</v>
      </c>
      <c r="I2032" s="1" t="s">
        <v>19</v>
      </c>
    </row>
    <row r="2033">
      <c r="A2033" s="1">
        <v>3507107.0</v>
      </c>
      <c r="B2033" s="1" t="s">
        <v>4354</v>
      </c>
      <c r="C2033" s="1" t="s">
        <v>3831</v>
      </c>
      <c r="D2033" s="1" t="s">
        <v>3862</v>
      </c>
      <c r="E2033" s="1" t="s">
        <v>4355</v>
      </c>
      <c r="F2033" s="1" t="s">
        <v>16</v>
      </c>
      <c r="G2033" s="1" t="s">
        <v>23</v>
      </c>
      <c r="H2033" s="1" t="s">
        <v>18</v>
      </c>
      <c r="I2033" s="1" t="s">
        <v>19</v>
      </c>
    </row>
    <row r="2034">
      <c r="A2034" s="1">
        <v>3524050.0</v>
      </c>
      <c r="B2034" s="1" t="s">
        <v>2161</v>
      </c>
      <c r="C2034" s="1" t="s">
        <v>3831</v>
      </c>
      <c r="D2034" s="1" t="s">
        <v>3856</v>
      </c>
      <c r="E2034" s="1" t="s">
        <v>4356</v>
      </c>
      <c r="F2034" s="1" t="s">
        <v>16</v>
      </c>
      <c r="G2034" s="1" t="s">
        <v>23</v>
      </c>
      <c r="H2034" s="1" t="s">
        <v>33</v>
      </c>
      <c r="I2034" s="1" t="s">
        <v>19</v>
      </c>
    </row>
    <row r="2035">
      <c r="A2035" s="1">
        <v>3522075.0</v>
      </c>
      <c r="B2035" s="1" t="s">
        <v>4357</v>
      </c>
      <c r="C2035" s="1" t="s">
        <v>3831</v>
      </c>
      <c r="D2035" s="1" t="s">
        <v>3897</v>
      </c>
      <c r="E2035" s="1" t="s">
        <v>4358</v>
      </c>
      <c r="F2035" s="1" t="s">
        <v>16</v>
      </c>
      <c r="G2035" s="1" t="s">
        <v>23</v>
      </c>
      <c r="H2035" s="1" t="s">
        <v>18</v>
      </c>
      <c r="I2035" s="1" t="s">
        <v>40</v>
      </c>
    </row>
    <row r="2036">
      <c r="A2036" s="1">
        <v>3524016.0</v>
      </c>
      <c r="B2036" s="1" t="s">
        <v>4359</v>
      </c>
      <c r="C2036" s="1" t="s">
        <v>3831</v>
      </c>
      <c r="D2036" s="1" t="s">
        <v>3856</v>
      </c>
      <c r="E2036" s="1" t="s">
        <v>4360</v>
      </c>
      <c r="F2036" s="1" t="s">
        <v>16</v>
      </c>
      <c r="G2036" s="1" t="s">
        <v>27</v>
      </c>
      <c r="H2036" s="1" t="s">
        <v>28</v>
      </c>
      <c r="I2036" s="1" t="s">
        <v>40</v>
      </c>
    </row>
    <row r="2037">
      <c r="A2037" s="1">
        <v>3522060.0</v>
      </c>
      <c r="B2037" s="1" t="s">
        <v>4361</v>
      </c>
      <c r="C2037" s="1" t="s">
        <v>3831</v>
      </c>
      <c r="D2037" s="1" t="s">
        <v>3897</v>
      </c>
      <c r="E2037" s="1" t="s">
        <v>4362</v>
      </c>
      <c r="F2037" s="1" t="s">
        <v>16</v>
      </c>
      <c r="G2037" s="1" t="s">
        <v>23</v>
      </c>
      <c r="H2037" s="1" t="s">
        <v>18</v>
      </c>
      <c r="I2037" s="1" t="s">
        <v>19</v>
      </c>
    </row>
    <row r="2038">
      <c r="A2038" s="1">
        <v>3527012.0</v>
      </c>
      <c r="B2038" s="1" t="s">
        <v>4363</v>
      </c>
      <c r="C2038" s="1" t="s">
        <v>3831</v>
      </c>
      <c r="D2038" s="1" t="s">
        <v>3925</v>
      </c>
      <c r="E2038" s="1" t="s">
        <v>4364</v>
      </c>
      <c r="F2038" s="1" t="s">
        <v>16</v>
      </c>
      <c r="G2038" s="1" t="s">
        <v>27</v>
      </c>
      <c r="H2038" s="1" t="s">
        <v>28</v>
      </c>
      <c r="I2038" s="1" t="s">
        <v>40</v>
      </c>
    </row>
    <row r="2039">
      <c r="A2039" s="1">
        <v>3578235.0</v>
      </c>
      <c r="B2039" s="1" t="s">
        <v>4365</v>
      </c>
      <c r="C2039" s="1" t="s">
        <v>3831</v>
      </c>
      <c r="D2039" s="1" t="s">
        <v>3847</v>
      </c>
      <c r="E2039" s="1" t="s">
        <v>4366</v>
      </c>
      <c r="F2039" s="1" t="s">
        <v>16</v>
      </c>
      <c r="G2039" s="1" t="s">
        <v>23</v>
      </c>
      <c r="H2039" s="1" t="s">
        <v>18</v>
      </c>
      <c r="I2039" s="1" t="s">
        <v>19</v>
      </c>
    </row>
    <row r="2040">
      <c r="A2040" s="1">
        <v>3577052.0</v>
      </c>
      <c r="B2040" s="1" t="s">
        <v>4367</v>
      </c>
      <c r="C2040" s="1" t="s">
        <v>3831</v>
      </c>
      <c r="D2040" s="1" t="s">
        <v>3906</v>
      </c>
      <c r="E2040" s="1" t="s">
        <v>4368</v>
      </c>
      <c r="F2040" s="1" t="s">
        <v>55</v>
      </c>
      <c r="G2040" s="1" t="s">
        <v>17</v>
      </c>
      <c r="H2040" s="1" t="s">
        <v>18</v>
      </c>
      <c r="I2040" s="1" t="s">
        <v>19</v>
      </c>
    </row>
    <row r="2041">
      <c r="A2041" s="1">
        <v>3516034.0</v>
      </c>
      <c r="B2041" s="1" t="s">
        <v>4369</v>
      </c>
      <c r="C2041" s="1" t="s">
        <v>3831</v>
      </c>
      <c r="D2041" s="1" t="s">
        <v>3909</v>
      </c>
      <c r="E2041" s="1" t="s">
        <v>4370</v>
      </c>
      <c r="F2041" s="1" t="s">
        <v>16</v>
      </c>
      <c r="G2041" s="1" t="s">
        <v>23</v>
      </c>
      <c r="H2041" s="1" t="s">
        <v>18</v>
      </c>
      <c r="I2041" s="1" t="s">
        <v>19</v>
      </c>
    </row>
    <row r="2042">
      <c r="A2042" s="1">
        <v>3510021.0</v>
      </c>
      <c r="B2042" s="1" t="s">
        <v>2256</v>
      </c>
      <c r="C2042" s="1" t="s">
        <v>3831</v>
      </c>
      <c r="D2042" s="1" t="s">
        <v>3844</v>
      </c>
      <c r="E2042" s="1" t="s">
        <v>4371</v>
      </c>
      <c r="F2042" s="1" t="s">
        <v>16</v>
      </c>
      <c r="G2042" s="1" t="s">
        <v>17</v>
      </c>
      <c r="H2042" s="1" t="s">
        <v>18</v>
      </c>
      <c r="I2042" s="1" t="s">
        <v>19</v>
      </c>
    </row>
    <row r="2043">
      <c r="A2043" s="1">
        <v>3578443.0</v>
      </c>
      <c r="B2043" s="1" t="s">
        <v>4372</v>
      </c>
      <c r="C2043" s="1" t="s">
        <v>3831</v>
      </c>
      <c r="D2043" s="1" t="s">
        <v>3847</v>
      </c>
      <c r="E2043" s="1" t="s">
        <v>4373</v>
      </c>
      <c r="F2043" s="1" t="s">
        <v>16</v>
      </c>
      <c r="G2043" s="1" t="s">
        <v>27</v>
      </c>
      <c r="H2043" s="1" t="s">
        <v>18</v>
      </c>
      <c r="I2043" s="1" t="s">
        <v>19</v>
      </c>
    </row>
    <row r="2044">
      <c r="A2044" s="1">
        <v>3579003.0</v>
      </c>
      <c r="B2044" s="1" t="s">
        <v>4374</v>
      </c>
      <c r="C2044" s="1" t="s">
        <v>3831</v>
      </c>
      <c r="D2044" s="1" t="s">
        <v>3922</v>
      </c>
      <c r="E2044" s="1" t="s">
        <v>4375</v>
      </c>
      <c r="F2044" s="1" t="s">
        <v>16</v>
      </c>
      <c r="G2044" s="1" t="s">
        <v>17</v>
      </c>
      <c r="H2044" s="1" t="s">
        <v>33</v>
      </c>
      <c r="I2044" s="1" t="s">
        <v>65</v>
      </c>
    </row>
    <row r="2045">
      <c r="A2045" s="1">
        <v>3573011.0</v>
      </c>
      <c r="B2045" s="1" t="s">
        <v>4376</v>
      </c>
      <c r="C2045" s="1" t="s">
        <v>3831</v>
      </c>
      <c r="D2045" s="1" t="s">
        <v>3938</v>
      </c>
      <c r="E2045" s="1" t="s">
        <v>4377</v>
      </c>
      <c r="F2045" s="1" t="s">
        <v>16</v>
      </c>
      <c r="G2045" s="1" t="s">
        <v>150</v>
      </c>
      <c r="H2045" s="1" t="s">
        <v>28</v>
      </c>
      <c r="I2045" s="1" t="s">
        <v>139</v>
      </c>
    </row>
    <row r="2046">
      <c r="A2046" s="1">
        <v>3526032.0</v>
      </c>
      <c r="B2046" s="1" t="s">
        <v>4378</v>
      </c>
      <c r="C2046" s="1" t="s">
        <v>3831</v>
      </c>
      <c r="D2046" s="1" t="s">
        <v>3832</v>
      </c>
      <c r="E2046" s="1" t="s">
        <v>4379</v>
      </c>
      <c r="F2046" s="1" t="s">
        <v>255</v>
      </c>
      <c r="G2046" s="1" t="s">
        <v>17</v>
      </c>
      <c r="H2046" s="1" t="s">
        <v>33</v>
      </c>
      <c r="I2046" s="1" t="s">
        <v>19</v>
      </c>
    </row>
    <row r="2047">
      <c r="A2047" s="1">
        <v>3507260.0</v>
      </c>
      <c r="B2047" s="1" t="s">
        <v>4380</v>
      </c>
      <c r="C2047" s="1" t="s">
        <v>3831</v>
      </c>
      <c r="D2047" s="1" t="s">
        <v>3862</v>
      </c>
      <c r="E2047" s="1" t="s">
        <v>4381</v>
      </c>
      <c r="F2047" s="1" t="s">
        <v>16</v>
      </c>
      <c r="G2047" s="1" t="s">
        <v>23</v>
      </c>
      <c r="H2047" s="1" t="s">
        <v>18</v>
      </c>
      <c r="I2047" s="1" t="s">
        <v>40</v>
      </c>
    </row>
    <row r="2048">
      <c r="A2048" s="1">
        <v>3515106.0</v>
      </c>
      <c r="B2048" s="1" t="s">
        <v>4382</v>
      </c>
      <c r="C2048" s="1" t="s">
        <v>3831</v>
      </c>
      <c r="D2048" s="1" t="s">
        <v>3870</v>
      </c>
      <c r="E2048" s="1" t="s">
        <v>4383</v>
      </c>
      <c r="F2048" s="1" t="s">
        <v>16</v>
      </c>
      <c r="G2048" s="1" t="s">
        <v>27</v>
      </c>
      <c r="H2048" s="1" t="s">
        <v>18</v>
      </c>
      <c r="I2048" s="1" t="s">
        <v>19</v>
      </c>
    </row>
    <row r="2049">
      <c r="A2049" s="1">
        <v>3509140.0</v>
      </c>
      <c r="B2049" s="1" t="s">
        <v>4384</v>
      </c>
      <c r="C2049" s="1" t="s">
        <v>3831</v>
      </c>
      <c r="D2049" s="1" t="s">
        <v>3890</v>
      </c>
      <c r="E2049" s="1" t="s">
        <v>4385</v>
      </c>
      <c r="F2049" s="1" t="s">
        <v>16</v>
      </c>
      <c r="G2049" s="1" t="s">
        <v>17</v>
      </c>
      <c r="H2049" s="1" t="s">
        <v>18</v>
      </c>
      <c r="I2049" s="1" t="s">
        <v>19</v>
      </c>
    </row>
    <row r="2050">
      <c r="A2050" s="1">
        <v>3502010.0</v>
      </c>
      <c r="B2050" s="1" t="s">
        <v>4386</v>
      </c>
      <c r="C2050" s="1" t="s">
        <v>3831</v>
      </c>
      <c r="D2050" s="1" t="s">
        <v>4013</v>
      </c>
      <c r="E2050" s="1" t="s">
        <v>4387</v>
      </c>
      <c r="F2050" s="1" t="s">
        <v>16</v>
      </c>
      <c r="G2050" s="1" t="s">
        <v>27</v>
      </c>
      <c r="H2050" s="1" t="s">
        <v>28</v>
      </c>
      <c r="I2050" s="1" t="s">
        <v>40</v>
      </c>
    </row>
    <row r="2051">
      <c r="A2051" s="1">
        <v>3575013.0</v>
      </c>
      <c r="B2051" s="1" t="s">
        <v>4388</v>
      </c>
      <c r="C2051" s="1" t="s">
        <v>3831</v>
      </c>
      <c r="D2051" s="1" t="s">
        <v>4156</v>
      </c>
      <c r="E2051" s="1" t="s">
        <v>4389</v>
      </c>
      <c r="F2051" s="1" t="s">
        <v>16</v>
      </c>
      <c r="G2051" s="1" t="s">
        <v>17</v>
      </c>
      <c r="H2051" s="1" t="s">
        <v>28</v>
      </c>
      <c r="I2051" s="1" t="s">
        <v>29</v>
      </c>
    </row>
    <row r="2052">
      <c r="A2052" s="1">
        <v>3578770.0</v>
      </c>
      <c r="B2052" s="1" t="s">
        <v>4390</v>
      </c>
      <c r="C2052" s="1" t="s">
        <v>3831</v>
      </c>
      <c r="D2052" s="1" t="s">
        <v>3847</v>
      </c>
      <c r="E2052" s="1" t="s">
        <v>4391</v>
      </c>
      <c r="F2052" s="1" t="s">
        <v>16</v>
      </c>
      <c r="G2052" s="1" t="s">
        <v>23</v>
      </c>
      <c r="H2052" s="1" t="s">
        <v>18</v>
      </c>
      <c r="I2052" s="1" t="s">
        <v>59</v>
      </c>
    </row>
    <row r="2053">
      <c r="A2053" s="1">
        <v>3515133.0</v>
      </c>
      <c r="B2053" s="1" t="s">
        <v>4392</v>
      </c>
      <c r="C2053" s="1" t="s">
        <v>3831</v>
      </c>
      <c r="D2053" s="1" t="s">
        <v>3870</v>
      </c>
      <c r="E2053" s="1" t="s">
        <v>4393</v>
      </c>
      <c r="F2053" s="1" t="s">
        <v>55</v>
      </c>
      <c r="G2053" s="1" t="s">
        <v>17</v>
      </c>
      <c r="H2053" s="1" t="s">
        <v>18</v>
      </c>
      <c r="I2053" s="1" t="s">
        <v>19</v>
      </c>
    </row>
    <row r="2054">
      <c r="A2054" s="1">
        <v>3525097.0</v>
      </c>
      <c r="B2054" s="1" t="s">
        <v>4394</v>
      </c>
      <c r="C2054" s="1" t="s">
        <v>3831</v>
      </c>
      <c r="D2054" s="1" t="s">
        <v>3865</v>
      </c>
      <c r="E2054" s="1" t="s">
        <v>4395</v>
      </c>
      <c r="F2054" s="1" t="s">
        <v>16</v>
      </c>
      <c r="G2054" s="1" t="s">
        <v>23</v>
      </c>
      <c r="H2054" s="1" t="s">
        <v>18</v>
      </c>
      <c r="I2054" s="1" t="s">
        <v>19</v>
      </c>
    </row>
    <row r="2055">
      <c r="A2055" s="1">
        <v>3512038.0</v>
      </c>
      <c r="B2055" s="1" t="s">
        <v>4396</v>
      </c>
      <c r="C2055" s="1" t="s">
        <v>3831</v>
      </c>
      <c r="D2055" s="1" t="s">
        <v>3967</v>
      </c>
      <c r="E2055" s="1" t="s">
        <v>4397</v>
      </c>
      <c r="F2055" s="1" t="s">
        <v>16</v>
      </c>
      <c r="G2055" s="1" t="s">
        <v>23</v>
      </c>
      <c r="H2055" s="1" t="s">
        <v>18</v>
      </c>
      <c r="I2055" s="1" t="s">
        <v>19</v>
      </c>
    </row>
    <row r="2056">
      <c r="A2056" s="1">
        <v>3517098.0</v>
      </c>
      <c r="B2056" s="1" t="s">
        <v>4398</v>
      </c>
      <c r="C2056" s="1" t="s">
        <v>3831</v>
      </c>
      <c r="D2056" s="1" t="s">
        <v>3956</v>
      </c>
      <c r="E2056" s="1" t="s">
        <v>4399</v>
      </c>
      <c r="F2056" s="1" t="s">
        <v>255</v>
      </c>
      <c r="G2056" s="1" t="s">
        <v>17</v>
      </c>
      <c r="H2056" s="1" t="s">
        <v>18</v>
      </c>
      <c r="I2056" s="1" t="s">
        <v>19</v>
      </c>
    </row>
    <row r="2057">
      <c r="A2057" s="1">
        <v>3522025.0</v>
      </c>
      <c r="B2057" s="1" t="s">
        <v>4400</v>
      </c>
      <c r="C2057" s="1" t="s">
        <v>3831</v>
      </c>
      <c r="D2057" s="1" t="s">
        <v>3897</v>
      </c>
      <c r="E2057" s="1" t="s">
        <v>4401</v>
      </c>
      <c r="F2057" s="1" t="s">
        <v>16</v>
      </c>
      <c r="G2057" s="1" t="s">
        <v>17</v>
      </c>
      <c r="H2057" s="1" t="s">
        <v>18</v>
      </c>
      <c r="I2057" s="1" t="s">
        <v>19</v>
      </c>
    </row>
    <row r="2058">
      <c r="A2058" s="1">
        <v>3505035.0</v>
      </c>
      <c r="B2058" s="1" t="s">
        <v>2513</v>
      </c>
      <c r="C2058" s="1" t="s">
        <v>3831</v>
      </c>
      <c r="D2058" s="1" t="s">
        <v>3859</v>
      </c>
      <c r="E2058" s="1" t="s">
        <v>4402</v>
      </c>
      <c r="F2058" s="1" t="s">
        <v>16</v>
      </c>
      <c r="G2058" s="1" t="s">
        <v>17</v>
      </c>
      <c r="H2058" s="1" t="s">
        <v>18</v>
      </c>
      <c r="I2058" s="1" t="s">
        <v>19</v>
      </c>
    </row>
    <row r="2059">
      <c r="A2059" s="1">
        <v>3507248.0</v>
      </c>
      <c r="B2059" s="1" t="s">
        <v>4403</v>
      </c>
      <c r="C2059" s="1" t="s">
        <v>3831</v>
      </c>
      <c r="D2059" s="1" t="s">
        <v>3862</v>
      </c>
      <c r="E2059" s="1" t="s">
        <v>4404</v>
      </c>
      <c r="F2059" s="1" t="s">
        <v>255</v>
      </c>
      <c r="G2059" s="1" t="s">
        <v>17</v>
      </c>
      <c r="H2059" s="1" t="s">
        <v>18</v>
      </c>
      <c r="I2059" s="1" t="s">
        <v>19</v>
      </c>
    </row>
    <row r="2060">
      <c r="A2060" s="1">
        <v>3507015.0</v>
      </c>
      <c r="B2060" s="1" t="s">
        <v>4405</v>
      </c>
      <c r="C2060" s="1" t="s">
        <v>3831</v>
      </c>
      <c r="D2060" s="1" t="s">
        <v>3862</v>
      </c>
      <c r="E2060" s="1" t="s">
        <v>4406</v>
      </c>
      <c r="F2060" s="1" t="s">
        <v>16</v>
      </c>
      <c r="G2060" s="1" t="s">
        <v>23</v>
      </c>
      <c r="H2060" s="1" t="s">
        <v>18</v>
      </c>
      <c r="I2060" s="1" t="s">
        <v>19</v>
      </c>
    </row>
    <row r="2061">
      <c r="A2061" s="1">
        <v>3578016.0</v>
      </c>
      <c r="B2061" s="1" t="s">
        <v>4407</v>
      </c>
      <c r="C2061" s="1" t="s">
        <v>3831</v>
      </c>
      <c r="D2061" s="1" t="s">
        <v>3847</v>
      </c>
      <c r="E2061" s="1" t="s">
        <v>4408</v>
      </c>
      <c r="F2061" s="1" t="s">
        <v>16</v>
      </c>
      <c r="G2061" s="1" t="s">
        <v>150</v>
      </c>
      <c r="H2061" s="1" t="s">
        <v>28</v>
      </c>
      <c r="I2061" s="1" t="s">
        <v>139</v>
      </c>
    </row>
    <row r="2062">
      <c r="A2062" s="1">
        <v>3515126.0</v>
      </c>
      <c r="B2062" s="1" t="s">
        <v>4409</v>
      </c>
      <c r="C2062" s="1" t="s">
        <v>3831</v>
      </c>
      <c r="D2062" s="1" t="s">
        <v>3870</v>
      </c>
      <c r="E2062" s="1" t="s">
        <v>4410</v>
      </c>
      <c r="F2062" s="1" t="s">
        <v>16</v>
      </c>
      <c r="G2062" s="1" t="s">
        <v>17</v>
      </c>
      <c r="H2062" s="1" t="s">
        <v>18</v>
      </c>
      <c r="I2062" s="1" t="s">
        <v>684</v>
      </c>
    </row>
    <row r="2063">
      <c r="A2063" s="1">
        <v>3525090.0</v>
      </c>
      <c r="B2063" s="1" t="s">
        <v>4411</v>
      </c>
      <c r="C2063" s="1" t="s">
        <v>3831</v>
      </c>
      <c r="D2063" s="1" t="s">
        <v>3865</v>
      </c>
      <c r="E2063" s="1" t="s">
        <v>4412</v>
      </c>
      <c r="F2063" s="1" t="s">
        <v>16</v>
      </c>
      <c r="G2063" s="1" t="s">
        <v>23</v>
      </c>
      <c r="H2063" s="1" t="s">
        <v>18</v>
      </c>
      <c r="I2063" s="1" t="s">
        <v>19</v>
      </c>
    </row>
    <row r="2064">
      <c r="A2064" s="1">
        <v>3571150.0</v>
      </c>
      <c r="B2064" s="1" t="s">
        <v>4413</v>
      </c>
      <c r="C2064" s="1" t="s">
        <v>3831</v>
      </c>
      <c r="D2064" s="1" t="s">
        <v>3930</v>
      </c>
      <c r="E2064" s="1" t="s">
        <v>4414</v>
      </c>
      <c r="F2064" s="1" t="s">
        <v>16</v>
      </c>
      <c r="G2064" s="1" t="s">
        <v>17</v>
      </c>
      <c r="H2064" s="1" t="s">
        <v>18</v>
      </c>
      <c r="I2064" s="1" t="s">
        <v>29</v>
      </c>
    </row>
    <row r="2065">
      <c r="A2065" s="1">
        <v>3509032.0</v>
      </c>
      <c r="B2065" s="1" t="s">
        <v>4415</v>
      </c>
      <c r="C2065" s="1" t="s">
        <v>3831</v>
      </c>
      <c r="D2065" s="1" t="s">
        <v>3890</v>
      </c>
      <c r="E2065" s="1" t="s">
        <v>4416</v>
      </c>
      <c r="F2065" s="1" t="s">
        <v>16</v>
      </c>
      <c r="G2065" s="1" t="s">
        <v>17</v>
      </c>
      <c r="H2065" s="1" t="s">
        <v>18</v>
      </c>
      <c r="I2065" s="1" t="s">
        <v>74</v>
      </c>
    </row>
    <row r="2066">
      <c r="A2066" s="1">
        <v>3578111.0</v>
      </c>
      <c r="B2066" s="1" t="s">
        <v>4417</v>
      </c>
      <c r="C2066" s="1" t="s">
        <v>3831</v>
      </c>
      <c r="D2066" s="1" t="s">
        <v>3847</v>
      </c>
      <c r="E2066" s="1" t="s">
        <v>4418</v>
      </c>
      <c r="F2066" s="1" t="s">
        <v>16</v>
      </c>
      <c r="G2066" s="1" t="s">
        <v>27</v>
      </c>
      <c r="H2066" s="1" t="s">
        <v>18</v>
      </c>
      <c r="I2066" s="1" t="s">
        <v>19</v>
      </c>
    </row>
    <row r="2067">
      <c r="A2067" s="1">
        <v>3505024.0</v>
      </c>
      <c r="B2067" s="1" t="s">
        <v>4419</v>
      </c>
      <c r="C2067" s="1" t="s">
        <v>3831</v>
      </c>
      <c r="D2067" s="1" t="s">
        <v>3859</v>
      </c>
      <c r="E2067" s="1" t="s">
        <v>4420</v>
      </c>
      <c r="F2067" s="1" t="s">
        <v>16</v>
      </c>
      <c r="G2067" s="1" t="s">
        <v>23</v>
      </c>
      <c r="H2067" s="1" t="s">
        <v>18</v>
      </c>
      <c r="I2067" s="1" t="s">
        <v>19</v>
      </c>
    </row>
    <row r="2068">
      <c r="A2068" s="1">
        <v>3578795.0</v>
      </c>
      <c r="B2068" s="1" t="s">
        <v>4421</v>
      </c>
      <c r="C2068" s="1" t="s">
        <v>3831</v>
      </c>
      <c r="D2068" s="1" t="s">
        <v>3847</v>
      </c>
      <c r="E2068" s="1" t="s">
        <v>4422</v>
      </c>
      <c r="F2068" s="1" t="s">
        <v>55</v>
      </c>
      <c r="G2068" s="1" t="s">
        <v>17</v>
      </c>
      <c r="H2068" s="1" t="s">
        <v>18</v>
      </c>
      <c r="I2068" s="1" t="s">
        <v>44</v>
      </c>
    </row>
    <row r="2069">
      <c r="A2069" s="1">
        <v>3508060.0</v>
      </c>
      <c r="B2069" s="1" t="s">
        <v>4423</v>
      </c>
      <c r="C2069" s="1" t="s">
        <v>3831</v>
      </c>
      <c r="D2069" s="1" t="s">
        <v>4135</v>
      </c>
      <c r="E2069" s="1" t="s">
        <v>4424</v>
      </c>
      <c r="F2069" s="1" t="s">
        <v>16</v>
      </c>
      <c r="G2069" s="1" t="s">
        <v>23</v>
      </c>
      <c r="H2069" s="1" t="s">
        <v>18</v>
      </c>
      <c r="I2069" s="1" t="s">
        <v>684</v>
      </c>
    </row>
    <row r="2070">
      <c r="A2070" s="1">
        <v>3571053.0</v>
      </c>
      <c r="B2070" s="1" t="s">
        <v>4425</v>
      </c>
      <c r="C2070" s="1" t="s">
        <v>3831</v>
      </c>
      <c r="D2070" s="1" t="s">
        <v>3930</v>
      </c>
      <c r="E2070" s="1" t="s">
        <v>4426</v>
      </c>
      <c r="F2070" s="1" t="s">
        <v>16</v>
      </c>
      <c r="G2070" s="1" t="s">
        <v>23</v>
      </c>
      <c r="H2070" s="1" t="s">
        <v>28</v>
      </c>
      <c r="I2070" s="1" t="s">
        <v>139</v>
      </c>
    </row>
    <row r="2071">
      <c r="A2071" s="1">
        <v>3520013.0</v>
      </c>
      <c r="B2071" s="1" t="s">
        <v>4427</v>
      </c>
      <c r="C2071" s="1" t="s">
        <v>3831</v>
      </c>
      <c r="D2071" s="1" t="s">
        <v>3878</v>
      </c>
      <c r="E2071" s="1" t="s">
        <v>4428</v>
      </c>
      <c r="F2071" s="1" t="s">
        <v>16</v>
      </c>
      <c r="G2071" s="1" t="s">
        <v>23</v>
      </c>
      <c r="H2071" s="1" t="s">
        <v>18</v>
      </c>
      <c r="I2071" s="1" t="s">
        <v>19</v>
      </c>
    </row>
    <row r="2072">
      <c r="A2072" s="1">
        <v>3517111.0</v>
      </c>
      <c r="B2072" s="1" t="s">
        <v>4429</v>
      </c>
      <c r="C2072" s="1" t="s">
        <v>3831</v>
      </c>
      <c r="D2072" s="1" t="s">
        <v>3956</v>
      </c>
      <c r="E2072" s="1" t="s">
        <v>4430</v>
      </c>
      <c r="F2072" s="1" t="s">
        <v>16</v>
      </c>
      <c r="G2072" s="1" t="s">
        <v>23</v>
      </c>
      <c r="H2072" s="1" t="s">
        <v>18</v>
      </c>
      <c r="I2072" s="1" t="s">
        <v>19</v>
      </c>
    </row>
    <row r="2073">
      <c r="A2073" s="1">
        <v>3513024.0</v>
      </c>
      <c r="B2073" s="1" t="s">
        <v>4431</v>
      </c>
      <c r="C2073" s="1" t="s">
        <v>3831</v>
      </c>
      <c r="D2073" s="1" t="s">
        <v>3853</v>
      </c>
      <c r="E2073" s="1" t="s">
        <v>4432</v>
      </c>
      <c r="F2073" s="1" t="s">
        <v>16</v>
      </c>
      <c r="G2073" s="1" t="s">
        <v>17</v>
      </c>
      <c r="H2073" s="1" t="s">
        <v>18</v>
      </c>
      <c r="I2073" s="1" t="s">
        <v>19</v>
      </c>
    </row>
    <row r="2074">
      <c r="A2074" s="1">
        <v>3578614.0</v>
      </c>
      <c r="B2074" s="1" t="s">
        <v>4433</v>
      </c>
      <c r="C2074" s="1" t="s">
        <v>3831</v>
      </c>
      <c r="D2074" s="1" t="s">
        <v>3847</v>
      </c>
      <c r="E2074" s="1" t="s">
        <v>4434</v>
      </c>
      <c r="F2074" s="1" t="s">
        <v>16</v>
      </c>
      <c r="G2074" s="1" t="s">
        <v>17</v>
      </c>
      <c r="H2074" s="1" t="s">
        <v>18</v>
      </c>
      <c r="I2074" s="1" t="s">
        <v>19</v>
      </c>
    </row>
    <row r="2075">
      <c r="A2075" s="1">
        <v>3573258.0</v>
      </c>
      <c r="B2075" s="1" t="s">
        <v>4435</v>
      </c>
      <c r="C2075" s="1" t="s">
        <v>3831</v>
      </c>
      <c r="D2075" s="1" t="s">
        <v>3938</v>
      </c>
      <c r="E2075" s="1" t="s">
        <v>4436</v>
      </c>
      <c r="F2075" s="1" t="s">
        <v>16</v>
      </c>
      <c r="G2075" s="1" t="s">
        <v>17</v>
      </c>
      <c r="H2075" s="1" t="s">
        <v>28</v>
      </c>
      <c r="I2075" s="1" t="s">
        <v>29</v>
      </c>
    </row>
    <row r="2076">
      <c r="A2076" s="1">
        <v>3516039.0</v>
      </c>
      <c r="B2076" s="1" t="s">
        <v>4437</v>
      </c>
      <c r="C2076" s="1" t="s">
        <v>3831</v>
      </c>
      <c r="D2076" s="1" t="s">
        <v>3909</v>
      </c>
      <c r="E2076" s="1" t="s">
        <v>4438</v>
      </c>
      <c r="F2076" s="1" t="s">
        <v>16</v>
      </c>
      <c r="G2076" s="1" t="s">
        <v>23</v>
      </c>
      <c r="H2076" s="1" t="s">
        <v>18</v>
      </c>
      <c r="I2076" s="1" t="s">
        <v>19</v>
      </c>
    </row>
    <row r="2077">
      <c r="A2077" s="1">
        <v>3515143.0</v>
      </c>
      <c r="B2077" s="1" t="s">
        <v>4439</v>
      </c>
      <c r="C2077" s="1" t="s">
        <v>3831</v>
      </c>
      <c r="D2077" s="1" t="s">
        <v>3870</v>
      </c>
      <c r="E2077" s="1" t="s">
        <v>4440</v>
      </c>
      <c r="F2077" s="1" t="s">
        <v>16</v>
      </c>
      <c r="G2077" s="1" t="s">
        <v>23</v>
      </c>
      <c r="H2077" s="1" t="s">
        <v>18</v>
      </c>
      <c r="I2077" s="1" t="s">
        <v>19</v>
      </c>
    </row>
    <row r="2078">
      <c r="A2078" s="1">
        <v>3573215.0</v>
      </c>
      <c r="B2078" s="1" t="s">
        <v>4441</v>
      </c>
      <c r="C2078" s="1" t="s">
        <v>3831</v>
      </c>
      <c r="D2078" s="1" t="s">
        <v>3938</v>
      </c>
      <c r="E2078" s="1" t="s">
        <v>4442</v>
      </c>
      <c r="F2078" s="1" t="s">
        <v>16</v>
      </c>
      <c r="G2078" s="1" t="s">
        <v>17</v>
      </c>
      <c r="H2078" s="1" t="s">
        <v>18</v>
      </c>
      <c r="I2078" s="1" t="s">
        <v>19</v>
      </c>
    </row>
    <row r="2079">
      <c r="A2079" s="1">
        <v>3508054.0</v>
      </c>
      <c r="B2079" s="1" t="s">
        <v>4443</v>
      </c>
      <c r="C2079" s="1" t="s">
        <v>3831</v>
      </c>
      <c r="D2079" s="1" t="s">
        <v>4135</v>
      </c>
      <c r="E2079" s="1" t="s">
        <v>4444</v>
      </c>
      <c r="F2079" s="1" t="s">
        <v>16</v>
      </c>
      <c r="G2079" s="1" t="s">
        <v>17</v>
      </c>
      <c r="H2079" s="1" t="s">
        <v>33</v>
      </c>
      <c r="I2079" s="1" t="s">
        <v>65</v>
      </c>
    </row>
    <row r="2080">
      <c r="A2080" s="1">
        <v>3524045.0</v>
      </c>
      <c r="B2080" s="1" t="s">
        <v>4445</v>
      </c>
      <c r="C2080" s="1" t="s">
        <v>3831</v>
      </c>
      <c r="D2080" s="1" t="s">
        <v>3856</v>
      </c>
      <c r="E2080" s="1" t="s">
        <v>4446</v>
      </c>
      <c r="F2080" s="1" t="s">
        <v>16</v>
      </c>
      <c r="G2080" s="1" t="s">
        <v>17</v>
      </c>
      <c r="H2080" s="1" t="s">
        <v>18</v>
      </c>
      <c r="I2080" s="1" t="s">
        <v>44</v>
      </c>
    </row>
    <row r="2081">
      <c r="A2081" s="1">
        <v>3527025.0</v>
      </c>
      <c r="B2081" s="1" t="s">
        <v>4447</v>
      </c>
      <c r="C2081" s="1" t="s">
        <v>3831</v>
      </c>
      <c r="D2081" s="1" t="s">
        <v>3925</v>
      </c>
      <c r="E2081" s="1" t="s">
        <v>4448</v>
      </c>
      <c r="F2081" s="1" t="s">
        <v>16</v>
      </c>
      <c r="G2081" s="1" t="s">
        <v>23</v>
      </c>
      <c r="H2081" s="1" t="s">
        <v>18</v>
      </c>
      <c r="I2081" s="1" t="s">
        <v>19</v>
      </c>
    </row>
    <row r="2082">
      <c r="A2082" s="1">
        <v>3518011.0</v>
      </c>
      <c r="B2082" s="1" t="s">
        <v>4449</v>
      </c>
      <c r="C2082" s="1" t="s">
        <v>3831</v>
      </c>
      <c r="D2082" s="1" t="s">
        <v>3835</v>
      </c>
      <c r="E2082" s="1" t="s">
        <v>4450</v>
      </c>
      <c r="F2082" s="1" t="s">
        <v>16</v>
      </c>
      <c r="G2082" s="1" t="s">
        <v>27</v>
      </c>
      <c r="H2082" s="1" t="s">
        <v>28</v>
      </c>
      <c r="I2082" s="1" t="s">
        <v>40</v>
      </c>
    </row>
    <row r="2083">
      <c r="A2083" s="1">
        <v>3504057.0</v>
      </c>
      <c r="B2083" s="1" t="s">
        <v>4451</v>
      </c>
      <c r="C2083" s="1" t="s">
        <v>3831</v>
      </c>
      <c r="D2083" s="1" t="s">
        <v>3850</v>
      </c>
      <c r="E2083" s="1" t="s">
        <v>4452</v>
      </c>
      <c r="F2083" s="1" t="s">
        <v>55</v>
      </c>
      <c r="G2083" s="1" t="s">
        <v>17</v>
      </c>
      <c r="H2083" s="1" t="s">
        <v>18</v>
      </c>
      <c r="I2083" s="1" t="s">
        <v>19</v>
      </c>
    </row>
    <row r="2084">
      <c r="A2084" s="1">
        <v>3516075.0</v>
      </c>
      <c r="B2084" s="1" t="s">
        <v>4453</v>
      </c>
      <c r="C2084" s="1" t="s">
        <v>3831</v>
      </c>
      <c r="D2084" s="1" t="s">
        <v>3909</v>
      </c>
      <c r="E2084" s="1" t="s">
        <v>4454</v>
      </c>
      <c r="F2084" s="1" t="s">
        <v>16</v>
      </c>
      <c r="G2084" s="1" t="s">
        <v>17</v>
      </c>
      <c r="H2084" s="1" t="s">
        <v>18</v>
      </c>
      <c r="I2084" s="1" t="s">
        <v>44</v>
      </c>
    </row>
    <row r="2085">
      <c r="A2085" s="1">
        <v>3505013.0</v>
      </c>
      <c r="B2085" s="1" t="s">
        <v>4455</v>
      </c>
      <c r="C2085" s="1" t="s">
        <v>3831</v>
      </c>
      <c r="D2085" s="1" t="s">
        <v>3859</v>
      </c>
      <c r="E2085" s="1" t="s">
        <v>4456</v>
      </c>
      <c r="F2085" s="1" t="s">
        <v>16</v>
      </c>
      <c r="G2085" s="1" t="s">
        <v>27</v>
      </c>
      <c r="H2085" s="1" t="s">
        <v>28</v>
      </c>
      <c r="I2085" s="1" t="s">
        <v>40</v>
      </c>
    </row>
    <row r="2086">
      <c r="A2086" s="1">
        <v>3577030.0</v>
      </c>
      <c r="B2086" s="1" t="s">
        <v>4457</v>
      </c>
      <c r="C2086" s="1" t="s">
        <v>3831</v>
      </c>
      <c r="D2086" s="1" t="s">
        <v>3906</v>
      </c>
      <c r="E2086" s="1" t="s">
        <v>4458</v>
      </c>
      <c r="F2086" s="1" t="s">
        <v>16</v>
      </c>
      <c r="G2086" s="1" t="s">
        <v>23</v>
      </c>
      <c r="H2086" s="1" t="s">
        <v>18</v>
      </c>
      <c r="I2086" s="1" t="s">
        <v>74</v>
      </c>
    </row>
    <row r="2087">
      <c r="A2087" s="1">
        <v>3518046.0</v>
      </c>
      <c r="B2087" s="1" t="s">
        <v>4459</v>
      </c>
      <c r="C2087" s="1" t="s">
        <v>3831</v>
      </c>
      <c r="D2087" s="1" t="s">
        <v>3835</v>
      </c>
      <c r="E2087" s="1" t="s">
        <v>4460</v>
      </c>
      <c r="F2087" s="1" t="s">
        <v>16</v>
      </c>
      <c r="G2087" s="1" t="s">
        <v>23</v>
      </c>
      <c r="H2087" s="1" t="s">
        <v>18</v>
      </c>
      <c r="I2087" s="1" t="s">
        <v>684</v>
      </c>
    </row>
    <row r="2088">
      <c r="A2088" s="1">
        <v>3504071.0</v>
      </c>
      <c r="B2088" s="1" t="s">
        <v>4461</v>
      </c>
      <c r="C2088" s="1" t="s">
        <v>3831</v>
      </c>
      <c r="D2088" s="1" t="s">
        <v>3850</v>
      </c>
      <c r="E2088" s="1" t="s">
        <v>4462</v>
      </c>
      <c r="F2088" s="1" t="s">
        <v>16</v>
      </c>
      <c r="G2088" s="1" t="s">
        <v>23</v>
      </c>
      <c r="H2088" s="1" t="s">
        <v>18</v>
      </c>
      <c r="I2088" s="1" t="s">
        <v>684</v>
      </c>
    </row>
    <row r="2089">
      <c r="A2089" s="1">
        <v>3578777.0</v>
      </c>
      <c r="B2089" s="1" t="s">
        <v>4463</v>
      </c>
      <c r="C2089" s="1" t="s">
        <v>3831</v>
      </c>
      <c r="D2089" s="1" t="s">
        <v>3847</v>
      </c>
      <c r="E2089" s="1" t="s">
        <v>4464</v>
      </c>
      <c r="F2089" s="1" t="s">
        <v>16</v>
      </c>
      <c r="G2089" s="1" t="s">
        <v>27</v>
      </c>
      <c r="H2089" s="1" t="s">
        <v>18</v>
      </c>
      <c r="I2089" s="1" t="s">
        <v>34</v>
      </c>
    </row>
    <row r="2090">
      <c r="A2090" s="1">
        <v>3573256.0</v>
      </c>
      <c r="B2090" s="1" t="s">
        <v>4465</v>
      </c>
      <c r="C2090" s="1" t="s">
        <v>3831</v>
      </c>
      <c r="D2090" s="1" t="s">
        <v>3862</v>
      </c>
      <c r="E2090" s="1" t="s">
        <v>4466</v>
      </c>
      <c r="F2090" s="1" t="s">
        <v>16</v>
      </c>
      <c r="G2090" s="1" t="s">
        <v>23</v>
      </c>
      <c r="H2090" s="1" t="s">
        <v>18</v>
      </c>
      <c r="I2090" s="1" t="s">
        <v>74</v>
      </c>
    </row>
    <row r="2091">
      <c r="A2091" s="1">
        <v>3578816.0</v>
      </c>
      <c r="B2091" s="1" t="s">
        <v>4467</v>
      </c>
      <c r="C2091" s="1" t="s">
        <v>3831</v>
      </c>
      <c r="D2091" s="1" t="s">
        <v>3847</v>
      </c>
      <c r="E2091" s="1" t="s">
        <v>4468</v>
      </c>
      <c r="F2091" s="1" t="s">
        <v>55</v>
      </c>
      <c r="G2091" s="1" t="s">
        <v>17</v>
      </c>
      <c r="H2091" s="1" t="s">
        <v>18</v>
      </c>
      <c r="I2091" s="1" t="s">
        <v>19</v>
      </c>
    </row>
    <row r="2092">
      <c r="A2092" s="1">
        <v>3524031.0</v>
      </c>
      <c r="B2092" s="1" t="s">
        <v>4469</v>
      </c>
      <c r="C2092" s="1" t="s">
        <v>3831</v>
      </c>
      <c r="D2092" s="1" t="s">
        <v>3856</v>
      </c>
      <c r="E2092" s="1" t="s">
        <v>4470</v>
      </c>
      <c r="F2092" s="1" t="s">
        <v>16</v>
      </c>
      <c r="G2092" s="1" t="s">
        <v>27</v>
      </c>
      <c r="H2092" s="1" t="s">
        <v>18</v>
      </c>
      <c r="I2092" s="1" t="s">
        <v>19</v>
      </c>
    </row>
    <row r="2093">
      <c r="A2093" s="1">
        <v>3517091.0</v>
      </c>
      <c r="B2093" s="1" t="s">
        <v>4471</v>
      </c>
      <c r="C2093" s="1" t="s">
        <v>3831</v>
      </c>
      <c r="D2093" s="1" t="s">
        <v>3956</v>
      </c>
      <c r="E2093" s="1" t="s">
        <v>4472</v>
      </c>
      <c r="F2093" s="1" t="s">
        <v>16</v>
      </c>
      <c r="G2093" s="1" t="s">
        <v>23</v>
      </c>
      <c r="H2093" s="1" t="s">
        <v>18</v>
      </c>
      <c r="I2093" s="1" t="s">
        <v>44</v>
      </c>
    </row>
    <row r="2094">
      <c r="A2094" s="1">
        <v>3525096.0</v>
      </c>
      <c r="B2094" s="1" t="s">
        <v>4473</v>
      </c>
      <c r="C2094" s="1" t="s">
        <v>3831</v>
      </c>
      <c r="D2094" s="1" t="s">
        <v>3865</v>
      </c>
      <c r="E2094" s="1" t="s">
        <v>4474</v>
      </c>
      <c r="F2094" s="1" t="s">
        <v>16</v>
      </c>
      <c r="G2094" s="1" t="s">
        <v>17</v>
      </c>
      <c r="H2094" s="1" t="s">
        <v>18</v>
      </c>
      <c r="I2094" s="1" t="s">
        <v>19</v>
      </c>
    </row>
    <row r="2095">
      <c r="A2095" s="1">
        <v>3575016.0</v>
      </c>
      <c r="B2095" s="1" t="s">
        <v>4475</v>
      </c>
      <c r="C2095" s="1" t="s">
        <v>3831</v>
      </c>
      <c r="D2095" s="1" t="s">
        <v>3875</v>
      </c>
      <c r="E2095" s="1" t="s">
        <v>4476</v>
      </c>
      <c r="F2095" s="1" t="s">
        <v>16</v>
      </c>
      <c r="G2095" s="1" t="s">
        <v>23</v>
      </c>
      <c r="H2095" s="1" t="s">
        <v>18</v>
      </c>
      <c r="I2095" s="1" t="s">
        <v>19</v>
      </c>
    </row>
    <row r="2096">
      <c r="A2096" s="1">
        <v>3524074.0</v>
      </c>
      <c r="B2096" s="1" t="s">
        <v>4477</v>
      </c>
      <c r="C2096" s="1" t="s">
        <v>3831</v>
      </c>
      <c r="D2096" s="1" t="s">
        <v>3856</v>
      </c>
      <c r="E2096" s="1" t="s">
        <v>4478</v>
      </c>
      <c r="F2096" s="1" t="s">
        <v>16</v>
      </c>
      <c r="G2096" s="1" t="s">
        <v>23</v>
      </c>
      <c r="H2096" s="1" t="s">
        <v>18</v>
      </c>
      <c r="I2096" s="1" t="s">
        <v>44</v>
      </c>
    </row>
    <row r="2097">
      <c r="A2097" s="1">
        <v>3528024.0</v>
      </c>
      <c r="B2097" s="1" t="s">
        <v>4479</v>
      </c>
      <c r="C2097" s="1" t="s">
        <v>3831</v>
      </c>
      <c r="D2097" s="1" t="s">
        <v>3841</v>
      </c>
      <c r="E2097" s="1" t="s">
        <v>4480</v>
      </c>
      <c r="F2097" s="1" t="s">
        <v>16</v>
      </c>
      <c r="G2097" s="1" t="s">
        <v>23</v>
      </c>
      <c r="H2097" s="1" t="s">
        <v>18</v>
      </c>
      <c r="I2097" s="1" t="s">
        <v>19</v>
      </c>
    </row>
    <row r="2098">
      <c r="A2098" s="1">
        <v>3504073.0</v>
      </c>
      <c r="B2098" s="1" t="s">
        <v>4481</v>
      </c>
      <c r="C2098" s="1" t="s">
        <v>3831</v>
      </c>
      <c r="D2098" s="1" t="s">
        <v>3850</v>
      </c>
      <c r="E2098" s="1" t="s">
        <v>4482</v>
      </c>
      <c r="F2098" s="1" t="s">
        <v>16</v>
      </c>
      <c r="G2098" s="1" t="s">
        <v>17</v>
      </c>
      <c r="H2098" s="1" t="s">
        <v>18</v>
      </c>
      <c r="I2098" s="1" t="s">
        <v>19</v>
      </c>
    </row>
    <row r="2099">
      <c r="A2099" s="1">
        <v>3509137.0</v>
      </c>
      <c r="B2099" s="1" t="s">
        <v>4483</v>
      </c>
      <c r="C2099" s="1" t="s">
        <v>3831</v>
      </c>
      <c r="D2099" s="1" t="s">
        <v>3890</v>
      </c>
      <c r="E2099" s="1" t="s">
        <v>4484</v>
      </c>
      <c r="F2099" s="1" t="s">
        <v>16</v>
      </c>
      <c r="G2099" s="1" t="s">
        <v>17</v>
      </c>
      <c r="H2099" s="1" t="s">
        <v>18</v>
      </c>
      <c r="I2099" s="1" t="s">
        <v>59</v>
      </c>
    </row>
    <row r="2100">
      <c r="A2100" s="1">
        <v>3510054.0</v>
      </c>
      <c r="B2100" s="1" t="s">
        <v>4485</v>
      </c>
      <c r="C2100" s="1" t="s">
        <v>3831</v>
      </c>
      <c r="D2100" s="1" t="s">
        <v>3844</v>
      </c>
      <c r="E2100" s="1" t="s">
        <v>4486</v>
      </c>
      <c r="F2100" s="1" t="s">
        <v>16</v>
      </c>
      <c r="G2100" s="1" t="s">
        <v>17</v>
      </c>
      <c r="H2100" s="1" t="s">
        <v>18</v>
      </c>
      <c r="I2100" s="1" t="s">
        <v>19</v>
      </c>
    </row>
    <row r="2101">
      <c r="A2101" s="1">
        <v>3578523.0</v>
      </c>
      <c r="B2101" s="1" t="s">
        <v>4487</v>
      </c>
      <c r="C2101" s="1" t="s">
        <v>3831</v>
      </c>
      <c r="D2101" s="1" t="s">
        <v>3847</v>
      </c>
      <c r="E2101" s="1" t="s">
        <v>4488</v>
      </c>
      <c r="F2101" s="1" t="s">
        <v>16</v>
      </c>
      <c r="G2101" s="1" t="s">
        <v>27</v>
      </c>
      <c r="H2101" s="1" t="s">
        <v>28</v>
      </c>
      <c r="I2101" s="1" t="s">
        <v>139</v>
      </c>
    </row>
    <row r="2102">
      <c r="A2102" s="1">
        <v>3573044.0</v>
      </c>
      <c r="B2102" s="1" t="s">
        <v>4489</v>
      </c>
      <c r="C2102" s="1" t="s">
        <v>3831</v>
      </c>
      <c r="D2102" s="1" t="s">
        <v>3938</v>
      </c>
      <c r="E2102" s="1" t="s">
        <v>4490</v>
      </c>
      <c r="F2102" s="1" t="s">
        <v>16</v>
      </c>
      <c r="G2102" s="1" t="s">
        <v>27</v>
      </c>
      <c r="H2102" s="1" t="s">
        <v>18</v>
      </c>
      <c r="I2102" s="1" t="s">
        <v>19</v>
      </c>
    </row>
    <row r="2103">
      <c r="A2103" s="1">
        <v>3578780.0</v>
      </c>
      <c r="B2103" s="1" t="s">
        <v>4491</v>
      </c>
      <c r="C2103" s="1" t="s">
        <v>3831</v>
      </c>
      <c r="D2103" s="1" t="s">
        <v>3847</v>
      </c>
      <c r="E2103" s="1" t="s">
        <v>4492</v>
      </c>
      <c r="F2103" s="1" t="s">
        <v>1970</v>
      </c>
      <c r="G2103" s="1" t="s">
        <v>17</v>
      </c>
      <c r="H2103" s="1" t="s">
        <v>18</v>
      </c>
      <c r="I2103" s="1" t="s">
        <v>44</v>
      </c>
    </row>
    <row r="2104">
      <c r="A2104" s="1">
        <v>3516016.0</v>
      </c>
      <c r="B2104" s="1" t="s">
        <v>4493</v>
      </c>
      <c r="C2104" s="1" t="s">
        <v>3831</v>
      </c>
      <c r="D2104" s="1" t="s">
        <v>3909</v>
      </c>
      <c r="E2104" s="1" t="s">
        <v>4494</v>
      </c>
      <c r="F2104" s="1" t="s">
        <v>16</v>
      </c>
      <c r="G2104" s="1" t="s">
        <v>17</v>
      </c>
      <c r="H2104" s="1" t="s">
        <v>28</v>
      </c>
      <c r="I2104" s="1" t="s">
        <v>139</v>
      </c>
    </row>
    <row r="2105">
      <c r="A2105" s="1">
        <v>3578773.0</v>
      </c>
      <c r="B2105" s="1" t="s">
        <v>4495</v>
      </c>
      <c r="C2105" s="1" t="s">
        <v>3831</v>
      </c>
      <c r="D2105" s="1" t="s">
        <v>3847</v>
      </c>
      <c r="E2105" s="1" t="s">
        <v>4496</v>
      </c>
      <c r="F2105" s="1" t="s">
        <v>55</v>
      </c>
      <c r="G2105" s="1" t="s">
        <v>17</v>
      </c>
      <c r="H2105" s="1" t="s">
        <v>18</v>
      </c>
      <c r="I2105" s="1" t="s">
        <v>74</v>
      </c>
    </row>
    <row r="2106">
      <c r="A2106" s="1">
        <v>3502123.0</v>
      </c>
      <c r="B2106" s="1" t="s">
        <v>4497</v>
      </c>
      <c r="C2106" s="1" t="s">
        <v>3831</v>
      </c>
      <c r="D2106" s="1" t="s">
        <v>4013</v>
      </c>
      <c r="E2106" s="1" t="s">
        <v>4498</v>
      </c>
      <c r="F2106" s="1" t="s">
        <v>16</v>
      </c>
      <c r="G2106" s="1" t="s">
        <v>17</v>
      </c>
      <c r="H2106" s="1" t="s">
        <v>18</v>
      </c>
      <c r="I2106" s="1" t="s">
        <v>19</v>
      </c>
    </row>
    <row r="2107">
      <c r="A2107" s="1">
        <v>3576036.0</v>
      </c>
      <c r="B2107" s="1" t="s">
        <v>4499</v>
      </c>
      <c r="C2107" s="1" t="s">
        <v>3831</v>
      </c>
      <c r="D2107" s="1" t="s">
        <v>4020</v>
      </c>
      <c r="E2107" s="1" t="s">
        <v>4500</v>
      </c>
      <c r="F2107" s="1" t="s">
        <v>16</v>
      </c>
      <c r="G2107" s="1" t="s">
        <v>17</v>
      </c>
      <c r="H2107" s="1" t="s">
        <v>18</v>
      </c>
      <c r="I2107" s="1" t="s">
        <v>19</v>
      </c>
    </row>
    <row r="2108">
      <c r="A2108" s="1">
        <v>3504068.0</v>
      </c>
      <c r="B2108" s="1" t="s">
        <v>4501</v>
      </c>
      <c r="C2108" s="1" t="s">
        <v>3831</v>
      </c>
      <c r="D2108" s="1" t="s">
        <v>3850</v>
      </c>
      <c r="E2108" s="1" t="s">
        <v>4502</v>
      </c>
      <c r="F2108" s="1" t="s">
        <v>16</v>
      </c>
      <c r="G2108" s="1" t="s">
        <v>17</v>
      </c>
      <c r="H2108" s="1" t="s">
        <v>33</v>
      </c>
      <c r="I2108" s="1" t="s">
        <v>65</v>
      </c>
    </row>
    <row r="2109">
      <c r="A2109" s="1">
        <v>3515135.0</v>
      </c>
      <c r="B2109" s="1" t="s">
        <v>4503</v>
      </c>
      <c r="C2109" s="1" t="s">
        <v>3831</v>
      </c>
      <c r="D2109" s="1" t="s">
        <v>3870</v>
      </c>
      <c r="E2109" s="1" t="s">
        <v>4504</v>
      </c>
      <c r="F2109" s="1" t="s">
        <v>16</v>
      </c>
      <c r="G2109" s="1" t="s">
        <v>23</v>
      </c>
      <c r="H2109" s="1" t="s">
        <v>18</v>
      </c>
      <c r="I2109" s="1" t="s">
        <v>74</v>
      </c>
    </row>
    <row r="2110">
      <c r="A2110" s="1">
        <v>3525093.0</v>
      </c>
      <c r="B2110" s="1" t="s">
        <v>4505</v>
      </c>
      <c r="C2110" s="1" t="s">
        <v>3831</v>
      </c>
      <c r="D2110" s="1" t="s">
        <v>3865</v>
      </c>
      <c r="E2110" s="1" t="s">
        <v>4506</v>
      </c>
      <c r="F2110" s="1" t="s">
        <v>16</v>
      </c>
      <c r="G2110" s="1" t="s">
        <v>17</v>
      </c>
      <c r="H2110" s="1" t="s">
        <v>18</v>
      </c>
      <c r="I2110" s="1" t="s">
        <v>44</v>
      </c>
    </row>
    <row r="2111">
      <c r="A2111" s="1">
        <v>3514058.0</v>
      </c>
      <c r="B2111" s="1" t="s">
        <v>4507</v>
      </c>
      <c r="C2111" s="1" t="s">
        <v>3831</v>
      </c>
      <c r="D2111" s="1" t="s">
        <v>3875</v>
      </c>
      <c r="E2111" s="1" t="s">
        <v>4508</v>
      </c>
      <c r="F2111" s="1" t="s">
        <v>16</v>
      </c>
      <c r="G2111" s="1" t="s">
        <v>17</v>
      </c>
      <c r="H2111" s="1" t="s">
        <v>28</v>
      </c>
      <c r="I2111" s="1" t="s">
        <v>40</v>
      </c>
    </row>
    <row r="2112">
      <c r="A2112" s="1">
        <v>3522047.0</v>
      </c>
      <c r="B2112" s="1" t="s">
        <v>4509</v>
      </c>
      <c r="C2112" s="1" t="s">
        <v>3831</v>
      </c>
      <c r="D2112" s="1" t="s">
        <v>3897</v>
      </c>
      <c r="E2112" s="1" t="s">
        <v>4510</v>
      </c>
      <c r="F2112" s="1" t="s">
        <v>16</v>
      </c>
      <c r="G2112" s="1" t="s">
        <v>17</v>
      </c>
      <c r="H2112" s="1" t="s">
        <v>28</v>
      </c>
      <c r="I2112" s="1" t="s">
        <v>40</v>
      </c>
    </row>
    <row r="2113">
      <c r="A2113" s="1">
        <v>3571146.0</v>
      </c>
      <c r="B2113" s="1" t="s">
        <v>4511</v>
      </c>
      <c r="C2113" s="1" t="s">
        <v>3831</v>
      </c>
      <c r="D2113" s="1" t="s">
        <v>3930</v>
      </c>
      <c r="E2113" s="1" t="s">
        <v>4512</v>
      </c>
      <c r="F2113" s="1" t="s">
        <v>16</v>
      </c>
      <c r="G2113" s="1" t="s">
        <v>23</v>
      </c>
      <c r="H2113" s="1" t="s">
        <v>18</v>
      </c>
      <c r="I2113" s="1" t="s">
        <v>19</v>
      </c>
    </row>
    <row r="2114">
      <c r="A2114" s="1">
        <v>3517089.0</v>
      </c>
      <c r="B2114" s="1" t="s">
        <v>4513</v>
      </c>
      <c r="C2114" s="1" t="s">
        <v>3831</v>
      </c>
      <c r="D2114" s="1" t="s">
        <v>3956</v>
      </c>
      <c r="E2114" s="1" t="s">
        <v>4514</v>
      </c>
      <c r="F2114" s="1" t="s">
        <v>16</v>
      </c>
      <c r="G2114" s="1" t="s">
        <v>23</v>
      </c>
      <c r="H2114" s="1" t="s">
        <v>28</v>
      </c>
      <c r="I2114" s="1" t="s">
        <v>40</v>
      </c>
    </row>
    <row r="2115">
      <c r="A2115" s="1">
        <v>3520015.0</v>
      </c>
      <c r="B2115" s="1" t="s">
        <v>4515</v>
      </c>
      <c r="C2115" s="1" t="s">
        <v>3831</v>
      </c>
      <c r="D2115" s="1" t="s">
        <v>3878</v>
      </c>
      <c r="E2115" s="1" t="s">
        <v>4516</v>
      </c>
      <c r="F2115" s="1" t="s">
        <v>55</v>
      </c>
      <c r="G2115" s="1" t="s">
        <v>17</v>
      </c>
      <c r="H2115" s="1" t="s">
        <v>18</v>
      </c>
      <c r="I2115" s="1" t="s">
        <v>19</v>
      </c>
    </row>
    <row r="2116">
      <c r="A2116" s="1">
        <v>3577098.0</v>
      </c>
      <c r="B2116" s="1" t="s">
        <v>4517</v>
      </c>
      <c r="C2116" s="1" t="s">
        <v>3831</v>
      </c>
      <c r="D2116" s="1" t="s">
        <v>3906</v>
      </c>
      <c r="E2116" s="1" t="s">
        <v>4518</v>
      </c>
      <c r="F2116" s="1" t="s">
        <v>16</v>
      </c>
      <c r="G2116" s="1" t="s">
        <v>17</v>
      </c>
      <c r="H2116" s="1" t="s">
        <v>18</v>
      </c>
      <c r="I2116" s="1" t="s">
        <v>19</v>
      </c>
    </row>
    <row r="2117">
      <c r="A2117" s="1">
        <v>3579030.0</v>
      </c>
      <c r="B2117" s="1" t="s">
        <v>4519</v>
      </c>
      <c r="C2117" s="1" t="s">
        <v>3831</v>
      </c>
      <c r="D2117" s="1" t="s">
        <v>3922</v>
      </c>
      <c r="E2117" s="1" t="s">
        <v>4520</v>
      </c>
      <c r="F2117" s="1" t="s">
        <v>16</v>
      </c>
      <c r="G2117" s="1" t="s">
        <v>27</v>
      </c>
      <c r="H2117" s="1" t="s">
        <v>28</v>
      </c>
      <c r="I2117" s="1" t="s">
        <v>139</v>
      </c>
    </row>
    <row r="2118">
      <c r="A2118" s="1">
        <v>3578031.0</v>
      </c>
      <c r="B2118" s="1" t="s">
        <v>4521</v>
      </c>
      <c r="C2118" s="1" t="s">
        <v>3831</v>
      </c>
      <c r="D2118" s="1" t="s">
        <v>3847</v>
      </c>
      <c r="E2118" s="1" t="s">
        <v>4522</v>
      </c>
      <c r="F2118" s="1" t="s">
        <v>16</v>
      </c>
      <c r="G2118" s="1" t="s">
        <v>17</v>
      </c>
      <c r="H2118" s="1" t="s">
        <v>18</v>
      </c>
      <c r="I2118" s="1" t="s">
        <v>258</v>
      </c>
    </row>
    <row r="2119">
      <c r="A2119" s="1">
        <v>3573254.0</v>
      </c>
      <c r="B2119" s="1" t="s">
        <v>4523</v>
      </c>
      <c r="C2119" s="1" t="s">
        <v>3831</v>
      </c>
      <c r="D2119" s="1" t="s">
        <v>3938</v>
      </c>
      <c r="E2119" s="1" t="s">
        <v>4524</v>
      </c>
      <c r="F2119" s="1" t="s">
        <v>55</v>
      </c>
      <c r="G2119" s="1" t="s">
        <v>17</v>
      </c>
      <c r="H2119" s="1" t="s">
        <v>18</v>
      </c>
      <c r="I2119" s="1" t="s">
        <v>19</v>
      </c>
    </row>
    <row r="2120">
      <c r="A2120" s="1">
        <v>3514060.0</v>
      </c>
      <c r="B2120" s="1" t="s">
        <v>4525</v>
      </c>
      <c r="C2120" s="1" t="s">
        <v>3831</v>
      </c>
      <c r="D2120" s="1" t="s">
        <v>3875</v>
      </c>
      <c r="E2120" s="1" t="s">
        <v>4526</v>
      </c>
      <c r="F2120" s="1" t="s">
        <v>272</v>
      </c>
      <c r="G2120" s="1" t="s">
        <v>17</v>
      </c>
      <c r="H2120" s="1" t="s">
        <v>18</v>
      </c>
      <c r="I2120" s="1" t="s">
        <v>19</v>
      </c>
    </row>
    <row r="2121">
      <c r="A2121" s="1">
        <v>3509101.0</v>
      </c>
      <c r="B2121" s="1" t="s">
        <v>4527</v>
      </c>
      <c r="C2121" s="1" t="s">
        <v>3831</v>
      </c>
      <c r="D2121" s="1" t="s">
        <v>3890</v>
      </c>
      <c r="E2121" s="1" t="s">
        <v>4528</v>
      </c>
      <c r="F2121" s="1" t="s">
        <v>16</v>
      </c>
      <c r="G2121" s="1" t="s">
        <v>23</v>
      </c>
      <c r="H2121" s="1" t="s">
        <v>18</v>
      </c>
      <c r="I2121" s="1" t="s">
        <v>19</v>
      </c>
    </row>
    <row r="2122">
      <c r="A2122" s="1">
        <v>3578144.0</v>
      </c>
      <c r="B2122" s="1" t="s">
        <v>4529</v>
      </c>
      <c r="C2122" s="1" t="s">
        <v>3831</v>
      </c>
      <c r="D2122" s="1" t="s">
        <v>3847</v>
      </c>
      <c r="E2122" s="1" t="s">
        <v>4530</v>
      </c>
      <c r="F2122" s="1" t="s">
        <v>16</v>
      </c>
      <c r="G2122" s="1" t="s">
        <v>17</v>
      </c>
      <c r="H2122" s="1" t="s">
        <v>18</v>
      </c>
      <c r="I2122" s="1" t="s">
        <v>95</v>
      </c>
    </row>
    <row r="2123">
      <c r="A2123" s="1">
        <v>3508056.0</v>
      </c>
      <c r="B2123" s="1" t="s">
        <v>4531</v>
      </c>
      <c r="C2123" s="1" t="s">
        <v>3831</v>
      </c>
      <c r="D2123" s="1" t="s">
        <v>4135</v>
      </c>
      <c r="E2123" s="1" t="s">
        <v>4532</v>
      </c>
      <c r="F2123" s="1" t="s">
        <v>16</v>
      </c>
      <c r="G2123" s="1" t="s">
        <v>17</v>
      </c>
      <c r="H2123" s="1" t="s">
        <v>18</v>
      </c>
      <c r="I2123" s="1" t="s">
        <v>19</v>
      </c>
    </row>
    <row r="2124">
      <c r="A2124" s="1">
        <v>3578782.0</v>
      </c>
      <c r="B2124" s="1" t="s">
        <v>4533</v>
      </c>
      <c r="C2124" s="1" t="s">
        <v>3831</v>
      </c>
      <c r="D2124" s="1" t="s">
        <v>3847</v>
      </c>
      <c r="E2124" s="1" t="s">
        <v>4534</v>
      </c>
      <c r="F2124" s="1" t="s">
        <v>16</v>
      </c>
      <c r="G2124" s="1" t="s">
        <v>23</v>
      </c>
      <c r="H2124" s="1" t="s">
        <v>18</v>
      </c>
      <c r="I2124" s="1" t="s">
        <v>59</v>
      </c>
    </row>
    <row r="2125">
      <c r="A2125" s="1">
        <v>3509151.0</v>
      </c>
      <c r="B2125" s="1" t="s">
        <v>4535</v>
      </c>
      <c r="C2125" s="1" t="s">
        <v>3831</v>
      </c>
      <c r="D2125" s="1" t="s">
        <v>3890</v>
      </c>
      <c r="E2125" s="1" t="s">
        <v>4536</v>
      </c>
      <c r="F2125" s="1" t="s">
        <v>16</v>
      </c>
      <c r="G2125" s="1" t="s">
        <v>17</v>
      </c>
      <c r="H2125" s="1" t="s">
        <v>18</v>
      </c>
      <c r="I2125" s="1" t="s">
        <v>19</v>
      </c>
    </row>
    <row r="2126">
      <c r="A2126" s="1">
        <v>3571122.0</v>
      </c>
      <c r="B2126" s="1" t="s">
        <v>4537</v>
      </c>
      <c r="C2126" s="1" t="s">
        <v>3831</v>
      </c>
      <c r="D2126" s="1" t="s">
        <v>3930</v>
      </c>
      <c r="E2126" s="1" t="s">
        <v>4538</v>
      </c>
      <c r="F2126" s="1" t="s">
        <v>16</v>
      </c>
      <c r="G2126" s="1" t="s">
        <v>17</v>
      </c>
      <c r="H2126" s="1" t="s">
        <v>18</v>
      </c>
      <c r="I2126" s="1" t="s">
        <v>684</v>
      </c>
    </row>
    <row r="2127">
      <c r="A2127" s="1">
        <v>3512035.0</v>
      </c>
      <c r="B2127" s="1" t="s">
        <v>4539</v>
      </c>
      <c r="C2127" s="1" t="s">
        <v>3831</v>
      </c>
      <c r="D2127" s="1" t="s">
        <v>3856</v>
      </c>
      <c r="E2127" s="1" t="s">
        <v>4540</v>
      </c>
      <c r="F2127" s="1" t="s">
        <v>16</v>
      </c>
      <c r="G2127" s="1" t="s">
        <v>17</v>
      </c>
      <c r="H2127" s="1" t="s">
        <v>18</v>
      </c>
      <c r="I2127" s="1" t="s">
        <v>19</v>
      </c>
    </row>
    <row r="2128">
      <c r="A2128" s="1">
        <v>3506063.0</v>
      </c>
      <c r="B2128" s="1" t="s">
        <v>4541</v>
      </c>
      <c r="C2128" s="1" t="s">
        <v>3831</v>
      </c>
      <c r="D2128" s="1" t="s">
        <v>3894</v>
      </c>
      <c r="E2128" s="1" t="s">
        <v>4542</v>
      </c>
      <c r="F2128" s="1" t="s">
        <v>16</v>
      </c>
      <c r="G2128" s="1" t="s">
        <v>23</v>
      </c>
      <c r="H2128" s="1" t="s">
        <v>18</v>
      </c>
      <c r="I2128" s="1" t="s">
        <v>19</v>
      </c>
    </row>
    <row r="2129">
      <c r="A2129" s="1">
        <v>3578808.0</v>
      </c>
      <c r="B2129" s="1" t="s">
        <v>4543</v>
      </c>
      <c r="C2129" s="1" t="s">
        <v>3831</v>
      </c>
      <c r="D2129" s="1" t="s">
        <v>3847</v>
      </c>
      <c r="E2129" s="1" t="s">
        <v>4544</v>
      </c>
      <c r="F2129" s="1" t="s">
        <v>16</v>
      </c>
      <c r="G2129" s="1" t="s">
        <v>17</v>
      </c>
      <c r="H2129" s="1" t="s">
        <v>18</v>
      </c>
      <c r="I2129" s="1" t="s">
        <v>19</v>
      </c>
    </row>
    <row r="2130">
      <c r="A2130" s="1">
        <v>3514036.0</v>
      </c>
      <c r="B2130" s="1" t="s">
        <v>4545</v>
      </c>
      <c r="C2130" s="1" t="s">
        <v>3831</v>
      </c>
      <c r="D2130" s="1" t="s">
        <v>3875</v>
      </c>
      <c r="E2130" s="1" t="s">
        <v>4546</v>
      </c>
      <c r="F2130" s="1" t="s">
        <v>16</v>
      </c>
      <c r="G2130" s="1" t="s">
        <v>27</v>
      </c>
      <c r="H2130" s="1" t="s">
        <v>33</v>
      </c>
      <c r="I2130" s="1" t="s">
        <v>40</v>
      </c>
    </row>
    <row r="2131">
      <c r="A2131" s="1">
        <v>3578731.0</v>
      </c>
      <c r="B2131" s="1" t="s">
        <v>4547</v>
      </c>
      <c r="C2131" s="1" t="s">
        <v>3831</v>
      </c>
      <c r="D2131" s="1" t="s">
        <v>3847</v>
      </c>
      <c r="E2131" s="1" t="s">
        <v>4548</v>
      </c>
      <c r="F2131" s="1" t="s">
        <v>32</v>
      </c>
      <c r="G2131" s="1" t="s">
        <v>27</v>
      </c>
      <c r="H2131" s="1" t="s">
        <v>18</v>
      </c>
      <c r="I2131" s="1" t="s">
        <v>59</v>
      </c>
    </row>
    <row r="2132">
      <c r="A2132" s="1">
        <v>3578779.0</v>
      </c>
      <c r="B2132" s="1" t="s">
        <v>4549</v>
      </c>
      <c r="C2132" s="1" t="s">
        <v>3831</v>
      </c>
      <c r="D2132" s="1" t="s">
        <v>3847</v>
      </c>
      <c r="E2132" s="1" t="s">
        <v>4550</v>
      </c>
      <c r="F2132" s="1" t="s">
        <v>55</v>
      </c>
      <c r="G2132" s="1" t="s">
        <v>17</v>
      </c>
      <c r="H2132" s="1" t="s">
        <v>18</v>
      </c>
      <c r="I2132" s="1" t="s">
        <v>44</v>
      </c>
    </row>
    <row r="2133">
      <c r="A2133" s="1">
        <v>3512037.0</v>
      </c>
      <c r="B2133" s="1" t="s">
        <v>4551</v>
      </c>
      <c r="C2133" s="1" t="s">
        <v>3831</v>
      </c>
      <c r="D2133" s="1" t="s">
        <v>3967</v>
      </c>
      <c r="E2133" s="1" t="s">
        <v>4552</v>
      </c>
      <c r="F2133" s="1" t="s">
        <v>16</v>
      </c>
      <c r="G2133" s="1" t="s">
        <v>23</v>
      </c>
      <c r="H2133" s="1" t="s">
        <v>28</v>
      </c>
      <c r="I2133" s="1" t="s">
        <v>40</v>
      </c>
    </row>
    <row r="2134">
      <c r="A2134" s="1">
        <v>3510108.0</v>
      </c>
      <c r="B2134" s="1" t="s">
        <v>4553</v>
      </c>
      <c r="C2134" s="1" t="s">
        <v>3831</v>
      </c>
      <c r="D2134" s="1" t="s">
        <v>3844</v>
      </c>
      <c r="E2134" s="1" t="s">
        <v>4554</v>
      </c>
      <c r="F2134" s="1" t="s">
        <v>16</v>
      </c>
      <c r="G2134" s="1" t="s">
        <v>23</v>
      </c>
      <c r="H2134" s="1" t="s">
        <v>18</v>
      </c>
      <c r="I2134" s="1" t="s">
        <v>19</v>
      </c>
    </row>
    <row r="2135">
      <c r="A2135" s="1">
        <v>3507230.0</v>
      </c>
      <c r="B2135" s="1" t="s">
        <v>4555</v>
      </c>
      <c r="C2135" s="1" t="s">
        <v>3831</v>
      </c>
      <c r="D2135" s="1" t="s">
        <v>3862</v>
      </c>
      <c r="E2135" s="1" t="s">
        <v>4556</v>
      </c>
      <c r="F2135" s="1" t="s">
        <v>16</v>
      </c>
      <c r="G2135" s="1" t="s">
        <v>23</v>
      </c>
      <c r="H2135" s="1" t="s">
        <v>18</v>
      </c>
      <c r="I2135" s="1" t="s">
        <v>19</v>
      </c>
    </row>
    <row r="2136">
      <c r="A2136" s="1">
        <v>3515121.0</v>
      </c>
      <c r="B2136" s="1" t="s">
        <v>4557</v>
      </c>
      <c r="C2136" s="1" t="s">
        <v>3831</v>
      </c>
      <c r="D2136" s="1" t="s">
        <v>3870</v>
      </c>
      <c r="E2136" s="1" t="s">
        <v>4558</v>
      </c>
      <c r="F2136" s="1" t="s">
        <v>16</v>
      </c>
      <c r="G2136" s="1" t="s">
        <v>17</v>
      </c>
      <c r="H2136" s="1" t="s">
        <v>18</v>
      </c>
      <c r="I2136" s="1" t="s">
        <v>59</v>
      </c>
    </row>
    <row r="2137">
      <c r="A2137" s="1">
        <v>3508055.0</v>
      </c>
      <c r="B2137" s="1" t="s">
        <v>4559</v>
      </c>
      <c r="C2137" s="1" t="s">
        <v>3831</v>
      </c>
      <c r="D2137" s="1" t="s">
        <v>4135</v>
      </c>
      <c r="E2137" s="1" t="s">
        <v>4560</v>
      </c>
      <c r="F2137" s="1" t="s">
        <v>16</v>
      </c>
      <c r="G2137" s="1" t="s">
        <v>17</v>
      </c>
      <c r="H2137" s="1" t="s">
        <v>18</v>
      </c>
      <c r="I2137" s="1" t="s">
        <v>113</v>
      </c>
    </row>
    <row r="2138">
      <c r="A2138" s="1">
        <v>3507105.0</v>
      </c>
      <c r="B2138" s="1" t="s">
        <v>4561</v>
      </c>
      <c r="C2138" s="1" t="s">
        <v>3831</v>
      </c>
      <c r="D2138" s="1" t="s">
        <v>3862</v>
      </c>
      <c r="E2138" s="1" t="s">
        <v>4562</v>
      </c>
      <c r="F2138" s="1" t="s">
        <v>16</v>
      </c>
      <c r="G2138" s="1" t="s">
        <v>23</v>
      </c>
      <c r="H2138" s="1" t="s">
        <v>18</v>
      </c>
      <c r="I2138" s="1" t="s">
        <v>19</v>
      </c>
    </row>
    <row r="2139">
      <c r="A2139" s="1">
        <v>3525092.0</v>
      </c>
      <c r="B2139" s="1" t="s">
        <v>4563</v>
      </c>
      <c r="C2139" s="1" t="s">
        <v>3831</v>
      </c>
      <c r="D2139" s="1" t="s">
        <v>3865</v>
      </c>
      <c r="E2139" s="1" t="s">
        <v>4564</v>
      </c>
      <c r="F2139" s="1" t="s">
        <v>16</v>
      </c>
      <c r="G2139" s="1" t="s">
        <v>23</v>
      </c>
      <c r="H2139" s="1" t="s">
        <v>18</v>
      </c>
      <c r="I2139" s="1" t="s">
        <v>44</v>
      </c>
    </row>
    <row r="2140">
      <c r="A2140" s="1">
        <v>3510107.0</v>
      </c>
      <c r="B2140" s="1" t="s">
        <v>4565</v>
      </c>
      <c r="C2140" s="1" t="s">
        <v>3831</v>
      </c>
      <c r="D2140" s="1" t="s">
        <v>3844</v>
      </c>
      <c r="E2140" s="1" t="s">
        <v>4566</v>
      </c>
      <c r="F2140" s="1" t="s">
        <v>16</v>
      </c>
      <c r="G2140" s="1" t="s">
        <v>23</v>
      </c>
      <c r="H2140" s="1" t="s">
        <v>18</v>
      </c>
      <c r="I2140" s="1" t="s">
        <v>19</v>
      </c>
    </row>
    <row r="2141">
      <c r="A2141" s="1">
        <v>3527026.0</v>
      </c>
      <c r="B2141" s="1" t="s">
        <v>4567</v>
      </c>
      <c r="C2141" s="1" t="s">
        <v>3831</v>
      </c>
      <c r="D2141" s="1" t="s">
        <v>3925</v>
      </c>
      <c r="E2141" s="1" t="s">
        <v>4568</v>
      </c>
      <c r="F2141" s="1" t="s">
        <v>16</v>
      </c>
      <c r="G2141" s="1" t="s">
        <v>23</v>
      </c>
      <c r="H2141" s="1" t="s">
        <v>18</v>
      </c>
      <c r="I2141" s="1" t="s">
        <v>44</v>
      </c>
    </row>
    <row r="2142">
      <c r="A2142" s="1">
        <v>3519012.0</v>
      </c>
      <c r="B2142" s="1" t="s">
        <v>4569</v>
      </c>
      <c r="C2142" s="1" t="s">
        <v>3831</v>
      </c>
      <c r="D2142" s="1" t="s">
        <v>4190</v>
      </c>
      <c r="E2142" s="1" t="s">
        <v>4570</v>
      </c>
      <c r="F2142" s="1" t="s">
        <v>16</v>
      </c>
      <c r="G2142" s="1" t="s">
        <v>17</v>
      </c>
      <c r="H2142" s="1" t="s">
        <v>28</v>
      </c>
      <c r="I2142" s="1" t="s">
        <v>139</v>
      </c>
    </row>
    <row r="2143">
      <c r="A2143" s="1">
        <v>3507099.0</v>
      </c>
      <c r="B2143" s="1" t="s">
        <v>4571</v>
      </c>
      <c r="C2143" s="1" t="s">
        <v>3831</v>
      </c>
      <c r="D2143" s="1" t="s">
        <v>3862</v>
      </c>
      <c r="E2143" s="1" t="s">
        <v>4572</v>
      </c>
      <c r="F2143" s="1" t="s">
        <v>16</v>
      </c>
      <c r="G2143" s="1" t="s">
        <v>17</v>
      </c>
      <c r="H2143" s="1" t="s">
        <v>18</v>
      </c>
      <c r="I2143" s="1" t="s">
        <v>19</v>
      </c>
    </row>
    <row r="2144">
      <c r="A2144" s="1">
        <v>3506025.0</v>
      </c>
      <c r="B2144" s="1" t="s">
        <v>4573</v>
      </c>
      <c r="C2144" s="1" t="s">
        <v>3831</v>
      </c>
      <c r="D2144" s="1" t="s">
        <v>3894</v>
      </c>
      <c r="E2144" s="1" t="s">
        <v>4574</v>
      </c>
      <c r="F2144" s="1" t="s">
        <v>16</v>
      </c>
      <c r="G2144" s="1" t="s">
        <v>17</v>
      </c>
      <c r="H2144" s="1" t="s">
        <v>18</v>
      </c>
      <c r="I2144" s="1" t="s">
        <v>19</v>
      </c>
    </row>
    <row r="2145">
      <c r="A2145" s="1">
        <v>3577074.0</v>
      </c>
      <c r="B2145" s="1" t="s">
        <v>4575</v>
      </c>
      <c r="C2145" s="1" t="s">
        <v>3831</v>
      </c>
      <c r="D2145" s="1" t="s">
        <v>3906</v>
      </c>
      <c r="E2145" s="1" t="s">
        <v>4576</v>
      </c>
      <c r="F2145" s="1" t="s">
        <v>16</v>
      </c>
      <c r="G2145" s="1" t="s">
        <v>17</v>
      </c>
      <c r="H2145" s="1" t="s">
        <v>18</v>
      </c>
      <c r="I2145" s="1" t="s">
        <v>19</v>
      </c>
    </row>
    <row r="2146">
      <c r="A2146" s="1">
        <v>3577086.0</v>
      </c>
      <c r="B2146" s="1" t="s">
        <v>4577</v>
      </c>
      <c r="C2146" s="1" t="s">
        <v>3831</v>
      </c>
      <c r="D2146" s="1" t="s">
        <v>3906</v>
      </c>
      <c r="E2146" s="1" t="s">
        <v>4578</v>
      </c>
      <c r="F2146" s="1" t="s">
        <v>16</v>
      </c>
      <c r="G2146" s="1" t="s">
        <v>17</v>
      </c>
      <c r="H2146" s="1" t="s">
        <v>18</v>
      </c>
      <c r="I2146" s="1" t="s">
        <v>19</v>
      </c>
    </row>
    <row r="2147">
      <c r="A2147" s="1">
        <v>3525021.0</v>
      </c>
      <c r="B2147" s="1" t="s">
        <v>4579</v>
      </c>
      <c r="C2147" s="1" t="s">
        <v>3831</v>
      </c>
      <c r="D2147" s="1" t="s">
        <v>3865</v>
      </c>
      <c r="E2147" s="1" t="s">
        <v>4580</v>
      </c>
      <c r="F2147" s="1" t="s">
        <v>16</v>
      </c>
      <c r="G2147" s="1" t="s">
        <v>27</v>
      </c>
      <c r="H2147" s="1" t="s">
        <v>18</v>
      </c>
      <c r="I2147" s="1" t="s">
        <v>19</v>
      </c>
    </row>
    <row r="2148">
      <c r="A2148" s="1">
        <v>3507108.0</v>
      </c>
      <c r="B2148" s="1" t="s">
        <v>4581</v>
      </c>
      <c r="C2148" s="1" t="s">
        <v>3831</v>
      </c>
      <c r="D2148" s="1" t="s">
        <v>3862</v>
      </c>
      <c r="E2148" s="1" t="s">
        <v>4582</v>
      </c>
      <c r="F2148" s="1" t="s">
        <v>16</v>
      </c>
      <c r="G2148" s="1" t="s">
        <v>17</v>
      </c>
      <c r="H2148" s="1" t="s">
        <v>18</v>
      </c>
      <c r="I2148" s="1" t="s">
        <v>19</v>
      </c>
    </row>
    <row r="2149">
      <c r="A2149" s="1">
        <v>3529025.0</v>
      </c>
      <c r="B2149" s="1" t="s">
        <v>4583</v>
      </c>
      <c r="C2149" s="1" t="s">
        <v>3831</v>
      </c>
      <c r="D2149" s="1" t="s">
        <v>4079</v>
      </c>
      <c r="E2149" s="1" t="s">
        <v>4584</v>
      </c>
      <c r="F2149" s="1" t="s">
        <v>16</v>
      </c>
      <c r="G2149" s="1" t="s">
        <v>17</v>
      </c>
      <c r="H2149" s="1" t="s">
        <v>18</v>
      </c>
      <c r="I2149" s="1" t="s">
        <v>684</v>
      </c>
    </row>
    <row r="2150">
      <c r="A2150" s="1">
        <v>3578791.0</v>
      </c>
      <c r="B2150" s="1" t="s">
        <v>4585</v>
      </c>
      <c r="C2150" s="1" t="s">
        <v>3831</v>
      </c>
      <c r="D2150" s="1" t="s">
        <v>3847</v>
      </c>
      <c r="E2150" s="1" t="s">
        <v>4586</v>
      </c>
      <c r="F2150" s="1" t="s">
        <v>55</v>
      </c>
      <c r="G2150" s="1" t="s">
        <v>17</v>
      </c>
      <c r="H2150" s="1" t="s">
        <v>18</v>
      </c>
      <c r="I2150" s="1" t="s">
        <v>44</v>
      </c>
    </row>
    <row r="2151">
      <c r="A2151" s="1">
        <v>3505044.0</v>
      </c>
      <c r="B2151" s="1" t="s">
        <v>4587</v>
      </c>
      <c r="C2151" s="1" t="s">
        <v>3831</v>
      </c>
      <c r="D2151" s="1" t="s">
        <v>3859</v>
      </c>
      <c r="E2151" s="1" t="s">
        <v>4588</v>
      </c>
      <c r="F2151" s="1" t="s">
        <v>16</v>
      </c>
      <c r="G2151" s="1" t="s">
        <v>23</v>
      </c>
      <c r="H2151" s="1" t="s">
        <v>18</v>
      </c>
      <c r="I2151" s="1" t="s">
        <v>19</v>
      </c>
    </row>
    <row r="2152">
      <c r="A2152" s="1">
        <v>3526030.0</v>
      </c>
      <c r="B2152" s="1" t="s">
        <v>4589</v>
      </c>
      <c r="C2152" s="1" t="s">
        <v>3831</v>
      </c>
      <c r="D2152" s="1" t="s">
        <v>3832</v>
      </c>
      <c r="E2152" s="1" t="s">
        <v>4590</v>
      </c>
      <c r="F2152" s="1" t="s">
        <v>55</v>
      </c>
      <c r="G2152" s="1" t="s">
        <v>17</v>
      </c>
      <c r="H2152" s="1" t="s">
        <v>18</v>
      </c>
      <c r="I2152" s="1" t="s">
        <v>59</v>
      </c>
    </row>
    <row r="2153">
      <c r="A2153" s="1">
        <v>3510102.0</v>
      </c>
      <c r="B2153" s="1" t="s">
        <v>4591</v>
      </c>
      <c r="C2153" s="1" t="s">
        <v>3831</v>
      </c>
      <c r="D2153" s="1" t="s">
        <v>3844</v>
      </c>
      <c r="E2153" s="1" t="s">
        <v>4592</v>
      </c>
      <c r="F2153" s="1" t="s">
        <v>16</v>
      </c>
      <c r="G2153" s="1" t="s">
        <v>17</v>
      </c>
      <c r="H2153" s="1" t="s">
        <v>18</v>
      </c>
      <c r="I2153" s="1" t="s">
        <v>19</v>
      </c>
    </row>
    <row r="2154">
      <c r="A2154" s="1">
        <v>3578560.0</v>
      </c>
      <c r="B2154" s="1" t="s">
        <v>4593</v>
      </c>
      <c r="C2154" s="1" t="s">
        <v>3831</v>
      </c>
      <c r="D2154" s="1" t="s">
        <v>3847</v>
      </c>
      <c r="E2154" s="1" t="s">
        <v>4594</v>
      </c>
      <c r="F2154" s="1" t="s">
        <v>16</v>
      </c>
      <c r="G2154" s="1" t="s">
        <v>27</v>
      </c>
      <c r="H2154" s="1" t="s">
        <v>18</v>
      </c>
      <c r="I2154" s="1" t="s">
        <v>19</v>
      </c>
    </row>
    <row r="2155">
      <c r="A2155" s="1">
        <v>3525099.0</v>
      </c>
      <c r="B2155" s="1" t="s">
        <v>4595</v>
      </c>
      <c r="C2155" s="1" t="s">
        <v>3831</v>
      </c>
      <c r="D2155" s="1" t="s">
        <v>3865</v>
      </c>
      <c r="E2155" s="1" t="s">
        <v>4596</v>
      </c>
      <c r="F2155" s="1" t="s">
        <v>16</v>
      </c>
      <c r="G2155" s="1" t="s">
        <v>23</v>
      </c>
      <c r="H2155" s="1" t="s">
        <v>18</v>
      </c>
      <c r="I2155" s="1" t="s">
        <v>19</v>
      </c>
    </row>
    <row r="2156">
      <c r="A2156" s="1">
        <v>3524048.0</v>
      </c>
      <c r="B2156" s="1" t="s">
        <v>4597</v>
      </c>
      <c r="C2156" s="1" t="s">
        <v>3831</v>
      </c>
      <c r="D2156" s="1" t="s">
        <v>3856</v>
      </c>
      <c r="E2156" s="1" t="s">
        <v>4598</v>
      </c>
      <c r="F2156" s="1" t="s">
        <v>16</v>
      </c>
      <c r="G2156" s="1" t="s">
        <v>23</v>
      </c>
      <c r="H2156" s="1" t="s">
        <v>18</v>
      </c>
      <c r="I2156" s="1" t="s">
        <v>19</v>
      </c>
    </row>
    <row r="2157">
      <c r="A2157" s="1">
        <v>3573066.0</v>
      </c>
      <c r="B2157" s="1" t="s">
        <v>4599</v>
      </c>
      <c r="C2157" s="1" t="s">
        <v>3831</v>
      </c>
      <c r="D2157" s="1" t="s">
        <v>3938</v>
      </c>
      <c r="E2157" s="1" t="s">
        <v>4600</v>
      </c>
      <c r="F2157" s="1" t="s">
        <v>16</v>
      </c>
      <c r="G2157" s="1" t="s">
        <v>27</v>
      </c>
      <c r="H2157" s="1" t="s">
        <v>18</v>
      </c>
      <c r="I2157" s="1" t="s">
        <v>19</v>
      </c>
    </row>
    <row r="2158">
      <c r="A2158" s="1">
        <v>3522061.0</v>
      </c>
      <c r="B2158" s="1" t="s">
        <v>4601</v>
      </c>
      <c r="C2158" s="1" t="s">
        <v>3831</v>
      </c>
      <c r="D2158" s="1" t="s">
        <v>3897</v>
      </c>
      <c r="E2158" s="1" t="s">
        <v>4602</v>
      </c>
      <c r="F2158" s="1" t="s">
        <v>16</v>
      </c>
      <c r="G2158" s="1" t="s">
        <v>23</v>
      </c>
      <c r="H2158" s="1" t="s">
        <v>18</v>
      </c>
      <c r="I2158" s="1" t="s">
        <v>44</v>
      </c>
    </row>
    <row r="2159">
      <c r="A2159" s="1">
        <v>3573262.0</v>
      </c>
      <c r="B2159" s="1" t="s">
        <v>4603</v>
      </c>
      <c r="C2159" s="1" t="s">
        <v>3831</v>
      </c>
      <c r="D2159" s="1" t="s">
        <v>3938</v>
      </c>
      <c r="E2159" s="1" t="s">
        <v>4604</v>
      </c>
      <c r="F2159" s="1" t="s">
        <v>16</v>
      </c>
      <c r="G2159" s="1" t="s">
        <v>17</v>
      </c>
      <c r="H2159" s="1" t="s">
        <v>18</v>
      </c>
      <c r="I2159" s="1" t="s">
        <v>34</v>
      </c>
    </row>
    <row r="2160">
      <c r="A2160" s="1">
        <v>3517109.0</v>
      </c>
      <c r="B2160" s="1" t="s">
        <v>4605</v>
      </c>
      <c r="C2160" s="1" t="s">
        <v>3831</v>
      </c>
      <c r="D2160" s="1" t="s">
        <v>3956</v>
      </c>
      <c r="E2160" s="1" t="s">
        <v>4606</v>
      </c>
      <c r="F2160" s="1" t="s">
        <v>16</v>
      </c>
      <c r="G2160" s="1" t="s">
        <v>23</v>
      </c>
      <c r="H2160" s="1" t="s">
        <v>18</v>
      </c>
      <c r="I2160" s="1" t="s">
        <v>684</v>
      </c>
    </row>
    <row r="2161">
      <c r="A2161" s="1">
        <v>3576076.0</v>
      </c>
      <c r="B2161" s="1" t="s">
        <v>4607</v>
      </c>
      <c r="C2161" s="1" t="s">
        <v>3831</v>
      </c>
      <c r="D2161" s="1" t="s">
        <v>4020</v>
      </c>
      <c r="E2161" s="1" t="s">
        <v>4608</v>
      </c>
      <c r="F2161" s="1" t="s">
        <v>16</v>
      </c>
      <c r="G2161" s="1" t="s">
        <v>17</v>
      </c>
      <c r="H2161" s="1" t="s">
        <v>18</v>
      </c>
      <c r="I2161" s="1" t="s">
        <v>59</v>
      </c>
    </row>
    <row r="2162">
      <c r="A2162" s="1">
        <v>3513025.0</v>
      </c>
      <c r="B2162" s="1" t="s">
        <v>4609</v>
      </c>
      <c r="C2162" s="1" t="s">
        <v>3831</v>
      </c>
      <c r="D2162" s="1" t="s">
        <v>3853</v>
      </c>
      <c r="E2162" s="1" t="s">
        <v>4610</v>
      </c>
      <c r="F2162" s="1" t="s">
        <v>55</v>
      </c>
      <c r="G2162" s="1" t="s">
        <v>17</v>
      </c>
      <c r="H2162" s="1" t="s">
        <v>18</v>
      </c>
      <c r="I2162" s="1" t="s">
        <v>19</v>
      </c>
    </row>
    <row r="2163">
      <c r="A2163" s="1">
        <v>3526045.0</v>
      </c>
      <c r="B2163" s="1" t="s">
        <v>4611</v>
      </c>
      <c r="C2163" s="1" t="s">
        <v>3831</v>
      </c>
      <c r="D2163" s="1" t="s">
        <v>3832</v>
      </c>
      <c r="E2163" s="1" t="s">
        <v>4612</v>
      </c>
      <c r="F2163" s="1" t="s">
        <v>55</v>
      </c>
      <c r="G2163" s="1" t="s">
        <v>17</v>
      </c>
      <c r="H2163" s="1" t="s">
        <v>18</v>
      </c>
      <c r="I2163" s="1" t="s">
        <v>19</v>
      </c>
    </row>
    <row r="2164">
      <c r="A2164" s="1">
        <v>3502145.0</v>
      </c>
      <c r="B2164" s="1" t="s">
        <v>4613</v>
      </c>
      <c r="C2164" s="1" t="s">
        <v>3831</v>
      </c>
      <c r="D2164" s="1" t="s">
        <v>4013</v>
      </c>
      <c r="E2164" s="1" t="s">
        <v>4614</v>
      </c>
      <c r="F2164" s="1" t="s">
        <v>16</v>
      </c>
      <c r="G2164" s="1" t="s">
        <v>23</v>
      </c>
      <c r="H2164" s="1" t="s">
        <v>18</v>
      </c>
      <c r="I2164" s="1" t="s">
        <v>19</v>
      </c>
    </row>
    <row r="2165">
      <c r="A2165" s="1">
        <v>3576051.0</v>
      </c>
      <c r="B2165" s="1" t="s">
        <v>4615</v>
      </c>
      <c r="C2165" s="1" t="s">
        <v>3831</v>
      </c>
      <c r="D2165" s="1" t="s">
        <v>4020</v>
      </c>
      <c r="E2165" s="1" t="s">
        <v>4616</v>
      </c>
      <c r="F2165" s="1" t="s">
        <v>16</v>
      </c>
      <c r="G2165" s="1" t="s">
        <v>17</v>
      </c>
      <c r="H2165" s="1" t="s">
        <v>18</v>
      </c>
      <c r="I2165" s="1" t="s">
        <v>684</v>
      </c>
    </row>
    <row r="2166">
      <c r="A2166" s="1">
        <v>3504070.0</v>
      </c>
      <c r="B2166" s="1" t="s">
        <v>4617</v>
      </c>
      <c r="C2166" s="1" t="s">
        <v>3831</v>
      </c>
      <c r="D2166" s="1" t="s">
        <v>3850</v>
      </c>
      <c r="E2166" s="1" t="s">
        <v>4618</v>
      </c>
      <c r="F2166" s="1" t="s">
        <v>16</v>
      </c>
      <c r="G2166" s="1" t="s">
        <v>23</v>
      </c>
      <c r="H2166" s="1" t="s">
        <v>18</v>
      </c>
      <c r="I2166" s="1" t="s">
        <v>19</v>
      </c>
    </row>
    <row r="2167">
      <c r="A2167" s="1">
        <v>3510103.0</v>
      </c>
      <c r="B2167" s="1" t="s">
        <v>4619</v>
      </c>
      <c r="C2167" s="1" t="s">
        <v>3831</v>
      </c>
      <c r="D2167" s="1" t="s">
        <v>3844</v>
      </c>
      <c r="E2167" s="1" t="s">
        <v>4620</v>
      </c>
      <c r="F2167" s="1" t="s">
        <v>16</v>
      </c>
      <c r="G2167" s="1" t="s">
        <v>17</v>
      </c>
      <c r="H2167" s="1" t="s">
        <v>18</v>
      </c>
      <c r="I2167" s="1" t="s">
        <v>19</v>
      </c>
    </row>
    <row r="2168">
      <c r="A2168" s="1">
        <v>3572073.0</v>
      </c>
      <c r="B2168" s="1" t="s">
        <v>4621</v>
      </c>
      <c r="C2168" s="1" t="s">
        <v>3831</v>
      </c>
      <c r="D2168" s="1" t="s">
        <v>4179</v>
      </c>
      <c r="E2168" s="1" t="s">
        <v>4622</v>
      </c>
      <c r="F2168" s="1" t="s">
        <v>16</v>
      </c>
      <c r="G2168" s="1" t="s">
        <v>17</v>
      </c>
      <c r="H2168" s="1" t="s">
        <v>18</v>
      </c>
      <c r="I2168" s="1" t="s">
        <v>684</v>
      </c>
    </row>
    <row r="2169">
      <c r="A2169" s="1">
        <v>3502157.0</v>
      </c>
      <c r="B2169" s="1" t="s">
        <v>4623</v>
      </c>
      <c r="C2169" s="1" t="s">
        <v>3831</v>
      </c>
      <c r="D2169" s="1" t="s">
        <v>4013</v>
      </c>
      <c r="E2169" s="1" t="s">
        <v>4624</v>
      </c>
      <c r="F2169" s="1" t="s">
        <v>16</v>
      </c>
      <c r="G2169" s="1" t="s">
        <v>23</v>
      </c>
      <c r="H2169" s="1" t="s">
        <v>18</v>
      </c>
      <c r="I2169" s="1" t="s">
        <v>19</v>
      </c>
    </row>
    <row r="2170">
      <c r="A2170" s="1">
        <v>3528041.0</v>
      </c>
      <c r="B2170" s="1" t="s">
        <v>4625</v>
      </c>
      <c r="C2170" s="1" t="s">
        <v>3831</v>
      </c>
      <c r="D2170" s="1" t="s">
        <v>3841</v>
      </c>
      <c r="E2170" s="1" t="s">
        <v>4626</v>
      </c>
      <c r="F2170" s="1" t="s">
        <v>55</v>
      </c>
      <c r="G2170" s="1" t="s">
        <v>17</v>
      </c>
      <c r="H2170" s="1" t="s">
        <v>18</v>
      </c>
      <c r="I2170" s="1" t="s">
        <v>163</v>
      </c>
    </row>
    <row r="2171">
      <c r="A2171" s="1">
        <v>3523015.0</v>
      </c>
      <c r="B2171" s="1" t="s">
        <v>4627</v>
      </c>
      <c r="C2171" s="1" t="s">
        <v>3831</v>
      </c>
      <c r="D2171" s="1" t="s">
        <v>3982</v>
      </c>
      <c r="E2171" s="1" t="s">
        <v>4628</v>
      </c>
      <c r="F2171" s="1" t="s">
        <v>16</v>
      </c>
      <c r="G2171" s="1" t="s">
        <v>27</v>
      </c>
      <c r="H2171" s="1" t="s">
        <v>28</v>
      </c>
      <c r="I2171" s="1" t="s">
        <v>40</v>
      </c>
    </row>
    <row r="2172">
      <c r="A2172" s="1">
        <v>3506058.0</v>
      </c>
      <c r="B2172" s="1" t="s">
        <v>4629</v>
      </c>
      <c r="C2172" s="1" t="s">
        <v>3831</v>
      </c>
      <c r="D2172" s="1" t="s">
        <v>3894</v>
      </c>
      <c r="E2172" s="1" t="s">
        <v>4630</v>
      </c>
      <c r="F2172" s="1" t="s">
        <v>16</v>
      </c>
      <c r="G2172" s="1" t="s">
        <v>23</v>
      </c>
      <c r="H2172" s="1" t="s">
        <v>18</v>
      </c>
      <c r="I2172" s="1" t="s">
        <v>59</v>
      </c>
    </row>
    <row r="2173">
      <c r="A2173" s="1">
        <v>3571147.0</v>
      </c>
      <c r="B2173" s="1" t="s">
        <v>4631</v>
      </c>
      <c r="C2173" s="1" t="s">
        <v>3831</v>
      </c>
      <c r="D2173" s="1" t="s">
        <v>3930</v>
      </c>
      <c r="E2173" s="1" t="s">
        <v>4632</v>
      </c>
      <c r="F2173" s="1" t="s">
        <v>16</v>
      </c>
      <c r="G2173" s="1" t="s">
        <v>23</v>
      </c>
      <c r="H2173" s="1" t="s">
        <v>18</v>
      </c>
      <c r="I2173" s="1" t="s">
        <v>19</v>
      </c>
    </row>
    <row r="2174">
      <c r="A2174" s="1">
        <v>3579074.0</v>
      </c>
      <c r="B2174" s="1" t="s">
        <v>4633</v>
      </c>
      <c r="C2174" s="1" t="s">
        <v>3831</v>
      </c>
      <c r="D2174" s="1" t="s">
        <v>3922</v>
      </c>
      <c r="E2174" s="1" t="s">
        <v>4634</v>
      </c>
      <c r="F2174" s="1" t="s">
        <v>16</v>
      </c>
      <c r="G2174" s="1" t="s">
        <v>17</v>
      </c>
      <c r="H2174" s="1" t="s">
        <v>18</v>
      </c>
      <c r="I2174" s="1" t="s">
        <v>249</v>
      </c>
    </row>
    <row r="2175">
      <c r="A2175" s="1">
        <v>3578053.0</v>
      </c>
      <c r="B2175" s="1" t="s">
        <v>4635</v>
      </c>
      <c r="C2175" s="1" t="s">
        <v>3831</v>
      </c>
      <c r="D2175" s="1" t="s">
        <v>3847</v>
      </c>
      <c r="E2175" s="1" t="s">
        <v>4636</v>
      </c>
      <c r="F2175" s="1" t="s">
        <v>16</v>
      </c>
      <c r="G2175" s="1" t="s">
        <v>17</v>
      </c>
      <c r="H2175" s="1" t="s">
        <v>18</v>
      </c>
      <c r="I2175" s="1" t="s">
        <v>59</v>
      </c>
    </row>
    <row r="2176">
      <c r="A2176" s="1">
        <v>3517095.0</v>
      </c>
      <c r="B2176" s="1" t="s">
        <v>4637</v>
      </c>
      <c r="C2176" s="1" t="s">
        <v>3831</v>
      </c>
      <c r="D2176" s="1" t="s">
        <v>3956</v>
      </c>
      <c r="E2176" s="1" t="s">
        <v>4638</v>
      </c>
      <c r="F2176" s="1" t="s">
        <v>16</v>
      </c>
      <c r="G2176" s="1" t="s">
        <v>23</v>
      </c>
      <c r="H2176" s="1" t="s">
        <v>18</v>
      </c>
      <c r="I2176" s="1" t="s">
        <v>44</v>
      </c>
    </row>
    <row r="2177">
      <c r="A2177" s="1">
        <v>3515145.0</v>
      </c>
      <c r="B2177" s="1" t="s">
        <v>4639</v>
      </c>
      <c r="C2177" s="1" t="s">
        <v>3831</v>
      </c>
      <c r="D2177" s="1" t="s">
        <v>3870</v>
      </c>
      <c r="E2177" s="1" t="s">
        <v>4640</v>
      </c>
      <c r="F2177" s="1" t="s">
        <v>16</v>
      </c>
      <c r="G2177" s="1" t="s">
        <v>17</v>
      </c>
      <c r="H2177" s="1" t="s">
        <v>18</v>
      </c>
      <c r="I2177" s="1" t="s">
        <v>19</v>
      </c>
    </row>
    <row r="2178">
      <c r="A2178" s="1">
        <v>3509123.0</v>
      </c>
      <c r="B2178" s="1" t="s">
        <v>4641</v>
      </c>
      <c r="C2178" s="1" t="s">
        <v>3831</v>
      </c>
      <c r="D2178" s="1" t="s">
        <v>3890</v>
      </c>
      <c r="E2178" s="1" t="s">
        <v>4642</v>
      </c>
      <c r="F2178" s="1" t="s">
        <v>16</v>
      </c>
      <c r="G2178" s="1" t="s">
        <v>17</v>
      </c>
      <c r="H2178" s="1" t="s">
        <v>28</v>
      </c>
      <c r="I2178" s="1" t="s">
        <v>40</v>
      </c>
    </row>
    <row r="2179">
      <c r="A2179" s="1">
        <v>3578192.0</v>
      </c>
      <c r="B2179" s="1" t="s">
        <v>4643</v>
      </c>
      <c r="C2179" s="1" t="s">
        <v>3831</v>
      </c>
      <c r="D2179" s="1" t="s">
        <v>3847</v>
      </c>
      <c r="E2179" s="1" t="s">
        <v>4644</v>
      </c>
      <c r="F2179" s="1" t="s">
        <v>174</v>
      </c>
      <c r="G2179" s="1" t="s">
        <v>150</v>
      </c>
      <c r="H2179" s="1" t="s">
        <v>28</v>
      </c>
      <c r="I2179" s="1" t="s">
        <v>139</v>
      </c>
    </row>
    <row r="2180">
      <c r="A2180" s="1">
        <v>3572021.0</v>
      </c>
      <c r="B2180" s="1" t="s">
        <v>4645</v>
      </c>
      <c r="C2180" s="1" t="s">
        <v>3831</v>
      </c>
      <c r="D2180" s="1" t="s">
        <v>4179</v>
      </c>
      <c r="E2180" s="1" t="s">
        <v>4646</v>
      </c>
      <c r="F2180" s="1" t="s">
        <v>16</v>
      </c>
      <c r="G2180" s="1" t="s">
        <v>17</v>
      </c>
      <c r="H2180" s="1" t="s">
        <v>18</v>
      </c>
      <c r="I2180" s="1" t="s">
        <v>59</v>
      </c>
    </row>
    <row r="2181">
      <c r="A2181" s="1">
        <v>3506062.0</v>
      </c>
      <c r="B2181" s="1" t="s">
        <v>4647</v>
      </c>
      <c r="C2181" s="1" t="s">
        <v>3831</v>
      </c>
      <c r="D2181" s="1" t="s">
        <v>3894</v>
      </c>
      <c r="E2181" s="1" t="s">
        <v>4648</v>
      </c>
      <c r="F2181" s="1" t="s">
        <v>16</v>
      </c>
      <c r="G2181" s="1" t="s">
        <v>17</v>
      </c>
      <c r="H2181" s="1" t="s">
        <v>18</v>
      </c>
      <c r="I2181" s="1" t="s">
        <v>44</v>
      </c>
    </row>
    <row r="2182">
      <c r="A2182" s="1">
        <v>3515026.0</v>
      </c>
      <c r="B2182" s="1" t="s">
        <v>4649</v>
      </c>
      <c r="C2182" s="1" t="s">
        <v>3831</v>
      </c>
      <c r="D2182" s="1" t="s">
        <v>3870</v>
      </c>
      <c r="E2182" s="1" t="s">
        <v>4650</v>
      </c>
      <c r="F2182" s="1" t="s">
        <v>16</v>
      </c>
      <c r="G2182" s="1" t="s">
        <v>27</v>
      </c>
      <c r="H2182" s="1" t="s">
        <v>18</v>
      </c>
      <c r="I2182" s="1" t="s">
        <v>19</v>
      </c>
    </row>
    <row r="2183">
      <c r="A2183" s="1">
        <v>3578753.0</v>
      </c>
      <c r="B2183" s="1" t="s">
        <v>4651</v>
      </c>
      <c r="C2183" s="1" t="s">
        <v>3831</v>
      </c>
      <c r="D2183" s="1" t="s">
        <v>3847</v>
      </c>
      <c r="E2183" s="1" t="s">
        <v>4652</v>
      </c>
      <c r="F2183" s="1" t="s">
        <v>1789</v>
      </c>
      <c r="G2183" s="1" t="s">
        <v>17</v>
      </c>
      <c r="H2183" s="1" t="s">
        <v>18</v>
      </c>
      <c r="I2183" s="1" t="s">
        <v>19</v>
      </c>
    </row>
    <row r="2184">
      <c r="A2184" s="1">
        <v>3524049.0</v>
      </c>
      <c r="B2184" s="1" t="s">
        <v>4653</v>
      </c>
      <c r="C2184" s="1" t="s">
        <v>3831</v>
      </c>
      <c r="D2184" s="1" t="s">
        <v>3856</v>
      </c>
      <c r="E2184" s="1" t="s">
        <v>4654</v>
      </c>
      <c r="F2184" s="1" t="s">
        <v>16</v>
      </c>
      <c r="G2184" s="1" t="s">
        <v>17</v>
      </c>
      <c r="H2184" s="1" t="s">
        <v>18</v>
      </c>
      <c r="I2184" s="1" t="s">
        <v>19</v>
      </c>
    </row>
    <row r="2185">
      <c r="A2185" s="1">
        <v>3574012.0</v>
      </c>
      <c r="B2185" s="1" t="s">
        <v>4655</v>
      </c>
      <c r="C2185" s="1" t="s">
        <v>3831</v>
      </c>
      <c r="D2185" s="1" t="s">
        <v>4046</v>
      </c>
      <c r="E2185" s="1" t="s">
        <v>4656</v>
      </c>
      <c r="F2185" s="1" t="s">
        <v>16</v>
      </c>
      <c r="G2185" s="1" t="s">
        <v>27</v>
      </c>
      <c r="H2185" s="1" t="s">
        <v>28</v>
      </c>
      <c r="I2185" s="1" t="s">
        <v>29</v>
      </c>
    </row>
    <row r="2186">
      <c r="A2186" s="1">
        <v>3578213.0</v>
      </c>
      <c r="B2186" s="1" t="s">
        <v>4657</v>
      </c>
      <c r="C2186" s="1" t="s">
        <v>3831</v>
      </c>
      <c r="D2186" s="1" t="s">
        <v>3847</v>
      </c>
      <c r="E2186" s="1" t="s">
        <v>4658</v>
      </c>
      <c r="F2186" s="1" t="s">
        <v>16</v>
      </c>
      <c r="G2186" s="1" t="s">
        <v>27</v>
      </c>
      <c r="H2186" s="1" t="s">
        <v>28</v>
      </c>
      <c r="I2186" s="1" t="s">
        <v>29</v>
      </c>
    </row>
    <row r="2187">
      <c r="A2187" s="1">
        <v>3578766.0</v>
      </c>
      <c r="B2187" s="1" t="s">
        <v>4659</v>
      </c>
      <c r="C2187" s="1" t="s">
        <v>3831</v>
      </c>
      <c r="D2187" s="1" t="s">
        <v>3847</v>
      </c>
      <c r="E2187" s="1" t="s">
        <v>4660</v>
      </c>
      <c r="F2187" s="1" t="s">
        <v>16</v>
      </c>
      <c r="G2187" s="1" t="s">
        <v>17</v>
      </c>
      <c r="H2187" s="1" t="s">
        <v>18</v>
      </c>
      <c r="I2187" s="1" t="s">
        <v>19</v>
      </c>
    </row>
    <row r="2188">
      <c r="A2188" s="1">
        <v>3520012.0</v>
      </c>
      <c r="B2188" s="1" t="s">
        <v>4661</v>
      </c>
      <c r="C2188" s="1" t="s">
        <v>3831</v>
      </c>
      <c r="D2188" s="1" t="s">
        <v>3878</v>
      </c>
      <c r="E2188" s="1" t="s">
        <v>4662</v>
      </c>
      <c r="F2188" s="1" t="s">
        <v>16</v>
      </c>
      <c r="G2188" s="1" t="s">
        <v>17</v>
      </c>
      <c r="H2188" s="1" t="s">
        <v>28</v>
      </c>
      <c r="I2188" s="1" t="s">
        <v>40</v>
      </c>
    </row>
    <row r="2189">
      <c r="A2189" s="1">
        <v>3578246.0</v>
      </c>
      <c r="B2189" s="1" t="s">
        <v>4663</v>
      </c>
      <c r="C2189" s="1" t="s">
        <v>3831</v>
      </c>
      <c r="D2189" s="1" t="s">
        <v>3847</v>
      </c>
      <c r="E2189" s="1" t="s">
        <v>4664</v>
      </c>
      <c r="F2189" s="1" t="s">
        <v>16</v>
      </c>
      <c r="G2189" s="1" t="s">
        <v>23</v>
      </c>
      <c r="H2189" s="1" t="s">
        <v>18</v>
      </c>
      <c r="I2189" s="1" t="s">
        <v>19</v>
      </c>
    </row>
    <row r="2190">
      <c r="A2190" s="1">
        <v>3573246.0</v>
      </c>
      <c r="B2190" s="1" t="s">
        <v>4665</v>
      </c>
      <c r="C2190" s="1" t="s">
        <v>3831</v>
      </c>
      <c r="D2190" s="1" t="s">
        <v>3938</v>
      </c>
      <c r="E2190" s="1" t="s">
        <v>4666</v>
      </c>
      <c r="F2190" s="1" t="s">
        <v>16</v>
      </c>
      <c r="G2190" s="1" t="s">
        <v>17</v>
      </c>
      <c r="H2190" s="1" t="s">
        <v>18</v>
      </c>
      <c r="I2190" s="1" t="s">
        <v>19</v>
      </c>
    </row>
    <row r="2191">
      <c r="A2191" s="1">
        <v>3578774.0</v>
      </c>
      <c r="B2191" s="1" t="s">
        <v>4667</v>
      </c>
      <c r="C2191" s="1" t="s">
        <v>3831</v>
      </c>
      <c r="D2191" s="1" t="s">
        <v>3847</v>
      </c>
      <c r="E2191" s="1" t="s">
        <v>4668</v>
      </c>
      <c r="F2191" s="1" t="s">
        <v>55</v>
      </c>
      <c r="G2191" s="1" t="s">
        <v>17</v>
      </c>
      <c r="H2191" s="1" t="s">
        <v>18</v>
      </c>
      <c r="I2191" s="1" t="s">
        <v>44</v>
      </c>
    </row>
    <row r="2192">
      <c r="A2192" s="1">
        <v>3507262.0</v>
      </c>
      <c r="B2192" s="1" t="s">
        <v>4669</v>
      </c>
      <c r="C2192" s="1" t="s">
        <v>3831</v>
      </c>
      <c r="D2192" s="1" t="s">
        <v>3862</v>
      </c>
      <c r="E2192" s="1" t="s">
        <v>4670</v>
      </c>
      <c r="F2192" s="1" t="s">
        <v>16</v>
      </c>
      <c r="G2192" s="1" t="s">
        <v>23</v>
      </c>
      <c r="H2192" s="1" t="s">
        <v>18</v>
      </c>
      <c r="I2192" s="1" t="s">
        <v>563</v>
      </c>
    </row>
    <row r="2193">
      <c r="A2193" s="1">
        <v>3525076.0</v>
      </c>
      <c r="B2193" s="1" t="s">
        <v>4671</v>
      </c>
      <c r="C2193" s="1" t="s">
        <v>3831</v>
      </c>
      <c r="D2193" s="1" t="s">
        <v>3865</v>
      </c>
      <c r="E2193" s="1" t="s">
        <v>4672</v>
      </c>
      <c r="F2193" s="1" t="s">
        <v>16</v>
      </c>
      <c r="G2193" s="1" t="s">
        <v>17</v>
      </c>
      <c r="H2193" s="1" t="s">
        <v>18</v>
      </c>
      <c r="I2193" s="1" t="s">
        <v>19</v>
      </c>
    </row>
    <row r="2194">
      <c r="A2194" s="1">
        <v>3517093.0</v>
      </c>
      <c r="B2194" s="1" t="s">
        <v>4673</v>
      </c>
      <c r="C2194" s="1" t="s">
        <v>3831</v>
      </c>
      <c r="D2194" s="1" t="s">
        <v>3956</v>
      </c>
      <c r="E2194" s="1" t="s">
        <v>4674</v>
      </c>
      <c r="F2194" s="1" t="s">
        <v>16</v>
      </c>
      <c r="G2194" s="1" t="s">
        <v>23</v>
      </c>
      <c r="H2194" s="1" t="s">
        <v>18</v>
      </c>
      <c r="I2194" s="1" t="s">
        <v>684</v>
      </c>
    </row>
    <row r="2195">
      <c r="A2195" s="1">
        <v>3578784.0</v>
      </c>
      <c r="B2195" s="1" t="s">
        <v>4675</v>
      </c>
      <c r="C2195" s="1" t="s">
        <v>3831</v>
      </c>
      <c r="D2195" s="1" t="s">
        <v>3847</v>
      </c>
      <c r="E2195" s="1" t="s">
        <v>4676</v>
      </c>
      <c r="F2195" s="1" t="s">
        <v>55</v>
      </c>
      <c r="G2195" s="1" t="s">
        <v>17</v>
      </c>
      <c r="H2195" s="1" t="s">
        <v>18</v>
      </c>
      <c r="I2195" s="1" t="s">
        <v>44</v>
      </c>
    </row>
    <row r="2196">
      <c r="A2196" s="1">
        <v>3510106.0</v>
      </c>
      <c r="B2196" s="1" t="s">
        <v>4677</v>
      </c>
      <c r="C2196" s="1" t="s">
        <v>3831</v>
      </c>
      <c r="D2196" s="1" t="s">
        <v>3844</v>
      </c>
      <c r="E2196" s="1" t="s">
        <v>4678</v>
      </c>
      <c r="F2196" s="1" t="s">
        <v>16</v>
      </c>
      <c r="G2196" s="1" t="s">
        <v>17</v>
      </c>
      <c r="H2196" s="1" t="s">
        <v>18</v>
      </c>
      <c r="I2196" s="1" t="s">
        <v>19</v>
      </c>
    </row>
    <row r="2197">
      <c r="A2197" s="1">
        <v>3571020.0</v>
      </c>
      <c r="B2197" s="1" t="s">
        <v>4679</v>
      </c>
      <c r="C2197" s="1" t="s">
        <v>3831</v>
      </c>
      <c r="D2197" s="1" t="s">
        <v>3930</v>
      </c>
      <c r="E2197" s="1" t="s">
        <v>4680</v>
      </c>
      <c r="F2197" s="1" t="s">
        <v>16</v>
      </c>
      <c r="G2197" s="1" t="s">
        <v>17</v>
      </c>
      <c r="H2197" s="1" t="s">
        <v>18</v>
      </c>
      <c r="I2197" s="1" t="s">
        <v>74</v>
      </c>
    </row>
    <row r="2198">
      <c r="A2198" s="1">
        <v>3524044.0</v>
      </c>
      <c r="B2198" s="1" t="s">
        <v>4681</v>
      </c>
      <c r="C2198" s="1" t="s">
        <v>3831</v>
      </c>
      <c r="D2198" s="1" t="s">
        <v>3856</v>
      </c>
      <c r="E2198" s="1" t="s">
        <v>4682</v>
      </c>
      <c r="F2198" s="1" t="s">
        <v>16</v>
      </c>
      <c r="G2198" s="1" t="s">
        <v>23</v>
      </c>
      <c r="H2198" s="1" t="s">
        <v>18</v>
      </c>
      <c r="I2198" s="1" t="s">
        <v>684</v>
      </c>
    </row>
    <row r="2199">
      <c r="A2199" s="1">
        <v>3578785.0</v>
      </c>
      <c r="B2199" s="1" t="s">
        <v>4683</v>
      </c>
      <c r="C2199" s="1" t="s">
        <v>3831</v>
      </c>
      <c r="D2199" s="1" t="s">
        <v>3847</v>
      </c>
      <c r="E2199" s="1" t="s">
        <v>4684</v>
      </c>
      <c r="F2199" s="1" t="s">
        <v>16</v>
      </c>
      <c r="G2199" s="1" t="s">
        <v>17</v>
      </c>
      <c r="H2199" s="1" t="s">
        <v>18</v>
      </c>
      <c r="I2199" s="1" t="s">
        <v>44</v>
      </c>
    </row>
    <row r="2200">
      <c r="A2200" s="1">
        <v>3525098.0</v>
      </c>
      <c r="B2200" s="1" t="s">
        <v>4685</v>
      </c>
      <c r="C2200" s="1" t="s">
        <v>3831</v>
      </c>
      <c r="D2200" s="1" t="s">
        <v>3865</v>
      </c>
      <c r="E2200" s="1" t="s">
        <v>4686</v>
      </c>
      <c r="F2200" s="1" t="s">
        <v>16</v>
      </c>
      <c r="G2200" s="1" t="s">
        <v>23</v>
      </c>
      <c r="H2200" s="1" t="s">
        <v>18</v>
      </c>
      <c r="I2200" s="1" t="s">
        <v>19</v>
      </c>
    </row>
    <row r="2201">
      <c r="A2201" s="1">
        <v>3512012.0</v>
      </c>
      <c r="B2201" s="1" t="s">
        <v>4687</v>
      </c>
      <c r="C2201" s="1" t="s">
        <v>3831</v>
      </c>
      <c r="D2201" s="1" t="s">
        <v>3967</v>
      </c>
      <c r="E2201" s="1" t="s">
        <v>4688</v>
      </c>
      <c r="F2201" s="1" t="s">
        <v>16</v>
      </c>
      <c r="G2201" s="1" t="s">
        <v>17</v>
      </c>
      <c r="H2201" s="1" t="s">
        <v>28</v>
      </c>
      <c r="I2201" s="1" t="s">
        <v>40</v>
      </c>
    </row>
    <row r="2202">
      <c r="A2202" s="1">
        <v>3578582.0</v>
      </c>
      <c r="B2202" s="1" t="s">
        <v>4689</v>
      </c>
      <c r="C2202" s="1" t="s">
        <v>3831</v>
      </c>
      <c r="D2202" s="1" t="s">
        <v>3847</v>
      </c>
      <c r="E2202" s="1" t="s">
        <v>4690</v>
      </c>
      <c r="F2202" s="1" t="s">
        <v>16</v>
      </c>
      <c r="G2202" s="1" t="s">
        <v>27</v>
      </c>
      <c r="H2202" s="1" t="s">
        <v>18</v>
      </c>
      <c r="I2202" s="1" t="s">
        <v>19</v>
      </c>
    </row>
    <row r="2203">
      <c r="A2203" s="1">
        <v>3507102.0</v>
      </c>
      <c r="B2203" s="1" t="s">
        <v>4691</v>
      </c>
      <c r="C2203" s="1" t="s">
        <v>3831</v>
      </c>
      <c r="D2203" s="1" t="s">
        <v>3862</v>
      </c>
      <c r="E2203" s="1" t="s">
        <v>4692</v>
      </c>
      <c r="F2203" s="1" t="s">
        <v>16</v>
      </c>
      <c r="G2203" s="1" t="s">
        <v>23</v>
      </c>
      <c r="H2203" s="1" t="s">
        <v>18</v>
      </c>
      <c r="I2203" s="1" t="s">
        <v>563</v>
      </c>
    </row>
    <row r="2204">
      <c r="A2204" s="1">
        <v>3517021.0</v>
      </c>
      <c r="B2204" s="1" t="s">
        <v>4693</v>
      </c>
      <c r="C2204" s="1" t="s">
        <v>3831</v>
      </c>
      <c r="D2204" s="1" t="s">
        <v>3956</v>
      </c>
      <c r="E2204" s="1" t="s">
        <v>4694</v>
      </c>
      <c r="F2204" s="1" t="s">
        <v>16</v>
      </c>
      <c r="G2204" s="1" t="s">
        <v>17</v>
      </c>
      <c r="H2204" s="1" t="s">
        <v>18</v>
      </c>
      <c r="I2204" s="1" t="s">
        <v>258</v>
      </c>
    </row>
    <row r="2205">
      <c r="A2205" s="1">
        <v>3507098.0</v>
      </c>
      <c r="B2205" s="1" t="s">
        <v>4695</v>
      </c>
      <c r="C2205" s="1" t="s">
        <v>3831</v>
      </c>
      <c r="D2205" s="1" t="s">
        <v>3862</v>
      </c>
      <c r="E2205" s="1" t="s">
        <v>4696</v>
      </c>
      <c r="F2205" s="1" t="s">
        <v>16</v>
      </c>
      <c r="G2205" s="1" t="s">
        <v>17</v>
      </c>
      <c r="H2205" s="1" t="s">
        <v>18</v>
      </c>
      <c r="I2205" s="1" t="s">
        <v>19</v>
      </c>
    </row>
    <row r="2206">
      <c r="A2206" s="1">
        <v>3503022.0</v>
      </c>
      <c r="B2206" s="1" t="s">
        <v>4697</v>
      </c>
      <c r="C2206" s="1" t="s">
        <v>3831</v>
      </c>
      <c r="D2206" s="1" t="s">
        <v>4238</v>
      </c>
      <c r="E2206" s="1" t="s">
        <v>4698</v>
      </c>
      <c r="F2206" s="1" t="s">
        <v>16</v>
      </c>
      <c r="G2206" s="1" t="s">
        <v>23</v>
      </c>
      <c r="H2206" s="1" t="s">
        <v>18</v>
      </c>
      <c r="I2206" s="1" t="s">
        <v>59</v>
      </c>
    </row>
    <row r="2207">
      <c r="A2207" s="1">
        <v>3516073.0</v>
      </c>
      <c r="B2207" s="1" t="s">
        <v>4699</v>
      </c>
      <c r="C2207" s="1" t="s">
        <v>3831</v>
      </c>
      <c r="D2207" s="1" t="s">
        <v>3909</v>
      </c>
      <c r="E2207" s="1" t="s">
        <v>4700</v>
      </c>
      <c r="F2207" s="1" t="s">
        <v>16</v>
      </c>
      <c r="G2207" s="1" t="s">
        <v>17</v>
      </c>
      <c r="H2207" s="1" t="s">
        <v>28</v>
      </c>
      <c r="I2207" s="1" t="s">
        <v>40</v>
      </c>
    </row>
    <row r="2208">
      <c r="A2208" s="1">
        <v>3516032.0</v>
      </c>
      <c r="B2208" s="1" t="s">
        <v>4701</v>
      </c>
      <c r="C2208" s="1" t="s">
        <v>3831</v>
      </c>
      <c r="D2208" s="1" t="s">
        <v>3909</v>
      </c>
      <c r="E2208" s="1" t="s">
        <v>4702</v>
      </c>
      <c r="F2208" s="1" t="s">
        <v>16</v>
      </c>
      <c r="G2208" s="1" t="s">
        <v>17</v>
      </c>
      <c r="H2208" s="1" t="s">
        <v>18</v>
      </c>
      <c r="I2208" s="1" t="s">
        <v>44</v>
      </c>
    </row>
    <row r="2209">
      <c r="A2209" s="1">
        <v>3515122.0</v>
      </c>
      <c r="B2209" s="1" t="s">
        <v>4703</v>
      </c>
      <c r="C2209" s="1" t="s">
        <v>3831</v>
      </c>
      <c r="D2209" s="1" t="s">
        <v>3870</v>
      </c>
      <c r="E2209" s="1" t="s">
        <v>4704</v>
      </c>
      <c r="F2209" s="1" t="s">
        <v>16</v>
      </c>
      <c r="G2209" s="1" t="s">
        <v>27</v>
      </c>
      <c r="H2209" s="1" t="s">
        <v>18</v>
      </c>
      <c r="I2209" s="1" t="s">
        <v>44</v>
      </c>
    </row>
    <row r="2210">
      <c r="A2210" s="1">
        <v>3515137.0</v>
      </c>
      <c r="B2210" s="1" t="s">
        <v>4705</v>
      </c>
      <c r="C2210" s="1" t="s">
        <v>3831</v>
      </c>
      <c r="D2210" s="1" t="s">
        <v>3870</v>
      </c>
      <c r="E2210" s="1" t="s">
        <v>4706</v>
      </c>
      <c r="F2210" s="1" t="s">
        <v>55</v>
      </c>
      <c r="G2210" s="1" t="s">
        <v>17</v>
      </c>
      <c r="H2210" s="1" t="s">
        <v>18</v>
      </c>
      <c r="I2210" s="1" t="s">
        <v>19</v>
      </c>
    </row>
    <row r="2211">
      <c r="A2211" s="1">
        <v>3511024.0</v>
      </c>
      <c r="B2211" s="1" t="s">
        <v>4707</v>
      </c>
      <c r="C2211" s="1" t="s">
        <v>3831</v>
      </c>
      <c r="D2211" s="1" t="s">
        <v>4130</v>
      </c>
      <c r="E2211" s="1" t="s">
        <v>4708</v>
      </c>
      <c r="F2211" s="1" t="s">
        <v>16</v>
      </c>
      <c r="G2211" s="1" t="s">
        <v>23</v>
      </c>
      <c r="H2211" s="1" t="s">
        <v>18</v>
      </c>
      <c r="I2211" s="1" t="s">
        <v>19</v>
      </c>
    </row>
    <row r="2212">
      <c r="A2212" s="1">
        <v>3523052.0</v>
      </c>
      <c r="B2212" s="1" t="s">
        <v>4709</v>
      </c>
      <c r="C2212" s="1" t="s">
        <v>3831</v>
      </c>
      <c r="D2212" s="1" t="s">
        <v>3982</v>
      </c>
      <c r="E2212" s="1" t="s">
        <v>4710</v>
      </c>
      <c r="F2212" s="1" t="s">
        <v>16</v>
      </c>
      <c r="G2212" s="1" t="s">
        <v>23</v>
      </c>
      <c r="H2212" s="1" t="s">
        <v>18</v>
      </c>
      <c r="I2212" s="1" t="s">
        <v>19</v>
      </c>
    </row>
    <row r="2213">
      <c r="A2213" s="1">
        <v>3508053.0</v>
      </c>
      <c r="B2213" s="1" t="s">
        <v>4711</v>
      </c>
      <c r="C2213" s="1" t="s">
        <v>3831</v>
      </c>
      <c r="D2213" s="1" t="s">
        <v>4135</v>
      </c>
      <c r="E2213" s="1" t="s">
        <v>4712</v>
      </c>
      <c r="F2213" s="1" t="s">
        <v>16</v>
      </c>
      <c r="G2213" s="1" t="s">
        <v>17</v>
      </c>
      <c r="H2213" s="1" t="s">
        <v>18</v>
      </c>
      <c r="I2213" s="1" t="s">
        <v>19</v>
      </c>
    </row>
    <row r="2214">
      <c r="A2214" s="1">
        <v>3578086.0</v>
      </c>
      <c r="B2214" s="1" t="s">
        <v>4713</v>
      </c>
      <c r="C2214" s="1" t="s">
        <v>3831</v>
      </c>
      <c r="D2214" s="1" t="s">
        <v>3847</v>
      </c>
      <c r="E2214" s="1" t="s">
        <v>4714</v>
      </c>
      <c r="F2214" s="1" t="s">
        <v>16</v>
      </c>
      <c r="G2214" s="1" t="s">
        <v>27</v>
      </c>
      <c r="H2214" s="1" t="s">
        <v>18</v>
      </c>
      <c r="I2214" s="1" t="s">
        <v>19</v>
      </c>
    </row>
    <row r="2215">
      <c r="A2215" s="1">
        <v>3524043.0</v>
      </c>
      <c r="B2215" s="1" t="s">
        <v>4715</v>
      </c>
      <c r="C2215" s="1" t="s">
        <v>3831</v>
      </c>
      <c r="D2215" s="1" t="s">
        <v>3856</v>
      </c>
      <c r="E2215" s="1" t="s">
        <v>4716</v>
      </c>
      <c r="F2215" s="1" t="s">
        <v>255</v>
      </c>
      <c r="G2215" s="1" t="s">
        <v>17</v>
      </c>
      <c r="H2215" s="1" t="s">
        <v>18</v>
      </c>
      <c r="I2215" s="1" t="s">
        <v>19</v>
      </c>
    </row>
    <row r="2216">
      <c r="A2216" s="1">
        <v>3507117.0</v>
      </c>
      <c r="B2216" s="1" t="s">
        <v>2426</v>
      </c>
      <c r="C2216" s="1" t="s">
        <v>3831</v>
      </c>
      <c r="D2216" s="1" t="s">
        <v>3862</v>
      </c>
      <c r="E2216" s="1" t="s">
        <v>4717</v>
      </c>
      <c r="F2216" s="1" t="s">
        <v>16</v>
      </c>
      <c r="G2216" s="1" t="s">
        <v>17</v>
      </c>
      <c r="H2216" s="1" t="s">
        <v>18</v>
      </c>
      <c r="I2216" s="1" t="s">
        <v>19</v>
      </c>
    </row>
    <row r="2217">
      <c r="A2217" s="1">
        <v>3526046.0</v>
      </c>
      <c r="B2217" s="1" t="s">
        <v>4718</v>
      </c>
      <c r="C2217" s="1" t="s">
        <v>3831</v>
      </c>
      <c r="D2217" s="1" t="s">
        <v>3832</v>
      </c>
      <c r="E2217" s="1" t="s">
        <v>4719</v>
      </c>
      <c r="F2217" s="1" t="s">
        <v>255</v>
      </c>
      <c r="G2217" s="1" t="s">
        <v>17</v>
      </c>
      <c r="H2217" s="1" t="s">
        <v>18</v>
      </c>
      <c r="I2217" s="1" t="s">
        <v>19</v>
      </c>
    </row>
    <row r="2218">
      <c r="A2218" s="1">
        <v>3672003.0</v>
      </c>
      <c r="B2218" s="1" t="s">
        <v>760</v>
      </c>
      <c r="C2218" s="1" t="s">
        <v>4720</v>
      </c>
      <c r="D2218" s="1" t="s">
        <v>4721</v>
      </c>
      <c r="E2218" s="1" t="s">
        <v>4722</v>
      </c>
      <c r="F2218" s="1" t="s">
        <v>55</v>
      </c>
      <c r="G2218" s="1" t="s">
        <v>17</v>
      </c>
      <c r="H2218" s="1" t="s">
        <v>18</v>
      </c>
      <c r="I2218" s="1" t="s">
        <v>44</v>
      </c>
    </row>
    <row r="2219">
      <c r="A2219" s="1">
        <v>3604050.0</v>
      </c>
      <c r="B2219" s="1" t="s">
        <v>4723</v>
      </c>
      <c r="C2219" s="1" t="s">
        <v>4720</v>
      </c>
      <c r="D2219" s="1" t="s">
        <v>4724</v>
      </c>
      <c r="E2219" s="1" t="s">
        <v>4725</v>
      </c>
      <c r="F2219" s="1" t="s">
        <v>16</v>
      </c>
      <c r="G2219" s="1" t="s">
        <v>23</v>
      </c>
      <c r="H2219" s="1" t="s">
        <v>18</v>
      </c>
      <c r="I2219" s="1" t="s">
        <v>44</v>
      </c>
    </row>
    <row r="2220">
      <c r="A2220" s="1">
        <v>3602011.0</v>
      </c>
      <c r="B2220" s="1" t="s">
        <v>4726</v>
      </c>
      <c r="C2220" s="1" t="s">
        <v>4720</v>
      </c>
      <c r="D2220" s="1" t="s">
        <v>4727</v>
      </c>
      <c r="E2220" s="1" t="s">
        <v>4728</v>
      </c>
      <c r="F2220" s="1" t="s">
        <v>16</v>
      </c>
      <c r="G2220" s="1" t="s">
        <v>27</v>
      </c>
      <c r="H2220" s="1" t="s">
        <v>28</v>
      </c>
      <c r="I2220" s="1" t="s">
        <v>40</v>
      </c>
    </row>
    <row r="2221">
      <c r="A2221" s="1">
        <v>3603181.0</v>
      </c>
      <c r="B2221" s="1" t="s">
        <v>4729</v>
      </c>
      <c r="C2221" s="1" t="s">
        <v>4720</v>
      </c>
      <c r="D2221" s="1" t="s">
        <v>4730</v>
      </c>
      <c r="E2221" s="1" t="s">
        <v>4731</v>
      </c>
      <c r="F2221" s="1" t="s">
        <v>16</v>
      </c>
      <c r="G2221" s="1" t="s">
        <v>27</v>
      </c>
      <c r="H2221" s="1" t="s">
        <v>33</v>
      </c>
      <c r="I2221" s="1" t="s">
        <v>44</v>
      </c>
    </row>
    <row r="2222">
      <c r="A2222" s="1">
        <v>3674157.0</v>
      </c>
      <c r="B2222" s="1" t="s">
        <v>4732</v>
      </c>
      <c r="C2222" s="1" t="s">
        <v>4720</v>
      </c>
      <c r="D2222" s="1" t="s">
        <v>4733</v>
      </c>
      <c r="E2222" s="1" t="s">
        <v>4734</v>
      </c>
      <c r="F2222" s="1" t="s">
        <v>16</v>
      </c>
      <c r="G2222" s="1" t="s">
        <v>27</v>
      </c>
      <c r="H2222" s="1" t="s">
        <v>18</v>
      </c>
      <c r="I2222" s="1" t="s">
        <v>19</v>
      </c>
    </row>
    <row r="2223">
      <c r="A2223" s="1">
        <v>3671043.0</v>
      </c>
      <c r="B2223" s="1" t="s">
        <v>4735</v>
      </c>
      <c r="C2223" s="1" t="s">
        <v>4720</v>
      </c>
      <c r="D2223" s="1" t="s">
        <v>4736</v>
      </c>
      <c r="E2223" s="1" t="s">
        <v>4737</v>
      </c>
      <c r="F2223" s="1" t="s">
        <v>16</v>
      </c>
      <c r="G2223" s="1" t="s">
        <v>17</v>
      </c>
      <c r="H2223" s="1" t="s">
        <v>18</v>
      </c>
      <c r="I2223" s="1" t="s">
        <v>19</v>
      </c>
    </row>
    <row r="2224">
      <c r="A2224" s="1">
        <v>3671209.0</v>
      </c>
      <c r="B2224" s="1" t="s">
        <v>4738</v>
      </c>
      <c r="C2224" s="1" t="s">
        <v>4720</v>
      </c>
      <c r="D2224" s="1" t="s">
        <v>4736</v>
      </c>
      <c r="E2224" s="1" t="s">
        <v>4739</v>
      </c>
      <c r="F2224" s="1" t="s">
        <v>16</v>
      </c>
      <c r="G2224" s="1" t="s">
        <v>17</v>
      </c>
      <c r="H2224" s="1" t="s">
        <v>18</v>
      </c>
      <c r="I2224" s="1" t="s">
        <v>44</v>
      </c>
    </row>
    <row r="2225">
      <c r="A2225" s="1">
        <v>3671082.0</v>
      </c>
      <c r="B2225" s="1" t="s">
        <v>4740</v>
      </c>
      <c r="C2225" s="1" t="s">
        <v>4720</v>
      </c>
      <c r="D2225" s="1" t="s">
        <v>4736</v>
      </c>
      <c r="E2225" s="1" t="s">
        <v>4741</v>
      </c>
      <c r="F2225" s="1" t="s">
        <v>16</v>
      </c>
      <c r="G2225" s="1" t="s">
        <v>17</v>
      </c>
      <c r="H2225" s="1" t="s">
        <v>18</v>
      </c>
      <c r="I2225" s="1" t="s">
        <v>684</v>
      </c>
    </row>
    <row r="2226">
      <c r="A2226" s="1">
        <v>3603193.0</v>
      </c>
      <c r="B2226" s="1" t="s">
        <v>4742</v>
      </c>
      <c r="C2226" s="1" t="s">
        <v>4720</v>
      </c>
      <c r="D2226" s="1" t="s">
        <v>4730</v>
      </c>
      <c r="E2226" s="1" t="s">
        <v>4743</v>
      </c>
      <c r="F2226" s="1" t="s">
        <v>16</v>
      </c>
      <c r="G2226" s="1" t="s">
        <v>17</v>
      </c>
      <c r="H2226" s="1" t="s">
        <v>18</v>
      </c>
      <c r="I2226" s="1" t="s">
        <v>44</v>
      </c>
    </row>
    <row r="2227">
      <c r="A2227" s="1">
        <v>3601034.0</v>
      </c>
      <c r="B2227" s="1" t="s">
        <v>4744</v>
      </c>
      <c r="C2227" s="1" t="s">
        <v>4720</v>
      </c>
      <c r="D2227" s="1" t="s">
        <v>4745</v>
      </c>
      <c r="E2227" s="1" t="s">
        <v>4746</v>
      </c>
      <c r="F2227" s="1" t="s">
        <v>55</v>
      </c>
      <c r="G2227" s="1" t="s">
        <v>17</v>
      </c>
      <c r="H2227" s="1" t="s">
        <v>18</v>
      </c>
      <c r="I2227" s="1" t="s">
        <v>19</v>
      </c>
    </row>
    <row r="2228">
      <c r="A2228" s="1">
        <v>3674008.0</v>
      </c>
      <c r="B2228" s="1" t="s">
        <v>4747</v>
      </c>
      <c r="C2228" s="1" t="s">
        <v>4720</v>
      </c>
      <c r="D2228" s="1" t="s">
        <v>4733</v>
      </c>
      <c r="E2228" s="1" t="s">
        <v>4748</v>
      </c>
      <c r="F2228" s="1" t="s">
        <v>55</v>
      </c>
      <c r="G2228" s="1" t="s">
        <v>17</v>
      </c>
      <c r="H2228" s="1" t="s">
        <v>18</v>
      </c>
      <c r="I2228" s="1" t="s">
        <v>44</v>
      </c>
    </row>
    <row r="2229">
      <c r="A2229" s="1">
        <v>3604013.0</v>
      </c>
      <c r="B2229" s="1" t="s">
        <v>4749</v>
      </c>
      <c r="C2229" s="1" t="s">
        <v>4720</v>
      </c>
      <c r="D2229" s="1" t="s">
        <v>4724</v>
      </c>
      <c r="E2229" s="1" t="s">
        <v>4750</v>
      </c>
      <c r="F2229" s="1" t="s">
        <v>16</v>
      </c>
      <c r="G2229" s="1" t="s">
        <v>27</v>
      </c>
      <c r="H2229" s="1" t="s">
        <v>28</v>
      </c>
      <c r="I2229" s="1" t="s">
        <v>40</v>
      </c>
    </row>
    <row r="2230">
      <c r="A2230" s="1">
        <v>3671146.0</v>
      </c>
      <c r="B2230" s="1" t="s">
        <v>4751</v>
      </c>
      <c r="C2230" s="1" t="s">
        <v>4720</v>
      </c>
      <c r="D2230" s="1" t="s">
        <v>4736</v>
      </c>
      <c r="E2230" s="1" t="s">
        <v>4752</v>
      </c>
      <c r="F2230" s="1" t="s">
        <v>16</v>
      </c>
      <c r="G2230" s="1" t="s">
        <v>17</v>
      </c>
      <c r="H2230" s="1" t="s">
        <v>18</v>
      </c>
      <c r="I2230" s="1" t="s">
        <v>19</v>
      </c>
    </row>
    <row r="2231">
      <c r="A2231" s="1">
        <v>3603191.0</v>
      </c>
      <c r="B2231" s="1" t="s">
        <v>4753</v>
      </c>
      <c r="C2231" s="1" t="s">
        <v>4720</v>
      </c>
      <c r="D2231" s="1" t="s">
        <v>4730</v>
      </c>
      <c r="E2231" s="1" t="s">
        <v>4754</v>
      </c>
      <c r="F2231" s="1" t="s">
        <v>16</v>
      </c>
      <c r="G2231" s="1" t="s">
        <v>17</v>
      </c>
      <c r="H2231" s="1" t="s">
        <v>28</v>
      </c>
      <c r="I2231" s="1" t="s">
        <v>40</v>
      </c>
    </row>
    <row r="2232">
      <c r="A2232" s="1">
        <v>3674022.0</v>
      </c>
      <c r="B2232" s="1" t="s">
        <v>4755</v>
      </c>
      <c r="C2232" s="1" t="s">
        <v>4720</v>
      </c>
      <c r="D2232" s="1" t="s">
        <v>4733</v>
      </c>
      <c r="E2232" s="1" t="s">
        <v>4756</v>
      </c>
      <c r="F2232" s="1" t="s">
        <v>16</v>
      </c>
      <c r="G2232" s="1" t="s">
        <v>17</v>
      </c>
      <c r="H2232" s="1" t="s">
        <v>28</v>
      </c>
      <c r="I2232" s="1" t="s">
        <v>29</v>
      </c>
    </row>
    <row r="2233">
      <c r="A2233" s="1">
        <v>3602045.0</v>
      </c>
      <c r="B2233" s="1" t="s">
        <v>4757</v>
      </c>
      <c r="C2233" s="1" t="s">
        <v>4720</v>
      </c>
      <c r="D2233" s="1" t="s">
        <v>4727</v>
      </c>
      <c r="E2233" s="1" t="s">
        <v>4758</v>
      </c>
      <c r="F2233" s="1" t="s">
        <v>16</v>
      </c>
      <c r="G2233" s="1" t="s">
        <v>17</v>
      </c>
      <c r="H2233" s="1" t="s">
        <v>28</v>
      </c>
      <c r="I2233" s="1" t="s">
        <v>139</v>
      </c>
    </row>
    <row r="2234">
      <c r="A2234" s="1">
        <v>3671203.0</v>
      </c>
      <c r="B2234" s="1" t="s">
        <v>2839</v>
      </c>
      <c r="C2234" s="1" t="s">
        <v>4720</v>
      </c>
      <c r="D2234" s="1" t="s">
        <v>4736</v>
      </c>
      <c r="E2234" s="1" t="s">
        <v>4759</v>
      </c>
      <c r="F2234" s="1" t="s">
        <v>16</v>
      </c>
      <c r="G2234" s="1" t="s">
        <v>27</v>
      </c>
      <c r="H2234" s="1" t="s">
        <v>18</v>
      </c>
      <c r="I2234" s="1" t="s">
        <v>44</v>
      </c>
    </row>
    <row r="2235">
      <c r="A2235" s="1">
        <v>3603023.0</v>
      </c>
      <c r="B2235" s="1" t="s">
        <v>4760</v>
      </c>
      <c r="C2235" s="1" t="s">
        <v>4720</v>
      </c>
      <c r="D2235" s="1" t="s">
        <v>4730</v>
      </c>
      <c r="E2235" s="1" t="s">
        <v>4761</v>
      </c>
      <c r="F2235" s="1" t="s">
        <v>16</v>
      </c>
      <c r="G2235" s="1" t="s">
        <v>17</v>
      </c>
      <c r="H2235" s="1" t="s">
        <v>18</v>
      </c>
      <c r="I2235" s="1" t="s">
        <v>59</v>
      </c>
    </row>
    <row r="2236">
      <c r="A2236" s="1">
        <v>3674005.0</v>
      </c>
      <c r="B2236" s="1" t="s">
        <v>4762</v>
      </c>
      <c r="C2236" s="1" t="s">
        <v>4720</v>
      </c>
      <c r="D2236" s="1" t="s">
        <v>4733</v>
      </c>
      <c r="E2236" s="1" t="s">
        <v>4763</v>
      </c>
      <c r="F2236" s="1" t="s">
        <v>16</v>
      </c>
      <c r="G2236" s="1" t="s">
        <v>17</v>
      </c>
      <c r="H2236" s="1" t="s">
        <v>18</v>
      </c>
      <c r="I2236" s="1" t="s">
        <v>44</v>
      </c>
    </row>
    <row r="2237">
      <c r="A2237" s="1">
        <v>3673004.0</v>
      </c>
      <c r="B2237" s="1" t="s">
        <v>4764</v>
      </c>
      <c r="C2237" s="1" t="s">
        <v>4720</v>
      </c>
      <c r="D2237" s="1" t="s">
        <v>4765</v>
      </c>
      <c r="E2237" s="1" t="s">
        <v>4766</v>
      </c>
      <c r="F2237" s="1" t="s">
        <v>16</v>
      </c>
      <c r="G2237" s="1" t="s">
        <v>27</v>
      </c>
      <c r="H2237" s="1" t="s">
        <v>28</v>
      </c>
      <c r="I2237" s="1" t="s">
        <v>139</v>
      </c>
    </row>
    <row r="2238">
      <c r="A2238" s="1">
        <v>3671214.0</v>
      </c>
      <c r="B2238" s="1" t="s">
        <v>4767</v>
      </c>
      <c r="C2238" s="1" t="s">
        <v>4720</v>
      </c>
      <c r="D2238" s="1" t="s">
        <v>4736</v>
      </c>
      <c r="E2238" s="1" t="s">
        <v>4768</v>
      </c>
      <c r="F2238" s="1" t="s">
        <v>16</v>
      </c>
      <c r="G2238" s="1" t="s">
        <v>23</v>
      </c>
      <c r="H2238" s="1" t="s">
        <v>18</v>
      </c>
      <c r="I2238" s="1" t="s">
        <v>19</v>
      </c>
    </row>
    <row r="2239">
      <c r="A2239" s="1">
        <v>3671065.0</v>
      </c>
      <c r="B2239" s="1" t="s">
        <v>4769</v>
      </c>
      <c r="C2239" s="1" t="s">
        <v>4720</v>
      </c>
      <c r="D2239" s="1" t="s">
        <v>4736</v>
      </c>
      <c r="E2239" s="1" t="s">
        <v>4770</v>
      </c>
      <c r="F2239" s="1" t="s">
        <v>16</v>
      </c>
      <c r="G2239" s="1" t="s">
        <v>27</v>
      </c>
      <c r="H2239" s="1" t="s">
        <v>18</v>
      </c>
      <c r="I2239" s="1" t="s">
        <v>19</v>
      </c>
    </row>
    <row r="2240">
      <c r="A2240" s="1">
        <v>3674021.0</v>
      </c>
      <c r="B2240" s="1" t="s">
        <v>4771</v>
      </c>
      <c r="C2240" s="1" t="s">
        <v>4720</v>
      </c>
      <c r="D2240" s="1" t="s">
        <v>4733</v>
      </c>
      <c r="E2240" s="1" t="s">
        <v>4772</v>
      </c>
      <c r="F2240" s="1" t="s">
        <v>55</v>
      </c>
      <c r="G2240" s="1" t="s">
        <v>17</v>
      </c>
      <c r="H2240" s="1" t="s">
        <v>18</v>
      </c>
      <c r="I2240" s="1" t="s">
        <v>19</v>
      </c>
    </row>
    <row r="2241">
      <c r="A2241" s="1">
        <v>3673047.0</v>
      </c>
      <c r="B2241" s="1" t="s">
        <v>4773</v>
      </c>
      <c r="C2241" s="1" t="s">
        <v>4720</v>
      </c>
      <c r="D2241" s="1" t="s">
        <v>4765</v>
      </c>
      <c r="E2241" s="1" t="s">
        <v>4774</v>
      </c>
      <c r="F2241" s="1" t="s">
        <v>16</v>
      </c>
      <c r="G2241" s="1" t="s">
        <v>23</v>
      </c>
      <c r="H2241" s="1" t="s">
        <v>18</v>
      </c>
      <c r="I2241" s="1" t="s">
        <v>19</v>
      </c>
    </row>
    <row r="2242">
      <c r="A2242" s="1">
        <v>3671208.0</v>
      </c>
      <c r="B2242" s="1" t="s">
        <v>4775</v>
      </c>
      <c r="C2242" s="1" t="s">
        <v>4720</v>
      </c>
      <c r="D2242" s="1" t="s">
        <v>4736</v>
      </c>
      <c r="E2242" s="1" t="s">
        <v>4776</v>
      </c>
      <c r="F2242" s="1" t="s">
        <v>16</v>
      </c>
      <c r="G2242" s="1" t="s">
        <v>17</v>
      </c>
      <c r="H2242" s="1" t="s">
        <v>28</v>
      </c>
      <c r="I2242" s="1" t="s">
        <v>29</v>
      </c>
    </row>
    <row r="2243">
      <c r="A2243" s="1">
        <v>3601037.0</v>
      </c>
      <c r="B2243" s="1" t="s">
        <v>4777</v>
      </c>
      <c r="C2243" s="1" t="s">
        <v>4720</v>
      </c>
      <c r="D2243" s="1" t="s">
        <v>4745</v>
      </c>
      <c r="E2243" s="1" t="s">
        <v>4778</v>
      </c>
      <c r="F2243" s="1" t="s">
        <v>16</v>
      </c>
      <c r="G2243" s="1" t="s">
        <v>23</v>
      </c>
      <c r="H2243" s="1" t="s">
        <v>18</v>
      </c>
      <c r="I2243" s="1" t="s">
        <v>19</v>
      </c>
    </row>
    <row r="2244">
      <c r="A2244" s="1">
        <v>3674206.0</v>
      </c>
      <c r="B2244" s="1" t="s">
        <v>4779</v>
      </c>
      <c r="C2244" s="1" t="s">
        <v>4720</v>
      </c>
      <c r="D2244" s="1" t="s">
        <v>4733</v>
      </c>
      <c r="E2244" s="1" t="s">
        <v>4780</v>
      </c>
      <c r="F2244" s="1" t="s">
        <v>255</v>
      </c>
      <c r="G2244" s="1" t="s">
        <v>17</v>
      </c>
      <c r="H2244" s="1" t="s">
        <v>18</v>
      </c>
      <c r="I2244" s="1" t="s">
        <v>44</v>
      </c>
    </row>
    <row r="2245">
      <c r="A2245" s="1">
        <v>3603188.0</v>
      </c>
      <c r="B2245" s="1" t="s">
        <v>4781</v>
      </c>
      <c r="C2245" s="1" t="s">
        <v>4720</v>
      </c>
      <c r="D2245" s="1" t="s">
        <v>4736</v>
      </c>
      <c r="E2245" s="1" t="s">
        <v>4782</v>
      </c>
      <c r="F2245" s="1" t="s">
        <v>16</v>
      </c>
      <c r="G2245" s="1" t="s">
        <v>23</v>
      </c>
      <c r="H2245" s="1" t="s">
        <v>18</v>
      </c>
      <c r="I2245" s="1" t="s">
        <v>19</v>
      </c>
    </row>
    <row r="2246">
      <c r="A2246" s="1">
        <v>3603176.0</v>
      </c>
      <c r="B2246" s="1" t="s">
        <v>4783</v>
      </c>
      <c r="C2246" s="1" t="s">
        <v>4720</v>
      </c>
      <c r="D2246" s="1" t="s">
        <v>4730</v>
      </c>
      <c r="E2246" s="1" t="s">
        <v>4784</v>
      </c>
      <c r="F2246" s="1" t="s">
        <v>16</v>
      </c>
      <c r="G2246" s="1" t="s">
        <v>17</v>
      </c>
      <c r="H2246" s="1" t="s">
        <v>18</v>
      </c>
      <c r="I2246" s="1" t="s">
        <v>44</v>
      </c>
    </row>
    <row r="2247">
      <c r="A2247" s="1">
        <v>3671222.0</v>
      </c>
      <c r="B2247" s="1" t="s">
        <v>4785</v>
      </c>
      <c r="C2247" s="1" t="s">
        <v>4720</v>
      </c>
      <c r="D2247" s="1" t="s">
        <v>4736</v>
      </c>
      <c r="E2247" s="1" t="s">
        <v>4786</v>
      </c>
      <c r="F2247" s="1" t="s">
        <v>55</v>
      </c>
      <c r="G2247" s="1" t="s">
        <v>17</v>
      </c>
      <c r="H2247" s="1" t="s">
        <v>18</v>
      </c>
      <c r="I2247" s="1" t="s">
        <v>19</v>
      </c>
    </row>
    <row r="2248">
      <c r="A2248" s="1">
        <v>3604035.0</v>
      </c>
      <c r="B2248" s="1" t="s">
        <v>4787</v>
      </c>
      <c r="C2248" s="1" t="s">
        <v>4720</v>
      </c>
      <c r="D2248" s="1" t="s">
        <v>4765</v>
      </c>
      <c r="E2248" s="1" t="s">
        <v>4788</v>
      </c>
      <c r="F2248" s="1" t="s">
        <v>16</v>
      </c>
      <c r="G2248" s="1" t="s">
        <v>17</v>
      </c>
      <c r="H2248" s="1" t="s">
        <v>18</v>
      </c>
      <c r="I2248" s="1" t="s">
        <v>19</v>
      </c>
    </row>
    <row r="2249">
      <c r="A2249" s="1">
        <v>3603169.0</v>
      </c>
      <c r="B2249" s="1" t="s">
        <v>4789</v>
      </c>
      <c r="C2249" s="1" t="s">
        <v>4720</v>
      </c>
      <c r="D2249" s="1" t="s">
        <v>4730</v>
      </c>
      <c r="E2249" s="1" t="s">
        <v>4790</v>
      </c>
      <c r="F2249" s="1" t="s">
        <v>16</v>
      </c>
      <c r="G2249" s="1" t="s">
        <v>17</v>
      </c>
      <c r="H2249" s="1" t="s">
        <v>18</v>
      </c>
      <c r="I2249" s="1" t="s">
        <v>44</v>
      </c>
    </row>
    <row r="2250">
      <c r="A2250" s="1">
        <v>3603047.0</v>
      </c>
      <c r="B2250" s="1" t="s">
        <v>4791</v>
      </c>
      <c r="C2250" s="1" t="s">
        <v>4720</v>
      </c>
      <c r="D2250" s="1" t="s">
        <v>4730</v>
      </c>
      <c r="E2250" s="1" t="s">
        <v>4792</v>
      </c>
      <c r="F2250" s="1" t="s">
        <v>16</v>
      </c>
      <c r="G2250" s="1" t="s">
        <v>23</v>
      </c>
      <c r="H2250" s="1" t="s">
        <v>18</v>
      </c>
      <c r="I2250" s="1" t="s">
        <v>44</v>
      </c>
    </row>
    <row r="2251">
      <c r="A2251" s="1">
        <v>3601048.0</v>
      </c>
      <c r="B2251" s="1" t="s">
        <v>4793</v>
      </c>
      <c r="C2251" s="1" t="s">
        <v>4720</v>
      </c>
      <c r="D2251" s="1" t="s">
        <v>4745</v>
      </c>
      <c r="E2251" s="1" t="s">
        <v>4794</v>
      </c>
      <c r="F2251" s="1" t="s">
        <v>16</v>
      </c>
      <c r="G2251" s="1" t="s">
        <v>23</v>
      </c>
      <c r="H2251" s="1" t="s">
        <v>18</v>
      </c>
      <c r="I2251" s="1" t="s">
        <v>19</v>
      </c>
    </row>
    <row r="2252">
      <c r="A2252" s="1">
        <v>3672022.0</v>
      </c>
      <c r="B2252" s="1" t="s">
        <v>4795</v>
      </c>
      <c r="C2252" s="1" t="s">
        <v>4720</v>
      </c>
      <c r="D2252" s="1" t="s">
        <v>4721</v>
      </c>
      <c r="E2252" s="1" t="s">
        <v>4796</v>
      </c>
      <c r="F2252" s="1" t="s">
        <v>16</v>
      </c>
      <c r="G2252" s="1" t="s">
        <v>27</v>
      </c>
      <c r="H2252" s="1" t="s">
        <v>28</v>
      </c>
      <c r="I2252" s="1" t="s">
        <v>29</v>
      </c>
    </row>
    <row r="2253">
      <c r="A2253" s="1">
        <v>3674020.0</v>
      </c>
      <c r="B2253" s="1" t="s">
        <v>4797</v>
      </c>
      <c r="C2253" s="1" t="s">
        <v>4720</v>
      </c>
      <c r="D2253" s="1" t="s">
        <v>4733</v>
      </c>
      <c r="E2253" s="1" t="s">
        <v>4798</v>
      </c>
      <c r="F2253" s="1" t="s">
        <v>16</v>
      </c>
      <c r="G2253" s="1" t="s">
        <v>17</v>
      </c>
      <c r="H2253" s="1" t="s">
        <v>18</v>
      </c>
      <c r="I2253" s="1" t="s">
        <v>44</v>
      </c>
    </row>
    <row r="2254">
      <c r="A2254" s="1">
        <v>3674205.0</v>
      </c>
      <c r="B2254" s="1" t="s">
        <v>4799</v>
      </c>
      <c r="C2254" s="1" t="s">
        <v>4720</v>
      </c>
      <c r="D2254" s="1" t="s">
        <v>4733</v>
      </c>
      <c r="E2254" s="1" t="s">
        <v>4800</v>
      </c>
      <c r="F2254" s="1" t="s">
        <v>16</v>
      </c>
      <c r="G2254" s="1" t="s">
        <v>17</v>
      </c>
      <c r="H2254" s="1" t="s">
        <v>18</v>
      </c>
      <c r="I2254" s="1" t="s">
        <v>19</v>
      </c>
    </row>
    <row r="2255">
      <c r="A2255" s="1">
        <v>3603082.0</v>
      </c>
      <c r="B2255" s="1" t="s">
        <v>4801</v>
      </c>
      <c r="C2255" s="1" t="s">
        <v>4720</v>
      </c>
      <c r="D2255" s="1" t="s">
        <v>4733</v>
      </c>
      <c r="E2255" s="1" t="s">
        <v>4802</v>
      </c>
      <c r="F2255" s="1" t="s">
        <v>16</v>
      </c>
      <c r="G2255" s="1" t="s">
        <v>17</v>
      </c>
      <c r="H2255" s="1" t="s">
        <v>18</v>
      </c>
      <c r="I2255" s="1" t="s">
        <v>19</v>
      </c>
    </row>
    <row r="2256">
      <c r="A2256" s="1">
        <v>3671216.0</v>
      </c>
      <c r="B2256" s="1" t="s">
        <v>4803</v>
      </c>
      <c r="C2256" s="1" t="s">
        <v>4720</v>
      </c>
      <c r="D2256" s="1" t="s">
        <v>4733</v>
      </c>
      <c r="E2256" s="1" t="s">
        <v>4804</v>
      </c>
      <c r="F2256" s="1" t="s">
        <v>16</v>
      </c>
      <c r="G2256" s="1" t="s">
        <v>17</v>
      </c>
      <c r="H2256" s="1" t="s">
        <v>18</v>
      </c>
      <c r="I2256" s="1" t="s">
        <v>19</v>
      </c>
    </row>
    <row r="2257">
      <c r="A2257" s="1">
        <v>3671080.0</v>
      </c>
      <c r="B2257" s="1" t="s">
        <v>4805</v>
      </c>
      <c r="C2257" s="1" t="s">
        <v>4720</v>
      </c>
      <c r="D2257" s="1" t="s">
        <v>4736</v>
      </c>
      <c r="E2257" s="1" t="s">
        <v>4806</v>
      </c>
      <c r="F2257" s="1" t="s">
        <v>16</v>
      </c>
      <c r="G2257" s="1" t="s">
        <v>27</v>
      </c>
      <c r="H2257" s="1" t="s">
        <v>18</v>
      </c>
      <c r="I2257" s="1" t="s">
        <v>19</v>
      </c>
    </row>
    <row r="2258">
      <c r="A2258" s="1">
        <v>3674003.0</v>
      </c>
      <c r="B2258" s="1" t="s">
        <v>4807</v>
      </c>
      <c r="C2258" s="1" t="s">
        <v>4720</v>
      </c>
      <c r="D2258" s="1" t="s">
        <v>4733</v>
      </c>
      <c r="E2258" s="1" t="s">
        <v>4808</v>
      </c>
      <c r="F2258" s="1" t="s">
        <v>55</v>
      </c>
      <c r="G2258" s="1" t="s">
        <v>17</v>
      </c>
      <c r="H2258" s="1" t="s">
        <v>18</v>
      </c>
      <c r="I2258" s="1" t="s">
        <v>19</v>
      </c>
    </row>
    <row r="2259">
      <c r="A2259" s="1">
        <v>3671217.0</v>
      </c>
      <c r="B2259" s="1" t="s">
        <v>4809</v>
      </c>
      <c r="C2259" s="1" t="s">
        <v>4720</v>
      </c>
      <c r="D2259" s="1" t="s">
        <v>4736</v>
      </c>
      <c r="E2259" s="1" t="s">
        <v>4810</v>
      </c>
      <c r="F2259" s="1" t="s">
        <v>55</v>
      </c>
      <c r="G2259" s="1" t="s">
        <v>17</v>
      </c>
      <c r="H2259" s="1" t="s">
        <v>18</v>
      </c>
      <c r="I2259" s="1" t="s">
        <v>44</v>
      </c>
    </row>
    <row r="2260">
      <c r="A2260" s="1">
        <v>3603168.0</v>
      </c>
      <c r="B2260" s="1" t="s">
        <v>4811</v>
      </c>
      <c r="C2260" s="1" t="s">
        <v>4720</v>
      </c>
      <c r="D2260" s="1" t="s">
        <v>4730</v>
      </c>
      <c r="E2260" s="1" t="s">
        <v>4812</v>
      </c>
      <c r="F2260" s="1" t="s">
        <v>16</v>
      </c>
      <c r="G2260" s="1" t="s">
        <v>23</v>
      </c>
      <c r="H2260" s="1" t="s">
        <v>18</v>
      </c>
      <c r="I2260" s="1" t="s">
        <v>59</v>
      </c>
    </row>
    <row r="2261">
      <c r="A2261" s="1">
        <v>3671218.0</v>
      </c>
      <c r="B2261" s="1" t="s">
        <v>4813</v>
      </c>
      <c r="C2261" s="1" t="s">
        <v>4720</v>
      </c>
      <c r="D2261" s="1" t="s">
        <v>4736</v>
      </c>
      <c r="E2261" s="1" t="s">
        <v>4814</v>
      </c>
      <c r="F2261" s="1" t="s">
        <v>55</v>
      </c>
      <c r="G2261" s="1" t="s">
        <v>17</v>
      </c>
      <c r="H2261" s="1" t="s">
        <v>18</v>
      </c>
      <c r="I2261" s="1" t="s">
        <v>684</v>
      </c>
    </row>
    <row r="2262">
      <c r="A2262" s="1">
        <v>3603178.0</v>
      </c>
      <c r="B2262" s="1" t="s">
        <v>4815</v>
      </c>
      <c r="C2262" s="1" t="s">
        <v>4720</v>
      </c>
      <c r="D2262" s="1" t="s">
        <v>4730</v>
      </c>
      <c r="E2262" s="1" t="s">
        <v>4816</v>
      </c>
      <c r="F2262" s="1" t="s">
        <v>55</v>
      </c>
      <c r="G2262" s="1" t="s">
        <v>17</v>
      </c>
      <c r="H2262" s="1" t="s">
        <v>18</v>
      </c>
      <c r="I2262" s="1" t="s">
        <v>19</v>
      </c>
    </row>
    <row r="2263">
      <c r="A2263" s="1">
        <v>3603010.0</v>
      </c>
      <c r="B2263" s="1" t="s">
        <v>4817</v>
      </c>
      <c r="C2263" s="1" t="s">
        <v>4720</v>
      </c>
      <c r="D2263" s="1" t="s">
        <v>4730</v>
      </c>
      <c r="E2263" s="1" t="s">
        <v>4818</v>
      </c>
      <c r="F2263" s="1" t="s">
        <v>16</v>
      </c>
      <c r="G2263" s="1" t="s">
        <v>27</v>
      </c>
      <c r="H2263" s="1" t="s">
        <v>28</v>
      </c>
      <c r="I2263" s="1" t="s">
        <v>40</v>
      </c>
    </row>
    <row r="2264">
      <c r="A2264" s="1">
        <v>3603173.0</v>
      </c>
      <c r="B2264" s="1" t="s">
        <v>4819</v>
      </c>
      <c r="C2264" s="1" t="s">
        <v>4720</v>
      </c>
      <c r="D2264" s="1" t="s">
        <v>4730</v>
      </c>
      <c r="E2264" s="1" t="s">
        <v>4820</v>
      </c>
      <c r="F2264" s="1" t="s">
        <v>55</v>
      </c>
      <c r="G2264" s="1" t="s">
        <v>17</v>
      </c>
      <c r="H2264" s="1" t="s">
        <v>18</v>
      </c>
      <c r="I2264" s="1" t="s">
        <v>44</v>
      </c>
    </row>
    <row r="2265">
      <c r="A2265" s="1">
        <v>3671221.0</v>
      </c>
      <c r="B2265" s="1" t="s">
        <v>4821</v>
      </c>
      <c r="C2265" s="1" t="s">
        <v>4720</v>
      </c>
      <c r="D2265" s="1" t="s">
        <v>4736</v>
      </c>
      <c r="E2265" s="1" t="s">
        <v>4822</v>
      </c>
      <c r="F2265" s="1" t="s">
        <v>55</v>
      </c>
      <c r="G2265" s="1" t="s">
        <v>17</v>
      </c>
      <c r="H2265" s="1" t="s">
        <v>18</v>
      </c>
      <c r="I2265" s="1" t="s">
        <v>19</v>
      </c>
    </row>
    <row r="2266">
      <c r="A2266" s="1">
        <v>3602012.0</v>
      </c>
      <c r="B2266" s="1" t="s">
        <v>2238</v>
      </c>
      <c r="C2266" s="1" t="s">
        <v>4720</v>
      </c>
      <c r="D2266" s="1" t="s">
        <v>4727</v>
      </c>
      <c r="E2266" s="1" t="s">
        <v>4823</v>
      </c>
      <c r="F2266" s="1" t="s">
        <v>16</v>
      </c>
      <c r="G2266" s="1" t="s">
        <v>17</v>
      </c>
      <c r="H2266" s="1" t="s">
        <v>18</v>
      </c>
      <c r="I2266" s="1" t="s">
        <v>44</v>
      </c>
    </row>
    <row r="2267">
      <c r="A2267" s="1">
        <v>3674013.0</v>
      </c>
      <c r="B2267" s="1" t="s">
        <v>4824</v>
      </c>
      <c r="C2267" s="1" t="s">
        <v>4720</v>
      </c>
      <c r="D2267" s="1" t="s">
        <v>4733</v>
      </c>
      <c r="E2267" s="1" t="s">
        <v>4825</v>
      </c>
      <c r="F2267" s="1" t="s">
        <v>55</v>
      </c>
      <c r="G2267" s="1" t="s">
        <v>17</v>
      </c>
      <c r="H2267" s="1" t="s">
        <v>18</v>
      </c>
      <c r="I2267" s="1" t="s">
        <v>44</v>
      </c>
    </row>
    <row r="2268">
      <c r="A2268" s="1">
        <v>3603104.0</v>
      </c>
      <c r="B2268" s="1" t="s">
        <v>4826</v>
      </c>
      <c r="C2268" s="1" t="s">
        <v>4720</v>
      </c>
      <c r="D2268" s="1" t="s">
        <v>4730</v>
      </c>
      <c r="E2268" s="1" t="s">
        <v>4827</v>
      </c>
      <c r="F2268" s="1" t="s">
        <v>55</v>
      </c>
      <c r="G2268" s="1" t="s">
        <v>17</v>
      </c>
      <c r="H2268" s="1" t="s">
        <v>18</v>
      </c>
      <c r="I2268" s="1" t="s">
        <v>19</v>
      </c>
    </row>
    <row r="2269">
      <c r="A2269" s="1">
        <v>3603195.0</v>
      </c>
      <c r="B2269" s="1" t="s">
        <v>4828</v>
      </c>
      <c r="C2269" s="1" t="s">
        <v>4720</v>
      </c>
      <c r="D2269" s="1" t="s">
        <v>4730</v>
      </c>
      <c r="E2269" s="1" t="s">
        <v>4829</v>
      </c>
      <c r="F2269" s="1" t="s">
        <v>16</v>
      </c>
      <c r="G2269" s="1" t="s">
        <v>17</v>
      </c>
      <c r="H2269" s="1" t="s">
        <v>18</v>
      </c>
      <c r="I2269" s="1" t="s">
        <v>44</v>
      </c>
    </row>
    <row r="2270">
      <c r="A2270" s="1">
        <v>3674113.0</v>
      </c>
      <c r="B2270" s="1" t="s">
        <v>4830</v>
      </c>
      <c r="C2270" s="1" t="s">
        <v>4720</v>
      </c>
      <c r="D2270" s="1" t="s">
        <v>4733</v>
      </c>
      <c r="E2270" s="1" t="s">
        <v>4831</v>
      </c>
      <c r="F2270" s="1" t="s">
        <v>16</v>
      </c>
      <c r="G2270" s="1" t="s">
        <v>27</v>
      </c>
      <c r="H2270" s="1" t="s">
        <v>18</v>
      </c>
      <c r="I2270" s="1" t="s">
        <v>19</v>
      </c>
    </row>
    <row r="2271">
      <c r="A2271" s="1">
        <v>3671207.0</v>
      </c>
      <c r="B2271" s="1" t="s">
        <v>4832</v>
      </c>
      <c r="C2271" s="1" t="s">
        <v>4720</v>
      </c>
      <c r="D2271" s="1" t="s">
        <v>4736</v>
      </c>
      <c r="E2271" s="1" t="s">
        <v>4833</v>
      </c>
      <c r="F2271" s="1" t="s">
        <v>16</v>
      </c>
      <c r="G2271" s="1" t="s">
        <v>17</v>
      </c>
      <c r="H2271" s="1" t="s">
        <v>18</v>
      </c>
      <c r="I2271" s="1" t="s">
        <v>44</v>
      </c>
    </row>
    <row r="2272">
      <c r="A2272" s="1">
        <v>3674014.0</v>
      </c>
      <c r="B2272" s="1" t="s">
        <v>4834</v>
      </c>
      <c r="C2272" s="1" t="s">
        <v>4720</v>
      </c>
      <c r="D2272" s="1" t="s">
        <v>4733</v>
      </c>
      <c r="E2272" s="1" t="s">
        <v>4835</v>
      </c>
      <c r="F2272" s="1" t="s">
        <v>16</v>
      </c>
      <c r="G2272" s="1" t="s">
        <v>17</v>
      </c>
      <c r="H2272" s="1" t="s">
        <v>18</v>
      </c>
      <c r="I2272" s="1" t="s">
        <v>19</v>
      </c>
    </row>
    <row r="2273">
      <c r="A2273" s="1">
        <v>3674204.0</v>
      </c>
      <c r="B2273" s="1" t="s">
        <v>4836</v>
      </c>
      <c r="C2273" s="1" t="s">
        <v>4720</v>
      </c>
      <c r="D2273" s="1" t="s">
        <v>4733</v>
      </c>
      <c r="E2273" s="1" t="s">
        <v>4837</v>
      </c>
      <c r="F2273" s="1" t="s">
        <v>16</v>
      </c>
      <c r="G2273" s="1" t="s">
        <v>17</v>
      </c>
      <c r="H2273" s="1" t="s">
        <v>18</v>
      </c>
      <c r="I2273" s="1" t="s">
        <v>29</v>
      </c>
    </row>
    <row r="2274">
      <c r="A2274" s="1">
        <v>3604002.0</v>
      </c>
      <c r="B2274" s="1" t="s">
        <v>4838</v>
      </c>
      <c r="C2274" s="1" t="s">
        <v>4720</v>
      </c>
      <c r="D2274" s="1" t="s">
        <v>4724</v>
      </c>
      <c r="E2274" s="1" t="s">
        <v>4839</v>
      </c>
      <c r="F2274" s="1" t="s">
        <v>16</v>
      </c>
      <c r="G2274" s="1" t="s">
        <v>17</v>
      </c>
      <c r="H2274" s="1" t="s">
        <v>18</v>
      </c>
      <c r="I2274" s="1" t="s">
        <v>44</v>
      </c>
    </row>
    <row r="2275">
      <c r="A2275" s="1">
        <v>3603190.0</v>
      </c>
      <c r="B2275" s="1" t="s">
        <v>4840</v>
      </c>
      <c r="C2275" s="1" t="s">
        <v>4720</v>
      </c>
      <c r="D2275" s="1" t="s">
        <v>4730</v>
      </c>
      <c r="E2275" s="1" t="s">
        <v>4841</v>
      </c>
      <c r="F2275" s="1" t="s">
        <v>55</v>
      </c>
      <c r="G2275" s="1" t="s">
        <v>17</v>
      </c>
      <c r="H2275" s="1" t="s">
        <v>18</v>
      </c>
      <c r="I2275" s="1" t="s">
        <v>19</v>
      </c>
    </row>
    <row r="2276">
      <c r="A2276" s="1">
        <v>3671032.0</v>
      </c>
      <c r="B2276" s="1" t="s">
        <v>4842</v>
      </c>
      <c r="C2276" s="1" t="s">
        <v>4720</v>
      </c>
      <c r="D2276" s="1" t="s">
        <v>4736</v>
      </c>
      <c r="E2276" s="1" t="s">
        <v>4843</v>
      </c>
      <c r="F2276" s="1" t="s">
        <v>16</v>
      </c>
      <c r="G2276" s="1" t="s">
        <v>27</v>
      </c>
      <c r="H2276" s="1" t="s">
        <v>33</v>
      </c>
      <c r="I2276" s="1" t="s">
        <v>411</v>
      </c>
    </row>
    <row r="2277">
      <c r="A2277" s="1">
        <v>3671242.0</v>
      </c>
      <c r="B2277" s="1" t="s">
        <v>4844</v>
      </c>
      <c r="C2277" s="1" t="s">
        <v>4720</v>
      </c>
      <c r="D2277" s="1" t="s">
        <v>4736</v>
      </c>
      <c r="E2277" s="1" t="s">
        <v>4845</v>
      </c>
      <c r="F2277" s="1" t="s">
        <v>16</v>
      </c>
      <c r="G2277" s="1" t="s">
        <v>23</v>
      </c>
      <c r="H2277" s="1" t="s">
        <v>18</v>
      </c>
      <c r="I2277" s="1" t="s">
        <v>29</v>
      </c>
    </row>
    <row r="2278">
      <c r="A2278" s="1">
        <v>3674016.0</v>
      </c>
      <c r="B2278" s="1" t="s">
        <v>4846</v>
      </c>
      <c r="C2278" s="1" t="s">
        <v>4720</v>
      </c>
      <c r="D2278" s="1" t="s">
        <v>4733</v>
      </c>
      <c r="E2278" s="1" t="s">
        <v>4847</v>
      </c>
      <c r="F2278" s="1" t="s">
        <v>16</v>
      </c>
      <c r="G2278" s="1" t="s">
        <v>17</v>
      </c>
      <c r="H2278" s="1" t="s">
        <v>18</v>
      </c>
      <c r="I2278" s="1" t="s">
        <v>19</v>
      </c>
    </row>
    <row r="2279">
      <c r="A2279" s="1">
        <v>3673012.0</v>
      </c>
      <c r="B2279" s="1" t="s">
        <v>4848</v>
      </c>
      <c r="C2279" s="1" t="s">
        <v>4720</v>
      </c>
      <c r="D2279" s="1" t="s">
        <v>4765</v>
      </c>
      <c r="E2279" s="1" t="s">
        <v>4849</v>
      </c>
      <c r="F2279" s="1" t="s">
        <v>16</v>
      </c>
      <c r="G2279" s="1" t="s">
        <v>17</v>
      </c>
      <c r="H2279" s="1" t="s">
        <v>28</v>
      </c>
      <c r="I2279" s="1" t="s">
        <v>29</v>
      </c>
    </row>
    <row r="2280">
      <c r="A2280" s="1">
        <v>3672040.0</v>
      </c>
      <c r="B2280" s="1" t="s">
        <v>4850</v>
      </c>
      <c r="C2280" s="1" t="s">
        <v>4720</v>
      </c>
      <c r="D2280" s="1" t="s">
        <v>4721</v>
      </c>
      <c r="E2280" s="1" t="s">
        <v>4851</v>
      </c>
      <c r="F2280" s="1" t="s">
        <v>16</v>
      </c>
      <c r="G2280" s="1" t="s">
        <v>23</v>
      </c>
      <c r="H2280" s="1" t="s">
        <v>18</v>
      </c>
      <c r="I2280" s="1" t="s">
        <v>19</v>
      </c>
    </row>
    <row r="2281">
      <c r="A2281" s="1">
        <v>3603189.0</v>
      </c>
      <c r="B2281" s="1" t="s">
        <v>4852</v>
      </c>
      <c r="C2281" s="1" t="s">
        <v>4720</v>
      </c>
      <c r="D2281" s="1" t="s">
        <v>4730</v>
      </c>
      <c r="E2281" s="1" t="s">
        <v>4853</v>
      </c>
      <c r="F2281" s="1" t="s">
        <v>16</v>
      </c>
      <c r="G2281" s="1" t="s">
        <v>17</v>
      </c>
      <c r="H2281" s="1" t="s">
        <v>18</v>
      </c>
      <c r="I2281" s="1" t="s">
        <v>19</v>
      </c>
    </row>
    <row r="2282">
      <c r="A2282" s="1">
        <v>3603157.0</v>
      </c>
      <c r="B2282" s="1" t="s">
        <v>4854</v>
      </c>
      <c r="C2282" s="1" t="s">
        <v>4720</v>
      </c>
      <c r="D2282" s="1" t="s">
        <v>4730</v>
      </c>
      <c r="E2282" s="1" t="s">
        <v>4855</v>
      </c>
      <c r="F2282" s="1" t="s">
        <v>16</v>
      </c>
      <c r="G2282" s="1" t="s">
        <v>27</v>
      </c>
      <c r="H2282" s="1" t="s">
        <v>28</v>
      </c>
      <c r="I2282" s="1" t="s">
        <v>40</v>
      </c>
    </row>
    <row r="2283">
      <c r="A2283" s="1">
        <v>3671126.0</v>
      </c>
      <c r="B2283" s="1" t="s">
        <v>4856</v>
      </c>
      <c r="C2283" s="1" t="s">
        <v>4720</v>
      </c>
      <c r="D2283" s="1" t="s">
        <v>4736</v>
      </c>
      <c r="E2283" s="1" t="s">
        <v>4857</v>
      </c>
      <c r="F2283" s="1" t="s">
        <v>16</v>
      </c>
      <c r="G2283" s="1" t="s">
        <v>17</v>
      </c>
      <c r="H2283" s="1" t="s">
        <v>28</v>
      </c>
      <c r="I2283" s="1" t="s">
        <v>19</v>
      </c>
    </row>
    <row r="2284">
      <c r="A2284" s="1">
        <v>3604054.0</v>
      </c>
      <c r="B2284" s="1" t="s">
        <v>4858</v>
      </c>
      <c r="C2284" s="1" t="s">
        <v>4720</v>
      </c>
      <c r="D2284" s="1" t="s">
        <v>4724</v>
      </c>
      <c r="E2284" s="1" t="s">
        <v>4859</v>
      </c>
      <c r="F2284" s="1" t="s">
        <v>16</v>
      </c>
      <c r="G2284" s="1" t="s">
        <v>23</v>
      </c>
      <c r="H2284" s="1" t="s">
        <v>18</v>
      </c>
      <c r="I2284" s="1" t="s">
        <v>44</v>
      </c>
    </row>
    <row r="2285">
      <c r="A2285" s="1">
        <v>3671135.0</v>
      </c>
      <c r="B2285" s="1" t="s">
        <v>4860</v>
      </c>
      <c r="C2285" s="1" t="s">
        <v>4720</v>
      </c>
      <c r="D2285" s="1" t="s">
        <v>4736</v>
      </c>
      <c r="E2285" s="1" t="s">
        <v>4861</v>
      </c>
      <c r="F2285" s="1" t="s">
        <v>16</v>
      </c>
      <c r="G2285" s="1" t="s">
        <v>17</v>
      </c>
      <c r="H2285" s="1" t="s">
        <v>18</v>
      </c>
      <c r="I2285" s="1" t="s">
        <v>19</v>
      </c>
    </row>
    <row r="2286">
      <c r="A2286" s="1">
        <v>3603172.0</v>
      </c>
      <c r="B2286" s="1" t="s">
        <v>4862</v>
      </c>
      <c r="C2286" s="1" t="s">
        <v>4720</v>
      </c>
      <c r="D2286" s="1" t="s">
        <v>4730</v>
      </c>
      <c r="E2286" s="1" t="s">
        <v>4863</v>
      </c>
      <c r="F2286" s="1" t="s">
        <v>16</v>
      </c>
      <c r="G2286" s="1" t="s">
        <v>17</v>
      </c>
      <c r="H2286" s="1" t="s">
        <v>18</v>
      </c>
      <c r="I2286" s="1" t="s">
        <v>44</v>
      </c>
    </row>
    <row r="2287">
      <c r="A2287" s="1">
        <v>3671211.0</v>
      </c>
      <c r="B2287" s="1" t="s">
        <v>4864</v>
      </c>
      <c r="C2287" s="1" t="s">
        <v>4720</v>
      </c>
      <c r="D2287" s="1" t="s">
        <v>4736</v>
      </c>
      <c r="E2287" s="1" t="s">
        <v>4865</v>
      </c>
      <c r="F2287" s="1" t="s">
        <v>16</v>
      </c>
      <c r="G2287" s="1" t="s">
        <v>23</v>
      </c>
      <c r="H2287" s="1" t="s">
        <v>18</v>
      </c>
      <c r="I2287" s="1" t="s">
        <v>19</v>
      </c>
    </row>
    <row r="2288">
      <c r="A2288" s="1">
        <v>3671226.0</v>
      </c>
      <c r="B2288" s="1" t="s">
        <v>4866</v>
      </c>
      <c r="C2288" s="1" t="s">
        <v>4720</v>
      </c>
      <c r="D2288" s="1" t="s">
        <v>4736</v>
      </c>
      <c r="E2288" s="1" t="s">
        <v>4867</v>
      </c>
      <c r="F2288" s="1" t="s">
        <v>16</v>
      </c>
      <c r="G2288" s="1" t="s">
        <v>27</v>
      </c>
      <c r="H2288" s="1" t="s">
        <v>18</v>
      </c>
      <c r="I2288" s="1" t="s">
        <v>19</v>
      </c>
    </row>
    <row r="2289">
      <c r="A2289" s="1">
        <v>3674193.0</v>
      </c>
      <c r="B2289" s="1" t="s">
        <v>4868</v>
      </c>
      <c r="C2289" s="1" t="s">
        <v>4720</v>
      </c>
      <c r="D2289" s="1" t="s">
        <v>4733</v>
      </c>
      <c r="E2289" s="1" t="s">
        <v>4869</v>
      </c>
      <c r="F2289" s="1" t="s">
        <v>16</v>
      </c>
      <c r="G2289" s="1" t="s">
        <v>17</v>
      </c>
      <c r="H2289" s="1" t="s">
        <v>18</v>
      </c>
      <c r="I2289" s="1" t="s">
        <v>44</v>
      </c>
    </row>
    <row r="2290">
      <c r="A2290" s="1">
        <v>3673011.0</v>
      </c>
      <c r="B2290" s="1" t="s">
        <v>4870</v>
      </c>
      <c r="C2290" s="1" t="s">
        <v>4720</v>
      </c>
      <c r="D2290" s="1" t="s">
        <v>4765</v>
      </c>
      <c r="E2290" s="1" t="s">
        <v>4871</v>
      </c>
      <c r="F2290" s="1" t="s">
        <v>272</v>
      </c>
      <c r="G2290" s="1" t="s">
        <v>17</v>
      </c>
      <c r="H2290" s="1" t="s">
        <v>18</v>
      </c>
      <c r="I2290" s="1" t="s">
        <v>19</v>
      </c>
    </row>
    <row r="2291">
      <c r="A2291" s="1">
        <v>3673036.0</v>
      </c>
      <c r="B2291" s="1" t="s">
        <v>4872</v>
      </c>
      <c r="C2291" s="1" t="s">
        <v>4720</v>
      </c>
      <c r="D2291" s="1" t="s">
        <v>4765</v>
      </c>
      <c r="E2291" s="1" t="s">
        <v>4873</v>
      </c>
      <c r="F2291" s="1" t="s">
        <v>16</v>
      </c>
      <c r="G2291" s="1" t="s">
        <v>27</v>
      </c>
      <c r="H2291" s="1" t="s">
        <v>18</v>
      </c>
      <c r="I2291" s="1" t="s">
        <v>44</v>
      </c>
    </row>
    <row r="2292">
      <c r="A2292" s="1">
        <v>3603183.0</v>
      </c>
      <c r="B2292" s="1" t="s">
        <v>4874</v>
      </c>
      <c r="C2292" s="1" t="s">
        <v>4720</v>
      </c>
      <c r="D2292" s="1" t="s">
        <v>4730</v>
      </c>
      <c r="E2292" s="1" t="s">
        <v>4875</v>
      </c>
      <c r="F2292" s="1" t="s">
        <v>16</v>
      </c>
      <c r="G2292" s="1" t="s">
        <v>17</v>
      </c>
      <c r="H2292" s="1" t="s">
        <v>18</v>
      </c>
      <c r="I2292" s="1" t="s">
        <v>19</v>
      </c>
    </row>
    <row r="2293">
      <c r="A2293" s="1">
        <v>3673049.0</v>
      </c>
      <c r="B2293" s="1" t="s">
        <v>4876</v>
      </c>
      <c r="C2293" s="1" t="s">
        <v>4720</v>
      </c>
      <c r="D2293" s="1" t="s">
        <v>4765</v>
      </c>
      <c r="E2293" s="1" t="s">
        <v>4877</v>
      </c>
      <c r="F2293" s="1" t="s">
        <v>16</v>
      </c>
      <c r="G2293" s="1" t="s">
        <v>23</v>
      </c>
      <c r="H2293" s="1" t="s">
        <v>18</v>
      </c>
      <c r="I2293" s="1" t="s">
        <v>163</v>
      </c>
    </row>
    <row r="2294">
      <c r="A2294" s="1">
        <v>3602022.0</v>
      </c>
      <c r="B2294" s="1" t="s">
        <v>4878</v>
      </c>
      <c r="C2294" s="1" t="s">
        <v>4720</v>
      </c>
      <c r="D2294" s="1" t="s">
        <v>4727</v>
      </c>
      <c r="E2294" s="1" t="s">
        <v>4879</v>
      </c>
      <c r="F2294" s="1" t="s">
        <v>16</v>
      </c>
      <c r="G2294" s="1" t="s">
        <v>17</v>
      </c>
      <c r="H2294" s="1" t="s">
        <v>18</v>
      </c>
      <c r="I2294" s="1" t="s">
        <v>249</v>
      </c>
    </row>
    <row r="2295">
      <c r="A2295" s="1">
        <v>3674004.0</v>
      </c>
      <c r="B2295" s="1" t="s">
        <v>4880</v>
      </c>
      <c r="C2295" s="1" t="s">
        <v>4720</v>
      </c>
      <c r="D2295" s="1" t="s">
        <v>4733</v>
      </c>
      <c r="E2295" s="1" t="s">
        <v>4881</v>
      </c>
      <c r="F2295" s="1" t="s">
        <v>16</v>
      </c>
      <c r="G2295" s="1" t="s">
        <v>17</v>
      </c>
      <c r="H2295" s="1" t="s">
        <v>18</v>
      </c>
      <c r="I2295" s="1" t="s">
        <v>19</v>
      </c>
    </row>
    <row r="2296">
      <c r="A2296" s="1">
        <v>3671219.0</v>
      </c>
      <c r="B2296" s="1" t="s">
        <v>4882</v>
      </c>
      <c r="C2296" s="1" t="s">
        <v>4720</v>
      </c>
      <c r="D2296" s="1" t="s">
        <v>4736</v>
      </c>
      <c r="E2296" s="1" t="s">
        <v>4883</v>
      </c>
      <c r="F2296" s="1" t="s">
        <v>55</v>
      </c>
      <c r="G2296" s="1" t="s">
        <v>17</v>
      </c>
      <c r="H2296" s="1" t="s">
        <v>18</v>
      </c>
      <c r="I2296" s="1" t="s">
        <v>44</v>
      </c>
    </row>
    <row r="2297">
      <c r="A2297" s="1">
        <v>3671241.0</v>
      </c>
      <c r="B2297" s="1" t="s">
        <v>4884</v>
      </c>
      <c r="C2297" s="1" t="s">
        <v>4720</v>
      </c>
      <c r="D2297" s="1" t="s">
        <v>4736</v>
      </c>
      <c r="E2297" s="1" t="s">
        <v>4885</v>
      </c>
      <c r="F2297" s="1" t="s">
        <v>16</v>
      </c>
      <c r="G2297" s="1" t="s">
        <v>27</v>
      </c>
      <c r="H2297" s="1" t="s">
        <v>18</v>
      </c>
      <c r="I2297" s="1" t="s">
        <v>19</v>
      </c>
    </row>
    <row r="2298">
      <c r="A2298" s="1">
        <v>3674168.0</v>
      </c>
      <c r="B2298" s="1" t="s">
        <v>4886</v>
      </c>
      <c r="C2298" s="1" t="s">
        <v>4720</v>
      </c>
      <c r="D2298" s="1" t="s">
        <v>4733</v>
      </c>
      <c r="E2298" s="1" t="s">
        <v>4887</v>
      </c>
      <c r="F2298" s="1" t="s">
        <v>16</v>
      </c>
      <c r="G2298" s="1" t="s">
        <v>17</v>
      </c>
      <c r="H2298" s="1" t="s">
        <v>28</v>
      </c>
      <c r="I2298" s="1" t="s">
        <v>29</v>
      </c>
    </row>
    <row r="2299">
      <c r="A2299" s="1">
        <v>3671054.0</v>
      </c>
      <c r="B2299" s="1" t="s">
        <v>4888</v>
      </c>
      <c r="C2299" s="1" t="s">
        <v>4720</v>
      </c>
      <c r="D2299" s="1" t="s">
        <v>4730</v>
      </c>
      <c r="E2299" s="1" t="s">
        <v>4889</v>
      </c>
      <c r="F2299" s="1" t="s">
        <v>16</v>
      </c>
      <c r="G2299" s="1" t="s">
        <v>27</v>
      </c>
      <c r="H2299" s="1" t="s">
        <v>18</v>
      </c>
      <c r="I2299" s="1" t="s">
        <v>19</v>
      </c>
    </row>
    <row r="2300">
      <c r="A2300" s="1">
        <v>3673010.0</v>
      </c>
      <c r="B2300" s="1" t="s">
        <v>4890</v>
      </c>
      <c r="C2300" s="1" t="s">
        <v>4720</v>
      </c>
      <c r="D2300" s="1" t="s">
        <v>4765</v>
      </c>
      <c r="E2300" s="1" t="s">
        <v>4891</v>
      </c>
      <c r="F2300" s="1" t="s">
        <v>16</v>
      </c>
      <c r="G2300" s="1" t="s">
        <v>23</v>
      </c>
      <c r="H2300" s="1" t="s">
        <v>18</v>
      </c>
      <c r="I2300" s="1" t="s">
        <v>19</v>
      </c>
    </row>
    <row r="2301">
      <c r="A2301" s="1">
        <v>3671224.0</v>
      </c>
      <c r="B2301" s="1" t="s">
        <v>4892</v>
      </c>
      <c r="C2301" s="1" t="s">
        <v>4720</v>
      </c>
      <c r="D2301" s="1" t="s">
        <v>4736</v>
      </c>
      <c r="E2301" s="1" t="s">
        <v>4893</v>
      </c>
      <c r="F2301" s="1" t="s">
        <v>16</v>
      </c>
      <c r="G2301" s="1" t="s">
        <v>17</v>
      </c>
      <c r="H2301" s="1" t="s">
        <v>18</v>
      </c>
      <c r="I2301" s="1" t="s">
        <v>19</v>
      </c>
    </row>
    <row r="2302">
      <c r="A2302" s="1">
        <v>3672052.0</v>
      </c>
      <c r="B2302" s="1" t="s">
        <v>4894</v>
      </c>
      <c r="C2302" s="1" t="s">
        <v>4720</v>
      </c>
      <c r="D2302" s="1" t="s">
        <v>4721</v>
      </c>
      <c r="E2302" s="1" t="s">
        <v>4895</v>
      </c>
      <c r="F2302" s="1" t="s">
        <v>16</v>
      </c>
      <c r="G2302" s="1" t="s">
        <v>17</v>
      </c>
      <c r="H2302" s="1" t="s">
        <v>18</v>
      </c>
      <c r="I2302" s="1" t="s">
        <v>19</v>
      </c>
    </row>
    <row r="2303">
      <c r="A2303" s="1">
        <v>3604024.0</v>
      </c>
      <c r="B2303" s="1" t="s">
        <v>4896</v>
      </c>
      <c r="C2303" s="1" t="s">
        <v>4720</v>
      </c>
      <c r="D2303" s="1" t="s">
        <v>4765</v>
      </c>
      <c r="E2303" s="1" t="s">
        <v>4897</v>
      </c>
      <c r="F2303" s="1" t="s">
        <v>16</v>
      </c>
      <c r="G2303" s="1" t="s">
        <v>17</v>
      </c>
      <c r="H2303" s="1" t="s">
        <v>18</v>
      </c>
      <c r="I2303" s="1" t="s">
        <v>74</v>
      </c>
    </row>
    <row r="2304">
      <c r="A2304" s="1">
        <v>3604047.0</v>
      </c>
      <c r="B2304" s="1" t="s">
        <v>4898</v>
      </c>
      <c r="C2304" s="1" t="s">
        <v>4720</v>
      </c>
      <c r="D2304" s="1" t="s">
        <v>4724</v>
      </c>
      <c r="E2304" s="1" t="s">
        <v>4899</v>
      </c>
      <c r="F2304" s="1" t="s">
        <v>16</v>
      </c>
      <c r="G2304" s="1" t="s">
        <v>17</v>
      </c>
      <c r="H2304" s="1" t="s">
        <v>18</v>
      </c>
      <c r="I2304" s="1" t="s">
        <v>19</v>
      </c>
    </row>
    <row r="2305">
      <c r="A2305" s="1">
        <v>3672011.0</v>
      </c>
      <c r="B2305" s="1" t="s">
        <v>4900</v>
      </c>
      <c r="C2305" s="1" t="s">
        <v>4720</v>
      </c>
      <c r="D2305" s="1" t="s">
        <v>4721</v>
      </c>
      <c r="E2305" s="1" t="s">
        <v>4901</v>
      </c>
      <c r="F2305" s="1" t="s">
        <v>16</v>
      </c>
      <c r="G2305" s="1" t="s">
        <v>27</v>
      </c>
      <c r="H2305" s="1" t="s">
        <v>18</v>
      </c>
      <c r="I2305" s="1" t="s">
        <v>113</v>
      </c>
    </row>
    <row r="2306">
      <c r="A2306" s="1">
        <v>3603192.0</v>
      </c>
      <c r="B2306" s="1" t="s">
        <v>4902</v>
      </c>
      <c r="C2306" s="1" t="s">
        <v>4720</v>
      </c>
      <c r="D2306" s="1" t="s">
        <v>4730</v>
      </c>
      <c r="E2306" s="1" t="s">
        <v>4903</v>
      </c>
      <c r="F2306" s="1" t="s">
        <v>16</v>
      </c>
      <c r="G2306" s="1" t="s">
        <v>17</v>
      </c>
      <c r="H2306" s="1" t="s">
        <v>18</v>
      </c>
      <c r="I2306" s="1" t="s">
        <v>19</v>
      </c>
    </row>
    <row r="2307">
      <c r="A2307" s="1">
        <v>3671136.0</v>
      </c>
      <c r="B2307" s="1" t="s">
        <v>4904</v>
      </c>
      <c r="C2307" s="1" t="s">
        <v>4720</v>
      </c>
      <c r="D2307" s="1" t="s">
        <v>4736</v>
      </c>
      <c r="E2307" s="1" t="s">
        <v>4905</v>
      </c>
      <c r="F2307" s="1" t="s">
        <v>16</v>
      </c>
      <c r="G2307" s="1" t="s">
        <v>17</v>
      </c>
      <c r="H2307" s="1" t="s">
        <v>18</v>
      </c>
      <c r="I2307" s="1" t="s">
        <v>19</v>
      </c>
    </row>
    <row r="2308">
      <c r="A2308" s="1">
        <v>3671205.0</v>
      </c>
      <c r="B2308" s="1" t="s">
        <v>4906</v>
      </c>
      <c r="C2308" s="1" t="s">
        <v>4720</v>
      </c>
      <c r="D2308" s="1" t="s">
        <v>4736</v>
      </c>
      <c r="E2308" s="1" t="s">
        <v>4907</v>
      </c>
      <c r="F2308" s="1" t="s">
        <v>16</v>
      </c>
      <c r="G2308" s="1" t="s">
        <v>17</v>
      </c>
      <c r="H2308" s="1" t="s">
        <v>18</v>
      </c>
      <c r="I2308" s="1" t="s">
        <v>44</v>
      </c>
    </row>
    <row r="2309">
      <c r="A2309" s="1">
        <v>3674071.0</v>
      </c>
      <c r="B2309" s="1" t="s">
        <v>4908</v>
      </c>
      <c r="C2309" s="1" t="s">
        <v>4720</v>
      </c>
      <c r="D2309" s="1" t="s">
        <v>4733</v>
      </c>
      <c r="E2309" s="1" t="s">
        <v>4909</v>
      </c>
      <c r="F2309" s="1" t="s">
        <v>174</v>
      </c>
      <c r="G2309" s="1" t="s">
        <v>17</v>
      </c>
      <c r="H2309" s="1" t="s">
        <v>18</v>
      </c>
      <c r="I2309" s="1" t="s">
        <v>59</v>
      </c>
    </row>
    <row r="2310">
      <c r="A2310" s="1">
        <v>3603182.0</v>
      </c>
      <c r="B2310" s="1" t="s">
        <v>4910</v>
      </c>
      <c r="C2310" s="1" t="s">
        <v>4720</v>
      </c>
      <c r="D2310" s="1" t="s">
        <v>4736</v>
      </c>
      <c r="E2310" s="1" t="s">
        <v>4911</v>
      </c>
      <c r="F2310" s="1" t="s">
        <v>16</v>
      </c>
      <c r="G2310" s="1" t="s">
        <v>17</v>
      </c>
      <c r="H2310" s="1" t="s">
        <v>18</v>
      </c>
      <c r="I2310" s="1" t="s">
        <v>44</v>
      </c>
    </row>
    <row r="2311">
      <c r="A2311" s="1">
        <v>3671179.0</v>
      </c>
      <c r="B2311" s="1" t="s">
        <v>4912</v>
      </c>
      <c r="C2311" s="1" t="s">
        <v>4720</v>
      </c>
      <c r="D2311" s="1" t="s">
        <v>4730</v>
      </c>
      <c r="E2311" s="1" t="s">
        <v>4913</v>
      </c>
      <c r="F2311" s="1" t="s">
        <v>16</v>
      </c>
      <c r="G2311" s="1" t="s">
        <v>17</v>
      </c>
      <c r="H2311" s="1" t="s">
        <v>18</v>
      </c>
      <c r="I2311" s="1" t="s">
        <v>44</v>
      </c>
    </row>
    <row r="2312">
      <c r="A2312" s="1">
        <v>3674011.0</v>
      </c>
      <c r="B2312" s="1" t="s">
        <v>4914</v>
      </c>
      <c r="C2312" s="1" t="s">
        <v>4720</v>
      </c>
      <c r="D2312" s="1" t="s">
        <v>4733</v>
      </c>
      <c r="E2312" s="1" t="s">
        <v>4915</v>
      </c>
      <c r="F2312" s="1" t="s">
        <v>55</v>
      </c>
      <c r="G2312" s="1" t="s">
        <v>17</v>
      </c>
      <c r="H2312" s="1" t="s">
        <v>18</v>
      </c>
      <c r="I2312" s="1" t="s">
        <v>19</v>
      </c>
    </row>
    <row r="2313">
      <c r="A2313" s="1">
        <v>3603186.0</v>
      </c>
      <c r="B2313" s="1" t="s">
        <v>4916</v>
      </c>
      <c r="C2313" s="1" t="s">
        <v>4720</v>
      </c>
      <c r="D2313" s="1" t="s">
        <v>4736</v>
      </c>
      <c r="E2313" s="1" t="s">
        <v>4917</v>
      </c>
      <c r="F2313" s="1" t="s">
        <v>55</v>
      </c>
      <c r="G2313" s="1" t="s">
        <v>17</v>
      </c>
      <c r="H2313" s="1" t="s">
        <v>18</v>
      </c>
      <c r="I2313" s="1" t="s">
        <v>19</v>
      </c>
    </row>
    <row r="2314">
      <c r="A2314" s="1">
        <v>3671076.0</v>
      </c>
      <c r="B2314" s="1" t="s">
        <v>4918</v>
      </c>
      <c r="C2314" s="1" t="s">
        <v>4720</v>
      </c>
      <c r="D2314" s="1" t="s">
        <v>4736</v>
      </c>
      <c r="E2314" s="1" t="s">
        <v>4919</v>
      </c>
      <c r="F2314" s="1" t="s">
        <v>16</v>
      </c>
      <c r="G2314" s="1" t="s">
        <v>17</v>
      </c>
      <c r="H2314" s="1" t="s">
        <v>18</v>
      </c>
      <c r="I2314" s="1" t="s">
        <v>19</v>
      </c>
    </row>
    <row r="2315">
      <c r="A2315" s="1">
        <v>3671201.0</v>
      </c>
      <c r="B2315" s="1" t="s">
        <v>4920</v>
      </c>
      <c r="C2315" s="1" t="s">
        <v>4720</v>
      </c>
      <c r="D2315" s="1" t="s">
        <v>4733</v>
      </c>
      <c r="E2315" s="1" t="s">
        <v>4921</v>
      </c>
      <c r="F2315" s="1" t="s">
        <v>1752</v>
      </c>
      <c r="G2315" s="1" t="s">
        <v>17</v>
      </c>
      <c r="H2315" s="1" t="s">
        <v>18</v>
      </c>
      <c r="I2315" s="1" t="s">
        <v>19</v>
      </c>
    </row>
    <row r="2316">
      <c r="A2316" s="1">
        <v>3671210.0</v>
      </c>
      <c r="B2316" s="1" t="s">
        <v>4922</v>
      </c>
      <c r="C2316" s="1" t="s">
        <v>4720</v>
      </c>
      <c r="D2316" s="1" t="s">
        <v>4736</v>
      </c>
      <c r="E2316" s="1" t="s">
        <v>4923</v>
      </c>
      <c r="F2316" s="1" t="s">
        <v>16</v>
      </c>
      <c r="G2316" s="1" t="s">
        <v>17</v>
      </c>
      <c r="H2316" s="1" t="s">
        <v>18</v>
      </c>
      <c r="I2316" s="1" t="s">
        <v>44</v>
      </c>
    </row>
    <row r="2317">
      <c r="A2317" s="1">
        <v>3603185.0</v>
      </c>
      <c r="B2317" s="1" t="s">
        <v>4924</v>
      </c>
      <c r="C2317" s="1" t="s">
        <v>4720</v>
      </c>
      <c r="D2317" s="1" t="s">
        <v>4730</v>
      </c>
      <c r="E2317" s="1" t="s">
        <v>4925</v>
      </c>
      <c r="F2317" s="1" t="s">
        <v>16</v>
      </c>
      <c r="G2317" s="1" t="s">
        <v>17</v>
      </c>
      <c r="H2317" s="1" t="s">
        <v>18</v>
      </c>
      <c r="I2317" s="1" t="s">
        <v>19</v>
      </c>
    </row>
    <row r="2318">
      <c r="A2318" s="1">
        <v>3603177.0</v>
      </c>
      <c r="B2318" s="1" t="s">
        <v>4926</v>
      </c>
      <c r="C2318" s="1" t="s">
        <v>4720</v>
      </c>
      <c r="D2318" s="1" t="s">
        <v>4730</v>
      </c>
      <c r="E2318" s="1" t="s">
        <v>4927</v>
      </c>
      <c r="F2318" s="1" t="s">
        <v>16</v>
      </c>
      <c r="G2318" s="1" t="s">
        <v>23</v>
      </c>
      <c r="H2318" s="1" t="s">
        <v>18</v>
      </c>
      <c r="I2318" s="1" t="s">
        <v>44</v>
      </c>
    </row>
    <row r="2319">
      <c r="A2319" s="1">
        <v>3604052.0</v>
      </c>
      <c r="B2319" s="1" t="s">
        <v>4928</v>
      </c>
      <c r="C2319" s="1" t="s">
        <v>4720</v>
      </c>
      <c r="D2319" s="1" t="s">
        <v>4724</v>
      </c>
      <c r="E2319" s="1" t="s">
        <v>4929</v>
      </c>
      <c r="F2319" s="1" t="s">
        <v>16</v>
      </c>
      <c r="G2319" s="1" t="s">
        <v>23</v>
      </c>
      <c r="H2319" s="1" t="s">
        <v>18</v>
      </c>
      <c r="I2319" s="1" t="s">
        <v>44</v>
      </c>
    </row>
    <row r="2320">
      <c r="A2320" s="1">
        <v>3604046.0</v>
      </c>
      <c r="B2320" s="1" t="s">
        <v>4930</v>
      </c>
      <c r="C2320" s="1" t="s">
        <v>4720</v>
      </c>
      <c r="D2320" s="1" t="s">
        <v>4765</v>
      </c>
      <c r="E2320" s="1" t="s">
        <v>4931</v>
      </c>
      <c r="F2320" s="1" t="s">
        <v>16</v>
      </c>
      <c r="G2320" s="1" t="s">
        <v>23</v>
      </c>
      <c r="H2320" s="1" t="s">
        <v>18</v>
      </c>
      <c r="I2320" s="1" t="s">
        <v>19</v>
      </c>
    </row>
    <row r="2321">
      <c r="A2321" s="1">
        <v>3674006.0</v>
      </c>
      <c r="B2321" s="1" t="s">
        <v>4932</v>
      </c>
      <c r="C2321" s="1" t="s">
        <v>4720</v>
      </c>
      <c r="D2321" s="1" t="s">
        <v>4733</v>
      </c>
      <c r="E2321" s="1" t="s">
        <v>4933</v>
      </c>
      <c r="F2321" s="1" t="s">
        <v>16</v>
      </c>
      <c r="G2321" s="1" t="s">
        <v>17</v>
      </c>
      <c r="H2321" s="1" t="s">
        <v>33</v>
      </c>
      <c r="I2321" s="1" t="s">
        <v>34</v>
      </c>
    </row>
    <row r="2322">
      <c r="A2322" s="1">
        <v>3674015.0</v>
      </c>
      <c r="B2322" s="1" t="s">
        <v>4934</v>
      </c>
      <c r="C2322" s="1" t="s">
        <v>4720</v>
      </c>
      <c r="D2322" s="1" t="s">
        <v>4733</v>
      </c>
      <c r="E2322" s="1" t="s">
        <v>4935</v>
      </c>
      <c r="F2322" s="1" t="s">
        <v>55</v>
      </c>
      <c r="G2322" s="1" t="s">
        <v>17</v>
      </c>
      <c r="H2322" s="1" t="s">
        <v>18</v>
      </c>
      <c r="I2322" s="1" t="s">
        <v>19</v>
      </c>
    </row>
    <row r="2323">
      <c r="A2323" s="1">
        <v>3603196.0</v>
      </c>
      <c r="B2323" s="1" t="s">
        <v>4936</v>
      </c>
      <c r="C2323" s="1" t="s">
        <v>4720</v>
      </c>
      <c r="D2323" s="1" t="s">
        <v>4730</v>
      </c>
      <c r="E2323" s="1" t="s">
        <v>4937</v>
      </c>
      <c r="F2323" s="1" t="s">
        <v>16</v>
      </c>
      <c r="G2323" s="1" t="s">
        <v>17</v>
      </c>
      <c r="H2323" s="1" t="s">
        <v>18</v>
      </c>
      <c r="I2323" s="1" t="s">
        <v>44</v>
      </c>
    </row>
    <row r="2324">
      <c r="A2324" s="1">
        <v>3603146.0</v>
      </c>
      <c r="B2324" s="1" t="s">
        <v>4938</v>
      </c>
      <c r="C2324" s="1" t="s">
        <v>4720</v>
      </c>
      <c r="D2324" s="1" t="s">
        <v>4730</v>
      </c>
      <c r="E2324" s="1" t="s">
        <v>4939</v>
      </c>
      <c r="F2324" s="1" t="s">
        <v>55</v>
      </c>
      <c r="G2324" s="1" t="s">
        <v>17</v>
      </c>
      <c r="H2324" s="1" t="s">
        <v>18</v>
      </c>
      <c r="I2324" s="1" t="s">
        <v>44</v>
      </c>
    </row>
    <row r="2325">
      <c r="A2325" s="1">
        <v>3672034.0</v>
      </c>
      <c r="B2325" s="1" t="s">
        <v>4940</v>
      </c>
      <c r="C2325" s="1" t="s">
        <v>4720</v>
      </c>
      <c r="D2325" s="1" t="s">
        <v>4721</v>
      </c>
      <c r="E2325" s="1" t="s">
        <v>4941</v>
      </c>
      <c r="F2325" s="1" t="s">
        <v>16</v>
      </c>
      <c r="G2325" s="1" t="s">
        <v>17</v>
      </c>
      <c r="H2325" s="1" t="s">
        <v>18</v>
      </c>
      <c r="I2325" s="1" t="s">
        <v>19</v>
      </c>
    </row>
    <row r="2326">
      <c r="A2326" s="1">
        <v>3601010.0</v>
      </c>
      <c r="B2326" s="1" t="s">
        <v>4942</v>
      </c>
      <c r="C2326" s="1" t="s">
        <v>4720</v>
      </c>
      <c r="D2326" s="1" t="s">
        <v>4745</v>
      </c>
      <c r="E2326" s="1" t="s">
        <v>4943</v>
      </c>
      <c r="F2326" s="1" t="s">
        <v>16</v>
      </c>
      <c r="G2326" s="1" t="s">
        <v>27</v>
      </c>
      <c r="H2326" s="1" t="s">
        <v>28</v>
      </c>
      <c r="I2326" s="1" t="s">
        <v>40</v>
      </c>
    </row>
    <row r="2327">
      <c r="A2327" s="1">
        <v>3671223.0</v>
      </c>
      <c r="B2327" s="1" t="s">
        <v>4944</v>
      </c>
      <c r="C2327" s="1" t="s">
        <v>4720</v>
      </c>
      <c r="D2327" s="1" t="s">
        <v>4736</v>
      </c>
      <c r="E2327" s="1" t="s">
        <v>4945</v>
      </c>
      <c r="F2327" s="1" t="s">
        <v>16</v>
      </c>
      <c r="G2327" s="1" t="s">
        <v>17</v>
      </c>
      <c r="H2327" s="1" t="s">
        <v>18</v>
      </c>
      <c r="I2327" s="1" t="s">
        <v>19</v>
      </c>
    </row>
    <row r="2328">
      <c r="A2328" s="1">
        <v>3671202.0</v>
      </c>
      <c r="B2328" s="1" t="s">
        <v>4946</v>
      </c>
      <c r="C2328" s="1" t="s">
        <v>4720</v>
      </c>
      <c r="D2328" s="1" t="s">
        <v>4736</v>
      </c>
      <c r="E2328" s="1" t="s">
        <v>4947</v>
      </c>
      <c r="F2328" s="1" t="s">
        <v>16</v>
      </c>
      <c r="G2328" s="1" t="s">
        <v>23</v>
      </c>
      <c r="H2328" s="1" t="s">
        <v>18</v>
      </c>
      <c r="I2328" s="1" t="s">
        <v>44</v>
      </c>
    </row>
    <row r="2329">
      <c r="A2329" s="1">
        <v>3603210.0</v>
      </c>
      <c r="B2329" s="1" t="s">
        <v>4948</v>
      </c>
      <c r="C2329" s="1" t="s">
        <v>4720</v>
      </c>
      <c r="D2329" s="1" t="s">
        <v>4730</v>
      </c>
      <c r="E2329" s="1" t="s">
        <v>4949</v>
      </c>
      <c r="F2329" s="1" t="s">
        <v>16</v>
      </c>
      <c r="G2329" s="1" t="s">
        <v>17</v>
      </c>
      <c r="H2329" s="1" t="s">
        <v>18</v>
      </c>
      <c r="I2329" s="1" t="s">
        <v>40</v>
      </c>
    </row>
    <row r="2330">
      <c r="A2330" s="1">
        <v>3603093.0</v>
      </c>
      <c r="B2330" s="1" t="s">
        <v>4950</v>
      </c>
      <c r="C2330" s="1" t="s">
        <v>4720</v>
      </c>
      <c r="D2330" s="1" t="s">
        <v>4733</v>
      </c>
      <c r="E2330" s="1" t="s">
        <v>4951</v>
      </c>
      <c r="F2330" s="1" t="s">
        <v>55</v>
      </c>
      <c r="G2330" s="1" t="s">
        <v>17</v>
      </c>
      <c r="H2330" s="1" t="s">
        <v>18</v>
      </c>
      <c r="I2330" s="1" t="s">
        <v>19</v>
      </c>
    </row>
    <row r="2331">
      <c r="A2331" s="1">
        <v>3673005.0</v>
      </c>
      <c r="B2331" s="1" t="s">
        <v>4952</v>
      </c>
      <c r="C2331" s="1" t="s">
        <v>4720</v>
      </c>
      <c r="D2331" s="1" t="s">
        <v>4765</v>
      </c>
      <c r="E2331" s="1" t="s">
        <v>4953</v>
      </c>
      <c r="F2331" s="1" t="s">
        <v>16</v>
      </c>
      <c r="G2331" s="1" t="s">
        <v>23</v>
      </c>
      <c r="H2331" s="1" t="s">
        <v>18</v>
      </c>
      <c r="I2331" s="1" t="s">
        <v>19</v>
      </c>
    </row>
    <row r="2332">
      <c r="A2332" s="1">
        <v>3604053.0</v>
      </c>
      <c r="B2332" s="1" t="s">
        <v>4954</v>
      </c>
      <c r="C2332" s="1" t="s">
        <v>4720</v>
      </c>
      <c r="D2332" s="1" t="s">
        <v>4765</v>
      </c>
      <c r="E2332" s="1" t="s">
        <v>4955</v>
      </c>
      <c r="F2332" s="1" t="s">
        <v>16</v>
      </c>
      <c r="G2332" s="1" t="s">
        <v>17</v>
      </c>
      <c r="H2332" s="1" t="s">
        <v>18</v>
      </c>
      <c r="I2332" s="1" t="s">
        <v>65</v>
      </c>
    </row>
    <row r="2333">
      <c r="A2333" s="1">
        <v>3674102.0</v>
      </c>
      <c r="B2333" s="1" t="s">
        <v>4956</v>
      </c>
      <c r="C2333" s="1" t="s">
        <v>4720</v>
      </c>
      <c r="D2333" s="1" t="s">
        <v>4733</v>
      </c>
      <c r="E2333" s="1" t="s">
        <v>4957</v>
      </c>
      <c r="F2333" s="1" t="s">
        <v>16</v>
      </c>
      <c r="G2333" s="1" t="s">
        <v>27</v>
      </c>
      <c r="H2333" s="1" t="s">
        <v>18</v>
      </c>
      <c r="I2333" s="1" t="s">
        <v>19</v>
      </c>
    </row>
    <row r="2334">
      <c r="A2334" s="1">
        <v>3674171.0</v>
      </c>
      <c r="B2334" s="1" t="s">
        <v>4958</v>
      </c>
      <c r="C2334" s="1" t="s">
        <v>4720</v>
      </c>
      <c r="D2334" s="1" t="s">
        <v>4733</v>
      </c>
      <c r="E2334" s="1" t="s">
        <v>4959</v>
      </c>
      <c r="F2334" s="1" t="s">
        <v>16</v>
      </c>
      <c r="G2334" s="1" t="s">
        <v>17</v>
      </c>
      <c r="H2334" s="1" t="s">
        <v>18</v>
      </c>
      <c r="I2334" s="1" t="s">
        <v>44</v>
      </c>
    </row>
    <row r="2335">
      <c r="A2335" s="1">
        <v>3673035.0</v>
      </c>
      <c r="B2335" s="1" t="s">
        <v>4960</v>
      </c>
      <c r="C2335" s="1" t="s">
        <v>4720</v>
      </c>
      <c r="D2335" s="1" t="s">
        <v>4765</v>
      </c>
      <c r="E2335" s="1" t="s">
        <v>4961</v>
      </c>
      <c r="F2335" s="1" t="s">
        <v>55</v>
      </c>
      <c r="G2335" s="1" t="s">
        <v>17</v>
      </c>
      <c r="H2335" s="1" t="s">
        <v>18</v>
      </c>
      <c r="I2335" s="1" t="s">
        <v>44</v>
      </c>
    </row>
    <row r="2336">
      <c r="A2336" s="1">
        <v>3674018.0</v>
      </c>
      <c r="B2336" s="1" t="s">
        <v>4962</v>
      </c>
      <c r="C2336" s="1" t="s">
        <v>4720</v>
      </c>
      <c r="D2336" s="1" t="s">
        <v>4733</v>
      </c>
      <c r="E2336" s="1" t="s">
        <v>4963</v>
      </c>
      <c r="F2336" s="1" t="s">
        <v>16</v>
      </c>
      <c r="G2336" s="1" t="s">
        <v>17</v>
      </c>
      <c r="H2336" s="1" t="s">
        <v>18</v>
      </c>
      <c r="I2336" s="1" t="s">
        <v>19</v>
      </c>
    </row>
    <row r="2337">
      <c r="A2337" s="1">
        <v>3671225.0</v>
      </c>
      <c r="B2337" s="1" t="s">
        <v>4964</v>
      </c>
      <c r="C2337" s="1" t="s">
        <v>4720</v>
      </c>
      <c r="D2337" s="1" t="s">
        <v>4736</v>
      </c>
      <c r="E2337" s="1" t="s">
        <v>4965</v>
      </c>
      <c r="F2337" s="1" t="s">
        <v>16</v>
      </c>
      <c r="G2337" s="1" t="s">
        <v>17</v>
      </c>
      <c r="H2337" s="1" t="s">
        <v>18</v>
      </c>
      <c r="I2337" s="1" t="s">
        <v>19</v>
      </c>
    </row>
    <row r="2338">
      <c r="A2338" s="1">
        <v>3671021.0</v>
      </c>
      <c r="B2338" s="1" t="s">
        <v>4966</v>
      </c>
      <c r="C2338" s="1" t="s">
        <v>4720</v>
      </c>
      <c r="D2338" s="1" t="s">
        <v>4736</v>
      </c>
      <c r="E2338" s="1" t="s">
        <v>4967</v>
      </c>
      <c r="F2338" s="1" t="s">
        <v>16</v>
      </c>
      <c r="G2338" s="1" t="s">
        <v>23</v>
      </c>
      <c r="H2338" s="1" t="s">
        <v>18</v>
      </c>
      <c r="I2338" s="1" t="s">
        <v>74</v>
      </c>
    </row>
    <row r="2339">
      <c r="A2339" s="1">
        <v>3674007.0</v>
      </c>
      <c r="B2339" s="1" t="s">
        <v>4968</v>
      </c>
      <c r="C2339" s="1" t="s">
        <v>4720</v>
      </c>
      <c r="D2339" s="1" t="s">
        <v>4733</v>
      </c>
      <c r="E2339" s="1" t="s">
        <v>4969</v>
      </c>
      <c r="F2339" s="1" t="s">
        <v>16</v>
      </c>
      <c r="G2339" s="1" t="s">
        <v>17</v>
      </c>
      <c r="H2339" s="1" t="s">
        <v>18</v>
      </c>
      <c r="I2339" s="1" t="s">
        <v>44</v>
      </c>
    </row>
    <row r="2340">
      <c r="A2340" s="1">
        <v>3603175.0</v>
      </c>
      <c r="B2340" s="1" t="s">
        <v>4970</v>
      </c>
      <c r="C2340" s="1" t="s">
        <v>4720</v>
      </c>
      <c r="D2340" s="1" t="s">
        <v>4730</v>
      </c>
      <c r="E2340" s="1" t="s">
        <v>4971</v>
      </c>
      <c r="F2340" s="1" t="s">
        <v>16</v>
      </c>
      <c r="G2340" s="1" t="s">
        <v>17</v>
      </c>
      <c r="H2340" s="1" t="s">
        <v>18</v>
      </c>
      <c r="I2340" s="1" t="s">
        <v>19</v>
      </c>
    </row>
    <row r="2341">
      <c r="A2341" s="1">
        <v>3673048.0</v>
      </c>
      <c r="B2341" s="1" t="s">
        <v>4972</v>
      </c>
      <c r="C2341" s="1" t="s">
        <v>4720</v>
      </c>
      <c r="D2341" s="1" t="s">
        <v>4765</v>
      </c>
      <c r="E2341" s="1" t="s">
        <v>4973</v>
      </c>
      <c r="F2341" s="1" t="s">
        <v>16</v>
      </c>
      <c r="G2341" s="1" t="s">
        <v>17</v>
      </c>
      <c r="H2341" s="1" t="s">
        <v>18</v>
      </c>
      <c r="I2341" s="1" t="s">
        <v>19</v>
      </c>
    </row>
    <row r="2342">
      <c r="A2342" s="1">
        <v>3603115.0</v>
      </c>
      <c r="B2342" s="1" t="s">
        <v>4974</v>
      </c>
      <c r="C2342" s="1" t="s">
        <v>4720</v>
      </c>
      <c r="D2342" s="1" t="s">
        <v>4733</v>
      </c>
      <c r="E2342" s="1" t="s">
        <v>4975</v>
      </c>
      <c r="F2342" s="1" t="s">
        <v>16</v>
      </c>
      <c r="G2342" s="1" t="s">
        <v>27</v>
      </c>
      <c r="H2342" s="1" t="s">
        <v>18</v>
      </c>
      <c r="I2342" s="1" t="s">
        <v>19</v>
      </c>
    </row>
    <row r="2343">
      <c r="A2343" s="1">
        <v>3601036.0</v>
      </c>
      <c r="B2343" s="1" t="s">
        <v>4976</v>
      </c>
      <c r="C2343" s="1" t="s">
        <v>4720</v>
      </c>
      <c r="D2343" s="1" t="s">
        <v>4745</v>
      </c>
      <c r="E2343" s="1" t="s">
        <v>4977</v>
      </c>
      <c r="F2343" s="1" t="s">
        <v>16</v>
      </c>
      <c r="G2343" s="1" t="s">
        <v>23</v>
      </c>
      <c r="H2343" s="1" t="s">
        <v>18</v>
      </c>
      <c r="I2343" s="1" t="s">
        <v>40</v>
      </c>
    </row>
    <row r="2344">
      <c r="A2344" s="1">
        <v>3604066.0</v>
      </c>
      <c r="B2344" s="1" t="s">
        <v>4978</v>
      </c>
      <c r="C2344" s="1" t="s">
        <v>4720</v>
      </c>
      <c r="D2344" s="1" t="s">
        <v>4724</v>
      </c>
      <c r="E2344" s="1" t="s">
        <v>4979</v>
      </c>
      <c r="F2344" s="1" t="s">
        <v>16</v>
      </c>
      <c r="G2344" s="1" t="s">
        <v>17</v>
      </c>
      <c r="H2344" s="1" t="s">
        <v>18</v>
      </c>
      <c r="I2344" s="1" t="s">
        <v>19</v>
      </c>
    </row>
    <row r="2345">
      <c r="A2345" s="1">
        <v>3603180.0</v>
      </c>
      <c r="B2345" s="1" t="s">
        <v>4980</v>
      </c>
      <c r="C2345" s="1" t="s">
        <v>4720</v>
      </c>
      <c r="D2345" s="1" t="s">
        <v>4730</v>
      </c>
      <c r="E2345" s="1" t="s">
        <v>4981</v>
      </c>
      <c r="F2345" s="1" t="s">
        <v>16</v>
      </c>
      <c r="G2345" s="1" t="s">
        <v>27</v>
      </c>
      <c r="H2345" s="1" t="s">
        <v>18</v>
      </c>
      <c r="I2345" s="1" t="s">
        <v>44</v>
      </c>
    </row>
    <row r="2346">
      <c r="A2346" s="1">
        <v>3671124.0</v>
      </c>
      <c r="B2346" s="1" t="s">
        <v>4982</v>
      </c>
      <c r="C2346" s="1" t="s">
        <v>4720</v>
      </c>
      <c r="D2346" s="1" t="s">
        <v>4736</v>
      </c>
      <c r="E2346" s="1" t="s">
        <v>4983</v>
      </c>
      <c r="F2346" s="1" t="s">
        <v>16</v>
      </c>
      <c r="G2346" s="1" t="s">
        <v>17</v>
      </c>
      <c r="H2346" s="1" t="s">
        <v>18</v>
      </c>
      <c r="I2346" s="1" t="s">
        <v>19</v>
      </c>
    </row>
    <row r="2347">
      <c r="A2347" s="1">
        <v>5102021.0</v>
      </c>
      <c r="B2347" s="1" t="s">
        <v>4984</v>
      </c>
      <c r="C2347" s="1" t="s">
        <v>4985</v>
      </c>
      <c r="D2347" s="1" t="s">
        <v>4986</v>
      </c>
      <c r="E2347" s="1" t="s">
        <v>4987</v>
      </c>
      <c r="F2347" s="1" t="s">
        <v>16</v>
      </c>
      <c r="G2347" s="1" t="s">
        <v>23</v>
      </c>
      <c r="H2347" s="1" t="s">
        <v>18</v>
      </c>
      <c r="I2347" s="1" t="s">
        <v>19</v>
      </c>
    </row>
    <row r="2348">
      <c r="A2348" s="1">
        <v>5171086.0</v>
      </c>
      <c r="B2348" s="1" t="s">
        <v>4988</v>
      </c>
      <c r="C2348" s="1" t="s">
        <v>4985</v>
      </c>
      <c r="D2348" s="1" t="s">
        <v>4989</v>
      </c>
      <c r="E2348" s="1" t="s">
        <v>4990</v>
      </c>
      <c r="F2348" s="1" t="s">
        <v>16</v>
      </c>
      <c r="G2348" s="1" t="s">
        <v>17</v>
      </c>
      <c r="H2348" s="1" t="s">
        <v>18</v>
      </c>
      <c r="I2348" s="1" t="s">
        <v>59</v>
      </c>
    </row>
    <row r="2349">
      <c r="A2349" s="1">
        <v>5103036.0</v>
      </c>
      <c r="B2349" s="1" t="s">
        <v>4991</v>
      </c>
      <c r="C2349" s="1" t="s">
        <v>4985</v>
      </c>
      <c r="D2349" s="1" t="s">
        <v>4992</v>
      </c>
      <c r="E2349" s="1" t="s">
        <v>4993</v>
      </c>
      <c r="F2349" s="1" t="s">
        <v>16</v>
      </c>
      <c r="G2349" s="1" t="s">
        <v>17</v>
      </c>
      <c r="H2349" s="1" t="s">
        <v>18</v>
      </c>
      <c r="I2349" s="1" t="s">
        <v>44</v>
      </c>
    </row>
    <row r="2350">
      <c r="A2350" s="1">
        <v>5102046.0</v>
      </c>
      <c r="B2350" s="1" t="s">
        <v>4994</v>
      </c>
      <c r="C2350" s="1" t="s">
        <v>4985</v>
      </c>
      <c r="D2350" s="1" t="s">
        <v>4986</v>
      </c>
      <c r="E2350" s="1" t="s">
        <v>4995</v>
      </c>
      <c r="F2350" s="1" t="s">
        <v>16</v>
      </c>
      <c r="G2350" s="1" t="s">
        <v>17</v>
      </c>
      <c r="H2350" s="1" t="s">
        <v>18</v>
      </c>
      <c r="I2350" s="1" t="s">
        <v>44</v>
      </c>
    </row>
    <row r="2351">
      <c r="A2351" s="1">
        <v>5104039.0</v>
      </c>
      <c r="B2351" s="1" t="s">
        <v>4996</v>
      </c>
      <c r="C2351" s="1" t="s">
        <v>4985</v>
      </c>
      <c r="D2351" s="1" t="s">
        <v>4997</v>
      </c>
      <c r="E2351" s="1" t="s">
        <v>4998</v>
      </c>
      <c r="F2351" s="1" t="s">
        <v>16</v>
      </c>
      <c r="G2351" s="1" t="s">
        <v>17</v>
      </c>
      <c r="H2351" s="1" t="s">
        <v>28</v>
      </c>
      <c r="I2351" s="1" t="s">
        <v>40</v>
      </c>
    </row>
    <row r="2352">
      <c r="A2352" s="1">
        <v>5108031.0</v>
      </c>
      <c r="B2352" s="1" t="s">
        <v>4999</v>
      </c>
      <c r="C2352" s="1" t="s">
        <v>4985</v>
      </c>
      <c r="D2352" s="1" t="s">
        <v>5000</v>
      </c>
      <c r="E2352" s="1" t="s">
        <v>5001</v>
      </c>
      <c r="F2352" s="1" t="s">
        <v>16</v>
      </c>
      <c r="G2352" s="1" t="s">
        <v>17</v>
      </c>
      <c r="H2352" s="1" t="s">
        <v>18</v>
      </c>
      <c r="I2352" s="1" t="s">
        <v>5002</v>
      </c>
    </row>
    <row r="2353">
      <c r="A2353" s="1">
        <v>5171215.0</v>
      </c>
      <c r="B2353" s="1" t="s">
        <v>3971</v>
      </c>
      <c r="C2353" s="1" t="s">
        <v>4985</v>
      </c>
      <c r="D2353" s="1" t="s">
        <v>4989</v>
      </c>
      <c r="E2353" s="1" t="s">
        <v>5003</v>
      </c>
      <c r="F2353" s="1" t="s">
        <v>55</v>
      </c>
      <c r="G2353" s="1" t="s">
        <v>17</v>
      </c>
      <c r="H2353" s="1" t="s">
        <v>18</v>
      </c>
      <c r="I2353" s="1" t="s">
        <v>19</v>
      </c>
    </row>
    <row r="2354">
      <c r="A2354" s="1">
        <v>5104012.0</v>
      </c>
      <c r="B2354" s="1" t="s">
        <v>5004</v>
      </c>
      <c r="C2354" s="1" t="s">
        <v>4985</v>
      </c>
      <c r="D2354" s="1" t="s">
        <v>4997</v>
      </c>
      <c r="E2354" s="1" t="s">
        <v>5005</v>
      </c>
      <c r="F2354" s="1" t="s">
        <v>16</v>
      </c>
      <c r="G2354" s="1" t="s">
        <v>27</v>
      </c>
      <c r="H2354" s="1" t="s">
        <v>28</v>
      </c>
      <c r="I2354" s="1" t="s">
        <v>40</v>
      </c>
    </row>
    <row r="2355">
      <c r="A2355" s="1">
        <v>5104037.0</v>
      </c>
      <c r="B2355" s="1" t="s">
        <v>5006</v>
      </c>
      <c r="C2355" s="1" t="s">
        <v>4985</v>
      </c>
      <c r="D2355" s="1" t="s">
        <v>4997</v>
      </c>
      <c r="E2355" s="1" t="s">
        <v>5007</v>
      </c>
      <c r="F2355" s="1" t="s">
        <v>16</v>
      </c>
      <c r="G2355" s="1" t="s">
        <v>17</v>
      </c>
      <c r="H2355" s="1" t="s">
        <v>18</v>
      </c>
      <c r="I2355" s="1" t="s">
        <v>44</v>
      </c>
    </row>
    <row r="2356">
      <c r="A2356" s="1">
        <v>5102047.0</v>
      </c>
      <c r="B2356" s="1" t="s">
        <v>5008</v>
      </c>
      <c r="C2356" s="1" t="s">
        <v>4985</v>
      </c>
      <c r="D2356" s="1" t="s">
        <v>4986</v>
      </c>
      <c r="E2356" s="1" t="s">
        <v>5009</v>
      </c>
      <c r="F2356" s="1" t="s">
        <v>16</v>
      </c>
      <c r="G2356" s="1" t="s">
        <v>17</v>
      </c>
      <c r="H2356" s="1" t="s">
        <v>33</v>
      </c>
      <c r="I2356" s="1" t="s">
        <v>40</v>
      </c>
    </row>
    <row r="2357">
      <c r="A2357" s="1">
        <v>5171122.0</v>
      </c>
      <c r="B2357" s="1" t="s">
        <v>5010</v>
      </c>
      <c r="C2357" s="1" t="s">
        <v>4985</v>
      </c>
      <c r="D2357" s="1" t="s">
        <v>4989</v>
      </c>
      <c r="E2357" s="1" t="s">
        <v>5011</v>
      </c>
      <c r="F2357" s="1" t="s">
        <v>16</v>
      </c>
      <c r="G2357" s="1" t="s">
        <v>17</v>
      </c>
      <c r="H2357" s="1" t="s">
        <v>18</v>
      </c>
      <c r="I2357" s="1" t="s">
        <v>5002</v>
      </c>
    </row>
    <row r="2358">
      <c r="A2358" s="1">
        <v>5102049.0</v>
      </c>
      <c r="B2358" s="1" t="s">
        <v>5012</v>
      </c>
      <c r="C2358" s="1" t="s">
        <v>4985</v>
      </c>
      <c r="D2358" s="1" t="s">
        <v>4986</v>
      </c>
      <c r="E2358" s="1" t="s">
        <v>5013</v>
      </c>
      <c r="F2358" s="1" t="s">
        <v>16</v>
      </c>
      <c r="G2358" s="1" t="s">
        <v>17</v>
      </c>
      <c r="H2358" s="1" t="s">
        <v>18</v>
      </c>
      <c r="I2358" s="1" t="s">
        <v>44</v>
      </c>
    </row>
    <row r="2359">
      <c r="A2359" s="1">
        <v>5102043.0</v>
      </c>
      <c r="B2359" s="1" t="s">
        <v>5014</v>
      </c>
      <c r="C2359" s="1" t="s">
        <v>4985</v>
      </c>
      <c r="D2359" s="1" t="s">
        <v>4986</v>
      </c>
      <c r="E2359" s="1" t="s">
        <v>5015</v>
      </c>
      <c r="F2359" s="1" t="s">
        <v>16</v>
      </c>
      <c r="G2359" s="1" t="s">
        <v>23</v>
      </c>
      <c r="H2359" s="1" t="s">
        <v>18</v>
      </c>
      <c r="I2359" s="1" t="s">
        <v>19</v>
      </c>
    </row>
    <row r="2360">
      <c r="A2360" s="1">
        <v>5171016.0</v>
      </c>
      <c r="B2360" s="1" t="s">
        <v>5016</v>
      </c>
      <c r="C2360" s="1" t="s">
        <v>4985</v>
      </c>
      <c r="D2360" s="1" t="s">
        <v>4989</v>
      </c>
      <c r="E2360" s="1" t="s">
        <v>5017</v>
      </c>
      <c r="F2360" s="1" t="s">
        <v>16</v>
      </c>
      <c r="G2360" s="1" t="s">
        <v>150</v>
      </c>
      <c r="H2360" s="1" t="s">
        <v>33</v>
      </c>
      <c r="I2360" s="1" t="s">
        <v>411</v>
      </c>
    </row>
    <row r="2361">
      <c r="A2361" s="1">
        <v>5107017.0</v>
      </c>
      <c r="B2361" s="1" t="s">
        <v>5018</v>
      </c>
      <c r="C2361" s="1" t="s">
        <v>4985</v>
      </c>
      <c r="D2361" s="1" t="s">
        <v>5019</v>
      </c>
      <c r="E2361" s="1" t="s">
        <v>5020</v>
      </c>
      <c r="F2361" s="1" t="s">
        <v>16</v>
      </c>
      <c r="G2361" s="1" t="s">
        <v>17</v>
      </c>
      <c r="H2361" s="1" t="s">
        <v>18</v>
      </c>
      <c r="I2361" s="1" t="s">
        <v>19</v>
      </c>
    </row>
    <row r="2362">
      <c r="A2362" s="1">
        <v>5106014.0</v>
      </c>
      <c r="B2362" s="1" t="s">
        <v>5021</v>
      </c>
      <c r="C2362" s="1" t="s">
        <v>4985</v>
      </c>
      <c r="D2362" s="1" t="s">
        <v>5022</v>
      </c>
      <c r="E2362" s="1" t="s">
        <v>5023</v>
      </c>
      <c r="F2362" s="1" t="s">
        <v>16</v>
      </c>
      <c r="G2362" s="1" t="s">
        <v>27</v>
      </c>
      <c r="H2362" s="1" t="s">
        <v>28</v>
      </c>
      <c r="I2362" s="1" t="s">
        <v>40</v>
      </c>
    </row>
    <row r="2363">
      <c r="A2363" s="1">
        <v>5171220.0</v>
      </c>
      <c r="B2363" s="1" t="s">
        <v>5024</v>
      </c>
      <c r="C2363" s="1" t="s">
        <v>4985</v>
      </c>
      <c r="D2363" s="1" t="s">
        <v>4989</v>
      </c>
      <c r="E2363" s="1" t="s">
        <v>5025</v>
      </c>
      <c r="F2363" s="1" t="s">
        <v>16</v>
      </c>
      <c r="G2363" s="1" t="s">
        <v>27</v>
      </c>
      <c r="H2363" s="1" t="s">
        <v>18</v>
      </c>
      <c r="I2363" s="1" t="s">
        <v>139</v>
      </c>
    </row>
    <row r="2364">
      <c r="A2364" s="1">
        <v>5104036.0</v>
      </c>
      <c r="B2364" s="1" t="s">
        <v>5026</v>
      </c>
      <c r="C2364" s="1" t="s">
        <v>4985</v>
      </c>
      <c r="D2364" s="1" t="s">
        <v>4997</v>
      </c>
      <c r="E2364" s="1" t="s">
        <v>5027</v>
      </c>
      <c r="F2364" s="1" t="s">
        <v>16</v>
      </c>
      <c r="G2364" s="1" t="s">
        <v>17</v>
      </c>
      <c r="H2364" s="1" t="s">
        <v>18</v>
      </c>
      <c r="I2364" s="1" t="s">
        <v>163</v>
      </c>
    </row>
    <row r="2365">
      <c r="A2365" s="1">
        <v>5171155.0</v>
      </c>
      <c r="B2365" s="1" t="s">
        <v>5028</v>
      </c>
      <c r="C2365" s="1" t="s">
        <v>4985</v>
      </c>
      <c r="D2365" s="1" t="s">
        <v>4989</v>
      </c>
      <c r="E2365" s="1" t="s">
        <v>5029</v>
      </c>
      <c r="F2365" s="1" t="s">
        <v>16</v>
      </c>
      <c r="G2365" s="1" t="s">
        <v>23</v>
      </c>
      <c r="H2365" s="1" t="s">
        <v>18</v>
      </c>
      <c r="I2365" s="1" t="s">
        <v>59</v>
      </c>
    </row>
    <row r="2366">
      <c r="A2366" s="1">
        <v>5108075.0</v>
      </c>
      <c r="B2366" s="1" t="s">
        <v>5030</v>
      </c>
      <c r="C2366" s="1" t="s">
        <v>4985</v>
      </c>
      <c r="D2366" s="1" t="s">
        <v>5000</v>
      </c>
      <c r="E2366" s="1" t="s">
        <v>5031</v>
      </c>
      <c r="F2366" s="1" t="s">
        <v>16</v>
      </c>
      <c r="G2366" s="1" t="s">
        <v>23</v>
      </c>
      <c r="H2366" s="1" t="s">
        <v>18</v>
      </c>
      <c r="I2366" s="1" t="s">
        <v>19</v>
      </c>
    </row>
    <row r="2367">
      <c r="A2367" s="1">
        <v>5103038.0</v>
      </c>
      <c r="B2367" s="1" t="s">
        <v>5032</v>
      </c>
      <c r="C2367" s="1" t="s">
        <v>4985</v>
      </c>
      <c r="D2367" s="1" t="s">
        <v>4992</v>
      </c>
      <c r="E2367" s="1" t="s">
        <v>5033</v>
      </c>
      <c r="F2367" s="1" t="s">
        <v>16</v>
      </c>
      <c r="G2367" s="1" t="s">
        <v>17</v>
      </c>
      <c r="H2367" s="1" t="s">
        <v>18</v>
      </c>
      <c r="I2367" s="1" t="s">
        <v>44</v>
      </c>
    </row>
    <row r="2368">
      <c r="A2368" s="1">
        <v>5108064.0</v>
      </c>
      <c r="B2368" s="1" t="s">
        <v>5034</v>
      </c>
      <c r="C2368" s="1" t="s">
        <v>4985</v>
      </c>
      <c r="D2368" s="1" t="s">
        <v>5000</v>
      </c>
      <c r="E2368" s="1" t="s">
        <v>5035</v>
      </c>
      <c r="F2368" s="1" t="s">
        <v>16</v>
      </c>
      <c r="G2368" s="1" t="s">
        <v>17</v>
      </c>
      <c r="H2368" s="1" t="s">
        <v>18</v>
      </c>
      <c r="I2368" s="1" t="s">
        <v>19</v>
      </c>
    </row>
    <row r="2369">
      <c r="A2369" s="1">
        <v>5108080.0</v>
      </c>
      <c r="B2369" s="1" t="s">
        <v>5036</v>
      </c>
      <c r="C2369" s="1" t="s">
        <v>4985</v>
      </c>
      <c r="D2369" s="1" t="s">
        <v>5000</v>
      </c>
      <c r="E2369" s="1" t="s">
        <v>5037</v>
      </c>
      <c r="F2369" s="1" t="s">
        <v>16</v>
      </c>
      <c r="G2369" s="1" t="s">
        <v>17</v>
      </c>
      <c r="H2369" s="1" t="s">
        <v>18</v>
      </c>
      <c r="I2369" s="1" t="s">
        <v>44</v>
      </c>
    </row>
    <row r="2370">
      <c r="A2370" s="1">
        <v>5171216.0</v>
      </c>
      <c r="B2370" s="1" t="s">
        <v>5038</v>
      </c>
      <c r="C2370" s="1" t="s">
        <v>4985</v>
      </c>
      <c r="D2370" s="1" t="s">
        <v>4989</v>
      </c>
      <c r="E2370" s="1" t="s">
        <v>5039</v>
      </c>
      <c r="F2370" s="1" t="s">
        <v>16</v>
      </c>
      <c r="G2370" s="1" t="s">
        <v>17</v>
      </c>
      <c r="H2370" s="1" t="s">
        <v>33</v>
      </c>
      <c r="I2370" s="1" t="s">
        <v>65</v>
      </c>
    </row>
    <row r="2371">
      <c r="A2371" s="1">
        <v>5103034.0</v>
      </c>
      <c r="B2371" s="1" t="s">
        <v>5040</v>
      </c>
      <c r="C2371" s="1" t="s">
        <v>4985</v>
      </c>
      <c r="D2371" s="1" t="s">
        <v>4992</v>
      </c>
      <c r="E2371" s="1" t="s">
        <v>5041</v>
      </c>
      <c r="F2371" s="1" t="s">
        <v>255</v>
      </c>
      <c r="G2371" s="1" t="s">
        <v>27</v>
      </c>
      <c r="H2371" s="1" t="s">
        <v>18</v>
      </c>
      <c r="I2371" s="1" t="s">
        <v>19</v>
      </c>
    </row>
    <row r="2372">
      <c r="A2372" s="1">
        <v>5108091.0</v>
      </c>
      <c r="B2372" s="1" t="s">
        <v>5042</v>
      </c>
      <c r="C2372" s="1" t="s">
        <v>4985</v>
      </c>
      <c r="D2372" s="1" t="s">
        <v>5000</v>
      </c>
      <c r="E2372" s="1" t="s">
        <v>5043</v>
      </c>
      <c r="F2372" s="1" t="s">
        <v>55</v>
      </c>
      <c r="G2372" s="1" t="s">
        <v>17</v>
      </c>
      <c r="H2372" s="1" t="s">
        <v>18</v>
      </c>
      <c r="I2372" s="1" t="s">
        <v>19</v>
      </c>
    </row>
    <row r="2373">
      <c r="A2373" s="1">
        <v>5108079.0</v>
      </c>
      <c r="B2373" s="1" t="s">
        <v>5044</v>
      </c>
      <c r="C2373" s="1" t="s">
        <v>4985</v>
      </c>
      <c r="D2373" s="1" t="s">
        <v>5000</v>
      </c>
      <c r="E2373" s="1" t="s">
        <v>5045</v>
      </c>
      <c r="F2373" s="1" t="s">
        <v>16</v>
      </c>
      <c r="G2373" s="1" t="s">
        <v>23</v>
      </c>
      <c r="H2373" s="1" t="s">
        <v>18</v>
      </c>
      <c r="I2373" s="1" t="s">
        <v>40</v>
      </c>
    </row>
    <row r="2374">
      <c r="A2374" s="1">
        <v>5171235.0</v>
      </c>
      <c r="B2374" s="1" t="s">
        <v>5046</v>
      </c>
      <c r="C2374" s="1" t="s">
        <v>4985</v>
      </c>
      <c r="D2374" s="1" t="s">
        <v>4989</v>
      </c>
      <c r="E2374" s="1" t="s">
        <v>5047</v>
      </c>
      <c r="F2374" s="1" t="s">
        <v>55</v>
      </c>
      <c r="G2374" s="1" t="s">
        <v>17</v>
      </c>
      <c r="H2374" s="1" t="s">
        <v>18</v>
      </c>
      <c r="I2374" s="1" t="s">
        <v>19</v>
      </c>
    </row>
    <row r="2375">
      <c r="A2375" s="1">
        <v>5171031.0</v>
      </c>
      <c r="B2375" s="1" t="s">
        <v>5048</v>
      </c>
      <c r="C2375" s="1" t="s">
        <v>4985</v>
      </c>
      <c r="D2375" s="1" t="s">
        <v>4989</v>
      </c>
      <c r="E2375" s="1" t="s">
        <v>5049</v>
      </c>
      <c r="F2375" s="1" t="s">
        <v>16</v>
      </c>
      <c r="G2375" s="1" t="s">
        <v>17</v>
      </c>
      <c r="H2375" s="1" t="s">
        <v>33</v>
      </c>
      <c r="I2375" s="1" t="s">
        <v>74</v>
      </c>
    </row>
    <row r="2376">
      <c r="A2376" s="1">
        <v>5105016.0</v>
      </c>
      <c r="B2376" s="1" t="s">
        <v>5050</v>
      </c>
      <c r="C2376" s="1" t="s">
        <v>4985</v>
      </c>
      <c r="D2376" s="1" t="s">
        <v>5051</v>
      </c>
      <c r="E2376" s="1" t="s">
        <v>5052</v>
      </c>
      <c r="F2376" s="1" t="s">
        <v>16</v>
      </c>
      <c r="G2376" s="1" t="s">
        <v>23</v>
      </c>
      <c r="H2376" s="1" t="s">
        <v>28</v>
      </c>
      <c r="I2376" s="1" t="s">
        <v>40</v>
      </c>
    </row>
    <row r="2377">
      <c r="A2377" s="1">
        <v>5104034.0</v>
      </c>
      <c r="B2377" s="1" t="s">
        <v>5053</v>
      </c>
      <c r="C2377" s="1" t="s">
        <v>4985</v>
      </c>
      <c r="D2377" s="1" t="s">
        <v>4997</v>
      </c>
      <c r="E2377" s="1" t="s">
        <v>5054</v>
      </c>
      <c r="F2377" s="1" t="s">
        <v>16</v>
      </c>
      <c r="G2377" s="1" t="s">
        <v>17</v>
      </c>
      <c r="H2377" s="1" t="s">
        <v>18</v>
      </c>
      <c r="I2377" s="1" t="s">
        <v>163</v>
      </c>
    </row>
    <row r="2378">
      <c r="A2378" s="1">
        <v>5101016.0</v>
      </c>
      <c r="B2378" s="1" t="s">
        <v>5055</v>
      </c>
      <c r="C2378" s="1" t="s">
        <v>4985</v>
      </c>
      <c r="D2378" s="1" t="s">
        <v>5056</v>
      </c>
      <c r="E2378" s="1" t="s">
        <v>5057</v>
      </c>
      <c r="F2378" s="1" t="s">
        <v>16</v>
      </c>
      <c r="G2378" s="1" t="s">
        <v>17</v>
      </c>
      <c r="H2378" s="1" t="s">
        <v>28</v>
      </c>
      <c r="I2378" s="1" t="s">
        <v>40</v>
      </c>
    </row>
    <row r="2379">
      <c r="A2379" s="1">
        <v>5105017.0</v>
      </c>
      <c r="B2379" s="1" t="s">
        <v>5058</v>
      </c>
      <c r="C2379" s="1" t="s">
        <v>4985</v>
      </c>
      <c r="D2379" s="1" t="s">
        <v>5051</v>
      </c>
      <c r="E2379" s="1" t="s">
        <v>5059</v>
      </c>
      <c r="F2379" s="1" t="s">
        <v>16</v>
      </c>
      <c r="G2379" s="1" t="s">
        <v>17</v>
      </c>
      <c r="H2379" s="1" t="s">
        <v>18</v>
      </c>
      <c r="I2379" s="1" t="s">
        <v>19</v>
      </c>
    </row>
    <row r="2380">
      <c r="A2380" s="1">
        <v>5107015.0</v>
      </c>
      <c r="B2380" s="1" t="s">
        <v>5060</v>
      </c>
      <c r="C2380" s="1" t="s">
        <v>4985</v>
      </c>
      <c r="D2380" s="1" t="s">
        <v>5019</v>
      </c>
      <c r="E2380" s="1" t="s">
        <v>5061</v>
      </c>
      <c r="F2380" s="1" t="s">
        <v>16</v>
      </c>
      <c r="G2380" s="1" t="s">
        <v>17</v>
      </c>
      <c r="H2380" s="1" t="s">
        <v>28</v>
      </c>
      <c r="I2380" s="1" t="s">
        <v>40</v>
      </c>
    </row>
    <row r="2381">
      <c r="A2381" s="1">
        <v>5171181.0</v>
      </c>
      <c r="B2381" s="1" t="s">
        <v>5062</v>
      </c>
      <c r="C2381" s="1" t="s">
        <v>4985</v>
      </c>
      <c r="D2381" s="1" t="s">
        <v>4989</v>
      </c>
      <c r="E2381" s="1" t="s">
        <v>5063</v>
      </c>
      <c r="F2381" s="1" t="s">
        <v>32</v>
      </c>
      <c r="G2381" s="1" t="s">
        <v>27</v>
      </c>
      <c r="H2381" s="1" t="s">
        <v>18</v>
      </c>
      <c r="I2381" s="1" t="s">
        <v>59</v>
      </c>
    </row>
    <row r="2382">
      <c r="A2382" s="1">
        <v>5105015.0</v>
      </c>
      <c r="B2382" s="1" t="s">
        <v>5064</v>
      </c>
      <c r="C2382" s="1" t="s">
        <v>4985</v>
      </c>
      <c r="D2382" s="1" t="s">
        <v>5051</v>
      </c>
      <c r="E2382" s="1" t="s">
        <v>5065</v>
      </c>
      <c r="F2382" s="1" t="s">
        <v>16</v>
      </c>
      <c r="G2382" s="1" t="s">
        <v>17</v>
      </c>
      <c r="H2382" s="1" t="s">
        <v>18</v>
      </c>
      <c r="I2382" s="1" t="s">
        <v>19</v>
      </c>
    </row>
    <row r="2383">
      <c r="A2383" s="1">
        <v>5103053.0</v>
      </c>
      <c r="B2383" s="1" t="s">
        <v>5066</v>
      </c>
      <c r="C2383" s="1" t="s">
        <v>4985</v>
      </c>
      <c r="D2383" s="1" t="s">
        <v>4992</v>
      </c>
      <c r="E2383" s="1" t="s">
        <v>5067</v>
      </c>
      <c r="F2383" s="1" t="s">
        <v>16</v>
      </c>
      <c r="G2383" s="1" t="s">
        <v>17</v>
      </c>
      <c r="H2383" s="1" t="s">
        <v>18</v>
      </c>
      <c r="I2383" s="1" t="s">
        <v>19</v>
      </c>
    </row>
    <row r="2384">
      <c r="A2384" s="1">
        <v>5171097.0</v>
      </c>
      <c r="B2384" s="1" t="s">
        <v>5068</v>
      </c>
      <c r="C2384" s="1" t="s">
        <v>4985</v>
      </c>
      <c r="D2384" s="1" t="s">
        <v>4989</v>
      </c>
      <c r="E2384" s="1" t="s">
        <v>5069</v>
      </c>
      <c r="F2384" s="1" t="s">
        <v>16</v>
      </c>
      <c r="G2384" s="1" t="s">
        <v>17</v>
      </c>
      <c r="H2384" s="1" t="s">
        <v>18</v>
      </c>
      <c r="I2384" s="1" t="s">
        <v>44</v>
      </c>
    </row>
    <row r="2385">
      <c r="A2385" s="1">
        <v>5103033.0</v>
      </c>
      <c r="B2385" s="1" t="s">
        <v>5070</v>
      </c>
      <c r="C2385" s="1" t="s">
        <v>4985</v>
      </c>
      <c r="D2385" s="1" t="s">
        <v>4992</v>
      </c>
      <c r="E2385" s="1" t="s">
        <v>5071</v>
      </c>
      <c r="F2385" s="1" t="s">
        <v>16</v>
      </c>
      <c r="G2385" s="1" t="s">
        <v>17</v>
      </c>
      <c r="H2385" s="1" t="s">
        <v>18</v>
      </c>
      <c r="I2385" s="1" t="s">
        <v>59</v>
      </c>
    </row>
    <row r="2386">
      <c r="A2386" s="1">
        <v>5171064.0</v>
      </c>
      <c r="B2386" s="1" t="s">
        <v>5072</v>
      </c>
      <c r="C2386" s="1" t="s">
        <v>4985</v>
      </c>
      <c r="D2386" s="1" t="s">
        <v>4989</v>
      </c>
      <c r="E2386" s="1" t="s">
        <v>5073</v>
      </c>
      <c r="F2386" s="1" t="s">
        <v>272</v>
      </c>
      <c r="G2386" s="1" t="s">
        <v>150</v>
      </c>
      <c r="H2386" s="1" t="s">
        <v>28</v>
      </c>
      <c r="I2386" s="1" t="s">
        <v>139</v>
      </c>
    </row>
    <row r="2387">
      <c r="A2387" s="1">
        <v>5102010.0</v>
      </c>
      <c r="B2387" s="1" t="s">
        <v>5074</v>
      </c>
      <c r="C2387" s="1" t="s">
        <v>4985</v>
      </c>
      <c r="D2387" s="1" t="s">
        <v>4986</v>
      </c>
      <c r="E2387" s="1" t="s">
        <v>5075</v>
      </c>
      <c r="F2387" s="1" t="s">
        <v>16</v>
      </c>
      <c r="G2387" s="1" t="s">
        <v>27</v>
      </c>
      <c r="H2387" s="1" t="s">
        <v>28</v>
      </c>
      <c r="I2387" s="1" t="s">
        <v>40</v>
      </c>
    </row>
    <row r="2388">
      <c r="A2388" s="1">
        <v>5106026.0</v>
      </c>
      <c r="B2388" s="1" t="s">
        <v>5076</v>
      </c>
      <c r="C2388" s="1" t="s">
        <v>4985</v>
      </c>
      <c r="D2388" s="1" t="s">
        <v>5022</v>
      </c>
      <c r="E2388" s="1" t="s">
        <v>5077</v>
      </c>
      <c r="F2388" s="1" t="s">
        <v>16</v>
      </c>
      <c r="G2388" s="1" t="s">
        <v>17</v>
      </c>
      <c r="H2388" s="1" t="s">
        <v>18</v>
      </c>
      <c r="I2388" s="1" t="s">
        <v>44</v>
      </c>
    </row>
    <row r="2389">
      <c r="A2389" s="1">
        <v>5104035.0</v>
      </c>
      <c r="B2389" s="1" t="s">
        <v>5078</v>
      </c>
      <c r="C2389" s="1" t="s">
        <v>4985</v>
      </c>
      <c r="D2389" s="1" t="s">
        <v>4997</v>
      </c>
      <c r="E2389" s="1" t="s">
        <v>5079</v>
      </c>
      <c r="F2389" s="1" t="s">
        <v>16</v>
      </c>
      <c r="G2389" s="1" t="s">
        <v>17</v>
      </c>
      <c r="H2389" s="1" t="s">
        <v>18</v>
      </c>
      <c r="I2389" s="1" t="s">
        <v>44</v>
      </c>
    </row>
    <row r="2390">
      <c r="A2390" s="1">
        <v>5108020.0</v>
      </c>
      <c r="B2390" s="1" t="s">
        <v>5080</v>
      </c>
      <c r="C2390" s="1" t="s">
        <v>4985</v>
      </c>
      <c r="D2390" s="1" t="s">
        <v>5000</v>
      </c>
      <c r="E2390" s="1" t="s">
        <v>5081</v>
      </c>
      <c r="F2390" s="1" t="s">
        <v>16</v>
      </c>
      <c r="G2390" s="1" t="s">
        <v>23</v>
      </c>
      <c r="H2390" s="1" t="s">
        <v>18</v>
      </c>
      <c r="I2390" s="1" t="s">
        <v>74</v>
      </c>
    </row>
    <row r="2391">
      <c r="A2391" s="1">
        <v>5107029.0</v>
      </c>
      <c r="B2391" s="1" t="s">
        <v>5082</v>
      </c>
      <c r="C2391" s="1" t="s">
        <v>4985</v>
      </c>
      <c r="D2391" s="1" t="s">
        <v>5019</v>
      </c>
      <c r="E2391" s="1" t="s">
        <v>5083</v>
      </c>
      <c r="F2391" s="1" t="s">
        <v>16</v>
      </c>
      <c r="G2391" s="1" t="s">
        <v>17</v>
      </c>
      <c r="H2391" s="1" t="s">
        <v>18</v>
      </c>
      <c r="I2391" s="1" t="s">
        <v>19</v>
      </c>
    </row>
    <row r="2392">
      <c r="A2392" s="1">
        <v>5171203.0</v>
      </c>
      <c r="B2392" s="1" t="s">
        <v>5084</v>
      </c>
      <c r="C2392" s="1" t="s">
        <v>4985</v>
      </c>
      <c r="D2392" s="1" t="s">
        <v>4989</v>
      </c>
      <c r="E2392" s="1" t="s">
        <v>5085</v>
      </c>
      <c r="F2392" s="1" t="s">
        <v>16</v>
      </c>
      <c r="G2392" s="1" t="s">
        <v>17</v>
      </c>
      <c r="H2392" s="1" t="s">
        <v>18</v>
      </c>
      <c r="I2392" s="1" t="s">
        <v>19</v>
      </c>
    </row>
    <row r="2393">
      <c r="A2393" s="1">
        <v>5103052.0</v>
      </c>
      <c r="B2393" s="1" t="s">
        <v>5086</v>
      </c>
      <c r="C2393" s="1" t="s">
        <v>4985</v>
      </c>
      <c r="D2393" s="1" t="s">
        <v>4992</v>
      </c>
      <c r="E2393" s="1" t="s">
        <v>5087</v>
      </c>
      <c r="F2393" s="1" t="s">
        <v>16</v>
      </c>
      <c r="G2393" s="1" t="s">
        <v>17</v>
      </c>
      <c r="H2393" s="1" t="s">
        <v>18</v>
      </c>
      <c r="I2393" s="1" t="s">
        <v>19</v>
      </c>
    </row>
    <row r="2394">
      <c r="A2394" s="1">
        <v>5103021.0</v>
      </c>
      <c r="B2394" s="1" t="s">
        <v>5088</v>
      </c>
      <c r="C2394" s="1" t="s">
        <v>4985</v>
      </c>
      <c r="D2394" s="1" t="s">
        <v>4992</v>
      </c>
      <c r="E2394" s="1" t="s">
        <v>5089</v>
      </c>
      <c r="F2394" s="1" t="s">
        <v>255</v>
      </c>
      <c r="G2394" s="1" t="s">
        <v>17</v>
      </c>
      <c r="H2394" s="1" t="s">
        <v>18</v>
      </c>
      <c r="I2394" s="1" t="s">
        <v>19</v>
      </c>
    </row>
    <row r="2395">
      <c r="A2395" s="1">
        <v>5171111.0</v>
      </c>
      <c r="B2395" s="1" t="s">
        <v>3101</v>
      </c>
      <c r="C2395" s="1" t="s">
        <v>4985</v>
      </c>
      <c r="D2395" s="1" t="s">
        <v>4989</v>
      </c>
      <c r="E2395" s="1" t="s">
        <v>5090</v>
      </c>
      <c r="F2395" s="1" t="s">
        <v>16</v>
      </c>
      <c r="G2395" s="1" t="s">
        <v>17</v>
      </c>
      <c r="H2395" s="1" t="s">
        <v>18</v>
      </c>
      <c r="I2395" s="1" t="s">
        <v>59</v>
      </c>
    </row>
    <row r="2396">
      <c r="A2396" s="1">
        <v>5102048.0</v>
      </c>
      <c r="B2396" s="1" t="s">
        <v>5091</v>
      </c>
      <c r="C2396" s="1" t="s">
        <v>4985</v>
      </c>
      <c r="D2396" s="1" t="s">
        <v>4986</v>
      </c>
      <c r="E2396" s="1" t="s">
        <v>5092</v>
      </c>
      <c r="F2396" s="1" t="s">
        <v>16</v>
      </c>
      <c r="G2396" s="1" t="s">
        <v>23</v>
      </c>
      <c r="H2396" s="1" t="s">
        <v>18</v>
      </c>
      <c r="I2396" s="1" t="s">
        <v>19</v>
      </c>
    </row>
    <row r="2397">
      <c r="A2397" s="1">
        <v>5108042.0</v>
      </c>
      <c r="B2397" s="1" t="s">
        <v>5093</v>
      </c>
      <c r="C2397" s="1" t="s">
        <v>4985</v>
      </c>
      <c r="D2397" s="1" t="s">
        <v>5000</v>
      </c>
      <c r="E2397" s="1" t="s">
        <v>5094</v>
      </c>
      <c r="F2397" s="1" t="s">
        <v>16</v>
      </c>
      <c r="G2397" s="1" t="s">
        <v>17</v>
      </c>
      <c r="H2397" s="1" t="s">
        <v>18</v>
      </c>
      <c r="I2397" s="1" t="s">
        <v>59</v>
      </c>
    </row>
    <row r="2398">
      <c r="A2398" s="1">
        <v>5102052.0</v>
      </c>
      <c r="B2398" s="1" t="s">
        <v>5095</v>
      </c>
      <c r="C2398" s="1" t="s">
        <v>4985</v>
      </c>
      <c r="D2398" s="1" t="s">
        <v>4986</v>
      </c>
      <c r="E2398" s="1" t="s">
        <v>5096</v>
      </c>
      <c r="F2398" s="1" t="s">
        <v>55</v>
      </c>
      <c r="G2398" s="1" t="s">
        <v>17</v>
      </c>
      <c r="H2398" s="1" t="s">
        <v>18</v>
      </c>
      <c r="I2398" s="1" t="s">
        <v>44</v>
      </c>
    </row>
    <row r="2399">
      <c r="A2399" s="1">
        <v>5107018.0</v>
      </c>
      <c r="B2399" s="1" t="s">
        <v>5097</v>
      </c>
      <c r="C2399" s="1" t="s">
        <v>4985</v>
      </c>
      <c r="D2399" s="1" t="s">
        <v>5019</v>
      </c>
      <c r="E2399" s="1" t="s">
        <v>5098</v>
      </c>
      <c r="F2399" s="1" t="s">
        <v>16</v>
      </c>
      <c r="G2399" s="1" t="s">
        <v>98</v>
      </c>
      <c r="H2399" s="1" t="s">
        <v>18</v>
      </c>
      <c r="I2399" s="1" t="s">
        <v>40</v>
      </c>
    </row>
    <row r="2400">
      <c r="A2400" s="1">
        <v>5104050.0</v>
      </c>
      <c r="B2400" s="1" t="s">
        <v>5099</v>
      </c>
      <c r="C2400" s="1" t="s">
        <v>4985</v>
      </c>
      <c r="D2400" s="1" t="s">
        <v>4997</v>
      </c>
      <c r="E2400" s="1" t="s">
        <v>5100</v>
      </c>
      <c r="F2400" s="1" t="s">
        <v>16</v>
      </c>
      <c r="G2400" s="1" t="s">
        <v>23</v>
      </c>
      <c r="H2400" s="1" t="s">
        <v>18</v>
      </c>
      <c r="I2400" s="1" t="s">
        <v>19</v>
      </c>
    </row>
    <row r="2401">
      <c r="A2401" s="1">
        <v>5103040.0</v>
      </c>
      <c r="B2401" s="1" t="s">
        <v>5101</v>
      </c>
      <c r="C2401" s="1" t="s">
        <v>4985</v>
      </c>
      <c r="D2401" s="1" t="s">
        <v>4992</v>
      </c>
      <c r="E2401" s="1" t="s">
        <v>5102</v>
      </c>
      <c r="F2401" s="1" t="s">
        <v>16</v>
      </c>
      <c r="G2401" s="1" t="s">
        <v>27</v>
      </c>
      <c r="H2401" s="1" t="s">
        <v>18</v>
      </c>
      <c r="I2401" s="1" t="s">
        <v>34</v>
      </c>
    </row>
    <row r="2402">
      <c r="A2402" s="1">
        <v>5171232.0</v>
      </c>
      <c r="B2402" s="1" t="s">
        <v>5103</v>
      </c>
      <c r="C2402" s="1" t="s">
        <v>4985</v>
      </c>
      <c r="D2402" s="1" t="s">
        <v>4989</v>
      </c>
      <c r="E2402" s="1" t="s">
        <v>5104</v>
      </c>
      <c r="F2402" s="1" t="s">
        <v>55</v>
      </c>
      <c r="G2402" s="1" t="s">
        <v>17</v>
      </c>
      <c r="H2402" s="1" t="s">
        <v>18</v>
      </c>
      <c r="I2402" s="1" t="s">
        <v>19</v>
      </c>
    </row>
    <row r="2403">
      <c r="A2403" s="1">
        <v>5105013.0</v>
      </c>
      <c r="B2403" s="1" t="s">
        <v>5105</v>
      </c>
      <c r="C2403" s="1" t="s">
        <v>4985</v>
      </c>
      <c r="D2403" s="1" t="s">
        <v>5051</v>
      </c>
      <c r="E2403" s="1" t="s">
        <v>5106</v>
      </c>
      <c r="F2403" s="1" t="s">
        <v>16</v>
      </c>
      <c r="G2403" s="1" t="s">
        <v>27</v>
      </c>
      <c r="H2403" s="1" t="s">
        <v>28</v>
      </c>
      <c r="I2403" s="1" t="s">
        <v>40</v>
      </c>
    </row>
    <row r="2404">
      <c r="A2404" s="1">
        <v>5101055.0</v>
      </c>
      <c r="B2404" s="1" t="s">
        <v>5107</v>
      </c>
      <c r="C2404" s="1" t="s">
        <v>4985</v>
      </c>
      <c r="D2404" s="1" t="s">
        <v>5056</v>
      </c>
      <c r="E2404" s="1" t="s">
        <v>5108</v>
      </c>
      <c r="F2404" s="1" t="s">
        <v>16</v>
      </c>
      <c r="G2404" s="1" t="s">
        <v>17</v>
      </c>
      <c r="H2404" s="1" t="s">
        <v>18</v>
      </c>
      <c r="I2404" s="1" t="s">
        <v>19</v>
      </c>
    </row>
    <row r="2405">
      <c r="A2405" s="1">
        <v>5171133.0</v>
      </c>
      <c r="B2405" s="1" t="s">
        <v>5109</v>
      </c>
      <c r="C2405" s="1" t="s">
        <v>4985</v>
      </c>
      <c r="D2405" s="1" t="s">
        <v>4989</v>
      </c>
      <c r="E2405" s="1" t="s">
        <v>5110</v>
      </c>
      <c r="F2405" s="1" t="s">
        <v>16</v>
      </c>
      <c r="G2405" s="1" t="s">
        <v>17</v>
      </c>
      <c r="H2405" s="1" t="s">
        <v>18</v>
      </c>
      <c r="I2405" s="1" t="s">
        <v>59</v>
      </c>
    </row>
    <row r="2406">
      <c r="A2406" s="1">
        <v>5171219.0</v>
      </c>
      <c r="B2406" s="1" t="s">
        <v>5111</v>
      </c>
      <c r="C2406" s="1" t="s">
        <v>4985</v>
      </c>
      <c r="D2406" s="1" t="s">
        <v>4989</v>
      </c>
      <c r="E2406" s="1" t="s">
        <v>5112</v>
      </c>
      <c r="F2406" s="1" t="s">
        <v>55</v>
      </c>
      <c r="G2406" s="1" t="s">
        <v>17</v>
      </c>
      <c r="H2406" s="1" t="s">
        <v>18</v>
      </c>
      <c r="I2406" s="1" t="s">
        <v>19</v>
      </c>
    </row>
    <row r="2407">
      <c r="A2407" s="1">
        <v>5103032.0</v>
      </c>
      <c r="B2407" s="1" t="s">
        <v>5113</v>
      </c>
      <c r="C2407" s="1" t="s">
        <v>4985</v>
      </c>
      <c r="D2407" s="1" t="s">
        <v>4992</v>
      </c>
      <c r="E2407" s="1" t="s">
        <v>5114</v>
      </c>
      <c r="F2407" s="1" t="s">
        <v>16</v>
      </c>
      <c r="G2407" s="1" t="s">
        <v>27</v>
      </c>
      <c r="H2407" s="1" t="s">
        <v>33</v>
      </c>
      <c r="I2407" s="1" t="s">
        <v>40</v>
      </c>
    </row>
    <row r="2408">
      <c r="A2408" s="1">
        <v>5103041.0</v>
      </c>
      <c r="B2408" s="1" t="s">
        <v>5115</v>
      </c>
      <c r="C2408" s="1" t="s">
        <v>4985</v>
      </c>
      <c r="D2408" s="1" t="s">
        <v>4992</v>
      </c>
      <c r="E2408" s="1" t="s">
        <v>5116</v>
      </c>
      <c r="F2408" s="1" t="s">
        <v>16</v>
      </c>
      <c r="G2408" s="1" t="s">
        <v>17</v>
      </c>
      <c r="H2408" s="1" t="s">
        <v>18</v>
      </c>
      <c r="I2408" s="1" t="s">
        <v>44</v>
      </c>
    </row>
    <row r="2409">
      <c r="A2409" s="1">
        <v>5171020.0</v>
      </c>
      <c r="B2409" s="1" t="s">
        <v>5117</v>
      </c>
      <c r="C2409" s="1" t="s">
        <v>4985</v>
      </c>
      <c r="D2409" s="1" t="s">
        <v>4989</v>
      </c>
      <c r="E2409" s="1" t="s">
        <v>5118</v>
      </c>
      <c r="F2409" s="1" t="s">
        <v>16</v>
      </c>
      <c r="G2409" s="1" t="s">
        <v>27</v>
      </c>
      <c r="H2409" s="1" t="s">
        <v>28</v>
      </c>
      <c r="I2409" s="1" t="s">
        <v>29</v>
      </c>
    </row>
    <row r="2410">
      <c r="A2410" s="1">
        <v>5171221.0</v>
      </c>
      <c r="B2410" s="1" t="s">
        <v>5119</v>
      </c>
      <c r="C2410" s="1" t="s">
        <v>4985</v>
      </c>
      <c r="D2410" s="1" t="s">
        <v>4989</v>
      </c>
      <c r="E2410" s="1" t="s">
        <v>5120</v>
      </c>
      <c r="F2410" s="1" t="s">
        <v>272</v>
      </c>
      <c r="G2410" s="1" t="s">
        <v>17</v>
      </c>
      <c r="H2410" s="1" t="s">
        <v>18</v>
      </c>
      <c r="I2410" s="1" t="s">
        <v>44</v>
      </c>
    </row>
    <row r="2411">
      <c r="A2411" s="1">
        <v>5106025.0</v>
      </c>
      <c r="B2411" s="1" t="s">
        <v>5121</v>
      </c>
      <c r="C2411" s="1" t="s">
        <v>4985</v>
      </c>
      <c r="D2411" s="1" t="s">
        <v>5022</v>
      </c>
      <c r="E2411" s="1" t="s">
        <v>5122</v>
      </c>
      <c r="F2411" s="1" t="s">
        <v>174</v>
      </c>
      <c r="G2411" s="1" t="s">
        <v>150</v>
      </c>
      <c r="H2411" s="1" t="s">
        <v>28</v>
      </c>
      <c r="I2411" s="1" t="s">
        <v>139</v>
      </c>
    </row>
    <row r="2412">
      <c r="A2412" s="1">
        <v>5104023.0</v>
      </c>
      <c r="B2412" s="1" t="s">
        <v>5123</v>
      </c>
      <c r="C2412" s="1" t="s">
        <v>4985</v>
      </c>
      <c r="D2412" s="1" t="s">
        <v>4997</v>
      </c>
      <c r="E2412" s="1" t="s">
        <v>5124</v>
      </c>
      <c r="F2412" s="1" t="s">
        <v>16</v>
      </c>
      <c r="G2412" s="1" t="s">
        <v>17</v>
      </c>
      <c r="H2412" s="1" t="s">
        <v>18</v>
      </c>
      <c r="I2412" s="1" t="s">
        <v>19</v>
      </c>
    </row>
    <row r="2413">
      <c r="A2413" s="1">
        <v>5102051.0</v>
      </c>
      <c r="B2413" s="1" t="s">
        <v>2837</v>
      </c>
      <c r="C2413" s="1" t="s">
        <v>4985</v>
      </c>
      <c r="D2413" s="1" t="s">
        <v>4986</v>
      </c>
      <c r="E2413" s="1" t="s">
        <v>5125</v>
      </c>
      <c r="F2413" s="1" t="s">
        <v>55</v>
      </c>
      <c r="G2413" s="1" t="s">
        <v>17</v>
      </c>
      <c r="H2413" s="1" t="s">
        <v>18</v>
      </c>
      <c r="I2413" s="1" t="s">
        <v>19</v>
      </c>
    </row>
    <row r="2414">
      <c r="A2414" s="1">
        <v>5171166.0</v>
      </c>
      <c r="B2414" s="1" t="s">
        <v>1530</v>
      </c>
      <c r="C2414" s="1" t="s">
        <v>4985</v>
      </c>
      <c r="D2414" s="1" t="s">
        <v>4989</v>
      </c>
      <c r="E2414" s="1" t="s">
        <v>5126</v>
      </c>
      <c r="F2414" s="1" t="s">
        <v>55</v>
      </c>
      <c r="G2414" s="1" t="s">
        <v>17</v>
      </c>
      <c r="H2414" s="1" t="s">
        <v>18</v>
      </c>
      <c r="I2414" s="1" t="s">
        <v>44</v>
      </c>
    </row>
    <row r="2415">
      <c r="A2415" s="1">
        <v>5105014.0</v>
      </c>
      <c r="B2415" s="1" t="s">
        <v>569</v>
      </c>
      <c r="C2415" s="1" t="s">
        <v>4985</v>
      </c>
      <c r="D2415" s="1" t="s">
        <v>5051</v>
      </c>
      <c r="E2415" s="1" t="s">
        <v>5127</v>
      </c>
      <c r="F2415" s="1" t="s">
        <v>16</v>
      </c>
      <c r="G2415" s="1" t="s">
        <v>23</v>
      </c>
      <c r="H2415" s="1" t="s">
        <v>18</v>
      </c>
      <c r="I2415" s="1" t="s">
        <v>19</v>
      </c>
    </row>
    <row r="2416">
      <c r="A2416" s="1">
        <v>5103035.0</v>
      </c>
      <c r="B2416" s="1" t="s">
        <v>5128</v>
      </c>
      <c r="C2416" s="1" t="s">
        <v>4985</v>
      </c>
      <c r="D2416" s="1" t="s">
        <v>4992</v>
      </c>
      <c r="E2416" s="1" t="s">
        <v>5129</v>
      </c>
      <c r="F2416" s="1" t="s">
        <v>16</v>
      </c>
      <c r="G2416" s="1" t="s">
        <v>27</v>
      </c>
      <c r="H2416" s="1" t="s">
        <v>18</v>
      </c>
      <c r="I2416" s="1" t="s">
        <v>19</v>
      </c>
    </row>
    <row r="2417">
      <c r="A2417" s="1">
        <v>5108077.0</v>
      </c>
      <c r="B2417" s="1" t="s">
        <v>5130</v>
      </c>
      <c r="C2417" s="1" t="s">
        <v>4985</v>
      </c>
      <c r="D2417" s="1" t="s">
        <v>5000</v>
      </c>
      <c r="E2417" s="1" t="s">
        <v>5131</v>
      </c>
      <c r="F2417" s="1" t="s">
        <v>16</v>
      </c>
      <c r="G2417" s="1" t="s">
        <v>23</v>
      </c>
      <c r="H2417" s="1" t="s">
        <v>18</v>
      </c>
      <c r="I2417" s="1" t="s">
        <v>40</v>
      </c>
    </row>
    <row r="2418">
      <c r="A2418" s="1">
        <v>5102044.0</v>
      </c>
      <c r="B2418" s="1" t="s">
        <v>5132</v>
      </c>
      <c r="C2418" s="1" t="s">
        <v>4985</v>
      </c>
      <c r="D2418" s="1" t="s">
        <v>4986</v>
      </c>
      <c r="E2418" s="1" t="s">
        <v>5133</v>
      </c>
      <c r="F2418" s="1" t="s">
        <v>16</v>
      </c>
      <c r="G2418" s="1" t="s">
        <v>17</v>
      </c>
      <c r="H2418" s="1" t="s">
        <v>18</v>
      </c>
      <c r="I2418" s="1" t="s">
        <v>19</v>
      </c>
    </row>
    <row r="2419">
      <c r="A2419" s="1">
        <v>5171053.0</v>
      </c>
      <c r="B2419" s="1" t="s">
        <v>5134</v>
      </c>
      <c r="C2419" s="1" t="s">
        <v>4985</v>
      </c>
      <c r="D2419" s="1" t="s">
        <v>4989</v>
      </c>
      <c r="E2419" s="1" t="s">
        <v>5135</v>
      </c>
      <c r="F2419" s="1" t="s">
        <v>16</v>
      </c>
      <c r="G2419" s="1" t="s">
        <v>17</v>
      </c>
      <c r="H2419" s="1" t="s">
        <v>18</v>
      </c>
      <c r="I2419" s="1" t="s">
        <v>59</v>
      </c>
    </row>
    <row r="2420">
      <c r="A2420" s="1">
        <v>5171234.0</v>
      </c>
      <c r="B2420" s="1" t="s">
        <v>5136</v>
      </c>
      <c r="C2420" s="1" t="s">
        <v>4985</v>
      </c>
      <c r="D2420" s="1" t="s">
        <v>4989</v>
      </c>
      <c r="E2420" s="1" t="s">
        <v>5137</v>
      </c>
      <c r="F2420" s="1" t="s">
        <v>255</v>
      </c>
      <c r="G2420" s="1" t="s">
        <v>17</v>
      </c>
      <c r="H2420" s="1" t="s">
        <v>18</v>
      </c>
      <c r="I2420" s="1" t="s">
        <v>19</v>
      </c>
    </row>
    <row r="2421">
      <c r="A2421" s="1">
        <v>5101053.0</v>
      </c>
      <c r="B2421" s="1" t="s">
        <v>5138</v>
      </c>
      <c r="C2421" s="1" t="s">
        <v>4985</v>
      </c>
      <c r="D2421" s="1" t="s">
        <v>5056</v>
      </c>
      <c r="E2421" s="1" t="s">
        <v>5139</v>
      </c>
      <c r="F2421" s="1" t="s">
        <v>16</v>
      </c>
      <c r="G2421" s="1" t="s">
        <v>23</v>
      </c>
      <c r="H2421" s="1" t="s">
        <v>18</v>
      </c>
      <c r="I2421" s="1" t="s">
        <v>19</v>
      </c>
    </row>
    <row r="2422">
      <c r="A2422" s="1">
        <v>5108016.0</v>
      </c>
      <c r="B2422" s="1" t="s">
        <v>5140</v>
      </c>
      <c r="C2422" s="1" t="s">
        <v>4985</v>
      </c>
      <c r="D2422" s="1" t="s">
        <v>5000</v>
      </c>
      <c r="E2422" s="1" t="s">
        <v>5141</v>
      </c>
      <c r="F2422" s="1" t="s">
        <v>16</v>
      </c>
      <c r="G2422" s="1" t="s">
        <v>27</v>
      </c>
      <c r="H2422" s="1" t="s">
        <v>28</v>
      </c>
      <c r="I2422" s="1" t="s">
        <v>40</v>
      </c>
    </row>
    <row r="2423">
      <c r="A2423" s="1">
        <v>5171192.0</v>
      </c>
      <c r="B2423" s="1" t="s">
        <v>3400</v>
      </c>
      <c r="C2423" s="1" t="s">
        <v>4985</v>
      </c>
      <c r="D2423" s="1" t="s">
        <v>4989</v>
      </c>
      <c r="E2423" s="1" t="s">
        <v>5142</v>
      </c>
      <c r="F2423" s="1" t="s">
        <v>16</v>
      </c>
      <c r="G2423" s="1" t="s">
        <v>17</v>
      </c>
      <c r="H2423" s="1" t="s">
        <v>18</v>
      </c>
      <c r="I2423" s="1" t="s">
        <v>19</v>
      </c>
    </row>
    <row r="2424">
      <c r="A2424" s="1">
        <v>5101054.0</v>
      </c>
      <c r="B2424" s="1" t="s">
        <v>157</v>
      </c>
      <c r="C2424" s="1" t="s">
        <v>4985</v>
      </c>
      <c r="D2424" s="1" t="s">
        <v>5056</v>
      </c>
      <c r="E2424" s="1" t="s">
        <v>5143</v>
      </c>
      <c r="F2424" s="1" t="s">
        <v>16</v>
      </c>
      <c r="G2424" s="1" t="s">
        <v>17</v>
      </c>
      <c r="H2424" s="1" t="s">
        <v>18</v>
      </c>
      <c r="I2424" s="1" t="s">
        <v>19</v>
      </c>
    </row>
    <row r="2425">
      <c r="A2425" s="1">
        <v>5171217.0</v>
      </c>
      <c r="B2425" s="1" t="s">
        <v>4988</v>
      </c>
      <c r="C2425" s="1" t="s">
        <v>4985</v>
      </c>
      <c r="D2425" s="1" t="s">
        <v>4989</v>
      </c>
      <c r="E2425" s="1" t="s">
        <v>5144</v>
      </c>
      <c r="F2425" s="1" t="s">
        <v>16</v>
      </c>
      <c r="G2425" s="1" t="s">
        <v>23</v>
      </c>
      <c r="H2425" s="1" t="s">
        <v>18</v>
      </c>
      <c r="I2425" s="1" t="s">
        <v>59</v>
      </c>
    </row>
    <row r="2426">
      <c r="A2426" s="1">
        <v>5203027.0</v>
      </c>
      <c r="B2426" s="1" t="s">
        <v>5145</v>
      </c>
      <c r="C2426" s="1" t="s">
        <v>5146</v>
      </c>
      <c r="D2426" s="1" t="s">
        <v>5147</v>
      </c>
      <c r="E2426" s="1" t="s">
        <v>5148</v>
      </c>
      <c r="F2426" s="1" t="s">
        <v>16</v>
      </c>
      <c r="G2426" s="1" t="s">
        <v>23</v>
      </c>
      <c r="H2426" s="1" t="s">
        <v>18</v>
      </c>
      <c r="I2426" s="1" t="s">
        <v>40</v>
      </c>
    </row>
    <row r="2427">
      <c r="A2427" s="1">
        <v>5208002.0</v>
      </c>
      <c r="B2427" s="1" t="s">
        <v>5149</v>
      </c>
      <c r="C2427" s="1" t="s">
        <v>5146</v>
      </c>
      <c r="D2427" s="1" t="s">
        <v>5150</v>
      </c>
      <c r="E2427" s="1" t="s">
        <v>5151</v>
      </c>
      <c r="F2427" s="1" t="s">
        <v>16</v>
      </c>
      <c r="G2427" s="1" t="s">
        <v>17</v>
      </c>
      <c r="H2427" s="1" t="s">
        <v>28</v>
      </c>
      <c r="I2427" s="1" t="s">
        <v>40</v>
      </c>
    </row>
    <row r="2428">
      <c r="A2428" s="1">
        <v>5206015.0</v>
      </c>
      <c r="B2428" s="1" t="s">
        <v>5152</v>
      </c>
      <c r="C2428" s="1" t="s">
        <v>5146</v>
      </c>
      <c r="D2428" s="1" t="s">
        <v>5153</v>
      </c>
      <c r="E2428" s="1" t="s">
        <v>5154</v>
      </c>
      <c r="F2428" s="1" t="s">
        <v>16</v>
      </c>
      <c r="G2428" s="1" t="s">
        <v>17</v>
      </c>
      <c r="H2428" s="1" t="s">
        <v>28</v>
      </c>
      <c r="I2428" s="1" t="s">
        <v>40</v>
      </c>
    </row>
    <row r="2429">
      <c r="A2429" s="1">
        <v>5271104.0</v>
      </c>
      <c r="B2429" s="1" t="s">
        <v>5155</v>
      </c>
      <c r="C2429" s="1" t="s">
        <v>5146</v>
      </c>
      <c r="D2429" s="1" t="s">
        <v>5156</v>
      </c>
      <c r="E2429" s="1" t="s">
        <v>5157</v>
      </c>
      <c r="F2429" s="1" t="s">
        <v>16</v>
      </c>
      <c r="G2429" s="1" t="s">
        <v>17</v>
      </c>
      <c r="H2429" s="1" t="s">
        <v>18</v>
      </c>
      <c r="I2429" s="1" t="s">
        <v>19</v>
      </c>
    </row>
    <row r="2430">
      <c r="A2430" s="1">
        <v>5206027.0</v>
      </c>
      <c r="B2430" s="1" t="s">
        <v>5158</v>
      </c>
      <c r="C2430" s="1" t="s">
        <v>5146</v>
      </c>
      <c r="D2430" s="1" t="s">
        <v>5159</v>
      </c>
      <c r="E2430" s="1" t="s">
        <v>5160</v>
      </c>
      <c r="F2430" s="1" t="s">
        <v>16</v>
      </c>
      <c r="G2430" s="1" t="s">
        <v>17</v>
      </c>
      <c r="H2430" s="1" t="s">
        <v>28</v>
      </c>
      <c r="I2430" s="1" t="s">
        <v>139</v>
      </c>
    </row>
    <row r="2431">
      <c r="A2431" s="1">
        <v>5271101.0</v>
      </c>
      <c r="B2431" s="1" t="s">
        <v>5161</v>
      </c>
      <c r="C2431" s="1" t="s">
        <v>5146</v>
      </c>
      <c r="D2431" s="1" t="s">
        <v>5156</v>
      </c>
      <c r="E2431" s="1" t="s">
        <v>5162</v>
      </c>
      <c r="F2431" s="1" t="s">
        <v>16</v>
      </c>
      <c r="G2431" s="1" t="s">
        <v>17</v>
      </c>
      <c r="H2431" s="1" t="s">
        <v>18</v>
      </c>
      <c r="I2431" s="1" t="s">
        <v>19</v>
      </c>
    </row>
    <row r="2432">
      <c r="A2432" s="1">
        <v>5203029.0</v>
      </c>
      <c r="B2432" s="1" t="s">
        <v>5163</v>
      </c>
      <c r="C2432" s="1" t="s">
        <v>5146</v>
      </c>
      <c r="D2432" s="1" t="s">
        <v>5147</v>
      </c>
      <c r="E2432" s="1" t="s">
        <v>5164</v>
      </c>
      <c r="F2432" s="1" t="s">
        <v>55</v>
      </c>
      <c r="G2432" s="1" t="s">
        <v>17</v>
      </c>
      <c r="H2432" s="1" t="s">
        <v>18</v>
      </c>
      <c r="I2432" s="1" t="s">
        <v>19</v>
      </c>
    </row>
    <row r="2433">
      <c r="A2433" s="1">
        <v>5271021.0</v>
      </c>
      <c r="B2433" s="1" t="s">
        <v>5165</v>
      </c>
      <c r="C2433" s="1" t="s">
        <v>5146</v>
      </c>
      <c r="D2433" s="1" t="s">
        <v>5156</v>
      </c>
      <c r="E2433" s="1" t="s">
        <v>5166</v>
      </c>
      <c r="F2433" s="1" t="s">
        <v>16</v>
      </c>
      <c r="G2433" s="1" t="s">
        <v>23</v>
      </c>
      <c r="H2433" s="1" t="s">
        <v>18</v>
      </c>
      <c r="I2433" s="1" t="s">
        <v>74</v>
      </c>
    </row>
    <row r="2434">
      <c r="A2434" s="1">
        <v>5271098.0</v>
      </c>
      <c r="B2434" s="1" t="s">
        <v>5167</v>
      </c>
      <c r="C2434" s="1" t="s">
        <v>5146</v>
      </c>
      <c r="D2434" s="1" t="s">
        <v>5156</v>
      </c>
      <c r="E2434" s="1" t="s">
        <v>5168</v>
      </c>
      <c r="F2434" s="1" t="s">
        <v>16</v>
      </c>
      <c r="G2434" s="1" t="s">
        <v>23</v>
      </c>
      <c r="H2434" s="1" t="s">
        <v>18</v>
      </c>
      <c r="I2434" s="1" t="s">
        <v>19</v>
      </c>
    </row>
    <row r="2435">
      <c r="A2435" s="1">
        <v>5271103.0</v>
      </c>
      <c r="B2435" s="1" t="s">
        <v>5169</v>
      </c>
      <c r="C2435" s="1" t="s">
        <v>5146</v>
      </c>
      <c r="D2435" s="1" t="s">
        <v>5156</v>
      </c>
      <c r="E2435" s="1" t="s">
        <v>5170</v>
      </c>
      <c r="F2435" s="1" t="s">
        <v>272</v>
      </c>
      <c r="G2435" s="1" t="s">
        <v>17</v>
      </c>
      <c r="H2435" s="1" t="s">
        <v>18</v>
      </c>
      <c r="I2435" s="1" t="s">
        <v>139</v>
      </c>
    </row>
    <row r="2436">
      <c r="A2436" s="1">
        <v>5202011.0</v>
      </c>
      <c r="B2436" s="1" t="s">
        <v>5171</v>
      </c>
      <c r="C2436" s="1" t="s">
        <v>5146</v>
      </c>
      <c r="D2436" s="1" t="s">
        <v>5172</v>
      </c>
      <c r="E2436" s="1" t="s">
        <v>5173</v>
      </c>
      <c r="F2436" s="1" t="s">
        <v>16</v>
      </c>
      <c r="G2436" s="1" t="s">
        <v>17</v>
      </c>
      <c r="H2436" s="1" t="s">
        <v>28</v>
      </c>
      <c r="I2436" s="1" t="s">
        <v>40</v>
      </c>
    </row>
    <row r="2437">
      <c r="A2437" s="1">
        <v>5271043.0</v>
      </c>
      <c r="B2437" s="1" t="s">
        <v>5174</v>
      </c>
      <c r="C2437" s="1" t="s">
        <v>5146</v>
      </c>
      <c r="D2437" s="1" t="s">
        <v>5156</v>
      </c>
      <c r="E2437" s="1" t="s">
        <v>5175</v>
      </c>
      <c r="F2437" s="1" t="s">
        <v>16</v>
      </c>
      <c r="G2437" s="1" t="s">
        <v>23</v>
      </c>
      <c r="H2437" s="1" t="s">
        <v>18</v>
      </c>
      <c r="I2437" s="1" t="s">
        <v>249</v>
      </c>
    </row>
    <row r="2438">
      <c r="A2438" s="1">
        <v>5271099.0</v>
      </c>
      <c r="B2438" s="1" t="s">
        <v>3016</v>
      </c>
      <c r="C2438" s="1" t="s">
        <v>5146</v>
      </c>
      <c r="D2438" s="1" t="s">
        <v>5156</v>
      </c>
      <c r="E2438" s="1" t="s">
        <v>5176</v>
      </c>
      <c r="F2438" s="1" t="s">
        <v>55</v>
      </c>
      <c r="G2438" s="1" t="s">
        <v>17</v>
      </c>
      <c r="H2438" s="1" t="s">
        <v>18</v>
      </c>
      <c r="I2438" s="1" t="s">
        <v>44</v>
      </c>
    </row>
    <row r="2439">
      <c r="A2439" s="1">
        <v>5207002.0</v>
      </c>
      <c r="B2439" s="1" t="s">
        <v>5177</v>
      </c>
      <c r="C2439" s="1" t="s">
        <v>5146</v>
      </c>
      <c r="D2439" s="1" t="s">
        <v>5178</v>
      </c>
      <c r="E2439" s="1" t="s">
        <v>5179</v>
      </c>
      <c r="F2439" s="1" t="s">
        <v>16</v>
      </c>
      <c r="G2439" s="1" t="s">
        <v>17</v>
      </c>
      <c r="H2439" s="1" t="s">
        <v>28</v>
      </c>
      <c r="I2439" s="1" t="s">
        <v>40</v>
      </c>
    </row>
    <row r="2440">
      <c r="A2440" s="1">
        <v>5203012.0</v>
      </c>
      <c r="B2440" s="1" t="s">
        <v>5180</v>
      </c>
      <c r="C2440" s="1" t="s">
        <v>5146</v>
      </c>
      <c r="D2440" s="1" t="s">
        <v>5147</v>
      </c>
      <c r="E2440" s="1" t="s">
        <v>5181</v>
      </c>
      <c r="F2440" s="1" t="s">
        <v>16</v>
      </c>
      <c r="G2440" s="1" t="s">
        <v>27</v>
      </c>
      <c r="H2440" s="1" t="s">
        <v>28</v>
      </c>
      <c r="I2440" s="1" t="s">
        <v>40</v>
      </c>
    </row>
    <row r="2441">
      <c r="A2441" s="1">
        <v>5272016.0</v>
      </c>
      <c r="B2441" s="1" t="s">
        <v>5182</v>
      </c>
      <c r="C2441" s="1" t="s">
        <v>5146</v>
      </c>
      <c r="D2441" s="1" t="s">
        <v>5183</v>
      </c>
      <c r="E2441" s="1" t="s">
        <v>5184</v>
      </c>
      <c r="F2441" s="1" t="s">
        <v>16</v>
      </c>
      <c r="G2441" s="1" t="s">
        <v>23</v>
      </c>
      <c r="H2441" s="1" t="s">
        <v>18</v>
      </c>
      <c r="I2441" s="1" t="s">
        <v>74</v>
      </c>
    </row>
    <row r="2442">
      <c r="A2442" s="1">
        <v>5203030.0</v>
      </c>
      <c r="B2442" s="1" t="s">
        <v>5185</v>
      </c>
      <c r="C2442" s="1" t="s">
        <v>5146</v>
      </c>
      <c r="D2442" s="1" t="s">
        <v>5147</v>
      </c>
      <c r="E2442" s="1" t="s">
        <v>5186</v>
      </c>
      <c r="F2442" s="1" t="s">
        <v>16</v>
      </c>
      <c r="G2442" s="1" t="s">
        <v>23</v>
      </c>
      <c r="H2442" s="1" t="s">
        <v>18</v>
      </c>
      <c r="I2442" s="1" t="s">
        <v>40</v>
      </c>
    </row>
    <row r="2443">
      <c r="A2443" s="1">
        <v>5272005.0</v>
      </c>
      <c r="B2443" s="1" t="s">
        <v>5187</v>
      </c>
      <c r="C2443" s="1" t="s">
        <v>5146</v>
      </c>
      <c r="D2443" s="1" t="s">
        <v>5183</v>
      </c>
      <c r="E2443" s="1" t="s">
        <v>5188</v>
      </c>
      <c r="F2443" s="1" t="s">
        <v>16</v>
      </c>
      <c r="G2443" s="1" t="s">
        <v>23</v>
      </c>
      <c r="H2443" s="1" t="s">
        <v>28</v>
      </c>
      <c r="I2443" s="1" t="s">
        <v>29</v>
      </c>
    </row>
    <row r="2444">
      <c r="A2444" s="1">
        <v>5271065.0</v>
      </c>
      <c r="B2444" s="1" t="s">
        <v>5189</v>
      </c>
      <c r="C2444" s="1" t="s">
        <v>5146</v>
      </c>
      <c r="D2444" s="1" t="s">
        <v>5156</v>
      </c>
      <c r="E2444" s="1" t="s">
        <v>5190</v>
      </c>
      <c r="F2444" s="1" t="s">
        <v>16</v>
      </c>
      <c r="G2444" s="1" t="s">
        <v>17</v>
      </c>
      <c r="H2444" s="1" t="s">
        <v>18</v>
      </c>
      <c r="I2444" s="1" t="s">
        <v>65</v>
      </c>
    </row>
    <row r="2445">
      <c r="A2445" s="1">
        <v>5207004.0</v>
      </c>
      <c r="B2445" s="1" t="s">
        <v>5191</v>
      </c>
      <c r="C2445" s="1" t="s">
        <v>5146</v>
      </c>
      <c r="D2445" s="1" t="s">
        <v>5159</v>
      </c>
      <c r="E2445" s="1" t="s">
        <v>5192</v>
      </c>
      <c r="F2445" s="1" t="s">
        <v>16</v>
      </c>
      <c r="G2445" s="1" t="s">
        <v>23</v>
      </c>
      <c r="H2445" s="1" t="s">
        <v>18</v>
      </c>
      <c r="I2445" s="1" t="s">
        <v>684</v>
      </c>
    </row>
    <row r="2446">
      <c r="A2446" s="1">
        <v>5205014.0</v>
      </c>
      <c r="B2446" s="1" t="s">
        <v>5193</v>
      </c>
      <c r="C2446" s="1" t="s">
        <v>5146</v>
      </c>
      <c r="D2446" s="1" t="s">
        <v>5194</v>
      </c>
      <c r="E2446" s="1" t="s">
        <v>5195</v>
      </c>
      <c r="F2446" s="1" t="s">
        <v>16</v>
      </c>
      <c r="G2446" s="1" t="s">
        <v>17</v>
      </c>
      <c r="H2446" s="1" t="s">
        <v>18</v>
      </c>
      <c r="I2446" s="1" t="s">
        <v>40</v>
      </c>
    </row>
    <row r="2447">
      <c r="A2447" s="1">
        <v>5203042.0</v>
      </c>
      <c r="B2447" s="1" t="s">
        <v>5196</v>
      </c>
      <c r="C2447" s="1" t="s">
        <v>5146</v>
      </c>
      <c r="D2447" s="1" t="s">
        <v>5147</v>
      </c>
      <c r="E2447" s="1" t="s">
        <v>5197</v>
      </c>
      <c r="F2447" s="1" t="s">
        <v>55</v>
      </c>
      <c r="G2447" s="1" t="s">
        <v>17</v>
      </c>
      <c r="H2447" s="1" t="s">
        <v>18</v>
      </c>
      <c r="I2447" s="1" t="s">
        <v>19</v>
      </c>
    </row>
    <row r="2448">
      <c r="A2448" s="1">
        <v>5272003.0</v>
      </c>
      <c r="B2448" s="1" t="s">
        <v>5198</v>
      </c>
      <c r="C2448" s="1" t="s">
        <v>5146</v>
      </c>
      <c r="D2448" s="1" t="s">
        <v>5156</v>
      </c>
      <c r="E2448" s="1" t="s">
        <v>5199</v>
      </c>
      <c r="F2448" s="1" t="s">
        <v>16</v>
      </c>
      <c r="G2448" s="1" t="s">
        <v>17</v>
      </c>
      <c r="H2448" s="1" t="s">
        <v>18</v>
      </c>
      <c r="I2448" s="1" t="s">
        <v>44</v>
      </c>
    </row>
    <row r="2449">
      <c r="A2449" s="1">
        <v>5203025.0</v>
      </c>
      <c r="B2449" s="1" t="s">
        <v>5200</v>
      </c>
      <c r="C2449" s="1" t="s">
        <v>5146</v>
      </c>
      <c r="D2449" s="1" t="s">
        <v>5147</v>
      </c>
      <c r="E2449" s="1" t="s">
        <v>5201</v>
      </c>
      <c r="F2449" s="1" t="s">
        <v>16</v>
      </c>
      <c r="G2449" s="1" t="s">
        <v>17</v>
      </c>
      <c r="H2449" s="1" t="s">
        <v>33</v>
      </c>
      <c r="I2449" s="1" t="s">
        <v>44</v>
      </c>
    </row>
    <row r="2450">
      <c r="A2450" s="1">
        <v>5271010.0</v>
      </c>
      <c r="B2450" s="1" t="s">
        <v>5202</v>
      </c>
      <c r="C2450" s="1" t="s">
        <v>5146</v>
      </c>
      <c r="D2450" s="1" t="s">
        <v>5156</v>
      </c>
      <c r="E2450" s="1" t="s">
        <v>5203</v>
      </c>
      <c r="F2450" s="1" t="s">
        <v>16</v>
      </c>
      <c r="G2450" s="1" t="s">
        <v>150</v>
      </c>
      <c r="H2450" s="1" t="s">
        <v>28</v>
      </c>
      <c r="I2450" s="1" t="s">
        <v>139</v>
      </c>
    </row>
    <row r="2451">
      <c r="A2451" s="1">
        <v>5203024.0</v>
      </c>
      <c r="B2451" s="1" t="s">
        <v>5204</v>
      </c>
      <c r="C2451" s="1" t="s">
        <v>5146</v>
      </c>
      <c r="D2451" s="1" t="s">
        <v>5147</v>
      </c>
      <c r="E2451" s="1" t="s">
        <v>5205</v>
      </c>
      <c r="F2451" s="1" t="s">
        <v>16</v>
      </c>
      <c r="G2451" s="1" t="s">
        <v>17</v>
      </c>
      <c r="H2451" s="1" t="s">
        <v>18</v>
      </c>
      <c r="I2451" s="1" t="s">
        <v>19</v>
      </c>
    </row>
    <row r="2452">
      <c r="A2452" s="1">
        <v>5201010.0</v>
      </c>
      <c r="B2452" s="1" t="s">
        <v>5206</v>
      </c>
      <c r="C2452" s="1" t="s">
        <v>5146</v>
      </c>
      <c r="D2452" s="1" t="s">
        <v>5207</v>
      </c>
      <c r="E2452" s="1" t="s">
        <v>5208</v>
      </c>
      <c r="F2452" s="1" t="s">
        <v>16</v>
      </c>
      <c r="G2452" s="1" t="s">
        <v>27</v>
      </c>
      <c r="H2452" s="1" t="s">
        <v>28</v>
      </c>
      <c r="I2452" s="1" t="s">
        <v>40</v>
      </c>
    </row>
    <row r="2453">
      <c r="A2453" s="1">
        <v>5202023.0</v>
      </c>
      <c r="B2453" s="1" t="s">
        <v>5209</v>
      </c>
      <c r="C2453" s="1" t="s">
        <v>5146</v>
      </c>
      <c r="D2453" s="1" t="s">
        <v>5172</v>
      </c>
      <c r="E2453" s="1" t="s">
        <v>5210</v>
      </c>
      <c r="F2453" s="1" t="s">
        <v>55</v>
      </c>
      <c r="G2453" s="1" t="s">
        <v>17</v>
      </c>
      <c r="H2453" s="1" t="s">
        <v>18</v>
      </c>
      <c r="I2453" s="1" t="s">
        <v>59</v>
      </c>
    </row>
    <row r="2454">
      <c r="A2454" s="1">
        <v>5202035.0</v>
      </c>
      <c r="B2454" s="1" t="s">
        <v>5211</v>
      </c>
      <c r="C2454" s="1" t="s">
        <v>5146</v>
      </c>
      <c r="D2454" s="1" t="s">
        <v>5172</v>
      </c>
      <c r="E2454" s="1" t="s">
        <v>5212</v>
      </c>
      <c r="F2454" s="1" t="s">
        <v>16</v>
      </c>
      <c r="G2454" s="1" t="s">
        <v>17</v>
      </c>
      <c r="H2454" s="1" t="s">
        <v>28</v>
      </c>
      <c r="I2454" s="1" t="s">
        <v>139</v>
      </c>
    </row>
    <row r="2455">
      <c r="A2455" s="1">
        <v>5201012.0</v>
      </c>
      <c r="B2455" s="1" t="s">
        <v>5213</v>
      </c>
      <c r="C2455" s="1" t="s">
        <v>5146</v>
      </c>
      <c r="D2455" s="1" t="s">
        <v>5207</v>
      </c>
      <c r="E2455" s="1" t="s">
        <v>5214</v>
      </c>
      <c r="F2455" s="1" t="s">
        <v>16</v>
      </c>
      <c r="G2455" s="1" t="s">
        <v>17</v>
      </c>
      <c r="H2455" s="1" t="s">
        <v>28</v>
      </c>
      <c r="I2455" s="1" t="s">
        <v>40</v>
      </c>
    </row>
    <row r="2456">
      <c r="A2456" s="1">
        <v>5271032.0</v>
      </c>
      <c r="B2456" s="1" t="s">
        <v>5215</v>
      </c>
      <c r="C2456" s="1" t="s">
        <v>5146</v>
      </c>
      <c r="D2456" s="1" t="s">
        <v>5156</v>
      </c>
      <c r="E2456" s="1" t="s">
        <v>5216</v>
      </c>
      <c r="F2456" s="1" t="s">
        <v>16</v>
      </c>
      <c r="G2456" s="1" t="s">
        <v>17</v>
      </c>
      <c r="H2456" s="1" t="s">
        <v>18</v>
      </c>
      <c r="I2456" s="1" t="s">
        <v>684</v>
      </c>
    </row>
    <row r="2457">
      <c r="A2457" s="1">
        <v>5206029.0</v>
      </c>
      <c r="B2457" s="1" t="s">
        <v>5217</v>
      </c>
      <c r="C2457" s="1" t="s">
        <v>5146</v>
      </c>
      <c r="D2457" s="1" t="s">
        <v>5153</v>
      </c>
      <c r="E2457" s="1" t="s">
        <v>5218</v>
      </c>
      <c r="F2457" s="1" t="s">
        <v>16</v>
      </c>
      <c r="G2457" s="1" t="s">
        <v>23</v>
      </c>
      <c r="H2457" s="1" t="s">
        <v>28</v>
      </c>
      <c r="I2457" s="1" t="s">
        <v>40</v>
      </c>
    </row>
    <row r="2458">
      <c r="A2458" s="1">
        <v>5202024.0</v>
      </c>
      <c r="B2458" s="1" t="s">
        <v>2669</v>
      </c>
      <c r="C2458" s="1" t="s">
        <v>5146</v>
      </c>
      <c r="D2458" s="1" t="s">
        <v>5172</v>
      </c>
      <c r="E2458" s="1" t="s">
        <v>5219</v>
      </c>
      <c r="F2458" s="1" t="s">
        <v>16</v>
      </c>
      <c r="G2458" s="1" t="s">
        <v>23</v>
      </c>
      <c r="H2458" s="1" t="s">
        <v>18</v>
      </c>
      <c r="I2458" s="1" t="s">
        <v>44</v>
      </c>
    </row>
    <row r="2459">
      <c r="A2459" s="1">
        <v>5203041.0</v>
      </c>
      <c r="B2459" s="1" t="s">
        <v>5220</v>
      </c>
      <c r="C2459" s="1" t="s">
        <v>5146</v>
      </c>
      <c r="D2459" s="1" t="s">
        <v>5147</v>
      </c>
      <c r="E2459" s="1" t="s">
        <v>5221</v>
      </c>
      <c r="F2459" s="1" t="s">
        <v>16</v>
      </c>
      <c r="G2459" s="1" t="s">
        <v>98</v>
      </c>
      <c r="H2459" s="1" t="s">
        <v>18</v>
      </c>
      <c r="I2459" s="1" t="s">
        <v>40</v>
      </c>
    </row>
    <row r="2460">
      <c r="A2460" s="1">
        <v>5203028.0</v>
      </c>
      <c r="B2460" s="1" t="s">
        <v>5222</v>
      </c>
      <c r="C2460" s="1" t="s">
        <v>5146</v>
      </c>
      <c r="D2460" s="1" t="s">
        <v>5147</v>
      </c>
      <c r="E2460" s="1" t="s">
        <v>5223</v>
      </c>
      <c r="F2460" s="1" t="s">
        <v>16</v>
      </c>
      <c r="G2460" s="1" t="s">
        <v>23</v>
      </c>
      <c r="H2460" s="1" t="s">
        <v>18</v>
      </c>
      <c r="I2460" s="1" t="s">
        <v>44</v>
      </c>
    </row>
    <row r="2461">
      <c r="A2461" s="1">
        <v>5206030.0</v>
      </c>
      <c r="B2461" s="1" t="s">
        <v>5224</v>
      </c>
      <c r="C2461" s="1" t="s">
        <v>5146</v>
      </c>
      <c r="D2461" s="1" t="s">
        <v>5183</v>
      </c>
      <c r="E2461" s="1" t="s">
        <v>5225</v>
      </c>
      <c r="F2461" s="1" t="s">
        <v>16</v>
      </c>
      <c r="G2461" s="1" t="s">
        <v>23</v>
      </c>
      <c r="H2461" s="1" t="s">
        <v>18</v>
      </c>
      <c r="I2461" s="1" t="s">
        <v>44</v>
      </c>
    </row>
    <row r="2462">
      <c r="A2462" s="1">
        <v>5202022.0</v>
      </c>
      <c r="B2462" s="1" t="s">
        <v>5226</v>
      </c>
      <c r="C2462" s="1" t="s">
        <v>5146</v>
      </c>
      <c r="D2462" s="1" t="s">
        <v>5172</v>
      </c>
      <c r="E2462" s="1" t="s">
        <v>5227</v>
      </c>
      <c r="F2462" s="1" t="s">
        <v>16</v>
      </c>
      <c r="G2462" s="1" t="s">
        <v>23</v>
      </c>
      <c r="H2462" s="1" t="s">
        <v>18</v>
      </c>
      <c r="I2462" s="1" t="s">
        <v>19</v>
      </c>
    </row>
    <row r="2463">
      <c r="A2463" s="1">
        <v>5271102.0</v>
      </c>
      <c r="B2463" s="1" t="s">
        <v>5228</v>
      </c>
      <c r="C2463" s="1" t="s">
        <v>5146</v>
      </c>
      <c r="D2463" s="1" t="s">
        <v>5156</v>
      </c>
      <c r="E2463" s="1" t="s">
        <v>5229</v>
      </c>
      <c r="F2463" s="1" t="s">
        <v>55</v>
      </c>
      <c r="G2463" s="1" t="s">
        <v>17</v>
      </c>
      <c r="H2463" s="1" t="s">
        <v>18</v>
      </c>
      <c r="I2463" s="1" t="s">
        <v>163</v>
      </c>
    </row>
    <row r="2464">
      <c r="A2464" s="1">
        <v>5271054.0</v>
      </c>
      <c r="B2464" s="1" t="s">
        <v>5230</v>
      </c>
      <c r="C2464" s="1" t="s">
        <v>5146</v>
      </c>
      <c r="D2464" s="1" t="s">
        <v>5156</v>
      </c>
      <c r="E2464" s="1" t="s">
        <v>5231</v>
      </c>
      <c r="F2464" s="1" t="s">
        <v>174</v>
      </c>
      <c r="G2464" s="1" t="s">
        <v>27</v>
      </c>
      <c r="H2464" s="1" t="s">
        <v>28</v>
      </c>
      <c r="I2464" s="1" t="s">
        <v>139</v>
      </c>
    </row>
    <row r="2465">
      <c r="A2465" s="1">
        <v>5271087.0</v>
      </c>
      <c r="B2465" s="1" t="s">
        <v>5232</v>
      </c>
      <c r="C2465" s="1" t="s">
        <v>5146</v>
      </c>
      <c r="D2465" s="1" t="s">
        <v>5156</v>
      </c>
      <c r="E2465" s="1" t="s">
        <v>5233</v>
      </c>
      <c r="F2465" s="1" t="s">
        <v>16</v>
      </c>
      <c r="G2465" s="1" t="s">
        <v>27</v>
      </c>
      <c r="H2465" s="1" t="s">
        <v>28</v>
      </c>
      <c r="I2465" s="1" t="s">
        <v>29</v>
      </c>
    </row>
    <row r="2466">
      <c r="A2466" s="1">
        <v>5271100.0</v>
      </c>
      <c r="B2466" s="1" t="s">
        <v>5234</v>
      </c>
      <c r="C2466" s="1" t="s">
        <v>5146</v>
      </c>
      <c r="D2466" s="1" t="s">
        <v>5156</v>
      </c>
      <c r="E2466" s="1" t="s">
        <v>5235</v>
      </c>
      <c r="F2466" s="1" t="s">
        <v>16</v>
      </c>
      <c r="G2466" s="1" t="s">
        <v>17</v>
      </c>
      <c r="H2466" s="1" t="s">
        <v>18</v>
      </c>
      <c r="I2466" s="1" t="s">
        <v>44</v>
      </c>
    </row>
    <row r="2467">
      <c r="A2467" s="1">
        <v>5204013.0</v>
      </c>
      <c r="B2467" s="1" t="s">
        <v>5236</v>
      </c>
      <c r="C2467" s="1" t="s">
        <v>5146</v>
      </c>
      <c r="D2467" s="1" t="s">
        <v>5159</v>
      </c>
      <c r="E2467" s="1" t="s">
        <v>5237</v>
      </c>
      <c r="F2467" s="1" t="s">
        <v>16</v>
      </c>
      <c r="G2467" s="1" t="s">
        <v>17</v>
      </c>
      <c r="H2467" s="1" t="s">
        <v>28</v>
      </c>
      <c r="I2467" s="1" t="s">
        <v>40</v>
      </c>
    </row>
    <row r="2468">
      <c r="A2468" s="1">
        <v>5206028.0</v>
      </c>
      <c r="B2468" s="1" t="s">
        <v>5238</v>
      </c>
      <c r="C2468" s="1" t="s">
        <v>5146</v>
      </c>
      <c r="D2468" s="1" t="s">
        <v>5183</v>
      </c>
      <c r="E2468" s="1" t="s">
        <v>5239</v>
      </c>
      <c r="F2468" s="1" t="s">
        <v>16</v>
      </c>
      <c r="G2468" s="1" t="s">
        <v>23</v>
      </c>
      <c r="H2468" s="1" t="s">
        <v>18</v>
      </c>
      <c r="I2468" s="1" t="s">
        <v>684</v>
      </c>
    </row>
    <row r="2469">
      <c r="A2469" s="1">
        <v>5202036.0</v>
      </c>
      <c r="B2469" s="1" t="s">
        <v>5240</v>
      </c>
      <c r="C2469" s="1" t="s">
        <v>5146</v>
      </c>
      <c r="D2469" s="1" t="s">
        <v>5172</v>
      </c>
      <c r="E2469" s="1" t="s">
        <v>5241</v>
      </c>
      <c r="F2469" s="1" t="s">
        <v>16</v>
      </c>
      <c r="G2469" s="1" t="s">
        <v>23</v>
      </c>
      <c r="H2469" s="1" t="s">
        <v>18</v>
      </c>
      <c r="I2469" s="1" t="s">
        <v>44</v>
      </c>
    </row>
    <row r="2470">
      <c r="A2470" s="1">
        <v>5205016.0</v>
      </c>
      <c r="B2470" s="1" t="s">
        <v>5242</v>
      </c>
      <c r="C2470" s="1" t="s">
        <v>5146</v>
      </c>
      <c r="D2470" s="1" t="s">
        <v>5194</v>
      </c>
      <c r="E2470" s="1" t="s">
        <v>5243</v>
      </c>
      <c r="F2470" s="1" t="s">
        <v>16</v>
      </c>
      <c r="G2470" s="1" t="s">
        <v>23</v>
      </c>
      <c r="H2470" s="1" t="s">
        <v>18</v>
      </c>
      <c r="I2470" s="1" t="s">
        <v>40</v>
      </c>
    </row>
    <row r="2471">
      <c r="A2471" s="1">
        <v>5271076.0</v>
      </c>
      <c r="B2471" s="1" t="s">
        <v>5244</v>
      </c>
      <c r="C2471" s="1" t="s">
        <v>5146</v>
      </c>
      <c r="D2471" s="1" t="s">
        <v>5156</v>
      </c>
      <c r="E2471" s="1" t="s">
        <v>5245</v>
      </c>
      <c r="F2471" s="1" t="s">
        <v>16</v>
      </c>
      <c r="G2471" s="1" t="s">
        <v>17</v>
      </c>
      <c r="H2471" s="1" t="s">
        <v>18</v>
      </c>
      <c r="I2471" s="1" t="s">
        <v>19</v>
      </c>
    </row>
    <row r="2472">
      <c r="A2472" s="1">
        <v>5311024.0</v>
      </c>
      <c r="B2472" s="1" t="s">
        <v>5246</v>
      </c>
      <c r="C2472" s="1" t="s">
        <v>5247</v>
      </c>
      <c r="D2472" s="1" t="s">
        <v>5248</v>
      </c>
      <c r="E2472" s="1" t="s">
        <v>5249</v>
      </c>
      <c r="F2472" s="1" t="s">
        <v>16</v>
      </c>
      <c r="G2472" s="1" t="s">
        <v>23</v>
      </c>
      <c r="H2472" s="1" t="s">
        <v>18</v>
      </c>
      <c r="I2472" s="1" t="s">
        <v>249</v>
      </c>
    </row>
    <row r="2473">
      <c r="A2473" s="1">
        <v>5371047.0</v>
      </c>
      <c r="B2473" s="1" t="s">
        <v>5250</v>
      </c>
      <c r="C2473" s="1" t="s">
        <v>5247</v>
      </c>
      <c r="D2473" s="1" t="s">
        <v>5251</v>
      </c>
      <c r="E2473" s="1" t="s">
        <v>5252</v>
      </c>
      <c r="F2473" s="1" t="s">
        <v>55</v>
      </c>
      <c r="G2473" s="1" t="s">
        <v>17</v>
      </c>
      <c r="H2473" s="1" t="s">
        <v>18</v>
      </c>
      <c r="I2473" s="1" t="s">
        <v>59</v>
      </c>
    </row>
    <row r="2474">
      <c r="A2474" s="1">
        <v>5302034.0</v>
      </c>
      <c r="B2474" s="1" t="s">
        <v>5253</v>
      </c>
      <c r="C2474" s="1" t="s">
        <v>5247</v>
      </c>
      <c r="D2474" s="1" t="s">
        <v>5254</v>
      </c>
      <c r="E2474" s="1" t="s">
        <v>5255</v>
      </c>
      <c r="F2474" s="1" t="s">
        <v>16</v>
      </c>
      <c r="G2474" s="1" t="s">
        <v>23</v>
      </c>
      <c r="H2474" s="1" t="s">
        <v>18</v>
      </c>
      <c r="I2474" s="1" t="s">
        <v>59</v>
      </c>
    </row>
    <row r="2475">
      <c r="A2475" s="1">
        <v>5309012.0</v>
      </c>
      <c r="B2475" s="1" t="s">
        <v>5256</v>
      </c>
      <c r="C2475" s="1" t="s">
        <v>5247</v>
      </c>
      <c r="D2475" s="1" t="s">
        <v>5257</v>
      </c>
      <c r="E2475" s="1" t="s">
        <v>5258</v>
      </c>
      <c r="F2475" s="1" t="s">
        <v>16</v>
      </c>
      <c r="G2475" s="1" t="s">
        <v>17</v>
      </c>
      <c r="H2475" s="1" t="s">
        <v>28</v>
      </c>
      <c r="I2475" s="1" t="s">
        <v>40</v>
      </c>
    </row>
    <row r="2476">
      <c r="A2476" s="1">
        <v>5303028.0</v>
      </c>
      <c r="B2476" s="1" t="s">
        <v>5259</v>
      </c>
      <c r="C2476" s="1" t="s">
        <v>5247</v>
      </c>
      <c r="D2476" s="1" t="s">
        <v>5251</v>
      </c>
      <c r="E2476" s="1" t="s">
        <v>5260</v>
      </c>
      <c r="F2476" s="1" t="s">
        <v>16</v>
      </c>
      <c r="G2476" s="1" t="s">
        <v>27</v>
      </c>
      <c r="H2476" s="1" t="s">
        <v>18</v>
      </c>
      <c r="I2476" s="1" t="s">
        <v>19</v>
      </c>
    </row>
    <row r="2477">
      <c r="A2477" s="1">
        <v>5301022.0</v>
      </c>
      <c r="B2477" s="1" t="s">
        <v>5261</v>
      </c>
      <c r="C2477" s="1" t="s">
        <v>5247</v>
      </c>
      <c r="D2477" s="1" t="s">
        <v>5262</v>
      </c>
      <c r="E2477" s="1" t="s">
        <v>5263</v>
      </c>
      <c r="F2477" s="1" t="s">
        <v>16</v>
      </c>
      <c r="G2477" s="1" t="s">
        <v>17</v>
      </c>
      <c r="H2477" s="1" t="s">
        <v>18</v>
      </c>
      <c r="I2477" s="1" t="s">
        <v>59</v>
      </c>
    </row>
    <row r="2478">
      <c r="A2478" s="1">
        <v>5371058.0</v>
      </c>
      <c r="B2478" s="1" t="s">
        <v>5264</v>
      </c>
      <c r="C2478" s="1" t="s">
        <v>5247</v>
      </c>
      <c r="D2478" s="1" t="s">
        <v>5251</v>
      </c>
      <c r="E2478" s="1" t="s">
        <v>5265</v>
      </c>
      <c r="F2478" s="1" t="s">
        <v>16</v>
      </c>
      <c r="G2478" s="1" t="s">
        <v>17</v>
      </c>
      <c r="H2478" s="1" t="s">
        <v>18</v>
      </c>
      <c r="I2478" s="1" t="s">
        <v>59</v>
      </c>
    </row>
    <row r="2479">
      <c r="A2479" s="1">
        <v>5313015.0</v>
      </c>
      <c r="B2479" s="1" t="s">
        <v>5266</v>
      </c>
      <c r="C2479" s="1" t="s">
        <v>5247</v>
      </c>
      <c r="D2479" s="1" t="s">
        <v>5267</v>
      </c>
      <c r="E2479" s="1" t="s">
        <v>5268</v>
      </c>
      <c r="F2479" s="1" t="s">
        <v>16</v>
      </c>
      <c r="G2479" s="1" t="s">
        <v>17</v>
      </c>
      <c r="H2479" s="1" t="s">
        <v>28</v>
      </c>
      <c r="I2479" s="1" t="s">
        <v>40</v>
      </c>
    </row>
    <row r="2480">
      <c r="A2480" s="1">
        <v>5309046.0</v>
      </c>
      <c r="B2480" s="1" t="s">
        <v>5269</v>
      </c>
      <c r="C2480" s="1" t="s">
        <v>5247</v>
      </c>
      <c r="D2480" s="1" t="s">
        <v>5257</v>
      </c>
      <c r="E2480" s="1" t="s">
        <v>5270</v>
      </c>
      <c r="F2480" s="1" t="s">
        <v>16</v>
      </c>
      <c r="G2480" s="1" t="s">
        <v>98</v>
      </c>
      <c r="H2480" s="1" t="s">
        <v>18</v>
      </c>
      <c r="I2480" s="1" t="s">
        <v>40</v>
      </c>
    </row>
    <row r="2481">
      <c r="A2481" s="1">
        <v>5371054.0</v>
      </c>
      <c r="B2481" s="1" t="s">
        <v>5271</v>
      </c>
      <c r="C2481" s="1" t="s">
        <v>5247</v>
      </c>
      <c r="D2481" s="1" t="s">
        <v>5251</v>
      </c>
      <c r="E2481" s="1" t="s">
        <v>5272</v>
      </c>
      <c r="F2481" s="1" t="s">
        <v>16</v>
      </c>
      <c r="G2481" s="1" t="s">
        <v>17</v>
      </c>
      <c r="H2481" s="1" t="s">
        <v>18</v>
      </c>
      <c r="I2481" s="1" t="s">
        <v>163</v>
      </c>
    </row>
    <row r="2482">
      <c r="A2482" s="1">
        <v>5317002.0</v>
      </c>
      <c r="B2482" s="1" t="s">
        <v>5273</v>
      </c>
      <c r="C2482" s="1" t="s">
        <v>5247</v>
      </c>
      <c r="D2482" s="1" t="s">
        <v>5262</v>
      </c>
      <c r="E2482" s="1" t="s">
        <v>5274</v>
      </c>
      <c r="F2482" s="1" t="s">
        <v>16</v>
      </c>
      <c r="G2482" s="1" t="s">
        <v>23</v>
      </c>
      <c r="H2482" s="1" t="s">
        <v>18</v>
      </c>
      <c r="I2482" s="1" t="s">
        <v>40</v>
      </c>
    </row>
    <row r="2483">
      <c r="A2483" s="1">
        <v>5318014.0</v>
      </c>
      <c r="B2483" s="1" t="s">
        <v>5275</v>
      </c>
      <c r="C2483" s="1" t="s">
        <v>5247</v>
      </c>
      <c r="D2483" s="1" t="s">
        <v>5276</v>
      </c>
      <c r="E2483" s="1" t="s">
        <v>5277</v>
      </c>
      <c r="F2483" s="1" t="s">
        <v>16</v>
      </c>
      <c r="G2483" s="1" t="s">
        <v>98</v>
      </c>
      <c r="H2483" s="1" t="s">
        <v>18</v>
      </c>
      <c r="I2483" s="1" t="s">
        <v>40</v>
      </c>
    </row>
    <row r="2484">
      <c r="A2484" s="1">
        <v>5305015.0</v>
      </c>
      <c r="B2484" s="1" t="s">
        <v>5278</v>
      </c>
      <c r="C2484" s="1" t="s">
        <v>5247</v>
      </c>
      <c r="D2484" s="1" t="s">
        <v>5279</v>
      </c>
      <c r="E2484" s="1" t="s">
        <v>5280</v>
      </c>
      <c r="F2484" s="1" t="s">
        <v>16</v>
      </c>
      <c r="G2484" s="1" t="s">
        <v>17</v>
      </c>
      <c r="H2484" s="1" t="s">
        <v>28</v>
      </c>
      <c r="I2484" s="1" t="s">
        <v>40</v>
      </c>
    </row>
    <row r="2485">
      <c r="A2485" s="1">
        <v>5309034.0</v>
      </c>
      <c r="B2485" s="1" t="s">
        <v>5281</v>
      </c>
      <c r="C2485" s="1" t="s">
        <v>5247</v>
      </c>
      <c r="D2485" s="1" t="s">
        <v>5282</v>
      </c>
      <c r="E2485" s="1" t="s">
        <v>5283</v>
      </c>
      <c r="F2485" s="1" t="s">
        <v>16</v>
      </c>
      <c r="G2485" s="1" t="s">
        <v>23</v>
      </c>
      <c r="H2485" s="1" t="s">
        <v>18</v>
      </c>
      <c r="I2485" s="1" t="s">
        <v>249</v>
      </c>
    </row>
    <row r="2486">
      <c r="A2486" s="1">
        <v>5303057.0</v>
      </c>
      <c r="B2486" s="1" t="s">
        <v>5284</v>
      </c>
      <c r="C2486" s="1" t="s">
        <v>5247</v>
      </c>
      <c r="D2486" s="1" t="s">
        <v>5285</v>
      </c>
      <c r="E2486" s="1" t="s">
        <v>5286</v>
      </c>
      <c r="F2486" s="1" t="s">
        <v>16</v>
      </c>
      <c r="G2486" s="1" t="s">
        <v>17</v>
      </c>
      <c r="H2486" s="1" t="s">
        <v>18</v>
      </c>
      <c r="I2486" s="1" t="s">
        <v>19</v>
      </c>
    </row>
    <row r="2487">
      <c r="A2487" s="1">
        <v>5371046.0</v>
      </c>
      <c r="B2487" s="1" t="s">
        <v>5287</v>
      </c>
      <c r="C2487" s="1" t="s">
        <v>5247</v>
      </c>
      <c r="D2487" s="1" t="s">
        <v>5251</v>
      </c>
      <c r="E2487" s="1" t="s">
        <v>5288</v>
      </c>
      <c r="F2487" s="1" t="s">
        <v>16</v>
      </c>
      <c r="G2487" s="1" t="s">
        <v>17</v>
      </c>
      <c r="H2487" s="1" t="s">
        <v>18</v>
      </c>
      <c r="I2487" s="1" t="s">
        <v>95</v>
      </c>
    </row>
    <row r="2488">
      <c r="A2488" s="1">
        <v>5302012.0</v>
      </c>
      <c r="B2488" s="1" t="s">
        <v>5289</v>
      </c>
      <c r="C2488" s="1" t="s">
        <v>5247</v>
      </c>
      <c r="D2488" s="1" t="s">
        <v>5254</v>
      </c>
      <c r="E2488" s="1" t="s">
        <v>5290</v>
      </c>
      <c r="F2488" s="1" t="s">
        <v>16</v>
      </c>
      <c r="G2488" s="1" t="s">
        <v>23</v>
      </c>
      <c r="H2488" s="1" t="s">
        <v>18</v>
      </c>
      <c r="I2488" s="1" t="s">
        <v>59</v>
      </c>
    </row>
    <row r="2489">
      <c r="A2489" s="1">
        <v>5371011.0</v>
      </c>
      <c r="B2489" s="1" t="s">
        <v>5291</v>
      </c>
      <c r="C2489" s="1" t="s">
        <v>5247</v>
      </c>
      <c r="D2489" s="1" t="s">
        <v>5251</v>
      </c>
      <c r="E2489" s="1" t="s">
        <v>5292</v>
      </c>
      <c r="F2489" s="1" t="s">
        <v>16</v>
      </c>
      <c r="G2489" s="1" t="s">
        <v>27</v>
      </c>
      <c r="H2489" s="1" t="s">
        <v>28</v>
      </c>
      <c r="I2489" s="1" t="s">
        <v>139</v>
      </c>
    </row>
    <row r="2490">
      <c r="A2490" s="1">
        <v>5371059.0</v>
      </c>
      <c r="B2490" s="1" t="s">
        <v>5293</v>
      </c>
      <c r="C2490" s="1" t="s">
        <v>5247</v>
      </c>
      <c r="D2490" s="1" t="s">
        <v>5251</v>
      </c>
      <c r="E2490" s="1" t="s">
        <v>5294</v>
      </c>
      <c r="F2490" s="1" t="s">
        <v>174</v>
      </c>
      <c r="G2490" s="1" t="s">
        <v>17</v>
      </c>
      <c r="H2490" s="1" t="s">
        <v>28</v>
      </c>
      <c r="I2490" s="1" t="s">
        <v>139</v>
      </c>
    </row>
    <row r="2491">
      <c r="A2491" s="1">
        <v>5304015.0</v>
      </c>
      <c r="B2491" s="1" t="s">
        <v>5295</v>
      </c>
      <c r="C2491" s="1" t="s">
        <v>5247</v>
      </c>
      <c r="D2491" s="1" t="s">
        <v>5296</v>
      </c>
      <c r="E2491" s="1" t="s">
        <v>5297</v>
      </c>
      <c r="F2491" s="1" t="s">
        <v>16</v>
      </c>
      <c r="G2491" s="1" t="s">
        <v>98</v>
      </c>
      <c r="H2491" s="1" t="s">
        <v>18</v>
      </c>
      <c r="I2491" s="1" t="s">
        <v>59</v>
      </c>
    </row>
    <row r="2492">
      <c r="A2492" s="1">
        <v>5319002.0</v>
      </c>
      <c r="B2492" s="1" t="s">
        <v>5298</v>
      </c>
      <c r="C2492" s="1" t="s">
        <v>5247</v>
      </c>
      <c r="D2492" s="1" t="s">
        <v>5299</v>
      </c>
      <c r="E2492" s="1" t="s">
        <v>5300</v>
      </c>
      <c r="F2492" s="1" t="s">
        <v>16</v>
      </c>
      <c r="G2492" s="1" t="s">
        <v>23</v>
      </c>
      <c r="H2492" s="1" t="s">
        <v>18</v>
      </c>
      <c r="I2492" s="1" t="s">
        <v>40</v>
      </c>
    </row>
    <row r="2493">
      <c r="A2493" s="1">
        <v>5306020.0</v>
      </c>
      <c r="B2493" s="1" t="s">
        <v>5301</v>
      </c>
      <c r="C2493" s="1" t="s">
        <v>5247</v>
      </c>
      <c r="D2493" s="1" t="s">
        <v>5302</v>
      </c>
      <c r="E2493" s="1" t="s">
        <v>5303</v>
      </c>
      <c r="F2493" s="1" t="s">
        <v>16</v>
      </c>
      <c r="G2493" s="1" t="s">
        <v>23</v>
      </c>
      <c r="H2493" s="1" t="s">
        <v>18</v>
      </c>
      <c r="I2493" s="1" t="s">
        <v>59</v>
      </c>
    </row>
    <row r="2494">
      <c r="A2494" s="1">
        <v>5310012.0</v>
      </c>
      <c r="B2494" s="1" t="s">
        <v>5304</v>
      </c>
      <c r="C2494" s="1" t="s">
        <v>5247</v>
      </c>
      <c r="D2494" s="1" t="s">
        <v>5305</v>
      </c>
      <c r="E2494" s="1" t="s">
        <v>5306</v>
      </c>
      <c r="F2494" s="1" t="s">
        <v>16</v>
      </c>
      <c r="G2494" s="1" t="s">
        <v>17</v>
      </c>
      <c r="H2494" s="1" t="s">
        <v>28</v>
      </c>
      <c r="I2494" s="1" t="s">
        <v>40</v>
      </c>
    </row>
    <row r="2495">
      <c r="A2495" s="1">
        <v>5303056.0</v>
      </c>
      <c r="B2495" s="1" t="s">
        <v>5307</v>
      </c>
      <c r="C2495" s="1" t="s">
        <v>5247</v>
      </c>
      <c r="D2495" s="1" t="s">
        <v>5251</v>
      </c>
      <c r="E2495" s="1" t="s">
        <v>5308</v>
      </c>
      <c r="F2495" s="1" t="s">
        <v>16</v>
      </c>
      <c r="G2495" s="1" t="s">
        <v>27</v>
      </c>
      <c r="H2495" s="1" t="s">
        <v>18</v>
      </c>
      <c r="I2495" s="1" t="s">
        <v>411</v>
      </c>
    </row>
    <row r="2496">
      <c r="A2496" s="1">
        <v>5303033.0</v>
      </c>
      <c r="B2496" s="1" t="s">
        <v>5309</v>
      </c>
      <c r="C2496" s="1" t="s">
        <v>5247</v>
      </c>
      <c r="D2496" s="1" t="s">
        <v>5251</v>
      </c>
      <c r="E2496" s="1" t="s">
        <v>5310</v>
      </c>
      <c r="F2496" s="1" t="s">
        <v>16</v>
      </c>
      <c r="G2496" s="1" t="s">
        <v>17</v>
      </c>
      <c r="H2496" s="1" t="s">
        <v>33</v>
      </c>
      <c r="I2496" s="1" t="s">
        <v>65</v>
      </c>
    </row>
    <row r="2497">
      <c r="A2497" s="1">
        <v>5303045.0</v>
      </c>
      <c r="B2497" s="1" t="s">
        <v>5311</v>
      </c>
      <c r="C2497" s="1" t="s">
        <v>5247</v>
      </c>
      <c r="D2497" s="1" t="s">
        <v>5285</v>
      </c>
      <c r="E2497" s="1" t="s">
        <v>5312</v>
      </c>
      <c r="F2497" s="1" t="s">
        <v>16</v>
      </c>
      <c r="G2497" s="1" t="s">
        <v>17</v>
      </c>
      <c r="H2497" s="1" t="s">
        <v>28</v>
      </c>
      <c r="I2497" s="1" t="s">
        <v>40</v>
      </c>
    </row>
    <row r="2498">
      <c r="A2498" s="1">
        <v>5304026.0</v>
      </c>
      <c r="B2498" s="1" t="s">
        <v>5313</v>
      </c>
      <c r="C2498" s="1" t="s">
        <v>5247</v>
      </c>
      <c r="D2498" s="1" t="s">
        <v>5296</v>
      </c>
      <c r="E2498" s="1" t="s">
        <v>5314</v>
      </c>
      <c r="F2498" s="1" t="s">
        <v>16</v>
      </c>
      <c r="G2498" s="1" t="s">
        <v>98</v>
      </c>
      <c r="H2498" s="1" t="s">
        <v>18</v>
      </c>
      <c r="I2498" s="1" t="s">
        <v>40</v>
      </c>
    </row>
    <row r="2499">
      <c r="A2499" s="1">
        <v>5315004.0</v>
      </c>
      <c r="B2499" s="1" t="s">
        <v>5315</v>
      </c>
      <c r="C2499" s="1" t="s">
        <v>5247</v>
      </c>
      <c r="D2499" s="1" t="s">
        <v>5316</v>
      </c>
      <c r="E2499" s="1" t="s">
        <v>5317</v>
      </c>
      <c r="F2499" s="1" t="s">
        <v>16</v>
      </c>
      <c r="G2499" s="1" t="s">
        <v>23</v>
      </c>
      <c r="H2499" s="1" t="s">
        <v>18</v>
      </c>
      <c r="I2499" s="1" t="s">
        <v>249</v>
      </c>
    </row>
    <row r="2500">
      <c r="A2500" s="1">
        <v>5303013.0</v>
      </c>
      <c r="B2500" s="1" t="s">
        <v>5318</v>
      </c>
      <c r="C2500" s="1" t="s">
        <v>5247</v>
      </c>
      <c r="D2500" s="1" t="s">
        <v>5251</v>
      </c>
      <c r="E2500" s="1" t="s">
        <v>5319</v>
      </c>
      <c r="F2500" s="1" t="s">
        <v>16</v>
      </c>
      <c r="G2500" s="1" t="s">
        <v>17</v>
      </c>
      <c r="H2500" s="1" t="s">
        <v>28</v>
      </c>
      <c r="I2500" s="1" t="s">
        <v>29</v>
      </c>
    </row>
    <row r="2501">
      <c r="A2501" s="1">
        <v>5306042.0</v>
      </c>
      <c r="B2501" s="1" t="s">
        <v>5320</v>
      </c>
      <c r="C2501" s="1" t="s">
        <v>5247</v>
      </c>
      <c r="D2501" s="1" t="s">
        <v>5321</v>
      </c>
      <c r="E2501" s="1" t="s">
        <v>5322</v>
      </c>
      <c r="F2501" s="1" t="s">
        <v>16</v>
      </c>
      <c r="G2501" s="1" t="s">
        <v>17</v>
      </c>
      <c r="H2501" s="1" t="s">
        <v>28</v>
      </c>
      <c r="I2501" s="1" t="s">
        <v>40</v>
      </c>
    </row>
    <row r="2502">
      <c r="A2502" s="1">
        <v>5302045.0</v>
      </c>
      <c r="B2502" s="1" t="s">
        <v>5323</v>
      </c>
      <c r="C2502" s="1" t="s">
        <v>5247</v>
      </c>
      <c r="D2502" s="1" t="s">
        <v>5254</v>
      </c>
      <c r="E2502" s="1" t="s">
        <v>5324</v>
      </c>
      <c r="F2502" s="1" t="s">
        <v>55</v>
      </c>
      <c r="G2502" s="1" t="s">
        <v>17</v>
      </c>
      <c r="H2502" s="1" t="s">
        <v>33</v>
      </c>
      <c r="I2502" s="1" t="s">
        <v>19</v>
      </c>
    </row>
    <row r="2503">
      <c r="A2503" s="1">
        <v>5302046.0</v>
      </c>
      <c r="B2503" s="1" t="s">
        <v>5325</v>
      </c>
      <c r="C2503" s="1" t="s">
        <v>5247</v>
      </c>
      <c r="D2503" s="1" t="s">
        <v>5254</v>
      </c>
      <c r="E2503" s="1" t="s">
        <v>5326</v>
      </c>
      <c r="F2503" s="1" t="s">
        <v>16</v>
      </c>
      <c r="G2503" s="1" t="s">
        <v>98</v>
      </c>
      <c r="H2503" s="1" t="s">
        <v>18</v>
      </c>
      <c r="I2503" s="1" t="s">
        <v>34</v>
      </c>
    </row>
    <row r="2504">
      <c r="A2504" s="1">
        <v>5311013.0</v>
      </c>
      <c r="B2504" s="1" t="s">
        <v>5327</v>
      </c>
      <c r="C2504" s="1" t="s">
        <v>5247</v>
      </c>
      <c r="D2504" s="1" t="s">
        <v>5248</v>
      </c>
      <c r="E2504" s="1" t="s">
        <v>5328</v>
      </c>
      <c r="F2504" s="1" t="s">
        <v>16</v>
      </c>
      <c r="G2504" s="1" t="s">
        <v>17</v>
      </c>
      <c r="H2504" s="1" t="s">
        <v>28</v>
      </c>
      <c r="I2504" s="1" t="s">
        <v>40</v>
      </c>
    </row>
    <row r="2505">
      <c r="A2505" s="1">
        <v>5307021.0</v>
      </c>
      <c r="B2505" s="1" t="s">
        <v>5329</v>
      </c>
      <c r="C2505" s="1" t="s">
        <v>5247</v>
      </c>
      <c r="D2505" s="1" t="s">
        <v>5330</v>
      </c>
      <c r="E2505" s="1" t="s">
        <v>5331</v>
      </c>
      <c r="F2505" s="1" t="s">
        <v>16</v>
      </c>
      <c r="G2505" s="1" t="s">
        <v>98</v>
      </c>
      <c r="H2505" s="1" t="s">
        <v>18</v>
      </c>
      <c r="I2505" s="1" t="s">
        <v>40</v>
      </c>
    </row>
    <row r="2506">
      <c r="A2506" s="1">
        <v>5301011.0</v>
      </c>
      <c r="B2506" s="1" t="s">
        <v>5332</v>
      </c>
      <c r="C2506" s="1" t="s">
        <v>5247</v>
      </c>
      <c r="D2506" s="1" t="s">
        <v>5333</v>
      </c>
      <c r="E2506" s="1" t="s">
        <v>5334</v>
      </c>
      <c r="F2506" s="1" t="s">
        <v>16</v>
      </c>
      <c r="G2506" s="1" t="s">
        <v>23</v>
      </c>
      <c r="H2506" s="1" t="s">
        <v>18</v>
      </c>
      <c r="I2506" s="1" t="s">
        <v>59</v>
      </c>
    </row>
    <row r="2507">
      <c r="A2507" s="1">
        <v>5312014.0</v>
      </c>
      <c r="B2507" s="1" t="s">
        <v>5335</v>
      </c>
      <c r="C2507" s="1" t="s">
        <v>5247</v>
      </c>
      <c r="D2507" s="1" t="s">
        <v>5336</v>
      </c>
      <c r="E2507" s="1" t="s">
        <v>5337</v>
      </c>
      <c r="F2507" s="1" t="s">
        <v>16</v>
      </c>
      <c r="G2507" s="1" t="s">
        <v>17</v>
      </c>
      <c r="H2507" s="1" t="s">
        <v>28</v>
      </c>
      <c r="I2507" s="1" t="s">
        <v>40</v>
      </c>
    </row>
    <row r="2508">
      <c r="A2508" s="1">
        <v>5371052.0</v>
      </c>
      <c r="B2508" s="1" t="s">
        <v>5338</v>
      </c>
      <c r="C2508" s="1" t="s">
        <v>5247</v>
      </c>
      <c r="D2508" s="1" t="s">
        <v>5251</v>
      </c>
      <c r="E2508" s="1" t="s">
        <v>5339</v>
      </c>
      <c r="F2508" s="1" t="s">
        <v>16</v>
      </c>
      <c r="G2508" s="1" t="s">
        <v>17</v>
      </c>
      <c r="H2508" s="1" t="s">
        <v>18</v>
      </c>
      <c r="I2508" s="1" t="s">
        <v>249</v>
      </c>
    </row>
    <row r="2509">
      <c r="A2509" s="1">
        <v>5304014.0</v>
      </c>
      <c r="B2509" s="1" t="s">
        <v>5340</v>
      </c>
      <c r="C2509" s="1" t="s">
        <v>5247</v>
      </c>
      <c r="D2509" s="1" t="s">
        <v>5296</v>
      </c>
      <c r="E2509" s="1" t="s">
        <v>5341</v>
      </c>
      <c r="F2509" s="1" t="s">
        <v>16</v>
      </c>
      <c r="G2509" s="1" t="s">
        <v>17</v>
      </c>
      <c r="H2509" s="1" t="s">
        <v>28</v>
      </c>
      <c r="I2509" s="1" t="s">
        <v>40</v>
      </c>
    </row>
    <row r="2510">
      <c r="A2510" s="1">
        <v>5308023.0</v>
      </c>
      <c r="B2510" s="1" t="s">
        <v>5342</v>
      </c>
      <c r="C2510" s="1" t="s">
        <v>5247</v>
      </c>
      <c r="D2510" s="1" t="s">
        <v>5282</v>
      </c>
      <c r="E2510" s="1" t="s">
        <v>5343</v>
      </c>
      <c r="F2510" s="1" t="s">
        <v>16</v>
      </c>
      <c r="G2510" s="1" t="s">
        <v>23</v>
      </c>
      <c r="H2510" s="1" t="s">
        <v>18</v>
      </c>
      <c r="I2510" s="1" t="s">
        <v>249</v>
      </c>
    </row>
    <row r="2511">
      <c r="A2511" s="1">
        <v>5306053.0</v>
      </c>
      <c r="B2511" s="1" t="s">
        <v>5344</v>
      </c>
      <c r="C2511" s="1" t="s">
        <v>5247</v>
      </c>
      <c r="D2511" s="1" t="s">
        <v>5302</v>
      </c>
      <c r="E2511" s="1" t="s">
        <v>5345</v>
      </c>
      <c r="F2511" s="1" t="s">
        <v>16</v>
      </c>
      <c r="G2511" s="1" t="s">
        <v>23</v>
      </c>
      <c r="H2511" s="1" t="s">
        <v>18</v>
      </c>
      <c r="I2511" s="1" t="s">
        <v>74</v>
      </c>
    </row>
    <row r="2512">
      <c r="A2512" s="1">
        <v>5301033.0</v>
      </c>
      <c r="B2512" s="1" t="s">
        <v>5346</v>
      </c>
      <c r="C2512" s="1" t="s">
        <v>5247</v>
      </c>
      <c r="D2512" s="1" t="s">
        <v>5333</v>
      </c>
      <c r="E2512" s="1" t="s">
        <v>5347</v>
      </c>
      <c r="F2512" s="1" t="s">
        <v>16</v>
      </c>
      <c r="G2512" s="1" t="s">
        <v>17</v>
      </c>
      <c r="H2512" s="1" t="s">
        <v>28</v>
      </c>
      <c r="I2512" s="1" t="s">
        <v>40</v>
      </c>
    </row>
    <row r="2513">
      <c r="A2513" s="1">
        <v>5313026.0</v>
      </c>
      <c r="B2513" s="1" t="s">
        <v>5348</v>
      </c>
      <c r="C2513" s="1" t="s">
        <v>5247</v>
      </c>
      <c r="D2513" s="1" t="s">
        <v>5267</v>
      </c>
      <c r="E2513" s="1" t="s">
        <v>5349</v>
      </c>
      <c r="F2513" s="1" t="s">
        <v>16</v>
      </c>
      <c r="G2513" s="1" t="s">
        <v>98</v>
      </c>
      <c r="H2513" s="1" t="s">
        <v>18</v>
      </c>
      <c r="I2513" s="1" t="s">
        <v>249</v>
      </c>
    </row>
    <row r="2514">
      <c r="A2514" s="1">
        <v>5371057.0</v>
      </c>
      <c r="B2514" s="1" t="s">
        <v>5350</v>
      </c>
      <c r="C2514" s="1" t="s">
        <v>5247</v>
      </c>
      <c r="D2514" s="1" t="s">
        <v>5251</v>
      </c>
      <c r="E2514" s="1" t="s">
        <v>5351</v>
      </c>
      <c r="F2514" s="1" t="s">
        <v>16</v>
      </c>
      <c r="G2514" s="1" t="s">
        <v>23</v>
      </c>
      <c r="H2514" s="1" t="s">
        <v>18</v>
      </c>
      <c r="I2514" s="1" t="s">
        <v>44</v>
      </c>
    </row>
    <row r="2515">
      <c r="A2515" s="1">
        <v>5306016.0</v>
      </c>
      <c r="B2515" s="1" t="s">
        <v>5352</v>
      </c>
      <c r="C2515" s="1" t="s">
        <v>5247</v>
      </c>
      <c r="D2515" s="1" t="s">
        <v>5302</v>
      </c>
      <c r="E2515" s="1" t="s">
        <v>5353</v>
      </c>
      <c r="F2515" s="1" t="s">
        <v>16</v>
      </c>
      <c r="G2515" s="1" t="s">
        <v>17</v>
      </c>
      <c r="H2515" s="1" t="s">
        <v>28</v>
      </c>
      <c r="I2515" s="1" t="s">
        <v>40</v>
      </c>
    </row>
    <row r="2516">
      <c r="A2516" s="1">
        <v>5308045.0</v>
      </c>
      <c r="B2516" s="1" t="s">
        <v>5354</v>
      </c>
      <c r="C2516" s="1" t="s">
        <v>5247</v>
      </c>
      <c r="D2516" s="1" t="s">
        <v>5282</v>
      </c>
      <c r="E2516" s="1" t="s">
        <v>5355</v>
      </c>
      <c r="F2516" s="1" t="s">
        <v>16</v>
      </c>
      <c r="G2516" s="1" t="s">
        <v>17</v>
      </c>
      <c r="H2516" s="1" t="s">
        <v>18</v>
      </c>
      <c r="I2516" s="1" t="s">
        <v>40</v>
      </c>
    </row>
    <row r="2517">
      <c r="A2517" s="1">
        <v>5305024.0</v>
      </c>
      <c r="B2517" s="1" t="s">
        <v>5356</v>
      </c>
      <c r="C2517" s="1" t="s">
        <v>5247</v>
      </c>
      <c r="D2517" s="1" t="s">
        <v>5279</v>
      </c>
      <c r="E2517" s="1" t="s">
        <v>5357</v>
      </c>
      <c r="F2517" s="1" t="s">
        <v>16</v>
      </c>
      <c r="G2517" s="1" t="s">
        <v>23</v>
      </c>
      <c r="H2517" s="1" t="s">
        <v>18</v>
      </c>
      <c r="I2517" s="1" t="s">
        <v>59</v>
      </c>
    </row>
    <row r="2518">
      <c r="A2518" s="1">
        <v>5315002.0</v>
      </c>
      <c r="B2518" s="1" t="s">
        <v>5358</v>
      </c>
      <c r="C2518" s="1" t="s">
        <v>5247</v>
      </c>
      <c r="D2518" s="1" t="s">
        <v>5316</v>
      </c>
      <c r="E2518" s="1" t="s">
        <v>5359</v>
      </c>
      <c r="F2518" s="1" t="s">
        <v>16</v>
      </c>
      <c r="G2518" s="1" t="s">
        <v>17</v>
      </c>
      <c r="H2518" s="1" t="s">
        <v>18</v>
      </c>
      <c r="I2518" s="1" t="s">
        <v>19</v>
      </c>
    </row>
    <row r="2519">
      <c r="A2519" s="1">
        <v>5302023.0</v>
      </c>
      <c r="B2519" s="1" t="s">
        <v>5360</v>
      </c>
      <c r="C2519" s="1" t="s">
        <v>5247</v>
      </c>
      <c r="D2519" s="1" t="s">
        <v>5254</v>
      </c>
      <c r="E2519" s="1" t="s">
        <v>5361</v>
      </c>
      <c r="F2519" s="1" t="s">
        <v>16</v>
      </c>
      <c r="G2519" s="1" t="s">
        <v>17</v>
      </c>
      <c r="H2519" s="1" t="s">
        <v>28</v>
      </c>
      <c r="I2519" s="1" t="s">
        <v>40</v>
      </c>
    </row>
    <row r="2520">
      <c r="A2520" s="1">
        <v>5305025.0</v>
      </c>
      <c r="B2520" s="1" t="s">
        <v>5362</v>
      </c>
      <c r="C2520" s="1" t="s">
        <v>5247</v>
      </c>
      <c r="D2520" s="1" t="s">
        <v>5279</v>
      </c>
      <c r="E2520" s="1" t="s">
        <v>5363</v>
      </c>
      <c r="F2520" s="1" t="s">
        <v>16</v>
      </c>
      <c r="G2520" s="1" t="s">
        <v>17</v>
      </c>
      <c r="H2520" s="1" t="s">
        <v>18</v>
      </c>
      <c r="I2520" s="1" t="s">
        <v>44</v>
      </c>
    </row>
    <row r="2521">
      <c r="A2521" s="1">
        <v>5303022.0</v>
      </c>
      <c r="B2521" s="1" t="s">
        <v>5364</v>
      </c>
      <c r="C2521" s="1" t="s">
        <v>5247</v>
      </c>
      <c r="D2521" s="1" t="s">
        <v>5251</v>
      </c>
      <c r="E2521" s="1" t="s">
        <v>5365</v>
      </c>
      <c r="F2521" s="1" t="s">
        <v>16</v>
      </c>
      <c r="G2521" s="1" t="s">
        <v>17</v>
      </c>
      <c r="H2521" s="1" t="s">
        <v>18</v>
      </c>
      <c r="I2521" s="1" t="s">
        <v>74</v>
      </c>
    </row>
    <row r="2522">
      <c r="A2522" s="1">
        <v>5313037.0</v>
      </c>
      <c r="B2522" s="1" t="s">
        <v>5366</v>
      </c>
      <c r="C2522" s="1" t="s">
        <v>5247</v>
      </c>
      <c r="D2522" s="1" t="s">
        <v>5267</v>
      </c>
      <c r="E2522" s="1" t="s">
        <v>5367</v>
      </c>
      <c r="F2522" s="1" t="s">
        <v>16</v>
      </c>
      <c r="G2522" s="1" t="s">
        <v>98</v>
      </c>
      <c r="H2522" s="1" t="s">
        <v>18</v>
      </c>
      <c r="I2522" s="1" t="s">
        <v>40</v>
      </c>
    </row>
    <row r="2523">
      <c r="A2523" s="1">
        <v>5310034.0</v>
      </c>
      <c r="B2523" s="1" t="s">
        <v>5368</v>
      </c>
      <c r="C2523" s="1" t="s">
        <v>5247</v>
      </c>
      <c r="D2523" s="1" t="s">
        <v>5305</v>
      </c>
      <c r="E2523" s="1" t="s">
        <v>5369</v>
      </c>
      <c r="F2523" s="1" t="s">
        <v>16</v>
      </c>
      <c r="G2523" s="1" t="s">
        <v>23</v>
      </c>
      <c r="H2523" s="1" t="s">
        <v>18</v>
      </c>
      <c r="I2523" s="1" t="s">
        <v>59</v>
      </c>
    </row>
    <row r="2524">
      <c r="A2524" s="1">
        <v>5319013.0</v>
      </c>
      <c r="B2524" s="1" t="s">
        <v>5370</v>
      </c>
      <c r="C2524" s="1" t="s">
        <v>5247</v>
      </c>
      <c r="D2524" s="1" t="s">
        <v>5299</v>
      </c>
      <c r="E2524" s="1" t="s">
        <v>5371</v>
      </c>
      <c r="F2524" s="1" t="s">
        <v>16</v>
      </c>
      <c r="G2524" s="1" t="s">
        <v>98</v>
      </c>
      <c r="H2524" s="1" t="s">
        <v>18</v>
      </c>
      <c r="I2524" s="1" t="s">
        <v>40</v>
      </c>
    </row>
    <row r="2525">
      <c r="A2525" s="1">
        <v>5301035.0</v>
      </c>
      <c r="B2525" s="1" t="s">
        <v>5372</v>
      </c>
      <c r="C2525" s="1" t="s">
        <v>5247</v>
      </c>
      <c r="D2525" s="1" t="s">
        <v>5333</v>
      </c>
      <c r="E2525" s="1" t="s">
        <v>5373</v>
      </c>
      <c r="F2525" s="1" t="s">
        <v>16</v>
      </c>
      <c r="G2525" s="1" t="s">
        <v>23</v>
      </c>
      <c r="H2525" s="1" t="s">
        <v>18</v>
      </c>
      <c r="I2525" s="1" t="s">
        <v>40</v>
      </c>
    </row>
    <row r="2526">
      <c r="A2526" s="1">
        <v>5306031.0</v>
      </c>
      <c r="B2526" s="1" t="s">
        <v>5374</v>
      </c>
      <c r="C2526" s="1" t="s">
        <v>5247</v>
      </c>
      <c r="D2526" s="1" t="s">
        <v>5302</v>
      </c>
      <c r="E2526" s="1" t="s">
        <v>5375</v>
      </c>
      <c r="F2526" s="1" t="s">
        <v>16</v>
      </c>
      <c r="G2526" s="1" t="s">
        <v>23</v>
      </c>
      <c r="H2526" s="1" t="s">
        <v>18</v>
      </c>
      <c r="I2526" s="1" t="s">
        <v>59</v>
      </c>
    </row>
    <row r="2527">
      <c r="A2527" s="1">
        <v>5310023.0</v>
      </c>
      <c r="B2527" s="1" t="s">
        <v>5376</v>
      </c>
      <c r="C2527" s="1" t="s">
        <v>5247</v>
      </c>
      <c r="D2527" s="1" t="s">
        <v>5305</v>
      </c>
      <c r="E2527" s="1" t="s">
        <v>5377</v>
      </c>
      <c r="F2527" s="1" t="s">
        <v>16</v>
      </c>
      <c r="G2527" s="1" t="s">
        <v>23</v>
      </c>
      <c r="H2527" s="1" t="s">
        <v>18</v>
      </c>
      <c r="I2527" s="1" t="s">
        <v>249</v>
      </c>
    </row>
    <row r="2528">
      <c r="A2528" s="1">
        <v>5320002.0</v>
      </c>
      <c r="B2528" s="1" t="s">
        <v>5378</v>
      </c>
      <c r="C2528" s="1" t="s">
        <v>5247</v>
      </c>
      <c r="D2528" s="1" t="s">
        <v>5379</v>
      </c>
      <c r="E2528" s="1" t="s">
        <v>5380</v>
      </c>
      <c r="F2528" s="1" t="s">
        <v>16</v>
      </c>
      <c r="G2528" s="1" t="s">
        <v>23</v>
      </c>
      <c r="H2528" s="1" t="s">
        <v>18</v>
      </c>
      <c r="I2528" s="1" t="s">
        <v>40</v>
      </c>
    </row>
    <row r="2529">
      <c r="A2529" s="1">
        <v>5318002.0</v>
      </c>
      <c r="B2529" s="1" t="s">
        <v>5381</v>
      </c>
      <c r="C2529" s="1" t="s">
        <v>5247</v>
      </c>
      <c r="D2529" s="1" t="s">
        <v>5276</v>
      </c>
      <c r="E2529" s="1" t="s">
        <v>5382</v>
      </c>
      <c r="F2529" s="1" t="s">
        <v>16</v>
      </c>
      <c r="G2529" s="1" t="s">
        <v>17</v>
      </c>
      <c r="H2529" s="1" t="s">
        <v>28</v>
      </c>
      <c r="I2529" s="1" t="s">
        <v>40</v>
      </c>
    </row>
    <row r="2530">
      <c r="A2530" s="1">
        <v>5320013.0</v>
      </c>
      <c r="B2530" s="1" t="s">
        <v>5383</v>
      </c>
      <c r="C2530" s="1" t="s">
        <v>5247</v>
      </c>
      <c r="D2530" s="1" t="s">
        <v>5379</v>
      </c>
      <c r="E2530" s="1" t="s">
        <v>5384</v>
      </c>
      <c r="F2530" s="1" t="s">
        <v>16</v>
      </c>
      <c r="G2530" s="1" t="s">
        <v>1022</v>
      </c>
      <c r="H2530" s="1" t="s">
        <v>18</v>
      </c>
      <c r="I2530" s="1" t="s">
        <v>40</v>
      </c>
    </row>
    <row r="2531">
      <c r="A2531" s="1">
        <v>5303024.0</v>
      </c>
      <c r="B2531" s="1" t="s">
        <v>5385</v>
      </c>
      <c r="C2531" s="1" t="s">
        <v>5247</v>
      </c>
      <c r="D2531" s="1" t="s">
        <v>5386</v>
      </c>
      <c r="E2531" s="1" t="s">
        <v>5387</v>
      </c>
      <c r="F2531" s="1" t="s">
        <v>16</v>
      </c>
      <c r="G2531" s="1" t="s">
        <v>17</v>
      </c>
      <c r="H2531" s="1" t="s">
        <v>18</v>
      </c>
      <c r="I2531" s="1" t="s">
        <v>40</v>
      </c>
    </row>
    <row r="2532">
      <c r="A2532" s="1">
        <v>5316003.0</v>
      </c>
      <c r="B2532" s="1" t="s">
        <v>5388</v>
      </c>
      <c r="C2532" s="1" t="s">
        <v>5247</v>
      </c>
      <c r="D2532" s="1" t="s">
        <v>5389</v>
      </c>
      <c r="E2532" s="1" t="s">
        <v>5390</v>
      </c>
      <c r="F2532" s="1" t="s">
        <v>16</v>
      </c>
      <c r="G2532" s="1" t="s">
        <v>23</v>
      </c>
      <c r="H2532" s="1" t="s">
        <v>18</v>
      </c>
      <c r="I2532" s="1" t="s">
        <v>40</v>
      </c>
    </row>
    <row r="2533">
      <c r="A2533" s="1">
        <v>5307010.0</v>
      </c>
      <c r="B2533" s="1" t="s">
        <v>5391</v>
      </c>
      <c r="C2533" s="1" t="s">
        <v>5247</v>
      </c>
      <c r="D2533" s="1" t="s">
        <v>5330</v>
      </c>
      <c r="E2533" s="1" t="s">
        <v>5392</v>
      </c>
      <c r="F2533" s="1" t="s">
        <v>16</v>
      </c>
      <c r="G2533" s="1" t="s">
        <v>17</v>
      </c>
      <c r="H2533" s="1" t="s">
        <v>18</v>
      </c>
      <c r="I2533" s="1" t="s">
        <v>40</v>
      </c>
    </row>
    <row r="2534">
      <c r="A2534" s="1">
        <v>6102012.0</v>
      </c>
      <c r="B2534" s="1" t="s">
        <v>5393</v>
      </c>
      <c r="C2534" s="1" t="s">
        <v>5394</v>
      </c>
      <c r="D2534" s="1" t="s">
        <v>5395</v>
      </c>
      <c r="E2534" s="1" t="s">
        <v>5396</v>
      </c>
      <c r="F2534" s="1" t="s">
        <v>16</v>
      </c>
      <c r="G2534" s="1" t="s">
        <v>17</v>
      </c>
      <c r="H2534" s="1" t="s">
        <v>28</v>
      </c>
      <c r="I2534" s="1" t="s">
        <v>40</v>
      </c>
    </row>
    <row r="2535">
      <c r="A2535" s="1">
        <v>6172135.0</v>
      </c>
      <c r="B2535" s="1" t="s">
        <v>5397</v>
      </c>
      <c r="C2535" s="1" t="s">
        <v>5394</v>
      </c>
      <c r="D2535" s="1" t="s">
        <v>5398</v>
      </c>
      <c r="E2535" s="1" t="s">
        <v>5399</v>
      </c>
      <c r="F2535" s="1" t="s">
        <v>16</v>
      </c>
      <c r="G2535" s="1" t="s">
        <v>23</v>
      </c>
      <c r="H2535" s="1" t="s">
        <v>18</v>
      </c>
      <c r="I2535" s="1" t="s">
        <v>19</v>
      </c>
    </row>
    <row r="2536">
      <c r="A2536" s="1">
        <v>6109023.0</v>
      </c>
      <c r="B2536" s="1" t="s">
        <v>5400</v>
      </c>
      <c r="C2536" s="1" t="s">
        <v>5394</v>
      </c>
      <c r="D2536" s="1" t="s">
        <v>5401</v>
      </c>
      <c r="E2536" s="1" t="s">
        <v>5402</v>
      </c>
      <c r="F2536" s="1" t="s">
        <v>16</v>
      </c>
      <c r="G2536" s="1" t="s">
        <v>98</v>
      </c>
      <c r="H2536" s="1" t="s">
        <v>18</v>
      </c>
      <c r="I2536" s="1" t="s">
        <v>40</v>
      </c>
    </row>
    <row r="2537">
      <c r="A2537" s="1">
        <v>6112135.0</v>
      </c>
      <c r="B2537" s="1" t="s">
        <v>5403</v>
      </c>
      <c r="C2537" s="1" t="s">
        <v>5394</v>
      </c>
      <c r="D2537" s="1" t="s">
        <v>5404</v>
      </c>
      <c r="E2537" s="1" t="s">
        <v>5405</v>
      </c>
      <c r="F2537" s="1" t="s">
        <v>16</v>
      </c>
      <c r="G2537" s="1" t="s">
        <v>17</v>
      </c>
      <c r="H2537" s="1" t="s">
        <v>18</v>
      </c>
      <c r="I2537" s="1" t="s">
        <v>563</v>
      </c>
    </row>
    <row r="2538">
      <c r="A2538" s="1">
        <v>6112003.0</v>
      </c>
      <c r="B2538" s="1" t="s">
        <v>5406</v>
      </c>
      <c r="C2538" s="1" t="s">
        <v>5394</v>
      </c>
      <c r="D2538" s="1" t="s">
        <v>5404</v>
      </c>
      <c r="E2538" s="1" t="s">
        <v>5407</v>
      </c>
      <c r="F2538" s="1" t="s">
        <v>16</v>
      </c>
      <c r="G2538" s="1" t="s">
        <v>23</v>
      </c>
      <c r="H2538" s="1" t="s">
        <v>28</v>
      </c>
      <c r="I2538" s="1" t="s">
        <v>40</v>
      </c>
    </row>
    <row r="2539">
      <c r="A2539" s="1">
        <v>6171136.0</v>
      </c>
      <c r="B2539" s="1" t="s">
        <v>5408</v>
      </c>
      <c r="C2539" s="1" t="s">
        <v>5394</v>
      </c>
      <c r="D2539" s="1" t="s">
        <v>5409</v>
      </c>
      <c r="E2539" s="1" t="s">
        <v>5410</v>
      </c>
      <c r="F2539" s="1" t="s">
        <v>55</v>
      </c>
      <c r="G2539" s="1" t="s">
        <v>17</v>
      </c>
      <c r="H2539" s="1" t="s">
        <v>18</v>
      </c>
      <c r="I2539" s="1" t="s">
        <v>19</v>
      </c>
    </row>
    <row r="2540">
      <c r="A2540" s="1">
        <v>6101033.0</v>
      </c>
      <c r="B2540" s="1" t="s">
        <v>5411</v>
      </c>
      <c r="C2540" s="1" t="s">
        <v>5394</v>
      </c>
      <c r="D2540" s="1" t="s">
        <v>5412</v>
      </c>
      <c r="E2540" s="1" t="s">
        <v>5413</v>
      </c>
      <c r="F2540" s="1" t="s">
        <v>16</v>
      </c>
      <c r="G2540" s="1" t="s">
        <v>17</v>
      </c>
      <c r="H2540" s="1" t="s">
        <v>28</v>
      </c>
      <c r="I2540" s="1" t="s">
        <v>40</v>
      </c>
    </row>
    <row r="2541">
      <c r="A2541" s="1">
        <v>6171155.0</v>
      </c>
      <c r="B2541" s="1" t="s">
        <v>5414</v>
      </c>
      <c r="C2541" s="1" t="s">
        <v>5394</v>
      </c>
      <c r="D2541" s="1" t="s">
        <v>5409</v>
      </c>
      <c r="E2541" s="1" t="s">
        <v>5415</v>
      </c>
      <c r="F2541" s="1" t="s">
        <v>16</v>
      </c>
      <c r="G2541" s="1" t="s">
        <v>23</v>
      </c>
      <c r="H2541" s="1" t="s">
        <v>18</v>
      </c>
      <c r="I2541" s="1" t="s">
        <v>44</v>
      </c>
    </row>
    <row r="2542">
      <c r="A2542" s="1">
        <v>6109012.0</v>
      </c>
      <c r="B2542" s="1" t="s">
        <v>5416</v>
      </c>
      <c r="C2542" s="1" t="s">
        <v>5394</v>
      </c>
      <c r="D2542" s="1" t="s">
        <v>5401</v>
      </c>
      <c r="E2542" s="1" t="s">
        <v>5417</v>
      </c>
      <c r="F2542" s="1" t="s">
        <v>16</v>
      </c>
      <c r="G2542" s="1" t="s">
        <v>17</v>
      </c>
      <c r="H2542" s="1" t="s">
        <v>28</v>
      </c>
      <c r="I2542" s="1" t="s">
        <v>40</v>
      </c>
    </row>
    <row r="2543">
      <c r="A2543" s="1">
        <v>6171141.0</v>
      </c>
      <c r="B2543" s="1" t="s">
        <v>5418</v>
      </c>
      <c r="C2543" s="1" t="s">
        <v>5394</v>
      </c>
      <c r="D2543" s="1" t="s">
        <v>5409</v>
      </c>
      <c r="E2543" s="1" t="s">
        <v>5419</v>
      </c>
      <c r="F2543" s="1" t="s">
        <v>16</v>
      </c>
      <c r="G2543" s="1" t="s">
        <v>17</v>
      </c>
      <c r="H2543" s="1" t="s">
        <v>18</v>
      </c>
      <c r="I2543" s="1" t="s">
        <v>44</v>
      </c>
    </row>
    <row r="2544">
      <c r="A2544" s="1">
        <v>6104014.0</v>
      </c>
      <c r="B2544" s="1" t="s">
        <v>5420</v>
      </c>
      <c r="C2544" s="1" t="s">
        <v>5394</v>
      </c>
      <c r="D2544" s="1" t="s">
        <v>5421</v>
      </c>
      <c r="E2544" s="1" t="s">
        <v>5422</v>
      </c>
      <c r="F2544" s="1" t="s">
        <v>16</v>
      </c>
      <c r="G2544" s="1" t="s">
        <v>17</v>
      </c>
      <c r="H2544" s="1" t="s">
        <v>28</v>
      </c>
      <c r="I2544" s="1" t="s">
        <v>40</v>
      </c>
    </row>
    <row r="2545">
      <c r="A2545" s="1">
        <v>6106021.0</v>
      </c>
      <c r="B2545" s="1" t="s">
        <v>5423</v>
      </c>
      <c r="C2545" s="1" t="s">
        <v>5394</v>
      </c>
      <c r="D2545" s="1" t="s">
        <v>5424</v>
      </c>
      <c r="E2545" s="1" t="s">
        <v>5425</v>
      </c>
      <c r="F2545" s="1" t="s">
        <v>55</v>
      </c>
      <c r="G2545" s="1" t="s">
        <v>17</v>
      </c>
      <c r="H2545" s="1" t="s">
        <v>18</v>
      </c>
      <c r="I2545" s="1" t="s">
        <v>44</v>
      </c>
    </row>
    <row r="2546">
      <c r="A2546" s="1">
        <v>6110016.0</v>
      </c>
      <c r="B2546" s="1" t="s">
        <v>5426</v>
      </c>
      <c r="C2546" s="1" t="s">
        <v>5394</v>
      </c>
      <c r="D2546" s="1" t="s">
        <v>5427</v>
      </c>
      <c r="E2546" s="1" t="s">
        <v>5428</v>
      </c>
      <c r="F2546" s="1" t="s">
        <v>16</v>
      </c>
      <c r="G2546" s="1" t="s">
        <v>23</v>
      </c>
      <c r="H2546" s="1" t="s">
        <v>28</v>
      </c>
      <c r="I2546" s="1" t="s">
        <v>40</v>
      </c>
    </row>
    <row r="2547">
      <c r="A2547" s="1">
        <v>6102055.0</v>
      </c>
      <c r="B2547" s="1" t="s">
        <v>5429</v>
      </c>
      <c r="C2547" s="1" t="s">
        <v>5394</v>
      </c>
      <c r="D2547" s="1" t="s">
        <v>5395</v>
      </c>
      <c r="E2547" s="1" t="s">
        <v>5430</v>
      </c>
      <c r="F2547" s="1" t="s">
        <v>16</v>
      </c>
      <c r="G2547" s="1" t="s">
        <v>17</v>
      </c>
      <c r="H2547" s="1" t="s">
        <v>18</v>
      </c>
      <c r="I2547" s="1" t="s">
        <v>258</v>
      </c>
    </row>
    <row r="2548">
      <c r="A2548" s="1">
        <v>6171011.0</v>
      </c>
      <c r="B2548" s="1" t="s">
        <v>5431</v>
      </c>
      <c r="C2548" s="1" t="s">
        <v>5394</v>
      </c>
      <c r="D2548" s="1" t="s">
        <v>5409</v>
      </c>
      <c r="E2548" s="1" t="s">
        <v>5432</v>
      </c>
      <c r="F2548" s="1" t="s">
        <v>16</v>
      </c>
      <c r="G2548" s="1" t="s">
        <v>150</v>
      </c>
      <c r="H2548" s="1" t="s">
        <v>28</v>
      </c>
      <c r="I2548" s="1" t="s">
        <v>139</v>
      </c>
    </row>
    <row r="2549">
      <c r="A2549" s="1">
        <v>6105028.0</v>
      </c>
      <c r="B2549" s="1" t="s">
        <v>5433</v>
      </c>
      <c r="C2549" s="1" t="s">
        <v>5394</v>
      </c>
      <c r="D2549" s="1" t="s">
        <v>5434</v>
      </c>
      <c r="E2549" s="1" t="s">
        <v>5435</v>
      </c>
      <c r="F2549" s="1" t="s">
        <v>16</v>
      </c>
      <c r="G2549" s="1" t="s">
        <v>23</v>
      </c>
      <c r="H2549" s="1" t="s">
        <v>18</v>
      </c>
      <c r="I2549" s="1" t="s">
        <v>44</v>
      </c>
    </row>
    <row r="2550">
      <c r="A2550" s="1">
        <v>6171156.0</v>
      </c>
      <c r="B2550" s="1" t="s">
        <v>5436</v>
      </c>
      <c r="C2550" s="1" t="s">
        <v>5394</v>
      </c>
      <c r="D2550" s="1" t="s">
        <v>5409</v>
      </c>
      <c r="E2550" s="1" t="s">
        <v>5437</v>
      </c>
      <c r="F2550" s="1" t="s">
        <v>16</v>
      </c>
      <c r="G2550" s="1" t="s">
        <v>23</v>
      </c>
      <c r="H2550" s="1" t="s">
        <v>18</v>
      </c>
      <c r="I2550" s="1" t="s">
        <v>29</v>
      </c>
    </row>
    <row r="2551">
      <c r="A2551" s="1">
        <v>6105031.0</v>
      </c>
      <c r="B2551" s="1" t="s">
        <v>5438</v>
      </c>
      <c r="C2551" s="1" t="s">
        <v>5394</v>
      </c>
      <c r="D2551" s="1" t="s">
        <v>5434</v>
      </c>
      <c r="E2551" s="1" t="s">
        <v>5439</v>
      </c>
      <c r="F2551" s="1" t="s">
        <v>16</v>
      </c>
      <c r="G2551" s="1" t="s">
        <v>23</v>
      </c>
      <c r="H2551" s="1" t="s">
        <v>18</v>
      </c>
      <c r="I2551" s="1" t="s">
        <v>40</v>
      </c>
    </row>
    <row r="2552">
      <c r="A2552" s="1">
        <v>6172002.0</v>
      </c>
      <c r="B2552" s="1" t="s">
        <v>5440</v>
      </c>
      <c r="C2552" s="1" t="s">
        <v>5394</v>
      </c>
      <c r="D2552" s="1" t="s">
        <v>5398</v>
      </c>
      <c r="E2552" s="1" t="s">
        <v>5441</v>
      </c>
      <c r="F2552" s="1" t="s">
        <v>55</v>
      </c>
      <c r="G2552" s="1" t="s">
        <v>17</v>
      </c>
      <c r="H2552" s="1" t="s">
        <v>18</v>
      </c>
      <c r="I2552" s="1" t="s">
        <v>19</v>
      </c>
    </row>
    <row r="2553">
      <c r="A2553" s="1">
        <v>6105026.0</v>
      </c>
      <c r="B2553" s="1" t="s">
        <v>5442</v>
      </c>
      <c r="C2553" s="1" t="s">
        <v>5394</v>
      </c>
      <c r="D2553" s="1" t="s">
        <v>5434</v>
      </c>
      <c r="E2553" s="1" t="s">
        <v>5443</v>
      </c>
      <c r="F2553" s="1" t="s">
        <v>16</v>
      </c>
      <c r="G2553" s="1" t="s">
        <v>17</v>
      </c>
      <c r="H2553" s="1" t="s">
        <v>18</v>
      </c>
      <c r="I2553" s="1" t="s">
        <v>44</v>
      </c>
    </row>
    <row r="2554">
      <c r="A2554" s="1">
        <v>6101137.0</v>
      </c>
      <c r="B2554" s="1" t="s">
        <v>5444</v>
      </c>
      <c r="C2554" s="1" t="s">
        <v>5394</v>
      </c>
      <c r="D2554" s="1" t="s">
        <v>5412</v>
      </c>
      <c r="E2554" s="1" t="s">
        <v>5445</v>
      </c>
      <c r="F2554" s="1" t="s">
        <v>16</v>
      </c>
      <c r="G2554" s="1" t="s">
        <v>23</v>
      </c>
      <c r="H2554" s="1" t="s">
        <v>18</v>
      </c>
      <c r="I2554" s="1" t="s">
        <v>40</v>
      </c>
    </row>
    <row r="2555">
      <c r="A2555" s="1">
        <v>6110015.0</v>
      </c>
      <c r="B2555" s="1" t="s">
        <v>5446</v>
      </c>
      <c r="C2555" s="1" t="s">
        <v>5394</v>
      </c>
      <c r="D2555" s="1" t="s">
        <v>5427</v>
      </c>
      <c r="E2555" s="1" t="s">
        <v>5447</v>
      </c>
      <c r="F2555" s="1" t="s">
        <v>16</v>
      </c>
      <c r="G2555" s="1" t="s">
        <v>23</v>
      </c>
      <c r="H2555" s="1" t="s">
        <v>18</v>
      </c>
      <c r="I2555" s="1" t="s">
        <v>44</v>
      </c>
    </row>
    <row r="2556">
      <c r="A2556" s="1">
        <v>6107038.0</v>
      </c>
      <c r="B2556" s="1" t="s">
        <v>5448</v>
      </c>
      <c r="C2556" s="1" t="s">
        <v>5394</v>
      </c>
      <c r="D2556" s="1" t="s">
        <v>5449</v>
      </c>
      <c r="E2556" s="1" t="s">
        <v>5450</v>
      </c>
      <c r="F2556" s="1" t="s">
        <v>174</v>
      </c>
      <c r="G2556" s="1" t="s">
        <v>17</v>
      </c>
      <c r="H2556" s="1" t="s">
        <v>18</v>
      </c>
      <c r="I2556" s="1" t="s">
        <v>40</v>
      </c>
    </row>
    <row r="2557">
      <c r="A2557" s="1">
        <v>6172113.0</v>
      </c>
      <c r="B2557" s="1" t="s">
        <v>5451</v>
      </c>
      <c r="C2557" s="1" t="s">
        <v>5394</v>
      </c>
      <c r="D2557" s="1" t="s">
        <v>5398</v>
      </c>
      <c r="E2557" s="1" t="s">
        <v>5452</v>
      </c>
      <c r="F2557" s="1" t="s">
        <v>16</v>
      </c>
      <c r="G2557" s="1" t="s">
        <v>17</v>
      </c>
      <c r="H2557" s="1" t="s">
        <v>18</v>
      </c>
      <c r="I2557" s="1" t="s">
        <v>249</v>
      </c>
    </row>
    <row r="2558">
      <c r="A2558" s="1">
        <v>6171033.0</v>
      </c>
      <c r="B2558" s="1" t="s">
        <v>5453</v>
      </c>
      <c r="C2558" s="1" t="s">
        <v>5394</v>
      </c>
      <c r="D2558" s="1" t="s">
        <v>5409</v>
      </c>
      <c r="E2558" s="1" t="s">
        <v>5454</v>
      </c>
      <c r="F2558" s="1" t="s">
        <v>16</v>
      </c>
      <c r="G2558" s="1" t="s">
        <v>27</v>
      </c>
      <c r="H2558" s="1" t="s">
        <v>18</v>
      </c>
      <c r="I2558" s="1" t="s">
        <v>59</v>
      </c>
    </row>
    <row r="2559">
      <c r="A2559" s="1">
        <v>6107027.0</v>
      </c>
      <c r="B2559" s="1" t="s">
        <v>5455</v>
      </c>
      <c r="C2559" s="1" t="s">
        <v>5394</v>
      </c>
      <c r="D2559" s="1" t="s">
        <v>5449</v>
      </c>
      <c r="E2559" s="1" t="s">
        <v>5456</v>
      </c>
      <c r="F2559" s="1" t="s">
        <v>16</v>
      </c>
      <c r="G2559" s="1" t="s">
        <v>23</v>
      </c>
      <c r="H2559" s="1" t="s">
        <v>18</v>
      </c>
      <c r="I2559" s="1" t="s">
        <v>44</v>
      </c>
    </row>
    <row r="2560">
      <c r="A2560" s="1">
        <v>6106020.0</v>
      </c>
      <c r="B2560" s="1" t="s">
        <v>5457</v>
      </c>
      <c r="C2560" s="1" t="s">
        <v>5394</v>
      </c>
      <c r="D2560" s="1" t="s">
        <v>5424</v>
      </c>
      <c r="E2560" s="1" t="s">
        <v>5458</v>
      </c>
      <c r="F2560" s="1" t="s">
        <v>16</v>
      </c>
      <c r="G2560" s="1" t="s">
        <v>17</v>
      </c>
      <c r="H2560" s="1" t="s">
        <v>18</v>
      </c>
      <c r="I2560" s="1" t="s">
        <v>249</v>
      </c>
    </row>
    <row r="2561">
      <c r="A2561" s="1">
        <v>6112002.0</v>
      </c>
      <c r="B2561" s="1" t="s">
        <v>5459</v>
      </c>
      <c r="C2561" s="1" t="s">
        <v>5394</v>
      </c>
      <c r="D2561" s="1" t="s">
        <v>5404</v>
      </c>
      <c r="E2561" s="1" t="s">
        <v>5460</v>
      </c>
      <c r="F2561" s="1" t="s">
        <v>55</v>
      </c>
      <c r="G2561" s="1" t="s">
        <v>17</v>
      </c>
      <c r="H2561" s="1" t="s">
        <v>18</v>
      </c>
      <c r="I2561" s="1" t="s">
        <v>44</v>
      </c>
    </row>
    <row r="2562">
      <c r="A2562" s="1">
        <v>6107022.0</v>
      </c>
      <c r="B2562" s="1" t="s">
        <v>5461</v>
      </c>
      <c r="C2562" s="1" t="s">
        <v>5394</v>
      </c>
      <c r="D2562" s="1" t="s">
        <v>5449</v>
      </c>
      <c r="E2562" s="1" t="s">
        <v>5462</v>
      </c>
      <c r="F2562" s="1" t="s">
        <v>16</v>
      </c>
      <c r="G2562" s="1" t="s">
        <v>23</v>
      </c>
      <c r="H2562" s="1" t="s">
        <v>18</v>
      </c>
      <c r="I2562" s="1" t="s">
        <v>74</v>
      </c>
    </row>
    <row r="2563">
      <c r="A2563" s="1">
        <v>6171085.0</v>
      </c>
      <c r="B2563" s="1" t="s">
        <v>5463</v>
      </c>
      <c r="C2563" s="1" t="s">
        <v>5394</v>
      </c>
      <c r="D2563" s="1" t="s">
        <v>5409</v>
      </c>
      <c r="E2563" s="1" t="s">
        <v>5464</v>
      </c>
      <c r="F2563" s="1" t="s">
        <v>55</v>
      </c>
      <c r="G2563" s="1" t="s">
        <v>17</v>
      </c>
      <c r="H2563" s="1" t="s">
        <v>18</v>
      </c>
      <c r="I2563" s="1" t="s">
        <v>44</v>
      </c>
    </row>
    <row r="2564">
      <c r="A2564" s="1">
        <v>6101135.0</v>
      </c>
      <c r="B2564" s="1" t="s">
        <v>5465</v>
      </c>
      <c r="C2564" s="1" t="s">
        <v>5394</v>
      </c>
      <c r="D2564" s="1" t="s">
        <v>5412</v>
      </c>
      <c r="E2564" s="1" t="s">
        <v>5466</v>
      </c>
      <c r="F2564" s="1" t="s">
        <v>16</v>
      </c>
      <c r="G2564" s="1" t="s">
        <v>23</v>
      </c>
      <c r="H2564" s="1" t="s">
        <v>18</v>
      </c>
      <c r="I2564" s="1" t="s">
        <v>249</v>
      </c>
    </row>
    <row r="2565">
      <c r="A2565" s="1">
        <v>6171124.0</v>
      </c>
      <c r="B2565" s="1" t="s">
        <v>5467</v>
      </c>
      <c r="C2565" s="1" t="s">
        <v>5394</v>
      </c>
      <c r="D2565" s="1" t="s">
        <v>5409</v>
      </c>
      <c r="E2565" s="1" t="s">
        <v>5468</v>
      </c>
      <c r="F2565" s="1" t="s">
        <v>16</v>
      </c>
      <c r="G2565" s="1" t="s">
        <v>17</v>
      </c>
      <c r="H2565" s="1" t="s">
        <v>18</v>
      </c>
      <c r="I2565" s="1" t="s">
        <v>19</v>
      </c>
    </row>
    <row r="2566">
      <c r="A2566" s="1">
        <v>6101022.0</v>
      </c>
      <c r="B2566" s="1" t="s">
        <v>5469</v>
      </c>
      <c r="C2566" s="1" t="s">
        <v>5394</v>
      </c>
      <c r="D2566" s="1" t="s">
        <v>5412</v>
      </c>
      <c r="E2566" s="1" t="s">
        <v>5470</v>
      </c>
      <c r="F2566" s="1" t="s">
        <v>16</v>
      </c>
      <c r="G2566" s="1" t="s">
        <v>17</v>
      </c>
      <c r="H2566" s="1" t="s">
        <v>28</v>
      </c>
      <c r="I2566" s="1" t="s">
        <v>40</v>
      </c>
    </row>
    <row r="2567">
      <c r="A2567" s="1">
        <v>6171139.0</v>
      </c>
      <c r="B2567" s="1" t="s">
        <v>5471</v>
      </c>
      <c r="C2567" s="1" t="s">
        <v>5394</v>
      </c>
      <c r="D2567" s="1" t="s">
        <v>5409</v>
      </c>
      <c r="E2567" s="1" t="s">
        <v>5472</v>
      </c>
      <c r="F2567" s="1" t="s">
        <v>16</v>
      </c>
      <c r="G2567" s="1" t="s">
        <v>17</v>
      </c>
      <c r="H2567" s="1" t="s">
        <v>33</v>
      </c>
      <c r="I2567" s="1" t="s">
        <v>34</v>
      </c>
    </row>
    <row r="2568">
      <c r="A2568" s="1">
        <v>6108011.0</v>
      </c>
      <c r="B2568" s="1" t="s">
        <v>5473</v>
      </c>
      <c r="C2568" s="1" t="s">
        <v>5394</v>
      </c>
      <c r="D2568" s="1" t="s">
        <v>5474</v>
      </c>
      <c r="E2568" s="1" t="s">
        <v>5475</v>
      </c>
      <c r="F2568" s="1" t="s">
        <v>16</v>
      </c>
      <c r="G2568" s="1" t="s">
        <v>17</v>
      </c>
      <c r="H2568" s="1" t="s">
        <v>28</v>
      </c>
      <c r="I2568" s="1" t="s">
        <v>40</v>
      </c>
    </row>
    <row r="2569">
      <c r="A2569" s="1">
        <v>6171067.0</v>
      </c>
      <c r="B2569" s="1" t="s">
        <v>5476</v>
      </c>
      <c r="C2569" s="1" t="s">
        <v>5394</v>
      </c>
      <c r="D2569" s="1" t="s">
        <v>5409</v>
      </c>
      <c r="E2569" s="1" t="s">
        <v>5477</v>
      </c>
      <c r="F2569" s="1" t="s">
        <v>16</v>
      </c>
      <c r="G2569" s="1" t="s">
        <v>17</v>
      </c>
      <c r="H2569" s="1" t="s">
        <v>33</v>
      </c>
      <c r="I2569" s="1" t="s">
        <v>65</v>
      </c>
    </row>
    <row r="2570">
      <c r="A2570" s="1">
        <v>6103013.0</v>
      </c>
      <c r="B2570" s="1" t="s">
        <v>5478</v>
      </c>
      <c r="C2570" s="1" t="s">
        <v>5394</v>
      </c>
      <c r="D2570" s="1" t="s">
        <v>5479</v>
      </c>
      <c r="E2570" s="1" t="s">
        <v>5480</v>
      </c>
      <c r="F2570" s="1" t="s">
        <v>16</v>
      </c>
      <c r="G2570" s="1" t="s">
        <v>17</v>
      </c>
      <c r="H2570" s="1" t="s">
        <v>28</v>
      </c>
      <c r="I2570" s="1" t="s">
        <v>40</v>
      </c>
    </row>
    <row r="2571">
      <c r="A2571" s="1">
        <v>6171138.0</v>
      </c>
      <c r="B2571" s="1" t="s">
        <v>5481</v>
      </c>
      <c r="C2571" s="1" t="s">
        <v>5394</v>
      </c>
      <c r="D2571" s="1" t="s">
        <v>5409</v>
      </c>
      <c r="E2571" s="1" t="s">
        <v>5482</v>
      </c>
      <c r="F2571" s="1" t="s">
        <v>16</v>
      </c>
      <c r="G2571" s="1" t="s">
        <v>17</v>
      </c>
      <c r="H2571" s="1" t="s">
        <v>28</v>
      </c>
      <c r="I2571" s="1" t="s">
        <v>29</v>
      </c>
    </row>
    <row r="2572">
      <c r="A2572" s="1">
        <v>6172044.0</v>
      </c>
      <c r="B2572" s="1" t="s">
        <v>5483</v>
      </c>
      <c r="C2572" s="1" t="s">
        <v>5394</v>
      </c>
      <c r="D2572" s="1" t="s">
        <v>5398</v>
      </c>
      <c r="E2572" s="1" t="s">
        <v>5484</v>
      </c>
      <c r="F2572" s="1" t="s">
        <v>16</v>
      </c>
      <c r="G2572" s="1" t="s">
        <v>23</v>
      </c>
      <c r="H2572" s="1" t="s">
        <v>18</v>
      </c>
      <c r="I2572" s="1" t="s">
        <v>74</v>
      </c>
    </row>
    <row r="2573">
      <c r="A2573" s="1">
        <v>6110012.0</v>
      </c>
      <c r="B2573" s="1" t="s">
        <v>5485</v>
      </c>
      <c r="C2573" s="1" t="s">
        <v>5394</v>
      </c>
      <c r="D2573" s="1" t="s">
        <v>5427</v>
      </c>
      <c r="E2573" s="1" t="s">
        <v>5486</v>
      </c>
      <c r="F2573" s="1" t="s">
        <v>16</v>
      </c>
      <c r="G2573" s="1" t="s">
        <v>17</v>
      </c>
      <c r="H2573" s="1" t="s">
        <v>28</v>
      </c>
      <c r="I2573" s="1" t="s">
        <v>40</v>
      </c>
    </row>
    <row r="2574">
      <c r="A2574" s="1">
        <v>6110013.0</v>
      </c>
      <c r="B2574" s="1" t="s">
        <v>5487</v>
      </c>
      <c r="C2574" s="1" t="s">
        <v>5394</v>
      </c>
      <c r="D2574" s="1" t="s">
        <v>5427</v>
      </c>
      <c r="E2574" s="1" t="s">
        <v>5488</v>
      </c>
      <c r="F2574" s="1" t="s">
        <v>16</v>
      </c>
      <c r="G2574" s="1" t="s">
        <v>23</v>
      </c>
      <c r="H2574" s="1" t="s">
        <v>18</v>
      </c>
      <c r="I2574" s="1" t="s">
        <v>44</v>
      </c>
    </row>
    <row r="2575">
      <c r="A2575" s="1">
        <v>6108012.0</v>
      </c>
      <c r="B2575" s="1" t="s">
        <v>5489</v>
      </c>
      <c r="C2575" s="1" t="s">
        <v>5394</v>
      </c>
      <c r="D2575" s="1" t="s">
        <v>5474</v>
      </c>
      <c r="E2575" s="1" t="s">
        <v>5490</v>
      </c>
      <c r="F2575" s="1" t="s">
        <v>16</v>
      </c>
      <c r="G2575" s="1" t="s">
        <v>23</v>
      </c>
      <c r="H2575" s="1" t="s">
        <v>18</v>
      </c>
      <c r="I2575" s="1" t="s">
        <v>40</v>
      </c>
    </row>
    <row r="2576">
      <c r="A2576" s="1">
        <v>6105015.0</v>
      </c>
      <c r="B2576" s="1" t="s">
        <v>5491</v>
      </c>
      <c r="C2576" s="1" t="s">
        <v>5394</v>
      </c>
      <c r="D2576" s="1" t="s">
        <v>5434</v>
      </c>
      <c r="E2576" s="1" t="s">
        <v>5492</v>
      </c>
      <c r="F2576" s="1" t="s">
        <v>16</v>
      </c>
      <c r="G2576" s="1" t="s">
        <v>17</v>
      </c>
      <c r="H2576" s="1" t="s">
        <v>28</v>
      </c>
      <c r="I2576" s="1" t="s">
        <v>40</v>
      </c>
    </row>
    <row r="2577">
      <c r="A2577" s="1">
        <v>6107025.0</v>
      </c>
      <c r="B2577" s="1" t="s">
        <v>5493</v>
      </c>
      <c r="C2577" s="1" t="s">
        <v>5394</v>
      </c>
      <c r="D2577" s="1" t="s">
        <v>5449</v>
      </c>
      <c r="E2577" s="1" t="s">
        <v>5494</v>
      </c>
      <c r="F2577" s="1" t="s">
        <v>16</v>
      </c>
      <c r="G2577" s="1" t="s">
        <v>23</v>
      </c>
      <c r="H2577" s="1" t="s">
        <v>18</v>
      </c>
      <c r="I2577" s="1" t="s">
        <v>44</v>
      </c>
    </row>
    <row r="2578">
      <c r="A2578" s="1">
        <v>6107024.0</v>
      </c>
      <c r="B2578" s="1" t="s">
        <v>5495</v>
      </c>
      <c r="C2578" s="1" t="s">
        <v>5394</v>
      </c>
      <c r="D2578" s="1" t="s">
        <v>5449</v>
      </c>
      <c r="E2578" s="1" t="s">
        <v>5496</v>
      </c>
      <c r="F2578" s="1" t="s">
        <v>55</v>
      </c>
      <c r="G2578" s="1" t="s">
        <v>17</v>
      </c>
      <c r="H2578" s="1" t="s">
        <v>18</v>
      </c>
      <c r="I2578" s="1" t="s">
        <v>44</v>
      </c>
    </row>
    <row r="2579">
      <c r="A2579" s="1">
        <v>6172066.0</v>
      </c>
      <c r="B2579" s="1" t="s">
        <v>5497</v>
      </c>
      <c r="C2579" s="1" t="s">
        <v>5394</v>
      </c>
      <c r="D2579" s="1" t="s">
        <v>5398</v>
      </c>
      <c r="E2579" s="1" t="s">
        <v>5498</v>
      </c>
      <c r="F2579" s="1" t="s">
        <v>174</v>
      </c>
      <c r="G2579" s="1" t="s">
        <v>27</v>
      </c>
      <c r="H2579" s="1" t="s">
        <v>28</v>
      </c>
      <c r="I2579" s="1" t="s">
        <v>139</v>
      </c>
    </row>
    <row r="2580">
      <c r="A2580" s="1">
        <v>6171022.0</v>
      </c>
      <c r="B2580" s="1" t="s">
        <v>5499</v>
      </c>
      <c r="C2580" s="1" t="s">
        <v>5394</v>
      </c>
      <c r="D2580" s="1" t="s">
        <v>5404</v>
      </c>
      <c r="E2580" s="1" t="s">
        <v>5500</v>
      </c>
      <c r="F2580" s="1" t="s">
        <v>16</v>
      </c>
      <c r="G2580" s="1" t="s">
        <v>17</v>
      </c>
      <c r="H2580" s="1" t="s">
        <v>33</v>
      </c>
      <c r="I2580" s="1" t="s">
        <v>74</v>
      </c>
    </row>
    <row r="2581">
      <c r="A2581" s="1">
        <v>6111002.0</v>
      </c>
      <c r="B2581" s="1" t="s">
        <v>5501</v>
      </c>
      <c r="C2581" s="1" t="s">
        <v>5394</v>
      </c>
      <c r="D2581" s="1" t="s">
        <v>5502</v>
      </c>
      <c r="E2581" s="1" t="s">
        <v>5503</v>
      </c>
      <c r="F2581" s="1" t="s">
        <v>16</v>
      </c>
      <c r="G2581" s="1" t="s">
        <v>17</v>
      </c>
      <c r="H2581" s="1" t="s">
        <v>28</v>
      </c>
      <c r="I2581" s="1" t="s">
        <v>40</v>
      </c>
    </row>
    <row r="2582">
      <c r="A2582" s="1">
        <v>6106016.0</v>
      </c>
      <c r="B2582" s="1" t="s">
        <v>5504</v>
      </c>
      <c r="C2582" s="1" t="s">
        <v>5394</v>
      </c>
      <c r="D2582" s="1" t="s">
        <v>5424</v>
      </c>
      <c r="E2582" s="1" t="s">
        <v>5505</v>
      </c>
      <c r="F2582" s="1" t="s">
        <v>16</v>
      </c>
      <c r="G2582" s="1" t="s">
        <v>17</v>
      </c>
      <c r="H2582" s="1" t="s">
        <v>28</v>
      </c>
      <c r="I2582" s="1" t="s">
        <v>40</v>
      </c>
    </row>
    <row r="2583">
      <c r="A2583" s="1">
        <v>6108014.0</v>
      </c>
      <c r="B2583" s="1" t="s">
        <v>5506</v>
      </c>
      <c r="C2583" s="1" t="s">
        <v>5394</v>
      </c>
      <c r="D2583" s="1" t="s">
        <v>5474</v>
      </c>
      <c r="E2583" s="1" t="s">
        <v>5507</v>
      </c>
      <c r="F2583" s="1" t="s">
        <v>16</v>
      </c>
      <c r="G2583" s="1" t="s">
        <v>23</v>
      </c>
      <c r="H2583" s="1" t="s">
        <v>18</v>
      </c>
      <c r="I2583" s="1" t="s">
        <v>40</v>
      </c>
    </row>
    <row r="2584">
      <c r="A2584" s="1">
        <v>6107026.0</v>
      </c>
      <c r="B2584" s="1" t="s">
        <v>5508</v>
      </c>
      <c r="C2584" s="1" t="s">
        <v>5394</v>
      </c>
      <c r="D2584" s="1" t="s">
        <v>5449</v>
      </c>
      <c r="E2584" s="1" t="s">
        <v>5509</v>
      </c>
      <c r="F2584" s="1" t="s">
        <v>16</v>
      </c>
      <c r="G2584" s="1" t="s">
        <v>23</v>
      </c>
      <c r="H2584" s="1" t="s">
        <v>28</v>
      </c>
      <c r="I2584" s="1" t="s">
        <v>40</v>
      </c>
    </row>
    <row r="2585">
      <c r="A2585" s="1">
        <v>6172124.0</v>
      </c>
      <c r="B2585" s="1" t="s">
        <v>5510</v>
      </c>
      <c r="C2585" s="1" t="s">
        <v>5394</v>
      </c>
      <c r="D2585" s="1" t="s">
        <v>5398</v>
      </c>
      <c r="E2585" s="1" t="s">
        <v>5511</v>
      </c>
      <c r="F2585" s="1" t="s">
        <v>16</v>
      </c>
      <c r="G2585" s="1" t="s">
        <v>17</v>
      </c>
      <c r="H2585" s="1" t="s">
        <v>18</v>
      </c>
      <c r="I2585" s="1" t="s">
        <v>44</v>
      </c>
    </row>
    <row r="2586">
      <c r="A2586" s="1">
        <v>6103024.0</v>
      </c>
      <c r="B2586" s="1" t="s">
        <v>5512</v>
      </c>
      <c r="C2586" s="1" t="s">
        <v>5394</v>
      </c>
      <c r="D2586" s="1" t="s">
        <v>5479</v>
      </c>
      <c r="E2586" s="1" t="s">
        <v>5513</v>
      </c>
      <c r="F2586" s="1" t="s">
        <v>16</v>
      </c>
      <c r="G2586" s="1" t="s">
        <v>98</v>
      </c>
      <c r="H2586" s="1" t="s">
        <v>18</v>
      </c>
      <c r="I2586" s="1" t="s">
        <v>40</v>
      </c>
    </row>
    <row r="2587">
      <c r="A2587" s="1">
        <v>6171140.0</v>
      </c>
      <c r="B2587" s="1" t="s">
        <v>5514</v>
      </c>
      <c r="C2587" s="1" t="s">
        <v>5394</v>
      </c>
      <c r="D2587" s="1" t="s">
        <v>5409</v>
      </c>
      <c r="E2587" s="1" t="s">
        <v>5515</v>
      </c>
      <c r="F2587" s="1" t="s">
        <v>16</v>
      </c>
      <c r="G2587" s="1" t="s">
        <v>23</v>
      </c>
      <c r="H2587" s="1" t="s">
        <v>18</v>
      </c>
      <c r="I2587" s="1" t="s">
        <v>19</v>
      </c>
    </row>
    <row r="2588">
      <c r="A2588" s="1">
        <v>6171113.0</v>
      </c>
      <c r="B2588" s="1" t="s">
        <v>5516</v>
      </c>
      <c r="C2588" s="1" t="s">
        <v>5394</v>
      </c>
      <c r="D2588" s="1" t="s">
        <v>5409</v>
      </c>
      <c r="E2588" s="1" t="s">
        <v>5517</v>
      </c>
      <c r="F2588" s="1" t="s">
        <v>16</v>
      </c>
      <c r="G2588" s="1" t="s">
        <v>17</v>
      </c>
      <c r="H2588" s="1" t="s">
        <v>18</v>
      </c>
      <c r="I2588" s="1" t="s">
        <v>684</v>
      </c>
    </row>
    <row r="2589">
      <c r="A2589" s="1">
        <v>6172011.0</v>
      </c>
      <c r="B2589" s="1" t="s">
        <v>5518</v>
      </c>
      <c r="C2589" s="1" t="s">
        <v>5394</v>
      </c>
      <c r="D2589" s="1" t="s">
        <v>5398</v>
      </c>
      <c r="E2589" s="1" t="s">
        <v>5519</v>
      </c>
      <c r="F2589" s="1" t="s">
        <v>16</v>
      </c>
      <c r="G2589" s="1" t="s">
        <v>27</v>
      </c>
      <c r="H2589" s="1" t="s">
        <v>28</v>
      </c>
      <c r="I2589" s="1" t="s">
        <v>29</v>
      </c>
    </row>
    <row r="2590">
      <c r="A2590" s="1">
        <v>6171078.0</v>
      </c>
      <c r="B2590" s="1" t="s">
        <v>5520</v>
      </c>
      <c r="C2590" s="1" t="s">
        <v>5394</v>
      </c>
      <c r="D2590" s="1" t="s">
        <v>5409</v>
      </c>
      <c r="E2590" s="1" t="s">
        <v>5521</v>
      </c>
      <c r="F2590" s="1" t="s">
        <v>16</v>
      </c>
      <c r="G2590" s="1" t="s">
        <v>23</v>
      </c>
      <c r="H2590" s="1" t="s">
        <v>18</v>
      </c>
      <c r="I2590" s="1" t="s">
        <v>19</v>
      </c>
    </row>
    <row r="2591">
      <c r="A2591" s="1">
        <v>6107010.0</v>
      </c>
      <c r="B2591" s="1" t="s">
        <v>5522</v>
      </c>
      <c r="C2591" s="1" t="s">
        <v>5394</v>
      </c>
      <c r="D2591" s="1" t="s">
        <v>5449</v>
      </c>
      <c r="E2591" s="1" t="s">
        <v>5523</v>
      </c>
      <c r="F2591" s="1" t="s">
        <v>16</v>
      </c>
      <c r="G2591" s="1" t="s">
        <v>27</v>
      </c>
      <c r="H2591" s="1" t="s">
        <v>28</v>
      </c>
      <c r="I2591" s="1" t="s">
        <v>40</v>
      </c>
    </row>
    <row r="2592">
      <c r="A2592" s="1">
        <v>6271028.0</v>
      </c>
      <c r="B2592" s="1" t="s">
        <v>5524</v>
      </c>
      <c r="C2592" s="1" t="s">
        <v>5525</v>
      </c>
      <c r="D2592" s="1" t="s">
        <v>5526</v>
      </c>
      <c r="E2592" s="1" t="s">
        <v>5527</v>
      </c>
      <c r="F2592" s="1" t="s">
        <v>55</v>
      </c>
      <c r="G2592" s="1" t="s">
        <v>17</v>
      </c>
      <c r="H2592" s="1" t="s">
        <v>18</v>
      </c>
      <c r="I2592" s="1" t="s">
        <v>19</v>
      </c>
    </row>
    <row r="2593">
      <c r="A2593" s="1">
        <v>6271080.0</v>
      </c>
      <c r="B2593" s="1" t="s">
        <v>5528</v>
      </c>
      <c r="C2593" s="1" t="s">
        <v>5525</v>
      </c>
      <c r="D2593" s="1" t="s">
        <v>5526</v>
      </c>
      <c r="E2593" s="1" t="s">
        <v>5529</v>
      </c>
      <c r="F2593" s="1" t="s">
        <v>16</v>
      </c>
      <c r="G2593" s="1" t="s">
        <v>23</v>
      </c>
      <c r="H2593" s="1" t="s">
        <v>18</v>
      </c>
      <c r="I2593" s="1" t="s">
        <v>19</v>
      </c>
    </row>
    <row r="2594">
      <c r="A2594" s="1">
        <v>6271024.0</v>
      </c>
      <c r="B2594" s="1" t="s">
        <v>5530</v>
      </c>
      <c r="C2594" s="1" t="s">
        <v>5525</v>
      </c>
      <c r="D2594" s="1" t="s">
        <v>5526</v>
      </c>
      <c r="E2594" s="1" t="s">
        <v>5531</v>
      </c>
      <c r="F2594" s="1" t="s">
        <v>16</v>
      </c>
      <c r="G2594" s="1" t="s">
        <v>17</v>
      </c>
      <c r="H2594" s="1" t="s">
        <v>18</v>
      </c>
      <c r="I2594" s="1" t="s">
        <v>684</v>
      </c>
    </row>
    <row r="2595">
      <c r="A2595" s="1">
        <v>6213022.0</v>
      </c>
      <c r="B2595" s="1" t="s">
        <v>5532</v>
      </c>
      <c r="C2595" s="1" t="s">
        <v>5525</v>
      </c>
      <c r="D2595" s="1" t="s">
        <v>5533</v>
      </c>
      <c r="E2595" s="1" t="s">
        <v>5534</v>
      </c>
      <c r="F2595" s="1" t="s">
        <v>16</v>
      </c>
      <c r="G2595" s="1" t="s">
        <v>17</v>
      </c>
      <c r="H2595" s="1" t="s">
        <v>28</v>
      </c>
      <c r="I2595" s="1" t="s">
        <v>40</v>
      </c>
    </row>
    <row r="2596">
      <c r="A2596" s="1">
        <v>6202013.0</v>
      </c>
      <c r="B2596" s="1" t="s">
        <v>5535</v>
      </c>
      <c r="C2596" s="1" t="s">
        <v>5525</v>
      </c>
      <c r="D2596" s="1" t="s">
        <v>5536</v>
      </c>
      <c r="E2596" s="1" t="s">
        <v>5537</v>
      </c>
      <c r="F2596" s="1" t="s">
        <v>16</v>
      </c>
      <c r="G2596" s="1" t="s">
        <v>27</v>
      </c>
      <c r="H2596" s="1" t="s">
        <v>28</v>
      </c>
      <c r="I2596" s="1" t="s">
        <v>40</v>
      </c>
    </row>
    <row r="2597">
      <c r="A2597" s="1">
        <v>6207012.0</v>
      </c>
      <c r="B2597" s="1" t="s">
        <v>5538</v>
      </c>
      <c r="C2597" s="1" t="s">
        <v>5525</v>
      </c>
      <c r="D2597" s="1" t="s">
        <v>5539</v>
      </c>
      <c r="E2597" s="1" t="s">
        <v>5540</v>
      </c>
      <c r="F2597" s="1" t="s">
        <v>16</v>
      </c>
      <c r="G2597" s="1" t="s">
        <v>17</v>
      </c>
      <c r="H2597" s="1" t="s">
        <v>28</v>
      </c>
      <c r="I2597" s="1" t="s">
        <v>40</v>
      </c>
    </row>
    <row r="2598">
      <c r="A2598" s="1">
        <v>6203015.0</v>
      </c>
      <c r="B2598" s="1" t="s">
        <v>5541</v>
      </c>
      <c r="C2598" s="1" t="s">
        <v>5525</v>
      </c>
      <c r="D2598" s="1" t="s">
        <v>5542</v>
      </c>
      <c r="E2598" s="1" t="s">
        <v>5543</v>
      </c>
      <c r="F2598" s="1" t="s">
        <v>16</v>
      </c>
      <c r="G2598" s="1" t="s">
        <v>17</v>
      </c>
      <c r="H2598" s="1" t="s">
        <v>28</v>
      </c>
      <c r="I2598" s="1" t="s">
        <v>40</v>
      </c>
    </row>
    <row r="2599">
      <c r="A2599" s="1">
        <v>6210015.0</v>
      </c>
      <c r="B2599" s="1" t="s">
        <v>5544</v>
      </c>
      <c r="C2599" s="1" t="s">
        <v>5525</v>
      </c>
      <c r="D2599" s="1" t="s">
        <v>5545</v>
      </c>
      <c r="E2599" s="1" t="s">
        <v>5546</v>
      </c>
      <c r="F2599" s="1" t="s">
        <v>16</v>
      </c>
      <c r="G2599" s="1" t="s">
        <v>17</v>
      </c>
      <c r="H2599" s="1" t="s">
        <v>28</v>
      </c>
      <c r="I2599" s="1" t="s">
        <v>40</v>
      </c>
    </row>
    <row r="2600">
      <c r="A2600" s="1">
        <v>6201027.0</v>
      </c>
      <c r="B2600" s="1" t="s">
        <v>5547</v>
      </c>
      <c r="C2600" s="1" t="s">
        <v>5525</v>
      </c>
      <c r="D2600" s="1" t="s">
        <v>5548</v>
      </c>
      <c r="E2600" s="1" t="s">
        <v>5549</v>
      </c>
      <c r="F2600" s="1" t="s">
        <v>16</v>
      </c>
      <c r="G2600" s="1" t="s">
        <v>98</v>
      </c>
      <c r="H2600" s="1" t="s">
        <v>18</v>
      </c>
      <c r="I2600" s="1" t="s">
        <v>40</v>
      </c>
    </row>
    <row r="2601">
      <c r="A2601" s="1">
        <v>6204016.0</v>
      </c>
      <c r="B2601" s="1" t="s">
        <v>5550</v>
      </c>
      <c r="C2601" s="1" t="s">
        <v>5525</v>
      </c>
      <c r="D2601" s="1" t="s">
        <v>5551</v>
      </c>
      <c r="E2601" s="1" t="s">
        <v>5552</v>
      </c>
      <c r="F2601" s="1" t="s">
        <v>16</v>
      </c>
      <c r="G2601" s="1" t="s">
        <v>17</v>
      </c>
      <c r="H2601" s="1" t="s">
        <v>28</v>
      </c>
      <c r="I2601" s="1" t="s">
        <v>40</v>
      </c>
    </row>
    <row r="2602">
      <c r="A2602" s="1">
        <v>6271026.0</v>
      </c>
      <c r="B2602" s="1" t="s">
        <v>5553</v>
      </c>
      <c r="C2602" s="1" t="s">
        <v>5525</v>
      </c>
      <c r="D2602" s="1" t="s">
        <v>5526</v>
      </c>
      <c r="E2602" s="1" t="s">
        <v>5554</v>
      </c>
      <c r="F2602" s="1" t="s">
        <v>16</v>
      </c>
      <c r="G2602" s="1" t="s">
        <v>17</v>
      </c>
      <c r="H2602" s="1" t="s">
        <v>28</v>
      </c>
      <c r="I2602" s="1" t="s">
        <v>29</v>
      </c>
    </row>
    <row r="2603">
      <c r="A2603" s="1">
        <v>6271068.0</v>
      </c>
      <c r="B2603" s="1" t="s">
        <v>5555</v>
      </c>
      <c r="C2603" s="1" t="s">
        <v>5525</v>
      </c>
      <c r="D2603" s="1" t="s">
        <v>5545</v>
      </c>
      <c r="E2603" s="1" t="s">
        <v>5556</v>
      </c>
      <c r="F2603" s="1" t="s">
        <v>174</v>
      </c>
      <c r="G2603" s="1" t="s">
        <v>27</v>
      </c>
      <c r="H2603" s="1" t="s">
        <v>28</v>
      </c>
      <c r="I2603" s="1" t="s">
        <v>139</v>
      </c>
    </row>
    <row r="2604">
      <c r="A2604" s="1">
        <v>6271023.0</v>
      </c>
      <c r="B2604" s="1" t="s">
        <v>5557</v>
      </c>
      <c r="C2604" s="1" t="s">
        <v>5525</v>
      </c>
      <c r="D2604" s="1" t="s">
        <v>5526</v>
      </c>
      <c r="E2604" s="1" t="s">
        <v>5558</v>
      </c>
      <c r="F2604" s="1" t="s">
        <v>16</v>
      </c>
      <c r="G2604" s="1" t="s">
        <v>23</v>
      </c>
      <c r="H2604" s="1" t="s">
        <v>18</v>
      </c>
      <c r="I2604" s="1" t="s">
        <v>74</v>
      </c>
    </row>
    <row r="2605">
      <c r="A2605" s="1">
        <v>6271029.0</v>
      </c>
      <c r="B2605" s="1" t="s">
        <v>4926</v>
      </c>
      <c r="C2605" s="1" t="s">
        <v>5525</v>
      </c>
      <c r="D2605" s="1" t="s">
        <v>5526</v>
      </c>
      <c r="E2605" s="1" t="s">
        <v>5559</v>
      </c>
      <c r="F2605" s="1" t="s">
        <v>16</v>
      </c>
      <c r="G2605" s="1" t="s">
        <v>17</v>
      </c>
      <c r="H2605" s="1" t="s">
        <v>18</v>
      </c>
      <c r="I2605" s="1" t="s">
        <v>19</v>
      </c>
    </row>
    <row r="2606">
      <c r="A2606" s="1">
        <v>6201016.0</v>
      </c>
      <c r="B2606" s="1" t="s">
        <v>5560</v>
      </c>
      <c r="C2606" s="1" t="s">
        <v>5525</v>
      </c>
      <c r="D2606" s="1" t="s">
        <v>5548</v>
      </c>
      <c r="E2606" s="1" t="s">
        <v>5561</v>
      </c>
      <c r="F2606" s="1" t="s">
        <v>16</v>
      </c>
      <c r="G2606" s="1" t="s">
        <v>23</v>
      </c>
      <c r="H2606" s="1" t="s">
        <v>18</v>
      </c>
      <c r="I2606" s="1" t="s">
        <v>19</v>
      </c>
    </row>
    <row r="2607">
      <c r="A2607" s="1">
        <v>6205011.0</v>
      </c>
      <c r="B2607" s="1" t="s">
        <v>5562</v>
      </c>
      <c r="C2607" s="1" t="s">
        <v>5525</v>
      </c>
      <c r="D2607" s="1" t="s">
        <v>5563</v>
      </c>
      <c r="E2607" s="1" t="s">
        <v>5564</v>
      </c>
      <c r="F2607" s="1" t="s">
        <v>16</v>
      </c>
      <c r="G2607" s="1" t="s">
        <v>17</v>
      </c>
      <c r="H2607" s="1" t="s">
        <v>28</v>
      </c>
      <c r="I2607" s="1" t="s">
        <v>40</v>
      </c>
    </row>
    <row r="2608">
      <c r="A2608" s="1">
        <v>6211016.0</v>
      </c>
      <c r="B2608" s="1" t="s">
        <v>5565</v>
      </c>
      <c r="C2608" s="1" t="s">
        <v>5525</v>
      </c>
      <c r="D2608" s="1" t="s">
        <v>5566</v>
      </c>
      <c r="E2608" s="1" t="s">
        <v>5567</v>
      </c>
      <c r="F2608" s="1" t="s">
        <v>16</v>
      </c>
      <c r="G2608" s="1" t="s">
        <v>98</v>
      </c>
      <c r="H2608" s="1" t="s">
        <v>18</v>
      </c>
      <c r="I2608" s="1" t="s">
        <v>40</v>
      </c>
    </row>
    <row r="2609">
      <c r="A2609" s="1">
        <v>6201012.0</v>
      </c>
      <c r="B2609" s="1" t="s">
        <v>5568</v>
      </c>
      <c r="C2609" s="1" t="s">
        <v>5525</v>
      </c>
      <c r="D2609" s="1" t="s">
        <v>5548</v>
      </c>
      <c r="E2609" s="1" t="s">
        <v>5569</v>
      </c>
      <c r="F2609" s="1" t="s">
        <v>16</v>
      </c>
      <c r="G2609" s="1" t="s">
        <v>27</v>
      </c>
      <c r="H2609" s="1" t="s">
        <v>28</v>
      </c>
      <c r="I2609" s="1" t="s">
        <v>40</v>
      </c>
    </row>
    <row r="2610">
      <c r="A2610" s="1">
        <v>6207033.0</v>
      </c>
      <c r="B2610" s="1" t="s">
        <v>5570</v>
      </c>
      <c r="C2610" s="1" t="s">
        <v>5525</v>
      </c>
      <c r="D2610" s="1" t="s">
        <v>5571</v>
      </c>
      <c r="E2610" s="1" t="s">
        <v>5572</v>
      </c>
      <c r="F2610" s="1" t="s">
        <v>16</v>
      </c>
      <c r="G2610" s="1" t="s">
        <v>17</v>
      </c>
      <c r="H2610" s="1" t="s">
        <v>28</v>
      </c>
      <c r="I2610" s="1" t="s">
        <v>40</v>
      </c>
    </row>
    <row r="2611">
      <c r="A2611" s="1">
        <v>6209024.0</v>
      </c>
      <c r="B2611" s="1" t="s">
        <v>5573</v>
      </c>
      <c r="C2611" s="1" t="s">
        <v>5525</v>
      </c>
      <c r="D2611" s="1" t="s">
        <v>5574</v>
      </c>
      <c r="E2611" s="1" t="s">
        <v>5575</v>
      </c>
      <c r="F2611" s="1" t="s">
        <v>16</v>
      </c>
      <c r="G2611" s="1" t="s">
        <v>17</v>
      </c>
      <c r="H2611" s="1" t="s">
        <v>28</v>
      </c>
      <c r="I2611" s="1" t="s">
        <v>40</v>
      </c>
    </row>
    <row r="2612">
      <c r="A2612" s="1">
        <v>6271025.0</v>
      </c>
      <c r="B2612" s="1" t="s">
        <v>5576</v>
      </c>
      <c r="C2612" s="1" t="s">
        <v>5525</v>
      </c>
      <c r="D2612" s="1" t="s">
        <v>5526</v>
      </c>
      <c r="E2612" s="1" t="s">
        <v>5577</v>
      </c>
      <c r="F2612" s="1" t="s">
        <v>16</v>
      </c>
      <c r="G2612" s="1" t="s">
        <v>17</v>
      </c>
      <c r="H2612" s="1" t="s">
        <v>33</v>
      </c>
      <c r="I2612" s="1" t="s">
        <v>65</v>
      </c>
    </row>
    <row r="2613">
      <c r="A2613" s="1">
        <v>6208014.0</v>
      </c>
      <c r="B2613" s="1" t="s">
        <v>5578</v>
      </c>
      <c r="C2613" s="1" t="s">
        <v>5525</v>
      </c>
      <c r="D2613" s="1" t="s">
        <v>5579</v>
      </c>
      <c r="E2613" s="1" t="s">
        <v>5580</v>
      </c>
      <c r="F2613" s="1" t="s">
        <v>16</v>
      </c>
      <c r="G2613" s="1" t="s">
        <v>17</v>
      </c>
      <c r="H2613" s="1" t="s">
        <v>28</v>
      </c>
      <c r="I2613" s="1" t="s">
        <v>40</v>
      </c>
    </row>
    <row r="2614">
      <c r="A2614" s="1">
        <v>6271030.0</v>
      </c>
      <c r="B2614" s="1" t="s">
        <v>5581</v>
      </c>
      <c r="C2614" s="1" t="s">
        <v>5525</v>
      </c>
      <c r="D2614" s="1" t="s">
        <v>5526</v>
      </c>
      <c r="E2614" s="1" t="s">
        <v>5582</v>
      </c>
      <c r="F2614" s="1" t="s">
        <v>16</v>
      </c>
      <c r="G2614" s="1" t="s">
        <v>17</v>
      </c>
      <c r="H2614" s="1" t="s">
        <v>18</v>
      </c>
      <c r="I2614" s="1" t="s">
        <v>44</v>
      </c>
    </row>
    <row r="2615">
      <c r="A2615" s="1">
        <v>6201013.0</v>
      </c>
      <c r="B2615" s="1" t="s">
        <v>5583</v>
      </c>
      <c r="C2615" s="1" t="s">
        <v>5525</v>
      </c>
      <c r="D2615" s="1" t="s">
        <v>5548</v>
      </c>
      <c r="E2615" s="1" t="s">
        <v>5584</v>
      </c>
      <c r="F2615" s="1" t="s">
        <v>16</v>
      </c>
      <c r="G2615" s="1" t="s">
        <v>23</v>
      </c>
      <c r="H2615" s="1" t="s">
        <v>18</v>
      </c>
      <c r="I2615" s="1" t="s">
        <v>44</v>
      </c>
    </row>
    <row r="2616">
      <c r="A2616" s="1">
        <v>6211026.0</v>
      </c>
      <c r="B2616" s="1" t="s">
        <v>5585</v>
      </c>
      <c r="C2616" s="1" t="s">
        <v>5525</v>
      </c>
      <c r="D2616" s="1" t="s">
        <v>5566</v>
      </c>
      <c r="E2616" s="1" t="s">
        <v>5586</v>
      </c>
      <c r="F2616" s="1" t="s">
        <v>16</v>
      </c>
      <c r="G2616" s="1" t="s">
        <v>17</v>
      </c>
      <c r="H2616" s="1" t="s">
        <v>28</v>
      </c>
      <c r="I2616" s="1" t="s">
        <v>40</v>
      </c>
    </row>
    <row r="2617">
      <c r="A2617" s="1">
        <v>6202025.0</v>
      </c>
      <c r="B2617" s="1" t="s">
        <v>5587</v>
      </c>
      <c r="C2617" s="1" t="s">
        <v>5525</v>
      </c>
      <c r="D2617" s="1" t="s">
        <v>5536</v>
      </c>
      <c r="E2617" s="1" t="s">
        <v>5588</v>
      </c>
      <c r="F2617" s="1" t="s">
        <v>16</v>
      </c>
      <c r="G2617" s="1" t="s">
        <v>98</v>
      </c>
      <c r="H2617" s="1" t="s">
        <v>28</v>
      </c>
      <c r="I2617" s="1" t="s">
        <v>40</v>
      </c>
    </row>
    <row r="2618">
      <c r="A2618" s="1">
        <v>6209035.0</v>
      </c>
      <c r="B2618" s="1" t="s">
        <v>5589</v>
      </c>
      <c r="C2618" s="1" t="s">
        <v>5525</v>
      </c>
      <c r="D2618" s="1" t="s">
        <v>5574</v>
      </c>
      <c r="E2618" s="1" t="s">
        <v>5590</v>
      </c>
      <c r="F2618" s="1" t="s">
        <v>16</v>
      </c>
      <c r="G2618" s="1" t="s">
        <v>98</v>
      </c>
      <c r="H2618" s="1" t="s">
        <v>18</v>
      </c>
      <c r="I2618" s="1" t="s">
        <v>40</v>
      </c>
    </row>
    <row r="2619">
      <c r="A2619" s="1">
        <v>6271012.0</v>
      </c>
      <c r="B2619" s="1" t="s">
        <v>5591</v>
      </c>
      <c r="C2619" s="1" t="s">
        <v>5525</v>
      </c>
      <c r="D2619" s="1" t="s">
        <v>5526</v>
      </c>
      <c r="E2619" s="1" t="s">
        <v>5592</v>
      </c>
      <c r="F2619" s="1" t="s">
        <v>16</v>
      </c>
      <c r="G2619" s="1" t="s">
        <v>27</v>
      </c>
      <c r="H2619" s="1" t="s">
        <v>28</v>
      </c>
      <c r="I2619" s="1" t="s">
        <v>139</v>
      </c>
    </row>
    <row r="2620">
      <c r="A2620" s="1">
        <v>6271027.0</v>
      </c>
      <c r="B2620" s="1" t="s">
        <v>5593</v>
      </c>
      <c r="C2620" s="1" t="s">
        <v>5525</v>
      </c>
      <c r="D2620" s="1" t="s">
        <v>5526</v>
      </c>
      <c r="E2620" s="1" t="s">
        <v>5594</v>
      </c>
      <c r="F2620" s="1" t="s">
        <v>16</v>
      </c>
      <c r="G2620" s="1" t="s">
        <v>17</v>
      </c>
      <c r="H2620" s="1" t="s">
        <v>18</v>
      </c>
      <c r="I2620" s="1" t="s">
        <v>44</v>
      </c>
    </row>
    <row r="2621">
      <c r="A2621" s="1">
        <v>6271031.0</v>
      </c>
      <c r="B2621" s="1" t="s">
        <v>5595</v>
      </c>
      <c r="C2621" s="1" t="s">
        <v>5525</v>
      </c>
      <c r="D2621" s="1" t="s">
        <v>5526</v>
      </c>
      <c r="E2621" s="1" t="s">
        <v>5596</v>
      </c>
      <c r="F2621" s="1" t="s">
        <v>55</v>
      </c>
      <c r="G2621" s="1" t="s">
        <v>17</v>
      </c>
      <c r="H2621" s="1" t="s">
        <v>18</v>
      </c>
      <c r="I2621" s="1" t="s">
        <v>19</v>
      </c>
    </row>
    <row r="2622">
      <c r="A2622" s="1">
        <v>6208013.0</v>
      </c>
      <c r="B2622" s="1" t="s">
        <v>5597</v>
      </c>
      <c r="C2622" s="1" t="s">
        <v>5525</v>
      </c>
      <c r="D2622" s="1" t="s">
        <v>5579</v>
      </c>
      <c r="E2622" s="1" t="s">
        <v>5598</v>
      </c>
      <c r="F2622" s="1" t="s">
        <v>16</v>
      </c>
      <c r="G2622" s="1" t="s">
        <v>17</v>
      </c>
      <c r="H2622" s="1" t="s">
        <v>28</v>
      </c>
      <c r="I2622" s="1" t="s">
        <v>139</v>
      </c>
    </row>
    <row r="2623">
      <c r="A2623" s="1">
        <v>6212020.0</v>
      </c>
      <c r="B2623" s="1" t="s">
        <v>5599</v>
      </c>
      <c r="C2623" s="1" t="s">
        <v>5525</v>
      </c>
      <c r="D2623" s="1" t="s">
        <v>5600</v>
      </c>
      <c r="E2623" s="1" t="s">
        <v>5601</v>
      </c>
      <c r="F2623" s="1" t="s">
        <v>16</v>
      </c>
      <c r="G2623" s="1" t="s">
        <v>17</v>
      </c>
      <c r="H2623" s="1" t="s">
        <v>28</v>
      </c>
      <c r="I2623" s="1" t="s">
        <v>40</v>
      </c>
    </row>
    <row r="2624">
      <c r="A2624" s="1">
        <v>6301013.0</v>
      </c>
      <c r="B2624" s="1" t="s">
        <v>5602</v>
      </c>
      <c r="C2624" s="1" t="s">
        <v>5603</v>
      </c>
      <c r="D2624" s="1" t="s">
        <v>5604</v>
      </c>
      <c r="E2624" s="1" t="s">
        <v>5605</v>
      </c>
      <c r="F2624" s="1" t="s">
        <v>16</v>
      </c>
      <c r="G2624" s="1" t="s">
        <v>17</v>
      </c>
      <c r="H2624" s="1" t="s">
        <v>28</v>
      </c>
      <c r="I2624" s="1" t="s">
        <v>40</v>
      </c>
    </row>
    <row r="2625">
      <c r="A2625" s="1">
        <v>6371072.0</v>
      </c>
      <c r="B2625" s="1" t="s">
        <v>5606</v>
      </c>
      <c r="C2625" s="1" t="s">
        <v>5603</v>
      </c>
      <c r="D2625" s="1" t="s">
        <v>5607</v>
      </c>
      <c r="E2625" s="1" t="s">
        <v>5608</v>
      </c>
      <c r="F2625" s="1" t="s">
        <v>16</v>
      </c>
      <c r="G2625" s="1" t="s">
        <v>27</v>
      </c>
      <c r="H2625" s="1" t="s">
        <v>28</v>
      </c>
      <c r="I2625" s="1" t="s">
        <v>139</v>
      </c>
    </row>
    <row r="2626">
      <c r="A2626" s="1">
        <v>6301015.0</v>
      </c>
      <c r="B2626" s="1" t="s">
        <v>5609</v>
      </c>
      <c r="C2626" s="1" t="s">
        <v>5603</v>
      </c>
      <c r="D2626" s="1" t="s">
        <v>5604</v>
      </c>
      <c r="E2626" s="1" t="s">
        <v>5610</v>
      </c>
      <c r="F2626" s="1" t="s">
        <v>16</v>
      </c>
      <c r="G2626" s="1" t="s">
        <v>17</v>
      </c>
      <c r="H2626" s="1" t="s">
        <v>18</v>
      </c>
      <c r="I2626" s="1" t="s">
        <v>19</v>
      </c>
    </row>
    <row r="2627">
      <c r="A2627" s="1">
        <v>6306025.0</v>
      </c>
      <c r="B2627" s="1" t="s">
        <v>5423</v>
      </c>
      <c r="C2627" s="1" t="s">
        <v>5603</v>
      </c>
      <c r="D2627" s="1" t="s">
        <v>5611</v>
      </c>
      <c r="E2627" s="1" t="s">
        <v>5612</v>
      </c>
      <c r="F2627" s="1" t="s">
        <v>55</v>
      </c>
      <c r="G2627" s="1" t="s">
        <v>17</v>
      </c>
      <c r="H2627" s="1" t="s">
        <v>18</v>
      </c>
      <c r="I2627" s="1" t="s">
        <v>19</v>
      </c>
    </row>
    <row r="2628">
      <c r="A2628" s="1">
        <v>6303027.0</v>
      </c>
      <c r="B2628" s="1" t="s">
        <v>5613</v>
      </c>
      <c r="C2628" s="1" t="s">
        <v>5603</v>
      </c>
      <c r="D2628" s="1" t="s">
        <v>5614</v>
      </c>
      <c r="E2628" s="1" t="s">
        <v>5615</v>
      </c>
      <c r="F2628" s="1" t="s">
        <v>16</v>
      </c>
      <c r="G2628" s="1" t="s">
        <v>17</v>
      </c>
      <c r="H2628" s="1" t="s">
        <v>18</v>
      </c>
      <c r="I2628" s="1" t="s">
        <v>19</v>
      </c>
    </row>
    <row r="2629">
      <c r="A2629" s="1">
        <v>6303030.0</v>
      </c>
      <c r="B2629" s="1" t="s">
        <v>5616</v>
      </c>
      <c r="C2629" s="1" t="s">
        <v>5603</v>
      </c>
      <c r="D2629" s="1" t="s">
        <v>5614</v>
      </c>
      <c r="E2629" s="1" t="s">
        <v>5617</v>
      </c>
      <c r="F2629" s="1" t="s">
        <v>16</v>
      </c>
      <c r="G2629" s="1" t="s">
        <v>23</v>
      </c>
      <c r="H2629" s="1" t="s">
        <v>18</v>
      </c>
      <c r="I2629" s="1" t="s">
        <v>44</v>
      </c>
    </row>
    <row r="2630">
      <c r="A2630" s="1">
        <v>6302026.0</v>
      </c>
      <c r="B2630" s="1" t="s">
        <v>5618</v>
      </c>
      <c r="C2630" s="1" t="s">
        <v>5603</v>
      </c>
      <c r="D2630" s="1" t="s">
        <v>5619</v>
      </c>
      <c r="E2630" s="1" t="s">
        <v>5620</v>
      </c>
      <c r="F2630" s="1" t="s">
        <v>16</v>
      </c>
      <c r="G2630" s="1" t="s">
        <v>23</v>
      </c>
      <c r="H2630" s="1" t="s">
        <v>18</v>
      </c>
      <c r="I2630" s="1" t="s">
        <v>40</v>
      </c>
    </row>
    <row r="2631">
      <c r="A2631" s="1">
        <v>6309014.0</v>
      </c>
      <c r="B2631" s="1" t="s">
        <v>5621</v>
      </c>
      <c r="C2631" s="1" t="s">
        <v>5603</v>
      </c>
      <c r="D2631" s="1" t="s">
        <v>5622</v>
      </c>
      <c r="E2631" s="1" t="s">
        <v>5623</v>
      </c>
      <c r="F2631" s="1" t="s">
        <v>16</v>
      </c>
      <c r="G2631" s="1" t="s">
        <v>17</v>
      </c>
      <c r="H2631" s="1" t="s">
        <v>28</v>
      </c>
      <c r="I2631" s="1" t="s">
        <v>40</v>
      </c>
    </row>
    <row r="2632">
      <c r="A2632" s="1">
        <v>6371155.0</v>
      </c>
      <c r="B2632" s="1" t="s">
        <v>918</v>
      </c>
      <c r="C2632" s="1" t="s">
        <v>5603</v>
      </c>
      <c r="D2632" s="1" t="s">
        <v>5607</v>
      </c>
      <c r="E2632" s="1" t="s">
        <v>5624</v>
      </c>
      <c r="F2632" s="1" t="s">
        <v>55</v>
      </c>
      <c r="G2632" s="1" t="s">
        <v>17</v>
      </c>
      <c r="H2632" s="1" t="s">
        <v>18</v>
      </c>
      <c r="I2632" s="1" t="s">
        <v>19</v>
      </c>
    </row>
    <row r="2633">
      <c r="A2633" s="1">
        <v>6311016.0</v>
      </c>
      <c r="B2633" s="1" t="s">
        <v>5625</v>
      </c>
      <c r="C2633" s="1" t="s">
        <v>5603</v>
      </c>
      <c r="D2633" s="1" t="s">
        <v>5626</v>
      </c>
      <c r="E2633" s="1" t="s">
        <v>5627</v>
      </c>
      <c r="F2633" s="1" t="s">
        <v>16</v>
      </c>
      <c r="G2633" s="1" t="s">
        <v>17</v>
      </c>
      <c r="H2633" s="1" t="s">
        <v>28</v>
      </c>
      <c r="I2633" s="1" t="s">
        <v>40</v>
      </c>
    </row>
    <row r="2634">
      <c r="A2634" s="1">
        <v>6372021.0</v>
      </c>
      <c r="B2634" s="1" t="s">
        <v>5628</v>
      </c>
      <c r="C2634" s="1" t="s">
        <v>5603</v>
      </c>
      <c r="D2634" s="1" t="s">
        <v>5629</v>
      </c>
      <c r="E2634" s="1" t="s">
        <v>5630</v>
      </c>
      <c r="F2634" s="1" t="s">
        <v>16</v>
      </c>
      <c r="G2634" s="1" t="s">
        <v>23</v>
      </c>
      <c r="H2634" s="1" t="s">
        <v>18</v>
      </c>
      <c r="I2634" s="1" t="s">
        <v>19</v>
      </c>
    </row>
    <row r="2635">
      <c r="A2635" s="1">
        <v>6303015.0</v>
      </c>
      <c r="B2635" s="1" t="s">
        <v>5631</v>
      </c>
      <c r="C2635" s="1" t="s">
        <v>5603</v>
      </c>
      <c r="D2635" s="1" t="s">
        <v>5614</v>
      </c>
      <c r="E2635" s="1" t="s">
        <v>5632</v>
      </c>
      <c r="F2635" s="1" t="s">
        <v>16</v>
      </c>
      <c r="G2635" s="1" t="s">
        <v>27</v>
      </c>
      <c r="H2635" s="1" t="s">
        <v>28</v>
      </c>
      <c r="I2635" s="1" t="s">
        <v>40</v>
      </c>
    </row>
    <row r="2636">
      <c r="A2636" s="1">
        <v>6371130.0</v>
      </c>
      <c r="B2636" s="1" t="s">
        <v>5633</v>
      </c>
      <c r="C2636" s="1" t="s">
        <v>5603</v>
      </c>
      <c r="D2636" s="1" t="s">
        <v>5607</v>
      </c>
      <c r="E2636" s="1" t="s">
        <v>5634</v>
      </c>
      <c r="F2636" s="1" t="s">
        <v>255</v>
      </c>
      <c r="G2636" s="1" t="s">
        <v>27</v>
      </c>
      <c r="H2636" s="1" t="s">
        <v>18</v>
      </c>
      <c r="I2636" s="1" t="s">
        <v>19</v>
      </c>
    </row>
    <row r="2637">
      <c r="A2637" s="1">
        <v>6372017.0</v>
      </c>
      <c r="B2637" s="1" t="s">
        <v>5635</v>
      </c>
      <c r="C2637" s="1" t="s">
        <v>5603</v>
      </c>
      <c r="D2637" s="1" t="s">
        <v>5629</v>
      </c>
      <c r="E2637" s="1" t="s">
        <v>5636</v>
      </c>
      <c r="F2637" s="1" t="s">
        <v>16</v>
      </c>
      <c r="G2637" s="1" t="s">
        <v>17</v>
      </c>
      <c r="H2637" s="1" t="s">
        <v>18</v>
      </c>
      <c r="I2637" s="1" t="s">
        <v>163</v>
      </c>
    </row>
    <row r="2638">
      <c r="A2638" s="1">
        <v>6306026.0</v>
      </c>
      <c r="B2638" s="1" t="s">
        <v>5637</v>
      </c>
      <c r="C2638" s="1" t="s">
        <v>5603</v>
      </c>
      <c r="D2638" s="1" t="s">
        <v>5611</v>
      </c>
      <c r="E2638" s="1" t="s">
        <v>5638</v>
      </c>
      <c r="F2638" s="1" t="s">
        <v>16</v>
      </c>
      <c r="G2638" s="1" t="s">
        <v>23</v>
      </c>
      <c r="H2638" s="1" t="s">
        <v>18</v>
      </c>
      <c r="I2638" s="1" t="s">
        <v>19</v>
      </c>
    </row>
    <row r="2639">
      <c r="A2639" s="1">
        <v>6301020.0</v>
      </c>
      <c r="B2639" s="1" t="s">
        <v>5639</v>
      </c>
      <c r="C2639" s="1" t="s">
        <v>5603</v>
      </c>
      <c r="D2639" s="1" t="s">
        <v>5604</v>
      </c>
      <c r="E2639" s="1" t="s">
        <v>5640</v>
      </c>
      <c r="F2639" s="1" t="s">
        <v>16</v>
      </c>
      <c r="G2639" s="1" t="s">
        <v>23</v>
      </c>
      <c r="H2639" s="1" t="s">
        <v>28</v>
      </c>
      <c r="I2639" s="1" t="s">
        <v>40</v>
      </c>
    </row>
    <row r="2640">
      <c r="A2640" s="1">
        <v>6310015.0</v>
      </c>
      <c r="B2640" s="1" t="s">
        <v>5641</v>
      </c>
      <c r="C2640" s="1" t="s">
        <v>5603</v>
      </c>
      <c r="D2640" s="1" t="s">
        <v>5642</v>
      </c>
      <c r="E2640" s="1" t="s">
        <v>5643</v>
      </c>
      <c r="F2640" s="1" t="s">
        <v>16</v>
      </c>
      <c r="G2640" s="1" t="s">
        <v>27</v>
      </c>
      <c r="H2640" s="1" t="s">
        <v>28</v>
      </c>
      <c r="I2640" s="1" t="s">
        <v>40</v>
      </c>
    </row>
    <row r="2641">
      <c r="A2641" s="1">
        <v>6305011.0</v>
      </c>
      <c r="B2641" s="1" t="s">
        <v>5644</v>
      </c>
      <c r="C2641" s="1" t="s">
        <v>5603</v>
      </c>
      <c r="D2641" s="1" t="s">
        <v>5645</v>
      </c>
      <c r="E2641" s="1" t="s">
        <v>5646</v>
      </c>
      <c r="F2641" s="1" t="s">
        <v>16</v>
      </c>
      <c r="G2641" s="1" t="s">
        <v>23</v>
      </c>
      <c r="H2641" s="1" t="s">
        <v>18</v>
      </c>
      <c r="I2641" s="1" t="s">
        <v>19</v>
      </c>
    </row>
    <row r="2642">
      <c r="A2642" s="1">
        <v>6304020.0</v>
      </c>
      <c r="B2642" s="1" t="s">
        <v>5647</v>
      </c>
      <c r="C2642" s="1" t="s">
        <v>5603</v>
      </c>
      <c r="D2642" s="1" t="s">
        <v>5648</v>
      </c>
      <c r="E2642" s="1" t="s">
        <v>5649</v>
      </c>
      <c r="F2642" s="1" t="s">
        <v>16</v>
      </c>
      <c r="G2642" s="1" t="s">
        <v>17</v>
      </c>
      <c r="H2642" s="1" t="s">
        <v>28</v>
      </c>
      <c r="I2642" s="1" t="s">
        <v>40</v>
      </c>
    </row>
    <row r="2643">
      <c r="A2643" s="1">
        <v>6371152.0</v>
      </c>
      <c r="B2643" s="1" t="s">
        <v>5650</v>
      </c>
      <c r="C2643" s="1" t="s">
        <v>5603</v>
      </c>
      <c r="D2643" s="1" t="s">
        <v>5607</v>
      </c>
      <c r="E2643" s="1" t="s">
        <v>5651</v>
      </c>
      <c r="F2643" s="1" t="s">
        <v>16</v>
      </c>
      <c r="G2643" s="1" t="s">
        <v>17</v>
      </c>
      <c r="H2643" s="1" t="s">
        <v>33</v>
      </c>
      <c r="I2643" s="1" t="s">
        <v>65</v>
      </c>
    </row>
    <row r="2644">
      <c r="A2644" s="1">
        <v>6372016.0</v>
      </c>
      <c r="B2644" s="1" t="s">
        <v>5652</v>
      </c>
      <c r="C2644" s="1" t="s">
        <v>5603</v>
      </c>
      <c r="D2644" s="1" t="s">
        <v>5629</v>
      </c>
      <c r="E2644" s="1" t="s">
        <v>5653</v>
      </c>
      <c r="F2644" s="1" t="s">
        <v>16</v>
      </c>
      <c r="G2644" s="1" t="s">
        <v>23</v>
      </c>
      <c r="H2644" s="1" t="s">
        <v>18</v>
      </c>
      <c r="I2644" s="1" t="s">
        <v>74</v>
      </c>
    </row>
    <row r="2645">
      <c r="A2645" s="1">
        <v>6371024.0</v>
      </c>
      <c r="B2645" s="1" t="s">
        <v>5654</v>
      </c>
      <c r="C2645" s="1" t="s">
        <v>5603</v>
      </c>
      <c r="D2645" s="1" t="s">
        <v>5607</v>
      </c>
      <c r="E2645" s="1" t="s">
        <v>5655</v>
      </c>
      <c r="F2645" s="1" t="s">
        <v>16</v>
      </c>
      <c r="G2645" s="1" t="s">
        <v>17</v>
      </c>
      <c r="H2645" s="1" t="s">
        <v>18</v>
      </c>
      <c r="I2645" s="1" t="s">
        <v>59</v>
      </c>
    </row>
    <row r="2646">
      <c r="A2646" s="1">
        <v>6308014.0</v>
      </c>
      <c r="B2646" s="1" t="s">
        <v>5656</v>
      </c>
      <c r="C2646" s="1" t="s">
        <v>5603</v>
      </c>
      <c r="D2646" s="1" t="s">
        <v>5657</v>
      </c>
      <c r="E2646" s="1" t="s">
        <v>5658</v>
      </c>
      <c r="F2646" s="1" t="s">
        <v>16</v>
      </c>
      <c r="G2646" s="1" t="s">
        <v>23</v>
      </c>
      <c r="H2646" s="1" t="s">
        <v>18</v>
      </c>
      <c r="I2646" s="1" t="s">
        <v>19</v>
      </c>
    </row>
    <row r="2647">
      <c r="A2647" s="1">
        <v>6371158.0</v>
      </c>
      <c r="B2647" s="1" t="s">
        <v>5659</v>
      </c>
      <c r="C2647" s="1" t="s">
        <v>5603</v>
      </c>
      <c r="D2647" s="1" t="s">
        <v>5607</v>
      </c>
      <c r="E2647" s="1" t="s">
        <v>5660</v>
      </c>
      <c r="F2647" s="1" t="s">
        <v>16</v>
      </c>
      <c r="G2647" s="1" t="s">
        <v>23</v>
      </c>
      <c r="H2647" s="1" t="s">
        <v>18</v>
      </c>
      <c r="I2647" s="1" t="s">
        <v>19</v>
      </c>
    </row>
    <row r="2648">
      <c r="A2648" s="1">
        <v>6306011.0</v>
      </c>
      <c r="B2648" s="1" t="s">
        <v>5661</v>
      </c>
      <c r="C2648" s="1" t="s">
        <v>5603</v>
      </c>
      <c r="D2648" s="1" t="s">
        <v>5611</v>
      </c>
      <c r="E2648" s="1" t="s">
        <v>5662</v>
      </c>
      <c r="F2648" s="1" t="s">
        <v>16</v>
      </c>
      <c r="G2648" s="1" t="s">
        <v>27</v>
      </c>
      <c r="H2648" s="1" t="s">
        <v>28</v>
      </c>
      <c r="I2648" s="1" t="s">
        <v>40</v>
      </c>
    </row>
    <row r="2649">
      <c r="A2649" s="1">
        <v>6301016.0</v>
      </c>
      <c r="B2649" s="1" t="s">
        <v>1435</v>
      </c>
      <c r="C2649" s="1" t="s">
        <v>5603</v>
      </c>
      <c r="D2649" s="1" t="s">
        <v>5604</v>
      </c>
      <c r="E2649" s="1" t="s">
        <v>5663</v>
      </c>
      <c r="F2649" s="1" t="s">
        <v>55</v>
      </c>
      <c r="G2649" s="1" t="s">
        <v>17</v>
      </c>
      <c r="H2649" s="1" t="s">
        <v>18</v>
      </c>
      <c r="I2649" s="1" t="s">
        <v>163</v>
      </c>
    </row>
    <row r="2650">
      <c r="A2650" s="1">
        <v>6371050.0</v>
      </c>
      <c r="B2650" s="1" t="s">
        <v>5664</v>
      </c>
      <c r="C2650" s="1" t="s">
        <v>5603</v>
      </c>
      <c r="D2650" s="1" t="s">
        <v>5607</v>
      </c>
      <c r="E2650" s="1" t="s">
        <v>5665</v>
      </c>
      <c r="F2650" s="1" t="s">
        <v>16</v>
      </c>
      <c r="G2650" s="1" t="s">
        <v>17</v>
      </c>
      <c r="H2650" s="1" t="s">
        <v>18</v>
      </c>
      <c r="I2650" s="1" t="s">
        <v>74</v>
      </c>
    </row>
    <row r="2651">
      <c r="A2651" s="1">
        <v>6308013.0</v>
      </c>
      <c r="B2651" s="1" t="s">
        <v>5666</v>
      </c>
      <c r="C2651" s="1" t="s">
        <v>5603</v>
      </c>
      <c r="D2651" s="1" t="s">
        <v>5657</v>
      </c>
      <c r="E2651" s="1" t="s">
        <v>5667</v>
      </c>
      <c r="F2651" s="1" t="s">
        <v>16</v>
      </c>
      <c r="G2651" s="1" t="s">
        <v>17</v>
      </c>
      <c r="H2651" s="1" t="s">
        <v>28</v>
      </c>
      <c r="I2651" s="1" t="s">
        <v>40</v>
      </c>
    </row>
    <row r="2652">
      <c r="A2652" s="1">
        <v>6302014.0</v>
      </c>
      <c r="B2652" s="1" t="s">
        <v>5668</v>
      </c>
      <c r="C2652" s="1" t="s">
        <v>5603</v>
      </c>
      <c r="D2652" s="1" t="s">
        <v>5619</v>
      </c>
      <c r="E2652" s="1" t="s">
        <v>5669</v>
      </c>
      <c r="F2652" s="1" t="s">
        <v>16</v>
      </c>
      <c r="G2652" s="1" t="s">
        <v>17</v>
      </c>
      <c r="H2652" s="1" t="s">
        <v>28</v>
      </c>
      <c r="I2652" s="1" t="s">
        <v>40</v>
      </c>
    </row>
    <row r="2653">
      <c r="A2653" s="1">
        <v>6371094.0</v>
      </c>
      <c r="B2653" s="1" t="s">
        <v>5670</v>
      </c>
      <c r="C2653" s="1" t="s">
        <v>5603</v>
      </c>
      <c r="D2653" s="1" t="s">
        <v>5607</v>
      </c>
      <c r="E2653" s="1" t="s">
        <v>5671</v>
      </c>
      <c r="F2653" s="1" t="s">
        <v>16</v>
      </c>
      <c r="G2653" s="1" t="s">
        <v>17</v>
      </c>
      <c r="H2653" s="1" t="s">
        <v>18</v>
      </c>
      <c r="I2653" s="1" t="s">
        <v>59</v>
      </c>
    </row>
    <row r="2654">
      <c r="A2654" s="1">
        <v>6306023.0</v>
      </c>
      <c r="B2654" s="1" t="s">
        <v>5672</v>
      </c>
      <c r="C2654" s="1" t="s">
        <v>5603</v>
      </c>
      <c r="D2654" s="1" t="s">
        <v>5611</v>
      </c>
      <c r="E2654" s="1" t="s">
        <v>5673</v>
      </c>
      <c r="F2654" s="1" t="s">
        <v>16</v>
      </c>
      <c r="G2654" s="1" t="s">
        <v>23</v>
      </c>
      <c r="H2654" s="1" t="s">
        <v>18</v>
      </c>
      <c r="I2654" s="1" t="s">
        <v>19</v>
      </c>
    </row>
    <row r="2655">
      <c r="A2655" s="1">
        <v>6309025.0</v>
      </c>
      <c r="B2655" s="1" t="s">
        <v>5674</v>
      </c>
      <c r="C2655" s="1" t="s">
        <v>5603</v>
      </c>
      <c r="D2655" s="1" t="s">
        <v>5622</v>
      </c>
      <c r="E2655" s="1" t="s">
        <v>5675</v>
      </c>
      <c r="F2655" s="1" t="s">
        <v>16</v>
      </c>
      <c r="G2655" s="1" t="s">
        <v>17</v>
      </c>
      <c r="H2655" s="1" t="s">
        <v>18</v>
      </c>
      <c r="I2655" s="1" t="s">
        <v>113</v>
      </c>
    </row>
    <row r="2656">
      <c r="A2656" s="1">
        <v>6304016.0</v>
      </c>
      <c r="B2656" s="1" t="s">
        <v>5676</v>
      </c>
      <c r="C2656" s="1" t="s">
        <v>5603</v>
      </c>
      <c r="D2656" s="1" t="s">
        <v>5614</v>
      </c>
      <c r="E2656" s="1" t="s">
        <v>5677</v>
      </c>
      <c r="F2656" s="1" t="s">
        <v>174</v>
      </c>
      <c r="G2656" s="1" t="s">
        <v>150</v>
      </c>
      <c r="H2656" s="1" t="s">
        <v>28</v>
      </c>
      <c r="I2656" s="1" t="s">
        <v>139</v>
      </c>
    </row>
    <row r="2657">
      <c r="A2657" s="1">
        <v>6310018.0</v>
      </c>
      <c r="B2657" s="1" t="s">
        <v>5678</v>
      </c>
      <c r="C2657" s="1" t="s">
        <v>5603</v>
      </c>
      <c r="D2657" s="1" t="s">
        <v>5642</v>
      </c>
      <c r="E2657" s="1" t="s">
        <v>5679</v>
      </c>
      <c r="F2657" s="1" t="s">
        <v>16</v>
      </c>
      <c r="G2657" s="1" t="s">
        <v>17</v>
      </c>
      <c r="H2657" s="1" t="s">
        <v>18</v>
      </c>
      <c r="I2657" s="1" t="s">
        <v>19</v>
      </c>
    </row>
    <row r="2658">
      <c r="A2658" s="1">
        <v>6371141.0</v>
      </c>
      <c r="B2658" s="1" t="s">
        <v>5680</v>
      </c>
      <c r="C2658" s="1" t="s">
        <v>5603</v>
      </c>
      <c r="D2658" s="1" t="s">
        <v>5629</v>
      </c>
      <c r="E2658" s="1" t="s">
        <v>5681</v>
      </c>
      <c r="F2658" s="1" t="s">
        <v>16</v>
      </c>
      <c r="G2658" s="1" t="s">
        <v>23</v>
      </c>
      <c r="H2658" s="1" t="s">
        <v>18</v>
      </c>
      <c r="I2658" s="1" t="s">
        <v>563</v>
      </c>
    </row>
    <row r="2659">
      <c r="A2659" s="1">
        <v>6372018.0</v>
      </c>
      <c r="B2659" s="1" t="s">
        <v>5682</v>
      </c>
      <c r="C2659" s="1" t="s">
        <v>5603</v>
      </c>
      <c r="D2659" s="1" t="s">
        <v>5629</v>
      </c>
      <c r="E2659" s="1" t="s">
        <v>5683</v>
      </c>
      <c r="F2659" s="1" t="s">
        <v>16</v>
      </c>
      <c r="G2659" s="1" t="s">
        <v>23</v>
      </c>
      <c r="H2659" s="1" t="s">
        <v>18</v>
      </c>
      <c r="I2659" s="1" t="s">
        <v>44</v>
      </c>
    </row>
    <row r="2660">
      <c r="A2660" s="1">
        <v>6371013.0</v>
      </c>
      <c r="B2660" s="1" t="s">
        <v>5684</v>
      </c>
      <c r="C2660" s="1" t="s">
        <v>5603</v>
      </c>
      <c r="D2660" s="1" t="s">
        <v>5607</v>
      </c>
      <c r="E2660" s="1" t="s">
        <v>5685</v>
      </c>
      <c r="F2660" s="1" t="s">
        <v>16</v>
      </c>
      <c r="G2660" s="1" t="s">
        <v>150</v>
      </c>
      <c r="H2660" s="1" t="s">
        <v>28</v>
      </c>
      <c r="I2660" s="1" t="s">
        <v>139</v>
      </c>
    </row>
    <row r="2661">
      <c r="A2661" s="1">
        <v>6372022.0</v>
      </c>
      <c r="B2661" s="1" t="s">
        <v>5686</v>
      </c>
      <c r="C2661" s="1" t="s">
        <v>5603</v>
      </c>
      <c r="D2661" s="1" t="s">
        <v>5629</v>
      </c>
      <c r="E2661" s="1" t="s">
        <v>5687</v>
      </c>
      <c r="F2661" s="1" t="s">
        <v>16</v>
      </c>
      <c r="G2661" s="1" t="s">
        <v>17</v>
      </c>
      <c r="H2661" s="1" t="s">
        <v>18</v>
      </c>
      <c r="I2661" s="1" t="s">
        <v>19</v>
      </c>
    </row>
    <row r="2662">
      <c r="A2662" s="1">
        <v>6306024.0</v>
      </c>
      <c r="B2662" s="1" t="s">
        <v>5688</v>
      </c>
      <c r="C2662" s="1" t="s">
        <v>5603</v>
      </c>
      <c r="D2662" s="1" t="s">
        <v>5611</v>
      </c>
      <c r="E2662" s="1" t="s">
        <v>5689</v>
      </c>
      <c r="F2662" s="1" t="s">
        <v>16</v>
      </c>
      <c r="G2662" s="1" t="s">
        <v>23</v>
      </c>
      <c r="H2662" s="1" t="s">
        <v>28</v>
      </c>
      <c r="I2662" s="1" t="s">
        <v>40</v>
      </c>
    </row>
    <row r="2663">
      <c r="A2663" s="1">
        <v>6372019.0</v>
      </c>
      <c r="B2663" s="1" t="s">
        <v>5690</v>
      </c>
      <c r="C2663" s="1" t="s">
        <v>5603</v>
      </c>
      <c r="D2663" s="1" t="s">
        <v>5629</v>
      </c>
      <c r="E2663" s="1" t="s">
        <v>5691</v>
      </c>
      <c r="F2663" s="1" t="s">
        <v>16</v>
      </c>
      <c r="G2663" s="1" t="s">
        <v>23</v>
      </c>
      <c r="H2663" s="1" t="s">
        <v>18</v>
      </c>
      <c r="I2663" s="1" t="s">
        <v>44</v>
      </c>
    </row>
    <row r="2664">
      <c r="A2664" s="1">
        <v>6305010.0</v>
      </c>
      <c r="B2664" s="1" t="s">
        <v>5692</v>
      </c>
      <c r="C2664" s="1" t="s">
        <v>5603</v>
      </c>
      <c r="D2664" s="1" t="s">
        <v>5645</v>
      </c>
      <c r="E2664" s="1" t="s">
        <v>5693</v>
      </c>
      <c r="F2664" s="1" t="s">
        <v>16</v>
      </c>
      <c r="G2664" s="1" t="s">
        <v>17</v>
      </c>
      <c r="H2664" s="1" t="s">
        <v>28</v>
      </c>
      <c r="I2664" s="1" t="s">
        <v>40</v>
      </c>
    </row>
    <row r="2665">
      <c r="A2665" s="1">
        <v>6371156.0</v>
      </c>
      <c r="B2665" s="1" t="s">
        <v>5694</v>
      </c>
      <c r="C2665" s="1" t="s">
        <v>5603</v>
      </c>
      <c r="D2665" s="1" t="s">
        <v>5607</v>
      </c>
      <c r="E2665" s="1" t="s">
        <v>5695</v>
      </c>
      <c r="F2665" s="1" t="s">
        <v>16</v>
      </c>
      <c r="G2665" s="1" t="s">
        <v>17</v>
      </c>
      <c r="H2665" s="1" t="s">
        <v>28</v>
      </c>
      <c r="I2665" s="1" t="s">
        <v>29</v>
      </c>
    </row>
    <row r="2666">
      <c r="A2666" s="1">
        <v>6371170.0</v>
      </c>
      <c r="B2666" s="1" t="s">
        <v>5696</v>
      </c>
      <c r="C2666" s="1" t="s">
        <v>5603</v>
      </c>
      <c r="D2666" s="1" t="s">
        <v>5607</v>
      </c>
      <c r="E2666" s="1" t="s">
        <v>5697</v>
      </c>
      <c r="F2666" s="1" t="s">
        <v>55</v>
      </c>
      <c r="G2666" s="1" t="s">
        <v>17</v>
      </c>
      <c r="H2666" s="1" t="s">
        <v>18</v>
      </c>
      <c r="I2666" s="1" t="s">
        <v>19</v>
      </c>
    </row>
    <row r="2667">
      <c r="A2667" s="1">
        <v>6372014.0</v>
      </c>
      <c r="B2667" s="1" t="s">
        <v>5698</v>
      </c>
      <c r="C2667" s="1" t="s">
        <v>5603</v>
      </c>
      <c r="D2667" s="1" t="s">
        <v>5629</v>
      </c>
      <c r="E2667" s="1" t="s">
        <v>5699</v>
      </c>
      <c r="F2667" s="1" t="s">
        <v>16</v>
      </c>
      <c r="G2667" s="1" t="s">
        <v>17</v>
      </c>
      <c r="H2667" s="1" t="s">
        <v>28</v>
      </c>
      <c r="I2667" s="1" t="s">
        <v>29</v>
      </c>
    </row>
    <row r="2668">
      <c r="A2668" s="1">
        <v>6303033.0</v>
      </c>
      <c r="B2668" s="1" t="s">
        <v>5700</v>
      </c>
      <c r="C2668" s="1" t="s">
        <v>5603</v>
      </c>
      <c r="D2668" s="1" t="s">
        <v>5614</v>
      </c>
      <c r="E2668" s="1" t="s">
        <v>5701</v>
      </c>
      <c r="F2668" s="1" t="s">
        <v>16</v>
      </c>
      <c r="G2668" s="1" t="s">
        <v>27</v>
      </c>
      <c r="H2668" s="1" t="s">
        <v>18</v>
      </c>
      <c r="I2668" s="1" t="s">
        <v>44</v>
      </c>
    </row>
    <row r="2669">
      <c r="A2669" s="1">
        <v>6371046.0</v>
      </c>
      <c r="B2669" s="1" t="s">
        <v>5702</v>
      </c>
      <c r="C2669" s="1" t="s">
        <v>5603</v>
      </c>
      <c r="D2669" s="1" t="s">
        <v>5607</v>
      </c>
      <c r="E2669" s="1" t="s">
        <v>5703</v>
      </c>
      <c r="F2669" s="1" t="s">
        <v>16</v>
      </c>
      <c r="G2669" s="1" t="s">
        <v>17</v>
      </c>
      <c r="H2669" s="1" t="s">
        <v>18</v>
      </c>
      <c r="I2669" s="1" t="s">
        <v>684</v>
      </c>
    </row>
    <row r="2670">
      <c r="A2670" s="1">
        <v>6310016.0</v>
      </c>
      <c r="B2670" s="1" t="s">
        <v>5704</v>
      </c>
      <c r="C2670" s="1" t="s">
        <v>5603</v>
      </c>
      <c r="D2670" s="1" t="s">
        <v>5642</v>
      </c>
      <c r="E2670" s="1" t="s">
        <v>5705</v>
      </c>
      <c r="F2670" s="1" t="s">
        <v>55</v>
      </c>
      <c r="G2670" s="1" t="s">
        <v>17</v>
      </c>
      <c r="H2670" s="1" t="s">
        <v>18</v>
      </c>
      <c r="I2670" s="1" t="s">
        <v>19</v>
      </c>
    </row>
    <row r="2671">
      <c r="A2671" s="1">
        <v>6307012.0</v>
      </c>
      <c r="B2671" s="1" t="s">
        <v>5706</v>
      </c>
      <c r="C2671" s="1" t="s">
        <v>5603</v>
      </c>
      <c r="D2671" s="1" t="s">
        <v>5707</v>
      </c>
      <c r="E2671" s="1" t="s">
        <v>5708</v>
      </c>
      <c r="F2671" s="1" t="s">
        <v>16</v>
      </c>
      <c r="G2671" s="1" t="s">
        <v>17</v>
      </c>
      <c r="H2671" s="1" t="s">
        <v>28</v>
      </c>
      <c r="I2671" s="1" t="s">
        <v>40</v>
      </c>
    </row>
    <row r="2672">
      <c r="A2672" s="1">
        <v>6303028.0</v>
      </c>
      <c r="B2672" s="1" t="s">
        <v>760</v>
      </c>
      <c r="C2672" s="1" t="s">
        <v>5603</v>
      </c>
      <c r="D2672" s="1" t="s">
        <v>5614</v>
      </c>
      <c r="E2672" s="1" t="s">
        <v>5709</v>
      </c>
      <c r="F2672" s="1" t="s">
        <v>55</v>
      </c>
      <c r="G2672" s="1" t="s">
        <v>17</v>
      </c>
      <c r="H2672" s="1" t="s">
        <v>18</v>
      </c>
      <c r="I2672" s="1" t="s">
        <v>163</v>
      </c>
    </row>
    <row r="2673">
      <c r="A2673" s="1">
        <v>6371153.0</v>
      </c>
      <c r="B2673" s="1" t="s">
        <v>5710</v>
      </c>
      <c r="C2673" s="1" t="s">
        <v>5603</v>
      </c>
      <c r="D2673" s="1" t="s">
        <v>5607</v>
      </c>
      <c r="E2673" s="1" t="s">
        <v>5711</v>
      </c>
      <c r="F2673" s="1" t="s">
        <v>32</v>
      </c>
      <c r="G2673" s="1" t="s">
        <v>27</v>
      </c>
      <c r="H2673" s="1" t="s">
        <v>18</v>
      </c>
      <c r="I2673" s="1" t="s">
        <v>139</v>
      </c>
    </row>
    <row r="2674">
      <c r="A2674" s="1">
        <v>6405012.0</v>
      </c>
      <c r="B2674" s="1" t="s">
        <v>5712</v>
      </c>
      <c r="C2674" s="1" t="s">
        <v>5713</v>
      </c>
      <c r="D2674" s="1" t="s">
        <v>5714</v>
      </c>
      <c r="E2674" s="1" t="s">
        <v>5715</v>
      </c>
      <c r="F2674" s="1" t="s">
        <v>16</v>
      </c>
      <c r="G2674" s="1" t="s">
        <v>23</v>
      </c>
      <c r="H2674" s="1" t="s">
        <v>18</v>
      </c>
      <c r="I2674" s="1" t="s">
        <v>40</v>
      </c>
    </row>
    <row r="2675">
      <c r="A2675" s="1">
        <v>6471014.0</v>
      </c>
      <c r="B2675" s="1" t="s">
        <v>5716</v>
      </c>
      <c r="C2675" s="1" t="s">
        <v>5713</v>
      </c>
      <c r="D2675" s="1" t="s">
        <v>5717</v>
      </c>
      <c r="E2675" s="1" t="s">
        <v>5718</v>
      </c>
      <c r="F2675" s="1" t="s">
        <v>16</v>
      </c>
      <c r="G2675" s="1" t="s">
        <v>150</v>
      </c>
      <c r="H2675" s="1" t="s">
        <v>28</v>
      </c>
      <c r="I2675" s="1" t="s">
        <v>139</v>
      </c>
    </row>
    <row r="2676">
      <c r="A2676" s="1">
        <v>6404045.0</v>
      </c>
      <c r="B2676" s="1" t="s">
        <v>5719</v>
      </c>
      <c r="C2676" s="1" t="s">
        <v>5713</v>
      </c>
      <c r="D2676" s="1" t="s">
        <v>5720</v>
      </c>
      <c r="E2676" s="1" t="s">
        <v>5721</v>
      </c>
      <c r="F2676" s="1" t="s">
        <v>55</v>
      </c>
      <c r="G2676" s="1" t="s">
        <v>17</v>
      </c>
      <c r="H2676" s="1" t="s">
        <v>18</v>
      </c>
      <c r="I2676" s="1" t="s">
        <v>19</v>
      </c>
    </row>
    <row r="2677">
      <c r="A2677" s="1">
        <v>6471087.0</v>
      </c>
      <c r="B2677" s="1" t="s">
        <v>5722</v>
      </c>
      <c r="C2677" s="1" t="s">
        <v>5713</v>
      </c>
      <c r="D2677" s="1" t="s">
        <v>5717</v>
      </c>
      <c r="E2677" s="1" t="s">
        <v>5723</v>
      </c>
      <c r="F2677" s="1" t="s">
        <v>16</v>
      </c>
      <c r="G2677" s="1" t="s">
        <v>23</v>
      </c>
      <c r="H2677" s="1" t="s">
        <v>18</v>
      </c>
      <c r="I2677" s="1" t="s">
        <v>44</v>
      </c>
    </row>
    <row r="2678">
      <c r="A2678" s="1">
        <v>6472143.0</v>
      </c>
      <c r="B2678" s="1" t="s">
        <v>5724</v>
      </c>
      <c r="C2678" s="1" t="s">
        <v>5713</v>
      </c>
      <c r="D2678" s="1" t="s">
        <v>5725</v>
      </c>
      <c r="E2678" s="1" t="s">
        <v>5726</v>
      </c>
      <c r="F2678" s="1" t="s">
        <v>55</v>
      </c>
      <c r="G2678" s="1" t="s">
        <v>17</v>
      </c>
      <c r="H2678" s="1" t="s">
        <v>18</v>
      </c>
      <c r="I2678" s="1" t="s">
        <v>44</v>
      </c>
    </row>
    <row r="2679">
      <c r="A2679" s="1">
        <v>6403052.0</v>
      </c>
      <c r="B2679" s="1" t="s">
        <v>5727</v>
      </c>
      <c r="C2679" s="1" t="s">
        <v>5713</v>
      </c>
      <c r="D2679" s="1" t="s">
        <v>5728</v>
      </c>
      <c r="E2679" s="1" t="s">
        <v>5729</v>
      </c>
      <c r="F2679" s="1" t="s">
        <v>16</v>
      </c>
      <c r="G2679" s="1" t="s">
        <v>17</v>
      </c>
      <c r="H2679" s="1" t="s">
        <v>28</v>
      </c>
      <c r="I2679" s="1" t="s">
        <v>40</v>
      </c>
    </row>
    <row r="2680">
      <c r="A2680" s="1">
        <v>6409047.0</v>
      </c>
      <c r="B2680" s="1" t="s">
        <v>5730</v>
      </c>
      <c r="C2680" s="1" t="s">
        <v>5713</v>
      </c>
      <c r="D2680" s="1" t="s">
        <v>5731</v>
      </c>
      <c r="E2680" s="1" t="s">
        <v>5732</v>
      </c>
      <c r="F2680" s="1" t="s">
        <v>16</v>
      </c>
      <c r="G2680" s="1" t="s">
        <v>23</v>
      </c>
      <c r="H2680" s="1" t="s">
        <v>18</v>
      </c>
      <c r="I2680" s="1" t="s">
        <v>40</v>
      </c>
    </row>
    <row r="2681">
      <c r="A2681" s="1">
        <v>6404065.0</v>
      </c>
      <c r="B2681" s="1" t="s">
        <v>5733</v>
      </c>
      <c r="C2681" s="1" t="s">
        <v>5713</v>
      </c>
      <c r="D2681" s="1" t="s">
        <v>5720</v>
      </c>
      <c r="E2681" s="1" t="s">
        <v>5734</v>
      </c>
      <c r="F2681" s="1" t="s">
        <v>16</v>
      </c>
      <c r="G2681" s="1" t="s">
        <v>23</v>
      </c>
      <c r="H2681" s="1" t="s">
        <v>18</v>
      </c>
      <c r="I2681" s="1" t="s">
        <v>40</v>
      </c>
    </row>
    <row r="2682">
      <c r="A2682" s="1">
        <v>6471074.0</v>
      </c>
      <c r="B2682" s="1" t="s">
        <v>5735</v>
      </c>
      <c r="C2682" s="1" t="s">
        <v>5713</v>
      </c>
      <c r="D2682" s="1" t="s">
        <v>5717</v>
      </c>
      <c r="E2682" s="1" t="s">
        <v>5736</v>
      </c>
      <c r="F2682" s="1" t="s">
        <v>55</v>
      </c>
      <c r="G2682" s="1" t="s">
        <v>17</v>
      </c>
      <c r="H2682" s="1" t="s">
        <v>18</v>
      </c>
      <c r="I2682" s="1" t="s">
        <v>19</v>
      </c>
    </row>
    <row r="2683">
      <c r="A2683" s="1">
        <v>6472063.0</v>
      </c>
      <c r="B2683" s="1" t="s">
        <v>5737</v>
      </c>
      <c r="C2683" s="1" t="s">
        <v>5713</v>
      </c>
      <c r="D2683" s="1" t="s">
        <v>5725</v>
      </c>
      <c r="E2683" s="1" t="s">
        <v>5738</v>
      </c>
      <c r="F2683" s="1" t="s">
        <v>174</v>
      </c>
      <c r="G2683" s="1" t="s">
        <v>150</v>
      </c>
      <c r="H2683" s="1" t="s">
        <v>28</v>
      </c>
      <c r="I2683" s="1" t="s">
        <v>139</v>
      </c>
    </row>
    <row r="2684">
      <c r="A2684" s="1">
        <v>6471036.0</v>
      </c>
      <c r="B2684" s="1" t="s">
        <v>5739</v>
      </c>
      <c r="C2684" s="1" t="s">
        <v>5713</v>
      </c>
      <c r="D2684" s="1" t="s">
        <v>5717</v>
      </c>
      <c r="E2684" s="1" t="s">
        <v>5740</v>
      </c>
      <c r="F2684" s="1" t="s">
        <v>16</v>
      </c>
      <c r="G2684" s="1" t="s">
        <v>17</v>
      </c>
      <c r="H2684" s="1" t="s">
        <v>33</v>
      </c>
      <c r="I2684" s="1" t="s">
        <v>74</v>
      </c>
    </row>
    <row r="2685">
      <c r="A2685" s="1">
        <v>6404047.0</v>
      </c>
      <c r="B2685" s="1" t="s">
        <v>5741</v>
      </c>
      <c r="C2685" s="1" t="s">
        <v>5713</v>
      </c>
      <c r="D2685" s="1" t="s">
        <v>5720</v>
      </c>
      <c r="E2685" s="1" t="s">
        <v>5742</v>
      </c>
      <c r="F2685" s="1" t="s">
        <v>55</v>
      </c>
      <c r="G2685" s="1" t="s">
        <v>17</v>
      </c>
      <c r="H2685" s="1" t="s">
        <v>18</v>
      </c>
      <c r="I2685" s="1" t="s">
        <v>19</v>
      </c>
    </row>
    <row r="2686">
      <c r="A2686" s="1">
        <v>6474010.0</v>
      </c>
      <c r="B2686" s="1" t="s">
        <v>5743</v>
      </c>
      <c r="C2686" s="1" t="s">
        <v>5713</v>
      </c>
      <c r="D2686" s="1" t="s">
        <v>5744</v>
      </c>
      <c r="E2686" s="1" t="s">
        <v>5745</v>
      </c>
      <c r="F2686" s="1" t="s">
        <v>16</v>
      </c>
      <c r="G2686" s="1" t="s">
        <v>23</v>
      </c>
      <c r="H2686" s="1" t="s">
        <v>18</v>
      </c>
      <c r="I2686" s="1" t="s">
        <v>19</v>
      </c>
    </row>
    <row r="2687">
      <c r="A2687" s="1">
        <v>6404066.0</v>
      </c>
      <c r="B2687" s="1" t="s">
        <v>5746</v>
      </c>
      <c r="C2687" s="1" t="s">
        <v>5713</v>
      </c>
      <c r="D2687" s="1" t="s">
        <v>5720</v>
      </c>
      <c r="E2687" s="1" t="s">
        <v>5747</v>
      </c>
      <c r="F2687" s="1" t="s">
        <v>16</v>
      </c>
      <c r="G2687" s="1" t="s">
        <v>23</v>
      </c>
      <c r="H2687" s="1" t="s">
        <v>18</v>
      </c>
      <c r="I2687" s="1" t="s">
        <v>249</v>
      </c>
    </row>
    <row r="2688">
      <c r="A2688" s="1">
        <v>6404043.0</v>
      </c>
      <c r="B2688" s="1" t="s">
        <v>5748</v>
      </c>
      <c r="C2688" s="1" t="s">
        <v>5713</v>
      </c>
      <c r="D2688" s="1" t="s">
        <v>5720</v>
      </c>
      <c r="E2688" s="1" t="s">
        <v>5749</v>
      </c>
      <c r="F2688" s="1" t="s">
        <v>16</v>
      </c>
      <c r="G2688" s="1" t="s">
        <v>23</v>
      </c>
      <c r="H2688" s="1" t="s">
        <v>18</v>
      </c>
      <c r="I2688" s="1" t="s">
        <v>19</v>
      </c>
    </row>
    <row r="2689">
      <c r="A2689" s="1">
        <v>6404032.0</v>
      </c>
      <c r="B2689" s="1" t="s">
        <v>5750</v>
      </c>
      <c r="C2689" s="1" t="s">
        <v>5713</v>
      </c>
      <c r="D2689" s="1" t="s">
        <v>5720</v>
      </c>
      <c r="E2689" s="1" t="s">
        <v>5751</v>
      </c>
      <c r="F2689" s="1" t="s">
        <v>16</v>
      </c>
      <c r="G2689" s="1" t="s">
        <v>27</v>
      </c>
      <c r="H2689" s="1" t="s">
        <v>28</v>
      </c>
      <c r="I2689" s="1" t="s">
        <v>40</v>
      </c>
    </row>
    <row r="2690">
      <c r="A2690" s="1">
        <v>6471078.0</v>
      </c>
      <c r="B2690" s="1" t="s">
        <v>5752</v>
      </c>
      <c r="C2690" s="1" t="s">
        <v>5713</v>
      </c>
      <c r="D2690" s="1" t="s">
        <v>5717</v>
      </c>
      <c r="E2690" s="1" t="s">
        <v>5753</v>
      </c>
      <c r="F2690" s="1" t="s">
        <v>16</v>
      </c>
      <c r="G2690" s="1" t="s">
        <v>23</v>
      </c>
      <c r="H2690" s="1" t="s">
        <v>18</v>
      </c>
      <c r="I2690" s="1" t="s">
        <v>563</v>
      </c>
    </row>
    <row r="2691">
      <c r="A2691" s="1">
        <v>6471085.0</v>
      </c>
      <c r="B2691" s="1" t="s">
        <v>5754</v>
      </c>
      <c r="C2691" s="1" t="s">
        <v>5713</v>
      </c>
      <c r="D2691" s="1" t="s">
        <v>5717</v>
      </c>
      <c r="E2691" s="1" t="s">
        <v>5755</v>
      </c>
      <c r="F2691" s="1" t="s">
        <v>55</v>
      </c>
      <c r="G2691" s="1" t="s">
        <v>17</v>
      </c>
      <c r="H2691" s="1" t="s">
        <v>18</v>
      </c>
      <c r="I2691" s="1" t="s">
        <v>44</v>
      </c>
    </row>
    <row r="2692">
      <c r="A2692" s="1">
        <v>6472107.0</v>
      </c>
      <c r="B2692" s="1" t="s">
        <v>5756</v>
      </c>
      <c r="C2692" s="1" t="s">
        <v>5713</v>
      </c>
      <c r="D2692" s="1" t="s">
        <v>5725</v>
      </c>
      <c r="E2692" s="1" t="s">
        <v>5757</v>
      </c>
      <c r="F2692" s="1" t="s">
        <v>16</v>
      </c>
      <c r="G2692" s="1" t="s">
        <v>17</v>
      </c>
      <c r="H2692" s="1" t="s">
        <v>18</v>
      </c>
      <c r="I2692" s="1" t="s">
        <v>19</v>
      </c>
    </row>
    <row r="2693">
      <c r="A2693" s="1">
        <v>6471073.0</v>
      </c>
      <c r="B2693" s="1" t="s">
        <v>5758</v>
      </c>
      <c r="C2693" s="1" t="s">
        <v>5713</v>
      </c>
      <c r="D2693" s="1" t="s">
        <v>5717</v>
      </c>
      <c r="E2693" s="1" t="s">
        <v>5759</v>
      </c>
      <c r="F2693" s="1" t="s">
        <v>16</v>
      </c>
      <c r="G2693" s="1" t="s">
        <v>17</v>
      </c>
      <c r="H2693" s="1" t="s">
        <v>33</v>
      </c>
      <c r="I2693" s="1" t="s">
        <v>65</v>
      </c>
    </row>
    <row r="2694">
      <c r="A2694" s="1">
        <v>6471062.0</v>
      </c>
      <c r="B2694" s="1" t="s">
        <v>773</v>
      </c>
      <c r="C2694" s="1" t="s">
        <v>5713</v>
      </c>
      <c r="D2694" s="1" t="s">
        <v>5717</v>
      </c>
      <c r="E2694" s="1" t="s">
        <v>5760</v>
      </c>
      <c r="F2694" s="1" t="s">
        <v>55</v>
      </c>
      <c r="G2694" s="1" t="s">
        <v>17</v>
      </c>
      <c r="H2694" s="1" t="s">
        <v>28</v>
      </c>
      <c r="I2694" s="1" t="s">
        <v>29</v>
      </c>
    </row>
    <row r="2695">
      <c r="A2695" s="1">
        <v>6474032.0</v>
      </c>
      <c r="B2695" s="1" t="s">
        <v>5761</v>
      </c>
      <c r="C2695" s="1" t="s">
        <v>5713</v>
      </c>
      <c r="D2695" s="1" t="s">
        <v>5744</v>
      </c>
      <c r="E2695" s="1" t="s">
        <v>5762</v>
      </c>
      <c r="F2695" s="1" t="s">
        <v>16</v>
      </c>
      <c r="G2695" s="1" t="s">
        <v>27</v>
      </c>
      <c r="H2695" s="1" t="s">
        <v>28</v>
      </c>
      <c r="I2695" s="1" t="s">
        <v>29</v>
      </c>
    </row>
    <row r="2696">
      <c r="A2696" s="1">
        <v>6409049.0</v>
      </c>
      <c r="B2696" s="1" t="s">
        <v>5763</v>
      </c>
      <c r="C2696" s="1" t="s">
        <v>5713</v>
      </c>
      <c r="D2696" s="1" t="s">
        <v>5731</v>
      </c>
      <c r="E2696" s="1" t="s">
        <v>5764</v>
      </c>
      <c r="F2696" s="1" t="s">
        <v>16</v>
      </c>
      <c r="G2696" s="1" t="s">
        <v>1022</v>
      </c>
      <c r="H2696" s="1" t="s">
        <v>18</v>
      </c>
      <c r="I2696" s="1" t="s">
        <v>19</v>
      </c>
    </row>
    <row r="2697">
      <c r="A2697" s="1">
        <v>6404044.0</v>
      </c>
      <c r="B2697" s="1" t="s">
        <v>5765</v>
      </c>
      <c r="C2697" s="1" t="s">
        <v>5713</v>
      </c>
      <c r="D2697" s="1" t="s">
        <v>5720</v>
      </c>
      <c r="E2697" s="1" t="s">
        <v>5766</v>
      </c>
      <c r="F2697" s="1" t="s">
        <v>16</v>
      </c>
      <c r="G2697" s="1" t="s">
        <v>23</v>
      </c>
      <c r="H2697" s="1" t="s">
        <v>18</v>
      </c>
      <c r="I2697" s="1" t="s">
        <v>19</v>
      </c>
    </row>
    <row r="2698">
      <c r="A2698" s="1">
        <v>6472131.0</v>
      </c>
      <c r="B2698" s="1" t="s">
        <v>5767</v>
      </c>
      <c r="C2698" s="1" t="s">
        <v>5713</v>
      </c>
      <c r="D2698" s="1" t="s">
        <v>5725</v>
      </c>
      <c r="E2698" s="1" t="s">
        <v>5768</v>
      </c>
      <c r="F2698" s="1" t="s">
        <v>272</v>
      </c>
      <c r="G2698" s="1" t="s">
        <v>17</v>
      </c>
      <c r="H2698" s="1" t="s">
        <v>28</v>
      </c>
      <c r="I2698" s="1" t="s">
        <v>139</v>
      </c>
    </row>
    <row r="2699">
      <c r="A2699" s="1">
        <v>6401014.0</v>
      </c>
      <c r="B2699" s="1" t="s">
        <v>5769</v>
      </c>
      <c r="C2699" s="1" t="s">
        <v>5713</v>
      </c>
      <c r="D2699" s="1" t="s">
        <v>5770</v>
      </c>
      <c r="E2699" s="1" t="s">
        <v>5771</v>
      </c>
      <c r="F2699" s="1" t="s">
        <v>16</v>
      </c>
      <c r="G2699" s="1" t="s">
        <v>27</v>
      </c>
      <c r="H2699" s="1" t="s">
        <v>28</v>
      </c>
      <c r="I2699" s="1" t="s">
        <v>40</v>
      </c>
    </row>
    <row r="2700">
      <c r="A2700" s="1">
        <v>6472030.0</v>
      </c>
      <c r="B2700" s="1" t="s">
        <v>5772</v>
      </c>
      <c r="C2700" s="1" t="s">
        <v>5713</v>
      </c>
      <c r="D2700" s="1" t="s">
        <v>5725</v>
      </c>
      <c r="E2700" s="1" t="s">
        <v>5773</v>
      </c>
      <c r="F2700" s="1" t="s">
        <v>16</v>
      </c>
      <c r="G2700" s="1" t="s">
        <v>17</v>
      </c>
      <c r="H2700" s="1" t="s">
        <v>18</v>
      </c>
      <c r="I2700" s="1" t="s">
        <v>59</v>
      </c>
    </row>
    <row r="2701">
      <c r="A2701" s="1">
        <v>6402053.0</v>
      </c>
      <c r="B2701" s="1" t="s">
        <v>5774</v>
      </c>
      <c r="C2701" s="1" t="s">
        <v>5713</v>
      </c>
      <c r="D2701" s="1" t="s">
        <v>5775</v>
      </c>
      <c r="E2701" s="1" t="s">
        <v>5776</v>
      </c>
      <c r="F2701" s="1" t="s">
        <v>16</v>
      </c>
      <c r="G2701" s="1" t="s">
        <v>23</v>
      </c>
      <c r="H2701" s="1" t="s">
        <v>18</v>
      </c>
      <c r="I2701" s="1" t="s">
        <v>19</v>
      </c>
    </row>
    <row r="2702">
      <c r="A2702" s="1">
        <v>6409036.0</v>
      </c>
      <c r="B2702" s="1" t="s">
        <v>5777</v>
      </c>
      <c r="C2702" s="1" t="s">
        <v>5713</v>
      </c>
      <c r="D2702" s="1" t="s">
        <v>5731</v>
      </c>
      <c r="E2702" s="1" t="s">
        <v>5778</v>
      </c>
      <c r="F2702" s="1" t="s">
        <v>16</v>
      </c>
      <c r="G2702" s="1" t="s">
        <v>17</v>
      </c>
      <c r="H2702" s="1" t="s">
        <v>28</v>
      </c>
      <c r="I2702" s="1" t="s">
        <v>40</v>
      </c>
    </row>
    <row r="2703">
      <c r="A2703" s="1">
        <v>6471077.0</v>
      </c>
      <c r="B2703" s="1" t="s">
        <v>5779</v>
      </c>
      <c r="C2703" s="1" t="s">
        <v>5713</v>
      </c>
      <c r="D2703" s="1" t="s">
        <v>5717</v>
      </c>
      <c r="E2703" s="1" t="s">
        <v>5780</v>
      </c>
      <c r="F2703" s="1" t="s">
        <v>16</v>
      </c>
      <c r="G2703" s="1" t="s">
        <v>23</v>
      </c>
      <c r="H2703" s="1" t="s">
        <v>18</v>
      </c>
      <c r="I2703" s="1" t="s">
        <v>19</v>
      </c>
    </row>
    <row r="2704">
      <c r="A2704" s="1">
        <v>6471082.0</v>
      </c>
      <c r="B2704" s="1" t="s">
        <v>5781</v>
      </c>
      <c r="C2704" s="1" t="s">
        <v>5713</v>
      </c>
      <c r="D2704" s="1" t="s">
        <v>5717</v>
      </c>
      <c r="E2704" s="1" t="s">
        <v>5782</v>
      </c>
      <c r="F2704" s="1" t="s">
        <v>272</v>
      </c>
      <c r="G2704" s="1" t="s">
        <v>17</v>
      </c>
      <c r="H2704" s="1" t="s">
        <v>18</v>
      </c>
      <c r="I2704" s="1" t="s">
        <v>44</v>
      </c>
    </row>
    <row r="2705">
      <c r="A2705" s="1">
        <v>6402041.0</v>
      </c>
      <c r="B2705" s="1" t="s">
        <v>5783</v>
      </c>
      <c r="C2705" s="1" t="s">
        <v>5713</v>
      </c>
      <c r="D2705" s="1" t="s">
        <v>5775</v>
      </c>
      <c r="E2705" s="1" t="s">
        <v>5784</v>
      </c>
      <c r="F2705" s="1" t="s">
        <v>16</v>
      </c>
      <c r="G2705" s="1" t="s">
        <v>17</v>
      </c>
      <c r="H2705" s="1" t="s">
        <v>28</v>
      </c>
      <c r="I2705" s="1" t="s">
        <v>40</v>
      </c>
    </row>
    <row r="2706">
      <c r="A2706" s="1">
        <v>6472130.0</v>
      </c>
      <c r="B2706" s="1" t="s">
        <v>5785</v>
      </c>
      <c r="C2706" s="1" t="s">
        <v>5713</v>
      </c>
      <c r="D2706" s="1" t="s">
        <v>5725</v>
      </c>
      <c r="E2706" s="1" t="s">
        <v>5786</v>
      </c>
      <c r="F2706" s="1" t="s">
        <v>16</v>
      </c>
      <c r="G2706" s="1" t="s">
        <v>17</v>
      </c>
      <c r="H2706" s="1" t="s">
        <v>18</v>
      </c>
      <c r="I2706" s="1" t="s">
        <v>44</v>
      </c>
    </row>
    <row r="2707">
      <c r="A2707" s="1">
        <v>6472052.0</v>
      </c>
      <c r="B2707" s="1" t="s">
        <v>5787</v>
      </c>
      <c r="C2707" s="1" t="s">
        <v>5713</v>
      </c>
      <c r="D2707" s="1" t="s">
        <v>5725</v>
      </c>
      <c r="E2707" s="1" t="s">
        <v>5788</v>
      </c>
      <c r="F2707" s="1" t="s">
        <v>55</v>
      </c>
      <c r="G2707" s="1" t="s">
        <v>17</v>
      </c>
      <c r="H2707" s="1" t="s">
        <v>18</v>
      </c>
      <c r="I2707" s="1" t="s">
        <v>59</v>
      </c>
    </row>
    <row r="2708">
      <c r="A2708" s="1">
        <v>6402064.0</v>
      </c>
      <c r="B2708" s="1" t="s">
        <v>5789</v>
      </c>
      <c r="C2708" s="1" t="s">
        <v>5713</v>
      </c>
      <c r="D2708" s="1" t="s">
        <v>5775</v>
      </c>
      <c r="E2708" s="1" t="s">
        <v>5790</v>
      </c>
      <c r="F2708" s="1" t="s">
        <v>16</v>
      </c>
      <c r="G2708" s="1" t="s">
        <v>98</v>
      </c>
      <c r="H2708" s="1" t="s">
        <v>28</v>
      </c>
      <c r="I2708" s="1" t="s">
        <v>40</v>
      </c>
    </row>
    <row r="2709">
      <c r="A2709" s="1">
        <v>6471025.0</v>
      </c>
      <c r="B2709" s="1" t="s">
        <v>5791</v>
      </c>
      <c r="C2709" s="1" t="s">
        <v>5713</v>
      </c>
      <c r="D2709" s="1" t="s">
        <v>5717</v>
      </c>
      <c r="E2709" s="1" t="s">
        <v>5792</v>
      </c>
      <c r="F2709" s="1" t="s">
        <v>16</v>
      </c>
      <c r="G2709" s="1" t="s">
        <v>17</v>
      </c>
      <c r="H2709" s="1" t="s">
        <v>18</v>
      </c>
      <c r="I2709" s="1" t="s">
        <v>113</v>
      </c>
    </row>
    <row r="2710">
      <c r="A2710" s="1">
        <v>6404046.0</v>
      </c>
      <c r="B2710" s="1" t="s">
        <v>5793</v>
      </c>
      <c r="C2710" s="1" t="s">
        <v>5713</v>
      </c>
      <c r="D2710" s="1" t="s">
        <v>5720</v>
      </c>
      <c r="E2710" s="1" t="s">
        <v>5794</v>
      </c>
      <c r="F2710" s="1" t="s">
        <v>16</v>
      </c>
      <c r="G2710" s="1" t="s">
        <v>23</v>
      </c>
      <c r="H2710" s="1" t="s">
        <v>18</v>
      </c>
      <c r="I2710" s="1" t="s">
        <v>19</v>
      </c>
    </row>
    <row r="2711">
      <c r="A2711" s="1">
        <v>6472096.0</v>
      </c>
      <c r="B2711" s="1" t="s">
        <v>5795</v>
      </c>
      <c r="C2711" s="1" t="s">
        <v>5713</v>
      </c>
      <c r="D2711" s="1" t="s">
        <v>5725</v>
      </c>
      <c r="E2711" s="1" t="s">
        <v>5796</v>
      </c>
      <c r="F2711" s="1" t="s">
        <v>16</v>
      </c>
      <c r="G2711" s="1" t="s">
        <v>23</v>
      </c>
      <c r="H2711" s="1" t="s">
        <v>18</v>
      </c>
      <c r="I2711" s="1" t="s">
        <v>59</v>
      </c>
    </row>
    <row r="2712">
      <c r="A2712" s="1">
        <v>6404054.0</v>
      </c>
      <c r="B2712" s="1" t="s">
        <v>5797</v>
      </c>
      <c r="C2712" s="1" t="s">
        <v>5713</v>
      </c>
      <c r="D2712" s="1" t="s">
        <v>5720</v>
      </c>
      <c r="E2712" s="1" t="s">
        <v>5798</v>
      </c>
      <c r="F2712" s="1" t="s">
        <v>16</v>
      </c>
      <c r="G2712" s="1" t="s">
        <v>23</v>
      </c>
      <c r="H2712" s="1" t="s">
        <v>18</v>
      </c>
      <c r="I2712" s="1" t="s">
        <v>44</v>
      </c>
    </row>
    <row r="2713">
      <c r="A2713" s="1">
        <v>6472123.0</v>
      </c>
      <c r="B2713" s="1" t="s">
        <v>5799</v>
      </c>
      <c r="C2713" s="1" t="s">
        <v>5713</v>
      </c>
      <c r="D2713" s="1" t="s">
        <v>5725</v>
      </c>
      <c r="E2713" s="1" t="s">
        <v>5800</v>
      </c>
      <c r="F2713" s="1" t="s">
        <v>16</v>
      </c>
      <c r="G2713" s="1" t="s">
        <v>17</v>
      </c>
      <c r="H2713" s="1" t="s">
        <v>18</v>
      </c>
      <c r="I2713" s="1" t="s">
        <v>44</v>
      </c>
    </row>
    <row r="2714">
      <c r="A2714" s="1">
        <v>6471051.0</v>
      </c>
      <c r="B2714" s="1" t="s">
        <v>5801</v>
      </c>
      <c r="C2714" s="1" t="s">
        <v>5713</v>
      </c>
      <c r="D2714" s="1" t="s">
        <v>5717</v>
      </c>
      <c r="E2714" s="1" t="s">
        <v>5802</v>
      </c>
      <c r="F2714" s="1" t="s">
        <v>16</v>
      </c>
      <c r="G2714" s="1" t="s">
        <v>17</v>
      </c>
      <c r="H2714" s="1" t="s">
        <v>18</v>
      </c>
      <c r="I2714" s="1" t="s">
        <v>19</v>
      </c>
    </row>
    <row r="2715">
      <c r="A2715" s="1">
        <v>6472121.0</v>
      </c>
      <c r="B2715" s="1" t="s">
        <v>5803</v>
      </c>
      <c r="C2715" s="1" t="s">
        <v>5713</v>
      </c>
      <c r="D2715" s="1" t="s">
        <v>5725</v>
      </c>
      <c r="E2715" s="1" t="s">
        <v>5804</v>
      </c>
      <c r="F2715" s="1" t="s">
        <v>55</v>
      </c>
      <c r="G2715" s="1" t="s">
        <v>17</v>
      </c>
      <c r="H2715" s="1" t="s">
        <v>18</v>
      </c>
      <c r="I2715" s="1" t="s">
        <v>19</v>
      </c>
    </row>
    <row r="2716">
      <c r="A2716" s="1">
        <v>6474021.0</v>
      </c>
      <c r="B2716" s="1" t="s">
        <v>5805</v>
      </c>
      <c r="C2716" s="1" t="s">
        <v>5713</v>
      </c>
      <c r="D2716" s="1" t="s">
        <v>5744</v>
      </c>
      <c r="E2716" s="1" t="s">
        <v>5806</v>
      </c>
      <c r="F2716" s="1" t="s">
        <v>16</v>
      </c>
      <c r="G2716" s="1" t="s">
        <v>17</v>
      </c>
      <c r="H2716" s="1" t="s">
        <v>18</v>
      </c>
      <c r="I2716" s="1" t="s">
        <v>19</v>
      </c>
    </row>
    <row r="2717">
      <c r="A2717" s="1">
        <v>6403017.0</v>
      </c>
      <c r="B2717" s="1" t="s">
        <v>5807</v>
      </c>
      <c r="C2717" s="1" t="s">
        <v>5713</v>
      </c>
      <c r="D2717" s="1" t="s">
        <v>5728</v>
      </c>
      <c r="E2717" s="1" t="s">
        <v>5808</v>
      </c>
      <c r="F2717" s="1" t="s">
        <v>16</v>
      </c>
      <c r="G2717" s="1" t="s">
        <v>23</v>
      </c>
      <c r="H2717" s="1" t="s">
        <v>28</v>
      </c>
      <c r="I2717" s="1" t="s">
        <v>40</v>
      </c>
    </row>
    <row r="2718">
      <c r="A2718" s="1">
        <v>6405011.0</v>
      </c>
      <c r="B2718" s="1" t="s">
        <v>5809</v>
      </c>
      <c r="C2718" s="1" t="s">
        <v>5713</v>
      </c>
      <c r="D2718" s="1" t="s">
        <v>5714</v>
      </c>
      <c r="E2718" s="1" t="s">
        <v>5810</v>
      </c>
      <c r="F2718" s="1" t="s">
        <v>16</v>
      </c>
      <c r="G2718" s="1" t="s">
        <v>17</v>
      </c>
      <c r="H2718" s="1" t="s">
        <v>28</v>
      </c>
      <c r="I2718" s="1" t="s">
        <v>40</v>
      </c>
    </row>
    <row r="2719">
      <c r="A2719" s="1">
        <v>6474033.0</v>
      </c>
      <c r="B2719" s="1" t="s">
        <v>5811</v>
      </c>
      <c r="C2719" s="1" t="s">
        <v>5713</v>
      </c>
      <c r="D2719" s="1" t="s">
        <v>5744</v>
      </c>
      <c r="E2719" s="1" t="s">
        <v>5812</v>
      </c>
      <c r="F2719" s="1" t="s">
        <v>16</v>
      </c>
      <c r="G2719" s="1" t="s">
        <v>23</v>
      </c>
      <c r="H2719" s="1" t="s">
        <v>18</v>
      </c>
      <c r="I2719" s="1" t="s">
        <v>19</v>
      </c>
    </row>
    <row r="2720">
      <c r="A2720" s="1">
        <v>6472118.0</v>
      </c>
      <c r="B2720" s="1" t="s">
        <v>5813</v>
      </c>
      <c r="C2720" s="1" t="s">
        <v>5713</v>
      </c>
      <c r="D2720" s="1" t="s">
        <v>5725</v>
      </c>
      <c r="E2720" s="1" t="s">
        <v>5814</v>
      </c>
      <c r="F2720" s="1" t="s">
        <v>16</v>
      </c>
      <c r="G2720" s="1" t="s">
        <v>17</v>
      </c>
      <c r="H2720" s="1" t="s">
        <v>28</v>
      </c>
      <c r="I2720" s="1" t="s">
        <v>29</v>
      </c>
    </row>
    <row r="2721">
      <c r="A2721" s="1">
        <v>6472015.0</v>
      </c>
      <c r="B2721" s="1" t="s">
        <v>5815</v>
      </c>
      <c r="C2721" s="1" t="s">
        <v>5713</v>
      </c>
      <c r="D2721" s="1" t="s">
        <v>5725</v>
      </c>
      <c r="E2721" s="1" t="s">
        <v>5816</v>
      </c>
      <c r="F2721" s="1" t="s">
        <v>16</v>
      </c>
      <c r="G2721" s="1" t="s">
        <v>150</v>
      </c>
      <c r="H2721" s="1" t="s">
        <v>28</v>
      </c>
      <c r="I2721" s="1" t="s">
        <v>139</v>
      </c>
    </row>
    <row r="2722">
      <c r="A2722" s="1">
        <v>6474034.0</v>
      </c>
      <c r="B2722" s="1" t="s">
        <v>5817</v>
      </c>
      <c r="C2722" s="1" t="s">
        <v>5713</v>
      </c>
      <c r="D2722" s="1" t="s">
        <v>5744</v>
      </c>
      <c r="E2722" s="1" t="s">
        <v>5818</v>
      </c>
      <c r="F2722" s="1" t="s">
        <v>16</v>
      </c>
      <c r="G2722" s="1" t="s">
        <v>17</v>
      </c>
      <c r="H2722" s="1" t="s">
        <v>18</v>
      </c>
      <c r="I2722" s="1" t="s">
        <v>19</v>
      </c>
    </row>
    <row r="2723">
      <c r="A2723" s="1">
        <v>6404051.0</v>
      </c>
      <c r="B2723" s="1" t="s">
        <v>5819</v>
      </c>
      <c r="C2723" s="1" t="s">
        <v>5713</v>
      </c>
      <c r="D2723" s="1" t="s">
        <v>5720</v>
      </c>
      <c r="E2723" s="1" t="s">
        <v>5820</v>
      </c>
      <c r="F2723" s="1" t="s">
        <v>16</v>
      </c>
      <c r="G2723" s="1" t="s">
        <v>23</v>
      </c>
      <c r="H2723" s="1" t="s">
        <v>28</v>
      </c>
      <c r="I2723" s="1" t="s">
        <v>40</v>
      </c>
    </row>
    <row r="2724">
      <c r="A2724" s="1">
        <v>6472124.0</v>
      </c>
      <c r="B2724" s="1" t="s">
        <v>5821</v>
      </c>
      <c r="C2724" s="1" t="s">
        <v>5713</v>
      </c>
      <c r="D2724" s="1" t="s">
        <v>5725</v>
      </c>
      <c r="E2724" s="1" t="s">
        <v>5822</v>
      </c>
      <c r="F2724" s="1" t="s">
        <v>16</v>
      </c>
      <c r="G2724" s="1" t="s">
        <v>17</v>
      </c>
      <c r="H2724" s="1" t="s">
        <v>18</v>
      </c>
      <c r="I2724" s="1" t="s">
        <v>44</v>
      </c>
    </row>
    <row r="2725">
      <c r="A2725" s="1">
        <v>6471075.0</v>
      </c>
      <c r="B2725" s="1" t="s">
        <v>5823</v>
      </c>
      <c r="C2725" s="1" t="s">
        <v>5713</v>
      </c>
      <c r="D2725" s="1" t="s">
        <v>5717</v>
      </c>
      <c r="E2725" s="1" t="s">
        <v>5824</v>
      </c>
      <c r="F2725" s="1" t="s">
        <v>16</v>
      </c>
      <c r="G2725" s="1" t="s">
        <v>27</v>
      </c>
      <c r="H2725" s="1" t="s">
        <v>18</v>
      </c>
      <c r="I2725" s="1" t="s">
        <v>19</v>
      </c>
    </row>
    <row r="2726">
      <c r="A2726" s="1">
        <v>6411001.0</v>
      </c>
      <c r="B2726" s="1" t="s">
        <v>5825</v>
      </c>
      <c r="C2726" s="1" t="s">
        <v>5713</v>
      </c>
      <c r="D2726" s="1" t="s">
        <v>5826</v>
      </c>
      <c r="E2726" s="1" t="s">
        <v>5827</v>
      </c>
      <c r="F2726" s="1" t="s">
        <v>16</v>
      </c>
      <c r="G2726" s="1" t="s">
        <v>98</v>
      </c>
      <c r="H2726" s="1" t="s">
        <v>18</v>
      </c>
      <c r="I2726" s="1" t="s">
        <v>40</v>
      </c>
    </row>
    <row r="2727">
      <c r="A2727" s="1">
        <v>6403015.0</v>
      </c>
      <c r="B2727" s="1" t="s">
        <v>5828</v>
      </c>
      <c r="C2727" s="1" t="s">
        <v>5713</v>
      </c>
      <c r="D2727" s="1" t="s">
        <v>5728</v>
      </c>
      <c r="E2727" s="1" t="s">
        <v>5829</v>
      </c>
      <c r="F2727" s="1" t="s">
        <v>16</v>
      </c>
      <c r="G2727" s="1" t="s">
        <v>27</v>
      </c>
      <c r="H2727" s="1" t="s">
        <v>28</v>
      </c>
      <c r="I2727" s="1" t="s">
        <v>40</v>
      </c>
    </row>
    <row r="2728">
      <c r="A2728" s="1">
        <v>6471079.0</v>
      </c>
      <c r="B2728" s="1" t="s">
        <v>5830</v>
      </c>
      <c r="C2728" s="1" t="s">
        <v>5713</v>
      </c>
      <c r="D2728" s="1" t="s">
        <v>5717</v>
      </c>
      <c r="E2728" s="1" t="s">
        <v>5831</v>
      </c>
      <c r="F2728" s="1" t="s">
        <v>16</v>
      </c>
      <c r="G2728" s="1" t="s">
        <v>17</v>
      </c>
      <c r="H2728" s="1" t="s">
        <v>28</v>
      </c>
      <c r="I2728" s="1" t="s">
        <v>29</v>
      </c>
    </row>
    <row r="2729">
      <c r="A2729" s="1">
        <v>6472128.0</v>
      </c>
      <c r="B2729" s="1" t="s">
        <v>5832</v>
      </c>
      <c r="C2729" s="1" t="s">
        <v>5713</v>
      </c>
      <c r="D2729" s="1" t="s">
        <v>5725</v>
      </c>
      <c r="E2729" s="1" t="s">
        <v>5833</v>
      </c>
      <c r="F2729" s="1" t="s">
        <v>16</v>
      </c>
      <c r="G2729" s="1" t="s">
        <v>23</v>
      </c>
      <c r="H2729" s="1" t="s">
        <v>28</v>
      </c>
      <c r="I2729" s="1" t="s">
        <v>139</v>
      </c>
    </row>
    <row r="2730">
      <c r="A2730" s="1">
        <v>6472041.0</v>
      </c>
      <c r="B2730" s="1" t="s">
        <v>5834</v>
      </c>
      <c r="C2730" s="1" t="s">
        <v>5713</v>
      </c>
      <c r="D2730" s="1" t="s">
        <v>5725</v>
      </c>
      <c r="E2730" s="1" t="s">
        <v>5835</v>
      </c>
      <c r="F2730" s="1" t="s">
        <v>16</v>
      </c>
      <c r="G2730" s="1" t="s">
        <v>23</v>
      </c>
      <c r="H2730" s="1" t="s">
        <v>18</v>
      </c>
      <c r="I2730" s="1" t="s">
        <v>74</v>
      </c>
    </row>
    <row r="2731">
      <c r="A2731" s="1">
        <v>6471086.0</v>
      </c>
      <c r="B2731" s="1" t="s">
        <v>5836</v>
      </c>
      <c r="C2731" s="1" t="s">
        <v>5713</v>
      </c>
      <c r="D2731" s="1" t="s">
        <v>5717</v>
      </c>
      <c r="E2731" s="1" t="s">
        <v>5837</v>
      </c>
      <c r="F2731" s="1" t="s">
        <v>16</v>
      </c>
      <c r="G2731" s="1" t="s">
        <v>17</v>
      </c>
      <c r="H2731" s="1" t="s">
        <v>18</v>
      </c>
      <c r="I2731" s="1" t="s">
        <v>19</v>
      </c>
    </row>
    <row r="2732">
      <c r="A2732" s="1">
        <v>6571045.0</v>
      </c>
      <c r="B2732" s="1" t="s">
        <v>5838</v>
      </c>
      <c r="C2732" s="1" t="s">
        <v>5839</v>
      </c>
      <c r="D2732" s="1" t="s">
        <v>5840</v>
      </c>
      <c r="E2732" s="1" t="s">
        <v>5841</v>
      </c>
      <c r="F2732" s="1" t="s">
        <v>16</v>
      </c>
      <c r="G2732" s="1" t="s">
        <v>23</v>
      </c>
      <c r="H2732" s="1" t="s">
        <v>18</v>
      </c>
      <c r="I2732" s="1" t="s">
        <v>65</v>
      </c>
    </row>
    <row r="2733">
      <c r="A2733" s="1">
        <v>6473043.0</v>
      </c>
      <c r="B2733" s="1" t="s">
        <v>5842</v>
      </c>
      <c r="C2733" s="1" t="s">
        <v>5839</v>
      </c>
      <c r="D2733" s="1" t="s">
        <v>5840</v>
      </c>
      <c r="E2733" s="1" t="s">
        <v>5843</v>
      </c>
      <c r="F2733" s="1" t="s">
        <v>16</v>
      </c>
      <c r="G2733" s="1" t="s">
        <v>17</v>
      </c>
      <c r="H2733" s="1" t="s">
        <v>18</v>
      </c>
      <c r="I2733" s="1" t="s">
        <v>113</v>
      </c>
    </row>
    <row r="2734">
      <c r="A2734" s="1">
        <v>6473016.0</v>
      </c>
      <c r="B2734" s="1" t="s">
        <v>5844</v>
      </c>
      <c r="C2734" s="1" t="s">
        <v>5839</v>
      </c>
      <c r="D2734" s="1" t="s">
        <v>5840</v>
      </c>
      <c r="E2734" s="1" t="s">
        <v>5845</v>
      </c>
      <c r="F2734" s="1" t="s">
        <v>16</v>
      </c>
      <c r="G2734" s="1" t="s">
        <v>27</v>
      </c>
      <c r="H2734" s="1" t="s">
        <v>28</v>
      </c>
      <c r="I2734" s="1" t="s">
        <v>139</v>
      </c>
    </row>
    <row r="2735">
      <c r="A2735" s="1">
        <v>6501013.0</v>
      </c>
      <c r="B2735" s="1" t="s">
        <v>5846</v>
      </c>
      <c r="C2735" s="1" t="s">
        <v>5839</v>
      </c>
      <c r="D2735" s="1" t="s">
        <v>5847</v>
      </c>
      <c r="E2735" s="1" t="s">
        <v>5848</v>
      </c>
      <c r="F2735" s="1" t="s">
        <v>16</v>
      </c>
      <c r="G2735" s="1" t="s">
        <v>98</v>
      </c>
      <c r="H2735" s="1" t="s">
        <v>18</v>
      </c>
      <c r="I2735" s="1" t="s">
        <v>40</v>
      </c>
    </row>
    <row r="2736">
      <c r="A2736" s="1">
        <v>6504027.0</v>
      </c>
      <c r="B2736" s="1" t="s">
        <v>5849</v>
      </c>
      <c r="C2736" s="1" t="s">
        <v>5839</v>
      </c>
      <c r="D2736" s="1" t="s">
        <v>5850</v>
      </c>
      <c r="E2736" s="1" t="s">
        <v>5851</v>
      </c>
      <c r="F2736" s="1" t="s">
        <v>16</v>
      </c>
      <c r="G2736" s="1" t="s">
        <v>98</v>
      </c>
      <c r="H2736" s="1" t="s">
        <v>18</v>
      </c>
      <c r="I2736" s="1" t="s">
        <v>40</v>
      </c>
    </row>
    <row r="2737">
      <c r="A2737" s="1">
        <v>6504038.0</v>
      </c>
      <c r="B2737" s="1" t="s">
        <v>5852</v>
      </c>
      <c r="C2737" s="1" t="s">
        <v>5839</v>
      </c>
      <c r="D2737" s="1" t="s">
        <v>5850</v>
      </c>
      <c r="E2737" s="1" t="s">
        <v>5853</v>
      </c>
      <c r="F2737" s="1" t="s">
        <v>16</v>
      </c>
      <c r="G2737" s="1" t="s">
        <v>98</v>
      </c>
      <c r="H2737" s="1" t="s">
        <v>18</v>
      </c>
      <c r="I2737" s="1" t="s">
        <v>40</v>
      </c>
    </row>
    <row r="2738">
      <c r="A2738" s="1">
        <v>6503013.0</v>
      </c>
      <c r="B2738" s="1" t="s">
        <v>5854</v>
      </c>
      <c r="C2738" s="1" t="s">
        <v>5839</v>
      </c>
      <c r="D2738" s="1" t="s">
        <v>5855</v>
      </c>
      <c r="E2738" s="1" t="s">
        <v>5856</v>
      </c>
      <c r="F2738" s="1" t="s">
        <v>16</v>
      </c>
      <c r="G2738" s="1" t="s">
        <v>98</v>
      </c>
      <c r="H2738" s="1" t="s">
        <v>18</v>
      </c>
      <c r="I2738" s="1" t="s">
        <v>40</v>
      </c>
    </row>
    <row r="2739">
      <c r="A2739" s="1">
        <v>6571044.0</v>
      </c>
      <c r="B2739" s="1" t="s">
        <v>5857</v>
      </c>
      <c r="C2739" s="1" t="s">
        <v>5839</v>
      </c>
      <c r="D2739" s="1" t="s">
        <v>5840</v>
      </c>
      <c r="E2739" s="1" t="s">
        <v>5858</v>
      </c>
      <c r="F2739" s="1" t="s">
        <v>16</v>
      </c>
      <c r="G2739" s="1" t="s">
        <v>17</v>
      </c>
      <c r="H2739" s="1" t="s">
        <v>28</v>
      </c>
      <c r="I2739" s="1" t="s">
        <v>29</v>
      </c>
    </row>
    <row r="2740">
      <c r="A2740" s="1">
        <v>6408014.0</v>
      </c>
      <c r="B2740" s="1" t="s">
        <v>5859</v>
      </c>
      <c r="C2740" s="1" t="s">
        <v>5839</v>
      </c>
      <c r="D2740" s="1" t="s">
        <v>5847</v>
      </c>
      <c r="E2740" s="1" t="s">
        <v>5860</v>
      </c>
      <c r="F2740" s="1" t="s">
        <v>16</v>
      </c>
      <c r="G2740" s="1" t="s">
        <v>98</v>
      </c>
      <c r="H2740" s="1" t="s">
        <v>18</v>
      </c>
      <c r="I2740" s="1" t="s">
        <v>40</v>
      </c>
    </row>
    <row r="2741">
      <c r="A2741" s="1">
        <v>6502011.0</v>
      </c>
      <c r="B2741" s="1" t="s">
        <v>5861</v>
      </c>
      <c r="C2741" s="1" t="s">
        <v>5839</v>
      </c>
      <c r="D2741" s="1" t="s">
        <v>5862</v>
      </c>
      <c r="E2741" s="1" t="s">
        <v>5863</v>
      </c>
      <c r="F2741" s="1" t="s">
        <v>16</v>
      </c>
      <c r="G2741" s="1" t="s">
        <v>23</v>
      </c>
      <c r="H2741" s="1" t="s">
        <v>18</v>
      </c>
      <c r="I2741" s="1" t="s">
        <v>74</v>
      </c>
    </row>
    <row r="2742">
      <c r="A2742" s="1">
        <v>6473042.0</v>
      </c>
      <c r="B2742" s="1" t="s">
        <v>5864</v>
      </c>
      <c r="C2742" s="1" t="s">
        <v>5839</v>
      </c>
      <c r="D2742" s="1" t="s">
        <v>5840</v>
      </c>
      <c r="E2742" s="1" t="s">
        <v>5865</v>
      </c>
      <c r="F2742" s="1" t="s">
        <v>16</v>
      </c>
      <c r="G2742" s="1" t="s">
        <v>23</v>
      </c>
      <c r="H2742" s="1" t="s">
        <v>18</v>
      </c>
      <c r="I2742" s="1" t="s">
        <v>95</v>
      </c>
    </row>
    <row r="2743">
      <c r="A2743" s="1">
        <v>6404021.0</v>
      </c>
      <c r="B2743" s="1" t="s">
        <v>5866</v>
      </c>
      <c r="C2743" s="1" t="s">
        <v>5839</v>
      </c>
      <c r="D2743" s="1" t="s">
        <v>5862</v>
      </c>
      <c r="E2743" s="1" t="s">
        <v>5867</v>
      </c>
      <c r="F2743" s="1" t="s">
        <v>16</v>
      </c>
      <c r="G2743" s="1" t="s">
        <v>17</v>
      </c>
      <c r="H2743" s="1" t="s">
        <v>28</v>
      </c>
      <c r="I2743" s="1" t="s">
        <v>40</v>
      </c>
    </row>
    <row r="2744">
      <c r="A2744" s="1">
        <v>6406012.0</v>
      </c>
      <c r="B2744" s="1" t="s">
        <v>5868</v>
      </c>
      <c r="C2744" s="1" t="s">
        <v>5839</v>
      </c>
      <c r="D2744" s="1" t="s">
        <v>5847</v>
      </c>
      <c r="E2744" s="1" t="s">
        <v>5869</v>
      </c>
      <c r="F2744" s="1" t="s">
        <v>16</v>
      </c>
      <c r="G2744" s="1" t="s">
        <v>17</v>
      </c>
      <c r="H2744" s="1" t="s">
        <v>28</v>
      </c>
      <c r="I2744" s="1" t="s">
        <v>40</v>
      </c>
    </row>
    <row r="2745">
      <c r="A2745" s="1">
        <v>6571056.0</v>
      </c>
      <c r="B2745" s="1" t="s">
        <v>5870</v>
      </c>
      <c r="C2745" s="1" t="s">
        <v>5839</v>
      </c>
      <c r="D2745" s="1" t="s">
        <v>5840</v>
      </c>
      <c r="E2745" s="1" t="s">
        <v>5871</v>
      </c>
      <c r="F2745" s="1" t="s">
        <v>16</v>
      </c>
      <c r="G2745" s="1" t="s">
        <v>23</v>
      </c>
      <c r="H2745" s="1" t="s">
        <v>18</v>
      </c>
      <c r="I2745" s="1" t="s">
        <v>19</v>
      </c>
    </row>
    <row r="2746">
      <c r="A2746" s="1">
        <v>6504039.0</v>
      </c>
      <c r="B2746" s="1" t="s">
        <v>5872</v>
      </c>
      <c r="C2746" s="1" t="s">
        <v>5839</v>
      </c>
      <c r="D2746" s="1" t="s">
        <v>5850</v>
      </c>
      <c r="E2746" s="1" t="s">
        <v>5873</v>
      </c>
      <c r="F2746" s="1" t="s">
        <v>16</v>
      </c>
      <c r="G2746" s="1" t="s">
        <v>98</v>
      </c>
      <c r="H2746" s="1" t="s">
        <v>18</v>
      </c>
      <c r="I2746" s="1" t="s">
        <v>40</v>
      </c>
    </row>
    <row r="2747">
      <c r="A2747" s="1">
        <v>6408025.0</v>
      </c>
      <c r="B2747" s="1" t="s">
        <v>5874</v>
      </c>
      <c r="C2747" s="1" t="s">
        <v>5839</v>
      </c>
      <c r="D2747" s="1" t="s">
        <v>5850</v>
      </c>
      <c r="E2747" s="1" t="s">
        <v>5875</v>
      </c>
      <c r="F2747" s="1" t="s">
        <v>16</v>
      </c>
      <c r="G2747" s="1" t="s">
        <v>17</v>
      </c>
      <c r="H2747" s="1" t="s">
        <v>28</v>
      </c>
      <c r="I2747" s="1" t="s">
        <v>40</v>
      </c>
    </row>
    <row r="2748">
      <c r="A2748" s="1">
        <v>6503002.0</v>
      </c>
      <c r="B2748" s="1" t="s">
        <v>5876</v>
      </c>
      <c r="C2748" s="1" t="s">
        <v>5839</v>
      </c>
      <c r="D2748" s="1" t="s">
        <v>5855</v>
      </c>
      <c r="E2748" s="1" t="s">
        <v>5877</v>
      </c>
      <c r="F2748" s="1" t="s">
        <v>16</v>
      </c>
      <c r="G2748" s="1" t="s">
        <v>23</v>
      </c>
      <c r="H2748" s="1" t="s">
        <v>28</v>
      </c>
      <c r="I2748" s="1" t="s">
        <v>40</v>
      </c>
    </row>
    <row r="2749">
      <c r="A2749" s="1">
        <v>7102120.0</v>
      </c>
      <c r="B2749" s="1" t="s">
        <v>5878</v>
      </c>
      <c r="C2749" s="1" t="s">
        <v>5879</v>
      </c>
      <c r="D2749" s="1" t="s">
        <v>5880</v>
      </c>
      <c r="E2749" s="1" t="s">
        <v>5881</v>
      </c>
      <c r="F2749" s="1" t="s">
        <v>16</v>
      </c>
      <c r="G2749" s="1" t="s">
        <v>17</v>
      </c>
      <c r="H2749" s="1" t="s">
        <v>18</v>
      </c>
      <c r="I2749" s="1" t="s">
        <v>139</v>
      </c>
    </row>
    <row r="2750">
      <c r="A2750" s="1">
        <v>7109028.0</v>
      </c>
      <c r="B2750" s="1" t="s">
        <v>5882</v>
      </c>
      <c r="C2750" s="1" t="s">
        <v>5879</v>
      </c>
      <c r="D2750" s="1" t="s">
        <v>5883</v>
      </c>
      <c r="E2750" s="1" t="s">
        <v>5884</v>
      </c>
      <c r="F2750" s="1" t="s">
        <v>16</v>
      </c>
      <c r="G2750" s="1" t="s">
        <v>17</v>
      </c>
      <c r="H2750" s="1" t="s">
        <v>18</v>
      </c>
      <c r="I2750" s="1" t="s">
        <v>411</v>
      </c>
    </row>
    <row r="2751">
      <c r="A2751" s="1">
        <v>7101037.0</v>
      </c>
      <c r="B2751" s="1" t="s">
        <v>5885</v>
      </c>
      <c r="C2751" s="1" t="s">
        <v>5879</v>
      </c>
      <c r="D2751" s="1" t="s">
        <v>5886</v>
      </c>
      <c r="E2751" s="1" t="s">
        <v>5887</v>
      </c>
      <c r="F2751" s="1" t="s">
        <v>16</v>
      </c>
      <c r="G2751" s="1" t="s">
        <v>17</v>
      </c>
      <c r="H2751" s="1" t="s">
        <v>18</v>
      </c>
      <c r="I2751" s="1" t="s">
        <v>44</v>
      </c>
    </row>
    <row r="2752">
      <c r="A2752" s="1">
        <v>7102040.0</v>
      </c>
      <c r="B2752" s="1" t="s">
        <v>5888</v>
      </c>
      <c r="C2752" s="1" t="s">
        <v>5879</v>
      </c>
      <c r="D2752" s="1" t="s">
        <v>5880</v>
      </c>
      <c r="E2752" s="1" t="s">
        <v>5889</v>
      </c>
      <c r="F2752" s="1" t="s">
        <v>16</v>
      </c>
      <c r="G2752" s="1" t="s">
        <v>23</v>
      </c>
      <c r="H2752" s="1" t="s">
        <v>18</v>
      </c>
      <c r="I2752" s="1" t="s">
        <v>258</v>
      </c>
    </row>
    <row r="2753">
      <c r="A2753" s="1">
        <v>7171108.0</v>
      </c>
      <c r="B2753" s="1" t="s">
        <v>5890</v>
      </c>
      <c r="C2753" s="1" t="s">
        <v>5879</v>
      </c>
      <c r="D2753" s="1" t="s">
        <v>5891</v>
      </c>
      <c r="E2753" s="1" t="s">
        <v>5892</v>
      </c>
      <c r="F2753" s="1" t="s">
        <v>32</v>
      </c>
      <c r="G2753" s="1" t="s">
        <v>17</v>
      </c>
      <c r="H2753" s="1" t="s">
        <v>18</v>
      </c>
      <c r="I2753" s="1" t="s">
        <v>29</v>
      </c>
    </row>
    <row r="2754">
      <c r="A2754" s="1">
        <v>7106020.0</v>
      </c>
      <c r="B2754" s="1" t="s">
        <v>5893</v>
      </c>
      <c r="C2754" s="1" t="s">
        <v>5879</v>
      </c>
      <c r="D2754" s="1" t="s">
        <v>5894</v>
      </c>
      <c r="E2754" s="1" t="s">
        <v>5895</v>
      </c>
      <c r="F2754" s="1" t="s">
        <v>16</v>
      </c>
      <c r="G2754" s="1" t="s">
        <v>27</v>
      </c>
      <c r="H2754" s="1" t="s">
        <v>33</v>
      </c>
      <c r="I2754" s="1" t="s">
        <v>19</v>
      </c>
    </row>
    <row r="2755">
      <c r="A2755" s="1">
        <v>7171072.0</v>
      </c>
      <c r="B2755" s="1" t="s">
        <v>2380</v>
      </c>
      <c r="C2755" s="1" t="s">
        <v>5879</v>
      </c>
      <c r="D2755" s="1" t="s">
        <v>5891</v>
      </c>
      <c r="E2755" s="1" t="s">
        <v>5896</v>
      </c>
      <c r="F2755" s="1" t="s">
        <v>16</v>
      </c>
      <c r="G2755" s="1" t="s">
        <v>23</v>
      </c>
      <c r="H2755" s="1" t="s">
        <v>18</v>
      </c>
      <c r="I2755" s="1" t="s">
        <v>59</v>
      </c>
    </row>
    <row r="2756">
      <c r="A2756" s="1">
        <v>7103039.0</v>
      </c>
      <c r="B2756" s="1" t="s">
        <v>5897</v>
      </c>
      <c r="C2756" s="1" t="s">
        <v>5879</v>
      </c>
      <c r="D2756" s="1" t="s">
        <v>5898</v>
      </c>
      <c r="E2756" s="1" t="s">
        <v>5899</v>
      </c>
      <c r="F2756" s="1" t="s">
        <v>16</v>
      </c>
      <c r="G2756" s="1" t="s">
        <v>23</v>
      </c>
      <c r="H2756" s="1" t="s">
        <v>18</v>
      </c>
      <c r="I2756" s="1" t="s">
        <v>40</v>
      </c>
    </row>
    <row r="2757">
      <c r="A2757" s="1">
        <v>7171097.0</v>
      </c>
      <c r="B2757" s="1" t="s">
        <v>5900</v>
      </c>
      <c r="C2757" s="1" t="s">
        <v>5879</v>
      </c>
      <c r="D2757" s="1" t="s">
        <v>5891</v>
      </c>
      <c r="E2757" s="1" t="s">
        <v>5901</v>
      </c>
      <c r="F2757" s="1" t="s">
        <v>16</v>
      </c>
      <c r="G2757" s="1" t="s">
        <v>23</v>
      </c>
      <c r="H2757" s="1" t="s">
        <v>18</v>
      </c>
      <c r="I2757" s="1" t="s">
        <v>563</v>
      </c>
    </row>
    <row r="2758">
      <c r="A2758" s="1">
        <v>7103026.0</v>
      </c>
      <c r="B2758" s="1" t="s">
        <v>5902</v>
      </c>
      <c r="C2758" s="1" t="s">
        <v>5879</v>
      </c>
      <c r="D2758" s="1" t="s">
        <v>5903</v>
      </c>
      <c r="E2758" s="1" t="s">
        <v>5904</v>
      </c>
      <c r="F2758" s="1" t="s">
        <v>16</v>
      </c>
      <c r="G2758" s="1" t="s">
        <v>17</v>
      </c>
      <c r="H2758" s="1" t="s">
        <v>18</v>
      </c>
      <c r="I2758" s="1" t="s">
        <v>40</v>
      </c>
    </row>
    <row r="2759">
      <c r="A2759" s="1">
        <v>7107003.0</v>
      </c>
      <c r="B2759" s="1" t="s">
        <v>5905</v>
      </c>
      <c r="C2759" s="1" t="s">
        <v>5879</v>
      </c>
      <c r="D2759" s="1" t="s">
        <v>5906</v>
      </c>
      <c r="E2759" s="1" t="s">
        <v>5907</v>
      </c>
      <c r="F2759" s="1" t="s">
        <v>16</v>
      </c>
      <c r="G2759" s="1" t="s">
        <v>23</v>
      </c>
      <c r="H2759" s="1" t="s">
        <v>18</v>
      </c>
      <c r="I2759" s="1" t="s">
        <v>40</v>
      </c>
    </row>
    <row r="2760">
      <c r="A2760" s="1">
        <v>7173002.0</v>
      </c>
      <c r="B2760" s="1" t="s">
        <v>5908</v>
      </c>
      <c r="C2760" s="1" t="s">
        <v>5879</v>
      </c>
      <c r="D2760" s="1" t="s">
        <v>5909</v>
      </c>
      <c r="E2760" s="1" t="s">
        <v>5910</v>
      </c>
      <c r="F2760" s="1" t="s">
        <v>16</v>
      </c>
      <c r="G2760" s="1" t="s">
        <v>17</v>
      </c>
      <c r="H2760" s="1" t="s">
        <v>28</v>
      </c>
      <c r="I2760" s="1" t="s">
        <v>29</v>
      </c>
    </row>
    <row r="2761">
      <c r="A2761" s="1">
        <v>7102062.0</v>
      </c>
      <c r="B2761" s="1" t="s">
        <v>5911</v>
      </c>
      <c r="C2761" s="1" t="s">
        <v>5879</v>
      </c>
      <c r="D2761" s="1" t="s">
        <v>5894</v>
      </c>
      <c r="E2761" s="1" t="s">
        <v>5912</v>
      </c>
      <c r="F2761" s="1" t="s">
        <v>16</v>
      </c>
      <c r="G2761" s="1" t="s">
        <v>17</v>
      </c>
      <c r="H2761" s="1" t="s">
        <v>18</v>
      </c>
      <c r="I2761" s="1" t="s">
        <v>249</v>
      </c>
    </row>
    <row r="2762">
      <c r="A2762" s="1">
        <v>7171095.0</v>
      </c>
      <c r="B2762" s="1" t="s">
        <v>5913</v>
      </c>
      <c r="C2762" s="1" t="s">
        <v>5879</v>
      </c>
      <c r="D2762" s="1" t="s">
        <v>5891</v>
      </c>
      <c r="E2762" s="1" t="s">
        <v>5914</v>
      </c>
      <c r="F2762" s="1" t="s">
        <v>55</v>
      </c>
      <c r="G2762" s="1" t="s">
        <v>17</v>
      </c>
      <c r="H2762" s="1" t="s">
        <v>18</v>
      </c>
      <c r="I2762" s="1" t="s">
        <v>163</v>
      </c>
    </row>
    <row r="2763">
      <c r="A2763" s="1">
        <v>7172014.0</v>
      </c>
      <c r="B2763" s="1" t="s">
        <v>5915</v>
      </c>
      <c r="C2763" s="1" t="s">
        <v>5879</v>
      </c>
      <c r="D2763" s="1" t="s">
        <v>5916</v>
      </c>
      <c r="E2763" s="1" t="s">
        <v>5917</v>
      </c>
      <c r="F2763" s="1" t="s">
        <v>16</v>
      </c>
      <c r="G2763" s="1" t="s">
        <v>17</v>
      </c>
      <c r="H2763" s="1" t="s">
        <v>18</v>
      </c>
      <c r="I2763" s="1" t="s">
        <v>249</v>
      </c>
    </row>
    <row r="2764">
      <c r="A2764" s="1">
        <v>7110002.0</v>
      </c>
      <c r="B2764" s="1" t="s">
        <v>5918</v>
      </c>
      <c r="C2764" s="1" t="s">
        <v>5879</v>
      </c>
      <c r="D2764" s="1" t="s">
        <v>5919</v>
      </c>
      <c r="E2764" s="1" t="s">
        <v>5920</v>
      </c>
      <c r="F2764" s="1" t="s">
        <v>16</v>
      </c>
      <c r="G2764" s="1" t="s">
        <v>23</v>
      </c>
      <c r="H2764" s="1" t="s">
        <v>18</v>
      </c>
      <c r="I2764" s="1" t="s">
        <v>40</v>
      </c>
    </row>
    <row r="2765">
      <c r="A2765" s="1">
        <v>7171013.0</v>
      </c>
      <c r="B2765" s="1" t="s">
        <v>5921</v>
      </c>
      <c r="C2765" s="1" t="s">
        <v>5879</v>
      </c>
      <c r="D2765" s="1" t="s">
        <v>5891</v>
      </c>
      <c r="E2765" s="1" t="s">
        <v>5922</v>
      </c>
      <c r="F2765" s="1" t="s">
        <v>16</v>
      </c>
      <c r="G2765" s="1" t="s">
        <v>150</v>
      </c>
      <c r="H2765" s="1" t="s">
        <v>33</v>
      </c>
      <c r="I2765" s="1" t="s">
        <v>411</v>
      </c>
    </row>
    <row r="2766">
      <c r="A2766" s="1">
        <v>7171105.0</v>
      </c>
      <c r="B2766" s="1" t="s">
        <v>5923</v>
      </c>
      <c r="C2766" s="1" t="s">
        <v>5879</v>
      </c>
      <c r="D2766" s="1" t="s">
        <v>5891</v>
      </c>
      <c r="E2766" s="1" t="s">
        <v>5924</v>
      </c>
      <c r="F2766" s="1" t="s">
        <v>16</v>
      </c>
      <c r="G2766" s="1" t="s">
        <v>17</v>
      </c>
      <c r="H2766" s="1" t="s">
        <v>18</v>
      </c>
      <c r="I2766" s="1" t="s">
        <v>44</v>
      </c>
    </row>
    <row r="2767">
      <c r="A2767" s="1">
        <v>7109002.0</v>
      </c>
      <c r="B2767" s="1" t="s">
        <v>5925</v>
      </c>
      <c r="C2767" s="1" t="s">
        <v>5879</v>
      </c>
      <c r="D2767" s="1" t="s">
        <v>5883</v>
      </c>
      <c r="E2767" s="1" t="s">
        <v>5926</v>
      </c>
      <c r="F2767" s="1" t="s">
        <v>16</v>
      </c>
      <c r="G2767" s="1" t="s">
        <v>23</v>
      </c>
      <c r="H2767" s="1" t="s">
        <v>18</v>
      </c>
      <c r="I2767" s="1" t="s">
        <v>40</v>
      </c>
    </row>
    <row r="2768">
      <c r="A2768" s="1">
        <v>7171124.0</v>
      </c>
      <c r="B2768" s="1" t="s">
        <v>5927</v>
      </c>
      <c r="C2768" s="1" t="s">
        <v>5879</v>
      </c>
      <c r="D2768" s="1" t="s">
        <v>5891</v>
      </c>
      <c r="E2768" s="1" t="s">
        <v>5928</v>
      </c>
      <c r="F2768" s="1" t="s">
        <v>16</v>
      </c>
      <c r="G2768" s="1" t="s">
        <v>17</v>
      </c>
      <c r="H2768" s="1" t="s">
        <v>18</v>
      </c>
      <c r="I2768" s="1" t="s">
        <v>19</v>
      </c>
    </row>
    <row r="2769">
      <c r="A2769" s="1">
        <v>7105084.0</v>
      </c>
      <c r="B2769" s="1" t="s">
        <v>5929</v>
      </c>
      <c r="C2769" s="1" t="s">
        <v>5879</v>
      </c>
      <c r="D2769" s="1" t="s">
        <v>5930</v>
      </c>
      <c r="E2769" s="1" t="s">
        <v>5931</v>
      </c>
      <c r="F2769" s="1" t="s">
        <v>16</v>
      </c>
      <c r="G2769" s="1" t="s">
        <v>23</v>
      </c>
      <c r="H2769" s="1" t="s">
        <v>18</v>
      </c>
      <c r="I2769" s="1" t="s">
        <v>249</v>
      </c>
    </row>
    <row r="2770">
      <c r="A2770" s="1">
        <v>7171122.0</v>
      </c>
      <c r="B2770" s="1" t="s">
        <v>5932</v>
      </c>
      <c r="C2770" s="1" t="s">
        <v>5879</v>
      </c>
      <c r="D2770" s="1" t="s">
        <v>5891</v>
      </c>
      <c r="E2770" s="1" t="s">
        <v>5933</v>
      </c>
      <c r="F2770" s="1" t="s">
        <v>1802</v>
      </c>
      <c r="G2770" s="1" t="s">
        <v>27</v>
      </c>
      <c r="H2770" s="1" t="s">
        <v>18</v>
      </c>
      <c r="I2770" s="1" t="s">
        <v>139</v>
      </c>
    </row>
    <row r="2771">
      <c r="A2771" s="1">
        <v>7171104.0</v>
      </c>
      <c r="B2771" s="1" t="s">
        <v>5934</v>
      </c>
      <c r="C2771" s="1" t="s">
        <v>5879</v>
      </c>
      <c r="D2771" s="1" t="s">
        <v>5891</v>
      </c>
      <c r="E2771" s="1" t="s">
        <v>5935</v>
      </c>
      <c r="F2771" s="1" t="s">
        <v>272</v>
      </c>
      <c r="G2771" s="1" t="s">
        <v>17</v>
      </c>
      <c r="H2771" s="1" t="s">
        <v>18</v>
      </c>
      <c r="I2771" s="1" t="s">
        <v>139</v>
      </c>
    </row>
    <row r="2772">
      <c r="A2772" s="1">
        <v>7171120.0</v>
      </c>
      <c r="B2772" s="1" t="s">
        <v>5936</v>
      </c>
      <c r="C2772" s="1" t="s">
        <v>5879</v>
      </c>
      <c r="D2772" s="1" t="s">
        <v>5891</v>
      </c>
      <c r="E2772" s="1" t="s">
        <v>5937</v>
      </c>
      <c r="F2772" s="1" t="s">
        <v>32</v>
      </c>
      <c r="G2772" s="1" t="s">
        <v>17</v>
      </c>
      <c r="H2772" s="1" t="s">
        <v>18</v>
      </c>
      <c r="I2772" s="1" t="s">
        <v>34</v>
      </c>
    </row>
    <row r="2773">
      <c r="A2773" s="1">
        <v>7172036.0</v>
      </c>
      <c r="B2773" s="1" t="s">
        <v>5938</v>
      </c>
      <c r="C2773" s="1" t="s">
        <v>5879</v>
      </c>
      <c r="D2773" s="1" t="s">
        <v>5916</v>
      </c>
      <c r="E2773" s="1" t="s">
        <v>5939</v>
      </c>
      <c r="F2773" s="1" t="s">
        <v>16</v>
      </c>
      <c r="G2773" s="1" t="s">
        <v>17</v>
      </c>
      <c r="H2773" s="1" t="s">
        <v>18</v>
      </c>
      <c r="I2773" s="1" t="s">
        <v>139</v>
      </c>
    </row>
    <row r="2774">
      <c r="A2774" s="1">
        <v>7102121.0</v>
      </c>
      <c r="B2774" s="1" t="s">
        <v>5940</v>
      </c>
      <c r="C2774" s="1" t="s">
        <v>5879</v>
      </c>
      <c r="D2774" s="1" t="s">
        <v>5880</v>
      </c>
      <c r="E2774" s="1" t="s">
        <v>5941</v>
      </c>
      <c r="F2774" s="1" t="s">
        <v>16</v>
      </c>
      <c r="G2774" s="1" t="s">
        <v>27</v>
      </c>
      <c r="H2774" s="1" t="s">
        <v>18</v>
      </c>
      <c r="I2774" s="1" t="s">
        <v>44</v>
      </c>
    </row>
    <row r="2775">
      <c r="A2775" s="1">
        <v>7105030.0</v>
      </c>
      <c r="B2775" s="1" t="s">
        <v>5942</v>
      </c>
      <c r="C2775" s="1" t="s">
        <v>5879</v>
      </c>
      <c r="D2775" s="1" t="s">
        <v>5930</v>
      </c>
      <c r="E2775" s="1" t="s">
        <v>5943</v>
      </c>
      <c r="F2775" s="1" t="s">
        <v>16</v>
      </c>
      <c r="G2775" s="1" t="s">
        <v>17</v>
      </c>
      <c r="H2775" s="1" t="s">
        <v>18</v>
      </c>
      <c r="I2775" s="1" t="s">
        <v>40</v>
      </c>
    </row>
    <row r="2776">
      <c r="A2776" s="1">
        <v>7171035.0</v>
      </c>
      <c r="B2776" s="1" t="s">
        <v>5944</v>
      </c>
      <c r="C2776" s="1" t="s">
        <v>5879</v>
      </c>
      <c r="D2776" s="1" t="s">
        <v>5880</v>
      </c>
      <c r="E2776" s="1" t="s">
        <v>5945</v>
      </c>
      <c r="F2776" s="1" t="s">
        <v>174</v>
      </c>
      <c r="G2776" s="1" t="s">
        <v>27</v>
      </c>
      <c r="H2776" s="1" t="s">
        <v>18</v>
      </c>
      <c r="I2776" s="1" t="s">
        <v>139</v>
      </c>
    </row>
    <row r="2777">
      <c r="A2777" s="1">
        <v>7171103.0</v>
      </c>
      <c r="B2777" s="1" t="s">
        <v>5946</v>
      </c>
      <c r="C2777" s="1" t="s">
        <v>5879</v>
      </c>
      <c r="D2777" s="1" t="s">
        <v>5891</v>
      </c>
      <c r="E2777" s="1" t="s">
        <v>5947</v>
      </c>
      <c r="F2777" s="1" t="s">
        <v>16</v>
      </c>
      <c r="G2777" s="1" t="s">
        <v>27</v>
      </c>
      <c r="H2777" s="1" t="s">
        <v>18</v>
      </c>
      <c r="I2777" s="1" t="s">
        <v>139</v>
      </c>
    </row>
    <row r="2778">
      <c r="A2778" s="1">
        <v>7174024.0</v>
      </c>
      <c r="B2778" s="1" t="s">
        <v>5948</v>
      </c>
      <c r="C2778" s="1" t="s">
        <v>5879</v>
      </c>
      <c r="D2778" s="1" t="s">
        <v>5886</v>
      </c>
      <c r="E2778" s="1" t="s">
        <v>5949</v>
      </c>
      <c r="F2778" s="1" t="s">
        <v>16</v>
      </c>
      <c r="G2778" s="1" t="s">
        <v>23</v>
      </c>
      <c r="H2778" s="1" t="s">
        <v>18</v>
      </c>
      <c r="I2778" s="1" t="s">
        <v>258</v>
      </c>
    </row>
    <row r="2779">
      <c r="A2779" s="1">
        <v>7105116.0</v>
      </c>
      <c r="B2779" s="1" t="s">
        <v>5950</v>
      </c>
      <c r="C2779" s="1" t="s">
        <v>5879</v>
      </c>
      <c r="D2779" s="1" t="s">
        <v>5930</v>
      </c>
      <c r="E2779" s="1" t="s">
        <v>5951</v>
      </c>
      <c r="F2779" s="1" t="s">
        <v>16</v>
      </c>
      <c r="G2779" s="1" t="s">
        <v>17</v>
      </c>
      <c r="H2779" s="1" t="s">
        <v>18</v>
      </c>
      <c r="I2779" s="1" t="s">
        <v>258</v>
      </c>
    </row>
    <row r="2780">
      <c r="A2780" s="1">
        <v>7173036.0</v>
      </c>
      <c r="B2780" s="1" t="s">
        <v>5952</v>
      </c>
      <c r="C2780" s="1" t="s">
        <v>5879</v>
      </c>
      <c r="D2780" s="1" t="s">
        <v>5909</v>
      </c>
      <c r="E2780" s="1" t="s">
        <v>5953</v>
      </c>
      <c r="F2780" s="1" t="s">
        <v>16</v>
      </c>
      <c r="G2780" s="1" t="s">
        <v>17</v>
      </c>
      <c r="H2780" s="1" t="s">
        <v>18</v>
      </c>
      <c r="I2780" s="1" t="s">
        <v>258</v>
      </c>
    </row>
    <row r="2781">
      <c r="A2781" s="1">
        <v>7171061.0</v>
      </c>
      <c r="B2781" s="1" t="s">
        <v>5954</v>
      </c>
      <c r="C2781" s="1" t="s">
        <v>5879</v>
      </c>
      <c r="D2781" s="1" t="s">
        <v>5891</v>
      </c>
      <c r="E2781" s="1" t="s">
        <v>5955</v>
      </c>
      <c r="F2781" s="1" t="s">
        <v>16</v>
      </c>
      <c r="G2781" s="1" t="s">
        <v>17</v>
      </c>
      <c r="H2781" s="1" t="s">
        <v>33</v>
      </c>
      <c r="I2781" s="1" t="s">
        <v>65</v>
      </c>
    </row>
    <row r="2782">
      <c r="A2782" s="1">
        <v>7171106.0</v>
      </c>
      <c r="B2782" s="1" t="s">
        <v>5956</v>
      </c>
      <c r="C2782" s="1" t="s">
        <v>5879</v>
      </c>
      <c r="D2782" s="1" t="s">
        <v>5891</v>
      </c>
      <c r="E2782" s="1" t="s">
        <v>5957</v>
      </c>
      <c r="F2782" s="1" t="s">
        <v>16</v>
      </c>
      <c r="G2782" s="1" t="s">
        <v>17</v>
      </c>
      <c r="H2782" s="1" t="s">
        <v>18</v>
      </c>
      <c r="I2782" s="1" t="s">
        <v>44</v>
      </c>
    </row>
    <row r="2783">
      <c r="A2783" s="1">
        <v>7103015.0</v>
      </c>
      <c r="B2783" s="1" t="s">
        <v>5958</v>
      </c>
      <c r="C2783" s="1" t="s">
        <v>5879</v>
      </c>
      <c r="D2783" s="1" t="s">
        <v>5898</v>
      </c>
      <c r="E2783" s="1" t="s">
        <v>5959</v>
      </c>
      <c r="F2783" s="1" t="s">
        <v>16</v>
      </c>
      <c r="G2783" s="1" t="s">
        <v>17</v>
      </c>
      <c r="H2783" s="1" t="s">
        <v>28</v>
      </c>
      <c r="I2783" s="1" t="s">
        <v>40</v>
      </c>
    </row>
    <row r="2784">
      <c r="A2784" s="1">
        <v>7108037.0</v>
      </c>
      <c r="B2784" s="1" t="s">
        <v>5960</v>
      </c>
      <c r="C2784" s="1" t="s">
        <v>5879</v>
      </c>
      <c r="D2784" s="1" t="s">
        <v>5903</v>
      </c>
      <c r="E2784" s="1" t="s">
        <v>5961</v>
      </c>
      <c r="F2784" s="1" t="s">
        <v>16</v>
      </c>
      <c r="G2784" s="1" t="s">
        <v>17</v>
      </c>
      <c r="H2784" s="1" t="s">
        <v>18</v>
      </c>
      <c r="I2784" s="1" t="s">
        <v>40</v>
      </c>
    </row>
    <row r="2785">
      <c r="A2785" s="1">
        <v>7111011.0</v>
      </c>
      <c r="B2785" s="1" t="s">
        <v>5962</v>
      </c>
      <c r="C2785" s="1" t="s">
        <v>5879</v>
      </c>
      <c r="D2785" s="1" t="s">
        <v>5963</v>
      </c>
      <c r="E2785" s="1" t="s">
        <v>5964</v>
      </c>
      <c r="F2785" s="1" t="s">
        <v>16</v>
      </c>
      <c r="G2785" s="1" t="s">
        <v>23</v>
      </c>
      <c r="H2785" s="1" t="s">
        <v>18</v>
      </c>
      <c r="I2785" s="1" t="s">
        <v>40</v>
      </c>
    </row>
    <row r="2786">
      <c r="A2786" s="1">
        <v>7171121.0</v>
      </c>
      <c r="B2786" s="1" t="s">
        <v>5965</v>
      </c>
      <c r="C2786" s="1" t="s">
        <v>5879</v>
      </c>
      <c r="D2786" s="1" t="s">
        <v>5891</v>
      </c>
      <c r="E2786" s="1" t="s">
        <v>5966</v>
      </c>
      <c r="F2786" s="1" t="s">
        <v>16</v>
      </c>
      <c r="G2786" s="1" t="s">
        <v>17</v>
      </c>
      <c r="H2786" s="1" t="s">
        <v>18</v>
      </c>
      <c r="I2786" s="1" t="s">
        <v>29</v>
      </c>
    </row>
    <row r="2787">
      <c r="A2787" s="1">
        <v>7106018.0</v>
      </c>
      <c r="B2787" s="1" t="s">
        <v>5967</v>
      </c>
      <c r="C2787" s="1" t="s">
        <v>5879</v>
      </c>
      <c r="D2787" s="1" t="s">
        <v>5894</v>
      </c>
      <c r="E2787" s="1" t="s">
        <v>5968</v>
      </c>
      <c r="F2787" s="1" t="s">
        <v>16</v>
      </c>
      <c r="G2787" s="1" t="s">
        <v>17</v>
      </c>
      <c r="H2787" s="1" t="s">
        <v>28</v>
      </c>
      <c r="I2787" s="1" t="s">
        <v>40</v>
      </c>
    </row>
    <row r="2788">
      <c r="A2788" s="1">
        <v>7173051.0</v>
      </c>
      <c r="B2788" s="1" t="s">
        <v>5969</v>
      </c>
      <c r="C2788" s="1" t="s">
        <v>5879</v>
      </c>
      <c r="D2788" s="1" t="s">
        <v>5909</v>
      </c>
      <c r="E2788" s="1" t="s">
        <v>5970</v>
      </c>
      <c r="F2788" s="1" t="s">
        <v>16</v>
      </c>
      <c r="G2788" s="1" t="s">
        <v>17</v>
      </c>
      <c r="H2788" s="1" t="s">
        <v>33</v>
      </c>
      <c r="I2788" s="1" t="s">
        <v>249</v>
      </c>
    </row>
    <row r="2789">
      <c r="A2789" s="1">
        <v>7171083.0</v>
      </c>
      <c r="B2789" s="1" t="s">
        <v>5971</v>
      </c>
      <c r="C2789" s="1" t="s">
        <v>5879</v>
      </c>
      <c r="D2789" s="1" t="s">
        <v>5891</v>
      </c>
      <c r="E2789" s="1" t="s">
        <v>5972</v>
      </c>
      <c r="F2789" s="1" t="s">
        <v>16</v>
      </c>
      <c r="G2789" s="1" t="s">
        <v>17</v>
      </c>
      <c r="H2789" s="1" t="s">
        <v>18</v>
      </c>
      <c r="I2789" s="1" t="s">
        <v>59</v>
      </c>
    </row>
    <row r="2790">
      <c r="A2790" s="1">
        <v>7171094.0</v>
      </c>
      <c r="B2790" s="1" t="s">
        <v>5973</v>
      </c>
      <c r="C2790" s="1" t="s">
        <v>5879</v>
      </c>
      <c r="D2790" s="1" t="s">
        <v>5891</v>
      </c>
      <c r="E2790" s="1" t="s">
        <v>5974</v>
      </c>
      <c r="F2790" s="1" t="s">
        <v>16</v>
      </c>
      <c r="G2790" s="1" t="s">
        <v>17</v>
      </c>
      <c r="H2790" s="1" t="s">
        <v>18</v>
      </c>
      <c r="I2790" s="1" t="s">
        <v>59</v>
      </c>
    </row>
    <row r="2791">
      <c r="A2791" s="1">
        <v>7104027.0</v>
      </c>
      <c r="B2791" s="1" t="s">
        <v>5975</v>
      </c>
      <c r="C2791" s="1" t="s">
        <v>5879</v>
      </c>
      <c r="D2791" s="1" t="s">
        <v>5976</v>
      </c>
      <c r="E2791" s="1" t="s">
        <v>5977</v>
      </c>
      <c r="F2791" s="1" t="s">
        <v>16</v>
      </c>
      <c r="G2791" s="1" t="s">
        <v>23</v>
      </c>
      <c r="H2791" s="1" t="s">
        <v>18</v>
      </c>
      <c r="I2791" s="1" t="s">
        <v>40</v>
      </c>
    </row>
    <row r="2792">
      <c r="A2792" s="1">
        <v>7172048.0</v>
      </c>
      <c r="B2792" s="1" t="s">
        <v>5978</v>
      </c>
      <c r="C2792" s="1" t="s">
        <v>5879</v>
      </c>
      <c r="D2792" s="1" t="s">
        <v>5916</v>
      </c>
      <c r="E2792" s="1" t="s">
        <v>5979</v>
      </c>
      <c r="F2792" s="1" t="s">
        <v>16</v>
      </c>
      <c r="G2792" s="1" t="s">
        <v>23</v>
      </c>
      <c r="H2792" s="1" t="s">
        <v>18</v>
      </c>
      <c r="I2792" s="1" t="s">
        <v>29</v>
      </c>
    </row>
    <row r="2793">
      <c r="A2793" s="1">
        <v>7102073.0</v>
      </c>
      <c r="B2793" s="1" t="s">
        <v>5980</v>
      </c>
      <c r="C2793" s="1" t="s">
        <v>5879</v>
      </c>
      <c r="D2793" s="1" t="s">
        <v>5880</v>
      </c>
      <c r="E2793" s="1" t="s">
        <v>5981</v>
      </c>
      <c r="F2793" s="1" t="s">
        <v>16</v>
      </c>
      <c r="G2793" s="1" t="s">
        <v>17</v>
      </c>
      <c r="H2793" s="1" t="s">
        <v>18</v>
      </c>
      <c r="I2793" s="1" t="s">
        <v>249</v>
      </c>
    </row>
    <row r="2794">
      <c r="A2794" s="1">
        <v>7172025.0</v>
      </c>
      <c r="B2794" s="1" t="s">
        <v>5982</v>
      </c>
      <c r="C2794" s="1" t="s">
        <v>5879</v>
      </c>
      <c r="D2794" s="1" t="s">
        <v>5916</v>
      </c>
      <c r="E2794" s="1" t="s">
        <v>5983</v>
      </c>
      <c r="F2794" s="1" t="s">
        <v>16</v>
      </c>
      <c r="G2794" s="1" t="s">
        <v>23</v>
      </c>
      <c r="H2794" s="1" t="s">
        <v>18</v>
      </c>
      <c r="I2794" s="1" t="s">
        <v>95</v>
      </c>
    </row>
    <row r="2795">
      <c r="A2795" s="1">
        <v>7174035.0</v>
      </c>
      <c r="B2795" s="1" t="s">
        <v>5984</v>
      </c>
      <c r="C2795" s="1" t="s">
        <v>5879</v>
      </c>
      <c r="D2795" s="1" t="s">
        <v>5886</v>
      </c>
      <c r="E2795" s="1" t="s">
        <v>5985</v>
      </c>
      <c r="F2795" s="1" t="s">
        <v>16</v>
      </c>
      <c r="G2795" s="1" t="s">
        <v>17</v>
      </c>
      <c r="H2795" s="1" t="s">
        <v>28</v>
      </c>
      <c r="I2795" s="1" t="s">
        <v>29</v>
      </c>
    </row>
    <row r="2796">
      <c r="A2796" s="1">
        <v>7174004.0</v>
      </c>
      <c r="B2796" s="1" t="s">
        <v>5986</v>
      </c>
      <c r="C2796" s="1" t="s">
        <v>5879</v>
      </c>
      <c r="D2796" s="1" t="s">
        <v>5886</v>
      </c>
      <c r="E2796" s="1" t="s">
        <v>5987</v>
      </c>
      <c r="F2796" s="1" t="s">
        <v>55</v>
      </c>
      <c r="G2796" s="1" t="s">
        <v>17</v>
      </c>
      <c r="H2796" s="1" t="s">
        <v>18</v>
      </c>
      <c r="I2796" s="1" t="s">
        <v>19</v>
      </c>
    </row>
    <row r="2797">
      <c r="A2797" s="1">
        <v>7107014.0</v>
      </c>
      <c r="B2797" s="1" t="s">
        <v>5988</v>
      </c>
      <c r="C2797" s="1" t="s">
        <v>5879</v>
      </c>
      <c r="D2797" s="1" t="s">
        <v>5906</v>
      </c>
      <c r="E2797" s="1" t="s">
        <v>5989</v>
      </c>
      <c r="F2797" s="1" t="s">
        <v>16</v>
      </c>
      <c r="G2797" s="1" t="s">
        <v>23</v>
      </c>
      <c r="H2797" s="1" t="s">
        <v>18</v>
      </c>
      <c r="I2797" s="1" t="s">
        <v>40</v>
      </c>
    </row>
    <row r="2798">
      <c r="A2798" s="1">
        <v>7171098.0</v>
      </c>
      <c r="B2798" s="1" t="s">
        <v>5990</v>
      </c>
      <c r="C2798" s="1" t="s">
        <v>5879</v>
      </c>
      <c r="D2798" s="1" t="s">
        <v>5891</v>
      </c>
      <c r="E2798" s="1" t="s">
        <v>5991</v>
      </c>
      <c r="F2798" s="1" t="s">
        <v>55</v>
      </c>
      <c r="G2798" s="1" t="s">
        <v>17</v>
      </c>
      <c r="H2798" s="1" t="s">
        <v>18</v>
      </c>
      <c r="I2798" s="1" t="s">
        <v>19</v>
      </c>
    </row>
    <row r="2799">
      <c r="A2799" s="1">
        <v>7171024.0</v>
      </c>
      <c r="B2799" s="1" t="s">
        <v>5992</v>
      </c>
      <c r="C2799" s="1" t="s">
        <v>5879</v>
      </c>
      <c r="D2799" s="1" t="s">
        <v>5891</v>
      </c>
      <c r="E2799" s="1" t="s">
        <v>5993</v>
      </c>
      <c r="F2799" s="1" t="s">
        <v>16</v>
      </c>
      <c r="G2799" s="1" t="s">
        <v>17</v>
      </c>
      <c r="H2799" s="1" t="s">
        <v>33</v>
      </c>
      <c r="I2799" s="1" t="s">
        <v>74</v>
      </c>
    </row>
    <row r="2800">
      <c r="A2800" s="1">
        <v>7101013.0</v>
      </c>
      <c r="B2800" s="1" t="s">
        <v>5994</v>
      </c>
      <c r="C2800" s="1" t="s">
        <v>5879</v>
      </c>
      <c r="D2800" s="1" t="s">
        <v>5995</v>
      </c>
      <c r="E2800" s="1" t="s">
        <v>5996</v>
      </c>
      <c r="F2800" s="1" t="s">
        <v>16</v>
      </c>
      <c r="G2800" s="1" t="s">
        <v>17</v>
      </c>
      <c r="H2800" s="1" t="s">
        <v>18</v>
      </c>
      <c r="I2800" s="1" t="s">
        <v>40</v>
      </c>
    </row>
    <row r="2801">
      <c r="A2801" s="1">
        <v>7102095.0</v>
      </c>
      <c r="B2801" s="1" t="s">
        <v>5997</v>
      </c>
      <c r="C2801" s="1" t="s">
        <v>5879</v>
      </c>
      <c r="D2801" s="1" t="s">
        <v>5894</v>
      </c>
      <c r="E2801" s="1" t="s">
        <v>5998</v>
      </c>
      <c r="F2801" s="1" t="s">
        <v>16</v>
      </c>
      <c r="G2801" s="1" t="s">
        <v>23</v>
      </c>
      <c r="H2801" s="1" t="s">
        <v>18</v>
      </c>
      <c r="I2801" s="1" t="s">
        <v>258</v>
      </c>
    </row>
    <row r="2802">
      <c r="A2802" s="1">
        <v>7171102.0</v>
      </c>
      <c r="B2802" s="1" t="s">
        <v>5999</v>
      </c>
      <c r="C2802" s="1" t="s">
        <v>5879</v>
      </c>
      <c r="D2802" s="1" t="s">
        <v>5891</v>
      </c>
      <c r="E2802" s="1" t="s">
        <v>6000</v>
      </c>
      <c r="F2802" s="1" t="s">
        <v>16</v>
      </c>
      <c r="G2802" s="1" t="s">
        <v>17</v>
      </c>
      <c r="H2802" s="1" t="s">
        <v>18</v>
      </c>
      <c r="I2802" s="1" t="s">
        <v>19</v>
      </c>
    </row>
    <row r="2803">
      <c r="A2803" s="1">
        <v>7171099.0</v>
      </c>
      <c r="B2803" s="1" t="s">
        <v>6001</v>
      </c>
      <c r="C2803" s="1" t="s">
        <v>5879</v>
      </c>
      <c r="D2803" s="1" t="s">
        <v>5891</v>
      </c>
      <c r="E2803" s="1" t="s">
        <v>6002</v>
      </c>
      <c r="F2803" s="1" t="s">
        <v>16</v>
      </c>
      <c r="G2803" s="1" t="s">
        <v>27</v>
      </c>
      <c r="H2803" s="1" t="s">
        <v>18</v>
      </c>
      <c r="I2803" s="1" t="s">
        <v>44</v>
      </c>
    </row>
    <row r="2804">
      <c r="A2804" s="1">
        <v>7171050.0</v>
      </c>
      <c r="B2804" s="1" t="s">
        <v>6003</v>
      </c>
      <c r="C2804" s="1" t="s">
        <v>5879</v>
      </c>
      <c r="D2804" s="1" t="s">
        <v>5891</v>
      </c>
      <c r="E2804" s="1" t="s">
        <v>6004</v>
      </c>
      <c r="F2804" s="1" t="s">
        <v>16</v>
      </c>
      <c r="G2804" s="1" t="s">
        <v>17</v>
      </c>
      <c r="H2804" s="1" t="s">
        <v>18</v>
      </c>
      <c r="I2804" s="1" t="s">
        <v>258</v>
      </c>
    </row>
    <row r="2805">
      <c r="A2805" s="1">
        <v>7104038.0</v>
      </c>
      <c r="B2805" s="1" t="s">
        <v>6005</v>
      </c>
      <c r="C2805" s="1" t="s">
        <v>5879</v>
      </c>
      <c r="D2805" s="1" t="s">
        <v>5976</v>
      </c>
      <c r="E2805" s="1" t="s">
        <v>6006</v>
      </c>
      <c r="F2805" s="1" t="s">
        <v>16</v>
      </c>
      <c r="G2805" s="1" t="s">
        <v>17</v>
      </c>
      <c r="H2805" s="1" t="s">
        <v>18</v>
      </c>
      <c r="I2805" s="1" t="s">
        <v>40</v>
      </c>
    </row>
    <row r="2806">
      <c r="A2806" s="1">
        <v>7102014.0</v>
      </c>
      <c r="B2806" s="1" t="s">
        <v>6007</v>
      </c>
      <c r="C2806" s="1" t="s">
        <v>5879</v>
      </c>
      <c r="D2806" s="1" t="s">
        <v>5880</v>
      </c>
      <c r="E2806" s="1" t="s">
        <v>6008</v>
      </c>
      <c r="F2806" s="1" t="s">
        <v>16</v>
      </c>
      <c r="G2806" s="1" t="s">
        <v>17</v>
      </c>
      <c r="H2806" s="1" t="s">
        <v>28</v>
      </c>
      <c r="I2806" s="1" t="s">
        <v>40</v>
      </c>
    </row>
    <row r="2807">
      <c r="A2807" s="1">
        <v>7201012.0</v>
      </c>
      <c r="B2807" s="1" t="s">
        <v>6009</v>
      </c>
      <c r="C2807" s="1" t="s">
        <v>6010</v>
      </c>
      <c r="D2807" s="1" t="s">
        <v>6011</v>
      </c>
      <c r="E2807" s="1" t="s">
        <v>6012</v>
      </c>
      <c r="F2807" s="1" t="s">
        <v>16</v>
      </c>
      <c r="G2807" s="1" t="s">
        <v>17</v>
      </c>
      <c r="H2807" s="1" t="s">
        <v>28</v>
      </c>
      <c r="I2807" s="1" t="s">
        <v>40</v>
      </c>
    </row>
    <row r="2808">
      <c r="A2808" s="1">
        <v>7204010.0</v>
      </c>
      <c r="B2808" s="1" t="s">
        <v>6013</v>
      </c>
      <c r="C2808" s="1" t="s">
        <v>6010</v>
      </c>
      <c r="D2808" s="1" t="s">
        <v>6014</v>
      </c>
      <c r="E2808" s="1" t="s">
        <v>6015</v>
      </c>
      <c r="F2808" s="1" t="s">
        <v>16</v>
      </c>
      <c r="G2808" s="1" t="s">
        <v>17</v>
      </c>
      <c r="H2808" s="1" t="s">
        <v>28</v>
      </c>
      <c r="I2808" s="1" t="s">
        <v>40</v>
      </c>
    </row>
    <row r="2809">
      <c r="A2809" s="1">
        <v>7201014.0</v>
      </c>
      <c r="B2809" s="1" t="s">
        <v>6016</v>
      </c>
      <c r="C2809" s="1" t="s">
        <v>6010</v>
      </c>
      <c r="D2809" s="1" t="s">
        <v>6011</v>
      </c>
      <c r="E2809" s="1" t="s">
        <v>6017</v>
      </c>
      <c r="F2809" s="1" t="s">
        <v>16</v>
      </c>
      <c r="G2809" s="1" t="s">
        <v>98</v>
      </c>
      <c r="H2809" s="1" t="s">
        <v>28</v>
      </c>
      <c r="I2809" s="1" t="s">
        <v>40</v>
      </c>
    </row>
    <row r="2810">
      <c r="A2810" s="1">
        <v>7271025.0</v>
      </c>
      <c r="B2810" s="1" t="s">
        <v>6018</v>
      </c>
      <c r="C2810" s="1" t="s">
        <v>6010</v>
      </c>
      <c r="D2810" s="1" t="s">
        <v>6019</v>
      </c>
      <c r="E2810" s="1" t="s">
        <v>6020</v>
      </c>
      <c r="F2810" s="1" t="s">
        <v>16</v>
      </c>
      <c r="G2810" s="1" t="s">
        <v>17</v>
      </c>
      <c r="H2810" s="1" t="s">
        <v>18</v>
      </c>
      <c r="I2810" s="1" t="s">
        <v>74</v>
      </c>
    </row>
    <row r="2811">
      <c r="A2811" s="1">
        <v>7209032.0</v>
      </c>
      <c r="B2811" s="1" t="s">
        <v>6021</v>
      </c>
      <c r="C2811" s="1" t="s">
        <v>6010</v>
      </c>
      <c r="D2811" s="1" t="s">
        <v>6022</v>
      </c>
      <c r="E2811" s="1" t="s">
        <v>6023</v>
      </c>
      <c r="F2811" s="1" t="s">
        <v>16</v>
      </c>
      <c r="G2811" s="1" t="s">
        <v>17</v>
      </c>
      <c r="H2811" s="1" t="s">
        <v>28</v>
      </c>
      <c r="I2811" s="1" t="s">
        <v>40</v>
      </c>
    </row>
    <row r="2812">
      <c r="A2812" s="1">
        <v>7271040.0</v>
      </c>
      <c r="B2812" s="1" t="s">
        <v>6024</v>
      </c>
      <c r="C2812" s="1" t="s">
        <v>6010</v>
      </c>
      <c r="D2812" s="1" t="s">
        <v>6019</v>
      </c>
      <c r="E2812" s="1" t="s">
        <v>6025</v>
      </c>
      <c r="F2812" s="1" t="s">
        <v>16</v>
      </c>
      <c r="G2812" s="1" t="s">
        <v>17</v>
      </c>
      <c r="H2812" s="1" t="s">
        <v>18</v>
      </c>
      <c r="I2812" s="1" t="s">
        <v>59</v>
      </c>
    </row>
    <row r="2813">
      <c r="A2813" s="1">
        <v>7208011.0</v>
      </c>
      <c r="B2813" s="1" t="s">
        <v>6026</v>
      </c>
      <c r="C2813" s="1" t="s">
        <v>6010</v>
      </c>
      <c r="D2813" s="1" t="s">
        <v>6027</v>
      </c>
      <c r="E2813" s="1" t="s">
        <v>6028</v>
      </c>
      <c r="F2813" s="1" t="s">
        <v>16</v>
      </c>
      <c r="G2813" s="1" t="s">
        <v>27</v>
      </c>
      <c r="H2813" s="1" t="s">
        <v>28</v>
      </c>
      <c r="I2813" s="1" t="s">
        <v>40</v>
      </c>
    </row>
    <row r="2814">
      <c r="A2814" s="1">
        <v>7208013.0</v>
      </c>
      <c r="B2814" s="1" t="s">
        <v>6029</v>
      </c>
      <c r="C2814" s="1" t="s">
        <v>6010</v>
      </c>
      <c r="D2814" s="1" t="s">
        <v>6027</v>
      </c>
      <c r="E2814" s="1" t="s">
        <v>6030</v>
      </c>
      <c r="F2814" s="1" t="s">
        <v>16</v>
      </c>
      <c r="G2814" s="1" t="s">
        <v>17</v>
      </c>
      <c r="H2814" s="1" t="s">
        <v>28</v>
      </c>
      <c r="I2814" s="1" t="s">
        <v>40</v>
      </c>
    </row>
    <row r="2815">
      <c r="A2815" s="1">
        <v>7271130.0</v>
      </c>
      <c r="B2815" s="1" t="s">
        <v>6031</v>
      </c>
      <c r="C2815" s="1" t="s">
        <v>6010</v>
      </c>
      <c r="D2815" s="1" t="s">
        <v>6019</v>
      </c>
      <c r="E2815" s="1" t="s">
        <v>6032</v>
      </c>
      <c r="F2815" s="1" t="s">
        <v>55</v>
      </c>
      <c r="G2815" s="1" t="s">
        <v>17</v>
      </c>
      <c r="H2815" s="1" t="s">
        <v>18</v>
      </c>
      <c r="I2815" s="1" t="s">
        <v>19</v>
      </c>
    </row>
    <row r="2816">
      <c r="A2816" s="1">
        <v>7205024.0</v>
      </c>
      <c r="B2816" s="1" t="s">
        <v>6033</v>
      </c>
      <c r="C2816" s="1" t="s">
        <v>6010</v>
      </c>
      <c r="D2816" s="1" t="s">
        <v>6034</v>
      </c>
      <c r="E2816" s="1" t="s">
        <v>6035</v>
      </c>
      <c r="F2816" s="1" t="s">
        <v>16</v>
      </c>
      <c r="G2816" s="1" t="s">
        <v>23</v>
      </c>
      <c r="H2816" s="1" t="s">
        <v>18</v>
      </c>
      <c r="I2816" s="1" t="s">
        <v>40</v>
      </c>
    </row>
    <row r="2817">
      <c r="A2817" s="1">
        <v>7271095.0</v>
      </c>
      <c r="B2817" s="1" t="s">
        <v>6036</v>
      </c>
      <c r="C2817" s="1" t="s">
        <v>6010</v>
      </c>
      <c r="D2817" s="1" t="s">
        <v>6019</v>
      </c>
      <c r="E2817" s="1" t="s">
        <v>6037</v>
      </c>
      <c r="F2817" s="1" t="s">
        <v>16</v>
      </c>
      <c r="G2817" s="1" t="s">
        <v>17</v>
      </c>
      <c r="H2817" s="1" t="s">
        <v>18</v>
      </c>
      <c r="I2817" s="1" t="s">
        <v>19</v>
      </c>
    </row>
    <row r="2818">
      <c r="A2818" s="1">
        <v>7201011.0</v>
      </c>
      <c r="B2818" s="1" t="s">
        <v>6038</v>
      </c>
      <c r="C2818" s="1" t="s">
        <v>6010</v>
      </c>
      <c r="D2818" s="1" t="s">
        <v>6039</v>
      </c>
      <c r="E2818" s="1" t="s">
        <v>6040</v>
      </c>
      <c r="F2818" s="1" t="s">
        <v>16</v>
      </c>
      <c r="G2818" s="1" t="s">
        <v>17</v>
      </c>
      <c r="H2818" s="1" t="s">
        <v>28</v>
      </c>
      <c r="I2818" s="1" t="s">
        <v>40</v>
      </c>
    </row>
    <row r="2819">
      <c r="A2819" s="1">
        <v>7212011.0</v>
      </c>
      <c r="B2819" s="1" t="s">
        <v>6041</v>
      </c>
      <c r="C2819" s="1" t="s">
        <v>6010</v>
      </c>
      <c r="D2819" s="1" t="s">
        <v>6042</v>
      </c>
      <c r="E2819" s="1" t="s">
        <v>6043</v>
      </c>
      <c r="F2819" s="1" t="s">
        <v>16</v>
      </c>
      <c r="G2819" s="1" t="s">
        <v>98</v>
      </c>
      <c r="H2819" s="1" t="s">
        <v>18</v>
      </c>
      <c r="I2819" s="1" t="s">
        <v>40</v>
      </c>
    </row>
    <row r="2820">
      <c r="A2820" s="1">
        <v>7206012.0</v>
      </c>
      <c r="B2820" s="1" t="s">
        <v>6044</v>
      </c>
      <c r="C2820" s="1" t="s">
        <v>6010</v>
      </c>
      <c r="D2820" s="1" t="s">
        <v>6045</v>
      </c>
      <c r="E2820" s="1" t="s">
        <v>6046</v>
      </c>
      <c r="F2820" s="1" t="s">
        <v>16</v>
      </c>
      <c r="G2820" s="1" t="s">
        <v>17</v>
      </c>
      <c r="H2820" s="1" t="s">
        <v>28</v>
      </c>
      <c r="I2820" s="1" t="s">
        <v>40</v>
      </c>
    </row>
    <row r="2821">
      <c r="A2821" s="1">
        <v>7203016.0</v>
      </c>
      <c r="B2821" s="1" t="s">
        <v>6047</v>
      </c>
      <c r="C2821" s="1" t="s">
        <v>6010</v>
      </c>
      <c r="D2821" s="1" t="s">
        <v>6048</v>
      </c>
      <c r="E2821" s="1" t="s">
        <v>6049</v>
      </c>
      <c r="F2821" s="1" t="s">
        <v>16</v>
      </c>
      <c r="G2821" s="1" t="s">
        <v>17</v>
      </c>
      <c r="H2821" s="1" t="s">
        <v>28</v>
      </c>
      <c r="I2821" s="1" t="s">
        <v>40</v>
      </c>
    </row>
    <row r="2822">
      <c r="A2822" s="1">
        <v>7209004.0</v>
      </c>
      <c r="B2822" s="1" t="s">
        <v>6050</v>
      </c>
      <c r="C2822" s="1" t="s">
        <v>6010</v>
      </c>
      <c r="D2822" s="1" t="s">
        <v>6022</v>
      </c>
      <c r="E2822" s="1" t="s">
        <v>6051</v>
      </c>
      <c r="F2822" s="1" t="s">
        <v>16</v>
      </c>
      <c r="G2822" s="1" t="s">
        <v>98</v>
      </c>
      <c r="H2822" s="1" t="s">
        <v>18</v>
      </c>
      <c r="I2822" s="1" t="s">
        <v>40</v>
      </c>
    </row>
    <row r="2823">
      <c r="A2823" s="1">
        <v>7208012.0</v>
      </c>
      <c r="B2823" s="1" t="s">
        <v>6052</v>
      </c>
      <c r="C2823" s="1" t="s">
        <v>6010</v>
      </c>
      <c r="D2823" s="1" t="s">
        <v>6027</v>
      </c>
      <c r="E2823" s="1" t="s">
        <v>6053</v>
      </c>
      <c r="F2823" s="1" t="s">
        <v>55</v>
      </c>
      <c r="G2823" s="1" t="s">
        <v>17</v>
      </c>
      <c r="H2823" s="1" t="s">
        <v>18</v>
      </c>
      <c r="I2823" s="1" t="s">
        <v>163</v>
      </c>
    </row>
    <row r="2824">
      <c r="A2824" s="1">
        <v>7204044.0</v>
      </c>
      <c r="B2824" s="1" t="s">
        <v>6054</v>
      </c>
      <c r="C2824" s="1" t="s">
        <v>6010</v>
      </c>
      <c r="D2824" s="1" t="s">
        <v>6014</v>
      </c>
      <c r="E2824" s="1" t="s">
        <v>6055</v>
      </c>
      <c r="F2824" s="1" t="s">
        <v>16</v>
      </c>
      <c r="G2824" s="1" t="s">
        <v>23</v>
      </c>
      <c r="H2824" s="1" t="s">
        <v>18</v>
      </c>
      <c r="I2824" s="1" t="s">
        <v>74</v>
      </c>
    </row>
    <row r="2825">
      <c r="A2825" s="1">
        <v>7208115.0</v>
      </c>
      <c r="B2825" s="1" t="s">
        <v>6056</v>
      </c>
      <c r="C2825" s="1" t="s">
        <v>6010</v>
      </c>
      <c r="D2825" s="1" t="s">
        <v>6027</v>
      </c>
      <c r="E2825" s="1" t="s">
        <v>6057</v>
      </c>
      <c r="F2825" s="1" t="s">
        <v>16</v>
      </c>
      <c r="G2825" s="1" t="s">
        <v>23</v>
      </c>
      <c r="H2825" s="1" t="s">
        <v>18</v>
      </c>
      <c r="I2825" s="1" t="s">
        <v>40</v>
      </c>
    </row>
    <row r="2826">
      <c r="A2826" s="1">
        <v>7271014.0</v>
      </c>
      <c r="B2826" s="1" t="s">
        <v>6058</v>
      </c>
      <c r="C2826" s="1" t="s">
        <v>6010</v>
      </c>
      <c r="D2826" s="1" t="s">
        <v>6019</v>
      </c>
      <c r="E2826" s="1" t="s">
        <v>6059</v>
      </c>
      <c r="F2826" s="1" t="s">
        <v>16</v>
      </c>
      <c r="G2826" s="1" t="s">
        <v>27</v>
      </c>
      <c r="H2826" s="1" t="s">
        <v>28</v>
      </c>
      <c r="I2826" s="1" t="s">
        <v>139</v>
      </c>
    </row>
    <row r="2827">
      <c r="A2827" s="1">
        <v>7203018.0</v>
      </c>
      <c r="B2827" s="1" t="s">
        <v>6060</v>
      </c>
      <c r="C2827" s="1" t="s">
        <v>6010</v>
      </c>
      <c r="D2827" s="1" t="s">
        <v>6048</v>
      </c>
      <c r="E2827" s="1" t="s">
        <v>6061</v>
      </c>
      <c r="F2827" s="1" t="s">
        <v>16</v>
      </c>
      <c r="G2827" s="1" t="s">
        <v>23</v>
      </c>
      <c r="H2827" s="1" t="s">
        <v>18</v>
      </c>
      <c r="I2827" s="1" t="s">
        <v>40</v>
      </c>
    </row>
    <row r="2828">
      <c r="A2828" s="1">
        <v>7204021.0</v>
      </c>
      <c r="B2828" s="1" t="s">
        <v>6062</v>
      </c>
      <c r="C2828" s="1" t="s">
        <v>6010</v>
      </c>
      <c r="D2828" s="1" t="s">
        <v>6042</v>
      </c>
      <c r="E2828" s="1" t="s">
        <v>6063</v>
      </c>
      <c r="F2828" s="1" t="s">
        <v>16</v>
      </c>
      <c r="G2828" s="1" t="s">
        <v>17</v>
      </c>
      <c r="H2828" s="1" t="s">
        <v>28</v>
      </c>
      <c r="I2828" s="1" t="s">
        <v>40</v>
      </c>
    </row>
    <row r="2829">
      <c r="A2829" s="1">
        <v>7210002.0</v>
      </c>
      <c r="B2829" s="1" t="s">
        <v>6064</v>
      </c>
      <c r="C2829" s="1" t="s">
        <v>6010</v>
      </c>
      <c r="D2829" s="1" t="s">
        <v>6065</v>
      </c>
      <c r="E2829" s="1" t="s">
        <v>6066</v>
      </c>
      <c r="F2829" s="1" t="s">
        <v>16</v>
      </c>
      <c r="G2829" s="1" t="s">
        <v>17</v>
      </c>
      <c r="H2829" s="1" t="s">
        <v>28</v>
      </c>
      <c r="I2829" s="1" t="s">
        <v>40</v>
      </c>
    </row>
    <row r="2830">
      <c r="A2830" s="1">
        <v>7206014.0</v>
      </c>
      <c r="B2830" s="1" t="s">
        <v>6067</v>
      </c>
      <c r="C2830" s="1" t="s">
        <v>6010</v>
      </c>
      <c r="D2830" s="1" t="s">
        <v>6045</v>
      </c>
      <c r="E2830" s="1" t="s">
        <v>6068</v>
      </c>
      <c r="F2830" s="1" t="s">
        <v>16</v>
      </c>
      <c r="G2830" s="1" t="s">
        <v>23</v>
      </c>
      <c r="H2830" s="1" t="s">
        <v>18</v>
      </c>
      <c r="I2830" s="1" t="s">
        <v>40</v>
      </c>
    </row>
    <row r="2831">
      <c r="A2831" s="1">
        <v>7271036.0</v>
      </c>
      <c r="B2831" s="1" t="s">
        <v>6069</v>
      </c>
      <c r="C2831" s="1" t="s">
        <v>6010</v>
      </c>
      <c r="D2831" s="1" t="s">
        <v>6019</v>
      </c>
      <c r="E2831" s="1" t="s">
        <v>6070</v>
      </c>
      <c r="F2831" s="1" t="s">
        <v>16</v>
      </c>
      <c r="G2831" s="1" t="s">
        <v>27</v>
      </c>
      <c r="H2831" s="1" t="s">
        <v>28</v>
      </c>
      <c r="I2831" s="1" t="s">
        <v>29</v>
      </c>
    </row>
    <row r="2832">
      <c r="A2832" s="1">
        <v>7271131.0</v>
      </c>
      <c r="B2832" s="1" t="s">
        <v>6071</v>
      </c>
      <c r="C2832" s="1" t="s">
        <v>6010</v>
      </c>
      <c r="D2832" s="1" t="s">
        <v>6019</v>
      </c>
      <c r="E2832" s="1" t="s">
        <v>6072</v>
      </c>
      <c r="F2832" s="1" t="s">
        <v>55</v>
      </c>
      <c r="G2832" s="1" t="s">
        <v>17</v>
      </c>
      <c r="H2832" s="1" t="s">
        <v>18</v>
      </c>
      <c r="I2832" s="1" t="s">
        <v>19</v>
      </c>
    </row>
    <row r="2833">
      <c r="A2833" s="1">
        <v>7204043.0</v>
      </c>
      <c r="B2833" s="1" t="s">
        <v>6073</v>
      </c>
      <c r="C2833" s="1" t="s">
        <v>6010</v>
      </c>
      <c r="D2833" s="1" t="s">
        <v>6014</v>
      </c>
      <c r="E2833" s="1" t="s">
        <v>6074</v>
      </c>
      <c r="F2833" s="1" t="s">
        <v>16</v>
      </c>
      <c r="G2833" s="1" t="s">
        <v>23</v>
      </c>
      <c r="H2833" s="1" t="s">
        <v>18</v>
      </c>
      <c r="I2833" s="1" t="s">
        <v>59</v>
      </c>
    </row>
    <row r="2834">
      <c r="A2834" s="1">
        <v>7202016.0</v>
      </c>
      <c r="B2834" s="1" t="s">
        <v>6075</v>
      </c>
      <c r="C2834" s="1" t="s">
        <v>6010</v>
      </c>
      <c r="D2834" s="1" t="s">
        <v>6076</v>
      </c>
      <c r="E2834" s="1" t="s">
        <v>6077</v>
      </c>
      <c r="F2834" s="1" t="s">
        <v>16</v>
      </c>
      <c r="G2834" s="1" t="s">
        <v>98</v>
      </c>
      <c r="H2834" s="1" t="s">
        <v>18</v>
      </c>
      <c r="I2834" s="1" t="s">
        <v>40</v>
      </c>
    </row>
    <row r="2835">
      <c r="A2835" s="1">
        <v>7271051.0</v>
      </c>
      <c r="B2835" s="1" t="s">
        <v>6078</v>
      </c>
      <c r="C2835" s="1" t="s">
        <v>6010</v>
      </c>
      <c r="D2835" s="1" t="s">
        <v>6019</v>
      </c>
      <c r="E2835" s="1" t="s">
        <v>6079</v>
      </c>
      <c r="F2835" s="1" t="s">
        <v>16</v>
      </c>
      <c r="G2835" s="1" t="s">
        <v>17</v>
      </c>
      <c r="H2835" s="1" t="s">
        <v>28</v>
      </c>
      <c r="I2835" s="1" t="s">
        <v>139</v>
      </c>
    </row>
    <row r="2836">
      <c r="A2836" s="1">
        <v>7271128.0</v>
      </c>
      <c r="B2836" s="1" t="s">
        <v>6080</v>
      </c>
      <c r="C2836" s="1" t="s">
        <v>6010</v>
      </c>
      <c r="D2836" s="1" t="s">
        <v>6019</v>
      </c>
      <c r="E2836" s="1" t="s">
        <v>6081</v>
      </c>
      <c r="F2836" s="1" t="s">
        <v>16</v>
      </c>
      <c r="G2836" s="1" t="s">
        <v>17</v>
      </c>
      <c r="H2836" s="1" t="s">
        <v>18</v>
      </c>
      <c r="I2836" s="1" t="s">
        <v>59</v>
      </c>
    </row>
    <row r="2837">
      <c r="A2837" s="1">
        <v>7202017.0</v>
      </c>
      <c r="B2837" s="1" t="s">
        <v>6082</v>
      </c>
      <c r="C2837" s="1" t="s">
        <v>6010</v>
      </c>
      <c r="D2837" s="1" t="s">
        <v>6076</v>
      </c>
      <c r="E2837" s="1" t="s">
        <v>6083</v>
      </c>
      <c r="F2837" s="1" t="s">
        <v>16</v>
      </c>
      <c r="G2837" s="1" t="s">
        <v>23</v>
      </c>
      <c r="H2837" s="1" t="s">
        <v>18</v>
      </c>
      <c r="I2837" s="1" t="s">
        <v>44</v>
      </c>
    </row>
    <row r="2838">
      <c r="A2838" s="1">
        <v>7205022.0</v>
      </c>
      <c r="B2838" s="1" t="s">
        <v>6084</v>
      </c>
      <c r="C2838" s="1" t="s">
        <v>6010</v>
      </c>
      <c r="D2838" s="1" t="s">
        <v>6034</v>
      </c>
      <c r="E2838" s="1" t="s">
        <v>6085</v>
      </c>
      <c r="F2838" s="1" t="s">
        <v>16</v>
      </c>
      <c r="G2838" s="1" t="s">
        <v>17</v>
      </c>
      <c r="H2838" s="1" t="s">
        <v>28</v>
      </c>
      <c r="I2838" s="1" t="s">
        <v>40</v>
      </c>
    </row>
    <row r="2839">
      <c r="A2839" s="1">
        <v>7202015.0</v>
      </c>
      <c r="B2839" s="1" t="s">
        <v>6086</v>
      </c>
      <c r="C2839" s="1" t="s">
        <v>6010</v>
      </c>
      <c r="D2839" s="1" t="s">
        <v>6076</v>
      </c>
      <c r="E2839" s="1" t="s">
        <v>6087</v>
      </c>
      <c r="F2839" s="1" t="s">
        <v>16</v>
      </c>
      <c r="G2839" s="1" t="s">
        <v>27</v>
      </c>
      <c r="H2839" s="1" t="s">
        <v>28</v>
      </c>
      <c r="I2839" s="1" t="s">
        <v>40</v>
      </c>
    </row>
    <row r="2840">
      <c r="A2840" s="1">
        <v>7271132.0</v>
      </c>
      <c r="B2840" s="1" t="s">
        <v>6088</v>
      </c>
      <c r="C2840" s="1" t="s">
        <v>6010</v>
      </c>
      <c r="D2840" s="1" t="s">
        <v>6019</v>
      </c>
      <c r="E2840" s="1" t="s">
        <v>6089</v>
      </c>
      <c r="F2840" s="1" t="s">
        <v>16</v>
      </c>
      <c r="G2840" s="1" t="s">
        <v>17</v>
      </c>
      <c r="H2840" s="1" t="s">
        <v>18</v>
      </c>
      <c r="I2840" s="1" t="s">
        <v>44</v>
      </c>
    </row>
    <row r="2841">
      <c r="A2841" s="1">
        <v>7209002.0</v>
      </c>
      <c r="B2841" s="1" t="s">
        <v>6090</v>
      </c>
      <c r="C2841" s="1" t="s">
        <v>6010</v>
      </c>
      <c r="D2841" s="1" t="s">
        <v>6022</v>
      </c>
      <c r="E2841" s="1" t="s">
        <v>6091</v>
      </c>
      <c r="F2841" s="1" t="s">
        <v>16</v>
      </c>
      <c r="G2841" s="1" t="s">
        <v>23</v>
      </c>
      <c r="H2841" s="1" t="s">
        <v>18</v>
      </c>
      <c r="I2841" s="1" t="s">
        <v>40</v>
      </c>
    </row>
    <row r="2842">
      <c r="A2842" s="1">
        <v>7271116.0</v>
      </c>
      <c r="B2842" s="1" t="s">
        <v>6092</v>
      </c>
      <c r="C2842" s="1" t="s">
        <v>6010</v>
      </c>
      <c r="D2842" s="1" t="s">
        <v>6019</v>
      </c>
      <c r="E2842" s="1" t="s">
        <v>6093</v>
      </c>
      <c r="F2842" s="1" t="s">
        <v>55</v>
      </c>
      <c r="G2842" s="1" t="s">
        <v>17</v>
      </c>
      <c r="H2842" s="1" t="s">
        <v>18</v>
      </c>
      <c r="I2842" s="1" t="s">
        <v>59</v>
      </c>
    </row>
    <row r="2843">
      <c r="A2843" s="1">
        <v>7271127.0</v>
      </c>
      <c r="B2843" s="1" t="s">
        <v>6094</v>
      </c>
      <c r="C2843" s="1" t="s">
        <v>6010</v>
      </c>
      <c r="D2843" s="1" t="s">
        <v>6019</v>
      </c>
      <c r="E2843" s="1" t="s">
        <v>6095</v>
      </c>
      <c r="F2843" s="1" t="s">
        <v>16</v>
      </c>
      <c r="G2843" s="1" t="s">
        <v>17</v>
      </c>
      <c r="H2843" s="1" t="s">
        <v>33</v>
      </c>
      <c r="I2843" s="1" t="s">
        <v>65</v>
      </c>
    </row>
    <row r="2844">
      <c r="A2844" s="1">
        <v>7271133.0</v>
      </c>
      <c r="B2844" s="1" t="s">
        <v>6096</v>
      </c>
      <c r="C2844" s="1" t="s">
        <v>6010</v>
      </c>
      <c r="D2844" s="1" t="s">
        <v>6019</v>
      </c>
      <c r="E2844" s="1" t="s">
        <v>6097</v>
      </c>
      <c r="F2844" s="1" t="s">
        <v>16</v>
      </c>
      <c r="G2844" s="1" t="s">
        <v>17</v>
      </c>
      <c r="H2844" s="1" t="s">
        <v>18</v>
      </c>
      <c r="I2844" s="1" t="s">
        <v>34</v>
      </c>
    </row>
    <row r="2845">
      <c r="A2845" s="1">
        <v>7207013.0</v>
      </c>
      <c r="B2845" s="1" t="s">
        <v>6098</v>
      </c>
      <c r="C2845" s="1" t="s">
        <v>6010</v>
      </c>
      <c r="D2845" s="1" t="s">
        <v>6099</v>
      </c>
      <c r="E2845" s="1" t="s">
        <v>6100</v>
      </c>
      <c r="F2845" s="1" t="s">
        <v>16</v>
      </c>
      <c r="G2845" s="1" t="s">
        <v>17</v>
      </c>
      <c r="H2845" s="1" t="s">
        <v>28</v>
      </c>
      <c r="I2845" s="1" t="s">
        <v>40</v>
      </c>
    </row>
    <row r="2846">
      <c r="A2846" s="1">
        <v>7316015.0</v>
      </c>
      <c r="B2846" s="1" t="s">
        <v>6101</v>
      </c>
      <c r="C2846" s="1" t="s">
        <v>6102</v>
      </c>
      <c r="D2846" s="1" t="s">
        <v>6103</v>
      </c>
      <c r="E2846" s="1" t="s">
        <v>6104</v>
      </c>
      <c r="F2846" s="1" t="s">
        <v>16</v>
      </c>
      <c r="G2846" s="1" t="s">
        <v>17</v>
      </c>
      <c r="H2846" s="1" t="s">
        <v>28</v>
      </c>
      <c r="I2846" s="1" t="s">
        <v>40</v>
      </c>
    </row>
    <row r="2847">
      <c r="A2847" s="1">
        <v>7371191.0</v>
      </c>
      <c r="B2847" s="1" t="s">
        <v>6105</v>
      </c>
      <c r="C2847" s="1" t="s">
        <v>6102</v>
      </c>
      <c r="D2847" s="1" t="s">
        <v>6106</v>
      </c>
      <c r="E2847" s="1" t="s">
        <v>6107</v>
      </c>
      <c r="F2847" s="1" t="s">
        <v>55</v>
      </c>
      <c r="G2847" s="1" t="s">
        <v>17</v>
      </c>
      <c r="H2847" s="1" t="s">
        <v>18</v>
      </c>
      <c r="I2847" s="1" t="s">
        <v>684</v>
      </c>
    </row>
    <row r="2848">
      <c r="A2848" s="1">
        <v>7373003.0</v>
      </c>
      <c r="B2848" s="1" t="s">
        <v>6108</v>
      </c>
      <c r="C2848" s="1" t="s">
        <v>6102</v>
      </c>
      <c r="D2848" s="1" t="s">
        <v>6109</v>
      </c>
      <c r="E2848" s="1" t="s">
        <v>6110</v>
      </c>
      <c r="F2848" s="1" t="s">
        <v>16</v>
      </c>
      <c r="G2848" s="1" t="s">
        <v>17</v>
      </c>
      <c r="H2848" s="1" t="s">
        <v>33</v>
      </c>
      <c r="I2848" s="1" t="s">
        <v>44</v>
      </c>
    </row>
    <row r="2849">
      <c r="A2849" s="1">
        <v>7371433.0</v>
      </c>
      <c r="B2849" s="1" t="s">
        <v>6111</v>
      </c>
      <c r="C2849" s="1" t="s">
        <v>6102</v>
      </c>
      <c r="D2849" s="1" t="s">
        <v>6106</v>
      </c>
      <c r="E2849" s="1" t="s">
        <v>6112</v>
      </c>
      <c r="F2849" s="1" t="s">
        <v>32</v>
      </c>
      <c r="G2849" s="1" t="s">
        <v>17</v>
      </c>
      <c r="H2849" s="1" t="s">
        <v>28</v>
      </c>
      <c r="I2849" s="1" t="s">
        <v>139</v>
      </c>
    </row>
    <row r="2850">
      <c r="A2850" s="1">
        <v>7371014.0</v>
      </c>
      <c r="B2850" s="1" t="s">
        <v>6113</v>
      </c>
      <c r="C2850" s="1" t="s">
        <v>6102</v>
      </c>
      <c r="D2850" s="1" t="s">
        <v>6106</v>
      </c>
      <c r="E2850" s="1" t="s">
        <v>6114</v>
      </c>
      <c r="F2850" s="1" t="s">
        <v>16</v>
      </c>
      <c r="G2850" s="1" t="s">
        <v>17</v>
      </c>
      <c r="H2850" s="1" t="s">
        <v>18</v>
      </c>
      <c r="I2850" s="1" t="s">
        <v>139</v>
      </c>
    </row>
    <row r="2851">
      <c r="A2851" s="1">
        <v>7302016.0</v>
      </c>
      <c r="B2851" s="1" t="s">
        <v>6115</v>
      </c>
      <c r="C2851" s="1" t="s">
        <v>6102</v>
      </c>
      <c r="D2851" s="1" t="s">
        <v>6116</v>
      </c>
      <c r="E2851" s="1" t="s">
        <v>6117</v>
      </c>
      <c r="F2851" s="1" t="s">
        <v>16</v>
      </c>
      <c r="G2851" s="1" t="s">
        <v>27</v>
      </c>
      <c r="H2851" s="1" t="s">
        <v>28</v>
      </c>
      <c r="I2851" s="1" t="s">
        <v>40</v>
      </c>
    </row>
    <row r="2852">
      <c r="A2852" s="1">
        <v>7373008.0</v>
      </c>
      <c r="B2852" s="1" t="s">
        <v>6118</v>
      </c>
      <c r="C2852" s="1" t="s">
        <v>6102</v>
      </c>
      <c r="D2852" s="1" t="s">
        <v>6109</v>
      </c>
      <c r="E2852" s="1" t="s">
        <v>6119</v>
      </c>
      <c r="F2852" s="1" t="s">
        <v>16</v>
      </c>
      <c r="G2852" s="1" t="s">
        <v>17</v>
      </c>
      <c r="H2852" s="1" t="s">
        <v>28</v>
      </c>
      <c r="I2852" s="1" t="s">
        <v>29</v>
      </c>
    </row>
    <row r="2853">
      <c r="A2853" s="1">
        <v>7371436.0</v>
      </c>
      <c r="B2853" s="1" t="s">
        <v>6120</v>
      </c>
      <c r="C2853" s="1" t="s">
        <v>6102</v>
      </c>
      <c r="D2853" s="1" t="s">
        <v>6106</v>
      </c>
      <c r="E2853" s="1" t="s">
        <v>6121</v>
      </c>
      <c r="F2853" s="1" t="s">
        <v>272</v>
      </c>
      <c r="G2853" s="1" t="s">
        <v>17</v>
      </c>
      <c r="H2853" s="1" t="s">
        <v>33</v>
      </c>
      <c r="I2853" s="1" t="s">
        <v>411</v>
      </c>
    </row>
    <row r="2854">
      <c r="A2854" s="1">
        <v>7308070.0</v>
      </c>
      <c r="B2854" s="1" t="s">
        <v>6122</v>
      </c>
      <c r="C2854" s="1" t="s">
        <v>6102</v>
      </c>
      <c r="D2854" s="1" t="s">
        <v>6123</v>
      </c>
      <c r="E2854" s="1" t="s">
        <v>6124</v>
      </c>
      <c r="F2854" s="1" t="s">
        <v>16</v>
      </c>
      <c r="G2854" s="1" t="s">
        <v>17</v>
      </c>
      <c r="H2854" s="1" t="s">
        <v>18</v>
      </c>
      <c r="I2854" s="1" t="s">
        <v>44</v>
      </c>
    </row>
    <row r="2855">
      <c r="A2855" s="1">
        <v>7371418.0</v>
      </c>
      <c r="B2855" s="1" t="s">
        <v>6125</v>
      </c>
      <c r="C2855" s="1" t="s">
        <v>6102</v>
      </c>
      <c r="D2855" s="1" t="s">
        <v>6106</v>
      </c>
      <c r="E2855" s="1" t="s">
        <v>6126</v>
      </c>
      <c r="F2855" s="1" t="s">
        <v>55</v>
      </c>
      <c r="G2855" s="1" t="s">
        <v>17</v>
      </c>
      <c r="H2855" s="1" t="s">
        <v>18</v>
      </c>
      <c r="I2855" s="1" t="s">
        <v>19</v>
      </c>
    </row>
    <row r="2856">
      <c r="A2856" s="1">
        <v>7308071.0</v>
      </c>
      <c r="B2856" s="1" t="s">
        <v>6127</v>
      </c>
      <c r="C2856" s="1" t="s">
        <v>6102</v>
      </c>
      <c r="D2856" s="1" t="s">
        <v>6123</v>
      </c>
      <c r="E2856" s="1" t="s">
        <v>6128</v>
      </c>
      <c r="F2856" s="1" t="s">
        <v>16</v>
      </c>
      <c r="G2856" s="1" t="s">
        <v>17</v>
      </c>
      <c r="H2856" s="1" t="s">
        <v>28</v>
      </c>
      <c r="I2856" s="1" t="s">
        <v>139</v>
      </c>
    </row>
    <row r="2857">
      <c r="A2857" s="1">
        <v>7371030.0</v>
      </c>
      <c r="B2857" s="1" t="s">
        <v>6129</v>
      </c>
      <c r="C2857" s="1" t="s">
        <v>6102</v>
      </c>
      <c r="D2857" s="1" t="s">
        <v>6106</v>
      </c>
      <c r="E2857" s="1" t="s">
        <v>6130</v>
      </c>
      <c r="F2857" s="1" t="s">
        <v>16</v>
      </c>
      <c r="G2857" s="1" t="s">
        <v>27</v>
      </c>
      <c r="H2857" s="1" t="s">
        <v>33</v>
      </c>
      <c r="I2857" s="1" t="s">
        <v>74</v>
      </c>
    </row>
    <row r="2858">
      <c r="A2858" s="1">
        <v>7371413.0</v>
      </c>
      <c r="B2858" s="1" t="s">
        <v>3016</v>
      </c>
      <c r="C2858" s="1" t="s">
        <v>6102</v>
      </c>
      <c r="D2858" s="1" t="s">
        <v>6106</v>
      </c>
      <c r="E2858" s="1" t="s">
        <v>6131</v>
      </c>
      <c r="F2858" s="1" t="s">
        <v>55</v>
      </c>
      <c r="G2858" s="1" t="s">
        <v>17</v>
      </c>
      <c r="H2858" s="1" t="s">
        <v>18</v>
      </c>
      <c r="I2858" s="1" t="s">
        <v>19</v>
      </c>
    </row>
    <row r="2859">
      <c r="A2859" s="1">
        <v>7373007.0</v>
      </c>
      <c r="B2859" s="1" t="s">
        <v>6132</v>
      </c>
      <c r="C2859" s="1" t="s">
        <v>6102</v>
      </c>
      <c r="D2859" s="1" t="s">
        <v>6109</v>
      </c>
      <c r="E2859" s="1" t="s">
        <v>6133</v>
      </c>
      <c r="F2859" s="1" t="s">
        <v>16</v>
      </c>
      <c r="G2859" s="1" t="s">
        <v>17</v>
      </c>
      <c r="H2859" s="1" t="s">
        <v>18</v>
      </c>
      <c r="I2859" s="1" t="s">
        <v>44</v>
      </c>
    </row>
    <row r="2860">
      <c r="A2860" s="1">
        <v>7371373.0</v>
      </c>
      <c r="B2860" s="1" t="s">
        <v>6134</v>
      </c>
      <c r="C2860" s="1" t="s">
        <v>6102</v>
      </c>
      <c r="D2860" s="1" t="s">
        <v>6106</v>
      </c>
      <c r="E2860" s="1" t="s">
        <v>6135</v>
      </c>
      <c r="F2860" s="1" t="s">
        <v>16</v>
      </c>
      <c r="G2860" s="1" t="s">
        <v>27</v>
      </c>
      <c r="H2860" s="1" t="s">
        <v>18</v>
      </c>
      <c r="I2860" s="1" t="s">
        <v>19</v>
      </c>
    </row>
    <row r="2861">
      <c r="A2861" s="1">
        <v>7310021.0</v>
      </c>
      <c r="B2861" s="1" t="s">
        <v>6136</v>
      </c>
      <c r="C2861" s="1" t="s">
        <v>6102</v>
      </c>
      <c r="D2861" s="1" t="s">
        <v>6137</v>
      </c>
      <c r="E2861" s="1" t="s">
        <v>6138</v>
      </c>
      <c r="F2861" s="1" t="s">
        <v>16</v>
      </c>
      <c r="G2861" s="1" t="s">
        <v>23</v>
      </c>
      <c r="H2861" s="1" t="s">
        <v>33</v>
      </c>
      <c r="I2861" s="1" t="s">
        <v>40</v>
      </c>
    </row>
    <row r="2862">
      <c r="A2862" s="1">
        <v>7301017.0</v>
      </c>
      <c r="B2862" s="1" t="s">
        <v>6139</v>
      </c>
      <c r="C2862" s="1" t="s">
        <v>6102</v>
      </c>
      <c r="D2862" s="1" t="s">
        <v>6140</v>
      </c>
      <c r="E2862" s="1" t="s">
        <v>6141</v>
      </c>
      <c r="F2862" s="1" t="s">
        <v>16</v>
      </c>
      <c r="G2862" s="1" t="s">
        <v>98</v>
      </c>
      <c r="H2862" s="1" t="s">
        <v>18</v>
      </c>
      <c r="I2862" s="1" t="s">
        <v>40</v>
      </c>
    </row>
    <row r="2863">
      <c r="A2863" s="1">
        <v>7310016.0</v>
      </c>
      <c r="B2863" s="1" t="s">
        <v>6142</v>
      </c>
      <c r="C2863" s="1" t="s">
        <v>6102</v>
      </c>
      <c r="D2863" s="1" t="s">
        <v>6137</v>
      </c>
      <c r="E2863" s="1" t="s">
        <v>6143</v>
      </c>
      <c r="F2863" s="1" t="s">
        <v>16</v>
      </c>
      <c r="G2863" s="1" t="s">
        <v>17</v>
      </c>
      <c r="H2863" s="1" t="s">
        <v>28</v>
      </c>
      <c r="I2863" s="1" t="s">
        <v>40</v>
      </c>
    </row>
    <row r="2864">
      <c r="A2864" s="1">
        <v>7317020.0</v>
      </c>
      <c r="B2864" s="1" t="s">
        <v>6144</v>
      </c>
      <c r="C2864" s="1" t="s">
        <v>6102</v>
      </c>
      <c r="D2864" s="1" t="s">
        <v>6145</v>
      </c>
      <c r="E2864" s="1" t="s">
        <v>6146</v>
      </c>
      <c r="F2864" s="1" t="s">
        <v>16</v>
      </c>
      <c r="G2864" s="1" t="s">
        <v>17</v>
      </c>
      <c r="H2864" s="1" t="s">
        <v>18</v>
      </c>
      <c r="I2864" s="1" t="s">
        <v>44</v>
      </c>
    </row>
    <row r="2865">
      <c r="A2865" s="1">
        <v>7372078.0</v>
      </c>
      <c r="B2865" s="1" t="s">
        <v>6147</v>
      </c>
      <c r="C2865" s="1" t="s">
        <v>6102</v>
      </c>
      <c r="D2865" s="1" t="s">
        <v>6148</v>
      </c>
      <c r="E2865" s="1" t="s">
        <v>6149</v>
      </c>
      <c r="F2865" s="1" t="s">
        <v>16</v>
      </c>
      <c r="G2865" s="1" t="s">
        <v>27</v>
      </c>
      <c r="H2865" s="1" t="s">
        <v>28</v>
      </c>
      <c r="I2865" s="1" t="s">
        <v>29</v>
      </c>
    </row>
    <row r="2866">
      <c r="A2866" s="1">
        <v>7371256.0</v>
      </c>
      <c r="B2866" s="1" t="s">
        <v>6150</v>
      </c>
      <c r="C2866" s="1" t="s">
        <v>6102</v>
      </c>
      <c r="D2866" s="1" t="s">
        <v>6106</v>
      </c>
      <c r="E2866" s="1" t="s">
        <v>6151</v>
      </c>
      <c r="F2866" s="1" t="s">
        <v>55</v>
      </c>
      <c r="G2866" s="1" t="s">
        <v>27</v>
      </c>
      <c r="H2866" s="1" t="s">
        <v>28</v>
      </c>
      <c r="I2866" s="1" t="s">
        <v>139</v>
      </c>
    </row>
    <row r="2867">
      <c r="A2867" s="1">
        <v>7305026.0</v>
      </c>
      <c r="B2867" s="1" t="s">
        <v>6152</v>
      </c>
      <c r="C2867" s="1" t="s">
        <v>6102</v>
      </c>
      <c r="D2867" s="1" t="s">
        <v>6153</v>
      </c>
      <c r="E2867" s="1" t="s">
        <v>6154</v>
      </c>
      <c r="F2867" s="1" t="s">
        <v>16</v>
      </c>
      <c r="G2867" s="1" t="s">
        <v>17</v>
      </c>
      <c r="H2867" s="1" t="s">
        <v>18</v>
      </c>
      <c r="I2867" s="1" t="s">
        <v>40</v>
      </c>
    </row>
    <row r="2868">
      <c r="A2868" s="1">
        <v>7308059.0</v>
      </c>
      <c r="B2868" s="1" t="s">
        <v>6155</v>
      </c>
      <c r="C2868" s="1" t="s">
        <v>6102</v>
      </c>
      <c r="D2868" s="1" t="s">
        <v>6123</v>
      </c>
      <c r="E2868" s="1" t="s">
        <v>6156</v>
      </c>
      <c r="F2868" s="1" t="s">
        <v>16</v>
      </c>
      <c r="G2868" s="1" t="s">
        <v>17</v>
      </c>
      <c r="H2868" s="1" t="s">
        <v>18</v>
      </c>
      <c r="I2868" s="1" t="s">
        <v>40</v>
      </c>
    </row>
    <row r="2869">
      <c r="A2869" s="1">
        <v>7305013.0</v>
      </c>
      <c r="B2869" s="1" t="s">
        <v>6157</v>
      </c>
      <c r="C2869" s="1" t="s">
        <v>6102</v>
      </c>
      <c r="D2869" s="1" t="s">
        <v>6153</v>
      </c>
      <c r="E2869" s="1" t="s">
        <v>6158</v>
      </c>
      <c r="F2869" s="1" t="s">
        <v>16</v>
      </c>
      <c r="G2869" s="1" t="s">
        <v>23</v>
      </c>
      <c r="H2869" s="1" t="s">
        <v>18</v>
      </c>
      <c r="I2869" s="1" t="s">
        <v>19</v>
      </c>
    </row>
    <row r="2870">
      <c r="A2870" s="1">
        <v>7305014.0</v>
      </c>
      <c r="B2870" s="1" t="s">
        <v>6159</v>
      </c>
      <c r="C2870" s="1" t="s">
        <v>6102</v>
      </c>
      <c r="D2870" s="1" t="s">
        <v>6153</v>
      </c>
      <c r="E2870" s="1" t="s">
        <v>6160</v>
      </c>
      <c r="F2870" s="1" t="s">
        <v>16</v>
      </c>
      <c r="G2870" s="1" t="s">
        <v>98</v>
      </c>
      <c r="H2870" s="1" t="s">
        <v>18</v>
      </c>
      <c r="I2870" s="1" t="s">
        <v>40</v>
      </c>
    </row>
    <row r="2871">
      <c r="A2871" s="1">
        <v>7371448.0</v>
      </c>
      <c r="B2871" s="1" t="s">
        <v>6161</v>
      </c>
      <c r="C2871" s="1" t="s">
        <v>6102</v>
      </c>
      <c r="D2871" s="1" t="s">
        <v>6106</v>
      </c>
      <c r="E2871" s="1" t="s">
        <v>6162</v>
      </c>
      <c r="F2871" s="1" t="s">
        <v>16</v>
      </c>
      <c r="G2871" s="1" t="s">
        <v>23</v>
      </c>
      <c r="H2871" s="1" t="s">
        <v>18</v>
      </c>
      <c r="I2871" s="1" t="s">
        <v>34</v>
      </c>
    </row>
    <row r="2872">
      <c r="A2872" s="1">
        <v>7304011.0</v>
      </c>
      <c r="B2872" s="1" t="s">
        <v>6163</v>
      </c>
      <c r="C2872" s="1" t="s">
        <v>6102</v>
      </c>
      <c r="D2872" s="1" t="s">
        <v>6164</v>
      </c>
      <c r="E2872" s="1" t="s">
        <v>6165</v>
      </c>
      <c r="F2872" s="1" t="s">
        <v>16</v>
      </c>
      <c r="G2872" s="1" t="s">
        <v>27</v>
      </c>
      <c r="H2872" s="1" t="s">
        <v>18</v>
      </c>
      <c r="I2872" s="1" t="s">
        <v>40</v>
      </c>
    </row>
    <row r="2873">
      <c r="A2873" s="1">
        <v>7317075.0</v>
      </c>
      <c r="B2873" s="1" t="s">
        <v>6166</v>
      </c>
      <c r="C2873" s="1" t="s">
        <v>6102</v>
      </c>
      <c r="D2873" s="1" t="s">
        <v>6167</v>
      </c>
      <c r="E2873" s="1" t="s">
        <v>6168</v>
      </c>
      <c r="F2873" s="1" t="s">
        <v>16</v>
      </c>
      <c r="G2873" s="1" t="s">
        <v>17</v>
      </c>
      <c r="H2873" s="1" t="s">
        <v>28</v>
      </c>
      <c r="I2873" s="1" t="s">
        <v>40</v>
      </c>
    </row>
    <row r="2874">
      <c r="A2874" s="1">
        <v>7371449.0</v>
      </c>
      <c r="B2874" s="1" t="s">
        <v>6169</v>
      </c>
      <c r="C2874" s="1" t="s">
        <v>6102</v>
      </c>
      <c r="D2874" s="1" t="s">
        <v>6106</v>
      </c>
      <c r="E2874" s="1" t="s">
        <v>6170</v>
      </c>
      <c r="F2874" s="1" t="s">
        <v>1884</v>
      </c>
      <c r="G2874" s="1" t="s">
        <v>27</v>
      </c>
      <c r="H2874" s="1" t="s">
        <v>18</v>
      </c>
      <c r="I2874" s="1" t="s">
        <v>113</v>
      </c>
    </row>
    <row r="2875">
      <c r="A2875" s="1">
        <v>7371052.0</v>
      </c>
      <c r="B2875" s="1" t="s">
        <v>6171</v>
      </c>
      <c r="C2875" s="1" t="s">
        <v>6102</v>
      </c>
      <c r="D2875" s="1" t="s">
        <v>6106</v>
      </c>
      <c r="E2875" s="1" t="s">
        <v>6172</v>
      </c>
      <c r="F2875" s="1" t="s">
        <v>16</v>
      </c>
      <c r="G2875" s="1" t="s">
        <v>27</v>
      </c>
      <c r="H2875" s="1" t="s">
        <v>18</v>
      </c>
      <c r="I2875" s="1" t="s">
        <v>59</v>
      </c>
    </row>
    <row r="2876">
      <c r="A2876" s="1">
        <v>7371399.0</v>
      </c>
      <c r="B2876" s="1" t="s">
        <v>2839</v>
      </c>
      <c r="C2876" s="1" t="s">
        <v>6102</v>
      </c>
      <c r="D2876" s="1" t="s">
        <v>6106</v>
      </c>
      <c r="E2876" s="1" t="s">
        <v>6173</v>
      </c>
      <c r="F2876" s="1" t="s">
        <v>16</v>
      </c>
      <c r="G2876" s="1" t="s">
        <v>27</v>
      </c>
      <c r="H2876" s="1" t="s">
        <v>18</v>
      </c>
      <c r="I2876" s="1" t="s">
        <v>44</v>
      </c>
    </row>
    <row r="2877">
      <c r="A2877" s="1">
        <v>7372020.0</v>
      </c>
      <c r="B2877" s="1" t="s">
        <v>6174</v>
      </c>
      <c r="C2877" s="1" t="s">
        <v>6102</v>
      </c>
      <c r="D2877" s="1" t="s">
        <v>6148</v>
      </c>
      <c r="E2877" s="1" t="s">
        <v>6175</v>
      </c>
      <c r="F2877" s="1" t="s">
        <v>16</v>
      </c>
      <c r="G2877" s="1" t="s">
        <v>17</v>
      </c>
      <c r="H2877" s="1" t="s">
        <v>18</v>
      </c>
      <c r="I2877" s="1" t="s">
        <v>59</v>
      </c>
    </row>
    <row r="2878">
      <c r="A2878" s="1">
        <v>7322004.0</v>
      </c>
      <c r="B2878" s="1" t="s">
        <v>6176</v>
      </c>
      <c r="C2878" s="1" t="s">
        <v>6102</v>
      </c>
      <c r="D2878" s="1" t="s">
        <v>6177</v>
      </c>
      <c r="E2878" s="1" t="s">
        <v>6178</v>
      </c>
      <c r="F2878" s="1" t="s">
        <v>16</v>
      </c>
      <c r="G2878" s="1" t="s">
        <v>23</v>
      </c>
      <c r="H2878" s="1" t="s">
        <v>33</v>
      </c>
      <c r="I2878" s="1" t="s">
        <v>19</v>
      </c>
    </row>
    <row r="2879">
      <c r="A2879" s="1">
        <v>7312011.0</v>
      </c>
      <c r="B2879" s="1" t="s">
        <v>6179</v>
      </c>
      <c r="C2879" s="1" t="s">
        <v>6102</v>
      </c>
      <c r="D2879" s="1" t="s">
        <v>6180</v>
      </c>
      <c r="E2879" s="1" t="s">
        <v>6181</v>
      </c>
      <c r="F2879" s="1" t="s">
        <v>16</v>
      </c>
      <c r="G2879" s="1" t="s">
        <v>27</v>
      </c>
      <c r="H2879" s="1" t="s">
        <v>28</v>
      </c>
      <c r="I2879" s="1" t="s">
        <v>40</v>
      </c>
    </row>
    <row r="2880">
      <c r="A2880" s="1">
        <v>7373064.0</v>
      </c>
      <c r="B2880" s="1" t="s">
        <v>6182</v>
      </c>
      <c r="C2880" s="1" t="s">
        <v>6102</v>
      </c>
      <c r="D2880" s="1" t="s">
        <v>6109</v>
      </c>
      <c r="E2880" s="1" t="s">
        <v>6183</v>
      </c>
      <c r="F2880" s="1" t="s">
        <v>16</v>
      </c>
      <c r="G2880" s="1" t="s">
        <v>17</v>
      </c>
      <c r="H2880" s="1" t="s">
        <v>18</v>
      </c>
      <c r="I2880" s="1" t="s">
        <v>59</v>
      </c>
    </row>
    <row r="2881">
      <c r="A2881" s="1">
        <v>7371432.0</v>
      </c>
      <c r="B2881" s="1" t="s">
        <v>6184</v>
      </c>
      <c r="C2881" s="1" t="s">
        <v>6102</v>
      </c>
      <c r="D2881" s="1" t="s">
        <v>6106</v>
      </c>
      <c r="E2881" s="1" t="s">
        <v>6185</v>
      </c>
      <c r="F2881" s="1" t="s">
        <v>16</v>
      </c>
      <c r="G2881" s="1" t="s">
        <v>23</v>
      </c>
      <c r="H2881" s="1" t="s">
        <v>18</v>
      </c>
      <c r="I2881" s="1" t="s">
        <v>19</v>
      </c>
    </row>
    <row r="2882">
      <c r="A2882" s="1">
        <v>7371314.0</v>
      </c>
      <c r="B2882" s="1" t="s">
        <v>6186</v>
      </c>
      <c r="C2882" s="1" t="s">
        <v>6102</v>
      </c>
      <c r="D2882" s="1" t="s">
        <v>6106</v>
      </c>
      <c r="E2882" s="1" t="s">
        <v>6187</v>
      </c>
      <c r="F2882" s="1" t="s">
        <v>16</v>
      </c>
      <c r="G2882" s="1" t="s">
        <v>27</v>
      </c>
      <c r="H2882" s="1" t="s">
        <v>33</v>
      </c>
      <c r="I2882" s="1" t="s">
        <v>411</v>
      </c>
    </row>
    <row r="2883">
      <c r="A2883" s="1">
        <v>7306059.0</v>
      </c>
      <c r="B2883" s="1" t="s">
        <v>6188</v>
      </c>
      <c r="C2883" s="1" t="s">
        <v>6102</v>
      </c>
      <c r="D2883" s="1" t="s">
        <v>6189</v>
      </c>
      <c r="E2883" s="1" t="s">
        <v>6190</v>
      </c>
      <c r="F2883" s="1" t="s">
        <v>16</v>
      </c>
      <c r="G2883" s="1" t="s">
        <v>17</v>
      </c>
      <c r="H2883" s="1" t="s">
        <v>18</v>
      </c>
      <c r="I2883" s="1" t="s">
        <v>163</v>
      </c>
    </row>
    <row r="2884">
      <c r="A2884" s="1">
        <v>7306046.0</v>
      </c>
      <c r="B2884" s="1" t="s">
        <v>6191</v>
      </c>
      <c r="C2884" s="1" t="s">
        <v>6102</v>
      </c>
      <c r="D2884" s="1" t="s">
        <v>6189</v>
      </c>
      <c r="E2884" s="1" t="s">
        <v>6192</v>
      </c>
      <c r="F2884" s="1" t="s">
        <v>16</v>
      </c>
      <c r="G2884" s="1" t="s">
        <v>27</v>
      </c>
      <c r="H2884" s="1" t="s">
        <v>18</v>
      </c>
      <c r="I2884" s="1" t="s">
        <v>40</v>
      </c>
    </row>
    <row r="2885">
      <c r="A2885" s="1">
        <v>7371107.0</v>
      </c>
      <c r="B2885" s="1" t="s">
        <v>6193</v>
      </c>
      <c r="C2885" s="1" t="s">
        <v>6102</v>
      </c>
      <c r="D2885" s="1" t="s">
        <v>6106</v>
      </c>
      <c r="E2885" s="1" t="s">
        <v>6194</v>
      </c>
      <c r="F2885" s="1" t="s">
        <v>55</v>
      </c>
      <c r="G2885" s="1" t="s">
        <v>17</v>
      </c>
      <c r="H2885" s="1" t="s">
        <v>18</v>
      </c>
      <c r="I2885" s="1" t="s">
        <v>59</v>
      </c>
    </row>
    <row r="2886">
      <c r="A2886" s="1">
        <v>7371074.0</v>
      </c>
      <c r="B2886" s="1" t="s">
        <v>6195</v>
      </c>
      <c r="C2886" s="1" t="s">
        <v>6102</v>
      </c>
      <c r="D2886" s="1" t="s">
        <v>6106</v>
      </c>
      <c r="E2886" s="1" t="s">
        <v>6196</v>
      </c>
      <c r="F2886" s="1" t="s">
        <v>16</v>
      </c>
      <c r="G2886" s="1" t="s">
        <v>17</v>
      </c>
      <c r="H2886" s="1" t="s">
        <v>18</v>
      </c>
      <c r="I2886" s="1" t="s">
        <v>95</v>
      </c>
    </row>
    <row r="2887">
      <c r="A2887" s="1">
        <v>7371412.0</v>
      </c>
      <c r="B2887" s="1" t="s">
        <v>6197</v>
      </c>
      <c r="C2887" s="1" t="s">
        <v>6102</v>
      </c>
      <c r="D2887" s="1" t="s">
        <v>6106</v>
      </c>
      <c r="E2887" s="1" t="s">
        <v>6198</v>
      </c>
      <c r="F2887" s="1" t="s">
        <v>16</v>
      </c>
      <c r="G2887" s="1" t="s">
        <v>17</v>
      </c>
      <c r="H2887" s="1" t="s">
        <v>18</v>
      </c>
      <c r="I2887" s="1" t="s">
        <v>19</v>
      </c>
    </row>
    <row r="2888">
      <c r="A2888" s="1">
        <v>7372075.0</v>
      </c>
      <c r="B2888" s="1" t="s">
        <v>6199</v>
      </c>
      <c r="C2888" s="1" t="s">
        <v>6102</v>
      </c>
      <c r="D2888" s="1" t="s">
        <v>6148</v>
      </c>
      <c r="E2888" s="1" t="s">
        <v>6200</v>
      </c>
      <c r="F2888" s="1" t="s">
        <v>16</v>
      </c>
      <c r="G2888" s="1" t="s">
        <v>27</v>
      </c>
      <c r="H2888" s="1" t="s">
        <v>28</v>
      </c>
      <c r="I2888" s="1" t="s">
        <v>29</v>
      </c>
    </row>
    <row r="2889">
      <c r="A2889" s="1">
        <v>7314013.0</v>
      </c>
      <c r="B2889" s="1" t="s">
        <v>6201</v>
      </c>
      <c r="C2889" s="1" t="s">
        <v>6102</v>
      </c>
      <c r="D2889" s="1" t="s">
        <v>6202</v>
      </c>
      <c r="E2889" s="1" t="s">
        <v>6203</v>
      </c>
      <c r="F2889" s="1" t="s">
        <v>16</v>
      </c>
      <c r="G2889" s="1" t="s">
        <v>17</v>
      </c>
      <c r="H2889" s="1" t="s">
        <v>28</v>
      </c>
      <c r="I2889" s="1" t="s">
        <v>40</v>
      </c>
    </row>
    <row r="2890">
      <c r="A2890" s="1">
        <v>7371408.0</v>
      </c>
      <c r="B2890" s="1" t="s">
        <v>6204</v>
      </c>
      <c r="C2890" s="1" t="s">
        <v>6102</v>
      </c>
      <c r="D2890" s="1" t="s">
        <v>6106</v>
      </c>
      <c r="E2890" s="1" t="s">
        <v>6205</v>
      </c>
      <c r="F2890" s="1" t="s">
        <v>16</v>
      </c>
      <c r="G2890" s="1" t="s">
        <v>27</v>
      </c>
      <c r="H2890" s="1" t="s">
        <v>33</v>
      </c>
      <c r="I2890" s="1" t="s">
        <v>34</v>
      </c>
    </row>
    <row r="2891">
      <c r="A2891" s="1">
        <v>7371425.0</v>
      </c>
      <c r="B2891" s="1" t="s">
        <v>6206</v>
      </c>
      <c r="C2891" s="1" t="s">
        <v>6102</v>
      </c>
      <c r="D2891" s="1" t="s">
        <v>6106</v>
      </c>
      <c r="E2891" s="1" t="s">
        <v>6207</v>
      </c>
      <c r="F2891" s="1" t="s">
        <v>16</v>
      </c>
      <c r="G2891" s="1" t="s">
        <v>23</v>
      </c>
      <c r="H2891" s="1" t="s">
        <v>18</v>
      </c>
      <c r="I2891" s="1" t="s">
        <v>19</v>
      </c>
    </row>
    <row r="2892">
      <c r="A2892" s="1">
        <v>7318054.0</v>
      </c>
      <c r="B2892" s="1" t="s">
        <v>6208</v>
      </c>
      <c r="C2892" s="1" t="s">
        <v>6102</v>
      </c>
      <c r="D2892" s="1" t="s">
        <v>6209</v>
      </c>
      <c r="E2892" s="1" t="s">
        <v>6210</v>
      </c>
      <c r="F2892" s="1" t="s">
        <v>16</v>
      </c>
      <c r="G2892" s="1" t="s">
        <v>17</v>
      </c>
      <c r="H2892" s="1" t="s">
        <v>28</v>
      </c>
      <c r="I2892" s="1" t="s">
        <v>40</v>
      </c>
    </row>
    <row r="2893">
      <c r="A2893" s="1">
        <v>7371452.0</v>
      </c>
      <c r="B2893" s="1" t="s">
        <v>6211</v>
      </c>
      <c r="C2893" s="1" t="s">
        <v>6102</v>
      </c>
      <c r="D2893" s="1" t="s">
        <v>6106</v>
      </c>
      <c r="E2893" s="1" t="s">
        <v>6212</v>
      </c>
      <c r="F2893" s="1" t="s">
        <v>16</v>
      </c>
      <c r="G2893" s="1" t="s">
        <v>17</v>
      </c>
      <c r="H2893" s="1" t="s">
        <v>18</v>
      </c>
      <c r="I2893" s="1" t="s">
        <v>19</v>
      </c>
    </row>
    <row r="2894">
      <c r="A2894" s="1">
        <v>7315016.0</v>
      </c>
      <c r="B2894" s="1" t="s">
        <v>6213</v>
      </c>
      <c r="C2894" s="1" t="s">
        <v>6102</v>
      </c>
      <c r="D2894" s="1" t="s">
        <v>6214</v>
      </c>
      <c r="E2894" s="1" t="s">
        <v>6215</v>
      </c>
      <c r="F2894" s="1" t="s">
        <v>16</v>
      </c>
      <c r="G2894" s="1" t="s">
        <v>23</v>
      </c>
      <c r="H2894" s="1" t="s">
        <v>18</v>
      </c>
      <c r="I2894" s="1" t="s">
        <v>684</v>
      </c>
    </row>
    <row r="2895">
      <c r="A2895" s="1">
        <v>7371340.0</v>
      </c>
      <c r="B2895" s="1" t="s">
        <v>6216</v>
      </c>
      <c r="C2895" s="1" t="s">
        <v>6102</v>
      </c>
      <c r="D2895" s="1" t="s">
        <v>6106</v>
      </c>
      <c r="E2895" s="1" t="s">
        <v>6217</v>
      </c>
      <c r="F2895" s="1" t="s">
        <v>16</v>
      </c>
      <c r="G2895" s="1" t="s">
        <v>27</v>
      </c>
      <c r="H2895" s="1" t="s">
        <v>18</v>
      </c>
      <c r="I2895" s="1" t="s">
        <v>59</v>
      </c>
    </row>
    <row r="2896">
      <c r="A2896" s="1">
        <v>7371406.0</v>
      </c>
      <c r="B2896" s="1" t="s">
        <v>6218</v>
      </c>
      <c r="C2896" s="1" t="s">
        <v>6102</v>
      </c>
      <c r="D2896" s="1" t="s">
        <v>6106</v>
      </c>
      <c r="E2896" s="1" t="s">
        <v>6219</v>
      </c>
      <c r="F2896" s="1" t="s">
        <v>55</v>
      </c>
      <c r="G2896" s="1" t="s">
        <v>17</v>
      </c>
      <c r="H2896" s="1" t="s">
        <v>18</v>
      </c>
      <c r="I2896" s="1" t="s">
        <v>163</v>
      </c>
    </row>
    <row r="2897">
      <c r="A2897" s="1">
        <v>7371429.0</v>
      </c>
      <c r="B2897" s="1" t="s">
        <v>2466</v>
      </c>
      <c r="C2897" s="1" t="s">
        <v>6102</v>
      </c>
      <c r="D2897" s="1" t="s">
        <v>6106</v>
      </c>
      <c r="E2897" s="1" t="s">
        <v>6220</v>
      </c>
      <c r="F2897" s="1" t="s">
        <v>55</v>
      </c>
      <c r="G2897" s="1" t="s">
        <v>17</v>
      </c>
      <c r="H2897" s="1" t="s">
        <v>18</v>
      </c>
      <c r="I2897" s="1" t="s">
        <v>19</v>
      </c>
    </row>
    <row r="2898">
      <c r="A2898" s="1">
        <v>7315018.0</v>
      </c>
      <c r="B2898" s="1" t="s">
        <v>6221</v>
      </c>
      <c r="C2898" s="1" t="s">
        <v>6102</v>
      </c>
      <c r="D2898" s="1" t="s">
        <v>6214</v>
      </c>
      <c r="E2898" s="1" t="s">
        <v>6222</v>
      </c>
      <c r="F2898" s="1" t="s">
        <v>16</v>
      </c>
      <c r="G2898" s="1" t="s">
        <v>23</v>
      </c>
      <c r="H2898" s="1" t="s">
        <v>28</v>
      </c>
      <c r="I2898" s="1" t="s">
        <v>40</v>
      </c>
    </row>
    <row r="2899">
      <c r="A2899" s="1">
        <v>7371434.0</v>
      </c>
      <c r="B2899" s="1" t="s">
        <v>6223</v>
      </c>
      <c r="C2899" s="1" t="s">
        <v>6102</v>
      </c>
      <c r="D2899" s="1" t="s">
        <v>6106</v>
      </c>
      <c r="E2899" s="1" t="s">
        <v>6224</v>
      </c>
      <c r="F2899" s="1" t="s">
        <v>16</v>
      </c>
      <c r="G2899" s="1" t="s">
        <v>17</v>
      </c>
      <c r="H2899" s="1" t="s">
        <v>18</v>
      </c>
      <c r="I2899" s="1" t="s">
        <v>163</v>
      </c>
    </row>
    <row r="2900">
      <c r="A2900" s="1">
        <v>7308026.0</v>
      </c>
      <c r="B2900" s="1" t="s">
        <v>6225</v>
      </c>
      <c r="C2900" s="1" t="s">
        <v>6102</v>
      </c>
      <c r="D2900" s="1" t="s">
        <v>6123</v>
      </c>
      <c r="E2900" s="1" t="s">
        <v>6226</v>
      </c>
      <c r="F2900" s="1" t="s">
        <v>16</v>
      </c>
      <c r="G2900" s="1" t="s">
        <v>17</v>
      </c>
      <c r="H2900" s="1" t="s">
        <v>18</v>
      </c>
      <c r="I2900" s="1" t="s">
        <v>74</v>
      </c>
    </row>
    <row r="2901">
      <c r="A2901" s="1">
        <v>7371180.0</v>
      </c>
      <c r="B2901" s="1" t="s">
        <v>6227</v>
      </c>
      <c r="C2901" s="1" t="s">
        <v>6102</v>
      </c>
      <c r="D2901" s="1" t="s">
        <v>6106</v>
      </c>
      <c r="E2901" s="1" t="s">
        <v>6228</v>
      </c>
      <c r="F2901" s="1" t="s">
        <v>55</v>
      </c>
      <c r="G2901" s="1" t="s">
        <v>17</v>
      </c>
      <c r="H2901" s="1" t="s">
        <v>18</v>
      </c>
      <c r="I2901" s="1" t="s">
        <v>59</v>
      </c>
    </row>
    <row r="2902">
      <c r="A2902" s="1">
        <v>7326002.0</v>
      </c>
      <c r="B2902" s="1" t="s">
        <v>6229</v>
      </c>
      <c r="C2902" s="1" t="s">
        <v>6102</v>
      </c>
      <c r="D2902" s="1" t="s">
        <v>6230</v>
      </c>
      <c r="E2902" s="1" t="s">
        <v>6231</v>
      </c>
      <c r="F2902" s="1" t="s">
        <v>16</v>
      </c>
      <c r="G2902" s="1" t="s">
        <v>17</v>
      </c>
      <c r="H2902" s="1" t="s">
        <v>18</v>
      </c>
      <c r="I2902" s="1" t="s">
        <v>40</v>
      </c>
    </row>
    <row r="2903">
      <c r="A2903" s="1">
        <v>7318056.0</v>
      </c>
      <c r="B2903" s="1" t="s">
        <v>6232</v>
      </c>
      <c r="C2903" s="1" t="s">
        <v>6102</v>
      </c>
      <c r="D2903" s="1" t="s">
        <v>6209</v>
      </c>
      <c r="E2903" s="1" t="s">
        <v>6233</v>
      </c>
      <c r="F2903" s="1" t="s">
        <v>16</v>
      </c>
      <c r="G2903" s="1" t="s">
        <v>17</v>
      </c>
      <c r="H2903" s="1" t="s">
        <v>18</v>
      </c>
      <c r="I2903" s="1" t="s">
        <v>163</v>
      </c>
    </row>
    <row r="2904">
      <c r="A2904" s="1">
        <v>7310032.0</v>
      </c>
      <c r="B2904" s="1" t="s">
        <v>6234</v>
      </c>
      <c r="C2904" s="1" t="s">
        <v>6102</v>
      </c>
      <c r="D2904" s="1" t="s">
        <v>6137</v>
      </c>
      <c r="E2904" s="1" t="s">
        <v>6235</v>
      </c>
      <c r="F2904" s="1" t="s">
        <v>16</v>
      </c>
      <c r="G2904" s="1" t="s">
        <v>98</v>
      </c>
      <c r="H2904" s="1" t="s">
        <v>18</v>
      </c>
      <c r="I2904" s="1" t="s">
        <v>40</v>
      </c>
    </row>
    <row r="2905">
      <c r="A2905" s="1">
        <v>7301015.0</v>
      </c>
      <c r="B2905" s="1" t="s">
        <v>6236</v>
      </c>
      <c r="C2905" s="1" t="s">
        <v>6102</v>
      </c>
      <c r="D2905" s="1" t="s">
        <v>6140</v>
      </c>
      <c r="E2905" s="1" t="s">
        <v>6237</v>
      </c>
      <c r="F2905" s="1" t="s">
        <v>16</v>
      </c>
      <c r="G2905" s="1" t="s">
        <v>17</v>
      </c>
      <c r="H2905" s="1" t="s">
        <v>28</v>
      </c>
      <c r="I2905" s="1" t="s">
        <v>40</v>
      </c>
    </row>
    <row r="2906">
      <c r="A2906" s="1">
        <v>7315014.0</v>
      </c>
      <c r="B2906" s="1" t="s">
        <v>6238</v>
      </c>
      <c r="C2906" s="1" t="s">
        <v>6102</v>
      </c>
      <c r="D2906" s="1" t="s">
        <v>6214</v>
      </c>
      <c r="E2906" s="1" t="s">
        <v>6239</v>
      </c>
      <c r="F2906" s="1" t="s">
        <v>16</v>
      </c>
      <c r="G2906" s="1" t="s">
        <v>17</v>
      </c>
      <c r="H2906" s="1" t="s">
        <v>28</v>
      </c>
      <c r="I2906" s="1" t="s">
        <v>40</v>
      </c>
    </row>
    <row r="2907">
      <c r="A2907" s="1">
        <v>7313023.0</v>
      </c>
      <c r="B2907" s="1" t="s">
        <v>6240</v>
      </c>
      <c r="C2907" s="1" t="s">
        <v>6102</v>
      </c>
      <c r="D2907" s="1" t="s">
        <v>6241</v>
      </c>
      <c r="E2907" s="1" t="s">
        <v>6242</v>
      </c>
      <c r="F2907" s="1" t="s">
        <v>16</v>
      </c>
      <c r="G2907" s="1" t="s">
        <v>17</v>
      </c>
      <c r="H2907" s="1" t="s">
        <v>28</v>
      </c>
      <c r="I2907" s="1" t="s">
        <v>40</v>
      </c>
    </row>
    <row r="2908">
      <c r="A2908" s="1">
        <v>7371451.0</v>
      </c>
      <c r="B2908" s="1" t="s">
        <v>6243</v>
      </c>
      <c r="C2908" s="1" t="s">
        <v>6102</v>
      </c>
      <c r="D2908" s="1" t="s">
        <v>6106</v>
      </c>
      <c r="E2908" s="1" t="s">
        <v>6244</v>
      </c>
      <c r="F2908" s="1" t="s">
        <v>272</v>
      </c>
      <c r="G2908" s="1" t="s">
        <v>17</v>
      </c>
      <c r="H2908" s="1" t="s">
        <v>33</v>
      </c>
      <c r="I2908" s="1" t="s">
        <v>19</v>
      </c>
    </row>
    <row r="2909">
      <c r="A2909" s="1">
        <v>7371336.0</v>
      </c>
      <c r="B2909" s="1" t="s">
        <v>6245</v>
      </c>
      <c r="C2909" s="1" t="s">
        <v>6102</v>
      </c>
      <c r="D2909" s="1" t="s">
        <v>6106</v>
      </c>
      <c r="E2909" s="1" t="s">
        <v>6246</v>
      </c>
      <c r="F2909" s="1" t="s">
        <v>16</v>
      </c>
      <c r="G2909" s="1" t="s">
        <v>17</v>
      </c>
      <c r="H2909" s="1" t="s">
        <v>18</v>
      </c>
      <c r="I2909" s="1" t="s">
        <v>59</v>
      </c>
    </row>
    <row r="2910">
      <c r="A2910" s="1">
        <v>7371450.0</v>
      </c>
      <c r="B2910" s="1" t="s">
        <v>6247</v>
      </c>
      <c r="C2910" s="1" t="s">
        <v>6102</v>
      </c>
      <c r="D2910" s="1" t="s">
        <v>6106</v>
      </c>
      <c r="E2910" s="1" t="s">
        <v>6248</v>
      </c>
      <c r="F2910" s="1" t="s">
        <v>32</v>
      </c>
      <c r="G2910" s="1" t="s">
        <v>27</v>
      </c>
      <c r="H2910" s="1" t="s">
        <v>18</v>
      </c>
      <c r="I2910" s="1" t="s">
        <v>19</v>
      </c>
    </row>
    <row r="2911">
      <c r="A2911" s="1">
        <v>7371026.0</v>
      </c>
      <c r="B2911" s="1" t="s">
        <v>6249</v>
      </c>
      <c r="C2911" s="1" t="s">
        <v>6102</v>
      </c>
      <c r="D2911" s="1" t="s">
        <v>6106</v>
      </c>
      <c r="E2911" s="1" t="s">
        <v>6250</v>
      </c>
      <c r="F2911" s="1" t="s">
        <v>16</v>
      </c>
      <c r="G2911" s="1" t="s">
        <v>27</v>
      </c>
      <c r="H2911" s="1" t="s">
        <v>28</v>
      </c>
      <c r="I2911" s="1" t="s">
        <v>139</v>
      </c>
    </row>
    <row r="2912">
      <c r="A2912" s="1">
        <v>7373005.0</v>
      </c>
      <c r="B2912" s="1" t="s">
        <v>6251</v>
      </c>
      <c r="C2912" s="1" t="s">
        <v>6102</v>
      </c>
      <c r="D2912" s="1" t="s">
        <v>6109</v>
      </c>
      <c r="E2912" s="1" t="s">
        <v>6252</v>
      </c>
      <c r="F2912" s="1" t="s">
        <v>16</v>
      </c>
      <c r="G2912" s="1" t="s">
        <v>23</v>
      </c>
      <c r="H2912" s="1" t="s">
        <v>18</v>
      </c>
      <c r="I2912" s="1" t="s">
        <v>19</v>
      </c>
    </row>
    <row r="2913">
      <c r="A2913" s="1">
        <v>7371362.0</v>
      </c>
      <c r="B2913" s="1" t="s">
        <v>6253</v>
      </c>
      <c r="C2913" s="1" t="s">
        <v>6102</v>
      </c>
      <c r="D2913" s="1" t="s">
        <v>6106</v>
      </c>
      <c r="E2913" s="1" t="s">
        <v>6254</v>
      </c>
      <c r="F2913" s="1" t="s">
        <v>16</v>
      </c>
      <c r="G2913" s="1" t="s">
        <v>27</v>
      </c>
      <c r="H2913" s="1" t="s">
        <v>28</v>
      </c>
      <c r="I2913" s="1" t="s">
        <v>139</v>
      </c>
    </row>
    <row r="2914">
      <c r="A2914" s="1">
        <v>7371400.0</v>
      </c>
      <c r="B2914" s="1" t="s">
        <v>6255</v>
      </c>
      <c r="C2914" s="1" t="s">
        <v>6102</v>
      </c>
      <c r="D2914" s="1" t="s">
        <v>6106</v>
      </c>
      <c r="E2914" s="1" t="s">
        <v>6256</v>
      </c>
      <c r="F2914" s="1" t="s">
        <v>16</v>
      </c>
      <c r="G2914" s="1" t="s">
        <v>23</v>
      </c>
      <c r="H2914" s="1" t="s">
        <v>18</v>
      </c>
      <c r="I2914" s="1" t="s">
        <v>59</v>
      </c>
    </row>
    <row r="2915">
      <c r="A2915" s="1">
        <v>7371427.0</v>
      </c>
      <c r="B2915" s="1" t="s">
        <v>6257</v>
      </c>
      <c r="C2915" s="1" t="s">
        <v>6102</v>
      </c>
      <c r="D2915" s="1" t="s">
        <v>6106</v>
      </c>
      <c r="E2915" s="1" t="s">
        <v>6258</v>
      </c>
      <c r="F2915" s="1" t="s">
        <v>32</v>
      </c>
      <c r="G2915" s="1" t="s">
        <v>17</v>
      </c>
      <c r="H2915" s="1" t="s">
        <v>33</v>
      </c>
      <c r="I2915" s="1" t="s">
        <v>95</v>
      </c>
    </row>
    <row r="2916">
      <c r="A2916" s="1">
        <v>7309016.0</v>
      </c>
      <c r="B2916" s="1" t="s">
        <v>6259</v>
      </c>
      <c r="C2916" s="1" t="s">
        <v>6102</v>
      </c>
      <c r="D2916" s="1" t="s">
        <v>6260</v>
      </c>
      <c r="E2916" s="1" t="s">
        <v>6261</v>
      </c>
      <c r="F2916" s="1" t="s">
        <v>16</v>
      </c>
      <c r="G2916" s="1" t="s">
        <v>17</v>
      </c>
      <c r="H2916" s="1" t="s">
        <v>28</v>
      </c>
      <c r="I2916" s="1" t="s">
        <v>40</v>
      </c>
    </row>
    <row r="2917">
      <c r="A2917" s="1">
        <v>7306057.0</v>
      </c>
      <c r="B2917" s="1" t="s">
        <v>6262</v>
      </c>
      <c r="C2917" s="1" t="s">
        <v>6102</v>
      </c>
      <c r="D2917" s="1" t="s">
        <v>6189</v>
      </c>
      <c r="E2917" s="1" t="s">
        <v>6263</v>
      </c>
      <c r="F2917" s="1" t="s">
        <v>16</v>
      </c>
      <c r="G2917" s="1" t="s">
        <v>23</v>
      </c>
      <c r="H2917" s="1" t="s">
        <v>18</v>
      </c>
      <c r="I2917" s="1" t="s">
        <v>163</v>
      </c>
    </row>
    <row r="2918">
      <c r="A2918" s="1">
        <v>7308058.0</v>
      </c>
      <c r="B2918" s="1" t="s">
        <v>6264</v>
      </c>
      <c r="C2918" s="1" t="s">
        <v>6102</v>
      </c>
      <c r="D2918" s="1" t="s">
        <v>6123</v>
      </c>
      <c r="E2918" s="1" t="s">
        <v>6265</v>
      </c>
      <c r="F2918" s="1" t="s">
        <v>16</v>
      </c>
      <c r="G2918" s="1" t="s">
        <v>17</v>
      </c>
      <c r="H2918" s="1" t="s">
        <v>18</v>
      </c>
      <c r="I2918" s="1" t="s">
        <v>19</v>
      </c>
    </row>
    <row r="2919">
      <c r="A2919" s="1">
        <v>7371430.0</v>
      </c>
      <c r="B2919" s="1" t="s">
        <v>6266</v>
      </c>
      <c r="C2919" s="1" t="s">
        <v>6102</v>
      </c>
      <c r="D2919" s="1" t="s">
        <v>6106</v>
      </c>
      <c r="E2919" s="1" t="s">
        <v>6267</v>
      </c>
      <c r="F2919" s="1" t="s">
        <v>55</v>
      </c>
      <c r="G2919" s="1" t="s">
        <v>17</v>
      </c>
      <c r="H2919" s="1" t="s">
        <v>18</v>
      </c>
      <c r="I2919" s="1" t="s">
        <v>44</v>
      </c>
    </row>
    <row r="2920">
      <c r="A2920" s="1">
        <v>7373016.0</v>
      </c>
      <c r="B2920" s="1" t="s">
        <v>6268</v>
      </c>
      <c r="C2920" s="1" t="s">
        <v>6102</v>
      </c>
      <c r="D2920" s="1" t="s">
        <v>6109</v>
      </c>
      <c r="E2920" s="1" t="s">
        <v>6269</v>
      </c>
      <c r="F2920" s="1" t="s">
        <v>16</v>
      </c>
      <c r="G2920" s="1" t="s">
        <v>27</v>
      </c>
      <c r="H2920" s="1" t="s">
        <v>28</v>
      </c>
      <c r="I2920" s="1" t="s">
        <v>29</v>
      </c>
    </row>
    <row r="2921">
      <c r="A2921" s="1">
        <v>7371428.0</v>
      </c>
      <c r="B2921" s="1" t="s">
        <v>6270</v>
      </c>
      <c r="C2921" s="1" t="s">
        <v>6102</v>
      </c>
      <c r="D2921" s="1" t="s">
        <v>6106</v>
      </c>
      <c r="E2921" s="1" t="s">
        <v>6271</v>
      </c>
      <c r="F2921" s="1" t="s">
        <v>55</v>
      </c>
      <c r="G2921" s="1" t="s">
        <v>27</v>
      </c>
      <c r="H2921" s="1" t="s">
        <v>18</v>
      </c>
      <c r="I2921" s="1" t="s">
        <v>44</v>
      </c>
    </row>
    <row r="2922">
      <c r="A2922" s="1">
        <v>7371223.0</v>
      </c>
      <c r="B2922" s="1" t="s">
        <v>6272</v>
      </c>
      <c r="C2922" s="1" t="s">
        <v>6102</v>
      </c>
      <c r="D2922" s="1" t="s">
        <v>6106</v>
      </c>
      <c r="E2922" s="1" t="s">
        <v>6273</v>
      </c>
      <c r="F2922" s="1" t="s">
        <v>55</v>
      </c>
      <c r="G2922" s="1" t="s">
        <v>17</v>
      </c>
      <c r="H2922" s="1" t="s">
        <v>18</v>
      </c>
      <c r="I2922" s="1" t="s">
        <v>59</v>
      </c>
    </row>
    <row r="2923">
      <c r="A2923" s="1">
        <v>7303010.0</v>
      </c>
      <c r="B2923" s="1" t="s">
        <v>6274</v>
      </c>
      <c r="C2923" s="1" t="s">
        <v>6102</v>
      </c>
      <c r="D2923" s="1" t="s">
        <v>6275</v>
      </c>
      <c r="E2923" s="1" t="s">
        <v>6276</v>
      </c>
      <c r="F2923" s="1" t="s">
        <v>16</v>
      </c>
      <c r="G2923" s="1" t="s">
        <v>27</v>
      </c>
      <c r="H2923" s="1" t="s">
        <v>28</v>
      </c>
      <c r="I2923" s="1" t="s">
        <v>40</v>
      </c>
    </row>
    <row r="2924">
      <c r="A2924" s="1">
        <v>7371041.0</v>
      </c>
      <c r="B2924" s="1" t="s">
        <v>6277</v>
      </c>
      <c r="C2924" s="1" t="s">
        <v>6102</v>
      </c>
      <c r="D2924" s="1" t="s">
        <v>6106</v>
      </c>
      <c r="E2924" s="1" t="s">
        <v>6278</v>
      </c>
      <c r="F2924" s="1" t="s">
        <v>16</v>
      </c>
      <c r="G2924" s="1" t="s">
        <v>27</v>
      </c>
      <c r="H2924" s="1" t="s">
        <v>33</v>
      </c>
      <c r="I2924" s="1" t="s">
        <v>65</v>
      </c>
    </row>
    <row r="2925">
      <c r="A2925" s="1">
        <v>7304012.0</v>
      </c>
      <c r="B2925" s="1" t="s">
        <v>6279</v>
      </c>
      <c r="C2925" s="1" t="s">
        <v>6102</v>
      </c>
      <c r="D2925" s="1" t="s">
        <v>6164</v>
      </c>
      <c r="E2925" s="1" t="s">
        <v>6280</v>
      </c>
      <c r="F2925" s="1" t="s">
        <v>16</v>
      </c>
      <c r="G2925" s="1" t="s">
        <v>98</v>
      </c>
      <c r="H2925" s="1" t="s">
        <v>18</v>
      </c>
      <c r="I2925" s="1" t="s">
        <v>40</v>
      </c>
    </row>
    <row r="2926">
      <c r="A2926" s="1">
        <v>7371395.0</v>
      </c>
      <c r="B2926" s="1" t="s">
        <v>6281</v>
      </c>
      <c r="C2926" s="1" t="s">
        <v>6102</v>
      </c>
      <c r="D2926" s="1" t="s">
        <v>6106</v>
      </c>
      <c r="E2926" s="1" t="s">
        <v>6282</v>
      </c>
      <c r="F2926" s="1" t="s">
        <v>16</v>
      </c>
      <c r="G2926" s="1" t="s">
        <v>27</v>
      </c>
      <c r="H2926" s="1" t="s">
        <v>28</v>
      </c>
      <c r="I2926" s="1" t="s">
        <v>29</v>
      </c>
    </row>
    <row r="2927">
      <c r="A2927" s="1">
        <v>7307025.0</v>
      </c>
      <c r="B2927" s="1" t="s">
        <v>6283</v>
      </c>
      <c r="C2927" s="1" t="s">
        <v>6102</v>
      </c>
      <c r="D2927" s="1" t="s">
        <v>6284</v>
      </c>
      <c r="E2927" s="1" t="s">
        <v>6285</v>
      </c>
      <c r="F2927" s="1" t="s">
        <v>16</v>
      </c>
      <c r="G2927" s="1" t="s">
        <v>98</v>
      </c>
      <c r="H2927" s="1" t="s">
        <v>18</v>
      </c>
      <c r="I2927" s="1" t="s">
        <v>40</v>
      </c>
    </row>
    <row r="2928">
      <c r="A2928" s="1">
        <v>7371414.0</v>
      </c>
      <c r="B2928" s="1" t="s">
        <v>6286</v>
      </c>
      <c r="C2928" s="1" t="s">
        <v>6102</v>
      </c>
      <c r="D2928" s="1" t="s">
        <v>6106</v>
      </c>
      <c r="E2928" s="1" t="s">
        <v>6287</v>
      </c>
      <c r="F2928" s="1" t="s">
        <v>55</v>
      </c>
      <c r="G2928" s="1" t="s">
        <v>17</v>
      </c>
      <c r="H2928" s="1" t="s">
        <v>18</v>
      </c>
      <c r="I2928" s="1" t="s">
        <v>19</v>
      </c>
    </row>
    <row r="2929">
      <c r="A2929" s="1">
        <v>7313024.0</v>
      </c>
      <c r="B2929" s="1" t="s">
        <v>6288</v>
      </c>
      <c r="C2929" s="1" t="s">
        <v>6102</v>
      </c>
      <c r="D2929" s="1" t="s">
        <v>6241</v>
      </c>
      <c r="E2929" s="1" t="s">
        <v>6289</v>
      </c>
      <c r="F2929" s="1" t="s">
        <v>16</v>
      </c>
      <c r="G2929" s="1" t="s">
        <v>23</v>
      </c>
      <c r="H2929" s="1" t="s">
        <v>18</v>
      </c>
      <c r="I2929" s="1" t="s">
        <v>44</v>
      </c>
    </row>
    <row r="2930">
      <c r="A2930" s="1">
        <v>7311010.0</v>
      </c>
      <c r="B2930" s="1" t="s">
        <v>6290</v>
      </c>
      <c r="C2930" s="1" t="s">
        <v>6102</v>
      </c>
      <c r="D2930" s="1" t="s">
        <v>6291</v>
      </c>
      <c r="E2930" s="1" t="s">
        <v>6292</v>
      </c>
      <c r="F2930" s="1" t="s">
        <v>16</v>
      </c>
      <c r="G2930" s="1" t="s">
        <v>17</v>
      </c>
      <c r="H2930" s="1" t="s">
        <v>28</v>
      </c>
      <c r="I2930" s="1" t="s">
        <v>40</v>
      </c>
    </row>
    <row r="2931">
      <c r="A2931" s="1">
        <v>7317053.0</v>
      </c>
      <c r="B2931" s="1" t="s">
        <v>6293</v>
      </c>
      <c r="C2931" s="1" t="s">
        <v>6102</v>
      </c>
      <c r="D2931" s="1" t="s">
        <v>6177</v>
      </c>
      <c r="E2931" s="1" t="s">
        <v>6294</v>
      </c>
      <c r="F2931" s="1" t="s">
        <v>16</v>
      </c>
      <c r="G2931" s="1" t="s">
        <v>17</v>
      </c>
      <c r="H2931" s="1" t="s">
        <v>28</v>
      </c>
      <c r="I2931" s="1" t="s">
        <v>40</v>
      </c>
    </row>
    <row r="2932">
      <c r="A2932" s="1">
        <v>7303012.0</v>
      </c>
      <c r="B2932" s="1" t="s">
        <v>6295</v>
      </c>
      <c r="C2932" s="1" t="s">
        <v>6102</v>
      </c>
      <c r="D2932" s="1" t="s">
        <v>6275</v>
      </c>
      <c r="E2932" s="1" t="s">
        <v>6296</v>
      </c>
      <c r="F2932" s="1" t="s">
        <v>16</v>
      </c>
      <c r="G2932" s="1" t="s">
        <v>23</v>
      </c>
      <c r="H2932" s="1" t="s">
        <v>28</v>
      </c>
      <c r="I2932" s="1" t="s">
        <v>40</v>
      </c>
    </row>
    <row r="2933">
      <c r="A2933" s="1">
        <v>7371293.0</v>
      </c>
      <c r="B2933" s="1" t="s">
        <v>6297</v>
      </c>
      <c r="C2933" s="1" t="s">
        <v>6102</v>
      </c>
      <c r="D2933" s="1" t="s">
        <v>6106</v>
      </c>
      <c r="E2933" s="1" t="s">
        <v>6298</v>
      </c>
      <c r="F2933" s="1" t="s">
        <v>16</v>
      </c>
      <c r="G2933" s="1" t="s">
        <v>27</v>
      </c>
      <c r="H2933" s="1" t="s">
        <v>18</v>
      </c>
      <c r="I2933" s="1" t="s">
        <v>684</v>
      </c>
    </row>
    <row r="2934">
      <c r="A2934" s="1">
        <v>7371410.0</v>
      </c>
      <c r="B2934" s="1" t="s">
        <v>6299</v>
      </c>
      <c r="C2934" s="1" t="s">
        <v>6102</v>
      </c>
      <c r="D2934" s="1" t="s">
        <v>6106</v>
      </c>
      <c r="E2934" s="1" t="s">
        <v>6300</v>
      </c>
      <c r="F2934" s="1" t="s">
        <v>55</v>
      </c>
      <c r="G2934" s="1" t="s">
        <v>17</v>
      </c>
      <c r="H2934" s="1" t="s">
        <v>18</v>
      </c>
      <c r="I2934" s="1" t="s">
        <v>163</v>
      </c>
    </row>
    <row r="2935">
      <c r="A2935" s="1">
        <v>7371453.0</v>
      </c>
      <c r="B2935" s="1" t="s">
        <v>6301</v>
      </c>
      <c r="C2935" s="1" t="s">
        <v>6102</v>
      </c>
      <c r="D2935" s="1" t="s">
        <v>6106</v>
      </c>
      <c r="E2935" s="1" t="s">
        <v>6302</v>
      </c>
      <c r="F2935" s="1" t="s">
        <v>16</v>
      </c>
      <c r="G2935" s="1" t="s">
        <v>150</v>
      </c>
      <c r="H2935" s="1" t="s">
        <v>18</v>
      </c>
      <c r="I2935" s="1" t="s">
        <v>411</v>
      </c>
    </row>
    <row r="2936">
      <c r="A2936" s="1">
        <v>7302017.0</v>
      </c>
      <c r="B2936" s="1" t="s">
        <v>6303</v>
      </c>
      <c r="C2936" s="1" t="s">
        <v>6102</v>
      </c>
      <c r="D2936" s="1" t="s">
        <v>6116</v>
      </c>
      <c r="E2936" s="1" t="s">
        <v>6304</v>
      </c>
      <c r="F2936" s="1" t="s">
        <v>55</v>
      </c>
      <c r="G2936" s="1" t="s">
        <v>17</v>
      </c>
      <c r="H2936" s="1" t="s">
        <v>18</v>
      </c>
      <c r="I2936" s="1" t="s">
        <v>19</v>
      </c>
    </row>
    <row r="2937">
      <c r="A2937" s="1">
        <v>7305015.0</v>
      </c>
      <c r="B2937" s="1" t="s">
        <v>6305</v>
      </c>
      <c r="C2937" s="1" t="s">
        <v>6102</v>
      </c>
      <c r="D2937" s="1" t="s">
        <v>6153</v>
      </c>
      <c r="E2937" s="1" t="s">
        <v>6306</v>
      </c>
      <c r="F2937" s="1" t="s">
        <v>55</v>
      </c>
      <c r="G2937" s="1" t="s">
        <v>17</v>
      </c>
      <c r="H2937" s="1" t="s">
        <v>18</v>
      </c>
      <c r="I2937" s="1" t="s">
        <v>40</v>
      </c>
    </row>
    <row r="2938">
      <c r="A2938" s="1">
        <v>7305012.0</v>
      </c>
      <c r="B2938" s="1" t="s">
        <v>6307</v>
      </c>
      <c r="C2938" s="1" t="s">
        <v>6102</v>
      </c>
      <c r="D2938" s="1" t="s">
        <v>6153</v>
      </c>
      <c r="E2938" s="1" t="s">
        <v>6308</v>
      </c>
      <c r="F2938" s="1" t="s">
        <v>16</v>
      </c>
      <c r="G2938" s="1" t="s">
        <v>17</v>
      </c>
      <c r="H2938" s="1" t="s">
        <v>28</v>
      </c>
      <c r="I2938" s="1" t="s">
        <v>40</v>
      </c>
    </row>
    <row r="2939">
      <c r="A2939" s="1">
        <v>7303013.0</v>
      </c>
      <c r="B2939" s="1" t="s">
        <v>6309</v>
      </c>
      <c r="C2939" s="1" t="s">
        <v>6102</v>
      </c>
      <c r="D2939" s="1" t="s">
        <v>6275</v>
      </c>
      <c r="E2939" s="1" t="s">
        <v>6310</v>
      </c>
      <c r="F2939" s="1" t="s">
        <v>55</v>
      </c>
      <c r="G2939" s="1" t="s">
        <v>17</v>
      </c>
      <c r="H2939" s="1" t="s">
        <v>18</v>
      </c>
      <c r="I2939" s="1" t="s">
        <v>19</v>
      </c>
    </row>
    <row r="2940">
      <c r="A2940" s="1">
        <v>7318010.0</v>
      </c>
      <c r="B2940" s="1" t="s">
        <v>6311</v>
      </c>
      <c r="C2940" s="1" t="s">
        <v>6102</v>
      </c>
      <c r="D2940" s="1" t="s">
        <v>6230</v>
      </c>
      <c r="E2940" s="1" t="s">
        <v>6312</v>
      </c>
      <c r="F2940" s="1" t="s">
        <v>16</v>
      </c>
      <c r="G2940" s="1" t="s">
        <v>17</v>
      </c>
      <c r="H2940" s="1" t="s">
        <v>18</v>
      </c>
      <c r="I2940" s="1" t="s">
        <v>59</v>
      </c>
    </row>
    <row r="2941">
      <c r="A2941" s="1">
        <v>7371063.0</v>
      </c>
      <c r="B2941" s="1" t="s">
        <v>6313</v>
      </c>
      <c r="C2941" s="1" t="s">
        <v>6102</v>
      </c>
      <c r="D2941" s="1" t="s">
        <v>6106</v>
      </c>
      <c r="E2941" s="1" t="s">
        <v>6314</v>
      </c>
      <c r="F2941" s="1" t="s">
        <v>16</v>
      </c>
      <c r="G2941" s="1" t="s">
        <v>27</v>
      </c>
      <c r="H2941" s="1" t="s">
        <v>18</v>
      </c>
      <c r="I2941" s="1" t="s">
        <v>59</v>
      </c>
    </row>
    <row r="2942">
      <c r="A2942" s="1">
        <v>7309044.0</v>
      </c>
      <c r="B2942" s="1" t="s">
        <v>6315</v>
      </c>
      <c r="C2942" s="1" t="s">
        <v>6102</v>
      </c>
      <c r="D2942" s="1" t="s">
        <v>6260</v>
      </c>
      <c r="E2942" s="1" t="s">
        <v>6316</v>
      </c>
      <c r="F2942" s="1" t="s">
        <v>16</v>
      </c>
      <c r="G2942" s="1" t="s">
        <v>17</v>
      </c>
      <c r="H2942" s="1" t="s">
        <v>18</v>
      </c>
      <c r="I2942" s="1" t="s">
        <v>563</v>
      </c>
    </row>
    <row r="2943">
      <c r="A2943" s="1">
        <v>7372031.0</v>
      </c>
      <c r="B2943" s="1" t="s">
        <v>6317</v>
      </c>
      <c r="C2943" s="1" t="s">
        <v>6102</v>
      </c>
      <c r="D2943" s="1" t="s">
        <v>6148</v>
      </c>
      <c r="E2943" s="1" t="s">
        <v>6318</v>
      </c>
      <c r="F2943" s="1" t="s">
        <v>16</v>
      </c>
      <c r="G2943" s="1" t="s">
        <v>17</v>
      </c>
      <c r="H2943" s="1" t="s">
        <v>18</v>
      </c>
      <c r="I2943" s="1" t="s">
        <v>74</v>
      </c>
    </row>
    <row r="2944">
      <c r="A2944" s="1">
        <v>7371426.0</v>
      </c>
      <c r="B2944" s="1" t="s">
        <v>6319</v>
      </c>
      <c r="C2944" s="1" t="s">
        <v>6102</v>
      </c>
      <c r="D2944" s="1" t="s">
        <v>6106</v>
      </c>
      <c r="E2944" s="1" t="s">
        <v>6320</v>
      </c>
      <c r="F2944" s="1" t="s">
        <v>16</v>
      </c>
      <c r="G2944" s="1" t="s">
        <v>17</v>
      </c>
      <c r="H2944" s="1" t="s">
        <v>18</v>
      </c>
      <c r="I2944" s="1" t="s">
        <v>19</v>
      </c>
    </row>
    <row r="2945">
      <c r="A2945" s="1">
        <v>7314025.0</v>
      </c>
      <c r="B2945" s="1" t="s">
        <v>6321</v>
      </c>
      <c r="C2945" s="1" t="s">
        <v>6102</v>
      </c>
      <c r="D2945" s="1" t="s">
        <v>6202</v>
      </c>
      <c r="E2945" s="1" t="s">
        <v>6322</v>
      </c>
      <c r="F2945" s="1" t="s">
        <v>16</v>
      </c>
      <c r="G2945" s="1" t="s">
        <v>23</v>
      </c>
      <c r="H2945" s="1" t="s">
        <v>18</v>
      </c>
      <c r="I2945" s="1" t="s">
        <v>19</v>
      </c>
    </row>
    <row r="2946">
      <c r="A2946" s="1">
        <v>7313012.0</v>
      </c>
      <c r="B2946" s="1" t="s">
        <v>6323</v>
      </c>
      <c r="C2946" s="1" t="s">
        <v>6102</v>
      </c>
      <c r="D2946" s="1" t="s">
        <v>6241</v>
      </c>
      <c r="E2946" s="1" t="s">
        <v>6324</v>
      </c>
      <c r="F2946" s="1" t="s">
        <v>16</v>
      </c>
      <c r="G2946" s="1" t="s">
        <v>17</v>
      </c>
      <c r="H2946" s="1" t="s">
        <v>28</v>
      </c>
      <c r="I2946" s="1" t="s">
        <v>40</v>
      </c>
    </row>
    <row r="2947">
      <c r="A2947" s="1">
        <v>7318021.0</v>
      </c>
      <c r="B2947" s="1" t="s">
        <v>6325</v>
      </c>
      <c r="C2947" s="1" t="s">
        <v>6102</v>
      </c>
      <c r="D2947" s="1" t="s">
        <v>6209</v>
      </c>
      <c r="E2947" s="1" t="s">
        <v>6326</v>
      </c>
      <c r="F2947" s="1" t="s">
        <v>16</v>
      </c>
      <c r="G2947" s="1" t="s">
        <v>17</v>
      </c>
      <c r="H2947" s="1" t="s">
        <v>18</v>
      </c>
      <c r="I2947" s="1" t="s">
        <v>59</v>
      </c>
    </row>
    <row r="2948">
      <c r="A2948" s="1">
        <v>7371402.0</v>
      </c>
      <c r="B2948" s="1" t="s">
        <v>6327</v>
      </c>
      <c r="C2948" s="1" t="s">
        <v>6102</v>
      </c>
      <c r="D2948" s="1" t="s">
        <v>6106</v>
      </c>
      <c r="E2948" s="1" t="s">
        <v>6328</v>
      </c>
      <c r="F2948" s="1" t="s">
        <v>16</v>
      </c>
      <c r="G2948" s="1" t="s">
        <v>27</v>
      </c>
      <c r="H2948" s="1" t="s">
        <v>18</v>
      </c>
      <c r="I2948" s="1" t="s">
        <v>19</v>
      </c>
    </row>
    <row r="2949">
      <c r="A2949" s="1">
        <v>7371325.0</v>
      </c>
      <c r="B2949" s="1" t="s">
        <v>6329</v>
      </c>
      <c r="C2949" s="1" t="s">
        <v>6102</v>
      </c>
      <c r="D2949" s="1" t="s">
        <v>6106</v>
      </c>
      <c r="E2949" s="1" t="s">
        <v>6330</v>
      </c>
      <c r="F2949" s="1" t="s">
        <v>16</v>
      </c>
      <c r="G2949" s="1" t="s">
        <v>150</v>
      </c>
      <c r="H2949" s="1" t="s">
        <v>33</v>
      </c>
      <c r="I2949" s="1" t="s">
        <v>411</v>
      </c>
    </row>
    <row r="2950">
      <c r="A2950" s="1">
        <v>7326003.0</v>
      </c>
      <c r="B2950" s="1" t="s">
        <v>6331</v>
      </c>
      <c r="C2950" s="1" t="s">
        <v>6102</v>
      </c>
      <c r="D2950" s="1" t="s">
        <v>6230</v>
      </c>
      <c r="E2950" s="1" t="s">
        <v>6332</v>
      </c>
      <c r="F2950" s="1" t="s">
        <v>16</v>
      </c>
      <c r="G2950" s="1" t="s">
        <v>23</v>
      </c>
      <c r="H2950" s="1" t="s">
        <v>18</v>
      </c>
      <c r="I2950" s="1" t="s">
        <v>249</v>
      </c>
    </row>
    <row r="2951">
      <c r="A2951" s="1">
        <v>7371403.0</v>
      </c>
      <c r="B2951" s="1" t="s">
        <v>4912</v>
      </c>
      <c r="C2951" s="1" t="s">
        <v>6102</v>
      </c>
      <c r="D2951" s="1" t="s">
        <v>6106</v>
      </c>
      <c r="E2951" s="1" t="s">
        <v>6333</v>
      </c>
      <c r="F2951" s="1" t="s">
        <v>16</v>
      </c>
      <c r="G2951" s="1" t="s">
        <v>17</v>
      </c>
      <c r="H2951" s="1" t="s">
        <v>18</v>
      </c>
      <c r="I2951" s="1" t="s">
        <v>19</v>
      </c>
    </row>
    <row r="2952">
      <c r="A2952" s="1">
        <v>7307014.0</v>
      </c>
      <c r="B2952" s="1" t="s">
        <v>6334</v>
      </c>
      <c r="C2952" s="1" t="s">
        <v>6102</v>
      </c>
      <c r="D2952" s="1" t="s">
        <v>6284</v>
      </c>
      <c r="E2952" s="1" t="s">
        <v>6335</v>
      </c>
      <c r="F2952" s="1" t="s">
        <v>16</v>
      </c>
      <c r="G2952" s="1" t="s">
        <v>17</v>
      </c>
      <c r="H2952" s="1" t="s">
        <v>28</v>
      </c>
      <c r="I2952" s="1" t="s">
        <v>40</v>
      </c>
    </row>
    <row r="2953">
      <c r="A2953" s="1">
        <v>7322003.0</v>
      </c>
      <c r="B2953" s="1" t="s">
        <v>6336</v>
      </c>
      <c r="C2953" s="1" t="s">
        <v>6102</v>
      </c>
      <c r="D2953" s="1" t="s">
        <v>6177</v>
      </c>
      <c r="E2953" s="1" t="s">
        <v>6337</v>
      </c>
      <c r="F2953" s="1" t="s">
        <v>16</v>
      </c>
      <c r="G2953" s="1" t="s">
        <v>17</v>
      </c>
      <c r="H2953" s="1" t="s">
        <v>18</v>
      </c>
      <c r="I2953" s="1" t="s">
        <v>19</v>
      </c>
    </row>
    <row r="2954">
      <c r="A2954" s="1">
        <v>7371234.0</v>
      </c>
      <c r="B2954" s="1" t="s">
        <v>6338</v>
      </c>
      <c r="C2954" s="1" t="s">
        <v>6102</v>
      </c>
      <c r="D2954" s="1" t="s">
        <v>6106</v>
      </c>
      <c r="E2954" s="1" t="s">
        <v>6339</v>
      </c>
      <c r="F2954" s="1" t="s">
        <v>55</v>
      </c>
      <c r="G2954" s="1" t="s">
        <v>17</v>
      </c>
      <c r="H2954" s="1" t="s">
        <v>28</v>
      </c>
      <c r="I2954" s="1" t="s">
        <v>139</v>
      </c>
    </row>
    <row r="2955">
      <c r="A2955" s="1">
        <v>7316026.0</v>
      </c>
      <c r="B2955" s="1" t="s">
        <v>6340</v>
      </c>
      <c r="C2955" s="1" t="s">
        <v>6102</v>
      </c>
      <c r="D2955" s="1" t="s">
        <v>6103</v>
      </c>
      <c r="E2955" s="1" t="s">
        <v>6341</v>
      </c>
      <c r="F2955" s="1" t="s">
        <v>16</v>
      </c>
      <c r="G2955" s="1" t="s">
        <v>98</v>
      </c>
      <c r="H2955" s="1" t="s">
        <v>18</v>
      </c>
      <c r="I2955" s="1" t="s">
        <v>40</v>
      </c>
    </row>
    <row r="2956">
      <c r="A2956" s="1">
        <v>7371422.0</v>
      </c>
      <c r="B2956" s="1" t="s">
        <v>6342</v>
      </c>
      <c r="C2956" s="1" t="s">
        <v>6102</v>
      </c>
      <c r="D2956" s="1" t="s">
        <v>6106</v>
      </c>
      <c r="E2956" s="1" t="s">
        <v>6343</v>
      </c>
      <c r="F2956" s="1" t="s">
        <v>32</v>
      </c>
      <c r="G2956" s="1" t="s">
        <v>27</v>
      </c>
      <c r="H2956" s="1" t="s">
        <v>18</v>
      </c>
      <c r="I2956" s="1" t="s">
        <v>34</v>
      </c>
    </row>
    <row r="2957">
      <c r="A2957" s="1">
        <v>7306070.0</v>
      </c>
      <c r="B2957" s="1" t="s">
        <v>6344</v>
      </c>
      <c r="C2957" s="1" t="s">
        <v>6102</v>
      </c>
      <c r="D2957" s="1" t="s">
        <v>6189</v>
      </c>
      <c r="E2957" s="1" t="s">
        <v>6345</v>
      </c>
      <c r="F2957" s="1" t="s">
        <v>16</v>
      </c>
      <c r="G2957" s="1" t="s">
        <v>17</v>
      </c>
      <c r="H2957" s="1" t="s">
        <v>18</v>
      </c>
      <c r="I2957" s="1" t="s">
        <v>19</v>
      </c>
    </row>
    <row r="2958">
      <c r="A2958" s="1">
        <v>7371096.0</v>
      </c>
      <c r="B2958" s="1" t="s">
        <v>6346</v>
      </c>
      <c r="C2958" s="1" t="s">
        <v>6102</v>
      </c>
      <c r="D2958" s="1" t="s">
        <v>6106</v>
      </c>
      <c r="E2958" s="1" t="s">
        <v>6347</v>
      </c>
      <c r="F2958" s="1" t="s">
        <v>174</v>
      </c>
      <c r="G2958" s="1" t="s">
        <v>150</v>
      </c>
      <c r="H2958" s="1" t="s">
        <v>28</v>
      </c>
      <c r="I2958" s="1" t="s">
        <v>139</v>
      </c>
    </row>
    <row r="2959">
      <c r="A2959" s="1">
        <v>7371407.0</v>
      </c>
      <c r="B2959" s="1" t="s">
        <v>6348</v>
      </c>
      <c r="C2959" s="1" t="s">
        <v>6102</v>
      </c>
      <c r="D2959" s="1" t="s">
        <v>6106</v>
      </c>
      <c r="E2959" s="1" t="s">
        <v>6349</v>
      </c>
      <c r="F2959" s="1" t="s">
        <v>16</v>
      </c>
      <c r="G2959" s="1" t="s">
        <v>17</v>
      </c>
      <c r="H2959" s="1" t="s">
        <v>18</v>
      </c>
      <c r="I2959" s="1" t="s">
        <v>163</v>
      </c>
    </row>
    <row r="2960">
      <c r="A2960" s="1">
        <v>7314024.0</v>
      </c>
      <c r="B2960" s="1" t="s">
        <v>6350</v>
      </c>
      <c r="C2960" s="1" t="s">
        <v>6102</v>
      </c>
      <c r="D2960" s="1" t="s">
        <v>6202</v>
      </c>
      <c r="E2960" s="1" t="s">
        <v>6351</v>
      </c>
      <c r="F2960" s="1" t="s">
        <v>16</v>
      </c>
      <c r="G2960" s="1" t="s">
        <v>17</v>
      </c>
      <c r="H2960" s="1" t="s">
        <v>28</v>
      </c>
      <c r="I2960" s="1" t="s">
        <v>40</v>
      </c>
    </row>
    <row r="2961">
      <c r="A2961" s="1">
        <v>7302028.0</v>
      </c>
      <c r="B2961" s="1" t="s">
        <v>6352</v>
      </c>
      <c r="C2961" s="1" t="s">
        <v>6102</v>
      </c>
      <c r="D2961" s="1" t="s">
        <v>6116</v>
      </c>
      <c r="E2961" s="1" t="s">
        <v>6353</v>
      </c>
      <c r="F2961" s="1" t="s">
        <v>16</v>
      </c>
      <c r="G2961" s="1" t="s">
        <v>98</v>
      </c>
      <c r="H2961" s="1" t="s">
        <v>18</v>
      </c>
      <c r="I2961" s="1" t="s">
        <v>40</v>
      </c>
    </row>
    <row r="2962">
      <c r="A2962" s="1">
        <v>7325016.0</v>
      </c>
      <c r="B2962" s="1" t="s">
        <v>6354</v>
      </c>
      <c r="C2962" s="1" t="s">
        <v>6102</v>
      </c>
      <c r="D2962" s="1" t="s">
        <v>6145</v>
      </c>
      <c r="E2962" s="1" t="s">
        <v>6355</v>
      </c>
      <c r="F2962" s="1" t="s">
        <v>16</v>
      </c>
      <c r="G2962" s="1" t="s">
        <v>17</v>
      </c>
      <c r="H2962" s="1" t="s">
        <v>28</v>
      </c>
      <c r="I2962" s="1" t="s">
        <v>40</v>
      </c>
    </row>
    <row r="2963">
      <c r="A2963" s="1">
        <v>7317076.0</v>
      </c>
      <c r="B2963" s="1" t="s">
        <v>6356</v>
      </c>
      <c r="C2963" s="1" t="s">
        <v>6102</v>
      </c>
      <c r="D2963" s="1" t="s">
        <v>6167</v>
      </c>
      <c r="E2963" s="1" t="s">
        <v>6357</v>
      </c>
      <c r="F2963" s="1" t="s">
        <v>16</v>
      </c>
      <c r="G2963" s="1" t="s">
        <v>17</v>
      </c>
      <c r="H2963" s="1" t="s">
        <v>18</v>
      </c>
      <c r="I2963" s="1" t="s">
        <v>44</v>
      </c>
    </row>
    <row r="2964">
      <c r="A2964" s="1">
        <v>7371351.0</v>
      </c>
      <c r="B2964" s="1" t="s">
        <v>6358</v>
      </c>
      <c r="C2964" s="1" t="s">
        <v>6102</v>
      </c>
      <c r="D2964" s="1" t="s">
        <v>6106</v>
      </c>
      <c r="E2964" s="1" t="s">
        <v>6359</v>
      </c>
      <c r="F2964" s="1" t="s">
        <v>16</v>
      </c>
      <c r="G2964" s="1" t="s">
        <v>23</v>
      </c>
      <c r="H2964" s="1" t="s">
        <v>18</v>
      </c>
      <c r="I2964" s="1" t="s">
        <v>59</v>
      </c>
    </row>
    <row r="2965">
      <c r="A2965" s="1">
        <v>7373004.0</v>
      </c>
      <c r="B2965" s="1" t="s">
        <v>6360</v>
      </c>
      <c r="C2965" s="1" t="s">
        <v>6102</v>
      </c>
      <c r="D2965" s="1" t="s">
        <v>6109</v>
      </c>
      <c r="E2965" s="1" t="s">
        <v>6361</v>
      </c>
      <c r="F2965" s="1" t="s">
        <v>16</v>
      </c>
      <c r="G2965" s="1" t="s">
        <v>17</v>
      </c>
      <c r="H2965" s="1" t="s">
        <v>18</v>
      </c>
      <c r="I2965" s="1" t="s">
        <v>19</v>
      </c>
    </row>
    <row r="2966">
      <c r="A2966" s="1">
        <v>7372077.0</v>
      </c>
      <c r="B2966" s="1" t="s">
        <v>6362</v>
      </c>
      <c r="C2966" s="1" t="s">
        <v>6102</v>
      </c>
      <c r="D2966" s="1" t="s">
        <v>6148</v>
      </c>
      <c r="E2966" s="1" t="s">
        <v>6363</v>
      </c>
      <c r="F2966" s="1" t="s">
        <v>55</v>
      </c>
      <c r="G2966" s="1" t="s">
        <v>17</v>
      </c>
      <c r="H2966" s="1" t="s">
        <v>18</v>
      </c>
      <c r="I2966" s="1" t="s">
        <v>19</v>
      </c>
    </row>
    <row r="2967">
      <c r="A2967" s="1">
        <v>7308041.0</v>
      </c>
      <c r="B2967" s="1" t="s">
        <v>6364</v>
      </c>
      <c r="C2967" s="1" t="s">
        <v>6102</v>
      </c>
      <c r="D2967" s="1" t="s">
        <v>6123</v>
      </c>
      <c r="E2967" s="1" t="s">
        <v>6365</v>
      </c>
      <c r="F2967" s="1" t="s">
        <v>16</v>
      </c>
      <c r="G2967" s="1" t="s">
        <v>27</v>
      </c>
      <c r="H2967" s="1" t="s">
        <v>28</v>
      </c>
      <c r="I2967" s="1" t="s">
        <v>40</v>
      </c>
    </row>
    <row r="2968">
      <c r="A2968" s="1">
        <v>7314036.0</v>
      </c>
      <c r="B2968" s="1" t="s">
        <v>6366</v>
      </c>
      <c r="C2968" s="1" t="s">
        <v>6102</v>
      </c>
      <c r="D2968" s="1" t="s">
        <v>6202</v>
      </c>
      <c r="E2968" s="1" t="s">
        <v>6367</v>
      </c>
      <c r="F2968" s="1" t="s">
        <v>16</v>
      </c>
      <c r="G2968" s="1" t="s">
        <v>23</v>
      </c>
      <c r="H2968" s="1" t="s">
        <v>18</v>
      </c>
      <c r="I2968" s="1" t="s">
        <v>163</v>
      </c>
    </row>
    <row r="2969">
      <c r="A2969" s="1">
        <v>7402010.0</v>
      </c>
      <c r="B2969" s="1" t="s">
        <v>6368</v>
      </c>
      <c r="C2969" s="1" t="s">
        <v>6369</v>
      </c>
      <c r="D2969" s="1" t="s">
        <v>6370</v>
      </c>
      <c r="E2969" s="1" t="s">
        <v>6371</v>
      </c>
      <c r="F2969" s="1" t="s">
        <v>16</v>
      </c>
      <c r="G2969" s="1" t="s">
        <v>17</v>
      </c>
      <c r="H2969" s="1" t="s">
        <v>28</v>
      </c>
      <c r="I2969" s="1" t="s">
        <v>40</v>
      </c>
    </row>
    <row r="2970">
      <c r="A2970" s="1">
        <v>7471136.0</v>
      </c>
      <c r="B2970" s="1" t="s">
        <v>6372</v>
      </c>
      <c r="C2970" s="1" t="s">
        <v>6369</v>
      </c>
      <c r="D2970" s="1" t="s">
        <v>6373</v>
      </c>
      <c r="E2970" s="1" t="s">
        <v>6374</v>
      </c>
      <c r="F2970" s="1" t="s">
        <v>1884</v>
      </c>
      <c r="G2970" s="1" t="s">
        <v>27</v>
      </c>
      <c r="H2970" s="1" t="s">
        <v>28</v>
      </c>
      <c r="I2970" s="1" t="s">
        <v>139</v>
      </c>
    </row>
    <row r="2971">
      <c r="A2971" s="1">
        <v>7404012.0</v>
      </c>
      <c r="B2971" s="1" t="s">
        <v>6375</v>
      </c>
      <c r="C2971" s="1" t="s">
        <v>6369</v>
      </c>
      <c r="D2971" s="1" t="s">
        <v>6376</v>
      </c>
      <c r="E2971" s="1" t="s">
        <v>6377</v>
      </c>
      <c r="F2971" s="1" t="s">
        <v>16</v>
      </c>
      <c r="G2971" s="1" t="s">
        <v>17</v>
      </c>
      <c r="H2971" s="1" t="s">
        <v>28</v>
      </c>
      <c r="I2971" s="1" t="s">
        <v>40</v>
      </c>
    </row>
    <row r="2972">
      <c r="A2972" s="1">
        <v>7403126.0</v>
      </c>
      <c r="B2972" s="1" t="s">
        <v>6378</v>
      </c>
      <c r="C2972" s="1" t="s">
        <v>6369</v>
      </c>
      <c r="D2972" s="1" t="s">
        <v>6379</v>
      </c>
      <c r="E2972" s="1" t="s">
        <v>6380</v>
      </c>
      <c r="F2972" s="1" t="s">
        <v>16</v>
      </c>
      <c r="G2972" s="1" t="s">
        <v>23</v>
      </c>
      <c r="H2972" s="1" t="s">
        <v>18</v>
      </c>
      <c r="I2972" s="1" t="s">
        <v>19</v>
      </c>
    </row>
    <row r="2973">
      <c r="A2973" s="1">
        <v>7403022.0</v>
      </c>
      <c r="B2973" s="1" t="s">
        <v>6381</v>
      </c>
      <c r="C2973" s="1" t="s">
        <v>6369</v>
      </c>
      <c r="D2973" s="1" t="s">
        <v>6379</v>
      </c>
      <c r="E2973" s="1" t="s">
        <v>6382</v>
      </c>
      <c r="F2973" s="1" t="s">
        <v>16</v>
      </c>
      <c r="G2973" s="1" t="s">
        <v>17</v>
      </c>
      <c r="H2973" s="1" t="s">
        <v>28</v>
      </c>
      <c r="I2973" s="1" t="s">
        <v>40</v>
      </c>
    </row>
    <row r="2974">
      <c r="A2974" s="1">
        <v>7471009.0</v>
      </c>
      <c r="B2974" s="1" t="s">
        <v>6383</v>
      </c>
      <c r="C2974" s="1" t="s">
        <v>6369</v>
      </c>
      <c r="D2974" s="1" t="s">
        <v>6373</v>
      </c>
      <c r="E2974" s="1" t="s">
        <v>6384</v>
      </c>
      <c r="F2974" s="1" t="s">
        <v>16</v>
      </c>
      <c r="G2974" s="1" t="s">
        <v>23</v>
      </c>
      <c r="H2974" s="1" t="s">
        <v>18</v>
      </c>
      <c r="I2974" s="1" t="s">
        <v>44</v>
      </c>
    </row>
    <row r="2975">
      <c r="A2975" s="1">
        <v>7404034.0</v>
      </c>
      <c r="B2975" s="1" t="s">
        <v>6385</v>
      </c>
      <c r="C2975" s="1" t="s">
        <v>6369</v>
      </c>
      <c r="D2975" s="1" t="s">
        <v>6386</v>
      </c>
      <c r="E2975" s="1" t="s">
        <v>6387</v>
      </c>
      <c r="F2975" s="1" t="s">
        <v>16</v>
      </c>
      <c r="G2975" s="1" t="s">
        <v>17</v>
      </c>
      <c r="H2975" s="1" t="s">
        <v>28</v>
      </c>
      <c r="I2975" s="1" t="s">
        <v>40</v>
      </c>
    </row>
    <row r="2976">
      <c r="A2976" s="1">
        <v>7471002.0</v>
      </c>
      <c r="B2976" s="1" t="s">
        <v>6388</v>
      </c>
      <c r="C2976" s="1" t="s">
        <v>6369</v>
      </c>
      <c r="D2976" s="1" t="s">
        <v>6373</v>
      </c>
      <c r="E2976" s="1" t="s">
        <v>6389</v>
      </c>
      <c r="F2976" s="1" t="s">
        <v>16</v>
      </c>
      <c r="G2976" s="1" t="s">
        <v>23</v>
      </c>
      <c r="H2976" s="1" t="s">
        <v>18</v>
      </c>
      <c r="I2976" s="1" t="s">
        <v>163</v>
      </c>
    </row>
    <row r="2977">
      <c r="A2977" s="1">
        <v>7471044.0</v>
      </c>
      <c r="B2977" s="1" t="s">
        <v>6390</v>
      </c>
      <c r="C2977" s="1" t="s">
        <v>6369</v>
      </c>
      <c r="D2977" s="1" t="s">
        <v>6373</v>
      </c>
      <c r="E2977" s="1" t="s">
        <v>6391</v>
      </c>
      <c r="F2977" s="1" t="s">
        <v>16</v>
      </c>
      <c r="G2977" s="1" t="s">
        <v>17</v>
      </c>
      <c r="H2977" s="1" t="s">
        <v>18</v>
      </c>
      <c r="I2977" s="1" t="s">
        <v>59</v>
      </c>
    </row>
    <row r="2978">
      <c r="A2978" s="1">
        <v>7471004.0</v>
      </c>
      <c r="B2978" s="1" t="s">
        <v>6392</v>
      </c>
      <c r="C2978" s="1" t="s">
        <v>6369</v>
      </c>
      <c r="D2978" s="1" t="s">
        <v>6373</v>
      </c>
      <c r="E2978" s="1" t="s">
        <v>6393</v>
      </c>
      <c r="F2978" s="1" t="s">
        <v>16</v>
      </c>
      <c r="G2978" s="1" t="s">
        <v>23</v>
      </c>
      <c r="H2978" s="1" t="s">
        <v>18</v>
      </c>
      <c r="I2978" s="1" t="s">
        <v>19</v>
      </c>
    </row>
    <row r="2979">
      <c r="A2979" s="1">
        <v>7402011.0</v>
      </c>
      <c r="B2979" s="1" t="s">
        <v>6394</v>
      </c>
      <c r="C2979" s="1" t="s">
        <v>6369</v>
      </c>
      <c r="D2979" s="1" t="s">
        <v>6395</v>
      </c>
      <c r="E2979" s="1" t="s">
        <v>6396</v>
      </c>
      <c r="F2979" s="1" t="s">
        <v>16</v>
      </c>
      <c r="G2979" s="1" t="s">
        <v>23</v>
      </c>
      <c r="H2979" s="1" t="s">
        <v>18</v>
      </c>
      <c r="I2979" s="1" t="s">
        <v>40</v>
      </c>
    </row>
    <row r="2980">
      <c r="A2980" s="1">
        <v>7472002.0</v>
      </c>
      <c r="B2980" s="1" t="s">
        <v>6397</v>
      </c>
      <c r="C2980" s="1" t="s">
        <v>6369</v>
      </c>
      <c r="D2980" s="1" t="s">
        <v>6398</v>
      </c>
      <c r="E2980" s="1" t="s">
        <v>6399</v>
      </c>
      <c r="F2980" s="1" t="s">
        <v>16</v>
      </c>
      <c r="G2980" s="1" t="s">
        <v>17</v>
      </c>
      <c r="H2980" s="1" t="s">
        <v>18</v>
      </c>
      <c r="I2980" s="1" t="s">
        <v>44</v>
      </c>
    </row>
    <row r="2981">
      <c r="A2981" s="1">
        <v>7471070.0</v>
      </c>
      <c r="B2981" s="1" t="s">
        <v>6400</v>
      </c>
      <c r="C2981" s="1" t="s">
        <v>6369</v>
      </c>
      <c r="D2981" s="1" t="s">
        <v>6373</v>
      </c>
      <c r="E2981" s="1" t="s">
        <v>6401</v>
      </c>
      <c r="F2981" s="1" t="s">
        <v>16</v>
      </c>
      <c r="G2981" s="1" t="s">
        <v>17</v>
      </c>
      <c r="H2981" s="1" t="s">
        <v>33</v>
      </c>
      <c r="I2981" s="1" t="s">
        <v>65</v>
      </c>
    </row>
    <row r="2982">
      <c r="A2982" s="1">
        <v>7406036.0</v>
      </c>
      <c r="B2982" s="1" t="s">
        <v>6402</v>
      </c>
      <c r="C2982" s="1" t="s">
        <v>6369</v>
      </c>
      <c r="D2982" s="1" t="s">
        <v>6403</v>
      </c>
      <c r="E2982" s="1" t="s">
        <v>6404</v>
      </c>
      <c r="F2982" s="1" t="s">
        <v>16</v>
      </c>
      <c r="G2982" s="1" t="s">
        <v>17</v>
      </c>
      <c r="H2982" s="1" t="s">
        <v>28</v>
      </c>
      <c r="I2982" s="1" t="s">
        <v>40</v>
      </c>
    </row>
    <row r="2983">
      <c r="A2983" s="1">
        <v>7414002.0</v>
      </c>
      <c r="B2983" s="1" t="s">
        <v>6405</v>
      </c>
      <c r="C2983" s="1" t="s">
        <v>6369</v>
      </c>
      <c r="D2983" s="1" t="s">
        <v>6406</v>
      </c>
      <c r="E2983" s="1" t="s">
        <v>6407</v>
      </c>
      <c r="F2983" s="1" t="s">
        <v>16</v>
      </c>
      <c r="G2983" s="1" t="s">
        <v>23</v>
      </c>
      <c r="H2983" s="1" t="s">
        <v>18</v>
      </c>
      <c r="I2983" s="1" t="s">
        <v>40</v>
      </c>
    </row>
    <row r="2984">
      <c r="A2984" s="1">
        <v>7471008.0</v>
      </c>
      <c r="B2984" s="1" t="s">
        <v>6408</v>
      </c>
      <c r="C2984" s="1" t="s">
        <v>6369</v>
      </c>
      <c r="D2984" s="1" t="s">
        <v>6373</v>
      </c>
      <c r="E2984" s="1" t="s">
        <v>6409</v>
      </c>
      <c r="F2984" s="1" t="s">
        <v>16</v>
      </c>
      <c r="G2984" s="1" t="s">
        <v>23</v>
      </c>
      <c r="H2984" s="1" t="s">
        <v>18</v>
      </c>
      <c r="I2984" s="1" t="s">
        <v>19</v>
      </c>
    </row>
    <row r="2985">
      <c r="A2985" s="1">
        <v>7471138.0</v>
      </c>
      <c r="B2985" s="1" t="s">
        <v>6410</v>
      </c>
      <c r="C2985" s="1" t="s">
        <v>6369</v>
      </c>
      <c r="D2985" s="1" t="s">
        <v>6373</v>
      </c>
      <c r="E2985" s="1" t="s">
        <v>6411</v>
      </c>
      <c r="F2985" s="1" t="s">
        <v>16</v>
      </c>
      <c r="G2985" s="1" t="s">
        <v>23</v>
      </c>
      <c r="H2985" s="1" t="s">
        <v>18</v>
      </c>
      <c r="I2985" s="1" t="s">
        <v>59</v>
      </c>
    </row>
    <row r="2986">
      <c r="A2986" s="1">
        <v>7401038.0</v>
      </c>
      <c r="B2986" s="1" t="s">
        <v>6412</v>
      </c>
      <c r="C2986" s="1" t="s">
        <v>6369</v>
      </c>
      <c r="D2986" s="1" t="s">
        <v>6413</v>
      </c>
      <c r="E2986" s="1" t="s">
        <v>6414</v>
      </c>
      <c r="F2986" s="1" t="s">
        <v>16</v>
      </c>
      <c r="G2986" s="1" t="s">
        <v>17</v>
      </c>
      <c r="H2986" s="1" t="s">
        <v>28</v>
      </c>
      <c r="I2986" s="1" t="s">
        <v>40</v>
      </c>
    </row>
    <row r="2987">
      <c r="A2987" s="1">
        <v>7403114.0</v>
      </c>
      <c r="B2987" s="1" t="s">
        <v>6415</v>
      </c>
      <c r="C2987" s="1" t="s">
        <v>6369</v>
      </c>
      <c r="D2987" s="1" t="s">
        <v>6416</v>
      </c>
      <c r="E2987" s="1" t="s">
        <v>6417</v>
      </c>
      <c r="F2987" s="1" t="s">
        <v>16</v>
      </c>
      <c r="G2987" s="1" t="s">
        <v>17</v>
      </c>
      <c r="H2987" s="1" t="s">
        <v>33</v>
      </c>
      <c r="I2987" s="1" t="s">
        <v>40</v>
      </c>
    </row>
    <row r="2988">
      <c r="A2988" s="1">
        <v>7408013.0</v>
      </c>
      <c r="B2988" s="1" t="s">
        <v>6418</v>
      </c>
      <c r="C2988" s="1" t="s">
        <v>6369</v>
      </c>
      <c r="D2988" s="1" t="s">
        <v>6419</v>
      </c>
      <c r="E2988" s="1" t="s">
        <v>6420</v>
      </c>
      <c r="F2988" s="1" t="s">
        <v>16</v>
      </c>
      <c r="G2988" s="1" t="s">
        <v>23</v>
      </c>
      <c r="H2988" s="1" t="s">
        <v>28</v>
      </c>
      <c r="I2988" s="1" t="s">
        <v>40</v>
      </c>
    </row>
    <row r="2989">
      <c r="A2989" s="1">
        <v>7412002.0</v>
      </c>
      <c r="B2989" s="1" t="s">
        <v>6421</v>
      </c>
      <c r="C2989" s="1" t="s">
        <v>6369</v>
      </c>
      <c r="D2989" s="1" t="s">
        <v>6422</v>
      </c>
      <c r="E2989" s="1" t="s">
        <v>6423</v>
      </c>
      <c r="F2989" s="1" t="s">
        <v>16</v>
      </c>
      <c r="G2989" s="1" t="s">
        <v>23</v>
      </c>
      <c r="H2989" s="1" t="s">
        <v>18</v>
      </c>
      <c r="I2989" s="1" t="s">
        <v>40</v>
      </c>
    </row>
    <row r="2990">
      <c r="A2990" s="1">
        <v>7404045.0</v>
      </c>
      <c r="B2990" s="1" t="s">
        <v>6424</v>
      </c>
      <c r="C2990" s="1" t="s">
        <v>6369</v>
      </c>
      <c r="D2990" s="1" t="s">
        <v>6376</v>
      </c>
      <c r="E2990" s="1" t="s">
        <v>6425</v>
      </c>
      <c r="F2990" s="1" t="s">
        <v>16</v>
      </c>
      <c r="G2990" s="1" t="s">
        <v>23</v>
      </c>
      <c r="H2990" s="1" t="s">
        <v>18</v>
      </c>
      <c r="I2990" s="1" t="s">
        <v>44</v>
      </c>
    </row>
    <row r="2991">
      <c r="A2991" s="1">
        <v>7471011.0</v>
      </c>
      <c r="B2991" s="1" t="s">
        <v>6426</v>
      </c>
      <c r="C2991" s="1" t="s">
        <v>6369</v>
      </c>
      <c r="D2991" s="1" t="s">
        <v>6373</v>
      </c>
      <c r="E2991" s="1" t="s">
        <v>6427</v>
      </c>
      <c r="F2991" s="1" t="s">
        <v>16</v>
      </c>
      <c r="G2991" s="1" t="s">
        <v>27</v>
      </c>
      <c r="H2991" s="1" t="s">
        <v>28</v>
      </c>
      <c r="I2991" s="1" t="s">
        <v>139</v>
      </c>
    </row>
    <row r="2992">
      <c r="A2992" s="1">
        <v>7471137.0</v>
      </c>
      <c r="B2992" s="1" t="s">
        <v>6428</v>
      </c>
      <c r="C2992" s="1" t="s">
        <v>6369</v>
      </c>
      <c r="D2992" s="1" t="s">
        <v>6373</v>
      </c>
      <c r="E2992" s="1" t="s">
        <v>6429</v>
      </c>
      <c r="F2992" s="1" t="s">
        <v>16</v>
      </c>
      <c r="G2992" s="1" t="s">
        <v>23</v>
      </c>
      <c r="H2992" s="1" t="s">
        <v>18</v>
      </c>
      <c r="I2992" s="1" t="s">
        <v>40</v>
      </c>
    </row>
    <row r="2993">
      <c r="A2993" s="1">
        <v>7402022.0</v>
      </c>
      <c r="B2993" s="1" t="s">
        <v>6430</v>
      </c>
      <c r="C2993" s="1" t="s">
        <v>6369</v>
      </c>
      <c r="D2993" s="1" t="s">
        <v>6370</v>
      </c>
      <c r="E2993" s="1" t="s">
        <v>6431</v>
      </c>
      <c r="F2993" s="1" t="s">
        <v>55</v>
      </c>
      <c r="G2993" s="1" t="s">
        <v>17</v>
      </c>
      <c r="H2993" s="1" t="s">
        <v>18</v>
      </c>
      <c r="I2993" s="1" t="s">
        <v>163</v>
      </c>
    </row>
    <row r="2994">
      <c r="A2994" s="1">
        <v>7404023.0</v>
      </c>
      <c r="B2994" s="1" t="s">
        <v>6432</v>
      </c>
      <c r="C2994" s="1" t="s">
        <v>6369</v>
      </c>
      <c r="D2994" s="1" t="s">
        <v>6376</v>
      </c>
      <c r="E2994" s="1" t="s">
        <v>6433</v>
      </c>
      <c r="F2994" s="1" t="s">
        <v>16</v>
      </c>
      <c r="G2994" s="1" t="s">
        <v>23</v>
      </c>
      <c r="H2994" s="1" t="s">
        <v>18</v>
      </c>
      <c r="I2994" s="1" t="s">
        <v>113</v>
      </c>
    </row>
    <row r="2995">
      <c r="A2995" s="1">
        <v>7472004.0</v>
      </c>
      <c r="B2995" s="1" t="s">
        <v>6434</v>
      </c>
      <c r="C2995" s="1" t="s">
        <v>6369</v>
      </c>
      <c r="D2995" s="1" t="s">
        <v>6398</v>
      </c>
      <c r="E2995" s="1" t="s">
        <v>6435</v>
      </c>
      <c r="F2995" s="1" t="s">
        <v>16</v>
      </c>
      <c r="G2995" s="1" t="s">
        <v>23</v>
      </c>
      <c r="H2995" s="1" t="s">
        <v>18</v>
      </c>
      <c r="I2995" s="1" t="s">
        <v>19</v>
      </c>
    </row>
    <row r="2996">
      <c r="A2996" s="1">
        <v>7403033.0</v>
      </c>
      <c r="B2996" s="1" t="s">
        <v>6436</v>
      </c>
      <c r="C2996" s="1" t="s">
        <v>6369</v>
      </c>
      <c r="D2996" s="1" t="s">
        <v>6373</v>
      </c>
      <c r="E2996" s="1" t="s">
        <v>6437</v>
      </c>
      <c r="F2996" s="1" t="s">
        <v>16</v>
      </c>
      <c r="G2996" s="1" t="s">
        <v>17</v>
      </c>
      <c r="H2996" s="1" t="s">
        <v>18</v>
      </c>
      <c r="I2996" s="1" t="s">
        <v>74</v>
      </c>
    </row>
    <row r="2997">
      <c r="A2997" s="1">
        <v>7401039.0</v>
      </c>
      <c r="B2997" s="1" t="s">
        <v>6438</v>
      </c>
      <c r="C2997" s="1" t="s">
        <v>6369</v>
      </c>
      <c r="D2997" s="1" t="s">
        <v>6439</v>
      </c>
      <c r="E2997" s="1" t="s">
        <v>6440</v>
      </c>
      <c r="F2997" s="1" t="s">
        <v>16</v>
      </c>
      <c r="G2997" s="1" t="s">
        <v>17</v>
      </c>
      <c r="H2997" s="1" t="s">
        <v>18</v>
      </c>
      <c r="I2997" s="1" t="s">
        <v>40</v>
      </c>
    </row>
    <row r="2998">
      <c r="A2998" s="1">
        <v>7471066.0</v>
      </c>
      <c r="B2998" s="1" t="s">
        <v>6441</v>
      </c>
      <c r="C2998" s="1" t="s">
        <v>6369</v>
      </c>
      <c r="D2998" s="1" t="s">
        <v>6373</v>
      </c>
      <c r="E2998" s="1" t="s">
        <v>6442</v>
      </c>
      <c r="F2998" s="1" t="s">
        <v>174</v>
      </c>
      <c r="G2998" s="1" t="s">
        <v>27</v>
      </c>
      <c r="H2998" s="1" t="s">
        <v>28</v>
      </c>
      <c r="I2998" s="1" t="s">
        <v>139</v>
      </c>
    </row>
    <row r="2999">
      <c r="A2999" s="1">
        <v>7471007.0</v>
      </c>
      <c r="B2999" s="1" t="s">
        <v>6443</v>
      </c>
      <c r="C2999" s="1" t="s">
        <v>6369</v>
      </c>
      <c r="D2999" s="1" t="s">
        <v>6373</v>
      </c>
      <c r="E2999" s="1" t="s">
        <v>6444</v>
      </c>
      <c r="F2999" s="1" t="s">
        <v>16</v>
      </c>
      <c r="G2999" s="1" t="s">
        <v>23</v>
      </c>
      <c r="H2999" s="1" t="s">
        <v>18</v>
      </c>
      <c r="I2999" s="1" t="s">
        <v>44</v>
      </c>
    </row>
    <row r="3000">
      <c r="A3000" s="1">
        <v>7471005.0</v>
      </c>
      <c r="B3000" s="1" t="s">
        <v>6445</v>
      </c>
      <c r="C3000" s="1" t="s">
        <v>6369</v>
      </c>
      <c r="D3000" s="1" t="s">
        <v>6373</v>
      </c>
      <c r="E3000" s="1" t="s">
        <v>6446</v>
      </c>
      <c r="F3000" s="1" t="s">
        <v>16</v>
      </c>
      <c r="G3000" s="1" t="s">
        <v>23</v>
      </c>
      <c r="H3000" s="1" t="s">
        <v>18</v>
      </c>
      <c r="I3000" s="1" t="s">
        <v>19</v>
      </c>
    </row>
    <row r="3001">
      <c r="A3001" s="1">
        <v>7472016.0</v>
      </c>
      <c r="B3001" s="1" t="s">
        <v>6447</v>
      </c>
      <c r="C3001" s="1" t="s">
        <v>6369</v>
      </c>
      <c r="D3001" s="1" t="s">
        <v>6398</v>
      </c>
      <c r="E3001" s="1" t="s">
        <v>6448</v>
      </c>
      <c r="F3001" s="1" t="s">
        <v>16</v>
      </c>
      <c r="G3001" s="1" t="s">
        <v>17</v>
      </c>
      <c r="H3001" s="1" t="s">
        <v>28</v>
      </c>
      <c r="I3001" s="1" t="s">
        <v>29</v>
      </c>
    </row>
    <row r="3002">
      <c r="A3002" s="1">
        <v>7411908.0</v>
      </c>
      <c r="B3002" s="1" t="s">
        <v>6449</v>
      </c>
      <c r="C3002" s="1" t="s">
        <v>6369</v>
      </c>
      <c r="D3002" s="1" t="s">
        <v>6450</v>
      </c>
      <c r="E3002" s="1" t="s">
        <v>6451</v>
      </c>
      <c r="F3002" s="1" t="s">
        <v>16</v>
      </c>
      <c r="G3002" s="1" t="s">
        <v>23</v>
      </c>
      <c r="H3002" s="1" t="s">
        <v>18</v>
      </c>
      <c r="I3002" s="1" t="s">
        <v>40</v>
      </c>
    </row>
    <row r="3003">
      <c r="A3003" s="1">
        <v>7404046.0</v>
      </c>
      <c r="B3003" s="1" t="s">
        <v>6452</v>
      </c>
      <c r="C3003" s="1" t="s">
        <v>6369</v>
      </c>
      <c r="D3003" s="1" t="s">
        <v>6376</v>
      </c>
      <c r="E3003" s="1" t="s">
        <v>6453</v>
      </c>
      <c r="F3003" s="1" t="s">
        <v>55</v>
      </c>
      <c r="G3003" s="1" t="s">
        <v>17</v>
      </c>
      <c r="H3003" s="1" t="s">
        <v>18</v>
      </c>
      <c r="I3003" s="1" t="s">
        <v>19</v>
      </c>
    </row>
    <row r="3004">
      <c r="A3004" s="1">
        <v>7471092.0</v>
      </c>
      <c r="B3004" s="1" t="s">
        <v>6454</v>
      </c>
      <c r="C3004" s="1" t="s">
        <v>6369</v>
      </c>
      <c r="D3004" s="1" t="s">
        <v>6373</v>
      </c>
      <c r="E3004" s="1" t="s">
        <v>6455</v>
      </c>
      <c r="F3004" s="1" t="s">
        <v>16</v>
      </c>
      <c r="G3004" s="1" t="s">
        <v>27</v>
      </c>
      <c r="H3004" s="1" t="s">
        <v>28</v>
      </c>
      <c r="I3004" s="1" t="s">
        <v>29</v>
      </c>
    </row>
    <row r="3005">
      <c r="A3005" s="1">
        <v>7407012.0</v>
      </c>
      <c r="B3005" s="1" t="s">
        <v>6456</v>
      </c>
      <c r="C3005" s="1" t="s">
        <v>6369</v>
      </c>
      <c r="D3005" s="1" t="s">
        <v>6457</v>
      </c>
      <c r="E3005" s="1" t="s">
        <v>6458</v>
      </c>
      <c r="F3005" s="1" t="s">
        <v>16</v>
      </c>
      <c r="G3005" s="1" t="s">
        <v>17</v>
      </c>
      <c r="H3005" s="1" t="s">
        <v>28</v>
      </c>
      <c r="I3005" s="1" t="s">
        <v>40</v>
      </c>
    </row>
    <row r="3006">
      <c r="A3006" s="1">
        <v>7401024.0</v>
      </c>
      <c r="B3006" s="1" t="s">
        <v>6459</v>
      </c>
      <c r="C3006" s="1" t="s">
        <v>6369</v>
      </c>
      <c r="D3006" s="1" t="s">
        <v>6460</v>
      </c>
      <c r="E3006" s="1" t="s">
        <v>6461</v>
      </c>
      <c r="F3006" s="1" t="s">
        <v>16</v>
      </c>
      <c r="G3006" s="1" t="s">
        <v>23</v>
      </c>
      <c r="H3006" s="1" t="s">
        <v>18</v>
      </c>
      <c r="I3006" s="1" t="s">
        <v>40</v>
      </c>
    </row>
    <row r="3007">
      <c r="A3007" s="1">
        <v>7504032.0</v>
      </c>
      <c r="B3007" s="1" t="s">
        <v>6462</v>
      </c>
      <c r="C3007" s="1" t="s">
        <v>6463</v>
      </c>
      <c r="D3007" s="1" t="s">
        <v>6464</v>
      </c>
      <c r="E3007" s="1" t="s">
        <v>6465</v>
      </c>
      <c r="F3007" s="1" t="s">
        <v>16</v>
      </c>
      <c r="G3007" s="1" t="s">
        <v>17</v>
      </c>
      <c r="H3007" s="1" t="s">
        <v>28</v>
      </c>
      <c r="I3007" s="1" t="s">
        <v>40</v>
      </c>
    </row>
    <row r="3008">
      <c r="A3008" s="1">
        <v>7504012.0</v>
      </c>
      <c r="B3008" s="1" t="s">
        <v>6466</v>
      </c>
      <c r="C3008" s="1" t="s">
        <v>6463</v>
      </c>
      <c r="D3008" s="1" t="s">
        <v>6464</v>
      </c>
      <c r="E3008" s="1" t="s">
        <v>6467</v>
      </c>
      <c r="F3008" s="1" t="s">
        <v>16</v>
      </c>
      <c r="G3008" s="1" t="s">
        <v>23</v>
      </c>
      <c r="H3008" s="1" t="s">
        <v>18</v>
      </c>
      <c r="I3008" s="1" t="s">
        <v>40</v>
      </c>
    </row>
    <row r="3009">
      <c r="A3009" s="1">
        <v>7502049.0</v>
      </c>
      <c r="B3009" s="1" t="s">
        <v>6468</v>
      </c>
      <c r="C3009" s="1" t="s">
        <v>6463</v>
      </c>
      <c r="D3009" s="1" t="s">
        <v>6463</v>
      </c>
      <c r="E3009" s="1" t="s">
        <v>6469</v>
      </c>
      <c r="F3009" s="1" t="s">
        <v>16</v>
      </c>
      <c r="G3009" s="1" t="s">
        <v>23</v>
      </c>
      <c r="H3009" s="1" t="s">
        <v>18</v>
      </c>
      <c r="I3009" s="1" t="s">
        <v>74</v>
      </c>
    </row>
    <row r="3010">
      <c r="A3010" s="1">
        <v>7502032.0</v>
      </c>
      <c r="B3010" s="1" t="s">
        <v>6470</v>
      </c>
      <c r="C3010" s="1" t="s">
        <v>6463</v>
      </c>
      <c r="D3010" s="1" t="s">
        <v>6471</v>
      </c>
      <c r="E3010" s="1" t="s">
        <v>6472</v>
      </c>
      <c r="F3010" s="1" t="s">
        <v>16</v>
      </c>
      <c r="G3010" s="1" t="s">
        <v>17</v>
      </c>
      <c r="H3010" s="1" t="s">
        <v>28</v>
      </c>
      <c r="I3010" s="1" t="s">
        <v>29</v>
      </c>
    </row>
    <row r="3011">
      <c r="A3011" s="1">
        <v>7503045.0</v>
      </c>
      <c r="B3011" s="1" t="s">
        <v>6473</v>
      </c>
      <c r="C3011" s="1" t="s">
        <v>6463</v>
      </c>
      <c r="D3011" s="1" t="s">
        <v>6474</v>
      </c>
      <c r="E3011" s="1" t="s">
        <v>6475</v>
      </c>
      <c r="F3011" s="1" t="s">
        <v>16</v>
      </c>
      <c r="G3011" s="1" t="s">
        <v>17</v>
      </c>
      <c r="H3011" s="1" t="s">
        <v>28</v>
      </c>
      <c r="I3011" s="1" t="s">
        <v>40</v>
      </c>
    </row>
    <row r="3012">
      <c r="A3012" s="1">
        <v>7505002.0</v>
      </c>
      <c r="B3012" s="1" t="s">
        <v>6476</v>
      </c>
      <c r="C3012" s="1" t="s">
        <v>6463</v>
      </c>
      <c r="D3012" s="1" t="s">
        <v>6477</v>
      </c>
      <c r="E3012" s="1" t="s">
        <v>6478</v>
      </c>
      <c r="F3012" s="1" t="s">
        <v>16</v>
      </c>
      <c r="G3012" s="1" t="s">
        <v>17</v>
      </c>
      <c r="H3012" s="1" t="s">
        <v>28</v>
      </c>
      <c r="I3012" s="1" t="s">
        <v>40</v>
      </c>
    </row>
    <row r="3013">
      <c r="A3013" s="1">
        <v>7503056.0</v>
      </c>
      <c r="B3013" s="1" t="s">
        <v>6479</v>
      </c>
      <c r="C3013" s="1" t="s">
        <v>6463</v>
      </c>
      <c r="D3013" s="1" t="s">
        <v>6474</v>
      </c>
      <c r="E3013" s="1" t="s">
        <v>6480</v>
      </c>
      <c r="F3013" s="1" t="s">
        <v>16</v>
      </c>
      <c r="G3013" s="1" t="s">
        <v>98</v>
      </c>
      <c r="H3013" s="1" t="s">
        <v>18</v>
      </c>
      <c r="I3013" s="1" t="s">
        <v>40</v>
      </c>
    </row>
    <row r="3014">
      <c r="A3014" s="1">
        <v>7502034.0</v>
      </c>
      <c r="B3014" s="1" t="s">
        <v>6481</v>
      </c>
      <c r="C3014" s="1" t="s">
        <v>6463</v>
      </c>
      <c r="D3014" s="1" t="s">
        <v>6463</v>
      </c>
      <c r="E3014" s="1" t="s">
        <v>6482</v>
      </c>
      <c r="F3014" s="1" t="s">
        <v>16</v>
      </c>
      <c r="G3014" s="1" t="s">
        <v>17</v>
      </c>
      <c r="H3014" s="1" t="s">
        <v>28</v>
      </c>
      <c r="I3014" s="1" t="s">
        <v>139</v>
      </c>
    </row>
    <row r="3015">
      <c r="A3015" s="1">
        <v>7502021.0</v>
      </c>
      <c r="B3015" s="1" t="s">
        <v>6483</v>
      </c>
      <c r="C3015" s="1" t="s">
        <v>6463</v>
      </c>
      <c r="D3015" s="1" t="s">
        <v>6471</v>
      </c>
      <c r="E3015" s="1" t="s">
        <v>6484</v>
      </c>
      <c r="F3015" s="1" t="s">
        <v>16</v>
      </c>
      <c r="G3015" s="1" t="s">
        <v>23</v>
      </c>
      <c r="H3015" s="1" t="s">
        <v>18</v>
      </c>
      <c r="I3015" s="1" t="s">
        <v>59</v>
      </c>
    </row>
    <row r="3016">
      <c r="A3016" s="1">
        <v>7505013.0</v>
      </c>
      <c r="B3016" s="1" t="s">
        <v>6485</v>
      </c>
      <c r="C3016" s="1" t="s">
        <v>6463</v>
      </c>
      <c r="D3016" s="1" t="s">
        <v>6477</v>
      </c>
      <c r="E3016" s="1" t="s">
        <v>6486</v>
      </c>
      <c r="F3016" s="1" t="s">
        <v>16</v>
      </c>
      <c r="G3016" s="1" t="s">
        <v>98</v>
      </c>
      <c r="H3016" s="1" t="s">
        <v>18</v>
      </c>
      <c r="I3016" s="1" t="s">
        <v>40</v>
      </c>
    </row>
    <row r="3017">
      <c r="A3017" s="1">
        <v>7501043.0</v>
      </c>
      <c r="B3017" s="1" t="s">
        <v>6487</v>
      </c>
      <c r="C3017" s="1" t="s">
        <v>6463</v>
      </c>
      <c r="D3017" s="1" t="s">
        <v>6488</v>
      </c>
      <c r="E3017" s="1" t="s">
        <v>6489</v>
      </c>
      <c r="F3017" s="1" t="s">
        <v>16</v>
      </c>
      <c r="G3017" s="1" t="s">
        <v>17</v>
      </c>
      <c r="H3017" s="1" t="s">
        <v>28</v>
      </c>
      <c r="I3017" s="1" t="s">
        <v>40</v>
      </c>
    </row>
    <row r="3018">
      <c r="A3018" s="1">
        <v>7571021.0</v>
      </c>
      <c r="B3018" s="1" t="s">
        <v>4365</v>
      </c>
      <c r="C3018" s="1" t="s">
        <v>6463</v>
      </c>
      <c r="D3018" s="1" t="s">
        <v>6471</v>
      </c>
      <c r="E3018" s="1" t="s">
        <v>6490</v>
      </c>
      <c r="F3018" s="1" t="s">
        <v>16</v>
      </c>
      <c r="G3018" s="1" t="s">
        <v>23</v>
      </c>
      <c r="H3018" s="1" t="s">
        <v>18</v>
      </c>
      <c r="I3018" s="1" t="s">
        <v>44</v>
      </c>
    </row>
    <row r="3019">
      <c r="A3019" s="1">
        <v>7571010.0</v>
      </c>
      <c r="B3019" s="1" t="s">
        <v>6491</v>
      </c>
      <c r="C3019" s="1" t="s">
        <v>6463</v>
      </c>
      <c r="D3019" s="1" t="s">
        <v>6471</v>
      </c>
      <c r="E3019" s="1" t="s">
        <v>6492</v>
      </c>
      <c r="F3019" s="1" t="s">
        <v>16</v>
      </c>
      <c r="G3019" s="1" t="s">
        <v>27</v>
      </c>
      <c r="H3019" s="1" t="s">
        <v>28</v>
      </c>
      <c r="I3019" s="1" t="s">
        <v>29</v>
      </c>
    </row>
    <row r="3020">
      <c r="A3020" s="1">
        <v>7571022.0</v>
      </c>
      <c r="B3020" s="1" t="s">
        <v>6493</v>
      </c>
      <c r="C3020" s="1" t="s">
        <v>6463</v>
      </c>
      <c r="D3020" s="1" t="s">
        <v>6471</v>
      </c>
      <c r="E3020" s="1" t="s">
        <v>6494</v>
      </c>
      <c r="F3020" s="1" t="s">
        <v>55</v>
      </c>
      <c r="G3020" s="1" t="s">
        <v>17</v>
      </c>
      <c r="H3020" s="1" t="s">
        <v>33</v>
      </c>
      <c r="I3020" s="1" t="s">
        <v>684</v>
      </c>
    </row>
    <row r="3021">
      <c r="A3021" s="1">
        <v>7502033.0</v>
      </c>
      <c r="B3021" s="1" t="s">
        <v>6495</v>
      </c>
      <c r="C3021" s="1" t="s">
        <v>6463</v>
      </c>
      <c r="D3021" s="1" t="s">
        <v>6463</v>
      </c>
      <c r="E3021" s="1" t="s">
        <v>6496</v>
      </c>
      <c r="F3021" s="1" t="s">
        <v>16</v>
      </c>
      <c r="G3021" s="1" t="s">
        <v>27</v>
      </c>
      <c r="H3021" s="1" t="s">
        <v>18</v>
      </c>
      <c r="I3021" s="1" t="s">
        <v>40</v>
      </c>
    </row>
    <row r="3022">
      <c r="A3022" s="1">
        <v>7501044.0</v>
      </c>
      <c r="B3022" s="1" t="s">
        <v>6497</v>
      </c>
      <c r="C3022" s="1" t="s">
        <v>6463</v>
      </c>
      <c r="D3022" s="1" t="s">
        <v>6488</v>
      </c>
      <c r="E3022" s="1" t="s">
        <v>6498</v>
      </c>
      <c r="F3022" s="1" t="s">
        <v>16</v>
      </c>
      <c r="G3022" s="1" t="s">
        <v>23</v>
      </c>
      <c r="H3022" s="1" t="s">
        <v>28</v>
      </c>
      <c r="I3022" s="1" t="s">
        <v>40</v>
      </c>
    </row>
    <row r="3023">
      <c r="A3023" s="1">
        <v>7502047.0</v>
      </c>
      <c r="B3023" s="1" t="s">
        <v>6499</v>
      </c>
      <c r="C3023" s="1" t="s">
        <v>6463</v>
      </c>
      <c r="D3023" s="1" t="s">
        <v>6463</v>
      </c>
      <c r="E3023" s="1" t="s">
        <v>6500</v>
      </c>
      <c r="F3023" s="1" t="s">
        <v>16</v>
      </c>
      <c r="G3023" s="1" t="s">
        <v>17</v>
      </c>
      <c r="H3023" s="1" t="s">
        <v>18</v>
      </c>
      <c r="I3023" s="1" t="s">
        <v>65</v>
      </c>
    </row>
    <row r="3024">
      <c r="A3024" s="1">
        <v>7502035.0</v>
      </c>
      <c r="B3024" s="1" t="s">
        <v>6501</v>
      </c>
      <c r="C3024" s="1" t="s">
        <v>6463</v>
      </c>
      <c r="D3024" s="1" t="s">
        <v>6463</v>
      </c>
      <c r="E3024" s="1" t="s">
        <v>6502</v>
      </c>
      <c r="F3024" s="1" t="s">
        <v>16</v>
      </c>
      <c r="G3024" s="1" t="s">
        <v>23</v>
      </c>
      <c r="H3024" s="1" t="s">
        <v>18</v>
      </c>
      <c r="I3024" s="1" t="s">
        <v>40</v>
      </c>
    </row>
    <row r="3025">
      <c r="A3025" s="1">
        <v>7571023.0</v>
      </c>
      <c r="B3025" s="1" t="s">
        <v>6503</v>
      </c>
      <c r="C3025" s="1" t="s">
        <v>6463</v>
      </c>
      <c r="D3025" s="1" t="s">
        <v>6471</v>
      </c>
      <c r="E3025" s="1" t="s">
        <v>6504</v>
      </c>
      <c r="F3025" s="1" t="s">
        <v>16</v>
      </c>
      <c r="G3025" s="1" t="s">
        <v>17</v>
      </c>
      <c r="H3025" s="1" t="s">
        <v>18</v>
      </c>
      <c r="I3025" s="1" t="s">
        <v>19</v>
      </c>
    </row>
    <row r="3026">
      <c r="A3026" s="1">
        <v>7604026.0</v>
      </c>
      <c r="B3026" s="1" t="s">
        <v>6505</v>
      </c>
      <c r="C3026" s="1" t="s">
        <v>6506</v>
      </c>
      <c r="D3026" s="1" t="s">
        <v>6507</v>
      </c>
      <c r="E3026" s="1" t="s">
        <v>6508</v>
      </c>
      <c r="F3026" s="1" t="s">
        <v>16</v>
      </c>
      <c r="G3026" s="1" t="s">
        <v>23</v>
      </c>
      <c r="H3026" s="1" t="s">
        <v>28</v>
      </c>
      <c r="I3026" s="1" t="s">
        <v>40</v>
      </c>
    </row>
    <row r="3027">
      <c r="A3027" s="1">
        <v>7602045.0</v>
      </c>
      <c r="B3027" s="1" t="s">
        <v>6509</v>
      </c>
      <c r="C3027" s="1" t="s">
        <v>6506</v>
      </c>
      <c r="D3027" s="1" t="s">
        <v>6510</v>
      </c>
      <c r="E3027" s="1" t="s">
        <v>6511</v>
      </c>
      <c r="F3027" s="1" t="s">
        <v>55</v>
      </c>
      <c r="G3027" s="1" t="s">
        <v>17</v>
      </c>
      <c r="H3027" s="1" t="s">
        <v>18</v>
      </c>
      <c r="I3027" s="1" t="s">
        <v>163</v>
      </c>
    </row>
    <row r="3028">
      <c r="A3028" s="1">
        <v>7605013.0</v>
      </c>
      <c r="B3028" s="1" t="s">
        <v>6512</v>
      </c>
      <c r="C3028" s="1" t="s">
        <v>6506</v>
      </c>
      <c r="D3028" s="1" t="s">
        <v>6513</v>
      </c>
      <c r="E3028" s="1" t="s">
        <v>6514</v>
      </c>
      <c r="F3028" s="1" t="s">
        <v>16</v>
      </c>
      <c r="G3028" s="1" t="s">
        <v>17</v>
      </c>
      <c r="H3028" s="1" t="s">
        <v>28</v>
      </c>
      <c r="I3028" s="1" t="s">
        <v>40</v>
      </c>
    </row>
    <row r="3029">
      <c r="A3029" s="1">
        <v>7601011.0</v>
      </c>
      <c r="B3029" s="1" t="s">
        <v>6515</v>
      </c>
      <c r="C3029" s="1" t="s">
        <v>6506</v>
      </c>
      <c r="D3029" s="1" t="s">
        <v>6516</v>
      </c>
      <c r="E3029" s="1" t="s">
        <v>6517</v>
      </c>
      <c r="F3029" s="1" t="s">
        <v>16</v>
      </c>
      <c r="G3029" s="1" t="s">
        <v>17</v>
      </c>
      <c r="H3029" s="1" t="s">
        <v>28</v>
      </c>
      <c r="I3029" s="1" t="s">
        <v>40</v>
      </c>
    </row>
    <row r="3030">
      <c r="A3030" s="1">
        <v>7603024.0</v>
      </c>
      <c r="B3030" s="1" t="s">
        <v>6518</v>
      </c>
      <c r="C3030" s="1" t="s">
        <v>6506</v>
      </c>
      <c r="D3030" s="1" t="s">
        <v>6519</v>
      </c>
      <c r="E3030" s="1" t="s">
        <v>6520</v>
      </c>
      <c r="F3030" s="1" t="s">
        <v>16</v>
      </c>
      <c r="G3030" s="1" t="s">
        <v>23</v>
      </c>
      <c r="H3030" s="1" t="s">
        <v>18</v>
      </c>
      <c r="I3030" s="1" t="s">
        <v>40</v>
      </c>
    </row>
    <row r="3031">
      <c r="A3031" s="1">
        <v>7604012.0</v>
      </c>
      <c r="B3031" s="1" t="s">
        <v>6521</v>
      </c>
      <c r="C3031" s="1" t="s">
        <v>6506</v>
      </c>
      <c r="D3031" s="1" t="s">
        <v>6522</v>
      </c>
      <c r="E3031" s="1" t="s">
        <v>6523</v>
      </c>
      <c r="F3031" s="1" t="s">
        <v>16</v>
      </c>
      <c r="G3031" s="1" t="s">
        <v>17</v>
      </c>
      <c r="H3031" s="1" t="s">
        <v>28</v>
      </c>
      <c r="I3031" s="1" t="s">
        <v>40</v>
      </c>
    </row>
    <row r="3032">
      <c r="A3032" s="1">
        <v>7604024.0</v>
      </c>
      <c r="B3032" s="1" t="s">
        <v>6524</v>
      </c>
      <c r="C3032" s="1" t="s">
        <v>6506</v>
      </c>
      <c r="D3032" s="1" t="s">
        <v>6522</v>
      </c>
      <c r="E3032" s="1" t="s">
        <v>6525</v>
      </c>
      <c r="F3032" s="1" t="s">
        <v>16</v>
      </c>
      <c r="G3032" s="1" t="s">
        <v>17</v>
      </c>
      <c r="H3032" s="1" t="s">
        <v>18</v>
      </c>
      <c r="I3032" s="1" t="s">
        <v>19</v>
      </c>
    </row>
    <row r="3033">
      <c r="A3033" s="1">
        <v>7602048.0</v>
      </c>
      <c r="B3033" s="1" t="s">
        <v>6526</v>
      </c>
      <c r="C3033" s="1" t="s">
        <v>6506</v>
      </c>
      <c r="D3033" s="1" t="s">
        <v>6510</v>
      </c>
      <c r="E3033" s="1" t="s">
        <v>6527</v>
      </c>
      <c r="F3033" s="1" t="s">
        <v>16</v>
      </c>
      <c r="G3033" s="1" t="s">
        <v>23</v>
      </c>
      <c r="H3033" s="1" t="s">
        <v>28</v>
      </c>
      <c r="I3033" s="1" t="s">
        <v>40</v>
      </c>
    </row>
    <row r="3034">
      <c r="A3034" s="1">
        <v>7603022.0</v>
      </c>
      <c r="B3034" s="1" t="s">
        <v>6528</v>
      </c>
      <c r="C3034" s="1" t="s">
        <v>6506</v>
      </c>
      <c r="D3034" s="1" t="s">
        <v>6519</v>
      </c>
      <c r="E3034" s="1" t="s">
        <v>6529</v>
      </c>
      <c r="F3034" s="1" t="s">
        <v>16</v>
      </c>
      <c r="G3034" s="1" t="s">
        <v>98</v>
      </c>
      <c r="H3034" s="1" t="s">
        <v>18</v>
      </c>
      <c r="I3034" s="1" t="s">
        <v>59</v>
      </c>
    </row>
    <row r="3035">
      <c r="A3035" s="1">
        <v>7601022.0</v>
      </c>
      <c r="B3035" s="1" t="s">
        <v>6530</v>
      </c>
      <c r="C3035" s="1" t="s">
        <v>6506</v>
      </c>
      <c r="D3035" s="1" t="s">
        <v>6516</v>
      </c>
      <c r="E3035" s="1" t="s">
        <v>6531</v>
      </c>
      <c r="F3035" s="1" t="s">
        <v>16</v>
      </c>
      <c r="G3035" s="1" t="s">
        <v>98</v>
      </c>
      <c r="H3035" s="1" t="s">
        <v>18</v>
      </c>
      <c r="I3035" s="1" t="s">
        <v>40</v>
      </c>
    </row>
    <row r="3036">
      <c r="A3036" s="1">
        <v>7604027.0</v>
      </c>
      <c r="B3036" s="1" t="s">
        <v>6532</v>
      </c>
      <c r="C3036" s="1" t="s">
        <v>6506</v>
      </c>
      <c r="D3036" s="1" t="s">
        <v>6522</v>
      </c>
      <c r="E3036" s="1" t="s">
        <v>6533</v>
      </c>
      <c r="F3036" s="1" t="s">
        <v>16</v>
      </c>
      <c r="G3036" s="1" t="s">
        <v>17</v>
      </c>
      <c r="H3036" s="1" t="s">
        <v>33</v>
      </c>
      <c r="I3036" s="1" t="s">
        <v>65</v>
      </c>
    </row>
    <row r="3037">
      <c r="A3037" s="1">
        <v>7602044.0</v>
      </c>
      <c r="B3037" s="1" t="s">
        <v>6534</v>
      </c>
      <c r="C3037" s="1" t="s">
        <v>6506</v>
      </c>
      <c r="D3037" s="1" t="s">
        <v>6510</v>
      </c>
      <c r="E3037" s="1" t="s">
        <v>6535</v>
      </c>
      <c r="F3037" s="1" t="s">
        <v>16</v>
      </c>
      <c r="G3037" s="1" t="s">
        <v>27</v>
      </c>
      <c r="H3037" s="1" t="s">
        <v>28</v>
      </c>
      <c r="I3037" s="1" t="s">
        <v>40</v>
      </c>
    </row>
    <row r="3038">
      <c r="A3038" s="1">
        <v>7604023.0</v>
      </c>
      <c r="B3038" s="1" t="s">
        <v>6536</v>
      </c>
      <c r="C3038" s="1" t="s">
        <v>6506</v>
      </c>
      <c r="D3038" s="1" t="s">
        <v>6522</v>
      </c>
      <c r="E3038" s="1" t="s">
        <v>6537</v>
      </c>
      <c r="F3038" s="1" t="s">
        <v>16</v>
      </c>
      <c r="G3038" s="1" t="s">
        <v>17</v>
      </c>
      <c r="H3038" s="1" t="s">
        <v>28</v>
      </c>
      <c r="I3038" s="1" t="s">
        <v>139</v>
      </c>
    </row>
    <row r="3039">
      <c r="A3039" s="1">
        <v>7604039.0</v>
      </c>
      <c r="B3039" s="1" t="s">
        <v>6538</v>
      </c>
      <c r="C3039" s="1" t="s">
        <v>6506</v>
      </c>
      <c r="D3039" s="1" t="s">
        <v>6522</v>
      </c>
      <c r="E3039" s="1" t="s">
        <v>6539</v>
      </c>
      <c r="F3039" s="1" t="s">
        <v>16</v>
      </c>
      <c r="G3039" s="1" t="s">
        <v>23</v>
      </c>
      <c r="H3039" s="1" t="s">
        <v>18</v>
      </c>
      <c r="I3039" s="1" t="s">
        <v>34</v>
      </c>
    </row>
    <row r="3040">
      <c r="A3040" s="1">
        <v>7604028.0</v>
      </c>
      <c r="B3040" s="1" t="s">
        <v>6540</v>
      </c>
      <c r="C3040" s="1" t="s">
        <v>6506</v>
      </c>
      <c r="D3040" s="1" t="s">
        <v>6522</v>
      </c>
      <c r="E3040" s="1" t="s">
        <v>6541</v>
      </c>
      <c r="F3040" s="1" t="s">
        <v>55</v>
      </c>
      <c r="G3040" s="1" t="s">
        <v>17</v>
      </c>
      <c r="H3040" s="1" t="s">
        <v>18</v>
      </c>
      <c r="I3040" s="1" t="s">
        <v>19</v>
      </c>
    </row>
    <row r="3041">
      <c r="A3041" s="1">
        <v>8171015.0</v>
      </c>
      <c r="B3041" s="1" t="s">
        <v>6542</v>
      </c>
      <c r="C3041" s="1" t="s">
        <v>6543</v>
      </c>
      <c r="D3041" s="1" t="s">
        <v>6544</v>
      </c>
      <c r="E3041" s="1" t="s">
        <v>6545</v>
      </c>
      <c r="F3041" s="1" t="s">
        <v>16</v>
      </c>
      <c r="G3041" s="1" t="s">
        <v>27</v>
      </c>
      <c r="H3041" s="1" t="s">
        <v>28</v>
      </c>
      <c r="I3041" s="1" t="s">
        <v>139</v>
      </c>
    </row>
    <row r="3042">
      <c r="A3042" s="1">
        <v>8108002.0</v>
      </c>
      <c r="B3042" s="1" t="s">
        <v>6546</v>
      </c>
      <c r="C3042" s="1" t="s">
        <v>6543</v>
      </c>
      <c r="D3042" s="1" t="s">
        <v>6547</v>
      </c>
      <c r="E3042" s="1" t="s">
        <v>6548</v>
      </c>
      <c r="F3042" s="1" t="s">
        <v>16</v>
      </c>
      <c r="G3042" s="1" t="s">
        <v>23</v>
      </c>
      <c r="H3042" s="1" t="s">
        <v>18</v>
      </c>
      <c r="I3042" s="1" t="s">
        <v>40</v>
      </c>
    </row>
    <row r="3043">
      <c r="A3043" s="1">
        <v>8101041.0</v>
      </c>
      <c r="B3043" s="1" t="s">
        <v>6549</v>
      </c>
      <c r="C3043" s="1" t="s">
        <v>6543</v>
      </c>
      <c r="D3043" s="1" t="s">
        <v>6550</v>
      </c>
      <c r="E3043" s="1" t="s">
        <v>6551</v>
      </c>
      <c r="F3043" s="1" t="s">
        <v>16</v>
      </c>
      <c r="G3043" s="1" t="s">
        <v>23</v>
      </c>
      <c r="H3043" s="1" t="s">
        <v>18</v>
      </c>
      <c r="I3043" s="1" t="s">
        <v>249</v>
      </c>
    </row>
    <row r="3044">
      <c r="A3044" s="1">
        <v>8171030.0</v>
      </c>
      <c r="B3044" s="1" t="s">
        <v>6552</v>
      </c>
      <c r="C3044" s="1" t="s">
        <v>6543</v>
      </c>
      <c r="D3044" s="1" t="s">
        <v>6544</v>
      </c>
      <c r="E3044" s="1" t="s">
        <v>6553</v>
      </c>
      <c r="F3044" s="1" t="s">
        <v>16</v>
      </c>
      <c r="G3044" s="1" t="s">
        <v>23</v>
      </c>
      <c r="H3044" s="1" t="s">
        <v>18</v>
      </c>
      <c r="I3044" s="1" t="s">
        <v>95</v>
      </c>
    </row>
    <row r="3045">
      <c r="A3045" s="1">
        <v>8172002.0</v>
      </c>
      <c r="B3045" s="1" t="s">
        <v>6554</v>
      </c>
      <c r="C3045" s="1" t="s">
        <v>6543</v>
      </c>
      <c r="D3045" s="1" t="s">
        <v>6555</v>
      </c>
      <c r="E3045" s="1" t="s">
        <v>6556</v>
      </c>
      <c r="F3045" s="1" t="s">
        <v>16</v>
      </c>
      <c r="G3045" s="1" t="s">
        <v>23</v>
      </c>
      <c r="H3045" s="1" t="s">
        <v>18</v>
      </c>
      <c r="I3045" s="1" t="s">
        <v>29</v>
      </c>
    </row>
    <row r="3046">
      <c r="A3046" s="1">
        <v>8103020.0</v>
      </c>
      <c r="B3046" s="1" t="s">
        <v>6557</v>
      </c>
      <c r="C3046" s="1" t="s">
        <v>6543</v>
      </c>
      <c r="D3046" s="1" t="s">
        <v>6558</v>
      </c>
      <c r="E3046" s="1" t="s">
        <v>6559</v>
      </c>
      <c r="F3046" s="1" t="s">
        <v>16</v>
      </c>
      <c r="G3046" s="1" t="s">
        <v>23</v>
      </c>
      <c r="H3046" s="1" t="s">
        <v>18</v>
      </c>
      <c r="I3046" s="1" t="s">
        <v>40</v>
      </c>
    </row>
    <row r="3047">
      <c r="A3047" s="1">
        <v>8171123.0</v>
      </c>
      <c r="B3047" s="1" t="s">
        <v>6560</v>
      </c>
      <c r="C3047" s="1" t="s">
        <v>6543</v>
      </c>
      <c r="D3047" s="1" t="s">
        <v>6544</v>
      </c>
      <c r="E3047" s="1" t="s">
        <v>6561</v>
      </c>
      <c r="F3047" s="1" t="s">
        <v>16</v>
      </c>
      <c r="G3047" s="1" t="s">
        <v>27</v>
      </c>
      <c r="H3047" s="1" t="s">
        <v>18</v>
      </c>
      <c r="I3047" s="1" t="s">
        <v>411</v>
      </c>
    </row>
    <row r="3048">
      <c r="A3048" s="1">
        <v>8171074.0</v>
      </c>
      <c r="B3048" s="1" t="s">
        <v>6562</v>
      </c>
      <c r="C3048" s="1" t="s">
        <v>6543</v>
      </c>
      <c r="D3048" s="1" t="s">
        <v>6544</v>
      </c>
      <c r="E3048" s="1" t="s">
        <v>6563</v>
      </c>
      <c r="F3048" s="1" t="s">
        <v>16</v>
      </c>
      <c r="G3048" s="1" t="s">
        <v>23</v>
      </c>
      <c r="H3048" s="1" t="s">
        <v>18</v>
      </c>
      <c r="I3048" s="1" t="s">
        <v>59</v>
      </c>
    </row>
    <row r="3049">
      <c r="A3049" s="1">
        <v>8109002.0</v>
      </c>
      <c r="B3049" s="1" t="s">
        <v>6564</v>
      </c>
      <c r="C3049" s="1" t="s">
        <v>6543</v>
      </c>
      <c r="D3049" s="1" t="s">
        <v>6565</v>
      </c>
      <c r="E3049" s="1" t="s">
        <v>6566</v>
      </c>
      <c r="F3049" s="1" t="s">
        <v>16</v>
      </c>
      <c r="G3049" s="1" t="s">
        <v>98</v>
      </c>
      <c r="H3049" s="1" t="s">
        <v>18</v>
      </c>
      <c r="I3049" s="1" t="s">
        <v>40</v>
      </c>
    </row>
    <row r="3050">
      <c r="A3050" s="1">
        <v>8103053.0</v>
      </c>
      <c r="B3050" s="1" t="s">
        <v>6567</v>
      </c>
      <c r="C3050" s="1" t="s">
        <v>6543</v>
      </c>
      <c r="D3050" s="1" t="s">
        <v>6568</v>
      </c>
      <c r="E3050" s="1" t="s">
        <v>6569</v>
      </c>
      <c r="F3050" s="1" t="s">
        <v>16</v>
      </c>
      <c r="G3050" s="1" t="s">
        <v>17</v>
      </c>
      <c r="H3050" s="1" t="s">
        <v>18</v>
      </c>
      <c r="I3050" s="1" t="s">
        <v>139</v>
      </c>
    </row>
    <row r="3051">
      <c r="A3051" s="1">
        <v>8109018.0</v>
      </c>
      <c r="B3051" s="1" t="s">
        <v>6570</v>
      </c>
      <c r="C3051" s="1" t="s">
        <v>6543</v>
      </c>
      <c r="D3051" s="1" t="s">
        <v>6565</v>
      </c>
      <c r="E3051" s="1" t="s">
        <v>6571</v>
      </c>
      <c r="F3051" s="1" t="s">
        <v>16</v>
      </c>
      <c r="G3051" s="1" t="s">
        <v>23</v>
      </c>
      <c r="H3051" s="1" t="s">
        <v>18</v>
      </c>
      <c r="I3051" s="1" t="s">
        <v>40</v>
      </c>
    </row>
    <row r="3052">
      <c r="A3052" s="1">
        <v>8171096.0</v>
      </c>
      <c r="B3052" s="1" t="s">
        <v>6572</v>
      </c>
      <c r="C3052" s="1" t="s">
        <v>6543</v>
      </c>
      <c r="D3052" s="1" t="s">
        <v>6544</v>
      </c>
      <c r="E3052" s="1" t="s">
        <v>6573</v>
      </c>
      <c r="F3052" s="1" t="s">
        <v>16</v>
      </c>
      <c r="G3052" s="1" t="s">
        <v>23</v>
      </c>
      <c r="H3052" s="1" t="s">
        <v>18</v>
      </c>
      <c r="I3052" s="1" t="s">
        <v>59</v>
      </c>
    </row>
    <row r="3053">
      <c r="A3053" s="1">
        <v>8107021.0</v>
      </c>
      <c r="B3053" s="1" t="s">
        <v>6574</v>
      </c>
      <c r="C3053" s="1" t="s">
        <v>6543</v>
      </c>
      <c r="D3053" s="1" t="s">
        <v>6575</v>
      </c>
      <c r="E3053" s="1" t="s">
        <v>6576</v>
      </c>
      <c r="F3053" s="1" t="s">
        <v>16</v>
      </c>
      <c r="G3053" s="1" t="s">
        <v>17</v>
      </c>
      <c r="H3053" s="1" t="s">
        <v>18</v>
      </c>
      <c r="I3053" s="1" t="s">
        <v>40</v>
      </c>
    </row>
    <row r="3054">
      <c r="A3054" s="1">
        <v>8101026.0</v>
      </c>
      <c r="B3054" s="1" t="s">
        <v>6577</v>
      </c>
      <c r="C3054" s="1" t="s">
        <v>6543</v>
      </c>
      <c r="D3054" s="1" t="s">
        <v>6578</v>
      </c>
      <c r="E3054" s="1" t="s">
        <v>6579</v>
      </c>
      <c r="F3054" s="1" t="s">
        <v>16</v>
      </c>
      <c r="G3054" s="1" t="s">
        <v>23</v>
      </c>
      <c r="H3054" s="1" t="s">
        <v>18</v>
      </c>
      <c r="I3054" s="1" t="s">
        <v>249</v>
      </c>
    </row>
    <row r="3055">
      <c r="A3055" s="1">
        <v>8103002.0</v>
      </c>
      <c r="B3055" s="1" t="s">
        <v>6580</v>
      </c>
      <c r="C3055" s="1" t="s">
        <v>6543</v>
      </c>
      <c r="D3055" s="1" t="s">
        <v>6568</v>
      </c>
      <c r="E3055" s="1" t="s">
        <v>6581</v>
      </c>
      <c r="F3055" s="1" t="s">
        <v>16</v>
      </c>
      <c r="G3055" s="1" t="s">
        <v>23</v>
      </c>
      <c r="H3055" s="1" t="s">
        <v>18</v>
      </c>
      <c r="I3055" s="1" t="s">
        <v>40</v>
      </c>
    </row>
    <row r="3056">
      <c r="A3056" s="1">
        <v>8171026.0</v>
      </c>
      <c r="B3056" s="1" t="s">
        <v>6582</v>
      </c>
      <c r="C3056" s="1" t="s">
        <v>6543</v>
      </c>
      <c r="D3056" s="1" t="s">
        <v>6544</v>
      </c>
      <c r="E3056" s="1" t="s">
        <v>6583</v>
      </c>
      <c r="F3056" s="1" t="s">
        <v>16</v>
      </c>
      <c r="G3056" s="1" t="s">
        <v>17</v>
      </c>
      <c r="H3056" s="1" t="s">
        <v>33</v>
      </c>
      <c r="I3056" s="1" t="s">
        <v>74</v>
      </c>
    </row>
    <row r="3057">
      <c r="A3057" s="1">
        <v>8103016.0</v>
      </c>
      <c r="B3057" s="1" t="s">
        <v>6584</v>
      </c>
      <c r="C3057" s="1" t="s">
        <v>6543</v>
      </c>
      <c r="D3057" s="1" t="s">
        <v>6568</v>
      </c>
      <c r="E3057" s="1" t="s">
        <v>6585</v>
      </c>
      <c r="F3057" s="1" t="s">
        <v>16</v>
      </c>
      <c r="G3057" s="1" t="s">
        <v>23</v>
      </c>
      <c r="H3057" s="1" t="s">
        <v>18</v>
      </c>
      <c r="I3057" s="1" t="s">
        <v>40</v>
      </c>
    </row>
    <row r="3058">
      <c r="A3058" s="1">
        <v>8171063.0</v>
      </c>
      <c r="B3058" s="1" t="s">
        <v>6586</v>
      </c>
      <c r="C3058" s="1" t="s">
        <v>6543</v>
      </c>
      <c r="D3058" s="1" t="s">
        <v>6544</v>
      </c>
      <c r="E3058" s="1" t="s">
        <v>6587</v>
      </c>
      <c r="F3058" s="1" t="s">
        <v>174</v>
      </c>
      <c r="G3058" s="1" t="s">
        <v>27</v>
      </c>
      <c r="H3058" s="1" t="s">
        <v>18</v>
      </c>
      <c r="I3058" s="1" t="s">
        <v>139</v>
      </c>
    </row>
    <row r="3059">
      <c r="A3059" s="1">
        <v>8106011.0</v>
      </c>
      <c r="B3059" s="1" t="s">
        <v>6588</v>
      </c>
      <c r="C3059" s="1" t="s">
        <v>6543</v>
      </c>
      <c r="D3059" s="1" t="s">
        <v>6589</v>
      </c>
      <c r="E3059" s="1" t="s">
        <v>6590</v>
      </c>
      <c r="F3059" s="1" t="s">
        <v>16</v>
      </c>
      <c r="G3059" s="1" t="s">
        <v>98</v>
      </c>
      <c r="H3059" s="1" t="s">
        <v>18</v>
      </c>
      <c r="I3059" s="1" t="s">
        <v>40</v>
      </c>
    </row>
    <row r="3060">
      <c r="A3060" s="1">
        <v>8103042.0</v>
      </c>
      <c r="B3060" s="1" t="s">
        <v>6591</v>
      </c>
      <c r="C3060" s="1" t="s">
        <v>6543</v>
      </c>
      <c r="D3060" s="1" t="s">
        <v>6568</v>
      </c>
      <c r="E3060" s="1" t="s">
        <v>6592</v>
      </c>
      <c r="F3060" s="1" t="s">
        <v>16</v>
      </c>
      <c r="G3060" s="1" t="s">
        <v>17</v>
      </c>
      <c r="H3060" s="1" t="s">
        <v>18</v>
      </c>
      <c r="I3060" s="1" t="s">
        <v>40</v>
      </c>
    </row>
    <row r="3061">
      <c r="A3061" s="1">
        <v>8101063.0</v>
      </c>
      <c r="B3061" s="1" t="s">
        <v>6593</v>
      </c>
      <c r="C3061" s="1" t="s">
        <v>6543</v>
      </c>
      <c r="D3061" s="1" t="s">
        <v>6550</v>
      </c>
      <c r="E3061" s="1" t="s">
        <v>6594</v>
      </c>
      <c r="F3061" s="1" t="s">
        <v>16</v>
      </c>
      <c r="G3061" s="1" t="s">
        <v>23</v>
      </c>
      <c r="H3061" s="1" t="s">
        <v>18</v>
      </c>
      <c r="I3061" s="1" t="s">
        <v>40</v>
      </c>
    </row>
    <row r="3062">
      <c r="A3062" s="1">
        <v>8171124.0</v>
      </c>
      <c r="B3062" s="1" t="s">
        <v>6595</v>
      </c>
      <c r="C3062" s="1" t="s">
        <v>6543</v>
      </c>
      <c r="D3062" s="1" t="s">
        <v>6544</v>
      </c>
      <c r="E3062" s="1" t="s">
        <v>6596</v>
      </c>
      <c r="F3062" s="1" t="s">
        <v>16</v>
      </c>
      <c r="G3062" s="1" t="s">
        <v>17</v>
      </c>
      <c r="H3062" s="1" t="s">
        <v>18</v>
      </c>
      <c r="I3062" s="1" t="s">
        <v>19</v>
      </c>
    </row>
    <row r="3063">
      <c r="A3063" s="1">
        <v>8171085.0</v>
      </c>
      <c r="B3063" s="1" t="s">
        <v>6597</v>
      </c>
      <c r="C3063" s="1" t="s">
        <v>6543</v>
      </c>
      <c r="D3063" s="1" t="s">
        <v>6544</v>
      </c>
      <c r="E3063" s="1" t="s">
        <v>6598</v>
      </c>
      <c r="F3063" s="1" t="s">
        <v>16</v>
      </c>
      <c r="G3063" s="1" t="s">
        <v>17</v>
      </c>
      <c r="H3063" s="1" t="s">
        <v>18</v>
      </c>
      <c r="I3063" s="1" t="s">
        <v>258</v>
      </c>
    </row>
    <row r="3064">
      <c r="A3064" s="1">
        <v>8105019.0</v>
      </c>
      <c r="B3064" s="1" t="s">
        <v>6599</v>
      </c>
      <c r="C3064" s="1" t="s">
        <v>6543</v>
      </c>
      <c r="D3064" s="1" t="s">
        <v>6600</v>
      </c>
      <c r="E3064" s="1" t="s">
        <v>6601</v>
      </c>
      <c r="F3064" s="1" t="s">
        <v>16</v>
      </c>
      <c r="G3064" s="1" t="s">
        <v>23</v>
      </c>
      <c r="H3064" s="1" t="s">
        <v>28</v>
      </c>
      <c r="I3064" s="1" t="s">
        <v>40</v>
      </c>
    </row>
    <row r="3065">
      <c r="A3065" s="1">
        <v>8171121.0</v>
      </c>
      <c r="B3065" s="1" t="s">
        <v>6602</v>
      </c>
      <c r="C3065" s="1" t="s">
        <v>6543</v>
      </c>
      <c r="D3065" s="1" t="s">
        <v>6544</v>
      </c>
      <c r="E3065" s="1" t="s">
        <v>6603</v>
      </c>
      <c r="F3065" s="1" t="s">
        <v>16</v>
      </c>
      <c r="G3065" s="1" t="s">
        <v>17</v>
      </c>
      <c r="H3065" s="1" t="s">
        <v>33</v>
      </c>
      <c r="I3065" s="1" t="s">
        <v>65</v>
      </c>
    </row>
    <row r="3066">
      <c r="A3066" s="1">
        <v>8106010.0</v>
      </c>
      <c r="B3066" s="1" t="s">
        <v>6604</v>
      </c>
      <c r="C3066" s="1" t="s">
        <v>6543</v>
      </c>
      <c r="D3066" s="1" t="s">
        <v>6589</v>
      </c>
      <c r="E3066" s="1" t="s">
        <v>6605</v>
      </c>
      <c r="F3066" s="1" t="s">
        <v>16</v>
      </c>
      <c r="G3066" s="1" t="s">
        <v>17</v>
      </c>
      <c r="H3066" s="1" t="s">
        <v>18</v>
      </c>
      <c r="I3066" s="1" t="s">
        <v>40</v>
      </c>
    </row>
    <row r="3067">
      <c r="A3067" s="1">
        <v>8171110.0</v>
      </c>
      <c r="B3067" s="1" t="s">
        <v>6606</v>
      </c>
      <c r="C3067" s="1" t="s">
        <v>6543</v>
      </c>
      <c r="D3067" s="1" t="s">
        <v>6544</v>
      </c>
      <c r="E3067" s="1" t="s">
        <v>6607</v>
      </c>
      <c r="F3067" s="1" t="s">
        <v>16</v>
      </c>
      <c r="G3067" s="1" t="s">
        <v>17</v>
      </c>
      <c r="H3067" s="1" t="s">
        <v>18</v>
      </c>
      <c r="I3067" s="1" t="s">
        <v>684</v>
      </c>
    </row>
    <row r="3068">
      <c r="A3068" s="1">
        <v>8101015.0</v>
      </c>
      <c r="B3068" s="1" t="s">
        <v>6608</v>
      </c>
      <c r="C3068" s="1" t="s">
        <v>6543</v>
      </c>
      <c r="D3068" s="1" t="s">
        <v>6578</v>
      </c>
      <c r="E3068" s="1" t="s">
        <v>6609</v>
      </c>
      <c r="F3068" s="1" t="s">
        <v>16</v>
      </c>
      <c r="G3068" s="1" t="s">
        <v>17</v>
      </c>
      <c r="H3068" s="1" t="s">
        <v>28</v>
      </c>
      <c r="I3068" s="1" t="s">
        <v>40</v>
      </c>
    </row>
    <row r="3069">
      <c r="A3069" s="1">
        <v>8205032.0</v>
      </c>
      <c r="B3069" s="1" t="s">
        <v>6610</v>
      </c>
      <c r="C3069" s="1" t="s">
        <v>6611</v>
      </c>
      <c r="D3069" s="1" t="s">
        <v>6612</v>
      </c>
      <c r="E3069" s="1" t="s">
        <v>6613</v>
      </c>
      <c r="F3069" s="1" t="s">
        <v>16</v>
      </c>
      <c r="G3069" s="1" t="s">
        <v>17</v>
      </c>
      <c r="H3069" s="1" t="s">
        <v>18</v>
      </c>
      <c r="I3069" s="1" t="s">
        <v>40</v>
      </c>
    </row>
    <row r="3070">
      <c r="A3070" s="1">
        <v>8271031.0</v>
      </c>
      <c r="B3070" s="1" t="s">
        <v>6614</v>
      </c>
      <c r="C3070" s="1" t="s">
        <v>6611</v>
      </c>
      <c r="D3070" s="1" t="s">
        <v>6615</v>
      </c>
      <c r="E3070" s="1" t="s">
        <v>6616</v>
      </c>
      <c r="F3070" s="1" t="s">
        <v>16</v>
      </c>
      <c r="G3070" s="1" t="s">
        <v>23</v>
      </c>
      <c r="H3070" s="1" t="s">
        <v>18</v>
      </c>
      <c r="I3070" s="1" t="s">
        <v>59</v>
      </c>
    </row>
    <row r="3071">
      <c r="A3071" s="1">
        <v>8201021.0</v>
      </c>
      <c r="B3071" s="1" t="s">
        <v>6617</v>
      </c>
      <c r="C3071" s="1" t="s">
        <v>6611</v>
      </c>
      <c r="D3071" s="1" t="s">
        <v>6618</v>
      </c>
      <c r="E3071" s="1" t="s">
        <v>6619</v>
      </c>
      <c r="F3071" s="1" t="s">
        <v>16</v>
      </c>
      <c r="G3071" s="1" t="s">
        <v>17</v>
      </c>
      <c r="H3071" s="1" t="s">
        <v>28</v>
      </c>
      <c r="I3071" s="1" t="s">
        <v>40</v>
      </c>
    </row>
    <row r="3072">
      <c r="A3072" s="1">
        <v>8272003.0</v>
      </c>
      <c r="B3072" s="1" t="s">
        <v>6620</v>
      </c>
      <c r="C3072" s="1" t="s">
        <v>6611</v>
      </c>
      <c r="D3072" s="1" t="s">
        <v>6621</v>
      </c>
      <c r="E3072" s="1" t="s">
        <v>6622</v>
      </c>
      <c r="F3072" s="1" t="s">
        <v>16</v>
      </c>
      <c r="G3072" s="1" t="s">
        <v>23</v>
      </c>
      <c r="H3072" s="1" t="s">
        <v>18</v>
      </c>
      <c r="I3072" s="1" t="s">
        <v>139</v>
      </c>
    </row>
    <row r="3073">
      <c r="A3073" s="1">
        <v>8203020.0</v>
      </c>
      <c r="B3073" s="1" t="s">
        <v>6623</v>
      </c>
      <c r="C3073" s="1" t="s">
        <v>6611</v>
      </c>
      <c r="D3073" s="1" t="s">
        <v>6624</v>
      </c>
      <c r="E3073" s="1" t="s">
        <v>6625</v>
      </c>
      <c r="F3073" s="1" t="s">
        <v>16</v>
      </c>
      <c r="G3073" s="1" t="s">
        <v>23</v>
      </c>
      <c r="H3073" s="1" t="s">
        <v>18</v>
      </c>
      <c r="I3073" s="1" t="s">
        <v>40</v>
      </c>
    </row>
    <row r="3074">
      <c r="A3074" s="1">
        <v>8204011.0</v>
      </c>
      <c r="B3074" s="1" t="s">
        <v>6626</v>
      </c>
      <c r="C3074" s="1" t="s">
        <v>6611</v>
      </c>
      <c r="D3074" s="1" t="s">
        <v>6627</v>
      </c>
      <c r="E3074" s="1" t="s">
        <v>6628</v>
      </c>
      <c r="F3074" s="1" t="s">
        <v>16</v>
      </c>
      <c r="G3074" s="1" t="s">
        <v>23</v>
      </c>
      <c r="H3074" s="1" t="s">
        <v>18</v>
      </c>
      <c r="I3074" s="1" t="s">
        <v>40</v>
      </c>
    </row>
    <row r="3075">
      <c r="A3075" s="1">
        <v>8206012.0</v>
      </c>
      <c r="B3075" s="1" t="s">
        <v>6629</v>
      </c>
      <c r="C3075" s="1" t="s">
        <v>6611</v>
      </c>
      <c r="D3075" s="1" t="s">
        <v>6630</v>
      </c>
      <c r="E3075" s="1" t="s">
        <v>6631</v>
      </c>
      <c r="F3075" s="1" t="s">
        <v>16</v>
      </c>
      <c r="G3075" s="1" t="s">
        <v>23</v>
      </c>
      <c r="H3075" s="1" t="s">
        <v>18</v>
      </c>
      <c r="I3075" s="1" t="s">
        <v>40</v>
      </c>
    </row>
    <row r="3076">
      <c r="A3076" s="1">
        <v>8205021.0</v>
      </c>
      <c r="B3076" s="1" t="s">
        <v>6632</v>
      </c>
      <c r="C3076" s="1" t="s">
        <v>6611</v>
      </c>
      <c r="D3076" s="1" t="s">
        <v>6633</v>
      </c>
      <c r="E3076" s="1" t="s">
        <v>6634</v>
      </c>
      <c r="F3076" s="1" t="s">
        <v>16</v>
      </c>
      <c r="G3076" s="1" t="s">
        <v>23</v>
      </c>
      <c r="H3076" s="1" t="s">
        <v>18</v>
      </c>
      <c r="I3076" s="1" t="s">
        <v>40</v>
      </c>
    </row>
    <row r="3077">
      <c r="A3077" s="1">
        <v>8271070.0</v>
      </c>
      <c r="B3077" s="1" t="s">
        <v>6635</v>
      </c>
      <c r="C3077" s="1" t="s">
        <v>6611</v>
      </c>
      <c r="D3077" s="1" t="s">
        <v>6615</v>
      </c>
      <c r="E3077" s="1" t="s">
        <v>6636</v>
      </c>
      <c r="F3077" s="1" t="s">
        <v>55</v>
      </c>
      <c r="G3077" s="1" t="s">
        <v>17</v>
      </c>
      <c r="H3077" s="1" t="s">
        <v>18</v>
      </c>
      <c r="I3077" s="1" t="s">
        <v>19</v>
      </c>
    </row>
    <row r="3078">
      <c r="A3078" s="1">
        <v>8271020.0</v>
      </c>
      <c r="B3078" s="1" t="s">
        <v>6637</v>
      </c>
      <c r="C3078" s="1" t="s">
        <v>6611</v>
      </c>
      <c r="D3078" s="1" t="s">
        <v>6615</v>
      </c>
      <c r="E3078" s="1" t="s">
        <v>6638</v>
      </c>
      <c r="F3078" s="1" t="s">
        <v>16</v>
      </c>
      <c r="G3078" s="1" t="s">
        <v>23</v>
      </c>
      <c r="H3078" s="1" t="s">
        <v>18</v>
      </c>
      <c r="I3078" s="1" t="s">
        <v>74</v>
      </c>
    </row>
    <row r="3079">
      <c r="A3079" s="1">
        <v>8272004.0</v>
      </c>
      <c r="B3079" s="1" t="s">
        <v>6639</v>
      </c>
      <c r="C3079" s="1" t="s">
        <v>6611</v>
      </c>
      <c r="D3079" s="1" t="s">
        <v>6621</v>
      </c>
      <c r="E3079" s="1" t="s">
        <v>6640</v>
      </c>
      <c r="F3079" s="1" t="s">
        <v>174</v>
      </c>
      <c r="G3079" s="1" t="s">
        <v>17</v>
      </c>
      <c r="H3079" s="1" t="s">
        <v>18</v>
      </c>
      <c r="I3079" s="1" t="s">
        <v>139</v>
      </c>
    </row>
    <row r="3080">
      <c r="A3080" s="1">
        <v>8208001.0</v>
      </c>
      <c r="B3080" s="1" t="s">
        <v>6641</v>
      </c>
      <c r="C3080" s="1" t="s">
        <v>6611</v>
      </c>
      <c r="D3080" s="1" t="s">
        <v>6642</v>
      </c>
      <c r="E3080" s="1" t="s">
        <v>6643</v>
      </c>
      <c r="F3080" s="1" t="s">
        <v>16</v>
      </c>
      <c r="G3080" s="1" t="s">
        <v>98</v>
      </c>
      <c r="H3080" s="1" t="s">
        <v>18</v>
      </c>
      <c r="I3080" s="1" t="s">
        <v>40</v>
      </c>
    </row>
    <row r="3081">
      <c r="A3081" s="1">
        <v>8201010.0</v>
      </c>
      <c r="B3081" s="1" t="s">
        <v>6644</v>
      </c>
      <c r="C3081" s="1" t="s">
        <v>6611</v>
      </c>
      <c r="D3081" s="1" t="s">
        <v>6645</v>
      </c>
      <c r="E3081" s="1" t="s">
        <v>6646</v>
      </c>
      <c r="F3081" s="1" t="s">
        <v>16</v>
      </c>
      <c r="G3081" s="1" t="s">
        <v>27</v>
      </c>
      <c r="H3081" s="1" t="s">
        <v>28</v>
      </c>
      <c r="I3081" s="1" t="s">
        <v>40</v>
      </c>
    </row>
    <row r="3082">
      <c r="A3082" s="1">
        <v>8271042.0</v>
      </c>
      <c r="B3082" s="1" t="s">
        <v>6647</v>
      </c>
      <c r="C3082" s="1" t="s">
        <v>6611</v>
      </c>
      <c r="D3082" s="1" t="s">
        <v>6615</v>
      </c>
      <c r="E3082" s="1" t="s">
        <v>6648</v>
      </c>
      <c r="F3082" s="1" t="s">
        <v>16</v>
      </c>
      <c r="G3082" s="1" t="s">
        <v>23</v>
      </c>
      <c r="H3082" s="1" t="s">
        <v>18</v>
      </c>
      <c r="I3082" s="1" t="s">
        <v>59</v>
      </c>
    </row>
    <row r="3083">
      <c r="A3083" s="1">
        <v>8202043.0</v>
      </c>
      <c r="B3083" s="1" t="s">
        <v>6649</v>
      </c>
      <c r="C3083" s="1" t="s">
        <v>6611</v>
      </c>
      <c r="D3083" s="1" t="s">
        <v>6621</v>
      </c>
      <c r="E3083" s="1" t="s">
        <v>6650</v>
      </c>
      <c r="F3083" s="1" t="s">
        <v>16</v>
      </c>
      <c r="G3083" s="1" t="s">
        <v>17</v>
      </c>
      <c r="H3083" s="1" t="s">
        <v>28</v>
      </c>
      <c r="I3083" s="1" t="s">
        <v>29</v>
      </c>
    </row>
    <row r="3084">
      <c r="A3084" s="1">
        <v>8271058.0</v>
      </c>
      <c r="B3084" s="1" t="s">
        <v>6651</v>
      </c>
      <c r="C3084" s="1" t="s">
        <v>6611</v>
      </c>
      <c r="D3084" s="1" t="s">
        <v>6615</v>
      </c>
      <c r="E3084" s="1" t="s">
        <v>6652</v>
      </c>
      <c r="F3084" s="1" t="s">
        <v>16</v>
      </c>
      <c r="G3084" s="1" t="s">
        <v>23</v>
      </c>
      <c r="H3084" s="1" t="s">
        <v>18</v>
      </c>
      <c r="I3084" s="1" t="s">
        <v>65</v>
      </c>
    </row>
    <row r="3085">
      <c r="A3085" s="1">
        <v>8204010.0</v>
      </c>
      <c r="B3085" s="1" t="s">
        <v>6653</v>
      </c>
      <c r="C3085" s="1" t="s">
        <v>6611</v>
      </c>
      <c r="D3085" s="1" t="s">
        <v>6627</v>
      </c>
      <c r="E3085" s="1" t="s">
        <v>6654</v>
      </c>
      <c r="F3085" s="1" t="s">
        <v>16</v>
      </c>
      <c r="G3085" s="1" t="s">
        <v>17</v>
      </c>
      <c r="H3085" s="1" t="s">
        <v>28</v>
      </c>
      <c r="I3085" s="1" t="s">
        <v>40</v>
      </c>
    </row>
    <row r="3086">
      <c r="A3086" s="1">
        <v>8271057.0</v>
      </c>
      <c r="B3086" s="1" t="s">
        <v>6655</v>
      </c>
      <c r="C3086" s="1" t="s">
        <v>6611</v>
      </c>
      <c r="D3086" s="1" t="s">
        <v>6615</v>
      </c>
      <c r="E3086" s="1" t="s">
        <v>6656</v>
      </c>
      <c r="F3086" s="1" t="s">
        <v>16</v>
      </c>
      <c r="G3086" s="1" t="s">
        <v>23</v>
      </c>
      <c r="H3086" s="1" t="s">
        <v>18</v>
      </c>
      <c r="I3086" s="1" t="s">
        <v>59</v>
      </c>
    </row>
    <row r="3087">
      <c r="A3087" s="1">
        <v>8205033.0</v>
      </c>
      <c r="B3087" s="1" t="s">
        <v>6657</v>
      </c>
      <c r="C3087" s="1" t="s">
        <v>6611</v>
      </c>
      <c r="D3087" s="1" t="s">
        <v>6645</v>
      </c>
      <c r="E3087" s="1" t="s">
        <v>6658</v>
      </c>
      <c r="F3087" s="1" t="s">
        <v>16</v>
      </c>
      <c r="G3087" s="1" t="s">
        <v>23</v>
      </c>
      <c r="H3087" s="1" t="s">
        <v>18</v>
      </c>
      <c r="I3087" s="1" t="s">
        <v>258</v>
      </c>
    </row>
    <row r="3088">
      <c r="A3088" s="1">
        <v>8271016.0</v>
      </c>
      <c r="B3088" s="1" t="s">
        <v>6659</v>
      </c>
      <c r="C3088" s="1" t="s">
        <v>6611</v>
      </c>
      <c r="D3088" s="1" t="s">
        <v>6615</v>
      </c>
      <c r="E3088" s="1" t="s">
        <v>6660</v>
      </c>
      <c r="F3088" s="1" t="s">
        <v>16</v>
      </c>
      <c r="G3088" s="1" t="s">
        <v>27</v>
      </c>
      <c r="H3088" s="1" t="s">
        <v>28</v>
      </c>
      <c r="I3088" s="1" t="s">
        <v>139</v>
      </c>
    </row>
    <row r="3089">
      <c r="A3089" s="1">
        <v>8271069.0</v>
      </c>
      <c r="B3089" s="1" t="s">
        <v>6661</v>
      </c>
      <c r="C3089" s="1" t="s">
        <v>6611</v>
      </c>
      <c r="D3089" s="1" t="s">
        <v>6615</v>
      </c>
      <c r="E3089" s="1" t="s">
        <v>6662</v>
      </c>
      <c r="F3089" s="1" t="s">
        <v>16</v>
      </c>
      <c r="G3089" s="1" t="s">
        <v>23</v>
      </c>
      <c r="H3089" s="1" t="s">
        <v>18</v>
      </c>
      <c r="I3089" s="1" t="s">
        <v>29</v>
      </c>
    </row>
    <row r="3090">
      <c r="A3090" s="1">
        <v>8204012.0</v>
      </c>
      <c r="B3090" s="1" t="s">
        <v>6663</v>
      </c>
      <c r="C3090" s="1" t="s">
        <v>6611</v>
      </c>
      <c r="D3090" s="1" t="s">
        <v>6627</v>
      </c>
      <c r="E3090" s="1" t="s">
        <v>6664</v>
      </c>
      <c r="F3090" s="1" t="s">
        <v>16</v>
      </c>
      <c r="G3090" s="1" t="s">
        <v>23</v>
      </c>
      <c r="H3090" s="1" t="s">
        <v>18</v>
      </c>
      <c r="I3090" s="1" t="s">
        <v>40</v>
      </c>
    </row>
    <row r="3091">
      <c r="A3091" s="1">
        <v>9106013.0</v>
      </c>
      <c r="B3091" s="1" t="s">
        <v>6665</v>
      </c>
      <c r="C3091" s="1" t="s">
        <v>6666</v>
      </c>
      <c r="D3091" s="1" t="s">
        <v>6667</v>
      </c>
      <c r="E3091" s="1" t="s">
        <v>6668</v>
      </c>
      <c r="F3091" s="1" t="s">
        <v>16</v>
      </c>
      <c r="G3091" s="1" t="s">
        <v>17</v>
      </c>
      <c r="H3091" s="1" t="s">
        <v>28</v>
      </c>
      <c r="I3091" s="1" t="s">
        <v>40</v>
      </c>
    </row>
    <row r="3092">
      <c r="A3092" s="1">
        <v>9108002.0</v>
      </c>
      <c r="B3092" s="1" t="s">
        <v>6669</v>
      </c>
      <c r="C3092" s="1" t="s">
        <v>6666</v>
      </c>
      <c r="D3092" s="1" t="s">
        <v>6670</v>
      </c>
      <c r="E3092" s="1" t="s">
        <v>6671</v>
      </c>
      <c r="F3092" s="1" t="s">
        <v>16</v>
      </c>
      <c r="G3092" s="1" t="s">
        <v>23</v>
      </c>
      <c r="H3092" s="1" t="s">
        <v>18</v>
      </c>
      <c r="I3092" s="1" t="s">
        <v>40</v>
      </c>
    </row>
    <row r="3093">
      <c r="A3093" s="1">
        <v>9110011.0</v>
      </c>
      <c r="B3093" s="1" t="s">
        <v>6672</v>
      </c>
      <c r="C3093" s="1" t="s">
        <v>6666</v>
      </c>
      <c r="D3093" s="1" t="s">
        <v>6673</v>
      </c>
      <c r="E3093" s="1" t="s">
        <v>6674</v>
      </c>
      <c r="F3093" s="1" t="s">
        <v>16</v>
      </c>
      <c r="G3093" s="1" t="s">
        <v>98</v>
      </c>
      <c r="H3093" s="1" t="s">
        <v>18</v>
      </c>
      <c r="I3093" s="1" t="s">
        <v>40</v>
      </c>
    </row>
    <row r="3094">
      <c r="A3094" s="1">
        <v>9109002.0</v>
      </c>
      <c r="B3094" s="1" t="s">
        <v>6675</v>
      </c>
      <c r="C3094" s="1" t="s">
        <v>6666</v>
      </c>
      <c r="D3094" s="1" t="s">
        <v>6676</v>
      </c>
      <c r="E3094" s="1" t="s">
        <v>6677</v>
      </c>
      <c r="F3094" s="1" t="s">
        <v>16</v>
      </c>
      <c r="G3094" s="1" t="s">
        <v>98</v>
      </c>
      <c r="H3094" s="1" t="s">
        <v>18</v>
      </c>
      <c r="I3094" s="1" t="s">
        <v>40</v>
      </c>
    </row>
    <row r="3095">
      <c r="A3095" s="1">
        <v>9102022.0</v>
      </c>
      <c r="B3095" s="1" t="s">
        <v>6678</v>
      </c>
      <c r="C3095" s="1" t="s">
        <v>6679</v>
      </c>
      <c r="D3095" s="1" t="s">
        <v>6680</v>
      </c>
      <c r="E3095" s="1" t="s">
        <v>6681</v>
      </c>
      <c r="F3095" s="1" t="s">
        <v>16</v>
      </c>
      <c r="G3095" s="1" t="s">
        <v>23</v>
      </c>
      <c r="H3095" s="1" t="s">
        <v>18</v>
      </c>
      <c r="I3095" s="1" t="s">
        <v>74</v>
      </c>
    </row>
    <row r="3096">
      <c r="A3096" s="1">
        <v>9105017.0</v>
      </c>
      <c r="B3096" s="1" t="s">
        <v>6682</v>
      </c>
      <c r="C3096" s="1" t="s">
        <v>6679</v>
      </c>
      <c r="D3096" s="1" t="s">
        <v>6680</v>
      </c>
      <c r="E3096" s="1" t="s">
        <v>6683</v>
      </c>
      <c r="F3096" s="1" t="s">
        <v>16</v>
      </c>
      <c r="G3096" s="1" t="s">
        <v>23</v>
      </c>
      <c r="H3096" s="1" t="s">
        <v>18</v>
      </c>
      <c r="I3096" s="1" t="s">
        <v>19</v>
      </c>
    </row>
    <row r="3097">
      <c r="A3097" s="1">
        <v>9102034.0</v>
      </c>
      <c r="B3097" s="1" t="s">
        <v>6684</v>
      </c>
      <c r="C3097" s="1" t="s">
        <v>6679</v>
      </c>
      <c r="D3097" s="1" t="s">
        <v>6685</v>
      </c>
      <c r="E3097" s="1" t="s">
        <v>6686</v>
      </c>
      <c r="F3097" s="1" t="s">
        <v>16</v>
      </c>
      <c r="G3097" s="1" t="s">
        <v>17</v>
      </c>
      <c r="H3097" s="1" t="s">
        <v>18</v>
      </c>
      <c r="I3097" s="1" t="s">
        <v>40</v>
      </c>
    </row>
    <row r="3098">
      <c r="A3098" s="1">
        <v>9103035.0</v>
      </c>
      <c r="B3098" s="1" t="s">
        <v>6687</v>
      </c>
      <c r="C3098" s="1" t="s">
        <v>6679</v>
      </c>
      <c r="D3098" s="1" t="s">
        <v>6688</v>
      </c>
      <c r="E3098" s="1" t="s">
        <v>6689</v>
      </c>
      <c r="F3098" s="1" t="s">
        <v>16</v>
      </c>
      <c r="G3098" s="1" t="s">
        <v>17</v>
      </c>
      <c r="H3098" s="1" t="s">
        <v>28</v>
      </c>
      <c r="I3098" s="1" t="s">
        <v>40</v>
      </c>
    </row>
    <row r="3099">
      <c r="A3099" s="1">
        <v>9171010.0</v>
      </c>
      <c r="B3099" s="1" t="s">
        <v>6690</v>
      </c>
      <c r="C3099" s="1" t="s">
        <v>6666</v>
      </c>
      <c r="D3099" s="1" t="s">
        <v>6691</v>
      </c>
      <c r="E3099" s="1" t="s">
        <v>6692</v>
      </c>
      <c r="F3099" s="1" t="s">
        <v>16</v>
      </c>
      <c r="G3099" s="1" t="s">
        <v>17</v>
      </c>
      <c r="H3099" s="1" t="s">
        <v>28</v>
      </c>
      <c r="I3099" s="1" t="s">
        <v>40</v>
      </c>
    </row>
    <row r="3100">
      <c r="A3100" s="1">
        <v>9171047.0</v>
      </c>
      <c r="B3100" s="1" t="s">
        <v>6693</v>
      </c>
      <c r="C3100" s="1" t="s">
        <v>6666</v>
      </c>
      <c r="D3100" s="1" t="s">
        <v>6694</v>
      </c>
      <c r="E3100" s="1" t="s">
        <v>6695</v>
      </c>
      <c r="F3100" s="1" t="s">
        <v>16</v>
      </c>
      <c r="G3100" s="1" t="s">
        <v>23</v>
      </c>
      <c r="H3100" s="1" t="s">
        <v>18</v>
      </c>
      <c r="I3100" s="1" t="s">
        <v>95</v>
      </c>
    </row>
    <row r="3101">
      <c r="A3101" s="1">
        <v>9105005.0</v>
      </c>
      <c r="B3101" s="1" t="s">
        <v>6696</v>
      </c>
      <c r="C3101" s="1" t="s">
        <v>6679</v>
      </c>
      <c r="D3101" s="1" t="s">
        <v>6680</v>
      </c>
      <c r="E3101" s="1" t="s">
        <v>6697</v>
      </c>
      <c r="F3101" s="1" t="s">
        <v>16</v>
      </c>
      <c r="G3101" s="1" t="s">
        <v>23</v>
      </c>
      <c r="H3101" s="1" t="s">
        <v>18</v>
      </c>
      <c r="I3101" s="1" t="s">
        <v>65</v>
      </c>
    </row>
    <row r="3102">
      <c r="A3102" s="1">
        <v>9111001.0</v>
      </c>
      <c r="B3102" s="1" t="s">
        <v>6698</v>
      </c>
      <c r="C3102" s="1" t="s">
        <v>6679</v>
      </c>
      <c r="D3102" s="1" t="s">
        <v>6699</v>
      </c>
      <c r="E3102" s="1" t="s">
        <v>6700</v>
      </c>
      <c r="F3102" s="1" t="s">
        <v>16</v>
      </c>
      <c r="G3102" s="1" t="s">
        <v>17</v>
      </c>
      <c r="H3102" s="1" t="s">
        <v>18</v>
      </c>
      <c r="I3102" s="1" t="s">
        <v>40</v>
      </c>
    </row>
    <row r="3103">
      <c r="A3103" s="1">
        <v>9171032.0</v>
      </c>
      <c r="B3103" s="1" t="s">
        <v>6701</v>
      </c>
      <c r="C3103" s="1" t="s">
        <v>6666</v>
      </c>
      <c r="D3103" s="1" t="s">
        <v>6694</v>
      </c>
      <c r="E3103" s="1" t="s">
        <v>6702</v>
      </c>
      <c r="F3103" s="1" t="s">
        <v>16</v>
      </c>
      <c r="G3103" s="1" t="s">
        <v>17</v>
      </c>
      <c r="H3103" s="1" t="s">
        <v>28</v>
      </c>
      <c r="I3103" s="1" t="s">
        <v>29</v>
      </c>
    </row>
    <row r="3104">
      <c r="A3104" s="1">
        <v>9271034.0</v>
      </c>
      <c r="B3104" s="1" t="s">
        <v>6703</v>
      </c>
      <c r="C3104" s="1" t="s">
        <v>6666</v>
      </c>
      <c r="D3104" s="1" t="s">
        <v>6694</v>
      </c>
      <c r="E3104" s="1" t="s">
        <v>6704</v>
      </c>
      <c r="F3104" s="1" t="s">
        <v>16</v>
      </c>
      <c r="G3104" s="1" t="s">
        <v>23</v>
      </c>
      <c r="H3104" s="1" t="s">
        <v>33</v>
      </c>
      <c r="I3104" s="1" t="s">
        <v>74</v>
      </c>
    </row>
    <row r="3105">
      <c r="A3105" s="1">
        <v>9107002.0</v>
      </c>
      <c r="B3105" s="1" t="s">
        <v>6705</v>
      </c>
      <c r="C3105" s="1" t="s">
        <v>6666</v>
      </c>
      <c r="D3105" s="1" t="s">
        <v>6694</v>
      </c>
      <c r="E3105" s="1" t="s">
        <v>6706</v>
      </c>
      <c r="F3105" s="1" t="s">
        <v>16</v>
      </c>
      <c r="G3105" s="1" t="s">
        <v>23</v>
      </c>
      <c r="H3105" s="1" t="s">
        <v>18</v>
      </c>
      <c r="I3105" s="1" t="s">
        <v>163</v>
      </c>
    </row>
    <row r="3106">
      <c r="A3106" s="1">
        <v>9101010.0</v>
      </c>
      <c r="B3106" s="1" t="s">
        <v>6707</v>
      </c>
      <c r="C3106" s="1" t="s">
        <v>6679</v>
      </c>
      <c r="D3106" s="1" t="s">
        <v>6708</v>
      </c>
      <c r="E3106" s="1" t="s">
        <v>6709</v>
      </c>
      <c r="F3106" s="1" t="s">
        <v>16</v>
      </c>
      <c r="G3106" s="1" t="s">
        <v>17</v>
      </c>
      <c r="H3106" s="1" t="s">
        <v>18</v>
      </c>
      <c r="I3106" s="1" t="s">
        <v>40</v>
      </c>
    </row>
    <row r="3107">
      <c r="A3107" s="1">
        <v>9104002.0</v>
      </c>
      <c r="B3107" s="1" t="s">
        <v>6710</v>
      </c>
      <c r="C3107" s="1" t="s">
        <v>6679</v>
      </c>
      <c r="D3107" s="1" t="s">
        <v>6711</v>
      </c>
      <c r="E3107" s="1" t="s">
        <v>6712</v>
      </c>
      <c r="F3107" s="1" t="s">
        <v>16</v>
      </c>
      <c r="G3107" s="1" t="s">
        <v>17</v>
      </c>
      <c r="H3107" s="1" t="s">
        <v>28</v>
      </c>
      <c r="I3107" s="1" t="s">
        <v>40</v>
      </c>
    </row>
    <row r="3108">
      <c r="A3108" s="1">
        <v>9102011.0</v>
      </c>
      <c r="B3108" s="1" t="s">
        <v>6713</v>
      </c>
      <c r="C3108" s="1" t="s">
        <v>6679</v>
      </c>
      <c r="D3108" s="1" t="s">
        <v>6680</v>
      </c>
      <c r="E3108" s="1" t="s">
        <v>6714</v>
      </c>
      <c r="F3108" s="1" t="s">
        <v>16</v>
      </c>
      <c r="G3108" s="1" t="s">
        <v>17</v>
      </c>
      <c r="H3108" s="1" t="s">
        <v>28</v>
      </c>
      <c r="I3108" s="1" t="s">
        <v>40</v>
      </c>
    </row>
    <row r="3109">
      <c r="A3109" s="1">
        <v>9102033.0</v>
      </c>
      <c r="B3109" s="1" t="s">
        <v>6715</v>
      </c>
      <c r="C3109" s="1" t="s">
        <v>6679</v>
      </c>
      <c r="D3109" s="1" t="s">
        <v>6680</v>
      </c>
      <c r="E3109" s="1" t="s">
        <v>6716</v>
      </c>
      <c r="F3109" s="1" t="s">
        <v>16</v>
      </c>
      <c r="G3109" s="1" t="s">
        <v>23</v>
      </c>
      <c r="H3109" s="1" t="s">
        <v>18</v>
      </c>
      <c r="I3109" s="1" t="s">
        <v>95</v>
      </c>
    </row>
    <row r="3110">
      <c r="A3110" s="1">
        <v>9105004.0</v>
      </c>
      <c r="B3110" s="1" t="s">
        <v>6717</v>
      </c>
      <c r="C3110" s="1" t="s">
        <v>6679</v>
      </c>
      <c r="D3110" s="1" t="s">
        <v>6680</v>
      </c>
      <c r="E3110" s="1" t="s">
        <v>6718</v>
      </c>
      <c r="F3110" s="1" t="s">
        <v>16</v>
      </c>
      <c r="G3110" s="1" t="s">
        <v>23</v>
      </c>
      <c r="H3110" s="1" t="s">
        <v>18</v>
      </c>
      <c r="I3110" s="1" t="s">
        <v>40</v>
      </c>
    </row>
    <row r="3111">
      <c r="A3111" s="1">
        <v>9105006.0</v>
      </c>
      <c r="B3111" s="1" t="s">
        <v>6719</v>
      </c>
      <c r="C3111" s="1" t="s">
        <v>6679</v>
      </c>
      <c r="D3111" s="1" t="s">
        <v>6680</v>
      </c>
      <c r="E3111" s="1" t="s">
        <v>6720</v>
      </c>
      <c r="F3111" s="1" t="s">
        <v>16</v>
      </c>
      <c r="G3111" s="1" t="s">
        <v>17</v>
      </c>
      <c r="H3111" s="1" t="s">
        <v>28</v>
      </c>
      <c r="I3111" s="1" t="s">
        <v>139</v>
      </c>
    </row>
    <row r="3112">
      <c r="A3112" s="1">
        <v>9171046.0</v>
      </c>
      <c r="B3112" s="1" t="s">
        <v>6721</v>
      </c>
      <c r="C3112" s="1" t="s">
        <v>6666</v>
      </c>
      <c r="D3112" s="1" t="s">
        <v>6694</v>
      </c>
      <c r="E3112" s="1" t="s">
        <v>6722</v>
      </c>
      <c r="F3112" s="1" t="s">
        <v>16</v>
      </c>
      <c r="G3112" s="1" t="s">
        <v>23</v>
      </c>
      <c r="H3112" s="1" t="s">
        <v>18</v>
      </c>
      <c r="I3112" s="1" t="s">
        <v>163</v>
      </c>
    </row>
    <row r="3113">
      <c r="A3113" s="1">
        <v>9171021.0</v>
      </c>
      <c r="B3113" s="1" t="s">
        <v>6723</v>
      </c>
      <c r="C3113" s="1" t="s">
        <v>6666</v>
      </c>
      <c r="D3113" s="1" t="s">
        <v>6694</v>
      </c>
      <c r="E3113" s="1" t="s">
        <v>6724</v>
      </c>
      <c r="F3113" s="1" t="s">
        <v>16</v>
      </c>
      <c r="G3113" s="1" t="s">
        <v>23</v>
      </c>
      <c r="H3113" s="1" t="s">
        <v>18</v>
      </c>
      <c r="I3113" s="1" t="s">
        <v>113</v>
      </c>
    </row>
    <row r="3114">
      <c r="A3114" s="1">
        <v>9204014.0</v>
      </c>
      <c r="B3114" s="1" t="s">
        <v>6725</v>
      </c>
      <c r="C3114" s="1" t="s">
        <v>6726</v>
      </c>
      <c r="D3114" s="1" t="s">
        <v>6727</v>
      </c>
      <c r="E3114" s="1" t="s">
        <v>6728</v>
      </c>
      <c r="F3114" s="1" t="s">
        <v>16</v>
      </c>
      <c r="G3114" s="1" t="s">
        <v>17</v>
      </c>
      <c r="H3114" s="1" t="s">
        <v>18</v>
      </c>
      <c r="I3114" s="1" t="s">
        <v>40</v>
      </c>
    </row>
    <row r="3115">
      <c r="A3115" s="1">
        <v>9212028.0</v>
      </c>
      <c r="B3115" s="1" t="s">
        <v>6729</v>
      </c>
      <c r="C3115" s="1" t="s">
        <v>6730</v>
      </c>
      <c r="D3115" s="1" t="s">
        <v>6731</v>
      </c>
      <c r="E3115" s="1" t="s">
        <v>6732</v>
      </c>
      <c r="F3115" s="1" t="s">
        <v>16</v>
      </c>
      <c r="G3115" s="1" t="s">
        <v>23</v>
      </c>
      <c r="H3115" s="1" t="s">
        <v>18</v>
      </c>
      <c r="I3115" s="1" t="s">
        <v>65</v>
      </c>
    </row>
    <row r="3116">
      <c r="A3116" s="1">
        <v>9203015.0</v>
      </c>
      <c r="B3116" s="1" t="s">
        <v>6733</v>
      </c>
      <c r="C3116" s="1" t="s">
        <v>6726</v>
      </c>
      <c r="D3116" s="1" t="s">
        <v>6734</v>
      </c>
      <c r="E3116" s="1" t="s">
        <v>6735</v>
      </c>
      <c r="F3116" s="1" t="s">
        <v>16</v>
      </c>
      <c r="G3116" s="1" t="s">
        <v>17</v>
      </c>
      <c r="H3116" s="1" t="s">
        <v>18</v>
      </c>
      <c r="I3116" s="1" t="s">
        <v>95</v>
      </c>
    </row>
    <row r="3117">
      <c r="A3117" s="1">
        <v>9201011.0</v>
      </c>
      <c r="B3117" s="1" t="s">
        <v>6736</v>
      </c>
      <c r="C3117" s="1" t="s">
        <v>6730</v>
      </c>
      <c r="D3117" s="1" t="s">
        <v>6731</v>
      </c>
      <c r="E3117" s="1" t="s">
        <v>6737</v>
      </c>
      <c r="F3117" s="1" t="s">
        <v>16</v>
      </c>
      <c r="G3117" s="1" t="s">
        <v>17</v>
      </c>
      <c r="H3117" s="1" t="s">
        <v>18</v>
      </c>
      <c r="I3117" s="1" t="s">
        <v>59</v>
      </c>
    </row>
    <row r="3118">
      <c r="A3118" s="1">
        <v>9228002.0</v>
      </c>
      <c r="B3118" s="1" t="s">
        <v>6738</v>
      </c>
      <c r="C3118" s="1" t="s">
        <v>6726</v>
      </c>
      <c r="D3118" s="1" t="s">
        <v>6739</v>
      </c>
      <c r="E3118" s="1" t="s">
        <v>6740</v>
      </c>
      <c r="F3118" s="1" t="s">
        <v>16</v>
      </c>
      <c r="G3118" s="1" t="s">
        <v>16</v>
      </c>
      <c r="H3118" s="1" t="s">
        <v>98</v>
      </c>
      <c r="I3118" s="1" t="s">
        <v>18</v>
      </c>
    </row>
    <row r="3119">
      <c r="A3119" s="1">
        <v>9271045.0</v>
      </c>
      <c r="B3119" s="1" t="s">
        <v>6742</v>
      </c>
      <c r="C3119" s="1" t="s">
        <v>6726</v>
      </c>
      <c r="D3119" s="1" t="s">
        <v>6734</v>
      </c>
      <c r="E3119" s="1" t="s">
        <v>6743</v>
      </c>
      <c r="F3119" s="1" t="s">
        <v>174</v>
      </c>
      <c r="G3119" s="1" t="s">
        <v>27</v>
      </c>
      <c r="H3119" s="1" t="s">
        <v>18</v>
      </c>
      <c r="I3119" s="1" t="s">
        <v>139</v>
      </c>
    </row>
    <row r="3120">
      <c r="A3120" s="1">
        <v>9226002.0</v>
      </c>
      <c r="B3120" s="1" t="s">
        <v>6744</v>
      </c>
      <c r="C3120" s="1" t="s">
        <v>6726</v>
      </c>
      <c r="D3120" s="1" t="s">
        <v>6745</v>
      </c>
      <c r="E3120" s="1" t="s">
        <v>6746</v>
      </c>
      <c r="F3120" s="1" t="s">
        <v>16</v>
      </c>
      <c r="G3120" s="1" t="s">
        <v>98</v>
      </c>
      <c r="H3120" s="1" t="s">
        <v>18</v>
      </c>
      <c r="I3120" s="1" t="s">
        <v>40</v>
      </c>
    </row>
    <row r="3121">
      <c r="A3121" s="1">
        <v>9234003.0</v>
      </c>
      <c r="B3121" s="1" t="s">
        <v>6747</v>
      </c>
      <c r="C3121" s="1" t="s">
        <v>6730</v>
      </c>
      <c r="D3121" s="1" t="s">
        <v>6748</v>
      </c>
      <c r="E3121" s="1" t="s">
        <v>6749</v>
      </c>
      <c r="F3121" s="1" t="s">
        <v>16</v>
      </c>
      <c r="G3121" s="1" t="s">
        <v>98</v>
      </c>
      <c r="H3121" s="1" t="s">
        <v>18</v>
      </c>
      <c r="I3121" s="1" t="s">
        <v>40</v>
      </c>
    </row>
    <row r="3122">
      <c r="A3122" s="1">
        <v>9201035.0</v>
      </c>
      <c r="B3122" s="1" t="s">
        <v>6750</v>
      </c>
      <c r="C3122" s="1" t="s">
        <v>6751</v>
      </c>
      <c r="D3122" s="1" t="s">
        <v>6752</v>
      </c>
      <c r="E3122" s="1" t="s">
        <v>6753</v>
      </c>
      <c r="F3122" s="1" t="s">
        <v>16</v>
      </c>
      <c r="G3122" s="1" t="s">
        <v>23</v>
      </c>
      <c r="H3122" s="1" t="s">
        <v>18</v>
      </c>
      <c r="I3122" s="1" t="s">
        <v>95</v>
      </c>
    </row>
    <row r="3123">
      <c r="A3123" s="1">
        <v>9205030.0</v>
      </c>
      <c r="B3123" s="1" t="s">
        <v>6754</v>
      </c>
      <c r="C3123" s="1" t="s">
        <v>6726</v>
      </c>
      <c r="D3123" s="1" t="s">
        <v>6755</v>
      </c>
      <c r="E3123" s="1" t="s">
        <v>6756</v>
      </c>
      <c r="F3123" s="1" t="s">
        <v>16</v>
      </c>
      <c r="G3123" s="1" t="s">
        <v>17</v>
      </c>
      <c r="H3123" s="1" t="s">
        <v>18</v>
      </c>
      <c r="I3123" s="1" t="s">
        <v>95</v>
      </c>
    </row>
    <row r="3124">
      <c r="A3124" s="1">
        <v>9236003.0</v>
      </c>
      <c r="B3124" s="1" t="s">
        <v>6757</v>
      </c>
      <c r="C3124" s="1" t="s">
        <v>6730</v>
      </c>
      <c r="D3124" s="1" t="s">
        <v>6758</v>
      </c>
      <c r="E3124" s="1" t="s">
        <v>6759</v>
      </c>
      <c r="F3124" s="1" t="s">
        <v>16</v>
      </c>
      <c r="G3124" s="1" t="s">
        <v>23</v>
      </c>
      <c r="H3124" s="1" t="s">
        <v>18</v>
      </c>
      <c r="I3124" s="1" t="s">
        <v>40</v>
      </c>
    </row>
    <row r="3125">
      <c r="A3125" s="1">
        <v>9227011.0</v>
      </c>
      <c r="B3125" s="1" t="s">
        <v>6760</v>
      </c>
      <c r="C3125" s="1" t="s">
        <v>6726</v>
      </c>
      <c r="D3125" s="1" t="s">
        <v>6761</v>
      </c>
      <c r="E3125" s="1" t="s">
        <v>6762</v>
      </c>
      <c r="F3125" s="1" t="s">
        <v>16</v>
      </c>
      <c r="G3125" s="1" t="s">
        <v>23</v>
      </c>
      <c r="H3125" s="1" t="s">
        <v>18</v>
      </c>
      <c r="I3125" s="1" t="s">
        <v>40</v>
      </c>
    </row>
    <row r="3126">
      <c r="A3126" s="1">
        <v>9202012.0</v>
      </c>
      <c r="B3126" s="1" t="s">
        <v>6763</v>
      </c>
      <c r="C3126" s="1" t="s">
        <v>6730</v>
      </c>
      <c r="D3126" s="1" t="s">
        <v>6764</v>
      </c>
      <c r="E3126" s="1" t="s">
        <v>6765</v>
      </c>
      <c r="F3126" s="1" t="s">
        <v>16</v>
      </c>
      <c r="G3126" s="1" t="s">
        <v>17</v>
      </c>
      <c r="H3126" s="1" t="s">
        <v>28</v>
      </c>
      <c r="I3126" s="1" t="s">
        <v>40</v>
      </c>
    </row>
    <row r="3127">
      <c r="A3127" s="1">
        <v>9271079.0</v>
      </c>
      <c r="B3127" s="1" t="s">
        <v>6766</v>
      </c>
      <c r="C3127" s="1" t="s">
        <v>6726</v>
      </c>
      <c r="D3127" s="1" t="s">
        <v>6734</v>
      </c>
      <c r="E3127" s="1" t="s">
        <v>6767</v>
      </c>
      <c r="F3127" s="1" t="s">
        <v>16</v>
      </c>
      <c r="G3127" s="1" t="s">
        <v>17</v>
      </c>
      <c r="H3127" s="1" t="s">
        <v>33</v>
      </c>
      <c r="I3127" s="1" t="s">
        <v>163</v>
      </c>
    </row>
    <row r="3128">
      <c r="A3128" s="1">
        <v>9271067.0</v>
      </c>
      <c r="B3128" s="1" t="s">
        <v>6768</v>
      </c>
      <c r="C3128" s="1" t="s">
        <v>6726</v>
      </c>
      <c r="D3128" s="1" t="s">
        <v>6734</v>
      </c>
      <c r="E3128" s="1" t="s">
        <v>6769</v>
      </c>
      <c r="F3128" s="1" t="s">
        <v>16</v>
      </c>
      <c r="G3128" s="1" t="s">
        <v>17</v>
      </c>
      <c r="H3128" s="1" t="s">
        <v>33</v>
      </c>
      <c r="I3128" s="1" t="s">
        <v>65</v>
      </c>
    </row>
    <row r="3129">
      <c r="A3129" s="1">
        <v>9219044.0</v>
      </c>
      <c r="B3129" s="1" t="s">
        <v>6770</v>
      </c>
      <c r="C3129" s="1" t="s">
        <v>6726</v>
      </c>
      <c r="D3129" s="1" t="s">
        <v>6771</v>
      </c>
      <c r="E3129" s="1" t="s">
        <v>6772</v>
      </c>
      <c r="F3129" s="1" t="s">
        <v>16</v>
      </c>
      <c r="G3129" s="1" t="s">
        <v>23</v>
      </c>
      <c r="H3129" s="1" t="s">
        <v>18</v>
      </c>
      <c r="I3129" s="1" t="s">
        <v>40</v>
      </c>
    </row>
    <row r="3130">
      <c r="A3130" s="1">
        <v>9230002.0</v>
      </c>
      <c r="B3130" s="1" t="s">
        <v>6773</v>
      </c>
      <c r="C3130" s="1" t="s">
        <v>6774</v>
      </c>
      <c r="D3130" s="1" t="s">
        <v>6775</v>
      </c>
      <c r="E3130" s="1" t="s">
        <v>6776</v>
      </c>
      <c r="F3130" s="1" t="s">
        <v>16</v>
      </c>
      <c r="G3130" s="1" t="s">
        <v>23</v>
      </c>
      <c r="H3130" s="1" t="s">
        <v>18</v>
      </c>
      <c r="I3130" s="1" t="s">
        <v>40</v>
      </c>
    </row>
    <row r="3131">
      <c r="A3131" s="1">
        <v>9202014.0</v>
      </c>
      <c r="B3131" s="1" t="s">
        <v>6777</v>
      </c>
      <c r="C3131" s="1" t="s">
        <v>6774</v>
      </c>
      <c r="D3131" s="1" t="s">
        <v>6778</v>
      </c>
      <c r="E3131" s="1" t="s">
        <v>6779</v>
      </c>
      <c r="F3131" s="1" t="s">
        <v>16</v>
      </c>
      <c r="G3131" s="1" t="s">
        <v>23</v>
      </c>
      <c r="H3131" s="1" t="s">
        <v>18</v>
      </c>
      <c r="I3131" s="1" t="s">
        <v>40</v>
      </c>
    </row>
    <row r="3132">
      <c r="A3132" s="1">
        <v>9202023.0</v>
      </c>
      <c r="B3132" s="1" t="s">
        <v>6780</v>
      </c>
      <c r="C3132" s="1" t="s">
        <v>6730</v>
      </c>
      <c r="D3132" s="1" t="s">
        <v>6781</v>
      </c>
      <c r="E3132" s="1" t="s">
        <v>6782</v>
      </c>
      <c r="F3132" s="1" t="s">
        <v>16</v>
      </c>
      <c r="G3132" s="1" t="s">
        <v>17</v>
      </c>
      <c r="H3132" s="1" t="s">
        <v>28</v>
      </c>
      <c r="I3132" s="1" t="s">
        <v>40</v>
      </c>
    </row>
    <row r="3133">
      <c r="A3133" s="1">
        <v>9271012.0</v>
      </c>
      <c r="B3133" s="1" t="s">
        <v>6783</v>
      </c>
      <c r="C3133" s="1" t="s">
        <v>6726</v>
      </c>
      <c r="D3133" s="1" t="s">
        <v>6734</v>
      </c>
      <c r="E3133" s="1" t="s">
        <v>6784</v>
      </c>
      <c r="F3133" s="1" t="s">
        <v>16</v>
      </c>
      <c r="G3133" s="1" t="s">
        <v>27</v>
      </c>
      <c r="H3133" s="1" t="s">
        <v>28</v>
      </c>
      <c r="I3133" s="1" t="s">
        <v>139</v>
      </c>
    </row>
    <row r="3134">
      <c r="A3134" s="1">
        <v>9271080.0</v>
      </c>
      <c r="B3134" s="1" t="s">
        <v>6785</v>
      </c>
      <c r="C3134" s="1" t="s">
        <v>6726</v>
      </c>
      <c r="D3134" s="1" t="s">
        <v>6734</v>
      </c>
      <c r="E3134" s="1" t="s">
        <v>6786</v>
      </c>
      <c r="F3134" s="1" t="s">
        <v>16</v>
      </c>
      <c r="G3134" s="1" t="s">
        <v>23</v>
      </c>
      <c r="H3134" s="1" t="s">
        <v>18</v>
      </c>
      <c r="I3134" s="1" t="s">
        <v>29</v>
      </c>
    </row>
    <row r="3135">
      <c r="A3135" s="1">
        <v>9212013.0</v>
      </c>
      <c r="B3135" s="1" t="s">
        <v>6705</v>
      </c>
      <c r="C3135" s="1" t="s">
        <v>6730</v>
      </c>
      <c r="D3135" s="1" t="s">
        <v>6731</v>
      </c>
      <c r="E3135" s="1" t="s">
        <v>6787</v>
      </c>
      <c r="F3135" s="1" t="s">
        <v>16</v>
      </c>
      <c r="G3135" s="1" t="s">
        <v>23</v>
      </c>
      <c r="H3135" s="1" t="s">
        <v>18</v>
      </c>
      <c r="I3135" s="1" t="s">
        <v>19</v>
      </c>
    </row>
    <row r="3136">
      <c r="A3136" s="1">
        <v>9229002.0</v>
      </c>
      <c r="B3136" s="1" t="s">
        <v>6788</v>
      </c>
      <c r="C3136" s="1" t="s">
        <v>6774</v>
      </c>
      <c r="D3136" s="1" t="s">
        <v>6789</v>
      </c>
      <c r="E3136" s="1" t="s">
        <v>6790</v>
      </c>
      <c r="F3136" s="1" t="s">
        <v>16</v>
      </c>
      <c r="G3136" s="1" t="s">
        <v>23</v>
      </c>
      <c r="H3136" s="1" t="s">
        <v>18</v>
      </c>
      <c r="I3136" s="1" t="s">
        <v>40</v>
      </c>
    </row>
    <row r="3137">
      <c r="A3137" s="1">
        <v>9217013.0</v>
      </c>
      <c r="B3137" s="1" t="s">
        <v>6791</v>
      </c>
      <c r="C3137" s="1" t="s">
        <v>6774</v>
      </c>
      <c r="D3137" s="1" t="s">
        <v>6792</v>
      </c>
      <c r="E3137" s="1" t="s">
        <v>6793</v>
      </c>
      <c r="F3137" s="1" t="s">
        <v>16</v>
      </c>
      <c r="G3137" s="1" t="s">
        <v>23</v>
      </c>
      <c r="H3137" s="1" t="s">
        <v>18</v>
      </c>
      <c r="I3137" s="1" t="s">
        <v>40</v>
      </c>
    </row>
    <row r="3138">
      <c r="A3138" s="1">
        <v>9214012.0</v>
      </c>
      <c r="B3138" s="1" t="s">
        <v>6794</v>
      </c>
      <c r="C3138" s="1" t="s">
        <v>6751</v>
      </c>
      <c r="D3138" s="1" t="s">
        <v>6795</v>
      </c>
      <c r="E3138" s="1" t="s">
        <v>6796</v>
      </c>
      <c r="F3138" s="1" t="s">
        <v>16</v>
      </c>
      <c r="G3138" s="1" t="s">
        <v>23</v>
      </c>
      <c r="H3138" s="1" t="s">
        <v>18</v>
      </c>
      <c r="I3138" s="1" t="s">
        <v>40</v>
      </c>
    </row>
    <row r="3139">
      <c r="A3139" s="1">
        <v>9201034.0</v>
      </c>
      <c r="B3139" s="1" t="s">
        <v>6797</v>
      </c>
      <c r="C3139" s="1" t="s">
        <v>6751</v>
      </c>
      <c r="D3139" s="1" t="s">
        <v>6752</v>
      </c>
      <c r="E3139" s="1" t="s">
        <v>6798</v>
      </c>
      <c r="F3139" s="1" t="s">
        <v>16</v>
      </c>
      <c r="G3139" s="1" t="s">
        <v>17</v>
      </c>
      <c r="H3139" s="1" t="s">
        <v>18</v>
      </c>
      <c r="I3139" s="1" t="s">
        <v>59</v>
      </c>
    </row>
    <row r="3140">
      <c r="A3140" s="1">
        <v>9205015.0</v>
      </c>
      <c r="B3140" s="1" t="s">
        <v>6799</v>
      </c>
      <c r="C3140" s="1" t="s">
        <v>6726</v>
      </c>
      <c r="D3140" s="1" t="s">
        <v>6755</v>
      </c>
      <c r="E3140" s="1" t="s">
        <v>6800</v>
      </c>
      <c r="F3140" s="1" t="s">
        <v>16</v>
      </c>
      <c r="G3140" s="1" t="s">
        <v>17</v>
      </c>
      <c r="H3140" s="1" t="s">
        <v>28</v>
      </c>
      <c r="I3140" s="1" t="s">
        <v>40</v>
      </c>
    </row>
    <row r="3141">
      <c r="A3141" s="1">
        <v>9235002.0</v>
      </c>
      <c r="B3141" s="1" t="s">
        <v>6801</v>
      </c>
      <c r="C3141" s="1" t="s">
        <v>6730</v>
      </c>
      <c r="D3141" s="1" t="s">
        <v>6802</v>
      </c>
      <c r="E3141" s="1" t="s">
        <v>6803</v>
      </c>
      <c r="F3141" s="1" t="s">
        <v>16</v>
      </c>
      <c r="G3141" s="1" t="s">
        <v>23</v>
      </c>
      <c r="H3141" s="1" t="s">
        <v>18</v>
      </c>
      <c r="I3141" s="1" t="s">
        <v>40</v>
      </c>
    </row>
    <row r="3142">
      <c r="A3142" s="1">
        <v>9233011.0</v>
      </c>
      <c r="B3142" s="1" t="s">
        <v>6804</v>
      </c>
      <c r="C3142" s="1" t="s">
        <v>6730</v>
      </c>
      <c r="D3142" s="1" t="s">
        <v>6805</v>
      </c>
      <c r="E3142" s="1" t="s">
        <v>6806</v>
      </c>
      <c r="F3142" s="1" t="s">
        <v>16</v>
      </c>
      <c r="G3142" s="1" t="s">
        <v>98</v>
      </c>
      <c r="H3142" s="1" t="s">
        <v>28</v>
      </c>
      <c r="I3142" s="1" t="s">
        <v>40</v>
      </c>
    </row>
    <row r="3143">
      <c r="A3143" s="1">
        <v>9203016.0</v>
      </c>
      <c r="B3143" s="1" t="s">
        <v>6807</v>
      </c>
      <c r="C3143" s="1" t="s">
        <v>6726</v>
      </c>
      <c r="D3143" s="1" t="s">
        <v>6734</v>
      </c>
      <c r="E3143" s="1" t="s">
        <v>6808</v>
      </c>
      <c r="F3143" s="1" t="s">
        <v>16</v>
      </c>
      <c r="G3143" s="1" t="s">
        <v>17</v>
      </c>
      <c r="H3143" s="1" t="s">
        <v>33</v>
      </c>
      <c r="I3143" s="1" t="s">
        <v>74</v>
      </c>
    </row>
    <row r="3144">
      <c r="A3144" s="1">
        <v>9211010.0</v>
      </c>
      <c r="B3144" s="1" t="s">
        <v>6809</v>
      </c>
      <c r="C3144" s="1" t="s">
        <v>6730</v>
      </c>
      <c r="D3144" s="1" t="s">
        <v>6810</v>
      </c>
      <c r="E3144" s="1" t="s">
        <v>6811</v>
      </c>
      <c r="F3144" s="1" t="s">
        <v>16</v>
      </c>
      <c r="G3144" s="1" t="s">
        <v>23</v>
      </c>
      <c r="H3144" s="1" t="s">
        <v>28</v>
      </c>
      <c r="I3144" s="1" t="s">
        <v>40</v>
      </c>
    </row>
    <row r="3145">
      <c r="A3145" s="1">
        <v>9201012.0</v>
      </c>
      <c r="B3145" s="1" t="s">
        <v>6812</v>
      </c>
      <c r="C3145" s="1" t="s">
        <v>6751</v>
      </c>
      <c r="D3145" s="1" t="s">
        <v>6752</v>
      </c>
      <c r="E3145" s="1" t="s">
        <v>6813</v>
      </c>
      <c r="F3145" s="1" t="s">
        <v>16</v>
      </c>
      <c r="G3145" s="1" t="s">
        <v>27</v>
      </c>
      <c r="H3145" s="1" t="s">
        <v>28</v>
      </c>
      <c r="I3145" s="1" t="s">
        <v>40</v>
      </c>
    </row>
    <row r="3146">
      <c r="A3146" s="1">
        <v>9271056.0</v>
      </c>
      <c r="B3146" s="1" t="s">
        <v>6814</v>
      </c>
      <c r="C3146" s="1" t="s">
        <v>6726</v>
      </c>
      <c r="D3146" s="1" t="s">
        <v>6734</v>
      </c>
      <c r="E3146" s="1" t="s">
        <v>6815</v>
      </c>
      <c r="F3146" s="1" t="s">
        <v>16</v>
      </c>
      <c r="G3146" s="1" t="s">
        <v>17</v>
      </c>
      <c r="H3146" s="1" t="s">
        <v>18</v>
      </c>
      <c r="I3146" s="1" t="s">
        <v>59</v>
      </c>
    </row>
    <row r="3147">
      <c r="A3147" s="1">
        <v>9212011.0</v>
      </c>
      <c r="B3147" s="1" t="s">
        <v>6816</v>
      </c>
      <c r="C3147" s="1" t="s">
        <v>6730</v>
      </c>
      <c r="D3147" s="1" t="s">
        <v>6731</v>
      </c>
      <c r="E3147" s="1" t="s">
        <v>6817</v>
      </c>
      <c r="F3147" s="1" t="s">
        <v>16</v>
      </c>
      <c r="G3147" s="1" t="s">
        <v>17</v>
      </c>
      <c r="H3147" s="1" t="s">
        <v>28</v>
      </c>
      <c r="I3147" s="1" t="s">
        <v>40</v>
      </c>
    </row>
    <row r="3148">
      <c r="A3148" s="1">
        <v>9213038.0</v>
      </c>
      <c r="B3148" s="1" t="s">
        <v>6818</v>
      </c>
      <c r="C3148" s="1" t="s">
        <v>6751</v>
      </c>
      <c r="D3148" s="1" t="s">
        <v>6819</v>
      </c>
      <c r="E3148" s="1" t="s">
        <v>6820</v>
      </c>
      <c r="F3148" s="1" t="s">
        <v>16</v>
      </c>
      <c r="G3148" s="1" t="s">
        <v>98</v>
      </c>
      <c r="H3148" s="1" t="s">
        <v>18</v>
      </c>
      <c r="I3148" s="1" t="s">
        <v>40</v>
      </c>
    </row>
    <row r="3149">
      <c r="A3149" s="1">
        <v>9271078.0</v>
      </c>
      <c r="B3149" s="1" t="s">
        <v>6821</v>
      </c>
      <c r="C3149" s="1" t="s">
        <v>6726</v>
      </c>
      <c r="D3149" s="1" t="s">
        <v>6822</v>
      </c>
      <c r="E3149" s="1" t="s">
        <v>6823</v>
      </c>
      <c r="F3149" s="1" t="s">
        <v>16</v>
      </c>
      <c r="G3149" s="1" t="s">
        <v>17</v>
      </c>
      <c r="H3149" s="1" t="s">
        <v>28</v>
      </c>
      <c r="I3149" s="1" t="s">
        <v>40</v>
      </c>
    </row>
    <row r="3150">
      <c r="A3150" s="1">
        <v>9218002.0</v>
      </c>
      <c r="B3150" s="1" t="s">
        <v>6824</v>
      </c>
      <c r="C3150" s="1" t="s">
        <v>6774</v>
      </c>
      <c r="D3150" s="1" t="s">
        <v>6825</v>
      </c>
      <c r="E3150" s="1" t="s">
        <v>6826</v>
      </c>
      <c r="F3150" s="1" t="s">
        <v>16</v>
      </c>
      <c r="G3150" s="1" t="s">
        <v>98</v>
      </c>
      <c r="H3150" s="1" t="s">
        <v>18</v>
      </c>
      <c r="I3150" s="1" t="s">
        <v>40</v>
      </c>
    </row>
    <row r="3151">
      <c r="A3151" s="1">
        <v>9215011.0</v>
      </c>
      <c r="B3151" s="1" t="s">
        <v>6827</v>
      </c>
      <c r="C3151" s="1" t="s">
        <v>6751</v>
      </c>
      <c r="D3151" s="1" t="s">
        <v>6828</v>
      </c>
      <c r="E3151" s="1" t="s">
        <v>6829</v>
      </c>
      <c r="F3151" s="1" t="s">
        <v>16</v>
      </c>
      <c r="G3151" s="1" t="s">
        <v>23</v>
      </c>
      <c r="H3151" s="1" t="s">
        <v>18</v>
      </c>
      <c r="I3151" s="1" t="s">
        <v>40</v>
      </c>
    </row>
    <row r="3152">
      <c r="A3152" s="1">
        <v>9213039.0</v>
      </c>
      <c r="B3152" s="1" t="s">
        <v>6830</v>
      </c>
      <c r="C3152" s="1" t="s">
        <v>6751</v>
      </c>
      <c r="D3152" s="1" t="s">
        <v>6819</v>
      </c>
      <c r="E3152" s="1" t="s">
        <v>6831</v>
      </c>
      <c r="F3152" s="1" t="s">
        <v>16</v>
      </c>
      <c r="G3152" s="1" t="s">
        <v>23</v>
      </c>
      <c r="H3152" s="1" t="s">
        <v>18</v>
      </c>
      <c r="I3152" s="1" t="s">
        <v>40</v>
      </c>
    </row>
    <row r="3153">
      <c r="A3153" s="1">
        <v>9220043.0</v>
      </c>
      <c r="B3153" s="1" t="s">
        <v>6832</v>
      </c>
      <c r="C3153" s="1" t="s">
        <v>6726</v>
      </c>
      <c r="D3153" s="1" t="s">
        <v>6833</v>
      </c>
      <c r="E3153" s="1" t="s">
        <v>6834</v>
      </c>
      <c r="F3153" s="1" t="s">
        <v>16</v>
      </c>
      <c r="G3153" s="1" t="s">
        <v>23</v>
      </c>
      <c r="H3153" s="1" t="s">
        <v>18</v>
      </c>
      <c r="I3153" s="1" t="s">
        <v>40</v>
      </c>
    </row>
    <row r="3154">
      <c r="A3154" s="1">
        <v>9232011.0</v>
      </c>
      <c r="B3154" s="1" t="s">
        <v>6835</v>
      </c>
      <c r="C3154" s="1" t="s">
        <v>6774</v>
      </c>
      <c r="D3154" s="1" t="s">
        <v>6836</v>
      </c>
      <c r="E3154" s="1" t="s">
        <v>6837</v>
      </c>
      <c r="F3154" s="1" t="s">
        <v>16</v>
      </c>
      <c r="G3154" s="1" t="s">
        <v>23</v>
      </c>
      <c r="H3154" s="1" t="s">
        <v>18</v>
      </c>
      <c r="I3154" s="1" t="s">
        <v>40</v>
      </c>
    </row>
    <row r="3155">
      <c r="A3155" s="1">
        <v>9231002.0</v>
      </c>
      <c r="B3155" s="1" t="s">
        <v>6838</v>
      </c>
      <c r="C3155" s="1" t="s">
        <v>6774</v>
      </c>
      <c r="D3155" s="1" t="s">
        <v>6839</v>
      </c>
      <c r="E3155" s="1" t="s">
        <v>6840</v>
      </c>
      <c r="F3155" s="1" t="s">
        <v>16</v>
      </c>
      <c r="G3155" s="1" t="s">
        <v>98</v>
      </c>
      <c r="H3155" s="1" t="s">
        <v>18</v>
      </c>
      <c r="I3155" s="1" t="s">
        <v>40</v>
      </c>
    </row>
    <row r="3156">
      <c r="A3156" s="1">
        <v>9201046.0</v>
      </c>
      <c r="B3156" s="1" t="s">
        <v>6841</v>
      </c>
      <c r="C3156" s="1" t="s">
        <v>6751</v>
      </c>
      <c r="D3156" s="1" t="s">
        <v>6752</v>
      </c>
      <c r="E3156" s="1" t="s">
        <v>6842</v>
      </c>
      <c r="F3156" s="1" t="s">
        <v>16</v>
      </c>
      <c r="G3156" s="1" t="s">
        <v>23</v>
      </c>
      <c r="H3156" s="1" t="s">
        <v>18</v>
      </c>
      <c r="I3156" s="1" t="s">
        <v>74</v>
      </c>
    </row>
    <row r="3157">
      <c r="A3157" s="1">
        <v>9212027.0</v>
      </c>
      <c r="B3157" s="1" t="s">
        <v>6843</v>
      </c>
      <c r="C3157" s="1" t="s">
        <v>6730</v>
      </c>
      <c r="D3157" s="1" t="s">
        <v>6731</v>
      </c>
      <c r="E3157" s="1" t="s">
        <v>6844</v>
      </c>
      <c r="F3157" s="1" t="s">
        <v>16</v>
      </c>
      <c r="G3157" s="1" t="s">
        <v>23</v>
      </c>
      <c r="H3157" s="1" t="s">
        <v>18</v>
      </c>
      <c r="I3157" s="1" t="s">
        <v>74</v>
      </c>
    </row>
    <row r="3158">
      <c r="A3158" s="1">
        <v>9271023.0</v>
      </c>
      <c r="B3158" s="1" t="s">
        <v>6845</v>
      </c>
      <c r="C3158" s="1" t="s">
        <v>6726</v>
      </c>
      <c r="D3158" s="1" t="s">
        <v>6734</v>
      </c>
      <c r="E3158" s="1" t="s">
        <v>6846</v>
      </c>
      <c r="F3158" s="1" t="s">
        <v>16</v>
      </c>
      <c r="G3158" s="1" t="s">
        <v>17</v>
      </c>
      <c r="H3158" s="1" t="s">
        <v>28</v>
      </c>
      <c r="I3158" s="1" t="s">
        <v>139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63"/>
    <col customWidth="1" min="3" max="3" width="14.38"/>
    <col customWidth="1" min="4" max="4" width="10.88"/>
    <col customWidth="1" min="5" max="5" width="14.75"/>
    <col customWidth="1" min="7" max="7" width="14.38"/>
  </cols>
  <sheetData>
    <row r="1">
      <c r="A1" s="5" t="s">
        <v>6855</v>
      </c>
      <c r="B1" s="6"/>
      <c r="C1" s="6"/>
      <c r="D1" s="6"/>
      <c r="E1" s="7"/>
      <c r="F1" s="15"/>
      <c r="G1" s="15"/>
      <c r="H1" s="15"/>
      <c r="I1" s="15"/>
    </row>
    <row r="2">
      <c r="A2" s="8"/>
      <c r="B2" s="9"/>
      <c r="C2" s="9"/>
      <c r="D2" s="9"/>
      <c r="E2" s="10"/>
      <c r="F2" s="15"/>
      <c r="G2" s="15"/>
      <c r="H2" s="15"/>
      <c r="I2" s="15"/>
    </row>
    <row r="3">
      <c r="A3" s="16" t="s">
        <v>6856</v>
      </c>
      <c r="B3" s="16" t="s">
        <v>6853</v>
      </c>
      <c r="C3" s="16" t="s">
        <v>9</v>
      </c>
      <c r="D3" s="16" t="s">
        <v>10</v>
      </c>
      <c r="E3" s="16" t="s">
        <v>11</v>
      </c>
      <c r="G3" s="16" t="s">
        <v>6857</v>
      </c>
    </row>
    <row r="4">
      <c r="A4" s="13">
        <v>1110053.0</v>
      </c>
      <c r="B4" s="4">
        <v>1.0</v>
      </c>
      <c r="C4" s="13">
        <v>218.0</v>
      </c>
      <c r="D4" s="13">
        <v>36.0</v>
      </c>
      <c r="E4" s="13">
        <v>328.0</v>
      </c>
      <c r="G4" s="13" t="s">
        <v>6856</v>
      </c>
    </row>
    <row r="5">
      <c r="A5" s="13">
        <v>1106014.0</v>
      </c>
      <c r="B5" s="4">
        <v>2.0</v>
      </c>
      <c r="C5" s="13">
        <v>45.0</v>
      </c>
      <c r="D5" s="13">
        <v>15.0</v>
      </c>
      <c r="E5" s="13">
        <v>45.0</v>
      </c>
      <c r="G5" s="13" t="s">
        <v>6853</v>
      </c>
    </row>
    <row r="6">
      <c r="A6" s="13">
        <v>1171110.0</v>
      </c>
      <c r="B6" s="4">
        <v>3.0</v>
      </c>
      <c r="C6" s="13">
        <v>310.0</v>
      </c>
      <c r="D6" s="13">
        <v>77.0</v>
      </c>
      <c r="E6" s="13">
        <v>487.0</v>
      </c>
      <c r="G6" s="13" t="s">
        <v>9</v>
      </c>
    </row>
    <row r="7">
      <c r="A7" s="13">
        <v>1171163.0</v>
      </c>
      <c r="B7" s="4">
        <v>3.0</v>
      </c>
      <c r="C7" s="13">
        <v>11.0</v>
      </c>
      <c r="D7" s="13">
        <v>24.0</v>
      </c>
      <c r="E7" s="13">
        <v>182.0</v>
      </c>
      <c r="G7" s="13" t="s">
        <v>10</v>
      </c>
    </row>
    <row r="8">
      <c r="A8" s="13">
        <v>1102027.0</v>
      </c>
      <c r="B8" s="4">
        <v>4.0</v>
      </c>
      <c r="C8" s="13">
        <v>189.0</v>
      </c>
      <c r="D8" s="13">
        <v>34.0</v>
      </c>
      <c r="E8" s="13">
        <v>537.0</v>
      </c>
      <c r="G8" s="13" t="s">
        <v>11</v>
      </c>
    </row>
    <row r="9">
      <c r="A9" s="13">
        <v>1106013.0</v>
      </c>
      <c r="B9" s="4">
        <v>2.0</v>
      </c>
      <c r="C9" s="13">
        <v>376.0</v>
      </c>
      <c r="D9" s="13">
        <v>80.0</v>
      </c>
      <c r="E9" s="13">
        <v>470.0</v>
      </c>
    </row>
    <row r="10">
      <c r="A10" s="13">
        <v>1109028.0</v>
      </c>
      <c r="B10" s="4">
        <v>5.0</v>
      </c>
      <c r="C10" s="13">
        <v>102.0</v>
      </c>
      <c r="D10" s="13">
        <v>64.0</v>
      </c>
      <c r="E10" s="13">
        <v>208.0</v>
      </c>
    </row>
    <row r="11">
      <c r="A11" s="13">
        <v>1174022.0</v>
      </c>
      <c r="B11" s="4">
        <v>1.0</v>
      </c>
      <c r="C11" s="13">
        <v>88.0</v>
      </c>
      <c r="D11" s="13">
        <v>38.0</v>
      </c>
      <c r="E11" s="13">
        <v>128.0</v>
      </c>
    </row>
    <row r="12">
      <c r="A12" s="13">
        <v>1117025.0</v>
      </c>
      <c r="B12" s="4">
        <v>6.0</v>
      </c>
      <c r="C12" s="13">
        <v>176.0</v>
      </c>
      <c r="D12" s="13">
        <v>35.0</v>
      </c>
      <c r="E12" s="13">
        <v>199.0</v>
      </c>
    </row>
    <row r="13">
      <c r="A13" s="13">
        <v>1106025.0</v>
      </c>
      <c r="B13" s="4">
        <v>2.0</v>
      </c>
      <c r="C13" s="13">
        <v>60.0</v>
      </c>
      <c r="D13" s="13">
        <v>56.0</v>
      </c>
      <c r="E13" s="13">
        <v>182.0</v>
      </c>
    </row>
    <row r="14">
      <c r="A14" s="13">
        <v>1104013.0</v>
      </c>
      <c r="B14" s="4">
        <v>7.0</v>
      </c>
      <c r="C14" s="13">
        <v>80.0</v>
      </c>
      <c r="D14" s="13">
        <v>28.0</v>
      </c>
      <c r="E14" s="13">
        <v>3.0</v>
      </c>
    </row>
    <row r="15">
      <c r="A15" s="13">
        <v>1105078.0</v>
      </c>
      <c r="B15" s="4">
        <v>8.0</v>
      </c>
      <c r="C15" s="13">
        <v>163.0</v>
      </c>
      <c r="D15" s="13">
        <v>26.0</v>
      </c>
      <c r="E15" s="13">
        <v>315.0</v>
      </c>
    </row>
    <row r="16">
      <c r="A16" s="13">
        <v>1110075.0</v>
      </c>
      <c r="B16" s="4">
        <v>9.0</v>
      </c>
      <c r="C16" s="13">
        <v>251.0</v>
      </c>
      <c r="D16" s="13">
        <v>84.0</v>
      </c>
      <c r="E16" s="13">
        <v>1178.0</v>
      </c>
    </row>
    <row r="17">
      <c r="A17" s="13">
        <v>1171143.0</v>
      </c>
      <c r="B17" s="4">
        <v>3.0</v>
      </c>
      <c r="C17" s="13">
        <v>182.0</v>
      </c>
      <c r="D17" s="13">
        <v>23.0</v>
      </c>
      <c r="E17" s="13">
        <v>147.0</v>
      </c>
    </row>
    <row r="18">
      <c r="A18" s="13">
        <v>1103010.0</v>
      </c>
      <c r="B18" s="4">
        <v>10.0</v>
      </c>
      <c r="C18" s="13">
        <v>359.0</v>
      </c>
      <c r="D18" s="13">
        <v>68.0</v>
      </c>
      <c r="E18" s="13">
        <v>515.0</v>
      </c>
    </row>
    <row r="19">
      <c r="A19" s="13">
        <v>1108015.0</v>
      </c>
      <c r="B19" s="4">
        <v>11.0</v>
      </c>
      <c r="C19" s="13">
        <v>101.0</v>
      </c>
      <c r="D19" s="13">
        <v>23.0</v>
      </c>
      <c r="E19" s="13">
        <v>262.0</v>
      </c>
    </row>
    <row r="20">
      <c r="A20" s="13">
        <v>1171026.0</v>
      </c>
      <c r="B20" s="4">
        <v>3.0</v>
      </c>
      <c r="C20" s="13">
        <v>273.0</v>
      </c>
      <c r="D20" s="13">
        <v>82.0</v>
      </c>
      <c r="E20" s="13">
        <v>442.0</v>
      </c>
    </row>
    <row r="21">
      <c r="A21" s="13">
        <v>1174023.0</v>
      </c>
      <c r="B21" s="4">
        <v>1.0</v>
      </c>
      <c r="C21" s="13">
        <v>66.0</v>
      </c>
      <c r="D21" s="13">
        <v>30.0</v>
      </c>
      <c r="E21" s="13">
        <v>91.0</v>
      </c>
    </row>
    <row r="22">
      <c r="A22" s="13">
        <v>1101015.0</v>
      </c>
      <c r="B22" s="4">
        <v>12.0</v>
      </c>
      <c r="C22" s="13">
        <v>120.0</v>
      </c>
      <c r="D22" s="13">
        <v>33.0</v>
      </c>
      <c r="E22" s="13">
        <v>533.0</v>
      </c>
    </row>
    <row r="23">
      <c r="A23" s="13">
        <v>1174021.0</v>
      </c>
      <c r="B23" s="4">
        <v>1.0</v>
      </c>
      <c r="C23" s="13">
        <v>68.0</v>
      </c>
      <c r="D23" s="13">
        <v>22.0</v>
      </c>
      <c r="E23" s="13">
        <v>119.0</v>
      </c>
    </row>
    <row r="24">
      <c r="A24" s="13">
        <v>1174100.0</v>
      </c>
      <c r="B24" s="4">
        <v>1.0</v>
      </c>
      <c r="C24" s="13">
        <v>171.0</v>
      </c>
      <c r="D24" s="13">
        <v>60.0</v>
      </c>
      <c r="E24" s="13">
        <v>303.0</v>
      </c>
    </row>
    <row r="25">
      <c r="A25" s="13">
        <v>1110104.0</v>
      </c>
      <c r="B25" s="4">
        <v>9.0</v>
      </c>
      <c r="C25" s="13">
        <v>104.0</v>
      </c>
      <c r="D25" s="13">
        <v>28.0</v>
      </c>
      <c r="E25" s="13">
        <v>151.0</v>
      </c>
    </row>
    <row r="26">
      <c r="A26" s="13">
        <v>1113023.0</v>
      </c>
      <c r="B26" s="4">
        <v>13.0</v>
      </c>
      <c r="C26" s="13">
        <v>54.0</v>
      </c>
      <c r="D26" s="13">
        <v>22.0</v>
      </c>
      <c r="E26" s="13">
        <v>182.0</v>
      </c>
    </row>
    <row r="27">
      <c r="A27" s="13">
        <v>1116011.0</v>
      </c>
      <c r="B27" s="4">
        <v>14.0</v>
      </c>
      <c r="C27" s="13">
        <v>107.0</v>
      </c>
      <c r="D27" s="13">
        <v>23.0</v>
      </c>
      <c r="E27" s="13">
        <v>406.0</v>
      </c>
    </row>
    <row r="28">
      <c r="A28" s="13">
        <v>1172031.0</v>
      </c>
      <c r="B28" s="4">
        <v>15.0</v>
      </c>
      <c r="C28" s="13">
        <v>52.0</v>
      </c>
      <c r="D28" s="13">
        <v>17.0</v>
      </c>
      <c r="E28" s="13">
        <v>20.0</v>
      </c>
    </row>
    <row r="29">
      <c r="A29" s="13">
        <v>1103022.0</v>
      </c>
      <c r="B29" s="4">
        <v>10.0</v>
      </c>
      <c r="C29" s="13">
        <v>102.0</v>
      </c>
      <c r="D29" s="13">
        <v>3.0</v>
      </c>
      <c r="E29" s="13">
        <v>182.0</v>
      </c>
    </row>
    <row r="30">
      <c r="A30" s="13">
        <v>1173012.0</v>
      </c>
      <c r="B30" s="4">
        <v>16.0</v>
      </c>
      <c r="C30" s="13">
        <v>361.0</v>
      </c>
      <c r="D30" s="13">
        <v>65.0</v>
      </c>
      <c r="E30" s="13">
        <v>1169.0</v>
      </c>
    </row>
    <row r="31">
      <c r="A31" s="13">
        <v>1109027.0</v>
      </c>
      <c r="B31" s="4">
        <v>5.0</v>
      </c>
      <c r="C31" s="13">
        <v>200.0</v>
      </c>
      <c r="D31" s="13">
        <v>25.0</v>
      </c>
      <c r="E31" s="13">
        <v>801.0</v>
      </c>
    </row>
    <row r="32">
      <c r="A32" s="13">
        <v>1171085.0</v>
      </c>
      <c r="B32" s="4">
        <v>3.0</v>
      </c>
      <c r="C32" s="13">
        <v>42.0</v>
      </c>
      <c r="D32" s="13">
        <v>13.0</v>
      </c>
      <c r="E32" s="13">
        <v>18.0</v>
      </c>
    </row>
    <row r="33">
      <c r="A33" s="13">
        <v>1108017.0</v>
      </c>
      <c r="B33" s="4">
        <v>11.0</v>
      </c>
      <c r="C33" s="13">
        <v>63.0</v>
      </c>
      <c r="D33" s="13">
        <v>33.0</v>
      </c>
      <c r="E33" s="13">
        <v>67.0</v>
      </c>
    </row>
    <row r="34">
      <c r="A34" s="13">
        <v>1113012.0</v>
      </c>
      <c r="B34" s="4">
        <v>13.0</v>
      </c>
      <c r="C34" s="13">
        <v>159.0</v>
      </c>
      <c r="D34" s="13">
        <v>24.0</v>
      </c>
      <c r="E34" s="13">
        <v>640.0</v>
      </c>
    </row>
    <row r="35">
      <c r="A35" s="13">
        <v>1105034.0</v>
      </c>
      <c r="B35" s="4">
        <v>17.0</v>
      </c>
      <c r="C35" s="13">
        <v>50.0</v>
      </c>
      <c r="D35" s="13">
        <v>21.0</v>
      </c>
      <c r="E35" s="13">
        <v>49.0</v>
      </c>
    </row>
    <row r="36">
      <c r="A36" s="13">
        <v>1111006.0</v>
      </c>
      <c r="B36" s="4">
        <v>18.0</v>
      </c>
      <c r="C36" s="13">
        <v>28.0</v>
      </c>
      <c r="D36" s="13">
        <v>13.0</v>
      </c>
      <c r="E36" s="13">
        <v>182.0</v>
      </c>
    </row>
    <row r="37">
      <c r="A37" s="13">
        <v>1110027.0</v>
      </c>
      <c r="B37" s="4">
        <v>9.0</v>
      </c>
      <c r="C37" s="13">
        <v>74.0</v>
      </c>
      <c r="D37" s="13">
        <v>35.0</v>
      </c>
      <c r="E37" s="13">
        <v>123.0</v>
      </c>
    </row>
    <row r="38">
      <c r="A38" s="13">
        <v>1171106.0</v>
      </c>
      <c r="B38" s="4">
        <v>3.0</v>
      </c>
      <c r="C38" s="13">
        <v>113.0</v>
      </c>
      <c r="D38" s="13">
        <v>39.0</v>
      </c>
      <c r="E38" s="13">
        <v>148.0</v>
      </c>
    </row>
    <row r="39">
      <c r="A39" s="13">
        <v>1105056.0</v>
      </c>
      <c r="B39" s="4">
        <v>8.0</v>
      </c>
      <c r="C39" s="13">
        <v>246.0</v>
      </c>
      <c r="D39" s="13">
        <v>47.0</v>
      </c>
      <c r="E39" s="13">
        <v>636.0</v>
      </c>
    </row>
    <row r="40">
      <c r="A40" s="13">
        <v>1115012.0</v>
      </c>
      <c r="B40" s="4">
        <v>19.0</v>
      </c>
      <c r="C40" s="13">
        <v>215.0</v>
      </c>
      <c r="D40" s="13">
        <v>44.0</v>
      </c>
      <c r="E40" s="13">
        <v>577.0</v>
      </c>
    </row>
    <row r="41">
      <c r="A41" s="13">
        <v>1110103.0</v>
      </c>
      <c r="B41" s="4">
        <v>9.0</v>
      </c>
      <c r="C41" s="13">
        <v>50.0</v>
      </c>
      <c r="D41" s="13">
        <v>17.0</v>
      </c>
      <c r="E41" s="13">
        <v>101.0</v>
      </c>
    </row>
    <row r="42">
      <c r="A42" s="13">
        <v>1111029.0</v>
      </c>
      <c r="B42" s="4">
        <v>18.0</v>
      </c>
      <c r="C42" s="13">
        <v>56.0</v>
      </c>
      <c r="D42" s="13">
        <v>11.0</v>
      </c>
      <c r="E42" s="13">
        <v>182.0</v>
      </c>
    </row>
    <row r="43">
      <c r="A43" s="13">
        <v>1103021.0</v>
      </c>
      <c r="B43" s="4">
        <v>10.0</v>
      </c>
      <c r="C43" s="13">
        <v>71.0</v>
      </c>
      <c r="D43" s="13">
        <v>20.0</v>
      </c>
      <c r="E43" s="13">
        <v>182.0</v>
      </c>
    </row>
    <row r="44">
      <c r="A44" s="13">
        <v>1105067.0</v>
      </c>
      <c r="B44" s="4">
        <v>8.0</v>
      </c>
      <c r="C44" s="13">
        <v>170.0</v>
      </c>
      <c r="D44" s="13">
        <v>34.0</v>
      </c>
      <c r="E44" s="13">
        <v>480.0</v>
      </c>
    </row>
    <row r="45">
      <c r="A45" s="13">
        <v>1174064.0</v>
      </c>
      <c r="B45" s="4">
        <v>1.0</v>
      </c>
      <c r="C45" s="13">
        <v>116.0</v>
      </c>
      <c r="D45" s="13">
        <v>26.0</v>
      </c>
      <c r="E45" s="13">
        <v>80.0</v>
      </c>
    </row>
    <row r="46">
      <c r="A46" s="13">
        <v>1171161.0</v>
      </c>
      <c r="B46" s="4">
        <v>3.0</v>
      </c>
      <c r="C46" s="13">
        <v>135.0</v>
      </c>
      <c r="D46" s="13">
        <v>96.0</v>
      </c>
      <c r="E46" s="13">
        <v>182.0</v>
      </c>
    </row>
    <row r="47">
      <c r="A47" s="13">
        <v>1171121.0</v>
      </c>
      <c r="B47" s="4">
        <v>3.0</v>
      </c>
      <c r="C47" s="13">
        <v>108.0</v>
      </c>
      <c r="D47" s="13">
        <v>29.0</v>
      </c>
      <c r="E47" s="13">
        <v>453.0</v>
      </c>
    </row>
    <row r="48">
      <c r="A48" s="13">
        <v>1102016.0</v>
      </c>
      <c r="B48" s="4">
        <v>20.0</v>
      </c>
      <c r="C48" s="13">
        <v>101.0</v>
      </c>
      <c r="D48" s="13">
        <v>32.0</v>
      </c>
      <c r="E48" s="13">
        <v>566.0</v>
      </c>
    </row>
    <row r="49">
      <c r="A49" s="13">
        <v>1171146.0</v>
      </c>
      <c r="B49" s="4">
        <v>3.0</v>
      </c>
      <c r="C49" s="13">
        <v>46.0</v>
      </c>
      <c r="D49" s="13">
        <v>18.0</v>
      </c>
      <c r="E49" s="13">
        <v>66.0</v>
      </c>
    </row>
    <row r="50">
      <c r="A50" s="13">
        <v>1107014.0</v>
      </c>
      <c r="B50" s="4">
        <v>21.0</v>
      </c>
      <c r="C50" s="13">
        <v>267.0</v>
      </c>
      <c r="D50" s="13">
        <v>16.0</v>
      </c>
      <c r="E50" s="13">
        <v>812.0</v>
      </c>
    </row>
    <row r="51">
      <c r="A51" s="13">
        <v>1171015.0</v>
      </c>
      <c r="B51" s="4">
        <v>3.0</v>
      </c>
      <c r="C51" s="13">
        <v>833.0</v>
      </c>
      <c r="D51" s="13">
        <v>141.0</v>
      </c>
      <c r="E51" s="13">
        <v>2039.0</v>
      </c>
    </row>
    <row r="52">
      <c r="A52" s="13">
        <v>1107017.0</v>
      </c>
      <c r="B52" s="4">
        <v>21.0</v>
      </c>
      <c r="C52" s="13">
        <v>56.0</v>
      </c>
      <c r="D52" s="13">
        <v>23.0</v>
      </c>
      <c r="E52" s="13">
        <v>20.0</v>
      </c>
    </row>
    <row r="53">
      <c r="A53" s="13">
        <v>1109031.0</v>
      </c>
      <c r="B53" s="4">
        <v>5.0</v>
      </c>
      <c r="C53" s="13">
        <v>72.0</v>
      </c>
      <c r="D53" s="13">
        <v>31.0</v>
      </c>
      <c r="E53" s="13">
        <v>196.0</v>
      </c>
    </row>
    <row r="54">
      <c r="A54" s="13">
        <v>1104012.0</v>
      </c>
      <c r="B54" s="4">
        <v>7.0</v>
      </c>
      <c r="C54" s="13">
        <v>123.0</v>
      </c>
      <c r="D54" s="13">
        <v>26.0</v>
      </c>
      <c r="E54" s="13">
        <v>167.0</v>
      </c>
    </row>
    <row r="55">
      <c r="A55" s="13">
        <v>1110086.0</v>
      </c>
      <c r="B55" s="4">
        <v>1.0</v>
      </c>
      <c r="C55" s="13">
        <v>101.0</v>
      </c>
      <c r="D55" s="13">
        <v>33.0</v>
      </c>
      <c r="E55" s="13">
        <v>261.0</v>
      </c>
    </row>
    <row r="56">
      <c r="A56" s="13">
        <v>1172016.0</v>
      </c>
      <c r="B56" s="4">
        <v>15.0</v>
      </c>
      <c r="C56" s="13">
        <v>104.0</v>
      </c>
      <c r="D56" s="13">
        <v>29.0</v>
      </c>
      <c r="E56" s="13">
        <v>289.0</v>
      </c>
    </row>
    <row r="57">
      <c r="A57" s="13">
        <v>1117027.0</v>
      </c>
      <c r="B57" s="4">
        <v>6.0</v>
      </c>
      <c r="C57" s="13">
        <v>60.0</v>
      </c>
      <c r="D57" s="13">
        <v>16.0</v>
      </c>
      <c r="E57" s="13">
        <v>13.0</v>
      </c>
    </row>
    <row r="58">
      <c r="A58" s="13">
        <v>1107016.0</v>
      </c>
      <c r="B58" s="4">
        <v>21.0</v>
      </c>
      <c r="C58" s="13">
        <v>51.0</v>
      </c>
      <c r="D58" s="13">
        <v>25.0</v>
      </c>
      <c r="E58" s="13">
        <v>53.0</v>
      </c>
    </row>
    <row r="59">
      <c r="A59" s="13">
        <v>1104011.0</v>
      </c>
      <c r="B59" s="4">
        <v>7.0</v>
      </c>
      <c r="C59" s="13">
        <v>180.0</v>
      </c>
      <c r="D59" s="13">
        <v>32.0</v>
      </c>
      <c r="E59" s="13">
        <v>493.0</v>
      </c>
    </row>
    <row r="60">
      <c r="A60" s="13">
        <v>1109016.0</v>
      </c>
      <c r="B60" s="4">
        <v>5.0</v>
      </c>
      <c r="C60" s="13">
        <v>294.0</v>
      </c>
      <c r="D60" s="13">
        <v>31.0</v>
      </c>
      <c r="E60" s="13">
        <v>1949.0</v>
      </c>
    </row>
    <row r="61">
      <c r="A61" s="13">
        <v>1171150.0</v>
      </c>
      <c r="B61" s="4">
        <v>3.0</v>
      </c>
      <c r="C61" s="13">
        <v>151.0</v>
      </c>
      <c r="D61" s="13">
        <v>54.0</v>
      </c>
      <c r="E61" s="13">
        <v>243.0</v>
      </c>
    </row>
    <row r="62">
      <c r="A62" s="13">
        <v>1171041.0</v>
      </c>
      <c r="B62" s="4">
        <v>3.0</v>
      </c>
      <c r="C62" s="13">
        <v>354.0</v>
      </c>
      <c r="D62" s="13">
        <v>29.0</v>
      </c>
      <c r="E62" s="13">
        <v>541.0</v>
      </c>
    </row>
    <row r="63">
      <c r="A63" s="13">
        <v>1109029.0</v>
      </c>
      <c r="B63" s="4">
        <v>5.0</v>
      </c>
      <c r="C63" s="13">
        <v>89.0</v>
      </c>
      <c r="D63" s="13">
        <v>75.0</v>
      </c>
      <c r="E63" s="13">
        <v>159.0</v>
      </c>
    </row>
    <row r="64">
      <c r="A64" s="13">
        <v>1112011.0</v>
      </c>
      <c r="B64" s="4">
        <v>22.0</v>
      </c>
      <c r="C64" s="13">
        <v>256.0</v>
      </c>
      <c r="D64" s="13">
        <v>96.0</v>
      </c>
      <c r="E64" s="13">
        <v>1100.0</v>
      </c>
    </row>
    <row r="65">
      <c r="A65" s="13">
        <v>1111018.0</v>
      </c>
      <c r="B65" s="4">
        <v>1.0</v>
      </c>
      <c r="C65" s="13">
        <v>73.0</v>
      </c>
      <c r="D65" s="13">
        <v>15.0</v>
      </c>
      <c r="E65" s="13">
        <v>60.0</v>
      </c>
    </row>
    <row r="66">
      <c r="A66" s="13">
        <v>1171145.0</v>
      </c>
      <c r="B66" s="4">
        <v>3.0</v>
      </c>
      <c r="C66" s="13">
        <v>51.0</v>
      </c>
      <c r="D66" s="13">
        <v>14.0</v>
      </c>
      <c r="E66" s="13">
        <v>63.0</v>
      </c>
    </row>
    <row r="67">
      <c r="A67" s="13">
        <v>1173023.0</v>
      </c>
      <c r="B67" s="4">
        <v>16.0</v>
      </c>
      <c r="C67" s="13">
        <v>113.0</v>
      </c>
      <c r="D67" s="13">
        <v>18.0</v>
      </c>
      <c r="E67" s="13">
        <v>36.0</v>
      </c>
    </row>
    <row r="68">
      <c r="A68" s="13">
        <v>1110101.0</v>
      </c>
      <c r="B68" s="4">
        <v>9.0</v>
      </c>
      <c r="C68" s="13">
        <v>75.0</v>
      </c>
      <c r="D68" s="13">
        <v>27.0</v>
      </c>
      <c r="E68" s="13">
        <v>221.0</v>
      </c>
    </row>
    <row r="69">
      <c r="A69" s="13">
        <v>1107015.0</v>
      </c>
      <c r="B69" s="4">
        <v>21.0</v>
      </c>
      <c r="C69" s="13">
        <v>51.0</v>
      </c>
      <c r="D69" s="13">
        <v>16.0</v>
      </c>
      <c r="E69" s="13">
        <v>55.0</v>
      </c>
    </row>
    <row r="70">
      <c r="A70" s="13">
        <v>1174016.0</v>
      </c>
      <c r="B70" s="4">
        <v>1.0</v>
      </c>
      <c r="C70" s="13">
        <v>275.0</v>
      </c>
      <c r="D70" s="13">
        <v>106.0</v>
      </c>
      <c r="E70" s="13">
        <v>1352.0</v>
      </c>
    </row>
    <row r="71">
      <c r="A71" s="13">
        <v>1171096.0</v>
      </c>
      <c r="B71" s="4">
        <v>3.0</v>
      </c>
      <c r="C71" s="13">
        <v>154.0</v>
      </c>
      <c r="D71" s="13">
        <v>32.0</v>
      </c>
      <c r="E71" s="13">
        <v>379.0</v>
      </c>
    </row>
    <row r="72">
      <c r="A72" s="13">
        <v>1111005.0</v>
      </c>
      <c r="B72" s="4">
        <v>18.0</v>
      </c>
      <c r="C72" s="13">
        <v>70.0</v>
      </c>
      <c r="D72" s="13">
        <v>29.0</v>
      </c>
      <c r="E72" s="13">
        <v>44.0</v>
      </c>
    </row>
    <row r="73">
      <c r="A73" s="13">
        <v>1174024.0</v>
      </c>
      <c r="B73" s="4">
        <v>1.0</v>
      </c>
      <c r="C73" s="13">
        <v>51.0</v>
      </c>
      <c r="D73" s="13">
        <v>29.0</v>
      </c>
      <c r="E73" s="13">
        <v>19.0</v>
      </c>
    </row>
    <row r="74">
      <c r="A74" s="13">
        <v>1118012.0</v>
      </c>
      <c r="B74" s="4">
        <v>23.0</v>
      </c>
      <c r="C74" s="13">
        <v>250.0</v>
      </c>
      <c r="D74" s="13">
        <v>16.0</v>
      </c>
      <c r="E74" s="13">
        <v>235.0</v>
      </c>
    </row>
    <row r="75">
      <c r="A75" s="13">
        <v>1171147.0</v>
      </c>
      <c r="B75" s="4">
        <v>3.0</v>
      </c>
      <c r="C75" s="13">
        <v>50.0</v>
      </c>
      <c r="D75" s="13">
        <v>28.0</v>
      </c>
      <c r="E75" s="13">
        <v>118.0</v>
      </c>
    </row>
    <row r="76">
      <c r="A76" s="13">
        <v>1114011.0</v>
      </c>
      <c r="B76" s="4">
        <v>17.0</v>
      </c>
      <c r="C76" s="13">
        <v>287.0</v>
      </c>
      <c r="D76" s="13">
        <v>31.0</v>
      </c>
      <c r="E76" s="13">
        <v>398.0</v>
      </c>
    </row>
    <row r="77">
      <c r="A77" s="13">
        <v>1109042.0</v>
      </c>
      <c r="B77" s="4">
        <v>5.0</v>
      </c>
      <c r="C77" s="13">
        <v>58.0</v>
      </c>
      <c r="D77" s="13">
        <v>24.0</v>
      </c>
      <c r="E77" s="13">
        <v>182.0</v>
      </c>
    </row>
    <row r="78">
      <c r="A78" s="13">
        <v>1174019.0</v>
      </c>
      <c r="B78" s="4">
        <v>1.0</v>
      </c>
      <c r="C78" s="13">
        <v>116.0</v>
      </c>
      <c r="D78" s="13">
        <v>21.0</v>
      </c>
      <c r="E78" s="13">
        <v>156.0</v>
      </c>
    </row>
    <row r="79">
      <c r="A79" s="13">
        <v>1173003.0</v>
      </c>
      <c r="B79" s="4">
        <v>16.0</v>
      </c>
      <c r="C79" s="13">
        <v>54.0</v>
      </c>
      <c r="D79" s="13">
        <v>20.0</v>
      </c>
      <c r="E79" s="13">
        <v>46.0</v>
      </c>
    </row>
    <row r="80">
      <c r="A80" s="13">
        <v>1110102.0</v>
      </c>
      <c r="B80" s="4">
        <v>9.0</v>
      </c>
      <c r="C80" s="13">
        <v>50.0</v>
      </c>
      <c r="D80" s="13">
        <v>39.0</v>
      </c>
      <c r="E80" s="13">
        <v>186.0</v>
      </c>
    </row>
    <row r="81">
      <c r="A81" s="13">
        <v>1108028.0</v>
      </c>
      <c r="B81" s="4">
        <v>11.0</v>
      </c>
      <c r="C81" s="13">
        <v>63.0</v>
      </c>
      <c r="D81" s="13">
        <v>22.0</v>
      </c>
      <c r="E81" s="13">
        <v>182.0</v>
      </c>
    </row>
    <row r="82">
      <c r="A82" s="13">
        <v>1173045.0</v>
      </c>
      <c r="B82" s="4">
        <v>16.0</v>
      </c>
      <c r="C82" s="13">
        <v>68.0</v>
      </c>
      <c r="D82" s="13">
        <v>16.0</v>
      </c>
      <c r="E82" s="13">
        <v>79.0</v>
      </c>
    </row>
    <row r="83">
      <c r="A83" s="13">
        <v>1277026.0</v>
      </c>
      <c r="B83" s="4">
        <v>24.0</v>
      </c>
      <c r="C83" s="13">
        <v>101.0</v>
      </c>
      <c r="D83" s="13">
        <v>31.0</v>
      </c>
      <c r="E83" s="13">
        <v>94.0</v>
      </c>
    </row>
    <row r="84">
      <c r="A84" s="13">
        <v>1213059.0</v>
      </c>
      <c r="B84" s="4">
        <v>25.0</v>
      </c>
      <c r="C84" s="13">
        <v>367.0</v>
      </c>
      <c r="D84" s="13">
        <v>44.0</v>
      </c>
      <c r="E84" s="13">
        <v>721.0</v>
      </c>
    </row>
    <row r="85">
      <c r="A85" s="13">
        <v>1212023.0</v>
      </c>
      <c r="B85" s="4">
        <v>26.0</v>
      </c>
      <c r="C85" s="13">
        <v>101.0</v>
      </c>
      <c r="D85" s="13">
        <v>14.0</v>
      </c>
      <c r="E85" s="13">
        <v>211.0</v>
      </c>
    </row>
    <row r="86">
      <c r="A86" s="13">
        <v>1208066.0</v>
      </c>
      <c r="B86" s="4">
        <v>27.0</v>
      </c>
      <c r="C86" s="13">
        <v>60.0</v>
      </c>
      <c r="D86" s="13">
        <v>12.0</v>
      </c>
      <c r="E86" s="13">
        <v>39.0</v>
      </c>
    </row>
    <row r="87">
      <c r="A87" s="13">
        <v>1273102.0</v>
      </c>
      <c r="B87" s="4">
        <v>28.0</v>
      </c>
      <c r="C87" s="13">
        <v>105.0</v>
      </c>
      <c r="D87" s="13">
        <v>35.0</v>
      </c>
      <c r="E87" s="13">
        <v>275.0</v>
      </c>
    </row>
    <row r="88">
      <c r="A88" s="13">
        <v>1272033.0</v>
      </c>
      <c r="B88" s="4">
        <v>29.0</v>
      </c>
      <c r="C88" s="13">
        <v>74.0</v>
      </c>
      <c r="D88" s="13">
        <v>22.0</v>
      </c>
      <c r="E88" s="13">
        <v>98.0</v>
      </c>
    </row>
    <row r="89">
      <c r="A89" s="13">
        <v>1212198.0</v>
      </c>
      <c r="B89" s="4">
        <v>26.0</v>
      </c>
      <c r="C89" s="13">
        <v>55.0</v>
      </c>
      <c r="D89" s="13">
        <v>13.0</v>
      </c>
      <c r="E89" s="13">
        <v>182.0</v>
      </c>
    </row>
    <row r="90">
      <c r="A90" s="13">
        <v>1275826.0</v>
      </c>
      <c r="B90" s="4">
        <v>30.0</v>
      </c>
      <c r="C90" s="13">
        <v>45.0</v>
      </c>
      <c r="D90" s="13">
        <v>5.0</v>
      </c>
      <c r="E90" s="13">
        <v>19.0</v>
      </c>
    </row>
    <row r="91">
      <c r="A91" s="13">
        <v>1275276.0</v>
      </c>
      <c r="B91" s="4">
        <v>30.0</v>
      </c>
      <c r="C91" s="13">
        <v>112.0</v>
      </c>
      <c r="D91" s="13">
        <v>56.0</v>
      </c>
      <c r="E91" s="13">
        <v>244.0</v>
      </c>
    </row>
    <row r="92">
      <c r="A92" s="13">
        <v>1205035.0</v>
      </c>
      <c r="B92" s="4">
        <v>31.0</v>
      </c>
      <c r="C92" s="13">
        <v>107.0</v>
      </c>
      <c r="D92" s="13">
        <v>61.0</v>
      </c>
      <c r="E92" s="13">
        <v>335.0</v>
      </c>
    </row>
    <row r="93">
      <c r="A93" s="13">
        <v>1205142.0</v>
      </c>
      <c r="B93" s="4">
        <v>32.0</v>
      </c>
      <c r="C93" s="13">
        <v>60.0</v>
      </c>
      <c r="D93" s="13">
        <v>20.0</v>
      </c>
      <c r="E93" s="13">
        <v>59.0</v>
      </c>
    </row>
    <row r="94">
      <c r="A94" s="13">
        <v>1214010.0</v>
      </c>
      <c r="B94" s="4">
        <v>33.0</v>
      </c>
      <c r="C94" s="13">
        <v>50.0</v>
      </c>
      <c r="D94" s="13">
        <v>4.0</v>
      </c>
      <c r="E94" s="13">
        <v>182.0</v>
      </c>
    </row>
    <row r="95">
      <c r="A95" s="13">
        <v>1275232.0</v>
      </c>
      <c r="B95" s="4">
        <v>30.0</v>
      </c>
      <c r="C95" s="13">
        <v>27.0</v>
      </c>
      <c r="D95" s="13">
        <v>14.0</v>
      </c>
      <c r="E95" s="13">
        <v>18.0</v>
      </c>
    </row>
    <row r="96">
      <c r="A96" s="13">
        <v>1275126.0</v>
      </c>
      <c r="B96" s="4">
        <v>30.0</v>
      </c>
      <c r="C96" s="13">
        <v>106.0</v>
      </c>
      <c r="D96" s="13">
        <v>57.0</v>
      </c>
      <c r="E96" s="13">
        <v>104.0</v>
      </c>
    </row>
    <row r="97">
      <c r="A97" s="13">
        <v>1207073.0</v>
      </c>
      <c r="B97" s="4">
        <v>34.0</v>
      </c>
      <c r="C97" s="13">
        <v>17.0</v>
      </c>
      <c r="D97" s="13">
        <v>3.0</v>
      </c>
      <c r="E97" s="13">
        <v>182.0</v>
      </c>
    </row>
    <row r="98">
      <c r="A98" s="13">
        <v>1203022.0</v>
      </c>
      <c r="B98" s="4">
        <v>35.0</v>
      </c>
      <c r="C98" s="13">
        <v>123.0</v>
      </c>
      <c r="D98" s="13">
        <v>53.0</v>
      </c>
      <c r="E98" s="13">
        <v>358.0</v>
      </c>
    </row>
    <row r="99">
      <c r="A99" s="13">
        <v>1277015.0</v>
      </c>
      <c r="B99" s="4">
        <v>24.0</v>
      </c>
      <c r="C99" s="13">
        <v>53.0</v>
      </c>
      <c r="D99" s="13">
        <v>23.0</v>
      </c>
      <c r="E99" s="13">
        <v>16.0</v>
      </c>
    </row>
    <row r="100">
      <c r="A100" s="13">
        <v>1276036.0</v>
      </c>
      <c r="B100" s="4">
        <v>36.0</v>
      </c>
      <c r="C100" s="13">
        <v>143.0</v>
      </c>
      <c r="D100" s="13">
        <v>34.0</v>
      </c>
      <c r="E100" s="13">
        <v>196.0</v>
      </c>
    </row>
    <row r="101">
      <c r="A101" s="13">
        <v>1275928.0</v>
      </c>
      <c r="B101" s="4">
        <v>30.0</v>
      </c>
      <c r="C101" s="13">
        <v>16.0</v>
      </c>
      <c r="D101" s="13">
        <v>5.0</v>
      </c>
      <c r="E101" s="13">
        <v>35.0</v>
      </c>
    </row>
    <row r="102">
      <c r="A102" s="13">
        <v>1275750.0</v>
      </c>
      <c r="B102" s="4">
        <v>30.0</v>
      </c>
      <c r="C102" s="13">
        <v>100.0</v>
      </c>
      <c r="D102" s="13">
        <v>27.0</v>
      </c>
      <c r="E102" s="13">
        <v>75.0</v>
      </c>
    </row>
    <row r="103">
      <c r="A103" s="13">
        <v>1225002.0</v>
      </c>
      <c r="B103" s="4">
        <v>37.0</v>
      </c>
      <c r="C103" s="13">
        <v>31.0</v>
      </c>
      <c r="D103" s="13">
        <v>20.0</v>
      </c>
      <c r="E103" s="13">
        <v>5.0</v>
      </c>
    </row>
    <row r="104">
      <c r="A104" s="13">
        <v>1209081.0</v>
      </c>
      <c r="B104" s="4">
        <v>38.0</v>
      </c>
      <c r="C104" s="13">
        <v>93.0</v>
      </c>
      <c r="D104" s="13">
        <v>23.0</v>
      </c>
      <c r="E104" s="13">
        <v>94.0</v>
      </c>
    </row>
    <row r="105">
      <c r="A105" s="13">
        <v>1209021.0</v>
      </c>
      <c r="B105" s="4">
        <v>38.0</v>
      </c>
      <c r="C105" s="13">
        <v>98.0</v>
      </c>
      <c r="D105" s="13">
        <v>42.0</v>
      </c>
      <c r="E105" s="13">
        <v>112.0</v>
      </c>
    </row>
    <row r="106">
      <c r="A106" s="13">
        <v>1213057.0</v>
      </c>
      <c r="B106" s="4">
        <v>25.0</v>
      </c>
      <c r="C106" s="13">
        <v>114.0</v>
      </c>
      <c r="D106" s="13">
        <v>32.0</v>
      </c>
      <c r="E106" s="13">
        <v>215.0</v>
      </c>
    </row>
    <row r="107">
      <c r="A107" s="13">
        <v>1211126.0</v>
      </c>
      <c r="B107" s="4">
        <v>39.0</v>
      </c>
      <c r="C107" s="13">
        <v>193.0</v>
      </c>
      <c r="D107" s="13">
        <v>32.0</v>
      </c>
      <c r="E107" s="13">
        <v>202.0</v>
      </c>
    </row>
    <row r="108">
      <c r="A108" s="13">
        <v>1208059.0</v>
      </c>
      <c r="B108" s="4">
        <v>27.0</v>
      </c>
      <c r="C108" s="13">
        <v>82.0</v>
      </c>
      <c r="D108" s="13">
        <v>26.0</v>
      </c>
      <c r="E108" s="13">
        <v>76.0</v>
      </c>
    </row>
    <row r="109">
      <c r="A109" s="13">
        <v>1210021.0</v>
      </c>
      <c r="B109" s="4">
        <v>40.0</v>
      </c>
      <c r="C109" s="13">
        <v>53.0</v>
      </c>
      <c r="D109" s="13">
        <v>20.0</v>
      </c>
      <c r="E109" s="13">
        <v>182.0</v>
      </c>
    </row>
    <row r="110">
      <c r="A110" s="13">
        <v>1275932.0</v>
      </c>
      <c r="B110" s="4">
        <v>30.0</v>
      </c>
      <c r="C110" s="13">
        <v>10.0</v>
      </c>
      <c r="D110" s="13">
        <v>13.0</v>
      </c>
      <c r="E110" s="13">
        <v>33.0</v>
      </c>
    </row>
    <row r="111">
      <c r="A111" s="13">
        <v>1212201.0</v>
      </c>
      <c r="B111" s="4">
        <v>26.0</v>
      </c>
      <c r="C111" s="13">
        <v>53.0</v>
      </c>
      <c r="D111" s="13">
        <v>10.0</v>
      </c>
      <c r="E111" s="13">
        <v>182.0</v>
      </c>
    </row>
    <row r="112">
      <c r="A112" s="13">
        <v>1275909.0</v>
      </c>
      <c r="B112" s="4">
        <v>30.0</v>
      </c>
      <c r="C112" s="13">
        <v>144.0</v>
      </c>
      <c r="D112" s="13">
        <v>30.0</v>
      </c>
      <c r="E112" s="13">
        <v>95.0</v>
      </c>
    </row>
    <row r="113">
      <c r="A113" s="13">
        <v>1274034.0</v>
      </c>
      <c r="B113" s="4">
        <v>41.0</v>
      </c>
      <c r="C113" s="13">
        <v>167.0</v>
      </c>
      <c r="D113" s="13">
        <v>55.0</v>
      </c>
      <c r="E113" s="13">
        <v>285.0</v>
      </c>
    </row>
    <row r="114">
      <c r="A114" s="13">
        <v>1275998.0</v>
      </c>
      <c r="B114" s="4">
        <v>30.0</v>
      </c>
      <c r="C114" s="13">
        <v>76.0</v>
      </c>
      <c r="D114" s="13">
        <v>32.0</v>
      </c>
      <c r="E114" s="13">
        <v>263.0</v>
      </c>
    </row>
    <row r="115">
      <c r="A115" s="13">
        <v>1275841.0</v>
      </c>
      <c r="B115" s="4">
        <v>30.0</v>
      </c>
      <c r="C115" s="13">
        <v>115.0</v>
      </c>
      <c r="D115" s="13">
        <v>28.0</v>
      </c>
      <c r="E115" s="13">
        <v>170.0</v>
      </c>
    </row>
    <row r="116">
      <c r="A116" s="13">
        <v>1275516.0</v>
      </c>
      <c r="B116" s="4">
        <v>30.0</v>
      </c>
      <c r="C116" s="13">
        <v>163.0</v>
      </c>
      <c r="D116" s="13">
        <v>81.0</v>
      </c>
      <c r="E116" s="13">
        <v>432.0</v>
      </c>
    </row>
    <row r="117">
      <c r="A117" s="13">
        <v>1219016.0</v>
      </c>
      <c r="B117" s="4">
        <v>42.0</v>
      </c>
      <c r="C117" s="13">
        <v>47.0</v>
      </c>
      <c r="D117" s="13">
        <v>8.0</v>
      </c>
      <c r="E117" s="13">
        <v>182.0</v>
      </c>
    </row>
    <row r="118">
      <c r="A118" s="13">
        <v>1278002.0</v>
      </c>
      <c r="B118" s="4">
        <v>43.0</v>
      </c>
      <c r="C118" s="13">
        <v>107.0</v>
      </c>
      <c r="D118" s="13">
        <v>33.0</v>
      </c>
      <c r="E118" s="13">
        <v>88.0</v>
      </c>
    </row>
    <row r="119">
      <c r="A119" s="13">
        <v>1205061.0</v>
      </c>
      <c r="B119" s="4">
        <v>44.0</v>
      </c>
      <c r="C119" s="13">
        <v>162.0</v>
      </c>
      <c r="D119" s="13">
        <v>26.0</v>
      </c>
      <c r="E119" s="13">
        <v>283.0</v>
      </c>
    </row>
    <row r="120">
      <c r="A120" s="13">
        <v>1219002.0</v>
      </c>
      <c r="B120" s="4">
        <v>42.0</v>
      </c>
      <c r="C120" s="13">
        <v>54.0</v>
      </c>
      <c r="D120" s="13">
        <v>10.0</v>
      </c>
      <c r="E120" s="13">
        <v>89.0</v>
      </c>
    </row>
    <row r="121">
      <c r="A121" s="13">
        <v>1275922.0</v>
      </c>
      <c r="B121" s="4">
        <v>30.0</v>
      </c>
      <c r="C121" s="13">
        <v>30.0</v>
      </c>
      <c r="D121" s="13">
        <v>11.0</v>
      </c>
      <c r="E121" s="13">
        <v>127.0</v>
      </c>
    </row>
    <row r="122">
      <c r="A122" s="13">
        <v>1271016.0</v>
      </c>
      <c r="B122" s="4">
        <v>45.0</v>
      </c>
      <c r="C122" s="13">
        <v>196.0</v>
      </c>
      <c r="D122" s="13">
        <v>101.0</v>
      </c>
      <c r="E122" s="13">
        <v>472.0</v>
      </c>
    </row>
    <row r="123">
      <c r="A123" s="13">
        <v>1275804.0</v>
      </c>
      <c r="B123" s="4">
        <v>30.0</v>
      </c>
      <c r="C123" s="13">
        <v>55.0</v>
      </c>
      <c r="D123" s="13">
        <v>8.0</v>
      </c>
      <c r="E123" s="13">
        <v>32.0</v>
      </c>
    </row>
    <row r="124">
      <c r="A124" s="13">
        <v>1275997.0</v>
      </c>
      <c r="B124" s="4">
        <v>30.0</v>
      </c>
      <c r="C124" s="13">
        <v>327.0</v>
      </c>
      <c r="D124" s="13">
        <v>84.0</v>
      </c>
      <c r="E124" s="13">
        <v>158.0</v>
      </c>
    </row>
    <row r="125">
      <c r="A125" s="13">
        <v>1275141.0</v>
      </c>
      <c r="B125" s="4">
        <v>30.0</v>
      </c>
      <c r="C125" s="13">
        <v>100.0</v>
      </c>
      <c r="D125" s="13">
        <v>28.0</v>
      </c>
      <c r="E125" s="13">
        <v>78.0</v>
      </c>
    </row>
    <row r="126">
      <c r="A126" s="13">
        <v>1207068.0</v>
      </c>
      <c r="B126" s="4">
        <v>34.0</v>
      </c>
      <c r="C126" s="13">
        <v>50.0</v>
      </c>
      <c r="D126" s="13">
        <v>19.0</v>
      </c>
      <c r="E126" s="13">
        <v>9.0</v>
      </c>
    </row>
    <row r="127">
      <c r="A127" s="13">
        <v>1203044.0</v>
      </c>
      <c r="B127" s="4">
        <v>46.0</v>
      </c>
      <c r="C127" s="13">
        <v>104.0</v>
      </c>
      <c r="D127" s="13">
        <v>58.0</v>
      </c>
      <c r="E127" s="13">
        <v>479.0</v>
      </c>
    </row>
    <row r="128">
      <c r="A128" s="13">
        <v>1275921.0</v>
      </c>
      <c r="B128" s="4">
        <v>30.0</v>
      </c>
      <c r="C128" s="13">
        <v>28.0</v>
      </c>
      <c r="D128" s="13">
        <v>35.0</v>
      </c>
      <c r="E128" s="13">
        <v>91.0</v>
      </c>
    </row>
    <row r="129">
      <c r="A129" s="13">
        <v>1275783.0</v>
      </c>
      <c r="B129" s="4">
        <v>30.0</v>
      </c>
      <c r="C129" s="13">
        <v>57.0</v>
      </c>
      <c r="D129" s="13">
        <v>18.0</v>
      </c>
      <c r="E129" s="13">
        <v>25.0</v>
      </c>
    </row>
    <row r="130">
      <c r="A130" s="13">
        <v>1212177.0</v>
      </c>
      <c r="B130" s="4">
        <v>26.0</v>
      </c>
      <c r="C130" s="13">
        <v>100.0</v>
      </c>
      <c r="D130" s="13">
        <v>36.0</v>
      </c>
      <c r="E130" s="13">
        <v>38.0</v>
      </c>
    </row>
    <row r="131">
      <c r="A131" s="13">
        <v>1209076.0</v>
      </c>
      <c r="B131" s="4">
        <v>38.0</v>
      </c>
      <c r="C131" s="13">
        <v>105.0</v>
      </c>
      <c r="D131" s="13">
        <v>30.0</v>
      </c>
      <c r="E131" s="13">
        <v>186.0</v>
      </c>
    </row>
    <row r="132">
      <c r="A132" s="13">
        <v>1218125.0</v>
      </c>
      <c r="B132" s="4">
        <v>47.0</v>
      </c>
      <c r="C132" s="13">
        <v>148.0</v>
      </c>
      <c r="D132" s="13">
        <v>36.0</v>
      </c>
      <c r="E132" s="13">
        <v>317.0</v>
      </c>
    </row>
    <row r="133">
      <c r="A133" s="13">
        <v>1212186.0</v>
      </c>
      <c r="B133" s="4">
        <v>26.0</v>
      </c>
      <c r="C133" s="13">
        <v>37.0</v>
      </c>
      <c r="D133" s="13">
        <v>21.0</v>
      </c>
      <c r="E133" s="13">
        <v>26.0</v>
      </c>
    </row>
    <row r="134">
      <c r="A134" s="13">
        <v>1275147.0</v>
      </c>
      <c r="B134" s="4">
        <v>26.0</v>
      </c>
      <c r="C134" s="13">
        <v>127.0</v>
      </c>
      <c r="D134" s="13">
        <v>25.0</v>
      </c>
      <c r="E134" s="13">
        <v>29.0</v>
      </c>
    </row>
    <row r="135">
      <c r="A135" s="13">
        <v>1273033.0</v>
      </c>
      <c r="B135" s="4">
        <v>28.0</v>
      </c>
      <c r="C135" s="13">
        <v>123.0</v>
      </c>
      <c r="D135" s="13">
        <v>30.0</v>
      </c>
      <c r="E135" s="13">
        <v>350.0</v>
      </c>
    </row>
    <row r="136">
      <c r="A136" s="13">
        <v>1275911.0</v>
      </c>
      <c r="B136" s="4">
        <v>30.0</v>
      </c>
      <c r="C136" s="13">
        <v>255.0</v>
      </c>
      <c r="D136" s="13">
        <v>134.0</v>
      </c>
      <c r="E136" s="13">
        <v>141.0</v>
      </c>
    </row>
    <row r="137">
      <c r="A137" s="13">
        <v>1275035.0</v>
      </c>
      <c r="B137" s="4">
        <v>30.0</v>
      </c>
      <c r="C137" s="13">
        <v>200.0</v>
      </c>
      <c r="D137" s="13">
        <v>61.0</v>
      </c>
      <c r="E137" s="13">
        <v>476.0</v>
      </c>
    </row>
    <row r="138">
      <c r="A138" s="13">
        <v>1212197.0</v>
      </c>
      <c r="B138" s="4">
        <v>26.0</v>
      </c>
      <c r="C138" s="13">
        <v>30.0</v>
      </c>
      <c r="D138" s="13">
        <v>16.0</v>
      </c>
      <c r="E138" s="13">
        <v>182.0</v>
      </c>
    </row>
    <row r="139">
      <c r="A139" s="13">
        <v>1219003.0</v>
      </c>
      <c r="B139" s="4">
        <v>42.0</v>
      </c>
      <c r="C139" s="13">
        <v>104.0</v>
      </c>
      <c r="D139" s="13">
        <v>24.0</v>
      </c>
      <c r="E139" s="13">
        <v>344.0</v>
      </c>
    </row>
    <row r="140">
      <c r="A140" s="13">
        <v>1207067.0</v>
      </c>
      <c r="B140" s="4">
        <v>34.0</v>
      </c>
      <c r="C140" s="13">
        <v>100.0</v>
      </c>
      <c r="D140" s="13">
        <v>23.0</v>
      </c>
      <c r="E140" s="13">
        <v>93.0</v>
      </c>
    </row>
    <row r="141">
      <c r="A141" s="13">
        <v>1275874.0</v>
      </c>
      <c r="B141" s="4">
        <v>30.0</v>
      </c>
      <c r="C141" s="13">
        <v>12.0</v>
      </c>
      <c r="D141" s="13">
        <v>16.0</v>
      </c>
      <c r="E141" s="13">
        <v>65.0</v>
      </c>
    </row>
    <row r="142">
      <c r="A142" s="13">
        <v>1275622.0</v>
      </c>
      <c r="B142" s="4">
        <v>30.0</v>
      </c>
      <c r="C142" s="13">
        <v>224.0</v>
      </c>
      <c r="D142" s="13">
        <v>98.0</v>
      </c>
      <c r="E142" s="13">
        <v>458.0</v>
      </c>
    </row>
    <row r="143">
      <c r="A143" s="13">
        <v>1207052.0</v>
      </c>
      <c r="B143" s="4">
        <v>48.0</v>
      </c>
      <c r="C143" s="13">
        <v>58.0</v>
      </c>
      <c r="D143" s="13">
        <v>24.0</v>
      </c>
      <c r="E143" s="13">
        <v>85.0</v>
      </c>
    </row>
    <row r="144">
      <c r="A144" s="13">
        <v>1212200.0</v>
      </c>
      <c r="B144" s="4">
        <v>26.0</v>
      </c>
      <c r="C144" s="13">
        <v>60.0</v>
      </c>
      <c r="D144" s="13">
        <v>14.0</v>
      </c>
      <c r="E144" s="13">
        <v>182.0</v>
      </c>
    </row>
    <row r="145">
      <c r="A145" s="13">
        <v>1274058.0</v>
      </c>
      <c r="B145" s="4">
        <v>41.0</v>
      </c>
      <c r="C145" s="13">
        <v>137.0</v>
      </c>
      <c r="D145" s="13">
        <v>36.0</v>
      </c>
      <c r="E145" s="13">
        <v>354.0</v>
      </c>
    </row>
    <row r="146">
      <c r="A146" s="13">
        <v>1276077.0</v>
      </c>
      <c r="B146" s="4">
        <v>36.0</v>
      </c>
      <c r="C146" s="13">
        <v>132.0</v>
      </c>
      <c r="D146" s="13">
        <v>29.0</v>
      </c>
      <c r="E146" s="13">
        <v>209.0</v>
      </c>
    </row>
    <row r="147">
      <c r="A147" s="13">
        <v>1273011.0</v>
      </c>
      <c r="B147" s="4">
        <v>28.0</v>
      </c>
      <c r="C147" s="13">
        <v>130.0</v>
      </c>
      <c r="D147" s="13">
        <v>55.0</v>
      </c>
      <c r="E147" s="13">
        <v>357.0</v>
      </c>
    </row>
    <row r="148">
      <c r="A148" s="13">
        <v>1271032.0</v>
      </c>
      <c r="B148" s="4">
        <v>45.0</v>
      </c>
      <c r="C148" s="13">
        <v>112.0</v>
      </c>
      <c r="D148" s="13">
        <v>66.0</v>
      </c>
      <c r="E148" s="13">
        <v>215.0</v>
      </c>
    </row>
    <row r="149">
      <c r="A149" s="13">
        <v>1275163.0</v>
      </c>
      <c r="B149" s="4">
        <v>30.0</v>
      </c>
      <c r="C149" s="13">
        <v>102.0</v>
      </c>
      <c r="D149" s="13">
        <v>64.0</v>
      </c>
      <c r="E149" s="13">
        <v>354.0</v>
      </c>
    </row>
    <row r="150">
      <c r="A150" s="13">
        <v>1275010.0</v>
      </c>
      <c r="B150" s="4">
        <v>30.0</v>
      </c>
      <c r="C150" s="13">
        <v>36.0</v>
      </c>
      <c r="D150" s="13">
        <v>13.0</v>
      </c>
      <c r="E150" s="13">
        <v>182.0</v>
      </c>
    </row>
    <row r="151">
      <c r="A151" s="13">
        <v>1204056.0</v>
      </c>
      <c r="B151" s="4">
        <v>49.0</v>
      </c>
      <c r="C151" s="13">
        <v>124.0</v>
      </c>
      <c r="D151" s="13">
        <v>38.0</v>
      </c>
      <c r="E151" s="13">
        <v>389.0</v>
      </c>
    </row>
    <row r="152">
      <c r="A152" s="13">
        <v>1212199.0</v>
      </c>
      <c r="B152" s="4">
        <v>26.0</v>
      </c>
      <c r="C152" s="13">
        <v>101.0</v>
      </c>
      <c r="D152" s="13">
        <v>27.0</v>
      </c>
      <c r="E152" s="13">
        <v>182.0</v>
      </c>
    </row>
    <row r="153">
      <c r="A153" s="13">
        <v>1218158.0</v>
      </c>
      <c r="B153" s="4">
        <v>26.0</v>
      </c>
      <c r="C153" s="13">
        <v>403.0</v>
      </c>
      <c r="D153" s="13">
        <v>67.0</v>
      </c>
      <c r="E153" s="13">
        <v>516.0</v>
      </c>
    </row>
    <row r="154">
      <c r="A154" s="13">
        <v>1211011.0</v>
      </c>
      <c r="B154" s="4">
        <v>39.0</v>
      </c>
      <c r="C154" s="13">
        <v>110.0</v>
      </c>
      <c r="D154" s="13">
        <v>31.0</v>
      </c>
      <c r="E154" s="13">
        <v>360.0</v>
      </c>
    </row>
    <row r="155">
      <c r="A155" s="13">
        <v>1212067.0</v>
      </c>
      <c r="B155" s="4">
        <v>26.0</v>
      </c>
      <c r="C155" s="13">
        <v>58.0</v>
      </c>
      <c r="D155" s="13">
        <v>18.0</v>
      </c>
      <c r="E155" s="13">
        <v>39.0</v>
      </c>
    </row>
    <row r="156">
      <c r="A156" s="13">
        <v>1213013.0</v>
      </c>
      <c r="B156" s="4">
        <v>25.0</v>
      </c>
      <c r="C156" s="13">
        <v>120.0</v>
      </c>
      <c r="D156" s="13">
        <v>33.0</v>
      </c>
      <c r="E156" s="13">
        <v>261.0</v>
      </c>
    </row>
    <row r="157">
      <c r="A157" s="13">
        <v>1212171.0</v>
      </c>
      <c r="B157" s="4">
        <v>26.0</v>
      </c>
      <c r="C157" s="13">
        <v>107.0</v>
      </c>
      <c r="D157" s="13">
        <v>22.0</v>
      </c>
      <c r="E157" s="13">
        <v>29.0</v>
      </c>
    </row>
    <row r="158">
      <c r="A158" s="13">
        <v>1275923.0</v>
      </c>
      <c r="B158" s="4">
        <v>30.0</v>
      </c>
      <c r="C158" s="13">
        <v>200.0</v>
      </c>
      <c r="D158" s="13">
        <v>28.0</v>
      </c>
      <c r="E158" s="13">
        <v>146.0</v>
      </c>
    </row>
    <row r="159">
      <c r="A159" s="13">
        <v>1275050.0</v>
      </c>
      <c r="B159" s="4">
        <v>30.0</v>
      </c>
      <c r="C159" s="13">
        <v>68.0</v>
      </c>
      <c r="D159" s="13">
        <v>34.0</v>
      </c>
      <c r="E159" s="13">
        <v>255.0</v>
      </c>
    </row>
    <row r="160">
      <c r="A160" s="13">
        <v>1275899.0</v>
      </c>
      <c r="B160" s="4">
        <v>30.0</v>
      </c>
      <c r="C160" s="13">
        <v>106.0</v>
      </c>
      <c r="D160" s="13">
        <v>27.0</v>
      </c>
      <c r="E160" s="13">
        <v>39.0</v>
      </c>
    </row>
    <row r="161">
      <c r="A161" s="13">
        <v>1201016.0</v>
      </c>
      <c r="B161" s="4">
        <v>50.0</v>
      </c>
      <c r="C161" s="13">
        <v>349.0</v>
      </c>
      <c r="D161" s="13">
        <v>42.0</v>
      </c>
      <c r="E161" s="13">
        <v>859.0</v>
      </c>
    </row>
    <row r="162">
      <c r="A162" s="13">
        <v>1275996.0</v>
      </c>
      <c r="B162" s="4">
        <v>30.0</v>
      </c>
      <c r="C162" s="13">
        <v>109.0</v>
      </c>
      <c r="D162" s="13">
        <v>35.0</v>
      </c>
      <c r="E162" s="13">
        <v>153.0</v>
      </c>
    </row>
    <row r="163">
      <c r="A163" s="13">
        <v>1275655.0</v>
      </c>
      <c r="B163" s="4">
        <v>30.0</v>
      </c>
      <c r="C163" s="13">
        <v>758.0</v>
      </c>
      <c r="D163" s="13">
        <v>158.0</v>
      </c>
      <c r="E163" s="13">
        <v>2489.0</v>
      </c>
    </row>
    <row r="164">
      <c r="A164" s="13">
        <v>1273106.0</v>
      </c>
      <c r="B164" s="4">
        <v>28.0</v>
      </c>
      <c r="C164" s="13">
        <v>101.0</v>
      </c>
      <c r="D164" s="13">
        <v>20.0</v>
      </c>
      <c r="E164" s="13">
        <v>151.0</v>
      </c>
    </row>
    <row r="165">
      <c r="A165" s="13">
        <v>1207069.0</v>
      </c>
      <c r="B165" s="4">
        <v>34.0</v>
      </c>
      <c r="C165" s="13">
        <v>33.0</v>
      </c>
      <c r="D165" s="13">
        <v>12.0</v>
      </c>
      <c r="E165" s="13">
        <v>3.0</v>
      </c>
    </row>
    <row r="166">
      <c r="A166" s="13">
        <v>1208020.0</v>
      </c>
      <c r="B166" s="4">
        <v>27.0</v>
      </c>
      <c r="C166" s="13">
        <v>62.0</v>
      </c>
      <c r="D166" s="13">
        <v>14.0</v>
      </c>
      <c r="E166" s="13">
        <v>40.0</v>
      </c>
    </row>
    <row r="167">
      <c r="A167" s="13">
        <v>1223018.0</v>
      </c>
      <c r="B167" s="4">
        <v>51.0</v>
      </c>
      <c r="C167" s="13">
        <v>56.0</v>
      </c>
      <c r="D167" s="13">
        <v>22.0</v>
      </c>
      <c r="E167" s="13">
        <v>182.0</v>
      </c>
    </row>
    <row r="168">
      <c r="A168" s="13">
        <v>1218025.0</v>
      </c>
      <c r="B168" s="4">
        <v>47.0</v>
      </c>
      <c r="C168" s="13">
        <v>50.0</v>
      </c>
      <c r="D168" s="13">
        <v>12.0</v>
      </c>
      <c r="E168" s="13">
        <v>11.0</v>
      </c>
    </row>
    <row r="169">
      <c r="A169" s="13">
        <v>1212184.0</v>
      </c>
      <c r="B169" s="4">
        <v>26.0</v>
      </c>
      <c r="C169" s="13">
        <v>65.0</v>
      </c>
      <c r="D169" s="13">
        <v>15.0</v>
      </c>
      <c r="E169" s="13">
        <v>35.0</v>
      </c>
    </row>
    <row r="170">
      <c r="A170" s="13">
        <v>1273055.0</v>
      </c>
      <c r="B170" s="4">
        <v>28.0</v>
      </c>
      <c r="C170" s="13">
        <v>237.0</v>
      </c>
      <c r="D170" s="13">
        <v>44.0</v>
      </c>
      <c r="E170" s="13">
        <v>562.0</v>
      </c>
    </row>
    <row r="171">
      <c r="A171" s="13">
        <v>1276092.0</v>
      </c>
      <c r="B171" s="4">
        <v>36.0</v>
      </c>
      <c r="C171" s="13">
        <v>30.0</v>
      </c>
      <c r="D171" s="13">
        <v>16.0</v>
      </c>
      <c r="E171" s="13">
        <v>182.0</v>
      </c>
    </row>
    <row r="172">
      <c r="A172" s="13">
        <v>1208060.0</v>
      </c>
      <c r="B172" s="4">
        <v>27.0</v>
      </c>
      <c r="C172" s="13">
        <v>50.0</v>
      </c>
      <c r="D172" s="13">
        <v>18.0</v>
      </c>
      <c r="E172" s="13">
        <v>37.0</v>
      </c>
    </row>
    <row r="173">
      <c r="A173" s="13">
        <v>1275265.0</v>
      </c>
      <c r="B173" s="4">
        <v>30.0</v>
      </c>
      <c r="C173" s="13">
        <v>179.0</v>
      </c>
      <c r="D173" s="13">
        <v>47.0</v>
      </c>
      <c r="E173" s="13">
        <v>235.0</v>
      </c>
    </row>
    <row r="174">
      <c r="A174" s="13">
        <v>1274061.0</v>
      </c>
      <c r="B174" s="4">
        <v>41.0</v>
      </c>
      <c r="C174" s="13">
        <v>50.0</v>
      </c>
      <c r="D174" s="13">
        <v>15.0</v>
      </c>
      <c r="E174" s="13">
        <v>41.0</v>
      </c>
    </row>
    <row r="175">
      <c r="A175" s="13">
        <v>1223006.0</v>
      </c>
      <c r="B175" s="4">
        <v>51.0</v>
      </c>
      <c r="C175" s="13">
        <v>31.0</v>
      </c>
      <c r="D175" s="13">
        <v>12.0</v>
      </c>
      <c r="E175" s="13">
        <v>182.0</v>
      </c>
    </row>
    <row r="176">
      <c r="A176" s="13">
        <v>1205024.0</v>
      </c>
      <c r="B176" s="4">
        <v>52.0</v>
      </c>
      <c r="C176" s="13">
        <v>108.0</v>
      </c>
      <c r="D176" s="13">
        <v>33.0</v>
      </c>
      <c r="E176" s="13">
        <v>252.0</v>
      </c>
    </row>
    <row r="177">
      <c r="A177" s="13">
        <v>1212181.0</v>
      </c>
      <c r="B177" s="4">
        <v>26.0</v>
      </c>
      <c r="C177" s="13">
        <v>231.0</v>
      </c>
      <c r="D177" s="13">
        <v>28.0</v>
      </c>
      <c r="E177" s="13">
        <v>233.0</v>
      </c>
    </row>
    <row r="178">
      <c r="A178" s="13">
        <v>1212012.0</v>
      </c>
      <c r="B178" s="4">
        <v>26.0</v>
      </c>
      <c r="C178" s="13">
        <v>211.0</v>
      </c>
      <c r="D178" s="13">
        <v>136.0</v>
      </c>
      <c r="E178" s="13">
        <v>668.0</v>
      </c>
    </row>
    <row r="179">
      <c r="A179" s="13">
        <v>1223002.0</v>
      </c>
      <c r="B179" s="4">
        <v>51.0</v>
      </c>
      <c r="C179" s="13">
        <v>120.0</v>
      </c>
      <c r="D179" s="13">
        <v>26.0</v>
      </c>
      <c r="E179" s="13">
        <v>272.0</v>
      </c>
    </row>
    <row r="180">
      <c r="A180" s="13">
        <v>1213035.0</v>
      </c>
      <c r="B180" s="4">
        <v>25.0</v>
      </c>
      <c r="C180" s="13">
        <v>102.0</v>
      </c>
      <c r="D180" s="13">
        <v>78.0</v>
      </c>
      <c r="E180" s="13">
        <v>212.0</v>
      </c>
    </row>
    <row r="181">
      <c r="A181" s="13">
        <v>1276090.0</v>
      </c>
      <c r="B181" s="4">
        <v>36.0</v>
      </c>
      <c r="C181" s="13">
        <v>47.0</v>
      </c>
      <c r="D181" s="13">
        <v>15.0</v>
      </c>
      <c r="E181" s="13">
        <v>182.0</v>
      </c>
    </row>
    <row r="182">
      <c r="A182" s="13">
        <v>1218024.0</v>
      </c>
      <c r="B182" s="4">
        <v>47.0</v>
      </c>
      <c r="C182" s="13">
        <v>172.0</v>
      </c>
      <c r="D182" s="13">
        <v>28.0</v>
      </c>
      <c r="E182" s="13">
        <v>129.0</v>
      </c>
    </row>
    <row r="183">
      <c r="A183" s="13">
        <v>1275930.0</v>
      </c>
      <c r="B183" s="4">
        <v>30.0</v>
      </c>
      <c r="C183" s="13">
        <v>135.0</v>
      </c>
      <c r="D183" s="13">
        <v>72.0</v>
      </c>
      <c r="E183" s="13">
        <v>230.0</v>
      </c>
    </row>
    <row r="184">
      <c r="A184" s="13">
        <v>1212172.0</v>
      </c>
      <c r="B184" s="4">
        <v>26.0</v>
      </c>
      <c r="C184" s="13">
        <v>100.0</v>
      </c>
      <c r="D184" s="13">
        <v>47.0</v>
      </c>
      <c r="E184" s="13">
        <v>208.0</v>
      </c>
    </row>
    <row r="185">
      <c r="A185" s="13">
        <v>1275094.0</v>
      </c>
      <c r="B185" s="4">
        <v>30.0</v>
      </c>
      <c r="C185" s="13">
        <v>178.0</v>
      </c>
      <c r="D185" s="13">
        <v>55.0</v>
      </c>
      <c r="E185" s="13">
        <v>227.0</v>
      </c>
    </row>
    <row r="186">
      <c r="A186" s="13">
        <v>1277011.0</v>
      </c>
      <c r="B186" s="4">
        <v>24.0</v>
      </c>
      <c r="C186" s="13">
        <v>151.0</v>
      </c>
      <c r="D186" s="13">
        <v>28.0</v>
      </c>
      <c r="E186" s="13">
        <v>477.0</v>
      </c>
    </row>
    <row r="187">
      <c r="A187" s="13">
        <v>1276040.0</v>
      </c>
      <c r="B187" s="4">
        <v>36.0</v>
      </c>
      <c r="C187" s="13">
        <v>125.0</v>
      </c>
      <c r="D187" s="13">
        <v>27.0</v>
      </c>
      <c r="E187" s="13">
        <v>119.0</v>
      </c>
    </row>
    <row r="188">
      <c r="A188" s="13">
        <v>1275888.0</v>
      </c>
      <c r="B188" s="4">
        <v>30.0</v>
      </c>
      <c r="C188" s="13">
        <v>130.0</v>
      </c>
      <c r="D188" s="13">
        <v>98.0</v>
      </c>
      <c r="E188" s="13">
        <v>203.0</v>
      </c>
    </row>
    <row r="189">
      <c r="A189" s="13">
        <v>1275724.0</v>
      </c>
      <c r="B189" s="4">
        <v>30.0</v>
      </c>
      <c r="C189" s="13">
        <v>65.0</v>
      </c>
      <c r="D189" s="13">
        <v>33.0</v>
      </c>
      <c r="E189" s="13">
        <v>178.0</v>
      </c>
    </row>
    <row r="190">
      <c r="A190" s="13">
        <v>1212175.0</v>
      </c>
      <c r="B190" s="4">
        <v>26.0</v>
      </c>
      <c r="C190" s="13">
        <v>110.0</v>
      </c>
      <c r="D190" s="13">
        <v>16.0</v>
      </c>
      <c r="E190" s="13">
        <v>20.0</v>
      </c>
    </row>
    <row r="191">
      <c r="A191" s="13">
        <v>1209010.0</v>
      </c>
      <c r="B191" s="4">
        <v>38.0</v>
      </c>
      <c r="C191" s="13">
        <v>121.0</v>
      </c>
      <c r="D191" s="13">
        <v>19.0</v>
      </c>
      <c r="E191" s="13">
        <v>152.0</v>
      </c>
    </row>
    <row r="192">
      <c r="A192" s="13">
        <v>1212045.0</v>
      </c>
      <c r="B192" s="4">
        <v>26.0</v>
      </c>
      <c r="C192" s="13">
        <v>402.0</v>
      </c>
      <c r="D192" s="13">
        <v>46.0</v>
      </c>
      <c r="E192" s="13">
        <v>555.0</v>
      </c>
    </row>
    <row r="193">
      <c r="A193" s="13">
        <v>1275933.0</v>
      </c>
      <c r="B193" s="4">
        <v>30.0</v>
      </c>
      <c r="C193" s="13">
        <v>50.0</v>
      </c>
      <c r="D193" s="13">
        <v>20.0</v>
      </c>
      <c r="E193" s="13">
        <v>137.0</v>
      </c>
    </row>
    <row r="194">
      <c r="A194" s="13">
        <v>1273120.0</v>
      </c>
      <c r="B194" s="4">
        <v>28.0</v>
      </c>
      <c r="C194" s="13">
        <v>51.0</v>
      </c>
      <c r="D194" s="13">
        <v>9.0</v>
      </c>
      <c r="E194" s="13">
        <v>182.0</v>
      </c>
    </row>
    <row r="195">
      <c r="A195" s="13">
        <v>1275100.0</v>
      </c>
      <c r="B195" s="4">
        <v>30.0</v>
      </c>
      <c r="C195" s="13">
        <v>100.0</v>
      </c>
      <c r="D195" s="13">
        <v>40.0</v>
      </c>
      <c r="E195" s="13">
        <v>62.0</v>
      </c>
    </row>
    <row r="196">
      <c r="A196" s="13">
        <v>1208056.0</v>
      </c>
      <c r="B196" s="4">
        <v>27.0</v>
      </c>
      <c r="C196" s="13">
        <v>111.0</v>
      </c>
      <c r="D196" s="13">
        <v>22.0</v>
      </c>
      <c r="E196" s="13">
        <v>157.0</v>
      </c>
    </row>
    <row r="197">
      <c r="A197" s="13">
        <v>1274012.0</v>
      </c>
      <c r="B197" s="4">
        <v>41.0</v>
      </c>
      <c r="C197" s="13">
        <v>202.0</v>
      </c>
      <c r="D197" s="13">
        <v>73.0</v>
      </c>
      <c r="E197" s="13">
        <v>530.0</v>
      </c>
    </row>
    <row r="198">
      <c r="A198" s="13">
        <v>1275830.0</v>
      </c>
      <c r="B198" s="4">
        <v>30.0</v>
      </c>
      <c r="C198" s="13">
        <v>223.0</v>
      </c>
      <c r="D198" s="13">
        <v>12.0</v>
      </c>
      <c r="E198" s="13">
        <v>97.0</v>
      </c>
    </row>
    <row r="199">
      <c r="A199" s="13">
        <v>1202028.0</v>
      </c>
      <c r="B199" s="4">
        <v>35.0</v>
      </c>
      <c r="C199" s="13">
        <v>108.0</v>
      </c>
      <c r="D199" s="13">
        <v>37.0</v>
      </c>
      <c r="E199" s="13">
        <v>100.0</v>
      </c>
    </row>
    <row r="200">
      <c r="A200" s="13">
        <v>1275298.0</v>
      </c>
      <c r="B200" s="4">
        <v>30.0</v>
      </c>
      <c r="C200" s="13">
        <v>261.0</v>
      </c>
      <c r="D200" s="13">
        <v>78.0</v>
      </c>
      <c r="E200" s="13">
        <v>448.0</v>
      </c>
    </row>
    <row r="201">
      <c r="A201" s="13">
        <v>1205046.0</v>
      </c>
      <c r="B201" s="4">
        <v>44.0</v>
      </c>
      <c r="C201" s="13">
        <v>107.0</v>
      </c>
      <c r="D201" s="13">
        <v>90.0</v>
      </c>
      <c r="E201" s="13">
        <v>181.0</v>
      </c>
    </row>
    <row r="202">
      <c r="A202" s="13">
        <v>1222002.0</v>
      </c>
      <c r="B202" s="4">
        <v>48.0</v>
      </c>
      <c r="C202" s="13">
        <v>133.0</v>
      </c>
      <c r="D202" s="13">
        <v>32.0</v>
      </c>
      <c r="E202" s="13">
        <v>205.0</v>
      </c>
    </row>
    <row r="203">
      <c r="A203" s="13">
        <v>1275929.0</v>
      </c>
      <c r="B203" s="4">
        <v>30.0</v>
      </c>
      <c r="C203" s="13">
        <v>45.0</v>
      </c>
      <c r="D203" s="13">
        <v>20.0</v>
      </c>
      <c r="E203" s="13">
        <v>42.0</v>
      </c>
    </row>
    <row r="204">
      <c r="A204" s="13">
        <v>1216011.0</v>
      </c>
      <c r="B204" s="4">
        <v>53.0</v>
      </c>
      <c r="C204" s="13">
        <v>100.0</v>
      </c>
      <c r="D204" s="13">
        <v>24.0</v>
      </c>
      <c r="E204" s="13">
        <v>145.0</v>
      </c>
    </row>
    <row r="205">
      <c r="A205" s="13">
        <v>1275309.0</v>
      </c>
      <c r="B205" s="4">
        <v>30.0</v>
      </c>
      <c r="C205" s="13">
        <v>17.0</v>
      </c>
      <c r="D205" s="13">
        <v>6.0</v>
      </c>
      <c r="E205" s="13">
        <v>32.0</v>
      </c>
    </row>
    <row r="206">
      <c r="A206" s="13">
        <v>1214022.0</v>
      </c>
      <c r="B206" s="4">
        <v>33.0</v>
      </c>
      <c r="C206" s="13">
        <v>38.0</v>
      </c>
      <c r="D206" s="13">
        <v>10.0</v>
      </c>
      <c r="E206" s="13">
        <v>182.0</v>
      </c>
    </row>
    <row r="207">
      <c r="A207" s="13">
        <v>1273107.0</v>
      </c>
      <c r="B207" s="4">
        <v>28.0</v>
      </c>
      <c r="C207" s="13">
        <v>16.0</v>
      </c>
      <c r="D207" s="13">
        <v>3.0</v>
      </c>
      <c r="E207" s="13">
        <v>38.0</v>
      </c>
    </row>
    <row r="208">
      <c r="A208" s="13">
        <v>1275130.0</v>
      </c>
      <c r="B208" s="4">
        <v>30.0</v>
      </c>
      <c r="C208" s="13">
        <v>60.0</v>
      </c>
      <c r="D208" s="13">
        <v>17.0</v>
      </c>
      <c r="E208" s="13">
        <v>187.0</v>
      </c>
    </row>
    <row r="209">
      <c r="A209" s="13">
        <v>1276079.0</v>
      </c>
      <c r="B209" s="4">
        <v>36.0</v>
      </c>
      <c r="C209" s="13">
        <v>79.0</v>
      </c>
      <c r="D209" s="13">
        <v>23.0</v>
      </c>
      <c r="E209" s="13">
        <v>34.0</v>
      </c>
    </row>
    <row r="210">
      <c r="A210" s="13">
        <v>1203033.0</v>
      </c>
      <c r="B210" s="4">
        <v>54.0</v>
      </c>
      <c r="C210" s="13">
        <v>110.0</v>
      </c>
      <c r="D210" s="13">
        <v>29.0</v>
      </c>
      <c r="E210" s="13">
        <v>226.0</v>
      </c>
    </row>
    <row r="211">
      <c r="A211" s="13">
        <v>1224002.0</v>
      </c>
      <c r="B211" s="4">
        <v>55.0</v>
      </c>
      <c r="C211" s="13">
        <v>58.0</v>
      </c>
      <c r="D211" s="13">
        <v>27.0</v>
      </c>
      <c r="E211" s="13">
        <v>95.0</v>
      </c>
    </row>
    <row r="212">
      <c r="A212" s="13">
        <v>1213062.0</v>
      </c>
      <c r="B212" s="4">
        <v>25.0</v>
      </c>
      <c r="C212" s="13">
        <v>230.0</v>
      </c>
      <c r="D212" s="13">
        <v>36.0</v>
      </c>
      <c r="E212" s="13">
        <v>182.0</v>
      </c>
    </row>
    <row r="213">
      <c r="A213" s="13">
        <v>1275772.0</v>
      </c>
      <c r="B213" s="4">
        <v>30.0</v>
      </c>
      <c r="C213" s="13">
        <v>112.0</v>
      </c>
      <c r="D213" s="13">
        <v>35.0</v>
      </c>
      <c r="E213" s="13">
        <v>36.0</v>
      </c>
    </row>
    <row r="214">
      <c r="A214" s="13">
        <v>1209077.0</v>
      </c>
      <c r="B214" s="4">
        <v>38.0</v>
      </c>
      <c r="C214" s="13">
        <v>103.0</v>
      </c>
      <c r="D214" s="13">
        <v>48.0</v>
      </c>
      <c r="E214" s="13">
        <v>186.0</v>
      </c>
    </row>
    <row r="215">
      <c r="A215" s="13">
        <v>1275913.0</v>
      </c>
      <c r="B215" s="4">
        <v>30.0</v>
      </c>
      <c r="C215" s="13">
        <v>210.0</v>
      </c>
      <c r="D215" s="13">
        <v>55.0</v>
      </c>
      <c r="E215" s="13">
        <v>683.0</v>
      </c>
    </row>
    <row r="216">
      <c r="A216" s="13">
        <v>1274063.0</v>
      </c>
      <c r="B216" s="4">
        <v>41.0</v>
      </c>
      <c r="C216" s="13">
        <v>133.0</v>
      </c>
      <c r="D216" s="13">
        <v>37.0</v>
      </c>
      <c r="E216" s="13">
        <v>159.0</v>
      </c>
    </row>
    <row r="217">
      <c r="A217" s="13">
        <v>1209065.0</v>
      </c>
      <c r="B217" s="4">
        <v>38.0</v>
      </c>
      <c r="C217" s="13">
        <v>54.0</v>
      </c>
      <c r="D217" s="13">
        <v>13.0</v>
      </c>
      <c r="E217" s="13">
        <v>110.0</v>
      </c>
    </row>
    <row r="218">
      <c r="A218" s="13">
        <v>1275061.0</v>
      </c>
      <c r="B218" s="4">
        <v>30.0</v>
      </c>
      <c r="C218" s="13">
        <v>100.0</v>
      </c>
      <c r="D218" s="13">
        <v>22.0</v>
      </c>
      <c r="E218" s="13">
        <v>117.0</v>
      </c>
    </row>
    <row r="219">
      <c r="A219" s="13">
        <v>1212093.0</v>
      </c>
      <c r="B219" s="4">
        <v>26.0</v>
      </c>
      <c r="C219" s="13">
        <v>104.0</v>
      </c>
      <c r="D219" s="13">
        <v>33.0</v>
      </c>
      <c r="E219" s="13">
        <v>148.0</v>
      </c>
    </row>
    <row r="220">
      <c r="A220" s="13">
        <v>1211124.0</v>
      </c>
      <c r="B220" s="4">
        <v>39.0</v>
      </c>
      <c r="C220" s="13">
        <v>164.0</v>
      </c>
      <c r="D220" s="13">
        <v>56.0</v>
      </c>
      <c r="E220" s="13">
        <v>348.0</v>
      </c>
    </row>
    <row r="221">
      <c r="A221" s="13">
        <v>1276075.0</v>
      </c>
      <c r="B221" s="4">
        <v>36.0</v>
      </c>
      <c r="C221" s="13">
        <v>199.0</v>
      </c>
      <c r="D221" s="13">
        <v>49.0</v>
      </c>
      <c r="E221" s="13">
        <v>352.0</v>
      </c>
    </row>
    <row r="222">
      <c r="A222" s="13">
        <v>1277027.0</v>
      </c>
      <c r="B222" s="4">
        <v>24.0</v>
      </c>
      <c r="C222" s="13">
        <v>111.0</v>
      </c>
      <c r="D222" s="13">
        <v>57.0</v>
      </c>
      <c r="E222" s="13">
        <v>114.0</v>
      </c>
    </row>
    <row r="223">
      <c r="A223" s="13">
        <v>1275013.0</v>
      </c>
      <c r="B223" s="4">
        <v>30.0</v>
      </c>
      <c r="C223" s="13">
        <v>268.0</v>
      </c>
      <c r="D223" s="13">
        <v>95.0</v>
      </c>
      <c r="E223" s="13">
        <v>1404.0</v>
      </c>
    </row>
    <row r="224">
      <c r="A224" s="13">
        <v>1275918.0</v>
      </c>
      <c r="B224" s="4">
        <v>30.0</v>
      </c>
      <c r="C224" s="13">
        <v>69.0</v>
      </c>
      <c r="D224" s="13">
        <v>22.0</v>
      </c>
      <c r="E224" s="13">
        <v>184.0</v>
      </c>
    </row>
    <row r="225">
      <c r="A225" s="13">
        <v>1275936.0</v>
      </c>
      <c r="B225" s="4">
        <v>30.0</v>
      </c>
      <c r="C225" s="13">
        <v>117.0</v>
      </c>
      <c r="D225" s="13">
        <v>23.0</v>
      </c>
      <c r="E225" s="13">
        <v>13.0</v>
      </c>
    </row>
    <row r="226">
      <c r="A226" s="13">
        <v>1203066.0</v>
      </c>
      <c r="B226" s="4">
        <v>54.0</v>
      </c>
      <c r="C226" s="13">
        <v>51.0</v>
      </c>
      <c r="D226" s="13">
        <v>5.0</v>
      </c>
      <c r="E226" s="13">
        <v>182.0</v>
      </c>
    </row>
    <row r="227">
      <c r="A227" s="13">
        <v>1275852.0</v>
      </c>
      <c r="B227" s="4">
        <v>30.0</v>
      </c>
      <c r="C227" s="13">
        <v>227.0</v>
      </c>
      <c r="D227" s="13">
        <v>136.0</v>
      </c>
      <c r="E227" s="13">
        <v>856.0</v>
      </c>
    </row>
    <row r="228">
      <c r="A228" s="13">
        <v>1275600.0</v>
      </c>
      <c r="B228" s="4">
        <v>30.0</v>
      </c>
      <c r="C228" s="13">
        <v>116.0</v>
      </c>
      <c r="D228" s="13">
        <v>34.0</v>
      </c>
      <c r="E228" s="13">
        <v>135.0</v>
      </c>
    </row>
    <row r="229">
      <c r="A229" s="13">
        <v>1207015.0</v>
      </c>
      <c r="B229" s="4">
        <v>34.0</v>
      </c>
      <c r="C229" s="13">
        <v>220.0</v>
      </c>
      <c r="D229" s="13">
        <v>97.0</v>
      </c>
      <c r="E229" s="13">
        <v>590.0</v>
      </c>
    </row>
    <row r="230">
      <c r="A230" s="13">
        <v>1273119.0</v>
      </c>
      <c r="B230" s="4">
        <v>28.0</v>
      </c>
      <c r="C230" s="13">
        <v>183.0</v>
      </c>
      <c r="D230" s="13">
        <v>33.0</v>
      </c>
      <c r="E230" s="13">
        <v>182.0</v>
      </c>
    </row>
    <row r="231">
      <c r="A231" s="13">
        <v>1274062.0</v>
      </c>
      <c r="B231" s="4">
        <v>41.0</v>
      </c>
      <c r="C231" s="13">
        <v>54.0</v>
      </c>
      <c r="D231" s="13">
        <v>9.0</v>
      </c>
      <c r="E231" s="13">
        <v>6.0</v>
      </c>
    </row>
    <row r="232">
      <c r="A232" s="13">
        <v>1211127.0</v>
      </c>
      <c r="B232" s="4">
        <v>39.0</v>
      </c>
      <c r="C232" s="13">
        <v>28.0</v>
      </c>
      <c r="D232" s="13">
        <v>15.0</v>
      </c>
      <c r="E232" s="13">
        <v>33.0</v>
      </c>
    </row>
    <row r="233">
      <c r="A233" s="13">
        <v>1272010.0</v>
      </c>
      <c r="B233" s="4">
        <v>29.0</v>
      </c>
      <c r="C233" s="13">
        <v>117.0</v>
      </c>
      <c r="D233" s="13">
        <v>33.0</v>
      </c>
      <c r="E233" s="13">
        <v>257.0</v>
      </c>
    </row>
    <row r="234">
      <c r="A234" s="13">
        <v>1275931.0</v>
      </c>
      <c r="B234" s="4">
        <v>30.0</v>
      </c>
      <c r="C234" s="13">
        <v>175.0</v>
      </c>
      <c r="D234" s="13">
        <v>75.0</v>
      </c>
      <c r="E234" s="13">
        <v>118.0</v>
      </c>
    </row>
    <row r="235">
      <c r="A235" s="13">
        <v>1212179.0</v>
      </c>
      <c r="B235" s="4">
        <v>26.0</v>
      </c>
      <c r="C235" s="13">
        <v>118.0</v>
      </c>
      <c r="D235" s="13">
        <v>22.0</v>
      </c>
      <c r="E235" s="13">
        <v>177.0</v>
      </c>
    </row>
    <row r="236">
      <c r="A236" s="13">
        <v>1275152.0</v>
      </c>
      <c r="B236" s="4">
        <v>30.0</v>
      </c>
      <c r="C236" s="13">
        <v>50.0</v>
      </c>
      <c r="D236" s="13">
        <v>15.0</v>
      </c>
      <c r="E236" s="13">
        <v>52.0</v>
      </c>
    </row>
    <row r="237">
      <c r="A237" s="13">
        <v>1219015.0</v>
      </c>
      <c r="B237" s="4">
        <v>42.0</v>
      </c>
      <c r="C237" s="13">
        <v>95.0</v>
      </c>
      <c r="D237" s="13">
        <v>11.0</v>
      </c>
      <c r="E237" s="13">
        <v>182.0</v>
      </c>
    </row>
    <row r="238">
      <c r="A238" s="13">
        <v>1203055.0</v>
      </c>
      <c r="B238" s="4">
        <v>56.0</v>
      </c>
      <c r="C238" s="13">
        <v>106.0</v>
      </c>
      <c r="D238" s="13">
        <v>41.0</v>
      </c>
      <c r="E238" s="13">
        <v>400.0</v>
      </c>
    </row>
    <row r="239">
      <c r="A239" s="13">
        <v>1208064.0</v>
      </c>
      <c r="B239" s="4">
        <v>27.0</v>
      </c>
      <c r="C239" s="13">
        <v>87.0</v>
      </c>
      <c r="D239" s="13">
        <v>23.0</v>
      </c>
      <c r="E239" s="13">
        <v>25.0</v>
      </c>
    </row>
    <row r="240">
      <c r="A240" s="13">
        <v>1275794.0</v>
      </c>
      <c r="B240" s="4">
        <v>26.0</v>
      </c>
      <c r="C240" s="13">
        <v>260.0</v>
      </c>
      <c r="D240" s="13">
        <v>138.0</v>
      </c>
      <c r="E240" s="13">
        <v>641.0</v>
      </c>
    </row>
    <row r="241">
      <c r="A241" s="13">
        <v>1275011.0</v>
      </c>
      <c r="B241" s="4">
        <v>30.0</v>
      </c>
      <c r="C241" s="13">
        <v>152.0</v>
      </c>
      <c r="D241" s="13">
        <v>60.0</v>
      </c>
      <c r="E241" s="13">
        <v>182.0</v>
      </c>
    </row>
    <row r="242">
      <c r="A242" s="13">
        <v>1219017.0</v>
      </c>
      <c r="B242" s="4">
        <v>42.0</v>
      </c>
      <c r="C242" s="13">
        <v>254.0</v>
      </c>
      <c r="D242" s="13">
        <v>38.0</v>
      </c>
      <c r="E242" s="13">
        <v>182.0</v>
      </c>
    </row>
    <row r="243">
      <c r="A243" s="13">
        <v>1210010.0</v>
      </c>
      <c r="B243" s="4">
        <v>40.0</v>
      </c>
      <c r="C243" s="13">
        <v>150.0</v>
      </c>
      <c r="D243" s="13">
        <v>26.0</v>
      </c>
      <c r="E243" s="13">
        <v>431.0</v>
      </c>
    </row>
    <row r="244">
      <c r="A244" s="13">
        <v>1223005.0</v>
      </c>
      <c r="B244" s="4">
        <v>51.0</v>
      </c>
      <c r="C244" s="13">
        <v>70.0</v>
      </c>
      <c r="D244" s="13">
        <v>17.0</v>
      </c>
      <c r="E244" s="13">
        <v>32.0</v>
      </c>
    </row>
    <row r="245">
      <c r="A245" s="13">
        <v>1212136.0</v>
      </c>
      <c r="B245" s="4">
        <v>26.0</v>
      </c>
      <c r="C245" s="13">
        <v>110.0</v>
      </c>
      <c r="D245" s="13">
        <v>40.0</v>
      </c>
      <c r="E245" s="13">
        <v>113.0</v>
      </c>
    </row>
    <row r="246">
      <c r="A246" s="13">
        <v>1221002.0</v>
      </c>
      <c r="B246" s="4">
        <v>56.0</v>
      </c>
      <c r="C246" s="13">
        <v>62.0</v>
      </c>
      <c r="D246" s="13">
        <v>20.0</v>
      </c>
      <c r="E246" s="13">
        <v>96.0</v>
      </c>
    </row>
    <row r="247">
      <c r="A247" s="13">
        <v>1275046.0</v>
      </c>
      <c r="B247" s="4">
        <v>30.0</v>
      </c>
      <c r="C247" s="13">
        <v>205.0</v>
      </c>
      <c r="D247" s="13">
        <v>55.0</v>
      </c>
      <c r="E247" s="13">
        <v>72.0</v>
      </c>
    </row>
    <row r="248">
      <c r="A248" s="13">
        <v>1225013.0</v>
      </c>
      <c r="B248" s="4">
        <v>37.0</v>
      </c>
      <c r="C248" s="13">
        <v>84.0</v>
      </c>
      <c r="D248" s="13">
        <v>14.0</v>
      </c>
      <c r="E248" s="13">
        <v>182.0</v>
      </c>
    </row>
    <row r="249">
      <c r="A249" s="13">
        <v>1275898.0</v>
      </c>
      <c r="B249" s="4">
        <v>30.0</v>
      </c>
      <c r="C249" s="13">
        <v>16.0</v>
      </c>
      <c r="D249" s="13">
        <v>19.0</v>
      </c>
      <c r="E249" s="13">
        <v>169.0</v>
      </c>
    </row>
    <row r="250">
      <c r="A250" s="13">
        <v>1218029.0</v>
      </c>
      <c r="B250" s="4">
        <v>47.0</v>
      </c>
      <c r="C250" s="13">
        <v>47.0</v>
      </c>
      <c r="D250" s="13">
        <v>28.0</v>
      </c>
      <c r="E250" s="13">
        <v>1.0</v>
      </c>
    </row>
    <row r="251">
      <c r="A251" s="13">
        <v>1212185.0</v>
      </c>
      <c r="B251" s="4">
        <v>26.0</v>
      </c>
      <c r="C251" s="13">
        <v>110.0</v>
      </c>
      <c r="D251" s="13">
        <v>21.0</v>
      </c>
      <c r="E251" s="13">
        <v>72.0</v>
      </c>
    </row>
    <row r="252">
      <c r="A252" s="13">
        <v>1275885.0</v>
      </c>
      <c r="B252" s="4">
        <v>30.0</v>
      </c>
      <c r="C252" s="13">
        <v>62.0</v>
      </c>
      <c r="D252" s="13">
        <v>28.0</v>
      </c>
      <c r="E252" s="13">
        <v>81.0</v>
      </c>
    </row>
    <row r="253">
      <c r="A253" s="13">
        <v>1275633.0</v>
      </c>
      <c r="B253" s="4">
        <v>30.0</v>
      </c>
      <c r="C253" s="13">
        <v>156.0</v>
      </c>
      <c r="D253" s="13">
        <v>66.0</v>
      </c>
      <c r="E253" s="13">
        <v>403.0</v>
      </c>
    </row>
    <row r="254">
      <c r="A254" s="13">
        <v>1275914.0</v>
      </c>
      <c r="B254" s="4">
        <v>30.0</v>
      </c>
      <c r="C254" s="13">
        <v>16.0</v>
      </c>
      <c r="D254" s="13">
        <v>17.0</v>
      </c>
      <c r="E254" s="13">
        <v>51.0</v>
      </c>
    </row>
    <row r="255">
      <c r="A255" s="13">
        <v>1208016.0</v>
      </c>
      <c r="B255" s="4">
        <v>27.0</v>
      </c>
      <c r="C255" s="13">
        <v>121.0</v>
      </c>
      <c r="D255" s="13">
        <v>42.0</v>
      </c>
      <c r="E255" s="13">
        <v>119.0</v>
      </c>
    </row>
    <row r="256">
      <c r="A256" s="13">
        <v>1271033.0</v>
      </c>
      <c r="B256" s="4">
        <v>45.0</v>
      </c>
      <c r="C256" s="13">
        <v>110.0</v>
      </c>
      <c r="D256" s="13">
        <v>74.0</v>
      </c>
      <c r="E256" s="13">
        <v>157.0</v>
      </c>
    </row>
    <row r="257">
      <c r="A257" s="13">
        <v>1275889.0</v>
      </c>
      <c r="B257" s="4">
        <v>30.0</v>
      </c>
      <c r="C257" s="13">
        <v>339.0</v>
      </c>
      <c r="D257" s="13">
        <v>121.0</v>
      </c>
      <c r="E257" s="13">
        <v>826.0</v>
      </c>
    </row>
    <row r="258">
      <c r="A258" s="13">
        <v>1214011.0</v>
      </c>
      <c r="B258" s="4">
        <v>33.0</v>
      </c>
      <c r="C258" s="13">
        <v>50.0</v>
      </c>
      <c r="D258" s="13">
        <v>21.0</v>
      </c>
      <c r="E258" s="13">
        <v>21.0</v>
      </c>
    </row>
    <row r="259">
      <c r="A259" s="13">
        <v>1213058.0</v>
      </c>
      <c r="B259" s="4">
        <v>25.0</v>
      </c>
      <c r="C259" s="13">
        <v>66.0</v>
      </c>
      <c r="D259" s="13">
        <v>19.0</v>
      </c>
      <c r="E259" s="13">
        <v>34.0</v>
      </c>
    </row>
    <row r="260">
      <c r="A260" s="13">
        <v>1273108.0</v>
      </c>
      <c r="B260" s="4">
        <v>28.0</v>
      </c>
      <c r="C260" s="13">
        <v>44.0</v>
      </c>
      <c r="D260" s="13">
        <v>14.0</v>
      </c>
      <c r="E260" s="13">
        <v>47.0</v>
      </c>
    </row>
    <row r="261">
      <c r="A261" s="13">
        <v>1273022.0</v>
      </c>
      <c r="B261" s="4">
        <v>28.0</v>
      </c>
      <c r="C261" s="13">
        <v>177.0</v>
      </c>
      <c r="D261" s="13">
        <v>31.0</v>
      </c>
      <c r="E261" s="13">
        <v>366.0</v>
      </c>
    </row>
    <row r="262">
      <c r="A262" s="13">
        <v>1275221.0</v>
      </c>
      <c r="B262" s="4">
        <v>30.0</v>
      </c>
      <c r="C262" s="13">
        <v>450.0</v>
      </c>
      <c r="D262" s="13">
        <v>30.0</v>
      </c>
      <c r="E262" s="13">
        <v>441.0</v>
      </c>
    </row>
    <row r="263">
      <c r="A263" s="13">
        <v>1275890.0</v>
      </c>
      <c r="B263" s="4">
        <v>30.0</v>
      </c>
      <c r="C263" s="13">
        <v>269.0</v>
      </c>
      <c r="D263" s="13">
        <v>91.0</v>
      </c>
      <c r="E263" s="13">
        <v>710.0</v>
      </c>
    </row>
    <row r="264">
      <c r="A264" s="13">
        <v>1202029.0</v>
      </c>
      <c r="B264" s="4">
        <v>35.0</v>
      </c>
      <c r="C264" s="13">
        <v>102.0</v>
      </c>
      <c r="D264" s="13">
        <v>26.0</v>
      </c>
      <c r="E264" s="13">
        <v>182.0</v>
      </c>
    </row>
    <row r="265">
      <c r="A265" s="13">
        <v>1212183.0</v>
      </c>
      <c r="B265" s="4">
        <v>26.0</v>
      </c>
      <c r="C265" s="13">
        <v>100.0</v>
      </c>
      <c r="D265" s="13">
        <v>30.0</v>
      </c>
      <c r="E265" s="13">
        <v>10.0</v>
      </c>
    </row>
    <row r="266">
      <c r="A266" s="13">
        <v>1205013.0</v>
      </c>
      <c r="B266" s="4">
        <v>32.0</v>
      </c>
      <c r="C266" s="13">
        <v>204.0</v>
      </c>
      <c r="D266" s="13">
        <v>106.0</v>
      </c>
      <c r="E266" s="13">
        <v>738.0</v>
      </c>
    </row>
    <row r="267">
      <c r="A267" s="13">
        <v>1211033.0</v>
      </c>
      <c r="B267" s="4">
        <v>39.0</v>
      </c>
      <c r="C267" s="13">
        <v>51.0</v>
      </c>
      <c r="D267" s="13">
        <v>17.0</v>
      </c>
      <c r="E267" s="13">
        <v>31.0</v>
      </c>
    </row>
    <row r="268">
      <c r="A268" s="13">
        <v>1206063.0</v>
      </c>
      <c r="B268" s="4">
        <v>48.0</v>
      </c>
      <c r="C268" s="13">
        <v>108.0</v>
      </c>
      <c r="D268" s="13">
        <v>25.0</v>
      </c>
      <c r="E268" s="13">
        <v>151.0</v>
      </c>
    </row>
    <row r="269">
      <c r="A269" s="13">
        <v>1208057.0</v>
      </c>
      <c r="B269" s="4">
        <v>27.0</v>
      </c>
      <c r="C269" s="13">
        <v>92.0</v>
      </c>
      <c r="D269" s="13">
        <v>25.0</v>
      </c>
      <c r="E269" s="13">
        <v>119.0</v>
      </c>
    </row>
    <row r="270">
      <c r="A270" s="13">
        <v>1213024.0</v>
      </c>
      <c r="B270" s="4">
        <v>25.0</v>
      </c>
      <c r="C270" s="13">
        <v>106.0</v>
      </c>
      <c r="D270" s="13">
        <v>17.0</v>
      </c>
      <c r="E270" s="13">
        <v>160.0</v>
      </c>
    </row>
    <row r="271">
      <c r="A271" s="13">
        <v>1218013.0</v>
      </c>
      <c r="B271" s="4">
        <v>47.0</v>
      </c>
      <c r="C271" s="13">
        <v>68.0</v>
      </c>
      <c r="D271" s="13">
        <v>23.0</v>
      </c>
      <c r="E271" s="13">
        <v>61.0</v>
      </c>
    </row>
    <row r="272">
      <c r="A272" s="13">
        <v>1276076.0</v>
      </c>
      <c r="B272" s="4">
        <v>36.0</v>
      </c>
      <c r="C272" s="13">
        <v>68.0</v>
      </c>
      <c r="D272" s="13">
        <v>79.0</v>
      </c>
      <c r="E272" s="13">
        <v>54.0</v>
      </c>
    </row>
    <row r="273">
      <c r="A273" s="13">
        <v>1275072.0</v>
      </c>
      <c r="B273" s="4">
        <v>30.0</v>
      </c>
      <c r="C273" s="13">
        <v>210.0</v>
      </c>
      <c r="D273" s="13">
        <v>73.0</v>
      </c>
      <c r="E273" s="13">
        <v>561.0</v>
      </c>
    </row>
    <row r="274">
      <c r="A274" s="13">
        <v>1202017.0</v>
      </c>
      <c r="B274" s="4">
        <v>35.0</v>
      </c>
      <c r="C274" s="13">
        <v>28.0</v>
      </c>
      <c r="D274" s="13">
        <v>15.0</v>
      </c>
      <c r="E274" s="13">
        <v>292.0</v>
      </c>
    </row>
    <row r="275">
      <c r="A275" s="13">
        <v>1275012.0</v>
      </c>
      <c r="B275" s="4">
        <v>30.0</v>
      </c>
      <c r="C275" s="13">
        <v>100.0</v>
      </c>
      <c r="D275" s="13">
        <v>25.0</v>
      </c>
      <c r="E275" s="13">
        <v>182.0</v>
      </c>
    </row>
    <row r="276">
      <c r="A276" s="13">
        <v>1276014.0</v>
      </c>
      <c r="B276" s="4">
        <v>36.0</v>
      </c>
      <c r="C276" s="13">
        <v>205.0</v>
      </c>
      <c r="D276" s="13">
        <v>40.0</v>
      </c>
      <c r="E276" s="13">
        <v>421.0</v>
      </c>
    </row>
    <row r="277">
      <c r="A277" s="13">
        <v>1276078.0</v>
      </c>
      <c r="B277" s="4">
        <v>36.0</v>
      </c>
      <c r="C277" s="13">
        <v>124.0</v>
      </c>
      <c r="D277" s="13">
        <v>31.0</v>
      </c>
      <c r="E277" s="13">
        <v>106.0</v>
      </c>
    </row>
    <row r="278">
      <c r="A278" s="13">
        <v>1275702.0</v>
      </c>
      <c r="B278" s="4">
        <v>30.0</v>
      </c>
      <c r="C278" s="13">
        <v>77.0</v>
      </c>
      <c r="D278" s="13">
        <v>15.0</v>
      </c>
      <c r="E278" s="13">
        <v>47.0</v>
      </c>
    </row>
    <row r="279">
      <c r="A279" s="13">
        <v>1203067.0</v>
      </c>
      <c r="B279" s="4">
        <v>54.0</v>
      </c>
      <c r="C279" s="13">
        <v>23.0</v>
      </c>
      <c r="D279" s="13">
        <v>9.0</v>
      </c>
      <c r="E279" s="13">
        <v>182.0</v>
      </c>
    </row>
    <row r="280">
      <c r="A280" s="13">
        <v>1276074.0</v>
      </c>
      <c r="B280" s="4">
        <v>36.0</v>
      </c>
      <c r="C280" s="13">
        <v>118.0</v>
      </c>
      <c r="D280" s="13">
        <v>53.0</v>
      </c>
      <c r="E280" s="13">
        <v>117.0</v>
      </c>
    </row>
    <row r="281">
      <c r="A281" s="13">
        <v>1212174.0</v>
      </c>
      <c r="B281" s="4">
        <v>26.0</v>
      </c>
      <c r="C281" s="13">
        <v>50.0</v>
      </c>
      <c r="D281" s="13">
        <v>15.0</v>
      </c>
      <c r="E281" s="13">
        <v>36.0</v>
      </c>
    </row>
    <row r="282">
      <c r="A282" s="13">
        <v>1208053.0</v>
      </c>
      <c r="B282" s="4">
        <v>27.0</v>
      </c>
      <c r="C282" s="13">
        <v>65.0</v>
      </c>
      <c r="D282" s="13">
        <v>17.0</v>
      </c>
      <c r="E282" s="13">
        <v>46.0</v>
      </c>
    </row>
    <row r="283">
      <c r="A283" s="13">
        <v>1275999.0</v>
      </c>
      <c r="B283" s="4">
        <v>30.0</v>
      </c>
      <c r="C283" s="13">
        <v>36.0</v>
      </c>
      <c r="D283" s="13">
        <v>19.0</v>
      </c>
      <c r="E283" s="13">
        <v>30.0</v>
      </c>
    </row>
    <row r="284">
      <c r="A284" s="13">
        <v>1218026.0</v>
      </c>
      <c r="B284" s="4">
        <v>47.0</v>
      </c>
      <c r="C284" s="13">
        <v>100.0</v>
      </c>
      <c r="D284" s="13">
        <v>30.0</v>
      </c>
      <c r="E284" s="13">
        <v>190.0</v>
      </c>
    </row>
    <row r="285">
      <c r="A285" s="13">
        <v>1371400.0</v>
      </c>
      <c r="B285" s="4">
        <v>57.0</v>
      </c>
      <c r="C285" s="13">
        <v>28.0</v>
      </c>
      <c r="D285" s="13">
        <v>12.0</v>
      </c>
      <c r="E285" s="13">
        <v>31.0</v>
      </c>
    </row>
    <row r="286">
      <c r="A286" s="13">
        <v>1376017.0</v>
      </c>
      <c r="B286" s="4">
        <v>58.0</v>
      </c>
      <c r="C286" s="13">
        <v>43.0</v>
      </c>
      <c r="D286" s="13">
        <v>23.0</v>
      </c>
      <c r="E286" s="13">
        <v>97.0</v>
      </c>
    </row>
    <row r="287">
      <c r="A287" s="13">
        <v>1306015.0</v>
      </c>
      <c r="B287" s="4">
        <v>59.0</v>
      </c>
      <c r="C287" s="13">
        <v>206.0</v>
      </c>
      <c r="D287" s="13">
        <v>81.0</v>
      </c>
      <c r="E287" s="13">
        <v>600.0</v>
      </c>
    </row>
    <row r="288">
      <c r="A288" s="13">
        <v>1305017.0</v>
      </c>
      <c r="B288" s="4">
        <v>60.0</v>
      </c>
      <c r="C288" s="13">
        <v>51.0</v>
      </c>
      <c r="D288" s="13">
        <v>20.0</v>
      </c>
      <c r="E288" s="13">
        <v>74.0</v>
      </c>
    </row>
    <row r="289">
      <c r="A289" s="13">
        <v>1375025.0</v>
      </c>
      <c r="B289" s="4">
        <v>61.0</v>
      </c>
      <c r="C289" s="13">
        <v>61.0</v>
      </c>
      <c r="D289" s="13">
        <v>32.0</v>
      </c>
      <c r="E289" s="13">
        <v>73.0</v>
      </c>
    </row>
    <row r="290">
      <c r="A290" s="13">
        <v>1371455.0</v>
      </c>
      <c r="B290" s="4">
        <v>57.0</v>
      </c>
      <c r="C290" s="13">
        <v>45.0</v>
      </c>
      <c r="D290" s="13">
        <v>16.0</v>
      </c>
      <c r="E290" s="13">
        <v>73.0</v>
      </c>
    </row>
    <row r="291">
      <c r="A291" s="13">
        <v>1310011.0</v>
      </c>
      <c r="B291" s="4">
        <v>62.0</v>
      </c>
      <c r="C291" s="13">
        <v>55.0</v>
      </c>
      <c r="D291" s="13">
        <v>46.0</v>
      </c>
      <c r="E291" s="13">
        <v>182.0</v>
      </c>
    </row>
    <row r="292">
      <c r="A292" s="13">
        <v>1371091.0</v>
      </c>
      <c r="B292" s="4">
        <v>57.0</v>
      </c>
      <c r="C292" s="13">
        <v>100.0</v>
      </c>
      <c r="D292" s="13">
        <v>87.0</v>
      </c>
      <c r="E292" s="13">
        <v>273.0</v>
      </c>
    </row>
    <row r="293">
      <c r="A293" s="13">
        <v>1371422.0</v>
      </c>
      <c r="B293" s="4">
        <v>57.0</v>
      </c>
      <c r="C293" s="13">
        <v>29.0</v>
      </c>
      <c r="D293" s="13">
        <v>26.0</v>
      </c>
      <c r="E293" s="13">
        <v>165.0</v>
      </c>
    </row>
    <row r="294">
      <c r="A294" s="13">
        <v>1308010.0</v>
      </c>
      <c r="B294" s="4">
        <v>63.0</v>
      </c>
      <c r="C294" s="13">
        <v>100.0</v>
      </c>
      <c r="D294" s="13">
        <v>39.0</v>
      </c>
      <c r="E294" s="13">
        <v>366.0</v>
      </c>
    </row>
    <row r="295">
      <c r="A295" s="13">
        <v>1375040.0</v>
      </c>
      <c r="B295" s="4">
        <v>61.0</v>
      </c>
      <c r="C295" s="13">
        <v>131.0</v>
      </c>
      <c r="D295" s="13">
        <v>57.0</v>
      </c>
      <c r="E295" s="13">
        <v>482.0</v>
      </c>
    </row>
    <row r="296">
      <c r="A296" s="13">
        <v>1372012.0</v>
      </c>
      <c r="B296" s="4">
        <v>64.0</v>
      </c>
      <c r="C296" s="13">
        <v>97.0</v>
      </c>
      <c r="D296" s="13">
        <v>28.0</v>
      </c>
      <c r="E296" s="13">
        <v>165.0</v>
      </c>
    </row>
    <row r="297">
      <c r="A297" s="13">
        <v>1302011.0</v>
      </c>
      <c r="B297" s="4">
        <v>65.0</v>
      </c>
      <c r="C297" s="13">
        <v>186.0</v>
      </c>
      <c r="D297" s="13">
        <v>63.0</v>
      </c>
      <c r="E297" s="13">
        <v>90.0</v>
      </c>
    </row>
    <row r="298">
      <c r="A298" s="13">
        <v>1376011.0</v>
      </c>
      <c r="B298" s="4">
        <v>58.0</v>
      </c>
      <c r="C298" s="13">
        <v>100.0</v>
      </c>
      <c r="D298" s="13">
        <v>29.0</v>
      </c>
      <c r="E298" s="13">
        <v>223.0</v>
      </c>
    </row>
    <row r="299">
      <c r="A299" s="13">
        <v>1371123.0</v>
      </c>
      <c r="B299" s="4">
        <v>57.0</v>
      </c>
      <c r="C299" s="13">
        <v>102.0</v>
      </c>
      <c r="D299" s="13">
        <v>32.0</v>
      </c>
      <c r="E299" s="13">
        <v>197.0</v>
      </c>
    </row>
    <row r="300">
      <c r="A300" s="13">
        <v>1372011.0</v>
      </c>
      <c r="B300" s="4">
        <v>64.0</v>
      </c>
      <c r="C300" s="13">
        <v>251.0</v>
      </c>
      <c r="D300" s="13">
        <v>99.0</v>
      </c>
      <c r="E300" s="13">
        <v>513.0</v>
      </c>
    </row>
    <row r="301">
      <c r="A301" s="13">
        <v>1371446.0</v>
      </c>
      <c r="B301" s="4">
        <v>57.0</v>
      </c>
      <c r="C301" s="13">
        <v>126.0</v>
      </c>
      <c r="D301" s="13">
        <v>112.0</v>
      </c>
      <c r="E301" s="13">
        <v>310.0</v>
      </c>
    </row>
    <row r="302">
      <c r="A302" s="13">
        <v>1372016.0</v>
      </c>
      <c r="B302" s="4">
        <v>64.0</v>
      </c>
      <c r="C302" s="13">
        <v>139.0</v>
      </c>
      <c r="D302" s="13">
        <v>18.0</v>
      </c>
      <c r="E302" s="13">
        <v>30.0</v>
      </c>
    </row>
    <row r="303">
      <c r="A303" s="13">
        <v>1376016.0</v>
      </c>
      <c r="B303" s="4">
        <v>58.0</v>
      </c>
      <c r="C303" s="13">
        <v>38.0</v>
      </c>
      <c r="D303" s="13">
        <v>15.0</v>
      </c>
      <c r="E303" s="13">
        <v>48.0</v>
      </c>
    </row>
    <row r="304">
      <c r="A304" s="13">
        <v>1309022.0</v>
      </c>
      <c r="B304" s="4">
        <v>66.0</v>
      </c>
      <c r="C304" s="13">
        <v>110.0</v>
      </c>
      <c r="D304" s="13">
        <v>27.0</v>
      </c>
      <c r="E304" s="13">
        <v>265.0</v>
      </c>
    </row>
    <row r="305">
      <c r="A305" s="13">
        <v>1371466.0</v>
      </c>
      <c r="B305" s="4">
        <v>57.0</v>
      </c>
      <c r="C305" s="13">
        <v>116.0</v>
      </c>
      <c r="D305" s="13">
        <v>81.0</v>
      </c>
      <c r="E305" s="13">
        <v>244.0</v>
      </c>
    </row>
    <row r="306">
      <c r="A306" s="13">
        <v>1303023.0</v>
      </c>
      <c r="B306" s="4">
        <v>67.0</v>
      </c>
      <c r="C306" s="13">
        <v>101.0</v>
      </c>
      <c r="D306" s="13">
        <v>31.0</v>
      </c>
      <c r="E306" s="13">
        <v>359.0</v>
      </c>
    </row>
    <row r="307">
      <c r="A307" s="13">
        <v>1371251.0</v>
      </c>
      <c r="B307" s="4">
        <v>57.0</v>
      </c>
      <c r="C307" s="13">
        <v>37.0</v>
      </c>
      <c r="D307" s="13">
        <v>24.0</v>
      </c>
      <c r="E307" s="13">
        <v>42.0</v>
      </c>
    </row>
    <row r="308">
      <c r="A308" s="13">
        <v>1374013.0</v>
      </c>
      <c r="B308" s="4">
        <v>68.0</v>
      </c>
      <c r="C308" s="13">
        <v>162.0</v>
      </c>
      <c r="D308" s="13">
        <v>93.0</v>
      </c>
      <c r="E308" s="13">
        <v>494.0</v>
      </c>
    </row>
    <row r="309">
      <c r="A309" s="13">
        <v>1305016.0</v>
      </c>
      <c r="B309" s="4">
        <v>60.0</v>
      </c>
      <c r="C309" s="13">
        <v>62.0</v>
      </c>
      <c r="D309" s="13">
        <v>19.0</v>
      </c>
      <c r="E309" s="13">
        <v>55.0</v>
      </c>
    </row>
    <row r="310">
      <c r="A310" s="13">
        <v>1377008.0</v>
      </c>
      <c r="B310" s="4">
        <v>59.0</v>
      </c>
      <c r="C310" s="13">
        <v>32.0</v>
      </c>
      <c r="D310" s="13">
        <v>16.0</v>
      </c>
      <c r="E310" s="13">
        <v>37.0</v>
      </c>
    </row>
    <row r="311">
      <c r="A311" s="13">
        <v>1309024.0</v>
      </c>
      <c r="B311" s="4">
        <v>69.0</v>
      </c>
      <c r="C311" s="13">
        <v>55.0</v>
      </c>
      <c r="D311" s="13">
        <v>28.0</v>
      </c>
      <c r="E311" s="13">
        <v>42.0</v>
      </c>
    </row>
    <row r="312">
      <c r="A312" s="13">
        <v>1371010.0</v>
      </c>
      <c r="B312" s="4">
        <v>57.0</v>
      </c>
      <c r="C312" s="13">
        <v>800.0</v>
      </c>
      <c r="D312" s="13">
        <v>81.0</v>
      </c>
      <c r="E312" s="13">
        <v>2152.0</v>
      </c>
    </row>
    <row r="313">
      <c r="A313" s="13">
        <v>1309023.0</v>
      </c>
      <c r="B313" s="4">
        <v>69.0</v>
      </c>
      <c r="C313" s="13">
        <v>67.0</v>
      </c>
      <c r="D313" s="13">
        <v>28.0</v>
      </c>
      <c r="E313" s="13">
        <v>87.0</v>
      </c>
    </row>
    <row r="314">
      <c r="A314" s="13">
        <v>1371316.0</v>
      </c>
      <c r="B314" s="4">
        <v>57.0</v>
      </c>
      <c r="C314" s="13">
        <v>268.0</v>
      </c>
      <c r="D314" s="13">
        <v>43.0</v>
      </c>
      <c r="E314" s="13">
        <v>321.0</v>
      </c>
    </row>
    <row r="315">
      <c r="A315" s="13">
        <v>1375051.0</v>
      </c>
      <c r="B315" s="4">
        <v>61.0</v>
      </c>
      <c r="C315" s="13">
        <v>61.0</v>
      </c>
      <c r="D315" s="13">
        <v>27.0</v>
      </c>
      <c r="E315" s="13">
        <v>229.0</v>
      </c>
    </row>
    <row r="316">
      <c r="A316" s="13">
        <v>1304031.0</v>
      </c>
      <c r="B316" s="4">
        <v>70.0</v>
      </c>
      <c r="C316" s="13">
        <v>50.0</v>
      </c>
      <c r="D316" s="13">
        <v>19.0</v>
      </c>
      <c r="E316" s="13">
        <v>182.0</v>
      </c>
    </row>
    <row r="317">
      <c r="A317" s="13">
        <v>1377003.0</v>
      </c>
      <c r="B317" s="4">
        <v>59.0</v>
      </c>
      <c r="C317" s="13">
        <v>100.0</v>
      </c>
      <c r="D317" s="13">
        <v>27.0</v>
      </c>
      <c r="E317" s="13">
        <v>128.0</v>
      </c>
    </row>
    <row r="318">
      <c r="A318" s="13">
        <v>1305014.0</v>
      </c>
      <c r="B318" s="4">
        <v>60.0</v>
      </c>
      <c r="C318" s="13">
        <v>176.0</v>
      </c>
      <c r="D318" s="13">
        <v>39.0</v>
      </c>
      <c r="E318" s="13">
        <v>450.0</v>
      </c>
    </row>
    <row r="319">
      <c r="A319" s="13">
        <v>1312025.0</v>
      </c>
      <c r="B319" s="4">
        <v>66.0</v>
      </c>
      <c r="C319" s="13">
        <v>26.0</v>
      </c>
      <c r="D319" s="13">
        <v>21.0</v>
      </c>
      <c r="E319" s="13">
        <v>45.0</v>
      </c>
    </row>
    <row r="320">
      <c r="A320" s="13">
        <v>1375014.0</v>
      </c>
      <c r="B320" s="4">
        <v>61.0</v>
      </c>
      <c r="C320" s="13">
        <v>311.0</v>
      </c>
      <c r="D320" s="13">
        <v>107.0</v>
      </c>
      <c r="E320" s="13">
        <v>583.0</v>
      </c>
    </row>
    <row r="321">
      <c r="A321" s="13">
        <v>1371454.0</v>
      </c>
      <c r="B321" s="4">
        <v>57.0</v>
      </c>
      <c r="C321" s="13">
        <v>12.0</v>
      </c>
      <c r="D321" s="13">
        <v>9.0</v>
      </c>
      <c r="E321" s="13">
        <v>37.0</v>
      </c>
    </row>
    <row r="322">
      <c r="A322" s="13">
        <v>1372013.0</v>
      </c>
      <c r="B322" s="4">
        <v>64.0</v>
      </c>
      <c r="C322" s="13">
        <v>59.0</v>
      </c>
      <c r="D322" s="13">
        <v>20.0</v>
      </c>
      <c r="E322" s="13">
        <v>85.0</v>
      </c>
    </row>
    <row r="323">
      <c r="A323" s="13">
        <v>1371464.0</v>
      </c>
      <c r="B323" s="4">
        <v>57.0</v>
      </c>
      <c r="C323" s="13">
        <v>202.0</v>
      </c>
      <c r="D323" s="13">
        <v>63.0</v>
      </c>
      <c r="E323" s="13">
        <v>390.0</v>
      </c>
    </row>
    <row r="324">
      <c r="A324" s="13">
        <v>1371032.0</v>
      </c>
      <c r="B324" s="4">
        <v>57.0</v>
      </c>
      <c r="C324" s="13">
        <v>151.0</v>
      </c>
      <c r="D324" s="13">
        <v>47.0</v>
      </c>
      <c r="E324" s="13">
        <v>459.0</v>
      </c>
    </row>
    <row r="325">
      <c r="A325" s="13">
        <v>1302015.0</v>
      </c>
      <c r="B325" s="4">
        <v>65.0</v>
      </c>
      <c r="C325" s="13">
        <v>30.0</v>
      </c>
      <c r="D325" s="13">
        <v>20.0</v>
      </c>
      <c r="E325" s="13">
        <v>1.0</v>
      </c>
    </row>
    <row r="326">
      <c r="A326" s="13">
        <v>1371451.0</v>
      </c>
      <c r="B326" s="4">
        <v>57.0</v>
      </c>
      <c r="C326" s="13">
        <v>32.0</v>
      </c>
      <c r="D326" s="13">
        <v>26.0</v>
      </c>
      <c r="E326" s="13">
        <v>136.0</v>
      </c>
    </row>
    <row r="327">
      <c r="A327" s="13">
        <v>1371460.0</v>
      </c>
      <c r="B327" s="4">
        <v>57.0</v>
      </c>
      <c r="C327" s="13">
        <v>27.0</v>
      </c>
      <c r="D327" s="13">
        <v>14.0</v>
      </c>
      <c r="E327" s="13">
        <v>40.0</v>
      </c>
    </row>
    <row r="328">
      <c r="A328" s="13">
        <v>1308016.0</v>
      </c>
      <c r="B328" s="4">
        <v>71.0</v>
      </c>
      <c r="C328" s="13">
        <v>144.0</v>
      </c>
      <c r="D328" s="13">
        <v>45.0</v>
      </c>
      <c r="E328" s="13">
        <v>371.0</v>
      </c>
    </row>
    <row r="329">
      <c r="A329" s="13">
        <v>1311002.0</v>
      </c>
      <c r="B329" s="4">
        <v>72.0</v>
      </c>
      <c r="C329" s="13">
        <v>63.0</v>
      </c>
      <c r="D329" s="13">
        <v>12.0</v>
      </c>
      <c r="E329" s="13">
        <v>96.0</v>
      </c>
    </row>
    <row r="330">
      <c r="A330" s="13">
        <v>1375036.0</v>
      </c>
      <c r="B330" s="4">
        <v>61.0</v>
      </c>
      <c r="C330" s="13">
        <v>151.0</v>
      </c>
      <c r="D330" s="13">
        <v>27.0</v>
      </c>
      <c r="E330" s="13">
        <v>660.0</v>
      </c>
    </row>
    <row r="331">
      <c r="A331" s="13">
        <v>1371456.0</v>
      </c>
      <c r="B331" s="4">
        <v>57.0</v>
      </c>
      <c r="C331" s="13">
        <v>133.0</v>
      </c>
      <c r="D331" s="13">
        <v>61.0</v>
      </c>
      <c r="E331" s="13">
        <v>353.0</v>
      </c>
    </row>
    <row r="332">
      <c r="A332" s="13">
        <v>1305015.0</v>
      </c>
      <c r="B332" s="4">
        <v>60.0</v>
      </c>
      <c r="C332" s="13">
        <v>32.0</v>
      </c>
      <c r="D332" s="13">
        <v>19.0</v>
      </c>
      <c r="E332" s="13">
        <v>71.0</v>
      </c>
    </row>
    <row r="333">
      <c r="A333" s="13">
        <v>1377007.0</v>
      </c>
      <c r="B333" s="4">
        <v>59.0</v>
      </c>
      <c r="C333" s="13">
        <v>74.0</v>
      </c>
      <c r="D333" s="13">
        <v>25.0</v>
      </c>
      <c r="E333" s="13">
        <v>176.0</v>
      </c>
    </row>
    <row r="334">
      <c r="A334" s="13">
        <v>1301010.0</v>
      </c>
      <c r="B334" s="4">
        <v>73.0</v>
      </c>
      <c r="C334" s="13">
        <v>51.0</v>
      </c>
      <c r="D334" s="13">
        <v>28.0</v>
      </c>
      <c r="E334" s="13">
        <v>70.0</v>
      </c>
    </row>
    <row r="335">
      <c r="A335" s="13">
        <v>1371462.0</v>
      </c>
      <c r="B335" s="4">
        <v>57.0</v>
      </c>
      <c r="C335" s="13">
        <v>100.0</v>
      </c>
      <c r="D335" s="13">
        <v>39.0</v>
      </c>
      <c r="E335" s="13">
        <v>134.0</v>
      </c>
    </row>
    <row r="336">
      <c r="A336" s="13">
        <v>1371112.0</v>
      </c>
      <c r="B336" s="4">
        <v>57.0</v>
      </c>
      <c r="C336" s="13">
        <v>100.0</v>
      </c>
      <c r="D336" s="13">
        <v>34.0</v>
      </c>
      <c r="E336" s="13">
        <v>144.0</v>
      </c>
    </row>
    <row r="337">
      <c r="A337" s="13">
        <v>1371444.0</v>
      </c>
      <c r="B337" s="4">
        <v>57.0</v>
      </c>
      <c r="C337" s="13">
        <v>111.0</v>
      </c>
      <c r="D337" s="13">
        <v>4.0</v>
      </c>
      <c r="E337" s="13">
        <v>372.0</v>
      </c>
    </row>
    <row r="338">
      <c r="A338" s="13">
        <v>1372014.0</v>
      </c>
      <c r="B338" s="4">
        <v>64.0</v>
      </c>
      <c r="C338" s="13">
        <v>42.0</v>
      </c>
      <c r="D338" s="13">
        <v>13.0</v>
      </c>
      <c r="E338" s="13">
        <v>182.0</v>
      </c>
    </row>
    <row r="339">
      <c r="A339" s="13">
        <v>1304017.0</v>
      </c>
      <c r="B339" s="4">
        <v>70.0</v>
      </c>
      <c r="C339" s="13">
        <v>27.0</v>
      </c>
      <c r="D339" s="13">
        <v>8.0</v>
      </c>
      <c r="E339" s="13">
        <v>40.0</v>
      </c>
    </row>
    <row r="340">
      <c r="A340" s="13">
        <v>1371463.0</v>
      </c>
      <c r="B340" s="4">
        <v>57.0</v>
      </c>
      <c r="C340" s="13">
        <v>25.0</v>
      </c>
      <c r="D340" s="13">
        <v>16.0</v>
      </c>
      <c r="E340" s="13">
        <v>53.0</v>
      </c>
    </row>
    <row r="341">
      <c r="A341" s="13">
        <v>1309011.0</v>
      </c>
      <c r="B341" s="4">
        <v>69.0</v>
      </c>
      <c r="C341" s="13">
        <v>184.0</v>
      </c>
      <c r="D341" s="13">
        <v>101.0</v>
      </c>
      <c r="E341" s="13">
        <v>322.0</v>
      </c>
    </row>
    <row r="342">
      <c r="A342" s="13">
        <v>1371465.0</v>
      </c>
      <c r="B342" s="4">
        <v>57.0</v>
      </c>
      <c r="C342" s="13">
        <v>29.0</v>
      </c>
      <c r="D342" s="13">
        <v>15.0</v>
      </c>
      <c r="E342" s="13">
        <v>126.0</v>
      </c>
    </row>
    <row r="343">
      <c r="A343" s="13">
        <v>1376015.0</v>
      </c>
      <c r="B343" s="4">
        <v>58.0</v>
      </c>
      <c r="C343" s="13">
        <v>179.0</v>
      </c>
      <c r="D343" s="13">
        <v>71.0</v>
      </c>
      <c r="E343" s="13">
        <v>596.0</v>
      </c>
    </row>
    <row r="344">
      <c r="A344" s="13">
        <v>1303012.0</v>
      </c>
      <c r="B344" s="4">
        <v>62.0</v>
      </c>
      <c r="C344" s="13">
        <v>112.0</v>
      </c>
      <c r="D344" s="13">
        <v>44.0</v>
      </c>
      <c r="E344" s="13">
        <v>275.0</v>
      </c>
    </row>
    <row r="345">
      <c r="A345" s="13">
        <v>1371478.0</v>
      </c>
      <c r="B345" s="4">
        <v>57.0</v>
      </c>
      <c r="C345" s="13">
        <v>14.0</v>
      </c>
      <c r="D345" s="13">
        <v>21.0</v>
      </c>
      <c r="E345" s="13">
        <v>182.0</v>
      </c>
    </row>
    <row r="346">
      <c r="A346" s="13">
        <v>1371459.0</v>
      </c>
      <c r="B346" s="4">
        <v>57.0</v>
      </c>
      <c r="C346" s="13">
        <v>16.0</v>
      </c>
      <c r="D346" s="13">
        <v>16.0</v>
      </c>
      <c r="E346" s="13">
        <v>86.0</v>
      </c>
    </row>
    <row r="347">
      <c r="A347" s="13">
        <v>1306057.0</v>
      </c>
      <c r="B347" s="4">
        <v>74.0</v>
      </c>
      <c r="C347" s="13">
        <v>76.0</v>
      </c>
      <c r="D347" s="13">
        <v>51.0</v>
      </c>
      <c r="E347" s="13">
        <v>116.0</v>
      </c>
    </row>
    <row r="348">
      <c r="A348" s="13">
        <v>1373012.0</v>
      </c>
      <c r="B348" s="4">
        <v>75.0</v>
      </c>
      <c r="C348" s="13">
        <v>104.0</v>
      </c>
      <c r="D348" s="13">
        <v>33.0</v>
      </c>
      <c r="E348" s="13">
        <v>488.0</v>
      </c>
    </row>
    <row r="349">
      <c r="A349" s="13">
        <v>1371457.0</v>
      </c>
      <c r="B349" s="4">
        <v>57.0</v>
      </c>
      <c r="C349" s="13">
        <v>23.0</v>
      </c>
      <c r="D349" s="13">
        <v>15.0</v>
      </c>
      <c r="E349" s="13">
        <v>110.0</v>
      </c>
    </row>
    <row r="350">
      <c r="A350" s="13">
        <v>1312036.0</v>
      </c>
      <c r="B350" s="4">
        <v>66.0</v>
      </c>
      <c r="C350" s="13">
        <v>16.0</v>
      </c>
      <c r="D350" s="13">
        <v>10.0</v>
      </c>
      <c r="E350" s="13">
        <v>182.0</v>
      </c>
    </row>
    <row r="351">
      <c r="A351" s="13">
        <v>1312024.0</v>
      </c>
      <c r="B351" s="4">
        <v>66.0</v>
      </c>
      <c r="C351" s="13">
        <v>156.0</v>
      </c>
      <c r="D351" s="13">
        <v>75.0</v>
      </c>
      <c r="E351" s="13">
        <v>394.0</v>
      </c>
    </row>
    <row r="352">
      <c r="A352" s="13">
        <v>1306056.0</v>
      </c>
      <c r="B352" s="4">
        <v>74.0</v>
      </c>
      <c r="C352" s="13">
        <v>181.0</v>
      </c>
      <c r="D352" s="13">
        <v>42.0</v>
      </c>
      <c r="E352" s="13">
        <v>269.0</v>
      </c>
    </row>
    <row r="353">
      <c r="A353" s="13">
        <v>1307017.0</v>
      </c>
      <c r="B353" s="4">
        <v>71.0</v>
      </c>
      <c r="C353" s="13">
        <v>40.0</v>
      </c>
      <c r="D353" s="13">
        <v>21.0</v>
      </c>
      <c r="E353" s="13">
        <v>110.0</v>
      </c>
    </row>
    <row r="354">
      <c r="A354" s="13">
        <v>1377005.0</v>
      </c>
      <c r="B354" s="4">
        <v>59.0</v>
      </c>
      <c r="C354" s="13">
        <v>68.0</v>
      </c>
      <c r="D354" s="13">
        <v>26.0</v>
      </c>
      <c r="E354" s="13">
        <v>101.0</v>
      </c>
    </row>
    <row r="355">
      <c r="A355" s="13">
        <v>1302013.0</v>
      </c>
      <c r="B355" s="4">
        <v>65.0</v>
      </c>
      <c r="C355" s="13">
        <v>62.0</v>
      </c>
      <c r="D355" s="13">
        <v>18.0</v>
      </c>
      <c r="E355" s="13">
        <v>247.0</v>
      </c>
    </row>
    <row r="356">
      <c r="A356" s="13">
        <v>1311013.0</v>
      </c>
      <c r="B356" s="4">
        <v>72.0</v>
      </c>
      <c r="C356" s="13">
        <v>166.0</v>
      </c>
      <c r="D356" s="13">
        <v>72.0</v>
      </c>
      <c r="E356" s="13">
        <v>541.0</v>
      </c>
    </row>
    <row r="357">
      <c r="A357" s="13">
        <v>1371305.0</v>
      </c>
      <c r="B357" s="4">
        <v>57.0</v>
      </c>
      <c r="C357" s="13">
        <v>144.0</v>
      </c>
      <c r="D357" s="13">
        <v>115.0</v>
      </c>
      <c r="E357" s="13">
        <v>535.0</v>
      </c>
    </row>
    <row r="358">
      <c r="A358" s="13">
        <v>1374024.0</v>
      </c>
      <c r="B358" s="4">
        <v>68.0</v>
      </c>
      <c r="C358" s="13">
        <v>50.0</v>
      </c>
      <c r="D358" s="13">
        <v>31.0</v>
      </c>
      <c r="E358" s="13">
        <v>153.0</v>
      </c>
    </row>
    <row r="359">
      <c r="A359" s="13">
        <v>1304014.0</v>
      </c>
      <c r="B359" s="4">
        <v>70.0</v>
      </c>
      <c r="C359" s="13">
        <v>130.0</v>
      </c>
      <c r="D359" s="13">
        <v>35.0</v>
      </c>
      <c r="E359" s="13">
        <v>384.0</v>
      </c>
    </row>
    <row r="360">
      <c r="A360" s="13">
        <v>1302012.0</v>
      </c>
      <c r="B360" s="4">
        <v>65.0</v>
      </c>
      <c r="C360" s="13">
        <v>130.0</v>
      </c>
      <c r="D360" s="13">
        <v>30.0</v>
      </c>
      <c r="E360" s="13">
        <v>258.0</v>
      </c>
    </row>
    <row r="361">
      <c r="A361" s="13">
        <v>1371021.0</v>
      </c>
      <c r="B361" s="4">
        <v>57.0</v>
      </c>
      <c r="C361" s="13">
        <v>251.0</v>
      </c>
      <c r="D361" s="13">
        <v>52.0</v>
      </c>
      <c r="E361" s="13">
        <v>568.0</v>
      </c>
    </row>
    <row r="362">
      <c r="A362" s="13">
        <v>1375053.0</v>
      </c>
      <c r="B362" s="4">
        <v>61.0</v>
      </c>
      <c r="C362" s="13">
        <v>100.0</v>
      </c>
      <c r="D362" s="13">
        <v>82.0</v>
      </c>
      <c r="E362" s="13">
        <v>215.0</v>
      </c>
    </row>
    <row r="363">
      <c r="A363" s="13">
        <v>1404014.0</v>
      </c>
      <c r="B363" s="4">
        <v>76.0</v>
      </c>
      <c r="C363" s="13">
        <v>130.0</v>
      </c>
      <c r="D363" s="13">
        <v>33.0</v>
      </c>
      <c r="E363" s="13">
        <v>436.0</v>
      </c>
    </row>
    <row r="364">
      <c r="A364" s="13">
        <v>1471079.0</v>
      </c>
      <c r="B364" s="4">
        <v>77.0</v>
      </c>
      <c r="C364" s="13">
        <v>180.0</v>
      </c>
      <c r="D364" s="13">
        <v>95.0</v>
      </c>
      <c r="E364" s="13">
        <v>483.0</v>
      </c>
    </row>
    <row r="365">
      <c r="A365" s="13">
        <v>1401012.0</v>
      </c>
      <c r="B365" s="4">
        <v>78.0</v>
      </c>
      <c r="C365" s="13">
        <v>64.0</v>
      </c>
      <c r="D365" s="13">
        <v>26.0</v>
      </c>
      <c r="E365" s="13">
        <v>55.0</v>
      </c>
    </row>
    <row r="366">
      <c r="A366" s="13">
        <v>1471150.0</v>
      </c>
      <c r="B366" s="4">
        <v>77.0</v>
      </c>
      <c r="C366" s="13">
        <v>123.0</v>
      </c>
      <c r="D366" s="13">
        <v>54.0</v>
      </c>
      <c r="E366" s="13">
        <v>197.0</v>
      </c>
    </row>
    <row r="367">
      <c r="A367" s="13">
        <v>1471387.0</v>
      </c>
      <c r="B367" s="4">
        <v>77.0</v>
      </c>
      <c r="C367" s="13">
        <v>74.0</v>
      </c>
      <c r="D367" s="13">
        <v>23.0</v>
      </c>
      <c r="E367" s="13">
        <v>205.0</v>
      </c>
    </row>
    <row r="368">
      <c r="A368" s="13">
        <v>1408055.0</v>
      </c>
      <c r="B368" s="4">
        <v>79.0</v>
      </c>
      <c r="C368" s="13">
        <v>85.0</v>
      </c>
      <c r="D368" s="13">
        <v>34.0</v>
      </c>
      <c r="E368" s="13">
        <v>132.0</v>
      </c>
    </row>
    <row r="369">
      <c r="A369" s="13">
        <v>1473024.0</v>
      </c>
      <c r="B369" s="4">
        <v>80.0</v>
      </c>
      <c r="C369" s="13">
        <v>77.0</v>
      </c>
      <c r="D369" s="13">
        <v>15.0</v>
      </c>
      <c r="E369" s="13">
        <v>79.0</v>
      </c>
    </row>
    <row r="370">
      <c r="A370" s="13">
        <v>1403024.0</v>
      </c>
      <c r="B370" s="4">
        <v>81.0</v>
      </c>
      <c r="C370" s="13">
        <v>50.0</v>
      </c>
      <c r="D370" s="13">
        <v>22.0</v>
      </c>
      <c r="E370" s="13">
        <v>176.0</v>
      </c>
    </row>
    <row r="371">
      <c r="A371" s="13">
        <v>1406016.0</v>
      </c>
      <c r="B371" s="4">
        <v>82.0</v>
      </c>
      <c r="C371" s="13">
        <v>119.0</v>
      </c>
      <c r="D371" s="13">
        <v>47.0</v>
      </c>
      <c r="E371" s="13">
        <v>292.0</v>
      </c>
    </row>
    <row r="372">
      <c r="A372" s="13">
        <v>1406043.0</v>
      </c>
      <c r="B372" s="4">
        <v>82.0</v>
      </c>
      <c r="C372" s="13">
        <v>79.0</v>
      </c>
      <c r="D372" s="13">
        <v>21.0</v>
      </c>
      <c r="E372" s="13">
        <v>78.0</v>
      </c>
    </row>
    <row r="373">
      <c r="A373" s="13">
        <v>1403048.0</v>
      </c>
      <c r="B373" s="4">
        <v>81.0</v>
      </c>
      <c r="C373" s="13">
        <v>12.0</v>
      </c>
      <c r="D373" s="13">
        <v>16.0</v>
      </c>
      <c r="E373" s="13">
        <v>182.0</v>
      </c>
    </row>
    <row r="374">
      <c r="A374" s="13">
        <v>1471215.0</v>
      </c>
      <c r="B374" s="4">
        <v>77.0</v>
      </c>
      <c r="C374" s="13">
        <v>50.0</v>
      </c>
      <c r="D374" s="13">
        <v>21.0</v>
      </c>
      <c r="E374" s="13">
        <v>76.0</v>
      </c>
    </row>
    <row r="375">
      <c r="A375" s="13">
        <v>1409033.0</v>
      </c>
      <c r="B375" s="4">
        <v>83.0</v>
      </c>
      <c r="C375" s="13">
        <v>119.0</v>
      </c>
      <c r="D375" s="13">
        <v>27.0</v>
      </c>
      <c r="E375" s="13">
        <v>182.0</v>
      </c>
    </row>
    <row r="376">
      <c r="A376" s="13">
        <v>1402013.0</v>
      </c>
      <c r="B376" s="4">
        <v>84.0</v>
      </c>
      <c r="C376" s="13">
        <v>64.0</v>
      </c>
      <c r="D376" s="13">
        <v>23.0</v>
      </c>
      <c r="E376" s="13">
        <v>85.0</v>
      </c>
    </row>
    <row r="377">
      <c r="A377" s="13">
        <v>1407016.0</v>
      </c>
      <c r="B377" s="4">
        <v>85.0</v>
      </c>
      <c r="C377" s="13">
        <v>24.0</v>
      </c>
      <c r="D377" s="13">
        <v>20.0</v>
      </c>
      <c r="E377" s="13">
        <v>103.0</v>
      </c>
    </row>
    <row r="378">
      <c r="A378" s="13">
        <v>1406057.0</v>
      </c>
      <c r="B378" s="4">
        <v>82.0</v>
      </c>
      <c r="C378" s="13">
        <v>100.0</v>
      </c>
      <c r="D378" s="13">
        <v>24.0</v>
      </c>
      <c r="E378" s="13">
        <v>182.0</v>
      </c>
    </row>
    <row r="379">
      <c r="A379" s="13">
        <v>1471022.0</v>
      </c>
      <c r="B379" s="4">
        <v>77.0</v>
      </c>
      <c r="C379" s="13">
        <v>57.0</v>
      </c>
      <c r="D379" s="13">
        <v>30.0</v>
      </c>
      <c r="E379" s="13">
        <v>54.0</v>
      </c>
    </row>
    <row r="380">
      <c r="A380" s="13">
        <v>1471391.0</v>
      </c>
      <c r="B380" s="4">
        <v>77.0</v>
      </c>
      <c r="C380" s="13">
        <v>16.0</v>
      </c>
      <c r="D380" s="13">
        <v>17.0</v>
      </c>
      <c r="E380" s="13">
        <v>63.0</v>
      </c>
    </row>
    <row r="381">
      <c r="A381" s="13">
        <v>1471399.0</v>
      </c>
      <c r="B381" s="4">
        <v>77.0</v>
      </c>
      <c r="C381" s="13">
        <v>100.0</v>
      </c>
      <c r="D381" s="13">
        <v>28.0</v>
      </c>
      <c r="E381" s="13">
        <v>75.0</v>
      </c>
    </row>
    <row r="382">
      <c r="A382" s="13">
        <v>1471091.0</v>
      </c>
      <c r="B382" s="4">
        <v>77.0</v>
      </c>
      <c r="C382" s="13">
        <v>100.0</v>
      </c>
      <c r="D382" s="13">
        <v>33.0</v>
      </c>
      <c r="E382" s="13">
        <v>378.0</v>
      </c>
    </row>
    <row r="383">
      <c r="A383" s="13">
        <v>1409019.0</v>
      </c>
      <c r="B383" s="4">
        <v>83.0</v>
      </c>
      <c r="C383" s="13">
        <v>54.0</v>
      </c>
      <c r="D383" s="13">
        <v>17.0</v>
      </c>
      <c r="E383" s="13">
        <v>37.0</v>
      </c>
    </row>
    <row r="384">
      <c r="A384" s="13">
        <v>1408079.0</v>
      </c>
      <c r="B384" s="4">
        <v>79.0</v>
      </c>
      <c r="C384" s="13">
        <v>54.0</v>
      </c>
      <c r="D384" s="13">
        <v>25.0</v>
      </c>
      <c r="E384" s="13">
        <v>35.0</v>
      </c>
    </row>
    <row r="385">
      <c r="A385" s="13">
        <v>1471392.0</v>
      </c>
      <c r="B385" s="4">
        <v>77.0</v>
      </c>
      <c r="C385" s="13">
        <v>54.0</v>
      </c>
      <c r="D385" s="13">
        <v>23.0</v>
      </c>
      <c r="E385" s="13">
        <v>110.0</v>
      </c>
    </row>
    <row r="386">
      <c r="A386" s="13">
        <v>1406031.0</v>
      </c>
      <c r="B386" s="4">
        <v>82.0</v>
      </c>
      <c r="C386" s="13">
        <v>50.0</v>
      </c>
      <c r="D386" s="13">
        <v>13.0</v>
      </c>
      <c r="E386" s="13">
        <v>100.0</v>
      </c>
    </row>
    <row r="387">
      <c r="A387" s="13">
        <v>1410043.0</v>
      </c>
      <c r="B387" s="4">
        <v>86.0</v>
      </c>
      <c r="C387" s="13">
        <v>187.0</v>
      </c>
      <c r="D387" s="13">
        <v>28.0</v>
      </c>
      <c r="E387" s="13">
        <v>257.0</v>
      </c>
    </row>
    <row r="388">
      <c r="A388" s="13">
        <v>1408080.0</v>
      </c>
      <c r="B388" s="4">
        <v>79.0</v>
      </c>
      <c r="C388" s="13">
        <v>127.0</v>
      </c>
      <c r="D388" s="13">
        <v>17.0</v>
      </c>
      <c r="E388" s="13">
        <v>146.0</v>
      </c>
    </row>
    <row r="389">
      <c r="A389" s="13">
        <v>1471237.0</v>
      </c>
      <c r="B389" s="4">
        <v>77.0</v>
      </c>
      <c r="C389" s="13">
        <v>100.0</v>
      </c>
      <c r="D389" s="13">
        <v>24.0</v>
      </c>
      <c r="E389" s="13">
        <v>100.0</v>
      </c>
    </row>
    <row r="390">
      <c r="A390" s="13">
        <v>1402014.0</v>
      </c>
      <c r="B390" s="4">
        <v>84.0</v>
      </c>
      <c r="C390" s="13">
        <v>39.0</v>
      </c>
      <c r="D390" s="13">
        <v>13.0</v>
      </c>
      <c r="E390" s="13">
        <v>62.0</v>
      </c>
    </row>
    <row r="391">
      <c r="A391" s="13">
        <v>1471396.0</v>
      </c>
      <c r="B391" s="4">
        <v>77.0</v>
      </c>
      <c r="C391" s="13">
        <v>123.0</v>
      </c>
      <c r="D391" s="13">
        <v>57.0</v>
      </c>
      <c r="E391" s="13">
        <v>387.0</v>
      </c>
    </row>
    <row r="392">
      <c r="A392" s="13">
        <v>1403035.0</v>
      </c>
      <c r="B392" s="4">
        <v>81.0</v>
      </c>
      <c r="C392" s="13">
        <v>60.0</v>
      </c>
      <c r="D392" s="13">
        <v>20.0</v>
      </c>
      <c r="E392" s="13">
        <v>158.0</v>
      </c>
    </row>
    <row r="393">
      <c r="A393" s="13">
        <v>1406046.0</v>
      </c>
      <c r="B393" s="4">
        <v>82.0</v>
      </c>
      <c r="C393" s="13">
        <v>42.0</v>
      </c>
      <c r="D393" s="13">
        <v>16.0</v>
      </c>
      <c r="E393" s="13">
        <v>93.0</v>
      </c>
    </row>
    <row r="394">
      <c r="A394" s="13">
        <v>1401011.0</v>
      </c>
      <c r="B394" s="4">
        <v>78.0</v>
      </c>
      <c r="C394" s="13">
        <v>113.0</v>
      </c>
      <c r="D394" s="13">
        <v>63.0</v>
      </c>
      <c r="E394" s="13">
        <v>199.0</v>
      </c>
    </row>
    <row r="395">
      <c r="A395" s="13">
        <v>1408067.0</v>
      </c>
      <c r="B395" s="4">
        <v>79.0</v>
      </c>
      <c r="C395" s="13">
        <v>79.0</v>
      </c>
      <c r="D395" s="13">
        <v>21.0</v>
      </c>
      <c r="E395" s="13">
        <v>95.0</v>
      </c>
    </row>
    <row r="396">
      <c r="A396" s="13">
        <v>1471055.0</v>
      </c>
      <c r="B396" s="4">
        <v>77.0</v>
      </c>
      <c r="C396" s="13">
        <v>200.0</v>
      </c>
      <c r="D396" s="13">
        <v>108.0</v>
      </c>
      <c r="E396" s="13">
        <v>546.0</v>
      </c>
    </row>
    <row r="397">
      <c r="A397" s="13">
        <v>1471386.0</v>
      </c>
      <c r="B397" s="4">
        <v>77.0</v>
      </c>
      <c r="C397" s="13">
        <v>27.0</v>
      </c>
      <c r="D397" s="13">
        <v>14.0</v>
      </c>
      <c r="E397" s="13">
        <v>43.0</v>
      </c>
    </row>
    <row r="398">
      <c r="A398" s="13">
        <v>1473079.0</v>
      </c>
      <c r="B398" s="4">
        <v>80.0</v>
      </c>
      <c r="C398" s="13">
        <v>52.0</v>
      </c>
      <c r="D398" s="13">
        <v>24.0</v>
      </c>
      <c r="E398" s="13">
        <v>182.0</v>
      </c>
    </row>
    <row r="399">
      <c r="A399" s="13">
        <v>1408011.0</v>
      </c>
      <c r="B399" s="4">
        <v>79.0</v>
      </c>
      <c r="C399" s="13">
        <v>208.0</v>
      </c>
      <c r="D399" s="13">
        <v>73.0</v>
      </c>
      <c r="E399" s="13">
        <v>787.0</v>
      </c>
    </row>
    <row r="400">
      <c r="A400" s="13">
        <v>1471371.0</v>
      </c>
      <c r="B400" s="4">
        <v>77.0</v>
      </c>
      <c r="C400" s="13">
        <v>102.0</v>
      </c>
      <c r="D400" s="13">
        <v>23.0</v>
      </c>
      <c r="E400" s="13">
        <v>69.0</v>
      </c>
    </row>
    <row r="401">
      <c r="A401" s="13">
        <v>1407014.0</v>
      </c>
      <c r="B401" s="4">
        <v>85.0</v>
      </c>
      <c r="C401" s="13">
        <v>102.0</v>
      </c>
      <c r="D401" s="13">
        <v>38.0</v>
      </c>
      <c r="E401" s="13">
        <v>164.0</v>
      </c>
    </row>
    <row r="402">
      <c r="A402" s="13">
        <v>1471395.0</v>
      </c>
      <c r="B402" s="4">
        <v>77.0</v>
      </c>
      <c r="C402" s="13">
        <v>50.0</v>
      </c>
      <c r="D402" s="13">
        <v>23.0</v>
      </c>
      <c r="E402" s="13">
        <v>130.0</v>
      </c>
    </row>
    <row r="403">
      <c r="A403" s="13">
        <v>1407012.0</v>
      </c>
      <c r="B403" s="4">
        <v>85.0</v>
      </c>
      <c r="C403" s="13">
        <v>145.0</v>
      </c>
      <c r="D403" s="13">
        <v>84.0</v>
      </c>
      <c r="E403" s="13">
        <v>169.0</v>
      </c>
    </row>
    <row r="404">
      <c r="A404" s="13">
        <v>1471398.0</v>
      </c>
      <c r="B404" s="4">
        <v>77.0</v>
      </c>
      <c r="C404" s="13">
        <v>102.0</v>
      </c>
      <c r="D404" s="13">
        <v>37.0</v>
      </c>
      <c r="E404" s="13">
        <v>416.0</v>
      </c>
    </row>
    <row r="405">
      <c r="A405" s="13">
        <v>1403013.0</v>
      </c>
      <c r="B405" s="4">
        <v>81.0</v>
      </c>
      <c r="C405" s="13">
        <v>265.0</v>
      </c>
      <c r="D405" s="13">
        <v>37.0</v>
      </c>
      <c r="E405" s="13">
        <v>210.0</v>
      </c>
    </row>
    <row r="406">
      <c r="A406" s="13">
        <v>1471067.0</v>
      </c>
      <c r="B406" s="4">
        <v>77.0</v>
      </c>
      <c r="C406" s="13">
        <v>200.0</v>
      </c>
      <c r="D406" s="13">
        <v>111.0</v>
      </c>
      <c r="E406" s="13">
        <v>585.0</v>
      </c>
    </row>
    <row r="407">
      <c r="A407" s="13">
        <v>1471390.0</v>
      </c>
      <c r="B407" s="4">
        <v>77.0</v>
      </c>
      <c r="C407" s="13">
        <v>261.0</v>
      </c>
      <c r="D407" s="13">
        <v>96.0</v>
      </c>
      <c r="E407" s="13">
        <v>474.0</v>
      </c>
    </row>
    <row r="408">
      <c r="A408" s="13">
        <v>1471394.0</v>
      </c>
      <c r="B408" s="4">
        <v>77.0</v>
      </c>
      <c r="C408" s="13">
        <v>16.0</v>
      </c>
      <c r="D408" s="13">
        <v>24.0</v>
      </c>
      <c r="E408" s="13">
        <v>70.0</v>
      </c>
    </row>
    <row r="409">
      <c r="A409" s="13">
        <v>1471146.0</v>
      </c>
      <c r="B409" s="4">
        <v>77.0</v>
      </c>
      <c r="C409" s="13">
        <v>284.0</v>
      </c>
      <c r="D409" s="13">
        <v>29.0</v>
      </c>
      <c r="E409" s="13">
        <v>441.0</v>
      </c>
    </row>
    <row r="410">
      <c r="A410" s="13">
        <v>1407013.0</v>
      </c>
      <c r="B410" s="4">
        <v>85.0</v>
      </c>
      <c r="C410" s="13">
        <v>53.0</v>
      </c>
      <c r="D410" s="13">
        <v>24.0</v>
      </c>
      <c r="E410" s="13">
        <v>75.0</v>
      </c>
    </row>
    <row r="411">
      <c r="A411" s="13">
        <v>1404026.0</v>
      </c>
      <c r="B411" s="4">
        <v>76.0</v>
      </c>
      <c r="C411" s="13">
        <v>65.0</v>
      </c>
      <c r="D411" s="13">
        <v>20.0</v>
      </c>
      <c r="E411" s="13">
        <v>100.0</v>
      </c>
    </row>
    <row r="412">
      <c r="A412" s="13">
        <v>1409013.0</v>
      </c>
      <c r="B412" s="4">
        <v>83.0</v>
      </c>
      <c r="C412" s="13">
        <v>60.0</v>
      </c>
      <c r="D412" s="13">
        <v>29.0</v>
      </c>
      <c r="E412" s="13">
        <v>105.0</v>
      </c>
    </row>
    <row r="413">
      <c r="A413" s="13">
        <v>1404027.0</v>
      </c>
      <c r="B413" s="4">
        <v>76.0</v>
      </c>
      <c r="C413" s="13">
        <v>70.0</v>
      </c>
      <c r="D413" s="13">
        <v>21.0</v>
      </c>
      <c r="E413" s="13">
        <v>85.0</v>
      </c>
    </row>
    <row r="414">
      <c r="A414" s="13">
        <v>1408032.0</v>
      </c>
      <c r="B414" s="4">
        <v>79.0</v>
      </c>
      <c r="C414" s="13">
        <v>218.0</v>
      </c>
      <c r="D414" s="13">
        <v>63.0</v>
      </c>
      <c r="E414" s="13">
        <v>306.0</v>
      </c>
    </row>
    <row r="415">
      <c r="A415" s="13">
        <v>1406045.0</v>
      </c>
      <c r="B415" s="4">
        <v>82.0</v>
      </c>
      <c r="C415" s="13">
        <v>37.0</v>
      </c>
      <c r="D415" s="13">
        <v>11.0</v>
      </c>
      <c r="E415" s="13">
        <v>21.0</v>
      </c>
    </row>
    <row r="416">
      <c r="A416" s="13">
        <v>1471397.0</v>
      </c>
      <c r="B416" s="4">
        <v>77.0</v>
      </c>
      <c r="C416" s="13">
        <v>189.0</v>
      </c>
      <c r="D416" s="13">
        <v>110.0</v>
      </c>
      <c r="E416" s="13">
        <v>432.0</v>
      </c>
    </row>
    <row r="417">
      <c r="A417" s="13">
        <v>1409018.0</v>
      </c>
      <c r="B417" s="4">
        <v>83.0</v>
      </c>
      <c r="C417" s="13">
        <v>62.0</v>
      </c>
      <c r="D417" s="13">
        <v>15.0</v>
      </c>
      <c r="E417" s="13">
        <v>27.0</v>
      </c>
    </row>
    <row r="418">
      <c r="A418" s="13">
        <v>1473013.0</v>
      </c>
      <c r="B418" s="4">
        <v>80.0</v>
      </c>
      <c r="C418" s="13">
        <v>301.0</v>
      </c>
      <c r="D418" s="13">
        <v>61.0</v>
      </c>
      <c r="E418" s="13">
        <v>1154.0</v>
      </c>
    </row>
    <row r="419">
      <c r="A419" s="13">
        <v>1405015.0</v>
      </c>
      <c r="B419" s="4">
        <v>87.0</v>
      </c>
      <c r="C419" s="13">
        <v>170.0</v>
      </c>
      <c r="D419" s="13">
        <v>41.0</v>
      </c>
      <c r="E419" s="13">
        <v>864.0</v>
      </c>
    </row>
    <row r="420">
      <c r="A420" s="13">
        <v>1405032.0</v>
      </c>
      <c r="B420" s="4">
        <v>87.0</v>
      </c>
      <c r="C420" s="13">
        <v>50.0</v>
      </c>
      <c r="D420" s="13">
        <v>11.0</v>
      </c>
      <c r="E420" s="13">
        <v>182.0</v>
      </c>
    </row>
    <row r="421">
      <c r="A421" s="13">
        <v>1471161.0</v>
      </c>
      <c r="B421" s="4">
        <v>77.0</v>
      </c>
      <c r="C421" s="13">
        <v>56.0</v>
      </c>
      <c r="D421" s="13">
        <v>20.0</v>
      </c>
      <c r="E421" s="13">
        <v>99.0</v>
      </c>
    </row>
    <row r="422">
      <c r="A422" s="13">
        <v>1402015.0</v>
      </c>
      <c r="B422" s="4">
        <v>84.0</v>
      </c>
      <c r="C422" s="13">
        <v>56.0</v>
      </c>
      <c r="D422" s="13">
        <v>22.0</v>
      </c>
      <c r="E422" s="13">
        <v>45.0</v>
      </c>
    </row>
    <row r="423">
      <c r="A423" s="13">
        <v>1471011.0</v>
      </c>
      <c r="B423" s="4">
        <v>77.0</v>
      </c>
      <c r="C423" s="13">
        <v>539.0</v>
      </c>
      <c r="D423" s="13">
        <v>146.0</v>
      </c>
      <c r="E423" s="13">
        <v>1487.0</v>
      </c>
    </row>
    <row r="424">
      <c r="A424" s="13">
        <v>1472080.0</v>
      </c>
      <c r="B424" s="4">
        <v>80.0</v>
      </c>
      <c r="C424" s="13">
        <v>145.0</v>
      </c>
      <c r="D424" s="13">
        <v>41.0</v>
      </c>
      <c r="E424" s="13">
        <v>182.0</v>
      </c>
    </row>
    <row r="425">
      <c r="A425" s="13">
        <v>1407017.0</v>
      </c>
      <c r="B425" s="4">
        <v>85.0</v>
      </c>
      <c r="C425" s="13">
        <v>32.0</v>
      </c>
      <c r="D425" s="13">
        <v>9.0</v>
      </c>
      <c r="E425" s="13">
        <v>18.0</v>
      </c>
    </row>
    <row r="426">
      <c r="A426" s="13">
        <v>1471383.0</v>
      </c>
      <c r="B426" s="4">
        <v>77.0</v>
      </c>
      <c r="C426" s="13">
        <v>152.0</v>
      </c>
      <c r="D426" s="13">
        <v>40.0</v>
      </c>
      <c r="E426" s="13">
        <v>77.0</v>
      </c>
    </row>
    <row r="427">
      <c r="A427" s="13">
        <v>1471226.0</v>
      </c>
      <c r="B427" s="4">
        <v>77.0</v>
      </c>
      <c r="C427" s="13">
        <v>371.0</v>
      </c>
      <c r="D427" s="13">
        <v>134.0</v>
      </c>
      <c r="E427" s="13">
        <v>1255.0</v>
      </c>
    </row>
    <row r="428">
      <c r="A428" s="13">
        <v>1471389.0</v>
      </c>
      <c r="B428" s="4">
        <v>77.0</v>
      </c>
      <c r="C428" s="13">
        <v>25.0</v>
      </c>
      <c r="D428" s="13">
        <v>14.0</v>
      </c>
      <c r="E428" s="13">
        <v>19.0</v>
      </c>
    </row>
    <row r="429">
      <c r="A429" s="13">
        <v>1409014.0</v>
      </c>
      <c r="B429" s="4">
        <v>83.0</v>
      </c>
      <c r="C429" s="13">
        <v>58.0</v>
      </c>
      <c r="D429" s="13">
        <v>30.0</v>
      </c>
      <c r="E429" s="13">
        <v>82.0</v>
      </c>
    </row>
    <row r="430">
      <c r="A430" s="13">
        <v>1473081.0</v>
      </c>
      <c r="B430" s="4">
        <v>80.0</v>
      </c>
      <c r="C430" s="13">
        <v>108.0</v>
      </c>
      <c r="D430" s="13">
        <v>22.0</v>
      </c>
      <c r="E430" s="13">
        <v>182.0</v>
      </c>
    </row>
    <row r="431">
      <c r="A431" s="13">
        <v>1404025.0</v>
      </c>
      <c r="B431" s="4">
        <v>76.0</v>
      </c>
      <c r="C431" s="13">
        <v>201.0</v>
      </c>
      <c r="D431" s="13">
        <v>35.0</v>
      </c>
      <c r="E431" s="13">
        <v>196.0</v>
      </c>
    </row>
    <row r="432">
      <c r="A432" s="13">
        <v>1405017.0</v>
      </c>
      <c r="B432" s="4">
        <v>87.0</v>
      </c>
      <c r="C432" s="13">
        <v>60.0</v>
      </c>
      <c r="D432" s="13">
        <v>36.0</v>
      </c>
      <c r="E432" s="13">
        <v>125.0</v>
      </c>
    </row>
    <row r="433">
      <c r="A433" s="13">
        <v>1471033.0</v>
      </c>
      <c r="B433" s="4">
        <v>77.0</v>
      </c>
      <c r="C433" s="13">
        <v>100.0</v>
      </c>
      <c r="D433" s="13">
        <v>28.0</v>
      </c>
      <c r="E433" s="13">
        <v>163.0</v>
      </c>
    </row>
    <row r="434">
      <c r="A434" s="13">
        <v>1471384.0</v>
      </c>
      <c r="B434" s="4">
        <v>77.0</v>
      </c>
      <c r="C434" s="13">
        <v>201.0</v>
      </c>
      <c r="D434" s="13">
        <v>100.0</v>
      </c>
      <c r="E434" s="13">
        <v>417.0</v>
      </c>
    </row>
    <row r="435">
      <c r="A435" s="13">
        <v>1407011.0</v>
      </c>
      <c r="B435" s="4">
        <v>85.0</v>
      </c>
      <c r="C435" s="13">
        <v>96.0</v>
      </c>
      <c r="D435" s="13">
        <v>60.0</v>
      </c>
      <c r="E435" s="13">
        <v>544.0</v>
      </c>
    </row>
    <row r="436">
      <c r="A436" s="13">
        <v>1471259.0</v>
      </c>
      <c r="B436" s="4">
        <v>77.0</v>
      </c>
      <c r="C436" s="13">
        <v>28.0</v>
      </c>
      <c r="D436" s="13">
        <v>21.0</v>
      </c>
      <c r="E436" s="13">
        <v>89.0</v>
      </c>
    </row>
    <row r="437">
      <c r="A437" s="13">
        <v>1402012.0</v>
      </c>
      <c r="B437" s="4">
        <v>84.0</v>
      </c>
      <c r="C437" s="13">
        <v>144.0</v>
      </c>
      <c r="D437" s="13">
        <v>52.0</v>
      </c>
      <c r="E437" s="13">
        <v>458.0</v>
      </c>
    </row>
    <row r="438">
      <c r="A438" s="13">
        <v>1473078.0</v>
      </c>
      <c r="B438" s="4">
        <v>80.0</v>
      </c>
      <c r="C438" s="13">
        <v>53.0</v>
      </c>
      <c r="D438" s="13">
        <v>7.0</v>
      </c>
      <c r="E438" s="13">
        <v>20.0</v>
      </c>
    </row>
    <row r="439">
      <c r="A439" s="13">
        <v>1471135.0</v>
      </c>
      <c r="B439" s="4">
        <v>77.0</v>
      </c>
      <c r="C439" s="13">
        <v>124.0</v>
      </c>
      <c r="D439" s="13">
        <v>92.0</v>
      </c>
      <c r="E439" s="13">
        <v>575.0</v>
      </c>
    </row>
    <row r="440">
      <c r="A440" s="13">
        <v>1406058.0</v>
      </c>
      <c r="B440" s="4">
        <v>82.0</v>
      </c>
      <c r="C440" s="13">
        <v>50.0</v>
      </c>
      <c r="D440" s="13">
        <v>14.0</v>
      </c>
      <c r="E440" s="13">
        <v>182.0</v>
      </c>
    </row>
    <row r="441">
      <c r="A441" s="13">
        <v>1406044.0</v>
      </c>
      <c r="B441" s="4">
        <v>82.0</v>
      </c>
      <c r="C441" s="13">
        <v>38.0</v>
      </c>
      <c r="D441" s="13">
        <v>17.0</v>
      </c>
      <c r="E441" s="13">
        <v>51.0</v>
      </c>
    </row>
    <row r="442">
      <c r="A442" s="13">
        <v>1409022.0</v>
      </c>
      <c r="B442" s="4">
        <v>83.0</v>
      </c>
      <c r="C442" s="13">
        <v>121.0</v>
      </c>
      <c r="D442" s="13">
        <v>24.0</v>
      </c>
      <c r="E442" s="13">
        <v>236.0</v>
      </c>
    </row>
    <row r="443">
      <c r="A443" s="13">
        <v>1471382.0</v>
      </c>
      <c r="B443" s="4">
        <v>77.0</v>
      </c>
      <c r="C443" s="13">
        <v>100.0</v>
      </c>
      <c r="D443" s="13">
        <v>87.0</v>
      </c>
      <c r="E443" s="13">
        <v>260.0</v>
      </c>
    </row>
    <row r="444">
      <c r="A444" s="13">
        <v>1509031.0</v>
      </c>
      <c r="B444" s="4">
        <v>88.0</v>
      </c>
      <c r="C444" s="13">
        <v>90.0</v>
      </c>
      <c r="D444" s="13">
        <v>22.0</v>
      </c>
      <c r="E444" s="13">
        <v>71.0</v>
      </c>
    </row>
    <row r="445">
      <c r="A445" s="13">
        <v>1505028.0</v>
      </c>
      <c r="B445" s="4">
        <v>89.0</v>
      </c>
      <c r="C445" s="13">
        <v>54.0</v>
      </c>
      <c r="D445" s="13">
        <v>25.0</v>
      </c>
      <c r="E445" s="13">
        <v>150.0</v>
      </c>
    </row>
    <row r="446">
      <c r="A446" s="13">
        <v>1509043.0</v>
      </c>
      <c r="B446" s="4">
        <v>88.0</v>
      </c>
      <c r="C446" s="13">
        <v>14.0</v>
      </c>
      <c r="D446" s="13">
        <v>8.0</v>
      </c>
      <c r="E446" s="13">
        <v>182.0</v>
      </c>
    </row>
    <row r="447">
      <c r="A447" s="13">
        <v>1507010.0</v>
      </c>
      <c r="B447" s="4">
        <v>90.0</v>
      </c>
      <c r="C447" s="13">
        <v>134.0</v>
      </c>
      <c r="D447" s="13">
        <v>28.0</v>
      </c>
      <c r="E447" s="13">
        <v>455.0</v>
      </c>
    </row>
    <row r="448">
      <c r="A448" s="13">
        <v>1571158.0</v>
      </c>
      <c r="B448" s="4">
        <v>91.0</v>
      </c>
      <c r="C448" s="13">
        <v>180.0</v>
      </c>
      <c r="D448" s="13">
        <v>72.0</v>
      </c>
      <c r="E448" s="13">
        <v>652.0</v>
      </c>
    </row>
    <row r="449">
      <c r="A449" s="13">
        <v>1571162.0</v>
      </c>
      <c r="B449" s="4">
        <v>91.0</v>
      </c>
      <c r="C449" s="13">
        <v>106.0</v>
      </c>
      <c r="D449" s="13">
        <v>59.0</v>
      </c>
      <c r="E449" s="13">
        <v>201.0</v>
      </c>
    </row>
    <row r="450">
      <c r="A450" s="13">
        <v>1571159.0</v>
      </c>
      <c r="B450" s="4">
        <v>91.0</v>
      </c>
      <c r="C450" s="13">
        <v>108.0</v>
      </c>
      <c r="D450" s="13">
        <v>26.0</v>
      </c>
      <c r="E450" s="13">
        <v>423.0</v>
      </c>
    </row>
    <row r="451">
      <c r="A451" s="13">
        <v>1571163.0</v>
      </c>
      <c r="B451" s="4">
        <v>91.0</v>
      </c>
      <c r="C451" s="13">
        <v>100.0</v>
      </c>
      <c r="D451" s="13">
        <v>47.0</v>
      </c>
      <c r="E451" s="13">
        <v>239.0</v>
      </c>
    </row>
    <row r="452">
      <c r="A452" s="13">
        <v>1509013.0</v>
      </c>
      <c r="B452" s="4">
        <v>88.0</v>
      </c>
      <c r="C452" s="13">
        <v>220.0</v>
      </c>
      <c r="D452" s="13">
        <v>95.0</v>
      </c>
      <c r="E452" s="13">
        <v>817.0</v>
      </c>
    </row>
    <row r="453">
      <c r="A453" s="13">
        <v>1509028.0</v>
      </c>
      <c r="B453" s="4">
        <v>88.0</v>
      </c>
      <c r="C453" s="13">
        <v>116.0</v>
      </c>
      <c r="D453" s="13">
        <v>32.0</v>
      </c>
      <c r="E453" s="13">
        <v>144.0</v>
      </c>
    </row>
    <row r="454">
      <c r="A454" s="13">
        <v>1508013.0</v>
      </c>
      <c r="B454" s="4">
        <v>92.0</v>
      </c>
      <c r="C454" s="13">
        <v>130.0</v>
      </c>
      <c r="D454" s="13">
        <v>67.0</v>
      </c>
      <c r="E454" s="13">
        <v>157.0</v>
      </c>
    </row>
    <row r="455">
      <c r="A455" s="13">
        <v>1502015.0</v>
      </c>
      <c r="B455" s="4">
        <v>93.0</v>
      </c>
      <c r="C455" s="13">
        <v>100.0</v>
      </c>
      <c r="D455" s="13">
        <v>26.0</v>
      </c>
      <c r="E455" s="13">
        <v>106.0</v>
      </c>
    </row>
    <row r="456">
      <c r="A456" s="13">
        <v>1571023.0</v>
      </c>
      <c r="B456" s="4">
        <v>91.0</v>
      </c>
      <c r="C456" s="13">
        <v>194.0</v>
      </c>
      <c r="D456" s="13">
        <v>47.0</v>
      </c>
      <c r="E456" s="13">
        <v>571.0</v>
      </c>
    </row>
    <row r="457">
      <c r="A457" s="13">
        <v>1507013.0</v>
      </c>
      <c r="B457" s="4">
        <v>90.0</v>
      </c>
      <c r="C457" s="13">
        <v>58.0</v>
      </c>
      <c r="D457" s="13">
        <v>17.0</v>
      </c>
      <c r="E457" s="13">
        <v>181.0</v>
      </c>
    </row>
    <row r="458">
      <c r="A458" s="13">
        <v>1571165.0</v>
      </c>
      <c r="B458" s="4">
        <v>91.0</v>
      </c>
      <c r="C458" s="13">
        <v>55.0</v>
      </c>
      <c r="D458" s="13">
        <v>19.0</v>
      </c>
      <c r="E458" s="13">
        <v>78.0</v>
      </c>
    </row>
    <row r="459">
      <c r="A459" s="13">
        <v>1506022.0</v>
      </c>
      <c r="B459" s="4">
        <v>94.0</v>
      </c>
      <c r="C459" s="13">
        <v>102.0</v>
      </c>
      <c r="D459" s="13">
        <v>1.0</v>
      </c>
      <c r="E459" s="13">
        <v>182.0</v>
      </c>
    </row>
    <row r="460">
      <c r="A460" s="13">
        <v>1503036.0</v>
      </c>
      <c r="B460" s="4">
        <v>95.0</v>
      </c>
      <c r="C460" s="13">
        <v>137.0</v>
      </c>
      <c r="D460" s="13">
        <v>27.0</v>
      </c>
      <c r="E460" s="13">
        <v>392.0</v>
      </c>
    </row>
    <row r="461">
      <c r="A461" s="13">
        <v>1571169.0</v>
      </c>
      <c r="B461" s="4">
        <v>91.0</v>
      </c>
      <c r="C461" s="13">
        <v>50.0</v>
      </c>
      <c r="D461" s="13">
        <v>25.0</v>
      </c>
      <c r="E461" s="13">
        <v>68.0</v>
      </c>
    </row>
    <row r="462">
      <c r="A462" s="13">
        <v>1504017.0</v>
      </c>
      <c r="B462" s="4">
        <v>91.0</v>
      </c>
      <c r="C462" s="13">
        <v>154.0</v>
      </c>
      <c r="D462" s="13">
        <v>85.0</v>
      </c>
      <c r="E462" s="13">
        <v>170.0</v>
      </c>
    </row>
    <row r="463">
      <c r="A463" s="13">
        <v>1571168.0</v>
      </c>
      <c r="B463" s="4">
        <v>91.0</v>
      </c>
      <c r="C463" s="13">
        <v>100.0</v>
      </c>
      <c r="D463" s="13">
        <v>35.0</v>
      </c>
      <c r="E463" s="13">
        <v>155.0</v>
      </c>
    </row>
    <row r="464">
      <c r="A464" s="13">
        <v>1571045.0</v>
      </c>
      <c r="B464" s="4">
        <v>91.0</v>
      </c>
      <c r="C464" s="13">
        <v>100.0</v>
      </c>
      <c r="D464" s="13">
        <v>39.0</v>
      </c>
      <c r="E464" s="13">
        <v>462.0</v>
      </c>
    </row>
    <row r="465">
      <c r="A465" s="13">
        <v>1503039.0</v>
      </c>
      <c r="B465" s="4">
        <v>95.0</v>
      </c>
      <c r="C465" s="13">
        <v>101.0</v>
      </c>
      <c r="D465" s="13">
        <v>24.0</v>
      </c>
      <c r="E465" s="13">
        <v>205.0</v>
      </c>
    </row>
    <row r="466">
      <c r="A466" s="13">
        <v>1505016.0</v>
      </c>
      <c r="B466" s="4">
        <v>89.0</v>
      </c>
      <c r="C466" s="13">
        <v>114.0</v>
      </c>
      <c r="D466" s="13">
        <v>29.0</v>
      </c>
      <c r="E466" s="13">
        <v>238.0</v>
      </c>
    </row>
    <row r="467">
      <c r="A467" s="13">
        <v>1571147.0</v>
      </c>
      <c r="B467" s="4">
        <v>91.0</v>
      </c>
      <c r="C467" s="13">
        <v>108.0</v>
      </c>
      <c r="D467" s="13">
        <v>80.0</v>
      </c>
      <c r="E467" s="13">
        <v>363.0</v>
      </c>
    </row>
    <row r="468">
      <c r="A468" s="13">
        <v>1505027.0</v>
      </c>
      <c r="B468" s="4">
        <v>89.0</v>
      </c>
      <c r="C468" s="13">
        <v>51.0</v>
      </c>
      <c r="D468" s="13">
        <v>15.0</v>
      </c>
      <c r="E468" s="13">
        <v>152.0</v>
      </c>
    </row>
    <row r="469">
      <c r="A469" s="13">
        <v>1509029.0</v>
      </c>
      <c r="B469" s="4">
        <v>88.0</v>
      </c>
      <c r="C469" s="13">
        <v>47.0</v>
      </c>
      <c r="D469" s="13">
        <v>27.0</v>
      </c>
      <c r="E469" s="13">
        <v>18.0</v>
      </c>
    </row>
    <row r="470">
      <c r="A470" s="13">
        <v>1506011.0</v>
      </c>
      <c r="B470" s="4">
        <v>94.0</v>
      </c>
      <c r="C470" s="13">
        <v>103.0</v>
      </c>
      <c r="D470" s="13">
        <v>31.0</v>
      </c>
      <c r="E470" s="13">
        <v>225.0</v>
      </c>
    </row>
    <row r="471">
      <c r="A471" s="13">
        <v>1571164.0</v>
      </c>
      <c r="B471" s="4">
        <v>91.0</v>
      </c>
      <c r="C471" s="13">
        <v>36.0</v>
      </c>
      <c r="D471" s="13">
        <v>17.0</v>
      </c>
      <c r="E471" s="13">
        <v>22.0</v>
      </c>
    </row>
    <row r="472">
      <c r="A472" s="13">
        <v>1571180.0</v>
      </c>
      <c r="B472" s="4">
        <v>91.0</v>
      </c>
      <c r="C472" s="13">
        <v>100.0</v>
      </c>
      <c r="D472" s="13">
        <v>28.0</v>
      </c>
      <c r="E472" s="13">
        <v>182.0</v>
      </c>
    </row>
    <row r="473">
      <c r="A473" s="13">
        <v>1504018.0</v>
      </c>
      <c r="B473" s="4">
        <v>96.0</v>
      </c>
      <c r="C473" s="13">
        <v>116.0</v>
      </c>
      <c r="D473" s="13">
        <v>23.0</v>
      </c>
      <c r="E473" s="13">
        <v>174.0</v>
      </c>
    </row>
    <row r="474">
      <c r="A474" s="13">
        <v>1501012.0</v>
      </c>
      <c r="B474" s="4">
        <v>97.0</v>
      </c>
      <c r="C474" s="13">
        <v>145.0</v>
      </c>
      <c r="D474" s="13">
        <v>21.0</v>
      </c>
      <c r="E474" s="13">
        <v>278.0</v>
      </c>
    </row>
    <row r="475">
      <c r="A475" s="13">
        <v>1571161.0</v>
      </c>
      <c r="B475" s="4">
        <v>91.0</v>
      </c>
      <c r="C475" s="13">
        <v>73.0</v>
      </c>
      <c r="D475" s="13">
        <v>26.0</v>
      </c>
      <c r="E475" s="13">
        <v>117.0</v>
      </c>
    </row>
    <row r="476">
      <c r="A476" s="13">
        <v>1502019.0</v>
      </c>
      <c r="B476" s="4">
        <v>93.0</v>
      </c>
      <c r="C476" s="13">
        <v>72.0</v>
      </c>
      <c r="D476" s="13">
        <v>28.0</v>
      </c>
      <c r="E476" s="13">
        <v>35.0</v>
      </c>
    </row>
    <row r="477">
      <c r="A477" s="13">
        <v>1571012.0</v>
      </c>
      <c r="B477" s="4">
        <v>91.0</v>
      </c>
      <c r="C477" s="13">
        <v>393.0</v>
      </c>
      <c r="D477" s="13">
        <v>44.0</v>
      </c>
      <c r="E477" s="13">
        <v>584.0</v>
      </c>
    </row>
    <row r="478">
      <c r="A478" s="13">
        <v>1572003.0</v>
      </c>
      <c r="B478" s="4">
        <v>97.0</v>
      </c>
      <c r="C478" s="13">
        <v>53.0</v>
      </c>
      <c r="D478" s="13">
        <v>12.0</v>
      </c>
      <c r="E478" s="13">
        <v>2.0</v>
      </c>
    </row>
    <row r="479">
      <c r="A479" s="13">
        <v>1502014.0</v>
      </c>
      <c r="B479" s="4">
        <v>93.0</v>
      </c>
      <c r="C479" s="13">
        <v>141.0</v>
      </c>
      <c r="D479" s="13">
        <v>32.0</v>
      </c>
      <c r="E479" s="13">
        <v>595.0</v>
      </c>
    </row>
    <row r="480">
      <c r="A480" s="13">
        <v>1502018.0</v>
      </c>
      <c r="B480" s="4">
        <v>93.0</v>
      </c>
      <c r="C480" s="13">
        <v>62.0</v>
      </c>
      <c r="D480" s="13">
        <v>21.0</v>
      </c>
      <c r="E480" s="13">
        <v>12.0</v>
      </c>
    </row>
    <row r="481">
      <c r="A481" s="13">
        <v>1571034.0</v>
      </c>
      <c r="B481" s="4">
        <v>91.0</v>
      </c>
      <c r="C481" s="13">
        <v>199.0</v>
      </c>
      <c r="D481" s="13">
        <v>40.0</v>
      </c>
      <c r="E481" s="13">
        <v>498.0</v>
      </c>
    </row>
    <row r="482">
      <c r="A482" s="13">
        <v>1504015.0</v>
      </c>
      <c r="B482" s="4">
        <v>96.0</v>
      </c>
      <c r="C482" s="13">
        <v>160.0</v>
      </c>
      <c r="D482" s="13">
        <v>42.0</v>
      </c>
      <c r="E482" s="13">
        <v>437.0</v>
      </c>
    </row>
    <row r="483">
      <c r="A483" s="13">
        <v>1571136.0</v>
      </c>
      <c r="B483" s="4">
        <v>91.0</v>
      </c>
      <c r="C483" s="13">
        <v>240.0</v>
      </c>
      <c r="D483" s="13">
        <v>28.0</v>
      </c>
      <c r="E483" s="13">
        <v>399.0</v>
      </c>
    </row>
    <row r="484">
      <c r="A484" s="13">
        <v>1508002.0</v>
      </c>
      <c r="B484" s="4">
        <v>92.0</v>
      </c>
      <c r="C484" s="13">
        <v>51.0</v>
      </c>
      <c r="D484" s="13">
        <v>8.0</v>
      </c>
      <c r="E484" s="13">
        <v>21.0</v>
      </c>
    </row>
    <row r="485">
      <c r="A485" s="13">
        <v>1509042.0</v>
      </c>
      <c r="B485" s="4">
        <v>88.0</v>
      </c>
      <c r="C485" s="13">
        <v>20.0</v>
      </c>
      <c r="D485" s="13">
        <v>8.0</v>
      </c>
      <c r="E485" s="13">
        <v>182.0</v>
      </c>
    </row>
    <row r="486">
      <c r="A486" s="13">
        <v>1671337.0</v>
      </c>
      <c r="B486" s="4">
        <v>98.0</v>
      </c>
      <c r="C486" s="13">
        <v>25.0</v>
      </c>
      <c r="D486" s="13">
        <v>9.0</v>
      </c>
      <c r="E486" s="13">
        <v>25.0</v>
      </c>
    </row>
    <row r="487">
      <c r="A487" s="13">
        <v>1671347.0</v>
      </c>
      <c r="B487" s="4">
        <v>98.0</v>
      </c>
      <c r="C487" s="13">
        <v>306.0</v>
      </c>
      <c r="D487" s="13">
        <v>81.0</v>
      </c>
      <c r="E487" s="13">
        <v>519.0</v>
      </c>
    </row>
    <row r="488">
      <c r="A488" s="13">
        <v>1672026.0</v>
      </c>
      <c r="B488" s="4">
        <v>99.0</v>
      </c>
      <c r="C488" s="13">
        <v>100.0</v>
      </c>
      <c r="D488" s="13">
        <v>28.0</v>
      </c>
      <c r="E488" s="13">
        <v>188.0</v>
      </c>
    </row>
    <row r="489">
      <c r="A489" s="13">
        <v>1607016.0</v>
      </c>
      <c r="B489" s="4">
        <v>100.0</v>
      </c>
      <c r="C489" s="13">
        <v>50.0</v>
      </c>
      <c r="D489" s="13">
        <v>20.0</v>
      </c>
      <c r="E489" s="13">
        <v>8.0</v>
      </c>
    </row>
    <row r="490">
      <c r="A490" s="13">
        <v>1604032.0</v>
      </c>
      <c r="B490" s="4">
        <v>101.0</v>
      </c>
      <c r="C490" s="13">
        <v>30.0</v>
      </c>
      <c r="D490" s="13">
        <v>11.0</v>
      </c>
      <c r="E490" s="13">
        <v>182.0</v>
      </c>
    </row>
    <row r="491">
      <c r="A491" s="13">
        <v>1606032.0</v>
      </c>
      <c r="B491" s="4">
        <v>102.0</v>
      </c>
      <c r="C491" s="13">
        <v>104.0</v>
      </c>
      <c r="D491" s="13">
        <v>26.0</v>
      </c>
      <c r="E491" s="13">
        <v>139.0</v>
      </c>
    </row>
    <row r="492">
      <c r="A492" s="13">
        <v>1674032.0</v>
      </c>
      <c r="B492" s="4">
        <v>103.0</v>
      </c>
      <c r="C492" s="13">
        <v>121.0</v>
      </c>
      <c r="D492" s="13">
        <v>24.0</v>
      </c>
      <c r="E492" s="13">
        <v>348.0</v>
      </c>
    </row>
    <row r="493">
      <c r="A493" s="13">
        <v>1671083.0</v>
      </c>
      <c r="B493" s="4">
        <v>98.0</v>
      </c>
      <c r="C493" s="13">
        <v>200.0</v>
      </c>
      <c r="D493" s="13">
        <v>97.0</v>
      </c>
      <c r="E493" s="13">
        <v>620.0</v>
      </c>
    </row>
    <row r="494">
      <c r="A494" s="13">
        <v>1671341.0</v>
      </c>
      <c r="B494" s="4">
        <v>98.0</v>
      </c>
      <c r="C494" s="13">
        <v>25.0</v>
      </c>
      <c r="D494" s="13">
        <v>13.0</v>
      </c>
      <c r="E494" s="13">
        <v>29.0</v>
      </c>
    </row>
    <row r="495">
      <c r="A495" s="13">
        <v>1603063.0</v>
      </c>
      <c r="B495" s="4">
        <v>104.0</v>
      </c>
      <c r="C495" s="13">
        <v>264.0</v>
      </c>
      <c r="D495" s="13">
        <v>47.0</v>
      </c>
      <c r="E495" s="13">
        <v>509.0</v>
      </c>
    </row>
    <row r="496">
      <c r="A496" s="13">
        <v>1671324.0</v>
      </c>
      <c r="B496" s="4">
        <v>98.0</v>
      </c>
      <c r="C496" s="13">
        <v>43.0</v>
      </c>
      <c r="D496" s="13">
        <v>18.0</v>
      </c>
      <c r="E496" s="13">
        <v>152.0</v>
      </c>
    </row>
    <row r="497">
      <c r="A497" s="13">
        <v>1601089.0</v>
      </c>
      <c r="B497" s="4">
        <v>105.0</v>
      </c>
      <c r="C497" s="13">
        <v>31.0</v>
      </c>
      <c r="D497" s="13">
        <v>27.0</v>
      </c>
      <c r="E497" s="13">
        <v>29.0</v>
      </c>
    </row>
    <row r="498">
      <c r="A498" s="13">
        <v>1608051.0</v>
      </c>
      <c r="B498" s="4">
        <v>106.0</v>
      </c>
      <c r="C498" s="13">
        <v>105.0</v>
      </c>
      <c r="D498" s="13">
        <v>26.0</v>
      </c>
      <c r="E498" s="13">
        <v>431.0</v>
      </c>
    </row>
    <row r="499">
      <c r="A499" s="13">
        <v>1671072.0</v>
      </c>
      <c r="B499" s="4">
        <v>100.0</v>
      </c>
      <c r="C499" s="13">
        <v>103.0</v>
      </c>
      <c r="D499" s="13">
        <v>48.0</v>
      </c>
      <c r="E499" s="13">
        <v>219.0</v>
      </c>
    </row>
    <row r="500">
      <c r="A500" s="13">
        <v>1601035.0</v>
      </c>
      <c r="B500" s="4">
        <v>105.0</v>
      </c>
      <c r="C500" s="13">
        <v>120.0</v>
      </c>
      <c r="D500" s="13">
        <v>28.0</v>
      </c>
      <c r="E500" s="13">
        <v>100.0</v>
      </c>
    </row>
    <row r="501">
      <c r="A501" s="13">
        <v>1606011.0</v>
      </c>
      <c r="B501" s="4">
        <v>102.0</v>
      </c>
      <c r="C501" s="13">
        <v>321.0</v>
      </c>
      <c r="D501" s="13">
        <v>101.0</v>
      </c>
      <c r="E501" s="13">
        <v>943.0</v>
      </c>
    </row>
    <row r="502">
      <c r="A502" s="13">
        <v>1674003.0</v>
      </c>
      <c r="B502" s="4">
        <v>103.0</v>
      </c>
      <c r="C502" s="13">
        <v>100.0</v>
      </c>
      <c r="D502" s="13">
        <v>25.0</v>
      </c>
      <c r="E502" s="13">
        <v>170.0</v>
      </c>
    </row>
    <row r="503">
      <c r="A503" s="13">
        <v>1671265.0</v>
      </c>
      <c r="B503" s="4">
        <v>98.0</v>
      </c>
      <c r="C503" s="13">
        <v>253.0</v>
      </c>
      <c r="D503" s="13">
        <v>92.0</v>
      </c>
      <c r="E503" s="13">
        <v>780.0</v>
      </c>
    </row>
    <row r="504">
      <c r="A504" s="13">
        <v>1603090.0</v>
      </c>
      <c r="B504" s="4">
        <v>104.0</v>
      </c>
      <c r="C504" s="13">
        <v>54.0</v>
      </c>
      <c r="D504" s="13">
        <v>32.0</v>
      </c>
      <c r="E504" s="13">
        <v>46.0</v>
      </c>
    </row>
    <row r="505">
      <c r="A505" s="13">
        <v>1671094.0</v>
      </c>
      <c r="B505" s="4">
        <v>98.0</v>
      </c>
      <c r="C505" s="13">
        <v>103.0</v>
      </c>
      <c r="D505" s="13">
        <v>34.0</v>
      </c>
      <c r="E505" s="13">
        <v>60.0</v>
      </c>
    </row>
    <row r="506">
      <c r="A506" s="13">
        <v>1603085.0</v>
      </c>
      <c r="B506" s="4">
        <v>107.0</v>
      </c>
      <c r="C506" s="13">
        <v>90.0</v>
      </c>
      <c r="D506" s="13">
        <v>21.0</v>
      </c>
      <c r="E506" s="13">
        <v>407.0</v>
      </c>
    </row>
    <row r="507">
      <c r="A507" s="13">
        <v>1671328.0</v>
      </c>
      <c r="B507" s="4">
        <v>98.0</v>
      </c>
      <c r="C507" s="13">
        <v>21.0</v>
      </c>
      <c r="D507" s="13">
        <v>17.0</v>
      </c>
      <c r="E507" s="13">
        <v>141.0</v>
      </c>
    </row>
    <row r="508">
      <c r="A508" s="13">
        <v>1671024.0</v>
      </c>
      <c r="B508" s="4">
        <v>98.0</v>
      </c>
      <c r="C508" s="13">
        <v>100.0</v>
      </c>
      <c r="D508" s="13">
        <v>36.0</v>
      </c>
      <c r="E508" s="13">
        <v>143.0</v>
      </c>
    </row>
    <row r="509">
      <c r="A509" s="13">
        <v>1601086.0</v>
      </c>
      <c r="B509" s="4">
        <v>105.0</v>
      </c>
      <c r="C509" s="13">
        <v>31.0</v>
      </c>
      <c r="D509" s="13">
        <v>13.0</v>
      </c>
      <c r="E509" s="13">
        <v>43.0</v>
      </c>
    </row>
    <row r="510">
      <c r="A510" s="13">
        <v>1603087.0</v>
      </c>
      <c r="B510" s="4">
        <v>104.0</v>
      </c>
      <c r="C510" s="13">
        <v>50.0</v>
      </c>
      <c r="D510" s="13">
        <v>11.0</v>
      </c>
      <c r="E510" s="13">
        <v>62.0</v>
      </c>
    </row>
    <row r="511">
      <c r="A511" s="13">
        <v>1609083.0</v>
      </c>
      <c r="B511" s="4">
        <v>108.0</v>
      </c>
      <c r="C511" s="13">
        <v>132.0</v>
      </c>
      <c r="D511" s="13">
        <v>29.0</v>
      </c>
      <c r="E511" s="13">
        <v>470.0</v>
      </c>
    </row>
    <row r="512">
      <c r="A512" s="13">
        <v>1674007.0</v>
      </c>
      <c r="B512" s="4">
        <v>103.0</v>
      </c>
      <c r="C512" s="13">
        <v>34.0</v>
      </c>
      <c r="D512" s="13">
        <v>15.0</v>
      </c>
      <c r="E512" s="13">
        <v>45.0</v>
      </c>
    </row>
    <row r="513">
      <c r="A513" s="13">
        <v>1671301.0</v>
      </c>
      <c r="B513" s="4">
        <v>98.0</v>
      </c>
      <c r="C513" s="13">
        <v>120.0</v>
      </c>
      <c r="D513" s="13">
        <v>46.0</v>
      </c>
      <c r="E513" s="13">
        <v>438.0</v>
      </c>
    </row>
    <row r="514">
      <c r="A514" s="13">
        <v>1671350.0</v>
      </c>
      <c r="B514" s="4">
        <v>98.0</v>
      </c>
      <c r="C514" s="13">
        <v>50.0</v>
      </c>
      <c r="D514" s="13">
        <v>21.0</v>
      </c>
      <c r="E514" s="13">
        <v>129.0</v>
      </c>
    </row>
    <row r="515">
      <c r="A515" s="13">
        <v>1602015.0</v>
      </c>
      <c r="B515" s="4">
        <v>109.0</v>
      </c>
      <c r="C515" s="13">
        <v>60.0</v>
      </c>
      <c r="D515" s="13">
        <v>23.0</v>
      </c>
      <c r="E515" s="13">
        <v>182.0</v>
      </c>
    </row>
    <row r="516">
      <c r="A516" s="13">
        <v>1671332.0</v>
      </c>
      <c r="B516" s="4">
        <v>98.0</v>
      </c>
      <c r="C516" s="13">
        <v>103.0</v>
      </c>
      <c r="D516" s="13">
        <v>63.0</v>
      </c>
      <c r="E516" s="13">
        <v>110.0</v>
      </c>
    </row>
    <row r="517">
      <c r="A517" s="13">
        <v>1604020.0</v>
      </c>
      <c r="B517" s="4">
        <v>101.0</v>
      </c>
      <c r="C517" s="13">
        <v>69.0</v>
      </c>
      <c r="D517" s="13">
        <v>27.0</v>
      </c>
      <c r="E517" s="13">
        <v>144.0</v>
      </c>
    </row>
    <row r="518">
      <c r="A518" s="13">
        <v>1671046.0</v>
      </c>
      <c r="B518" s="4">
        <v>98.0</v>
      </c>
      <c r="C518" s="13">
        <v>101.0</v>
      </c>
      <c r="D518" s="13">
        <v>49.0</v>
      </c>
      <c r="E518" s="13">
        <v>331.0</v>
      </c>
    </row>
    <row r="519">
      <c r="A519" s="13">
        <v>1601100.0</v>
      </c>
      <c r="B519" s="4">
        <v>105.0</v>
      </c>
      <c r="C519" s="13">
        <v>29.0</v>
      </c>
      <c r="D519" s="13">
        <v>7.0</v>
      </c>
      <c r="E519" s="13">
        <v>182.0</v>
      </c>
    </row>
    <row r="520">
      <c r="A520" s="13">
        <v>1603089.0</v>
      </c>
      <c r="B520" s="4">
        <v>104.0</v>
      </c>
      <c r="C520" s="13">
        <v>52.0</v>
      </c>
      <c r="D520" s="13">
        <v>16.0</v>
      </c>
      <c r="E520" s="13">
        <v>135.0</v>
      </c>
    </row>
    <row r="521">
      <c r="A521" s="13">
        <v>1672015.0</v>
      </c>
      <c r="B521" s="4">
        <v>99.0</v>
      </c>
      <c r="C521" s="13">
        <v>163.0</v>
      </c>
      <c r="D521" s="13">
        <v>34.0</v>
      </c>
      <c r="E521" s="13">
        <v>652.0</v>
      </c>
    </row>
    <row r="522">
      <c r="A522" s="13">
        <v>1671335.0</v>
      </c>
      <c r="B522" s="4">
        <v>98.0</v>
      </c>
      <c r="C522" s="13">
        <v>112.0</v>
      </c>
      <c r="D522" s="13">
        <v>100.0</v>
      </c>
      <c r="E522" s="13">
        <v>548.0</v>
      </c>
    </row>
    <row r="523">
      <c r="A523" s="13">
        <v>1607015.0</v>
      </c>
      <c r="B523" s="4">
        <v>100.0</v>
      </c>
      <c r="C523" s="13">
        <v>30.0</v>
      </c>
      <c r="D523" s="13">
        <v>13.0</v>
      </c>
      <c r="E523" s="13">
        <v>58.0</v>
      </c>
    </row>
    <row r="524">
      <c r="A524" s="13">
        <v>1609011.0</v>
      </c>
      <c r="B524" s="4">
        <v>108.0</v>
      </c>
      <c r="C524" s="13">
        <v>60.0</v>
      </c>
      <c r="D524" s="13">
        <v>26.0</v>
      </c>
      <c r="E524" s="13">
        <v>418.0</v>
      </c>
    </row>
    <row r="525">
      <c r="A525" s="13">
        <v>1671340.0</v>
      </c>
      <c r="B525" s="4">
        <v>98.0</v>
      </c>
      <c r="C525" s="13">
        <v>34.0</v>
      </c>
      <c r="D525" s="13">
        <v>20.0</v>
      </c>
      <c r="E525" s="13">
        <v>114.0</v>
      </c>
    </row>
    <row r="526">
      <c r="A526" s="13">
        <v>1671325.0</v>
      </c>
      <c r="B526" s="4">
        <v>98.0</v>
      </c>
      <c r="C526" s="13">
        <v>250.0</v>
      </c>
      <c r="D526" s="13">
        <v>105.0</v>
      </c>
      <c r="E526" s="13">
        <v>421.0</v>
      </c>
    </row>
    <row r="527">
      <c r="A527" s="13">
        <v>1603101.0</v>
      </c>
      <c r="B527" s="4">
        <v>104.0</v>
      </c>
      <c r="C527" s="13">
        <v>52.0</v>
      </c>
      <c r="D527" s="13">
        <v>26.0</v>
      </c>
      <c r="E527" s="13">
        <v>182.0</v>
      </c>
    </row>
    <row r="528">
      <c r="A528" s="13">
        <v>1674010.0</v>
      </c>
      <c r="B528" s="4">
        <v>110.0</v>
      </c>
      <c r="C528" s="13">
        <v>111.0</v>
      </c>
      <c r="D528" s="13">
        <v>64.0</v>
      </c>
      <c r="E528" s="13">
        <v>598.0</v>
      </c>
    </row>
    <row r="529">
      <c r="A529" s="13">
        <v>1671061.0</v>
      </c>
      <c r="B529" s="4">
        <v>98.0</v>
      </c>
      <c r="C529" s="13">
        <v>182.0</v>
      </c>
      <c r="D529" s="13">
        <v>35.0</v>
      </c>
      <c r="E529" s="13">
        <v>421.0</v>
      </c>
    </row>
    <row r="530">
      <c r="A530" s="13">
        <v>1609012.0</v>
      </c>
      <c r="B530" s="4">
        <v>108.0</v>
      </c>
      <c r="C530" s="13">
        <v>175.0</v>
      </c>
      <c r="D530" s="13">
        <v>21.0</v>
      </c>
      <c r="E530" s="13">
        <v>454.0</v>
      </c>
    </row>
    <row r="531">
      <c r="A531" s="13">
        <v>1610005.0</v>
      </c>
      <c r="B531" s="4">
        <v>111.0</v>
      </c>
      <c r="C531" s="13">
        <v>100.0</v>
      </c>
      <c r="D531" s="13">
        <v>26.0</v>
      </c>
      <c r="E531" s="13">
        <v>34.0</v>
      </c>
    </row>
    <row r="532">
      <c r="A532" s="13">
        <v>1603030.0</v>
      </c>
      <c r="B532" s="4">
        <v>104.0</v>
      </c>
      <c r="C532" s="13">
        <v>100.0</v>
      </c>
      <c r="D532" s="13">
        <v>31.0</v>
      </c>
      <c r="E532" s="13">
        <v>240.0</v>
      </c>
    </row>
    <row r="533">
      <c r="A533" s="13">
        <v>1607012.0</v>
      </c>
      <c r="B533" s="4">
        <v>100.0</v>
      </c>
      <c r="C533" s="13">
        <v>119.0</v>
      </c>
      <c r="D533" s="13">
        <v>60.0</v>
      </c>
      <c r="E533" s="13">
        <v>177.0</v>
      </c>
    </row>
    <row r="534">
      <c r="A534" s="13">
        <v>1671342.0</v>
      </c>
      <c r="B534" s="4">
        <v>98.0</v>
      </c>
      <c r="C534" s="13">
        <v>107.0</v>
      </c>
      <c r="D534" s="13">
        <v>25.0</v>
      </c>
      <c r="E534" s="13">
        <v>119.0</v>
      </c>
    </row>
    <row r="535">
      <c r="A535" s="13">
        <v>1671333.0</v>
      </c>
      <c r="B535" s="4">
        <v>98.0</v>
      </c>
      <c r="C535" s="13">
        <v>140.0</v>
      </c>
      <c r="D535" s="13">
        <v>29.0</v>
      </c>
      <c r="E535" s="13">
        <v>212.0</v>
      </c>
    </row>
    <row r="536">
      <c r="A536" s="13">
        <v>1612011.0</v>
      </c>
      <c r="B536" s="4">
        <v>107.0</v>
      </c>
      <c r="C536" s="13">
        <v>30.0</v>
      </c>
      <c r="D536" s="13">
        <v>8.0</v>
      </c>
      <c r="E536" s="13">
        <v>182.0</v>
      </c>
    </row>
    <row r="537">
      <c r="A537" s="13">
        <v>1601013.0</v>
      </c>
      <c r="B537" s="4">
        <v>105.0</v>
      </c>
      <c r="C537" s="13">
        <v>170.0</v>
      </c>
      <c r="D537" s="13">
        <v>90.0</v>
      </c>
      <c r="E537" s="13">
        <v>679.0</v>
      </c>
    </row>
    <row r="538">
      <c r="A538" s="13">
        <v>1671348.0</v>
      </c>
      <c r="B538" s="4">
        <v>98.0</v>
      </c>
      <c r="C538" s="13">
        <v>25.0</v>
      </c>
      <c r="D538" s="13">
        <v>8.0</v>
      </c>
      <c r="E538" s="13">
        <v>46.0</v>
      </c>
    </row>
    <row r="539">
      <c r="A539" s="13">
        <v>1607014.0</v>
      </c>
      <c r="B539" s="4">
        <v>100.0</v>
      </c>
      <c r="C539" s="13">
        <v>153.0</v>
      </c>
      <c r="D539" s="13">
        <v>124.0</v>
      </c>
      <c r="E539" s="13">
        <v>210.0</v>
      </c>
    </row>
    <row r="540">
      <c r="A540" s="13">
        <v>1605043.0</v>
      </c>
      <c r="B540" s="4">
        <v>112.0</v>
      </c>
      <c r="C540" s="13">
        <v>88.0</v>
      </c>
      <c r="D540" s="13">
        <v>35.0</v>
      </c>
      <c r="E540" s="13">
        <v>347.0</v>
      </c>
    </row>
    <row r="541">
      <c r="A541" s="13">
        <v>1671243.0</v>
      </c>
      <c r="B541" s="4">
        <v>98.0</v>
      </c>
      <c r="C541" s="13">
        <v>181.0</v>
      </c>
      <c r="D541" s="13">
        <v>50.0</v>
      </c>
      <c r="E541" s="13">
        <v>247.0</v>
      </c>
    </row>
    <row r="542">
      <c r="A542" s="13">
        <v>1611042.0</v>
      </c>
      <c r="B542" s="4">
        <v>113.0</v>
      </c>
      <c r="C542" s="13">
        <v>123.0</v>
      </c>
      <c r="D542" s="13">
        <v>53.0</v>
      </c>
      <c r="E542" s="13">
        <v>313.0</v>
      </c>
    </row>
    <row r="543">
      <c r="A543" s="13">
        <v>1671361.0</v>
      </c>
      <c r="B543" s="4">
        <v>98.0</v>
      </c>
      <c r="C543" s="13">
        <v>130.0</v>
      </c>
      <c r="D543" s="13">
        <v>32.0</v>
      </c>
      <c r="E543" s="13">
        <v>182.0</v>
      </c>
    </row>
    <row r="544">
      <c r="A544" s="13">
        <v>1672074.0</v>
      </c>
      <c r="B544" s="4">
        <v>99.0</v>
      </c>
      <c r="C544" s="13">
        <v>210.0</v>
      </c>
      <c r="D544" s="13">
        <v>31.0</v>
      </c>
      <c r="E544" s="13">
        <v>479.0</v>
      </c>
    </row>
    <row r="545">
      <c r="A545" s="13">
        <v>1671013.0</v>
      </c>
      <c r="B545" s="4">
        <v>98.0</v>
      </c>
      <c r="C545" s="13">
        <v>926.0</v>
      </c>
      <c r="D545" s="13">
        <v>155.0</v>
      </c>
      <c r="E545" s="13">
        <v>3030.0</v>
      </c>
    </row>
    <row r="546">
      <c r="A546" s="13">
        <v>1671343.0</v>
      </c>
      <c r="B546" s="4">
        <v>98.0</v>
      </c>
      <c r="C546" s="13">
        <v>100.0</v>
      </c>
      <c r="D546" s="13">
        <v>29.0</v>
      </c>
      <c r="E546" s="13">
        <v>336.0</v>
      </c>
    </row>
    <row r="547">
      <c r="A547" s="13">
        <v>1607017.0</v>
      </c>
      <c r="B547" s="4">
        <v>100.0</v>
      </c>
      <c r="C547" s="13">
        <v>164.0</v>
      </c>
      <c r="D547" s="13">
        <v>25.0</v>
      </c>
      <c r="E547" s="13">
        <v>55.0</v>
      </c>
    </row>
    <row r="548">
      <c r="A548" s="13">
        <v>1674008.0</v>
      </c>
      <c r="B548" s="4">
        <v>103.0</v>
      </c>
      <c r="C548" s="13">
        <v>50.0</v>
      </c>
      <c r="D548" s="13">
        <v>14.0</v>
      </c>
      <c r="E548" s="13">
        <v>30.0</v>
      </c>
    </row>
    <row r="549">
      <c r="A549" s="13">
        <v>1609046.0</v>
      </c>
      <c r="B549" s="4">
        <v>108.0</v>
      </c>
      <c r="C549" s="13">
        <v>119.0</v>
      </c>
      <c r="D549" s="13">
        <v>30.0</v>
      </c>
      <c r="E549" s="13">
        <v>122.0</v>
      </c>
    </row>
    <row r="550">
      <c r="A550" s="13">
        <v>1606022.0</v>
      </c>
      <c r="B550" s="4">
        <v>102.0</v>
      </c>
      <c r="C550" s="13">
        <v>112.0</v>
      </c>
      <c r="D550" s="13">
        <v>34.0</v>
      </c>
      <c r="E550" s="13">
        <v>276.0</v>
      </c>
    </row>
    <row r="551">
      <c r="A551" s="13">
        <v>1671276.0</v>
      </c>
      <c r="B551" s="4">
        <v>98.0</v>
      </c>
      <c r="C551" s="13">
        <v>103.0</v>
      </c>
      <c r="D551" s="13">
        <v>37.0</v>
      </c>
      <c r="E551" s="13">
        <v>421.0</v>
      </c>
    </row>
    <row r="552">
      <c r="A552" s="13">
        <v>1671336.0</v>
      </c>
      <c r="B552" s="4">
        <v>98.0</v>
      </c>
      <c r="C552" s="13">
        <v>104.0</v>
      </c>
      <c r="D552" s="13">
        <v>43.0</v>
      </c>
      <c r="E552" s="13">
        <v>75.0</v>
      </c>
    </row>
    <row r="553">
      <c r="A553" s="13">
        <v>1604016.0</v>
      </c>
      <c r="B553" s="4">
        <v>101.0</v>
      </c>
      <c r="C553" s="13">
        <v>204.0</v>
      </c>
      <c r="D553" s="13">
        <v>30.0</v>
      </c>
      <c r="E553" s="13">
        <v>385.0</v>
      </c>
    </row>
    <row r="554">
      <c r="A554" s="13">
        <v>1671339.0</v>
      </c>
      <c r="B554" s="4">
        <v>98.0</v>
      </c>
      <c r="C554" s="13">
        <v>25.0</v>
      </c>
      <c r="D554" s="13">
        <v>17.0</v>
      </c>
      <c r="E554" s="13">
        <v>46.0</v>
      </c>
    </row>
    <row r="555">
      <c r="A555" s="13">
        <v>1671035.0</v>
      </c>
      <c r="B555" s="4">
        <v>98.0</v>
      </c>
      <c r="C555" s="13">
        <v>192.0</v>
      </c>
      <c r="D555" s="13">
        <v>69.0</v>
      </c>
      <c r="E555" s="13">
        <v>548.0</v>
      </c>
    </row>
    <row r="556">
      <c r="A556" s="13">
        <v>1671331.0</v>
      </c>
      <c r="B556" s="4">
        <v>98.0</v>
      </c>
      <c r="C556" s="13">
        <v>185.0</v>
      </c>
      <c r="D556" s="13">
        <v>43.0</v>
      </c>
      <c r="E556" s="13">
        <v>345.0</v>
      </c>
    </row>
    <row r="557">
      <c r="A557" s="13">
        <v>1674002.0</v>
      </c>
      <c r="B557" s="4">
        <v>103.0</v>
      </c>
      <c r="C557" s="13">
        <v>280.0</v>
      </c>
      <c r="D557" s="13">
        <v>34.0</v>
      </c>
      <c r="E557" s="13">
        <v>206.0</v>
      </c>
    </row>
    <row r="558">
      <c r="A558" s="13">
        <v>1674005.0</v>
      </c>
      <c r="B558" s="4">
        <v>103.0</v>
      </c>
      <c r="C558" s="13">
        <v>93.0</v>
      </c>
      <c r="D558" s="13">
        <v>16.0</v>
      </c>
      <c r="E558" s="13">
        <v>129.0</v>
      </c>
    </row>
    <row r="559">
      <c r="A559" s="13">
        <v>1603088.0</v>
      </c>
      <c r="B559" s="4">
        <v>104.0</v>
      </c>
      <c r="C559" s="13">
        <v>50.0</v>
      </c>
      <c r="D559" s="13">
        <v>14.0</v>
      </c>
      <c r="E559" s="13">
        <v>168.0</v>
      </c>
    </row>
    <row r="560">
      <c r="A560" s="13">
        <v>1602014.0</v>
      </c>
      <c r="B560" s="4">
        <v>109.0</v>
      </c>
      <c r="C560" s="13">
        <v>216.0</v>
      </c>
      <c r="D560" s="13">
        <v>31.0</v>
      </c>
      <c r="E560" s="13">
        <v>468.0</v>
      </c>
    </row>
    <row r="561">
      <c r="A561" s="13">
        <v>1672002.0</v>
      </c>
      <c r="B561" s="4">
        <v>99.0</v>
      </c>
      <c r="C561" s="13">
        <v>121.0</v>
      </c>
      <c r="D561" s="13">
        <v>26.0</v>
      </c>
      <c r="E561" s="13">
        <v>110.0</v>
      </c>
    </row>
    <row r="562">
      <c r="A562" s="13">
        <v>1601088.0</v>
      </c>
      <c r="B562" s="4">
        <v>105.0</v>
      </c>
      <c r="C562" s="13">
        <v>26.0</v>
      </c>
      <c r="D562" s="13">
        <v>8.0</v>
      </c>
      <c r="E562" s="13">
        <v>21.0</v>
      </c>
    </row>
    <row r="563">
      <c r="A563" s="13">
        <v>1601002.0</v>
      </c>
      <c r="B563" s="4">
        <v>105.0</v>
      </c>
      <c r="C563" s="13">
        <v>99.0</v>
      </c>
      <c r="D563" s="13">
        <v>26.0</v>
      </c>
      <c r="E563" s="13">
        <v>267.0</v>
      </c>
    </row>
    <row r="564">
      <c r="A564" s="13">
        <v>1610003.0</v>
      </c>
      <c r="B564" s="4">
        <v>111.0</v>
      </c>
      <c r="C564" s="13">
        <v>100.0</v>
      </c>
      <c r="D564" s="13">
        <v>33.0</v>
      </c>
      <c r="E564" s="13">
        <v>336.0</v>
      </c>
    </row>
    <row r="565">
      <c r="A565" s="13">
        <v>1671323.0</v>
      </c>
      <c r="B565" s="4">
        <v>98.0</v>
      </c>
      <c r="C565" s="13">
        <v>37.0</v>
      </c>
      <c r="D565" s="13">
        <v>23.0</v>
      </c>
      <c r="E565" s="13">
        <v>193.0</v>
      </c>
    </row>
    <row r="566">
      <c r="A566" s="13">
        <v>1611002.0</v>
      </c>
      <c r="B566" s="4">
        <v>113.0</v>
      </c>
      <c r="C566" s="13">
        <v>58.0</v>
      </c>
      <c r="D566" s="13">
        <v>12.0</v>
      </c>
      <c r="E566" s="13">
        <v>116.0</v>
      </c>
    </row>
    <row r="567">
      <c r="A567" s="13">
        <v>1673031.0</v>
      </c>
      <c r="B567" s="4">
        <v>114.0</v>
      </c>
      <c r="C567" s="13">
        <v>170.0</v>
      </c>
      <c r="D567" s="13">
        <v>27.0</v>
      </c>
      <c r="E567" s="13">
        <v>399.0</v>
      </c>
    </row>
    <row r="568">
      <c r="A568" s="13">
        <v>1610004.0</v>
      </c>
      <c r="B568" s="4">
        <v>111.0</v>
      </c>
      <c r="C568" s="13">
        <v>50.0</v>
      </c>
      <c r="D568" s="13">
        <v>18.0</v>
      </c>
      <c r="E568" s="13">
        <v>62.0</v>
      </c>
    </row>
    <row r="569">
      <c r="A569" s="13">
        <v>1671050.0</v>
      </c>
      <c r="B569" s="4">
        <v>98.0</v>
      </c>
      <c r="C569" s="13">
        <v>311.0</v>
      </c>
      <c r="D569" s="13">
        <v>61.0</v>
      </c>
      <c r="E569" s="13">
        <v>841.0</v>
      </c>
    </row>
    <row r="570">
      <c r="A570" s="13">
        <v>1605044.0</v>
      </c>
      <c r="B570" s="4">
        <v>110.0</v>
      </c>
      <c r="C570" s="13">
        <v>52.0</v>
      </c>
      <c r="D570" s="13">
        <v>16.0</v>
      </c>
      <c r="E570" s="13">
        <v>142.0</v>
      </c>
    </row>
    <row r="571">
      <c r="A571" s="13">
        <v>1671327.0</v>
      </c>
      <c r="B571" s="4">
        <v>98.0</v>
      </c>
      <c r="C571" s="13">
        <v>50.0</v>
      </c>
      <c r="D571" s="13">
        <v>38.0</v>
      </c>
      <c r="E571" s="13">
        <v>82.0</v>
      </c>
    </row>
    <row r="572">
      <c r="A572" s="13">
        <v>1601084.0</v>
      </c>
      <c r="B572" s="4">
        <v>105.0</v>
      </c>
      <c r="C572" s="13">
        <v>24.0</v>
      </c>
      <c r="D572" s="13">
        <v>15.0</v>
      </c>
      <c r="E572" s="13">
        <v>22.0</v>
      </c>
    </row>
    <row r="573">
      <c r="A573" s="13">
        <v>1771073.0</v>
      </c>
      <c r="B573" s="4">
        <v>115.0</v>
      </c>
      <c r="C573" s="13">
        <v>36.0</v>
      </c>
      <c r="D573" s="13">
        <v>20.0</v>
      </c>
      <c r="E573" s="13">
        <v>182.0</v>
      </c>
    </row>
    <row r="574">
      <c r="A574" s="13">
        <v>1702015.0</v>
      </c>
      <c r="B574" s="4">
        <v>116.0</v>
      </c>
      <c r="C574" s="13">
        <v>122.0</v>
      </c>
      <c r="D574" s="13">
        <v>47.0</v>
      </c>
      <c r="E574" s="13">
        <v>528.0</v>
      </c>
    </row>
    <row r="575">
      <c r="A575" s="13">
        <v>1709038.0</v>
      </c>
      <c r="B575" s="4">
        <v>117.0</v>
      </c>
      <c r="C575" s="13">
        <v>64.0</v>
      </c>
      <c r="D575" s="13">
        <v>31.0</v>
      </c>
      <c r="E575" s="13">
        <v>269.0</v>
      </c>
    </row>
    <row r="576">
      <c r="A576" s="13">
        <v>1702047.0</v>
      </c>
      <c r="B576" s="4">
        <v>116.0</v>
      </c>
      <c r="C576" s="13">
        <v>67.0</v>
      </c>
      <c r="D576" s="13">
        <v>4.0</v>
      </c>
      <c r="E576" s="13">
        <v>182.0</v>
      </c>
    </row>
    <row r="577">
      <c r="A577" s="13">
        <v>1771036.0</v>
      </c>
      <c r="B577" s="4">
        <v>115.0</v>
      </c>
      <c r="C577" s="13">
        <v>100.0</v>
      </c>
      <c r="D577" s="13">
        <v>33.0</v>
      </c>
      <c r="E577" s="13">
        <v>266.0</v>
      </c>
    </row>
    <row r="578">
      <c r="A578" s="13">
        <v>1703016.0</v>
      </c>
      <c r="B578" s="4">
        <v>118.0</v>
      </c>
      <c r="C578" s="13">
        <v>121.0</v>
      </c>
      <c r="D578" s="13">
        <v>22.0</v>
      </c>
      <c r="E578" s="13">
        <v>564.0</v>
      </c>
    </row>
    <row r="579">
      <c r="A579" s="13">
        <v>1701016.0</v>
      </c>
      <c r="B579" s="4">
        <v>119.0</v>
      </c>
      <c r="C579" s="13">
        <v>90.0</v>
      </c>
      <c r="D579" s="13">
        <v>36.0</v>
      </c>
      <c r="E579" s="13">
        <v>135.0</v>
      </c>
    </row>
    <row r="580">
      <c r="A580" s="13">
        <v>1771051.0</v>
      </c>
      <c r="B580" s="4">
        <v>115.0</v>
      </c>
      <c r="C580" s="13">
        <v>100.0</v>
      </c>
      <c r="D580" s="13">
        <v>47.0</v>
      </c>
      <c r="E580" s="13">
        <v>458.0</v>
      </c>
    </row>
    <row r="581">
      <c r="A581" s="13">
        <v>1705018.0</v>
      </c>
      <c r="B581" s="4">
        <v>120.0</v>
      </c>
      <c r="C581" s="13">
        <v>100.0</v>
      </c>
      <c r="D581" s="13">
        <v>23.0</v>
      </c>
      <c r="E581" s="13">
        <v>298.0</v>
      </c>
    </row>
    <row r="582">
      <c r="A582" s="13">
        <v>1703046.0</v>
      </c>
      <c r="B582" s="4">
        <v>118.0</v>
      </c>
      <c r="C582" s="13">
        <v>50.0</v>
      </c>
      <c r="D582" s="13">
        <v>33.0</v>
      </c>
      <c r="E582" s="13">
        <v>141.0</v>
      </c>
    </row>
    <row r="583">
      <c r="A583" s="13">
        <v>1771007.0</v>
      </c>
      <c r="B583" s="4">
        <v>115.0</v>
      </c>
      <c r="C583" s="13">
        <v>119.0</v>
      </c>
      <c r="D583" s="13">
        <v>38.0</v>
      </c>
      <c r="E583" s="13">
        <v>267.0</v>
      </c>
    </row>
    <row r="584">
      <c r="A584" s="13">
        <v>1771009.0</v>
      </c>
      <c r="B584" s="4">
        <v>115.0</v>
      </c>
      <c r="C584" s="13">
        <v>115.0</v>
      </c>
      <c r="D584" s="13">
        <v>75.0</v>
      </c>
      <c r="E584" s="13">
        <v>104.0</v>
      </c>
    </row>
    <row r="585">
      <c r="A585" s="13">
        <v>1708010.0</v>
      </c>
      <c r="B585" s="4">
        <v>121.0</v>
      </c>
      <c r="C585" s="13">
        <v>137.0</v>
      </c>
      <c r="D585" s="13">
        <v>35.0</v>
      </c>
      <c r="E585" s="13">
        <v>353.0</v>
      </c>
    </row>
    <row r="586">
      <c r="A586" s="13">
        <v>1771062.0</v>
      </c>
      <c r="B586" s="4">
        <v>115.0</v>
      </c>
      <c r="C586" s="13">
        <v>135.0</v>
      </c>
      <c r="D586" s="13">
        <v>34.0</v>
      </c>
      <c r="E586" s="13">
        <v>326.0</v>
      </c>
    </row>
    <row r="587">
      <c r="A587" s="13">
        <v>1701014.0</v>
      </c>
      <c r="B587" s="4">
        <v>119.0</v>
      </c>
      <c r="C587" s="13">
        <v>188.0</v>
      </c>
      <c r="D587" s="13">
        <v>28.0</v>
      </c>
      <c r="E587" s="13">
        <v>369.0</v>
      </c>
    </row>
    <row r="588">
      <c r="A588" s="13">
        <v>1771025.0</v>
      </c>
      <c r="B588" s="4">
        <v>115.0</v>
      </c>
      <c r="C588" s="13">
        <v>194.0</v>
      </c>
      <c r="D588" s="13">
        <v>33.0</v>
      </c>
      <c r="E588" s="13">
        <v>356.0</v>
      </c>
    </row>
    <row r="589">
      <c r="A589" s="13">
        <v>1707026.0</v>
      </c>
      <c r="B589" s="4">
        <v>122.0</v>
      </c>
      <c r="C589" s="13">
        <v>102.0</v>
      </c>
      <c r="D589" s="13">
        <v>28.0</v>
      </c>
      <c r="E589" s="13">
        <v>158.0</v>
      </c>
    </row>
    <row r="590">
      <c r="A590" s="13">
        <v>1771040.0</v>
      </c>
      <c r="B590" s="4">
        <v>115.0</v>
      </c>
      <c r="C590" s="13">
        <v>53.0</v>
      </c>
      <c r="D590" s="13">
        <v>44.0</v>
      </c>
      <c r="E590" s="13">
        <v>237.0</v>
      </c>
    </row>
    <row r="591">
      <c r="A591" s="13">
        <v>1704028.0</v>
      </c>
      <c r="B591" s="4">
        <v>123.0</v>
      </c>
      <c r="C591" s="13">
        <v>111.0</v>
      </c>
      <c r="D591" s="13">
        <v>20.0</v>
      </c>
      <c r="E591" s="13">
        <v>339.0</v>
      </c>
    </row>
    <row r="592">
      <c r="A592" s="13">
        <v>1703027.0</v>
      </c>
      <c r="B592" s="4">
        <v>118.0</v>
      </c>
      <c r="C592" s="13">
        <v>16.0</v>
      </c>
      <c r="D592" s="13">
        <v>22.0</v>
      </c>
      <c r="E592" s="13">
        <v>17.0</v>
      </c>
    </row>
    <row r="593">
      <c r="A593" s="13">
        <v>1771002.0</v>
      </c>
      <c r="B593" s="4">
        <v>115.0</v>
      </c>
      <c r="C593" s="13">
        <v>138.0</v>
      </c>
      <c r="D593" s="13">
        <v>42.0</v>
      </c>
      <c r="E593" s="13">
        <v>335.0</v>
      </c>
    </row>
    <row r="594">
      <c r="A594" s="13">
        <v>1703045.0</v>
      </c>
      <c r="B594" s="4">
        <v>118.0</v>
      </c>
      <c r="C594" s="13">
        <v>55.0</v>
      </c>
      <c r="D594" s="13">
        <v>26.0</v>
      </c>
      <c r="E594" s="13">
        <v>116.0</v>
      </c>
    </row>
    <row r="595">
      <c r="A595" s="13">
        <v>1706019.0</v>
      </c>
      <c r="B595" s="4">
        <v>124.0</v>
      </c>
      <c r="C595" s="13">
        <v>165.0</v>
      </c>
      <c r="D595" s="13">
        <v>45.0</v>
      </c>
      <c r="E595" s="13">
        <v>491.0</v>
      </c>
    </row>
    <row r="596">
      <c r="A596" s="13">
        <v>1706020.0</v>
      </c>
      <c r="B596" s="4">
        <v>124.0</v>
      </c>
      <c r="C596" s="13">
        <v>28.0</v>
      </c>
      <c r="D596" s="13">
        <v>21.0</v>
      </c>
      <c r="E596" s="13">
        <v>48.0</v>
      </c>
    </row>
    <row r="597">
      <c r="A597" s="13">
        <v>1702035.0</v>
      </c>
      <c r="B597" s="4">
        <v>116.0</v>
      </c>
      <c r="C597" s="13">
        <v>89.0</v>
      </c>
      <c r="D597" s="13">
        <v>13.0</v>
      </c>
      <c r="E597" s="13">
        <v>123.0</v>
      </c>
    </row>
    <row r="598">
      <c r="A598" s="13">
        <v>1771014.0</v>
      </c>
      <c r="B598" s="4">
        <v>115.0</v>
      </c>
      <c r="C598" s="13">
        <v>240.0</v>
      </c>
      <c r="D598" s="13">
        <v>52.0</v>
      </c>
      <c r="E598" s="13">
        <v>699.0</v>
      </c>
    </row>
    <row r="599">
      <c r="A599" s="13">
        <v>1803010.0</v>
      </c>
      <c r="B599" s="4">
        <v>125.0</v>
      </c>
      <c r="C599" s="13">
        <v>154.0</v>
      </c>
      <c r="D599" s="13">
        <v>38.0</v>
      </c>
      <c r="E599" s="13">
        <v>545.0</v>
      </c>
    </row>
    <row r="600">
      <c r="A600" s="13">
        <v>1803033.0</v>
      </c>
      <c r="B600" s="4">
        <v>126.0</v>
      </c>
      <c r="C600" s="13">
        <v>100.0</v>
      </c>
      <c r="D600" s="13">
        <v>58.0</v>
      </c>
      <c r="E600" s="13">
        <v>179.0</v>
      </c>
    </row>
    <row r="601">
      <c r="A601" s="13">
        <v>1871282.0</v>
      </c>
      <c r="B601" s="4">
        <v>127.0</v>
      </c>
      <c r="C601" s="13">
        <v>175.0</v>
      </c>
      <c r="D601" s="13">
        <v>48.0</v>
      </c>
      <c r="E601" s="13">
        <v>600.0</v>
      </c>
    </row>
    <row r="602">
      <c r="A602" s="13">
        <v>1803048.0</v>
      </c>
      <c r="B602" s="4">
        <v>126.0</v>
      </c>
      <c r="C602" s="13">
        <v>40.0</v>
      </c>
      <c r="D602" s="13">
        <v>17.0</v>
      </c>
      <c r="E602" s="13">
        <v>182.0</v>
      </c>
    </row>
    <row r="603">
      <c r="A603" s="13">
        <v>1803034.0</v>
      </c>
      <c r="B603" s="4">
        <v>126.0</v>
      </c>
      <c r="C603" s="13">
        <v>41.0</v>
      </c>
      <c r="D603" s="13">
        <v>19.0</v>
      </c>
      <c r="E603" s="13">
        <v>48.0</v>
      </c>
    </row>
    <row r="604">
      <c r="A604" s="13">
        <v>1808015.0</v>
      </c>
      <c r="B604" s="4">
        <v>128.0</v>
      </c>
      <c r="C604" s="13">
        <v>158.0</v>
      </c>
      <c r="D604" s="13">
        <v>72.0</v>
      </c>
      <c r="E604" s="13">
        <v>411.0</v>
      </c>
    </row>
    <row r="605">
      <c r="A605" s="13">
        <v>1806039.0</v>
      </c>
      <c r="B605" s="4">
        <v>129.0</v>
      </c>
      <c r="C605" s="13">
        <v>107.0</v>
      </c>
      <c r="D605" s="13">
        <v>25.0</v>
      </c>
      <c r="E605" s="13">
        <v>115.0</v>
      </c>
    </row>
    <row r="606">
      <c r="A606" s="13">
        <v>1805046.0</v>
      </c>
      <c r="B606" s="4">
        <v>130.0</v>
      </c>
      <c r="C606" s="13">
        <v>113.0</v>
      </c>
      <c r="D606" s="13">
        <v>24.0</v>
      </c>
      <c r="E606" s="13">
        <v>117.0</v>
      </c>
    </row>
    <row r="607">
      <c r="A607" s="13">
        <v>1801016.0</v>
      </c>
      <c r="B607" s="4">
        <v>131.0</v>
      </c>
      <c r="C607" s="13">
        <v>49.0</v>
      </c>
      <c r="D607" s="13">
        <v>18.0</v>
      </c>
      <c r="E607" s="13">
        <v>86.0</v>
      </c>
    </row>
    <row r="608">
      <c r="A608" s="13">
        <v>1871448.0</v>
      </c>
      <c r="B608" s="4">
        <v>127.0</v>
      </c>
      <c r="C608" s="13">
        <v>15.0</v>
      </c>
      <c r="D608" s="13">
        <v>21.0</v>
      </c>
      <c r="E608" s="13">
        <v>49.0</v>
      </c>
    </row>
    <row r="609">
      <c r="A609" s="13">
        <v>1808018.0</v>
      </c>
      <c r="B609" s="4">
        <v>128.0</v>
      </c>
      <c r="C609" s="13">
        <v>56.0</v>
      </c>
      <c r="D609" s="13">
        <v>21.0</v>
      </c>
      <c r="E609" s="13">
        <v>35.0</v>
      </c>
    </row>
    <row r="610">
      <c r="A610" s="13">
        <v>1804011.0</v>
      </c>
      <c r="B610" s="4">
        <v>132.0</v>
      </c>
      <c r="C610" s="13">
        <v>112.0</v>
      </c>
      <c r="D610" s="13">
        <v>95.0</v>
      </c>
      <c r="E610" s="13">
        <v>518.0</v>
      </c>
    </row>
    <row r="611">
      <c r="A611" s="13">
        <v>1807016.0</v>
      </c>
      <c r="B611" s="4">
        <v>133.0</v>
      </c>
      <c r="C611" s="13">
        <v>107.0</v>
      </c>
      <c r="D611" s="13">
        <v>28.0</v>
      </c>
      <c r="E611" s="13">
        <v>217.0</v>
      </c>
    </row>
    <row r="612">
      <c r="A612" s="13">
        <v>1871447.0</v>
      </c>
      <c r="B612" s="4">
        <v>127.0</v>
      </c>
      <c r="C612" s="13">
        <v>105.0</v>
      </c>
      <c r="D612" s="13">
        <v>24.0</v>
      </c>
      <c r="E612" s="13">
        <v>230.0</v>
      </c>
    </row>
    <row r="613">
      <c r="A613" s="13">
        <v>1871416.0</v>
      </c>
      <c r="B613" s="4">
        <v>127.0</v>
      </c>
      <c r="C613" s="13">
        <v>172.0</v>
      </c>
      <c r="D613" s="13">
        <v>34.0</v>
      </c>
      <c r="E613" s="13">
        <v>401.0</v>
      </c>
    </row>
    <row r="614">
      <c r="A614" s="13">
        <v>1871439.0</v>
      </c>
      <c r="B614" s="4">
        <v>127.0</v>
      </c>
      <c r="C614" s="13">
        <v>41.0</v>
      </c>
      <c r="D614" s="13">
        <v>17.0</v>
      </c>
      <c r="E614" s="13">
        <v>104.0</v>
      </c>
    </row>
    <row r="615">
      <c r="A615" s="13">
        <v>1803036.0</v>
      </c>
      <c r="B615" s="4">
        <v>126.0</v>
      </c>
      <c r="C615" s="13">
        <v>160.0</v>
      </c>
      <c r="D615" s="13">
        <v>59.0</v>
      </c>
      <c r="E615" s="13">
        <v>227.0</v>
      </c>
    </row>
    <row r="616">
      <c r="A616" s="13">
        <v>1813001.0</v>
      </c>
      <c r="B616" s="4">
        <v>134.0</v>
      </c>
      <c r="C616" s="13">
        <v>27.0</v>
      </c>
      <c r="D616" s="13">
        <v>16.0</v>
      </c>
      <c r="E616" s="13">
        <v>120.0</v>
      </c>
    </row>
    <row r="617">
      <c r="A617" s="13">
        <v>1871026.0</v>
      </c>
      <c r="B617" s="4">
        <v>127.0</v>
      </c>
      <c r="C617" s="13">
        <v>113.0</v>
      </c>
      <c r="D617" s="13">
        <v>22.0</v>
      </c>
      <c r="E617" s="13">
        <v>256.0</v>
      </c>
    </row>
    <row r="618">
      <c r="A618" s="13">
        <v>1805045.0</v>
      </c>
      <c r="B618" s="4">
        <v>130.0</v>
      </c>
      <c r="C618" s="13">
        <v>167.0</v>
      </c>
      <c r="D618" s="13">
        <v>78.0</v>
      </c>
      <c r="E618" s="13">
        <v>313.0</v>
      </c>
    </row>
    <row r="619">
      <c r="A619" s="13">
        <v>1805060.0</v>
      </c>
      <c r="B619" s="4">
        <v>130.0</v>
      </c>
      <c r="C619" s="13">
        <v>50.0</v>
      </c>
      <c r="D619" s="13">
        <v>16.0</v>
      </c>
      <c r="E619" s="13">
        <v>182.0</v>
      </c>
    </row>
    <row r="620">
      <c r="A620" s="13">
        <v>1812003.0</v>
      </c>
      <c r="B620" s="4">
        <v>135.0</v>
      </c>
      <c r="C620" s="13">
        <v>50.0</v>
      </c>
      <c r="D620" s="13">
        <v>20.0</v>
      </c>
      <c r="E620" s="13">
        <v>105.0</v>
      </c>
    </row>
    <row r="621">
      <c r="A621" s="13">
        <v>1805023.0</v>
      </c>
      <c r="B621" s="4">
        <v>130.0</v>
      </c>
      <c r="C621" s="13">
        <v>207.0</v>
      </c>
      <c r="D621" s="13">
        <v>38.0</v>
      </c>
      <c r="E621" s="13">
        <v>370.0</v>
      </c>
    </row>
    <row r="622">
      <c r="A622" s="13">
        <v>1804012.0</v>
      </c>
      <c r="B622" s="4">
        <v>132.0</v>
      </c>
      <c r="C622" s="13">
        <v>130.0</v>
      </c>
      <c r="D622" s="13">
        <v>26.0</v>
      </c>
      <c r="E622" s="13">
        <v>111.0</v>
      </c>
    </row>
    <row r="623">
      <c r="A623" s="13">
        <v>1871438.0</v>
      </c>
      <c r="B623" s="4">
        <v>127.0</v>
      </c>
      <c r="C623" s="13">
        <v>122.0</v>
      </c>
      <c r="D623" s="13">
        <v>35.0</v>
      </c>
      <c r="E623" s="13">
        <v>161.0</v>
      </c>
    </row>
    <row r="624">
      <c r="A624" s="13">
        <v>1872031.0</v>
      </c>
      <c r="B624" s="4">
        <v>136.0</v>
      </c>
      <c r="C624" s="13">
        <v>78.0</v>
      </c>
      <c r="D624" s="13">
        <v>26.0</v>
      </c>
      <c r="E624" s="13">
        <v>183.0</v>
      </c>
    </row>
    <row r="625">
      <c r="A625" s="13">
        <v>1871442.0</v>
      </c>
      <c r="B625" s="4">
        <v>127.0</v>
      </c>
      <c r="C625" s="13">
        <v>73.0</v>
      </c>
      <c r="D625" s="13">
        <v>8.0</v>
      </c>
      <c r="E625" s="13">
        <v>145.0</v>
      </c>
    </row>
    <row r="626">
      <c r="A626" s="13">
        <v>1806037.0</v>
      </c>
      <c r="B626" s="4">
        <v>129.0</v>
      </c>
      <c r="C626" s="13">
        <v>63.0</v>
      </c>
      <c r="D626" s="13">
        <v>44.0</v>
      </c>
      <c r="E626" s="13">
        <v>50.0</v>
      </c>
    </row>
    <row r="627">
      <c r="A627" s="13">
        <v>1871180.0</v>
      </c>
      <c r="B627" s="4">
        <v>127.0</v>
      </c>
      <c r="C627" s="13">
        <v>200.0</v>
      </c>
      <c r="D627" s="13">
        <v>94.0</v>
      </c>
      <c r="E627" s="13">
        <v>759.0</v>
      </c>
    </row>
    <row r="628">
      <c r="A628" s="13">
        <v>1809002.0</v>
      </c>
      <c r="B628" s="4">
        <v>137.0</v>
      </c>
      <c r="C628" s="13">
        <v>107.0</v>
      </c>
      <c r="D628" s="13">
        <v>26.0</v>
      </c>
      <c r="E628" s="13">
        <v>115.0</v>
      </c>
    </row>
    <row r="629">
      <c r="A629" s="13">
        <v>1804014.0</v>
      </c>
      <c r="B629" s="4">
        <v>132.0</v>
      </c>
      <c r="C629" s="13">
        <v>75.0</v>
      </c>
      <c r="D629" s="13">
        <v>14.0</v>
      </c>
      <c r="E629" s="13">
        <v>21.0</v>
      </c>
    </row>
    <row r="630">
      <c r="A630" s="13">
        <v>1802016.0</v>
      </c>
      <c r="B630" s="4">
        <v>138.0</v>
      </c>
      <c r="C630" s="13">
        <v>77.0</v>
      </c>
      <c r="D630" s="13">
        <v>33.0</v>
      </c>
      <c r="E630" s="13">
        <v>192.0</v>
      </c>
    </row>
    <row r="631">
      <c r="A631" s="13">
        <v>1805048.0</v>
      </c>
      <c r="B631" s="4">
        <v>130.0</v>
      </c>
      <c r="C631" s="13">
        <v>117.0</v>
      </c>
      <c r="D631" s="13">
        <v>33.0</v>
      </c>
      <c r="E631" s="13">
        <v>156.0</v>
      </c>
    </row>
    <row r="632">
      <c r="A632" s="13">
        <v>1805024.0</v>
      </c>
      <c r="B632" s="4">
        <v>130.0</v>
      </c>
      <c r="C632" s="13">
        <v>135.0</v>
      </c>
      <c r="D632" s="13">
        <v>29.0</v>
      </c>
      <c r="E632" s="13">
        <v>275.0</v>
      </c>
    </row>
    <row r="633">
      <c r="A633" s="13">
        <v>1871048.0</v>
      </c>
      <c r="B633" s="4">
        <v>127.0</v>
      </c>
      <c r="C633" s="13">
        <v>100.0</v>
      </c>
      <c r="D633" s="13">
        <v>52.0</v>
      </c>
      <c r="E633" s="13">
        <v>281.0</v>
      </c>
    </row>
    <row r="634">
      <c r="A634" s="13">
        <v>1871020.0</v>
      </c>
      <c r="B634" s="4">
        <v>136.0</v>
      </c>
      <c r="C634" s="13">
        <v>199.0</v>
      </c>
      <c r="D634" s="13">
        <v>31.0</v>
      </c>
      <c r="E634" s="13">
        <v>293.0</v>
      </c>
    </row>
    <row r="635">
      <c r="A635" s="13">
        <v>1871234.0</v>
      </c>
      <c r="B635" s="4">
        <v>127.0</v>
      </c>
      <c r="C635" s="13">
        <v>155.0</v>
      </c>
      <c r="D635" s="13">
        <v>23.0</v>
      </c>
      <c r="E635" s="13">
        <v>265.0</v>
      </c>
    </row>
    <row r="636">
      <c r="A636" s="13">
        <v>1808016.0</v>
      </c>
      <c r="B636" s="4">
        <v>128.0</v>
      </c>
      <c r="C636" s="13">
        <v>99.0</v>
      </c>
      <c r="D636" s="13">
        <v>28.0</v>
      </c>
      <c r="E636" s="13">
        <v>134.0</v>
      </c>
    </row>
    <row r="637">
      <c r="A637" s="13">
        <v>1802038.0</v>
      </c>
      <c r="B637" s="4">
        <v>125.0</v>
      </c>
      <c r="C637" s="13">
        <v>202.0</v>
      </c>
      <c r="D637" s="13">
        <v>60.0</v>
      </c>
      <c r="E637" s="13">
        <v>496.0</v>
      </c>
    </row>
    <row r="638">
      <c r="A638" s="13">
        <v>1807014.0</v>
      </c>
      <c r="B638" s="4">
        <v>133.0</v>
      </c>
      <c r="C638" s="13">
        <v>106.0</v>
      </c>
      <c r="D638" s="13">
        <v>38.0</v>
      </c>
      <c r="E638" s="13">
        <v>325.0</v>
      </c>
    </row>
    <row r="639">
      <c r="A639" s="13">
        <v>1871446.0</v>
      </c>
      <c r="B639" s="4">
        <v>127.0</v>
      </c>
      <c r="C639" s="13">
        <v>35.0</v>
      </c>
      <c r="D639" s="13">
        <v>16.0</v>
      </c>
      <c r="E639" s="13">
        <v>79.0</v>
      </c>
    </row>
    <row r="640">
      <c r="A640" s="13">
        <v>1804013.0</v>
      </c>
      <c r="B640" s="4">
        <v>132.0</v>
      </c>
      <c r="C640" s="13">
        <v>29.0</v>
      </c>
      <c r="D640" s="13">
        <v>16.0</v>
      </c>
      <c r="E640" s="13">
        <v>44.0</v>
      </c>
    </row>
    <row r="641">
      <c r="A641" s="13">
        <v>1805047.0</v>
      </c>
      <c r="B641" s="4">
        <v>130.0</v>
      </c>
      <c r="C641" s="13">
        <v>59.0</v>
      </c>
      <c r="D641" s="13">
        <v>15.0</v>
      </c>
      <c r="E641" s="13">
        <v>98.0</v>
      </c>
    </row>
    <row r="642">
      <c r="A642" s="13">
        <v>1803021.0</v>
      </c>
      <c r="B642" s="4">
        <v>126.0</v>
      </c>
      <c r="C642" s="13">
        <v>166.0</v>
      </c>
      <c r="D642" s="13">
        <v>38.0</v>
      </c>
      <c r="E642" s="13">
        <v>446.0</v>
      </c>
    </row>
    <row r="643">
      <c r="A643" s="13">
        <v>1810003.0</v>
      </c>
      <c r="B643" s="4">
        <v>125.0</v>
      </c>
      <c r="C643" s="13">
        <v>135.0</v>
      </c>
      <c r="D643" s="13">
        <v>40.0</v>
      </c>
      <c r="E643" s="13">
        <v>200.0</v>
      </c>
    </row>
    <row r="644">
      <c r="A644" s="13">
        <v>1871405.0</v>
      </c>
      <c r="B644" s="4">
        <v>127.0</v>
      </c>
      <c r="C644" s="13">
        <v>574.0</v>
      </c>
      <c r="D644" s="13">
        <v>54.0</v>
      </c>
      <c r="E644" s="13">
        <v>1050.0</v>
      </c>
    </row>
    <row r="645">
      <c r="A645" s="13">
        <v>1804015.0</v>
      </c>
      <c r="B645" s="4">
        <v>132.0</v>
      </c>
      <c r="C645" s="13">
        <v>103.0</v>
      </c>
      <c r="D645" s="13">
        <v>25.0</v>
      </c>
      <c r="E645" s="13">
        <v>120.0</v>
      </c>
    </row>
    <row r="646">
      <c r="A646" s="13">
        <v>1808017.0</v>
      </c>
      <c r="B646" s="4">
        <v>128.0</v>
      </c>
      <c r="C646" s="13">
        <v>60.0</v>
      </c>
      <c r="D646" s="13">
        <v>24.0</v>
      </c>
      <c r="E646" s="13">
        <v>107.0</v>
      </c>
    </row>
    <row r="647">
      <c r="A647" s="13">
        <v>1801017.0</v>
      </c>
      <c r="B647" s="4">
        <v>127.0</v>
      </c>
      <c r="C647" s="13">
        <v>625.0</v>
      </c>
      <c r="D647" s="13">
        <v>52.0</v>
      </c>
      <c r="E647" s="13">
        <v>1352.0</v>
      </c>
    </row>
    <row r="648">
      <c r="A648" s="13">
        <v>1805034.0</v>
      </c>
      <c r="B648" s="4">
        <v>130.0</v>
      </c>
      <c r="C648" s="13">
        <v>92.0</v>
      </c>
      <c r="D648" s="13">
        <v>27.0</v>
      </c>
      <c r="E648" s="13">
        <v>525.0</v>
      </c>
    </row>
    <row r="649">
      <c r="A649" s="13">
        <v>1812014.0</v>
      </c>
      <c r="B649" s="4">
        <v>135.0</v>
      </c>
      <c r="C649" s="13">
        <v>62.0</v>
      </c>
      <c r="D649" s="13">
        <v>14.0</v>
      </c>
      <c r="E649" s="13">
        <v>182.0</v>
      </c>
    </row>
    <row r="650">
      <c r="A650" s="13">
        <v>1871440.0</v>
      </c>
      <c r="B650" s="4">
        <v>127.0</v>
      </c>
      <c r="C650" s="13">
        <v>52.0</v>
      </c>
      <c r="D650" s="13">
        <v>14.0</v>
      </c>
      <c r="E650" s="13">
        <v>82.0</v>
      </c>
    </row>
    <row r="651">
      <c r="A651" s="13">
        <v>1809003.0</v>
      </c>
      <c r="B651" s="4">
        <v>137.0</v>
      </c>
      <c r="C651" s="13">
        <v>100.0</v>
      </c>
      <c r="D651" s="13">
        <v>33.0</v>
      </c>
      <c r="E651" s="13">
        <v>120.0</v>
      </c>
    </row>
    <row r="652">
      <c r="A652" s="13">
        <v>1805012.0</v>
      </c>
      <c r="B652" s="4">
        <v>130.0</v>
      </c>
      <c r="C652" s="13">
        <v>136.0</v>
      </c>
      <c r="D652" s="13">
        <v>37.0</v>
      </c>
      <c r="E652" s="13">
        <v>149.0</v>
      </c>
    </row>
    <row r="653">
      <c r="A653" s="13">
        <v>1810004.0</v>
      </c>
      <c r="B653" s="4">
        <v>125.0</v>
      </c>
      <c r="C653" s="13">
        <v>30.0</v>
      </c>
      <c r="D653" s="13">
        <v>26.0</v>
      </c>
      <c r="E653" s="13">
        <v>31.0</v>
      </c>
    </row>
    <row r="654">
      <c r="A654" s="13">
        <v>1872066.0</v>
      </c>
      <c r="B654" s="4">
        <v>136.0</v>
      </c>
      <c r="C654" s="13">
        <v>71.0</v>
      </c>
      <c r="D654" s="13">
        <v>20.0</v>
      </c>
      <c r="E654" s="13">
        <v>182.0</v>
      </c>
    </row>
    <row r="655">
      <c r="A655" s="13">
        <v>1871427.0</v>
      </c>
      <c r="B655" s="4">
        <v>127.0</v>
      </c>
      <c r="C655" s="13">
        <v>191.0</v>
      </c>
      <c r="D655" s="13">
        <v>39.0</v>
      </c>
      <c r="E655" s="13">
        <v>320.0</v>
      </c>
    </row>
    <row r="656">
      <c r="A656" s="13">
        <v>1871176.0</v>
      </c>
      <c r="B656" s="4">
        <v>137.0</v>
      </c>
      <c r="C656" s="13">
        <v>162.0</v>
      </c>
      <c r="D656" s="13">
        <v>46.0</v>
      </c>
      <c r="E656" s="13">
        <v>293.0</v>
      </c>
    </row>
    <row r="657">
      <c r="A657" s="13">
        <v>1872065.0</v>
      </c>
      <c r="B657" s="4">
        <v>136.0</v>
      </c>
      <c r="C657" s="13">
        <v>27.0</v>
      </c>
      <c r="D657" s="13">
        <v>13.0</v>
      </c>
      <c r="E657" s="13">
        <v>70.0</v>
      </c>
    </row>
    <row r="658">
      <c r="A658" s="13">
        <v>1811013.0</v>
      </c>
      <c r="B658" s="4">
        <v>139.0</v>
      </c>
      <c r="C658" s="13">
        <v>60.0</v>
      </c>
      <c r="D658" s="13">
        <v>21.0</v>
      </c>
      <c r="E658" s="13">
        <v>182.0</v>
      </c>
    </row>
    <row r="659">
      <c r="A659" s="13">
        <v>1801015.0</v>
      </c>
      <c r="B659" s="4">
        <v>131.0</v>
      </c>
      <c r="C659" s="13">
        <v>136.0</v>
      </c>
      <c r="D659" s="13">
        <v>26.0</v>
      </c>
      <c r="E659" s="13">
        <v>335.0</v>
      </c>
    </row>
    <row r="660">
      <c r="A660" s="13">
        <v>1806013.0</v>
      </c>
      <c r="B660" s="4">
        <v>129.0</v>
      </c>
      <c r="C660" s="13">
        <v>127.0</v>
      </c>
      <c r="D660" s="13">
        <v>29.0</v>
      </c>
      <c r="E660" s="13">
        <v>199.0</v>
      </c>
    </row>
    <row r="661">
      <c r="A661" s="13">
        <v>1872064.0</v>
      </c>
      <c r="B661" s="4">
        <v>136.0</v>
      </c>
      <c r="C661" s="13">
        <v>103.0</v>
      </c>
      <c r="D661" s="13">
        <v>26.0</v>
      </c>
      <c r="E661" s="13">
        <v>62.0</v>
      </c>
    </row>
    <row r="662">
      <c r="A662" s="13">
        <v>1871449.0</v>
      </c>
      <c r="B662" s="4">
        <v>127.0</v>
      </c>
      <c r="C662" s="13">
        <v>144.0</v>
      </c>
      <c r="D662" s="13">
        <v>78.0</v>
      </c>
      <c r="E662" s="13">
        <v>10.0</v>
      </c>
    </row>
    <row r="663">
      <c r="A663" s="13">
        <v>1806038.0</v>
      </c>
      <c r="B663" s="4">
        <v>129.0</v>
      </c>
      <c r="C663" s="13">
        <v>58.0</v>
      </c>
      <c r="D663" s="13">
        <v>33.0</v>
      </c>
      <c r="E663" s="13">
        <v>95.0</v>
      </c>
    </row>
    <row r="664">
      <c r="A664" s="13">
        <v>1872016.0</v>
      </c>
      <c r="B664" s="4">
        <v>136.0</v>
      </c>
      <c r="C664" s="13">
        <v>280.0</v>
      </c>
      <c r="D664" s="13">
        <v>95.0</v>
      </c>
      <c r="E664" s="13">
        <v>973.0</v>
      </c>
    </row>
    <row r="665">
      <c r="A665" s="13">
        <v>1872053.0</v>
      </c>
      <c r="B665" s="4">
        <v>136.0</v>
      </c>
      <c r="C665" s="13">
        <v>60.0</v>
      </c>
      <c r="D665" s="13">
        <v>24.0</v>
      </c>
      <c r="E665" s="13">
        <v>81.0</v>
      </c>
    </row>
    <row r="666">
      <c r="A666" s="13">
        <v>1871443.0</v>
      </c>
      <c r="B666" s="4">
        <v>127.0</v>
      </c>
      <c r="C666" s="13">
        <v>39.0</v>
      </c>
      <c r="D666" s="13">
        <v>25.0</v>
      </c>
      <c r="E666" s="13">
        <v>106.0</v>
      </c>
    </row>
    <row r="667">
      <c r="A667" s="13">
        <v>1812002.0</v>
      </c>
      <c r="B667" s="4">
        <v>135.0</v>
      </c>
      <c r="C667" s="13">
        <v>60.0</v>
      </c>
      <c r="D667" s="13">
        <v>20.0</v>
      </c>
      <c r="E667" s="13">
        <v>112.0</v>
      </c>
    </row>
    <row r="668">
      <c r="A668" s="13">
        <v>1871223.0</v>
      </c>
      <c r="B668" s="4">
        <v>127.0</v>
      </c>
      <c r="C668" s="13">
        <v>20.0</v>
      </c>
      <c r="D668" s="13">
        <v>16.0</v>
      </c>
      <c r="E668" s="13">
        <v>15.0</v>
      </c>
    </row>
    <row r="669">
      <c r="A669" s="13">
        <v>1806036.0</v>
      </c>
      <c r="B669" s="4">
        <v>129.0</v>
      </c>
      <c r="C669" s="13">
        <v>59.0</v>
      </c>
      <c r="D669" s="13">
        <v>24.0</v>
      </c>
      <c r="E669" s="13">
        <v>54.0</v>
      </c>
    </row>
    <row r="670">
      <c r="A670" s="13">
        <v>1871002.0</v>
      </c>
      <c r="B670" s="4">
        <v>125.0</v>
      </c>
      <c r="C670" s="13">
        <v>68.0</v>
      </c>
      <c r="D670" s="13">
        <v>34.0</v>
      </c>
      <c r="E670" s="13">
        <v>145.0</v>
      </c>
    </row>
    <row r="671">
      <c r="A671" s="13">
        <v>1811002.0</v>
      </c>
      <c r="B671" s="4">
        <v>139.0</v>
      </c>
      <c r="C671" s="13">
        <v>100.0</v>
      </c>
      <c r="D671" s="13">
        <v>22.0</v>
      </c>
      <c r="E671" s="13">
        <v>236.0</v>
      </c>
    </row>
    <row r="672">
      <c r="A672" s="13">
        <v>1802027.0</v>
      </c>
      <c r="B672" s="4">
        <v>138.0</v>
      </c>
      <c r="C672" s="13">
        <v>114.0</v>
      </c>
      <c r="D672" s="13">
        <v>36.0</v>
      </c>
      <c r="E672" s="13">
        <v>350.0</v>
      </c>
    </row>
    <row r="673">
      <c r="A673" s="13">
        <v>1806035.0</v>
      </c>
      <c r="B673" s="4">
        <v>129.0</v>
      </c>
      <c r="C673" s="13">
        <v>184.0</v>
      </c>
      <c r="D673" s="13">
        <v>80.0</v>
      </c>
      <c r="E673" s="13">
        <v>336.0</v>
      </c>
    </row>
    <row r="674">
      <c r="A674" s="13">
        <v>1872042.0</v>
      </c>
      <c r="B674" s="4">
        <v>136.0</v>
      </c>
      <c r="C674" s="13">
        <v>201.0</v>
      </c>
      <c r="D674" s="13">
        <v>42.0</v>
      </c>
      <c r="E674" s="13">
        <v>481.0</v>
      </c>
    </row>
    <row r="675">
      <c r="A675" s="13">
        <v>1805049.0</v>
      </c>
      <c r="B675" s="4">
        <v>130.0</v>
      </c>
      <c r="C675" s="13">
        <v>57.0</v>
      </c>
      <c r="D675" s="13">
        <v>13.0</v>
      </c>
      <c r="E675" s="13">
        <v>124.0</v>
      </c>
    </row>
    <row r="676">
      <c r="A676" s="13">
        <v>1810005.0</v>
      </c>
      <c r="B676" s="4">
        <v>125.0</v>
      </c>
      <c r="C676" s="13">
        <v>28.0</v>
      </c>
      <c r="D676" s="13">
        <v>15.0</v>
      </c>
      <c r="E676" s="13">
        <v>81.0</v>
      </c>
    </row>
    <row r="677">
      <c r="A677" s="13">
        <v>1803035.0</v>
      </c>
      <c r="B677" s="4">
        <v>126.0</v>
      </c>
      <c r="C677" s="13">
        <v>100.0</v>
      </c>
      <c r="D677" s="13">
        <v>22.0</v>
      </c>
      <c r="E677" s="13">
        <v>225.0</v>
      </c>
    </row>
    <row r="678">
      <c r="A678" s="13">
        <v>1872067.0</v>
      </c>
      <c r="B678" s="4">
        <v>136.0</v>
      </c>
      <c r="C678" s="13">
        <v>52.0</v>
      </c>
      <c r="D678" s="13">
        <v>7.0</v>
      </c>
      <c r="E678" s="13">
        <v>60.0</v>
      </c>
    </row>
    <row r="679">
      <c r="A679" s="13">
        <v>1971043.0</v>
      </c>
      <c r="B679" s="4">
        <v>140.0</v>
      </c>
      <c r="C679" s="13">
        <v>190.0</v>
      </c>
      <c r="D679" s="13">
        <v>83.0</v>
      </c>
      <c r="E679" s="13">
        <v>500.0</v>
      </c>
    </row>
    <row r="680">
      <c r="A680" s="13">
        <v>1904016.0</v>
      </c>
      <c r="B680" s="4">
        <v>141.0</v>
      </c>
      <c r="C680" s="13">
        <v>72.0</v>
      </c>
      <c r="D680" s="13">
        <v>20.0</v>
      </c>
      <c r="E680" s="13">
        <v>6.0</v>
      </c>
    </row>
    <row r="681">
      <c r="A681" s="13">
        <v>1901043.0</v>
      </c>
      <c r="B681" s="4">
        <v>142.0</v>
      </c>
      <c r="C681" s="13">
        <v>212.0</v>
      </c>
      <c r="D681" s="13">
        <v>74.0</v>
      </c>
      <c r="E681" s="13">
        <v>767.0</v>
      </c>
    </row>
    <row r="682">
      <c r="A682" s="13">
        <v>1901031.0</v>
      </c>
      <c r="B682" s="4">
        <v>142.0</v>
      </c>
      <c r="C682" s="13">
        <v>110.0</v>
      </c>
      <c r="D682" s="13">
        <v>54.0</v>
      </c>
      <c r="E682" s="13">
        <v>331.0</v>
      </c>
    </row>
    <row r="683">
      <c r="A683" s="13">
        <v>1971006.0</v>
      </c>
      <c r="B683" s="4">
        <v>140.0</v>
      </c>
      <c r="C683" s="13">
        <v>24.0</v>
      </c>
      <c r="D683" s="13">
        <v>15.0</v>
      </c>
      <c r="E683" s="13">
        <v>48.0</v>
      </c>
    </row>
    <row r="684">
      <c r="A684" s="13">
        <v>1971003.0</v>
      </c>
      <c r="B684" s="4">
        <v>140.0</v>
      </c>
      <c r="C684" s="13">
        <v>55.0</v>
      </c>
      <c r="D684" s="13">
        <v>14.0</v>
      </c>
      <c r="E684" s="13">
        <v>72.0</v>
      </c>
    </row>
    <row r="685">
      <c r="A685" s="13">
        <v>1971054.0</v>
      </c>
      <c r="B685" s="4">
        <v>140.0</v>
      </c>
      <c r="C685" s="13">
        <v>57.0</v>
      </c>
      <c r="D685" s="13">
        <v>2.0</v>
      </c>
      <c r="E685" s="13">
        <v>182.0</v>
      </c>
    </row>
    <row r="686">
      <c r="A686" s="13">
        <v>1904013.0</v>
      </c>
      <c r="B686" s="4">
        <v>141.0</v>
      </c>
      <c r="C686" s="13">
        <v>101.0</v>
      </c>
      <c r="D686" s="13">
        <v>83.0</v>
      </c>
      <c r="E686" s="13">
        <v>412.0</v>
      </c>
    </row>
    <row r="687">
      <c r="A687" s="13">
        <v>1905026.0</v>
      </c>
      <c r="B687" s="4">
        <v>143.0</v>
      </c>
      <c r="C687" s="13">
        <v>53.0</v>
      </c>
      <c r="D687" s="13">
        <v>21.0</v>
      </c>
      <c r="E687" s="13">
        <v>135.0</v>
      </c>
    </row>
    <row r="688">
      <c r="A688" s="13">
        <v>1905024.0</v>
      </c>
      <c r="B688" s="4">
        <v>143.0</v>
      </c>
      <c r="C688" s="13">
        <v>103.0</v>
      </c>
      <c r="D688" s="13">
        <v>27.0</v>
      </c>
      <c r="E688" s="13">
        <v>384.0</v>
      </c>
    </row>
    <row r="689">
      <c r="A689" s="13">
        <v>1901046.0</v>
      </c>
      <c r="B689" s="4">
        <v>142.0</v>
      </c>
      <c r="C689" s="13">
        <v>32.0</v>
      </c>
      <c r="D689" s="13">
        <v>27.0</v>
      </c>
      <c r="E689" s="13">
        <v>73.0</v>
      </c>
    </row>
    <row r="690">
      <c r="A690" s="13">
        <v>1971021.0</v>
      </c>
      <c r="B690" s="4">
        <v>140.0</v>
      </c>
      <c r="C690" s="13">
        <v>111.0</v>
      </c>
      <c r="D690" s="13">
        <v>98.0</v>
      </c>
      <c r="E690" s="13">
        <v>663.0</v>
      </c>
    </row>
    <row r="691">
      <c r="A691" s="13">
        <v>1902011.0</v>
      </c>
      <c r="B691" s="4">
        <v>144.0</v>
      </c>
      <c r="C691" s="13">
        <v>50.0</v>
      </c>
      <c r="D691" s="13">
        <v>21.0</v>
      </c>
      <c r="E691" s="13">
        <v>34.0</v>
      </c>
    </row>
    <row r="692">
      <c r="A692" s="13">
        <v>1904015.0</v>
      </c>
      <c r="B692" s="4">
        <v>141.0</v>
      </c>
      <c r="C692" s="13">
        <v>28.0</v>
      </c>
      <c r="D692" s="13">
        <v>23.0</v>
      </c>
      <c r="E692" s="13">
        <v>182.0</v>
      </c>
    </row>
    <row r="693">
      <c r="A693" s="13">
        <v>1901020.0</v>
      </c>
      <c r="B693" s="4">
        <v>142.0</v>
      </c>
      <c r="C693" s="13">
        <v>149.0</v>
      </c>
      <c r="D693" s="13">
        <v>21.0</v>
      </c>
      <c r="E693" s="13">
        <v>182.0</v>
      </c>
    </row>
    <row r="694">
      <c r="A694" s="13">
        <v>1971005.0</v>
      </c>
      <c r="B694" s="4">
        <v>140.0</v>
      </c>
      <c r="C694" s="13">
        <v>32.0</v>
      </c>
      <c r="D694" s="13">
        <v>12.0</v>
      </c>
      <c r="E694" s="13">
        <v>28.0</v>
      </c>
    </row>
    <row r="695">
      <c r="A695" s="13">
        <v>1904014.0</v>
      </c>
      <c r="B695" s="4">
        <v>141.0</v>
      </c>
      <c r="C695" s="13">
        <v>107.0</v>
      </c>
      <c r="D695" s="13">
        <v>73.0</v>
      </c>
      <c r="E695" s="13">
        <v>187.0</v>
      </c>
    </row>
    <row r="696">
      <c r="A696" s="13">
        <v>1903002.0</v>
      </c>
      <c r="B696" s="4">
        <v>145.0</v>
      </c>
      <c r="C696" s="13">
        <v>50.0</v>
      </c>
      <c r="D696" s="13">
        <v>22.0</v>
      </c>
      <c r="E696" s="13">
        <v>71.0</v>
      </c>
    </row>
    <row r="697">
      <c r="A697" s="13">
        <v>1971002.0</v>
      </c>
      <c r="B697" s="4">
        <v>140.0</v>
      </c>
      <c r="C697" s="13">
        <v>106.0</v>
      </c>
      <c r="D697" s="13">
        <v>39.0</v>
      </c>
      <c r="E697" s="13">
        <v>93.0</v>
      </c>
    </row>
    <row r="698">
      <c r="A698" s="13">
        <v>1902010.0</v>
      </c>
      <c r="B698" s="4">
        <v>144.0</v>
      </c>
      <c r="C698" s="13">
        <v>177.0</v>
      </c>
      <c r="D698" s="13">
        <v>70.0</v>
      </c>
      <c r="E698" s="13">
        <v>617.0</v>
      </c>
    </row>
    <row r="699">
      <c r="A699" s="13">
        <v>1901044.0</v>
      </c>
      <c r="B699" s="4">
        <v>142.0</v>
      </c>
      <c r="C699" s="13">
        <v>50.0</v>
      </c>
      <c r="D699" s="13">
        <v>26.0</v>
      </c>
      <c r="E699" s="13">
        <v>154.0</v>
      </c>
    </row>
    <row r="700">
      <c r="A700" s="13">
        <v>1903013.0</v>
      </c>
      <c r="B700" s="4">
        <v>145.0</v>
      </c>
      <c r="C700" s="13">
        <v>130.0</v>
      </c>
      <c r="D700" s="13">
        <v>30.0</v>
      </c>
      <c r="E700" s="13">
        <v>532.0</v>
      </c>
    </row>
    <row r="701">
      <c r="A701" s="13">
        <v>1902042.0</v>
      </c>
      <c r="B701" s="4">
        <v>142.0</v>
      </c>
      <c r="C701" s="13">
        <v>105.0</v>
      </c>
      <c r="D701" s="13">
        <v>35.0</v>
      </c>
      <c r="E701" s="13">
        <v>79.0</v>
      </c>
    </row>
    <row r="702">
      <c r="A702" s="13">
        <v>1902012.0</v>
      </c>
      <c r="B702" s="4">
        <v>144.0</v>
      </c>
      <c r="C702" s="13">
        <v>66.0</v>
      </c>
      <c r="D702" s="13">
        <v>23.0</v>
      </c>
      <c r="E702" s="13">
        <v>145.0</v>
      </c>
    </row>
    <row r="703">
      <c r="A703" s="13">
        <v>1971004.0</v>
      </c>
      <c r="B703" s="4">
        <v>140.0</v>
      </c>
      <c r="C703" s="13">
        <v>101.0</v>
      </c>
      <c r="D703" s="13">
        <v>44.0</v>
      </c>
      <c r="E703" s="13">
        <v>58.0</v>
      </c>
    </row>
    <row r="704">
      <c r="A704" s="13">
        <v>1906014.0</v>
      </c>
      <c r="B704" s="4">
        <v>146.0</v>
      </c>
      <c r="C704" s="13">
        <v>104.0</v>
      </c>
      <c r="D704" s="13">
        <v>35.0</v>
      </c>
      <c r="E704" s="13">
        <v>472.0</v>
      </c>
    </row>
    <row r="705">
      <c r="A705" s="13">
        <v>1903005.0</v>
      </c>
      <c r="B705" s="4">
        <v>145.0</v>
      </c>
      <c r="C705" s="13">
        <v>67.0</v>
      </c>
      <c r="D705" s="13">
        <v>6.0</v>
      </c>
      <c r="E705" s="13">
        <v>13.0</v>
      </c>
    </row>
    <row r="706">
      <c r="A706" s="13">
        <v>1901016.0</v>
      </c>
      <c r="B706" s="4">
        <v>142.0</v>
      </c>
      <c r="C706" s="13">
        <v>163.0</v>
      </c>
      <c r="D706" s="13">
        <v>56.0</v>
      </c>
      <c r="E706" s="13">
        <v>645.0</v>
      </c>
    </row>
    <row r="707">
      <c r="A707" s="13">
        <v>2171062.0</v>
      </c>
      <c r="B707" s="4">
        <v>147.0</v>
      </c>
      <c r="C707" s="13">
        <v>127.0</v>
      </c>
      <c r="D707" s="13">
        <v>33.0</v>
      </c>
      <c r="E707" s="13">
        <v>42.0</v>
      </c>
    </row>
    <row r="708">
      <c r="A708" s="13">
        <v>2071114.0</v>
      </c>
      <c r="B708" s="4">
        <v>147.0</v>
      </c>
      <c r="C708" s="13">
        <v>227.0</v>
      </c>
      <c r="D708" s="13">
        <v>60.0</v>
      </c>
      <c r="E708" s="13">
        <v>485.0</v>
      </c>
    </row>
    <row r="709">
      <c r="A709" s="13">
        <v>2071054.0</v>
      </c>
      <c r="B709" s="4">
        <v>147.0</v>
      </c>
      <c r="C709" s="13">
        <v>29.0</v>
      </c>
      <c r="D709" s="13">
        <v>18.0</v>
      </c>
      <c r="E709" s="13">
        <v>40.0</v>
      </c>
    </row>
    <row r="710">
      <c r="A710" s="13">
        <v>2003011.0</v>
      </c>
      <c r="B710" s="4">
        <v>148.0</v>
      </c>
      <c r="C710" s="13">
        <v>140.0</v>
      </c>
      <c r="D710" s="13">
        <v>41.0</v>
      </c>
      <c r="E710" s="13">
        <v>360.0</v>
      </c>
    </row>
    <row r="711">
      <c r="A711" s="13">
        <v>2004136.0</v>
      </c>
      <c r="B711" s="4">
        <v>149.0</v>
      </c>
      <c r="C711" s="13">
        <v>58.0</v>
      </c>
      <c r="D711" s="13">
        <v>11.0</v>
      </c>
      <c r="E711" s="13">
        <v>155.0</v>
      </c>
    </row>
    <row r="712">
      <c r="A712" s="13">
        <v>2101003.0</v>
      </c>
      <c r="B712" s="4">
        <v>150.0</v>
      </c>
      <c r="C712" s="13">
        <v>25.0</v>
      </c>
      <c r="D712" s="13">
        <v>21.0</v>
      </c>
      <c r="E712" s="13">
        <v>31.0</v>
      </c>
    </row>
    <row r="713">
      <c r="A713" s="13">
        <v>2071053.0</v>
      </c>
      <c r="B713" s="4">
        <v>147.0</v>
      </c>
      <c r="C713" s="13">
        <v>125.0</v>
      </c>
      <c r="D713" s="13">
        <v>35.0</v>
      </c>
      <c r="E713" s="13">
        <v>200.0</v>
      </c>
    </row>
    <row r="714">
      <c r="A714" s="13">
        <v>2071012.0</v>
      </c>
      <c r="B714" s="4">
        <v>147.0</v>
      </c>
      <c r="C714" s="13">
        <v>200.0</v>
      </c>
      <c r="D714" s="13">
        <v>100.0</v>
      </c>
      <c r="E714" s="13">
        <v>556.0</v>
      </c>
    </row>
    <row r="715">
      <c r="A715" s="13">
        <v>2171077.0</v>
      </c>
      <c r="B715" s="4">
        <v>147.0</v>
      </c>
      <c r="C715" s="13">
        <v>50.0</v>
      </c>
      <c r="D715" s="13">
        <v>16.0</v>
      </c>
      <c r="E715" s="13">
        <v>18.0</v>
      </c>
    </row>
    <row r="716">
      <c r="A716" s="13">
        <v>2072023.0</v>
      </c>
      <c r="B716" s="4">
        <v>151.0</v>
      </c>
      <c r="C716" s="13">
        <v>209.0</v>
      </c>
      <c r="D716" s="13">
        <v>77.0</v>
      </c>
      <c r="E716" s="13">
        <v>414.0</v>
      </c>
    </row>
    <row r="717">
      <c r="A717" s="13">
        <v>2002002.0</v>
      </c>
      <c r="B717" s="4">
        <v>152.0</v>
      </c>
      <c r="C717" s="13">
        <v>139.0</v>
      </c>
      <c r="D717" s="13">
        <v>31.0</v>
      </c>
      <c r="E717" s="13">
        <v>159.0</v>
      </c>
    </row>
    <row r="718">
      <c r="A718" s="13">
        <v>2071034.0</v>
      </c>
      <c r="B718" s="4">
        <v>147.0</v>
      </c>
      <c r="C718" s="13">
        <v>219.0</v>
      </c>
      <c r="D718" s="13">
        <v>101.0</v>
      </c>
      <c r="E718" s="13">
        <v>417.0</v>
      </c>
    </row>
    <row r="719">
      <c r="A719" s="13">
        <v>2071057.0</v>
      </c>
      <c r="B719" s="4">
        <v>147.0</v>
      </c>
      <c r="C719" s="13">
        <v>36.0</v>
      </c>
      <c r="D719" s="13">
        <v>19.0</v>
      </c>
      <c r="E719" s="13">
        <v>61.0</v>
      </c>
    </row>
    <row r="720">
      <c r="A720" s="13">
        <v>2003056.0</v>
      </c>
      <c r="B720" s="4">
        <v>148.0</v>
      </c>
      <c r="C720" s="13">
        <v>53.0</v>
      </c>
      <c r="D720" s="13">
        <v>15.0</v>
      </c>
      <c r="E720" s="13">
        <v>26.0</v>
      </c>
    </row>
    <row r="721">
      <c r="A721" s="13">
        <v>2171083.0</v>
      </c>
      <c r="B721" s="4">
        <v>147.0</v>
      </c>
      <c r="C721" s="13">
        <v>125.0</v>
      </c>
      <c r="D721" s="13">
        <v>35.0</v>
      </c>
      <c r="E721" s="13">
        <v>182.0</v>
      </c>
    </row>
    <row r="722">
      <c r="A722" s="13">
        <v>2071103.0</v>
      </c>
      <c r="B722" s="4">
        <v>147.0</v>
      </c>
      <c r="C722" s="13">
        <v>257.0</v>
      </c>
      <c r="D722" s="13">
        <v>112.0</v>
      </c>
      <c r="E722" s="13">
        <v>617.0</v>
      </c>
    </row>
    <row r="723">
      <c r="A723" s="13">
        <v>2071015.0</v>
      </c>
      <c r="B723" s="4">
        <v>147.0</v>
      </c>
      <c r="C723" s="13">
        <v>107.0</v>
      </c>
      <c r="D723" s="13">
        <v>62.0</v>
      </c>
      <c r="E723" s="13">
        <v>283.0</v>
      </c>
    </row>
    <row r="724">
      <c r="A724" s="13">
        <v>2171065.0</v>
      </c>
      <c r="B724" s="4">
        <v>147.0</v>
      </c>
      <c r="C724" s="13">
        <v>229.0</v>
      </c>
      <c r="D724" s="13">
        <v>22.0</v>
      </c>
      <c r="E724" s="13">
        <v>53.0</v>
      </c>
    </row>
    <row r="725">
      <c r="A725" s="13">
        <v>2002010.0</v>
      </c>
      <c r="B725" s="4">
        <v>152.0</v>
      </c>
      <c r="C725" s="13">
        <v>119.0</v>
      </c>
      <c r="D725" s="13">
        <v>46.0</v>
      </c>
      <c r="E725" s="13">
        <v>168.0</v>
      </c>
    </row>
    <row r="726">
      <c r="A726" s="13">
        <v>2105005.0</v>
      </c>
      <c r="B726" s="4">
        <v>153.0</v>
      </c>
      <c r="C726" s="13">
        <v>65.0</v>
      </c>
      <c r="D726" s="13">
        <v>18.0</v>
      </c>
      <c r="E726" s="13">
        <v>68.0</v>
      </c>
    </row>
    <row r="727">
      <c r="A727" s="13">
        <v>2003125.0</v>
      </c>
      <c r="B727" s="4">
        <v>153.0</v>
      </c>
      <c r="C727" s="13">
        <v>50.0</v>
      </c>
      <c r="D727" s="13">
        <v>21.0</v>
      </c>
      <c r="E727" s="13">
        <v>122.0</v>
      </c>
    </row>
    <row r="728">
      <c r="A728" s="13">
        <v>2071037.0</v>
      </c>
      <c r="B728" s="4">
        <v>147.0</v>
      </c>
      <c r="C728" s="13">
        <v>127.0</v>
      </c>
      <c r="D728" s="13">
        <v>20.0</v>
      </c>
      <c r="E728" s="13">
        <v>83.0</v>
      </c>
    </row>
    <row r="729">
      <c r="A729" s="13">
        <v>2171078.0</v>
      </c>
      <c r="B729" s="4">
        <v>147.0</v>
      </c>
      <c r="C729" s="13">
        <v>118.0</v>
      </c>
      <c r="D729" s="13">
        <v>39.0</v>
      </c>
      <c r="E729" s="13">
        <v>182.0</v>
      </c>
    </row>
    <row r="730">
      <c r="A730" s="13">
        <v>2072012.0</v>
      </c>
      <c r="B730" s="4">
        <v>151.0</v>
      </c>
      <c r="C730" s="13">
        <v>134.0</v>
      </c>
      <c r="D730" s="13">
        <v>42.0</v>
      </c>
      <c r="E730" s="13">
        <v>457.0</v>
      </c>
    </row>
    <row r="731">
      <c r="A731" s="13">
        <v>2171061.0</v>
      </c>
      <c r="B731" s="4">
        <v>147.0</v>
      </c>
      <c r="C731" s="13">
        <v>82.0</v>
      </c>
      <c r="D731" s="13">
        <v>22.0</v>
      </c>
      <c r="E731" s="13">
        <v>53.0</v>
      </c>
    </row>
    <row r="732">
      <c r="A732" s="13">
        <v>2071023.0</v>
      </c>
      <c r="B732" s="4">
        <v>147.0</v>
      </c>
      <c r="C732" s="13">
        <v>122.0</v>
      </c>
      <c r="D732" s="13">
        <v>63.0</v>
      </c>
      <c r="E732" s="13">
        <v>370.0</v>
      </c>
    </row>
    <row r="733">
      <c r="A733" s="13">
        <v>2072002.0</v>
      </c>
      <c r="B733" s="4">
        <v>151.0</v>
      </c>
      <c r="C733" s="13">
        <v>232.0</v>
      </c>
      <c r="D733" s="13">
        <v>95.0</v>
      </c>
      <c r="E733" s="13">
        <v>828.0</v>
      </c>
    </row>
    <row r="734">
      <c r="A734" s="13">
        <v>2005002.0</v>
      </c>
      <c r="B734" s="4">
        <v>153.0</v>
      </c>
      <c r="C734" s="13">
        <v>18.0</v>
      </c>
      <c r="D734" s="13">
        <v>14.0</v>
      </c>
      <c r="E734" s="13">
        <v>85.0</v>
      </c>
    </row>
    <row r="735">
      <c r="A735" s="13">
        <v>2171064.0</v>
      </c>
      <c r="B735" s="4">
        <v>147.0</v>
      </c>
      <c r="C735" s="13">
        <v>52.0</v>
      </c>
      <c r="D735" s="13">
        <v>24.0</v>
      </c>
      <c r="E735" s="13">
        <v>86.0</v>
      </c>
    </row>
    <row r="736">
      <c r="A736" s="13">
        <v>2004012.0</v>
      </c>
      <c r="B736" s="4">
        <v>149.0</v>
      </c>
      <c r="C736" s="13">
        <v>100.0</v>
      </c>
      <c r="D736" s="13">
        <v>23.0</v>
      </c>
      <c r="E736" s="13">
        <v>108.0</v>
      </c>
    </row>
    <row r="737">
      <c r="A737" s="13">
        <v>2001045.0</v>
      </c>
      <c r="B737" s="4">
        <v>150.0</v>
      </c>
      <c r="C737" s="13">
        <v>100.0</v>
      </c>
      <c r="D737" s="13">
        <v>47.0</v>
      </c>
      <c r="E737" s="13">
        <v>316.0</v>
      </c>
    </row>
    <row r="738">
      <c r="A738" s="13">
        <v>2071050.0</v>
      </c>
      <c r="B738" s="4">
        <v>147.0</v>
      </c>
      <c r="C738" s="13">
        <v>168.0</v>
      </c>
      <c r="D738" s="13">
        <v>40.0</v>
      </c>
      <c r="E738" s="13">
        <v>396.0</v>
      </c>
    </row>
    <row r="739">
      <c r="A739" s="13">
        <v>2071059.0</v>
      </c>
      <c r="B739" s="4">
        <v>147.0</v>
      </c>
      <c r="C739" s="13">
        <v>111.0</v>
      </c>
      <c r="D739" s="13">
        <v>24.0</v>
      </c>
      <c r="E739" s="13">
        <v>182.0</v>
      </c>
    </row>
    <row r="740">
      <c r="A740" s="13">
        <v>2071056.0</v>
      </c>
      <c r="B740" s="4">
        <v>147.0</v>
      </c>
      <c r="C740" s="13">
        <v>121.0</v>
      </c>
      <c r="D740" s="13">
        <v>40.0</v>
      </c>
      <c r="E740" s="13">
        <v>194.0</v>
      </c>
    </row>
    <row r="741">
      <c r="A741" s="13">
        <v>2001013.0</v>
      </c>
      <c r="B741" s="4">
        <v>150.0</v>
      </c>
      <c r="C741" s="13">
        <v>210.0</v>
      </c>
      <c r="D741" s="13">
        <v>70.0</v>
      </c>
      <c r="E741" s="13">
        <v>543.0</v>
      </c>
    </row>
    <row r="742">
      <c r="A742" s="13">
        <v>3173084.0</v>
      </c>
      <c r="B742" s="4">
        <v>154.0</v>
      </c>
      <c r="C742" s="13">
        <v>251.0</v>
      </c>
      <c r="D742" s="13">
        <v>34.0</v>
      </c>
      <c r="E742" s="13">
        <v>435.0</v>
      </c>
    </row>
    <row r="743">
      <c r="A743" s="13">
        <v>3172765.0</v>
      </c>
      <c r="B743" s="4">
        <v>154.0</v>
      </c>
      <c r="C743" s="13">
        <v>41.0</v>
      </c>
      <c r="D743" s="13">
        <v>23.0</v>
      </c>
      <c r="E743" s="13">
        <v>13.0</v>
      </c>
    </row>
    <row r="744">
      <c r="A744" s="13">
        <v>3171574.0</v>
      </c>
      <c r="B744" s="4">
        <v>155.0</v>
      </c>
      <c r="C744" s="13">
        <v>111.0</v>
      </c>
      <c r="D744" s="13">
        <v>72.0</v>
      </c>
      <c r="E744" s="13">
        <v>221.0</v>
      </c>
    </row>
    <row r="745">
      <c r="A745" s="13">
        <v>3173671.0</v>
      </c>
      <c r="B745" s="4">
        <v>156.0</v>
      </c>
      <c r="C745" s="13">
        <v>15.0</v>
      </c>
      <c r="D745" s="13">
        <v>22.0</v>
      </c>
      <c r="E745" s="13">
        <v>600.0</v>
      </c>
    </row>
    <row r="746">
      <c r="A746" s="13">
        <v>3171768.0</v>
      </c>
      <c r="B746" s="4">
        <v>156.0</v>
      </c>
      <c r="C746" s="13">
        <v>114.0</v>
      </c>
      <c r="D746" s="13">
        <v>79.0</v>
      </c>
      <c r="E746" s="13">
        <v>205.0</v>
      </c>
    </row>
    <row r="747">
      <c r="A747" s="13">
        <v>3174508.0</v>
      </c>
      <c r="B747" s="4">
        <v>157.0</v>
      </c>
      <c r="C747" s="13">
        <v>200.0</v>
      </c>
      <c r="D747" s="13">
        <v>102.0</v>
      </c>
      <c r="E747" s="13">
        <v>247.0</v>
      </c>
    </row>
    <row r="748">
      <c r="A748" s="13">
        <v>3172516.0</v>
      </c>
      <c r="B748" s="4">
        <v>154.0</v>
      </c>
      <c r="C748" s="13">
        <v>140.0</v>
      </c>
      <c r="D748" s="13">
        <v>53.0</v>
      </c>
      <c r="E748" s="13">
        <v>272.0</v>
      </c>
    </row>
    <row r="749">
      <c r="A749" s="13">
        <v>3172750.0</v>
      </c>
      <c r="B749" s="4">
        <v>154.0</v>
      </c>
      <c r="C749" s="13">
        <v>75.0</v>
      </c>
      <c r="D749" s="13">
        <v>18.0</v>
      </c>
      <c r="E749" s="13">
        <v>56.0</v>
      </c>
    </row>
    <row r="750">
      <c r="A750" s="13">
        <v>3175407.0</v>
      </c>
      <c r="B750" s="4">
        <v>158.0</v>
      </c>
      <c r="C750" s="13">
        <v>194.0</v>
      </c>
      <c r="D750" s="13">
        <v>109.0</v>
      </c>
      <c r="E750" s="13">
        <v>428.0</v>
      </c>
    </row>
    <row r="751">
      <c r="A751" s="13">
        <v>3172761.0</v>
      </c>
      <c r="B751" s="4">
        <v>154.0</v>
      </c>
      <c r="C751" s="13">
        <v>86.0</v>
      </c>
      <c r="D751" s="13">
        <v>21.0</v>
      </c>
      <c r="E751" s="13">
        <v>194.0</v>
      </c>
    </row>
    <row r="752">
      <c r="A752" s="13">
        <v>3174525.0</v>
      </c>
      <c r="B752" s="4">
        <v>157.0</v>
      </c>
      <c r="C752" s="13">
        <v>54.0</v>
      </c>
      <c r="D752" s="13">
        <v>23.0</v>
      </c>
      <c r="E752" s="13">
        <v>268.0</v>
      </c>
    </row>
    <row r="753">
      <c r="A753" s="13">
        <v>3174510.0</v>
      </c>
      <c r="B753" s="4">
        <v>157.0</v>
      </c>
      <c r="C753" s="13">
        <v>50.0</v>
      </c>
      <c r="D753" s="13">
        <v>33.0</v>
      </c>
      <c r="E753" s="13">
        <v>126.0</v>
      </c>
    </row>
    <row r="754">
      <c r="A754" s="13">
        <v>3173543.0</v>
      </c>
      <c r="B754" s="4">
        <v>156.0</v>
      </c>
      <c r="C754" s="13">
        <v>109.0</v>
      </c>
      <c r="D754" s="13">
        <v>75.0</v>
      </c>
      <c r="E754" s="13">
        <v>58.0</v>
      </c>
    </row>
    <row r="755">
      <c r="A755" s="13">
        <v>3171798.0</v>
      </c>
      <c r="B755" s="4">
        <v>155.0</v>
      </c>
      <c r="C755" s="13">
        <v>103.0</v>
      </c>
      <c r="D755" s="13">
        <v>34.0</v>
      </c>
      <c r="E755" s="13">
        <v>98.0</v>
      </c>
    </row>
    <row r="756">
      <c r="A756" s="13">
        <v>3171724.0</v>
      </c>
      <c r="B756" s="4">
        <v>155.0</v>
      </c>
      <c r="C756" s="13">
        <v>75.0</v>
      </c>
      <c r="D756" s="13">
        <v>44.0</v>
      </c>
      <c r="E756" s="13">
        <v>282.0</v>
      </c>
    </row>
    <row r="757">
      <c r="A757" s="13">
        <v>3174351.0</v>
      </c>
      <c r="B757" s="4">
        <v>157.0</v>
      </c>
      <c r="C757" s="13">
        <v>183.0</v>
      </c>
      <c r="D757" s="13">
        <v>99.0</v>
      </c>
      <c r="E757" s="13">
        <v>957.0</v>
      </c>
    </row>
    <row r="758">
      <c r="A758" s="13">
        <v>3173696.0</v>
      </c>
      <c r="B758" s="4">
        <v>156.0</v>
      </c>
      <c r="C758" s="13">
        <v>101.0</v>
      </c>
      <c r="D758" s="13">
        <v>65.0</v>
      </c>
      <c r="E758" s="13">
        <v>180.0</v>
      </c>
    </row>
    <row r="759">
      <c r="A759" s="13">
        <v>3175416.0</v>
      </c>
      <c r="B759" s="4">
        <v>158.0</v>
      </c>
      <c r="C759" s="13">
        <v>57.0</v>
      </c>
      <c r="D759" s="13">
        <v>22.0</v>
      </c>
      <c r="E759" s="13">
        <v>95.0</v>
      </c>
    </row>
    <row r="760">
      <c r="A760" s="13">
        <v>3171802.0</v>
      </c>
      <c r="B760" s="4">
        <v>155.0</v>
      </c>
      <c r="C760" s="13">
        <v>28.0</v>
      </c>
      <c r="D760" s="13">
        <v>21.0</v>
      </c>
      <c r="E760" s="13">
        <v>43.0</v>
      </c>
    </row>
    <row r="761">
      <c r="A761" s="13">
        <v>3172094.0</v>
      </c>
      <c r="B761" s="4">
        <v>154.0</v>
      </c>
      <c r="C761" s="13">
        <v>201.0</v>
      </c>
      <c r="D761" s="13">
        <v>128.0</v>
      </c>
      <c r="E761" s="13">
        <v>433.0</v>
      </c>
    </row>
    <row r="762">
      <c r="A762" s="13">
        <v>3171789.0</v>
      </c>
      <c r="B762" s="4">
        <v>155.0</v>
      </c>
      <c r="C762" s="13">
        <v>206.0</v>
      </c>
      <c r="D762" s="13">
        <v>114.0</v>
      </c>
      <c r="E762" s="13">
        <v>452.0</v>
      </c>
    </row>
    <row r="763">
      <c r="A763" s="13">
        <v>3175330.0</v>
      </c>
      <c r="B763" s="4">
        <v>158.0</v>
      </c>
      <c r="C763" s="13">
        <v>200.0</v>
      </c>
      <c r="D763" s="13">
        <v>121.0</v>
      </c>
      <c r="E763" s="13">
        <v>553.0</v>
      </c>
    </row>
    <row r="764">
      <c r="A764" s="13">
        <v>3173697.0</v>
      </c>
      <c r="B764" s="4">
        <v>156.0</v>
      </c>
      <c r="C764" s="13">
        <v>12.0</v>
      </c>
      <c r="D764" s="13">
        <v>20.0</v>
      </c>
      <c r="E764" s="13">
        <v>43.0</v>
      </c>
    </row>
    <row r="765">
      <c r="A765" s="13">
        <v>3172762.0</v>
      </c>
      <c r="B765" s="4">
        <v>154.0</v>
      </c>
      <c r="C765" s="13">
        <v>54.0</v>
      </c>
      <c r="D765" s="13">
        <v>23.0</v>
      </c>
      <c r="E765" s="13">
        <v>264.0</v>
      </c>
    </row>
    <row r="766">
      <c r="A766" s="13">
        <v>3173014.0</v>
      </c>
      <c r="B766" s="4">
        <v>156.0</v>
      </c>
      <c r="C766" s="13">
        <v>1542.0</v>
      </c>
      <c r="D766" s="13">
        <v>81.0</v>
      </c>
      <c r="E766" s="13">
        <v>6325.0</v>
      </c>
    </row>
    <row r="767">
      <c r="A767" s="13">
        <v>3174052.0</v>
      </c>
      <c r="B767" s="4">
        <v>157.0</v>
      </c>
      <c r="C767" s="13">
        <v>224.0</v>
      </c>
      <c r="D767" s="13">
        <v>123.0</v>
      </c>
      <c r="E767" s="13">
        <v>801.0</v>
      </c>
    </row>
    <row r="768">
      <c r="A768" s="13">
        <v>3171511.0</v>
      </c>
      <c r="B768" s="4">
        <v>155.0</v>
      </c>
      <c r="C768" s="13">
        <v>79.0</v>
      </c>
      <c r="D768" s="13">
        <v>56.0</v>
      </c>
      <c r="E768" s="13">
        <v>324.0</v>
      </c>
    </row>
    <row r="769">
      <c r="A769" s="13">
        <v>3175411.0</v>
      </c>
      <c r="B769" s="4">
        <v>158.0</v>
      </c>
      <c r="C769" s="13">
        <v>107.0</v>
      </c>
      <c r="D769" s="13">
        <v>34.0</v>
      </c>
      <c r="E769" s="13">
        <v>244.0</v>
      </c>
    </row>
    <row r="770">
      <c r="A770" s="13">
        <v>3173116.0</v>
      </c>
      <c r="B770" s="4">
        <v>156.0</v>
      </c>
      <c r="C770" s="13">
        <v>51.0</v>
      </c>
      <c r="D770" s="13">
        <v>40.0</v>
      </c>
      <c r="E770" s="13">
        <v>212.0</v>
      </c>
    </row>
    <row r="771">
      <c r="A771" s="13">
        <v>3171782.0</v>
      </c>
      <c r="B771" s="4">
        <v>155.0</v>
      </c>
      <c r="C771" s="13">
        <v>114.0</v>
      </c>
      <c r="D771" s="13">
        <v>32.0</v>
      </c>
      <c r="E771" s="13">
        <v>132.0</v>
      </c>
    </row>
    <row r="772">
      <c r="A772" s="13">
        <v>3171632.0</v>
      </c>
      <c r="B772" s="4">
        <v>155.0</v>
      </c>
      <c r="C772" s="13">
        <v>113.0</v>
      </c>
      <c r="D772" s="13">
        <v>34.0</v>
      </c>
      <c r="E772" s="13">
        <v>33.0</v>
      </c>
    </row>
    <row r="773">
      <c r="A773" s="13">
        <v>3174015.0</v>
      </c>
      <c r="B773" s="4">
        <v>157.0</v>
      </c>
      <c r="C773" s="13">
        <v>206.0</v>
      </c>
      <c r="D773" s="13">
        <v>118.0</v>
      </c>
      <c r="E773" s="13">
        <v>627.0</v>
      </c>
    </row>
    <row r="774">
      <c r="A774" s="13">
        <v>3172013.0</v>
      </c>
      <c r="B774" s="4">
        <v>154.0</v>
      </c>
      <c r="C774" s="13">
        <v>514.0</v>
      </c>
      <c r="D774" s="13">
        <v>131.0</v>
      </c>
      <c r="E774" s="13">
        <v>2216.0</v>
      </c>
    </row>
    <row r="775">
      <c r="A775" s="13">
        <v>3173704.0</v>
      </c>
      <c r="B775" s="4">
        <v>156.0</v>
      </c>
      <c r="C775" s="13">
        <v>19.0</v>
      </c>
      <c r="D775" s="13">
        <v>23.0</v>
      </c>
      <c r="E775" s="13">
        <v>25.0</v>
      </c>
    </row>
    <row r="776">
      <c r="A776" s="13">
        <v>3175031.0</v>
      </c>
      <c r="B776" s="4">
        <v>158.0</v>
      </c>
      <c r="C776" s="13">
        <v>202.0</v>
      </c>
      <c r="D776" s="13">
        <v>48.0</v>
      </c>
      <c r="E776" s="13">
        <v>259.0</v>
      </c>
    </row>
    <row r="777">
      <c r="A777" s="13">
        <v>3172531.0</v>
      </c>
      <c r="B777" s="4">
        <v>154.0</v>
      </c>
      <c r="C777" s="13">
        <v>100.0</v>
      </c>
      <c r="D777" s="13">
        <v>21.0</v>
      </c>
      <c r="E777" s="13">
        <v>221.0</v>
      </c>
    </row>
    <row r="778">
      <c r="A778" s="13">
        <v>3171450.0</v>
      </c>
      <c r="B778" s="4">
        <v>155.0</v>
      </c>
      <c r="C778" s="13">
        <v>105.0</v>
      </c>
      <c r="D778" s="13">
        <v>75.0</v>
      </c>
      <c r="E778" s="13">
        <v>260.0</v>
      </c>
    </row>
    <row r="779">
      <c r="A779" s="13">
        <v>3171072.0</v>
      </c>
      <c r="B779" s="4">
        <v>155.0</v>
      </c>
      <c r="C779" s="13">
        <v>267.0</v>
      </c>
      <c r="D779" s="13">
        <v>69.0</v>
      </c>
      <c r="E779" s="13">
        <v>867.0</v>
      </c>
    </row>
    <row r="780">
      <c r="A780" s="13">
        <v>3175413.0</v>
      </c>
      <c r="B780" s="4">
        <v>158.0</v>
      </c>
      <c r="C780" s="13">
        <v>50.0</v>
      </c>
      <c r="D780" s="13">
        <v>42.0</v>
      </c>
      <c r="E780" s="13">
        <v>137.0</v>
      </c>
    </row>
    <row r="781">
      <c r="A781" s="13">
        <v>3173723.0</v>
      </c>
      <c r="B781" s="4">
        <v>156.0</v>
      </c>
      <c r="C781" s="13">
        <v>100.0</v>
      </c>
      <c r="D781" s="13">
        <v>84.0</v>
      </c>
      <c r="E781" s="13">
        <v>182.0</v>
      </c>
    </row>
    <row r="782">
      <c r="A782" s="13">
        <v>3173612.0</v>
      </c>
      <c r="B782" s="4">
        <v>156.0</v>
      </c>
      <c r="C782" s="13">
        <v>15.0</v>
      </c>
      <c r="D782" s="13">
        <v>13.0</v>
      </c>
      <c r="E782" s="13">
        <v>44.0</v>
      </c>
    </row>
    <row r="783">
      <c r="A783" s="13">
        <v>3173698.0</v>
      </c>
      <c r="B783" s="4">
        <v>156.0</v>
      </c>
      <c r="C783" s="13">
        <v>60.0</v>
      </c>
      <c r="D783" s="13">
        <v>26.0</v>
      </c>
      <c r="E783" s="13">
        <v>210.0</v>
      </c>
    </row>
    <row r="784">
      <c r="A784" s="13">
        <v>3171746.0</v>
      </c>
      <c r="B784" s="4">
        <v>155.0</v>
      </c>
      <c r="C784" s="13">
        <v>101.0</v>
      </c>
      <c r="D784" s="13">
        <v>24.0</v>
      </c>
      <c r="E784" s="13">
        <v>122.0</v>
      </c>
    </row>
    <row r="785">
      <c r="A785" s="13">
        <v>3172748.0</v>
      </c>
      <c r="B785" s="4">
        <v>154.0</v>
      </c>
      <c r="C785" s="13">
        <v>100.0</v>
      </c>
      <c r="D785" s="13">
        <v>40.0</v>
      </c>
      <c r="E785" s="13">
        <v>326.0</v>
      </c>
    </row>
    <row r="786">
      <c r="A786" s="13">
        <v>3174420.0</v>
      </c>
      <c r="B786" s="4">
        <v>157.0</v>
      </c>
      <c r="C786" s="13">
        <v>102.0</v>
      </c>
      <c r="D786" s="13">
        <v>101.0</v>
      </c>
      <c r="E786" s="13">
        <v>212.0</v>
      </c>
    </row>
    <row r="787">
      <c r="A787" s="13">
        <v>3172206.0</v>
      </c>
      <c r="B787" s="4">
        <v>154.0</v>
      </c>
      <c r="C787" s="13">
        <v>214.0</v>
      </c>
      <c r="D787" s="13">
        <v>81.0</v>
      </c>
      <c r="E787" s="13">
        <v>860.0</v>
      </c>
    </row>
    <row r="788">
      <c r="A788" s="13">
        <v>3175352.0</v>
      </c>
      <c r="B788" s="4">
        <v>158.0</v>
      </c>
      <c r="C788" s="13">
        <v>200.0</v>
      </c>
      <c r="D788" s="13">
        <v>98.0</v>
      </c>
      <c r="E788" s="13">
        <v>1158.0</v>
      </c>
    </row>
    <row r="789">
      <c r="A789" s="13">
        <v>3171786.0</v>
      </c>
      <c r="B789" s="4">
        <v>155.0</v>
      </c>
      <c r="C789" s="13">
        <v>260.0</v>
      </c>
      <c r="D789" s="13">
        <v>41.0</v>
      </c>
      <c r="E789" s="13">
        <v>959.0</v>
      </c>
    </row>
    <row r="790">
      <c r="A790" s="13">
        <v>3175414.0</v>
      </c>
      <c r="B790" s="4">
        <v>158.0</v>
      </c>
      <c r="C790" s="13">
        <v>102.0</v>
      </c>
      <c r="D790" s="13">
        <v>51.0</v>
      </c>
      <c r="E790" s="13">
        <v>233.0</v>
      </c>
    </row>
    <row r="791">
      <c r="A791" s="13">
        <v>3173036.0</v>
      </c>
      <c r="B791" s="4">
        <v>156.0</v>
      </c>
      <c r="C791" s="13">
        <v>217.0</v>
      </c>
      <c r="D791" s="13">
        <v>91.0</v>
      </c>
      <c r="E791" s="13">
        <v>705.0</v>
      </c>
    </row>
    <row r="792">
      <c r="A792" s="13">
        <v>3173441.0</v>
      </c>
      <c r="B792" s="4">
        <v>156.0</v>
      </c>
      <c r="C792" s="13">
        <v>102.0</v>
      </c>
      <c r="D792" s="13">
        <v>76.0</v>
      </c>
      <c r="E792" s="13">
        <v>518.0</v>
      </c>
    </row>
    <row r="793">
      <c r="A793" s="13">
        <v>3171056.0</v>
      </c>
      <c r="B793" s="4">
        <v>155.0</v>
      </c>
      <c r="C793" s="13">
        <v>186.0</v>
      </c>
      <c r="D793" s="13">
        <v>89.0</v>
      </c>
      <c r="E793" s="13">
        <v>260.0</v>
      </c>
    </row>
    <row r="794">
      <c r="A794" s="13">
        <v>3171665.0</v>
      </c>
      <c r="B794" s="4">
        <v>155.0</v>
      </c>
      <c r="C794" s="13">
        <v>215.0</v>
      </c>
      <c r="D794" s="13">
        <v>113.0</v>
      </c>
      <c r="E794" s="13">
        <v>437.0</v>
      </c>
    </row>
    <row r="795">
      <c r="A795" s="13">
        <v>3175408.0</v>
      </c>
      <c r="B795" s="4">
        <v>158.0</v>
      </c>
      <c r="C795" s="13">
        <v>137.0</v>
      </c>
      <c r="D795" s="13">
        <v>35.0</v>
      </c>
      <c r="E795" s="13">
        <v>176.0</v>
      </c>
    </row>
    <row r="796">
      <c r="A796" s="13">
        <v>3174515.0</v>
      </c>
      <c r="B796" s="4">
        <v>157.0</v>
      </c>
      <c r="C796" s="13">
        <v>25.0</v>
      </c>
      <c r="D796" s="13">
        <v>31.0</v>
      </c>
      <c r="E796" s="13">
        <v>242.0</v>
      </c>
    </row>
    <row r="797">
      <c r="A797" s="13">
        <v>3174030.0</v>
      </c>
      <c r="B797" s="4">
        <v>157.0</v>
      </c>
      <c r="C797" s="13">
        <v>206.0</v>
      </c>
      <c r="D797" s="13">
        <v>34.0</v>
      </c>
      <c r="E797" s="13">
        <v>200.0</v>
      </c>
    </row>
    <row r="798">
      <c r="A798" s="13">
        <v>3172035.0</v>
      </c>
      <c r="B798" s="4">
        <v>154.0</v>
      </c>
      <c r="C798" s="13">
        <v>154.0</v>
      </c>
      <c r="D798" s="13">
        <v>26.0</v>
      </c>
      <c r="E798" s="13">
        <v>144.0</v>
      </c>
    </row>
    <row r="799">
      <c r="A799" s="13">
        <v>3175064.0</v>
      </c>
      <c r="B799" s="4">
        <v>158.0</v>
      </c>
      <c r="C799" s="13">
        <v>146.0</v>
      </c>
      <c r="D799" s="13">
        <v>37.0</v>
      </c>
      <c r="E799" s="13">
        <v>743.0</v>
      </c>
    </row>
    <row r="800">
      <c r="A800" s="13">
        <v>3171785.0</v>
      </c>
      <c r="B800" s="4">
        <v>155.0</v>
      </c>
      <c r="C800" s="13">
        <v>4.0</v>
      </c>
      <c r="D800" s="13">
        <v>55.0</v>
      </c>
      <c r="E800" s="13">
        <v>248.0</v>
      </c>
    </row>
    <row r="801">
      <c r="A801" s="13">
        <v>3171792.0</v>
      </c>
      <c r="B801" s="4">
        <v>155.0</v>
      </c>
      <c r="C801" s="13">
        <v>50.0</v>
      </c>
      <c r="D801" s="13">
        <v>47.0</v>
      </c>
      <c r="E801" s="13">
        <v>87.0</v>
      </c>
    </row>
    <row r="802">
      <c r="A802" s="13">
        <v>3171804.0</v>
      </c>
      <c r="B802" s="4">
        <v>155.0</v>
      </c>
      <c r="C802" s="13">
        <v>25.0</v>
      </c>
      <c r="D802" s="13">
        <v>27.0</v>
      </c>
      <c r="E802" s="13">
        <v>92.0</v>
      </c>
    </row>
    <row r="803">
      <c r="A803" s="13">
        <v>3172590.0</v>
      </c>
      <c r="B803" s="4">
        <v>154.0</v>
      </c>
      <c r="C803" s="13">
        <v>100.0</v>
      </c>
      <c r="D803" s="13">
        <v>31.0</v>
      </c>
      <c r="E803" s="13">
        <v>177.0</v>
      </c>
    </row>
    <row r="804">
      <c r="A804" s="13">
        <v>3171801.0</v>
      </c>
      <c r="B804" s="4">
        <v>155.0</v>
      </c>
      <c r="C804" s="13">
        <v>58.0</v>
      </c>
      <c r="D804" s="13">
        <v>16.0</v>
      </c>
      <c r="E804" s="13">
        <v>215.0</v>
      </c>
    </row>
    <row r="805">
      <c r="A805" s="13">
        <v>3175418.0</v>
      </c>
      <c r="B805" s="4">
        <v>158.0</v>
      </c>
      <c r="C805" s="13">
        <v>136.0</v>
      </c>
      <c r="D805" s="13">
        <v>36.0</v>
      </c>
      <c r="E805" s="13">
        <v>1.0</v>
      </c>
    </row>
    <row r="806">
      <c r="A806" s="13">
        <v>3171023.0</v>
      </c>
      <c r="B806" s="4">
        <v>155.0</v>
      </c>
      <c r="C806" s="13">
        <v>228.0</v>
      </c>
      <c r="D806" s="13">
        <v>65.0</v>
      </c>
      <c r="E806" s="13">
        <v>962.0</v>
      </c>
    </row>
    <row r="807">
      <c r="A807" s="13">
        <v>3172759.0</v>
      </c>
      <c r="B807" s="4">
        <v>154.0</v>
      </c>
      <c r="C807" s="13">
        <v>119.0</v>
      </c>
      <c r="D807" s="13">
        <v>41.0</v>
      </c>
      <c r="E807" s="13">
        <v>626.0</v>
      </c>
    </row>
    <row r="808">
      <c r="A808" s="13">
        <v>3171504.0</v>
      </c>
      <c r="B808" s="4">
        <v>155.0</v>
      </c>
      <c r="C808" s="13">
        <v>230.0</v>
      </c>
      <c r="D808" s="13">
        <v>138.0</v>
      </c>
      <c r="E808" s="13">
        <v>960.0</v>
      </c>
    </row>
    <row r="809">
      <c r="A809" s="13">
        <v>3173634.0</v>
      </c>
      <c r="B809" s="4">
        <v>156.0</v>
      </c>
      <c r="C809" s="13">
        <v>25.0</v>
      </c>
      <c r="D809" s="13">
        <v>16.0</v>
      </c>
      <c r="E809" s="13">
        <v>27.0</v>
      </c>
    </row>
    <row r="810">
      <c r="A810" s="13">
        <v>3101002.0</v>
      </c>
      <c r="B810" s="4">
        <v>159.0</v>
      </c>
      <c r="C810" s="13">
        <v>1966.0</v>
      </c>
      <c r="D810" s="13">
        <v>50.0</v>
      </c>
      <c r="E810" s="13">
        <v>24.0</v>
      </c>
    </row>
    <row r="811">
      <c r="A811" s="13">
        <v>3174542.0</v>
      </c>
      <c r="B811" s="4">
        <v>157.0</v>
      </c>
      <c r="C811" s="13">
        <v>59.0</v>
      </c>
      <c r="D811" s="13">
        <v>69.0</v>
      </c>
      <c r="E811" s="13">
        <v>182.0</v>
      </c>
    </row>
    <row r="812">
      <c r="A812" s="13">
        <v>3174453.0</v>
      </c>
      <c r="B812" s="4">
        <v>157.0</v>
      </c>
      <c r="C812" s="13">
        <v>145.0</v>
      </c>
      <c r="D812" s="13">
        <v>36.0</v>
      </c>
      <c r="E812" s="13">
        <v>213.0</v>
      </c>
    </row>
    <row r="813">
      <c r="A813" s="13">
        <v>3172758.0</v>
      </c>
      <c r="B813" s="4">
        <v>154.0</v>
      </c>
      <c r="C813" s="13">
        <v>154.0</v>
      </c>
      <c r="D813" s="13">
        <v>79.0</v>
      </c>
      <c r="E813" s="13">
        <v>300.0</v>
      </c>
    </row>
    <row r="814">
      <c r="A814" s="13">
        <v>3172301.0</v>
      </c>
      <c r="B814" s="4">
        <v>154.0</v>
      </c>
      <c r="C814" s="13">
        <v>35.0</v>
      </c>
      <c r="D814" s="13">
        <v>21.0</v>
      </c>
      <c r="E814" s="13">
        <v>81.0</v>
      </c>
    </row>
    <row r="815">
      <c r="A815" s="13">
        <v>3171784.0</v>
      </c>
      <c r="B815" s="4">
        <v>155.0</v>
      </c>
      <c r="C815" s="13">
        <v>101.0</v>
      </c>
      <c r="D815" s="13">
        <v>27.0</v>
      </c>
      <c r="E815" s="13">
        <v>138.0</v>
      </c>
    </row>
    <row r="816">
      <c r="A816" s="13">
        <v>3175374.0</v>
      </c>
      <c r="B816" s="4">
        <v>158.0</v>
      </c>
      <c r="C816" s="13">
        <v>104.0</v>
      </c>
      <c r="D816" s="13">
        <v>69.0</v>
      </c>
      <c r="E816" s="13">
        <v>142.0</v>
      </c>
    </row>
    <row r="817">
      <c r="A817" s="13">
        <v>3173051.0</v>
      </c>
      <c r="B817" s="4">
        <v>156.0</v>
      </c>
      <c r="C817" s="13">
        <v>250.0</v>
      </c>
      <c r="D817" s="13">
        <v>119.0</v>
      </c>
      <c r="E817" s="13">
        <v>304.0</v>
      </c>
    </row>
    <row r="818">
      <c r="A818" s="13">
        <v>3173506.0</v>
      </c>
      <c r="B818" s="4">
        <v>156.0</v>
      </c>
      <c r="C818" s="13">
        <v>204.0</v>
      </c>
      <c r="D818" s="13">
        <v>189.0</v>
      </c>
      <c r="E818" s="13">
        <v>198.0</v>
      </c>
    </row>
    <row r="819">
      <c r="A819" s="13">
        <v>3171691.0</v>
      </c>
      <c r="B819" s="4">
        <v>155.0</v>
      </c>
      <c r="C819" s="13">
        <v>3.0</v>
      </c>
      <c r="D819" s="13">
        <v>20.0</v>
      </c>
      <c r="E819" s="13">
        <v>75.0</v>
      </c>
    </row>
    <row r="820">
      <c r="A820" s="13">
        <v>3174063.0</v>
      </c>
      <c r="B820" s="4">
        <v>157.0</v>
      </c>
      <c r="C820" s="13">
        <v>350.0</v>
      </c>
      <c r="D820" s="13">
        <v>96.0</v>
      </c>
      <c r="E820" s="13">
        <v>1268.0</v>
      </c>
    </row>
    <row r="821">
      <c r="A821" s="13">
        <v>3171790.0</v>
      </c>
      <c r="B821" s="4">
        <v>155.0</v>
      </c>
      <c r="C821" s="13">
        <v>100.0</v>
      </c>
      <c r="D821" s="13">
        <v>26.0</v>
      </c>
      <c r="E821" s="13">
        <v>262.0</v>
      </c>
    </row>
    <row r="822">
      <c r="A822" s="13">
        <v>3172061.0</v>
      </c>
      <c r="B822" s="4">
        <v>154.0</v>
      </c>
      <c r="C822" s="13">
        <v>203.0</v>
      </c>
      <c r="D822" s="13">
        <v>122.0</v>
      </c>
      <c r="E822" s="13">
        <v>725.0</v>
      </c>
    </row>
    <row r="823">
      <c r="A823" s="13">
        <v>3172137.0</v>
      </c>
      <c r="B823" s="4">
        <v>154.0</v>
      </c>
      <c r="C823" s="13">
        <v>40.0</v>
      </c>
      <c r="D823" s="13">
        <v>26.0</v>
      </c>
      <c r="E823" s="13">
        <v>49.0</v>
      </c>
    </row>
    <row r="824">
      <c r="A824" s="13">
        <v>3174522.0</v>
      </c>
      <c r="B824" s="4">
        <v>157.0</v>
      </c>
      <c r="C824" s="13">
        <v>200.0</v>
      </c>
      <c r="D824" s="13">
        <v>94.0</v>
      </c>
      <c r="E824" s="13">
        <v>245.0</v>
      </c>
    </row>
    <row r="825">
      <c r="A825" s="13">
        <v>3172769.0</v>
      </c>
      <c r="B825" s="4">
        <v>154.0</v>
      </c>
      <c r="C825" s="13">
        <v>95.0</v>
      </c>
      <c r="D825" s="13">
        <v>25.0</v>
      </c>
      <c r="E825" s="13">
        <v>31.0</v>
      </c>
    </row>
    <row r="826">
      <c r="A826" s="13">
        <v>3175304.0</v>
      </c>
      <c r="B826" s="4">
        <v>158.0</v>
      </c>
      <c r="C826" s="13">
        <v>104.0</v>
      </c>
      <c r="D826" s="13">
        <v>114.0</v>
      </c>
      <c r="E826" s="13">
        <v>241.0</v>
      </c>
    </row>
    <row r="827">
      <c r="A827" s="13">
        <v>3172724.0</v>
      </c>
      <c r="B827" s="4">
        <v>154.0</v>
      </c>
      <c r="C827" s="13">
        <v>230.0</v>
      </c>
      <c r="D827" s="13">
        <v>82.0</v>
      </c>
      <c r="E827" s="13">
        <v>810.0</v>
      </c>
    </row>
    <row r="828">
      <c r="A828" s="13">
        <v>3171045.0</v>
      </c>
      <c r="B828" s="4">
        <v>155.0</v>
      </c>
      <c r="C828" s="13">
        <v>132.0</v>
      </c>
      <c r="D828" s="13">
        <v>97.0</v>
      </c>
      <c r="E828" s="13">
        <v>520.0</v>
      </c>
    </row>
    <row r="829">
      <c r="A829" s="13">
        <v>3171783.0</v>
      </c>
      <c r="B829" s="4">
        <v>155.0</v>
      </c>
      <c r="C829" s="13">
        <v>72.0</v>
      </c>
      <c r="D829" s="13">
        <v>42.0</v>
      </c>
      <c r="E829" s="13">
        <v>445.0</v>
      </c>
    </row>
    <row r="830">
      <c r="A830" s="13">
        <v>3174519.0</v>
      </c>
      <c r="B830" s="4">
        <v>157.0</v>
      </c>
      <c r="C830" s="13">
        <v>92.0</v>
      </c>
      <c r="D830" s="13">
        <v>75.0</v>
      </c>
      <c r="E830" s="13">
        <v>465.0</v>
      </c>
    </row>
    <row r="831">
      <c r="A831" s="13">
        <v>3173699.0</v>
      </c>
      <c r="B831" s="4">
        <v>156.0</v>
      </c>
      <c r="C831" s="13">
        <v>50.0</v>
      </c>
      <c r="D831" s="13">
        <v>26.0</v>
      </c>
      <c r="E831" s="13">
        <v>153.0</v>
      </c>
    </row>
    <row r="832">
      <c r="A832" s="13">
        <v>3173656.0</v>
      </c>
      <c r="B832" s="4">
        <v>156.0</v>
      </c>
      <c r="C832" s="13">
        <v>139.0</v>
      </c>
      <c r="D832" s="13">
        <v>74.0</v>
      </c>
      <c r="E832" s="13">
        <v>723.0</v>
      </c>
    </row>
    <row r="833">
      <c r="A833" s="13">
        <v>3174509.0</v>
      </c>
      <c r="B833" s="4">
        <v>158.0</v>
      </c>
      <c r="C833" s="13">
        <v>41.0</v>
      </c>
      <c r="D833" s="13">
        <v>14.0</v>
      </c>
      <c r="E833" s="13">
        <v>129.0</v>
      </c>
    </row>
    <row r="834">
      <c r="A834" s="13">
        <v>3174497.0</v>
      </c>
      <c r="B834" s="4">
        <v>157.0</v>
      </c>
      <c r="C834" s="13">
        <v>34.0</v>
      </c>
      <c r="D834" s="13">
        <v>19.0</v>
      </c>
      <c r="E834" s="13">
        <v>36.0</v>
      </c>
    </row>
    <row r="835">
      <c r="A835" s="13">
        <v>3174531.0</v>
      </c>
      <c r="B835" s="4">
        <v>157.0</v>
      </c>
      <c r="C835" s="13">
        <v>108.0</v>
      </c>
      <c r="D835" s="13">
        <v>32.0</v>
      </c>
      <c r="E835" s="13">
        <v>182.0</v>
      </c>
    </row>
    <row r="836">
      <c r="A836" s="13">
        <v>3172505.0</v>
      </c>
      <c r="B836" s="4">
        <v>154.0</v>
      </c>
      <c r="C836" s="13">
        <v>202.0</v>
      </c>
      <c r="D836" s="13">
        <v>115.0</v>
      </c>
      <c r="E836" s="13">
        <v>446.0</v>
      </c>
    </row>
    <row r="837">
      <c r="A837" s="13">
        <v>3171806.0</v>
      </c>
      <c r="B837" s="4">
        <v>155.0</v>
      </c>
      <c r="C837" s="13">
        <v>103.0</v>
      </c>
      <c r="D837" s="13">
        <v>128.0</v>
      </c>
      <c r="E837" s="13">
        <v>312.0</v>
      </c>
    </row>
    <row r="838">
      <c r="A838" s="13">
        <v>3171912.0</v>
      </c>
      <c r="B838" s="4">
        <v>155.0</v>
      </c>
      <c r="C838" s="13">
        <v>31.0</v>
      </c>
      <c r="D838" s="13">
        <v>33.0</v>
      </c>
      <c r="E838" s="13">
        <v>182.0</v>
      </c>
    </row>
    <row r="839">
      <c r="A839" s="13">
        <v>3175396.0</v>
      </c>
      <c r="B839" s="4">
        <v>158.0</v>
      </c>
      <c r="C839" s="13">
        <v>54.0</v>
      </c>
      <c r="D839" s="13">
        <v>30.0</v>
      </c>
      <c r="E839" s="13">
        <v>153.0</v>
      </c>
    </row>
    <row r="840">
      <c r="A840" s="13">
        <v>3173073.0</v>
      </c>
      <c r="B840" s="4">
        <v>156.0</v>
      </c>
      <c r="C840" s="13">
        <v>367.0</v>
      </c>
      <c r="D840" s="13">
        <v>114.0</v>
      </c>
      <c r="E840" s="13">
        <v>1054.0</v>
      </c>
    </row>
    <row r="841">
      <c r="A841" s="13">
        <v>3171413.0</v>
      </c>
      <c r="B841" s="4">
        <v>155.0</v>
      </c>
      <c r="C841" s="13">
        <v>37.0</v>
      </c>
      <c r="D841" s="13">
        <v>31.0</v>
      </c>
      <c r="E841" s="13">
        <v>42.0</v>
      </c>
    </row>
    <row r="842">
      <c r="A842" s="13">
        <v>3172756.0</v>
      </c>
      <c r="B842" s="4">
        <v>154.0</v>
      </c>
      <c r="C842" s="13">
        <v>20.0</v>
      </c>
      <c r="D842" s="13">
        <v>27.0</v>
      </c>
      <c r="E842" s="13">
        <v>56.0</v>
      </c>
    </row>
    <row r="843">
      <c r="A843" s="13">
        <v>3173532.0</v>
      </c>
      <c r="B843" s="4">
        <v>156.0</v>
      </c>
      <c r="C843" s="13">
        <v>25.0</v>
      </c>
      <c r="D843" s="13">
        <v>30.0</v>
      </c>
      <c r="E843" s="13">
        <v>181.0</v>
      </c>
    </row>
    <row r="844">
      <c r="A844" s="13">
        <v>3175075.0</v>
      </c>
      <c r="B844" s="4">
        <v>158.0</v>
      </c>
      <c r="C844" s="13">
        <v>116.0</v>
      </c>
      <c r="D844" s="13">
        <v>52.0</v>
      </c>
      <c r="E844" s="13">
        <v>142.0</v>
      </c>
    </row>
    <row r="845">
      <c r="A845" s="13">
        <v>3172766.0</v>
      </c>
      <c r="B845" s="4">
        <v>154.0</v>
      </c>
      <c r="C845" s="13">
        <v>50.0</v>
      </c>
      <c r="D845" s="13">
        <v>26.0</v>
      </c>
      <c r="E845" s="13">
        <v>130.0</v>
      </c>
    </row>
    <row r="846">
      <c r="A846" s="13">
        <v>3171713.0</v>
      </c>
      <c r="B846" s="4">
        <v>155.0</v>
      </c>
      <c r="C846" s="13">
        <v>111.0</v>
      </c>
      <c r="D846" s="13">
        <v>23.0</v>
      </c>
      <c r="E846" s="13">
        <v>243.0</v>
      </c>
    </row>
    <row r="847">
      <c r="A847" s="13">
        <v>3175409.0</v>
      </c>
      <c r="B847" s="4">
        <v>158.0</v>
      </c>
      <c r="C847" s="13">
        <v>66.0</v>
      </c>
      <c r="D847" s="13">
        <v>21.0</v>
      </c>
      <c r="E847" s="13">
        <v>179.0</v>
      </c>
    </row>
    <row r="848">
      <c r="A848" s="13">
        <v>3174282.0</v>
      </c>
      <c r="B848" s="4">
        <v>157.0</v>
      </c>
      <c r="C848" s="13">
        <v>403.0</v>
      </c>
      <c r="D848" s="13">
        <v>52.0</v>
      </c>
      <c r="E848" s="13">
        <v>2458.0</v>
      </c>
    </row>
    <row r="849">
      <c r="A849" s="13">
        <v>3172083.0</v>
      </c>
      <c r="B849" s="4">
        <v>154.0</v>
      </c>
      <c r="C849" s="13">
        <v>100.0</v>
      </c>
      <c r="D849" s="13">
        <v>27.0</v>
      </c>
      <c r="E849" s="13">
        <v>88.0</v>
      </c>
    </row>
    <row r="850">
      <c r="A850" s="13">
        <v>3172749.0</v>
      </c>
      <c r="B850" s="4">
        <v>154.0</v>
      </c>
      <c r="C850" s="13">
        <v>287.0</v>
      </c>
      <c r="D850" s="13">
        <v>61.0</v>
      </c>
      <c r="E850" s="13">
        <v>1673.0</v>
      </c>
    </row>
    <row r="851">
      <c r="A851" s="13">
        <v>3175326.0</v>
      </c>
      <c r="B851" s="4">
        <v>158.0</v>
      </c>
      <c r="C851" s="13">
        <v>188.0</v>
      </c>
      <c r="D851" s="13">
        <v>66.0</v>
      </c>
      <c r="E851" s="13">
        <v>669.0</v>
      </c>
    </row>
    <row r="852">
      <c r="A852" s="13">
        <v>3171791.0</v>
      </c>
      <c r="B852" s="4">
        <v>155.0</v>
      </c>
      <c r="C852" s="13">
        <v>100.0</v>
      </c>
      <c r="D852" s="13">
        <v>37.0</v>
      </c>
      <c r="E852" s="13">
        <v>192.0</v>
      </c>
    </row>
    <row r="853">
      <c r="A853" s="13">
        <v>3172746.0</v>
      </c>
      <c r="B853" s="4">
        <v>154.0</v>
      </c>
      <c r="C853" s="13">
        <v>534.0</v>
      </c>
      <c r="D853" s="13">
        <v>53.0</v>
      </c>
      <c r="E853" s="13">
        <v>422.0</v>
      </c>
    </row>
    <row r="854">
      <c r="A854" s="13">
        <v>3173105.0</v>
      </c>
      <c r="B854" s="4">
        <v>156.0</v>
      </c>
      <c r="C854" s="13">
        <v>109.0</v>
      </c>
      <c r="D854" s="13">
        <v>40.0</v>
      </c>
      <c r="E854" s="13">
        <v>478.0</v>
      </c>
    </row>
    <row r="855">
      <c r="A855" s="13">
        <v>3171621.0</v>
      </c>
      <c r="B855" s="4">
        <v>155.0</v>
      </c>
      <c r="C855" s="13">
        <v>58.0</v>
      </c>
      <c r="D855" s="13">
        <v>35.0</v>
      </c>
      <c r="E855" s="13">
        <v>213.0</v>
      </c>
    </row>
    <row r="856">
      <c r="A856" s="13">
        <v>3172753.0</v>
      </c>
      <c r="B856" s="4">
        <v>154.0</v>
      </c>
      <c r="C856" s="13">
        <v>110.0</v>
      </c>
      <c r="D856" s="13">
        <v>91.0</v>
      </c>
      <c r="E856" s="13">
        <v>349.0</v>
      </c>
    </row>
    <row r="857">
      <c r="A857" s="13">
        <v>3173695.0</v>
      </c>
      <c r="B857" s="4">
        <v>156.0</v>
      </c>
      <c r="C857" s="13">
        <v>34.0</v>
      </c>
      <c r="D857" s="13">
        <v>30.0</v>
      </c>
      <c r="E857" s="13">
        <v>220.0</v>
      </c>
    </row>
    <row r="858">
      <c r="A858" s="13">
        <v>3171781.0</v>
      </c>
      <c r="B858" s="4">
        <v>155.0</v>
      </c>
      <c r="C858" s="13">
        <v>111.0</v>
      </c>
      <c r="D858" s="13">
        <v>33.0</v>
      </c>
      <c r="E858" s="13">
        <v>21.0</v>
      </c>
    </row>
    <row r="859">
      <c r="A859" s="13">
        <v>3175016.0</v>
      </c>
      <c r="B859" s="4">
        <v>158.0</v>
      </c>
      <c r="C859" s="13">
        <v>818.0</v>
      </c>
      <c r="D859" s="13">
        <v>85.0</v>
      </c>
      <c r="E859" s="13">
        <v>1773.0</v>
      </c>
    </row>
    <row r="860">
      <c r="A860" s="13">
        <v>3172752.0</v>
      </c>
      <c r="B860" s="4">
        <v>154.0</v>
      </c>
      <c r="C860" s="13">
        <v>21.0</v>
      </c>
      <c r="D860" s="13">
        <v>42.0</v>
      </c>
      <c r="E860" s="13">
        <v>82.0</v>
      </c>
    </row>
    <row r="861">
      <c r="A861" s="13">
        <v>3172520.0</v>
      </c>
      <c r="B861" s="4">
        <v>154.0</v>
      </c>
      <c r="C861" s="13">
        <v>100.0</v>
      </c>
      <c r="D861" s="13">
        <v>31.0</v>
      </c>
      <c r="E861" s="13">
        <v>125.0</v>
      </c>
    </row>
    <row r="862">
      <c r="A862" s="13">
        <v>3174518.0</v>
      </c>
      <c r="B862" s="4">
        <v>157.0</v>
      </c>
      <c r="C862" s="13">
        <v>116.0</v>
      </c>
      <c r="D862" s="13">
        <v>34.0</v>
      </c>
      <c r="E862" s="13">
        <v>258.0</v>
      </c>
    </row>
    <row r="863">
      <c r="A863" s="13">
        <v>3171435.0</v>
      </c>
      <c r="B863" s="4">
        <v>154.0</v>
      </c>
      <c r="C863" s="13">
        <v>185.0</v>
      </c>
      <c r="D863" s="13">
        <v>25.0</v>
      </c>
      <c r="E863" s="13">
        <v>327.0</v>
      </c>
    </row>
    <row r="864">
      <c r="A864" s="13">
        <v>3173700.0</v>
      </c>
      <c r="B864" s="4">
        <v>156.0</v>
      </c>
      <c r="C864" s="13">
        <v>50.0</v>
      </c>
      <c r="D864" s="13">
        <v>28.0</v>
      </c>
      <c r="E864" s="13">
        <v>179.0</v>
      </c>
    </row>
    <row r="865">
      <c r="A865" s="13">
        <v>3173706.0</v>
      </c>
      <c r="B865" s="4">
        <v>156.0</v>
      </c>
      <c r="C865" s="13">
        <v>145.0</v>
      </c>
      <c r="D865" s="13">
        <v>122.0</v>
      </c>
      <c r="E865" s="13">
        <v>2392.0</v>
      </c>
    </row>
    <row r="866">
      <c r="A866" s="13">
        <v>3173580.0</v>
      </c>
      <c r="B866" s="4">
        <v>156.0</v>
      </c>
      <c r="C866" s="13">
        <v>120.0</v>
      </c>
      <c r="D866" s="13">
        <v>98.0</v>
      </c>
      <c r="E866" s="13">
        <v>323.0</v>
      </c>
    </row>
    <row r="867">
      <c r="A867" s="13">
        <v>3171735.0</v>
      </c>
      <c r="B867" s="4">
        <v>155.0</v>
      </c>
      <c r="C867" s="13">
        <v>51.0</v>
      </c>
      <c r="D867" s="13">
        <v>46.0</v>
      </c>
      <c r="E867" s="13">
        <v>348.0</v>
      </c>
    </row>
    <row r="868">
      <c r="A868" s="13">
        <v>3175410.0</v>
      </c>
      <c r="B868" s="4">
        <v>158.0</v>
      </c>
      <c r="C868" s="13">
        <v>172.0</v>
      </c>
      <c r="D868" s="13">
        <v>48.0</v>
      </c>
      <c r="E868" s="13">
        <v>107.0</v>
      </c>
    </row>
    <row r="869">
      <c r="A869" s="13">
        <v>3174416.0</v>
      </c>
      <c r="B869" s="4">
        <v>157.0</v>
      </c>
      <c r="C869" s="13">
        <v>100.0</v>
      </c>
      <c r="D869" s="13">
        <v>62.0</v>
      </c>
      <c r="E869" s="13">
        <v>54.0</v>
      </c>
    </row>
    <row r="870">
      <c r="A870" s="13">
        <v>3172757.0</v>
      </c>
      <c r="B870" s="4">
        <v>154.0</v>
      </c>
      <c r="C870" s="13">
        <v>222.0</v>
      </c>
      <c r="D870" s="13">
        <v>62.0</v>
      </c>
      <c r="E870" s="13">
        <v>269.0</v>
      </c>
    </row>
    <row r="871">
      <c r="A871" s="13">
        <v>3173705.0</v>
      </c>
      <c r="B871" s="4">
        <v>156.0</v>
      </c>
      <c r="C871" s="13">
        <v>51.0</v>
      </c>
      <c r="D871" s="13">
        <v>27.0</v>
      </c>
      <c r="E871" s="13">
        <v>227.0</v>
      </c>
    </row>
    <row r="872">
      <c r="A872" s="13">
        <v>3172771.0</v>
      </c>
      <c r="B872" s="4">
        <v>154.0</v>
      </c>
      <c r="C872" s="13">
        <v>56.0</v>
      </c>
      <c r="D872" s="13">
        <v>25.0</v>
      </c>
      <c r="E872" s="13">
        <v>237.0</v>
      </c>
    </row>
    <row r="873">
      <c r="A873" s="13">
        <v>3172126.0</v>
      </c>
      <c r="B873" s="4">
        <v>154.0</v>
      </c>
      <c r="C873" s="13">
        <v>295.0</v>
      </c>
      <c r="D873" s="13">
        <v>55.0</v>
      </c>
      <c r="E873" s="13">
        <v>387.0</v>
      </c>
    </row>
    <row r="874">
      <c r="A874" s="13">
        <v>3175417.0</v>
      </c>
      <c r="B874" s="4">
        <v>158.0</v>
      </c>
      <c r="C874" s="13">
        <v>24.0</v>
      </c>
      <c r="D874" s="13">
        <v>18.0</v>
      </c>
      <c r="E874" s="13">
        <v>63.0</v>
      </c>
    </row>
    <row r="875">
      <c r="A875" s="13">
        <v>3175341.0</v>
      </c>
      <c r="B875" s="4">
        <v>158.0</v>
      </c>
      <c r="C875" s="13">
        <v>206.0</v>
      </c>
      <c r="D875" s="13">
        <v>61.0</v>
      </c>
      <c r="E875" s="13">
        <v>719.0</v>
      </c>
    </row>
    <row r="876">
      <c r="A876" s="13">
        <v>3173701.0</v>
      </c>
      <c r="B876" s="4">
        <v>156.0</v>
      </c>
      <c r="C876" s="13">
        <v>50.0</v>
      </c>
      <c r="D876" s="13">
        <v>12.0</v>
      </c>
      <c r="E876" s="13">
        <v>113.0</v>
      </c>
    </row>
    <row r="877">
      <c r="A877" s="13">
        <v>3173025.0</v>
      </c>
      <c r="B877" s="4">
        <v>156.0</v>
      </c>
      <c r="C877" s="13">
        <v>568.0</v>
      </c>
      <c r="D877" s="13">
        <v>58.0</v>
      </c>
      <c r="E877" s="13">
        <v>2933.0</v>
      </c>
    </row>
    <row r="878">
      <c r="A878" s="13">
        <v>3173120.0</v>
      </c>
      <c r="B878" s="4">
        <v>156.0</v>
      </c>
      <c r="C878" s="13">
        <v>61.0</v>
      </c>
      <c r="D878" s="13">
        <v>60.0</v>
      </c>
      <c r="E878" s="13">
        <v>463.0</v>
      </c>
    </row>
    <row r="879">
      <c r="A879" s="13">
        <v>3171911.0</v>
      </c>
      <c r="B879" s="4">
        <v>155.0</v>
      </c>
      <c r="C879" s="13">
        <v>23.0</v>
      </c>
      <c r="D879" s="13">
        <v>29.0</v>
      </c>
      <c r="E879" s="13">
        <v>182.0</v>
      </c>
    </row>
    <row r="880">
      <c r="A880" s="13">
        <v>3171643.0</v>
      </c>
      <c r="B880" s="4">
        <v>155.0</v>
      </c>
      <c r="C880" s="13">
        <v>34.0</v>
      </c>
      <c r="D880" s="13">
        <v>45.0</v>
      </c>
      <c r="E880" s="13">
        <v>206.0</v>
      </c>
    </row>
    <row r="881">
      <c r="A881" s="13">
        <v>3174026.0</v>
      </c>
      <c r="B881" s="4">
        <v>157.0</v>
      </c>
      <c r="C881" s="13">
        <v>600.0</v>
      </c>
      <c r="D881" s="13">
        <v>117.0</v>
      </c>
      <c r="E881" s="13">
        <v>1335.0</v>
      </c>
    </row>
    <row r="882">
      <c r="A882" s="13">
        <v>3172024.0</v>
      </c>
      <c r="B882" s="4">
        <v>154.0</v>
      </c>
      <c r="C882" s="13">
        <v>299.0</v>
      </c>
      <c r="D882" s="13">
        <v>78.0</v>
      </c>
      <c r="E882" s="13">
        <v>315.0</v>
      </c>
    </row>
    <row r="883">
      <c r="A883" s="13">
        <v>3175042.0</v>
      </c>
      <c r="B883" s="4">
        <v>158.0</v>
      </c>
      <c r="C883" s="13">
        <v>184.0</v>
      </c>
      <c r="D883" s="13">
        <v>93.0</v>
      </c>
      <c r="E883" s="13">
        <v>412.0</v>
      </c>
    </row>
    <row r="884">
      <c r="A884" s="13">
        <v>3175412.0</v>
      </c>
      <c r="B884" s="4">
        <v>158.0</v>
      </c>
      <c r="C884" s="13">
        <v>117.0</v>
      </c>
      <c r="D884" s="13">
        <v>40.0</v>
      </c>
      <c r="E884" s="13">
        <v>500.0</v>
      </c>
    </row>
    <row r="885">
      <c r="A885" s="13">
        <v>3172553.0</v>
      </c>
      <c r="B885" s="4">
        <v>154.0</v>
      </c>
      <c r="C885" s="13">
        <v>200.0</v>
      </c>
      <c r="D885" s="13">
        <v>106.0</v>
      </c>
      <c r="E885" s="13">
        <v>107.0</v>
      </c>
    </row>
    <row r="886">
      <c r="A886" s="13">
        <v>3171800.0</v>
      </c>
      <c r="B886" s="4">
        <v>155.0</v>
      </c>
      <c r="C886" s="13">
        <v>70.0</v>
      </c>
      <c r="D886" s="13">
        <v>25.0</v>
      </c>
      <c r="E886" s="13">
        <v>137.0</v>
      </c>
    </row>
    <row r="887">
      <c r="A887" s="13">
        <v>3171012.0</v>
      </c>
      <c r="B887" s="4">
        <v>155.0</v>
      </c>
      <c r="C887" s="13">
        <v>854.0</v>
      </c>
      <c r="D887" s="13">
        <v>87.0</v>
      </c>
      <c r="E887" s="13">
        <v>3736.0</v>
      </c>
    </row>
    <row r="888">
      <c r="A888" s="13">
        <v>3174527.0</v>
      </c>
      <c r="B888" s="4">
        <v>157.0</v>
      </c>
      <c r="C888" s="13">
        <v>14.0</v>
      </c>
      <c r="D888" s="13">
        <v>15.0</v>
      </c>
      <c r="E888" s="13">
        <v>234.0</v>
      </c>
    </row>
    <row r="889">
      <c r="A889" s="13">
        <v>3171461.0</v>
      </c>
      <c r="B889" s="4">
        <v>155.0</v>
      </c>
      <c r="C889" s="13">
        <v>203.0</v>
      </c>
      <c r="D889" s="13">
        <v>66.0</v>
      </c>
      <c r="E889" s="13">
        <v>142.0</v>
      </c>
    </row>
    <row r="890">
      <c r="A890" s="13">
        <v>3174517.0</v>
      </c>
      <c r="B890" s="4">
        <v>157.0</v>
      </c>
      <c r="C890" s="13">
        <v>98.0</v>
      </c>
      <c r="D890" s="13">
        <v>28.0</v>
      </c>
      <c r="E890" s="13">
        <v>147.0</v>
      </c>
    </row>
    <row r="891">
      <c r="A891" s="13">
        <v>3173712.0</v>
      </c>
      <c r="B891" s="4">
        <v>156.0</v>
      </c>
      <c r="C891" s="13">
        <v>211.0</v>
      </c>
      <c r="D891" s="13">
        <v>160.0</v>
      </c>
      <c r="E891" s="13">
        <v>219.0</v>
      </c>
    </row>
    <row r="892">
      <c r="A892" s="13">
        <v>3173623.0</v>
      </c>
      <c r="B892" s="4">
        <v>156.0</v>
      </c>
      <c r="C892" s="13">
        <v>18.0</v>
      </c>
      <c r="D892" s="13">
        <v>33.0</v>
      </c>
      <c r="E892" s="13">
        <v>263.0</v>
      </c>
    </row>
    <row r="893">
      <c r="A893" s="13">
        <v>3172751.0</v>
      </c>
      <c r="B893" s="4">
        <v>154.0</v>
      </c>
      <c r="C893" s="13">
        <v>12.0</v>
      </c>
      <c r="D893" s="13">
        <v>18.0</v>
      </c>
      <c r="E893" s="13">
        <v>85.0</v>
      </c>
    </row>
    <row r="894">
      <c r="A894" s="13">
        <v>3171757.0</v>
      </c>
      <c r="B894" s="4">
        <v>155.0</v>
      </c>
      <c r="C894" s="13">
        <v>27.0</v>
      </c>
      <c r="D894" s="13">
        <v>33.0</v>
      </c>
      <c r="E894" s="13">
        <v>144.0</v>
      </c>
    </row>
    <row r="895">
      <c r="A895" s="13">
        <v>3171805.0</v>
      </c>
      <c r="B895" s="4">
        <v>155.0</v>
      </c>
      <c r="C895" s="13">
        <v>108.0</v>
      </c>
      <c r="D895" s="13">
        <v>59.0</v>
      </c>
      <c r="E895" s="13">
        <v>182.0</v>
      </c>
    </row>
    <row r="896">
      <c r="A896" s="13">
        <v>3174431.0</v>
      </c>
      <c r="B896" s="4">
        <v>157.0</v>
      </c>
      <c r="C896" s="13">
        <v>311.0</v>
      </c>
      <c r="D896" s="13">
        <v>95.0</v>
      </c>
      <c r="E896" s="13">
        <v>800.0</v>
      </c>
    </row>
    <row r="897">
      <c r="A897" s="13">
        <v>3172755.0</v>
      </c>
      <c r="B897" s="4">
        <v>154.0</v>
      </c>
      <c r="C897" s="13">
        <v>81.0</v>
      </c>
      <c r="D897" s="13">
        <v>50.0</v>
      </c>
      <c r="E897" s="13">
        <v>233.0</v>
      </c>
    </row>
    <row r="898">
      <c r="A898" s="13">
        <v>3171803.0</v>
      </c>
      <c r="B898" s="4">
        <v>155.0</v>
      </c>
      <c r="C898" s="13">
        <v>62.0</v>
      </c>
      <c r="D898" s="13">
        <v>29.0</v>
      </c>
      <c r="E898" s="13">
        <v>210.0</v>
      </c>
    </row>
    <row r="899">
      <c r="A899" s="13">
        <v>3172243.0</v>
      </c>
      <c r="B899" s="4">
        <v>154.0</v>
      </c>
      <c r="C899" s="13">
        <v>277.0</v>
      </c>
      <c r="D899" s="13">
        <v>110.0</v>
      </c>
      <c r="E899" s="13">
        <v>745.0</v>
      </c>
    </row>
    <row r="900">
      <c r="A900" s="13">
        <v>3175363.0</v>
      </c>
      <c r="B900" s="4">
        <v>158.0</v>
      </c>
      <c r="C900" s="13">
        <v>59.0</v>
      </c>
      <c r="D900" s="13">
        <v>24.0</v>
      </c>
      <c r="E900" s="13">
        <v>44.0</v>
      </c>
    </row>
    <row r="901">
      <c r="A901" s="13">
        <v>3171793.0</v>
      </c>
      <c r="B901" s="4">
        <v>155.0</v>
      </c>
      <c r="C901" s="13">
        <v>57.0</v>
      </c>
      <c r="D901" s="13">
        <v>38.0</v>
      </c>
      <c r="E901" s="13">
        <v>196.0</v>
      </c>
    </row>
    <row r="902">
      <c r="A902" s="13">
        <v>3171807.0</v>
      </c>
      <c r="B902" s="4">
        <v>155.0</v>
      </c>
      <c r="C902" s="13">
        <v>101.0</v>
      </c>
      <c r="D902" s="13">
        <v>43.0</v>
      </c>
      <c r="E902" s="13">
        <v>182.0</v>
      </c>
    </row>
    <row r="903">
      <c r="A903" s="13">
        <v>3173040.0</v>
      </c>
      <c r="B903" s="4">
        <v>156.0</v>
      </c>
      <c r="C903" s="13">
        <v>236.0</v>
      </c>
      <c r="D903" s="13">
        <v>125.0</v>
      </c>
      <c r="E903" s="13">
        <v>674.0</v>
      </c>
    </row>
    <row r="904">
      <c r="A904" s="13">
        <v>3173474.0</v>
      </c>
      <c r="B904" s="4">
        <v>156.0</v>
      </c>
      <c r="C904" s="13">
        <v>100.0</v>
      </c>
      <c r="D904" s="13">
        <v>41.0</v>
      </c>
      <c r="E904" s="13">
        <v>268.0</v>
      </c>
    </row>
    <row r="905">
      <c r="A905" s="13">
        <v>3171680.0</v>
      </c>
      <c r="B905" s="4">
        <v>155.0</v>
      </c>
      <c r="C905" s="13">
        <v>38.0</v>
      </c>
      <c r="D905" s="13">
        <v>34.0</v>
      </c>
      <c r="E905" s="13">
        <v>212.0</v>
      </c>
    </row>
    <row r="906">
      <c r="A906" s="13">
        <v>3171795.0</v>
      </c>
      <c r="B906" s="4">
        <v>155.0</v>
      </c>
      <c r="C906" s="13">
        <v>401.0</v>
      </c>
      <c r="D906" s="13">
        <v>94.0</v>
      </c>
      <c r="E906" s="13">
        <v>869.0</v>
      </c>
    </row>
    <row r="907">
      <c r="A907" s="13">
        <v>3174041.0</v>
      </c>
      <c r="B907" s="4">
        <v>157.0</v>
      </c>
      <c r="C907" s="13">
        <v>3.0</v>
      </c>
      <c r="D907" s="13">
        <v>26.0</v>
      </c>
      <c r="E907" s="13">
        <v>398.0</v>
      </c>
    </row>
    <row r="908">
      <c r="A908" s="13">
        <v>3172050.0</v>
      </c>
      <c r="B908" s="4">
        <v>154.0</v>
      </c>
      <c r="C908" s="13">
        <v>126.0</v>
      </c>
      <c r="D908" s="13">
        <v>33.0</v>
      </c>
      <c r="E908" s="13">
        <v>198.0</v>
      </c>
    </row>
    <row r="909">
      <c r="A909" s="13">
        <v>3175181.0</v>
      </c>
      <c r="B909" s="4">
        <v>158.0</v>
      </c>
      <c r="C909" s="13">
        <v>105.0</v>
      </c>
      <c r="D909" s="13">
        <v>46.0</v>
      </c>
      <c r="E909" s="13">
        <v>168.0</v>
      </c>
    </row>
    <row r="910">
      <c r="A910" s="13">
        <v>3172702.0</v>
      </c>
      <c r="B910" s="4">
        <v>154.0</v>
      </c>
      <c r="C910" s="13">
        <v>101.0</v>
      </c>
      <c r="D910" s="13">
        <v>43.0</v>
      </c>
      <c r="E910" s="13">
        <v>72.0</v>
      </c>
    </row>
    <row r="911">
      <c r="A911" s="13">
        <v>3171034.0</v>
      </c>
      <c r="B911" s="4">
        <v>155.0</v>
      </c>
      <c r="C911" s="13">
        <v>198.0</v>
      </c>
      <c r="D911" s="13">
        <v>93.0</v>
      </c>
      <c r="E911" s="13">
        <v>766.0</v>
      </c>
    </row>
    <row r="912">
      <c r="A912" s="13">
        <v>3171515.0</v>
      </c>
      <c r="B912" s="4">
        <v>155.0</v>
      </c>
      <c r="C912" s="13">
        <v>203.0</v>
      </c>
      <c r="D912" s="13">
        <v>122.0</v>
      </c>
      <c r="E912" s="13">
        <v>182.0</v>
      </c>
    </row>
    <row r="913">
      <c r="A913" s="13">
        <v>3173645.0</v>
      </c>
      <c r="B913" s="4">
        <v>156.0</v>
      </c>
      <c r="C913" s="13">
        <v>99.0</v>
      </c>
      <c r="D913" s="13">
        <v>30.0</v>
      </c>
      <c r="E913" s="13">
        <v>164.0</v>
      </c>
    </row>
    <row r="914">
      <c r="A914" s="13">
        <v>3174544.0</v>
      </c>
      <c r="B914" s="4">
        <v>157.0</v>
      </c>
      <c r="C914" s="13">
        <v>26.0</v>
      </c>
      <c r="D914" s="13">
        <v>28.0</v>
      </c>
      <c r="E914" s="13">
        <v>182.0</v>
      </c>
    </row>
    <row r="915">
      <c r="A915" s="13">
        <v>3174486.0</v>
      </c>
      <c r="B915" s="4">
        <v>157.0</v>
      </c>
      <c r="C915" s="13">
        <v>220.0</v>
      </c>
      <c r="D915" s="13">
        <v>111.0</v>
      </c>
      <c r="E915" s="13">
        <v>571.0</v>
      </c>
    </row>
    <row r="916">
      <c r="A916" s="13">
        <v>3172495.0</v>
      </c>
      <c r="B916" s="4">
        <v>154.0</v>
      </c>
      <c r="C916" s="13">
        <v>200.0</v>
      </c>
      <c r="D916" s="13">
        <v>133.0</v>
      </c>
      <c r="E916" s="13">
        <v>533.0</v>
      </c>
    </row>
    <row r="917">
      <c r="A917" s="13">
        <v>3175385.0</v>
      </c>
      <c r="B917" s="4">
        <v>158.0</v>
      </c>
      <c r="C917" s="13">
        <v>151.0</v>
      </c>
      <c r="D917" s="13">
        <v>121.0</v>
      </c>
      <c r="E917" s="13">
        <v>954.0</v>
      </c>
    </row>
    <row r="918">
      <c r="A918" s="13">
        <v>3173062.0</v>
      </c>
      <c r="B918" s="4">
        <v>156.0</v>
      </c>
      <c r="C918" s="13">
        <v>206.0</v>
      </c>
      <c r="D918" s="13">
        <v>79.0</v>
      </c>
      <c r="E918" s="13">
        <v>678.0</v>
      </c>
    </row>
    <row r="919">
      <c r="A919" s="13">
        <v>3173521.0</v>
      </c>
      <c r="B919" s="4">
        <v>156.0</v>
      </c>
      <c r="C919" s="13">
        <v>437.0</v>
      </c>
      <c r="D919" s="13">
        <v>125.0</v>
      </c>
      <c r="E919" s="13">
        <v>1065.0</v>
      </c>
    </row>
    <row r="920">
      <c r="A920" s="13">
        <v>3171702.0</v>
      </c>
      <c r="B920" s="4">
        <v>155.0</v>
      </c>
      <c r="C920" s="13">
        <v>128.0</v>
      </c>
      <c r="D920" s="13">
        <v>71.0</v>
      </c>
      <c r="E920" s="13">
        <v>355.0</v>
      </c>
    </row>
    <row r="921">
      <c r="A921" s="13">
        <v>3171796.0</v>
      </c>
      <c r="B921" s="4">
        <v>155.0</v>
      </c>
      <c r="C921" s="13">
        <v>50.0</v>
      </c>
      <c r="D921" s="13">
        <v>23.0</v>
      </c>
      <c r="E921" s="13">
        <v>131.0</v>
      </c>
    </row>
    <row r="922">
      <c r="A922" s="13">
        <v>3174260.0</v>
      </c>
      <c r="B922" s="4">
        <v>157.0</v>
      </c>
      <c r="C922" s="13">
        <v>258.0</v>
      </c>
      <c r="D922" s="13">
        <v>52.0</v>
      </c>
      <c r="E922" s="13">
        <v>1418.0</v>
      </c>
    </row>
    <row r="923">
      <c r="A923" s="13">
        <v>3174523.0</v>
      </c>
      <c r="B923" s="4">
        <v>154.0</v>
      </c>
      <c r="C923" s="13">
        <v>50.0</v>
      </c>
      <c r="D923" s="13">
        <v>26.0</v>
      </c>
      <c r="E923" s="13">
        <v>195.0</v>
      </c>
    </row>
    <row r="924">
      <c r="A924" s="13">
        <v>3173707.0</v>
      </c>
      <c r="B924" s="4">
        <v>156.0</v>
      </c>
      <c r="C924" s="13">
        <v>12.0</v>
      </c>
      <c r="D924" s="13">
        <v>19.0</v>
      </c>
      <c r="E924" s="13">
        <v>74.0</v>
      </c>
    </row>
    <row r="925">
      <c r="A925" s="13">
        <v>3172072.0</v>
      </c>
      <c r="B925" s="4">
        <v>154.0</v>
      </c>
      <c r="C925" s="13">
        <v>766.0</v>
      </c>
      <c r="D925" s="13">
        <v>132.0</v>
      </c>
      <c r="E925" s="13">
        <v>2696.0</v>
      </c>
    </row>
    <row r="926">
      <c r="A926" s="13">
        <v>3174074.0</v>
      </c>
      <c r="B926" s="4">
        <v>157.0</v>
      </c>
      <c r="C926" s="13">
        <v>410.0</v>
      </c>
      <c r="D926" s="13">
        <v>110.0</v>
      </c>
      <c r="E926" s="13">
        <v>1086.0</v>
      </c>
    </row>
    <row r="927">
      <c r="A927" s="13">
        <v>3175315.0</v>
      </c>
      <c r="B927" s="4">
        <v>158.0</v>
      </c>
      <c r="C927" s="13">
        <v>138.0</v>
      </c>
      <c r="D927" s="13">
        <v>47.0</v>
      </c>
      <c r="E927" s="13">
        <v>102.0</v>
      </c>
    </row>
    <row r="928">
      <c r="A928" s="13">
        <v>3172735.0</v>
      </c>
      <c r="B928" s="4">
        <v>154.0</v>
      </c>
      <c r="C928" s="13">
        <v>37.0</v>
      </c>
      <c r="D928" s="13">
        <v>19.0</v>
      </c>
      <c r="E928" s="13">
        <v>11.0</v>
      </c>
    </row>
    <row r="929">
      <c r="A929" s="13">
        <v>3171060.0</v>
      </c>
      <c r="B929" s="4">
        <v>155.0</v>
      </c>
      <c r="C929" s="13">
        <v>30.0</v>
      </c>
      <c r="D929" s="13">
        <v>13.0</v>
      </c>
      <c r="E929" s="13">
        <v>90.0</v>
      </c>
    </row>
    <row r="930">
      <c r="A930" s="13">
        <v>3215067.0</v>
      </c>
      <c r="B930" s="4">
        <v>160.0</v>
      </c>
      <c r="C930" s="13">
        <v>115.0</v>
      </c>
      <c r="D930" s="13">
        <v>52.0</v>
      </c>
      <c r="E930" s="13">
        <v>460.0</v>
      </c>
    </row>
    <row r="931">
      <c r="A931" s="13">
        <v>3208057.0</v>
      </c>
      <c r="B931" s="4">
        <v>161.0</v>
      </c>
      <c r="C931" s="13">
        <v>61.0</v>
      </c>
      <c r="D931" s="13">
        <v>23.0</v>
      </c>
      <c r="E931" s="13">
        <v>57.0</v>
      </c>
    </row>
    <row r="932">
      <c r="A932" s="13">
        <v>3278018.0</v>
      </c>
      <c r="B932" s="4">
        <v>162.0</v>
      </c>
      <c r="C932" s="13">
        <v>50.0</v>
      </c>
      <c r="D932" s="13">
        <v>27.0</v>
      </c>
      <c r="E932" s="13">
        <v>125.0</v>
      </c>
    </row>
    <row r="933">
      <c r="A933" s="13">
        <v>3216414.0</v>
      </c>
      <c r="B933" s="4">
        <v>163.0</v>
      </c>
      <c r="C933" s="13">
        <v>102.0</v>
      </c>
      <c r="D933" s="13">
        <v>28.0</v>
      </c>
      <c r="E933" s="13">
        <v>164.0</v>
      </c>
    </row>
    <row r="934">
      <c r="A934" s="13">
        <v>3276169.0</v>
      </c>
      <c r="B934" s="4">
        <v>164.0</v>
      </c>
      <c r="C934" s="13">
        <v>96.0</v>
      </c>
      <c r="D934" s="13">
        <v>28.0</v>
      </c>
      <c r="E934" s="13">
        <v>182.0</v>
      </c>
    </row>
    <row r="935">
      <c r="A935" s="13">
        <v>3202014.0</v>
      </c>
      <c r="B935" s="4">
        <v>165.0</v>
      </c>
      <c r="C935" s="13">
        <v>326.0</v>
      </c>
      <c r="D935" s="13">
        <v>120.0</v>
      </c>
      <c r="E935" s="13">
        <v>466.0</v>
      </c>
    </row>
    <row r="936">
      <c r="A936" s="13">
        <v>3273420.0</v>
      </c>
      <c r="B936" s="4">
        <v>166.0</v>
      </c>
      <c r="C936" s="13">
        <v>275.0</v>
      </c>
      <c r="D936" s="13">
        <v>139.0</v>
      </c>
      <c r="E936" s="13">
        <v>975.0</v>
      </c>
    </row>
    <row r="937">
      <c r="A937" s="13">
        <v>3204154.0</v>
      </c>
      <c r="B937" s="4">
        <v>167.0</v>
      </c>
      <c r="C937" s="13">
        <v>52.0</v>
      </c>
      <c r="D937" s="13">
        <v>25.0</v>
      </c>
      <c r="E937" s="13">
        <v>136.0</v>
      </c>
    </row>
    <row r="938">
      <c r="A938" s="13">
        <v>3203038.0</v>
      </c>
      <c r="B938" s="4">
        <v>168.0</v>
      </c>
      <c r="C938" s="13">
        <v>202.0</v>
      </c>
      <c r="D938" s="13">
        <v>28.0</v>
      </c>
      <c r="E938" s="13">
        <v>370.0</v>
      </c>
    </row>
    <row r="939">
      <c r="A939" s="13">
        <v>3201247.0</v>
      </c>
      <c r="B939" s="4">
        <v>169.0</v>
      </c>
      <c r="C939" s="13">
        <v>200.0</v>
      </c>
      <c r="D939" s="13">
        <v>83.0</v>
      </c>
      <c r="E939" s="13">
        <v>382.0</v>
      </c>
    </row>
    <row r="940">
      <c r="A940" s="13">
        <v>3216126.0</v>
      </c>
      <c r="B940" s="4">
        <v>163.0</v>
      </c>
      <c r="C940" s="13">
        <v>189.0</v>
      </c>
      <c r="D940" s="13">
        <v>80.0</v>
      </c>
      <c r="E940" s="13">
        <v>526.0</v>
      </c>
    </row>
    <row r="941">
      <c r="A941" s="13">
        <v>3215182.0</v>
      </c>
      <c r="B941" s="4">
        <v>160.0</v>
      </c>
      <c r="C941" s="13">
        <v>175.0</v>
      </c>
      <c r="D941" s="13">
        <v>28.0</v>
      </c>
      <c r="E941" s="13">
        <v>182.0</v>
      </c>
    </row>
    <row r="942">
      <c r="A942" s="13">
        <v>3204101.0</v>
      </c>
      <c r="B942" s="4">
        <v>167.0</v>
      </c>
      <c r="C942" s="13">
        <v>136.0</v>
      </c>
      <c r="D942" s="13">
        <v>32.0</v>
      </c>
      <c r="E942" s="13">
        <v>332.0</v>
      </c>
    </row>
    <row r="943">
      <c r="A943" s="13">
        <v>3209053.0</v>
      </c>
      <c r="B943" s="4">
        <v>170.0</v>
      </c>
      <c r="C943" s="13">
        <v>117.0</v>
      </c>
      <c r="D943" s="13">
        <v>28.0</v>
      </c>
      <c r="E943" s="13">
        <v>260.0</v>
      </c>
    </row>
    <row r="944">
      <c r="A944" s="13">
        <v>3215162.0</v>
      </c>
      <c r="B944" s="4">
        <v>160.0</v>
      </c>
      <c r="C944" s="13">
        <v>100.0</v>
      </c>
      <c r="D944" s="13">
        <v>21.0</v>
      </c>
      <c r="E944" s="13">
        <v>140.0</v>
      </c>
    </row>
    <row r="945">
      <c r="A945" s="13">
        <v>3208060.0</v>
      </c>
      <c r="B945" s="4">
        <v>161.0</v>
      </c>
      <c r="C945" s="13">
        <v>145.0</v>
      </c>
      <c r="D945" s="13">
        <v>20.0</v>
      </c>
      <c r="E945" s="13">
        <v>133.0</v>
      </c>
    </row>
    <row r="946">
      <c r="A946" s="13">
        <v>3215169.0</v>
      </c>
      <c r="B946" s="4">
        <v>160.0</v>
      </c>
      <c r="C946" s="13">
        <v>129.0</v>
      </c>
      <c r="D946" s="13">
        <v>32.0</v>
      </c>
      <c r="E946" s="13">
        <v>46.0</v>
      </c>
    </row>
    <row r="947">
      <c r="A947" s="13">
        <v>3216318.0</v>
      </c>
      <c r="B947" s="4">
        <v>163.0</v>
      </c>
      <c r="C947" s="13">
        <v>250.0</v>
      </c>
      <c r="D947" s="13">
        <v>102.0</v>
      </c>
      <c r="E947" s="13">
        <v>592.0</v>
      </c>
    </row>
    <row r="948">
      <c r="A948" s="13">
        <v>3209040.0</v>
      </c>
      <c r="B948" s="4">
        <v>170.0</v>
      </c>
      <c r="C948" s="13">
        <v>254.0</v>
      </c>
      <c r="D948" s="13">
        <v>112.0</v>
      </c>
      <c r="E948" s="13">
        <v>766.0</v>
      </c>
    </row>
    <row r="949">
      <c r="A949" s="13">
        <v>3275141.0</v>
      </c>
      <c r="B949" s="4">
        <v>171.0</v>
      </c>
      <c r="C949" s="13">
        <v>131.0</v>
      </c>
      <c r="D949" s="13">
        <v>42.0</v>
      </c>
      <c r="E949" s="13">
        <v>265.0</v>
      </c>
    </row>
    <row r="950">
      <c r="A950" s="13">
        <v>3273030.0</v>
      </c>
      <c r="B950" s="4">
        <v>166.0</v>
      </c>
      <c r="C950" s="13">
        <v>200.0</v>
      </c>
      <c r="D950" s="13">
        <v>104.0</v>
      </c>
      <c r="E950" s="13">
        <v>212.0</v>
      </c>
    </row>
    <row r="951">
      <c r="A951" s="13">
        <v>3274064.0</v>
      </c>
      <c r="B951" s="4">
        <v>172.0</v>
      </c>
      <c r="C951" s="13">
        <v>113.0</v>
      </c>
      <c r="D951" s="13">
        <v>34.0</v>
      </c>
      <c r="E951" s="13">
        <v>160.0</v>
      </c>
    </row>
    <row r="952">
      <c r="A952" s="13">
        <v>3213061.0</v>
      </c>
      <c r="B952" s="4">
        <v>173.0</v>
      </c>
      <c r="C952" s="13">
        <v>103.0</v>
      </c>
      <c r="D952" s="13">
        <v>23.0</v>
      </c>
      <c r="E952" s="13">
        <v>182.0</v>
      </c>
    </row>
    <row r="953">
      <c r="A953" s="13">
        <v>3201130.0</v>
      </c>
      <c r="B953" s="4">
        <v>169.0</v>
      </c>
      <c r="C953" s="13">
        <v>57.0</v>
      </c>
      <c r="D953" s="13">
        <v>20.0</v>
      </c>
      <c r="E953" s="13">
        <v>165.0</v>
      </c>
    </row>
    <row r="954">
      <c r="A954" s="13">
        <v>3273121.0</v>
      </c>
      <c r="B954" s="4">
        <v>166.0</v>
      </c>
      <c r="C954" s="13">
        <v>102.0</v>
      </c>
      <c r="D954" s="13">
        <v>30.0</v>
      </c>
      <c r="E954" s="13">
        <v>405.0</v>
      </c>
    </row>
    <row r="955">
      <c r="A955" s="13">
        <v>3216397.0</v>
      </c>
      <c r="B955" s="4">
        <v>163.0</v>
      </c>
      <c r="C955" s="13">
        <v>55.0</v>
      </c>
      <c r="D955" s="13">
        <v>20.0</v>
      </c>
      <c r="E955" s="13">
        <v>134.0</v>
      </c>
    </row>
    <row r="956">
      <c r="A956" s="13">
        <v>3275024.0</v>
      </c>
      <c r="B956" s="4">
        <v>171.0</v>
      </c>
      <c r="C956" s="13">
        <v>106.0</v>
      </c>
      <c r="D956" s="13">
        <v>42.0</v>
      </c>
      <c r="E956" s="13">
        <v>106.0</v>
      </c>
    </row>
    <row r="957">
      <c r="A957" s="13">
        <v>3201083.0</v>
      </c>
      <c r="B957" s="4">
        <v>169.0</v>
      </c>
      <c r="C957" s="13">
        <v>380.0</v>
      </c>
      <c r="D957" s="13">
        <v>69.0</v>
      </c>
      <c r="E957" s="13">
        <v>733.0</v>
      </c>
    </row>
    <row r="958">
      <c r="A958" s="13">
        <v>3276151.0</v>
      </c>
      <c r="B958" s="4">
        <v>164.0</v>
      </c>
      <c r="C958" s="13">
        <v>130.0</v>
      </c>
      <c r="D958" s="13">
        <v>102.0</v>
      </c>
      <c r="E958" s="13">
        <v>385.0</v>
      </c>
    </row>
    <row r="959">
      <c r="A959" s="13">
        <v>3275065.0</v>
      </c>
      <c r="B959" s="4">
        <v>171.0</v>
      </c>
      <c r="C959" s="13">
        <v>107.0</v>
      </c>
      <c r="D959" s="13">
        <v>54.0</v>
      </c>
      <c r="E959" s="13">
        <v>261.0</v>
      </c>
    </row>
    <row r="960">
      <c r="A960" s="13">
        <v>3217042.0</v>
      </c>
      <c r="B960" s="4">
        <v>174.0</v>
      </c>
      <c r="C960" s="13">
        <v>284.0</v>
      </c>
      <c r="D960" s="13">
        <v>34.0</v>
      </c>
      <c r="E960" s="13">
        <v>439.0</v>
      </c>
    </row>
    <row r="961">
      <c r="A961" s="13">
        <v>3274016.0</v>
      </c>
      <c r="B961" s="4">
        <v>172.0</v>
      </c>
      <c r="C961" s="13">
        <v>418.0</v>
      </c>
      <c r="D961" s="13">
        <v>114.0</v>
      </c>
      <c r="E961" s="13">
        <v>1232.0</v>
      </c>
    </row>
    <row r="962">
      <c r="A962" s="13">
        <v>3279002.0</v>
      </c>
      <c r="B962" s="4">
        <v>175.0</v>
      </c>
      <c r="C962" s="13">
        <v>90.0</v>
      </c>
      <c r="D962" s="13">
        <v>38.0</v>
      </c>
      <c r="E962" s="13">
        <v>172.0</v>
      </c>
    </row>
    <row r="963">
      <c r="A963" s="13">
        <v>3202086.0</v>
      </c>
      <c r="B963" s="4">
        <v>165.0</v>
      </c>
      <c r="C963" s="13">
        <v>164.0</v>
      </c>
      <c r="D963" s="13">
        <v>54.0</v>
      </c>
      <c r="E963" s="13">
        <v>218.0</v>
      </c>
    </row>
    <row r="964">
      <c r="A964" s="13">
        <v>3204170.0</v>
      </c>
      <c r="B964" s="4">
        <v>167.0</v>
      </c>
      <c r="C964" s="13">
        <v>57.0</v>
      </c>
      <c r="D964" s="13">
        <v>20.0</v>
      </c>
      <c r="E964" s="13">
        <v>182.0</v>
      </c>
    </row>
    <row r="965">
      <c r="A965" s="13">
        <v>3203052.0</v>
      </c>
      <c r="B965" s="4">
        <v>168.0</v>
      </c>
      <c r="C965" s="13">
        <v>56.0</v>
      </c>
      <c r="D965" s="13">
        <v>10.0</v>
      </c>
      <c r="E965" s="13">
        <v>182.0</v>
      </c>
    </row>
    <row r="966">
      <c r="A966" s="13">
        <v>3275229.0</v>
      </c>
      <c r="B966" s="4">
        <v>171.0</v>
      </c>
      <c r="C966" s="13">
        <v>107.0</v>
      </c>
      <c r="D966" s="13">
        <v>36.0</v>
      </c>
      <c r="E966" s="13">
        <v>130.0</v>
      </c>
    </row>
    <row r="967">
      <c r="A967" s="13">
        <v>3275067.0</v>
      </c>
      <c r="B967" s="4">
        <v>171.0</v>
      </c>
      <c r="C967" s="13">
        <v>72.0</v>
      </c>
      <c r="D967" s="13">
        <v>29.0</v>
      </c>
      <c r="E967" s="13">
        <v>26.0</v>
      </c>
    </row>
    <row r="968">
      <c r="A968" s="13">
        <v>3207045.0</v>
      </c>
      <c r="B968" s="4">
        <v>176.0</v>
      </c>
      <c r="C968" s="13">
        <v>78.0</v>
      </c>
      <c r="D968" s="13">
        <v>26.0</v>
      </c>
      <c r="E968" s="13">
        <v>30.0</v>
      </c>
    </row>
    <row r="969">
      <c r="A969" s="13">
        <v>3207056.0</v>
      </c>
      <c r="B969" s="4">
        <v>176.0</v>
      </c>
      <c r="C969" s="13">
        <v>92.0</v>
      </c>
      <c r="D969" s="13">
        <v>17.0</v>
      </c>
      <c r="E969" s="13">
        <v>80.0</v>
      </c>
    </row>
    <row r="970">
      <c r="A970" s="13">
        <v>3276147.0</v>
      </c>
      <c r="B970" s="4">
        <v>164.0</v>
      </c>
      <c r="C970" s="13">
        <v>30.0</v>
      </c>
      <c r="D970" s="13">
        <v>24.0</v>
      </c>
      <c r="E970" s="13">
        <v>28.0</v>
      </c>
    </row>
    <row r="971">
      <c r="A971" s="13">
        <v>3209052.0</v>
      </c>
      <c r="B971" s="4">
        <v>170.0</v>
      </c>
      <c r="C971" s="13">
        <v>113.0</v>
      </c>
      <c r="D971" s="13">
        <v>22.0</v>
      </c>
      <c r="E971" s="13">
        <v>188.0</v>
      </c>
    </row>
    <row r="972">
      <c r="A972" s="13">
        <v>3201242.0</v>
      </c>
      <c r="B972" s="4">
        <v>169.0</v>
      </c>
      <c r="C972" s="13">
        <v>54.0</v>
      </c>
      <c r="D972" s="13">
        <v>23.0</v>
      </c>
      <c r="E972" s="13">
        <v>160.0</v>
      </c>
    </row>
    <row r="973">
      <c r="A973" s="13">
        <v>3201246.0</v>
      </c>
      <c r="B973" s="4">
        <v>177.0</v>
      </c>
      <c r="C973" s="13">
        <v>34.0</v>
      </c>
      <c r="D973" s="13">
        <v>20.0</v>
      </c>
      <c r="E973" s="13">
        <v>52.0</v>
      </c>
    </row>
    <row r="974">
      <c r="A974" s="13">
        <v>3213047.0</v>
      </c>
      <c r="B974" s="4">
        <v>173.0</v>
      </c>
      <c r="C974" s="13">
        <v>55.0</v>
      </c>
      <c r="D974" s="13">
        <v>24.0</v>
      </c>
      <c r="E974" s="13">
        <v>42.0</v>
      </c>
    </row>
    <row r="975">
      <c r="A975" s="13">
        <v>3203053.0</v>
      </c>
      <c r="B975" s="4">
        <v>168.0</v>
      </c>
      <c r="C975" s="13">
        <v>84.0</v>
      </c>
      <c r="D975" s="13">
        <v>34.0</v>
      </c>
      <c r="E975" s="13">
        <v>182.0</v>
      </c>
    </row>
    <row r="976">
      <c r="A976" s="13">
        <v>3271126.0</v>
      </c>
      <c r="B976" s="4">
        <v>177.0</v>
      </c>
      <c r="C976" s="13">
        <v>104.0</v>
      </c>
      <c r="D976" s="13">
        <v>63.0</v>
      </c>
      <c r="E976" s="13">
        <v>503.0</v>
      </c>
    </row>
    <row r="977">
      <c r="A977" s="13">
        <v>3214040.0</v>
      </c>
      <c r="B977" s="4">
        <v>178.0</v>
      </c>
      <c r="C977" s="13">
        <v>75.0</v>
      </c>
      <c r="D977" s="13">
        <v>21.0</v>
      </c>
      <c r="E977" s="13">
        <v>133.0</v>
      </c>
    </row>
    <row r="978">
      <c r="A978" s="13">
        <v>3213010.0</v>
      </c>
      <c r="B978" s="4">
        <v>173.0</v>
      </c>
      <c r="C978" s="13">
        <v>250.0</v>
      </c>
      <c r="D978" s="13">
        <v>101.0</v>
      </c>
      <c r="E978" s="13">
        <v>551.0</v>
      </c>
    </row>
    <row r="979">
      <c r="A979" s="13">
        <v>3275052.0</v>
      </c>
      <c r="B979" s="4">
        <v>171.0</v>
      </c>
      <c r="C979" s="13">
        <v>100.0</v>
      </c>
      <c r="D979" s="13">
        <v>30.0</v>
      </c>
      <c r="E979" s="13">
        <v>110.0</v>
      </c>
    </row>
    <row r="980">
      <c r="A980" s="13">
        <v>3212058.0</v>
      </c>
      <c r="B980" s="4">
        <v>179.0</v>
      </c>
      <c r="C980" s="13">
        <v>33.0</v>
      </c>
      <c r="D980" s="13">
        <v>15.0</v>
      </c>
      <c r="E980" s="13">
        <v>30.0</v>
      </c>
    </row>
    <row r="981">
      <c r="A981" s="13">
        <v>3215089.0</v>
      </c>
      <c r="B981" s="4">
        <v>160.0</v>
      </c>
      <c r="C981" s="13">
        <v>61.0</v>
      </c>
      <c r="D981" s="13">
        <v>21.0</v>
      </c>
      <c r="E981" s="13">
        <v>65.0</v>
      </c>
    </row>
    <row r="982">
      <c r="A982" s="13">
        <v>3216415.0</v>
      </c>
      <c r="B982" s="4">
        <v>163.0</v>
      </c>
      <c r="C982" s="13">
        <v>100.0</v>
      </c>
      <c r="D982" s="13">
        <v>32.0</v>
      </c>
      <c r="E982" s="13">
        <v>130.0</v>
      </c>
    </row>
    <row r="983">
      <c r="A983" s="13">
        <v>3208061.0</v>
      </c>
      <c r="B983" s="4">
        <v>161.0</v>
      </c>
      <c r="C983" s="13">
        <v>75.0</v>
      </c>
      <c r="D983" s="13">
        <v>33.0</v>
      </c>
      <c r="E983" s="13">
        <v>134.0</v>
      </c>
    </row>
    <row r="984">
      <c r="A984" s="13">
        <v>3202051.0</v>
      </c>
      <c r="B984" s="4">
        <v>165.0</v>
      </c>
      <c r="C984" s="13">
        <v>180.0</v>
      </c>
      <c r="D984" s="13">
        <v>31.0</v>
      </c>
      <c r="E984" s="13">
        <v>183.0</v>
      </c>
    </row>
    <row r="985">
      <c r="A985" s="13">
        <v>3273442.0</v>
      </c>
      <c r="B985" s="4">
        <v>167.0</v>
      </c>
      <c r="C985" s="13">
        <v>51.0</v>
      </c>
      <c r="D985" s="13">
        <v>48.0</v>
      </c>
      <c r="E985" s="13">
        <v>236.0</v>
      </c>
    </row>
    <row r="986">
      <c r="A986" s="13">
        <v>3216420.0</v>
      </c>
      <c r="B986" s="4">
        <v>163.0</v>
      </c>
      <c r="C986" s="13">
        <v>116.0</v>
      </c>
      <c r="D986" s="13">
        <v>53.0</v>
      </c>
      <c r="E986" s="13">
        <v>185.0</v>
      </c>
    </row>
    <row r="987">
      <c r="A987" s="13">
        <v>3212071.0</v>
      </c>
      <c r="B987" s="4">
        <v>179.0</v>
      </c>
      <c r="C987" s="13">
        <v>53.0</v>
      </c>
      <c r="D987" s="13">
        <v>19.0</v>
      </c>
      <c r="E987" s="13">
        <v>182.0</v>
      </c>
    </row>
    <row r="988">
      <c r="A988" s="13">
        <v>3216152.0</v>
      </c>
      <c r="B988" s="4">
        <v>163.0</v>
      </c>
      <c r="C988" s="13">
        <v>216.0</v>
      </c>
      <c r="D988" s="13">
        <v>67.0</v>
      </c>
      <c r="E988" s="13">
        <v>400.0</v>
      </c>
    </row>
    <row r="989">
      <c r="A989" s="13">
        <v>3276152.0</v>
      </c>
      <c r="B989" s="4">
        <v>164.0</v>
      </c>
      <c r="C989" s="13">
        <v>101.0</v>
      </c>
      <c r="D989" s="13">
        <v>29.0</v>
      </c>
      <c r="E989" s="13">
        <v>122.0</v>
      </c>
    </row>
    <row r="990">
      <c r="A990" s="13">
        <v>3213049.0</v>
      </c>
      <c r="B990" s="4">
        <v>173.0</v>
      </c>
      <c r="C990" s="13">
        <v>33.0</v>
      </c>
      <c r="D990" s="13">
        <v>11.0</v>
      </c>
      <c r="E990" s="13">
        <v>44.0</v>
      </c>
    </row>
    <row r="991">
      <c r="A991" s="13">
        <v>3216462.0</v>
      </c>
      <c r="B991" s="4">
        <v>163.0</v>
      </c>
      <c r="C991" s="13">
        <v>50.0</v>
      </c>
      <c r="D991" s="13">
        <v>18.0</v>
      </c>
      <c r="E991" s="13">
        <v>182.0</v>
      </c>
    </row>
    <row r="992">
      <c r="A992" s="13">
        <v>3205021.0</v>
      </c>
      <c r="B992" s="4">
        <v>180.0</v>
      </c>
      <c r="C992" s="13">
        <v>164.0</v>
      </c>
      <c r="D992" s="13">
        <v>46.0</v>
      </c>
      <c r="E992" s="13">
        <v>310.0</v>
      </c>
    </row>
    <row r="993">
      <c r="A993" s="13">
        <v>3277021.0</v>
      </c>
      <c r="B993" s="4">
        <v>181.0</v>
      </c>
      <c r="C993" s="13">
        <v>190.0</v>
      </c>
      <c r="D993" s="13">
        <v>75.0</v>
      </c>
      <c r="E993" s="13">
        <v>340.0</v>
      </c>
    </row>
    <row r="994">
      <c r="A994" s="13">
        <v>3209144.0</v>
      </c>
      <c r="B994" s="4">
        <v>170.0</v>
      </c>
      <c r="C994" s="13">
        <v>126.0</v>
      </c>
      <c r="D994" s="13">
        <v>49.0</v>
      </c>
      <c r="E994" s="13">
        <v>182.0</v>
      </c>
    </row>
    <row r="995">
      <c r="A995" s="13">
        <v>3271013.0</v>
      </c>
      <c r="B995" s="4">
        <v>177.0</v>
      </c>
      <c r="C995" s="13">
        <v>336.0</v>
      </c>
      <c r="D995" s="13">
        <v>135.0</v>
      </c>
      <c r="E995" s="13">
        <v>1248.0</v>
      </c>
    </row>
    <row r="996">
      <c r="A996" s="13">
        <v>3276028.0</v>
      </c>
      <c r="B996" s="4">
        <v>164.0</v>
      </c>
      <c r="C996" s="13">
        <v>117.0</v>
      </c>
      <c r="D996" s="13">
        <v>62.0</v>
      </c>
      <c r="E996" s="13">
        <v>251.0</v>
      </c>
    </row>
    <row r="997">
      <c r="A997" s="13">
        <v>3204130.0</v>
      </c>
      <c r="B997" s="4">
        <v>166.0</v>
      </c>
      <c r="C997" s="13">
        <v>16.0</v>
      </c>
      <c r="D997" s="13">
        <v>25.0</v>
      </c>
      <c r="E997" s="13">
        <v>52.0</v>
      </c>
    </row>
    <row r="998">
      <c r="A998" s="13">
        <v>3210014.0</v>
      </c>
      <c r="B998" s="4">
        <v>182.0</v>
      </c>
      <c r="C998" s="13">
        <v>218.0</v>
      </c>
      <c r="D998" s="13">
        <v>53.0</v>
      </c>
      <c r="E998" s="13">
        <v>417.0</v>
      </c>
    </row>
    <row r="999">
      <c r="A999" s="13">
        <v>3216351.0</v>
      </c>
      <c r="B999" s="4">
        <v>163.0</v>
      </c>
      <c r="C999" s="13">
        <v>102.0</v>
      </c>
      <c r="D999" s="13">
        <v>28.0</v>
      </c>
      <c r="E999" s="13">
        <v>148.0</v>
      </c>
    </row>
    <row r="1000">
      <c r="A1000" s="13">
        <v>3201229.0</v>
      </c>
      <c r="B1000" s="4">
        <v>169.0</v>
      </c>
      <c r="C1000" s="13">
        <v>115.0</v>
      </c>
      <c r="D1000" s="13">
        <v>28.0</v>
      </c>
      <c r="E1000" s="13">
        <v>249.0</v>
      </c>
    </row>
    <row r="1001">
      <c r="A1001" s="13">
        <v>3205023.0</v>
      </c>
      <c r="B1001" s="4">
        <v>180.0</v>
      </c>
      <c r="C1001" s="13">
        <v>112.0</v>
      </c>
      <c r="D1001" s="13">
        <v>44.0</v>
      </c>
      <c r="E1001" s="13">
        <v>88.0</v>
      </c>
    </row>
    <row r="1002">
      <c r="A1002" s="13">
        <v>3205026.0</v>
      </c>
      <c r="B1002" s="4">
        <v>180.0</v>
      </c>
      <c r="C1002" s="13">
        <v>99.0</v>
      </c>
      <c r="D1002" s="13">
        <v>35.0</v>
      </c>
      <c r="E1002" s="13">
        <v>246.0</v>
      </c>
    </row>
    <row r="1003">
      <c r="A1003" s="13">
        <v>3204137.0</v>
      </c>
      <c r="B1003" s="4">
        <v>166.0</v>
      </c>
      <c r="C1003" s="13">
        <v>63.0</v>
      </c>
      <c r="D1003" s="13">
        <v>72.0</v>
      </c>
      <c r="E1003" s="13">
        <v>182.0</v>
      </c>
    </row>
    <row r="1004">
      <c r="A1004" s="13">
        <v>3273561.0</v>
      </c>
      <c r="B1004" s="4">
        <v>166.0</v>
      </c>
      <c r="C1004" s="13">
        <v>99.0</v>
      </c>
      <c r="D1004" s="13">
        <v>37.0</v>
      </c>
      <c r="E1004" s="13">
        <v>182.0</v>
      </c>
    </row>
    <row r="1005">
      <c r="A1005" s="13">
        <v>3201035.0</v>
      </c>
      <c r="B1005" s="4">
        <v>164.0</v>
      </c>
      <c r="C1005" s="13">
        <v>118.0</v>
      </c>
      <c r="D1005" s="13">
        <v>52.0</v>
      </c>
      <c r="E1005" s="13">
        <v>514.0</v>
      </c>
    </row>
    <row r="1006">
      <c r="A1006" s="13">
        <v>3273052.0</v>
      </c>
      <c r="B1006" s="4">
        <v>166.0</v>
      </c>
      <c r="C1006" s="13">
        <v>320.0</v>
      </c>
      <c r="D1006" s="13">
        <v>58.0</v>
      </c>
      <c r="E1006" s="13">
        <v>1254.0</v>
      </c>
    </row>
    <row r="1007">
      <c r="A1007" s="13">
        <v>3274100.0</v>
      </c>
      <c r="B1007" s="4">
        <v>172.0</v>
      </c>
      <c r="C1007" s="13">
        <v>51.0</v>
      </c>
      <c r="D1007" s="13">
        <v>38.0</v>
      </c>
      <c r="E1007" s="13">
        <v>46.0</v>
      </c>
    </row>
    <row r="1008">
      <c r="A1008" s="13">
        <v>3214034.0</v>
      </c>
      <c r="B1008" s="4">
        <v>178.0</v>
      </c>
      <c r="C1008" s="13">
        <v>149.0</v>
      </c>
      <c r="D1008" s="13">
        <v>91.0</v>
      </c>
      <c r="E1008" s="13">
        <v>330.0</v>
      </c>
    </row>
    <row r="1009">
      <c r="A1009" s="13">
        <v>3201152.0</v>
      </c>
      <c r="B1009" s="4">
        <v>169.0</v>
      </c>
      <c r="C1009" s="13">
        <v>107.0</v>
      </c>
      <c r="D1009" s="13">
        <v>37.0</v>
      </c>
      <c r="E1009" s="13">
        <v>165.0</v>
      </c>
    </row>
    <row r="1010">
      <c r="A1010" s="13">
        <v>3273176.0</v>
      </c>
      <c r="B1010" s="4">
        <v>166.0</v>
      </c>
      <c r="C1010" s="13">
        <v>108.0</v>
      </c>
      <c r="D1010" s="13">
        <v>29.0</v>
      </c>
      <c r="E1010" s="13">
        <v>92.0</v>
      </c>
    </row>
    <row r="1011">
      <c r="A1011" s="13">
        <v>3274134.0</v>
      </c>
      <c r="B1011" s="4">
        <v>172.0</v>
      </c>
      <c r="C1011" s="13">
        <v>100.0</v>
      </c>
      <c r="D1011" s="13">
        <v>47.0</v>
      </c>
      <c r="E1011" s="13">
        <v>176.0</v>
      </c>
    </row>
    <row r="1012">
      <c r="A1012" s="13">
        <v>3216072.0</v>
      </c>
      <c r="B1012" s="4">
        <v>163.0</v>
      </c>
      <c r="C1012" s="13">
        <v>120.0</v>
      </c>
      <c r="D1012" s="13">
        <v>33.0</v>
      </c>
      <c r="E1012" s="13">
        <v>228.0</v>
      </c>
    </row>
    <row r="1013">
      <c r="A1013" s="13">
        <v>3204086.0</v>
      </c>
      <c r="B1013" s="4">
        <v>167.0</v>
      </c>
      <c r="C1013" s="13">
        <v>617.0</v>
      </c>
      <c r="D1013" s="13">
        <v>133.0</v>
      </c>
      <c r="E1013" s="13">
        <v>997.0</v>
      </c>
    </row>
    <row r="1014">
      <c r="A1014" s="13">
        <v>3274031.0</v>
      </c>
      <c r="B1014" s="4">
        <v>172.0</v>
      </c>
      <c r="C1014" s="13">
        <v>101.0</v>
      </c>
      <c r="D1014" s="13">
        <v>22.0</v>
      </c>
      <c r="E1014" s="13">
        <v>63.0</v>
      </c>
    </row>
    <row r="1015">
      <c r="A1015" s="13">
        <v>3277019.0</v>
      </c>
      <c r="B1015" s="4">
        <v>181.0</v>
      </c>
      <c r="C1015" s="13">
        <v>138.0</v>
      </c>
      <c r="D1015" s="13">
        <v>37.0</v>
      </c>
      <c r="E1015" s="13">
        <v>225.0</v>
      </c>
    </row>
    <row r="1016">
      <c r="A1016" s="13">
        <v>3216421.0</v>
      </c>
      <c r="B1016" s="4">
        <v>163.0</v>
      </c>
      <c r="C1016" s="13">
        <v>50.0</v>
      </c>
      <c r="D1016" s="13">
        <v>22.0</v>
      </c>
      <c r="E1016" s="13">
        <v>64.0</v>
      </c>
    </row>
    <row r="1017">
      <c r="A1017" s="13">
        <v>3216426.0</v>
      </c>
      <c r="B1017" s="4">
        <v>163.0</v>
      </c>
      <c r="C1017" s="13">
        <v>110.0</v>
      </c>
      <c r="D1017" s="13">
        <v>24.0</v>
      </c>
      <c r="E1017" s="13">
        <v>42.0</v>
      </c>
    </row>
    <row r="1018">
      <c r="A1018" s="13">
        <v>3201251.0</v>
      </c>
      <c r="B1018" s="4">
        <v>177.0</v>
      </c>
      <c r="C1018" s="13">
        <v>104.0</v>
      </c>
      <c r="D1018" s="13">
        <v>52.0</v>
      </c>
      <c r="E1018" s="13">
        <v>268.0</v>
      </c>
    </row>
    <row r="1019">
      <c r="A1019" s="13">
        <v>3218001.0</v>
      </c>
      <c r="B1019" s="4">
        <v>183.0</v>
      </c>
      <c r="C1019" s="13">
        <v>247.0</v>
      </c>
      <c r="D1019" s="13">
        <v>29.0</v>
      </c>
      <c r="E1019" s="13">
        <v>467.0</v>
      </c>
    </row>
    <row r="1020">
      <c r="A1020" s="13">
        <v>3275263.0</v>
      </c>
      <c r="B1020" s="4">
        <v>171.0</v>
      </c>
      <c r="C1020" s="13">
        <v>107.0</v>
      </c>
      <c r="D1020" s="13">
        <v>28.0</v>
      </c>
      <c r="E1020" s="13">
        <v>287.0</v>
      </c>
    </row>
    <row r="1021">
      <c r="A1021" s="13">
        <v>3208024.0</v>
      </c>
      <c r="B1021" s="4">
        <v>161.0</v>
      </c>
      <c r="C1021" s="13">
        <v>120.0</v>
      </c>
      <c r="D1021" s="13">
        <v>30.0</v>
      </c>
      <c r="E1021" s="13">
        <v>189.0</v>
      </c>
    </row>
    <row r="1022">
      <c r="A1022" s="13">
        <v>3212042.0</v>
      </c>
      <c r="B1022" s="4">
        <v>179.0</v>
      </c>
      <c r="C1022" s="13">
        <v>132.0</v>
      </c>
      <c r="D1022" s="13">
        <v>30.0</v>
      </c>
      <c r="E1022" s="13">
        <v>304.0</v>
      </c>
    </row>
    <row r="1023">
      <c r="A1023" s="13">
        <v>3201240.0</v>
      </c>
      <c r="B1023" s="4">
        <v>177.0</v>
      </c>
      <c r="C1023" s="13">
        <v>112.0</v>
      </c>
      <c r="D1023" s="13">
        <v>26.0</v>
      </c>
      <c r="E1023" s="13">
        <v>132.0</v>
      </c>
    </row>
    <row r="1024">
      <c r="A1024" s="13">
        <v>3275062.0</v>
      </c>
      <c r="B1024" s="4">
        <v>171.0</v>
      </c>
      <c r="C1024" s="13">
        <v>101.0</v>
      </c>
      <c r="D1024" s="13">
        <v>44.0</v>
      </c>
      <c r="E1024" s="13">
        <v>188.0</v>
      </c>
    </row>
    <row r="1025">
      <c r="A1025" s="13">
        <v>3210049.0</v>
      </c>
      <c r="B1025" s="4">
        <v>182.0</v>
      </c>
      <c r="C1025" s="13">
        <v>50.0</v>
      </c>
      <c r="D1025" s="13">
        <v>10.0</v>
      </c>
      <c r="E1025" s="13">
        <v>182.0</v>
      </c>
    </row>
    <row r="1026">
      <c r="A1026" s="13">
        <v>3211039.0</v>
      </c>
      <c r="B1026" s="4">
        <v>184.0</v>
      </c>
      <c r="C1026" s="13">
        <v>102.0</v>
      </c>
      <c r="D1026" s="13">
        <v>17.0</v>
      </c>
      <c r="E1026" s="13">
        <v>182.0</v>
      </c>
    </row>
    <row r="1027">
      <c r="A1027" s="13">
        <v>3272014.0</v>
      </c>
      <c r="B1027" s="4">
        <v>185.0</v>
      </c>
      <c r="C1027" s="13">
        <v>538.0</v>
      </c>
      <c r="D1027" s="13">
        <v>108.0</v>
      </c>
      <c r="E1027" s="13">
        <v>1509.0</v>
      </c>
    </row>
    <row r="1028">
      <c r="A1028" s="13">
        <v>3214032.0</v>
      </c>
      <c r="B1028" s="4">
        <v>178.0</v>
      </c>
      <c r="C1028" s="13">
        <v>247.0</v>
      </c>
      <c r="D1028" s="13">
        <v>58.0</v>
      </c>
      <c r="E1028" s="13">
        <v>605.0</v>
      </c>
    </row>
    <row r="1029">
      <c r="A1029" s="13">
        <v>3213032.0</v>
      </c>
      <c r="B1029" s="4">
        <v>173.0</v>
      </c>
      <c r="C1029" s="13">
        <v>65.0</v>
      </c>
      <c r="D1029" s="13">
        <v>13.0</v>
      </c>
      <c r="E1029" s="13">
        <v>71.0</v>
      </c>
    </row>
    <row r="1030">
      <c r="A1030" s="13">
        <v>3277018.0</v>
      </c>
      <c r="B1030" s="4">
        <v>181.0</v>
      </c>
      <c r="C1030" s="13">
        <v>100.0</v>
      </c>
      <c r="D1030" s="13">
        <v>39.0</v>
      </c>
      <c r="E1030" s="13">
        <v>158.0</v>
      </c>
    </row>
    <row r="1031">
      <c r="A1031" s="13">
        <v>3216408.0</v>
      </c>
      <c r="B1031" s="4">
        <v>163.0</v>
      </c>
      <c r="C1031" s="13">
        <v>104.0</v>
      </c>
      <c r="D1031" s="13">
        <v>27.0</v>
      </c>
      <c r="E1031" s="13">
        <v>257.0</v>
      </c>
    </row>
    <row r="1032">
      <c r="A1032" s="13">
        <v>3215112.0</v>
      </c>
      <c r="B1032" s="4">
        <v>160.0</v>
      </c>
      <c r="C1032" s="13">
        <v>66.0</v>
      </c>
      <c r="D1032" s="13">
        <v>23.0</v>
      </c>
      <c r="E1032" s="13">
        <v>45.0</v>
      </c>
    </row>
    <row r="1033">
      <c r="A1033" s="13">
        <v>3216416.0</v>
      </c>
      <c r="B1033" s="4">
        <v>163.0</v>
      </c>
      <c r="C1033" s="13">
        <v>100.0</v>
      </c>
      <c r="D1033" s="13">
        <v>65.0</v>
      </c>
      <c r="E1033" s="13">
        <v>205.0</v>
      </c>
    </row>
    <row r="1034">
      <c r="A1034" s="13">
        <v>3216434.0</v>
      </c>
      <c r="B1034" s="4">
        <v>163.0</v>
      </c>
      <c r="C1034" s="13">
        <v>46.0</v>
      </c>
      <c r="D1034" s="13">
        <v>27.0</v>
      </c>
      <c r="E1034" s="13">
        <v>60.0</v>
      </c>
    </row>
    <row r="1035">
      <c r="A1035" s="13">
        <v>3203015.0</v>
      </c>
      <c r="B1035" s="4">
        <v>168.0</v>
      </c>
      <c r="C1035" s="13">
        <v>467.0</v>
      </c>
      <c r="D1035" s="13">
        <v>41.0</v>
      </c>
      <c r="E1035" s="13">
        <v>1431.0</v>
      </c>
    </row>
    <row r="1036">
      <c r="A1036" s="13">
        <v>3273464.0</v>
      </c>
      <c r="B1036" s="4">
        <v>166.0</v>
      </c>
      <c r="C1036" s="13">
        <v>13.0</v>
      </c>
      <c r="D1036" s="13">
        <v>20.0</v>
      </c>
      <c r="E1036" s="13">
        <v>142.0</v>
      </c>
    </row>
    <row r="1037">
      <c r="A1037" s="13">
        <v>3276039.0</v>
      </c>
      <c r="B1037" s="4">
        <v>164.0</v>
      </c>
      <c r="C1037" s="13">
        <v>157.0</v>
      </c>
      <c r="D1037" s="13">
        <v>67.0</v>
      </c>
      <c r="E1037" s="13">
        <v>164.0</v>
      </c>
    </row>
    <row r="1038">
      <c r="A1038" s="13">
        <v>3201271.0</v>
      </c>
      <c r="B1038" s="4">
        <v>169.0</v>
      </c>
      <c r="C1038" s="13">
        <v>126.0</v>
      </c>
      <c r="D1038" s="13">
        <v>29.0</v>
      </c>
      <c r="E1038" s="13">
        <v>182.0</v>
      </c>
    </row>
    <row r="1039">
      <c r="A1039" s="13">
        <v>3216174.0</v>
      </c>
      <c r="B1039" s="4">
        <v>171.0</v>
      </c>
      <c r="C1039" s="13">
        <v>119.0</v>
      </c>
      <c r="D1039" s="13">
        <v>48.0</v>
      </c>
      <c r="E1039" s="13">
        <v>129.0</v>
      </c>
    </row>
    <row r="1040">
      <c r="A1040" s="13">
        <v>3216443.0</v>
      </c>
      <c r="B1040" s="4">
        <v>163.0</v>
      </c>
      <c r="C1040" s="13">
        <v>100.0</v>
      </c>
      <c r="D1040" s="13">
        <v>40.0</v>
      </c>
      <c r="E1040" s="13">
        <v>127.0</v>
      </c>
    </row>
    <row r="1041">
      <c r="A1041" s="13">
        <v>3206055.0</v>
      </c>
      <c r="B1041" s="4">
        <v>162.0</v>
      </c>
      <c r="C1041" s="13">
        <v>70.0</v>
      </c>
      <c r="D1041" s="13">
        <v>29.0</v>
      </c>
      <c r="E1041" s="13">
        <v>41.0</v>
      </c>
    </row>
    <row r="1042">
      <c r="A1042" s="13">
        <v>3215161.0</v>
      </c>
      <c r="B1042" s="4">
        <v>160.0</v>
      </c>
      <c r="C1042" s="13">
        <v>111.0</v>
      </c>
      <c r="D1042" s="13">
        <v>30.0</v>
      </c>
      <c r="E1042" s="13">
        <v>193.0</v>
      </c>
    </row>
    <row r="1043">
      <c r="A1043" s="13">
        <v>3201245.0</v>
      </c>
      <c r="B1043" s="4">
        <v>169.0</v>
      </c>
      <c r="C1043" s="13">
        <v>128.0</v>
      </c>
      <c r="D1043" s="13">
        <v>129.0</v>
      </c>
      <c r="E1043" s="13">
        <v>121.0</v>
      </c>
    </row>
    <row r="1044">
      <c r="A1044" s="13">
        <v>3205027.0</v>
      </c>
      <c r="B1044" s="4">
        <v>180.0</v>
      </c>
      <c r="C1044" s="13">
        <v>90.0</v>
      </c>
      <c r="D1044" s="13">
        <v>28.0</v>
      </c>
      <c r="E1044" s="13">
        <v>75.0</v>
      </c>
    </row>
    <row r="1045">
      <c r="A1045" s="13">
        <v>3276167.0</v>
      </c>
      <c r="B1045" s="4">
        <v>164.0</v>
      </c>
      <c r="C1045" s="13">
        <v>111.0</v>
      </c>
      <c r="D1045" s="13">
        <v>45.0</v>
      </c>
      <c r="E1045" s="13">
        <v>182.0</v>
      </c>
    </row>
    <row r="1046">
      <c r="A1046" s="13">
        <v>3271035.0</v>
      </c>
      <c r="B1046" s="4">
        <v>169.0</v>
      </c>
      <c r="C1046" s="13">
        <v>143.0</v>
      </c>
      <c r="D1046" s="13">
        <v>32.0</v>
      </c>
      <c r="E1046" s="13">
        <v>327.0</v>
      </c>
    </row>
    <row r="1047">
      <c r="A1047" s="13">
        <v>3210036.0</v>
      </c>
      <c r="B1047" s="4">
        <v>182.0</v>
      </c>
      <c r="C1047" s="13">
        <v>25.0</v>
      </c>
      <c r="D1047" s="13">
        <v>21.0</v>
      </c>
      <c r="E1047" s="13">
        <v>68.0</v>
      </c>
    </row>
    <row r="1048">
      <c r="A1048" s="13">
        <v>3201150.0</v>
      </c>
      <c r="B1048" s="4">
        <v>169.0</v>
      </c>
      <c r="C1048" s="13">
        <v>105.0</v>
      </c>
      <c r="D1048" s="13">
        <v>43.0</v>
      </c>
      <c r="E1048" s="13">
        <v>344.0</v>
      </c>
    </row>
    <row r="1049">
      <c r="A1049" s="13">
        <v>3201231.0</v>
      </c>
      <c r="B1049" s="4">
        <v>169.0</v>
      </c>
      <c r="C1049" s="13">
        <v>108.0</v>
      </c>
      <c r="D1049" s="13">
        <v>42.0</v>
      </c>
      <c r="E1049" s="13">
        <v>282.0</v>
      </c>
    </row>
    <row r="1050">
      <c r="A1050" s="13">
        <v>3201050.0</v>
      </c>
      <c r="B1050" s="4">
        <v>169.0</v>
      </c>
      <c r="C1050" s="13">
        <v>421.0</v>
      </c>
      <c r="D1050" s="13">
        <v>81.0</v>
      </c>
      <c r="E1050" s="13">
        <v>813.0</v>
      </c>
    </row>
    <row r="1051">
      <c r="A1051" s="13">
        <v>3273074.0</v>
      </c>
      <c r="B1051" s="4">
        <v>166.0</v>
      </c>
      <c r="C1051" s="13">
        <v>350.0</v>
      </c>
      <c r="D1051" s="13">
        <v>140.0</v>
      </c>
      <c r="E1051" s="13">
        <v>1656.0</v>
      </c>
    </row>
    <row r="1052">
      <c r="A1052" s="13">
        <v>3209133.0</v>
      </c>
      <c r="B1052" s="4">
        <v>170.0</v>
      </c>
      <c r="C1052" s="13">
        <v>265.0</v>
      </c>
      <c r="D1052" s="13">
        <v>92.0</v>
      </c>
      <c r="E1052" s="13">
        <v>472.0</v>
      </c>
    </row>
    <row r="1053">
      <c r="A1053" s="13">
        <v>3201196.0</v>
      </c>
      <c r="B1053" s="4">
        <v>164.0</v>
      </c>
      <c r="C1053" s="13">
        <v>111.0</v>
      </c>
      <c r="D1053" s="13">
        <v>89.0</v>
      </c>
      <c r="E1053" s="13">
        <v>256.0</v>
      </c>
    </row>
    <row r="1054">
      <c r="A1054" s="13">
        <v>3273201.0</v>
      </c>
      <c r="B1054" s="4">
        <v>166.0</v>
      </c>
      <c r="C1054" s="13">
        <v>7.0</v>
      </c>
      <c r="D1054" s="13">
        <v>37.0</v>
      </c>
      <c r="E1054" s="13">
        <v>369.0</v>
      </c>
    </row>
    <row r="1055">
      <c r="A1055" s="13">
        <v>3279004.0</v>
      </c>
      <c r="B1055" s="4">
        <v>175.0</v>
      </c>
      <c r="C1055" s="13">
        <v>111.0</v>
      </c>
      <c r="D1055" s="13">
        <v>21.0</v>
      </c>
      <c r="E1055" s="13">
        <v>24.0</v>
      </c>
    </row>
    <row r="1056">
      <c r="A1056" s="13">
        <v>3275094.0</v>
      </c>
      <c r="B1056" s="4">
        <v>171.0</v>
      </c>
      <c r="C1056" s="13">
        <v>205.0</v>
      </c>
      <c r="D1056" s="13">
        <v>56.0</v>
      </c>
      <c r="E1056" s="13">
        <v>712.0</v>
      </c>
    </row>
    <row r="1057">
      <c r="A1057" s="13">
        <v>3215160.0</v>
      </c>
      <c r="B1057" s="4">
        <v>160.0</v>
      </c>
      <c r="C1057" s="13">
        <v>100.0</v>
      </c>
      <c r="D1057" s="13">
        <v>46.0</v>
      </c>
      <c r="E1057" s="13">
        <v>237.0</v>
      </c>
    </row>
    <row r="1058">
      <c r="A1058" s="13">
        <v>3217004.0</v>
      </c>
      <c r="B1058" s="4">
        <v>174.0</v>
      </c>
      <c r="C1058" s="13">
        <v>99.0</v>
      </c>
      <c r="D1058" s="13">
        <v>31.0</v>
      </c>
      <c r="E1058" s="13">
        <v>223.0</v>
      </c>
    </row>
    <row r="1059">
      <c r="A1059" s="13">
        <v>3215146.0</v>
      </c>
      <c r="B1059" s="4">
        <v>160.0</v>
      </c>
      <c r="C1059" s="13">
        <v>118.0</v>
      </c>
      <c r="D1059" s="13">
        <v>34.0</v>
      </c>
      <c r="E1059" s="13">
        <v>269.0</v>
      </c>
    </row>
    <row r="1060">
      <c r="A1060" s="13">
        <v>3216285.0</v>
      </c>
      <c r="B1060" s="4">
        <v>171.0</v>
      </c>
      <c r="C1060" s="13">
        <v>100.0</v>
      </c>
      <c r="D1060" s="13">
        <v>33.0</v>
      </c>
      <c r="E1060" s="13">
        <v>195.0</v>
      </c>
    </row>
    <row r="1061">
      <c r="A1061" s="13">
        <v>3202084.0</v>
      </c>
      <c r="B1061" s="4">
        <v>165.0</v>
      </c>
      <c r="C1061" s="13">
        <v>166.0</v>
      </c>
      <c r="D1061" s="13">
        <v>58.0</v>
      </c>
      <c r="E1061" s="13">
        <v>173.0</v>
      </c>
    </row>
    <row r="1062">
      <c r="A1062" s="13">
        <v>3209014.0</v>
      </c>
      <c r="B1062" s="4">
        <v>170.0</v>
      </c>
      <c r="C1062" s="13">
        <v>306.0</v>
      </c>
      <c r="D1062" s="13">
        <v>82.0</v>
      </c>
      <c r="E1062" s="13">
        <v>733.0</v>
      </c>
    </row>
    <row r="1063">
      <c r="A1063" s="13">
        <v>3215045.0</v>
      </c>
      <c r="B1063" s="4">
        <v>160.0</v>
      </c>
      <c r="C1063" s="13">
        <v>173.0</v>
      </c>
      <c r="D1063" s="13">
        <v>44.0</v>
      </c>
      <c r="E1063" s="13">
        <v>571.0</v>
      </c>
    </row>
    <row r="1064">
      <c r="A1064" s="13">
        <v>3216393.0</v>
      </c>
      <c r="B1064" s="4">
        <v>163.0</v>
      </c>
      <c r="C1064" s="13">
        <v>200.0</v>
      </c>
      <c r="D1064" s="13">
        <v>76.0</v>
      </c>
      <c r="E1064" s="13">
        <v>344.0</v>
      </c>
    </row>
    <row r="1065">
      <c r="A1065" s="13">
        <v>3209054.0</v>
      </c>
      <c r="B1065" s="4">
        <v>170.0</v>
      </c>
      <c r="C1065" s="13">
        <v>195.0</v>
      </c>
      <c r="D1065" s="13">
        <v>68.0</v>
      </c>
      <c r="E1065" s="13">
        <v>486.0</v>
      </c>
    </row>
    <row r="1066">
      <c r="A1066" s="13">
        <v>3271166.0</v>
      </c>
      <c r="B1066" s="4">
        <v>177.0</v>
      </c>
      <c r="C1066" s="13">
        <v>65.0</v>
      </c>
      <c r="D1066" s="13">
        <v>20.0</v>
      </c>
      <c r="E1066" s="13">
        <v>30.0</v>
      </c>
    </row>
    <row r="1067">
      <c r="A1067" s="13">
        <v>3272051.0</v>
      </c>
      <c r="B1067" s="4">
        <v>185.0</v>
      </c>
      <c r="C1067" s="13">
        <v>174.0</v>
      </c>
      <c r="D1067" s="13">
        <v>40.0</v>
      </c>
      <c r="E1067" s="13">
        <v>472.0</v>
      </c>
    </row>
    <row r="1068">
      <c r="A1068" s="13">
        <v>3215012.0</v>
      </c>
      <c r="B1068" s="4">
        <v>160.0</v>
      </c>
      <c r="C1068" s="13">
        <v>374.0</v>
      </c>
      <c r="D1068" s="13">
        <v>75.0</v>
      </c>
      <c r="E1068" s="13">
        <v>1417.0</v>
      </c>
    </row>
    <row r="1069">
      <c r="A1069" s="13">
        <v>3216389.0</v>
      </c>
      <c r="B1069" s="4">
        <v>171.0</v>
      </c>
      <c r="C1069" s="13">
        <v>114.0</v>
      </c>
      <c r="D1069" s="13">
        <v>73.0</v>
      </c>
      <c r="E1069" s="13">
        <v>549.0</v>
      </c>
    </row>
    <row r="1070">
      <c r="A1070" s="13">
        <v>3205039.0</v>
      </c>
      <c r="B1070" s="4">
        <v>180.0</v>
      </c>
      <c r="C1070" s="13">
        <v>65.0</v>
      </c>
      <c r="D1070" s="13">
        <v>19.0</v>
      </c>
      <c r="E1070" s="13">
        <v>182.0</v>
      </c>
    </row>
    <row r="1071">
      <c r="A1071" s="13">
        <v>3215134.0</v>
      </c>
      <c r="B1071" s="4">
        <v>160.0</v>
      </c>
      <c r="C1071" s="13">
        <v>179.0</v>
      </c>
      <c r="D1071" s="13">
        <v>46.0</v>
      </c>
      <c r="E1071" s="13">
        <v>243.0</v>
      </c>
    </row>
    <row r="1072">
      <c r="A1072" s="13">
        <v>3215164.0</v>
      </c>
      <c r="B1072" s="4">
        <v>160.0</v>
      </c>
      <c r="C1072" s="13">
        <v>90.0</v>
      </c>
      <c r="D1072" s="13">
        <v>23.0</v>
      </c>
      <c r="E1072" s="13">
        <v>47.0</v>
      </c>
    </row>
    <row r="1073">
      <c r="A1073" s="13">
        <v>3216463.0</v>
      </c>
      <c r="B1073" s="4">
        <v>163.0</v>
      </c>
      <c r="C1073" s="13">
        <v>107.0</v>
      </c>
      <c r="D1073" s="13">
        <v>16.0</v>
      </c>
      <c r="E1073" s="13">
        <v>182.0</v>
      </c>
    </row>
    <row r="1074">
      <c r="A1074" s="13">
        <v>3204016.0</v>
      </c>
      <c r="B1074" s="4">
        <v>167.0</v>
      </c>
      <c r="C1074" s="13">
        <v>383.0</v>
      </c>
      <c r="D1074" s="13">
        <v>113.0</v>
      </c>
      <c r="E1074" s="13">
        <v>690.0</v>
      </c>
    </row>
    <row r="1075">
      <c r="A1075" s="13">
        <v>3273517.0</v>
      </c>
      <c r="B1075" s="4">
        <v>167.0</v>
      </c>
      <c r="C1075" s="13">
        <v>166.0</v>
      </c>
      <c r="D1075" s="13">
        <v>46.0</v>
      </c>
      <c r="E1075" s="13">
        <v>846.0</v>
      </c>
    </row>
    <row r="1076">
      <c r="A1076" s="13">
        <v>3201230.0</v>
      </c>
      <c r="B1076" s="4">
        <v>169.0</v>
      </c>
      <c r="C1076" s="13">
        <v>225.0</v>
      </c>
      <c r="D1076" s="13">
        <v>46.0</v>
      </c>
      <c r="E1076" s="13">
        <v>863.0</v>
      </c>
    </row>
    <row r="1077">
      <c r="A1077" s="13">
        <v>3206083.0</v>
      </c>
      <c r="B1077" s="4">
        <v>162.0</v>
      </c>
      <c r="C1077" s="13">
        <v>30.0</v>
      </c>
      <c r="D1077" s="13">
        <v>25.0</v>
      </c>
      <c r="E1077" s="13">
        <v>75.0</v>
      </c>
    </row>
    <row r="1078">
      <c r="A1078" s="13">
        <v>3272075.0</v>
      </c>
      <c r="B1078" s="4">
        <v>185.0</v>
      </c>
      <c r="C1078" s="13">
        <v>50.0</v>
      </c>
      <c r="D1078" s="13">
        <v>20.0</v>
      </c>
      <c r="E1078" s="13">
        <v>167.0</v>
      </c>
    </row>
    <row r="1079">
      <c r="A1079" s="13">
        <v>3201256.0</v>
      </c>
      <c r="B1079" s="4">
        <v>164.0</v>
      </c>
      <c r="C1079" s="13">
        <v>300.0</v>
      </c>
      <c r="D1079" s="13">
        <v>147.0</v>
      </c>
      <c r="E1079" s="13">
        <v>120.0</v>
      </c>
    </row>
    <row r="1080">
      <c r="A1080" s="13">
        <v>3277023.0</v>
      </c>
      <c r="B1080" s="4">
        <v>181.0</v>
      </c>
      <c r="C1080" s="13">
        <v>86.0</v>
      </c>
      <c r="D1080" s="13">
        <v>30.0</v>
      </c>
      <c r="E1080" s="13">
        <v>16.0</v>
      </c>
    </row>
    <row r="1081">
      <c r="A1081" s="13">
        <v>3204172.0</v>
      </c>
      <c r="B1081" s="4">
        <v>167.0</v>
      </c>
      <c r="C1081" s="13">
        <v>54.0</v>
      </c>
      <c r="D1081" s="13">
        <v>26.0</v>
      </c>
      <c r="E1081" s="13">
        <v>182.0</v>
      </c>
    </row>
    <row r="1082">
      <c r="A1082" s="13">
        <v>3275196.0</v>
      </c>
      <c r="B1082" s="4">
        <v>171.0</v>
      </c>
      <c r="C1082" s="13">
        <v>101.0</v>
      </c>
      <c r="D1082" s="13">
        <v>71.0</v>
      </c>
      <c r="E1082" s="13">
        <v>228.0</v>
      </c>
    </row>
    <row r="1083">
      <c r="A1083" s="13">
        <v>3216444.0</v>
      </c>
      <c r="B1083" s="4">
        <v>163.0</v>
      </c>
      <c r="C1083" s="13">
        <v>101.0</v>
      </c>
      <c r="D1083" s="13">
        <v>28.0</v>
      </c>
      <c r="E1083" s="13">
        <v>103.0</v>
      </c>
    </row>
    <row r="1084">
      <c r="A1084" s="13">
        <v>3278081.0</v>
      </c>
      <c r="B1084" s="4">
        <v>162.0</v>
      </c>
      <c r="C1084" s="13">
        <v>106.0</v>
      </c>
      <c r="D1084" s="13">
        <v>29.0</v>
      </c>
      <c r="E1084" s="13">
        <v>277.0</v>
      </c>
    </row>
    <row r="1085">
      <c r="A1085" s="13">
        <v>3216374.0</v>
      </c>
      <c r="B1085" s="4">
        <v>163.0</v>
      </c>
      <c r="C1085" s="13">
        <v>175.0</v>
      </c>
      <c r="D1085" s="13">
        <v>28.0</v>
      </c>
      <c r="E1085" s="13">
        <v>11.0</v>
      </c>
    </row>
    <row r="1086">
      <c r="A1086" s="13">
        <v>3271164.0</v>
      </c>
      <c r="B1086" s="4">
        <v>177.0</v>
      </c>
      <c r="C1086" s="13">
        <v>120.0</v>
      </c>
      <c r="D1086" s="13">
        <v>35.0</v>
      </c>
      <c r="E1086" s="13">
        <v>151.0</v>
      </c>
    </row>
    <row r="1087">
      <c r="A1087" s="13">
        <v>3271072.0</v>
      </c>
      <c r="B1087" s="4">
        <v>177.0</v>
      </c>
      <c r="C1087" s="13">
        <v>103.0</v>
      </c>
      <c r="D1087" s="13">
        <v>76.0</v>
      </c>
      <c r="E1087" s="13">
        <v>296.0</v>
      </c>
    </row>
    <row r="1088">
      <c r="A1088" s="13">
        <v>3201232.0</v>
      </c>
      <c r="B1088" s="4">
        <v>169.0</v>
      </c>
      <c r="C1088" s="13">
        <v>299.0</v>
      </c>
      <c r="D1088" s="13">
        <v>38.0</v>
      </c>
      <c r="E1088" s="13">
        <v>213.0</v>
      </c>
    </row>
    <row r="1089">
      <c r="A1089" s="13">
        <v>3204124.0</v>
      </c>
      <c r="B1089" s="4">
        <v>166.0</v>
      </c>
      <c r="C1089" s="13">
        <v>13.0</v>
      </c>
      <c r="D1089" s="13">
        <v>24.0</v>
      </c>
      <c r="E1089" s="13">
        <v>157.0</v>
      </c>
    </row>
    <row r="1090">
      <c r="A1090" s="13">
        <v>3211026.0</v>
      </c>
      <c r="B1090" s="4">
        <v>184.0</v>
      </c>
      <c r="C1090" s="13">
        <v>126.0</v>
      </c>
      <c r="D1090" s="13">
        <v>103.0</v>
      </c>
      <c r="E1090" s="13">
        <v>310.0</v>
      </c>
    </row>
    <row r="1091">
      <c r="A1091" s="13">
        <v>3272062.0</v>
      </c>
      <c r="B1091" s="4">
        <v>185.0</v>
      </c>
      <c r="C1091" s="13">
        <v>161.0</v>
      </c>
      <c r="D1091" s="13">
        <v>32.0</v>
      </c>
      <c r="E1091" s="13">
        <v>312.0</v>
      </c>
    </row>
    <row r="1092">
      <c r="A1092" s="13">
        <v>3216402.0</v>
      </c>
      <c r="B1092" s="4">
        <v>171.0</v>
      </c>
      <c r="C1092" s="13">
        <v>116.0</v>
      </c>
      <c r="D1092" s="13">
        <v>53.0</v>
      </c>
      <c r="E1092" s="13">
        <v>468.0</v>
      </c>
    </row>
    <row r="1093">
      <c r="A1093" s="13">
        <v>3273547.0</v>
      </c>
      <c r="B1093" s="4">
        <v>166.0</v>
      </c>
      <c r="C1093" s="13">
        <v>110.0</v>
      </c>
      <c r="D1093" s="13">
        <v>49.0</v>
      </c>
      <c r="E1093" s="13">
        <v>67.0</v>
      </c>
    </row>
    <row r="1094">
      <c r="A1094" s="13">
        <v>3216465.0</v>
      </c>
      <c r="B1094" s="4">
        <v>163.0</v>
      </c>
      <c r="C1094" s="13">
        <v>101.0</v>
      </c>
      <c r="D1094" s="13">
        <v>29.0</v>
      </c>
      <c r="E1094" s="13">
        <v>182.0</v>
      </c>
    </row>
    <row r="1095">
      <c r="A1095" s="13">
        <v>3201072.0</v>
      </c>
      <c r="B1095" s="4">
        <v>164.0</v>
      </c>
      <c r="C1095" s="13">
        <v>202.0</v>
      </c>
      <c r="D1095" s="13">
        <v>114.0</v>
      </c>
      <c r="E1095" s="13">
        <v>901.0</v>
      </c>
    </row>
    <row r="1096">
      <c r="A1096" s="13">
        <v>3273096.0</v>
      </c>
      <c r="B1096" s="4">
        <v>166.0</v>
      </c>
      <c r="C1096" s="13">
        <v>103.0</v>
      </c>
      <c r="D1096" s="13">
        <v>44.0</v>
      </c>
      <c r="E1096" s="13">
        <v>320.0</v>
      </c>
    </row>
    <row r="1097">
      <c r="A1097" s="13">
        <v>3276135.0</v>
      </c>
      <c r="B1097" s="4">
        <v>164.0</v>
      </c>
      <c r="C1097" s="13">
        <v>100.0</v>
      </c>
      <c r="D1097" s="13">
        <v>30.0</v>
      </c>
      <c r="E1097" s="13">
        <v>178.0</v>
      </c>
    </row>
    <row r="1098">
      <c r="A1098" s="13">
        <v>3275403.0</v>
      </c>
      <c r="B1098" s="4">
        <v>171.0</v>
      </c>
      <c r="C1098" s="13">
        <v>45.0</v>
      </c>
      <c r="D1098" s="13">
        <v>13.0</v>
      </c>
      <c r="E1098" s="13">
        <v>79.0</v>
      </c>
    </row>
    <row r="1099">
      <c r="A1099" s="13">
        <v>3201218.0</v>
      </c>
      <c r="B1099" s="4">
        <v>177.0</v>
      </c>
      <c r="C1099" s="13">
        <v>106.0</v>
      </c>
      <c r="D1099" s="13">
        <v>28.0</v>
      </c>
      <c r="E1099" s="13">
        <v>330.0</v>
      </c>
    </row>
    <row r="1100">
      <c r="A1100" s="13">
        <v>3273405.0</v>
      </c>
      <c r="B1100" s="4">
        <v>166.0</v>
      </c>
      <c r="C1100" s="13">
        <v>213.0</v>
      </c>
      <c r="D1100" s="13">
        <v>38.0</v>
      </c>
      <c r="E1100" s="13">
        <v>358.0</v>
      </c>
    </row>
    <row r="1101">
      <c r="A1101" s="13">
        <v>3204123.0</v>
      </c>
      <c r="B1101" s="4">
        <v>166.0</v>
      </c>
      <c r="C1101" s="13">
        <v>120.0</v>
      </c>
      <c r="D1101" s="13">
        <v>27.0</v>
      </c>
      <c r="E1101" s="13">
        <v>120.0</v>
      </c>
    </row>
    <row r="1102">
      <c r="A1102" s="13">
        <v>3214038.0</v>
      </c>
      <c r="B1102" s="4">
        <v>178.0</v>
      </c>
      <c r="C1102" s="13">
        <v>88.0</v>
      </c>
      <c r="D1102" s="13">
        <v>26.0</v>
      </c>
      <c r="E1102" s="13">
        <v>133.0</v>
      </c>
    </row>
    <row r="1103">
      <c r="A1103" s="13">
        <v>3211027.0</v>
      </c>
      <c r="B1103" s="4">
        <v>184.0</v>
      </c>
      <c r="C1103" s="13">
        <v>63.0</v>
      </c>
      <c r="D1103" s="13">
        <v>26.0</v>
      </c>
      <c r="E1103" s="13">
        <v>86.0</v>
      </c>
    </row>
    <row r="1104">
      <c r="A1104" s="13">
        <v>3276166.0</v>
      </c>
      <c r="B1104" s="4">
        <v>164.0</v>
      </c>
      <c r="C1104" s="13">
        <v>191.0</v>
      </c>
      <c r="D1104" s="13">
        <v>22.0</v>
      </c>
      <c r="E1104" s="13">
        <v>182.0</v>
      </c>
    </row>
    <row r="1105">
      <c r="A1105" s="13">
        <v>3204169.0</v>
      </c>
      <c r="B1105" s="4">
        <v>167.0</v>
      </c>
      <c r="C1105" s="13">
        <v>64.0</v>
      </c>
      <c r="D1105" s="13">
        <v>31.0</v>
      </c>
      <c r="E1105" s="13">
        <v>182.0</v>
      </c>
    </row>
    <row r="1106">
      <c r="A1106" s="13">
        <v>3275115.0</v>
      </c>
      <c r="B1106" s="4">
        <v>171.0</v>
      </c>
      <c r="C1106" s="13">
        <v>410.0</v>
      </c>
      <c r="D1106" s="13">
        <v>120.0</v>
      </c>
      <c r="E1106" s="13">
        <v>1037.0</v>
      </c>
    </row>
    <row r="1107">
      <c r="A1107" s="13">
        <v>3216385.0</v>
      </c>
      <c r="B1107" s="4">
        <v>163.0</v>
      </c>
      <c r="C1107" s="13">
        <v>116.0</v>
      </c>
      <c r="D1107" s="13">
        <v>34.0</v>
      </c>
      <c r="E1107" s="13">
        <v>143.0</v>
      </c>
    </row>
    <row r="1108">
      <c r="A1108" s="13">
        <v>3201236.0</v>
      </c>
      <c r="B1108" s="4">
        <v>177.0</v>
      </c>
      <c r="C1108" s="13">
        <v>124.0</v>
      </c>
      <c r="D1108" s="13">
        <v>47.0</v>
      </c>
      <c r="E1108" s="13">
        <v>318.0</v>
      </c>
    </row>
    <row r="1109">
      <c r="A1109" s="13">
        <v>3278021.0</v>
      </c>
      <c r="B1109" s="4">
        <v>162.0</v>
      </c>
      <c r="C1109" s="13">
        <v>67.0</v>
      </c>
      <c r="D1109" s="13">
        <v>25.0</v>
      </c>
      <c r="E1109" s="13">
        <v>44.0</v>
      </c>
    </row>
    <row r="1110">
      <c r="A1110" s="13">
        <v>3201249.0</v>
      </c>
      <c r="B1110" s="4">
        <v>169.0</v>
      </c>
      <c r="C1110" s="13">
        <v>100.0</v>
      </c>
      <c r="D1110" s="13">
        <v>27.0</v>
      </c>
      <c r="E1110" s="13">
        <v>62.0</v>
      </c>
    </row>
    <row r="1111">
      <c r="A1111" s="13">
        <v>3275415.0</v>
      </c>
      <c r="B1111" s="4">
        <v>171.0</v>
      </c>
      <c r="C1111" s="13">
        <v>31.0</v>
      </c>
      <c r="D1111" s="13">
        <v>2.0</v>
      </c>
      <c r="E1111" s="13">
        <v>182.0</v>
      </c>
    </row>
    <row r="1112">
      <c r="A1112" s="13">
        <v>3275390.0</v>
      </c>
      <c r="B1112" s="4">
        <v>171.0</v>
      </c>
      <c r="C1112" s="13">
        <v>60.0</v>
      </c>
      <c r="D1112" s="13">
        <v>27.0</v>
      </c>
      <c r="E1112" s="13">
        <v>143.0</v>
      </c>
    </row>
    <row r="1113">
      <c r="A1113" s="13">
        <v>3213044.0</v>
      </c>
      <c r="B1113" s="4">
        <v>173.0</v>
      </c>
      <c r="C1113" s="13">
        <v>100.0</v>
      </c>
      <c r="D1113" s="13">
        <v>21.0</v>
      </c>
      <c r="E1113" s="13">
        <v>55.0</v>
      </c>
    </row>
    <row r="1114">
      <c r="A1114" s="13">
        <v>3275307.0</v>
      </c>
      <c r="B1114" s="4">
        <v>171.0</v>
      </c>
      <c r="C1114" s="13">
        <v>101.0</v>
      </c>
      <c r="D1114" s="13">
        <v>30.0</v>
      </c>
      <c r="E1114" s="13">
        <v>231.0</v>
      </c>
    </row>
    <row r="1115">
      <c r="A1115" s="13">
        <v>3201244.0</v>
      </c>
      <c r="B1115" s="4">
        <v>169.0</v>
      </c>
      <c r="C1115" s="13">
        <v>148.0</v>
      </c>
      <c r="D1115" s="13">
        <v>71.0</v>
      </c>
      <c r="E1115" s="13">
        <v>220.0</v>
      </c>
    </row>
    <row r="1116">
      <c r="A1116" s="13">
        <v>3217008.0</v>
      </c>
      <c r="B1116" s="4">
        <v>174.0</v>
      </c>
      <c r="C1116" s="13">
        <v>74.0</v>
      </c>
      <c r="D1116" s="13">
        <v>23.0</v>
      </c>
      <c r="E1116" s="13">
        <v>56.0</v>
      </c>
    </row>
    <row r="1117">
      <c r="A1117" s="13">
        <v>3273558.0</v>
      </c>
      <c r="B1117" s="4">
        <v>166.0</v>
      </c>
      <c r="C1117" s="13">
        <v>31.0</v>
      </c>
      <c r="D1117" s="13">
        <v>45.0</v>
      </c>
      <c r="E1117" s="13">
        <v>182.0</v>
      </c>
    </row>
    <row r="1118">
      <c r="A1118" s="13">
        <v>3209036.0</v>
      </c>
      <c r="B1118" s="4">
        <v>170.0</v>
      </c>
      <c r="C1118" s="13">
        <v>102.0</v>
      </c>
      <c r="D1118" s="13">
        <v>44.0</v>
      </c>
      <c r="E1118" s="13">
        <v>215.0</v>
      </c>
    </row>
    <row r="1119">
      <c r="A1119" s="13">
        <v>3275035.0</v>
      </c>
      <c r="B1119" s="4">
        <v>171.0</v>
      </c>
      <c r="C1119" s="13">
        <v>58.0</v>
      </c>
      <c r="D1119" s="13">
        <v>38.0</v>
      </c>
      <c r="E1119" s="13">
        <v>37.0</v>
      </c>
    </row>
    <row r="1120">
      <c r="A1120" s="13">
        <v>3276149.0</v>
      </c>
      <c r="B1120" s="4">
        <v>164.0</v>
      </c>
      <c r="C1120" s="13">
        <v>35.0</v>
      </c>
      <c r="D1120" s="13">
        <v>16.0</v>
      </c>
      <c r="E1120" s="13">
        <v>54.0</v>
      </c>
    </row>
    <row r="1121">
      <c r="A1121" s="13">
        <v>3216440.0</v>
      </c>
      <c r="B1121" s="4">
        <v>163.0</v>
      </c>
      <c r="C1121" s="13">
        <v>50.0</v>
      </c>
      <c r="D1121" s="13">
        <v>12.0</v>
      </c>
      <c r="E1121" s="13">
        <v>141.0</v>
      </c>
    </row>
    <row r="1122">
      <c r="A1122" s="13">
        <v>3273026.0</v>
      </c>
      <c r="B1122" s="4">
        <v>166.0</v>
      </c>
      <c r="C1122" s="13">
        <v>220.0</v>
      </c>
      <c r="D1122" s="13">
        <v>63.0</v>
      </c>
      <c r="E1122" s="13">
        <v>468.0</v>
      </c>
    </row>
    <row r="1123">
      <c r="A1123" s="13">
        <v>3215056.0</v>
      </c>
      <c r="B1123" s="4">
        <v>160.0</v>
      </c>
      <c r="C1123" s="13">
        <v>146.0</v>
      </c>
      <c r="D1123" s="13">
        <v>29.0</v>
      </c>
      <c r="E1123" s="13">
        <v>387.0</v>
      </c>
    </row>
    <row r="1124">
      <c r="A1124" s="13">
        <v>3216413.0</v>
      </c>
      <c r="B1124" s="4">
        <v>163.0</v>
      </c>
      <c r="C1124" s="13">
        <v>106.0</v>
      </c>
      <c r="D1124" s="13">
        <v>24.0</v>
      </c>
      <c r="E1124" s="13">
        <v>216.0</v>
      </c>
    </row>
    <row r="1125">
      <c r="A1125" s="13">
        <v>3216448.0</v>
      </c>
      <c r="B1125" s="4">
        <v>171.0</v>
      </c>
      <c r="C1125" s="13">
        <v>100.0</v>
      </c>
      <c r="D1125" s="13">
        <v>77.0</v>
      </c>
      <c r="E1125" s="13">
        <v>29.0</v>
      </c>
    </row>
    <row r="1126">
      <c r="A1126" s="13">
        <v>3201126.0</v>
      </c>
      <c r="B1126" s="4">
        <v>164.0</v>
      </c>
      <c r="C1126" s="13">
        <v>277.0</v>
      </c>
      <c r="D1126" s="13">
        <v>107.0</v>
      </c>
      <c r="E1126" s="13">
        <v>877.0</v>
      </c>
    </row>
    <row r="1127">
      <c r="A1127" s="13">
        <v>3273110.0</v>
      </c>
      <c r="B1127" s="4">
        <v>166.0</v>
      </c>
      <c r="C1127" s="13">
        <v>50.0</v>
      </c>
      <c r="D1127" s="13">
        <v>29.0</v>
      </c>
      <c r="E1127" s="13">
        <v>117.0</v>
      </c>
    </row>
    <row r="1128">
      <c r="A1128" s="13">
        <v>3214035.0</v>
      </c>
      <c r="B1128" s="4">
        <v>178.0</v>
      </c>
      <c r="C1128" s="13">
        <v>145.0</v>
      </c>
      <c r="D1128" s="13">
        <v>38.0</v>
      </c>
      <c r="E1128" s="13">
        <v>259.0</v>
      </c>
    </row>
    <row r="1129">
      <c r="A1129" s="13">
        <v>3203039.0</v>
      </c>
      <c r="B1129" s="4">
        <v>168.0</v>
      </c>
      <c r="C1129" s="13">
        <v>158.0</v>
      </c>
      <c r="D1129" s="13">
        <v>56.0</v>
      </c>
      <c r="E1129" s="13">
        <v>228.0</v>
      </c>
    </row>
    <row r="1130">
      <c r="A1130" s="13">
        <v>3275013.0</v>
      </c>
      <c r="B1130" s="4">
        <v>171.0</v>
      </c>
      <c r="C1130" s="13">
        <v>606.0</v>
      </c>
      <c r="D1130" s="13">
        <v>128.0</v>
      </c>
      <c r="E1130" s="13">
        <v>1597.0</v>
      </c>
    </row>
    <row r="1131">
      <c r="A1131" s="13">
        <v>3273540.0</v>
      </c>
      <c r="B1131" s="4">
        <v>166.0</v>
      </c>
      <c r="C1131" s="13">
        <v>13.0</v>
      </c>
      <c r="D1131" s="13">
        <v>17.0</v>
      </c>
      <c r="E1131" s="13">
        <v>149.0</v>
      </c>
    </row>
    <row r="1132">
      <c r="A1132" s="13">
        <v>3216424.0</v>
      </c>
      <c r="B1132" s="4">
        <v>163.0</v>
      </c>
      <c r="C1132" s="13">
        <v>39.0</v>
      </c>
      <c r="D1132" s="13">
        <v>19.0</v>
      </c>
      <c r="E1132" s="13">
        <v>9.0</v>
      </c>
    </row>
    <row r="1133">
      <c r="A1133" s="13">
        <v>3207057.0</v>
      </c>
      <c r="B1133" s="4">
        <v>176.0</v>
      </c>
      <c r="C1133" s="13">
        <v>216.0</v>
      </c>
      <c r="D1133" s="13">
        <v>35.0</v>
      </c>
      <c r="E1133" s="13">
        <v>237.0</v>
      </c>
    </row>
    <row r="1134">
      <c r="A1134" s="13">
        <v>3273559.0</v>
      </c>
      <c r="B1134" s="4">
        <v>166.0</v>
      </c>
      <c r="C1134" s="13">
        <v>144.0</v>
      </c>
      <c r="D1134" s="13">
        <v>92.0</v>
      </c>
      <c r="E1134" s="13">
        <v>182.0</v>
      </c>
    </row>
    <row r="1135">
      <c r="A1135" s="13">
        <v>3277031.0</v>
      </c>
      <c r="B1135" s="4">
        <v>181.0</v>
      </c>
      <c r="C1135" s="13">
        <v>453.0</v>
      </c>
      <c r="D1135" s="13">
        <v>127.0</v>
      </c>
      <c r="E1135" s="13">
        <v>1422.0</v>
      </c>
    </row>
    <row r="1136">
      <c r="A1136" s="13">
        <v>3273539.0</v>
      </c>
      <c r="B1136" s="4">
        <v>166.0</v>
      </c>
      <c r="C1136" s="13">
        <v>210.0</v>
      </c>
      <c r="D1136" s="13">
        <v>132.0</v>
      </c>
      <c r="E1136" s="13">
        <v>449.0</v>
      </c>
    </row>
    <row r="1137">
      <c r="A1137" s="13">
        <v>3214037.0</v>
      </c>
      <c r="B1137" s="4">
        <v>178.0</v>
      </c>
      <c r="C1137" s="13">
        <v>130.0</v>
      </c>
      <c r="D1137" s="13">
        <v>32.0</v>
      </c>
      <c r="E1137" s="13">
        <v>126.0</v>
      </c>
    </row>
    <row r="1138">
      <c r="A1138" s="13">
        <v>3212056.0</v>
      </c>
      <c r="B1138" s="4">
        <v>179.0</v>
      </c>
      <c r="C1138" s="13">
        <v>115.0</v>
      </c>
      <c r="D1138" s="13">
        <v>25.0</v>
      </c>
      <c r="E1138" s="13">
        <v>148.0</v>
      </c>
    </row>
    <row r="1139">
      <c r="A1139" s="13">
        <v>3210038.0</v>
      </c>
      <c r="B1139" s="4">
        <v>182.0</v>
      </c>
      <c r="C1139" s="13">
        <v>105.0</v>
      </c>
      <c r="D1139" s="13">
        <v>19.0</v>
      </c>
      <c r="E1139" s="13">
        <v>182.0</v>
      </c>
    </row>
    <row r="1140">
      <c r="A1140" s="13">
        <v>3216218.0</v>
      </c>
      <c r="B1140" s="4">
        <v>171.0</v>
      </c>
      <c r="C1140" s="13">
        <v>228.0</v>
      </c>
      <c r="D1140" s="13">
        <v>74.0</v>
      </c>
      <c r="E1140" s="13">
        <v>69.0</v>
      </c>
    </row>
    <row r="1141">
      <c r="A1141" s="13">
        <v>3205024.0</v>
      </c>
      <c r="B1141" s="4">
        <v>180.0</v>
      </c>
      <c r="C1141" s="13">
        <v>50.0</v>
      </c>
      <c r="D1141" s="13">
        <v>47.0</v>
      </c>
      <c r="E1141" s="13">
        <v>35.0</v>
      </c>
    </row>
    <row r="1142">
      <c r="A1142" s="13">
        <v>3275066.0</v>
      </c>
      <c r="B1142" s="4">
        <v>171.0</v>
      </c>
      <c r="C1142" s="13">
        <v>52.0</v>
      </c>
      <c r="D1142" s="13">
        <v>36.0</v>
      </c>
      <c r="E1142" s="13">
        <v>49.0</v>
      </c>
    </row>
    <row r="1143">
      <c r="A1143" s="13">
        <v>3207023.0</v>
      </c>
      <c r="B1143" s="4">
        <v>175.0</v>
      </c>
      <c r="C1143" s="13">
        <v>256.0</v>
      </c>
      <c r="D1143" s="13">
        <v>105.0</v>
      </c>
      <c r="E1143" s="13">
        <v>651.0</v>
      </c>
    </row>
    <row r="1144">
      <c r="A1144" s="13">
        <v>3202073.0</v>
      </c>
      <c r="B1144" s="4">
        <v>165.0</v>
      </c>
      <c r="C1144" s="13">
        <v>174.0</v>
      </c>
      <c r="D1144" s="13">
        <v>24.0</v>
      </c>
      <c r="E1144" s="13">
        <v>320.0</v>
      </c>
    </row>
    <row r="1145">
      <c r="A1145" s="13">
        <v>3208058.0</v>
      </c>
      <c r="B1145" s="4">
        <v>161.0</v>
      </c>
      <c r="C1145" s="13">
        <v>159.0</v>
      </c>
      <c r="D1145" s="13">
        <v>45.0</v>
      </c>
      <c r="E1145" s="13">
        <v>238.0</v>
      </c>
    </row>
    <row r="1146">
      <c r="A1146" s="13">
        <v>3217002.0</v>
      </c>
      <c r="B1146" s="4">
        <v>174.0</v>
      </c>
      <c r="C1146" s="13">
        <v>142.0</v>
      </c>
      <c r="D1146" s="13">
        <v>31.0</v>
      </c>
      <c r="E1146" s="13">
        <v>418.0</v>
      </c>
    </row>
    <row r="1147">
      <c r="A1147" s="13">
        <v>3274135.0</v>
      </c>
      <c r="B1147" s="4">
        <v>170.0</v>
      </c>
      <c r="C1147" s="13">
        <v>102.0</v>
      </c>
      <c r="D1147" s="13">
        <v>18.0</v>
      </c>
      <c r="E1147" s="13">
        <v>241.0</v>
      </c>
    </row>
    <row r="1148">
      <c r="A1148" s="13">
        <v>3217007.0</v>
      </c>
      <c r="B1148" s="4">
        <v>174.0</v>
      </c>
      <c r="C1148" s="13">
        <v>101.0</v>
      </c>
      <c r="D1148" s="13">
        <v>27.0</v>
      </c>
      <c r="E1148" s="13">
        <v>253.0</v>
      </c>
    </row>
    <row r="1149">
      <c r="A1149" s="13">
        <v>3203041.0</v>
      </c>
      <c r="B1149" s="4">
        <v>168.0</v>
      </c>
      <c r="C1149" s="13">
        <v>50.0</v>
      </c>
      <c r="D1149" s="13">
        <v>21.0</v>
      </c>
      <c r="E1149" s="13">
        <v>51.0</v>
      </c>
    </row>
    <row r="1150">
      <c r="A1150" s="13">
        <v>3201273.0</v>
      </c>
      <c r="B1150" s="4">
        <v>169.0</v>
      </c>
      <c r="C1150" s="13">
        <v>100.0</v>
      </c>
      <c r="D1150" s="13">
        <v>39.0</v>
      </c>
      <c r="E1150" s="13">
        <v>182.0</v>
      </c>
    </row>
    <row r="1151">
      <c r="A1151" s="13">
        <v>3271115.0</v>
      </c>
      <c r="B1151" s="4">
        <v>177.0</v>
      </c>
      <c r="C1151" s="13">
        <v>200.0</v>
      </c>
      <c r="D1151" s="13">
        <v>65.0</v>
      </c>
      <c r="E1151" s="13">
        <v>609.0</v>
      </c>
    </row>
    <row r="1152">
      <c r="A1152" s="13">
        <v>3271163.0</v>
      </c>
      <c r="B1152" s="4">
        <v>177.0</v>
      </c>
      <c r="C1152" s="13">
        <v>113.0</v>
      </c>
      <c r="D1152" s="13">
        <v>53.0</v>
      </c>
      <c r="E1152" s="13">
        <v>138.0</v>
      </c>
    </row>
    <row r="1153">
      <c r="A1153" s="13">
        <v>3276154.0</v>
      </c>
      <c r="B1153" s="4">
        <v>164.0</v>
      </c>
      <c r="C1153" s="13">
        <v>221.0</v>
      </c>
      <c r="D1153" s="13">
        <v>40.0</v>
      </c>
      <c r="E1153" s="13">
        <v>162.0</v>
      </c>
    </row>
    <row r="1154">
      <c r="A1154" s="13">
        <v>3212031.0</v>
      </c>
      <c r="B1154" s="4">
        <v>179.0</v>
      </c>
      <c r="C1154" s="13">
        <v>120.0</v>
      </c>
      <c r="D1154" s="13">
        <v>38.0</v>
      </c>
      <c r="E1154" s="13">
        <v>443.0</v>
      </c>
    </row>
    <row r="1155">
      <c r="A1155" s="13">
        <v>3275039.0</v>
      </c>
      <c r="B1155" s="4">
        <v>171.0</v>
      </c>
      <c r="C1155" s="13">
        <v>103.0</v>
      </c>
      <c r="D1155" s="13">
        <v>41.0</v>
      </c>
      <c r="E1155" s="13">
        <v>156.0</v>
      </c>
    </row>
    <row r="1156">
      <c r="A1156" s="13">
        <v>3216406.0</v>
      </c>
      <c r="B1156" s="4">
        <v>163.0</v>
      </c>
      <c r="C1156" s="13">
        <v>100.0</v>
      </c>
      <c r="D1156" s="13">
        <v>27.0</v>
      </c>
      <c r="E1156" s="13">
        <v>118.0</v>
      </c>
    </row>
    <row r="1157">
      <c r="A1157" s="13">
        <v>3275060.0</v>
      </c>
      <c r="B1157" s="4">
        <v>171.0</v>
      </c>
      <c r="C1157" s="13">
        <v>103.0</v>
      </c>
      <c r="D1157" s="13">
        <v>23.0</v>
      </c>
      <c r="E1157" s="13">
        <v>215.0</v>
      </c>
    </row>
    <row r="1158">
      <c r="A1158" s="13">
        <v>3215078.0</v>
      </c>
      <c r="B1158" s="4">
        <v>160.0</v>
      </c>
      <c r="C1158" s="13">
        <v>130.0</v>
      </c>
      <c r="D1158" s="13">
        <v>33.0</v>
      </c>
      <c r="E1158" s="13">
        <v>269.0</v>
      </c>
    </row>
    <row r="1159">
      <c r="A1159" s="13">
        <v>3274136.0</v>
      </c>
      <c r="B1159" s="4">
        <v>170.0</v>
      </c>
      <c r="C1159" s="13">
        <v>75.0</v>
      </c>
      <c r="D1159" s="13">
        <v>42.0</v>
      </c>
      <c r="E1159" s="13">
        <v>184.0</v>
      </c>
    </row>
    <row r="1160">
      <c r="A1160" s="13">
        <v>3216438.0</v>
      </c>
      <c r="B1160" s="4">
        <v>163.0</v>
      </c>
      <c r="C1160" s="13">
        <v>98.0</v>
      </c>
      <c r="D1160" s="13">
        <v>24.0</v>
      </c>
      <c r="E1160" s="13">
        <v>50.0</v>
      </c>
    </row>
    <row r="1161">
      <c r="A1161" s="13">
        <v>3209055.0</v>
      </c>
      <c r="B1161" s="4">
        <v>170.0</v>
      </c>
      <c r="C1161" s="13">
        <v>75.0</v>
      </c>
      <c r="D1161" s="13">
        <v>24.0</v>
      </c>
      <c r="E1161" s="13">
        <v>47.0</v>
      </c>
    </row>
    <row r="1162">
      <c r="A1162" s="13">
        <v>3202040.0</v>
      </c>
      <c r="B1162" s="4">
        <v>165.0</v>
      </c>
      <c r="C1162" s="13">
        <v>244.0</v>
      </c>
      <c r="D1162" s="13">
        <v>30.0</v>
      </c>
      <c r="E1162" s="13">
        <v>464.0</v>
      </c>
    </row>
    <row r="1163">
      <c r="A1163" s="13">
        <v>3273431.0</v>
      </c>
      <c r="B1163" s="4">
        <v>166.0</v>
      </c>
      <c r="C1163" s="13">
        <v>29.0</v>
      </c>
      <c r="D1163" s="13">
        <v>37.0</v>
      </c>
      <c r="E1163" s="13">
        <v>171.0</v>
      </c>
    </row>
    <row r="1164">
      <c r="A1164" s="13">
        <v>3275057.0</v>
      </c>
      <c r="B1164" s="4">
        <v>171.0</v>
      </c>
      <c r="C1164" s="13">
        <v>100.0</v>
      </c>
      <c r="D1164" s="13">
        <v>32.0</v>
      </c>
      <c r="E1164" s="13">
        <v>142.0</v>
      </c>
    </row>
    <row r="1165">
      <c r="A1165" s="13">
        <v>3216435.0</v>
      </c>
      <c r="B1165" s="4">
        <v>163.0</v>
      </c>
      <c r="C1165" s="13">
        <v>73.0</v>
      </c>
      <c r="D1165" s="13">
        <v>24.0</v>
      </c>
      <c r="E1165" s="13">
        <v>62.0</v>
      </c>
    </row>
    <row r="1166">
      <c r="A1166" s="13">
        <v>3204134.0</v>
      </c>
      <c r="B1166" s="4">
        <v>167.0</v>
      </c>
      <c r="C1166" s="13">
        <v>63.0</v>
      </c>
      <c r="D1166" s="13">
        <v>27.0</v>
      </c>
      <c r="E1166" s="13">
        <v>133.0</v>
      </c>
    </row>
    <row r="1167">
      <c r="A1167" s="13">
        <v>3275414.0</v>
      </c>
      <c r="B1167" s="4">
        <v>171.0</v>
      </c>
      <c r="C1167" s="13">
        <v>133.0</v>
      </c>
      <c r="D1167" s="13">
        <v>24.0</v>
      </c>
      <c r="E1167" s="13">
        <v>182.0</v>
      </c>
    </row>
    <row r="1168">
      <c r="A1168" s="13">
        <v>3273562.0</v>
      </c>
      <c r="B1168" s="4">
        <v>166.0</v>
      </c>
      <c r="C1168" s="13">
        <v>100.0</v>
      </c>
      <c r="D1168" s="13">
        <v>21.0</v>
      </c>
      <c r="E1168" s="13">
        <v>182.0</v>
      </c>
    </row>
    <row r="1169">
      <c r="A1169" s="13">
        <v>3275130.0</v>
      </c>
      <c r="B1169" s="4">
        <v>171.0</v>
      </c>
      <c r="C1169" s="13">
        <v>105.0</v>
      </c>
      <c r="D1169" s="13">
        <v>40.0</v>
      </c>
      <c r="E1169" s="13">
        <v>197.0</v>
      </c>
    </row>
    <row r="1170">
      <c r="A1170" s="13">
        <v>3278016.0</v>
      </c>
      <c r="B1170" s="4">
        <v>162.0</v>
      </c>
      <c r="C1170" s="13">
        <v>26.0</v>
      </c>
      <c r="D1170" s="13">
        <v>11.0</v>
      </c>
      <c r="E1170" s="13">
        <v>17.0</v>
      </c>
    </row>
    <row r="1171">
      <c r="A1171" s="13">
        <v>3205010.0</v>
      </c>
      <c r="B1171" s="4">
        <v>180.0</v>
      </c>
      <c r="C1171" s="13">
        <v>432.0</v>
      </c>
      <c r="D1171" s="13">
        <v>103.0</v>
      </c>
      <c r="E1171" s="13">
        <v>1095.0</v>
      </c>
    </row>
    <row r="1172">
      <c r="A1172" s="13">
        <v>3216386.0</v>
      </c>
      <c r="B1172" s="4">
        <v>163.0</v>
      </c>
      <c r="C1172" s="13">
        <v>135.0</v>
      </c>
      <c r="D1172" s="13">
        <v>32.0</v>
      </c>
      <c r="E1172" s="13">
        <v>211.0</v>
      </c>
    </row>
    <row r="1173">
      <c r="A1173" s="13">
        <v>3275053.0</v>
      </c>
      <c r="B1173" s="4">
        <v>171.0</v>
      </c>
      <c r="C1173" s="13">
        <v>95.0</v>
      </c>
      <c r="D1173" s="13">
        <v>36.0</v>
      </c>
      <c r="E1173" s="13">
        <v>203.0</v>
      </c>
    </row>
    <row r="1174">
      <c r="A1174" s="13">
        <v>3215163.0</v>
      </c>
      <c r="B1174" s="4">
        <v>160.0</v>
      </c>
      <c r="C1174" s="13">
        <v>51.0</v>
      </c>
      <c r="D1174" s="13">
        <v>18.0</v>
      </c>
      <c r="E1174" s="13">
        <v>79.0</v>
      </c>
    </row>
    <row r="1175">
      <c r="A1175" s="13">
        <v>3215170.0</v>
      </c>
      <c r="B1175" s="4">
        <v>160.0</v>
      </c>
      <c r="C1175" s="13">
        <v>110.0</v>
      </c>
      <c r="D1175" s="13">
        <v>41.0</v>
      </c>
      <c r="E1175" s="13">
        <v>212.0</v>
      </c>
    </row>
    <row r="1176">
      <c r="A1176" s="13">
        <v>3202088.0</v>
      </c>
      <c r="B1176" s="4">
        <v>165.0</v>
      </c>
      <c r="C1176" s="13">
        <v>111.0</v>
      </c>
      <c r="D1176" s="13">
        <v>37.0</v>
      </c>
      <c r="E1176" s="13">
        <v>98.0</v>
      </c>
    </row>
    <row r="1177">
      <c r="A1177" s="13">
        <v>3216329.0</v>
      </c>
      <c r="B1177" s="4">
        <v>171.0</v>
      </c>
      <c r="C1177" s="13">
        <v>108.0</v>
      </c>
      <c r="D1177" s="13">
        <v>70.0</v>
      </c>
      <c r="E1177" s="13">
        <v>540.0</v>
      </c>
    </row>
    <row r="1178">
      <c r="A1178" s="13">
        <v>3210037.0</v>
      </c>
      <c r="B1178" s="4">
        <v>182.0</v>
      </c>
      <c r="C1178" s="13">
        <v>228.0</v>
      </c>
      <c r="D1178" s="13">
        <v>20.0</v>
      </c>
      <c r="E1178" s="13">
        <v>139.0</v>
      </c>
    </row>
    <row r="1179">
      <c r="A1179" s="13">
        <v>3201252.0</v>
      </c>
      <c r="B1179" s="4">
        <v>169.0</v>
      </c>
      <c r="C1179" s="13">
        <v>130.0</v>
      </c>
      <c r="D1179" s="13">
        <v>35.0</v>
      </c>
      <c r="E1179" s="13">
        <v>96.0</v>
      </c>
    </row>
    <row r="1180">
      <c r="A1180" s="13">
        <v>3201258.0</v>
      </c>
      <c r="B1180" s="4">
        <v>169.0</v>
      </c>
      <c r="C1180" s="13">
        <v>210.0</v>
      </c>
      <c r="D1180" s="13">
        <v>30.0</v>
      </c>
      <c r="E1180" s="13">
        <v>182.0</v>
      </c>
    </row>
    <row r="1181">
      <c r="A1181" s="13">
        <v>3209051.0</v>
      </c>
      <c r="B1181" s="4">
        <v>170.0</v>
      </c>
      <c r="C1181" s="13">
        <v>740.0</v>
      </c>
      <c r="D1181" s="13">
        <v>106.0</v>
      </c>
      <c r="E1181" s="13">
        <v>1282.0</v>
      </c>
    </row>
    <row r="1182">
      <c r="A1182" s="13">
        <v>3216340.0</v>
      </c>
      <c r="B1182" s="4">
        <v>163.0</v>
      </c>
      <c r="C1182" s="13">
        <v>109.0</v>
      </c>
      <c r="D1182" s="13">
        <v>28.0</v>
      </c>
      <c r="E1182" s="13">
        <v>222.0</v>
      </c>
    </row>
    <row r="1183">
      <c r="A1183" s="13">
        <v>3212073.0</v>
      </c>
      <c r="B1183" s="4">
        <v>179.0</v>
      </c>
      <c r="C1183" s="13">
        <v>150.0</v>
      </c>
      <c r="D1183" s="13">
        <v>26.0</v>
      </c>
      <c r="E1183" s="13">
        <v>182.0</v>
      </c>
    </row>
    <row r="1184">
      <c r="A1184" s="13">
        <v>3278095.0</v>
      </c>
      <c r="B1184" s="4">
        <v>162.0</v>
      </c>
      <c r="C1184" s="13">
        <v>102.0</v>
      </c>
      <c r="D1184" s="13">
        <v>1.0</v>
      </c>
      <c r="E1184" s="13">
        <v>182.0</v>
      </c>
    </row>
    <row r="1185">
      <c r="A1185" s="13">
        <v>3201024.0</v>
      </c>
      <c r="B1185" s="4">
        <v>169.0</v>
      </c>
      <c r="C1185" s="13">
        <v>175.0</v>
      </c>
      <c r="D1185" s="13">
        <v>43.0</v>
      </c>
      <c r="E1185" s="13">
        <v>475.0</v>
      </c>
    </row>
    <row r="1186">
      <c r="A1186" s="13">
        <v>3204041.0</v>
      </c>
      <c r="B1186" s="4">
        <v>166.0</v>
      </c>
      <c r="C1186" s="13">
        <v>100.0</v>
      </c>
      <c r="D1186" s="13">
        <v>44.0</v>
      </c>
      <c r="E1186" s="13">
        <v>226.0</v>
      </c>
    </row>
    <row r="1187">
      <c r="A1187" s="13">
        <v>3274090.0</v>
      </c>
      <c r="B1187" s="4">
        <v>172.0</v>
      </c>
      <c r="C1187" s="13">
        <v>190.0</v>
      </c>
      <c r="D1187" s="13">
        <v>55.0</v>
      </c>
      <c r="E1187" s="13">
        <v>291.0</v>
      </c>
    </row>
    <row r="1188">
      <c r="A1188" s="13">
        <v>3278017.0</v>
      </c>
      <c r="B1188" s="4">
        <v>162.0</v>
      </c>
      <c r="C1188" s="13">
        <v>27.0</v>
      </c>
      <c r="D1188" s="13">
        <v>15.0</v>
      </c>
      <c r="E1188" s="13">
        <v>65.0</v>
      </c>
    </row>
    <row r="1189">
      <c r="A1189" s="13">
        <v>3214033.0</v>
      </c>
      <c r="B1189" s="4">
        <v>178.0</v>
      </c>
      <c r="C1189" s="13">
        <v>134.0</v>
      </c>
      <c r="D1189" s="13">
        <v>31.0</v>
      </c>
      <c r="E1189" s="13">
        <v>315.0</v>
      </c>
    </row>
    <row r="1190">
      <c r="A1190" s="13">
        <v>3212055.0</v>
      </c>
      <c r="B1190" s="4">
        <v>179.0</v>
      </c>
      <c r="C1190" s="13">
        <v>50.0</v>
      </c>
      <c r="D1190" s="13">
        <v>25.0</v>
      </c>
      <c r="E1190" s="13">
        <v>85.0</v>
      </c>
    </row>
    <row r="1191">
      <c r="A1191" s="13">
        <v>3204168.0</v>
      </c>
      <c r="B1191" s="4">
        <v>167.0</v>
      </c>
      <c r="C1191" s="13">
        <v>120.0</v>
      </c>
      <c r="D1191" s="13">
        <v>42.0</v>
      </c>
      <c r="E1191" s="13">
        <v>182.0</v>
      </c>
    </row>
    <row r="1192">
      <c r="A1192" s="13">
        <v>3201141.0</v>
      </c>
      <c r="B1192" s="4">
        <v>164.0</v>
      </c>
      <c r="C1192" s="13">
        <v>66.0</v>
      </c>
      <c r="D1192" s="13">
        <v>27.0</v>
      </c>
      <c r="E1192" s="13">
        <v>182.0</v>
      </c>
    </row>
    <row r="1193">
      <c r="A1193" s="13">
        <v>3273165.0</v>
      </c>
      <c r="B1193" s="4">
        <v>166.0</v>
      </c>
      <c r="C1193" s="13">
        <v>100.0</v>
      </c>
      <c r="D1193" s="13">
        <v>77.0</v>
      </c>
      <c r="E1193" s="13">
        <v>506.0</v>
      </c>
    </row>
    <row r="1194">
      <c r="A1194" s="13">
        <v>3216445.0</v>
      </c>
      <c r="B1194" s="4">
        <v>171.0</v>
      </c>
      <c r="C1194" s="13">
        <v>103.0</v>
      </c>
      <c r="D1194" s="13">
        <v>42.0</v>
      </c>
      <c r="E1194" s="13">
        <v>106.0</v>
      </c>
    </row>
    <row r="1195">
      <c r="A1195" s="13">
        <v>3275061.0</v>
      </c>
      <c r="B1195" s="4">
        <v>171.0</v>
      </c>
      <c r="C1195" s="13">
        <v>104.0</v>
      </c>
      <c r="D1195" s="13">
        <v>27.0</v>
      </c>
      <c r="E1195" s="13">
        <v>177.0</v>
      </c>
    </row>
    <row r="1196">
      <c r="A1196" s="13">
        <v>3206023.0</v>
      </c>
      <c r="B1196" s="4">
        <v>186.0</v>
      </c>
      <c r="C1196" s="13">
        <v>240.0</v>
      </c>
      <c r="D1196" s="13">
        <v>47.0</v>
      </c>
      <c r="E1196" s="13">
        <v>855.0</v>
      </c>
    </row>
    <row r="1197">
      <c r="A1197" s="13">
        <v>3201243.0</v>
      </c>
      <c r="B1197" s="4">
        <v>177.0</v>
      </c>
      <c r="C1197" s="13">
        <v>40.0</v>
      </c>
      <c r="D1197" s="13">
        <v>18.0</v>
      </c>
      <c r="E1197" s="13">
        <v>24.0</v>
      </c>
    </row>
    <row r="1198">
      <c r="A1198" s="13">
        <v>3204133.0</v>
      </c>
      <c r="B1198" s="4">
        <v>167.0</v>
      </c>
      <c r="C1198" s="13">
        <v>109.0</v>
      </c>
      <c r="D1198" s="13">
        <v>57.0</v>
      </c>
      <c r="E1198" s="13">
        <v>181.0</v>
      </c>
    </row>
    <row r="1199">
      <c r="A1199" s="13">
        <v>3216449.0</v>
      </c>
      <c r="B1199" s="4">
        <v>163.0</v>
      </c>
      <c r="C1199" s="13">
        <v>292.0</v>
      </c>
      <c r="D1199" s="13">
        <v>43.0</v>
      </c>
      <c r="E1199" s="13">
        <v>41.0</v>
      </c>
    </row>
    <row r="1200">
      <c r="A1200" s="13">
        <v>3204075.0</v>
      </c>
      <c r="B1200" s="4">
        <v>181.0</v>
      </c>
      <c r="C1200" s="13">
        <v>263.0</v>
      </c>
      <c r="D1200" s="13">
        <v>218.0</v>
      </c>
      <c r="E1200" s="13">
        <v>125.0</v>
      </c>
    </row>
    <row r="1201">
      <c r="A1201" s="13">
        <v>3274020.0</v>
      </c>
      <c r="B1201" s="4">
        <v>172.0</v>
      </c>
      <c r="C1201" s="13">
        <v>210.0</v>
      </c>
      <c r="D1201" s="13">
        <v>41.0</v>
      </c>
      <c r="E1201" s="13">
        <v>647.0</v>
      </c>
    </row>
    <row r="1202">
      <c r="A1202" s="13">
        <v>3279003.0</v>
      </c>
      <c r="B1202" s="4">
        <v>175.0</v>
      </c>
      <c r="C1202" s="13">
        <v>83.0</v>
      </c>
      <c r="D1202" s="13">
        <v>25.0</v>
      </c>
      <c r="E1202" s="13">
        <v>152.0</v>
      </c>
    </row>
    <row r="1203">
      <c r="A1203" s="13">
        <v>3204171.0</v>
      </c>
      <c r="B1203" s="4">
        <v>167.0</v>
      </c>
      <c r="C1203" s="13">
        <v>54.0</v>
      </c>
      <c r="D1203" s="13">
        <v>18.0</v>
      </c>
      <c r="E1203" s="13">
        <v>182.0</v>
      </c>
    </row>
    <row r="1204">
      <c r="A1204" s="13">
        <v>3217134.0</v>
      </c>
      <c r="B1204" s="4">
        <v>174.0</v>
      </c>
      <c r="C1204" s="13">
        <v>31.0</v>
      </c>
      <c r="D1204" s="13">
        <v>22.0</v>
      </c>
      <c r="E1204" s="13">
        <v>182.0</v>
      </c>
    </row>
    <row r="1205">
      <c r="A1205" s="13">
        <v>3216252.0</v>
      </c>
      <c r="B1205" s="4">
        <v>163.0</v>
      </c>
      <c r="C1205" s="13">
        <v>256.0</v>
      </c>
      <c r="D1205" s="13">
        <v>118.0</v>
      </c>
      <c r="E1205" s="13">
        <v>861.0</v>
      </c>
    </row>
    <row r="1206">
      <c r="A1206" s="13">
        <v>3275068.0</v>
      </c>
      <c r="B1206" s="4">
        <v>171.0</v>
      </c>
      <c r="C1206" s="13">
        <v>69.0</v>
      </c>
      <c r="D1206" s="13">
        <v>37.0</v>
      </c>
      <c r="E1206" s="13">
        <v>4.0</v>
      </c>
    </row>
    <row r="1207">
      <c r="A1207" s="13">
        <v>3208013.0</v>
      </c>
      <c r="B1207" s="4">
        <v>161.0</v>
      </c>
      <c r="C1207" s="13">
        <v>216.0</v>
      </c>
      <c r="D1207" s="13">
        <v>73.0</v>
      </c>
      <c r="E1207" s="13">
        <v>445.0</v>
      </c>
    </row>
    <row r="1208">
      <c r="A1208" s="13">
        <v>3208046.0</v>
      </c>
      <c r="B1208" s="4">
        <v>161.0</v>
      </c>
      <c r="C1208" s="13">
        <v>185.0</v>
      </c>
      <c r="D1208" s="13">
        <v>19.0</v>
      </c>
      <c r="E1208" s="13">
        <v>328.0</v>
      </c>
    </row>
    <row r="1209">
      <c r="A1209" s="13">
        <v>3275392.0</v>
      </c>
      <c r="B1209" s="4">
        <v>171.0</v>
      </c>
      <c r="C1209" s="13">
        <v>250.0</v>
      </c>
      <c r="D1209" s="13">
        <v>121.0</v>
      </c>
      <c r="E1209" s="13">
        <v>558.0</v>
      </c>
    </row>
    <row r="1210">
      <c r="A1210" s="13">
        <v>3271139.0</v>
      </c>
      <c r="B1210" s="4">
        <v>169.0</v>
      </c>
      <c r="C1210" s="13">
        <v>110.0</v>
      </c>
      <c r="D1210" s="13">
        <v>49.0</v>
      </c>
      <c r="E1210" s="13">
        <v>173.0</v>
      </c>
    </row>
    <row r="1211">
      <c r="A1211" s="13">
        <v>3275373.0</v>
      </c>
      <c r="B1211" s="4">
        <v>171.0</v>
      </c>
      <c r="C1211" s="13">
        <v>114.0</v>
      </c>
      <c r="D1211" s="13">
        <v>56.0</v>
      </c>
      <c r="E1211" s="13">
        <v>356.0</v>
      </c>
    </row>
    <row r="1212">
      <c r="A1212" s="13">
        <v>3201238.0</v>
      </c>
      <c r="B1212" s="4">
        <v>169.0</v>
      </c>
      <c r="C1212" s="13">
        <v>193.0</v>
      </c>
      <c r="D1212" s="13">
        <v>46.0</v>
      </c>
      <c r="E1212" s="13">
        <v>433.0</v>
      </c>
    </row>
    <row r="1213">
      <c r="A1213" s="13">
        <v>3275064.0</v>
      </c>
      <c r="B1213" s="4">
        <v>171.0</v>
      </c>
      <c r="C1213" s="13">
        <v>65.0</v>
      </c>
      <c r="D1213" s="13">
        <v>29.0</v>
      </c>
      <c r="E1213" s="13">
        <v>36.0</v>
      </c>
    </row>
    <row r="1214">
      <c r="A1214" s="13">
        <v>3213021.0</v>
      </c>
      <c r="B1214" s="4">
        <v>173.0</v>
      </c>
      <c r="C1214" s="13">
        <v>105.0</v>
      </c>
      <c r="D1214" s="13">
        <v>27.0</v>
      </c>
      <c r="E1214" s="13">
        <v>283.0</v>
      </c>
    </row>
    <row r="1215">
      <c r="A1215" s="13">
        <v>3276017.0</v>
      </c>
      <c r="B1215" s="4">
        <v>164.0</v>
      </c>
      <c r="C1215" s="13">
        <v>210.0</v>
      </c>
      <c r="D1215" s="13">
        <v>48.0</v>
      </c>
      <c r="E1215" s="13">
        <v>542.0</v>
      </c>
    </row>
    <row r="1216">
      <c r="A1216" s="13">
        <v>3275046.0</v>
      </c>
      <c r="B1216" s="4">
        <v>171.0</v>
      </c>
      <c r="C1216" s="13">
        <v>184.0</v>
      </c>
      <c r="D1216" s="13">
        <v>70.0</v>
      </c>
      <c r="E1216" s="13">
        <v>628.0</v>
      </c>
    </row>
    <row r="1217">
      <c r="A1217" s="13">
        <v>3278015.0</v>
      </c>
      <c r="B1217" s="4">
        <v>162.0</v>
      </c>
      <c r="C1217" s="13">
        <v>30.0</v>
      </c>
      <c r="D1217" s="13">
        <v>14.0</v>
      </c>
      <c r="E1217" s="13">
        <v>11.0</v>
      </c>
    </row>
    <row r="1218">
      <c r="A1218" s="13">
        <v>3216407.0</v>
      </c>
      <c r="B1218" s="4">
        <v>163.0</v>
      </c>
      <c r="C1218" s="13">
        <v>30.0</v>
      </c>
      <c r="D1218" s="13">
        <v>18.0</v>
      </c>
      <c r="E1218" s="13">
        <v>6.0</v>
      </c>
    </row>
    <row r="1219">
      <c r="A1219" s="13">
        <v>3275070.0</v>
      </c>
      <c r="B1219" s="4">
        <v>171.0</v>
      </c>
      <c r="C1219" s="13">
        <v>50.0</v>
      </c>
      <c r="D1219" s="13">
        <v>26.0</v>
      </c>
      <c r="E1219" s="13">
        <v>182.0</v>
      </c>
    </row>
    <row r="1220">
      <c r="A1220" s="13">
        <v>3215100.0</v>
      </c>
      <c r="B1220" s="4">
        <v>160.0</v>
      </c>
      <c r="C1220" s="13">
        <v>55.0</v>
      </c>
      <c r="D1220" s="13">
        <v>22.0</v>
      </c>
      <c r="E1220" s="13">
        <v>21.0</v>
      </c>
    </row>
    <row r="1221">
      <c r="A1221" s="13">
        <v>3273145.0</v>
      </c>
      <c r="B1221" s="4">
        <v>166.0</v>
      </c>
      <c r="C1221" s="13">
        <v>270.0</v>
      </c>
      <c r="D1221" s="13">
        <v>83.0</v>
      </c>
      <c r="E1221" s="13">
        <v>545.0</v>
      </c>
    </row>
    <row r="1222">
      <c r="A1222" s="13">
        <v>3273542.0</v>
      </c>
      <c r="B1222" s="4">
        <v>166.0</v>
      </c>
      <c r="C1222" s="13">
        <v>450.0</v>
      </c>
      <c r="D1222" s="13">
        <v>140.0</v>
      </c>
      <c r="E1222" s="13">
        <v>641.0</v>
      </c>
    </row>
    <row r="1223">
      <c r="A1223" s="13">
        <v>3201257.0</v>
      </c>
      <c r="B1223" s="4">
        <v>177.0</v>
      </c>
      <c r="C1223" s="13">
        <v>100.0</v>
      </c>
      <c r="D1223" s="13">
        <v>27.0</v>
      </c>
      <c r="E1223" s="13">
        <v>72.0</v>
      </c>
    </row>
    <row r="1224">
      <c r="A1224" s="13">
        <v>3202087.0</v>
      </c>
      <c r="B1224" s="4">
        <v>165.0</v>
      </c>
      <c r="C1224" s="13">
        <v>54.0</v>
      </c>
      <c r="D1224" s="13">
        <v>18.0</v>
      </c>
      <c r="E1224" s="13">
        <v>125.0</v>
      </c>
    </row>
    <row r="1225">
      <c r="A1225" s="13">
        <v>3202062.0</v>
      </c>
      <c r="B1225" s="4">
        <v>165.0</v>
      </c>
      <c r="C1225" s="13">
        <v>215.0</v>
      </c>
      <c r="D1225" s="13">
        <v>88.0</v>
      </c>
      <c r="E1225" s="13">
        <v>408.0</v>
      </c>
    </row>
    <row r="1226">
      <c r="A1226" s="13">
        <v>3273453.0</v>
      </c>
      <c r="B1226" s="4">
        <v>166.0</v>
      </c>
      <c r="C1226" s="13">
        <v>32.0</v>
      </c>
      <c r="D1226" s="13">
        <v>35.0</v>
      </c>
      <c r="E1226" s="13">
        <v>349.0</v>
      </c>
    </row>
    <row r="1227">
      <c r="A1227" s="13">
        <v>3217121.0</v>
      </c>
      <c r="B1227" s="4">
        <v>174.0</v>
      </c>
      <c r="C1227" s="13">
        <v>169.0</v>
      </c>
      <c r="D1227" s="13">
        <v>40.0</v>
      </c>
      <c r="E1227" s="13">
        <v>426.0</v>
      </c>
    </row>
    <row r="1228">
      <c r="A1228" s="13">
        <v>3216464.0</v>
      </c>
      <c r="B1228" s="4">
        <v>163.0</v>
      </c>
      <c r="C1228" s="13">
        <v>98.0</v>
      </c>
      <c r="D1228" s="13">
        <v>29.0</v>
      </c>
      <c r="E1228" s="13">
        <v>182.0</v>
      </c>
    </row>
    <row r="1229">
      <c r="A1229" s="13">
        <v>3216163.0</v>
      </c>
      <c r="B1229" s="4">
        <v>163.0</v>
      </c>
      <c r="C1229" s="13">
        <v>200.0</v>
      </c>
      <c r="D1229" s="13">
        <v>87.0</v>
      </c>
      <c r="E1229" s="13">
        <v>588.0</v>
      </c>
    </row>
    <row r="1230">
      <c r="A1230" s="13">
        <v>3216425.0</v>
      </c>
      <c r="B1230" s="4">
        <v>163.0</v>
      </c>
      <c r="C1230" s="13">
        <v>52.0</v>
      </c>
      <c r="D1230" s="13">
        <v>18.0</v>
      </c>
      <c r="E1230" s="13">
        <v>102.0</v>
      </c>
    </row>
    <row r="1231">
      <c r="A1231" s="13">
        <v>3201233.0</v>
      </c>
      <c r="B1231" s="4">
        <v>169.0</v>
      </c>
      <c r="C1231" s="13">
        <v>155.0</v>
      </c>
      <c r="D1231" s="13">
        <v>32.0</v>
      </c>
      <c r="E1231" s="13">
        <v>333.0</v>
      </c>
    </row>
    <row r="1232">
      <c r="A1232" s="13">
        <v>3212059.0</v>
      </c>
      <c r="B1232" s="4">
        <v>179.0</v>
      </c>
      <c r="C1232" s="13">
        <v>552.0</v>
      </c>
      <c r="D1232" s="13">
        <v>31.0</v>
      </c>
      <c r="E1232" s="13">
        <v>78.0</v>
      </c>
    </row>
    <row r="1233">
      <c r="A1233" s="13">
        <v>3205038.0</v>
      </c>
      <c r="B1233" s="4">
        <v>180.0</v>
      </c>
      <c r="C1233" s="13">
        <v>56.0</v>
      </c>
      <c r="D1233" s="13">
        <v>8.0</v>
      </c>
      <c r="E1233" s="13">
        <v>182.0</v>
      </c>
    </row>
    <row r="1234">
      <c r="A1234" s="13">
        <v>3206011.0</v>
      </c>
      <c r="B1234" s="4">
        <v>162.0</v>
      </c>
      <c r="C1234" s="13">
        <v>465.0</v>
      </c>
      <c r="D1234" s="13">
        <v>39.0</v>
      </c>
      <c r="E1234" s="13">
        <v>392.0</v>
      </c>
    </row>
    <row r="1235">
      <c r="A1235" s="13">
        <v>3271162.0</v>
      </c>
      <c r="B1235" s="4">
        <v>177.0</v>
      </c>
      <c r="C1235" s="13">
        <v>34.0</v>
      </c>
      <c r="D1235" s="13">
        <v>17.0</v>
      </c>
      <c r="E1235" s="13">
        <v>166.0</v>
      </c>
    </row>
    <row r="1236">
      <c r="A1236" s="13">
        <v>3216399.0</v>
      </c>
      <c r="B1236" s="4">
        <v>163.0</v>
      </c>
      <c r="C1236" s="13">
        <v>104.0</v>
      </c>
      <c r="D1236" s="13">
        <v>26.0</v>
      </c>
      <c r="E1236" s="13">
        <v>37.0</v>
      </c>
    </row>
    <row r="1237">
      <c r="A1237" s="13">
        <v>3271024.0</v>
      </c>
      <c r="B1237" s="4">
        <v>177.0</v>
      </c>
      <c r="C1237" s="13">
        <v>152.0</v>
      </c>
      <c r="D1237" s="13">
        <v>38.0</v>
      </c>
      <c r="E1237" s="13">
        <v>375.0</v>
      </c>
    </row>
    <row r="1238">
      <c r="A1238" s="13">
        <v>3216466.0</v>
      </c>
      <c r="B1238" s="4">
        <v>163.0</v>
      </c>
      <c r="C1238" s="13">
        <v>112.0</v>
      </c>
      <c r="D1238" s="13">
        <v>14.0</v>
      </c>
      <c r="E1238" s="13">
        <v>182.0</v>
      </c>
    </row>
    <row r="1239">
      <c r="A1239" s="13">
        <v>3210025.0</v>
      </c>
      <c r="B1239" s="4">
        <v>182.0</v>
      </c>
      <c r="C1239" s="13">
        <v>259.0</v>
      </c>
      <c r="D1239" s="13">
        <v>65.0</v>
      </c>
      <c r="E1239" s="13">
        <v>619.0</v>
      </c>
    </row>
    <row r="1240">
      <c r="A1240" s="13">
        <v>3216362.0</v>
      </c>
      <c r="B1240" s="4">
        <v>163.0</v>
      </c>
      <c r="C1240" s="13">
        <v>128.0</v>
      </c>
      <c r="D1240" s="13">
        <v>37.0</v>
      </c>
      <c r="E1240" s="13">
        <v>350.0</v>
      </c>
    </row>
    <row r="1241">
      <c r="A1241" s="13">
        <v>3215158.0</v>
      </c>
      <c r="B1241" s="4">
        <v>160.0</v>
      </c>
      <c r="C1241" s="13">
        <v>193.0</v>
      </c>
      <c r="D1241" s="13">
        <v>57.0</v>
      </c>
      <c r="E1241" s="13">
        <v>243.0</v>
      </c>
    </row>
    <row r="1242">
      <c r="A1242" s="13">
        <v>3216432.0</v>
      </c>
      <c r="B1242" s="4">
        <v>163.0</v>
      </c>
      <c r="C1242" s="13">
        <v>45.0</v>
      </c>
      <c r="D1242" s="13">
        <v>23.0</v>
      </c>
      <c r="E1242" s="13">
        <v>13.0</v>
      </c>
    </row>
    <row r="1243">
      <c r="A1243" s="13">
        <v>3201254.0</v>
      </c>
      <c r="B1243" s="4">
        <v>177.0</v>
      </c>
      <c r="C1243" s="13">
        <v>112.0</v>
      </c>
      <c r="D1243" s="13">
        <v>49.0</v>
      </c>
      <c r="E1243" s="13">
        <v>173.0</v>
      </c>
    </row>
    <row r="1244">
      <c r="A1244" s="13">
        <v>3201046.0</v>
      </c>
      <c r="B1244" s="4">
        <v>169.0</v>
      </c>
      <c r="C1244" s="13">
        <v>515.0</v>
      </c>
      <c r="D1244" s="13">
        <v>103.0</v>
      </c>
      <c r="E1244" s="13">
        <v>795.0</v>
      </c>
    </row>
    <row r="1245">
      <c r="A1245" s="13">
        <v>3273063.0</v>
      </c>
      <c r="B1245" s="4">
        <v>166.0</v>
      </c>
      <c r="C1245" s="13">
        <v>202.0</v>
      </c>
      <c r="D1245" s="13">
        <v>41.0</v>
      </c>
      <c r="E1245" s="13">
        <v>581.0</v>
      </c>
    </row>
    <row r="1246">
      <c r="A1246" s="13">
        <v>3274111.0</v>
      </c>
      <c r="B1246" s="4">
        <v>172.0</v>
      </c>
      <c r="C1246" s="13">
        <v>49.0</v>
      </c>
      <c r="D1246" s="13">
        <v>13.0</v>
      </c>
      <c r="E1246" s="13">
        <v>65.0</v>
      </c>
    </row>
    <row r="1247">
      <c r="A1247" s="13">
        <v>3208059.0</v>
      </c>
      <c r="B1247" s="4">
        <v>161.0</v>
      </c>
      <c r="C1247" s="13">
        <v>110.0</v>
      </c>
      <c r="D1247" s="13">
        <v>28.0</v>
      </c>
      <c r="E1247" s="13">
        <v>109.0</v>
      </c>
    </row>
    <row r="1248">
      <c r="A1248" s="13">
        <v>3201185.0</v>
      </c>
      <c r="B1248" s="4">
        <v>164.0</v>
      </c>
      <c r="C1248" s="13">
        <v>203.0</v>
      </c>
      <c r="D1248" s="13">
        <v>65.0</v>
      </c>
      <c r="E1248" s="13">
        <v>416.0</v>
      </c>
    </row>
    <row r="1249">
      <c r="A1249" s="13">
        <v>3273191.0</v>
      </c>
      <c r="B1249" s="4">
        <v>166.0</v>
      </c>
      <c r="C1249" s="13">
        <v>88.0</v>
      </c>
      <c r="D1249" s="13">
        <v>37.0</v>
      </c>
      <c r="E1249" s="13">
        <v>428.0</v>
      </c>
    </row>
    <row r="1250">
      <c r="A1250" s="13">
        <v>3216447.0</v>
      </c>
      <c r="B1250" s="4">
        <v>163.0</v>
      </c>
      <c r="C1250" s="13">
        <v>17.0</v>
      </c>
      <c r="D1250" s="13">
        <v>4.0</v>
      </c>
      <c r="E1250" s="13">
        <v>182.0</v>
      </c>
    </row>
    <row r="1251">
      <c r="A1251" s="13">
        <v>3276153.0</v>
      </c>
      <c r="B1251" s="4">
        <v>164.0</v>
      </c>
      <c r="C1251" s="13">
        <v>195.0</v>
      </c>
      <c r="D1251" s="13">
        <v>48.0</v>
      </c>
      <c r="E1251" s="13">
        <v>38.0</v>
      </c>
    </row>
    <row r="1252">
      <c r="A1252" s="13">
        <v>3201259.0</v>
      </c>
      <c r="B1252" s="4">
        <v>169.0</v>
      </c>
      <c r="C1252" s="13">
        <v>121.0</v>
      </c>
      <c r="D1252" s="13">
        <v>30.0</v>
      </c>
      <c r="E1252" s="13">
        <v>68.0</v>
      </c>
    </row>
    <row r="1253">
      <c r="A1253" s="13">
        <v>3275083.0</v>
      </c>
      <c r="B1253" s="4">
        <v>171.0</v>
      </c>
      <c r="C1253" s="13">
        <v>54.0</v>
      </c>
      <c r="D1253" s="13">
        <v>22.0</v>
      </c>
      <c r="E1253" s="13">
        <v>152.0</v>
      </c>
    </row>
    <row r="1254">
      <c r="A1254" s="13">
        <v>3278082.0</v>
      </c>
      <c r="B1254" s="4">
        <v>162.0</v>
      </c>
      <c r="C1254" s="13">
        <v>100.0</v>
      </c>
      <c r="D1254" s="13">
        <v>35.0</v>
      </c>
      <c r="E1254" s="13">
        <v>46.0</v>
      </c>
    </row>
    <row r="1255">
      <c r="A1255" s="13">
        <v>3275054.0</v>
      </c>
      <c r="B1255" s="4">
        <v>163.0</v>
      </c>
      <c r="C1255" s="13">
        <v>100.0</v>
      </c>
      <c r="D1255" s="13">
        <v>30.0</v>
      </c>
      <c r="E1255" s="13">
        <v>58.0</v>
      </c>
    </row>
    <row r="1256">
      <c r="A1256" s="13">
        <v>3201272.0</v>
      </c>
      <c r="B1256" s="4">
        <v>169.0</v>
      </c>
      <c r="C1256" s="13">
        <v>110.0</v>
      </c>
      <c r="D1256" s="13">
        <v>36.0</v>
      </c>
      <c r="E1256" s="13">
        <v>182.0</v>
      </c>
    </row>
    <row r="1257">
      <c r="A1257" s="13">
        <v>3204090.0</v>
      </c>
      <c r="B1257" s="4">
        <v>167.0</v>
      </c>
      <c r="C1257" s="13">
        <v>259.0</v>
      </c>
      <c r="D1257" s="13">
        <v>37.0</v>
      </c>
      <c r="E1257" s="13">
        <v>528.0</v>
      </c>
    </row>
    <row r="1258">
      <c r="A1258" s="13">
        <v>3274053.0</v>
      </c>
      <c r="B1258" s="4">
        <v>172.0</v>
      </c>
      <c r="C1258" s="13">
        <v>127.0</v>
      </c>
      <c r="D1258" s="13">
        <v>39.0</v>
      </c>
      <c r="E1258" s="13">
        <v>265.0</v>
      </c>
    </row>
    <row r="1259">
      <c r="A1259" s="13">
        <v>3216388.0</v>
      </c>
      <c r="B1259" s="4">
        <v>163.0</v>
      </c>
      <c r="C1259" s="13">
        <v>237.0</v>
      </c>
      <c r="D1259" s="13">
        <v>26.0</v>
      </c>
      <c r="E1259" s="13">
        <v>538.0</v>
      </c>
    </row>
    <row r="1260">
      <c r="A1260" s="13">
        <v>3216439.0</v>
      </c>
      <c r="B1260" s="4">
        <v>163.0</v>
      </c>
      <c r="C1260" s="13">
        <v>49.0</v>
      </c>
      <c r="D1260" s="13">
        <v>20.0</v>
      </c>
      <c r="E1260" s="13">
        <v>14.0</v>
      </c>
    </row>
    <row r="1261">
      <c r="A1261" s="13">
        <v>3275274.0</v>
      </c>
      <c r="B1261" s="4">
        <v>171.0</v>
      </c>
      <c r="C1261" s="13">
        <v>96.0</v>
      </c>
      <c r="D1261" s="13">
        <v>37.0</v>
      </c>
      <c r="E1261" s="13">
        <v>236.0</v>
      </c>
    </row>
    <row r="1262">
      <c r="A1262" s="13">
        <v>3204129.0</v>
      </c>
      <c r="B1262" s="4">
        <v>166.0</v>
      </c>
      <c r="C1262" s="13">
        <v>40.0</v>
      </c>
      <c r="D1262" s="13">
        <v>34.0</v>
      </c>
      <c r="E1262" s="13">
        <v>221.0</v>
      </c>
    </row>
    <row r="1263">
      <c r="A1263" s="13">
        <v>3208065.0</v>
      </c>
      <c r="B1263" s="4">
        <v>161.0</v>
      </c>
      <c r="C1263" s="13">
        <v>152.0</v>
      </c>
      <c r="D1263" s="13">
        <v>32.0</v>
      </c>
      <c r="E1263" s="13">
        <v>93.0</v>
      </c>
    </row>
    <row r="1264">
      <c r="A1264" s="13">
        <v>3208035.0</v>
      </c>
      <c r="B1264" s="4">
        <v>161.0</v>
      </c>
      <c r="C1264" s="13">
        <v>102.0</v>
      </c>
      <c r="D1264" s="13">
        <v>28.0</v>
      </c>
      <c r="E1264" s="13">
        <v>313.0</v>
      </c>
    </row>
    <row r="1265">
      <c r="A1265" s="13">
        <v>3214031.0</v>
      </c>
      <c r="B1265" s="4">
        <v>178.0</v>
      </c>
      <c r="C1265" s="13">
        <v>261.0</v>
      </c>
      <c r="D1265" s="13">
        <v>57.0</v>
      </c>
      <c r="E1265" s="13">
        <v>513.0</v>
      </c>
    </row>
    <row r="1266">
      <c r="A1266" s="13">
        <v>3201241.0</v>
      </c>
      <c r="B1266" s="4">
        <v>177.0</v>
      </c>
      <c r="C1266" s="13">
        <v>201.0</v>
      </c>
      <c r="D1266" s="13">
        <v>42.0</v>
      </c>
      <c r="E1266" s="13">
        <v>343.0</v>
      </c>
    </row>
    <row r="1267">
      <c r="A1267" s="13">
        <v>3216423.0</v>
      </c>
      <c r="B1267" s="4">
        <v>171.0</v>
      </c>
      <c r="C1267" s="13">
        <v>101.0</v>
      </c>
      <c r="D1267" s="13">
        <v>25.0</v>
      </c>
      <c r="E1267" s="13">
        <v>154.0</v>
      </c>
    </row>
    <row r="1268">
      <c r="A1268" s="13">
        <v>3278093.0</v>
      </c>
      <c r="B1268" s="4">
        <v>162.0</v>
      </c>
      <c r="C1268" s="13">
        <v>111.0</v>
      </c>
      <c r="D1268" s="13">
        <v>25.0</v>
      </c>
      <c r="E1268" s="13">
        <v>182.0</v>
      </c>
    </row>
    <row r="1269">
      <c r="A1269" s="13">
        <v>3272036.0</v>
      </c>
      <c r="B1269" s="4">
        <v>185.0</v>
      </c>
      <c r="C1269" s="13">
        <v>63.0</v>
      </c>
      <c r="D1269" s="13">
        <v>28.0</v>
      </c>
      <c r="E1269" s="13">
        <v>146.0</v>
      </c>
    </row>
    <row r="1270">
      <c r="A1270" s="13">
        <v>3216450.0</v>
      </c>
      <c r="B1270" s="4">
        <v>163.0</v>
      </c>
      <c r="C1270" s="13">
        <v>149.0</v>
      </c>
      <c r="D1270" s="13">
        <v>94.0</v>
      </c>
      <c r="E1270" s="13">
        <v>235.0</v>
      </c>
    </row>
    <row r="1271">
      <c r="A1271" s="13">
        <v>3214011.0</v>
      </c>
      <c r="B1271" s="4">
        <v>178.0</v>
      </c>
      <c r="C1271" s="13">
        <v>261.0</v>
      </c>
      <c r="D1271" s="13">
        <v>108.0</v>
      </c>
      <c r="E1271" s="13">
        <v>752.0</v>
      </c>
    </row>
    <row r="1272">
      <c r="A1272" s="13">
        <v>3213045.0</v>
      </c>
      <c r="B1272" s="4">
        <v>173.0</v>
      </c>
      <c r="C1272" s="13">
        <v>100.0</v>
      </c>
      <c r="D1272" s="13">
        <v>32.0</v>
      </c>
      <c r="E1272" s="13">
        <v>185.0</v>
      </c>
    </row>
    <row r="1273">
      <c r="A1273" s="13">
        <v>3215123.0</v>
      </c>
      <c r="B1273" s="4">
        <v>160.0</v>
      </c>
      <c r="C1273" s="13">
        <v>143.0</v>
      </c>
      <c r="D1273" s="13">
        <v>46.0</v>
      </c>
      <c r="E1273" s="13">
        <v>490.0</v>
      </c>
    </row>
    <row r="1274">
      <c r="A1274" s="13">
        <v>3216417.0</v>
      </c>
      <c r="B1274" s="4">
        <v>163.0</v>
      </c>
      <c r="C1274" s="13">
        <v>201.0</v>
      </c>
      <c r="D1274" s="13">
        <v>34.0</v>
      </c>
      <c r="E1274" s="13">
        <v>63.0</v>
      </c>
    </row>
    <row r="1275">
      <c r="A1275" s="13">
        <v>3206084.0</v>
      </c>
      <c r="B1275" s="4">
        <v>186.0</v>
      </c>
      <c r="C1275" s="13">
        <v>55.0</v>
      </c>
      <c r="D1275" s="13">
        <v>16.0</v>
      </c>
      <c r="E1275" s="13">
        <v>110.0</v>
      </c>
    </row>
    <row r="1276">
      <c r="A1276" s="13">
        <v>3217132.0</v>
      </c>
      <c r="B1276" s="4">
        <v>174.0</v>
      </c>
      <c r="C1276" s="13">
        <v>31.0</v>
      </c>
      <c r="D1276" s="13">
        <v>28.0</v>
      </c>
      <c r="E1276" s="13">
        <v>182.0</v>
      </c>
    </row>
    <row r="1277">
      <c r="A1277" s="13">
        <v>3203037.0</v>
      </c>
      <c r="B1277" s="4">
        <v>168.0</v>
      </c>
      <c r="C1277" s="13">
        <v>170.0</v>
      </c>
      <c r="D1277" s="13">
        <v>92.0</v>
      </c>
      <c r="E1277" s="13">
        <v>261.0</v>
      </c>
    </row>
    <row r="1278">
      <c r="A1278" s="13">
        <v>3273486.0</v>
      </c>
      <c r="B1278" s="4">
        <v>166.0</v>
      </c>
      <c r="C1278" s="13">
        <v>500.0</v>
      </c>
      <c r="D1278" s="13">
        <v>138.0</v>
      </c>
      <c r="E1278" s="13">
        <v>1573.0</v>
      </c>
    </row>
    <row r="1279">
      <c r="A1279" s="13">
        <v>3278014.0</v>
      </c>
      <c r="B1279" s="4">
        <v>162.0</v>
      </c>
      <c r="C1279" s="13">
        <v>190.0</v>
      </c>
      <c r="D1279" s="13">
        <v>48.0</v>
      </c>
      <c r="E1279" s="13">
        <v>490.0</v>
      </c>
    </row>
    <row r="1280">
      <c r="A1280" s="13">
        <v>3216185.0</v>
      </c>
      <c r="B1280" s="4">
        <v>163.0</v>
      </c>
      <c r="C1280" s="13">
        <v>104.0</v>
      </c>
      <c r="D1280" s="13">
        <v>29.0</v>
      </c>
      <c r="E1280" s="13">
        <v>84.0</v>
      </c>
    </row>
    <row r="1281">
      <c r="A1281" s="13">
        <v>3215165.0</v>
      </c>
      <c r="B1281" s="4">
        <v>160.0</v>
      </c>
      <c r="C1281" s="13">
        <v>94.0</v>
      </c>
      <c r="D1281" s="13">
        <v>24.0</v>
      </c>
      <c r="E1281" s="13">
        <v>126.0</v>
      </c>
    </row>
    <row r="1282">
      <c r="A1282" s="13">
        <v>3206070.0</v>
      </c>
      <c r="B1282" s="4">
        <v>162.0</v>
      </c>
      <c r="C1282" s="13">
        <v>199.0</v>
      </c>
      <c r="D1282" s="13">
        <v>95.0</v>
      </c>
      <c r="E1282" s="13">
        <v>624.0</v>
      </c>
    </row>
    <row r="1283">
      <c r="A1283" s="13">
        <v>3216451.0</v>
      </c>
      <c r="B1283" s="4">
        <v>163.0</v>
      </c>
      <c r="C1283" s="13">
        <v>100.0</v>
      </c>
      <c r="D1283" s="13">
        <v>56.0</v>
      </c>
      <c r="E1283" s="13">
        <v>182.0</v>
      </c>
    </row>
    <row r="1284">
      <c r="A1284" s="13">
        <v>3271046.0</v>
      </c>
      <c r="B1284" s="4">
        <v>177.0</v>
      </c>
      <c r="C1284" s="13">
        <v>507.0</v>
      </c>
      <c r="D1284" s="13">
        <v>35.0</v>
      </c>
      <c r="E1284" s="13">
        <v>912.0</v>
      </c>
    </row>
    <row r="1285">
      <c r="A1285" s="13">
        <v>3272025.0</v>
      </c>
      <c r="B1285" s="4">
        <v>185.0</v>
      </c>
      <c r="C1285" s="13">
        <v>139.0</v>
      </c>
      <c r="D1285" s="13">
        <v>76.0</v>
      </c>
      <c r="E1285" s="13">
        <v>388.0</v>
      </c>
    </row>
    <row r="1286">
      <c r="A1286" s="13">
        <v>3211015.0</v>
      </c>
      <c r="B1286" s="4">
        <v>184.0</v>
      </c>
      <c r="C1286" s="13">
        <v>227.0</v>
      </c>
      <c r="D1286" s="13">
        <v>52.0</v>
      </c>
      <c r="E1286" s="13">
        <v>1147.0</v>
      </c>
    </row>
    <row r="1287">
      <c r="A1287" s="13">
        <v>3271161.0</v>
      </c>
      <c r="B1287" s="4">
        <v>177.0</v>
      </c>
      <c r="C1287" s="13">
        <v>109.0</v>
      </c>
      <c r="D1287" s="13">
        <v>57.0</v>
      </c>
      <c r="E1287" s="13">
        <v>638.0</v>
      </c>
    </row>
    <row r="1288">
      <c r="A1288" s="13">
        <v>3216427.0</v>
      </c>
      <c r="B1288" s="4">
        <v>171.0</v>
      </c>
      <c r="C1288" s="13">
        <v>101.0</v>
      </c>
      <c r="D1288" s="13">
        <v>22.0</v>
      </c>
      <c r="E1288" s="13">
        <v>106.0</v>
      </c>
    </row>
    <row r="1289">
      <c r="A1289" s="13">
        <v>3216441.0</v>
      </c>
      <c r="B1289" s="4">
        <v>163.0</v>
      </c>
      <c r="C1289" s="13">
        <v>131.0</v>
      </c>
      <c r="D1289" s="13">
        <v>31.0</v>
      </c>
      <c r="E1289" s="13">
        <v>333.0</v>
      </c>
    </row>
    <row r="1290">
      <c r="A1290" s="13">
        <v>3201061.0</v>
      </c>
      <c r="B1290" s="4">
        <v>164.0</v>
      </c>
      <c r="C1290" s="13">
        <v>118.0</v>
      </c>
      <c r="D1290" s="13">
        <v>26.0</v>
      </c>
      <c r="E1290" s="13">
        <v>360.0</v>
      </c>
    </row>
    <row r="1291">
      <c r="A1291" s="13">
        <v>3273085.0</v>
      </c>
      <c r="B1291" s="4">
        <v>166.0</v>
      </c>
      <c r="C1291" s="13">
        <v>508.0</v>
      </c>
      <c r="D1291" s="13">
        <v>117.0</v>
      </c>
      <c r="E1291" s="13">
        <v>959.0</v>
      </c>
    </row>
    <row r="1292">
      <c r="A1292" s="13">
        <v>3276124.0</v>
      </c>
      <c r="B1292" s="4">
        <v>164.0</v>
      </c>
      <c r="C1292" s="13">
        <v>229.0</v>
      </c>
      <c r="D1292" s="13">
        <v>47.0</v>
      </c>
      <c r="E1292" s="13">
        <v>490.0</v>
      </c>
    </row>
    <row r="1293">
      <c r="A1293" s="13">
        <v>3216396.0</v>
      </c>
      <c r="B1293" s="4">
        <v>171.0</v>
      </c>
      <c r="C1293" s="13">
        <v>50.0</v>
      </c>
      <c r="D1293" s="13">
        <v>20.0</v>
      </c>
      <c r="E1293" s="13">
        <v>133.0</v>
      </c>
    </row>
    <row r="1294">
      <c r="A1294" s="13">
        <v>3215167.0</v>
      </c>
      <c r="B1294" s="4">
        <v>160.0</v>
      </c>
      <c r="C1294" s="13">
        <v>172.0</v>
      </c>
      <c r="D1294" s="13">
        <v>26.0</v>
      </c>
      <c r="E1294" s="13">
        <v>34.0</v>
      </c>
    </row>
    <row r="1295">
      <c r="A1295" s="13">
        <v>3212060.0</v>
      </c>
      <c r="B1295" s="4">
        <v>179.0</v>
      </c>
      <c r="C1295" s="13">
        <v>100.0</v>
      </c>
      <c r="D1295" s="13">
        <v>27.0</v>
      </c>
      <c r="E1295" s="13">
        <v>48.0</v>
      </c>
    </row>
    <row r="1296">
      <c r="A1296" s="13">
        <v>3217133.0</v>
      </c>
      <c r="B1296" s="4">
        <v>174.0</v>
      </c>
      <c r="C1296" s="13">
        <v>45.0</v>
      </c>
      <c r="D1296" s="13">
        <v>26.0</v>
      </c>
      <c r="E1296" s="13">
        <v>182.0</v>
      </c>
    </row>
    <row r="1297">
      <c r="A1297" s="13">
        <v>3208076.0</v>
      </c>
      <c r="B1297" s="4">
        <v>161.0</v>
      </c>
      <c r="C1297" s="13">
        <v>61.0</v>
      </c>
      <c r="D1297" s="13">
        <v>35.0</v>
      </c>
      <c r="E1297" s="13">
        <v>182.0</v>
      </c>
    </row>
    <row r="1298">
      <c r="A1298" s="13">
        <v>3201207.0</v>
      </c>
      <c r="B1298" s="4">
        <v>169.0</v>
      </c>
      <c r="C1298" s="13">
        <v>200.0</v>
      </c>
      <c r="D1298" s="13">
        <v>35.0</v>
      </c>
      <c r="E1298" s="13">
        <v>372.0</v>
      </c>
    </row>
    <row r="1299">
      <c r="A1299" s="13">
        <v>3273260.0</v>
      </c>
      <c r="B1299" s="4">
        <v>166.0</v>
      </c>
      <c r="C1299" s="13">
        <v>348.0</v>
      </c>
      <c r="D1299" s="13">
        <v>91.0</v>
      </c>
      <c r="E1299" s="13">
        <v>753.0</v>
      </c>
    </row>
    <row r="1300">
      <c r="A1300" s="13">
        <v>3277022.0</v>
      </c>
      <c r="B1300" s="4">
        <v>181.0</v>
      </c>
      <c r="C1300" s="13">
        <v>13.0</v>
      </c>
      <c r="D1300" s="13">
        <v>12.0</v>
      </c>
      <c r="E1300" s="13">
        <v>86.0</v>
      </c>
    </row>
    <row r="1301">
      <c r="A1301" s="13">
        <v>3211038.0</v>
      </c>
      <c r="B1301" s="4">
        <v>184.0</v>
      </c>
      <c r="C1301" s="13">
        <v>200.0</v>
      </c>
      <c r="D1301" s="13">
        <v>42.0</v>
      </c>
      <c r="E1301" s="13">
        <v>182.0</v>
      </c>
    </row>
    <row r="1302">
      <c r="A1302" s="13">
        <v>3216104.0</v>
      </c>
      <c r="B1302" s="4">
        <v>163.0</v>
      </c>
      <c r="C1302" s="13">
        <v>120.0</v>
      </c>
      <c r="D1302" s="13">
        <v>37.0</v>
      </c>
      <c r="E1302" s="13">
        <v>383.0</v>
      </c>
    </row>
    <row r="1303">
      <c r="A1303" s="13">
        <v>3276041.0</v>
      </c>
      <c r="B1303" s="4">
        <v>164.0</v>
      </c>
      <c r="C1303" s="13">
        <v>137.0</v>
      </c>
      <c r="D1303" s="13">
        <v>50.0</v>
      </c>
      <c r="E1303" s="13">
        <v>519.0</v>
      </c>
    </row>
    <row r="1304">
      <c r="A1304" s="13">
        <v>3274137.0</v>
      </c>
      <c r="B1304" s="4">
        <v>172.0</v>
      </c>
      <c r="C1304" s="13">
        <v>36.0</v>
      </c>
      <c r="D1304" s="13">
        <v>28.0</v>
      </c>
      <c r="E1304" s="13">
        <v>93.0</v>
      </c>
    </row>
    <row r="1305">
      <c r="A1305" s="13">
        <v>3275063.0</v>
      </c>
      <c r="B1305" s="4">
        <v>171.0</v>
      </c>
      <c r="C1305" s="13">
        <v>205.0</v>
      </c>
      <c r="D1305" s="13">
        <v>112.0</v>
      </c>
      <c r="E1305" s="13">
        <v>204.0</v>
      </c>
    </row>
    <row r="1306">
      <c r="A1306" s="13">
        <v>3217009.0</v>
      </c>
      <c r="B1306" s="4">
        <v>174.0</v>
      </c>
      <c r="C1306" s="13">
        <v>41.0</v>
      </c>
      <c r="D1306" s="13">
        <v>14.0</v>
      </c>
      <c r="E1306" s="13">
        <v>1.0</v>
      </c>
    </row>
    <row r="1307">
      <c r="A1307" s="13">
        <v>3215171.0</v>
      </c>
      <c r="B1307" s="4">
        <v>160.0</v>
      </c>
      <c r="C1307" s="13">
        <v>144.0</v>
      </c>
      <c r="D1307" s="13">
        <v>22.0</v>
      </c>
      <c r="E1307" s="13">
        <v>182.0</v>
      </c>
    </row>
    <row r="1308">
      <c r="A1308" s="13">
        <v>3275296.0</v>
      </c>
      <c r="B1308" s="4">
        <v>171.0</v>
      </c>
      <c r="C1308" s="13">
        <v>51.0</v>
      </c>
      <c r="D1308" s="13">
        <v>21.0</v>
      </c>
      <c r="E1308" s="13">
        <v>73.0</v>
      </c>
    </row>
    <row r="1309">
      <c r="A1309" s="13">
        <v>3216436.0</v>
      </c>
      <c r="B1309" s="4">
        <v>163.0</v>
      </c>
      <c r="C1309" s="13">
        <v>200.0</v>
      </c>
      <c r="D1309" s="13">
        <v>93.0</v>
      </c>
      <c r="E1309" s="13">
        <v>281.0</v>
      </c>
    </row>
    <row r="1310">
      <c r="A1310" s="13">
        <v>3209025.0</v>
      </c>
      <c r="B1310" s="4">
        <v>170.0</v>
      </c>
      <c r="C1310" s="13">
        <v>108.0</v>
      </c>
      <c r="D1310" s="13">
        <v>42.0</v>
      </c>
      <c r="E1310" s="13">
        <v>269.0</v>
      </c>
    </row>
    <row r="1311">
      <c r="A1311" s="13">
        <v>3215156.0</v>
      </c>
      <c r="B1311" s="4">
        <v>160.0</v>
      </c>
      <c r="C1311" s="13">
        <v>207.0</v>
      </c>
      <c r="D1311" s="13">
        <v>48.0</v>
      </c>
      <c r="E1311" s="13">
        <v>238.0</v>
      </c>
    </row>
    <row r="1312">
      <c r="A1312" s="13">
        <v>3217005.0</v>
      </c>
      <c r="B1312" s="4">
        <v>174.0</v>
      </c>
      <c r="C1312" s="13">
        <v>112.0</v>
      </c>
      <c r="D1312" s="13">
        <v>46.0</v>
      </c>
      <c r="E1312" s="13">
        <v>132.0</v>
      </c>
    </row>
    <row r="1313">
      <c r="A1313" s="13">
        <v>3271168.0</v>
      </c>
      <c r="B1313" s="4">
        <v>177.0</v>
      </c>
      <c r="C1313" s="13">
        <v>147.0</v>
      </c>
      <c r="D1313" s="13">
        <v>14.0</v>
      </c>
      <c r="E1313" s="13">
        <v>182.0</v>
      </c>
    </row>
    <row r="1314">
      <c r="A1314" s="13">
        <v>3276168.0</v>
      </c>
      <c r="B1314" s="4">
        <v>164.0</v>
      </c>
      <c r="C1314" s="13">
        <v>108.0</v>
      </c>
      <c r="D1314" s="13">
        <v>32.0</v>
      </c>
      <c r="E1314" s="13">
        <v>182.0</v>
      </c>
    </row>
    <row r="1315">
      <c r="A1315" s="13">
        <v>3273560.0</v>
      </c>
      <c r="B1315" s="4">
        <v>166.0</v>
      </c>
      <c r="C1315" s="13">
        <v>31.0</v>
      </c>
      <c r="D1315" s="13">
        <v>45.0</v>
      </c>
      <c r="E1315" s="13">
        <v>182.0</v>
      </c>
    </row>
    <row r="1316">
      <c r="A1316" s="13">
        <v>3273015.0</v>
      </c>
      <c r="B1316" s="4">
        <v>166.0</v>
      </c>
      <c r="C1316" s="13">
        <v>926.0</v>
      </c>
      <c r="D1316" s="13">
        <v>81.0</v>
      </c>
      <c r="E1316" s="13">
        <v>2979.0</v>
      </c>
    </row>
    <row r="1317">
      <c r="A1317" s="13">
        <v>3215023.0</v>
      </c>
      <c r="B1317" s="4">
        <v>160.0</v>
      </c>
      <c r="C1317" s="13">
        <v>161.0</v>
      </c>
      <c r="D1317" s="13">
        <v>72.0</v>
      </c>
      <c r="E1317" s="13">
        <v>289.0</v>
      </c>
    </row>
    <row r="1318">
      <c r="A1318" s="13">
        <v>3216409.0</v>
      </c>
      <c r="B1318" s="4">
        <v>163.0</v>
      </c>
      <c r="C1318" s="13">
        <v>116.0</v>
      </c>
      <c r="D1318" s="13">
        <v>22.0</v>
      </c>
      <c r="E1318" s="13">
        <v>191.0</v>
      </c>
    </row>
    <row r="1319">
      <c r="A1319" s="13">
        <v>3273541.0</v>
      </c>
      <c r="B1319" s="4">
        <v>166.0</v>
      </c>
      <c r="C1319" s="13">
        <v>39.0</v>
      </c>
      <c r="D1319" s="13">
        <v>14.0</v>
      </c>
      <c r="E1319" s="13">
        <v>141.0</v>
      </c>
    </row>
    <row r="1320">
      <c r="A1320" s="13">
        <v>3215145.0</v>
      </c>
      <c r="B1320" s="4">
        <v>160.0</v>
      </c>
      <c r="C1320" s="13">
        <v>100.0</v>
      </c>
      <c r="D1320" s="13">
        <v>95.0</v>
      </c>
      <c r="E1320" s="13">
        <v>321.0</v>
      </c>
    </row>
    <row r="1321">
      <c r="A1321" s="13">
        <v>3216387.0</v>
      </c>
      <c r="B1321" s="4">
        <v>163.0</v>
      </c>
      <c r="C1321" s="13">
        <v>112.0</v>
      </c>
      <c r="D1321" s="13">
        <v>30.0</v>
      </c>
      <c r="E1321" s="13">
        <v>16.0</v>
      </c>
    </row>
    <row r="1322">
      <c r="A1322" s="13">
        <v>3213062.0</v>
      </c>
      <c r="B1322" s="4">
        <v>173.0</v>
      </c>
      <c r="C1322" s="13">
        <v>119.0</v>
      </c>
      <c r="D1322" s="13">
        <v>27.0</v>
      </c>
      <c r="E1322" s="13">
        <v>182.0</v>
      </c>
    </row>
    <row r="1323">
      <c r="A1323" s="13">
        <v>3277020.0</v>
      </c>
      <c r="B1323" s="4">
        <v>181.0</v>
      </c>
      <c r="C1323" s="13">
        <v>303.0</v>
      </c>
      <c r="D1323" s="13">
        <v>78.0</v>
      </c>
      <c r="E1323" s="13">
        <v>647.0</v>
      </c>
    </row>
    <row r="1324">
      <c r="A1324" s="13">
        <v>3273528.0</v>
      </c>
      <c r="B1324" s="4">
        <v>166.0</v>
      </c>
      <c r="C1324" s="13">
        <v>41.0</v>
      </c>
      <c r="D1324" s="13">
        <v>30.0</v>
      </c>
      <c r="E1324" s="13">
        <v>110.0</v>
      </c>
    </row>
    <row r="1325">
      <c r="A1325" s="13">
        <v>3214036.0</v>
      </c>
      <c r="B1325" s="4">
        <v>178.0</v>
      </c>
      <c r="C1325" s="13">
        <v>51.0</v>
      </c>
      <c r="D1325" s="13">
        <v>25.0</v>
      </c>
      <c r="E1325" s="13">
        <v>64.0</v>
      </c>
    </row>
    <row r="1326">
      <c r="A1326" s="13">
        <v>3201239.0</v>
      </c>
      <c r="B1326" s="4">
        <v>169.0</v>
      </c>
      <c r="C1326" s="13">
        <v>61.0</v>
      </c>
      <c r="D1326" s="13">
        <v>20.0</v>
      </c>
      <c r="E1326" s="13">
        <v>153.0</v>
      </c>
    </row>
    <row r="1327">
      <c r="A1327" s="13">
        <v>3201250.0</v>
      </c>
      <c r="B1327" s="4">
        <v>169.0</v>
      </c>
      <c r="C1327" s="13">
        <v>115.0</v>
      </c>
      <c r="D1327" s="13">
        <v>23.0</v>
      </c>
      <c r="E1327" s="13">
        <v>87.0</v>
      </c>
    </row>
    <row r="1328">
      <c r="A1328" s="13">
        <v>3204173.0</v>
      </c>
      <c r="B1328" s="4">
        <v>167.0</v>
      </c>
      <c r="C1328" s="13">
        <v>53.0</v>
      </c>
      <c r="D1328" s="13">
        <v>25.0</v>
      </c>
      <c r="E1328" s="13">
        <v>182.0</v>
      </c>
    </row>
    <row r="1329">
      <c r="A1329" s="13">
        <v>3275207.0</v>
      </c>
      <c r="B1329" s="4">
        <v>171.0</v>
      </c>
      <c r="C1329" s="13">
        <v>100.0</v>
      </c>
      <c r="D1329" s="13">
        <v>27.0</v>
      </c>
      <c r="E1329" s="13">
        <v>117.0</v>
      </c>
    </row>
    <row r="1330">
      <c r="A1330" s="13">
        <v>3276155.0</v>
      </c>
      <c r="B1330" s="4">
        <v>164.0</v>
      </c>
      <c r="C1330" s="13">
        <v>41.0</v>
      </c>
      <c r="D1330" s="13">
        <v>37.0</v>
      </c>
      <c r="E1330" s="13">
        <v>60.0</v>
      </c>
    </row>
    <row r="1331">
      <c r="A1331" s="13">
        <v>3204135.0</v>
      </c>
      <c r="B1331" s="4">
        <v>167.0</v>
      </c>
      <c r="C1331" s="13">
        <v>69.0</v>
      </c>
      <c r="D1331" s="13">
        <v>13.0</v>
      </c>
      <c r="E1331" s="13">
        <v>57.0</v>
      </c>
    </row>
    <row r="1332">
      <c r="A1332" s="13">
        <v>3207012.0</v>
      </c>
      <c r="B1332" s="4">
        <v>176.0</v>
      </c>
      <c r="C1332" s="13">
        <v>290.0</v>
      </c>
      <c r="D1332" s="13">
        <v>73.0</v>
      </c>
      <c r="E1332" s="13">
        <v>1039.0</v>
      </c>
    </row>
    <row r="1333">
      <c r="A1333" s="13">
        <v>3216400.0</v>
      </c>
      <c r="B1333" s="4">
        <v>163.0</v>
      </c>
      <c r="C1333" s="13">
        <v>140.0</v>
      </c>
      <c r="D1333" s="13">
        <v>34.0</v>
      </c>
      <c r="E1333" s="13">
        <v>49.0</v>
      </c>
    </row>
    <row r="1334">
      <c r="A1334" s="13">
        <v>3276150.0</v>
      </c>
      <c r="B1334" s="4">
        <v>164.0</v>
      </c>
      <c r="C1334" s="13">
        <v>75.0</v>
      </c>
      <c r="D1334" s="13">
        <v>47.0</v>
      </c>
      <c r="E1334" s="13">
        <v>191.0</v>
      </c>
    </row>
    <row r="1335">
      <c r="A1335" s="13">
        <v>3271104.0</v>
      </c>
      <c r="B1335" s="4">
        <v>177.0</v>
      </c>
      <c r="C1335" s="13">
        <v>535.0</v>
      </c>
      <c r="D1335" s="13">
        <v>87.0</v>
      </c>
      <c r="E1335" s="13">
        <v>1605.0</v>
      </c>
    </row>
    <row r="1336">
      <c r="A1336" s="13">
        <v>3207059.0</v>
      </c>
      <c r="B1336" s="4">
        <v>176.0</v>
      </c>
      <c r="C1336" s="13">
        <v>44.0</v>
      </c>
      <c r="D1336" s="13">
        <v>22.0</v>
      </c>
      <c r="E1336" s="13">
        <v>67.0</v>
      </c>
    </row>
    <row r="1337">
      <c r="A1337" s="13">
        <v>3204165.0</v>
      </c>
      <c r="B1337" s="4">
        <v>167.0</v>
      </c>
      <c r="C1337" s="13">
        <v>147.0</v>
      </c>
      <c r="D1337" s="13">
        <v>54.0</v>
      </c>
      <c r="E1337" s="13">
        <v>182.0</v>
      </c>
    </row>
    <row r="1338">
      <c r="A1338" s="13">
        <v>3212016.0</v>
      </c>
      <c r="B1338" s="4">
        <v>179.0</v>
      </c>
      <c r="C1338" s="13">
        <v>320.0</v>
      </c>
      <c r="D1338" s="13">
        <v>114.0</v>
      </c>
      <c r="E1338" s="13">
        <v>505.0</v>
      </c>
    </row>
    <row r="1339">
      <c r="A1339" s="13">
        <v>3275017.0</v>
      </c>
      <c r="B1339" s="4">
        <v>171.0</v>
      </c>
      <c r="C1339" s="13">
        <v>104.0</v>
      </c>
      <c r="D1339" s="13">
        <v>25.0</v>
      </c>
      <c r="E1339" s="13">
        <v>180.0</v>
      </c>
    </row>
    <row r="1340">
      <c r="A1340" s="13">
        <v>3201094.0</v>
      </c>
      <c r="B1340" s="4">
        <v>169.0</v>
      </c>
      <c r="C1340" s="13">
        <v>129.0</v>
      </c>
      <c r="D1340" s="13">
        <v>22.0</v>
      </c>
      <c r="E1340" s="13">
        <v>133.0</v>
      </c>
    </row>
    <row r="1341">
      <c r="A1341" s="13">
        <v>3273546.0</v>
      </c>
      <c r="B1341" s="4">
        <v>166.0</v>
      </c>
      <c r="C1341" s="13">
        <v>27.0</v>
      </c>
      <c r="D1341" s="13">
        <v>25.0</v>
      </c>
      <c r="E1341" s="13">
        <v>79.0</v>
      </c>
    </row>
    <row r="1342">
      <c r="A1342" s="13">
        <v>3212057.0</v>
      </c>
      <c r="B1342" s="4">
        <v>179.0</v>
      </c>
      <c r="C1342" s="13">
        <v>54.0</v>
      </c>
      <c r="D1342" s="13">
        <v>19.0</v>
      </c>
      <c r="E1342" s="13">
        <v>66.0</v>
      </c>
    </row>
    <row r="1343">
      <c r="A1343" s="13">
        <v>3207060.0</v>
      </c>
      <c r="B1343" s="4">
        <v>176.0</v>
      </c>
      <c r="C1343" s="13">
        <v>83.0</v>
      </c>
      <c r="D1343" s="13">
        <v>16.0</v>
      </c>
      <c r="E1343" s="13">
        <v>90.0</v>
      </c>
    </row>
    <row r="1344">
      <c r="A1344" s="13">
        <v>3278094.0</v>
      </c>
      <c r="B1344" s="4">
        <v>162.0</v>
      </c>
      <c r="C1344" s="13">
        <v>76.0</v>
      </c>
      <c r="D1344" s="13">
        <v>47.0</v>
      </c>
      <c r="E1344" s="13">
        <v>182.0</v>
      </c>
    </row>
    <row r="1345">
      <c r="A1345" s="13">
        <v>3201115.0</v>
      </c>
      <c r="B1345" s="4">
        <v>169.0</v>
      </c>
      <c r="C1345" s="13">
        <v>120.0</v>
      </c>
      <c r="D1345" s="13">
        <v>70.0</v>
      </c>
      <c r="E1345" s="13">
        <v>155.0</v>
      </c>
    </row>
    <row r="1346">
      <c r="A1346" s="13">
        <v>3273106.0</v>
      </c>
      <c r="B1346" s="4">
        <v>166.0</v>
      </c>
      <c r="C1346" s="13">
        <v>103.0</v>
      </c>
      <c r="D1346" s="13">
        <v>49.0</v>
      </c>
      <c r="E1346" s="13">
        <v>586.0</v>
      </c>
    </row>
    <row r="1347">
      <c r="A1347" s="13">
        <v>3276146.0</v>
      </c>
      <c r="B1347" s="4">
        <v>164.0</v>
      </c>
      <c r="C1347" s="13">
        <v>113.0</v>
      </c>
      <c r="D1347" s="13">
        <v>69.0</v>
      </c>
      <c r="E1347" s="13">
        <v>428.0</v>
      </c>
    </row>
    <row r="1348">
      <c r="A1348" s="13">
        <v>3205022.0</v>
      </c>
      <c r="B1348" s="4">
        <v>180.0</v>
      </c>
      <c r="C1348" s="13">
        <v>148.0</v>
      </c>
      <c r="D1348" s="13">
        <v>21.0</v>
      </c>
      <c r="E1348" s="13">
        <v>248.0</v>
      </c>
    </row>
    <row r="1349">
      <c r="A1349" s="13">
        <v>3212054.0</v>
      </c>
      <c r="B1349" s="4">
        <v>179.0</v>
      </c>
      <c r="C1349" s="13">
        <v>97.0</v>
      </c>
      <c r="D1349" s="13">
        <v>23.0</v>
      </c>
      <c r="E1349" s="13">
        <v>252.0</v>
      </c>
    </row>
    <row r="1350">
      <c r="A1350" s="13">
        <v>3273543.0</v>
      </c>
      <c r="B1350" s="4">
        <v>166.0</v>
      </c>
      <c r="C1350" s="13">
        <v>113.0</v>
      </c>
      <c r="D1350" s="13">
        <v>48.0</v>
      </c>
      <c r="E1350" s="13">
        <v>94.0</v>
      </c>
    </row>
    <row r="1351">
      <c r="A1351" s="13">
        <v>3313022.0</v>
      </c>
      <c r="B1351" s="4">
        <v>187.0</v>
      </c>
      <c r="C1351" s="13">
        <v>83.0</v>
      </c>
      <c r="D1351" s="13">
        <v>26.0</v>
      </c>
      <c r="E1351" s="13">
        <v>161.0</v>
      </c>
    </row>
    <row r="1352">
      <c r="A1352" s="13">
        <v>3319025.0</v>
      </c>
      <c r="B1352" s="4">
        <v>188.0</v>
      </c>
      <c r="C1352" s="13">
        <v>28.0</v>
      </c>
      <c r="D1352" s="13">
        <v>17.0</v>
      </c>
      <c r="E1352" s="13">
        <v>43.0</v>
      </c>
    </row>
    <row r="1353">
      <c r="A1353" s="13">
        <v>3302030.0</v>
      </c>
      <c r="B1353" s="4">
        <v>189.0</v>
      </c>
      <c r="C1353" s="13">
        <v>154.0</v>
      </c>
      <c r="D1353" s="13">
        <v>88.0</v>
      </c>
      <c r="E1353" s="13">
        <v>30.0</v>
      </c>
    </row>
    <row r="1354">
      <c r="A1354" s="13">
        <v>3371131.0</v>
      </c>
      <c r="B1354" s="4">
        <v>190.0</v>
      </c>
      <c r="C1354" s="13">
        <v>98.0</v>
      </c>
      <c r="D1354" s="13">
        <v>48.0</v>
      </c>
      <c r="E1354" s="13">
        <v>241.0</v>
      </c>
    </row>
    <row r="1355">
      <c r="A1355" s="13">
        <v>3306105.0</v>
      </c>
      <c r="B1355" s="4">
        <v>191.0</v>
      </c>
      <c r="C1355" s="13">
        <v>28.0</v>
      </c>
      <c r="D1355" s="13">
        <v>30.0</v>
      </c>
      <c r="E1355" s="13">
        <v>108.0</v>
      </c>
    </row>
    <row r="1356">
      <c r="A1356" s="13">
        <v>3314108.0</v>
      </c>
      <c r="B1356" s="4">
        <v>192.0</v>
      </c>
      <c r="C1356" s="13">
        <v>58.0</v>
      </c>
      <c r="D1356" s="13">
        <v>25.0</v>
      </c>
      <c r="E1356" s="13">
        <v>182.0</v>
      </c>
    </row>
    <row r="1357">
      <c r="A1357" s="13">
        <v>3374392.0</v>
      </c>
      <c r="B1357" s="4">
        <v>193.0</v>
      </c>
      <c r="C1357" s="13">
        <v>48.0</v>
      </c>
      <c r="D1357" s="13">
        <v>35.0</v>
      </c>
      <c r="E1357" s="13">
        <v>182.0</v>
      </c>
    </row>
    <row r="1358">
      <c r="A1358" s="13">
        <v>3316062.0</v>
      </c>
      <c r="B1358" s="4">
        <v>194.0</v>
      </c>
      <c r="C1358" s="13">
        <v>81.0</v>
      </c>
      <c r="D1358" s="13">
        <v>17.0</v>
      </c>
      <c r="E1358" s="13">
        <v>108.0</v>
      </c>
    </row>
    <row r="1359">
      <c r="A1359" s="13">
        <v>3313042.0</v>
      </c>
      <c r="B1359" s="4">
        <v>187.0</v>
      </c>
      <c r="C1359" s="13">
        <v>39.0</v>
      </c>
      <c r="D1359" s="13">
        <v>14.0</v>
      </c>
      <c r="E1359" s="13">
        <v>80.0</v>
      </c>
    </row>
    <row r="1360">
      <c r="A1360" s="13">
        <v>3319043.0</v>
      </c>
      <c r="B1360" s="4">
        <v>188.0</v>
      </c>
      <c r="C1360" s="13">
        <v>102.0</v>
      </c>
      <c r="D1360" s="13">
        <v>37.0</v>
      </c>
      <c r="E1360" s="13">
        <v>180.0</v>
      </c>
    </row>
    <row r="1361">
      <c r="A1361" s="13">
        <v>3305033.0</v>
      </c>
      <c r="B1361" s="4">
        <v>195.0</v>
      </c>
      <c r="C1361" s="13">
        <v>119.0</v>
      </c>
      <c r="D1361" s="13">
        <v>36.0</v>
      </c>
      <c r="E1361" s="13">
        <v>264.0</v>
      </c>
    </row>
    <row r="1362">
      <c r="A1362" s="13">
        <v>3373042.0</v>
      </c>
      <c r="B1362" s="4">
        <v>196.0</v>
      </c>
      <c r="C1362" s="13">
        <v>221.0</v>
      </c>
      <c r="D1362" s="13">
        <v>52.0</v>
      </c>
      <c r="E1362" s="13">
        <v>495.0</v>
      </c>
    </row>
    <row r="1363">
      <c r="A1363" s="13">
        <v>3321033.0</v>
      </c>
      <c r="B1363" s="4">
        <v>197.0</v>
      </c>
      <c r="C1363" s="13">
        <v>116.0</v>
      </c>
      <c r="D1363" s="13">
        <v>29.0</v>
      </c>
      <c r="E1363" s="13">
        <v>207.0</v>
      </c>
    </row>
    <row r="1364">
      <c r="A1364" s="13">
        <v>3372236.0</v>
      </c>
      <c r="B1364" s="4">
        <v>198.0</v>
      </c>
      <c r="C1364" s="13">
        <v>149.0</v>
      </c>
      <c r="D1364" s="13">
        <v>28.0</v>
      </c>
      <c r="E1364" s="13">
        <v>197.0</v>
      </c>
    </row>
    <row r="1365">
      <c r="A1365" s="13">
        <v>3324040.0</v>
      </c>
      <c r="B1365" s="4">
        <v>199.0</v>
      </c>
      <c r="C1365" s="13">
        <v>100.0</v>
      </c>
      <c r="D1365" s="13">
        <v>25.0</v>
      </c>
      <c r="E1365" s="13">
        <v>103.0</v>
      </c>
    </row>
    <row r="1366">
      <c r="A1366" s="13">
        <v>3309096.0</v>
      </c>
      <c r="B1366" s="4">
        <v>200.0</v>
      </c>
      <c r="C1366" s="13">
        <v>104.0</v>
      </c>
      <c r="D1366" s="13">
        <v>66.0</v>
      </c>
      <c r="E1366" s="13">
        <v>257.0</v>
      </c>
    </row>
    <row r="1367">
      <c r="A1367" s="13">
        <v>3374273.0</v>
      </c>
      <c r="B1367" s="4">
        <v>193.0</v>
      </c>
      <c r="C1367" s="13">
        <v>28.0</v>
      </c>
      <c r="D1367" s="13">
        <v>19.0</v>
      </c>
      <c r="E1367" s="13">
        <v>33.0</v>
      </c>
    </row>
    <row r="1368">
      <c r="A1368" s="13">
        <v>3325037.0</v>
      </c>
      <c r="B1368" s="4">
        <v>201.0</v>
      </c>
      <c r="C1368" s="13">
        <v>192.0</v>
      </c>
      <c r="D1368" s="13">
        <v>49.0</v>
      </c>
      <c r="E1368" s="13">
        <v>484.0</v>
      </c>
    </row>
    <row r="1369">
      <c r="A1369" s="13">
        <v>3306109.0</v>
      </c>
      <c r="B1369" s="4">
        <v>191.0</v>
      </c>
      <c r="C1369" s="13">
        <v>70.0</v>
      </c>
      <c r="D1369" s="13">
        <v>31.0</v>
      </c>
      <c r="E1369" s="13">
        <v>41.0</v>
      </c>
    </row>
    <row r="1370">
      <c r="A1370" s="13">
        <v>3307062.0</v>
      </c>
      <c r="B1370" s="4">
        <v>202.0</v>
      </c>
      <c r="C1370" s="13">
        <v>63.0</v>
      </c>
      <c r="D1370" s="13">
        <v>22.0</v>
      </c>
      <c r="E1370" s="13">
        <v>182.0</v>
      </c>
    </row>
    <row r="1371">
      <c r="A1371" s="13">
        <v>3326049.0</v>
      </c>
      <c r="B1371" s="4">
        <v>203.0</v>
      </c>
      <c r="C1371" s="13">
        <v>180.0</v>
      </c>
      <c r="D1371" s="13">
        <v>89.0</v>
      </c>
      <c r="E1371" s="13">
        <v>550.0</v>
      </c>
    </row>
    <row r="1372">
      <c r="A1372" s="13">
        <v>3310416.0</v>
      </c>
      <c r="B1372" s="4">
        <v>204.0</v>
      </c>
      <c r="C1372" s="13">
        <v>182.0</v>
      </c>
      <c r="D1372" s="13">
        <v>50.0</v>
      </c>
      <c r="E1372" s="13">
        <v>279.0</v>
      </c>
    </row>
    <row r="1373">
      <c r="A1373" s="13">
        <v>3374373.0</v>
      </c>
      <c r="B1373" s="4">
        <v>193.0</v>
      </c>
      <c r="C1373" s="13">
        <v>11.0</v>
      </c>
      <c r="D1373" s="13">
        <v>16.0</v>
      </c>
      <c r="E1373" s="13">
        <v>23.0</v>
      </c>
    </row>
    <row r="1374">
      <c r="A1374" s="13">
        <v>3316077.0</v>
      </c>
      <c r="B1374" s="4">
        <v>194.0</v>
      </c>
      <c r="C1374" s="13">
        <v>48.0</v>
      </c>
      <c r="D1374" s="13">
        <v>16.0</v>
      </c>
      <c r="E1374" s="13">
        <v>182.0</v>
      </c>
    </row>
    <row r="1375">
      <c r="A1375" s="13">
        <v>3301036.0</v>
      </c>
      <c r="B1375" s="4">
        <v>205.0</v>
      </c>
      <c r="C1375" s="13">
        <v>80.0</v>
      </c>
      <c r="D1375" s="13">
        <v>31.0</v>
      </c>
      <c r="E1375" s="13">
        <v>50.0</v>
      </c>
    </row>
    <row r="1376">
      <c r="A1376" s="13">
        <v>3329067.0</v>
      </c>
      <c r="B1376" s="4">
        <v>206.0</v>
      </c>
      <c r="C1376" s="13">
        <v>70.0</v>
      </c>
      <c r="D1376" s="13">
        <v>100.0</v>
      </c>
      <c r="E1376" s="13">
        <v>131.0</v>
      </c>
    </row>
    <row r="1377">
      <c r="A1377" s="13">
        <v>3306108.0</v>
      </c>
      <c r="B1377" s="4">
        <v>191.0</v>
      </c>
      <c r="C1377" s="13">
        <v>48.0</v>
      </c>
      <c r="D1377" s="13">
        <v>27.0</v>
      </c>
      <c r="E1377" s="13">
        <v>61.0</v>
      </c>
    </row>
    <row r="1378">
      <c r="A1378" s="13">
        <v>3302229.0</v>
      </c>
      <c r="B1378" s="4">
        <v>189.0</v>
      </c>
      <c r="C1378" s="13">
        <v>115.0</v>
      </c>
      <c r="D1378" s="13">
        <v>65.0</v>
      </c>
      <c r="E1378" s="13">
        <v>319.0</v>
      </c>
    </row>
    <row r="1379">
      <c r="A1379" s="13">
        <v>3315035.0</v>
      </c>
      <c r="B1379" s="4">
        <v>207.0</v>
      </c>
      <c r="C1379" s="13">
        <v>123.0</v>
      </c>
      <c r="D1379" s="13">
        <v>26.0</v>
      </c>
      <c r="E1379" s="13">
        <v>414.0</v>
      </c>
    </row>
    <row r="1380">
      <c r="A1380" s="13">
        <v>3302224.0</v>
      </c>
      <c r="B1380" s="4">
        <v>189.0</v>
      </c>
      <c r="C1380" s="13">
        <v>199.0</v>
      </c>
      <c r="D1380" s="13">
        <v>77.0</v>
      </c>
      <c r="E1380" s="13">
        <v>140.0</v>
      </c>
    </row>
    <row r="1381">
      <c r="A1381" s="13">
        <v>3372096.0</v>
      </c>
      <c r="B1381" s="4">
        <v>198.0</v>
      </c>
      <c r="C1381" s="13">
        <v>297.0</v>
      </c>
      <c r="D1381" s="13">
        <v>93.0</v>
      </c>
      <c r="E1381" s="13">
        <v>779.0</v>
      </c>
    </row>
    <row r="1382">
      <c r="A1382" s="13">
        <v>3305023.0</v>
      </c>
      <c r="B1382" s="4">
        <v>195.0</v>
      </c>
      <c r="C1382" s="13">
        <v>158.0</v>
      </c>
      <c r="D1382" s="13">
        <v>34.0</v>
      </c>
      <c r="E1382" s="13">
        <v>309.0</v>
      </c>
    </row>
    <row r="1383">
      <c r="A1383" s="13">
        <v>3311231.0</v>
      </c>
      <c r="B1383" s="4">
        <v>208.0</v>
      </c>
      <c r="C1383" s="13">
        <v>8.0</v>
      </c>
      <c r="D1383" s="13">
        <v>84.0</v>
      </c>
      <c r="E1383" s="13">
        <v>182.0</v>
      </c>
    </row>
    <row r="1384">
      <c r="A1384" s="13">
        <v>3319091.0</v>
      </c>
      <c r="B1384" s="4">
        <v>188.0</v>
      </c>
      <c r="C1384" s="13">
        <v>25.0</v>
      </c>
      <c r="D1384" s="13">
        <v>16.0</v>
      </c>
      <c r="E1384" s="13">
        <v>66.0</v>
      </c>
    </row>
    <row r="1385">
      <c r="A1385" s="13">
        <v>3307035.0</v>
      </c>
      <c r="B1385" s="4">
        <v>202.0</v>
      </c>
      <c r="C1385" s="13">
        <v>44.0</v>
      </c>
      <c r="D1385" s="13">
        <v>19.0</v>
      </c>
      <c r="E1385" s="13">
        <v>52.0</v>
      </c>
    </row>
    <row r="1386">
      <c r="A1386" s="13">
        <v>3374080.0</v>
      </c>
      <c r="B1386" s="4">
        <v>193.0</v>
      </c>
      <c r="C1386" s="13">
        <v>219.0</v>
      </c>
      <c r="D1386" s="13">
        <v>120.0</v>
      </c>
      <c r="E1386" s="13">
        <v>769.0</v>
      </c>
    </row>
    <row r="1387">
      <c r="A1387" s="13">
        <v>3374369.0</v>
      </c>
      <c r="B1387" s="4">
        <v>193.0</v>
      </c>
      <c r="C1387" s="13">
        <v>29.0</v>
      </c>
      <c r="D1387" s="13">
        <v>12.0</v>
      </c>
      <c r="E1387" s="13">
        <v>22.0</v>
      </c>
    </row>
    <row r="1388">
      <c r="A1388" s="13">
        <v>3324036.0</v>
      </c>
      <c r="B1388" s="4">
        <v>199.0</v>
      </c>
      <c r="C1388" s="13">
        <v>287.0</v>
      </c>
      <c r="D1388" s="13">
        <v>52.0</v>
      </c>
      <c r="E1388" s="13">
        <v>293.0</v>
      </c>
    </row>
    <row r="1389">
      <c r="A1389" s="13">
        <v>3315059.0</v>
      </c>
      <c r="B1389" s="4">
        <v>207.0</v>
      </c>
      <c r="C1389" s="13">
        <v>95.0</v>
      </c>
      <c r="D1389" s="13">
        <v>16.0</v>
      </c>
      <c r="E1389" s="13">
        <v>304.0</v>
      </c>
    </row>
    <row r="1390">
      <c r="A1390" s="13">
        <v>3311213.0</v>
      </c>
      <c r="B1390" s="4">
        <v>208.0</v>
      </c>
      <c r="C1390" s="13">
        <v>116.0</v>
      </c>
      <c r="D1390" s="13">
        <v>112.0</v>
      </c>
      <c r="E1390" s="13">
        <v>196.0</v>
      </c>
    </row>
    <row r="1391">
      <c r="A1391" s="13">
        <v>3375071.0</v>
      </c>
      <c r="B1391" s="4">
        <v>203.0</v>
      </c>
      <c r="C1391" s="13">
        <v>56.0</v>
      </c>
      <c r="D1391" s="13">
        <v>16.0</v>
      </c>
      <c r="E1391" s="13">
        <v>61.0</v>
      </c>
    </row>
    <row r="1392">
      <c r="A1392" s="13">
        <v>3326063.0</v>
      </c>
      <c r="B1392" s="4">
        <v>209.0</v>
      </c>
      <c r="C1392" s="13">
        <v>50.0</v>
      </c>
      <c r="D1392" s="13">
        <v>17.0</v>
      </c>
      <c r="E1392" s="13">
        <v>182.0</v>
      </c>
    </row>
    <row r="1393">
      <c r="A1393" s="13">
        <v>3314012.0</v>
      </c>
      <c r="B1393" s="4">
        <v>192.0</v>
      </c>
      <c r="C1393" s="13">
        <v>275.0</v>
      </c>
      <c r="D1393" s="13">
        <v>77.0</v>
      </c>
      <c r="E1393" s="13">
        <v>853.0</v>
      </c>
    </row>
    <row r="1394">
      <c r="A1394" s="13">
        <v>3328081.0</v>
      </c>
      <c r="B1394" s="4">
        <v>210.0</v>
      </c>
      <c r="C1394" s="13">
        <v>84.0</v>
      </c>
      <c r="D1394" s="13">
        <v>31.0</v>
      </c>
      <c r="E1394" s="13">
        <v>55.0</v>
      </c>
    </row>
    <row r="1395">
      <c r="A1395" s="13">
        <v>3315074.0</v>
      </c>
      <c r="B1395" s="4">
        <v>207.0</v>
      </c>
      <c r="C1395" s="13">
        <v>50.0</v>
      </c>
      <c r="D1395" s="13">
        <v>19.0</v>
      </c>
      <c r="E1395" s="13">
        <v>182.0</v>
      </c>
    </row>
    <row r="1396">
      <c r="A1396" s="13">
        <v>3302132.0</v>
      </c>
      <c r="B1396" s="4">
        <v>189.0</v>
      </c>
      <c r="C1396" s="13">
        <v>120.0</v>
      </c>
      <c r="D1396" s="13">
        <v>94.0</v>
      </c>
      <c r="E1396" s="13">
        <v>149.0</v>
      </c>
    </row>
    <row r="1397">
      <c r="A1397" s="13">
        <v>3372015.0</v>
      </c>
      <c r="B1397" s="4">
        <v>198.0</v>
      </c>
      <c r="C1397" s="13">
        <v>953.0</v>
      </c>
      <c r="D1397" s="13">
        <v>153.0</v>
      </c>
      <c r="E1397" s="13">
        <v>3128.0</v>
      </c>
    </row>
    <row r="1398">
      <c r="A1398" s="13">
        <v>3316063.0</v>
      </c>
      <c r="B1398" s="4">
        <v>194.0</v>
      </c>
      <c r="C1398" s="13">
        <v>86.0</v>
      </c>
      <c r="D1398" s="13">
        <v>20.0</v>
      </c>
      <c r="E1398" s="13">
        <v>133.0</v>
      </c>
    </row>
    <row r="1399">
      <c r="A1399" s="13">
        <v>3318016.0</v>
      </c>
      <c r="B1399" s="4">
        <v>211.0</v>
      </c>
      <c r="C1399" s="13">
        <v>289.0</v>
      </c>
      <c r="D1399" s="13">
        <v>79.0</v>
      </c>
      <c r="E1399" s="13">
        <v>1213.0</v>
      </c>
    </row>
    <row r="1400">
      <c r="A1400" s="13">
        <v>3328011.0</v>
      </c>
      <c r="B1400" s="4">
        <v>210.0</v>
      </c>
      <c r="C1400" s="13">
        <v>417.0</v>
      </c>
      <c r="D1400" s="13">
        <v>51.0</v>
      </c>
      <c r="E1400" s="13">
        <v>986.0</v>
      </c>
    </row>
    <row r="1401">
      <c r="A1401" s="13">
        <v>3327048.0</v>
      </c>
      <c r="B1401" s="4">
        <v>212.0</v>
      </c>
      <c r="C1401" s="13">
        <v>51.0</v>
      </c>
      <c r="D1401" s="13">
        <v>26.0</v>
      </c>
      <c r="E1401" s="13">
        <v>87.0</v>
      </c>
    </row>
    <row r="1402">
      <c r="A1402" s="13">
        <v>3305081.0</v>
      </c>
      <c r="B1402" s="4">
        <v>195.0</v>
      </c>
      <c r="C1402" s="13">
        <v>70.0</v>
      </c>
      <c r="D1402" s="13">
        <v>20.0</v>
      </c>
      <c r="E1402" s="13">
        <v>122.0</v>
      </c>
    </row>
    <row r="1403">
      <c r="A1403" s="13">
        <v>3373090.0</v>
      </c>
      <c r="B1403" s="4">
        <v>196.0</v>
      </c>
      <c r="C1403" s="13">
        <v>117.0</v>
      </c>
      <c r="D1403" s="13">
        <v>56.0</v>
      </c>
      <c r="E1403" s="13">
        <v>186.0</v>
      </c>
    </row>
    <row r="1404">
      <c r="A1404" s="13">
        <v>3329101.0</v>
      </c>
      <c r="B1404" s="4">
        <v>206.0</v>
      </c>
      <c r="C1404" s="13">
        <v>140.0</v>
      </c>
      <c r="D1404" s="13">
        <v>66.0</v>
      </c>
      <c r="E1404" s="13">
        <v>93.0</v>
      </c>
    </row>
    <row r="1405">
      <c r="A1405" s="13">
        <v>3315073.0</v>
      </c>
      <c r="B1405" s="4">
        <v>207.0</v>
      </c>
      <c r="C1405" s="13">
        <v>69.0</v>
      </c>
      <c r="D1405" s="13">
        <v>9.0</v>
      </c>
      <c r="E1405" s="13">
        <v>182.0</v>
      </c>
    </row>
    <row r="1406">
      <c r="A1406" s="13">
        <v>3322023.0</v>
      </c>
      <c r="B1406" s="4">
        <v>213.0</v>
      </c>
      <c r="C1406" s="13">
        <v>208.0</v>
      </c>
      <c r="D1406" s="13">
        <v>31.0</v>
      </c>
      <c r="E1406" s="13">
        <v>148.0</v>
      </c>
    </row>
    <row r="1407">
      <c r="A1407" s="13">
        <v>3310015.0</v>
      </c>
      <c r="B1407" s="4">
        <v>204.0</v>
      </c>
      <c r="C1407" s="13">
        <v>30343.0</v>
      </c>
      <c r="D1407" s="13">
        <v>419.0</v>
      </c>
      <c r="E1407" s="13">
        <v>141.0</v>
      </c>
    </row>
    <row r="1408">
      <c r="A1408" s="13">
        <v>3374316.0</v>
      </c>
      <c r="B1408" s="4">
        <v>193.0</v>
      </c>
      <c r="C1408" s="13">
        <v>30.0</v>
      </c>
      <c r="D1408" s="13">
        <v>16.0</v>
      </c>
      <c r="E1408" s="13">
        <v>61.0</v>
      </c>
    </row>
    <row r="1409">
      <c r="A1409" s="13">
        <v>3314096.0</v>
      </c>
      <c r="B1409" s="4">
        <v>192.0</v>
      </c>
      <c r="C1409" s="13">
        <v>50.0</v>
      </c>
      <c r="D1409" s="13">
        <v>27.0</v>
      </c>
      <c r="E1409" s="13">
        <v>142.0</v>
      </c>
    </row>
    <row r="1410">
      <c r="A1410" s="13">
        <v>3327021.0</v>
      </c>
      <c r="B1410" s="4">
        <v>212.0</v>
      </c>
      <c r="C1410" s="13">
        <v>147.0</v>
      </c>
      <c r="D1410" s="13">
        <v>51.0</v>
      </c>
      <c r="E1410" s="13">
        <v>286.0</v>
      </c>
    </row>
    <row r="1411">
      <c r="A1411" s="13">
        <v>3329102.0</v>
      </c>
      <c r="B1411" s="4">
        <v>206.0</v>
      </c>
      <c r="C1411" s="13">
        <v>116.0</v>
      </c>
      <c r="D1411" s="13">
        <v>32.0</v>
      </c>
      <c r="E1411" s="13">
        <v>265.0</v>
      </c>
    </row>
    <row r="1412">
      <c r="A1412" s="13">
        <v>3309129.0</v>
      </c>
      <c r="B1412" s="4">
        <v>200.0</v>
      </c>
      <c r="C1412" s="13">
        <v>118.0</v>
      </c>
      <c r="D1412" s="13">
        <v>24.0</v>
      </c>
      <c r="E1412" s="13">
        <v>124.0</v>
      </c>
    </row>
    <row r="1413">
      <c r="A1413" s="13">
        <v>3325039.0</v>
      </c>
      <c r="B1413" s="4">
        <v>201.0</v>
      </c>
      <c r="C1413" s="13">
        <v>102.0</v>
      </c>
      <c r="D1413" s="13">
        <v>30.0</v>
      </c>
      <c r="E1413" s="13">
        <v>145.0</v>
      </c>
    </row>
    <row r="1414">
      <c r="A1414" s="13">
        <v>3301084.0</v>
      </c>
      <c r="B1414" s="4">
        <v>205.0</v>
      </c>
      <c r="C1414" s="13">
        <v>236.0</v>
      </c>
      <c r="D1414" s="13">
        <v>36.0</v>
      </c>
      <c r="E1414" s="13">
        <v>417.0</v>
      </c>
    </row>
    <row r="1415">
      <c r="A1415" s="13">
        <v>3371014.0</v>
      </c>
      <c r="B1415" s="4">
        <v>190.0</v>
      </c>
      <c r="C1415" s="13">
        <v>345.0</v>
      </c>
      <c r="D1415" s="13">
        <v>102.0</v>
      </c>
      <c r="E1415" s="13">
        <v>1431.0</v>
      </c>
    </row>
    <row r="1416">
      <c r="A1416" s="13">
        <v>3324037.0</v>
      </c>
      <c r="B1416" s="4">
        <v>199.0</v>
      </c>
      <c r="C1416" s="13">
        <v>88.0</v>
      </c>
      <c r="D1416" s="13">
        <v>31.0</v>
      </c>
      <c r="E1416" s="13">
        <v>166.0</v>
      </c>
    </row>
    <row r="1417">
      <c r="A1417" s="13">
        <v>3371144.0</v>
      </c>
      <c r="B1417" s="4">
        <v>190.0</v>
      </c>
      <c r="C1417" s="13">
        <v>80.0</v>
      </c>
      <c r="D1417" s="13">
        <v>23.0</v>
      </c>
      <c r="E1417" s="13">
        <v>53.0</v>
      </c>
    </row>
    <row r="1418">
      <c r="A1418" s="13">
        <v>3319113.0</v>
      </c>
      <c r="B1418" s="4">
        <v>188.0</v>
      </c>
      <c r="C1418" s="13">
        <v>115.0</v>
      </c>
      <c r="D1418" s="13">
        <v>31.0</v>
      </c>
      <c r="E1418" s="13">
        <v>182.0</v>
      </c>
    </row>
    <row r="1419">
      <c r="A1419" s="13">
        <v>3315057.0</v>
      </c>
      <c r="B1419" s="4">
        <v>207.0</v>
      </c>
      <c r="C1419" s="13">
        <v>59.0</v>
      </c>
      <c r="D1419" s="13">
        <v>31.0</v>
      </c>
      <c r="E1419" s="13">
        <v>101.0</v>
      </c>
    </row>
    <row r="1420">
      <c r="A1420" s="13">
        <v>3302074.0</v>
      </c>
      <c r="B1420" s="4">
        <v>189.0</v>
      </c>
      <c r="C1420" s="13">
        <v>115.0</v>
      </c>
      <c r="D1420" s="13">
        <v>74.0</v>
      </c>
      <c r="E1420" s="13">
        <v>62.0</v>
      </c>
    </row>
    <row r="1421">
      <c r="A1421" s="13">
        <v>3328079.0</v>
      </c>
      <c r="B1421" s="4">
        <v>210.0</v>
      </c>
      <c r="C1421" s="13">
        <v>66.0</v>
      </c>
      <c r="D1421" s="13">
        <v>18.0</v>
      </c>
      <c r="E1421" s="13">
        <v>78.0</v>
      </c>
    </row>
    <row r="1422">
      <c r="A1422" s="13">
        <v>3301109.0</v>
      </c>
      <c r="B1422" s="4">
        <v>205.0</v>
      </c>
      <c r="C1422" s="13">
        <v>145.0</v>
      </c>
      <c r="D1422" s="13">
        <v>45.0</v>
      </c>
      <c r="E1422" s="13">
        <v>102.0</v>
      </c>
    </row>
    <row r="1423">
      <c r="A1423" s="13">
        <v>3303064.0</v>
      </c>
      <c r="B1423" s="4">
        <v>214.0</v>
      </c>
      <c r="C1423" s="13">
        <v>101.0</v>
      </c>
      <c r="D1423" s="13">
        <v>40.0</v>
      </c>
      <c r="E1423" s="13">
        <v>273.0</v>
      </c>
    </row>
    <row r="1424">
      <c r="A1424" s="13">
        <v>3372165.0</v>
      </c>
      <c r="B1424" s="4">
        <v>198.0</v>
      </c>
      <c r="C1424" s="13">
        <v>204.0</v>
      </c>
      <c r="D1424" s="13">
        <v>92.0</v>
      </c>
      <c r="E1424" s="13">
        <v>1174.0</v>
      </c>
    </row>
    <row r="1425">
      <c r="A1425" s="13">
        <v>3320010.0</v>
      </c>
      <c r="B1425" s="4">
        <v>215.0</v>
      </c>
      <c r="C1425" s="13">
        <v>381.0</v>
      </c>
      <c r="D1425" s="13">
        <v>98.0</v>
      </c>
      <c r="E1425" s="13">
        <v>1071.0</v>
      </c>
    </row>
    <row r="1426">
      <c r="A1426" s="13">
        <v>3308033.0</v>
      </c>
      <c r="B1426" s="4">
        <v>216.0</v>
      </c>
      <c r="C1426" s="13">
        <v>51.0</v>
      </c>
      <c r="D1426" s="13">
        <v>15.0</v>
      </c>
      <c r="E1426" s="13">
        <v>182.0</v>
      </c>
    </row>
    <row r="1427">
      <c r="A1427" s="13">
        <v>3374390.0</v>
      </c>
      <c r="B1427" s="4">
        <v>193.0</v>
      </c>
      <c r="C1427" s="13">
        <v>50.0</v>
      </c>
      <c r="D1427" s="13">
        <v>20.0</v>
      </c>
      <c r="E1427" s="13">
        <v>182.0</v>
      </c>
    </row>
    <row r="1428">
      <c r="A1428" s="13">
        <v>3308014.0</v>
      </c>
      <c r="B1428" s="4">
        <v>216.0</v>
      </c>
      <c r="C1428" s="13">
        <v>159.0</v>
      </c>
      <c r="D1428" s="13">
        <v>39.0</v>
      </c>
      <c r="E1428" s="13">
        <v>591.0</v>
      </c>
    </row>
    <row r="1429">
      <c r="A1429" s="13">
        <v>3374123.0</v>
      </c>
      <c r="B1429" s="4">
        <v>193.0</v>
      </c>
      <c r="C1429" s="13">
        <v>343.0</v>
      </c>
      <c r="D1429" s="13">
        <v>53.0</v>
      </c>
      <c r="E1429" s="13">
        <v>315.0</v>
      </c>
    </row>
    <row r="1430">
      <c r="A1430" s="13">
        <v>3326016.0</v>
      </c>
      <c r="B1430" s="4">
        <v>209.0</v>
      </c>
      <c r="C1430" s="13">
        <v>182.0</v>
      </c>
      <c r="D1430" s="13">
        <v>35.0</v>
      </c>
      <c r="E1430" s="13">
        <v>277.0</v>
      </c>
    </row>
    <row r="1431">
      <c r="A1431" s="13">
        <v>3312010.0</v>
      </c>
      <c r="B1431" s="4">
        <v>217.0</v>
      </c>
      <c r="C1431" s="13">
        <v>269.0</v>
      </c>
      <c r="D1431" s="13">
        <v>122.0</v>
      </c>
      <c r="E1431" s="13">
        <v>696.0</v>
      </c>
    </row>
    <row r="1432">
      <c r="A1432" s="13">
        <v>3376023.0</v>
      </c>
      <c r="B1432" s="4">
        <v>210.0</v>
      </c>
      <c r="C1432" s="13">
        <v>181.0</v>
      </c>
      <c r="D1432" s="13">
        <v>40.0</v>
      </c>
      <c r="E1432" s="13">
        <v>250.0</v>
      </c>
    </row>
    <row r="1433">
      <c r="A1433" s="13">
        <v>3310425.0</v>
      </c>
      <c r="B1433" s="4">
        <v>204.0</v>
      </c>
      <c r="C1433" s="13">
        <v>61.0</v>
      </c>
      <c r="D1433" s="13">
        <v>39.0</v>
      </c>
      <c r="E1433" s="13">
        <v>59.0</v>
      </c>
    </row>
    <row r="1434">
      <c r="A1434" s="13">
        <v>3374371.0</v>
      </c>
      <c r="B1434" s="4">
        <v>193.0</v>
      </c>
      <c r="C1434" s="13">
        <v>25.0</v>
      </c>
      <c r="D1434" s="13">
        <v>27.0</v>
      </c>
      <c r="E1434" s="13">
        <v>118.0</v>
      </c>
    </row>
    <row r="1435">
      <c r="A1435" s="13">
        <v>3309136.0</v>
      </c>
      <c r="B1435" s="4">
        <v>200.0</v>
      </c>
      <c r="C1435" s="13">
        <v>102.0</v>
      </c>
      <c r="D1435" s="13">
        <v>34.0</v>
      </c>
      <c r="E1435" s="13">
        <v>63.0</v>
      </c>
    </row>
    <row r="1436">
      <c r="A1436" s="13">
        <v>3314045.0</v>
      </c>
      <c r="B1436" s="4">
        <v>192.0</v>
      </c>
      <c r="C1436" s="13">
        <v>126.0</v>
      </c>
      <c r="D1436" s="13">
        <v>34.0</v>
      </c>
      <c r="E1436" s="13">
        <v>393.0</v>
      </c>
    </row>
    <row r="1437">
      <c r="A1437" s="13">
        <v>3310418.0</v>
      </c>
      <c r="B1437" s="4">
        <v>204.0</v>
      </c>
      <c r="C1437" s="13">
        <v>110.0</v>
      </c>
      <c r="D1437" s="13">
        <v>32.0</v>
      </c>
      <c r="E1437" s="13">
        <v>201.0</v>
      </c>
    </row>
    <row r="1438">
      <c r="A1438" s="13">
        <v>3302154.0</v>
      </c>
      <c r="B1438" s="4">
        <v>189.0</v>
      </c>
      <c r="C1438" s="13">
        <v>55.0</v>
      </c>
      <c r="D1438" s="13">
        <v>27.0</v>
      </c>
      <c r="E1438" s="13">
        <v>95.0</v>
      </c>
    </row>
    <row r="1439">
      <c r="A1439" s="13">
        <v>3372030.0</v>
      </c>
      <c r="B1439" s="4">
        <v>198.0</v>
      </c>
      <c r="C1439" s="13">
        <v>112.0</v>
      </c>
      <c r="D1439" s="13">
        <v>30.0</v>
      </c>
      <c r="E1439" s="13">
        <v>326.0</v>
      </c>
    </row>
    <row r="1440">
      <c r="A1440" s="13">
        <v>3372238.0</v>
      </c>
      <c r="B1440" s="4">
        <v>198.0</v>
      </c>
      <c r="C1440" s="13">
        <v>62.0</v>
      </c>
      <c r="D1440" s="13">
        <v>35.0</v>
      </c>
      <c r="E1440" s="13">
        <v>64.0</v>
      </c>
    </row>
    <row r="1441">
      <c r="A1441" s="13">
        <v>3318075.0</v>
      </c>
      <c r="B1441" s="4">
        <v>211.0</v>
      </c>
      <c r="C1441" s="13">
        <v>115.0</v>
      </c>
      <c r="D1441" s="13">
        <v>30.0</v>
      </c>
      <c r="E1441" s="13">
        <v>311.0</v>
      </c>
    </row>
    <row r="1442">
      <c r="A1442" s="13">
        <v>3305103.0</v>
      </c>
      <c r="B1442" s="4">
        <v>195.0</v>
      </c>
      <c r="C1442" s="13">
        <v>106.0</v>
      </c>
      <c r="D1442" s="13">
        <v>35.0</v>
      </c>
      <c r="E1442" s="13">
        <v>377.0</v>
      </c>
    </row>
    <row r="1443">
      <c r="A1443" s="13">
        <v>3374021.0</v>
      </c>
      <c r="B1443" s="4">
        <v>193.0</v>
      </c>
      <c r="C1443" s="13">
        <v>279.0</v>
      </c>
      <c r="D1443" s="13">
        <v>113.0</v>
      </c>
      <c r="E1443" s="13">
        <v>160.0</v>
      </c>
    </row>
    <row r="1444">
      <c r="A1444" s="13">
        <v>3318111.0</v>
      </c>
      <c r="B1444" s="4">
        <v>211.0</v>
      </c>
      <c r="C1444" s="13">
        <v>137.0</v>
      </c>
      <c r="D1444" s="13">
        <v>20.0</v>
      </c>
      <c r="E1444" s="13">
        <v>157.0</v>
      </c>
    </row>
    <row r="1445">
      <c r="A1445" s="13">
        <v>3323013.0</v>
      </c>
      <c r="B1445" s="4">
        <v>218.0</v>
      </c>
      <c r="C1445" s="13">
        <v>318.0</v>
      </c>
      <c r="D1445" s="13">
        <v>83.0</v>
      </c>
      <c r="E1445" s="13">
        <v>837.0</v>
      </c>
    </row>
    <row r="1446">
      <c r="A1446" s="13">
        <v>3311225.0</v>
      </c>
      <c r="B1446" s="4">
        <v>208.0</v>
      </c>
      <c r="C1446" s="13">
        <v>6.0</v>
      </c>
      <c r="D1446" s="13">
        <v>95.0</v>
      </c>
      <c r="E1446" s="13">
        <v>156.0</v>
      </c>
    </row>
    <row r="1447">
      <c r="A1447" s="13">
        <v>3372253.0</v>
      </c>
      <c r="B1447" s="4">
        <v>198.0</v>
      </c>
      <c r="C1447" s="13">
        <v>82.0</v>
      </c>
      <c r="D1447" s="13">
        <v>40.0</v>
      </c>
      <c r="E1447" s="13">
        <v>182.0</v>
      </c>
    </row>
    <row r="1448">
      <c r="A1448" s="13">
        <v>3318125.0</v>
      </c>
      <c r="B1448" s="4">
        <v>211.0</v>
      </c>
      <c r="C1448" s="13">
        <v>27.0</v>
      </c>
      <c r="D1448" s="13">
        <v>14.0</v>
      </c>
      <c r="E1448" s="13">
        <v>182.0</v>
      </c>
    </row>
    <row r="1449">
      <c r="A1449" s="13">
        <v>3310052.0</v>
      </c>
      <c r="B1449" s="4">
        <v>204.0</v>
      </c>
      <c r="C1449" s="13">
        <v>151.0</v>
      </c>
      <c r="D1449" s="13">
        <v>29.0</v>
      </c>
      <c r="E1449" s="13">
        <v>157.0</v>
      </c>
    </row>
    <row r="1450">
      <c r="A1450" s="13">
        <v>3374342.0</v>
      </c>
      <c r="B1450" s="4">
        <v>193.0</v>
      </c>
      <c r="C1450" s="13">
        <v>530.0</v>
      </c>
      <c r="D1450" s="13">
        <v>89.0</v>
      </c>
      <c r="E1450" s="13">
        <v>1434.0</v>
      </c>
    </row>
    <row r="1451">
      <c r="A1451" s="13">
        <v>3310417.0</v>
      </c>
      <c r="B1451" s="4">
        <v>204.0</v>
      </c>
      <c r="C1451" s="13">
        <v>107.0</v>
      </c>
      <c r="D1451" s="13">
        <v>55.0</v>
      </c>
      <c r="E1451" s="13">
        <v>182.0</v>
      </c>
    </row>
    <row r="1452">
      <c r="A1452" s="13">
        <v>3327043.0</v>
      </c>
      <c r="B1452" s="4">
        <v>212.0</v>
      </c>
      <c r="C1452" s="13">
        <v>114.0</v>
      </c>
      <c r="D1452" s="13">
        <v>27.0</v>
      </c>
      <c r="E1452" s="13">
        <v>152.0</v>
      </c>
    </row>
    <row r="1453">
      <c r="A1453" s="13">
        <v>3311229.0</v>
      </c>
      <c r="B1453" s="4">
        <v>208.0</v>
      </c>
      <c r="C1453" s="13">
        <v>182.0</v>
      </c>
      <c r="D1453" s="13">
        <v>58.0</v>
      </c>
      <c r="E1453" s="13">
        <v>1075.0</v>
      </c>
    </row>
    <row r="1454">
      <c r="A1454" s="13">
        <v>3302232.0</v>
      </c>
      <c r="B1454" s="4">
        <v>189.0</v>
      </c>
      <c r="C1454" s="13">
        <v>133.0</v>
      </c>
      <c r="D1454" s="13">
        <v>94.0</v>
      </c>
      <c r="E1454" s="13">
        <v>233.0</v>
      </c>
    </row>
    <row r="1455">
      <c r="A1455" s="13">
        <v>3320046.0</v>
      </c>
      <c r="B1455" s="4">
        <v>215.0</v>
      </c>
      <c r="C1455" s="13">
        <v>75.0</v>
      </c>
      <c r="D1455" s="13">
        <v>21.0</v>
      </c>
      <c r="E1455" s="13">
        <v>40.0</v>
      </c>
    </row>
    <row r="1456">
      <c r="A1456" s="13">
        <v>3315075.0</v>
      </c>
      <c r="B1456" s="4">
        <v>207.0</v>
      </c>
      <c r="C1456" s="13">
        <v>49.0</v>
      </c>
      <c r="D1456" s="13">
        <v>25.0</v>
      </c>
      <c r="E1456" s="13">
        <v>182.0</v>
      </c>
    </row>
    <row r="1457">
      <c r="A1457" s="13">
        <v>3301105.0</v>
      </c>
      <c r="B1457" s="4">
        <v>205.0</v>
      </c>
      <c r="C1457" s="13">
        <v>50.0</v>
      </c>
      <c r="D1457" s="13">
        <v>22.0</v>
      </c>
      <c r="E1457" s="13">
        <v>118.0</v>
      </c>
    </row>
    <row r="1458">
      <c r="A1458" s="13">
        <v>3371040.0</v>
      </c>
      <c r="B1458" s="4">
        <v>190.0</v>
      </c>
      <c r="C1458" s="13">
        <v>456.0</v>
      </c>
      <c r="D1458" s="13">
        <v>44.0</v>
      </c>
      <c r="E1458" s="13">
        <v>948.0</v>
      </c>
    </row>
    <row r="1459">
      <c r="A1459" s="13">
        <v>3316025.0</v>
      </c>
      <c r="B1459" s="4">
        <v>194.0</v>
      </c>
      <c r="C1459" s="13">
        <v>265.0</v>
      </c>
      <c r="D1459" s="13">
        <v>38.0</v>
      </c>
      <c r="E1459" s="13">
        <v>446.0</v>
      </c>
    </row>
    <row r="1460">
      <c r="A1460" s="13">
        <v>3302174.0</v>
      </c>
      <c r="B1460" s="4">
        <v>189.0</v>
      </c>
      <c r="C1460" s="13">
        <v>30.0</v>
      </c>
      <c r="D1460" s="13">
        <v>18.0</v>
      </c>
      <c r="E1460" s="13">
        <v>126.0</v>
      </c>
    </row>
    <row r="1461">
      <c r="A1461" s="13">
        <v>3309128.0</v>
      </c>
      <c r="B1461" s="4">
        <v>200.0</v>
      </c>
      <c r="C1461" s="13">
        <v>80.0</v>
      </c>
      <c r="D1461" s="13">
        <v>39.0</v>
      </c>
      <c r="E1461" s="13">
        <v>236.0</v>
      </c>
    </row>
    <row r="1462">
      <c r="A1462" s="13">
        <v>3328082.0</v>
      </c>
      <c r="B1462" s="4">
        <v>210.0</v>
      </c>
      <c r="C1462" s="13">
        <v>50.0</v>
      </c>
      <c r="D1462" s="13">
        <v>25.0</v>
      </c>
      <c r="E1462" s="13">
        <v>40.0</v>
      </c>
    </row>
    <row r="1463">
      <c r="A1463" s="13">
        <v>3304010.0</v>
      </c>
      <c r="B1463" s="4">
        <v>219.0</v>
      </c>
      <c r="C1463" s="13">
        <v>305.0</v>
      </c>
      <c r="D1463" s="13">
        <v>28.0</v>
      </c>
      <c r="E1463" s="13">
        <v>592.0</v>
      </c>
    </row>
    <row r="1464">
      <c r="A1464" s="13">
        <v>3372234.0</v>
      </c>
      <c r="B1464" s="4">
        <v>198.0</v>
      </c>
      <c r="C1464" s="13">
        <v>199.0</v>
      </c>
      <c r="D1464" s="13">
        <v>38.0</v>
      </c>
      <c r="E1464" s="13">
        <v>344.0</v>
      </c>
    </row>
    <row r="1465">
      <c r="A1465" s="13">
        <v>3373092.0</v>
      </c>
      <c r="B1465" s="4">
        <v>196.0</v>
      </c>
      <c r="C1465" s="13">
        <v>30.0</v>
      </c>
      <c r="D1465" s="13">
        <v>36.0</v>
      </c>
      <c r="E1465" s="13">
        <v>53.0</v>
      </c>
    </row>
    <row r="1466">
      <c r="A1466" s="13">
        <v>3320032.0</v>
      </c>
      <c r="B1466" s="4">
        <v>215.0</v>
      </c>
      <c r="C1466" s="13">
        <v>162.0</v>
      </c>
      <c r="D1466" s="13">
        <v>56.0</v>
      </c>
      <c r="E1466" s="13">
        <v>342.0</v>
      </c>
    </row>
    <row r="1467">
      <c r="A1467" s="13">
        <v>3311228.0</v>
      </c>
      <c r="B1467" s="4">
        <v>208.0</v>
      </c>
      <c r="C1467" s="13">
        <v>197.0</v>
      </c>
      <c r="D1467" s="13">
        <v>52.0</v>
      </c>
      <c r="E1467" s="13">
        <v>561.0</v>
      </c>
    </row>
    <row r="1468">
      <c r="A1468" s="13">
        <v>3374372.0</v>
      </c>
      <c r="B1468" s="4">
        <v>193.0</v>
      </c>
      <c r="C1468" s="13">
        <v>14.0</v>
      </c>
      <c r="D1468" s="13">
        <v>17.0</v>
      </c>
      <c r="E1468" s="13">
        <v>75.0</v>
      </c>
    </row>
    <row r="1469">
      <c r="A1469" s="13">
        <v>3327049.0</v>
      </c>
      <c r="B1469" s="4">
        <v>212.0</v>
      </c>
      <c r="C1469" s="13">
        <v>59.0</v>
      </c>
      <c r="D1469" s="13">
        <v>21.0</v>
      </c>
      <c r="E1469" s="13">
        <v>100.0</v>
      </c>
    </row>
    <row r="1470">
      <c r="A1470" s="13">
        <v>3309063.0</v>
      </c>
      <c r="B1470" s="4">
        <v>200.0</v>
      </c>
      <c r="C1470" s="13">
        <v>109.0</v>
      </c>
      <c r="D1470" s="13">
        <v>53.0</v>
      </c>
      <c r="E1470" s="13">
        <v>109.0</v>
      </c>
    </row>
    <row r="1471">
      <c r="A1471" s="13">
        <v>3374145.0</v>
      </c>
      <c r="B1471" s="4">
        <v>193.0</v>
      </c>
      <c r="C1471" s="13">
        <v>150.0</v>
      </c>
      <c r="D1471" s="13">
        <v>112.0</v>
      </c>
      <c r="E1471" s="13">
        <v>590.0</v>
      </c>
    </row>
    <row r="1472">
      <c r="A1472" s="13">
        <v>3305117.0</v>
      </c>
      <c r="B1472" s="4">
        <v>195.0</v>
      </c>
      <c r="C1472" s="13">
        <v>62.0</v>
      </c>
      <c r="D1472" s="13">
        <v>24.0</v>
      </c>
      <c r="E1472" s="13">
        <v>171.0</v>
      </c>
    </row>
    <row r="1473">
      <c r="A1473" s="13">
        <v>3301115.0</v>
      </c>
      <c r="B1473" s="4">
        <v>205.0</v>
      </c>
      <c r="C1473" s="13">
        <v>146.0</v>
      </c>
      <c r="D1473" s="13">
        <v>52.0</v>
      </c>
      <c r="E1473" s="13">
        <v>182.0</v>
      </c>
    </row>
    <row r="1474">
      <c r="A1474" s="13">
        <v>3312295.0</v>
      </c>
      <c r="B1474" s="4">
        <v>217.0</v>
      </c>
      <c r="C1474" s="13">
        <v>110.0</v>
      </c>
      <c r="D1474" s="13">
        <v>64.0</v>
      </c>
      <c r="E1474" s="13">
        <v>210.0</v>
      </c>
    </row>
    <row r="1475">
      <c r="A1475" s="13">
        <v>3376082.0</v>
      </c>
      <c r="B1475" s="4">
        <v>220.0</v>
      </c>
      <c r="C1475" s="13">
        <v>406.0</v>
      </c>
      <c r="D1475" s="13">
        <v>103.0</v>
      </c>
      <c r="E1475" s="13">
        <v>956.0</v>
      </c>
    </row>
    <row r="1476">
      <c r="A1476" s="13">
        <v>3304032.0</v>
      </c>
      <c r="B1476" s="4">
        <v>219.0</v>
      </c>
      <c r="C1476" s="13">
        <v>127.0</v>
      </c>
      <c r="D1476" s="13">
        <v>29.0</v>
      </c>
      <c r="E1476" s="13">
        <v>499.0</v>
      </c>
    </row>
    <row r="1477">
      <c r="A1477" s="13">
        <v>3314090.0</v>
      </c>
      <c r="B1477" s="4">
        <v>192.0</v>
      </c>
      <c r="C1477" s="13">
        <v>104.0</v>
      </c>
      <c r="D1477" s="13">
        <v>33.0</v>
      </c>
      <c r="E1477" s="13">
        <v>210.0</v>
      </c>
    </row>
    <row r="1478">
      <c r="A1478" s="13">
        <v>3314067.0</v>
      </c>
      <c r="B1478" s="4">
        <v>192.0</v>
      </c>
      <c r="C1478" s="13">
        <v>99.0</v>
      </c>
      <c r="D1478" s="13">
        <v>25.0</v>
      </c>
      <c r="E1478" s="13">
        <v>176.0</v>
      </c>
    </row>
    <row r="1479">
      <c r="A1479" s="13">
        <v>3311230.0</v>
      </c>
      <c r="B1479" s="4">
        <v>208.0</v>
      </c>
      <c r="C1479" s="13">
        <v>56.0</v>
      </c>
      <c r="D1479" s="13">
        <v>21.0</v>
      </c>
      <c r="E1479" s="13">
        <v>71.0</v>
      </c>
    </row>
    <row r="1480">
      <c r="A1480" s="13">
        <v>3329112.0</v>
      </c>
      <c r="B1480" s="4">
        <v>206.0</v>
      </c>
      <c r="C1480" s="13">
        <v>50.0</v>
      </c>
      <c r="D1480" s="13">
        <v>25.0</v>
      </c>
      <c r="E1480" s="13">
        <v>37.0</v>
      </c>
    </row>
    <row r="1481">
      <c r="A1481" s="13">
        <v>3318114.0</v>
      </c>
      <c r="B1481" s="4">
        <v>211.0</v>
      </c>
      <c r="C1481" s="13">
        <v>144.0</v>
      </c>
      <c r="D1481" s="13">
        <v>37.0</v>
      </c>
      <c r="E1481" s="13">
        <v>122.0</v>
      </c>
    </row>
    <row r="1482">
      <c r="A1482" s="13">
        <v>3302180.0</v>
      </c>
      <c r="B1482" s="4">
        <v>189.0</v>
      </c>
      <c r="C1482" s="13">
        <v>47.0</v>
      </c>
      <c r="D1482" s="13">
        <v>23.0</v>
      </c>
      <c r="E1482" s="13">
        <v>207.0</v>
      </c>
    </row>
    <row r="1483">
      <c r="A1483" s="13">
        <v>3372052.0</v>
      </c>
      <c r="B1483" s="4">
        <v>198.0</v>
      </c>
      <c r="C1483" s="13">
        <v>213.0</v>
      </c>
      <c r="D1483" s="13">
        <v>38.0</v>
      </c>
      <c r="E1483" s="13">
        <v>427.0</v>
      </c>
    </row>
    <row r="1484">
      <c r="A1484" s="13">
        <v>3328035.0</v>
      </c>
      <c r="B1484" s="4">
        <v>210.0</v>
      </c>
      <c r="C1484" s="13">
        <v>152.0</v>
      </c>
      <c r="D1484" s="13">
        <v>38.0</v>
      </c>
      <c r="E1484" s="13">
        <v>256.0</v>
      </c>
    </row>
    <row r="1485">
      <c r="A1485" s="13">
        <v>3312309.0</v>
      </c>
      <c r="B1485" s="4">
        <v>217.0</v>
      </c>
      <c r="C1485" s="13">
        <v>98.0</v>
      </c>
      <c r="D1485" s="13">
        <v>27.0</v>
      </c>
      <c r="E1485" s="13">
        <v>76.0</v>
      </c>
    </row>
    <row r="1486">
      <c r="A1486" s="13">
        <v>3319010.0</v>
      </c>
      <c r="B1486" s="4">
        <v>188.0</v>
      </c>
      <c r="C1486" s="13">
        <v>385.0</v>
      </c>
      <c r="D1486" s="13">
        <v>56.0</v>
      </c>
      <c r="E1486" s="13">
        <v>965.0</v>
      </c>
    </row>
    <row r="1487">
      <c r="A1487" s="13">
        <v>3318109.0</v>
      </c>
      <c r="B1487" s="4">
        <v>211.0</v>
      </c>
      <c r="C1487" s="13">
        <v>85.0</v>
      </c>
      <c r="D1487" s="13">
        <v>24.0</v>
      </c>
      <c r="E1487" s="13">
        <v>117.0</v>
      </c>
    </row>
    <row r="1488">
      <c r="A1488" s="13">
        <v>3329126.0</v>
      </c>
      <c r="B1488" s="4">
        <v>206.0</v>
      </c>
      <c r="C1488" s="13">
        <v>25.0</v>
      </c>
      <c r="D1488" s="13">
        <v>26.0</v>
      </c>
      <c r="E1488" s="13">
        <v>182.0</v>
      </c>
    </row>
    <row r="1489">
      <c r="A1489" s="13">
        <v>3306082.0</v>
      </c>
      <c r="B1489" s="4">
        <v>191.0</v>
      </c>
      <c r="C1489" s="13">
        <v>60.0</v>
      </c>
      <c r="D1489" s="13">
        <v>27.0</v>
      </c>
      <c r="E1489" s="13">
        <v>159.0</v>
      </c>
    </row>
    <row r="1490">
      <c r="A1490" s="13">
        <v>3374043.0</v>
      </c>
      <c r="B1490" s="4">
        <v>193.0</v>
      </c>
      <c r="C1490" s="13">
        <v>277.0</v>
      </c>
      <c r="D1490" s="13">
        <v>128.0</v>
      </c>
      <c r="E1490" s="13">
        <v>1343.0</v>
      </c>
    </row>
    <row r="1491">
      <c r="A1491" s="13">
        <v>3323046.0</v>
      </c>
      <c r="B1491" s="4">
        <v>218.0</v>
      </c>
      <c r="C1491" s="13">
        <v>50.0</v>
      </c>
      <c r="D1491" s="13">
        <v>21.0</v>
      </c>
      <c r="E1491" s="13">
        <v>144.0</v>
      </c>
    </row>
    <row r="1492">
      <c r="A1492" s="13">
        <v>3324038.0</v>
      </c>
      <c r="B1492" s="4">
        <v>199.0</v>
      </c>
      <c r="C1492" s="13">
        <v>64.0</v>
      </c>
      <c r="D1492" s="13">
        <v>23.0</v>
      </c>
      <c r="E1492" s="13">
        <v>236.0</v>
      </c>
    </row>
    <row r="1493">
      <c r="A1493" s="13">
        <v>3327047.0</v>
      </c>
      <c r="B1493" s="4">
        <v>212.0</v>
      </c>
      <c r="C1493" s="13">
        <v>100.0</v>
      </c>
      <c r="D1493" s="13">
        <v>29.0</v>
      </c>
      <c r="E1493" s="13">
        <v>121.0</v>
      </c>
    </row>
    <row r="1494">
      <c r="A1494" s="13">
        <v>3303103.0</v>
      </c>
      <c r="B1494" s="4">
        <v>214.0</v>
      </c>
      <c r="C1494" s="13">
        <v>119.0</v>
      </c>
      <c r="D1494" s="13">
        <v>29.0</v>
      </c>
      <c r="E1494" s="13">
        <v>42.0</v>
      </c>
    </row>
    <row r="1495">
      <c r="A1495" s="13">
        <v>3324052.0</v>
      </c>
      <c r="B1495" s="4">
        <v>199.0</v>
      </c>
      <c r="C1495" s="13">
        <v>53.0</v>
      </c>
      <c r="D1495" s="13">
        <v>25.0</v>
      </c>
      <c r="E1495" s="13">
        <v>182.0</v>
      </c>
    </row>
    <row r="1496">
      <c r="A1496" s="13">
        <v>3316075.0</v>
      </c>
      <c r="B1496" s="4">
        <v>194.0</v>
      </c>
      <c r="C1496" s="13">
        <v>50.0</v>
      </c>
      <c r="D1496" s="13">
        <v>22.0</v>
      </c>
      <c r="E1496" s="13">
        <v>182.0</v>
      </c>
    </row>
    <row r="1497">
      <c r="A1497" s="13">
        <v>3310395.0</v>
      </c>
      <c r="B1497" s="4">
        <v>204.0</v>
      </c>
      <c r="C1497" s="13">
        <v>103.0</v>
      </c>
      <c r="D1497" s="13">
        <v>80.0</v>
      </c>
      <c r="E1497" s="13">
        <v>190.0</v>
      </c>
    </row>
    <row r="1498">
      <c r="A1498" s="13">
        <v>3326011.0</v>
      </c>
      <c r="B1498" s="4">
        <v>209.0</v>
      </c>
      <c r="C1498" s="13">
        <v>249.0</v>
      </c>
      <c r="D1498" s="13">
        <v>135.0</v>
      </c>
      <c r="E1498" s="13">
        <v>694.0</v>
      </c>
    </row>
    <row r="1499">
      <c r="A1499" s="13">
        <v>3319022.0</v>
      </c>
      <c r="B1499" s="4">
        <v>188.0</v>
      </c>
      <c r="C1499" s="13">
        <v>100.0</v>
      </c>
      <c r="D1499" s="13">
        <v>42.0</v>
      </c>
      <c r="E1499" s="13">
        <v>278.0</v>
      </c>
    </row>
    <row r="1500">
      <c r="A1500" s="13">
        <v>3329012.0</v>
      </c>
      <c r="B1500" s="4">
        <v>206.0</v>
      </c>
      <c r="C1500" s="13">
        <v>340.0</v>
      </c>
      <c r="D1500" s="13">
        <v>84.0</v>
      </c>
      <c r="E1500" s="13">
        <v>803.0</v>
      </c>
    </row>
    <row r="1501">
      <c r="A1501" s="13">
        <v>3302026.0</v>
      </c>
      <c r="B1501" s="4">
        <v>189.0</v>
      </c>
      <c r="C1501" s="13">
        <v>700.0</v>
      </c>
      <c r="D1501" s="13">
        <v>124.0</v>
      </c>
      <c r="E1501" s="13">
        <v>1823.0</v>
      </c>
    </row>
    <row r="1502">
      <c r="A1502" s="13">
        <v>3371105.0</v>
      </c>
      <c r="B1502" s="4">
        <v>190.0</v>
      </c>
      <c r="C1502" s="13">
        <v>36.0</v>
      </c>
      <c r="D1502" s="13">
        <v>24.0</v>
      </c>
      <c r="E1502" s="13">
        <v>75.0</v>
      </c>
    </row>
    <row r="1503">
      <c r="A1503" s="13">
        <v>3307051.0</v>
      </c>
      <c r="B1503" s="4">
        <v>202.0</v>
      </c>
      <c r="C1503" s="13">
        <v>211.0</v>
      </c>
      <c r="D1503" s="13">
        <v>70.0</v>
      </c>
      <c r="E1503" s="13">
        <v>188.0</v>
      </c>
    </row>
    <row r="1504">
      <c r="A1504" s="13">
        <v>3321035.0</v>
      </c>
      <c r="B1504" s="4">
        <v>197.0</v>
      </c>
      <c r="C1504" s="13">
        <v>180.0</v>
      </c>
      <c r="D1504" s="13">
        <v>27.0</v>
      </c>
      <c r="E1504" s="13">
        <v>250.0</v>
      </c>
    </row>
    <row r="1505">
      <c r="A1505" s="13">
        <v>3316051.0</v>
      </c>
      <c r="B1505" s="4">
        <v>194.0</v>
      </c>
      <c r="C1505" s="13">
        <v>141.0</v>
      </c>
      <c r="D1505" s="13">
        <v>37.0</v>
      </c>
      <c r="E1505" s="13">
        <v>328.0</v>
      </c>
    </row>
    <row r="1506">
      <c r="A1506" s="13">
        <v>3311027.0</v>
      </c>
      <c r="B1506" s="4">
        <v>208.0</v>
      </c>
      <c r="C1506" s="13">
        <v>63.0</v>
      </c>
      <c r="D1506" s="13">
        <v>35.0</v>
      </c>
      <c r="E1506" s="13">
        <v>245.0</v>
      </c>
    </row>
    <row r="1507">
      <c r="A1507" s="13">
        <v>3317026.0</v>
      </c>
      <c r="B1507" s="4">
        <v>221.0</v>
      </c>
      <c r="C1507" s="13">
        <v>80.0</v>
      </c>
      <c r="D1507" s="13">
        <v>32.0</v>
      </c>
      <c r="E1507" s="13">
        <v>94.0</v>
      </c>
    </row>
    <row r="1508">
      <c r="A1508" s="13">
        <v>3305011.0</v>
      </c>
      <c r="B1508" s="4">
        <v>195.0</v>
      </c>
      <c r="C1508" s="13">
        <v>295.0</v>
      </c>
      <c r="D1508" s="13">
        <v>42.0</v>
      </c>
      <c r="E1508" s="13">
        <v>891.0</v>
      </c>
    </row>
    <row r="1509">
      <c r="A1509" s="13">
        <v>3373020.0</v>
      </c>
      <c r="B1509" s="4">
        <v>196.0</v>
      </c>
      <c r="C1509" s="13">
        <v>148.0</v>
      </c>
      <c r="D1509" s="13">
        <v>36.0</v>
      </c>
      <c r="E1509" s="13">
        <v>363.0</v>
      </c>
    </row>
    <row r="1510">
      <c r="A1510" s="13">
        <v>3321011.0</v>
      </c>
      <c r="B1510" s="4">
        <v>197.0</v>
      </c>
      <c r="C1510" s="13">
        <v>293.0</v>
      </c>
      <c r="D1510" s="13">
        <v>60.0</v>
      </c>
      <c r="E1510" s="13">
        <v>475.0</v>
      </c>
    </row>
    <row r="1511">
      <c r="A1511" s="13">
        <v>3318110.0</v>
      </c>
      <c r="B1511" s="4">
        <v>211.0</v>
      </c>
      <c r="C1511" s="13">
        <v>138.0</v>
      </c>
      <c r="D1511" s="13">
        <v>74.0</v>
      </c>
      <c r="E1511" s="13">
        <v>50.0</v>
      </c>
    </row>
    <row r="1512">
      <c r="A1512" s="13">
        <v>3329113.0</v>
      </c>
      <c r="B1512" s="4">
        <v>206.0</v>
      </c>
      <c r="C1512" s="13">
        <v>60.0</v>
      </c>
      <c r="D1512" s="13">
        <v>50.0</v>
      </c>
      <c r="E1512" s="13">
        <v>31.0</v>
      </c>
    </row>
    <row r="1513">
      <c r="A1513" s="13">
        <v>3309085.0</v>
      </c>
      <c r="B1513" s="4">
        <v>200.0</v>
      </c>
      <c r="C1513" s="13">
        <v>85.0</v>
      </c>
      <c r="D1513" s="13">
        <v>34.0</v>
      </c>
      <c r="E1513" s="13">
        <v>294.0</v>
      </c>
    </row>
    <row r="1514">
      <c r="A1514" s="13">
        <v>3374240.0</v>
      </c>
      <c r="B1514" s="4">
        <v>193.0</v>
      </c>
      <c r="C1514" s="13">
        <v>185.0</v>
      </c>
      <c r="D1514" s="13">
        <v>84.0</v>
      </c>
      <c r="E1514" s="13">
        <v>381.0</v>
      </c>
    </row>
    <row r="1515">
      <c r="A1515" s="13">
        <v>3302225.0</v>
      </c>
      <c r="B1515" s="4">
        <v>189.0</v>
      </c>
      <c r="C1515" s="13">
        <v>25.0</v>
      </c>
      <c r="D1515" s="13">
        <v>11.0</v>
      </c>
      <c r="E1515" s="13">
        <v>26.0</v>
      </c>
    </row>
    <row r="1516">
      <c r="A1516" s="13">
        <v>3313011.0</v>
      </c>
      <c r="B1516" s="4">
        <v>187.0</v>
      </c>
      <c r="C1516" s="13">
        <v>389.0</v>
      </c>
      <c r="D1516" s="13">
        <v>31.0</v>
      </c>
      <c r="E1516" s="13">
        <v>707.0</v>
      </c>
    </row>
    <row r="1517">
      <c r="A1517" s="13">
        <v>3374365.0</v>
      </c>
      <c r="B1517" s="4">
        <v>193.0</v>
      </c>
      <c r="C1517" s="13">
        <v>127.0</v>
      </c>
      <c r="D1517" s="13">
        <v>82.0</v>
      </c>
      <c r="E1517" s="13">
        <v>252.0</v>
      </c>
    </row>
    <row r="1518">
      <c r="A1518" s="13">
        <v>3301014.0</v>
      </c>
      <c r="B1518" s="4">
        <v>205.0</v>
      </c>
      <c r="C1518" s="13">
        <v>295.0</v>
      </c>
      <c r="D1518" s="13">
        <v>31.0</v>
      </c>
      <c r="E1518" s="13">
        <v>686.0</v>
      </c>
    </row>
    <row r="1519">
      <c r="A1519" s="13">
        <v>3329056.0</v>
      </c>
      <c r="B1519" s="4">
        <v>206.0</v>
      </c>
      <c r="C1519" s="13">
        <v>175.0</v>
      </c>
      <c r="D1519" s="13">
        <v>60.0</v>
      </c>
      <c r="E1519" s="13">
        <v>262.0</v>
      </c>
    </row>
    <row r="1520">
      <c r="A1520" s="13">
        <v>3313055.0</v>
      </c>
      <c r="B1520" s="4">
        <v>187.0</v>
      </c>
      <c r="C1520" s="13">
        <v>58.0</v>
      </c>
      <c r="D1520" s="13">
        <v>20.0</v>
      </c>
      <c r="E1520" s="13">
        <v>91.0</v>
      </c>
    </row>
    <row r="1521">
      <c r="A1521" s="13">
        <v>3329109.0</v>
      </c>
      <c r="B1521" s="4">
        <v>206.0</v>
      </c>
      <c r="C1521" s="13">
        <v>60.0</v>
      </c>
      <c r="D1521" s="13">
        <v>29.0</v>
      </c>
      <c r="E1521" s="13">
        <v>114.0</v>
      </c>
    </row>
    <row r="1522">
      <c r="A1522" s="13">
        <v>3303116.0</v>
      </c>
      <c r="B1522" s="4">
        <v>214.0</v>
      </c>
      <c r="C1522" s="13">
        <v>25.0</v>
      </c>
      <c r="D1522" s="13">
        <v>18.0</v>
      </c>
      <c r="E1522" s="13">
        <v>182.0</v>
      </c>
    </row>
    <row r="1523">
      <c r="A1523" s="13">
        <v>3315024.0</v>
      </c>
      <c r="B1523" s="4">
        <v>207.0</v>
      </c>
      <c r="C1523" s="13">
        <v>233.0</v>
      </c>
      <c r="D1523" s="13">
        <v>60.0</v>
      </c>
      <c r="E1523" s="13">
        <v>583.0</v>
      </c>
    </row>
    <row r="1524">
      <c r="A1524" s="13">
        <v>3302052.0</v>
      </c>
      <c r="B1524" s="4">
        <v>189.0</v>
      </c>
      <c r="C1524" s="13">
        <v>37.0</v>
      </c>
      <c r="D1524" s="13">
        <v>24.0</v>
      </c>
      <c r="E1524" s="13">
        <v>156.0</v>
      </c>
    </row>
    <row r="1525">
      <c r="A1525" s="13">
        <v>3374091.0</v>
      </c>
      <c r="B1525" s="4">
        <v>193.0</v>
      </c>
      <c r="C1525" s="13">
        <v>142.0</v>
      </c>
      <c r="D1525" s="13">
        <v>41.0</v>
      </c>
      <c r="E1525" s="13">
        <v>75.0</v>
      </c>
    </row>
    <row r="1526">
      <c r="A1526" s="13">
        <v>3301106.0</v>
      </c>
      <c r="B1526" s="4">
        <v>205.0</v>
      </c>
      <c r="C1526" s="13">
        <v>98.0</v>
      </c>
      <c r="D1526" s="13">
        <v>28.0</v>
      </c>
      <c r="E1526" s="13">
        <v>71.0</v>
      </c>
    </row>
    <row r="1527">
      <c r="A1527" s="13">
        <v>3302213.0</v>
      </c>
      <c r="B1527" s="4">
        <v>189.0</v>
      </c>
      <c r="C1527" s="13">
        <v>150.0</v>
      </c>
      <c r="D1527" s="13">
        <v>43.0</v>
      </c>
      <c r="E1527" s="13">
        <v>452.0</v>
      </c>
    </row>
    <row r="1528">
      <c r="A1528" s="13">
        <v>3372074.0</v>
      </c>
      <c r="B1528" s="4">
        <v>198.0</v>
      </c>
      <c r="C1528" s="13">
        <v>119.0</v>
      </c>
      <c r="D1528" s="13">
        <v>49.0</v>
      </c>
      <c r="E1528" s="13">
        <v>488.0</v>
      </c>
    </row>
    <row r="1529">
      <c r="A1529" s="13">
        <v>3319080.0</v>
      </c>
      <c r="B1529" s="4">
        <v>188.0</v>
      </c>
      <c r="C1529" s="13">
        <v>200.0</v>
      </c>
      <c r="D1529" s="13">
        <v>47.0</v>
      </c>
      <c r="E1529" s="13">
        <v>796.0</v>
      </c>
    </row>
    <row r="1530">
      <c r="A1530" s="13">
        <v>3307013.0</v>
      </c>
      <c r="B1530" s="4">
        <v>202.0</v>
      </c>
      <c r="C1530" s="13">
        <v>222.0</v>
      </c>
      <c r="D1530" s="13">
        <v>80.0</v>
      </c>
      <c r="E1530" s="13">
        <v>247.0</v>
      </c>
    </row>
    <row r="1531">
      <c r="A1531" s="13">
        <v>3374076.0</v>
      </c>
      <c r="B1531" s="4">
        <v>193.0</v>
      </c>
      <c r="C1531" s="13">
        <v>350.0</v>
      </c>
      <c r="D1531" s="13">
        <v>114.0</v>
      </c>
      <c r="E1531" s="13">
        <v>1666.0</v>
      </c>
    </row>
    <row r="1532">
      <c r="A1532" s="13">
        <v>3301108.0</v>
      </c>
      <c r="B1532" s="4">
        <v>205.0</v>
      </c>
      <c r="C1532" s="13">
        <v>177.0</v>
      </c>
      <c r="D1532" s="13">
        <v>100.0</v>
      </c>
      <c r="E1532" s="13">
        <v>164.0</v>
      </c>
    </row>
    <row r="1533">
      <c r="A1533" s="13">
        <v>3324014.0</v>
      </c>
      <c r="B1533" s="4">
        <v>199.0</v>
      </c>
      <c r="C1533" s="13">
        <v>270.0</v>
      </c>
      <c r="D1533" s="13">
        <v>77.0</v>
      </c>
      <c r="E1533" s="13">
        <v>465.0</v>
      </c>
    </row>
    <row r="1534">
      <c r="A1534" s="13">
        <v>3312021.0</v>
      </c>
      <c r="B1534" s="4">
        <v>217.0</v>
      </c>
      <c r="C1534" s="13">
        <v>100.0</v>
      </c>
      <c r="D1534" s="13">
        <v>27.0</v>
      </c>
      <c r="E1534" s="13">
        <v>211.0</v>
      </c>
    </row>
    <row r="1535">
      <c r="A1535" s="13">
        <v>3322084.0</v>
      </c>
      <c r="B1535" s="4">
        <v>213.0</v>
      </c>
      <c r="C1535" s="13">
        <v>100.0</v>
      </c>
      <c r="D1535" s="13">
        <v>31.0</v>
      </c>
      <c r="E1535" s="13">
        <v>182.0</v>
      </c>
    </row>
    <row r="1536">
      <c r="A1536" s="13">
        <v>3316076.0</v>
      </c>
      <c r="B1536" s="4">
        <v>194.0</v>
      </c>
      <c r="C1536" s="13">
        <v>34.0</v>
      </c>
      <c r="D1536" s="13">
        <v>22.0</v>
      </c>
      <c r="E1536" s="13">
        <v>182.0</v>
      </c>
    </row>
    <row r="1537">
      <c r="A1537" s="13">
        <v>3311016.0</v>
      </c>
      <c r="B1537" s="4">
        <v>208.0</v>
      </c>
      <c r="C1537" s="13">
        <v>233.0</v>
      </c>
      <c r="D1537" s="13">
        <v>62.0</v>
      </c>
      <c r="E1537" s="13">
        <v>731.0</v>
      </c>
    </row>
    <row r="1538">
      <c r="A1538" s="13">
        <v>3375033.0</v>
      </c>
      <c r="B1538" s="4">
        <v>203.0</v>
      </c>
      <c r="C1538" s="13">
        <v>113.0</v>
      </c>
      <c r="D1538" s="13">
        <v>35.0</v>
      </c>
      <c r="E1538" s="13">
        <v>353.0</v>
      </c>
    </row>
    <row r="1539">
      <c r="A1539" s="13">
        <v>3317027.0</v>
      </c>
      <c r="B1539" s="4">
        <v>221.0</v>
      </c>
      <c r="C1539" s="13">
        <v>189.0</v>
      </c>
      <c r="D1539" s="13">
        <v>64.0</v>
      </c>
      <c r="E1539" s="13">
        <v>254.0</v>
      </c>
    </row>
    <row r="1540">
      <c r="A1540" s="13">
        <v>3329125.0</v>
      </c>
      <c r="B1540" s="4">
        <v>206.0</v>
      </c>
      <c r="C1540" s="13">
        <v>52.0</v>
      </c>
      <c r="D1540" s="13">
        <v>26.0</v>
      </c>
      <c r="E1540" s="13">
        <v>182.0</v>
      </c>
    </row>
    <row r="1541">
      <c r="A1541" s="13">
        <v>3313033.0</v>
      </c>
      <c r="B1541" s="4">
        <v>187.0</v>
      </c>
      <c r="C1541" s="13">
        <v>220.0</v>
      </c>
      <c r="D1541" s="13">
        <v>60.0</v>
      </c>
      <c r="E1541" s="13">
        <v>380.0</v>
      </c>
    </row>
    <row r="1542">
      <c r="A1542" s="13">
        <v>3372235.0</v>
      </c>
      <c r="B1542" s="4">
        <v>198.0</v>
      </c>
      <c r="C1542" s="13">
        <v>18.0</v>
      </c>
      <c r="D1542" s="13">
        <v>18.0</v>
      </c>
      <c r="E1542" s="13">
        <v>113.0</v>
      </c>
    </row>
    <row r="1543">
      <c r="A1543" s="13">
        <v>3322073.0</v>
      </c>
      <c r="B1543" s="4">
        <v>213.0</v>
      </c>
      <c r="C1543" s="13">
        <v>50.0</v>
      </c>
      <c r="D1543" s="13">
        <v>19.0</v>
      </c>
      <c r="E1543" s="13">
        <v>34.0</v>
      </c>
    </row>
    <row r="1544">
      <c r="A1544" s="13">
        <v>3302041.0</v>
      </c>
      <c r="B1544" s="4">
        <v>189.0</v>
      </c>
      <c r="C1544" s="13">
        <v>110.0</v>
      </c>
      <c r="D1544" s="13">
        <v>33.0</v>
      </c>
      <c r="E1544" s="13">
        <v>332.0</v>
      </c>
    </row>
    <row r="1545">
      <c r="A1545" s="13">
        <v>3371142.0</v>
      </c>
      <c r="B1545" s="4">
        <v>190.0</v>
      </c>
      <c r="C1545" s="13">
        <v>60.0</v>
      </c>
      <c r="D1545" s="13">
        <v>28.0</v>
      </c>
      <c r="E1545" s="13">
        <v>124.0</v>
      </c>
    </row>
    <row r="1546">
      <c r="A1546" s="13">
        <v>3319023.0</v>
      </c>
      <c r="B1546" s="4">
        <v>188.0</v>
      </c>
      <c r="C1546" s="13">
        <v>39.0</v>
      </c>
      <c r="D1546" s="13">
        <v>15.0</v>
      </c>
      <c r="E1546" s="13">
        <v>83.0</v>
      </c>
    </row>
    <row r="1547">
      <c r="A1547" s="13">
        <v>3308017.0</v>
      </c>
      <c r="B1547" s="4">
        <v>216.0</v>
      </c>
      <c r="C1547" s="13">
        <v>113.0</v>
      </c>
      <c r="D1547" s="13">
        <v>26.0</v>
      </c>
      <c r="E1547" s="13">
        <v>192.0</v>
      </c>
    </row>
    <row r="1548">
      <c r="A1548" s="13">
        <v>3317015.0</v>
      </c>
      <c r="B1548" s="4">
        <v>221.0</v>
      </c>
      <c r="C1548" s="13">
        <v>302.0</v>
      </c>
      <c r="D1548" s="13">
        <v>83.0</v>
      </c>
      <c r="E1548" s="13">
        <v>691.0</v>
      </c>
    </row>
    <row r="1549">
      <c r="A1549" s="13">
        <v>3318108.0</v>
      </c>
      <c r="B1549" s="4">
        <v>211.0</v>
      </c>
      <c r="C1549" s="13">
        <v>199.0</v>
      </c>
      <c r="D1549" s="13">
        <v>39.0</v>
      </c>
      <c r="E1549" s="13">
        <v>956.0</v>
      </c>
    </row>
    <row r="1550">
      <c r="A1550" s="13">
        <v>3328042.0</v>
      </c>
      <c r="B1550" s="4">
        <v>220.0</v>
      </c>
      <c r="C1550" s="13">
        <v>108.0</v>
      </c>
      <c r="D1550" s="13">
        <v>50.0</v>
      </c>
      <c r="E1550" s="13">
        <v>304.0</v>
      </c>
    </row>
    <row r="1551">
      <c r="A1551" s="13">
        <v>3312307.0</v>
      </c>
      <c r="B1551" s="4">
        <v>217.0</v>
      </c>
      <c r="C1551" s="13">
        <v>71.0</v>
      </c>
      <c r="D1551" s="13">
        <v>30.0</v>
      </c>
      <c r="E1551" s="13">
        <v>50.0</v>
      </c>
    </row>
    <row r="1552">
      <c r="A1552" s="13">
        <v>3372240.0</v>
      </c>
      <c r="B1552" s="4">
        <v>198.0</v>
      </c>
      <c r="C1552" s="13">
        <v>235.0</v>
      </c>
      <c r="D1552" s="13">
        <v>44.0</v>
      </c>
      <c r="E1552" s="13">
        <v>276.0</v>
      </c>
    </row>
    <row r="1553">
      <c r="A1553" s="13">
        <v>3305066.0</v>
      </c>
      <c r="B1553" s="4">
        <v>195.0</v>
      </c>
      <c r="C1553" s="13">
        <v>345.0</v>
      </c>
      <c r="D1553" s="13">
        <v>96.0</v>
      </c>
      <c r="E1553" s="13">
        <v>625.0</v>
      </c>
    </row>
    <row r="1554">
      <c r="A1554" s="13">
        <v>3372239.0</v>
      </c>
      <c r="B1554" s="4">
        <v>198.0</v>
      </c>
      <c r="C1554" s="13">
        <v>13.0</v>
      </c>
      <c r="D1554" s="13">
        <v>23.0</v>
      </c>
      <c r="E1554" s="13">
        <v>32.0</v>
      </c>
    </row>
    <row r="1555">
      <c r="A1555" s="13">
        <v>3322012.0</v>
      </c>
      <c r="B1555" s="4">
        <v>213.0</v>
      </c>
      <c r="C1555" s="13">
        <v>209.0</v>
      </c>
      <c r="D1555" s="13">
        <v>33.0</v>
      </c>
      <c r="E1555" s="13">
        <v>752.0</v>
      </c>
    </row>
    <row r="1556">
      <c r="A1556" s="13">
        <v>3329105.0</v>
      </c>
      <c r="B1556" s="4">
        <v>206.0</v>
      </c>
      <c r="C1556" s="13">
        <v>50.0</v>
      </c>
      <c r="D1556" s="13">
        <v>30.0</v>
      </c>
      <c r="E1556" s="13">
        <v>89.0</v>
      </c>
    </row>
    <row r="1557">
      <c r="A1557" s="13">
        <v>3303102.0</v>
      </c>
      <c r="B1557" s="4">
        <v>214.0</v>
      </c>
      <c r="C1557" s="13">
        <v>93.0</v>
      </c>
      <c r="D1557" s="13">
        <v>26.0</v>
      </c>
      <c r="E1557" s="13">
        <v>50.0</v>
      </c>
    </row>
    <row r="1558">
      <c r="A1558" s="13">
        <v>3309107.0</v>
      </c>
      <c r="B1558" s="4">
        <v>200.0</v>
      </c>
      <c r="C1558" s="13">
        <v>127.0</v>
      </c>
      <c r="D1558" s="13">
        <v>28.0</v>
      </c>
      <c r="E1558" s="13">
        <v>218.0</v>
      </c>
    </row>
    <row r="1559">
      <c r="A1559" s="13">
        <v>3374284.0</v>
      </c>
      <c r="B1559" s="4">
        <v>193.0</v>
      </c>
      <c r="C1559" s="13">
        <v>29.0</v>
      </c>
      <c r="D1559" s="13">
        <v>19.0</v>
      </c>
      <c r="E1559" s="13">
        <v>127.0</v>
      </c>
    </row>
    <row r="1560">
      <c r="A1560" s="13">
        <v>3375074.0</v>
      </c>
      <c r="B1560" s="4">
        <v>203.0</v>
      </c>
      <c r="C1560" s="13">
        <v>50.0</v>
      </c>
      <c r="D1560" s="13">
        <v>33.0</v>
      </c>
      <c r="E1560" s="13">
        <v>122.0</v>
      </c>
    </row>
    <row r="1561">
      <c r="A1561" s="13">
        <v>3327010.0</v>
      </c>
      <c r="B1561" s="4">
        <v>212.0</v>
      </c>
      <c r="C1561" s="13">
        <v>269.0</v>
      </c>
      <c r="D1561" s="13">
        <v>27.0</v>
      </c>
      <c r="E1561" s="13">
        <v>922.0</v>
      </c>
    </row>
    <row r="1562">
      <c r="A1562" s="13">
        <v>3320089.0</v>
      </c>
      <c r="B1562" s="4">
        <v>215.0</v>
      </c>
      <c r="C1562" s="13">
        <v>136.0</v>
      </c>
      <c r="D1562" s="13">
        <v>31.0</v>
      </c>
      <c r="E1562" s="13">
        <v>282.0</v>
      </c>
    </row>
    <row r="1563">
      <c r="A1563" s="13">
        <v>3318113.0</v>
      </c>
      <c r="B1563" s="4">
        <v>211.0</v>
      </c>
      <c r="C1563" s="13">
        <v>50.0</v>
      </c>
      <c r="D1563" s="13">
        <v>26.0</v>
      </c>
      <c r="E1563" s="13">
        <v>135.0</v>
      </c>
    </row>
    <row r="1564">
      <c r="A1564" s="13">
        <v>3301073.0</v>
      </c>
      <c r="B1564" s="4">
        <v>205.0</v>
      </c>
      <c r="C1564" s="13">
        <v>170.0</v>
      </c>
      <c r="D1564" s="13">
        <v>39.0</v>
      </c>
      <c r="E1564" s="13">
        <v>639.0</v>
      </c>
    </row>
    <row r="1565">
      <c r="A1565" s="13">
        <v>3329078.0</v>
      </c>
      <c r="B1565" s="4">
        <v>206.0</v>
      </c>
      <c r="C1565" s="13">
        <v>150.0</v>
      </c>
      <c r="D1565" s="13">
        <v>51.0</v>
      </c>
      <c r="E1565" s="13">
        <v>249.0</v>
      </c>
    </row>
    <row r="1566">
      <c r="A1566" s="13">
        <v>3303099.0</v>
      </c>
      <c r="B1566" s="4">
        <v>214.0</v>
      </c>
      <c r="C1566" s="13">
        <v>151.0</v>
      </c>
      <c r="D1566" s="13">
        <v>33.0</v>
      </c>
      <c r="E1566" s="13">
        <v>88.0</v>
      </c>
    </row>
    <row r="1567">
      <c r="A1567" s="13">
        <v>3326062.0</v>
      </c>
      <c r="B1567" s="4">
        <v>209.0</v>
      </c>
      <c r="C1567" s="13">
        <v>85.0</v>
      </c>
      <c r="D1567" s="13">
        <v>19.0</v>
      </c>
      <c r="E1567" s="13">
        <v>182.0</v>
      </c>
    </row>
    <row r="1568">
      <c r="A1568" s="13">
        <v>3374391.0</v>
      </c>
      <c r="B1568" s="4">
        <v>193.0</v>
      </c>
      <c r="C1568" s="13">
        <v>100.0</v>
      </c>
      <c r="D1568" s="13">
        <v>56.0</v>
      </c>
      <c r="E1568" s="13">
        <v>182.0</v>
      </c>
    </row>
    <row r="1569">
      <c r="A1569" s="13">
        <v>3315046.0</v>
      </c>
      <c r="B1569" s="4">
        <v>207.0</v>
      </c>
      <c r="C1569" s="13">
        <v>154.0</v>
      </c>
      <c r="D1569" s="13">
        <v>30.0</v>
      </c>
      <c r="E1569" s="13">
        <v>296.0</v>
      </c>
    </row>
    <row r="1570">
      <c r="A1570" s="13">
        <v>3319021.0</v>
      </c>
      <c r="B1570" s="4">
        <v>188.0</v>
      </c>
      <c r="C1570" s="13">
        <v>160.0</v>
      </c>
      <c r="D1570" s="13">
        <v>22.0</v>
      </c>
      <c r="E1570" s="13">
        <v>182.0</v>
      </c>
    </row>
    <row r="1571">
      <c r="A1571" s="13">
        <v>3327045.0</v>
      </c>
      <c r="B1571" s="4">
        <v>212.0</v>
      </c>
      <c r="C1571" s="13">
        <v>166.0</v>
      </c>
      <c r="D1571" s="13">
        <v>29.0</v>
      </c>
      <c r="E1571" s="13">
        <v>324.0</v>
      </c>
    </row>
    <row r="1572">
      <c r="A1572" s="13">
        <v>3305118.0</v>
      </c>
      <c r="B1572" s="4">
        <v>195.0</v>
      </c>
      <c r="C1572" s="13">
        <v>58.0</v>
      </c>
      <c r="D1572" s="13">
        <v>29.0</v>
      </c>
      <c r="E1572" s="13">
        <v>164.0</v>
      </c>
    </row>
    <row r="1573">
      <c r="A1573" s="13">
        <v>3306110.0</v>
      </c>
      <c r="B1573" s="4">
        <v>191.0</v>
      </c>
      <c r="C1573" s="13">
        <v>58.0</v>
      </c>
      <c r="D1573" s="13">
        <v>43.0</v>
      </c>
      <c r="E1573" s="13">
        <v>176.0</v>
      </c>
    </row>
    <row r="1574">
      <c r="A1574" s="13">
        <v>3303016.0</v>
      </c>
      <c r="B1574" s="4">
        <v>214.0</v>
      </c>
      <c r="C1574" s="13">
        <v>220.0</v>
      </c>
      <c r="D1574" s="13">
        <v>80.0</v>
      </c>
      <c r="E1574" s="13">
        <v>677.0</v>
      </c>
    </row>
    <row r="1575">
      <c r="A1575" s="13">
        <v>3372132.0</v>
      </c>
      <c r="B1575" s="4">
        <v>198.0</v>
      </c>
      <c r="C1575" s="13">
        <v>178.0</v>
      </c>
      <c r="D1575" s="13">
        <v>32.0</v>
      </c>
      <c r="E1575" s="13">
        <v>781.0</v>
      </c>
    </row>
    <row r="1576">
      <c r="A1576" s="13">
        <v>3306111.0</v>
      </c>
      <c r="B1576" s="4">
        <v>191.0</v>
      </c>
      <c r="C1576" s="13">
        <v>101.0</v>
      </c>
      <c r="D1576" s="13">
        <v>33.0</v>
      </c>
      <c r="E1576" s="13">
        <v>207.0</v>
      </c>
    </row>
    <row r="1577">
      <c r="A1577" s="13">
        <v>3319102.0</v>
      </c>
      <c r="B1577" s="4">
        <v>188.0</v>
      </c>
      <c r="C1577" s="13">
        <v>58.0</v>
      </c>
      <c r="D1577" s="13">
        <v>41.0</v>
      </c>
      <c r="E1577" s="13">
        <v>98.0</v>
      </c>
    </row>
    <row r="1578">
      <c r="A1578" s="13">
        <v>3307050.0</v>
      </c>
      <c r="B1578" s="4">
        <v>202.0</v>
      </c>
      <c r="C1578" s="13">
        <v>110.0</v>
      </c>
      <c r="D1578" s="13">
        <v>34.0</v>
      </c>
      <c r="E1578" s="13">
        <v>188.0</v>
      </c>
    </row>
    <row r="1579">
      <c r="A1579" s="13">
        <v>3374112.0</v>
      </c>
      <c r="B1579" s="4">
        <v>193.0</v>
      </c>
      <c r="C1579" s="13">
        <v>168.0</v>
      </c>
      <c r="D1579" s="13">
        <v>54.0</v>
      </c>
      <c r="E1579" s="13">
        <v>583.0</v>
      </c>
    </row>
    <row r="1580">
      <c r="A1580" s="13">
        <v>3309131.0</v>
      </c>
      <c r="B1580" s="4">
        <v>200.0</v>
      </c>
      <c r="C1580" s="13">
        <v>122.0</v>
      </c>
      <c r="D1580" s="13">
        <v>34.0</v>
      </c>
      <c r="E1580" s="13">
        <v>231.0</v>
      </c>
    </row>
    <row r="1581">
      <c r="A1581" s="13">
        <v>3373103.0</v>
      </c>
      <c r="B1581" s="4">
        <v>196.0</v>
      </c>
      <c r="C1581" s="13">
        <v>58.0</v>
      </c>
      <c r="D1581" s="13">
        <v>35.0</v>
      </c>
      <c r="E1581" s="13">
        <v>182.0</v>
      </c>
    </row>
    <row r="1582">
      <c r="A1582" s="13">
        <v>3325015.0</v>
      </c>
      <c r="B1582" s="4">
        <v>201.0</v>
      </c>
      <c r="C1582" s="13">
        <v>242.0</v>
      </c>
      <c r="D1582" s="13">
        <v>62.0</v>
      </c>
      <c r="E1582" s="13">
        <v>641.0</v>
      </c>
    </row>
    <row r="1583">
      <c r="A1583" s="13">
        <v>3309135.0</v>
      </c>
      <c r="B1583" s="4">
        <v>200.0</v>
      </c>
      <c r="C1583" s="13">
        <v>101.0</v>
      </c>
      <c r="D1583" s="13">
        <v>34.0</v>
      </c>
      <c r="E1583" s="13">
        <v>191.0</v>
      </c>
    </row>
    <row r="1584">
      <c r="A1584" s="13">
        <v>3372242.0</v>
      </c>
      <c r="B1584" s="4">
        <v>198.0</v>
      </c>
      <c r="C1584" s="13">
        <v>25.0</v>
      </c>
      <c r="D1584" s="13">
        <v>37.0</v>
      </c>
      <c r="E1584" s="13">
        <v>49.0</v>
      </c>
    </row>
    <row r="1585">
      <c r="A1585" s="13">
        <v>3317038.0</v>
      </c>
      <c r="B1585" s="4">
        <v>221.0</v>
      </c>
      <c r="C1585" s="13">
        <v>75.0</v>
      </c>
      <c r="D1585" s="13">
        <v>92.0</v>
      </c>
      <c r="E1585" s="13">
        <v>182.0</v>
      </c>
    </row>
    <row r="1586">
      <c r="A1586" s="13">
        <v>3311224.0</v>
      </c>
      <c r="B1586" s="4">
        <v>208.0</v>
      </c>
      <c r="C1586" s="13">
        <v>195.0</v>
      </c>
      <c r="D1586" s="13">
        <v>60.0</v>
      </c>
      <c r="E1586" s="13">
        <v>1175.0</v>
      </c>
    </row>
    <row r="1587">
      <c r="A1587" s="13">
        <v>3376012.0</v>
      </c>
      <c r="B1587" s="4">
        <v>220.0</v>
      </c>
      <c r="C1587" s="13">
        <v>393.0</v>
      </c>
      <c r="D1587" s="13">
        <v>113.0</v>
      </c>
      <c r="E1587" s="13">
        <v>560.0</v>
      </c>
    </row>
    <row r="1588">
      <c r="A1588" s="13">
        <v>3306112.0</v>
      </c>
      <c r="B1588" s="4">
        <v>191.0</v>
      </c>
      <c r="C1588" s="13">
        <v>52.0</v>
      </c>
      <c r="D1588" s="13">
        <v>21.0</v>
      </c>
      <c r="E1588" s="13">
        <v>25.0</v>
      </c>
    </row>
    <row r="1589">
      <c r="A1589" s="13">
        <v>3304035.0</v>
      </c>
      <c r="B1589" s="4">
        <v>219.0</v>
      </c>
      <c r="C1589" s="13">
        <v>87.0</v>
      </c>
      <c r="D1589" s="13">
        <v>19.0</v>
      </c>
      <c r="E1589" s="13">
        <v>8.0</v>
      </c>
    </row>
    <row r="1590">
      <c r="A1590" s="13">
        <v>3314023.0</v>
      </c>
      <c r="B1590" s="4">
        <v>192.0</v>
      </c>
      <c r="C1590" s="13">
        <v>68.0</v>
      </c>
      <c r="D1590" s="13">
        <v>30.0</v>
      </c>
      <c r="E1590" s="13">
        <v>266.0</v>
      </c>
    </row>
    <row r="1591">
      <c r="A1591" s="13">
        <v>3374366.0</v>
      </c>
      <c r="B1591" s="4">
        <v>193.0</v>
      </c>
      <c r="C1591" s="13">
        <v>107.0</v>
      </c>
      <c r="D1591" s="13">
        <v>99.0</v>
      </c>
      <c r="E1591" s="13">
        <v>295.0</v>
      </c>
    </row>
    <row r="1592">
      <c r="A1592" s="13">
        <v>3326051.0</v>
      </c>
      <c r="B1592" s="4">
        <v>209.0</v>
      </c>
      <c r="C1592" s="13">
        <v>79.0</v>
      </c>
      <c r="D1592" s="13">
        <v>17.0</v>
      </c>
      <c r="E1592" s="13">
        <v>196.0</v>
      </c>
    </row>
    <row r="1593">
      <c r="A1593" s="13">
        <v>3302143.0</v>
      </c>
      <c r="B1593" s="4">
        <v>189.0</v>
      </c>
      <c r="C1593" s="13">
        <v>55.0</v>
      </c>
      <c r="D1593" s="13">
        <v>23.0</v>
      </c>
      <c r="E1593" s="13">
        <v>68.0</v>
      </c>
    </row>
    <row r="1594">
      <c r="A1594" s="13">
        <v>3372026.0</v>
      </c>
      <c r="B1594" s="4">
        <v>198.0</v>
      </c>
      <c r="C1594" s="13">
        <v>249.0</v>
      </c>
      <c r="D1594" s="13">
        <v>109.0</v>
      </c>
      <c r="E1594" s="13">
        <v>873.0</v>
      </c>
    </row>
    <row r="1595">
      <c r="A1595" s="13">
        <v>3322072.0</v>
      </c>
      <c r="B1595" s="4">
        <v>193.0</v>
      </c>
      <c r="C1595" s="13">
        <v>29.0</v>
      </c>
      <c r="D1595" s="13">
        <v>19.0</v>
      </c>
      <c r="E1595" s="13">
        <v>57.0</v>
      </c>
    </row>
    <row r="1596">
      <c r="A1596" s="13">
        <v>3310421.0</v>
      </c>
      <c r="B1596" s="4">
        <v>204.0</v>
      </c>
      <c r="C1596" s="13">
        <v>166.0</v>
      </c>
      <c r="D1596" s="13">
        <v>75.0</v>
      </c>
      <c r="E1596" s="13">
        <v>340.0</v>
      </c>
    </row>
    <row r="1597">
      <c r="A1597" s="13">
        <v>3318064.0</v>
      </c>
      <c r="B1597" s="4">
        <v>211.0</v>
      </c>
      <c r="C1597" s="13">
        <v>100.0</v>
      </c>
      <c r="D1597" s="13">
        <v>33.0</v>
      </c>
      <c r="E1597" s="13">
        <v>398.0</v>
      </c>
    </row>
    <row r="1598">
      <c r="A1598" s="13">
        <v>3374054.0</v>
      </c>
      <c r="B1598" s="4">
        <v>193.0</v>
      </c>
      <c r="C1598" s="13">
        <v>129.0</v>
      </c>
      <c r="D1598" s="13">
        <v>43.0</v>
      </c>
      <c r="E1598" s="13">
        <v>444.0</v>
      </c>
    </row>
    <row r="1599">
      <c r="A1599" s="13">
        <v>3321034.0</v>
      </c>
      <c r="B1599" s="4">
        <v>197.0</v>
      </c>
      <c r="C1599" s="13">
        <v>160.0</v>
      </c>
      <c r="D1599" s="13">
        <v>49.0</v>
      </c>
      <c r="E1599" s="13">
        <v>210.0</v>
      </c>
    </row>
    <row r="1600">
      <c r="A1600" s="13">
        <v>3315061.0</v>
      </c>
      <c r="B1600" s="4">
        <v>207.0</v>
      </c>
      <c r="C1600" s="13">
        <v>60.0</v>
      </c>
      <c r="D1600" s="13">
        <v>26.0</v>
      </c>
      <c r="E1600" s="13">
        <v>184.0</v>
      </c>
    </row>
    <row r="1601">
      <c r="A1601" s="13">
        <v>3302248.0</v>
      </c>
      <c r="B1601" s="4">
        <v>189.0</v>
      </c>
      <c r="C1601" s="13">
        <v>15.0</v>
      </c>
      <c r="D1601" s="13">
        <v>19.0</v>
      </c>
      <c r="E1601" s="13">
        <v>182.0</v>
      </c>
    </row>
    <row r="1602">
      <c r="A1602" s="13">
        <v>3374389.0</v>
      </c>
      <c r="B1602" s="4">
        <v>193.0</v>
      </c>
      <c r="C1602" s="13">
        <v>115.0</v>
      </c>
      <c r="D1602" s="13">
        <v>43.0</v>
      </c>
      <c r="E1602" s="13">
        <v>182.0</v>
      </c>
    </row>
    <row r="1603">
      <c r="A1603" s="13">
        <v>3305092.0</v>
      </c>
      <c r="B1603" s="4">
        <v>195.0</v>
      </c>
      <c r="C1603" s="13">
        <v>117.0</v>
      </c>
      <c r="D1603" s="13">
        <v>33.0</v>
      </c>
      <c r="E1603" s="13">
        <v>255.0</v>
      </c>
    </row>
    <row r="1604">
      <c r="A1604" s="13">
        <v>3374010.0</v>
      </c>
      <c r="B1604" s="4">
        <v>193.0</v>
      </c>
      <c r="C1604" s="13">
        <v>1181.0</v>
      </c>
      <c r="D1604" s="13">
        <v>277.0</v>
      </c>
      <c r="E1604" s="13">
        <v>3871.0</v>
      </c>
    </row>
    <row r="1605">
      <c r="A1605" s="13">
        <v>3312308.0</v>
      </c>
      <c r="B1605" s="4">
        <v>217.0</v>
      </c>
      <c r="C1605" s="13">
        <v>107.0</v>
      </c>
      <c r="D1605" s="13">
        <v>27.0</v>
      </c>
      <c r="E1605" s="13">
        <v>208.0</v>
      </c>
    </row>
    <row r="1606">
      <c r="A1606" s="13">
        <v>3322071.0</v>
      </c>
      <c r="B1606" s="4">
        <v>213.0</v>
      </c>
      <c r="C1606" s="13">
        <v>63.0</v>
      </c>
      <c r="D1606" s="13">
        <v>19.0</v>
      </c>
      <c r="E1606" s="13">
        <v>174.0</v>
      </c>
    </row>
    <row r="1607">
      <c r="A1607" s="13">
        <v>3310026.0</v>
      </c>
      <c r="B1607" s="4">
        <v>204.0</v>
      </c>
      <c r="C1607" s="13">
        <v>172.0</v>
      </c>
      <c r="D1607" s="13">
        <v>34.0</v>
      </c>
      <c r="E1607" s="13">
        <v>504.0</v>
      </c>
    </row>
    <row r="1608">
      <c r="A1608" s="13">
        <v>3374331.0</v>
      </c>
      <c r="B1608" s="4">
        <v>193.0</v>
      </c>
      <c r="C1608" s="13">
        <v>61.0</v>
      </c>
      <c r="D1608" s="13">
        <v>42.0</v>
      </c>
      <c r="E1608" s="13">
        <v>102.0</v>
      </c>
    </row>
    <row r="1609">
      <c r="A1609" s="13">
        <v>3314109.0</v>
      </c>
      <c r="B1609" s="4">
        <v>192.0</v>
      </c>
      <c r="C1609" s="13">
        <v>102.0</v>
      </c>
      <c r="D1609" s="13">
        <v>1.0</v>
      </c>
      <c r="E1609" s="13">
        <v>182.0</v>
      </c>
    </row>
    <row r="1610">
      <c r="A1610" s="13">
        <v>3327032.0</v>
      </c>
      <c r="B1610" s="4">
        <v>212.0</v>
      </c>
      <c r="C1610" s="13">
        <v>96.0</v>
      </c>
      <c r="D1610" s="13">
        <v>33.0</v>
      </c>
      <c r="E1610" s="13">
        <v>156.0</v>
      </c>
    </row>
    <row r="1611">
      <c r="A1611" s="13">
        <v>3328078.0</v>
      </c>
      <c r="B1611" s="4">
        <v>210.0</v>
      </c>
      <c r="C1611" s="13">
        <v>50.0</v>
      </c>
      <c r="D1611" s="13">
        <v>25.0</v>
      </c>
      <c r="E1611" s="13">
        <v>68.0</v>
      </c>
    </row>
    <row r="1612">
      <c r="A1612" s="13">
        <v>3375073.0</v>
      </c>
      <c r="B1612" s="4">
        <v>203.0</v>
      </c>
      <c r="C1612" s="13">
        <v>98.0</v>
      </c>
      <c r="D1612" s="13">
        <v>50.0</v>
      </c>
      <c r="E1612" s="13">
        <v>203.0</v>
      </c>
    </row>
    <row r="1613">
      <c r="A1613" s="13">
        <v>3301107.0</v>
      </c>
      <c r="B1613" s="4">
        <v>205.0</v>
      </c>
      <c r="C1613" s="13">
        <v>78.0</v>
      </c>
      <c r="D1613" s="13">
        <v>69.0</v>
      </c>
      <c r="E1613" s="13">
        <v>176.0</v>
      </c>
    </row>
    <row r="1614">
      <c r="A1614" s="13">
        <v>3302249.0</v>
      </c>
      <c r="B1614" s="4">
        <v>189.0</v>
      </c>
      <c r="C1614" s="13">
        <v>101.0</v>
      </c>
      <c r="D1614" s="13">
        <v>53.0</v>
      </c>
      <c r="E1614" s="13">
        <v>182.0</v>
      </c>
    </row>
    <row r="1615">
      <c r="A1615" s="13">
        <v>3324053.0</v>
      </c>
      <c r="B1615" s="4">
        <v>199.0</v>
      </c>
      <c r="C1615" s="13">
        <v>64.0</v>
      </c>
      <c r="D1615" s="13">
        <v>49.0</v>
      </c>
      <c r="E1615" s="13">
        <v>182.0</v>
      </c>
    </row>
    <row r="1616">
      <c r="A1616" s="13">
        <v>3301095.0</v>
      </c>
      <c r="B1616" s="4">
        <v>205.0</v>
      </c>
      <c r="C1616" s="13">
        <v>24.0</v>
      </c>
      <c r="D1616" s="13">
        <v>17.0</v>
      </c>
      <c r="E1616" s="13">
        <v>43.0</v>
      </c>
    </row>
    <row r="1617">
      <c r="A1617" s="13">
        <v>3371025.0</v>
      </c>
      <c r="B1617" s="4">
        <v>190.0</v>
      </c>
      <c r="C1617" s="13">
        <v>229.0</v>
      </c>
      <c r="D1617" s="13">
        <v>65.0</v>
      </c>
      <c r="E1617" s="13">
        <v>698.0</v>
      </c>
    </row>
    <row r="1618">
      <c r="A1618" s="13">
        <v>3314092.0</v>
      </c>
      <c r="B1618" s="4">
        <v>192.0</v>
      </c>
      <c r="C1618" s="13">
        <v>57.0</v>
      </c>
      <c r="D1618" s="13">
        <v>21.0</v>
      </c>
      <c r="E1618" s="13">
        <v>140.0</v>
      </c>
    </row>
    <row r="1619">
      <c r="A1619" s="13">
        <v>3316014.0</v>
      </c>
      <c r="B1619" s="4">
        <v>194.0</v>
      </c>
      <c r="C1619" s="13">
        <v>222.0</v>
      </c>
      <c r="D1619" s="13">
        <v>68.0</v>
      </c>
      <c r="E1619" s="13">
        <v>298.0</v>
      </c>
    </row>
    <row r="1620">
      <c r="A1620" s="13">
        <v>3302121.0</v>
      </c>
      <c r="B1620" s="4">
        <v>189.0</v>
      </c>
      <c r="C1620" s="13">
        <v>97.0</v>
      </c>
      <c r="D1620" s="13">
        <v>31.0</v>
      </c>
      <c r="E1620" s="13">
        <v>47.0</v>
      </c>
    </row>
    <row r="1621">
      <c r="A1621" s="13">
        <v>3306023.0</v>
      </c>
      <c r="B1621" s="4">
        <v>191.0</v>
      </c>
      <c r="C1621" s="13">
        <v>34.0</v>
      </c>
      <c r="D1621" s="13">
        <v>29.0</v>
      </c>
      <c r="E1621" s="13">
        <v>124.0</v>
      </c>
    </row>
    <row r="1622">
      <c r="A1622" s="13">
        <v>3303075.0</v>
      </c>
      <c r="B1622" s="4">
        <v>214.0</v>
      </c>
      <c r="C1622" s="13">
        <v>120.0</v>
      </c>
      <c r="D1622" s="13">
        <v>40.0</v>
      </c>
      <c r="E1622" s="13">
        <v>446.0</v>
      </c>
    </row>
    <row r="1623">
      <c r="A1623" s="13">
        <v>3372191.0</v>
      </c>
      <c r="B1623" s="4">
        <v>198.0</v>
      </c>
      <c r="C1623" s="13">
        <v>110.0</v>
      </c>
      <c r="D1623" s="13">
        <v>23.0</v>
      </c>
      <c r="E1623" s="13">
        <v>233.0</v>
      </c>
    </row>
    <row r="1624">
      <c r="A1624" s="13">
        <v>3303097.0</v>
      </c>
      <c r="B1624" s="4">
        <v>214.0</v>
      </c>
      <c r="C1624" s="13">
        <v>108.0</v>
      </c>
      <c r="D1624" s="13">
        <v>32.0</v>
      </c>
      <c r="E1624" s="13">
        <v>222.0</v>
      </c>
    </row>
    <row r="1625">
      <c r="A1625" s="13">
        <v>3327044.0</v>
      </c>
      <c r="B1625" s="4">
        <v>212.0</v>
      </c>
      <c r="C1625" s="13">
        <v>195.0</v>
      </c>
      <c r="D1625" s="13">
        <v>67.0</v>
      </c>
      <c r="E1625" s="13">
        <v>98.0</v>
      </c>
    </row>
    <row r="1626">
      <c r="A1626" s="13">
        <v>3316074.0</v>
      </c>
      <c r="B1626" s="4">
        <v>194.0</v>
      </c>
      <c r="C1626" s="13">
        <v>33.0</v>
      </c>
      <c r="D1626" s="13">
        <v>20.0</v>
      </c>
      <c r="E1626" s="13">
        <v>182.0</v>
      </c>
    </row>
    <row r="1627">
      <c r="A1627" s="13">
        <v>3374388.0</v>
      </c>
      <c r="B1627" s="4">
        <v>193.0</v>
      </c>
      <c r="C1627" s="13">
        <v>110.0</v>
      </c>
      <c r="D1627" s="13">
        <v>52.0</v>
      </c>
      <c r="E1627" s="13">
        <v>182.0</v>
      </c>
    </row>
    <row r="1628">
      <c r="A1628" s="13">
        <v>3320021.0</v>
      </c>
      <c r="B1628" s="4">
        <v>215.0</v>
      </c>
      <c r="C1628" s="13">
        <v>181.0</v>
      </c>
      <c r="D1628" s="13">
        <v>24.0</v>
      </c>
      <c r="E1628" s="13">
        <v>238.0</v>
      </c>
    </row>
    <row r="1629">
      <c r="A1629" s="13">
        <v>3308034.0</v>
      </c>
      <c r="B1629" s="4">
        <v>216.0</v>
      </c>
      <c r="C1629" s="13">
        <v>50.0</v>
      </c>
      <c r="D1629" s="13">
        <v>16.0</v>
      </c>
      <c r="E1629" s="13">
        <v>182.0</v>
      </c>
    </row>
    <row r="1630">
      <c r="A1630" s="13">
        <v>3309015.0</v>
      </c>
      <c r="B1630" s="4">
        <v>200.0</v>
      </c>
      <c r="C1630" s="13">
        <v>260.0</v>
      </c>
      <c r="D1630" s="13">
        <v>88.0</v>
      </c>
      <c r="E1630" s="13">
        <v>689.0</v>
      </c>
    </row>
    <row r="1631">
      <c r="A1631" s="13">
        <v>3374134.0</v>
      </c>
      <c r="B1631" s="4">
        <v>193.0</v>
      </c>
      <c r="C1631" s="13">
        <v>357.0</v>
      </c>
      <c r="D1631" s="13">
        <v>98.0</v>
      </c>
      <c r="E1631" s="13">
        <v>1193.0</v>
      </c>
    </row>
    <row r="1632">
      <c r="A1632" s="13">
        <v>3322034.0</v>
      </c>
      <c r="B1632" s="4">
        <v>213.0</v>
      </c>
      <c r="C1632" s="13">
        <v>199.0</v>
      </c>
      <c r="D1632" s="13">
        <v>73.0</v>
      </c>
      <c r="E1632" s="13">
        <v>911.0</v>
      </c>
    </row>
    <row r="1633">
      <c r="A1633" s="13">
        <v>3308022.0</v>
      </c>
      <c r="B1633" s="4">
        <v>216.0</v>
      </c>
      <c r="C1633" s="13">
        <v>200.0</v>
      </c>
      <c r="D1633" s="13">
        <v>36.0</v>
      </c>
      <c r="E1633" s="13">
        <v>391.0</v>
      </c>
    </row>
    <row r="1634">
      <c r="A1634" s="13">
        <v>3321047.0</v>
      </c>
      <c r="B1634" s="4">
        <v>197.0</v>
      </c>
      <c r="C1634" s="13">
        <v>105.0</v>
      </c>
      <c r="D1634" s="13">
        <v>44.0</v>
      </c>
      <c r="E1634" s="13">
        <v>182.0</v>
      </c>
    </row>
    <row r="1635">
      <c r="A1635" s="13">
        <v>3326038.0</v>
      </c>
      <c r="B1635" s="4">
        <v>209.0</v>
      </c>
      <c r="C1635" s="13">
        <v>275.0</v>
      </c>
      <c r="D1635" s="13">
        <v>84.0</v>
      </c>
      <c r="E1635" s="13">
        <v>303.0</v>
      </c>
    </row>
    <row r="1636">
      <c r="A1636" s="13">
        <v>3310419.0</v>
      </c>
      <c r="B1636" s="4">
        <v>204.0</v>
      </c>
      <c r="C1636" s="13">
        <v>75.0</v>
      </c>
      <c r="D1636" s="13">
        <v>58.0</v>
      </c>
      <c r="E1636" s="13">
        <v>117.0</v>
      </c>
    </row>
    <row r="1637">
      <c r="A1637" s="13">
        <v>3312284.0</v>
      </c>
      <c r="B1637" s="4">
        <v>217.0</v>
      </c>
      <c r="C1637" s="13">
        <v>50.0</v>
      </c>
      <c r="D1637" s="13">
        <v>44.0</v>
      </c>
      <c r="E1637" s="13">
        <v>155.0</v>
      </c>
    </row>
    <row r="1638">
      <c r="A1638" s="13">
        <v>3376034.0</v>
      </c>
      <c r="B1638" s="4">
        <v>210.0</v>
      </c>
      <c r="C1638" s="13">
        <v>50.0</v>
      </c>
      <c r="D1638" s="13">
        <v>41.0</v>
      </c>
      <c r="E1638" s="13">
        <v>91.0</v>
      </c>
    </row>
    <row r="1639">
      <c r="A1639" s="13">
        <v>3302063.0</v>
      </c>
      <c r="B1639" s="4">
        <v>189.0</v>
      </c>
      <c r="C1639" s="13">
        <v>30.0</v>
      </c>
      <c r="D1639" s="13">
        <v>25.0</v>
      </c>
      <c r="E1639" s="13">
        <v>68.0</v>
      </c>
    </row>
    <row r="1640">
      <c r="A1640" s="13">
        <v>3302226.0</v>
      </c>
      <c r="B1640" s="4">
        <v>189.0</v>
      </c>
      <c r="C1640" s="13">
        <v>30.0</v>
      </c>
      <c r="D1640" s="13">
        <v>17.0</v>
      </c>
      <c r="E1640" s="13">
        <v>82.0</v>
      </c>
    </row>
    <row r="1641">
      <c r="A1641" s="13">
        <v>3310426.0</v>
      </c>
      <c r="B1641" s="4">
        <v>204.0</v>
      </c>
      <c r="C1641" s="13">
        <v>66.0</v>
      </c>
      <c r="D1641" s="13">
        <v>39.0</v>
      </c>
      <c r="E1641" s="13">
        <v>182.0</v>
      </c>
    </row>
    <row r="1642">
      <c r="A1642" s="13">
        <v>3314056.0</v>
      </c>
      <c r="B1642" s="4">
        <v>192.0</v>
      </c>
      <c r="C1642" s="13">
        <v>115.0</v>
      </c>
      <c r="D1642" s="13">
        <v>40.0</v>
      </c>
      <c r="E1642" s="13">
        <v>354.0</v>
      </c>
    </row>
    <row r="1643">
      <c r="A1643" s="13">
        <v>3374367.0</v>
      </c>
      <c r="B1643" s="4">
        <v>193.0</v>
      </c>
      <c r="C1643" s="13">
        <v>127.0</v>
      </c>
      <c r="D1643" s="13">
        <v>122.0</v>
      </c>
      <c r="E1643" s="13">
        <v>385.0</v>
      </c>
    </row>
    <row r="1644">
      <c r="A1644" s="13">
        <v>3302165.0</v>
      </c>
      <c r="B1644" s="4">
        <v>189.0</v>
      </c>
      <c r="C1644" s="13">
        <v>117.0</v>
      </c>
      <c r="D1644" s="13">
        <v>67.0</v>
      </c>
      <c r="E1644" s="13">
        <v>379.0</v>
      </c>
    </row>
    <row r="1645">
      <c r="A1645" s="13">
        <v>3372041.0</v>
      </c>
      <c r="B1645" s="4">
        <v>198.0</v>
      </c>
      <c r="C1645" s="13">
        <v>118.0</v>
      </c>
      <c r="D1645" s="13">
        <v>51.0</v>
      </c>
      <c r="E1645" s="13">
        <v>292.0</v>
      </c>
    </row>
    <row r="1646">
      <c r="A1646" s="13">
        <v>3313054.0</v>
      </c>
      <c r="B1646" s="4">
        <v>187.0</v>
      </c>
      <c r="C1646" s="13">
        <v>75.0</v>
      </c>
      <c r="D1646" s="13">
        <v>21.0</v>
      </c>
      <c r="E1646" s="13">
        <v>93.0</v>
      </c>
    </row>
    <row r="1647">
      <c r="A1647" s="13">
        <v>3308018.0</v>
      </c>
      <c r="B1647" s="4">
        <v>216.0</v>
      </c>
      <c r="C1647" s="13">
        <v>50.0</v>
      </c>
      <c r="D1647" s="13">
        <v>9.0</v>
      </c>
      <c r="E1647" s="13">
        <v>25.0</v>
      </c>
    </row>
    <row r="1648">
      <c r="A1648" s="13">
        <v>3312310.0</v>
      </c>
      <c r="B1648" s="4">
        <v>217.0</v>
      </c>
      <c r="C1648" s="13">
        <v>53.0</v>
      </c>
      <c r="D1648" s="13">
        <v>28.0</v>
      </c>
      <c r="E1648" s="13">
        <v>17.0</v>
      </c>
    </row>
    <row r="1649">
      <c r="A1649" s="13">
        <v>3321036.0</v>
      </c>
      <c r="B1649" s="4">
        <v>197.0</v>
      </c>
      <c r="C1649" s="13">
        <v>51.0</v>
      </c>
      <c r="D1649" s="13">
        <v>21.0</v>
      </c>
      <c r="E1649" s="13">
        <v>30.0</v>
      </c>
    </row>
    <row r="1650">
      <c r="A1650" s="13">
        <v>3309149.0</v>
      </c>
      <c r="B1650" s="4">
        <v>200.0</v>
      </c>
      <c r="C1650" s="13">
        <v>50.0</v>
      </c>
      <c r="D1650" s="13">
        <v>22.0</v>
      </c>
      <c r="E1650" s="13">
        <v>182.0</v>
      </c>
    </row>
    <row r="1651">
      <c r="A1651" s="13">
        <v>3318086.0</v>
      </c>
      <c r="B1651" s="4">
        <v>211.0</v>
      </c>
      <c r="C1651" s="13">
        <v>111.0</v>
      </c>
      <c r="D1651" s="13">
        <v>27.0</v>
      </c>
      <c r="E1651" s="13">
        <v>155.0</v>
      </c>
    </row>
    <row r="1652">
      <c r="A1652" s="13">
        <v>3306012.0</v>
      </c>
      <c r="B1652" s="4">
        <v>191.0</v>
      </c>
      <c r="C1652" s="13">
        <v>288.0</v>
      </c>
      <c r="D1652" s="13">
        <v>149.0</v>
      </c>
      <c r="E1652" s="13">
        <v>691.0</v>
      </c>
    </row>
    <row r="1653">
      <c r="A1653" s="13">
        <v>3374032.0</v>
      </c>
      <c r="B1653" s="4">
        <v>193.0</v>
      </c>
      <c r="C1653" s="13">
        <v>101.0</v>
      </c>
      <c r="D1653" s="13">
        <v>53.0</v>
      </c>
      <c r="E1653" s="13">
        <v>162.0</v>
      </c>
    </row>
    <row r="1654">
      <c r="A1654" s="13">
        <v>3323024.0</v>
      </c>
      <c r="B1654" s="4">
        <v>218.0</v>
      </c>
      <c r="C1654" s="13">
        <v>159.0</v>
      </c>
      <c r="D1654" s="13">
        <v>35.0</v>
      </c>
      <c r="E1654" s="13">
        <v>515.0</v>
      </c>
    </row>
    <row r="1655">
      <c r="A1655" s="13">
        <v>3305120.0</v>
      </c>
      <c r="B1655" s="4">
        <v>195.0</v>
      </c>
      <c r="C1655" s="13">
        <v>114.0</v>
      </c>
      <c r="D1655" s="13">
        <v>36.0</v>
      </c>
      <c r="E1655" s="13">
        <v>413.0</v>
      </c>
    </row>
    <row r="1656">
      <c r="A1656" s="13">
        <v>3328094.0</v>
      </c>
      <c r="B1656" s="4">
        <v>210.0</v>
      </c>
      <c r="C1656" s="13">
        <v>110.0</v>
      </c>
      <c r="D1656" s="13">
        <v>33.0</v>
      </c>
      <c r="E1656" s="13">
        <v>182.0</v>
      </c>
    </row>
    <row r="1657">
      <c r="A1657" s="13">
        <v>3310384.0</v>
      </c>
      <c r="B1657" s="4">
        <v>204.0</v>
      </c>
      <c r="C1657" s="13">
        <v>272.0</v>
      </c>
      <c r="D1657" s="13">
        <v>123.0</v>
      </c>
      <c r="E1657" s="13">
        <v>742.0</v>
      </c>
    </row>
    <row r="1658">
      <c r="A1658" s="13">
        <v>3374353.0</v>
      </c>
      <c r="B1658" s="4">
        <v>193.0</v>
      </c>
      <c r="C1658" s="13">
        <v>25.0</v>
      </c>
      <c r="D1658" s="13">
        <v>13.0</v>
      </c>
      <c r="E1658" s="13">
        <v>22.0</v>
      </c>
    </row>
    <row r="1659">
      <c r="A1659" s="13">
        <v>3375072.0</v>
      </c>
      <c r="B1659" s="4">
        <v>203.0</v>
      </c>
      <c r="C1659" s="13">
        <v>59.0</v>
      </c>
      <c r="D1659" s="13">
        <v>30.0</v>
      </c>
      <c r="E1659" s="13">
        <v>165.0</v>
      </c>
    </row>
    <row r="1660">
      <c r="A1660" s="13">
        <v>3301112.0</v>
      </c>
      <c r="B1660" s="4">
        <v>205.0</v>
      </c>
      <c r="C1660" s="13">
        <v>106.0</v>
      </c>
      <c r="D1660" s="13">
        <v>36.0</v>
      </c>
      <c r="E1660" s="13">
        <v>96.0</v>
      </c>
    </row>
    <row r="1661">
      <c r="A1661" s="13">
        <v>3313067.0</v>
      </c>
      <c r="B1661" s="4">
        <v>187.0</v>
      </c>
      <c r="C1661" s="13">
        <v>113.0</v>
      </c>
      <c r="D1661" s="13">
        <v>41.0</v>
      </c>
      <c r="E1661" s="13">
        <v>182.0</v>
      </c>
    </row>
    <row r="1662">
      <c r="A1662" s="13">
        <v>3328055.0</v>
      </c>
      <c r="B1662" s="4">
        <v>210.0</v>
      </c>
      <c r="C1662" s="13">
        <v>190.0</v>
      </c>
      <c r="D1662" s="13">
        <v>42.0</v>
      </c>
      <c r="E1662" s="13">
        <v>428.0</v>
      </c>
    </row>
    <row r="1663">
      <c r="A1663" s="13">
        <v>3306106.0</v>
      </c>
      <c r="B1663" s="4">
        <v>191.0</v>
      </c>
      <c r="C1663" s="13">
        <v>50.0</v>
      </c>
      <c r="D1663" s="13">
        <v>24.0</v>
      </c>
      <c r="E1663" s="13">
        <v>32.0</v>
      </c>
    </row>
    <row r="1664">
      <c r="A1664" s="13">
        <v>3302015.0</v>
      </c>
      <c r="B1664" s="4">
        <v>189.0</v>
      </c>
      <c r="C1664" s="13">
        <v>412.0</v>
      </c>
      <c r="D1664" s="13">
        <v>111.0</v>
      </c>
      <c r="E1664" s="13">
        <v>1146.0</v>
      </c>
    </row>
    <row r="1665">
      <c r="A1665" s="13">
        <v>3371084.0</v>
      </c>
      <c r="B1665" s="4">
        <v>190.0</v>
      </c>
      <c r="C1665" s="13">
        <v>55.0</v>
      </c>
      <c r="D1665" s="13">
        <v>23.0</v>
      </c>
      <c r="E1665" s="13">
        <v>148.0</v>
      </c>
    </row>
    <row r="1666">
      <c r="A1666" s="13">
        <v>3374374.0</v>
      </c>
      <c r="B1666" s="4">
        <v>193.0</v>
      </c>
      <c r="C1666" s="13">
        <v>134.0</v>
      </c>
      <c r="D1666" s="13">
        <v>32.0</v>
      </c>
      <c r="E1666" s="13">
        <v>87.0</v>
      </c>
    </row>
    <row r="1667">
      <c r="A1667" s="13">
        <v>3316040.0</v>
      </c>
      <c r="B1667" s="4">
        <v>194.0</v>
      </c>
      <c r="C1667" s="13">
        <v>69.0</v>
      </c>
      <c r="D1667" s="13">
        <v>21.0</v>
      </c>
      <c r="E1667" s="13">
        <v>22.0</v>
      </c>
    </row>
    <row r="1668">
      <c r="A1668" s="13">
        <v>3305114.0</v>
      </c>
      <c r="B1668" s="4">
        <v>195.0</v>
      </c>
      <c r="C1668" s="13">
        <v>106.0</v>
      </c>
      <c r="D1668" s="13">
        <v>33.0</v>
      </c>
      <c r="E1668" s="13">
        <v>220.0</v>
      </c>
    </row>
    <row r="1669">
      <c r="A1669" s="13">
        <v>3314078.0</v>
      </c>
      <c r="B1669" s="4">
        <v>192.0</v>
      </c>
      <c r="C1669" s="13">
        <v>52.0</v>
      </c>
      <c r="D1669" s="13">
        <v>38.0</v>
      </c>
      <c r="E1669" s="13">
        <v>125.0</v>
      </c>
    </row>
    <row r="1670">
      <c r="A1670" s="13">
        <v>3328093.0</v>
      </c>
      <c r="B1670" s="4">
        <v>210.0</v>
      </c>
      <c r="C1670" s="13">
        <v>100.0</v>
      </c>
      <c r="D1670" s="13">
        <v>36.0</v>
      </c>
      <c r="E1670" s="13">
        <v>182.0</v>
      </c>
    </row>
    <row r="1671">
      <c r="A1671" s="13">
        <v>3304021.0</v>
      </c>
      <c r="B1671" s="4">
        <v>219.0</v>
      </c>
      <c r="C1671" s="13">
        <v>181.0</v>
      </c>
      <c r="D1671" s="13">
        <v>45.0</v>
      </c>
      <c r="E1671" s="13">
        <v>556.0</v>
      </c>
    </row>
    <row r="1672">
      <c r="A1672" s="13">
        <v>3373016.0</v>
      </c>
      <c r="B1672" s="4">
        <v>196.0</v>
      </c>
      <c r="C1672" s="13">
        <v>262.0</v>
      </c>
      <c r="D1672" s="13">
        <v>128.0</v>
      </c>
      <c r="E1672" s="13">
        <v>720.0</v>
      </c>
    </row>
    <row r="1673">
      <c r="A1673" s="13">
        <v>3329108.0</v>
      </c>
      <c r="B1673" s="4">
        <v>206.0</v>
      </c>
      <c r="C1673" s="13">
        <v>132.0</v>
      </c>
      <c r="D1673" s="13">
        <v>92.0</v>
      </c>
      <c r="E1673" s="13">
        <v>159.0</v>
      </c>
    </row>
    <row r="1674">
      <c r="A1674" s="13">
        <v>3308021.0</v>
      </c>
      <c r="B1674" s="4">
        <v>216.0</v>
      </c>
      <c r="C1674" s="13">
        <v>116.0</v>
      </c>
      <c r="D1674" s="13">
        <v>23.0</v>
      </c>
      <c r="E1674" s="13">
        <v>55.0</v>
      </c>
    </row>
    <row r="1675">
      <c r="A1675" s="13">
        <v>3315072.0</v>
      </c>
      <c r="B1675" s="4">
        <v>207.0</v>
      </c>
      <c r="C1675" s="13">
        <v>30.0</v>
      </c>
      <c r="D1675" s="13">
        <v>17.0</v>
      </c>
      <c r="E1675" s="13">
        <v>182.0</v>
      </c>
    </row>
    <row r="1676">
      <c r="A1676" s="13">
        <v>3320043.0</v>
      </c>
      <c r="B1676" s="4">
        <v>215.0</v>
      </c>
      <c r="C1676" s="13">
        <v>104.0</v>
      </c>
      <c r="D1676" s="13">
        <v>30.0</v>
      </c>
      <c r="E1676" s="13">
        <v>155.0</v>
      </c>
    </row>
    <row r="1677">
      <c r="A1677" s="13">
        <v>3314089.0</v>
      </c>
      <c r="B1677" s="4">
        <v>192.0</v>
      </c>
      <c r="C1677" s="13">
        <v>118.0</v>
      </c>
      <c r="D1677" s="13">
        <v>38.0</v>
      </c>
      <c r="E1677" s="13">
        <v>281.0</v>
      </c>
    </row>
    <row r="1678">
      <c r="A1678" s="13">
        <v>3309074.0</v>
      </c>
      <c r="B1678" s="4">
        <v>200.0</v>
      </c>
      <c r="C1678" s="13">
        <v>101.0</v>
      </c>
      <c r="D1678" s="13">
        <v>41.0</v>
      </c>
      <c r="E1678" s="13">
        <v>171.0</v>
      </c>
    </row>
    <row r="1679">
      <c r="A1679" s="13">
        <v>3374203.0</v>
      </c>
      <c r="B1679" s="4">
        <v>193.0</v>
      </c>
      <c r="C1679" s="13">
        <v>100.0</v>
      </c>
      <c r="D1679" s="13">
        <v>26.0</v>
      </c>
      <c r="E1679" s="13">
        <v>31.0</v>
      </c>
    </row>
    <row r="1680">
      <c r="A1680" s="13">
        <v>3329114.0</v>
      </c>
      <c r="B1680" s="4">
        <v>206.0</v>
      </c>
      <c r="C1680" s="13">
        <v>102.0</v>
      </c>
      <c r="D1680" s="13">
        <v>15.0</v>
      </c>
      <c r="E1680" s="13">
        <v>54.0</v>
      </c>
    </row>
    <row r="1681">
      <c r="A1681" s="13">
        <v>3312306.0</v>
      </c>
      <c r="B1681" s="4">
        <v>217.0</v>
      </c>
      <c r="C1681" s="13">
        <v>125.0</v>
      </c>
      <c r="D1681" s="13">
        <v>35.0</v>
      </c>
      <c r="E1681" s="13">
        <v>231.0</v>
      </c>
    </row>
    <row r="1682">
      <c r="A1682" s="13">
        <v>3376093.0</v>
      </c>
      <c r="B1682" s="4">
        <v>220.0</v>
      </c>
      <c r="C1682" s="13">
        <v>34.0</v>
      </c>
      <c r="D1682" s="13">
        <v>18.0</v>
      </c>
      <c r="E1682" s="13">
        <v>53.0</v>
      </c>
    </row>
    <row r="1683">
      <c r="A1683" s="13">
        <v>3309132.0</v>
      </c>
      <c r="B1683" s="4">
        <v>200.0</v>
      </c>
      <c r="C1683" s="13">
        <v>51.0</v>
      </c>
      <c r="D1683" s="13">
        <v>24.0</v>
      </c>
      <c r="E1683" s="13">
        <v>68.0</v>
      </c>
    </row>
    <row r="1684">
      <c r="A1684" s="13">
        <v>3301114.0</v>
      </c>
      <c r="B1684" s="4">
        <v>205.0</v>
      </c>
      <c r="C1684" s="13">
        <v>74.0</v>
      </c>
      <c r="D1684" s="13">
        <v>24.0</v>
      </c>
      <c r="E1684" s="13">
        <v>64.0</v>
      </c>
    </row>
    <row r="1685">
      <c r="A1685" s="13">
        <v>3306113.0</v>
      </c>
      <c r="B1685" s="4">
        <v>191.0</v>
      </c>
      <c r="C1685" s="13">
        <v>106.0</v>
      </c>
      <c r="D1685" s="13">
        <v>41.0</v>
      </c>
      <c r="E1685" s="13">
        <v>190.0</v>
      </c>
    </row>
    <row r="1686">
      <c r="A1686" s="13">
        <v>3315013.0</v>
      </c>
      <c r="B1686" s="4">
        <v>207.0</v>
      </c>
      <c r="C1686" s="13">
        <v>318.0</v>
      </c>
      <c r="D1686" s="13">
        <v>112.0</v>
      </c>
      <c r="E1686" s="13">
        <v>938.0</v>
      </c>
    </row>
    <row r="1687">
      <c r="A1687" s="13">
        <v>3302191.0</v>
      </c>
      <c r="B1687" s="4">
        <v>189.0</v>
      </c>
      <c r="C1687" s="13">
        <v>189.0</v>
      </c>
      <c r="D1687" s="13">
        <v>76.0</v>
      </c>
      <c r="E1687" s="13">
        <v>303.0</v>
      </c>
    </row>
    <row r="1688">
      <c r="A1688" s="13">
        <v>3372063.0</v>
      </c>
      <c r="B1688" s="4">
        <v>208.0</v>
      </c>
      <c r="C1688" s="13">
        <v>170.0</v>
      </c>
      <c r="D1688" s="13">
        <v>34.0</v>
      </c>
      <c r="E1688" s="13">
        <v>654.0</v>
      </c>
    </row>
    <row r="1689">
      <c r="A1689" s="13">
        <v>3329103.0</v>
      </c>
      <c r="B1689" s="4">
        <v>206.0</v>
      </c>
      <c r="C1689" s="13">
        <v>172.0</v>
      </c>
      <c r="D1689" s="13">
        <v>110.0</v>
      </c>
      <c r="E1689" s="13">
        <v>161.0</v>
      </c>
    </row>
    <row r="1690">
      <c r="A1690" s="13">
        <v>3374375.0</v>
      </c>
      <c r="B1690" s="4">
        <v>193.0</v>
      </c>
      <c r="C1690" s="13">
        <v>19.0</v>
      </c>
      <c r="D1690" s="13">
        <v>29.0</v>
      </c>
      <c r="E1690" s="13">
        <v>30.0</v>
      </c>
    </row>
    <row r="1691">
      <c r="A1691" s="13">
        <v>3319032.0</v>
      </c>
      <c r="B1691" s="4">
        <v>188.0</v>
      </c>
      <c r="C1691" s="13">
        <v>259.0</v>
      </c>
      <c r="D1691" s="13">
        <v>81.0</v>
      </c>
      <c r="E1691" s="13">
        <v>1384.0</v>
      </c>
    </row>
    <row r="1692">
      <c r="A1692" s="13">
        <v>3302227.0</v>
      </c>
      <c r="B1692" s="4">
        <v>189.0</v>
      </c>
      <c r="C1692" s="13">
        <v>70.0</v>
      </c>
      <c r="D1692" s="13">
        <v>31.0</v>
      </c>
      <c r="E1692" s="13">
        <v>90.0</v>
      </c>
    </row>
    <row r="1693">
      <c r="A1693" s="13">
        <v>3303101.0</v>
      </c>
      <c r="B1693" s="4">
        <v>214.0</v>
      </c>
      <c r="C1693" s="13">
        <v>190.0</v>
      </c>
      <c r="D1693" s="13">
        <v>32.0</v>
      </c>
      <c r="E1693" s="13">
        <v>113.0</v>
      </c>
    </row>
    <row r="1694">
      <c r="A1694" s="13">
        <v>3372241.0</v>
      </c>
      <c r="B1694" s="4">
        <v>198.0</v>
      </c>
      <c r="C1694" s="13">
        <v>120.0</v>
      </c>
      <c r="D1694" s="13">
        <v>58.0</v>
      </c>
      <c r="E1694" s="13">
        <v>296.0</v>
      </c>
    </row>
    <row r="1695">
      <c r="A1695" s="13">
        <v>3306104.0</v>
      </c>
      <c r="B1695" s="4">
        <v>191.0</v>
      </c>
      <c r="C1695" s="13">
        <v>121.0</v>
      </c>
      <c r="D1695" s="13">
        <v>37.0</v>
      </c>
      <c r="E1695" s="13">
        <v>263.0</v>
      </c>
    </row>
    <row r="1696">
      <c r="A1696" s="13">
        <v>3374065.0</v>
      </c>
      <c r="B1696" s="4">
        <v>193.0</v>
      </c>
      <c r="C1696" s="13">
        <v>154.0</v>
      </c>
      <c r="D1696" s="13">
        <v>54.0</v>
      </c>
      <c r="E1696" s="13">
        <v>58.0</v>
      </c>
    </row>
    <row r="1697">
      <c r="A1697" s="13">
        <v>3375075.0</v>
      </c>
      <c r="B1697" s="4">
        <v>203.0</v>
      </c>
      <c r="C1697" s="13">
        <v>66.0</v>
      </c>
      <c r="D1697" s="13">
        <v>59.0</v>
      </c>
      <c r="E1697" s="13">
        <v>142.0</v>
      </c>
    </row>
    <row r="1698">
      <c r="A1698" s="13">
        <v>3323050.0</v>
      </c>
      <c r="B1698" s="4">
        <v>218.0</v>
      </c>
      <c r="C1698" s="13">
        <v>155.0</v>
      </c>
      <c r="D1698" s="13">
        <v>86.0</v>
      </c>
      <c r="E1698" s="13">
        <v>297.0</v>
      </c>
    </row>
    <row r="1699">
      <c r="A1699" s="13">
        <v>3313053.0</v>
      </c>
      <c r="B1699" s="4">
        <v>187.0</v>
      </c>
      <c r="C1699" s="13">
        <v>70.0</v>
      </c>
      <c r="D1699" s="13">
        <v>26.0</v>
      </c>
      <c r="E1699" s="13">
        <v>190.0</v>
      </c>
    </row>
    <row r="1700">
      <c r="A1700" s="13">
        <v>3314097.0</v>
      </c>
      <c r="B1700" s="4">
        <v>192.0</v>
      </c>
      <c r="C1700" s="13">
        <v>79.0</v>
      </c>
      <c r="D1700" s="13">
        <v>34.0</v>
      </c>
      <c r="E1700" s="13">
        <v>72.0</v>
      </c>
    </row>
    <row r="1701">
      <c r="A1701" s="13">
        <v>3310405.0</v>
      </c>
      <c r="B1701" s="4">
        <v>204.0</v>
      </c>
      <c r="C1701" s="13">
        <v>133.0</v>
      </c>
      <c r="D1701" s="13">
        <v>29.0</v>
      </c>
      <c r="E1701" s="13">
        <v>222.0</v>
      </c>
    </row>
    <row r="1702">
      <c r="A1702" s="13">
        <v>3375022.0</v>
      </c>
      <c r="B1702" s="4">
        <v>203.0</v>
      </c>
      <c r="C1702" s="13">
        <v>154.0</v>
      </c>
      <c r="D1702" s="13">
        <v>31.0</v>
      </c>
      <c r="E1702" s="13">
        <v>493.0</v>
      </c>
    </row>
    <row r="1703">
      <c r="A1703" s="13">
        <v>3329045.0</v>
      </c>
      <c r="B1703" s="4">
        <v>206.0</v>
      </c>
      <c r="C1703" s="13">
        <v>50.0</v>
      </c>
      <c r="D1703" s="13">
        <v>28.0</v>
      </c>
      <c r="E1703" s="13">
        <v>63.0</v>
      </c>
    </row>
    <row r="1704">
      <c r="A1704" s="13">
        <v>3302228.0</v>
      </c>
      <c r="B1704" s="4">
        <v>189.0</v>
      </c>
      <c r="C1704" s="13">
        <v>12.0</v>
      </c>
      <c r="D1704" s="13">
        <v>18.0</v>
      </c>
      <c r="E1704" s="13">
        <v>120.0</v>
      </c>
    </row>
    <row r="1705">
      <c r="A1705" s="13">
        <v>3372201.0</v>
      </c>
      <c r="B1705" s="4">
        <v>198.0</v>
      </c>
      <c r="C1705" s="13">
        <v>106.0</v>
      </c>
      <c r="D1705" s="13">
        <v>45.0</v>
      </c>
      <c r="E1705" s="13">
        <v>43.0</v>
      </c>
    </row>
    <row r="1706">
      <c r="A1706" s="13">
        <v>3401026.0</v>
      </c>
      <c r="B1706" s="4">
        <v>222.0</v>
      </c>
      <c r="C1706" s="13">
        <v>50.0</v>
      </c>
      <c r="D1706" s="13">
        <v>19.0</v>
      </c>
      <c r="E1706" s="13">
        <v>91.0</v>
      </c>
    </row>
    <row r="1707">
      <c r="A1707" s="13">
        <v>3401051.0</v>
      </c>
      <c r="B1707" s="4">
        <v>222.0</v>
      </c>
      <c r="C1707" s="13">
        <v>50.0</v>
      </c>
      <c r="D1707" s="13">
        <v>27.0</v>
      </c>
      <c r="E1707" s="13">
        <v>121.0</v>
      </c>
    </row>
    <row r="1708">
      <c r="A1708" s="13">
        <v>3404189.0</v>
      </c>
      <c r="B1708" s="4">
        <v>223.0</v>
      </c>
      <c r="C1708" s="13">
        <v>380.0</v>
      </c>
      <c r="D1708" s="13">
        <v>52.0</v>
      </c>
      <c r="E1708" s="13">
        <v>483.0</v>
      </c>
    </row>
    <row r="1709">
      <c r="A1709" s="13">
        <v>3404157.0</v>
      </c>
      <c r="B1709" s="4">
        <v>223.0</v>
      </c>
      <c r="C1709" s="13">
        <v>100.0</v>
      </c>
      <c r="D1709" s="13">
        <v>26.0</v>
      </c>
      <c r="E1709" s="13">
        <v>85.0</v>
      </c>
    </row>
    <row r="1710">
      <c r="A1710" s="13">
        <v>3404181.0</v>
      </c>
      <c r="B1710" s="4">
        <v>223.0</v>
      </c>
      <c r="C1710" s="13">
        <v>59.0</v>
      </c>
      <c r="D1710" s="13">
        <v>30.0</v>
      </c>
      <c r="E1710" s="13">
        <v>117.0</v>
      </c>
    </row>
    <row r="1711">
      <c r="A1711" s="13">
        <v>3403022.0</v>
      </c>
      <c r="B1711" s="4">
        <v>224.0</v>
      </c>
      <c r="C1711" s="13">
        <v>57.0</v>
      </c>
      <c r="D1711" s="13">
        <v>17.0</v>
      </c>
      <c r="E1711" s="13">
        <v>57.0</v>
      </c>
    </row>
    <row r="1712">
      <c r="A1712" s="13">
        <v>3403025.0</v>
      </c>
      <c r="B1712" s="4">
        <v>224.0</v>
      </c>
      <c r="C1712" s="13">
        <v>52.0</v>
      </c>
      <c r="D1712" s="13">
        <v>17.0</v>
      </c>
      <c r="E1712" s="13">
        <v>9.0</v>
      </c>
    </row>
    <row r="1713">
      <c r="A1713" s="13">
        <v>3404179.0</v>
      </c>
      <c r="B1713" s="4">
        <v>223.0</v>
      </c>
      <c r="C1713" s="13">
        <v>50.0</v>
      </c>
      <c r="D1713" s="13">
        <v>29.0</v>
      </c>
      <c r="E1713" s="13">
        <v>78.0</v>
      </c>
    </row>
    <row r="1714">
      <c r="A1714" s="13">
        <v>3404011.0</v>
      </c>
      <c r="B1714" s="4">
        <v>223.0</v>
      </c>
      <c r="C1714" s="13">
        <v>193.0</v>
      </c>
      <c r="D1714" s="13">
        <v>100.0</v>
      </c>
      <c r="E1714" s="13">
        <v>896.0</v>
      </c>
    </row>
    <row r="1715">
      <c r="A1715" s="13">
        <v>3404193.0</v>
      </c>
      <c r="B1715" s="4">
        <v>223.0</v>
      </c>
      <c r="C1715" s="13">
        <v>100.0</v>
      </c>
      <c r="D1715" s="13">
        <v>85.0</v>
      </c>
      <c r="E1715" s="13">
        <v>212.0</v>
      </c>
    </row>
    <row r="1716">
      <c r="A1716" s="13">
        <v>3471096.0</v>
      </c>
      <c r="B1716" s="4">
        <v>225.0</v>
      </c>
      <c r="C1716" s="13">
        <v>42.0</v>
      </c>
      <c r="D1716" s="13">
        <v>24.0</v>
      </c>
      <c r="E1716" s="13">
        <v>262.0</v>
      </c>
    </row>
    <row r="1717">
      <c r="A1717" s="13">
        <v>3404092.0</v>
      </c>
      <c r="B1717" s="4">
        <v>223.0</v>
      </c>
      <c r="C1717" s="13">
        <v>51.0</v>
      </c>
      <c r="D1717" s="13">
        <v>36.0</v>
      </c>
      <c r="E1717" s="13">
        <v>64.0</v>
      </c>
    </row>
    <row r="1718">
      <c r="A1718" s="13">
        <v>3401053.0</v>
      </c>
      <c r="B1718" s="4">
        <v>222.0</v>
      </c>
      <c r="C1718" s="13">
        <v>50.0</v>
      </c>
      <c r="D1718" s="13">
        <v>34.0</v>
      </c>
      <c r="E1718" s="13">
        <v>51.0</v>
      </c>
    </row>
    <row r="1719">
      <c r="A1719" s="13">
        <v>3471379.0</v>
      </c>
      <c r="B1719" s="4">
        <v>225.0</v>
      </c>
      <c r="C1719" s="13">
        <v>25.0</v>
      </c>
      <c r="D1719" s="13">
        <v>23.0</v>
      </c>
      <c r="E1719" s="13">
        <v>43.0</v>
      </c>
    </row>
    <row r="1720">
      <c r="A1720" s="13">
        <v>3402016.0</v>
      </c>
      <c r="B1720" s="4">
        <v>226.0</v>
      </c>
      <c r="C1720" s="13">
        <v>264.0</v>
      </c>
      <c r="D1720" s="13">
        <v>106.0</v>
      </c>
      <c r="E1720" s="13">
        <v>962.0</v>
      </c>
    </row>
    <row r="1721">
      <c r="A1721" s="13">
        <v>3471026.0</v>
      </c>
      <c r="B1721" s="4">
        <v>225.0</v>
      </c>
      <c r="C1721" s="13">
        <v>98.0</v>
      </c>
      <c r="D1721" s="13">
        <v>28.0</v>
      </c>
      <c r="E1721" s="13">
        <v>144.0</v>
      </c>
    </row>
    <row r="1722">
      <c r="A1722" s="13">
        <v>3403024.0</v>
      </c>
      <c r="B1722" s="4">
        <v>224.0</v>
      </c>
      <c r="C1722" s="13">
        <v>50.0</v>
      </c>
      <c r="D1722" s="13">
        <v>28.0</v>
      </c>
      <c r="E1722" s="13">
        <v>124.0</v>
      </c>
    </row>
    <row r="1723">
      <c r="A1723" s="13">
        <v>3404056.0</v>
      </c>
      <c r="B1723" s="4">
        <v>223.0</v>
      </c>
      <c r="C1723" s="13">
        <v>224.0</v>
      </c>
      <c r="D1723" s="13">
        <v>113.0</v>
      </c>
      <c r="E1723" s="13">
        <v>264.0</v>
      </c>
    </row>
    <row r="1724">
      <c r="A1724" s="13">
        <v>3404183.0</v>
      </c>
      <c r="B1724" s="4">
        <v>223.0</v>
      </c>
      <c r="C1724" s="13">
        <v>227.0</v>
      </c>
      <c r="D1724" s="13">
        <v>53.0</v>
      </c>
      <c r="E1724" s="13">
        <v>696.0</v>
      </c>
    </row>
    <row r="1725">
      <c r="A1725" s="13">
        <v>3404033.0</v>
      </c>
      <c r="B1725" s="4">
        <v>223.0</v>
      </c>
      <c r="C1725" s="13">
        <v>49.0</v>
      </c>
      <c r="D1725" s="13">
        <v>22.0</v>
      </c>
      <c r="E1725" s="13">
        <v>150.0</v>
      </c>
    </row>
    <row r="1726">
      <c r="A1726" s="13">
        <v>3402097.0</v>
      </c>
      <c r="B1726" s="4">
        <v>226.0</v>
      </c>
      <c r="C1726" s="13">
        <v>50.0</v>
      </c>
      <c r="D1726" s="13">
        <v>25.0</v>
      </c>
      <c r="E1726" s="13">
        <v>182.0</v>
      </c>
    </row>
    <row r="1727">
      <c r="A1727" s="13">
        <v>3471282.0</v>
      </c>
      <c r="B1727" s="4">
        <v>225.0</v>
      </c>
      <c r="C1727" s="13">
        <v>46.0</v>
      </c>
      <c r="D1727" s="13">
        <v>48.0</v>
      </c>
      <c r="E1727" s="13">
        <v>155.0</v>
      </c>
    </row>
    <row r="1728">
      <c r="A1728" s="13">
        <v>3471381.0</v>
      </c>
      <c r="B1728" s="4">
        <v>225.0</v>
      </c>
      <c r="C1728" s="13">
        <v>49.0</v>
      </c>
      <c r="D1728" s="13">
        <v>44.0</v>
      </c>
      <c r="E1728" s="13">
        <v>182.0</v>
      </c>
    </row>
    <row r="1729">
      <c r="A1729" s="13">
        <v>3403038.0</v>
      </c>
      <c r="B1729" s="4">
        <v>224.0</v>
      </c>
      <c r="C1729" s="13">
        <v>55.0</v>
      </c>
      <c r="D1729" s="13">
        <v>20.0</v>
      </c>
      <c r="E1729" s="13">
        <v>182.0</v>
      </c>
    </row>
    <row r="1730">
      <c r="A1730" s="13">
        <v>3404191.0</v>
      </c>
      <c r="B1730" s="4">
        <v>223.0</v>
      </c>
      <c r="C1730" s="13">
        <v>51.0</v>
      </c>
      <c r="D1730" s="13">
        <v>41.0</v>
      </c>
      <c r="E1730" s="13">
        <v>11.0</v>
      </c>
    </row>
    <row r="1731">
      <c r="A1731" s="13">
        <v>3402031.0</v>
      </c>
      <c r="B1731" s="4">
        <v>226.0</v>
      </c>
      <c r="C1731" s="13">
        <v>112.0</v>
      </c>
      <c r="D1731" s="13">
        <v>55.0</v>
      </c>
      <c r="E1731" s="13">
        <v>389.0</v>
      </c>
    </row>
    <row r="1732">
      <c r="A1732" s="13">
        <v>3471041.0</v>
      </c>
      <c r="B1732" s="4">
        <v>225.0</v>
      </c>
      <c r="C1732" s="13">
        <v>200.0</v>
      </c>
      <c r="D1732" s="13">
        <v>76.0</v>
      </c>
      <c r="E1732" s="13">
        <v>302.0</v>
      </c>
    </row>
    <row r="1733">
      <c r="A1733" s="13">
        <v>3401048.0</v>
      </c>
      <c r="B1733" s="4">
        <v>222.0</v>
      </c>
      <c r="C1733" s="13">
        <v>52.0</v>
      </c>
      <c r="D1733" s="13">
        <v>19.0</v>
      </c>
      <c r="E1733" s="13">
        <v>74.0</v>
      </c>
    </row>
    <row r="1734">
      <c r="A1734" s="13">
        <v>3404182.0</v>
      </c>
      <c r="B1734" s="4">
        <v>223.0</v>
      </c>
      <c r="C1734" s="13">
        <v>58.0</v>
      </c>
      <c r="D1734" s="13">
        <v>23.0</v>
      </c>
      <c r="E1734" s="13">
        <v>26.0</v>
      </c>
    </row>
    <row r="1735">
      <c r="A1735" s="13">
        <v>3471374.0</v>
      </c>
      <c r="B1735" s="4">
        <v>225.0</v>
      </c>
      <c r="C1735" s="13">
        <v>16.0</v>
      </c>
      <c r="D1735" s="13">
        <v>18.0</v>
      </c>
      <c r="E1735" s="13">
        <v>61.0</v>
      </c>
    </row>
    <row r="1736">
      <c r="A1736" s="13">
        <v>3404102.0</v>
      </c>
      <c r="B1736" s="4">
        <v>223.0</v>
      </c>
      <c r="C1736" s="13">
        <v>56.0</v>
      </c>
      <c r="D1736" s="13">
        <v>46.0</v>
      </c>
      <c r="E1736" s="13">
        <v>167.0</v>
      </c>
    </row>
    <row r="1737">
      <c r="A1737" s="13">
        <v>3471336.0</v>
      </c>
      <c r="B1737" s="4">
        <v>225.0</v>
      </c>
      <c r="C1737" s="13">
        <v>50.0</v>
      </c>
      <c r="D1737" s="13">
        <v>26.0</v>
      </c>
      <c r="E1737" s="13">
        <v>163.0</v>
      </c>
    </row>
    <row r="1738">
      <c r="A1738" s="13">
        <v>3401052.0</v>
      </c>
      <c r="B1738" s="4">
        <v>222.0</v>
      </c>
      <c r="C1738" s="13">
        <v>187.0</v>
      </c>
      <c r="D1738" s="13">
        <v>36.0</v>
      </c>
      <c r="E1738" s="13">
        <v>283.0</v>
      </c>
    </row>
    <row r="1739">
      <c r="A1739" s="13">
        <v>3471107.0</v>
      </c>
      <c r="B1739" s="4">
        <v>225.0</v>
      </c>
      <c r="C1739" s="13">
        <v>34.0</v>
      </c>
      <c r="D1739" s="13">
        <v>19.0</v>
      </c>
      <c r="E1739" s="13">
        <v>80.0</v>
      </c>
    </row>
    <row r="1740">
      <c r="A1740" s="13">
        <v>3402053.0</v>
      </c>
      <c r="B1740" s="4">
        <v>226.0</v>
      </c>
      <c r="C1740" s="13">
        <v>52.0</v>
      </c>
      <c r="D1740" s="13">
        <v>39.0</v>
      </c>
      <c r="E1740" s="13">
        <v>173.0</v>
      </c>
    </row>
    <row r="1741">
      <c r="A1741" s="13">
        <v>3471063.0</v>
      </c>
      <c r="B1741" s="4">
        <v>225.0</v>
      </c>
      <c r="C1741" s="13">
        <v>320.0</v>
      </c>
      <c r="D1741" s="13">
        <v>105.0</v>
      </c>
      <c r="E1741" s="13">
        <v>742.0</v>
      </c>
    </row>
    <row r="1742">
      <c r="A1742" s="13">
        <v>3402086.0</v>
      </c>
      <c r="B1742" s="4">
        <v>226.0</v>
      </c>
      <c r="C1742" s="13">
        <v>50.0</v>
      </c>
      <c r="D1742" s="13">
        <v>39.0</v>
      </c>
      <c r="E1742" s="13">
        <v>271.0</v>
      </c>
    </row>
    <row r="1743">
      <c r="A1743" s="13">
        <v>3404190.0</v>
      </c>
      <c r="B1743" s="4">
        <v>223.0</v>
      </c>
      <c r="C1743" s="13">
        <v>50.0</v>
      </c>
      <c r="D1743" s="13">
        <v>22.0</v>
      </c>
      <c r="E1743" s="13">
        <v>11.0</v>
      </c>
    </row>
    <row r="1744">
      <c r="A1744" s="13">
        <v>3404196.0</v>
      </c>
      <c r="B1744" s="4">
        <v>223.0</v>
      </c>
      <c r="C1744" s="13">
        <v>50.0</v>
      </c>
      <c r="D1744" s="13">
        <v>18.0</v>
      </c>
      <c r="E1744" s="13">
        <v>8.0</v>
      </c>
    </row>
    <row r="1745">
      <c r="A1745" s="13">
        <v>3401050.0</v>
      </c>
      <c r="B1745" s="4">
        <v>222.0</v>
      </c>
      <c r="C1745" s="13">
        <v>51.0</v>
      </c>
      <c r="D1745" s="13">
        <v>22.0</v>
      </c>
      <c r="E1745" s="13">
        <v>52.0</v>
      </c>
    </row>
    <row r="1746">
      <c r="A1746" s="13">
        <v>3404146.0</v>
      </c>
      <c r="B1746" s="4">
        <v>223.0</v>
      </c>
      <c r="C1746" s="13">
        <v>125.0</v>
      </c>
      <c r="D1746" s="13">
        <v>58.0</v>
      </c>
      <c r="E1746" s="13">
        <v>472.0</v>
      </c>
    </row>
    <row r="1747">
      <c r="A1747" s="13">
        <v>3471373.0</v>
      </c>
      <c r="B1747" s="4">
        <v>225.0</v>
      </c>
      <c r="C1747" s="13">
        <v>101.0</v>
      </c>
      <c r="D1747" s="13">
        <v>234.0</v>
      </c>
      <c r="E1747" s="13">
        <v>185.0</v>
      </c>
    </row>
    <row r="1748">
      <c r="A1748" s="13">
        <v>3401015.0</v>
      </c>
      <c r="B1748" s="4">
        <v>222.0</v>
      </c>
      <c r="C1748" s="13">
        <v>241.0</v>
      </c>
      <c r="D1748" s="13">
        <v>61.0</v>
      </c>
      <c r="E1748" s="13">
        <v>719.0</v>
      </c>
    </row>
    <row r="1749">
      <c r="A1749" s="13">
        <v>3403021.0</v>
      </c>
      <c r="B1749" s="4">
        <v>224.0</v>
      </c>
      <c r="C1749" s="13">
        <v>50.0</v>
      </c>
      <c r="D1749" s="13">
        <v>32.0</v>
      </c>
      <c r="E1749" s="13">
        <v>146.0</v>
      </c>
    </row>
    <row r="1750">
      <c r="A1750" s="13">
        <v>3471085.0</v>
      </c>
      <c r="B1750" s="4">
        <v>225.0</v>
      </c>
      <c r="C1750" s="13">
        <v>1296.0</v>
      </c>
      <c r="D1750" s="13">
        <v>27.0</v>
      </c>
      <c r="E1750" s="13">
        <v>13.0</v>
      </c>
    </row>
    <row r="1751">
      <c r="A1751" s="13">
        <v>3404081.0</v>
      </c>
      <c r="B1751" s="4">
        <v>223.0</v>
      </c>
      <c r="C1751" s="13">
        <v>80.0</v>
      </c>
      <c r="D1751" s="13">
        <v>50.0</v>
      </c>
      <c r="E1751" s="13">
        <v>219.0</v>
      </c>
    </row>
    <row r="1752">
      <c r="A1752" s="13">
        <v>3402077.0</v>
      </c>
      <c r="B1752" s="4">
        <v>226.0</v>
      </c>
      <c r="C1752" s="13">
        <v>58.0</v>
      </c>
      <c r="D1752" s="13">
        <v>28.0</v>
      </c>
      <c r="E1752" s="13">
        <v>136.0</v>
      </c>
    </row>
    <row r="1753">
      <c r="A1753" s="13">
        <v>3403023.0</v>
      </c>
      <c r="B1753" s="4">
        <v>224.0</v>
      </c>
      <c r="C1753" s="13">
        <v>109.0</v>
      </c>
      <c r="D1753" s="13">
        <v>31.0</v>
      </c>
      <c r="E1753" s="13">
        <v>187.0</v>
      </c>
    </row>
    <row r="1754">
      <c r="A1754" s="13">
        <v>3402084.0</v>
      </c>
      <c r="B1754" s="4">
        <v>226.0</v>
      </c>
      <c r="C1754" s="13">
        <v>120.0</v>
      </c>
      <c r="D1754" s="13">
        <v>62.0</v>
      </c>
      <c r="E1754" s="13">
        <v>330.0</v>
      </c>
    </row>
    <row r="1755">
      <c r="A1755" s="13">
        <v>3401037.0</v>
      </c>
      <c r="B1755" s="4">
        <v>222.0</v>
      </c>
      <c r="C1755" s="13">
        <v>52.0</v>
      </c>
      <c r="D1755" s="13">
        <v>27.0</v>
      </c>
      <c r="E1755" s="13">
        <v>109.0</v>
      </c>
    </row>
    <row r="1756">
      <c r="A1756" s="13">
        <v>3404015.0</v>
      </c>
      <c r="B1756" s="4">
        <v>223.0</v>
      </c>
      <c r="C1756" s="13">
        <v>729.0</v>
      </c>
      <c r="D1756" s="13">
        <v>280.0</v>
      </c>
      <c r="E1756" s="13">
        <v>3454.0</v>
      </c>
    </row>
    <row r="1757">
      <c r="A1757" s="13">
        <v>3471377.0</v>
      </c>
      <c r="B1757" s="4">
        <v>225.0</v>
      </c>
      <c r="C1757" s="13">
        <v>53.0</v>
      </c>
      <c r="D1757" s="13">
        <v>35.0</v>
      </c>
      <c r="E1757" s="13">
        <v>171.0</v>
      </c>
    </row>
    <row r="1758">
      <c r="A1758" s="13">
        <v>3404210.0</v>
      </c>
      <c r="B1758" s="4">
        <v>223.0</v>
      </c>
      <c r="C1758" s="13">
        <v>102.0</v>
      </c>
      <c r="D1758" s="13">
        <v>28.0</v>
      </c>
      <c r="E1758" s="13">
        <v>182.0</v>
      </c>
    </row>
    <row r="1759">
      <c r="A1759" s="13">
        <v>3404187.0</v>
      </c>
      <c r="B1759" s="4">
        <v>223.0</v>
      </c>
      <c r="C1759" s="13">
        <v>49.0</v>
      </c>
      <c r="D1759" s="13">
        <v>32.0</v>
      </c>
      <c r="E1759" s="13">
        <v>199.0</v>
      </c>
    </row>
    <row r="1760">
      <c r="A1760" s="13">
        <v>3404022.0</v>
      </c>
      <c r="B1760" s="4">
        <v>223.0</v>
      </c>
      <c r="C1760" s="13">
        <v>202.0</v>
      </c>
      <c r="D1760" s="13">
        <v>59.0</v>
      </c>
      <c r="E1760" s="13">
        <v>395.0</v>
      </c>
    </row>
    <row r="1761">
      <c r="A1761" s="13">
        <v>3402080.0</v>
      </c>
      <c r="B1761" s="4">
        <v>226.0</v>
      </c>
      <c r="C1761" s="13">
        <v>25.0</v>
      </c>
      <c r="D1761" s="13">
        <v>16.0</v>
      </c>
      <c r="E1761" s="13">
        <v>32.0</v>
      </c>
    </row>
    <row r="1762">
      <c r="A1762" s="13">
        <v>3403026.0</v>
      </c>
      <c r="B1762" s="4">
        <v>224.0</v>
      </c>
      <c r="C1762" s="13">
        <v>28.0</v>
      </c>
      <c r="D1762" s="13">
        <v>21.0</v>
      </c>
      <c r="E1762" s="13">
        <v>16.0</v>
      </c>
    </row>
    <row r="1763">
      <c r="A1763" s="13">
        <v>3471121.0</v>
      </c>
      <c r="B1763" s="4">
        <v>226.0</v>
      </c>
      <c r="C1763" s="13">
        <v>25.0</v>
      </c>
      <c r="D1763" s="13">
        <v>27.0</v>
      </c>
      <c r="E1763" s="13">
        <v>147.0</v>
      </c>
    </row>
    <row r="1764">
      <c r="A1764" s="13">
        <v>3471234.0</v>
      </c>
      <c r="B1764" s="4">
        <v>225.0</v>
      </c>
      <c r="C1764" s="13">
        <v>210.0</v>
      </c>
      <c r="D1764" s="13">
        <v>90.0</v>
      </c>
      <c r="E1764" s="13">
        <v>479.0</v>
      </c>
    </row>
    <row r="1765">
      <c r="A1765" s="13">
        <v>3404168.0</v>
      </c>
      <c r="B1765" s="4">
        <v>223.0</v>
      </c>
      <c r="C1765" s="13">
        <v>104.0</v>
      </c>
      <c r="D1765" s="13">
        <v>37.0</v>
      </c>
      <c r="E1765" s="13">
        <v>248.0</v>
      </c>
    </row>
    <row r="1766">
      <c r="A1766" s="13">
        <v>3402020.0</v>
      </c>
      <c r="B1766" s="4">
        <v>226.0</v>
      </c>
      <c r="C1766" s="13">
        <v>48.0</v>
      </c>
      <c r="D1766" s="13">
        <v>43.0</v>
      </c>
      <c r="E1766" s="13">
        <v>205.0</v>
      </c>
    </row>
    <row r="1767">
      <c r="A1767" s="13">
        <v>3471030.0</v>
      </c>
      <c r="B1767" s="4">
        <v>225.0</v>
      </c>
      <c r="C1767" s="13">
        <v>102.0</v>
      </c>
      <c r="D1767" s="13">
        <v>74.0</v>
      </c>
      <c r="E1767" s="13">
        <v>235.0</v>
      </c>
    </row>
    <row r="1768">
      <c r="A1768" s="13">
        <v>3402081.0</v>
      </c>
      <c r="B1768" s="4">
        <v>226.0</v>
      </c>
      <c r="C1768" s="13">
        <v>25.0</v>
      </c>
      <c r="D1768" s="13">
        <v>15.0</v>
      </c>
      <c r="E1768" s="13">
        <v>43.0</v>
      </c>
    </row>
    <row r="1769">
      <c r="A1769" s="13">
        <v>3404184.0</v>
      </c>
      <c r="B1769" s="4">
        <v>223.0</v>
      </c>
      <c r="C1769" s="13">
        <v>60.0</v>
      </c>
      <c r="D1769" s="13">
        <v>51.0</v>
      </c>
      <c r="E1769" s="13">
        <v>62.0</v>
      </c>
    </row>
    <row r="1770">
      <c r="A1770" s="13">
        <v>3404070.0</v>
      </c>
      <c r="B1770" s="4">
        <v>223.0</v>
      </c>
      <c r="C1770" s="13">
        <v>35.0</v>
      </c>
      <c r="D1770" s="13">
        <v>30.0</v>
      </c>
      <c r="E1770" s="13">
        <v>152.0</v>
      </c>
    </row>
    <row r="1771">
      <c r="A1771" s="13">
        <v>3471325.0</v>
      </c>
      <c r="B1771" s="4">
        <v>225.0</v>
      </c>
      <c r="C1771" s="13">
        <v>23.0</v>
      </c>
      <c r="D1771" s="13">
        <v>16.0</v>
      </c>
      <c r="E1771" s="13">
        <v>47.0</v>
      </c>
    </row>
    <row r="1772">
      <c r="A1772" s="13">
        <v>3402042.0</v>
      </c>
      <c r="B1772" s="4">
        <v>226.0</v>
      </c>
      <c r="C1772" s="13">
        <v>25.0</v>
      </c>
      <c r="D1772" s="13">
        <v>6.0</v>
      </c>
      <c r="E1772" s="13">
        <v>72.0</v>
      </c>
    </row>
    <row r="1773">
      <c r="A1773" s="13">
        <v>3471052.0</v>
      </c>
      <c r="B1773" s="4">
        <v>225.0</v>
      </c>
      <c r="C1773" s="13">
        <v>300.0</v>
      </c>
      <c r="D1773" s="13">
        <v>115.0</v>
      </c>
      <c r="E1773" s="13">
        <v>1508.0</v>
      </c>
    </row>
    <row r="1774">
      <c r="A1774" s="13">
        <v>3402064.0</v>
      </c>
      <c r="B1774" s="4">
        <v>226.0</v>
      </c>
      <c r="C1774" s="13">
        <v>98.0</v>
      </c>
      <c r="D1774" s="13">
        <v>23.0</v>
      </c>
      <c r="E1774" s="13">
        <v>154.0</v>
      </c>
    </row>
    <row r="1775">
      <c r="A1775" s="13">
        <v>3403027.0</v>
      </c>
      <c r="B1775" s="4">
        <v>224.0</v>
      </c>
      <c r="C1775" s="13">
        <v>69.0</v>
      </c>
      <c r="D1775" s="13">
        <v>27.0</v>
      </c>
      <c r="E1775" s="13">
        <v>19.0</v>
      </c>
    </row>
    <row r="1776">
      <c r="A1776" s="13">
        <v>3402076.0</v>
      </c>
      <c r="B1776" s="4">
        <v>226.0</v>
      </c>
      <c r="C1776" s="13">
        <v>25.0</v>
      </c>
      <c r="D1776" s="13">
        <v>21.0</v>
      </c>
      <c r="E1776" s="13">
        <v>110.0</v>
      </c>
    </row>
    <row r="1777">
      <c r="A1777" s="13">
        <v>3404124.0</v>
      </c>
      <c r="B1777" s="4">
        <v>223.0</v>
      </c>
      <c r="C1777" s="13">
        <v>50.0</v>
      </c>
      <c r="D1777" s="13">
        <v>43.0</v>
      </c>
      <c r="E1777" s="13">
        <v>144.0</v>
      </c>
    </row>
    <row r="1778">
      <c r="A1778" s="13">
        <v>3471362.0</v>
      </c>
      <c r="B1778" s="4">
        <v>223.0</v>
      </c>
      <c r="C1778" s="13">
        <v>12.0</v>
      </c>
      <c r="D1778" s="13">
        <v>18.0</v>
      </c>
      <c r="E1778" s="13">
        <v>142.0</v>
      </c>
    </row>
    <row r="1779">
      <c r="A1779" s="13">
        <v>3402075.0</v>
      </c>
      <c r="B1779" s="4">
        <v>226.0</v>
      </c>
      <c r="C1779" s="13">
        <v>50.0</v>
      </c>
      <c r="D1779" s="13">
        <v>31.0</v>
      </c>
      <c r="E1779" s="13">
        <v>44.0</v>
      </c>
    </row>
    <row r="1780">
      <c r="A1780" s="13">
        <v>3403010.0</v>
      </c>
      <c r="B1780" s="4">
        <v>224.0</v>
      </c>
      <c r="C1780" s="13">
        <v>207.0</v>
      </c>
      <c r="D1780" s="13">
        <v>113.0</v>
      </c>
      <c r="E1780" s="13">
        <v>379.0</v>
      </c>
    </row>
    <row r="1781">
      <c r="A1781" s="13">
        <v>3471380.0</v>
      </c>
      <c r="B1781" s="4">
        <v>225.0</v>
      </c>
      <c r="C1781" s="13">
        <v>103.0</v>
      </c>
      <c r="D1781" s="13">
        <v>62.0</v>
      </c>
      <c r="E1781" s="13">
        <v>243.0</v>
      </c>
    </row>
    <row r="1782">
      <c r="A1782" s="13">
        <v>3401058.0</v>
      </c>
      <c r="B1782" s="4">
        <v>222.0</v>
      </c>
      <c r="C1782" s="13">
        <v>50.0</v>
      </c>
      <c r="D1782" s="13">
        <v>32.0</v>
      </c>
      <c r="E1782" s="13">
        <v>21.0</v>
      </c>
    </row>
    <row r="1783">
      <c r="A1783" s="13">
        <v>3471074.0</v>
      </c>
      <c r="B1783" s="4">
        <v>226.0</v>
      </c>
      <c r="C1783" s="13">
        <v>285.0</v>
      </c>
      <c r="D1783" s="13">
        <v>104.0</v>
      </c>
      <c r="E1783" s="13">
        <v>54.0</v>
      </c>
    </row>
    <row r="1784">
      <c r="A1784" s="13">
        <v>3404045.0</v>
      </c>
      <c r="B1784" s="4">
        <v>223.0</v>
      </c>
      <c r="C1784" s="13">
        <v>100.0</v>
      </c>
      <c r="D1784" s="13">
        <v>51.0</v>
      </c>
      <c r="E1784" s="13">
        <v>153.0</v>
      </c>
    </row>
    <row r="1785">
      <c r="A1785" s="13">
        <v>3404180.0</v>
      </c>
      <c r="B1785" s="4">
        <v>223.0</v>
      </c>
      <c r="C1785" s="13">
        <v>25.0</v>
      </c>
      <c r="D1785" s="13">
        <v>14.0</v>
      </c>
      <c r="E1785" s="13">
        <v>25.0</v>
      </c>
    </row>
    <row r="1786">
      <c r="A1786" s="13">
        <v>3526011.0</v>
      </c>
      <c r="B1786" s="4">
        <v>227.0</v>
      </c>
      <c r="C1786" s="13">
        <v>372.0</v>
      </c>
      <c r="D1786" s="13">
        <v>57.0</v>
      </c>
      <c r="E1786" s="13">
        <v>1101.0</v>
      </c>
    </row>
    <row r="1787">
      <c r="A1787" s="13">
        <v>3518045.0</v>
      </c>
      <c r="B1787" s="4">
        <v>228.0</v>
      </c>
      <c r="C1787" s="13">
        <v>166.0</v>
      </c>
      <c r="D1787" s="13">
        <v>40.0</v>
      </c>
      <c r="E1787" s="13">
        <v>327.0</v>
      </c>
    </row>
    <row r="1788">
      <c r="A1788" s="13">
        <v>3521014.0</v>
      </c>
      <c r="B1788" s="4">
        <v>229.0</v>
      </c>
      <c r="C1788" s="13">
        <v>172.0</v>
      </c>
      <c r="D1788" s="13">
        <v>27.0</v>
      </c>
      <c r="E1788" s="13">
        <v>487.0</v>
      </c>
    </row>
    <row r="1789">
      <c r="A1789" s="13">
        <v>3528026.0</v>
      </c>
      <c r="B1789" s="4">
        <v>230.0</v>
      </c>
      <c r="C1789" s="13">
        <v>32.0</v>
      </c>
      <c r="D1789" s="13">
        <v>25.0</v>
      </c>
      <c r="E1789" s="13">
        <v>6.0</v>
      </c>
    </row>
    <row r="1790">
      <c r="A1790" s="13">
        <v>3510010.0</v>
      </c>
      <c r="B1790" s="4">
        <v>231.0</v>
      </c>
      <c r="C1790" s="13">
        <v>240.0</v>
      </c>
      <c r="D1790" s="13">
        <v>118.0</v>
      </c>
      <c r="E1790" s="13">
        <v>711.0</v>
      </c>
    </row>
    <row r="1791">
      <c r="A1791" s="13">
        <v>3578261.0</v>
      </c>
      <c r="B1791" s="4">
        <v>232.0</v>
      </c>
      <c r="C1791" s="13">
        <v>31.0</v>
      </c>
      <c r="D1791" s="13">
        <v>13.0</v>
      </c>
      <c r="E1791" s="13">
        <v>87.0</v>
      </c>
    </row>
    <row r="1792">
      <c r="A1792" s="13">
        <v>3504056.0</v>
      </c>
      <c r="B1792" s="4">
        <v>233.0</v>
      </c>
      <c r="C1792" s="13">
        <v>100.0</v>
      </c>
      <c r="D1792" s="13">
        <v>30.0</v>
      </c>
      <c r="E1792" s="13">
        <v>163.0</v>
      </c>
    </row>
    <row r="1793">
      <c r="A1793" s="13">
        <v>3513026.0</v>
      </c>
      <c r="B1793" s="4">
        <v>234.0</v>
      </c>
      <c r="C1793" s="13">
        <v>105.0</v>
      </c>
      <c r="D1793" s="13">
        <v>32.0</v>
      </c>
      <c r="E1793" s="13">
        <v>123.0</v>
      </c>
    </row>
    <row r="1794">
      <c r="A1794" s="13">
        <v>3524047.0</v>
      </c>
      <c r="B1794" s="4">
        <v>235.0</v>
      </c>
      <c r="C1794" s="13">
        <v>65.0</v>
      </c>
      <c r="D1794" s="13">
        <v>33.0</v>
      </c>
      <c r="E1794" s="13">
        <v>148.0</v>
      </c>
    </row>
    <row r="1795">
      <c r="A1795" s="13">
        <v>3505054.0</v>
      </c>
      <c r="B1795" s="4">
        <v>236.0</v>
      </c>
      <c r="C1795" s="13">
        <v>59.0</v>
      </c>
      <c r="D1795" s="13">
        <v>69.0</v>
      </c>
      <c r="E1795" s="13">
        <v>96.0</v>
      </c>
    </row>
    <row r="1796">
      <c r="A1796" s="13">
        <v>3507104.0</v>
      </c>
      <c r="B1796" s="4">
        <v>237.0</v>
      </c>
      <c r="C1796" s="13">
        <v>133.0</v>
      </c>
      <c r="D1796" s="13">
        <v>39.0</v>
      </c>
      <c r="E1796" s="13">
        <v>412.0</v>
      </c>
    </row>
    <row r="1797">
      <c r="A1797" s="13">
        <v>3525104.0</v>
      </c>
      <c r="B1797" s="4">
        <v>238.0</v>
      </c>
      <c r="C1797" s="13">
        <v>34.0</v>
      </c>
      <c r="D1797" s="13">
        <v>16.0</v>
      </c>
      <c r="E1797" s="13">
        <v>27.0</v>
      </c>
    </row>
    <row r="1798">
      <c r="A1798" s="13">
        <v>3524073.0</v>
      </c>
      <c r="B1798" s="4">
        <v>235.0</v>
      </c>
      <c r="C1798" s="13">
        <v>59.0</v>
      </c>
      <c r="D1798" s="13">
        <v>23.0</v>
      </c>
      <c r="E1798" s="13">
        <v>182.0</v>
      </c>
    </row>
    <row r="1799">
      <c r="A1799" s="13">
        <v>3515096.0</v>
      </c>
      <c r="B1799" s="4">
        <v>239.0</v>
      </c>
      <c r="C1799" s="13">
        <v>150.0</v>
      </c>
      <c r="D1799" s="13">
        <v>49.0</v>
      </c>
      <c r="E1799" s="13">
        <v>472.0</v>
      </c>
    </row>
    <row r="1800">
      <c r="A1800" s="13">
        <v>3578769.0</v>
      </c>
      <c r="B1800" s="4">
        <v>232.0</v>
      </c>
      <c r="C1800" s="13">
        <v>30.0</v>
      </c>
      <c r="D1800" s="13">
        <v>20.0</v>
      </c>
      <c r="E1800" s="13">
        <v>143.0</v>
      </c>
    </row>
    <row r="1801">
      <c r="A1801" s="13">
        <v>3514054.0</v>
      </c>
      <c r="B1801" s="4">
        <v>240.0</v>
      </c>
      <c r="C1801" s="13">
        <v>85.0</v>
      </c>
      <c r="D1801" s="13">
        <v>20.0</v>
      </c>
      <c r="E1801" s="13">
        <v>84.0</v>
      </c>
    </row>
    <row r="1802">
      <c r="A1802" s="13">
        <v>3520016.0</v>
      </c>
      <c r="B1802" s="4">
        <v>241.0</v>
      </c>
      <c r="C1802" s="13">
        <v>25.0</v>
      </c>
      <c r="D1802" s="13">
        <v>17.0</v>
      </c>
      <c r="E1802" s="13">
        <v>44.0</v>
      </c>
    </row>
    <row r="1803">
      <c r="A1803" s="13">
        <v>3501016.0</v>
      </c>
      <c r="B1803" s="4">
        <v>242.0</v>
      </c>
      <c r="C1803" s="13">
        <v>314.0</v>
      </c>
      <c r="D1803" s="13">
        <v>68.0</v>
      </c>
      <c r="E1803" s="13">
        <v>380.0</v>
      </c>
    </row>
    <row r="1804">
      <c r="A1804" s="13">
        <v>3513067.0</v>
      </c>
      <c r="B1804" s="4">
        <v>234.0</v>
      </c>
      <c r="C1804" s="13">
        <v>100.0</v>
      </c>
      <c r="D1804" s="13">
        <v>26.0</v>
      </c>
      <c r="E1804" s="13">
        <v>261.0</v>
      </c>
    </row>
    <row r="1805">
      <c r="A1805" s="13">
        <v>3578768.0</v>
      </c>
      <c r="B1805" s="4">
        <v>232.0</v>
      </c>
      <c r="C1805" s="13">
        <v>28.0</v>
      </c>
      <c r="D1805" s="13">
        <v>16.0</v>
      </c>
      <c r="E1805" s="13">
        <v>83.0</v>
      </c>
    </row>
    <row r="1806">
      <c r="A1806" s="13">
        <v>3515132.0</v>
      </c>
      <c r="B1806" s="4">
        <v>239.0</v>
      </c>
      <c r="C1806" s="13">
        <v>91.0</v>
      </c>
      <c r="D1806" s="13">
        <v>25.0</v>
      </c>
      <c r="E1806" s="13">
        <v>295.0</v>
      </c>
    </row>
    <row r="1807">
      <c r="A1807" s="13">
        <v>3509136.0</v>
      </c>
      <c r="B1807" s="4">
        <v>243.0</v>
      </c>
      <c r="C1807" s="13">
        <v>125.0</v>
      </c>
      <c r="D1807" s="13">
        <v>34.0</v>
      </c>
      <c r="E1807" s="13">
        <v>287.0</v>
      </c>
    </row>
    <row r="1808">
      <c r="A1808" s="13">
        <v>3504081.0</v>
      </c>
      <c r="B1808" s="4">
        <v>233.0</v>
      </c>
      <c r="C1808" s="13">
        <v>60.0</v>
      </c>
      <c r="D1808" s="13">
        <v>28.0</v>
      </c>
      <c r="E1808" s="13">
        <v>113.0</v>
      </c>
    </row>
    <row r="1809">
      <c r="A1809" s="13">
        <v>3506066.0</v>
      </c>
      <c r="B1809" s="4">
        <v>244.0</v>
      </c>
      <c r="C1809" s="13">
        <v>237.0</v>
      </c>
      <c r="D1809" s="13">
        <v>50.0</v>
      </c>
      <c r="E1809" s="13">
        <v>455.0</v>
      </c>
    </row>
    <row r="1810">
      <c r="A1810" s="13">
        <v>3522014.0</v>
      </c>
      <c r="B1810" s="4">
        <v>245.0</v>
      </c>
      <c r="C1810" s="13">
        <v>500.0</v>
      </c>
      <c r="D1810" s="13">
        <v>86.0</v>
      </c>
      <c r="E1810" s="13">
        <v>635.0</v>
      </c>
    </row>
    <row r="1811">
      <c r="A1811" s="13">
        <v>3515127.0</v>
      </c>
      <c r="B1811" s="4">
        <v>239.0</v>
      </c>
      <c r="C1811" s="13">
        <v>29.0</v>
      </c>
      <c r="D1811" s="13">
        <v>13.0</v>
      </c>
      <c r="E1811" s="13">
        <v>52.0</v>
      </c>
    </row>
    <row r="1812">
      <c r="A1812" s="13">
        <v>3521028.0</v>
      </c>
      <c r="B1812" s="4">
        <v>229.0</v>
      </c>
      <c r="C1812" s="13">
        <v>53.0</v>
      </c>
      <c r="D1812" s="13">
        <v>22.0</v>
      </c>
      <c r="E1812" s="13">
        <v>182.0</v>
      </c>
    </row>
    <row r="1813">
      <c r="A1813" s="13">
        <v>3506036.0</v>
      </c>
      <c r="B1813" s="4">
        <v>244.0</v>
      </c>
      <c r="C1813" s="13">
        <v>93.0</v>
      </c>
      <c r="D1813" s="13">
        <v>30.0</v>
      </c>
      <c r="E1813" s="13">
        <v>203.0</v>
      </c>
    </row>
    <row r="1814">
      <c r="A1814" s="13">
        <v>3577085.0</v>
      </c>
      <c r="B1814" s="4">
        <v>246.0</v>
      </c>
      <c r="C1814" s="13">
        <v>194.0</v>
      </c>
      <c r="D1814" s="13">
        <v>33.0</v>
      </c>
      <c r="E1814" s="13">
        <v>411.0</v>
      </c>
    </row>
    <row r="1815">
      <c r="A1815" s="13">
        <v>3516033.0</v>
      </c>
      <c r="B1815" s="4">
        <v>247.0</v>
      </c>
      <c r="C1815" s="13">
        <v>50.0</v>
      </c>
      <c r="D1815" s="13">
        <v>20.0</v>
      </c>
      <c r="E1815" s="13">
        <v>61.0</v>
      </c>
    </row>
    <row r="1816">
      <c r="A1816" s="13">
        <v>3528025.0</v>
      </c>
      <c r="B1816" s="4">
        <v>230.0</v>
      </c>
      <c r="C1816" s="13">
        <v>51.0</v>
      </c>
      <c r="D1816" s="13">
        <v>13.0</v>
      </c>
      <c r="E1816" s="13">
        <v>68.0</v>
      </c>
    </row>
    <row r="1817">
      <c r="A1817" s="13">
        <v>3524052.0</v>
      </c>
      <c r="B1817" s="4">
        <v>235.0</v>
      </c>
      <c r="C1817" s="13">
        <v>57.0</v>
      </c>
      <c r="D1817" s="13">
        <v>27.0</v>
      </c>
      <c r="E1817" s="13">
        <v>182.0</v>
      </c>
    </row>
    <row r="1818">
      <c r="A1818" s="13">
        <v>3509021.0</v>
      </c>
      <c r="B1818" s="4">
        <v>243.0</v>
      </c>
      <c r="C1818" s="13">
        <v>167.0</v>
      </c>
      <c r="D1818" s="13">
        <v>48.0</v>
      </c>
      <c r="E1818" s="13">
        <v>359.0</v>
      </c>
    </row>
    <row r="1819">
      <c r="A1819" s="13">
        <v>3578100.0</v>
      </c>
      <c r="B1819" s="4">
        <v>232.0</v>
      </c>
      <c r="C1819" s="13">
        <v>103.0</v>
      </c>
      <c r="D1819" s="13">
        <v>72.0</v>
      </c>
      <c r="E1819" s="13">
        <v>341.0</v>
      </c>
    </row>
    <row r="1820">
      <c r="A1820" s="13">
        <v>3578793.0</v>
      </c>
      <c r="B1820" s="4">
        <v>232.0</v>
      </c>
      <c r="C1820" s="13">
        <v>50.0</v>
      </c>
      <c r="D1820" s="13">
        <v>22.0</v>
      </c>
      <c r="E1820" s="13">
        <v>129.0</v>
      </c>
    </row>
    <row r="1821">
      <c r="A1821" s="13">
        <v>3579004.0</v>
      </c>
      <c r="B1821" s="4">
        <v>248.0</v>
      </c>
      <c r="C1821" s="13">
        <v>56.0</v>
      </c>
      <c r="D1821" s="13">
        <v>28.0</v>
      </c>
      <c r="E1821" s="13">
        <v>63.0</v>
      </c>
    </row>
    <row r="1822">
      <c r="A1822" s="13">
        <v>3527013.0</v>
      </c>
      <c r="B1822" s="4">
        <v>249.0</v>
      </c>
      <c r="C1822" s="13">
        <v>82.0</v>
      </c>
      <c r="D1822" s="13">
        <v>26.0</v>
      </c>
      <c r="E1822" s="13">
        <v>23.0</v>
      </c>
    </row>
    <row r="1823">
      <c r="A1823" s="13">
        <v>3514071.0</v>
      </c>
      <c r="B1823" s="4">
        <v>240.0</v>
      </c>
      <c r="C1823" s="13">
        <v>100.0</v>
      </c>
      <c r="D1823" s="13">
        <v>38.0</v>
      </c>
      <c r="E1823" s="13">
        <v>182.0</v>
      </c>
    </row>
    <row r="1824">
      <c r="A1824" s="13">
        <v>3571042.0</v>
      </c>
      <c r="B1824" s="4">
        <v>250.0</v>
      </c>
      <c r="C1824" s="13">
        <v>201.0</v>
      </c>
      <c r="D1824" s="13">
        <v>98.0</v>
      </c>
      <c r="E1824" s="13">
        <v>635.0</v>
      </c>
    </row>
    <row r="1825">
      <c r="A1825" s="13">
        <v>3571148.0</v>
      </c>
      <c r="B1825" s="4">
        <v>250.0</v>
      </c>
      <c r="C1825" s="13">
        <v>31.0</v>
      </c>
      <c r="D1825" s="13">
        <v>19.0</v>
      </c>
      <c r="E1825" s="13">
        <v>46.0</v>
      </c>
    </row>
    <row r="1826">
      <c r="A1826" s="13">
        <v>3578781.0</v>
      </c>
      <c r="B1826" s="4">
        <v>232.0</v>
      </c>
      <c r="C1826" s="13">
        <v>200.0</v>
      </c>
      <c r="D1826" s="13">
        <v>32.0</v>
      </c>
      <c r="E1826" s="13">
        <v>265.0</v>
      </c>
    </row>
    <row r="1827">
      <c r="A1827" s="13">
        <v>3578810.0</v>
      </c>
      <c r="B1827" s="4">
        <v>232.0</v>
      </c>
      <c r="C1827" s="13">
        <v>200.0</v>
      </c>
      <c r="D1827" s="13">
        <v>50.0</v>
      </c>
      <c r="E1827" s="13">
        <v>182.0</v>
      </c>
    </row>
    <row r="1828">
      <c r="A1828" s="13">
        <v>3573277.0</v>
      </c>
      <c r="B1828" s="4">
        <v>251.0</v>
      </c>
      <c r="C1828" s="13">
        <v>41.0</v>
      </c>
      <c r="D1828" s="13">
        <v>11.0</v>
      </c>
      <c r="E1828" s="13">
        <v>182.0</v>
      </c>
    </row>
    <row r="1829">
      <c r="A1829" s="13">
        <v>3513013.0</v>
      </c>
      <c r="B1829" s="4">
        <v>234.0</v>
      </c>
      <c r="C1829" s="13">
        <v>250.0</v>
      </c>
      <c r="D1829" s="13">
        <v>33.0</v>
      </c>
      <c r="E1829" s="13">
        <v>586.0</v>
      </c>
    </row>
    <row r="1830">
      <c r="A1830" s="13">
        <v>3578603.0</v>
      </c>
      <c r="B1830" s="4">
        <v>232.0</v>
      </c>
      <c r="C1830" s="13">
        <v>138.0</v>
      </c>
      <c r="D1830" s="13">
        <v>42.0</v>
      </c>
      <c r="E1830" s="13">
        <v>323.0</v>
      </c>
    </row>
    <row r="1831">
      <c r="A1831" s="13">
        <v>3525091.0</v>
      </c>
      <c r="B1831" s="4">
        <v>238.0</v>
      </c>
      <c r="C1831" s="13">
        <v>60.0</v>
      </c>
      <c r="D1831" s="13">
        <v>33.0</v>
      </c>
      <c r="E1831" s="13">
        <v>74.0</v>
      </c>
    </row>
    <row r="1832">
      <c r="A1832" s="13">
        <v>3578794.0</v>
      </c>
      <c r="B1832" s="4">
        <v>232.0</v>
      </c>
      <c r="C1832" s="13">
        <v>25.0</v>
      </c>
      <c r="D1832" s="13">
        <v>17.0</v>
      </c>
      <c r="E1832" s="13">
        <v>22.0</v>
      </c>
    </row>
    <row r="1833">
      <c r="A1833" s="13">
        <v>3514059.0</v>
      </c>
      <c r="B1833" s="4">
        <v>240.0</v>
      </c>
      <c r="C1833" s="13">
        <v>158.0</v>
      </c>
      <c r="D1833" s="13">
        <v>43.0</v>
      </c>
      <c r="E1833" s="13">
        <v>78.0</v>
      </c>
    </row>
    <row r="1834">
      <c r="A1834" s="13">
        <v>3507204.0</v>
      </c>
      <c r="B1834" s="4">
        <v>237.0</v>
      </c>
      <c r="C1834" s="13">
        <v>100.0</v>
      </c>
      <c r="D1834" s="13">
        <v>38.0</v>
      </c>
      <c r="E1834" s="13">
        <v>425.0</v>
      </c>
    </row>
    <row r="1835">
      <c r="A1835" s="13">
        <v>3579002.0</v>
      </c>
      <c r="B1835" s="4">
        <v>248.0</v>
      </c>
      <c r="C1835" s="13">
        <v>54.0</v>
      </c>
      <c r="D1835" s="13">
        <v>25.0</v>
      </c>
      <c r="E1835" s="13">
        <v>89.0</v>
      </c>
    </row>
    <row r="1836">
      <c r="A1836" s="13">
        <v>3528029.0</v>
      </c>
      <c r="B1836" s="4">
        <v>230.0</v>
      </c>
      <c r="C1836" s="13">
        <v>69.0</v>
      </c>
      <c r="D1836" s="13">
        <v>21.0</v>
      </c>
      <c r="E1836" s="13">
        <v>32.0</v>
      </c>
    </row>
    <row r="1837">
      <c r="A1837" s="13">
        <v>3517076.0</v>
      </c>
      <c r="B1837" s="4">
        <v>252.0</v>
      </c>
      <c r="C1837" s="13">
        <v>66.0</v>
      </c>
      <c r="D1837" s="13">
        <v>63.0</v>
      </c>
      <c r="E1837" s="13">
        <v>261.0</v>
      </c>
    </row>
    <row r="1838">
      <c r="A1838" s="13">
        <v>3571145.0</v>
      </c>
      <c r="B1838" s="4">
        <v>250.0</v>
      </c>
      <c r="C1838" s="13">
        <v>33.0</v>
      </c>
      <c r="D1838" s="13">
        <v>14.0</v>
      </c>
      <c r="E1838" s="13">
        <v>22.0</v>
      </c>
    </row>
    <row r="1839">
      <c r="A1839" s="13">
        <v>3504045.0</v>
      </c>
      <c r="B1839" s="4">
        <v>233.0</v>
      </c>
      <c r="C1839" s="13">
        <v>100.0</v>
      </c>
      <c r="D1839" s="13">
        <v>39.0</v>
      </c>
      <c r="E1839" s="13">
        <v>141.0</v>
      </c>
    </row>
    <row r="1840">
      <c r="A1840" s="13">
        <v>3577026.0</v>
      </c>
      <c r="B1840" s="4">
        <v>246.0</v>
      </c>
      <c r="C1840" s="13">
        <v>109.0</v>
      </c>
      <c r="D1840" s="13">
        <v>50.0</v>
      </c>
      <c r="E1840" s="13">
        <v>90.0</v>
      </c>
    </row>
    <row r="1841">
      <c r="A1841" s="13">
        <v>3515123.0</v>
      </c>
      <c r="B1841" s="4">
        <v>239.0</v>
      </c>
      <c r="C1841" s="13">
        <v>50.0</v>
      </c>
      <c r="D1841" s="13">
        <v>14.0</v>
      </c>
      <c r="E1841" s="13">
        <v>76.0</v>
      </c>
    </row>
    <row r="1842">
      <c r="A1842" s="13">
        <v>3512050.0</v>
      </c>
      <c r="B1842" s="4">
        <v>253.0</v>
      </c>
      <c r="C1842" s="13">
        <v>35.0</v>
      </c>
      <c r="D1842" s="13">
        <v>12.0</v>
      </c>
      <c r="E1842" s="13">
        <v>182.0</v>
      </c>
    </row>
    <row r="1843">
      <c r="A1843" s="13">
        <v>3524020.0</v>
      </c>
      <c r="B1843" s="4">
        <v>235.0</v>
      </c>
      <c r="C1843" s="13">
        <v>135.0</v>
      </c>
      <c r="D1843" s="13">
        <v>32.0</v>
      </c>
      <c r="E1843" s="13">
        <v>362.0</v>
      </c>
    </row>
    <row r="1844">
      <c r="A1844" s="13">
        <v>3573250.0</v>
      </c>
      <c r="B1844" s="4">
        <v>251.0</v>
      </c>
      <c r="C1844" s="13">
        <v>63.0</v>
      </c>
      <c r="D1844" s="13">
        <v>32.0</v>
      </c>
      <c r="E1844" s="13">
        <v>259.0</v>
      </c>
    </row>
    <row r="1845">
      <c r="A1845" s="13">
        <v>3517025.0</v>
      </c>
      <c r="B1845" s="4">
        <v>252.0</v>
      </c>
      <c r="C1845" s="13">
        <v>57.0</v>
      </c>
      <c r="D1845" s="13">
        <v>26.0</v>
      </c>
      <c r="E1845" s="13">
        <v>83.0</v>
      </c>
    </row>
    <row r="1846">
      <c r="A1846" s="13">
        <v>3515140.0</v>
      </c>
      <c r="B1846" s="4">
        <v>239.0</v>
      </c>
      <c r="C1846" s="13">
        <v>66.0</v>
      </c>
      <c r="D1846" s="13">
        <v>29.0</v>
      </c>
      <c r="E1846" s="13">
        <v>111.0</v>
      </c>
    </row>
    <row r="1847">
      <c r="A1847" s="13">
        <v>3506064.0</v>
      </c>
      <c r="B1847" s="4">
        <v>244.0</v>
      </c>
      <c r="C1847" s="13">
        <v>30.0</v>
      </c>
      <c r="D1847" s="13">
        <v>14.0</v>
      </c>
      <c r="E1847" s="13">
        <v>71.0</v>
      </c>
    </row>
    <row r="1848">
      <c r="A1848" s="13">
        <v>3510109.0</v>
      </c>
      <c r="B1848" s="4">
        <v>231.0</v>
      </c>
      <c r="C1848" s="13">
        <v>50.0</v>
      </c>
      <c r="D1848" s="13">
        <v>15.0</v>
      </c>
      <c r="E1848" s="13">
        <v>47.0</v>
      </c>
    </row>
    <row r="1849">
      <c r="A1849" s="13">
        <v>3523056.0</v>
      </c>
      <c r="B1849" s="4">
        <v>254.0</v>
      </c>
      <c r="C1849" s="13">
        <v>70.0</v>
      </c>
      <c r="D1849" s="13">
        <v>29.0</v>
      </c>
      <c r="E1849" s="13">
        <v>182.0</v>
      </c>
    </row>
    <row r="1850">
      <c r="A1850" s="13">
        <v>3515158.0</v>
      </c>
      <c r="B1850" s="4">
        <v>239.0</v>
      </c>
      <c r="C1850" s="13">
        <v>31.0</v>
      </c>
      <c r="D1850" s="13">
        <v>17.0</v>
      </c>
      <c r="E1850" s="13">
        <v>182.0</v>
      </c>
    </row>
    <row r="1851">
      <c r="A1851" s="13">
        <v>3528013.0</v>
      </c>
      <c r="B1851" s="4">
        <v>230.0</v>
      </c>
      <c r="C1851" s="13">
        <v>250.0</v>
      </c>
      <c r="D1851" s="13">
        <v>45.0</v>
      </c>
      <c r="E1851" s="13">
        <v>556.0</v>
      </c>
    </row>
    <row r="1852">
      <c r="A1852" s="13">
        <v>3507096.0</v>
      </c>
      <c r="B1852" s="4">
        <v>237.0</v>
      </c>
      <c r="C1852" s="13">
        <v>249.0</v>
      </c>
      <c r="D1852" s="13">
        <v>104.0</v>
      </c>
      <c r="E1852" s="13">
        <v>1076.0</v>
      </c>
    </row>
    <row r="1853">
      <c r="A1853" s="13">
        <v>3516036.0</v>
      </c>
      <c r="B1853" s="4">
        <v>247.0</v>
      </c>
      <c r="C1853" s="13">
        <v>90.0</v>
      </c>
      <c r="D1853" s="13">
        <v>37.0</v>
      </c>
      <c r="E1853" s="13">
        <v>68.0</v>
      </c>
    </row>
    <row r="1854">
      <c r="A1854" s="13">
        <v>3521015.0</v>
      </c>
      <c r="B1854" s="4">
        <v>229.0</v>
      </c>
      <c r="C1854" s="13">
        <v>160.0</v>
      </c>
      <c r="D1854" s="13">
        <v>39.0</v>
      </c>
      <c r="E1854" s="13">
        <v>296.0</v>
      </c>
    </row>
    <row r="1855">
      <c r="A1855" s="13">
        <v>3524072.0</v>
      </c>
      <c r="B1855" s="4">
        <v>235.0</v>
      </c>
      <c r="C1855" s="13">
        <v>59.0</v>
      </c>
      <c r="D1855" s="13">
        <v>24.0</v>
      </c>
      <c r="E1855" s="13">
        <v>182.0</v>
      </c>
    </row>
    <row r="1856">
      <c r="A1856" s="13">
        <v>3510043.0</v>
      </c>
      <c r="B1856" s="4">
        <v>231.0</v>
      </c>
      <c r="C1856" s="13">
        <v>161.0</v>
      </c>
      <c r="D1856" s="13">
        <v>107.0</v>
      </c>
      <c r="E1856" s="13">
        <v>428.0</v>
      </c>
    </row>
    <row r="1857">
      <c r="A1857" s="13">
        <v>3578476.0</v>
      </c>
      <c r="B1857" s="4">
        <v>232.0</v>
      </c>
      <c r="C1857" s="13">
        <v>146.0</v>
      </c>
      <c r="D1857" s="13">
        <v>73.0</v>
      </c>
      <c r="E1857" s="13">
        <v>412.0</v>
      </c>
    </row>
    <row r="1858">
      <c r="A1858" s="13">
        <v>3510104.0</v>
      </c>
      <c r="B1858" s="4">
        <v>231.0</v>
      </c>
      <c r="C1858" s="13">
        <v>72.0</v>
      </c>
      <c r="D1858" s="13">
        <v>20.0</v>
      </c>
      <c r="E1858" s="13">
        <v>77.0</v>
      </c>
    </row>
    <row r="1859">
      <c r="A1859" s="13">
        <v>3519026.0</v>
      </c>
      <c r="B1859" s="4">
        <v>246.0</v>
      </c>
      <c r="C1859" s="13">
        <v>47.0</v>
      </c>
      <c r="D1859" s="13">
        <v>67.0</v>
      </c>
      <c r="E1859" s="13">
        <v>152.0</v>
      </c>
    </row>
    <row r="1860">
      <c r="A1860" s="13">
        <v>3521027.0</v>
      </c>
      <c r="B1860" s="4">
        <v>229.0</v>
      </c>
      <c r="C1860" s="13">
        <v>50.0</v>
      </c>
      <c r="D1860" s="13">
        <v>19.0</v>
      </c>
      <c r="E1860" s="13">
        <v>182.0</v>
      </c>
    </row>
    <row r="1861">
      <c r="A1861" s="13">
        <v>3573022.0</v>
      </c>
      <c r="B1861" s="4">
        <v>251.0</v>
      </c>
      <c r="C1861" s="13">
        <v>228.0</v>
      </c>
      <c r="D1861" s="13">
        <v>56.0</v>
      </c>
      <c r="E1861" s="13">
        <v>827.0</v>
      </c>
    </row>
    <row r="1862">
      <c r="A1862" s="13">
        <v>3506059.0</v>
      </c>
      <c r="B1862" s="4">
        <v>244.0</v>
      </c>
      <c r="C1862" s="13">
        <v>100.0</v>
      </c>
      <c r="D1862" s="13">
        <v>35.0</v>
      </c>
      <c r="E1862" s="13">
        <v>209.0</v>
      </c>
    </row>
    <row r="1863">
      <c r="A1863" s="13">
        <v>3517094.0</v>
      </c>
      <c r="B1863" s="4">
        <v>252.0</v>
      </c>
      <c r="C1863" s="13">
        <v>115.0</v>
      </c>
      <c r="D1863" s="13">
        <v>25.0</v>
      </c>
      <c r="E1863" s="13">
        <v>23.0</v>
      </c>
    </row>
    <row r="1864">
      <c r="A1864" s="13">
        <v>3502158.0</v>
      </c>
      <c r="B1864" s="4">
        <v>255.0</v>
      </c>
      <c r="C1864" s="13">
        <v>50.0</v>
      </c>
      <c r="D1864" s="13">
        <v>21.0</v>
      </c>
      <c r="E1864" s="13">
        <v>182.0</v>
      </c>
    </row>
    <row r="1865">
      <c r="A1865" s="13">
        <v>3515110.0</v>
      </c>
      <c r="B1865" s="4">
        <v>239.0</v>
      </c>
      <c r="C1865" s="13">
        <v>75.0</v>
      </c>
      <c r="D1865" s="13">
        <v>34.0</v>
      </c>
      <c r="E1865" s="13">
        <v>84.0</v>
      </c>
    </row>
    <row r="1866">
      <c r="A1866" s="13">
        <v>3502112.0</v>
      </c>
      <c r="B1866" s="4">
        <v>255.0</v>
      </c>
      <c r="C1866" s="13">
        <v>185.0</v>
      </c>
      <c r="D1866" s="13">
        <v>38.0</v>
      </c>
      <c r="E1866" s="13">
        <v>409.0</v>
      </c>
    </row>
    <row r="1867">
      <c r="A1867" s="13">
        <v>3576014.0</v>
      </c>
      <c r="B1867" s="4">
        <v>256.0</v>
      </c>
      <c r="C1867" s="13">
        <v>202.0</v>
      </c>
      <c r="D1867" s="13">
        <v>42.0</v>
      </c>
      <c r="E1867" s="13">
        <v>801.0</v>
      </c>
    </row>
    <row r="1868">
      <c r="A1868" s="13">
        <v>3578771.0</v>
      </c>
      <c r="B1868" s="4">
        <v>232.0</v>
      </c>
      <c r="C1868" s="13">
        <v>49.0</v>
      </c>
      <c r="D1868" s="13">
        <v>21.0</v>
      </c>
      <c r="E1868" s="13">
        <v>186.0</v>
      </c>
    </row>
    <row r="1869">
      <c r="A1869" s="13">
        <v>3515134.0</v>
      </c>
      <c r="B1869" s="4">
        <v>239.0</v>
      </c>
      <c r="C1869" s="13">
        <v>26.0</v>
      </c>
      <c r="D1869" s="13">
        <v>6.0</v>
      </c>
      <c r="E1869" s="13">
        <v>25.0</v>
      </c>
    </row>
    <row r="1870">
      <c r="A1870" s="13">
        <v>3524046.0</v>
      </c>
      <c r="B1870" s="4">
        <v>235.0</v>
      </c>
      <c r="C1870" s="13">
        <v>102.0</v>
      </c>
      <c r="D1870" s="13">
        <v>34.0</v>
      </c>
      <c r="E1870" s="13">
        <v>165.0</v>
      </c>
    </row>
    <row r="1871">
      <c r="A1871" s="13">
        <v>3507116.0</v>
      </c>
      <c r="B1871" s="4">
        <v>237.0</v>
      </c>
      <c r="C1871" s="13">
        <v>50.0</v>
      </c>
      <c r="D1871" s="13">
        <v>23.0</v>
      </c>
      <c r="E1871" s="13">
        <v>35.0</v>
      </c>
    </row>
    <row r="1872">
      <c r="A1872" s="13">
        <v>3523055.0</v>
      </c>
      <c r="B1872" s="4">
        <v>254.0</v>
      </c>
      <c r="C1872" s="13">
        <v>100.0</v>
      </c>
      <c r="D1872" s="13">
        <v>26.0</v>
      </c>
      <c r="E1872" s="13">
        <v>133.0</v>
      </c>
    </row>
    <row r="1873">
      <c r="A1873" s="13">
        <v>3522036.0</v>
      </c>
      <c r="B1873" s="4">
        <v>245.0</v>
      </c>
      <c r="C1873" s="13">
        <v>93.0</v>
      </c>
      <c r="D1873" s="13">
        <v>29.0</v>
      </c>
      <c r="E1873" s="13">
        <v>150.0</v>
      </c>
    </row>
    <row r="1874">
      <c r="A1874" s="13">
        <v>3573249.0</v>
      </c>
      <c r="B1874" s="4">
        <v>251.0</v>
      </c>
      <c r="C1874" s="13">
        <v>50.0</v>
      </c>
      <c r="D1874" s="13">
        <v>39.0</v>
      </c>
      <c r="E1874" s="13">
        <v>169.0</v>
      </c>
    </row>
    <row r="1875">
      <c r="A1875" s="13">
        <v>3507026.0</v>
      </c>
      <c r="B1875" s="4">
        <v>237.0</v>
      </c>
      <c r="C1875" s="13">
        <v>456.0</v>
      </c>
      <c r="D1875" s="13">
        <v>23.0</v>
      </c>
      <c r="E1875" s="13">
        <v>780.0</v>
      </c>
    </row>
    <row r="1876">
      <c r="A1876" s="13">
        <v>3578020.0</v>
      </c>
      <c r="B1876" s="4">
        <v>232.0</v>
      </c>
      <c r="C1876" s="13">
        <v>759.0</v>
      </c>
      <c r="D1876" s="13">
        <v>132.0</v>
      </c>
      <c r="E1876" s="13">
        <v>1022.0</v>
      </c>
    </row>
    <row r="1877">
      <c r="A1877" s="13">
        <v>3576074.0</v>
      </c>
      <c r="B1877" s="4">
        <v>256.0</v>
      </c>
      <c r="C1877" s="13">
        <v>73.0</v>
      </c>
      <c r="D1877" s="13">
        <v>27.0</v>
      </c>
      <c r="E1877" s="13">
        <v>154.0</v>
      </c>
    </row>
    <row r="1878">
      <c r="A1878" s="13">
        <v>3509043.0</v>
      </c>
      <c r="B1878" s="4">
        <v>243.0</v>
      </c>
      <c r="C1878" s="13">
        <v>102.0</v>
      </c>
      <c r="D1878" s="13">
        <v>44.0</v>
      </c>
      <c r="E1878" s="13">
        <v>166.0</v>
      </c>
    </row>
    <row r="1879">
      <c r="A1879" s="13">
        <v>3578122.0</v>
      </c>
      <c r="B1879" s="4">
        <v>232.0</v>
      </c>
      <c r="C1879" s="13">
        <v>111.0</v>
      </c>
      <c r="D1879" s="13">
        <v>52.0</v>
      </c>
      <c r="E1879" s="13">
        <v>308.0</v>
      </c>
    </row>
    <row r="1880">
      <c r="A1880" s="13">
        <v>3574068.0</v>
      </c>
      <c r="B1880" s="4">
        <v>257.0</v>
      </c>
      <c r="C1880" s="13">
        <v>96.0</v>
      </c>
      <c r="D1880" s="13">
        <v>17.0</v>
      </c>
      <c r="E1880" s="13">
        <v>108.0</v>
      </c>
    </row>
    <row r="1881">
      <c r="A1881" s="13">
        <v>3515141.0</v>
      </c>
      <c r="B1881" s="4">
        <v>239.0</v>
      </c>
      <c r="C1881" s="13">
        <v>100.0</v>
      </c>
      <c r="D1881" s="13">
        <v>24.0</v>
      </c>
      <c r="E1881" s="13">
        <v>196.0</v>
      </c>
    </row>
    <row r="1882">
      <c r="A1882" s="13">
        <v>3522064.0</v>
      </c>
      <c r="B1882" s="4">
        <v>245.0</v>
      </c>
      <c r="C1882" s="13">
        <v>71.0</v>
      </c>
      <c r="D1882" s="13">
        <v>23.0</v>
      </c>
      <c r="E1882" s="13">
        <v>181.0</v>
      </c>
    </row>
    <row r="1883">
      <c r="A1883" s="13">
        <v>3506065.0</v>
      </c>
      <c r="B1883" s="4">
        <v>250.0</v>
      </c>
      <c r="C1883" s="13">
        <v>13.0</v>
      </c>
      <c r="D1883" s="13">
        <v>21.0</v>
      </c>
      <c r="E1883" s="13">
        <v>193.0</v>
      </c>
    </row>
    <row r="1884">
      <c r="A1884" s="13">
        <v>3526029.0</v>
      </c>
      <c r="B1884" s="4">
        <v>227.0</v>
      </c>
      <c r="C1884" s="13">
        <v>75.0</v>
      </c>
      <c r="D1884" s="13">
        <v>26.0</v>
      </c>
      <c r="E1884" s="13">
        <v>61.0</v>
      </c>
    </row>
    <row r="1885">
      <c r="A1885" s="13">
        <v>3524056.0</v>
      </c>
      <c r="B1885" s="4">
        <v>235.0</v>
      </c>
      <c r="C1885" s="13">
        <v>49.0</v>
      </c>
      <c r="D1885" s="13">
        <v>21.0</v>
      </c>
      <c r="E1885" s="13">
        <v>22.0</v>
      </c>
    </row>
    <row r="1886">
      <c r="A1886" s="13">
        <v>3571111.0</v>
      </c>
      <c r="B1886" s="4">
        <v>250.0</v>
      </c>
      <c r="C1886" s="13">
        <v>46.0</v>
      </c>
      <c r="D1886" s="13">
        <v>15.0</v>
      </c>
      <c r="E1886" s="13">
        <v>47.0</v>
      </c>
    </row>
    <row r="1887">
      <c r="A1887" s="13">
        <v>3516037.0</v>
      </c>
      <c r="B1887" s="4">
        <v>247.0</v>
      </c>
      <c r="C1887" s="13">
        <v>81.0</v>
      </c>
      <c r="D1887" s="13">
        <v>16.0</v>
      </c>
      <c r="E1887" s="13">
        <v>153.0</v>
      </c>
    </row>
    <row r="1888">
      <c r="A1888" s="13">
        <v>3526031.0</v>
      </c>
      <c r="B1888" s="4">
        <v>227.0</v>
      </c>
      <c r="C1888" s="13">
        <v>27.0</v>
      </c>
      <c r="D1888" s="13">
        <v>20.0</v>
      </c>
      <c r="E1888" s="13">
        <v>42.0</v>
      </c>
    </row>
    <row r="1889">
      <c r="A1889" s="13">
        <v>3514025.0</v>
      </c>
      <c r="B1889" s="4">
        <v>240.0</v>
      </c>
      <c r="C1889" s="13">
        <v>107.0</v>
      </c>
      <c r="D1889" s="13">
        <v>94.0</v>
      </c>
      <c r="E1889" s="13">
        <v>181.0</v>
      </c>
    </row>
    <row r="1890">
      <c r="A1890" s="13">
        <v>3578625.0</v>
      </c>
      <c r="B1890" s="4">
        <v>232.0</v>
      </c>
      <c r="C1890" s="13">
        <v>16.0</v>
      </c>
      <c r="D1890" s="13">
        <v>14.0</v>
      </c>
      <c r="E1890" s="13">
        <v>280.0</v>
      </c>
    </row>
    <row r="1891">
      <c r="A1891" s="13">
        <v>3578778.0</v>
      </c>
      <c r="B1891" s="4">
        <v>232.0</v>
      </c>
      <c r="C1891" s="13">
        <v>200.0</v>
      </c>
      <c r="D1891" s="13">
        <v>96.0</v>
      </c>
      <c r="E1891" s="13">
        <v>384.0</v>
      </c>
    </row>
    <row r="1892">
      <c r="A1892" s="13">
        <v>3505041.0</v>
      </c>
      <c r="B1892" s="4">
        <v>236.0</v>
      </c>
      <c r="C1892" s="13">
        <v>73.0</v>
      </c>
      <c r="D1892" s="13">
        <v>29.0</v>
      </c>
      <c r="E1892" s="13">
        <v>148.0</v>
      </c>
    </row>
    <row r="1893">
      <c r="A1893" s="13">
        <v>3578812.0</v>
      </c>
      <c r="B1893" s="4">
        <v>232.0</v>
      </c>
      <c r="C1893" s="13">
        <v>25.0</v>
      </c>
      <c r="D1893" s="13">
        <v>17.0</v>
      </c>
      <c r="E1893" s="13">
        <v>182.0</v>
      </c>
    </row>
    <row r="1894">
      <c r="A1894" s="13">
        <v>3573226.0</v>
      </c>
      <c r="B1894" s="4">
        <v>251.0</v>
      </c>
      <c r="C1894" s="13">
        <v>117.0</v>
      </c>
      <c r="D1894" s="13">
        <v>116.0</v>
      </c>
      <c r="E1894" s="13">
        <v>499.0</v>
      </c>
    </row>
    <row r="1895">
      <c r="A1895" s="13">
        <v>3507085.0</v>
      </c>
      <c r="B1895" s="4">
        <v>237.0</v>
      </c>
      <c r="C1895" s="13">
        <v>116.0</v>
      </c>
      <c r="D1895" s="13">
        <v>44.0</v>
      </c>
      <c r="E1895" s="13">
        <v>328.0</v>
      </c>
    </row>
    <row r="1896">
      <c r="A1896" s="13">
        <v>3523053.0</v>
      </c>
      <c r="B1896" s="4">
        <v>254.0</v>
      </c>
      <c r="C1896" s="13">
        <v>116.0</v>
      </c>
      <c r="D1896" s="13">
        <v>56.0</v>
      </c>
      <c r="E1896" s="13">
        <v>339.0</v>
      </c>
    </row>
    <row r="1897">
      <c r="A1897" s="13">
        <v>3529026.0</v>
      </c>
      <c r="B1897" s="4">
        <v>258.0</v>
      </c>
      <c r="C1897" s="13">
        <v>48.0</v>
      </c>
      <c r="D1897" s="13">
        <v>12.0</v>
      </c>
      <c r="E1897" s="13">
        <v>44.0</v>
      </c>
    </row>
    <row r="1898">
      <c r="A1898" s="13">
        <v>3504074.0</v>
      </c>
      <c r="B1898" s="4">
        <v>233.0</v>
      </c>
      <c r="C1898" s="13">
        <v>32.0</v>
      </c>
      <c r="D1898" s="13">
        <v>15.0</v>
      </c>
      <c r="E1898" s="13">
        <v>75.0</v>
      </c>
    </row>
    <row r="1899">
      <c r="A1899" s="13">
        <v>3527014.0</v>
      </c>
      <c r="B1899" s="4">
        <v>249.0</v>
      </c>
      <c r="C1899" s="13">
        <v>85.0</v>
      </c>
      <c r="D1899" s="13">
        <v>18.0</v>
      </c>
      <c r="E1899" s="13">
        <v>89.0</v>
      </c>
    </row>
    <row r="1900">
      <c r="A1900" s="13">
        <v>3518022.0</v>
      </c>
      <c r="B1900" s="4">
        <v>228.0</v>
      </c>
      <c r="C1900" s="13">
        <v>270.0</v>
      </c>
      <c r="D1900" s="13">
        <v>73.0</v>
      </c>
      <c r="E1900" s="13">
        <v>402.0</v>
      </c>
    </row>
    <row r="1901">
      <c r="A1901" s="13">
        <v>3573244.0</v>
      </c>
      <c r="B1901" s="4">
        <v>251.0</v>
      </c>
      <c r="C1901" s="13">
        <v>30.0</v>
      </c>
      <c r="D1901" s="13">
        <v>31.0</v>
      </c>
      <c r="E1901" s="13">
        <v>83.0</v>
      </c>
    </row>
    <row r="1902">
      <c r="A1902" s="13">
        <v>3525095.0</v>
      </c>
      <c r="B1902" s="4">
        <v>238.0</v>
      </c>
      <c r="C1902" s="13">
        <v>58.0</v>
      </c>
      <c r="D1902" s="13">
        <v>28.0</v>
      </c>
      <c r="E1902" s="13">
        <v>126.0</v>
      </c>
    </row>
    <row r="1903">
      <c r="A1903" s="13">
        <v>3506014.0</v>
      </c>
      <c r="B1903" s="4">
        <v>244.0</v>
      </c>
      <c r="C1903" s="13">
        <v>298.0</v>
      </c>
      <c r="D1903" s="13">
        <v>99.0</v>
      </c>
      <c r="E1903" s="13">
        <v>885.0</v>
      </c>
    </row>
    <row r="1904">
      <c r="A1904" s="13">
        <v>3520041.0</v>
      </c>
      <c r="B1904" s="4">
        <v>241.0</v>
      </c>
      <c r="C1904" s="13">
        <v>33.0</v>
      </c>
      <c r="D1904" s="13">
        <v>43.0</v>
      </c>
      <c r="E1904" s="13">
        <v>389.0</v>
      </c>
    </row>
    <row r="1905">
      <c r="A1905" s="13">
        <v>3515125.0</v>
      </c>
      <c r="B1905" s="4">
        <v>239.0</v>
      </c>
      <c r="C1905" s="13">
        <v>26.0</v>
      </c>
      <c r="D1905" s="13">
        <v>15.0</v>
      </c>
      <c r="E1905" s="13">
        <v>91.0</v>
      </c>
    </row>
    <row r="1906">
      <c r="A1906" s="13">
        <v>3515129.0</v>
      </c>
      <c r="B1906" s="4">
        <v>239.0</v>
      </c>
      <c r="C1906" s="13">
        <v>44.0</v>
      </c>
      <c r="D1906" s="13">
        <v>28.0</v>
      </c>
      <c r="E1906" s="13">
        <v>92.0</v>
      </c>
    </row>
    <row r="1907">
      <c r="A1907" s="13">
        <v>3526027.0</v>
      </c>
      <c r="B1907" s="4">
        <v>227.0</v>
      </c>
      <c r="C1907" s="13">
        <v>56.0</v>
      </c>
      <c r="D1907" s="13">
        <v>28.0</v>
      </c>
      <c r="E1907" s="13">
        <v>72.0</v>
      </c>
    </row>
    <row r="1908">
      <c r="A1908" s="13">
        <v>3578786.0</v>
      </c>
      <c r="B1908" s="4">
        <v>232.0</v>
      </c>
      <c r="C1908" s="13">
        <v>32.0</v>
      </c>
      <c r="D1908" s="13">
        <v>34.0</v>
      </c>
      <c r="E1908" s="13">
        <v>254.0</v>
      </c>
    </row>
    <row r="1909">
      <c r="A1909" s="13">
        <v>3525010.0</v>
      </c>
      <c r="B1909" s="4">
        <v>238.0</v>
      </c>
      <c r="C1909" s="13">
        <v>340.0</v>
      </c>
      <c r="D1909" s="13">
        <v>59.0</v>
      </c>
      <c r="E1909" s="13">
        <v>863.0</v>
      </c>
    </row>
    <row r="1910">
      <c r="A1910" s="13">
        <v>3506047.0</v>
      </c>
      <c r="B1910" s="4">
        <v>244.0</v>
      </c>
      <c r="C1910" s="13">
        <v>59.0</v>
      </c>
      <c r="D1910" s="13">
        <v>24.0</v>
      </c>
      <c r="E1910" s="13">
        <v>115.0</v>
      </c>
    </row>
    <row r="1911">
      <c r="A1911" s="13">
        <v>3517092.0</v>
      </c>
      <c r="B1911" s="4">
        <v>252.0</v>
      </c>
      <c r="C1911" s="13">
        <v>54.0</v>
      </c>
      <c r="D1911" s="13">
        <v>29.0</v>
      </c>
      <c r="E1911" s="13">
        <v>106.0</v>
      </c>
    </row>
    <row r="1912">
      <c r="A1912" s="13">
        <v>3515144.0</v>
      </c>
      <c r="B1912" s="4">
        <v>239.0</v>
      </c>
      <c r="C1912" s="13">
        <v>72.0</v>
      </c>
      <c r="D1912" s="13">
        <v>33.0</v>
      </c>
      <c r="E1912" s="13">
        <v>9.0</v>
      </c>
    </row>
    <row r="1913">
      <c r="A1913" s="13">
        <v>3529014.0</v>
      </c>
      <c r="B1913" s="4">
        <v>258.0</v>
      </c>
      <c r="C1913" s="13">
        <v>224.0</v>
      </c>
      <c r="D1913" s="13">
        <v>125.0</v>
      </c>
      <c r="E1913" s="13">
        <v>270.0</v>
      </c>
    </row>
    <row r="1914">
      <c r="A1914" s="13">
        <v>3520014.0</v>
      </c>
      <c r="B1914" s="4">
        <v>241.0</v>
      </c>
      <c r="C1914" s="13">
        <v>24.0</v>
      </c>
      <c r="D1914" s="13">
        <v>13.0</v>
      </c>
      <c r="E1914" s="13">
        <v>38.0</v>
      </c>
    </row>
    <row r="1915">
      <c r="A1915" s="13">
        <v>3504078.0</v>
      </c>
      <c r="B1915" s="4">
        <v>233.0</v>
      </c>
      <c r="C1915" s="13">
        <v>86.0</v>
      </c>
      <c r="D1915" s="13">
        <v>20.0</v>
      </c>
      <c r="E1915" s="13">
        <v>81.0</v>
      </c>
    </row>
    <row r="1916">
      <c r="A1916" s="13">
        <v>3524075.0</v>
      </c>
      <c r="B1916" s="4">
        <v>235.0</v>
      </c>
      <c r="C1916" s="13">
        <v>15.0</v>
      </c>
      <c r="D1916" s="13">
        <v>8.0</v>
      </c>
      <c r="E1916" s="13">
        <v>182.0</v>
      </c>
    </row>
    <row r="1917">
      <c r="A1917" s="13">
        <v>3510076.0</v>
      </c>
      <c r="B1917" s="4">
        <v>231.0</v>
      </c>
      <c r="C1917" s="13">
        <v>100.0</v>
      </c>
      <c r="D1917" s="13">
        <v>62.0</v>
      </c>
      <c r="E1917" s="13">
        <v>302.0</v>
      </c>
    </row>
    <row r="1918">
      <c r="A1918" s="13">
        <v>3578556.0</v>
      </c>
      <c r="B1918" s="4">
        <v>232.0</v>
      </c>
      <c r="C1918" s="13">
        <v>198.0</v>
      </c>
      <c r="D1918" s="13">
        <v>114.0</v>
      </c>
      <c r="E1918" s="13">
        <v>534.0</v>
      </c>
    </row>
    <row r="1919">
      <c r="A1919" s="13">
        <v>3502146.0</v>
      </c>
      <c r="B1919" s="4">
        <v>255.0</v>
      </c>
      <c r="C1919" s="13">
        <v>103.0</v>
      </c>
      <c r="D1919" s="13">
        <v>58.0</v>
      </c>
      <c r="E1919" s="13">
        <v>261.0</v>
      </c>
    </row>
    <row r="1920">
      <c r="A1920" s="13">
        <v>3578811.0</v>
      </c>
      <c r="B1920" s="4">
        <v>232.0</v>
      </c>
      <c r="C1920" s="13">
        <v>7.0</v>
      </c>
      <c r="D1920" s="13">
        <v>16.0</v>
      </c>
      <c r="E1920" s="13">
        <v>182.0</v>
      </c>
    </row>
    <row r="1921">
      <c r="A1921" s="13">
        <v>3573055.0</v>
      </c>
      <c r="B1921" s="4">
        <v>251.0</v>
      </c>
      <c r="C1921" s="13">
        <v>200.0</v>
      </c>
      <c r="D1921" s="13">
        <v>94.0</v>
      </c>
      <c r="E1921" s="13">
        <v>771.0</v>
      </c>
    </row>
    <row r="1922">
      <c r="A1922" s="13">
        <v>3511012.0</v>
      </c>
      <c r="B1922" s="4">
        <v>259.0</v>
      </c>
      <c r="C1922" s="13">
        <v>134.0</v>
      </c>
      <c r="D1922" s="13">
        <v>71.0</v>
      </c>
      <c r="E1922" s="13">
        <v>308.0</v>
      </c>
    </row>
    <row r="1923">
      <c r="A1923" s="13">
        <v>3514053.0</v>
      </c>
      <c r="B1923" s="4">
        <v>240.0</v>
      </c>
      <c r="C1923" s="13">
        <v>97.0</v>
      </c>
      <c r="D1923" s="13">
        <v>51.0</v>
      </c>
      <c r="E1923" s="13">
        <v>135.0</v>
      </c>
    </row>
    <row r="1924">
      <c r="A1924" s="13">
        <v>3508058.0</v>
      </c>
      <c r="B1924" s="4">
        <v>260.0</v>
      </c>
      <c r="C1924" s="13">
        <v>100.0</v>
      </c>
      <c r="D1924" s="13">
        <v>25.0</v>
      </c>
      <c r="E1924" s="13">
        <v>289.0</v>
      </c>
    </row>
    <row r="1925">
      <c r="A1925" s="13">
        <v>3516020.0</v>
      </c>
      <c r="B1925" s="4">
        <v>247.0</v>
      </c>
      <c r="C1925" s="13">
        <v>236.0</v>
      </c>
      <c r="D1925" s="13">
        <v>38.0</v>
      </c>
      <c r="E1925" s="13">
        <v>507.0</v>
      </c>
    </row>
    <row r="1926">
      <c r="A1926" s="13">
        <v>3573243.0</v>
      </c>
      <c r="B1926" s="4">
        <v>251.0</v>
      </c>
      <c r="C1926" s="13">
        <v>26.0</v>
      </c>
      <c r="D1926" s="13">
        <v>17.0</v>
      </c>
      <c r="E1926" s="13">
        <v>92.0</v>
      </c>
    </row>
    <row r="1927">
      <c r="A1927" s="13">
        <v>3510105.0</v>
      </c>
      <c r="B1927" s="4">
        <v>231.0</v>
      </c>
      <c r="C1927" s="13">
        <v>55.0</v>
      </c>
      <c r="D1927" s="13">
        <v>25.0</v>
      </c>
      <c r="E1927" s="13">
        <v>34.0</v>
      </c>
    </row>
    <row r="1928">
      <c r="A1928" s="13">
        <v>3502134.0</v>
      </c>
      <c r="B1928" s="4">
        <v>255.0</v>
      </c>
      <c r="C1928" s="13">
        <v>155.0</v>
      </c>
      <c r="D1928" s="13">
        <v>41.0</v>
      </c>
      <c r="E1928" s="13">
        <v>335.0</v>
      </c>
    </row>
    <row r="1929">
      <c r="A1929" s="13">
        <v>3576040.0</v>
      </c>
      <c r="B1929" s="4">
        <v>256.0</v>
      </c>
      <c r="C1929" s="13">
        <v>105.0</v>
      </c>
      <c r="D1929" s="13">
        <v>88.0</v>
      </c>
      <c r="E1929" s="13">
        <v>251.0</v>
      </c>
    </row>
    <row r="1930">
      <c r="A1930" s="13">
        <v>3504069.0</v>
      </c>
      <c r="B1930" s="4">
        <v>233.0</v>
      </c>
      <c r="C1930" s="13">
        <v>65.0</v>
      </c>
      <c r="D1930" s="13">
        <v>20.0</v>
      </c>
      <c r="E1930" s="13">
        <v>90.0</v>
      </c>
    </row>
    <row r="1931">
      <c r="A1931" s="13">
        <v>3522058.0</v>
      </c>
      <c r="B1931" s="4">
        <v>245.0</v>
      </c>
      <c r="C1931" s="13">
        <v>146.0</v>
      </c>
      <c r="D1931" s="13">
        <v>29.0</v>
      </c>
      <c r="E1931" s="13">
        <v>199.0</v>
      </c>
    </row>
    <row r="1932">
      <c r="A1932" s="13">
        <v>3524042.0</v>
      </c>
      <c r="B1932" s="4">
        <v>235.0</v>
      </c>
      <c r="C1932" s="13">
        <v>105.0</v>
      </c>
      <c r="D1932" s="13">
        <v>35.0</v>
      </c>
      <c r="E1932" s="13">
        <v>400.0</v>
      </c>
    </row>
    <row r="1933">
      <c r="A1933" s="13">
        <v>3529029.0</v>
      </c>
      <c r="B1933" s="4">
        <v>258.0</v>
      </c>
      <c r="C1933" s="13">
        <v>108.0</v>
      </c>
      <c r="D1933" s="13">
        <v>27.0</v>
      </c>
      <c r="E1933" s="13">
        <v>66.0</v>
      </c>
    </row>
    <row r="1934">
      <c r="A1934" s="13">
        <v>3514057.0</v>
      </c>
      <c r="B1934" s="4">
        <v>261.0</v>
      </c>
      <c r="C1934" s="13">
        <v>85.0</v>
      </c>
      <c r="D1934" s="13">
        <v>24.0</v>
      </c>
      <c r="E1934" s="13">
        <v>111.0</v>
      </c>
    </row>
    <row r="1935">
      <c r="A1935" s="13">
        <v>3512051.0</v>
      </c>
      <c r="B1935" s="4">
        <v>253.0</v>
      </c>
      <c r="C1935" s="13">
        <v>15.0</v>
      </c>
      <c r="D1935" s="13">
        <v>12.0</v>
      </c>
      <c r="E1935" s="13">
        <v>182.0</v>
      </c>
    </row>
    <row r="1936">
      <c r="A1936" s="13">
        <v>3507052.0</v>
      </c>
      <c r="B1936" s="4">
        <v>237.0</v>
      </c>
      <c r="C1936" s="13">
        <v>240.0</v>
      </c>
      <c r="D1936" s="13">
        <v>57.0</v>
      </c>
      <c r="E1936" s="13">
        <v>659.0</v>
      </c>
    </row>
    <row r="1937">
      <c r="A1937" s="13">
        <v>3578042.0</v>
      </c>
      <c r="B1937" s="4">
        <v>232.0</v>
      </c>
      <c r="C1937" s="13">
        <v>249.0</v>
      </c>
      <c r="D1937" s="13">
        <v>122.0</v>
      </c>
      <c r="E1937" s="13">
        <v>1206.0</v>
      </c>
    </row>
    <row r="1938">
      <c r="A1938" s="13">
        <v>3504087.0</v>
      </c>
      <c r="B1938" s="4">
        <v>233.0</v>
      </c>
      <c r="C1938" s="13">
        <v>116.0</v>
      </c>
      <c r="D1938" s="13">
        <v>35.0</v>
      </c>
      <c r="E1938" s="13">
        <v>182.0</v>
      </c>
    </row>
    <row r="1939">
      <c r="A1939" s="13">
        <v>3515157.0</v>
      </c>
      <c r="B1939" s="4">
        <v>239.0</v>
      </c>
      <c r="C1939" s="13">
        <v>130.0</v>
      </c>
      <c r="D1939" s="13">
        <v>28.0</v>
      </c>
      <c r="E1939" s="13">
        <v>182.0</v>
      </c>
    </row>
    <row r="1940">
      <c r="A1940" s="13">
        <v>3509112.0</v>
      </c>
      <c r="B1940" s="4">
        <v>243.0</v>
      </c>
      <c r="C1940" s="13">
        <v>21.0</v>
      </c>
      <c r="D1940" s="13">
        <v>21.0</v>
      </c>
      <c r="E1940" s="13">
        <v>112.0</v>
      </c>
    </row>
    <row r="1941">
      <c r="A1941" s="13">
        <v>3578166.0</v>
      </c>
      <c r="B1941" s="4">
        <v>232.0</v>
      </c>
      <c r="C1941" s="13">
        <v>56.0</v>
      </c>
      <c r="D1941" s="13">
        <v>32.0</v>
      </c>
      <c r="E1941" s="13">
        <v>141.0</v>
      </c>
    </row>
    <row r="1942">
      <c r="A1942" s="13">
        <v>3515138.0</v>
      </c>
      <c r="B1942" s="4">
        <v>239.0</v>
      </c>
      <c r="C1942" s="13">
        <v>62.0</v>
      </c>
      <c r="D1942" s="13">
        <v>37.0</v>
      </c>
      <c r="E1942" s="13">
        <v>188.0</v>
      </c>
    </row>
    <row r="1943">
      <c r="A1943" s="13">
        <v>3528027.0</v>
      </c>
      <c r="B1943" s="4">
        <v>230.0</v>
      </c>
      <c r="C1943" s="13">
        <v>154.0</v>
      </c>
      <c r="D1943" s="13">
        <v>42.0</v>
      </c>
      <c r="E1943" s="13">
        <v>292.0</v>
      </c>
    </row>
    <row r="1944">
      <c r="A1944" s="13">
        <v>3505043.0</v>
      </c>
      <c r="B1944" s="4">
        <v>236.0</v>
      </c>
      <c r="C1944" s="13">
        <v>101.0</v>
      </c>
      <c r="D1944" s="13">
        <v>31.0</v>
      </c>
      <c r="E1944" s="13">
        <v>104.0</v>
      </c>
    </row>
    <row r="1945">
      <c r="A1945" s="13">
        <v>3572010.0</v>
      </c>
      <c r="B1945" s="4">
        <v>262.0</v>
      </c>
      <c r="C1945" s="13">
        <v>206.0</v>
      </c>
      <c r="D1945" s="13">
        <v>47.0</v>
      </c>
      <c r="E1945" s="13">
        <v>720.0</v>
      </c>
    </row>
    <row r="1946">
      <c r="A1946" s="13">
        <v>3573251.0</v>
      </c>
      <c r="B1946" s="4">
        <v>251.0</v>
      </c>
      <c r="C1946" s="13">
        <v>25.0</v>
      </c>
      <c r="D1946" s="13">
        <v>15.0</v>
      </c>
      <c r="E1946" s="13">
        <v>65.0</v>
      </c>
    </row>
    <row r="1947">
      <c r="A1947" s="13">
        <v>3572072.0</v>
      </c>
      <c r="B1947" s="4">
        <v>262.0</v>
      </c>
      <c r="C1947" s="13">
        <v>29.0</v>
      </c>
      <c r="D1947" s="13">
        <v>14.0</v>
      </c>
      <c r="E1947" s="13">
        <v>48.0</v>
      </c>
    </row>
    <row r="1948">
      <c r="A1948" s="13">
        <v>3515015.0</v>
      </c>
      <c r="B1948" s="4">
        <v>239.0</v>
      </c>
      <c r="C1948" s="13">
        <v>700.0</v>
      </c>
      <c r="D1948" s="13">
        <v>82.0</v>
      </c>
      <c r="E1948" s="13">
        <v>1771.0</v>
      </c>
    </row>
    <row r="1949">
      <c r="A1949" s="13">
        <v>3578742.0</v>
      </c>
      <c r="B1949" s="4">
        <v>232.0</v>
      </c>
      <c r="C1949" s="13">
        <v>145.0</v>
      </c>
      <c r="D1949" s="13">
        <v>57.0</v>
      </c>
      <c r="E1949" s="13">
        <v>311.0</v>
      </c>
    </row>
    <row r="1950">
      <c r="A1950" s="13">
        <v>3519024.0</v>
      </c>
      <c r="B1950" s="4">
        <v>263.0</v>
      </c>
      <c r="C1950" s="13">
        <v>215.0</v>
      </c>
      <c r="D1950" s="13">
        <v>29.0</v>
      </c>
      <c r="E1950" s="13">
        <v>320.0</v>
      </c>
    </row>
    <row r="1951">
      <c r="A1951" s="13">
        <v>3515131.0</v>
      </c>
      <c r="B1951" s="4">
        <v>239.0</v>
      </c>
      <c r="C1951" s="13">
        <v>100.0</v>
      </c>
      <c r="D1951" s="13">
        <v>71.0</v>
      </c>
      <c r="E1951" s="13">
        <v>259.0</v>
      </c>
    </row>
    <row r="1952">
      <c r="A1952" s="13">
        <v>3501019.0</v>
      </c>
      <c r="B1952" s="4">
        <v>242.0</v>
      </c>
      <c r="C1952" s="13">
        <v>66.0</v>
      </c>
      <c r="D1952" s="13">
        <v>28.0</v>
      </c>
      <c r="E1952" s="13">
        <v>107.0</v>
      </c>
    </row>
    <row r="1953">
      <c r="A1953" s="13">
        <v>3507241.0</v>
      </c>
      <c r="B1953" s="4">
        <v>237.0</v>
      </c>
      <c r="C1953" s="13">
        <v>54.0</v>
      </c>
      <c r="D1953" s="13">
        <v>30.0</v>
      </c>
      <c r="E1953" s="13">
        <v>140.0</v>
      </c>
    </row>
    <row r="1954">
      <c r="A1954" s="13">
        <v>3517087.0</v>
      </c>
      <c r="B1954" s="4">
        <v>252.0</v>
      </c>
      <c r="C1954" s="13">
        <v>51.0</v>
      </c>
      <c r="D1954" s="13">
        <v>17.0</v>
      </c>
      <c r="E1954" s="13">
        <v>98.0</v>
      </c>
    </row>
    <row r="1955">
      <c r="A1955" s="13">
        <v>3578322.0</v>
      </c>
      <c r="B1955" s="4">
        <v>232.0</v>
      </c>
      <c r="C1955" s="13">
        <v>108.0</v>
      </c>
      <c r="D1955" s="13">
        <v>34.0</v>
      </c>
      <c r="E1955" s="13">
        <v>208.0</v>
      </c>
    </row>
    <row r="1956">
      <c r="A1956" s="13">
        <v>3515136.0</v>
      </c>
      <c r="B1956" s="4">
        <v>239.0</v>
      </c>
      <c r="C1956" s="13">
        <v>15.0</v>
      </c>
      <c r="D1956" s="13">
        <v>23.0</v>
      </c>
      <c r="E1956" s="13">
        <v>96.0</v>
      </c>
    </row>
    <row r="1957">
      <c r="A1957" s="13">
        <v>3579005.0</v>
      </c>
      <c r="B1957" s="4">
        <v>248.0</v>
      </c>
      <c r="C1957" s="13">
        <v>36.0</v>
      </c>
      <c r="D1957" s="13">
        <v>17.0</v>
      </c>
      <c r="E1957" s="13">
        <v>90.0</v>
      </c>
    </row>
    <row r="1958">
      <c r="A1958" s="13">
        <v>3574080.0</v>
      </c>
      <c r="B1958" s="4">
        <v>257.0</v>
      </c>
      <c r="C1958" s="13">
        <v>106.0</v>
      </c>
      <c r="D1958" s="13">
        <v>35.0</v>
      </c>
      <c r="E1958" s="13">
        <v>182.0</v>
      </c>
    </row>
    <row r="1959">
      <c r="A1959" s="13">
        <v>3519023.0</v>
      </c>
      <c r="B1959" s="4">
        <v>263.0</v>
      </c>
      <c r="C1959" s="13">
        <v>219.0</v>
      </c>
      <c r="D1959" s="13">
        <v>45.0</v>
      </c>
      <c r="E1959" s="13">
        <v>621.0</v>
      </c>
    </row>
    <row r="1960">
      <c r="A1960" s="13">
        <v>3507100.0</v>
      </c>
      <c r="B1960" s="4">
        <v>237.0</v>
      </c>
      <c r="C1960" s="13">
        <v>50.0</v>
      </c>
      <c r="D1960" s="13">
        <v>28.0</v>
      </c>
      <c r="E1960" s="13">
        <v>99.0</v>
      </c>
    </row>
    <row r="1961">
      <c r="A1961" s="13">
        <v>3525043.0</v>
      </c>
      <c r="B1961" s="4">
        <v>238.0</v>
      </c>
      <c r="C1961" s="13">
        <v>113.0</v>
      </c>
      <c r="D1961" s="13">
        <v>37.0</v>
      </c>
      <c r="E1961" s="13">
        <v>66.0</v>
      </c>
    </row>
    <row r="1962">
      <c r="A1962" s="13">
        <v>3512036.0</v>
      </c>
      <c r="B1962" s="4">
        <v>253.0</v>
      </c>
      <c r="C1962" s="13">
        <v>107.0</v>
      </c>
      <c r="D1962" s="13">
        <v>34.0</v>
      </c>
      <c r="E1962" s="13">
        <v>116.0</v>
      </c>
    </row>
    <row r="1963">
      <c r="A1963" s="13">
        <v>3528028.0</v>
      </c>
      <c r="B1963" s="4">
        <v>230.0</v>
      </c>
      <c r="C1963" s="13">
        <v>63.0</v>
      </c>
      <c r="D1963" s="13">
        <v>26.0</v>
      </c>
      <c r="E1963" s="13">
        <v>142.0</v>
      </c>
    </row>
    <row r="1964">
      <c r="A1964" s="13">
        <v>3571016.0</v>
      </c>
      <c r="B1964" s="4">
        <v>250.0</v>
      </c>
      <c r="C1964" s="13">
        <v>314.0</v>
      </c>
      <c r="D1964" s="13">
        <v>81.0</v>
      </c>
      <c r="E1964" s="13">
        <v>1415.0</v>
      </c>
    </row>
    <row r="1965">
      <c r="A1965" s="13">
        <v>3578772.0</v>
      </c>
      <c r="B1965" s="4">
        <v>232.0</v>
      </c>
      <c r="C1965" s="13">
        <v>103.0</v>
      </c>
      <c r="D1965" s="13">
        <v>48.0</v>
      </c>
      <c r="E1965" s="13">
        <v>323.0</v>
      </c>
    </row>
    <row r="1966">
      <c r="A1966" s="13">
        <v>3511011.0</v>
      </c>
      <c r="B1966" s="4">
        <v>259.0</v>
      </c>
      <c r="C1966" s="13">
        <v>323.0</v>
      </c>
      <c r="D1966" s="13">
        <v>123.0</v>
      </c>
      <c r="E1966" s="13">
        <v>703.0</v>
      </c>
    </row>
    <row r="1967">
      <c r="A1967" s="13">
        <v>3578571.0</v>
      </c>
      <c r="B1967" s="4">
        <v>232.0</v>
      </c>
      <c r="C1967" s="13">
        <v>396.0</v>
      </c>
      <c r="D1967" s="13">
        <v>49.0</v>
      </c>
      <c r="E1967" s="13">
        <v>1247.0</v>
      </c>
    </row>
    <row r="1968">
      <c r="A1968" s="13">
        <v>3513027.0</v>
      </c>
      <c r="B1968" s="4">
        <v>234.0</v>
      </c>
      <c r="C1968" s="13">
        <v>141.0</v>
      </c>
      <c r="D1968" s="13">
        <v>26.0</v>
      </c>
      <c r="E1968" s="13">
        <v>204.0</v>
      </c>
    </row>
    <row r="1969">
      <c r="A1969" s="13">
        <v>3507259.0</v>
      </c>
      <c r="B1969" s="4">
        <v>237.0</v>
      </c>
      <c r="C1969" s="13">
        <v>50.0</v>
      </c>
      <c r="D1969" s="13">
        <v>28.0</v>
      </c>
      <c r="E1969" s="13">
        <v>182.0</v>
      </c>
    </row>
    <row r="1970">
      <c r="A1970" s="13">
        <v>3508071.0</v>
      </c>
      <c r="B1970" s="4">
        <v>260.0</v>
      </c>
      <c r="C1970" s="13">
        <v>51.0</v>
      </c>
      <c r="D1970" s="13">
        <v>24.0</v>
      </c>
      <c r="E1970" s="13">
        <v>182.0</v>
      </c>
    </row>
    <row r="1971">
      <c r="A1971" s="13">
        <v>3507070.0</v>
      </c>
      <c r="B1971" s="4">
        <v>237.0</v>
      </c>
      <c r="C1971" s="13">
        <v>70.0</v>
      </c>
      <c r="D1971" s="13">
        <v>42.0</v>
      </c>
      <c r="E1971" s="13">
        <v>297.0</v>
      </c>
    </row>
    <row r="1972">
      <c r="A1972" s="13">
        <v>3515142.0</v>
      </c>
      <c r="B1972" s="4">
        <v>239.0</v>
      </c>
      <c r="C1972" s="13">
        <v>123.0</v>
      </c>
      <c r="D1972" s="13">
        <v>29.0</v>
      </c>
      <c r="E1972" s="13">
        <v>55.0</v>
      </c>
    </row>
    <row r="1973">
      <c r="A1973" s="13">
        <v>3517010.0</v>
      </c>
      <c r="B1973" s="4">
        <v>252.0</v>
      </c>
      <c r="C1973" s="13">
        <v>501.0</v>
      </c>
      <c r="D1973" s="13">
        <v>75.0</v>
      </c>
      <c r="E1973" s="13">
        <v>1621.0</v>
      </c>
    </row>
    <row r="1974">
      <c r="A1974" s="13">
        <v>3503045.0</v>
      </c>
      <c r="B1974" s="4">
        <v>264.0</v>
      </c>
      <c r="C1974" s="13">
        <v>35.0</v>
      </c>
      <c r="D1974" s="13">
        <v>21.0</v>
      </c>
      <c r="E1974" s="13">
        <v>65.0</v>
      </c>
    </row>
    <row r="1975">
      <c r="A1975" s="13">
        <v>3503011.0</v>
      </c>
      <c r="B1975" s="4">
        <v>264.0</v>
      </c>
      <c r="C1975" s="13">
        <v>306.0</v>
      </c>
      <c r="D1975" s="13">
        <v>38.0</v>
      </c>
      <c r="E1975" s="13">
        <v>903.0</v>
      </c>
    </row>
    <row r="1976">
      <c r="A1976" s="13">
        <v>3516062.0</v>
      </c>
      <c r="B1976" s="4">
        <v>247.0</v>
      </c>
      <c r="C1976" s="13">
        <v>232.0</v>
      </c>
      <c r="D1976" s="13">
        <v>148.0</v>
      </c>
      <c r="E1976" s="13">
        <v>447.0</v>
      </c>
    </row>
    <row r="1977">
      <c r="A1977" s="13">
        <v>3573097.0</v>
      </c>
      <c r="B1977" s="4">
        <v>251.0</v>
      </c>
      <c r="C1977" s="13">
        <v>30.0</v>
      </c>
      <c r="D1977" s="13">
        <v>19.0</v>
      </c>
      <c r="E1977" s="13">
        <v>116.0</v>
      </c>
    </row>
    <row r="1978">
      <c r="A1978" s="13">
        <v>3501017.0</v>
      </c>
      <c r="B1978" s="4">
        <v>242.0</v>
      </c>
      <c r="C1978" s="13">
        <v>51.0</v>
      </c>
      <c r="D1978" s="13">
        <v>56.0</v>
      </c>
      <c r="E1978" s="13">
        <v>51.0</v>
      </c>
    </row>
    <row r="1979">
      <c r="A1979" s="13">
        <v>3509138.0</v>
      </c>
      <c r="B1979" s="4">
        <v>243.0</v>
      </c>
      <c r="C1979" s="13">
        <v>140.0</v>
      </c>
      <c r="D1979" s="13">
        <v>81.0</v>
      </c>
      <c r="E1979" s="13">
        <v>358.0</v>
      </c>
    </row>
    <row r="1980">
      <c r="A1980" s="13">
        <v>3523041.0</v>
      </c>
      <c r="B1980" s="4">
        <v>254.0</v>
      </c>
      <c r="C1980" s="13">
        <v>147.0</v>
      </c>
      <c r="D1980" s="13">
        <v>78.0</v>
      </c>
      <c r="E1980" s="13">
        <v>359.0</v>
      </c>
    </row>
    <row r="1981">
      <c r="A1981" s="13">
        <v>3572065.0</v>
      </c>
      <c r="B1981" s="4">
        <v>262.0</v>
      </c>
      <c r="C1981" s="13">
        <v>147.0</v>
      </c>
      <c r="D1981" s="13">
        <v>24.0</v>
      </c>
      <c r="E1981" s="13">
        <v>295.0</v>
      </c>
    </row>
    <row r="1982">
      <c r="A1982" s="13">
        <v>3522059.0</v>
      </c>
      <c r="B1982" s="4">
        <v>245.0</v>
      </c>
      <c r="C1982" s="13">
        <v>100.0</v>
      </c>
      <c r="D1982" s="13">
        <v>29.0</v>
      </c>
      <c r="E1982" s="13">
        <v>203.0</v>
      </c>
    </row>
    <row r="1983">
      <c r="A1983" s="13">
        <v>3508016.0</v>
      </c>
      <c r="B1983" s="4">
        <v>260.0</v>
      </c>
      <c r="C1983" s="13">
        <v>356.0</v>
      </c>
      <c r="D1983" s="13">
        <v>94.0</v>
      </c>
      <c r="E1983" s="13">
        <v>825.0</v>
      </c>
    </row>
    <row r="1984">
      <c r="A1984" s="13">
        <v>3578064.0</v>
      </c>
      <c r="B1984" s="4">
        <v>232.0</v>
      </c>
      <c r="C1984" s="13">
        <v>196.0</v>
      </c>
      <c r="D1984" s="13">
        <v>95.0</v>
      </c>
      <c r="E1984" s="13">
        <v>818.0</v>
      </c>
    </row>
    <row r="1985">
      <c r="A1985" s="13">
        <v>3573252.0</v>
      </c>
      <c r="B1985" s="4">
        <v>251.0</v>
      </c>
      <c r="C1985" s="13">
        <v>27.0</v>
      </c>
      <c r="D1985" s="13">
        <v>23.0</v>
      </c>
      <c r="E1985" s="13">
        <v>139.0</v>
      </c>
    </row>
    <row r="1986">
      <c r="A1986" s="13">
        <v>3573261.0</v>
      </c>
      <c r="B1986" s="4">
        <v>251.0</v>
      </c>
      <c r="C1986" s="13">
        <v>51.0</v>
      </c>
      <c r="D1986" s="13">
        <v>26.0</v>
      </c>
      <c r="E1986" s="13">
        <v>66.0</v>
      </c>
    </row>
    <row r="1987">
      <c r="A1987" s="13">
        <v>3509134.0</v>
      </c>
      <c r="B1987" s="4">
        <v>243.0</v>
      </c>
      <c r="C1987" s="13">
        <v>150.0</v>
      </c>
      <c r="D1987" s="13">
        <v>44.0</v>
      </c>
      <c r="E1987" s="13">
        <v>353.0</v>
      </c>
    </row>
    <row r="1988">
      <c r="A1988" s="13">
        <v>3578202.0</v>
      </c>
      <c r="B1988" s="4">
        <v>232.0</v>
      </c>
      <c r="C1988" s="13">
        <v>48.0</v>
      </c>
      <c r="D1988" s="13">
        <v>26.0</v>
      </c>
      <c r="E1988" s="13">
        <v>266.0</v>
      </c>
    </row>
    <row r="1989">
      <c r="A1989" s="13">
        <v>3515130.0</v>
      </c>
      <c r="B1989" s="4">
        <v>239.0</v>
      </c>
      <c r="C1989" s="13">
        <v>61.0</v>
      </c>
      <c r="D1989" s="13">
        <v>15.0</v>
      </c>
      <c r="E1989" s="13">
        <v>53.0</v>
      </c>
    </row>
    <row r="1990">
      <c r="A1990" s="13">
        <v>3507119.0</v>
      </c>
      <c r="B1990" s="4">
        <v>237.0</v>
      </c>
      <c r="C1990" s="13">
        <v>50.0</v>
      </c>
      <c r="D1990" s="13">
        <v>35.0</v>
      </c>
      <c r="E1990" s="13">
        <v>45.0</v>
      </c>
    </row>
    <row r="1991">
      <c r="A1991" s="13">
        <v>3572043.0</v>
      </c>
      <c r="B1991" s="4">
        <v>262.0</v>
      </c>
      <c r="C1991" s="13">
        <v>109.0</v>
      </c>
      <c r="D1991" s="13">
        <v>61.0</v>
      </c>
      <c r="E1991" s="13">
        <v>170.0</v>
      </c>
    </row>
    <row r="1992">
      <c r="A1992" s="13">
        <v>3515030.0</v>
      </c>
      <c r="B1992" s="4">
        <v>239.0</v>
      </c>
      <c r="C1992" s="13">
        <v>114.0</v>
      </c>
      <c r="D1992" s="13">
        <v>46.0</v>
      </c>
      <c r="E1992" s="13">
        <v>204.0</v>
      </c>
    </row>
    <row r="1993">
      <c r="A1993" s="13">
        <v>3578764.0</v>
      </c>
      <c r="B1993" s="4">
        <v>232.0</v>
      </c>
      <c r="C1993" s="13">
        <v>205.0</v>
      </c>
      <c r="D1993" s="13">
        <v>79.0</v>
      </c>
      <c r="E1993" s="13">
        <v>332.0</v>
      </c>
    </row>
    <row r="1994">
      <c r="A1994" s="13">
        <v>3573257.0</v>
      </c>
      <c r="B1994" s="4">
        <v>251.0</v>
      </c>
      <c r="C1994" s="13">
        <v>202.0</v>
      </c>
      <c r="D1994" s="13">
        <v>99.0</v>
      </c>
      <c r="E1994" s="13">
        <v>556.0</v>
      </c>
    </row>
    <row r="1995">
      <c r="A1995" s="13">
        <v>3573276.0</v>
      </c>
      <c r="B1995" s="4">
        <v>251.0</v>
      </c>
      <c r="C1995" s="13">
        <v>52.0</v>
      </c>
      <c r="D1995" s="13">
        <v>56.0</v>
      </c>
      <c r="E1995" s="13">
        <v>182.0</v>
      </c>
    </row>
    <row r="1996">
      <c r="A1996" s="13">
        <v>3577099.0</v>
      </c>
      <c r="B1996" s="4">
        <v>246.0</v>
      </c>
      <c r="C1996" s="13">
        <v>110.0</v>
      </c>
      <c r="D1996" s="13">
        <v>130.0</v>
      </c>
      <c r="E1996" s="13">
        <v>182.0</v>
      </c>
    </row>
    <row r="1997">
      <c r="A1997" s="13">
        <v>3574023.0</v>
      </c>
      <c r="B1997" s="4">
        <v>257.0</v>
      </c>
      <c r="C1997" s="13">
        <v>68.0</v>
      </c>
      <c r="D1997" s="13">
        <v>25.0</v>
      </c>
      <c r="E1997" s="13">
        <v>60.0</v>
      </c>
    </row>
    <row r="1998">
      <c r="A1998" s="13">
        <v>3578224.0</v>
      </c>
      <c r="B1998" s="4">
        <v>232.0</v>
      </c>
      <c r="C1998" s="13">
        <v>290.0</v>
      </c>
      <c r="D1998" s="13">
        <v>63.0</v>
      </c>
      <c r="E1998" s="13">
        <v>910.0</v>
      </c>
    </row>
    <row r="1999">
      <c r="A1999" s="13">
        <v>3578767.0</v>
      </c>
      <c r="B1999" s="4">
        <v>232.0</v>
      </c>
      <c r="C1999" s="13">
        <v>27.0</v>
      </c>
      <c r="D1999" s="13">
        <v>31.0</v>
      </c>
      <c r="E1999" s="13">
        <v>65.0</v>
      </c>
    </row>
    <row r="2000">
      <c r="A2000" s="13">
        <v>3521013.0</v>
      </c>
      <c r="B2000" s="4">
        <v>229.0</v>
      </c>
      <c r="C2000" s="13">
        <v>296.0</v>
      </c>
      <c r="D2000" s="13">
        <v>89.0</v>
      </c>
      <c r="E2000" s="13">
        <v>48.0</v>
      </c>
    </row>
    <row r="2001">
      <c r="A2001" s="13">
        <v>3573247.0</v>
      </c>
      <c r="B2001" s="4">
        <v>251.0</v>
      </c>
      <c r="C2001" s="13">
        <v>28.0</v>
      </c>
      <c r="D2001" s="13">
        <v>15.0</v>
      </c>
      <c r="E2001" s="13">
        <v>38.0</v>
      </c>
    </row>
    <row r="2002">
      <c r="A2002" s="13">
        <v>3525089.0</v>
      </c>
      <c r="B2002" s="4">
        <v>238.0</v>
      </c>
      <c r="C2002" s="13">
        <v>51.0</v>
      </c>
      <c r="D2002" s="13">
        <v>25.0</v>
      </c>
      <c r="E2002" s="13">
        <v>102.0</v>
      </c>
    </row>
    <row r="2003">
      <c r="A2003" s="13">
        <v>3511013.0</v>
      </c>
      <c r="B2003" s="4">
        <v>259.0</v>
      </c>
      <c r="C2003" s="13">
        <v>147.0</v>
      </c>
      <c r="D2003" s="13">
        <v>21.0</v>
      </c>
      <c r="E2003" s="13">
        <v>190.0</v>
      </c>
    </row>
    <row r="2004">
      <c r="A2004" s="13">
        <v>3529040.0</v>
      </c>
      <c r="B2004" s="4">
        <v>258.0</v>
      </c>
      <c r="C2004" s="13">
        <v>90.0</v>
      </c>
      <c r="D2004" s="13">
        <v>43.0</v>
      </c>
      <c r="E2004" s="13">
        <v>182.0</v>
      </c>
    </row>
    <row r="2005">
      <c r="A2005" s="13">
        <v>3525087.0</v>
      </c>
      <c r="B2005" s="4">
        <v>238.0</v>
      </c>
      <c r="C2005" s="13">
        <v>46.0</v>
      </c>
      <c r="D2005" s="13">
        <v>36.0</v>
      </c>
      <c r="E2005" s="13">
        <v>100.0</v>
      </c>
    </row>
    <row r="2006">
      <c r="A2006" s="13">
        <v>3514052.0</v>
      </c>
      <c r="B2006" s="4">
        <v>240.0</v>
      </c>
      <c r="C2006" s="13">
        <v>132.0</v>
      </c>
      <c r="D2006" s="13">
        <v>25.0</v>
      </c>
      <c r="E2006" s="13">
        <v>166.0</v>
      </c>
    </row>
    <row r="2007">
      <c r="A2007" s="13">
        <v>3505045.0</v>
      </c>
      <c r="B2007" s="4">
        <v>236.0</v>
      </c>
      <c r="C2007" s="13">
        <v>152.0</v>
      </c>
      <c r="D2007" s="13">
        <v>24.0</v>
      </c>
      <c r="E2007" s="13">
        <v>210.0</v>
      </c>
    </row>
    <row r="2008">
      <c r="A2008" s="13">
        <v>3512052.0</v>
      </c>
      <c r="B2008" s="4">
        <v>253.0</v>
      </c>
      <c r="C2008" s="13">
        <v>51.0</v>
      </c>
      <c r="D2008" s="13">
        <v>11.0</v>
      </c>
      <c r="E2008" s="13">
        <v>182.0</v>
      </c>
    </row>
    <row r="2009">
      <c r="A2009" s="13">
        <v>3509010.0</v>
      </c>
      <c r="B2009" s="4">
        <v>243.0</v>
      </c>
      <c r="C2009" s="13">
        <v>389.0</v>
      </c>
      <c r="D2009" s="13">
        <v>90.0</v>
      </c>
      <c r="E2009" s="13">
        <v>1196.0</v>
      </c>
    </row>
    <row r="2010">
      <c r="A2010" s="13">
        <v>3578090.0</v>
      </c>
      <c r="B2010" s="4">
        <v>232.0</v>
      </c>
      <c r="C2010" s="13">
        <v>51.0</v>
      </c>
      <c r="D2010" s="13">
        <v>21.0</v>
      </c>
      <c r="E2010" s="13">
        <v>105.0</v>
      </c>
    </row>
    <row r="2011">
      <c r="A2011" s="13">
        <v>3573260.0</v>
      </c>
      <c r="B2011" s="4">
        <v>251.0</v>
      </c>
      <c r="C2011" s="13">
        <v>100.0</v>
      </c>
      <c r="D2011" s="13">
        <v>19.0</v>
      </c>
      <c r="E2011" s="13">
        <v>93.0</v>
      </c>
    </row>
    <row r="2012">
      <c r="A2012" s="13">
        <v>3515146.0</v>
      </c>
      <c r="B2012" s="4">
        <v>239.0</v>
      </c>
      <c r="C2012" s="13">
        <v>50.0</v>
      </c>
      <c r="D2012" s="13">
        <v>29.0</v>
      </c>
      <c r="E2012" s="13">
        <v>32.0</v>
      </c>
    </row>
    <row r="2013">
      <c r="A2013" s="13">
        <v>3571031.0</v>
      </c>
      <c r="B2013" s="4">
        <v>250.0</v>
      </c>
      <c r="C2013" s="13">
        <v>331.0</v>
      </c>
      <c r="D2013" s="13">
        <v>49.0</v>
      </c>
      <c r="E2013" s="13">
        <v>759.0</v>
      </c>
    </row>
    <row r="2014">
      <c r="A2014" s="13">
        <v>3574069.0</v>
      </c>
      <c r="B2014" s="4">
        <v>257.0</v>
      </c>
      <c r="C2014" s="13">
        <v>82.0</v>
      </c>
      <c r="D2014" s="13">
        <v>16.0</v>
      </c>
      <c r="E2014" s="13">
        <v>160.0</v>
      </c>
    </row>
    <row r="2015">
      <c r="A2015" s="13">
        <v>3525102.0</v>
      </c>
      <c r="B2015" s="4">
        <v>238.0</v>
      </c>
      <c r="C2015" s="13">
        <v>69.0</v>
      </c>
      <c r="D2015" s="13">
        <v>58.0</v>
      </c>
      <c r="E2015" s="13">
        <v>32.0</v>
      </c>
    </row>
    <row r="2016">
      <c r="A2016" s="13">
        <v>3573264.0</v>
      </c>
      <c r="B2016" s="4">
        <v>251.0</v>
      </c>
      <c r="C2016" s="13">
        <v>25.0</v>
      </c>
      <c r="D2016" s="13">
        <v>16.0</v>
      </c>
      <c r="E2016" s="13">
        <v>19.0</v>
      </c>
    </row>
    <row r="2017">
      <c r="A2017" s="13">
        <v>3512034.0</v>
      </c>
      <c r="B2017" s="4">
        <v>253.0</v>
      </c>
      <c r="C2017" s="13">
        <v>100.0</v>
      </c>
      <c r="D2017" s="13">
        <v>58.0</v>
      </c>
      <c r="E2017" s="13">
        <v>166.0</v>
      </c>
    </row>
    <row r="2018">
      <c r="A2018" s="13">
        <v>3578593.0</v>
      </c>
      <c r="B2018" s="4">
        <v>232.0</v>
      </c>
      <c r="C2018" s="13">
        <v>72.0</v>
      </c>
      <c r="D2018" s="13">
        <v>19.0</v>
      </c>
      <c r="E2018" s="13">
        <v>175.0</v>
      </c>
    </row>
    <row r="2019">
      <c r="A2019" s="13">
        <v>3578789.0</v>
      </c>
      <c r="B2019" s="4">
        <v>232.0</v>
      </c>
      <c r="C2019" s="13">
        <v>20.0</v>
      </c>
      <c r="D2019" s="13">
        <v>32.0</v>
      </c>
      <c r="E2019" s="13">
        <v>210.0</v>
      </c>
    </row>
    <row r="2020">
      <c r="A2020" s="13">
        <v>3573135.0</v>
      </c>
      <c r="B2020" s="4">
        <v>251.0</v>
      </c>
      <c r="C2020" s="13">
        <v>30.0</v>
      </c>
      <c r="D2020" s="13">
        <v>24.0</v>
      </c>
      <c r="E2020" s="13">
        <v>81.0</v>
      </c>
    </row>
    <row r="2021">
      <c r="A2021" s="13">
        <v>3522062.0</v>
      </c>
      <c r="B2021" s="4">
        <v>245.0</v>
      </c>
      <c r="C2021" s="13">
        <v>43.0</v>
      </c>
      <c r="D2021" s="13">
        <v>32.0</v>
      </c>
      <c r="E2021" s="13">
        <v>76.0</v>
      </c>
    </row>
    <row r="2022">
      <c r="A2022" s="13">
        <v>3525101.0</v>
      </c>
      <c r="B2022" s="4">
        <v>238.0</v>
      </c>
      <c r="C2022" s="13">
        <v>50.0</v>
      </c>
      <c r="D2022" s="13">
        <v>20.0</v>
      </c>
      <c r="E2022" s="13">
        <v>97.0</v>
      </c>
    </row>
    <row r="2023">
      <c r="A2023" s="13">
        <v>3512039.0</v>
      </c>
      <c r="B2023" s="4">
        <v>253.0</v>
      </c>
      <c r="C2023" s="13">
        <v>25.0</v>
      </c>
      <c r="D2023" s="13">
        <v>14.0</v>
      </c>
      <c r="E2023" s="13">
        <v>30.0</v>
      </c>
    </row>
    <row r="2024">
      <c r="A2024" s="13">
        <v>3503062.0</v>
      </c>
      <c r="B2024" s="4">
        <v>264.0</v>
      </c>
      <c r="C2024" s="13">
        <v>54.0</v>
      </c>
      <c r="D2024" s="13">
        <v>21.0</v>
      </c>
      <c r="E2024" s="13">
        <v>182.0</v>
      </c>
    </row>
    <row r="2025">
      <c r="A2025" s="13">
        <v>3507261.0</v>
      </c>
      <c r="B2025" s="4">
        <v>237.0</v>
      </c>
      <c r="C2025" s="13">
        <v>50.0</v>
      </c>
      <c r="D2025" s="13">
        <v>16.0</v>
      </c>
      <c r="E2025" s="13">
        <v>182.0</v>
      </c>
    </row>
    <row r="2026">
      <c r="A2026" s="13">
        <v>3517043.0</v>
      </c>
      <c r="B2026" s="4">
        <v>252.0</v>
      </c>
      <c r="C2026" s="13">
        <v>54.0</v>
      </c>
      <c r="D2026" s="13">
        <v>23.0</v>
      </c>
      <c r="E2026" s="13">
        <v>208.0</v>
      </c>
    </row>
    <row r="2027">
      <c r="A2027" s="13">
        <v>3525088.0</v>
      </c>
      <c r="B2027" s="4">
        <v>238.0</v>
      </c>
      <c r="C2027" s="13">
        <v>139.0</v>
      </c>
      <c r="D2027" s="13">
        <v>43.0</v>
      </c>
      <c r="E2027" s="13">
        <v>220.0</v>
      </c>
    </row>
    <row r="2028">
      <c r="A2028" s="13">
        <v>3528040.0</v>
      </c>
      <c r="B2028" s="4">
        <v>230.0</v>
      </c>
      <c r="C2028" s="13">
        <v>25.0</v>
      </c>
      <c r="D2028" s="13">
        <v>21.0</v>
      </c>
      <c r="E2028" s="13">
        <v>182.0</v>
      </c>
    </row>
    <row r="2029">
      <c r="A2029" s="13">
        <v>3504012.0</v>
      </c>
      <c r="B2029" s="4">
        <v>233.0</v>
      </c>
      <c r="C2029" s="13">
        <v>500.0</v>
      </c>
      <c r="D2029" s="13">
        <v>98.0</v>
      </c>
      <c r="E2029" s="13">
        <v>1418.0</v>
      </c>
    </row>
    <row r="2030">
      <c r="A2030" s="13">
        <v>3577015.0</v>
      </c>
      <c r="B2030" s="4">
        <v>246.0</v>
      </c>
      <c r="C2030" s="13">
        <v>355.0</v>
      </c>
      <c r="D2030" s="13">
        <v>135.0</v>
      </c>
      <c r="E2030" s="13">
        <v>693.0</v>
      </c>
    </row>
    <row r="2031">
      <c r="A2031" s="13">
        <v>3506060.0</v>
      </c>
      <c r="B2031" s="4">
        <v>244.0</v>
      </c>
      <c r="C2031" s="13">
        <v>42.0</v>
      </c>
      <c r="D2031" s="13">
        <v>16.0</v>
      </c>
      <c r="E2031" s="13">
        <v>49.0</v>
      </c>
    </row>
    <row r="2032">
      <c r="A2032" s="13">
        <v>3509135.0</v>
      </c>
      <c r="B2032" s="4">
        <v>243.0</v>
      </c>
      <c r="C2032" s="13">
        <v>190.0</v>
      </c>
      <c r="D2032" s="13">
        <v>112.0</v>
      </c>
      <c r="E2032" s="13">
        <v>797.0</v>
      </c>
    </row>
    <row r="2033">
      <c r="A2033" s="13">
        <v>3507107.0</v>
      </c>
      <c r="B2033" s="4">
        <v>237.0</v>
      </c>
      <c r="C2033" s="13">
        <v>55.0</v>
      </c>
      <c r="D2033" s="13">
        <v>46.0</v>
      </c>
      <c r="E2033" s="13">
        <v>152.0</v>
      </c>
    </row>
    <row r="2034">
      <c r="A2034" s="13">
        <v>3524050.0</v>
      </c>
      <c r="B2034" s="4">
        <v>235.0</v>
      </c>
      <c r="C2034" s="13">
        <v>51.0</v>
      </c>
      <c r="D2034" s="13">
        <v>19.0</v>
      </c>
      <c r="E2034" s="13">
        <v>58.0</v>
      </c>
    </row>
    <row r="2035">
      <c r="A2035" s="13">
        <v>3522075.0</v>
      </c>
      <c r="B2035" s="4">
        <v>245.0</v>
      </c>
      <c r="C2035" s="13">
        <v>50.0</v>
      </c>
      <c r="D2035" s="13">
        <v>20.0</v>
      </c>
      <c r="E2035" s="13">
        <v>182.0</v>
      </c>
    </row>
    <row r="2036">
      <c r="A2036" s="13">
        <v>3524016.0</v>
      </c>
      <c r="B2036" s="4">
        <v>235.0</v>
      </c>
      <c r="C2036" s="13">
        <v>371.0</v>
      </c>
      <c r="D2036" s="13">
        <v>55.0</v>
      </c>
      <c r="E2036" s="13">
        <v>792.0</v>
      </c>
    </row>
    <row r="2037">
      <c r="A2037" s="13">
        <v>3522060.0</v>
      </c>
      <c r="B2037" s="4">
        <v>245.0</v>
      </c>
      <c r="C2037" s="13">
        <v>89.0</v>
      </c>
      <c r="D2037" s="13">
        <v>23.0</v>
      </c>
      <c r="E2037" s="13">
        <v>101.0</v>
      </c>
    </row>
    <row r="2038">
      <c r="A2038" s="13">
        <v>3527012.0</v>
      </c>
      <c r="B2038" s="4">
        <v>249.0</v>
      </c>
      <c r="C2038" s="13">
        <v>255.0</v>
      </c>
      <c r="D2038" s="13">
        <v>57.0</v>
      </c>
      <c r="E2038" s="13">
        <v>488.0</v>
      </c>
    </row>
    <row r="2039">
      <c r="A2039" s="13">
        <v>3578235.0</v>
      </c>
      <c r="B2039" s="4">
        <v>232.0</v>
      </c>
      <c r="C2039" s="13">
        <v>50.0</v>
      </c>
      <c r="D2039" s="13">
        <v>23.0</v>
      </c>
      <c r="E2039" s="13">
        <v>140.0</v>
      </c>
    </row>
    <row r="2040">
      <c r="A2040" s="13">
        <v>3577052.0</v>
      </c>
      <c r="B2040" s="4">
        <v>246.0</v>
      </c>
      <c r="C2040" s="13">
        <v>27.0</v>
      </c>
      <c r="D2040" s="13">
        <v>19.0</v>
      </c>
      <c r="E2040" s="13">
        <v>76.0</v>
      </c>
    </row>
    <row r="2041">
      <c r="A2041" s="13">
        <v>3516034.0</v>
      </c>
      <c r="B2041" s="4">
        <v>247.0</v>
      </c>
      <c r="C2041" s="13">
        <v>50.0</v>
      </c>
      <c r="D2041" s="13">
        <v>17.0</v>
      </c>
      <c r="E2041" s="13">
        <v>22.0</v>
      </c>
    </row>
    <row r="2042">
      <c r="A2042" s="13">
        <v>3510021.0</v>
      </c>
      <c r="B2042" s="4">
        <v>231.0</v>
      </c>
      <c r="C2042" s="13">
        <v>101.0</v>
      </c>
      <c r="D2042" s="13">
        <v>50.0</v>
      </c>
      <c r="E2042" s="13">
        <v>226.0</v>
      </c>
    </row>
    <row r="2043">
      <c r="A2043" s="13">
        <v>3578443.0</v>
      </c>
      <c r="B2043" s="4">
        <v>232.0</v>
      </c>
      <c r="C2043" s="13">
        <v>201.0</v>
      </c>
      <c r="D2043" s="13">
        <v>110.0</v>
      </c>
      <c r="E2043" s="13">
        <v>508.0</v>
      </c>
    </row>
    <row r="2044">
      <c r="A2044" s="13">
        <v>3579003.0</v>
      </c>
      <c r="B2044" s="4">
        <v>248.0</v>
      </c>
      <c r="C2044" s="13">
        <v>143.0</v>
      </c>
      <c r="D2044" s="13">
        <v>32.0</v>
      </c>
      <c r="E2044" s="13">
        <v>145.0</v>
      </c>
    </row>
    <row r="2045">
      <c r="A2045" s="13">
        <v>3573011.0</v>
      </c>
      <c r="B2045" s="4">
        <v>251.0</v>
      </c>
      <c r="C2045" s="13">
        <v>935.0</v>
      </c>
      <c r="D2045" s="13">
        <v>157.0</v>
      </c>
      <c r="E2045" s="13">
        <v>2983.0</v>
      </c>
    </row>
    <row r="2046">
      <c r="A2046" s="13">
        <v>3526032.0</v>
      </c>
      <c r="B2046" s="4">
        <v>227.0</v>
      </c>
      <c r="C2046" s="13">
        <v>25.0</v>
      </c>
      <c r="D2046" s="13">
        <v>16.0</v>
      </c>
      <c r="E2046" s="13">
        <v>30.0</v>
      </c>
    </row>
    <row r="2047">
      <c r="A2047" s="13">
        <v>3507260.0</v>
      </c>
      <c r="B2047" s="4">
        <v>237.0</v>
      </c>
      <c r="C2047" s="13">
        <v>52.0</v>
      </c>
      <c r="D2047" s="13">
        <v>2.0</v>
      </c>
      <c r="E2047" s="13">
        <v>182.0</v>
      </c>
    </row>
    <row r="2048">
      <c r="A2048" s="13">
        <v>3515106.0</v>
      </c>
      <c r="B2048" s="4">
        <v>239.0</v>
      </c>
      <c r="C2048" s="13">
        <v>225.0</v>
      </c>
      <c r="D2048" s="13">
        <v>83.0</v>
      </c>
      <c r="E2048" s="13">
        <v>598.0</v>
      </c>
    </row>
    <row r="2049">
      <c r="A2049" s="13">
        <v>3509140.0</v>
      </c>
      <c r="B2049" s="4">
        <v>243.0</v>
      </c>
      <c r="C2049" s="13">
        <v>100.0</v>
      </c>
      <c r="D2049" s="13">
        <v>33.0</v>
      </c>
      <c r="E2049" s="13">
        <v>157.0</v>
      </c>
    </row>
    <row r="2050">
      <c r="A2050" s="13">
        <v>3502010.0</v>
      </c>
      <c r="B2050" s="4">
        <v>255.0</v>
      </c>
      <c r="C2050" s="13">
        <v>400.0</v>
      </c>
      <c r="D2050" s="13">
        <v>104.0</v>
      </c>
      <c r="E2050" s="13">
        <v>814.0</v>
      </c>
    </row>
    <row r="2051">
      <c r="A2051" s="13">
        <v>3575013.0</v>
      </c>
      <c r="B2051" s="4">
        <v>261.0</v>
      </c>
      <c r="C2051" s="13">
        <v>211.0</v>
      </c>
      <c r="D2051" s="13">
        <v>80.0</v>
      </c>
      <c r="E2051" s="13">
        <v>400.0</v>
      </c>
    </row>
    <row r="2052">
      <c r="A2052" s="13">
        <v>3578770.0</v>
      </c>
      <c r="B2052" s="4">
        <v>232.0</v>
      </c>
      <c r="C2052" s="13">
        <v>71.0</v>
      </c>
      <c r="D2052" s="13">
        <v>32.0</v>
      </c>
      <c r="E2052" s="13">
        <v>109.0</v>
      </c>
    </row>
    <row r="2053">
      <c r="A2053" s="13">
        <v>3515133.0</v>
      </c>
      <c r="B2053" s="4">
        <v>239.0</v>
      </c>
      <c r="C2053" s="13">
        <v>25.0</v>
      </c>
      <c r="D2053" s="13">
        <v>13.0</v>
      </c>
      <c r="E2053" s="13">
        <v>43.0</v>
      </c>
    </row>
    <row r="2054">
      <c r="A2054" s="13">
        <v>3525097.0</v>
      </c>
      <c r="B2054" s="4">
        <v>238.0</v>
      </c>
      <c r="C2054" s="13">
        <v>106.0</v>
      </c>
      <c r="D2054" s="13">
        <v>45.0</v>
      </c>
      <c r="E2054" s="13">
        <v>94.0</v>
      </c>
    </row>
    <row r="2055">
      <c r="A2055" s="13">
        <v>3512038.0</v>
      </c>
      <c r="B2055" s="4">
        <v>253.0</v>
      </c>
      <c r="C2055" s="13">
        <v>85.0</v>
      </c>
      <c r="D2055" s="13">
        <v>39.0</v>
      </c>
      <c r="E2055" s="13">
        <v>229.0</v>
      </c>
    </row>
    <row r="2056">
      <c r="A2056" s="13">
        <v>3517098.0</v>
      </c>
      <c r="B2056" s="4">
        <v>252.0</v>
      </c>
      <c r="C2056" s="13">
        <v>26.0</v>
      </c>
      <c r="D2056" s="13">
        <v>11.0</v>
      </c>
      <c r="E2056" s="13">
        <v>29.0</v>
      </c>
    </row>
    <row r="2057">
      <c r="A2057" s="13">
        <v>3522025.0</v>
      </c>
      <c r="B2057" s="4">
        <v>245.0</v>
      </c>
      <c r="C2057" s="13">
        <v>159.0</v>
      </c>
      <c r="D2057" s="13">
        <v>29.0</v>
      </c>
      <c r="E2057" s="13">
        <v>307.0</v>
      </c>
    </row>
    <row r="2058">
      <c r="A2058" s="13">
        <v>3505035.0</v>
      </c>
      <c r="B2058" s="4">
        <v>236.0</v>
      </c>
      <c r="C2058" s="13">
        <v>31.0</v>
      </c>
      <c r="D2058" s="13">
        <v>36.0</v>
      </c>
      <c r="E2058" s="13">
        <v>139.0</v>
      </c>
    </row>
    <row r="2059">
      <c r="A2059" s="13">
        <v>3507248.0</v>
      </c>
      <c r="B2059" s="4">
        <v>237.0</v>
      </c>
      <c r="C2059" s="13">
        <v>61.0</v>
      </c>
      <c r="D2059" s="13">
        <v>30.0</v>
      </c>
      <c r="E2059" s="13">
        <v>242.0</v>
      </c>
    </row>
    <row r="2060">
      <c r="A2060" s="13">
        <v>3507015.0</v>
      </c>
      <c r="B2060" s="4">
        <v>237.0</v>
      </c>
      <c r="C2060" s="13">
        <v>77.0</v>
      </c>
      <c r="D2060" s="13">
        <v>26.0</v>
      </c>
      <c r="E2060" s="13">
        <v>221.0</v>
      </c>
    </row>
    <row r="2061">
      <c r="A2061" s="13">
        <v>3578016.0</v>
      </c>
      <c r="B2061" s="4">
        <v>232.0</v>
      </c>
      <c r="C2061" s="13">
        <v>1311.0</v>
      </c>
      <c r="D2061" s="13">
        <v>155.0</v>
      </c>
      <c r="E2061" s="13">
        <v>7939.0</v>
      </c>
    </row>
    <row r="2062">
      <c r="A2062" s="13">
        <v>3515126.0</v>
      </c>
      <c r="B2062" s="4">
        <v>239.0</v>
      </c>
      <c r="C2062" s="13">
        <v>140.0</v>
      </c>
      <c r="D2062" s="13">
        <v>35.0</v>
      </c>
      <c r="E2062" s="13">
        <v>324.0</v>
      </c>
    </row>
    <row r="2063">
      <c r="A2063" s="13">
        <v>3525090.0</v>
      </c>
      <c r="B2063" s="4">
        <v>238.0</v>
      </c>
      <c r="C2063" s="13">
        <v>61.0</v>
      </c>
      <c r="D2063" s="13">
        <v>67.0</v>
      </c>
      <c r="E2063" s="13">
        <v>177.0</v>
      </c>
    </row>
    <row r="2064">
      <c r="A2064" s="13">
        <v>3571150.0</v>
      </c>
      <c r="B2064" s="4">
        <v>250.0</v>
      </c>
      <c r="C2064" s="13">
        <v>74.0</v>
      </c>
      <c r="D2064" s="13">
        <v>25.0</v>
      </c>
      <c r="E2064" s="13">
        <v>182.0</v>
      </c>
    </row>
    <row r="2065">
      <c r="A2065" s="13">
        <v>3509032.0</v>
      </c>
      <c r="B2065" s="4">
        <v>243.0</v>
      </c>
      <c r="C2065" s="13">
        <v>151.0</v>
      </c>
      <c r="D2065" s="13">
        <v>34.0</v>
      </c>
      <c r="E2065" s="13">
        <v>437.0</v>
      </c>
    </row>
    <row r="2066">
      <c r="A2066" s="13">
        <v>3578111.0</v>
      </c>
      <c r="B2066" s="4">
        <v>232.0</v>
      </c>
      <c r="C2066" s="13">
        <v>253.0</v>
      </c>
      <c r="D2066" s="13">
        <v>113.0</v>
      </c>
      <c r="E2066" s="13">
        <v>667.0</v>
      </c>
    </row>
    <row r="2067">
      <c r="A2067" s="13">
        <v>3505024.0</v>
      </c>
      <c r="B2067" s="4">
        <v>236.0</v>
      </c>
      <c r="C2067" s="13">
        <v>100.0</v>
      </c>
      <c r="D2067" s="13">
        <v>29.0</v>
      </c>
      <c r="E2067" s="13">
        <v>162.0</v>
      </c>
    </row>
    <row r="2068">
      <c r="A2068" s="13">
        <v>3578795.0</v>
      </c>
      <c r="B2068" s="4">
        <v>232.0</v>
      </c>
      <c r="C2068" s="13">
        <v>25.0</v>
      </c>
      <c r="D2068" s="13">
        <v>15.0</v>
      </c>
      <c r="E2068" s="13">
        <v>129.0</v>
      </c>
    </row>
    <row r="2069">
      <c r="A2069" s="13">
        <v>3508060.0</v>
      </c>
      <c r="B2069" s="4">
        <v>260.0</v>
      </c>
      <c r="C2069" s="13">
        <v>60.0</v>
      </c>
      <c r="D2069" s="13">
        <v>26.0</v>
      </c>
      <c r="E2069" s="13">
        <v>135.0</v>
      </c>
    </row>
    <row r="2070">
      <c r="A2070" s="13">
        <v>3571053.0</v>
      </c>
      <c r="B2070" s="4">
        <v>250.0</v>
      </c>
      <c r="C2070" s="13">
        <v>55.0</v>
      </c>
      <c r="D2070" s="13">
        <v>53.0</v>
      </c>
      <c r="E2070" s="13">
        <v>154.0</v>
      </c>
    </row>
    <row r="2071">
      <c r="A2071" s="13">
        <v>3520013.0</v>
      </c>
      <c r="B2071" s="4">
        <v>241.0</v>
      </c>
      <c r="C2071" s="13">
        <v>47.0</v>
      </c>
      <c r="D2071" s="13">
        <v>8.0</v>
      </c>
      <c r="E2071" s="13">
        <v>35.0</v>
      </c>
    </row>
    <row r="2072">
      <c r="A2072" s="13">
        <v>3517111.0</v>
      </c>
      <c r="B2072" s="4">
        <v>252.0</v>
      </c>
      <c r="C2072" s="13">
        <v>50.0</v>
      </c>
      <c r="D2072" s="13">
        <v>27.0</v>
      </c>
      <c r="E2072" s="13">
        <v>182.0</v>
      </c>
    </row>
    <row r="2073">
      <c r="A2073" s="13">
        <v>3513024.0</v>
      </c>
      <c r="B2073" s="4">
        <v>234.0</v>
      </c>
      <c r="C2073" s="13">
        <v>101.0</v>
      </c>
      <c r="D2073" s="13">
        <v>27.0</v>
      </c>
      <c r="E2073" s="13">
        <v>230.0</v>
      </c>
    </row>
    <row r="2074">
      <c r="A2074" s="13">
        <v>3578614.0</v>
      </c>
      <c r="B2074" s="4">
        <v>232.0</v>
      </c>
      <c r="C2074" s="13">
        <v>101.0</v>
      </c>
      <c r="D2074" s="13">
        <v>32.0</v>
      </c>
      <c r="E2074" s="13">
        <v>233.0</v>
      </c>
    </row>
    <row r="2075">
      <c r="A2075" s="13">
        <v>3573258.0</v>
      </c>
      <c r="B2075" s="4">
        <v>251.0</v>
      </c>
      <c r="C2075" s="13">
        <v>100.0</v>
      </c>
      <c r="D2075" s="13">
        <v>38.0</v>
      </c>
      <c r="E2075" s="13">
        <v>268.0</v>
      </c>
    </row>
    <row r="2076">
      <c r="A2076" s="13">
        <v>3516039.0</v>
      </c>
      <c r="B2076" s="4">
        <v>247.0</v>
      </c>
      <c r="C2076" s="13">
        <v>95.0</v>
      </c>
      <c r="D2076" s="13">
        <v>25.0</v>
      </c>
      <c r="E2076" s="13">
        <v>20.0</v>
      </c>
    </row>
    <row r="2077">
      <c r="A2077" s="13">
        <v>3515143.0</v>
      </c>
      <c r="B2077" s="4">
        <v>239.0</v>
      </c>
      <c r="C2077" s="13">
        <v>75.0</v>
      </c>
      <c r="D2077" s="13">
        <v>23.0</v>
      </c>
      <c r="E2077" s="13">
        <v>121.0</v>
      </c>
    </row>
    <row r="2078">
      <c r="A2078" s="13">
        <v>3573215.0</v>
      </c>
      <c r="B2078" s="4">
        <v>251.0</v>
      </c>
      <c r="C2078" s="13">
        <v>165.0</v>
      </c>
      <c r="D2078" s="13">
        <v>87.0</v>
      </c>
      <c r="E2078" s="13">
        <v>504.0</v>
      </c>
    </row>
    <row r="2079">
      <c r="A2079" s="13">
        <v>3508054.0</v>
      </c>
      <c r="B2079" s="4">
        <v>260.0</v>
      </c>
      <c r="C2079" s="13">
        <v>136.0</v>
      </c>
      <c r="D2079" s="13">
        <v>85.0</v>
      </c>
      <c r="E2079" s="13">
        <v>238.0</v>
      </c>
    </row>
    <row r="2080">
      <c r="A2080" s="13">
        <v>3524045.0</v>
      </c>
      <c r="B2080" s="4">
        <v>235.0</v>
      </c>
      <c r="C2080" s="13">
        <v>104.0</v>
      </c>
      <c r="D2080" s="13">
        <v>44.0</v>
      </c>
      <c r="E2080" s="13">
        <v>156.0</v>
      </c>
    </row>
    <row r="2081">
      <c r="A2081" s="13">
        <v>3527025.0</v>
      </c>
      <c r="B2081" s="4">
        <v>249.0</v>
      </c>
      <c r="C2081" s="13">
        <v>57.0</v>
      </c>
      <c r="D2081" s="13">
        <v>20.0</v>
      </c>
      <c r="E2081" s="13">
        <v>182.0</v>
      </c>
    </row>
    <row r="2082">
      <c r="A2082" s="13">
        <v>3518011.0</v>
      </c>
      <c r="B2082" s="4">
        <v>228.0</v>
      </c>
      <c r="C2082" s="13">
        <v>350.0</v>
      </c>
      <c r="D2082" s="13">
        <v>86.0</v>
      </c>
      <c r="E2082" s="13">
        <v>696.0</v>
      </c>
    </row>
    <row r="2083">
      <c r="A2083" s="13">
        <v>3504057.0</v>
      </c>
      <c r="B2083" s="4">
        <v>233.0</v>
      </c>
      <c r="C2083" s="13">
        <v>49.0</v>
      </c>
      <c r="D2083" s="13">
        <v>12.0</v>
      </c>
      <c r="E2083" s="13">
        <v>63.0</v>
      </c>
    </row>
    <row r="2084">
      <c r="A2084" s="13">
        <v>3516075.0</v>
      </c>
      <c r="B2084" s="4">
        <v>247.0</v>
      </c>
      <c r="C2084" s="13">
        <v>144.0</v>
      </c>
      <c r="D2084" s="13">
        <v>33.0</v>
      </c>
      <c r="E2084" s="13">
        <v>173.0</v>
      </c>
    </row>
    <row r="2085">
      <c r="A2085" s="13">
        <v>3505013.0</v>
      </c>
      <c r="B2085" s="4">
        <v>236.0</v>
      </c>
      <c r="C2085" s="13">
        <v>206.0</v>
      </c>
      <c r="D2085" s="13">
        <v>136.0</v>
      </c>
      <c r="E2085" s="13">
        <v>674.0</v>
      </c>
    </row>
    <row r="2086">
      <c r="A2086" s="13">
        <v>3577030.0</v>
      </c>
      <c r="B2086" s="4">
        <v>246.0</v>
      </c>
      <c r="C2086" s="13">
        <v>67.0</v>
      </c>
      <c r="D2086" s="13">
        <v>24.0</v>
      </c>
      <c r="E2086" s="13">
        <v>169.0</v>
      </c>
    </row>
    <row r="2087">
      <c r="A2087" s="13">
        <v>3518046.0</v>
      </c>
      <c r="B2087" s="4">
        <v>228.0</v>
      </c>
      <c r="C2087" s="13">
        <v>107.0</v>
      </c>
      <c r="D2087" s="13">
        <v>53.0</v>
      </c>
      <c r="E2087" s="13">
        <v>241.0</v>
      </c>
    </row>
    <row r="2088">
      <c r="A2088" s="13">
        <v>3504071.0</v>
      </c>
      <c r="B2088" s="4">
        <v>233.0</v>
      </c>
      <c r="C2088" s="13">
        <v>66.0</v>
      </c>
      <c r="D2088" s="13">
        <v>50.0</v>
      </c>
      <c r="E2088" s="13">
        <v>93.0</v>
      </c>
    </row>
    <row r="2089">
      <c r="A2089" s="13">
        <v>3578777.0</v>
      </c>
      <c r="B2089" s="4">
        <v>232.0</v>
      </c>
      <c r="C2089" s="13">
        <v>399.0</v>
      </c>
      <c r="D2089" s="13">
        <v>99.0</v>
      </c>
      <c r="E2089" s="13">
        <v>873.0</v>
      </c>
    </row>
    <row r="2090">
      <c r="A2090" s="13">
        <v>3573256.0</v>
      </c>
      <c r="B2090" s="4">
        <v>237.0</v>
      </c>
      <c r="C2090" s="13">
        <v>47.0</v>
      </c>
      <c r="D2090" s="13">
        <v>34.0</v>
      </c>
      <c r="E2090" s="13">
        <v>52.0</v>
      </c>
    </row>
    <row r="2091">
      <c r="A2091" s="13">
        <v>3578816.0</v>
      </c>
      <c r="B2091" s="4">
        <v>232.0</v>
      </c>
      <c r="C2091" s="13">
        <v>18.0</v>
      </c>
      <c r="D2091" s="13">
        <v>28.0</v>
      </c>
      <c r="E2091" s="13">
        <v>182.0</v>
      </c>
    </row>
    <row r="2092">
      <c r="A2092" s="13">
        <v>3524031.0</v>
      </c>
      <c r="B2092" s="4">
        <v>235.0</v>
      </c>
      <c r="C2092" s="13">
        <v>220.0</v>
      </c>
      <c r="D2092" s="13">
        <v>121.0</v>
      </c>
      <c r="E2092" s="13">
        <v>784.0</v>
      </c>
    </row>
    <row r="2093">
      <c r="A2093" s="13">
        <v>3517091.0</v>
      </c>
      <c r="B2093" s="4">
        <v>252.0</v>
      </c>
      <c r="C2093" s="13">
        <v>58.0</v>
      </c>
      <c r="D2093" s="13">
        <v>20.0</v>
      </c>
      <c r="E2093" s="13">
        <v>106.0</v>
      </c>
    </row>
    <row r="2094">
      <c r="A2094" s="13">
        <v>3525096.0</v>
      </c>
      <c r="B2094" s="4">
        <v>238.0</v>
      </c>
      <c r="C2094" s="13">
        <v>101.0</v>
      </c>
      <c r="D2094" s="13">
        <v>49.0</v>
      </c>
      <c r="E2094" s="13">
        <v>160.0</v>
      </c>
    </row>
    <row r="2095">
      <c r="A2095" s="13">
        <v>3575016.0</v>
      </c>
      <c r="B2095" s="4">
        <v>240.0</v>
      </c>
      <c r="C2095" s="13">
        <v>64.0</v>
      </c>
      <c r="D2095" s="13">
        <v>32.0</v>
      </c>
      <c r="E2095" s="13">
        <v>186.0</v>
      </c>
    </row>
    <row r="2096">
      <c r="A2096" s="13">
        <v>3524074.0</v>
      </c>
      <c r="B2096" s="4">
        <v>235.0</v>
      </c>
      <c r="C2096" s="13">
        <v>54.0</v>
      </c>
      <c r="D2096" s="13">
        <v>13.0</v>
      </c>
      <c r="E2096" s="13">
        <v>182.0</v>
      </c>
    </row>
    <row r="2097">
      <c r="A2097" s="13">
        <v>3528024.0</v>
      </c>
      <c r="B2097" s="4">
        <v>230.0</v>
      </c>
      <c r="C2097" s="13">
        <v>67.0</v>
      </c>
      <c r="D2097" s="13">
        <v>64.0</v>
      </c>
      <c r="E2097" s="13">
        <v>147.0</v>
      </c>
    </row>
    <row r="2098">
      <c r="A2098" s="13">
        <v>3504073.0</v>
      </c>
      <c r="B2098" s="4">
        <v>233.0</v>
      </c>
      <c r="C2098" s="13">
        <v>98.0</v>
      </c>
      <c r="D2098" s="13">
        <v>33.0</v>
      </c>
      <c r="E2098" s="13">
        <v>173.0</v>
      </c>
    </row>
    <row r="2099">
      <c r="A2099" s="13">
        <v>3509137.0</v>
      </c>
      <c r="B2099" s="4">
        <v>243.0</v>
      </c>
      <c r="C2099" s="13">
        <v>100.0</v>
      </c>
      <c r="D2099" s="13">
        <v>16.0</v>
      </c>
      <c r="E2099" s="13">
        <v>155.0</v>
      </c>
    </row>
    <row r="2100">
      <c r="A2100" s="13">
        <v>3510054.0</v>
      </c>
      <c r="B2100" s="4">
        <v>231.0</v>
      </c>
      <c r="C2100" s="13">
        <v>103.0</v>
      </c>
      <c r="D2100" s="13">
        <v>31.0</v>
      </c>
      <c r="E2100" s="13">
        <v>149.0</v>
      </c>
    </row>
    <row r="2101">
      <c r="A2101" s="13">
        <v>3578523.0</v>
      </c>
      <c r="B2101" s="4">
        <v>232.0</v>
      </c>
      <c r="C2101" s="13">
        <v>301.0</v>
      </c>
      <c r="D2101" s="13">
        <v>63.0</v>
      </c>
      <c r="E2101" s="13">
        <v>1176.0</v>
      </c>
    </row>
    <row r="2102">
      <c r="A2102" s="13">
        <v>3573044.0</v>
      </c>
      <c r="B2102" s="4">
        <v>251.0</v>
      </c>
      <c r="C2102" s="13">
        <v>200.0</v>
      </c>
      <c r="D2102" s="13">
        <v>63.0</v>
      </c>
      <c r="E2102" s="13">
        <v>763.0</v>
      </c>
    </row>
    <row r="2103">
      <c r="A2103" s="13">
        <v>3578780.0</v>
      </c>
      <c r="B2103" s="4">
        <v>232.0</v>
      </c>
      <c r="C2103" s="13">
        <v>36.0</v>
      </c>
      <c r="D2103" s="13">
        <v>63.0</v>
      </c>
      <c r="E2103" s="13">
        <v>194.0</v>
      </c>
    </row>
    <row r="2104">
      <c r="A2104" s="13">
        <v>3516016.0</v>
      </c>
      <c r="B2104" s="4">
        <v>247.0</v>
      </c>
      <c r="C2104" s="13">
        <v>131.0</v>
      </c>
      <c r="D2104" s="13">
        <v>102.0</v>
      </c>
      <c r="E2104" s="13">
        <v>328.0</v>
      </c>
    </row>
    <row r="2105">
      <c r="A2105" s="13">
        <v>3578773.0</v>
      </c>
      <c r="B2105" s="4">
        <v>232.0</v>
      </c>
      <c r="C2105" s="13">
        <v>64.0</v>
      </c>
      <c r="D2105" s="13">
        <v>19.0</v>
      </c>
      <c r="E2105" s="13">
        <v>66.0</v>
      </c>
    </row>
    <row r="2106">
      <c r="A2106" s="13">
        <v>3502123.0</v>
      </c>
      <c r="B2106" s="4">
        <v>255.0</v>
      </c>
      <c r="C2106" s="13">
        <v>172.0</v>
      </c>
      <c r="D2106" s="13">
        <v>70.0</v>
      </c>
      <c r="E2106" s="13">
        <v>313.0</v>
      </c>
    </row>
    <row r="2107">
      <c r="A2107" s="13">
        <v>3576036.0</v>
      </c>
      <c r="B2107" s="4">
        <v>256.0</v>
      </c>
      <c r="C2107" s="13">
        <v>125.0</v>
      </c>
      <c r="D2107" s="13">
        <v>37.0</v>
      </c>
      <c r="E2107" s="13">
        <v>393.0</v>
      </c>
    </row>
    <row r="2108">
      <c r="A2108" s="13">
        <v>3504068.0</v>
      </c>
      <c r="B2108" s="4">
        <v>233.0</v>
      </c>
      <c r="C2108" s="13">
        <v>114.0</v>
      </c>
      <c r="D2108" s="13">
        <v>43.0</v>
      </c>
      <c r="E2108" s="13">
        <v>332.0</v>
      </c>
    </row>
    <row r="2109">
      <c r="A2109" s="13">
        <v>3515135.0</v>
      </c>
      <c r="B2109" s="4">
        <v>239.0</v>
      </c>
      <c r="C2109" s="13">
        <v>50.0</v>
      </c>
      <c r="D2109" s="13">
        <v>34.0</v>
      </c>
      <c r="E2109" s="13">
        <v>70.0</v>
      </c>
    </row>
    <row r="2110">
      <c r="A2110" s="13">
        <v>3525093.0</v>
      </c>
      <c r="B2110" s="4">
        <v>238.0</v>
      </c>
      <c r="C2110" s="13">
        <v>104.0</v>
      </c>
      <c r="D2110" s="13">
        <v>61.0</v>
      </c>
      <c r="E2110" s="13">
        <v>316.0</v>
      </c>
    </row>
    <row r="2111">
      <c r="A2111" s="13">
        <v>3514058.0</v>
      </c>
      <c r="B2111" s="4">
        <v>240.0</v>
      </c>
      <c r="C2111" s="13">
        <v>183.0</v>
      </c>
      <c r="D2111" s="13">
        <v>90.0</v>
      </c>
      <c r="E2111" s="13">
        <v>320.0</v>
      </c>
    </row>
    <row r="2112">
      <c r="A2112" s="13">
        <v>3522047.0</v>
      </c>
      <c r="B2112" s="4">
        <v>245.0</v>
      </c>
      <c r="C2112" s="13">
        <v>103.0</v>
      </c>
      <c r="D2112" s="13">
        <v>31.0</v>
      </c>
      <c r="E2112" s="13">
        <v>104.0</v>
      </c>
    </row>
    <row r="2113">
      <c r="A2113" s="13">
        <v>3571146.0</v>
      </c>
      <c r="B2113" s="4">
        <v>250.0</v>
      </c>
      <c r="C2113" s="13">
        <v>101.0</v>
      </c>
      <c r="D2113" s="13">
        <v>55.0</v>
      </c>
      <c r="E2113" s="13">
        <v>96.0</v>
      </c>
    </row>
    <row r="2114">
      <c r="A2114" s="13">
        <v>3517089.0</v>
      </c>
      <c r="B2114" s="4">
        <v>252.0</v>
      </c>
      <c r="C2114" s="13">
        <v>126.0</v>
      </c>
      <c r="D2114" s="13">
        <v>32.0</v>
      </c>
      <c r="E2114" s="13">
        <v>265.0</v>
      </c>
    </row>
    <row r="2115">
      <c r="A2115" s="13">
        <v>3520015.0</v>
      </c>
      <c r="B2115" s="4">
        <v>241.0</v>
      </c>
      <c r="C2115" s="13">
        <v>28.0</v>
      </c>
      <c r="D2115" s="13">
        <v>16.0</v>
      </c>
      <c r="E2115" s="13">
        <v>87.0</v>
      </c>
    </row>
    <row r="2116">
      <c r="A2116" s="13">
        <v>3577098.0</v>
      </c>
      <c r="B2116" s="4">
        <v>246.0</v>
      </c>
      <c r="C2116" s="13">
        <v>128.0</v>
      </c>
      <c r="D2116" s="13">
        <v>37.0</v>
      </c>
      <c r="E2116" s="13">
        <v>182.0</v>
      </c>
    </row>
    <row r="2117">
      <c r="A2117" s="13">
        <v>3579030.0</v>
      </c>
      <c r="B2117" s="4">
        <v>248.0</v>
      </c>
      <c r="C2117" s="13">
        <v>250.0</v>
      </c>
      <c r="D2117" s="13">
        <v>74.0</v>
      </c>
      <c r="E2117" s="13">
        <v>523.0</v>
      </c>
    </row>
    <row r="2118">
      <c r="A2118" s="13">
        <v>3578031.0</v>
      </c>
      <c r="B2118" s="4">
        <v>232.0</v>
      </c>
      <c r="C2118" s="13">
        <v>100.0</v>
      </c>
      <c r="D2118" s="13">
        <v>77.0</v>
      </c>
      <c r="E2118" s="13">
        <v>316.0</v>
      </c>
    </row>
    <row r="2119">
      <c r="A2119" s="13">
        <v>3573254.0</v>
      </c>
      <c r="B2119" s="4">
        <v>251.0</v>
      </c>
      <c r="C2119" s="13">
        <v>62.0</v>
      </c>
      <c r="D2119" s="13">
        <v>22.0</v>
      </c>
      <c r="E2119" s="13">
        <v>66.0</v>
      </c>
    </row>
    <row r="2120">
      <c r="A2120" s="13">
        <v>3514060.0</v>
      </c>
      <c r="B2120" s="4">
        <v>240.0</v>
      </c>
      <c r="C2120" s="13">
        <v>23.0</v>
      </c>
      <c r="D2120" s="13">
        <v>11.0</v>
      </c>
      <c r="E2120" s="13">
        <v>23.0</v>
      </c>
    </row>
    <row r="2121">
      <c r="A2121" s="13">
        <v>3509101.0</v>
      </c>
      <c r="B2121" s="4">
        <v>243.0</v>
      </c>
      <c r="C2121" s="13">
        <v>50.0</v>
      </c>
      <c r="D2121" s="13">
        <v>17.0</v>
      </c>
      <c r="E2121" s="13">
        <v>58.0</v>
      </c>
    </row>
    <row r="2122">
      <c r="A2122" s="13">
        <v>3578144.0</v>
      </c>
      <c r="B2122" s="4">
        <v>232.0</v>
      </c>
      <c r="C2122" s="13">
        <v>114.0</v>
      </c>
      <c r="D2122" s="13">
        <v>36.0</v>
      </c>
      <c r="E2122" s="13">
        <v>184.0</v>
      </c>
    </row>
    <row r="2123">
      <c r="A2123" s="13">
        <v>3508056.0</v>
      </c>
      <c r="B2123" s="4">
        <v>260.0</v>
      </c>
      <c r="C2123" s="13">
        <v>102.0</v>
      </c>
      <c r="D2123" s="13">
        <v>30.0</v>
      </c>
      <c r="E2123" s="13">
        <v>247.0</v>
      </c>
    </row>
    <row r="2124">
      <c r="A2124" s="13">
        <v>3578782.0</v>
      </c>
      <c r="B2124" s="4">
        <v>232.0</v>
      </c>
      <c r="C2124" s="13">
        <v>52.0</v>
      </c>
      <c r="D2124" s="13">
        <v>14.0</v>
      </c>
      <c r="E2124" s="13">
        <v>82.0</v>
      </c>
    </row>
    <row r="2125">
      <c r="A2125" s="13">
        <v>3509151.0</v>
      </c>
      <c r="B2125" s="4">
        <v>243.0</v>
      </c>
      <c r="C2125" s="13">
        <v>101.0</v>
      </c>
      <c r="D2125" s="13">
        <v>27.0</v>
      </c>
      <c r="E2125" s="13">
        <v>182.0</v>
      </c>
    </row>
    <row r="2126">
      <c r="A2126" s="13">
        <v>3571122.0</v>
      </c>
      <c r="B2126" s="4">
        <v>250.0</v>
      </c>
      <c r="C2126" s="13">
        <v>218.0</v>
      </c>
      <c r="D2126" s="13">
        <v>62.0</v>
      </c>
      <c r="E2126" s="13">
        <v>312.0</v>
      </c>
    </row>
    <row r="2127">
      <c r="A2127" s="13">
        <v>3512035.0</v>
      </c>
      <c r="B2127" s="4">
        <v>235.0</v>
      </c>
      <c r="C2127" s="13">
        <v>106.0</v>
      </c>
      <c r="D2127" s="13">
        <v>26.0</v>
      </c>
      <c r="E2127" s="13">
        <v>165.0</v>
      </c>
    </row>
    <row r="2128">
      <c r="A2128" s="13">
        <v>3506063.0</v>
      </c>
      <c r="B2128" s="4">
        <v>244.0</v>
      </c>
      <c r="C2128" s="13">
        <v>106.0</v>
      </c>
      <c r="D2128" s="13">
        <v>31.0</v>
      </c>
      <c r="E2128" s="13">
        <v>83.0</v>
      </c>
    </row>
    <row r="2129">
      <c r="A2129" s="13">
        <v>3578808.0</v>
      </c>
      <c r="B2129" s="4">
        <v>232.0</v>
      </c>
      <c r="C2129" s="13">
        <v>106.0</v>
      </c>
      <c r="D2129" s="13">
        <v>91.0</v>
      </c>
      <c r="E2129" s="13">
        <v>182.0</v>
      </c>
    </row>
    <row r="2130">
      <c r="A2130" s="13">
        <v>3514036.0</v>
      </c>
      <c r="B2130" s="4">
        <v>240.0</v>
      </c>
      <c r="C2130" s="13">
        <v>397.0</v>
      </c>
      <c r="D2130" s="13">
        <v>47.0</v>
      </c>
      <c r="E2130" s="13">
        <v>713.0</v>
      </c>
    </row>
    <row r="2131">
      <c r="A2131" s="13">
        <v>3578731.0</v>
      </c>
      <c r="B2131" s="4">
        <v>232.0</v>
      </c>
      <c r="C2131" s="13">
        <v>12.0</v>
      </c>
      <c r="D2131" s="13">
        <v>17.0</v>
      </c>
      <c r="E2131" s="13">
        <v>109.0</v>
      </c>
    </row>
    <row r="2132">
      <c r="A2132" s="13">
        <v>3578779.0</v>
      </c>
      <c r="B2132" s="4">
        <v>232.0</v>
      </c>
      <c r="C2132" s="13">
        <v>41.0</v>
      </c>
      <c r="D2132" s="13">
        <v>21.0</v>
      </c>
      <c r="E2132" s="13">
        <v>70.0</v>
      </c>
    </row>
    <row r="2133">
      <c r="A2133" s="13">
        <v>3512037.0</v>
      </c>
      <c r="B2133" s="4">
        <v>253.0</v>
      </c>
      <c r="C2133" s="13">
        <v>103.0</v>
      </c>
      <c r="D2133" s="13">
        <v>27.0</v>
      </c>
      <c r="E2133" s="13">
        <v>242.0</v>
      </c>
    </row>
    <row r="2134">
      <c r="A2134" s="13">
        <v>3510108.0</v>
      </c>
      <c r="B2134" s="4">
        <v>231.0</v>
      </c>
      <c r="C2134" s="13">
        <v>63.0</v>
      </c>
      <c r="D2134" s="13">
        <v>21.0</v>
      </c>
      <c r="E2134" s="13">
        <v>63.0</v>
      </c>
    </row>
    <row r="2135">
      <c r="A2135" s="13">
        <v>3507230.0</v>
      </c>
      <c r="B2135" s="4">
        <v>237.0</v>
      </c>
      <c r="C2135" s="13">
        <v>50.0</v>
      </c>
      <c r="D2135" s="13">
        <v>25.0</v>
      </c>
      <c r="E2135" s="13">
        <v>162.0</v>
      </c>
    </row>
    <row r="2136">
      <c r="A2136" s="13">
        <v>3515121.0</v>
      </c>
      <c r="B2136" s="4">
        <v>239.0</v>
      </c>
      <c r="C2136" s="13">
        <v>157.0</v>
      </c>
      <c r="D2136" s="13">
        <v>54.0</v>
      </c>
      <c r="E2136" s="13">
        <v>740.0</v>
      </c>
    </row>
    <row r="2137">
      <c r="A2137" s="13">
        <v>3508055.0</v>
      </c>
      <c r="B2137" s="4">
        <v>260.0</v>
      </c>
      <c r="C2137" s="13">
        <v>101.0</v>
      </c>
      <c r="D2137" s="13">
        <v>44.0</v>
      </c>
      <c r="E2137" s="13">
        <v>163.0</v>
      </c>
    </row>
    <row r="2138">
      <c r="A2138" s="13">
        <v>3507105.0</v>
      </c>
      <c r="B2138" s="4">
        <v>237.0</v>
      </c>
      <c r="C2138" s="13">
        <v>56.0</v>
      </c>
      <c r="D2138" s="13">
        <v>25.0</v>
      </c>
      <c r="E2138" s="13">
        <v>160.0</v>
      </c>
    </row>
    <row r="2139">
      <c r="A2139" s="13">
        <v>3525092.0</v>
      </c>
      <c r="B2139" s="4">
        <v>238.0</v>
      </c>
      <c r="C2139" s="13">
        <v>50.0</v>
      </c>
      <c r="D2139" s="13">
        <v>33.0</v>
      </c>
      <c r="E2139" s="13">
        <v>147.0</v>
      </c>
    </row>
    <row r="2140">
      <c r="A2140" s="13">
        <v>3510107.0</v>
      </c>
      <c r="B2140" s="4">
        <v>231.0</v>
      </c>
      <c r="C2140" s="13">
        <v>71.0</v>
      </c>
      <c r="D2140" s="13">
        <v>22.0</v>
      </c>
      <c r="E2140" s="13">
        <v>90.0</v>
      </c>
    </row>
    <row r="2141">
      <c r="A2141" s="13">
        <v>3527026.0</v>
      </c>
      <c r="B2141" s="4">
        <v>249.0</v>
      </c>
      <c r="C2141" s="13">
        <v>61.0</v>
      </c>
      <c r="D2141" s="13">
        <v>23.0</v>
      </c>
      <c r="E2141" s="13">
        <v>182.0</v>
      </c>
    </row>
    <row r="2142">
      <c r="A2142" s="13">
        <v>3519012.0</v>
      </c>
      <c r="B2142" s="4">
        <v>263.0</v>
      </c>
      <c r="C2142" s="13">
        <v>104.0</v>
      </c>
      <c r="D2142" s="13">
        <v>28.0</v>
      </c>
      <c r="E2142" s="13">
        <v>203.0</v>
      </c>
    </row>
    <row r="2143">
      <c r="A2143" s="13">
        <v>3507099.0</v>
      </c>
      <c r="B2143" s="4">
        <v>237.0</v>
      </c>
      <c r="C2143" s="13">
        <v>111.0</v>
      </c>
      <c r="D2143" s="13">
        <v>37.0</v>
      </c>
      <c r="E2143" s="13">
        <v>157.0</v>
      </c>
    </row>
    <row r="2144">
      <c r="A2144" s="13">
        <v>3506025.0</v>
      </c>
      <c r="B2144" s="4">
        <v>244.0</v>
      </c>
      <c r="C2144" s="13">
        <v>170.0</v>
      </c>
      <c r="D2144" s="13">
        <v>53.0</v>
      </c>
      <c r="E2144" s="13">
        <v>381.0</v>
      </c>
    </row>
    <row r="2145">
      <c r="A2145" s="13">
        <v>3577074.0</v>
      </c>
      <c r="B2145" s="4">
        <v>246.0</v>
      </c>
      <c r="C2145" s="13">
        <v>153.0</v>
      </c>
      <c r="D2145" s="13">
        <v>29.0</v>
      </c>
      <c r="E2145" s="13">
        <v>409.0</v>
      </c>
    </row>
    <row r="2146">
      <c r="A2146" s="13">
        <v>3577086.0</v>
      </c>
      <c r="B2146" s="4">
        <v>246.0</v>
      </c>
      <c r="C2146" s="13">
        <v>117.0</v>
      </c>
      <c r="D2146" s="13">
        <v>55.0</v>
      </c>
      <c r="E2146" s="13">
        <v>128.0</v>
      </c>
    </row>
    <row r="2147">
      <c r="A2147" s="13">
        <v>3525021.0</v>
      </c>
      <c r="B2147" s="4">
        <v>238.0</v>
      </c>
      <c r="C2147" s="13">
        <v>203.0</v>
      </c>
      <c r="D2147" s="13">
        <v>105.0</v>
      </c>
      <c r="E2147" s="13">
        <v>488.0</v>
      </c>
    </row>
    <row r="2148">
      <c r="A2148" s="13">
        <v>3507108.0</v>
      </c>
      <c r="B2148" s="4">
        <v>237.0</v>
      </c>
      <c r="C2148" s="13">
        <v>153.0</v>
      </c>
      <c r="D2148" s="13">
        <v>72.0</v>
      </c>
      <c r="E2148" s="13">
        <v>538.0</v>
      </c>
    </row>
    <row r="2149">
      <c r="A2149" s="13">
        <v>3529025.0</v>
      </c>
      <c r="B2149" s="4">
        <v>258.0</v>
      </c>
      <c r="C2149" s="13">
        <v>153.0</v>
      </c>
      <c r="D2149" s="13">
        <v>29.0</v>
      </c>
      <c r="E2149" s="13">
        <v>198.0</v>
      </c>
    </row>
    <row r="2150">
      <c r="A2150" s="13">
        <v>3578791.0</v>
      </c>
      <c r="B2150" s="4">
        <v>232.0</v>
      </c>
      <c r="C2150" s="13">
        <v>39.0</v>
      </c>
      <c r="D2150" s="13">
        <v>23.0</v>
      </c>
      <c r="E2150" s="13">
        <v>101.0</v>
      </c>
    </row>
    <row r="2151">
      <c r="A2151" s="13">
        <v>3505044.0</v>
      </c>
      <c r="B2151" s="4">
        <v>236.0</v>
      </c>
      <c r="C2151" s="13">
        <v>62.0</v>
      </c>
      <c r="D2151" s="13">
        <v>18.0</v>
      </c>
      <c r="E2151" s="13">
        <v>62.0</v>
      </c>
    </row>
    <row r="2152">
      <c r="A2152" s="13">
        <v>3526030.0</v>
      </c>
      <c r="B2152" s="4">
        <v>227.0</v>
      </c>
      <c r="C2152" s="13">
        <v>25.0</v>
      </c>
      <c r="D2152" s="13">
        <v>13.0</v>
      </c>
      <c r="E2152" s="13">
        <v>19.0</v>
      </c>
    </row>
    <row r="2153">
      <c r="A2153" s="13">
        <v>3510102.0</v>
      </c>
      <c r="B2153" s="4">
        <v>231.0</v>
      </c>
      <c r="C2153" s="13">
        <v>120.0</v>
      </c>
      <c r="D2153" s="13">
        <v>34.0</v>
      </c>
      <c r="E2153" s="13">
        <v>139.0</v>
      </c>
    </row>
    <row r="2154">
      <c r="A2154" s="13">
        <v>3578560.0</v>
      </c>
      <c r="B2154" s="4">
        <v>232.0</v>
      </c>
      <c r="C2154" s="13">
        <v>243.0</v>
      </c>
      <c r="D2154" s="13">
        <v>59.0</v>
      </c>
      <c r="E2154" s="13">
        <v>556.0</v>
      </c>
    </row>
    <row r="2155">
      <c r="A2155" s="13">
        <v>3525099.0</v>
      </c>
      <c r="B2155" s="4">
        <v>238.0</v>
      </c>
      <c r="C2155" s="13">
        <v>55.0</v>
      </c>
      <c r="D2155" s="13">
        <v>24.0</v>
      </c>
      <c r="E2155" s="13">
        <v>74.0</v>
      </c>
    </row>
    <row r="2156">
      <c r="A2156" s="13">
        <v>3524048.0</v>
      </c>
      <c r="B2156" s="4">
        <v>235.0</v>
      </c>
      <c r="C2156" s="13">
        <v>66.0</v>
      </c>
      <c r="D2156" s="13">
        <v>20.0</v>
      </c>
      <c r="E2156" s="13">
        <v>54.0</v>
      </c>
    </row>
    <row r="2157">
      <c r="A2157" s="13">
        <v>3573066.0</v>
      </c>
      <c r="B2157" s="4">
        <v>251.0</v>
      </c>
      <c r="C2157" s="13">
        <v>200.0</v>
      </c>
      <c r="D2157" s="13">
        <v>104.0</v>
      </c>
      <c r="E2157" s="13">
        <v>410.0</v>
      </c>
    </row>
    <row r="2158">
      <c r="A2158" s="13">
        <v>3522061.0</v>
      </c>
      <c r="B2158" s="4">
        <v>245.0</v>
      </c>
      <c r="C2158" s="13">
        <v>95.0</v>
      </c>
      <c r="D2158" s="13">
        <v>22.0</v>
      </c>
      <c r="E2158" s="13">
        <v>178.0</v>
      </c>
    </row>
    <row r="2159">
      <c r="A2159" s="13">
        <v>3573262.0</v>
      </c>
      <c r="B2159" s="4">
        <v>251.0</v>
      </c>
      <c r="C2159" s="13">
        <v>100.0</v>
      </c>
      <c r="D2159" s="13">
        <v>96.0</v>
      </c>
      <c r="E2159" s="13">
        <v>363.0</v>
      </c>
    </row>
    <row r="2160">
      <c r="A2160" s="13">
        <v>3517109.0</v>
      </c>
      <c r="B2160" s="4">
        <v>252.0</v>
      </c>
      <c r="C2160" s="13">
        <v>101.0</v>
      </c>
      <c r="D2160" s="13">
        <v>35.0</v>
      </c>
      <c r="E2160" s="13">
        <v>182.0</v>
      </c>
    </row>
    <row r="2161">
      <c r="A2161" s="13">
        <v>3576076.0</v>
      </c>
      <c r="B2161" s="4">
        <v>256.0</v>
      </c>
      <c r="C2161" s="13">
        <v>103.0</v>
      </c>
      <c r="D2161" s="13">
        <v>37.0</v>
      </c>
      <c r="E2161" s="13">
        <v>153.0</v>
      </c>
    </row>
    <row r="2162">
      <c r="A2162" s="13">
        <v>3513025.0</v>
      </c>
      <c r="B2162" s="4">
        <v>234.0</v>
      </c>
      <c r="C2162" s="13">
        <v>50.0</v>
      </c>
      <c r="D2162" s="13">
        <v>19.0</v>
      </c>
      <c r="E2162" s="13">
        <v>73.0</v>
      </c>
    </row>
    <row r="2163">
      <c r="A2163" s="13">
        <v>3526045.0</v>
      </c>
      <c r="B2163" s="4">
        <v>227.0</v>
      </c>
      <c r="C2163" s="13">
        <v>30.0</v>
      </c>
      <c r="D2163" s="13">
        <v>14.0</v>
      </c>
      <c r="E2163" s="13">
        <v>182.0</v>
      </c>
    </row>
    <row r="2164">
      <c r="A2164" s="13">
        <v>3502145.0</v>
      </c>
      <c r="B2164" s="4">
        <v>255.0</v>
      </c>
      <c r="C2164" s="13">
        <v>50.0</v>
      </c>
      <c r="D2164" s="13">
        <v>20.0</v>
      </c>
      <c r="E2164" s="13">
        <v>105.0</v>
      </c>
    </row>
    <row r="2165">
      <c r="A2165" s="13">
        <v>3576051.0</v>
      </c>
      <c r="B2165" s="4">
        <v>256.0</v>
      </c>
      <c r="C2165" s="13">
        <v>102.0</v>
      </c>
      <c r="D2165" s="13">
        <v>46.0</v>
      </c>
      <c r="E2165" s="13">
        <v>188.0</v>
      </c>
    </row>
    <row r="2166">
      <c r="A2166" s="13">
        <v>3504070.0</v>
      </c>
      <c r="B2166" s="4">
        <v>233.0</v>
      </c>
      <c r="C2166" s="13">
        <v>114.0</v>
      </c>
      <c r="D2166" s="13">
        <v>36.0</v>
      </c>
      <c r="E2166" s="13">
        <v>186.0</v>
      </c>
    </row>
    <row r="2167">
      <c r="A2167" s="13">
        <v>3510103.0</v>
      </c>
      <c r="B2167" s="4">
        <v>231.0</v>
      </c>
      <c r="C2167" s="13">
        <v>207.0</v>
      </c>
      <c r="D2167" s="13">
        <v>102.0</v>
      </c>
      <c r="E2167" s="13">
        <v>650.0</v>
      </c>
    </row>
    <row r="2168">
      <c r="A2168" s="13">
        <v>3572073.0</v>
      </c>
      <c r="B2168" s="4">
        <v>262.0</v>
      </c>
      <c r="C2168" s="13">
        <v>90.0</v>
      </c>
      <c r="D2168" s="13">
        <v>48.0</v>
      </c>
      <c r="E2168" s="13">
        <v>90.0</v>
      </c>
    </row>
    <row r="2169">
      <c r="A2169" s="13">
        <v>3502157.0</v>
      </c>
      <c r="B2169" s="4">
        <v>255.0</v>
      </c>
      <c r="C2169" s="13">
        <v>74.0</v>
      </c>
      <c r="D2169" s="13">
        <v>19.0</v>
      </c>
      <c r="E2169" s="13">
        <v>182.0</v>
      </c>
    </row>
    <row r="2170">
      <c r="A2170" s="13">
        <v>3528041.0</v>
      </c>
      <c r="B2170" s="4">
        <v>230.0</v>
      </c>
      <c r="C2170" s="13">
        <v>28.0</v>
      </c>
      <c r="D2170" s="13">
        <v>14.0</v>
      </c>
      <c r="E2170" s="13">
        <v>182.0</v>
      </c>
    </row>
    <row r="2171">
      <c r="A2171" s="13">
        <v>3523015.0</v>
      </c>
      <c r="B2171" s="4">
        <v>254.0</v>
      </c>
      <c r="C2171" s="13">
        <v>408.0</v>
      </c>
      <c r="D2171" s="13">
        <v>108.0</v>
      </c>
      <c r="E2171" s="13">
        <v>1115.0</v>
      </c>
    </row>
    <row r="2172">
      <c r="A2172" s="13">
        <v>3506058.0</v>
      </c>
      <c r="B2172" s="4">
        <v>244.0</v>
      </c>
      <c r="C2172" s="13">
        <v>100.0</v>
      </c>
      <c r="D2172" s="13">
        <v>28.0</v>
      </c>
      <c r="E2172" s="13">
        <v>51.0</v>
      </c>
    </row>
    <row r="2173">
      <c r="A2173" s="13">
        <v>3571147.0</v>
      </c>
      <c r="B2173" s="4">
        <v>250.0</v>
      </c>
      <c r="C2173" s="13">
        <v>90.0</v>
      </c>
      <c r="D2173" s="13">
        <v>18.0</v>
      </c>
      <c r="E2173" s="13">
        <v>68.0</v>
      </c>
    </row>
    <row r="2174">
      <c r="A2174" s="13">
        <v>3579074.0</v>
      </c>
      <c r="B2174" s="4">
        <v>248.0</v>
      </c>
      <c r="C2174" s="13">
        <v>107.0</v>
      </c>
      <c r="D2174" s="13">
        <v>36.0</v>
      </c>
      <c r="E2174" s="13">
        <v>254.0</v>
      </c>
    </row>
    <row r="2175">
      <c r="A2175" s="13">
        <v>3578053.0</v>
      </c>
      <c r="B2175" s="4">
        <v>232.0</v>
      </c>
      <c r="C2175" s="13">
        <v>171.0</v>
      </c>
      <c r="D2175" s="13">
        <v>68.0</v>
      </c>
      <c r="E2175" s="13">
        <v>780.0</v>
      </c>
    </row>
    <row r="2176">
      <c r="A2176" s="13">
        <v>3517095.0</v>
      </c>
      <c r="B2176" s="4">
        <v>252.0</v>
      </c>
      <c r="C2176" s="13">
        <v>100.0</v>
      </c>
      <c r="D2176" s="13">
        <v>36.0</v>
      </c>
      <c r="E2176" s="13">
        <v>34.0</v>
      </c>
    </row>
    <row r="2177">
      <c r="A2177" s="13">
        <v>3515145.0</v>
      </c>
      <c r="B2177" s="4">
        <v>239.0</v>
      </c>
      <c r="C2177" s="13">
        <v>102.0</v>
      </c>
      <c r="D2177" s="13">
        <v>90.0</v>
      </c>
      <c r="E2177" s="13">
        <v>245.0</v>
      </c>
    </row>
    <row r="2178">
      <c r="A2178" s="13">
        <v>3509123.0</v>
      </c>
      <c r="B2178" s="4">
        <v>243.0</v>
      </c>
      <c r="C2178" s="13">
        <v>116.0</v>
      </c>
      <c r="D2178" s="13">
        <v>31.0</v>
      </c>
      <c r="E2178" s="13">
        <v>275.0</v>
      </c>
    </row>
    <row r="2179">
      <c r="A2179" s="13">
        <v>3578192.0</v>
      </c>
      <c r="B2179" s="4">
        <v>232.0</v>
      </c>
      <c r="C2179" s="13">
        <v>390.0</v>
      </c>
      <c r="D2179" s="13">
        <v>75.0</v>
      </c>
      <c r="E2179" s="13">
        <v>287.0</v>
      </c>
    </row>
    <row r="2180">
      <c r="A2180" s="13">
        <v>3572021.0</v>
      </c>
      <c r="B2180" s="4">
        <v>262.0</v>
      </c>
      <c r="C2180" s="13">
        <v>103.0</v>
      </c>
      <c r="D2180" s="13">
        <v>32.0</v>
      </c>
      <c r="E2180" s="13">
        <v>313.0</v>
      </c>
    </row>
    <row r="2181">
      <c r="A2181" s="13">
        <v>3506062.0</v>
      </c>
      <c r="B2181" s="4">
        <v>244.0</v>
      </c>
      <c r="C2181" s="13">
        <v>120.0</v>
      </c>
      <c r="D2181" s="13">
        <v>60.0</v>
      </c>
      <c r="E2181" s="13">
        <v>294.0</v>
      </c>
    </row>
    <row r="2182">
      <c r="A2182" s="13">
        <v>3515026.0</v>
      </c>
      <c r="B2182" s="4">
        <v>239.0</v>
      </c>
      <c r="C2182" s="13">
        <v>275.0</v>
      </c>
      <c r="D2182" s="13">
        <v>118.0</v>
      </c>
      <c r="E2182" s="13">
        <v>546.0</v>
      </c>
    </row>
    <row r="2183">
      <c r="A2183" s="13">
        <v>3578753.0</v>
      </c>
      <c r="B2183" s="4">
        <v>232.0</v>
      </c>
      <c r="C2183" s="13">
        <v>25.0</v>
      </c>
      <c r="D2183" s="13">
        <v>18.0</v>
      </c>
      <c r="E2183" s="13">
        <v>99.0</v>
      </c>
    </row>
    <row r="2184">
      <c r="A2184" s="13">
        <v>3524049.0</v>
      </c>
      <c r="B2184" s="4">
        <v>235.0</v>
      </c>
      <c r="C2184" s="13">
        <v>104.0</v>
      </c>
      <c r="D2184" s="13">
        <v>41.0</v>
      </c>
      <c r="E2184" s="13">
        <v>71.0</v>
      </c>
    </row>
    <row r="2185">
      <c r="A2185" s="13">
        <v>3574012.0</v>
      </c>
      <c r="B2185" s="4">
        <v>257.0</v>
      </c>
      <c r="C2185" s="13">
        <v>211.0</v>
      </c>
      <c r="D2185" s="13">
        <v>61.0</v>
      </c>
      <c r="E2185" s="13">
        <v>1010.0</v>
      </c>
    </row>
    <row r="2186">
      <c r="A2186" s="13">
        <v>3578213.0</v>
      </c>
      <c r="B2186" s="4">
        <v>232.0</v>
      </c>
      <c r="C2186" s="13">
        <v>207.0</v>
      </c>
      <c r="D2186" s="13">
        <v>37.0</v>
      </c>
      <c r="E2186" s="13">
        <v>390.0</v>
      </c>
    </row>
    <row r="2187">
      <c r="A2187" s="13">
        <v>3578766.0</v>
      </c>
      <c r="B2187" s="4">
        <v>232.0</v>
      </c>
      <c r="C2187" s="13">
        <v>130.0</v>
      </c>
      <c r="D2187" s="13">
        <v>71.0</v>
      </c>
      <c r="E2187" s="13">
        <v>267.0</v>
      </c>
    </row>
    <row r="2188">
      <c r="A2188" s="13">
        <v>3520012.0</v>
      </c>
      <c r="B2188" s="4">
        <v>241.0</v>
      </c>
      <c r="C2188" s="13">
        <v>272.0</v>
      </c>
      <c r="D2188" s="13">
        <v>41.0</v>
      </c>
      <c r="E2188" s="13">
        <v>119.0</v>
      </c>
    </row>
    <row r="2189">
      <c r="A2189" s="13">
        <v>3578246.0</v>
      </c>
      <c r="B2189" s="4">
        <v>232.0</v>
      </c>
      <c r="C2189" s="13">
        <v>59.0</v>
      </c>
      <c r="D2189" s="13">
        <v>21.0</v>
      </c>
      <c r="E2189" s="13">
        <v>157.0</v>
      </c>
    </row>
    <row r="2190">
      <c r="A2190" s="13">
        <v>3573246.0</v>
      </c>
      <c r="B2190" s="4">
        <v>251.0</v>
      </c>
      <c r="C2190" s="13">
        <v>135.0</v>
      </c>
      <c r="D2190" s="13">
        <v>55.0</v>
      </c>
      <c r="E2190" s="13">
        <v>348.0</v>
      </c>
    </row>
    <row r="2191">
      <c r="A2191" s="13">
        <v>3578774.0</v>
      </c>
      <c r="B2191" s="4">
        <v>232.0</v>
      </c>
      <c r="C2191" s="13">
        <v>40.0</v>
      </c>
      <c r="D2191" s="13">
        <v>16.0</v>
      </c>
      <c r="E2191" s="13">
        <v>49.0</v>
      </c>
    </row>
    <row r="2192">
      <c r="A2192" s="13">
        <v>3507262.0</v>
      </c>
      <c r="B2192" s="4">
        <v>237.0</v>
      </c>
      <c r="C2192" s="13">
        <v>56.0</v>
      </c>
      <c r="D2192" s="13">
        <v>14.0</v>
      </c>
      <c r="E2192" s="13">
        <v>182.0</v>
      </c>
    </row>
    <row r="2193">
      <c r="A2193" s="13">
        <v>3525076.0</v>
      </c>
      <c r="B2193" s="4">
        <v>238.0</v>
      </c>
      <c r="C2193" s="13">
        <v>123.0</v>
      </c>
      <c r="D2193" s="13">
        <v>80.0</v>
      </c>
      <c r="E2193" s="13">
        <v>372.0</v>
      </c>
    </row>
    <row r="2194">
      <c r="A2194" s="13">
        <v>3517093.0</v>
      </c>
      <c r="B2194" s="4">
        <v>252.0</v>
      </c>
      <c r="C2194" s="13">
        <v>70.0</v>
      </c>
      <c r="D2194" s="13">
        <v>23.0</v>
      </c>
      <c r="E2194" s="13">
        <v>150.0</v>
      </c>
    </row>
    <row r="2195">
      <c r="A2195" s="13">
        <v>3578784.0</v>
      </c>
      <c r="B2195" s="4">
        <v>232.0</v>
      </c>
      <c r="C2195" s="13">
        <v>27.0</v>
      </c>
      <c r="D2195" s="13">
        <v>20.0</v>
      </c>
      <c r="E2195" s="13">
        <v>50.0</v>
      </c>
    </row>
    <row r="2196">
      <c r="A2196" s="13">
        <v>3510106.0</v>
      </c>
      <c r="B2196" s="4">
        <v>231.0</v>
      </c>
      <c r="C2196" s="13">
        <v>152.0</v>
      </c>
      <c r="D2196" s="13">
        <v>48.0</v>
      </c>
      <c r="E2196" s="13">
        <v>172.0</v>
      </c>
    </row>
    <row r="2197">
      <c r="A2197" s="13">
        <v>3571020.0</v>
      </c>
      <c r="B2197" s="4">
        <v>250.0</v>
      </c>
      <c r="C2197" s="13">
        <v>136.0</v>
      </c>
      <c r="D2197" s="13">
        <v>31.0</v>
      </c>
      <c r="E2197" s="13">
        <v>99.0</v>
      </c>
    </row>
    <row r="2198">
      <c r="A2198" s="13">
        <v>3524044.0</v>
      </c>
      <c r="B2198" s="4">
        <v>235.0</v>
      </c>
      <c r="C2198" s="13">
        <v>122.0</v>
      </c>
      <c r="D2198" s="13">
        <v>24.0</v>
      </c>
      <c r="E2198" s="13">
        <v>116.0</v>
      </c>
    </row>
    <row r="2199">
      <c r="A2199" s="13">
        <v>3578785.0</v>
      </c>
      <c r="B2199" s="4">
        <v>232.0</v>
      </c>
      <c r="C2199" s="13">
        <v>110.0</v>
      </c>
      <c r="D2199" s="13">
        <v>41.0</v>
      </c>
      <c r="E2199" s="13">
        <v>294.0</v>
      </c>
    </row>
    <row r="2200">
      <c r="A2200" s="13">
        <v>3525098.0</v>
      </c>
      <c r="B2200" s="4">
        <v>238.0</v>
      </c>
      <c r="C2200" s="13">
        <v>52.0</v>
      </c>
      <c r="D2200" s="13">
        <v>22.0</v>
      </c>
      <c r="E2200" s="13">
        <v>23.0</v>
      </c>
    </row>
    <row r="2201">
      <c r="A2201" s="13">
        <v>3512012.0</v>
      </c>
      <c r="B2201" s="4">
        <v>253.0</v>
      </c>
      <c r="C2201" s="13">
        <v>225.0</v>
      </c>
      <c r="D2201" s="13">
        <v>109.0</v>
      </c>
      <c r="E2201" s="13">
        <v>960.0</v>
      </c>
    </row>
    <row r="2202">
      <c r="A2202" s="13">
        <v>3578582.0</v>
      </c>
      <c r="B2202" s="4">
        <v>232.0</v>
      </c>
      <c r="C2202" s="13">
        <v>202.0</v>
      </c>
      <c r="D2202" s="13">
        <v>48.0</v>
      </c>
      <c r="E2202" s="13">
        <v>446.0</v>
      </c>
    </row>
    <row r="2203">
      <c r="A2203" s="13">
        <v>3507102.0</v>
      </c>
      <c r="B2203" s="4">
        <v>237.0</v>
      </c>
      <c r="C2203" s="13">
        <v>52.0</v>
      </c>
      <c r="D2203" s="13">
        <v>30.0</v>
      </c>
      <c r="E2203" s="13">
        <v>145.0</v>
      </c>
    </row>
    <row r="2204">
      <c r="A2204" s="13">
        <v>3517021.0</v>
      </c>
      <c r="B2204" s="4">
        <v>252.0</v>
      </c>
      <c r="C2204" s="13">
        <v>126.0</v>
      </c>
      <c r="D2204" s="13">
        <v>46.0</v>
      </c>
      <c r="E2204" s="13">
        <v>187.0</v>
      </c>
    </row>
    <row r="2205">
      <c r="A2205" s="13">
        <v>3507098.0</v>
      </c>
      <c r="B2205" s="4">
        <v>237.0</v>
      </c>
      <c r="C2205" s="13">
        <v>105.0</v>
      </c>
      <c r="D2205" s="13">
        <v>41.0</v>
      </c>
      <c r="E2205" s="13">
        <v>447.0</v>
      </c>
    </row>
    <row r="2206">
      <c r="A2206" s="13">
        <v>3503022.0</v>
      </c>
      <c r="B2206" s="4">
        <v>264.0</v>
      </c>
      <c r="C2206" s="13">
        <v>49.0</v>
      </c>
      <c r="D2206" s="13">
        <v>22.0</v>
      </c>
      <c r="E2206" s="13">
        <v>123.0</v>
      </c>
    </row>
    <row r="2207">
      <c r="A2207" s="13">
        <v>3516073.0</v>
      </c>
      <c r="B2207" s="4">
        <v>247.0</v>
      </c>
      <c r="C2207" s="13">
        <v>145.0</v>
      </c>
      <c r="D2207" s="13">
        <v>23.0</v>
      </c>
      <c r="E2207" s="13">
        <v>348.0</v>
      </c>
    </row>
    <row r="2208">
      <c r="A2208" s="13">
        <v>3516032.0</v>
      </c>
      <c r="B2208" s="4">
        <v>247.0</v>
      </c>
      <c r="C2208" s="13">
        <v>107.0</v>
      </c>
      <c r="D2208" s="13">
        <v>32.0</v>
      </c>
      <c r="E2208" s="13">
        <v>151.0</v>
      </c>
    </row>
    <row r="2209">
      <c r="A2209" s="13">
        <v>3515122.0</v>
      </c>
      <c r="B2209" s="4">
        <v>239.0</v>
      </c>
      <c r="C2209" s="13">
        <v>200.0</v>
      </c>
      <c r="D2209" s="13">
        <v>55.0</v>
      </c>
      <c r="E2209" s="13">
        <v>497.0</v>
      </c>
    </row>
    <row r="2210">
      <c r="A2210" s="13">
        <v>3515137.0</v>
      </c>
      <c r="B2210" s="4">
        <v>239.0</v>
      </c>
      <c r="C2210" s="13">
        <v>31.0</v>
      </c>
      <c r="D2210" s="13">
        <v>18.0</v>
      </c>
      <c r="E2210" s="13">
        <v>30.0</v>
      </c>
    </row>
    <row r="2211">
      <c r="A2211" s="13">
        <v>3511024.0</v>
      </c>
      <c r="B2211" s="4">
        <v>259.0</v>
      </c>
      <c r="C2211" s="13">
        <v>49.0</v>
      </c>
      <c r="D2211" s="13">
        <v>16.0</v>
      </c>
      <c r="E2211" s="13">
        <v>182.0</v>
      </c>
    </row>
    <row r="2212">
      <c r="A2212" s="13">
        <v>3523052.0</v>
      </c>
      <c r="B2212" s="4">
        <v>254.0</v>
      </c>
      <c r="C2212" s="13">
        <v>68.0</v>
      </c>
      <c r="D2212" s="13">
        <v>54.0</v>
      </c>
      <c r="E2212" s="13">
        <v>189.0</v>
      </c>
    </row>
    <row r="2213">
      <c r="A2213" s="13">
        <v>3508053.0</v>
      </c>
      <c r="B2213" s="4">
        <v>260.0</v>
      </c>
      <c r="C2213" s="13">
        <v>102.0</v>
      </c>
      <c r="D2213" s="13">
        <v>84.0</v>
      </c>
      <c r="E2213" s="13">
        <v>289.0</v>
      </c>
    </row>
    <row r="2214">
      <c r="A2214" s="13">
        <v>3578086.0</v>
      </c>
      <c r="B2214" s="4">
        <v>232.0</v>
      </c>
      <c r="C2214" s="13">
        <v>226.0</v>
      </c>
      <c r="D2214" s="13">
        <v>110.0</v>
      </c>
      <c r="E2214" s="13">
        <v>651.0</v>
      </c>
    </row>
    <row r="2215">
      <c r="A2215" s="13">
        <v>3524043.0</v>
      </c>
      <c r="B2215" s="4">
        <v>235.0</v>
      </c>
      <c r="C2215" s="13">
        <v>44.0</v>
      </c>
      <c r="D2215" s="13">
        <v>15.0</v>
      </c>
      <c r="E2215" s="13">
        <v>90.0</v>
      </c>
    </row>
    <row r="2216">
      <c r="A2216" s="13">
        <v>3507117.0</v>
      </c>
      <c r="B2216" s="4">
        <v>237.0</v>
      </c>
      <c r="C2216" s="13">
        <v>100.0</v>
      </c>
      <c r="D2216" s="13">
        <v>32.0</v>
      </c>
      <c r="E2216" s="13">
        <v>149.0</v>
      </c>
    </row>
    <row r="2217">
      <c r="A2217" s="13">
        <v>3526046.0</v>
      </c>
      <c r="B2217" s="4">
        <v>227.0</v>
      </c>
      <c r="C2217" s="13">
        <v>25.0</v>
      </c>
      <c r="D2217" s="13">
        <v>11.0</v>
      </c>
      <c r="E2217" s="13">
        <v>182.0</v>
      </c>
    </row>
    <row r="2218">
      <c r="A2218" s="13">
        <v>3672003.0</v>
      </c>
      <c r="B2218" s="4">
        <v>265.0</v>
      </c>
      <c r="C2218" s="13">
        <v>30.0</v>
      </c>
      <c r="D2218" s="13">
        <v>29.0</v>
      </c>
      <c r="E2218" s="13">
        <v>182.0</v>
      </c>
    </row>
    <row r="2219">
      <c r="A2219" s="13">
        <v>3604050.0</v>
      </c>
      <c r="B2219" s="4">
        <v>266.0</v>
      </c>
      <c r="C2219" s="13">
        <v>61.0</v>
      </c>
      <c r="D2219" s="13">
        <v>20.0</v>
      </c>
      <c r="E2219" s="13">
        <v>65.0</v>
      </c>
    </row>
    <row r="2220">
      <c r="A2220" s="13">
        <v>3602011.0</v>
      </c>
      <c r="B2220" s="4">
        <v>267.0</v>
      </c>
      <c r="C2220" s="13">
        <v>310.0</v>
      </c>
      <c r="D2220" s="13">
        <v>73.0</v>
      </c>
      <c r="E2220" s="13">
        <v>633.0</v>
      </c>
    </row>
    <row r="2221">
      <c r="A2221" s="13">
        <v>3603181.0</v>
      </c>
      <c r="B2221" s="4">
        <v>268.0</v>
      </c>
      <c r="C2221" s="13">
        <v>210.0</v>
      </c>
      <c r="D2221" s="13">
        <v>77.0</v>
      </c>
      <c r="E2221" s="13">
        <v>660.0</v>
      </c>
    </row>
    <row r="2222">
      <c r="A2222" s="13">
        <v>3674157.0</v>
      </c>
      <c r="B2222" s="4">
        <v>269.0</v>
      </c>
      <c r="C2222" s="13">
        <v>200.0</v>
      </c>
      <c r="D2222" s="13">
        <v>78.0</v>
      </c>
      <c r="E2222" s="13">
        <v>263.0</v>
      </c>
    </row>
    <row r="2223">
      <c r="A2223" s="13">
        <v>3671043.0</v>
      </c>
      <c r="B2223" s="4">
        <v>270.0</v>
      </c>
      <c r="C2223" s="13">
        <v>155.0</v>
      </c>
      <c r="D2223" s="13">
        <v>35.0</v>
      </c>
      <c r="E2223" s="13">
        <v>452.0</v>
      </c>
    </row>
    <row r="2224">
      <c r="A2224" s="13">
        <v>3671209.0</v>
      </c>
      <c r="B2224" s="4">
        <v>270.0</v>
      </c>
      <c r="C2224" s="13">
        <v>184.0</v>
      </c>
      <c r="D2224" s="13">
        <v>30.0</v>
      </c>
      <c r="E2224" s="13">
        <v>241.0</v>
      </c>
    </row>
    <row r="2225">
      <c r="A2225" s="13">
        <v>3671082.0</v>
      </c>
      <c r="B2225" s="4">
        <v>270.0</v>
      </c>
      <c r="C2225" s="13">
        <v>101.0</v>
      </c>
      <c r="D2225" s="13">
        <v>33.0</v>
      </c>
      <c r="E2225" s="13">
        <v>117.0</v>
      </c>
    </row>
    <row r="2226">
      <c r="A2226" s="13">
        <v>3603193.0</v>
      </c>
      <c r="B2226" s="4">
        <v>268.0</v>
      </c>
      <c r="C2226" s="13">
        <v>105.0</v>
      </c>
      <c r="D2226" s="13">
        <v>31.0</v>
      </c>
      <c r="E2226" s="13">
        <v>153.0</v>
      </c>
    </row>
    <row r="2227">
      <c r="A2227" s="13">
        <v>3601034.0</v>
      </c>
      <c r="B2227" s="4">
        <v>271.0</v>
      </c>
      <c r="C2227" s="13">
        <v>64.0</v>
      </c>
      <c r="D2227" s="13">
        <v>14.0</v>
      </c>
      <c r="E2227" s="13">
        <v>76.0</v>
      </c>
    </row>
    <row r="2228">
      <c r="A2228" s="13">
        <v>3674008.0</v>
      </c>
      <c r="B2228" s="4">
        <v>269.0</v>
      </c>
      <c r="C2228" s="13">
        <v>25.0</v>
      </c>
      <c r="D2228" s="13">
        <v>18.0</v>
      </c>
      <c r="E2228" s="13">
        <v>60.0</v>
      </c>
    </row>
    <row r="2229">
      <c r="A2229" s="13">
        <v>3604013.0</v>
      </c>
      <c r="B2229" s="4">
        <v>266.0</v>
      </c>
      <c r="C2229" s="13">
        <v>464.0</v>
      </c>
      <c r="D2229" s="13">
        <v>45.0</v>
      </c>
      <c r="E2229" s="13">
        <v>724.0</v>
      </c>
    </row>
    <row r="2230">
      <c r="A2230" s="13">
        <v>3671146.0</v>
      </c>
      <c r="B2230" s="4">
        <v>270.0</v>
      </c>
      <c r="C2230" s="13">
        <v>199.0</v>
      </c>
      <c r="D2230" s="13">
        <v>84.0</v>
      </c>
      <c r="E2230" s="13">
        <v>454.0</v>
      </c>
    </row>
    <row r="2231">
      <c r="A2231" s="13">
        <v>3603191.0</v>
      </c>
      <c r="B2231" s="4">
        <v>268.0</v>
      </c>
      <c r="C2231" s="13">
        <v>135.0</v>
      </c>
      <c r="D2231" s="13">
        <v>70.0</v>
      </c>
      <c r="E2231" s="13">
        <v>274.0</v>
      </c>
    </row>
    <row r="2232">
      <c r="A2232" s="13">
        <v>3674022.0</v>
      </c>
      <c r="B2232" s="4">
        <v>269.0</v>
      </c>
      <c r="C2232" s="13">
        <v>102.0</v>
      </c>
      <c r="D2232" s="13">
        <v>34.0</v>
      </c>
      <c r="E2232" s="13">
        <v>11.0</v>
      </c>
    </row>
    <row r="2233">
      <c r="A2233" s="13">
        <v>3602045.0</v>
      </c>
      <c r="B2233" s="4">
        <v>267.0</v>
      </c>
      <c r="C2233" s="13">
        <v>192.0</v>
      </c>
      <c r="D2233" s="13">
        <v>52.0</v>
      </c>
      <c r="E2233" s="13">
        <v>145.0</v>
      </c>
    </row>
    <row r="2234">
      <c r="A2234" s="13">
        <v>3671203.0</v>
      </c>
      <c r="B2234" s="4">
        <v>270.0</v>
      </c>
      <c r="C2234" s="13">
        <v>180.0</v>
      </c>
      <c r="D2234" s="13">
        <v>110.0</v>
      </c>
      <c r="E2234" s="13">
        <v>791.0</v>
      </c>
    </row>
    <row r="2235">
      <c r="A2235" s="13">
        <v>3603023.0</v>
      </c>
      <c r="B2235" s="4">
        <v>268.0</v>
      </c>
      <c r="C2235" s="13">
        <v>104.0</v>
      </c>
      <c r="D2235" s="13">
        <v>49.0</v>
      </c>
      <c r="E2235" s="13">
        <v>202.0</v>
      </c>
    </row>
    <row r="2236">
      <c r="A2236" s="13">
        <v>3674005.0</v>
      </c>
      <c r="B2236" s="4">
        <v>269.0</v>
      </c>
      <c r="C2236" s="13">
        <v>179.0</v>
      </c>
      <c r="D2236" s="13">
        <v>106.0</v>
      </c>
      <c r="E2236" s="13">
        <v>452.0</v>
      </c>
    </row>
    <row r="2237">
      <c r="A2237" s="13">
        <v>3673004.0</v>
      </c>
      <c r="B2237" s="4">
        <v>272.0</v>
      </c>
      <c r="C2237" s="13">
        <v>501.0</v>
      </c>
      <c r="D2237" s="13">
        <v>83.0</v>
      </c>
      <c r="E2237" s="13">
        <v>346.0</v>
      </c>
    </row>
    <row r="2238">
      <c r="A2238" s="13">
        <v>3671214.0</v>
      </c>
      <c r="B2238" s="4">
        <v>270.0</v>
      </c>
      <c r="C2238" s="13">
        <v>78.0</v>
      </c>
      <c r="D2238" s="13">
        <v>48.0</v>
      </c>
      <c r="E2238" s="13">
        <v>191.0</v>
      </c>
    </row>
    <row r="2239">
      <c r="A2239" s="13">
        <v>3671065.0</v>
      </c>
      <c r="B2239" s="4">
        <v>270.0</v>
      </c>
      <c r="C2239" s="13">
        <v>205.0</v>
      </c>
      <c r="D2239" s="13">
        <v>108.0</v>
      </c>
      <c r="E2239" s="13">
        <v>730.0</v>
      </c>
    </row>
    <row r="2240">
      <c r="A2240" s="13">
        <v>3674021.0</v>
      </c>
      <c r="B2240" s="4">
        <v>269.0</v>
      </c>
      <c r="C2240" s="13">
        <v>42.0</v>
      </c>
      <c r="D2240" s="13">
        <v>44.0</v>
      </c>
      <c r="E2240" s="13">
        <v>44.0</v>
      </c>
    </row>
    <row r="2241">
      <c r="A2241" s="13">
        <v>3673047.0</v>
      </c>
      <c r="B2241" s="4">
        <v>272.0</v>
      </c>
      <c r="C2241" s="13">
        <v>52.0</v>
      </c>
      <c r="D2241" s="13">
        <v>22.0</v>
      </c>
      <c r="E2241" s="13">
        <v>182.0</v>
      </c>
    </row>
    <row r="2242">
      <c r="A2242" s="13">
        <v>3671208.0</v>
      </c>
      <c r="B2242" s="4">
        <v>270.0</v>
      </c>
      <c r="C2242" s="13">
        <v>234.0</v>
      </c>
      <c r="D2242" s="13">
        <v>55.0</v>
      </c>
      <c r="E2242" s="13">
        <v>548.0</v>
      </c>
    </row>
    <row r="2243">
      <c r="A2243" s="13">
        <v>3601037.0</v>
      </c>
      <c r="B2243" s="4">
        <v>271.0</v>
      </c>
      <c r="C2243" s="13">
        <v>76.0</v>
      </c>
      <c r="D2243" s="13">
        <v>23.0</v>
      </c>
      <c r="E2243" s="13">
        <v>33.0</v>
      </c>
    </row>
    <row r="2244">
      <c r="A2244" s="13">
        <v>3674206.0</v>
      </c>
      <c r="B2244" s="4">
        <v>269.0</v>
      </c>
      <c r="C2244" s="13">
        <v>25.0</v>
      </c>
      <c r="D2244" s="13">
        <v>9.0</v>
      </c>
      <c r="E2244" s="13">
        <v>182.0</v>
      </c>
    </row>
    <row r="2245">
      <c r="A2245" s="13">
        <v>3603188.0</v>
      </c>
      <c r="B2245" s="4">
        <v>270.0</v>
      </c>
      <c r="C2245" s="13">
        <v>82.0</v>
      </c>
      <c r="D2245" s="13">
        <v>40.0</v>
      </c>
      <c r="E2245" s="13">
        <v>52.0</v>
      </c>
    </row>
    <row r="2246">
      <c r="A2246" s="13">
        <v>3603176.0</v>
      </c>
      <c r="B2246" s="4">
        <v>268.0</v>
      </c>
      <c r="C2246" s="13">
        <v>88.0</v>
      </c>
      <c r="D2246" s="13">
        <v>48.0</v>
      </c>
      <c r="E2246" s="13">
        <v>135.0</v>
      </c>
    </row>
    <row r="2247">
      <c r="A2247" s="13">
        <v>3671222.0</v>
      </c>
      <c r="B2247" s="4">
        <v>270.0</v>
      </c>
      <c r="C2247" s="13">
        <v>38.0</v>
      </c>
      <c r="D2247" s="13">
        <v>21.0</v>
      </c>
      <c r="E2247" s="13">
        <v>68.0</v>
      </c>
    </row>
    <row r="2248">
      <c r="A2248" s="13">
        <v>3604035.0</v>
      </c>
      <c r="B2248" s="4">
        <v>272.0</v>
      </c>
      <c r="C2248" s="13">
        <v>112.0</v>
      </c>
      <c r="D2248" s="13">
        <v>41.0</v>
      </c>
      <c r="E2248" s="13">
        <v>301.0</v>
      </c>
    </row>
    <row r="2249">
      <c r="A2249" s="13">
        <v>3603169.0</v>
      </c>
      <c r="B2249" s="4">
        <v>268.0</v>
      </c>
      <c r="C2249" s="13">
        <v>165.0</v>
      </c>
      <c r="D2249" s="13">
        <v>39.0</v>
      </c>
      <c r="E2249" s="13">
        <v>271.0</v>
      </c>
    </row>
    <row r="2250">
      <c r="A2250" s="13">
        <v>3603047.0</v>
      </c>
      <c r="B2250" s="4">
        <v>268.0</v>
      </c>
      <c r="C2250" s="13">
        <v>80.0</v>
      </c>
      <c r="D2250" s="13">
        <v>20.0</v>
      </c>
      <c r="E2250" s="13">
        <v>36.0</v>
      </c>
    </row>
    <row r="2251">
      <c r="A2251" s="13">
        <v>3601048.0</v>
      </c>
      <c r="B2251" s="4">
        <v>271.0</v>
      </c>
      <c r="C2251" s="13">
        <v>72.0</v>
      </c>
      <c r="D2251" s="13">
        <v>23.0</v>
      </c>
      <c r="E2251" s="13">
        <v>182.0</v>
      </c>
    </row>
    <row r="2252">
      <c r="A2252" s="13">
        <v>3672022.0</v>
      </c>
      <c r="B2252" s="4">
        <v>265.0</v>
      </c>
      <c r="C2252" s="13">
        <v>233.0</v>
      </c>
      <c r="D2252" s="13">
        <v>92.0</v>
      </c>
      <c r="E2252" s="13">
        <v>489.0</v>
      </c>
    </row>
    <row r="2253">
      <c r="A2253" s="13">
        <v>3674020.0</v>
      </c>
      <c r="B2253" s="4">
        <v>269.0</v>
      </c>
      <c r="C2253" s="13">
        <v>100.0</v>
      </c>
      <c r="D2253" s="13">
        <v>90.0</v>
      </c>
      <c r="E2253" s="13">
        <v>129.0</v>
      </c>
    </row>
    <row r="2254">
      <c r="A2254" s="13">
        <v>3674205.0</v>
      </c>
      <c r="B2254" s="4">
        <v>269.0</v>
      </c>
      <c r="C2254" s="13">
        <v>99.0</v>
      </c>
      <c r="D2254" s="13">
        <v>36.0</v>
      </c>
      <c r="E2254" s="13">
        <v>182.0</v>
      </c>
    </row>
    <row r="2255">
      <c r="A2255" s="13">
        <v>3603082.0</v>
      </c>
      <c r="B2255" s="4">
        <v>269.0</v>
      </c>
      <c r="C2255" s="13">
        <v>107.0</v>
      </c>
      <c r="D2255" s="13">
        <v>47.0</v>
      </c>
      <c r="E2255" s="13">
        <v>146.0</v>
      </c>
    </row>
    <row r="2256">
      <c r="A2256" s="13">
        <v>3671216.0</v>
      </c>
      <c r="B2256" s="4">
        <v>269.0</v>
      </c>
      <c r="C2256" s="13">
        <v>100.0</v>
      </c>
      <c r="D2256" s="13">
        <v>32.0</v>
      </c>
      <c r="E2256" s="13">
        <v>243.0</v>
      </c>
    </row>
    <row r="2257">
      <c r="A2257" s="13">
        <v>3671080.0</v>
      </c>
      <c r="B2257" s="4">
        <v>270.0</v>
      </c>
      <c r="C2257" s="13">
        <v>222.0</v>
      </c>
      <c r="D2257" s="13">
        <v>71.0</v>
      </c>
      <c r="E2257" s="13">
        <v>912.0</v>
      </c>
    </row>
    <row r="2258">
      <c r="A2258" s="13">
        <v>3674003.0</v>
      </c>
      <c r="B2258" s="4">
        <v>269.0</v>
      </c>
      <c r="C2258" s="13">
        <v>36.0</v>
      </c>
      <c r="D2258" s="13">
        <v>17.0</v>
      </c>
      <c r="E2258" s="13">
        <v>55.0</v>
      </c>
    </row>
    <row r="2259">
      <c r="A2259" s="13">
        <v>3671217.0</v>
      </c>
      <c r="B2259" s="4">
        <v>270.0</v>
      </c>
      <c r="C2259" s="13">
        <v>28.0</v>
      </c>
      <c r="D2259" s="13">
        <v>19.0</v>
      </c>
      <c r="E2259" s="13">
        <v>52.0</v>
      </c>
    </row>
    <row r="2260">
      <c r="A2260" s="13">
        <v>3603168.0</v>
      </c>
      <c r="B2260" s="4">
        <v>268.0</v>
      </c>
      <c r="C2260" s="13">
        <v>55.0</v>
      </c>
      <c r="D2260" s="13">
        <v>29.0</v>
      </c>
      <c r="E2260" s="13">
        <v>67.0</v>
      </c>
    </row>
    <row r="2261">
      <c r="A2261" s="13">
        <v>3671218.0</v>
      </c>
      <c r="B2261" s="4">
        <v>270.0</v>
      </c>
      <c r="C2261" s="13">
        <v>35.0</v>
      </c>
      <c r="D2261" s="13">
        <v>19.0</v>
      </c>
      <c r="E2261" s="13">
        <v>79.0</v>
      </c>
    </row>
    <row r="2262">
      <c r="A2262" s="13">
        <v>3603178.0</v>
      </c>
      <c r="B2262" s="4">
        <v>268.0</v>
      </c>
      <c r="C2262" s="13">
        <v>29.0</v>
      </c>
      <c r="D2262" s="13">
        <v>20.0</v>
      </c>
      <c r="E2262" s="13">
        <v>111.0</v>
      </c>
    </row>
    <row r="2263">
      <c r="A2263" s="13">
        <v>3603010.0</v>
      </c>
      <c r="B2263" s="4">
        <v>268.0</v>
      </c>
      <c r="C2263" s="13">
        <v>329.0</v>
      </c>
      <c r="D2263" s="13">
        <v>138.0</v>
      </c>
      <c r="E2263" s="13">
        <v>1344.0</v>
      </c>
    </row>
    <row r="2264">
      <c r="A2264" s="13">
        <v>3603173.0</v>
      </c>
      <c r="B2264" s="4">
        <v>268.0</v>
      </c>
      <c r="C2264" s="13">
        <v>77.0</v>
      </c>
      <c r="D2264" s="13">
        <v>16.0</v>
      </c>
      <c r="E2264" s="13">
        <v>82.0</v>
      </c>
    </row>
    <row r="2265">
      <c r="A2265" s="13">
        <v>3671221.0</v>
      </c>
      <c r="B2265" s="4">
        <v>270.0</v>
      </c>
      <c r="C2265" s="13">
        <v>38.0</v>
      </c>
      <c r="D2265" s="13">
        <v>11.0</v>
      </c>
      <c r="E2265" s="13">
        <v>46.0</v>
      </c>
    </row>
    <row r="2266">
      <c r="A2266" s="13">
        <v>3602012.0</v>
      </c>
      <c r="B2266" s="4">
        <v>267.0</v>
      </c>
      <c r="C2266" s="13">
        <v>156.0</v>
      </c>
      <c r="D2266" s="13">
        <v>31.0</v>
      </c>
      <c r="E2266" s="13">
        <v>233.0</v>
      </c>
    </row>
    <row r="2267">
      <c r="A2267" s="13">
        <v>3674013.0</v>
      </c>
      <c r="B2267" s="4">
        <v>269.0</v>
      </c>
      <c r="C2267" s="13">
        <v>50.0</v>
      </c>
      <c r="D2267" s="13">
        <v>31.0</v>
      </c>
      <c r="E2267" s="13">
        <v>101.0</v>
      </c>
    </row>
    <row r="2268">
      <c r="A2268" s="13">
        <v>3603104.0</v>
      </c>
      <c r="B2268" s="4">
        <v>268.0</v>
      </c>
      <c r="C2268" s="13">
        <v>43.0</v>
      </c>
      <c r="D2268" s="13">
        <v>21.0</v>
      </c>
      <c r="E2268" s="13">
        <v>67.0</v>
      </c>
    </row>
    <row r="2269">
      <c r="A2269" s="13">
        <v>3603195.0</v>
      </c>
      <c r="B2269" s="4">
        <v>268.0</v>
      </c>
      <c r="C2269" s="13">
        <v>109.0</v>
      </c>
      <c r="D2269" s="13">
        <v>26.0</v>
      </c>
      <c r="E2269" s="13">
        <v>229.0</v>
      </c>
    </row>
    <row r="2270">
      <c r="A2270" s="13">
        <v>3674113.0</v>
      </c>
      <c r="B2270" s="4">
        <v>269.0</v>
      </c>
      <c r="C2270" s="13">
        <v>203.0</v>
      </c>
      <c r="D2270" s="13">
        <v>102.0</v>
      </c>
      <c r="E2270" s="13">
        <v>875.0</v>
      </c>
    </row>
    <row r="2271">
      <c r="A2271" s="13">
        <v>3671207.0</v>
      </c>
      <c r="B2271" s="4">
        <v>270.0</v>
      </c>
      <c r="C2271" s="13">
        <v>134.0</v>
      </c>
      <c r="D2271" s="13">
        <v>51.0</v>
      </c>
      <c r="E2271" s="13">
        <v>206.0</v>
      </c>
    </row>
    <row r="2272">
      <c r="A2272" s="13">
        <v>3674014.0</v>
      </c>
      <c r="B2272" s="4">
        <v>269.0</v>
      </c>
      <c r="C2272" s="13">
        <v>125.0</v>
      </c>
      <c r="D2272" s="13">
        <v>81.0</v>
      </c>
      <c r="E2272" s="13">
        <v>227.0</v>
      </c>
    </row>
    <row r="2273">
      <c r="A2273" s="13">
        <v>3674204.0</v>
      </c>
      <c r="B2273" s="4">
        <v>269.0</v>
      </c>
      <c r="C2273" s="13">
        <v>93.0</v>
      </c>
      <c r="D2273" s="13">
        <v>21.0</v>
      </c>
      <c r="E2273" s="13">
        <v>182.0</v>
      </c>
    </row>
    <row r="2274">
      <c r="A2274" s="13">
        <v>3604002.0</v>
      </c>
      <c r="B2274" s="4">
        <v>266.0</v>
      </c>
      <c r="C2274" s="13">
        <v>280.0</v>
      </c>
      <c r="D2274" s="13">
        <v>49.0</v>
      </c>
      <c r="E2274" s="13">
        <v>362.0</v>
      </c>
    </row>
    <row r="2275">
      <c r="A2275" s="13">
        <v>3603190.0</v>
      </c>
      <c r="B2275" s="4">
        <v>268.0</v>
      </c>
      <c r="C2275" s="13">
        <v>52.0</v>
      </c>
      <c r="D2275" s="13">
        <v>29.0</v>
      </c>
      <c r="E2275" s="13">
        <v>53.0</v>
      </c>
    </row>
    <row r="2276">
      <c r="A2276" s="13">
        <v>3671032.0</v>
      </c>
      <c r="B2276" s="4">
        <v>270.0</v>
      </c>
      <c r="C2276" s="13">
        <v>250.0</v>
      </c>
      <c r="D2276" s="13">
        <v>69.0</v>
      </c>
      <c r="E2276" s="13">
        <v>606.0</v>
      </c>
    </row>
    <row r="2277">
      <c r="A2277" s="13">
        <v>3671242.0</v>
      </c>
      <c r="B2277" s="4">
        <v>270.0</v>
      </c>
      <c r="C2277" s="13">
        <v>60.0</v>
      </c>
      <c r="D2277" s="13">
        <v>39.0</v>
      </c>
      <c r="E2277" s="13">
        <v>182.0</v>
      </c>
    </row>
    <row r="2278">
      <c r="A2278" s="13">
        <v>3674016.0</v>
      </c>
      <c r="B2278" s="4">
        <v>269.0</v>
      </c>
      <c r="C2278" s="13">
        <v>104.0</v>
      </c>
      <c r="D2278" s="13">
        <v>27.0</v>
      </c>
      <c r="E2278" s="13">
        <v>132.0</v>
      </c>
    </row>
    <row r="2279">
      <c r="A2279" s="13">
        <v>3673012.0</v>
      </c>
      <c r="B2279" s="4">
        <v>272.0</v>
      </c>
      <c r="C2279" s="13">
        <v>128.0</v>
      </c>
      <c r="D2279" s="13">
        <v>11.0</v>
      </c>
      <c r="E2279" s="13">
        <v>153.0</v>
      </c>
    </row>
    <row r="2280">
      <c r="A2280" s="13">
        <v>3672040.0</v>
      </c>
      <c r="B2280" s="4">
        <v>265.0</v>
      </c>
      <c r="C2280" s="13">
        <v>55.0</v>
      </c>
      <c r="D2280" s="13">
        <v>25.0</v>
      </c>
      <c r="E2280" s="13">
        <v>113.0</v>
      </c>
    </row>
    <row r="2281">
      <c r="A2281" s="13">
        <v>3603189.0</v>
      </c>
      <c r="B2281" s="4">
        <v>268.0</v>
      </c>
      <c r="C2281" s="13">
        <v>146.0</v>
      </c>
      <c r="D2281" s="13">
        <v>19.0</v>
      </c>
      <c r="E2281" s="13">
        <v>71.0</v>
      </c>
    </row>
    <row r="2282">
      <c r="A2282" s="13">
        <v>3603157.0</v>
      </c>
      <c r="B2282" s="4">
        <v>268.0</v>
      </c>
      <c r="C2282" s="13">
        <v>196.0</v>
      </c>
      <c r="D2282" s="13">
        <v>58.0</v>
      </c>
      <c r="E2282" s="13">
        <v>154.0</v>
      </c>
    </row>
    <row r="2283">
      <c r="A2283" s="13">
        <v>3671126.0</v>
      </c>
      <c r="B2283" s="4">
        <v>270.0</v>
      </c>
      <c r="C2283" s="13">
        <v>170.0</v>
      </c>
      <c r="D2283" s="13">
        <v>34.0</v>
      </c>
      <c r="E2283" s="13">
        <v>372.0</v>
      </c>
    </row>
    <row r="2284">
      <c r="A2284" s="13">
        <v>3604054.0</v>
      </c>
      <c r="B2284" s="4">
        <v>266.0</v>
      </c>
      <c r="C2284" s="13">
        <v>58.0</v>
      </c>
      <c r="D2284" s="13">
        <v>19.0</v>
      </c>
      <c r="E2284" s="13">
        <v>15.0</v>
      </c>
    </row>
    <row r="2285">
      <c r="A2285" s="13">
        <v>3671135.0</v>
      </c>
      <c r="B2285" s="4">
        <v>270.0</v>
      </c>
      <c r="C2285" s="13">
        <v>101.0</v>
      </c>
      <c r="D2285" s="13">
        <v>29.0</v>
      </c>
      <c r="E2285" s="13">
        <v>299.0</v>
      </c>
    </row>
    <row r="2286">
      <c r="A2286" s="13">
        <v>3603172.0</v>
      </c>
      <c r="B2286" s="4">
        <v>268.0</v>
      </c>
      <c r="C2286" s="13">
        <v>72.0</v>
      </c>
      <c r="D2286" s="13">
        <v>69.0</v>
      </c>
      <c r="E2286" s="13">
        <v>82.0</v>
      </c>
    </row>
    <row r="2287">
      <c r="A2287" s="13">
        <v>3671211.0</v>
      </c>
      <c r="B2287" s="4">
        <v>270.0</v>
      </c>
      <c r="C2287" s="13">
        <v>54.0</v>
      </c>
      <c r="D2287" s="13">
        <v>25.0</v>
      </c>
      <c r="E2287" s="13">
        <v>111.0</v>
      </c>
    </row>
    <row r="2288">
      <c r="A2288" s="13">
        <v>3671226.0</v>
      </c>
      <c r="B2288" s="4">
        <v>270.0</v>
      </c>
      <c r="C2288" s="13">
        <v>173.0</v>
      </c>
      <c r="D2288" s="13">
        <v>161.0</v>
      </c>
      <c r="E2288" s="13">
        <v>182.0</v>
      </c>
    </row>
    <row r="2289">
      <c r="A2289" s="13">
        <v>3674193.0</v>
      </c>
      <c r="B2289" s="4">
        <v>269.0</v>
      </c>
      <c r="C2289" s="13">
        <v>100.0</v>
      </c>
      <c r="D2289" s="13">
        <v>48.0</v>
      </c>
      <c r="E2289" s="13">
        <v>141.0</v>
      </c>
    </row>
    <row r="2290">
      <c r="A2290" s="13">
        <v>3673011.0</v>
      </c>
      <c r="B2290" s="4">
        <v>272.0</v>
      </c>
      <c r="C2290" s="13">
        <v>21.0</v>
      </c>
      <c r="D2290" s="13">
        <v>23.0</v>
      </c>
      <c r="E2290" s="13">
        <v>43.0</v>
      </c>
    </row>
    <row r="2291">
      <c r="A2291" s="13">
        <v>3673036.0</v>
      </c>
      <c r="B2291" s="4">
        <v>272.0</v>
      </c>
      <c r="C2291" s="13">
        <v>226.0</v>
      </c>
      <c r="D2291" s="13">
        <v>70.0</v>
      </c>
      <c r="E2291" s="13">
        <v>442.0</v>
      </c>
    </row>
    <row r="2292">
      <c r="A2292" s="13">
        <v>3603183.0</v>
      </c>
      <c r="B2292" s="4">
        <v>268.0</v>
      </c>
      <c r="C2292" s="13">
        <v>102.0</v>
      </c>
      <c r="D2292" s="13">
        <v>23.0</v>
      </c>
      <c r="E2292" s="13">
        <v>100.0</v>
      </c>
    </row>
    <row r="2293">
      <c r="A2293" s="13">
        <v>3673049.0</v>
      </c>
      <c r="B2293" s="4">
        <v>272.0</v>
      </c>
      <c r="C2293" s="13">
        <v>51.0</v>
      </c>
      <c r="D2293" s="13">
        <v>9.0</v>
      </c>
      <c r="E2293" s="13">
        <v>182.0</v>
      </c>
    </row>
    <row r="2294">
      <c r="A2294" s="13">
        <v>3602022.0</v>
      </c>
      <c r="B2294" s="4">
        <v>267.0</v>
      </c>
      <c r="C2294" s="13">
        <v>148.0</v>
      </c>
      <c r="D2294" s="13">
        <v>33.0</v>
      </c>
      <c r="E2294" s="13">
        <v>502.0</v>
      </c>
    </row>
    <row r="2295">
      <c r="A2295" s="13">
        <v>3674004.0</v>
      </c>
      <c r="B2295" s="4">
        <v>269.0</v>
      </c>
      <c r="C2295" s="13">
        <v>100.0</v>
      </c>
      <c r="D2295" s="13">
        <v>84.0</v>
      </c>
      <c r="E2295" s="13">
        <v>309.0</v>
      </c>
    </row>
    <row r="2296">
      <c r="A2296" s="13">
        <v>3671219.0</v>
      </c>
      <c r="B2296" s="4">
        <v>270.0</v>
      </c>
      <c r="C2296" s="13">
        <v>34.0</v>
      </c>
      <c r="D2296" s="13">
        <v>20.0</v>
      </c>
      <c r="E2296" s="13">
        <v>75.0</v>
      </c>
    </row>
    <row r="2297">
      <c r="A2297" s="13">
        <v>3671241.0</v>
      </c>
      <c r="B2297" s="4">
        <v>270.0</v>
      </c>
      <c r="C2297" s="13">
        <v>200.0</v>
      </c>
      <c r="D2297" s="13">
        <v>57.0</v>
      </c>
      <c r="E2297" s="13">
        <v>182.0</v>
      </c>
    </row>
    <row r="2298">
      <c r="A2298" s="13">
        <v>3674168.0</v>
      </c>
      <c r="B2298" s="4">
        <v>269.0</v>
      </c>
      <c r="C2298" s="13">
        <v>178.0</v>
      </c>
      <c r="D2298" s="13">
        <v>38.0</v>
      </c>
      <c r="E2298" s="13">
        <v>300.0</v>
      </c>
    </row>
    <row r="2299">
      <c r="A2299" s="13">
        <v>3671054.0</v>
      </c>
      <c r="B2299" s="4">
        <v>268.0</v>
      </c>
      <c r="C2299" s="13">
        <v>300.0</v>
      </c>
      <c r="D2299" s="13">
        <v>72.0</v>
      </c>
      <c r="E2299" s="13">
        <v>1784.0</v>
      </c>
    </row>
    <row r="2300">
      <c r="A2300" s="13">
        <v>3673010.0</v>
      </c>
      <c r="B2300" s="4">
        <v>272.0</v>
      </c>
      <c r="C2300" s="13">
        <v>100.0</v>
      </c>
      <c r="D2300" s="13">
        <v>39.0</v>
      </c>
      <c r="E2300" s="13">
        <v>59.0</v>
      </c>
    </row>
    <row r="2301">
      <c r="A2301" s="13">
        <v>3671224.0</v>
      </c>
      <c r="B2301" s="4">
        <v>270.0</v>
      </c>
      <c r="C2301" s="13">
        <v>215.0</v>
      </c>
      <c r="D2301" s="13">
        <v>36.0</v>
      </c>
      <c r="E2301" s="13">
        <v>168.0</v>
      </c>
    </row>
    <row r="2302">
      <c r="A2302" s="13">
        <v>3672052.0</v>
      </c>
      <c r="B2302" s="4">
        <v>265.0</v>
      </c>
      <c r="C2302" s="13">
        <v>115.0</v>
      </c>
      <c r="D2302" s="13">
        <v>60.0</v>
      </c>
      <c r="E2302" s="13">
        <v>182.0</v>
      </c>
    </row>
    <row r="2303">
      <c r="A2303" s="13">
        <v>3604024.0</v>
      </c>
      <c r="B2303" s="4">
        <v>272.0</v>
      </c>
      <c r="C2303" s="13">
        <v>113.0</v>
      </c>
      <c r="D2303" s="13">
        <v>32.0</v>
      </c>
      <c r="E2303" s="13">
        <v>106.0</v>
      </c>
    </row>
    <row r="2304">
      <c r="A2304" s="13">
        <v>3604047.0</v>
      </c>
      <c r="B2304" s="4">
        <v>266.0</v>
      </c>
      <c r="C2304" s="13">
        <v>103.0</v>
      </c>
      <c r="D2304" s="13">
        <v>36.0</v>
      </c>
      <c r="E2304" s="13">
        <v>121.0</v>
      </c>
    </row>
    <row r="2305">
      <c r="A2305" s="13">
        <v>3672011.0</v>
      </c>
      <c r="B2305" s="4">
        <v>265.0</v>
      </c>
      <c r="C2305" s="13">
        <v>230.0</v>
      </c>
      <c r="D2305" s="13">
        <v>125.0</v>
      </c>
      <c r="E2305" s="13">
        <v>335.0</v>
      </c>
    </row>
    <row r="2306">
      <c r="A2306" s="13">
        <v>3603192.0</v>
      </c>
      <c r="B2306" s="4">
        <v>268.0</v>
      </c>
      <c r="C2306" s="13">
        <v>143.0</v>
      </c>
      <c r="D2306" s="13">
        <v>70.0</v>
      </c>
      <c r="E2306" s="13">
        <v>454.0</v>
      </c>
    </row>
    <row r="2307">
      <c r="A2307" s="13">
        <v>3671136.0</v>
      </c>
      <c r="B2307" s="4">
        <v>270.0</v>
      </c>
      <c r="C2307" s="13">
        <v>199.0</v>
      </c>
      <c r="D2307" s="13">
        <v>66.0</v>
      </c>
      <c r="E2307" s="13">
        <v>463.0</v>
      </c>
    </row>
    <row r="2308">
      <c r="A2308" s="13">
        <v>3671205.0</v>
      </c>
      <c r="B2308" s="4">
        <v>270.0</v>
      </c>
      <c r="C2308" s="13">
        <v>160.0</v>
      </c>
      <c r="D2308" s="13">
        <v>82.0</v>
      </c>
      <c r="E2308" s="13">
        <v>459.0</v>
      </c>
    </row>
    <row r="2309">
      <c r="A2309" s="13">
        <v>3674071.0</v>
      </c>
      <c r="B2309" s="4">
        <v>269.0</v>
      </c>
      <c r="C2309" s="13">
        <v>70.0</v>
      </c>
      <c r="D2309" s="13">
        <v>19.0</v>
      </c>
      <c r="E2309" s="13">
        <v>20.0</v>
      </c>
    </row>
    <row r="2310">
      <c r="A2310" s="13">
        <v>3603182.0</v>
      </c>
      <c r="B2310" s="4">
        <v>270.0</v>
      </c>
      <c r="C2310" s="13">
        <v>101.0</v>
      </c>
      <c r="D2310" s="13">
        <v>41.0</v>
      </c>
      <c r="E2310" s="13">
        <v>177.0</v>
      </c>
    </row>
    <row r="2311">
      <c r="A2311" s="13">
        <v>3671179.0</v>
      </c>
      <c r="B2311" s="4">
        <v>268.0</v>
      </c>
      <c r="C2311" s="13">
        <v>101.0</v>
      </c>
      <c r="D2311" s="13">
        <v>25.0</v>
      </c>
      <c r="E2311" s="13">
        <v>185.0</v>
      </c>
    </row>
    <row r="2312">
      <c r="A2312" s="13">
        <v>3674011.0</v>
      </c>
      <c r="B2312" s="4">
        <v>269.0</v>
      </c>
      <c r="C2312" s="13">
        <v>27.0</v>
      </c>
      <c r="D2312" s="13">
        <v>24.0</v>
      </c>
      <c r="E2312" s="13">
        <v>78.0</v>
      </c>
    </row>
    <row r="2313">
      <c r="A2313" s="13">
        <v>3603186.0</v>
      </c>
      <c r="B2313" s="4">
        <v>270.0</v>
      </c>
      <c r="C2313" s="13">
        <v>36.0</v>
      </c>
      <c r="D2313" s="13">
        <v>18.0</v>
      </c>
      <c r="E2313" s="13">
        <v>129.0</v>
      </c>
    </row>
    <row r="2314">
      <c r="A2314" s="13">
        <v>3671076.0</v>
      </c>
      <c r="B2314" s="4">
        <v>270.0</v>
      </c>
      <c r="C2314" s="13">
        <v>210.0</v>
      </c>
      <c r="D2314" s="13">
        <v>88.0</v>
      </c>
      <c r="E2314" s="13">
        <v>578.0</v>
      </c>
    </row>
    <row r="2315">
      <c r="A2315" s="13">
        <v>3671201.0</v>
      </c>
      <c r="B2315" s="4">
        <v>269.0</v>
      </c>
      <c r="C2315" s="13">
        <v>23.0</v>
      </c>
      <c r="D2315" s="13">
        <v>23.0</v>
      </c>
      <c r="E2315" s="13">
        <v>67.0</v>
      </c>
    </row>
    <row r="2316">
      <c r="A2316" s="13">
        <v>3671210.0</v>
      </c>
      <c r="B2316" s="4">
        <v>270.0</v>
      </c>
      <c r="C2316" s="13">
        <v>109.0</v>
      </c>
      <c r="D2316" s="13">
        <v>46.0</v>
      </c>
      <c r="E2316" s="13">
        <v>240.0</v>
      </c>
    </row>
    <row r="2317">
      <c r="A2317" s="13">
        <v>3603185.0</v>
      </c>
      <c r="B2317" s="4">
        <v>268.0</v>
      </c>
      <c r="C2317" s="13">
        <v>128.0</v>
      </c>
      <c r="D2317" s="13">
        <v>60.0</v>
      </c>
      <c r="E2317" s="13">
        <v>333.0</v>
      </c>
    </row>
    <row r="2318">
      <c r="A2318" s="13">
        <v>3603177.0</v>
      </c>
      <c r="B2318" s="4">
        <v>268.0</v>
      </c>
      <c r="C2318" s="13">
        <v>64.0</v>
      </c>
      <c r="D2318" s="13">
        <v>19.0</v>
      </c>
      <c r="E2318" s="13">
        <v>56.0</v>
      </c>
    </row>
    <row r="2319">
      <c r="A2319" s="13">
        <v>3604052.0</v>
      </c>
      <c r="B2319" s="4">
        <v>266.0</v>
      </c>
      <c r="C2319" s="13">
        <v>50.0</v>
      </c>
      <c r="D2319" s="13">
        <v>15.0</v>
      </c>
      <c r="E2319" s="13">
        <v>39.0</v>
      </c>
    </row>
    <row r="2320">
      <c r="A2320" s="13">
        <v>3604046.0</v>
      </c>
      <c r="B2320" s="4">
        <v>272.0</v>
      </c>
      <c r="C2320" s="13">
        <v>52.0</v>
      </c>
      <c r="D2320" s="13">
        <v>16.0</v>
      </c>
      <c r="E2320" s="13">
        <v>182.0</v>
      </c>
    </row>
    <row r="2321">
      <c r="A2321" s="13">
        <v>3674006.0</v>
      </c>
      <c r="B2321" s="4">
        <v>269.0</v>
      </c>
      <c r="C2321" s="13">
        <v>100.0</v>
      </c>
      <c r="D2321" s="13">
        <v>60.0</v>
      </c>
      <c r="E2321" s="13">
        <v>306.0</v>
      </c>
    </row>
    <row r="2322">
      <c r="A2322" s="13">
        <v>3674015.0</v>
      </c>
      <c r="B2322" s="4">
        <v>269.0</v>
      </c>
      <c r="C2322" s="13">
        <v>51.0</v>
      </c>
      <c r="D2322" s="13">
        <v>18.0</v>
      </c>
      <c r="E2322" s="13">
        <v>93.0</v>
      </c>
    </row>
    <row r="2323">
      <c r="A2323" s="13">
        <v>3603196.0</v>
      </c>
      <c r="B2323" s="4">
        <v>268.0</v>
      </c>
      <c r="C2323" s="13">
        <v>105.0</v>
      </c>
      <c r="D2323" s="13">
        <v>36.0</v>
      </c>
      <c r="E2323" s="13">
        <v>43.0</v>
      </c>
    </row>
    <row r="2324">
      <c r="A2324" s="13">
        <v>3603146.0</v>
      </c>
      <c r="B2324" s="4">
        <v>268.0</v>
      </c>
      <c r="C2324" s="13">
        <v>44.0</v>
      </c>
      <c r="D2324" s="13">
        <v>16.0</v>
      </c>
      <c r="E2324" s="13">
        <v>66.0</v>
      </c>
    </row>
    <row r="2325">
      <c r="A2325" s="13">
        <v>3672034.0</v>
      </c>
      <c r="B2325" s="4">
        <v>265.0</v>
      </c>
      <c r="C2325" s="13">
        <v>120.0</v>
      </c>
      <c r="D2325" s="13">
        <v>32.0</v>
      </c>
      <c r="E2325" s="13">
        <v>219.0</v>
      </c>
    </row>
    <row r="2326">
      <c r="A2326" s="13">
        <v>3601010.0</v>
      </c>
      <c r="B2326" s="4">
        <v>271.0</v>
      </c>
      <c r="C2326" s="13">
        <v>201.0</v>
      </c>
      <c r="D2326" s="13">
        <v>58.0</v>
      </c>
      <c r="E2326" s="13">
        <v>253.0</v>
      </c>
    </row>
    <row r="2327">
      <c r="A2327" s="13">
        <v>3671223.0</v>
      </c>
      <c r="B2327" s="4">
        <v>270.0</v>
      </c>
      <c r="C2327" s="13">
        <v>100.0</v>
      </c>
      <c r="D2327" s="13">
        <v>31.0</v>
      </c>
      <c r="E2327" s="13">
        <v>201.0</v>
      </c>
    </row>
    <row r="2328">
      <c r="A2328" s="13">
        <v>3671202.0</v>
      </c>
      <c r="B2328" s="4">
        <v>270.0</v>
      </c>
      <c r="C2328" s="13">
        <v>62.0</v>
      </c>
      <c r="D2328" s="13">
        <v>51.0</v>
      </c>
      <c r="E2328" s="13">
        <v>82.0</v>
      </c>
    </row>
    <row r="2329">
      <c r="A2329" s="13">
        <v>3603210.0</v>
      </c>
      <c r="B2329" s="4">
        <v>268.0</v>
      </c>
      <c r="C2329" s="13">
        <v>117.0</v>
      </c>
      <c r="D2329" s="13">
        <v>16.0</v>
      </c>
      <c r="E2329" s="13">
        <v>182.0</v>
      </c>
    </row>
    <row r="2330">
      <c r="A2330" s="13">
        <v>3603093.0</v>
      </c>
      <c r="B2330" s="4">
        <v>269.0</v>
      </c>
      <c r="C2330" s="13">
        <v>29.0</v>
      </c>
      <c r="D2330" s="13">
        <v>24.0</v>
      </c>
      <c r="E2330" s="13">
        <v>78.0</v>
      </c>
    </row>
    <row r="2331">
      <c r="A2331" s="13">
        <v>3673005.0</v>
      </c>
      <c r="B2331" s="4">
        <v>272.0</v>
      </c>
      <c r="C2331" s="13">
        <v>65.0</v>
      </c>
      <c r="D2331" s="13">
        <v>28.0</v>
      </c>
      <c r="E2331" s="13">
        <v>51.0</v>
      </c>
    </row>
    <row r="2332">
      <c r="A2332" s="13">
        <v>3604053.0</v>
      </c>
      <c r="B2332" s="4">
        <v>272.0</v>
      </c>
      <c r="C2332" s="13">
        <v>104.0</v>
      </c>
      <c r="D2332" s="13">
        <v>23.0</v>
      </c>
      <c r="E2332" s="13">
        <v>93.0</v>
      </c>
    </row>
    <row r="2333">
      <c r="A2333" s="13">
        <v>3674102.0</v>
      </c>
      <c r="B2333" s="4">
        <v>269.0</v>
      </c>
      <c r="C2333" s="13">
        <v>215.0</v>
      </c>
      <c r="D2333" s="13">
        <v>138.0</v>
      </c>
      <c r="E2333" s="13">
        <v>805.0</v>
      </c>
    </row>
    <row r="2334">
      <c r="A2334" s="13">
        <v>3674171.0</v>
      </c>
      <c r="B2334" s="4">
        <v>269.0</v>
      </c>
      <c r="C2334" s="13">
        <v>110.0</v>
      </c>
      <c r="D2334" s="13">
        <v>37.0</v>
      </c>
      <c r="E2334" s="13">
        <v>163.0</v>
      </c>
    </row>
    <row r="2335">
      <c r="A2335" s="13">
        <v>3673035.0</v>
      </c>
      <c r="B2335" s="4">
        <v>272.0</v>
      </c>
      <c r="C2335" s="13">
        <v>37.0</v>
      </c>
      <c r="D2335" s="13">
        <v>13.0</v>
      </c>
      <c r="E2335" s="13">
        <v>62.0</v>
      </c>
    </row>
    <row r="2336">
      <c r="A2336" s="13">
        <v>3674018.0</v>
      </c>
      <c r="B2336" s="4">
        <v>269.0</v>
      </c>
      <c r="C2336" s="13">
        <v>125.0</v>
      </c>
      <c r="D2336" s="13">
        <v>114.0</v>
      </c>
      <c r="E2336" s="13">
        <v>340.0</v>
      </c>
    </row>
    <row r="2337">
      <c r="A2337" s="13">
        <v>3671225.0</v>
      </c>
      <c r="B2337" s="4">
        <v>270.0</v>
      </c>
      <c r="C2337" s="13">
        <v>100.0</v>
      </c>
      <c r="D2337" s="13">
        <v>29.0</v>
      </c>
      <c r="E2337" s="13">
        <v>70.0</v>
      </c>
    </row>
    <row r="2338">
      <c r="A2338" s="13">
        <v>3671021.0</v>
      </c>
      <c r="B2338" s="4">
        <v>270.0</v>
      </c>
      <c r="C2338" s="13">
        <v>50.0</v>
      </c>
      <c r="D2338" s="13">
        <v>14.0</v>
      </c>
      <c r="E2338" s="13">
        <v>84.0</v>
      </c>
    </row>
    <row r="2339">
      <c r="A2339" s="13">
        <v>3674007.0</v>
      </c>
      <c r="B2339" s="4">
        <v>269.0</v>
      </c>
      <c r="C2339" s="13">
        <v>196.0</v>
      </c>
      <c r="D2339" s="13">
        <v>69.0</v>
      </c>
      <c r="E2339" s="13">
        <v>343.0</v>
      </c>
    </row>
    <row r="2340">
      <c r="A2340" s="13">
        <v>3603175.0</v>
      </c>
      <c r="B2340" s="4">
        <v>268.0</v>
      </c>
      <c r="C2340" s="13">
        <v>109.0</v>
      </c>
      <c r="D2340" s="13">
        <v>39.0</v>
      </c>
      <c r="E2340" s="13">
        <v>86.0</v>
      </c>
    </row>
    <row r="2341">
      <c r="A2341" s="13">
        <v>3673048.0</v>
      </c>
      <c r="B2341" s="4">
        <v>272.0</v>
      </c>
      <c r="C2341" s="13">
        <v>162.0</v>
      </c>
      <c r="D2341" s="13">
        <v>34.0</v>
      </c>
      <c r="E2341" s="13">
        <v>182.0</v>
      </c>
    </row>
    <row r="2342">
      <c r="A2342" s="13">
        <v>3603115.0</v>
      </c>
      <c r="B2342" s="4">
        <v>269.0</v>
      </c>
      <c r="C2342" s="13">
        <v>202.0</v>
      </c>
      <c r="D2342" s="13">
        <v>122.0</v>
      </c>
      <c r="E2342" s="13">
        <v>217.0</v>
      </c>
    </row>
    <row r="2343">
      <c r="A2343" s="13">
        <v>3601036.0</v>
      </c>
      <c r="B2343" s="4">
        <v>271.0</v>
      </c>
      <c r="C2343" s="13">
        <v>63.0</v>
      </c>
      <c r="D2343" s="13">
        <v>17.0</v>
      </c>
      <c r="E2343" s="13">
        <v>102.0</v>
      </c>
    </row>
    <row r="2344">
      <c r="A2344" s="13">
        <v>3604066.0</v>
      </c>
      <c r="B2344" s="4">
        <v>266.0</v>
      </c>
      <c r="C2344" s="13">
        <v>118.0</v>
      </c>
      <c r="D2344" s="13">
        <v>66.0</v>
      </c>
      <c r="E2344" s="13">
        <v>182.0</v>
      </c>
    </row>
    <row r="2345">
      <c r="A2345" s="13">
        <v>3603180.0</v>
      </c>
      <c r="B2345" s="4">
        <v>268.0</v>
      </c>
      <c r="C2345" s="13">
        <v>201.0</v>
      </c>
      <c r="D2345" s="13">
        <v>78.0</v>
      </c>
      <c r="E2345" s="13">
        <v>533.0</v>
      </c>
    </row>
    <row r="2346">
      <c r="A2346" s="13">
        <v>3671124.0</v>
      </c>
      <c r="B2346" s="4">
        <v>270.0</v>
      </c>
      <c r="C2346" s="13">
        <v>101.0</v>
      </c>
      <c r="D2346" s="13">
        <v>36.0</v>
      </c>
      <c r="E2346" s="13">
        <v>286.0</v>
      </c>
    </row>
    <row r="2347">
      <c r="A2347" s="13">
        <v>5102021.0</v>
      </c>
      <c r="B2347" s="4">
        <v>273.0</v>
      </c>
      <c r="C2347" s="13">
        <v>50.0</v>
      </c>
      <c r="D2347" s="13">
        <v>30.0</v>
      </c>
      <c r="E2347" s="13">
        <v>167.0</v>
      </c>
    </row>
    <row r="2348">
      <c r="A2348" s="13">
        <v>5171086.0</v>
      </c>
      <c r="B2348" s="4">
        <v>274.0</v>
      </c>
      <c r="C2348" s="13">
        <v>125.0</v>
      </c>
      <c r="D2348" s="13">
        <v>45.0</v>
      </c>
      <c r="E2348" s="13">
        <v>349.0</v>
      </c>
    </row>
    <row r="2349">
      <c r="A2349" s="13">
        <v>5103036.0</v>
      </c>
      <c r="B2349" s="4">
        <v>275.0</v>
      </c>
      <c r="C2349" s="13">
        <v>152.0</v>
      </c>
      <c r="D2349" s="13">
        <v>35.0</v>
      </c>
      <c r="E2349" s="13">
        <v>185.0</v>
      </c>
    </row>
    <row r="2350">
      <c r="A2350" s="13">
        <v>5102046.0</v>
      </c>
      <c r="B2350" s="4">
        <v>273.0</v>
      </c>
      <c r="C2350" s="13">
        <v>102.0</v>
      </c>
      <c r="D2350" s="13">
        <v>51.0</v>
      </c>
      <c r="E2350" s="13">
        <v>248.0</v>
      </c>
    </row>
    <row r="2351">
      <c r="A2351" s="13">
        <v>5104039.0</v>
      </c>
      <c r="B2351" s="4">
        <v>276.0</v>
      </c>
      <c r="C2351" s="13">
        <v>113.0</v>
      </c>
      <c r="D2351" s="13">
        <v>24.0</v>
      </c>
      <c r="E2351" s="13">
        <v>182.0</v>
      </c>
    </row>
    <row r="2352">
      <c r="A2352" s="13">
        <v>5108031.0</v>
      </c>
      <c r="B2352" s="4">
        <v>277.0</v>
      </c>
      <c r="C2352" s="13">
        <v>120.0</v>
      </c>
      <c r="D2352" s="13">
        <v>65.0</v>
      </c>
      <c r="E2352" s="13">
        <v>381.0</v>
      </c>
    </row>
    <row r="2353">
      <c r="A2353" s="13">
        <v>5171215.0</v>
      </c>
      <c r="B2353" s="4">
        <v>274.0</v>
      </c>
      <c r="C2353" s="13">
        <v>80.0</v>
      </c>
      <c r="D2353" s="13">
        <v>28.0</v>
      </c>
      <c r="E2353" s="13">
        <v>223.0</v>
      </c>
    </row>
    <row r="2354">
      <c r="A2354" s="13">
        <v>5104012.0</v>
      </c>
      <c r="B2354" s="4">
        <v>276.0</v>
      </c>
      <c r="C2354" s="13">
        <v>241.0</v>
      </c>
      <c r="D2354" s="13">
        <v>132.0</v>
      </c>
      <c r="E2354" s="13">
        <v>846.0</v>
      </c>
    </row>
    <row r="2355">
      <c r="A2355" s="13">
        <v>5104037.0</v>
      </c>
      <c r="B2355" s="4">
        <v>276.0</v>
      </c>
      <c r="C2355" s="13">
        <v>109.0</v>
      </c>
      <c r="D2355" s="13">
        <v>38.0</v>
      </c>
      <c r="E2355" s="13">
        <v>186.0</v>
      </c>
    </row>
    <row r="2356">
      <c r="A2356" s="13">
        <v>5102047.0</v>
      </c>
      <c r="B2356" s="4">
        <v>273.0</v>
      </c>
      <c r="C2356" s="13">
        <v>102.0</v>
      </c>
      <c r="D2356" s="13">
        <v>43.0</v>
      </c>
      <c r="E2356" s="13">
        <v>177.0</v>
      </c>
    </row>
    <row r="2357">
      <c r="A2357" s="13">
        <v>5171122.0</v>
      </c>
      <c r="B2357" s="4">
        <v>274.0</v>
      </c>
      <c r="C2357" s="13">
        <v>108.0</v>
      </c>
      <c r="D2357" s="13">
        <v>95.0</v>
      </c>
      <c r="E2357" s="13">
        <v>210.0</v>
      </c>
    </row>
    <row r="2358">
      <c r="A2358" s="13">
        <v>5102049.0</v>
      </c>
      <c r="B2358" s="4">
        <v>273.0</v>
      </c>
      <c r="C2358" s="13">
        <v>104.0</v>
      </c>
      <c r="D2358" s="13">
        <v>23.0</v>
      </c>
      <c r="E2358" s="13">
        <v>104.0</v>
      </c>
    </row>
    <row r="2359">
      <c r="A2359" s="13">
        <v>5102043.0</v>
      </c>
      <c r="B2359" s="4">
        <v>273.0</v>
      </c>
      <c r="C2359" s="13">
        <v>50.0</v>
      </c>
      <c r="D2359" s="13">
        <v>19.0</v>
      </c>
      <c r="E2359" s="13">
        <v>85.0</v>
      </c>
    </row>
    <row r="2360">
      <c r="A2360" s="13">
        <v>5171016.0</v>
      </c>
      <c r="B2360" s="4">
        <v>274.0</v>
      </c>
      <c r="C2360" s="13">
        <v>731.0</v>
      </c>
      <c r="D2360" s="13">
        <v>170.0</v>
      </c>
      <c r="E2360" s="13">
        <v>3149.0</v>
      </c>
    </row>
    <row r="2361">
      <c r="A2361" s="13">
        <v>5107017.0</v>
      </c>
      <c r="B2361" s="4">
        <v>278.0</v>
      </c>
      <c r="C2361" s="13">
        <v>158.0</v>
      </c>
      <c r="D2361" s="13">
        <v>34.0</v>
      </c>
      <c r="E2361" s="13">
        <v>226.0</v>
      </c>
    </row>
    <row r="2362">
      <c r="A2362" s="13">
        <v>5106014.0</v>
      </c>
      <c r="B2362" s="4">
        <v>279.0</v>
      </c>
      <c r="C2362" s="13">
        <v>223.0</v>
      </c>
      <c r="D2362" s="13">
        <v>107.0</v>
      </c>
      <c r="E2362" s="13">
        <v>612.0</v>
      </c>
    </row>
    <row r="2363">
      <c r="A2363" s="13">
        <v>5171220.0</v>
      </c>
      <c r="B2363" s="4">
        <v>274.0</v>
      </c>
      <c r="C2363" s="13">
        <v>238.0</v>
      </c>
      <c r="D2363" s="13">
        <v>72.0</v>
      </c>
      <c r="E2363" s="13">
        <v>126.0</v>
      </c>
    </row>
    <row r="2364">
      <c r="A2364" s="13">
        <v>5104036.0</v>
      </c>
      <c r="B2364" s="4">
        <v>276.0</v>
      </c>
      <c r="C2364" s="13">
        <v>102.0</v>
      </c>
      <c r="D2364" s="13">
        <v>33.0</v>
      </c>
      <c r="E2364" s="13">
        <v>291.0</v>
      </c>
    </row>
    <row r="2365">
      <c r="A2365" s="13">
        <v>5171155.0</v>
      </c>
      <c r="B2365" s="4">
        <v>274.0</v>
      </c>
      <c r="C2365" s="13">
        <v>58.0</v>
      </c>
      <c r="D2365" s="13">
        <v>33.0</v>
      </c>
      <c r="E2365" s="13">
        <v>153.0</v>
      </c>
    </row>
    <row r="2366">
      <c r="A2366" s="13">
        <v>5108075.0</v>
      </c>
      <c r="B2366" s="4">
        <v>277.0</v>
      </c>
      <c r="C2366" s="13">
        <v>50.0</v>
      </c>
      <c r="D2366" s="13">
        <v>20.0</v>
      </c>
      <c r="E2366" s="13">
        <v>104.0</v>
      </c>
    </row>
    <row r="2367">
      <c r="A2367" s="13">
        <v>5103038.0</v>
      </c>
      <c r="B2367" s="4">
        <v>275.0</v>
      </c>
      <c r="C2367" s="13">
        <v>104.0</v>
      </c>
      <c r="D2367" s="13">
        <v>34.0</v>
      </c>
      <c r="E2367" s="13">
        <v>51.0</v>
      </c>
    </row>
    <row r="2368">
      <c r="A2368" s="13">
        <v>5108064.0</v>
      </c>
      <c r="B2368" s="4">
        <v>277.0</v>
      </c>
      <c r="C2368" s="13">
        <v>109.0</v>
      </c>
      <c r="D2368" s="13">
        <v>35.0</v>
      </c>
      <c r="E2368" s="13">
        <v>98.0</v>
      </c>
    </row>
    <row r="2369">
      <c r="A2369" s="13">
        <v>5108080.0</v>
      </c>
      <c r="B2369" s="4">
        <v>277.0</v>
      </c>
      <c r="C2369" s="13">
        <v>101.0</v>
      </c>
      <c r="D2369" s="13">
        <v>38.0</v>
      </c>
      <c r="E2369" s="13">
        <v>299.0</v>
      </c>
    </row>
    <row r="2370">
      <c r="A2370" s="13">
        <v>5171216.0</v>
      </c>
      <c r="B2370" s="4">
        <v>274.0</v>
      </c>
      <c r="C2370" s="13">
        <v>102.0</v>
      </c>
      <c r="D2370" s="13">
        <v>104.0</v>
      </c>
      <c r="E2370" s="13">
        <v>313.0</v>
      </c>
    </row>
    <row r="2371">
      <c r="A2371" s="13">
        <v>5103034.0</v>
      </c>
      <c r="B2371" s="4">
        <v>275.0</v>
      </c>
      <c r="C2371" s="13">
        <v>68.0</v>
      </c>
      <c r="D2371" s="13">
        <v>55.0</v>
      </c>
      <c r="E2371" s="13">
        <v>173.0</v>
      </c>
    </row>
    <row r="2372">
      <c r="A2372" s="13">
        <v>5108091.0</v>
      </c>
      <c r="B2372" s="4">
        <v>277.0</v>
      </c>
      <c r="C2372" s="13">
        <v>28.0</v>
      </c>
      <c r="D2372" s="13">
        <v>22.0</v>
      </c>
      <c r="E2372" s="13">
        <v>182.0</v>
      </c>
    </row>
    <row r="2373">
      <c r="A2373" s="13">
        <v>5108079.0</v>
      </c>
      <c r="B2373" s="4">
        <v>277.0</v>
      </c>
      <c r="C2373" s="13">
        <v>50.0</v>
      </c>
      <c r="D2373" s="13">
        <v>14.0</v>
      </c>
      <c r="E2373" s="13">
        <v>144.0</v>
      </c>
    </row>
    <row r="2374">
      <c r="A2374" s="13">
        <v>5171235.0</v>
      </c>
      <c r="B2374" s="4">
        <v>274.0</v>
      </c>
      <c r="C2374" s="13">
        <v>60.0</v>
      </c>
      <c r="D2374" s="13">
        <v>52.0</v>
      </c>
      <c r="E2374" s="13">
        <v>182.0</v>
      </c>
    </row>
    <row r="2375">
      <c r="A2375" s="13">
        <v>5171031.0</v>
      </c>
      <c r="B2375" s="4">
        <v>274.0</v>
      </c>
      <c r="C2375" s="13">
        <v>157.0</v>
      </c>
      <c r="D2375" s="13">
        <v>58.0</v>
      </c>
      <c r="E2375" s="13">
        <v>552.0</v>
      </c>
    </row>
    <row r="2376">
      <c r="A2376" s="13">
        <v>5105016.0</v>
      </c>
      <c r="B2376" s="4">
        <v>280.0</v>
      </c>
      <c r="C2376" s="13">
        <v>50.0</v>
      </c>
      <c r="D2376" s="13">
        <v>20.0</v>
      </c>
      <c r="E2376" s="13">
        <v>134.0</v>
      </c>
    </row>
    <row r="2377">
      <c r="A2377" s="13">
        <v>5104034.0</v>
      </c>
      <c r="B2377" s="4">
        <v>276.0</v>
      </c>
      <c r="C2377" s="13">
        <v>109.0</v>
      </c>
      <c r="D2377" s="13">
        <v>63.0</v>
      </c>
      <c r="E2377" s="13">
        <v>310.0</v>
      </c>
    </row>
    <row r="2378">
      <c r="A2378" s="13">
        <v>5101016.0</v>
      </c>
      <c r="B2378" s="4">
        <v>281.0</v>
      </c>
      <c r="C2378" s="13">
        <v>161.0</v>
      </c>
      <c r="D2378" s="13">
        <v>35.0</v>
      </c>
      <c r="E2378" s="13">
        <v>479.0</v>
      </c>
    </row>
    <row r="2379">
      <c r="A2379" s="13">
        <v>5105017.0</v>
      </c>
      <c r="B2379" s="4">
        <v>280.0</v>
      </c>
      <c r="C2379" s="13">
        <v>112.0</v>
      </c>
      <c r="D2379" s="13">
        <v>64.0</v>
      </c>
      <c r="E2379" s="13">
        <v>30.0</v>
      </c>
    </row>
    <row r="2380">
      <c r="A2380" s="13">
        <v>5107015.0</v>
      </c>
      <c r="B2380" s="4">
        <v>278.0</v>
      </c>
      <c r="C2380" s="13">
        <v>193.0</v>
      </c>
      <c r="D2380" s="13">
        <v>42.0</v>
      </c>
      <c r="E2380" s="13">
        <v>524.0</v>
      </c>
    </row>
    <row r="2381">
      <c r="A2381" s="13">
        <v>5171181.0</v>
      </c>
      <c r="B2381" s="4">
        <v>274.0</v>
      </c>
      <c r="C2381" s="13">
        <v>17.0</v>
      </c>
      <c r="D2381" s="13">
        <v>21.0</v>
      </c>
      <c r="E2381" s="13">
        <v>95.0</v>
      </c>
    </row>
    <row r="2382">
      <c r="A2382" s="13">
        <v>5105015.0</v>
      </c>
      <c r="B2382" s="4">
        <v>280.0</v>
      </c>
      <c r="C2382" s="13">
        <v>119.0</v>
      </c>
      <c r="D2382" s="13">
        <v>58.0</v>
      </c>
      <c r="E2382" s="13">
        <v>191.0</v>
      </c>
    </row>
    <row r="2383">
      <c r="A2383" s="13">
        <v>5103053.0</v>
      </c>
      <c r="B2383" s="4">
        <v>275.0</v>
      </c>
      <c r="C2383" s="13">
        <v>94.0</v>
      </c>
      <c r="D2383" s="13">
        <v>27.0</v>
      </c>
      <c r="E2383" s="13">
        <v>182.0</v>
      </c>
    </row>
    <row r="2384">
      <c r="A2384" s="13">
        <v>5171097.0</v>
      </c>
      <c r="B2384" s="4">
        <v>274.0</v>
      </c>
      <c r="C2384" s="13">
        <v>110.0</v>
      </c>
      <c r="D2384" s="13">
        <v>43.0</v>
      </c>
      <c r="E2384" s="13">
        <v>524.0</v>
      </c>
    </row>
    <row r="2385">
      <c r="A2385" s="13">
        <v>5103033.0</v>
      </c>
      <c r="B2385" s="4">
        <v>275.0</v>
      </c>
      <c r="C2385" s="13">
        <v>102.0</v>
      </c>
      <c r="D2385" s="13">
        <v>15.0</v>
      </c>
      <c r="E2385" s="13">
        <v>163.0</v>
      </c>
    </row>
    <row r="2386">
      <c r="A2386" s="13">
        <v>5171064.0</v>
      </c>
      <c r="B2386" s="4">
        <v>274.0</v>
      </c>
      <c r="C2386" s="13">
        <v>40.0</v>
      </c>
      <c r="D2386" s="13">
        <v>30.0</v>
      </c>
      <c r="E2386" s="13">
        <v>260.0</v>
      </c>
    </row>
    <row r="2387">
      <c r="A2387" s="13">
        <v>5102010.0</v>
      </c>
      <c r="B2387" s="4">
        <v>273.0</v>
      </c>
      <c r="C2387" s="13">
        <v>202.0</v>
      </c>
      <c r="D2387" s="13">
        <v>122.0</v>
      </c>
      <c r="E2387" s="13">
        <v>1037.0</v>
      </c>
    </row>
    <row r="2388">
      <c r="A2388" s="13">
        <v>5106026.0</v>
      </c>
      <c r="B2388" s="4">
        <v>279.0</v>
      </c>
      <c r="C2388" s="13">
        <v>131.0</v>
      </c>
      <c r="D2388" s="13">
        <v>174.0</v>
      </c>
      <c r="E2388" s="13">
        <v>86.0</v>
      </c>
    </row>
    <row r="2389">
      <c r="A2389" s="13">
        <v>5104035.0</v>
      </c>
      <c r="B2389" s="4">
        <v>276.0</v>
      </c>
      <c r="C2389" s="13">
        <v>151.0</v>
      </c>
      <c r="D2389" s="13">
        <v>115.0</v>
      </c>
      <c r="E2389" s="13">
        <v>537.0</v>
      </c>
    </row>
    <row r="2390">
      <c r="A2390" s="13">
        <v>5108020.0</v>
      </c>
      <c r="B2390" s="4">
        <v>277.0</v>
      </c>
      <c r="C2390" s="13">
        <v>50.0</v>
      </c>
      <c r="D2390" s="13">
        <v>21.0</v>
      </c>
      <c r="E2390" s="13">
        <v>93.0</v>
      </c>
    </row>
    <row r="2391">
      <c r="A2391" s="13">
        <v>5107029.0</v>
      </c>
      <c r="B2391" s="4">
        <v>278.0</v>
      </c>
      <c r="C2391" s="13">
        <v>114.0</v>
      </c>
      <c r="D2391" s="13">
        <v>30.0</v>
      </c>
      <c r="E2391" s="13">
        <v>182.0</v>
      </c>
    </row>
    <row r="2392">
      <c r="A2392" s="13">
        <v>5171203.0</v>
      </c>
      <c r="B2392" s="4">
        <v>274.0</v>
      </c>
      <c r="C2392" s="13">
        <v>176.0</v>
      </c>
      <c r="D2392" s="13">
        <v>114.0</v>
      </c>
      <c r="E2392" s="13">
        <v>589.0</v>
      </c>
    </row>
    <row r="2393">
      <c r="A2393" s="13">
        <v>5103052.0</v>
      </c>
      <c r="B2393" s="4">
        <v>275.0</v>
      </c>
      <c r="C2393" s="13">
        <v>104.0</v>
      </c>
      <c r="D2393" s="13">
        <v>33.0</v>
      </c>
      <c r="E2393" s="13">
        <v>182.0</v>
      </c>
    </row>
    <row r="2394">
      <c r="A2394" s="13">
        <v>5103021.0</v>
      </c>
      <c r="B2394" s="4">
        <v>275.0</v>
      </c>
      <c r="C2394" s="13">
        <v>25.0</v>
      </c>
      <c r="D2394" s="13">
        <v>24.0</v>
      </c>
      <c r="E2394" s="13">
        <v>178.0</v>
      </c>
    </row>
    <row r="2395">
      <c r="A2395" s="13">
        <v>5171111.0</v>
      </c>
      <c r="B2395" s="4">
        <v>274.0</v>
      </c>
      <c r="C2395" s="13">
        <v>100.0</v>
      </c>
      <c r="D2395" s="13">
        <v>51.0</v>
      </c>
      <c r="E2395" s="13">
        <v>234.0</v>
      </c>
    </row>
    <row r="2396">
      <c r="A2396" s="13">
        <v>5102048.0</v>
      </c>
      <c r="B2396" s="4">
        <v>273.0</v>
      </c>
      <c r="C2396" s="13">
        <v>54.0</v>
      </c>
      <c r="D2396" s="13">
        <v>17.0</v>
      </c>
      <c r="E2396" s="13">
        <v>40.0</v>
      </c>
    </row>
    <row r="2397">
      <c r="A2397" s="13">
        <v>5108042.0</v>
      </c>
      <c r="B2397" s="4">
        <v>277.0</v>
      </c>
      <c r="C2397" s="13">
        <v>100.0</v>
      </c>
      <c r="D2397" s="13">
        <v>20.0</v>
      </c>
      <c r="E2397" s="13">
        <v>152.0</v>
      </c>
    </row>
    <row r="2398">
      <c r="A2398" s="13">
        <v>5102052.0</v>
      </c>
      <c r="B2398" s="4">
        <v>273.0</v>
      </c>
      <c r="C2398" s="13">
        <v>45.0</v>
      </c>
      <c r="D2398" s="13">
        <v>20.0</v>
      </c>
      <c r="E2398" s="13">
        <v>85.0</v>
      </c>
    </row>
    <row r="2399">
      <c r="A2399" s="13">
        <v>5107018.0</v>
      </c>
      <c r="B2399" s="4">
        <v>278.0</v>
      </c>
      <c r="C2399" s="13">
        <v>32.0</v>
      </c>
      <c r="D2399" s="13">
        <v>11.0</v>
      </c>
      <c r="E2399" s="13">
        <v>2.0</v>
      </c>
    </row>
    <row r="2400">
      <c r="A2400" s="13">
        <v>5104050.0</v>
      </c>
      <c r="B2400" s="4">
        <v>276.0</v>
      </c>
      <c r="C2400" s="13">
        <v>65.0</v>
      </c>
      <c r="D2400" s="13">
        <v>29.0</v>
      </c>
      <c r="E2400" s="13">
        <v>182.0</v>
      </c>
    </row>
    <row r="2401">
      <c r="A2401" s="13">
        <v>5103040.0</v>
      </c>
      <c r="B2401" s="4">
        <v>275.0</v>
      </c>
      <c r="C2401" s="13">
        <v>122.0</v>
      </c>
      <c r="D2401" s="13">
        <v>96.0</v>
      </c>
      <c r="E2401" s="13">
        <v>260.0</v>
      </c>
    </row>
    <row r="2402">
      <c r="A2402" s="13">
        <v>5171232.0</v>
      </c>
      <c r="B2402" s="4">
        <v>274.0</v>
      </c>
      <c r="C2402" s="13">
        <v>25.0</v>
      </c>
      <c r="D2402" s="13">
        <v>37.0</v>
      </c>
      <c r="E2402" s="13">
        <v>182.0</v>
      </c>
    </row>
    <row r="2403">
      <c r="A2403" s="13">
        <v>5105013.0</v>
      </c>
      <c r="B2403" s="4">
        <v>280.0</v>
      </c>
      <c r="C2403" s="13">
        <v>247.0</v>
      </c>
      <c r="D2403" s="13">
        <v>92.0</v>
      </c>
      <c r="E2403" s="13">
        <v>740.0</v>
      </c>
    </row>
    <row r="2404">
      <c r="A2404" s="13">
        <v>5101055.0</v>
      </c>
      <c r="B2404" s="4">
        <v>281.0</v>
      </c>
      <c r="C2404" s="13">
        <v>100.0</v>
      </c>
      <c r="D2404" s="13">
        <v>40.0</v>
      </c>
      <c r="E2404" s="13">
        <v>229.0</v>
      </c>
    </row>
    <row r="2405">
      <c r="A2405" s="13">
        <v>5171133.0</v>
      </c>
      <c r="B2405" s="4">
        <v>274.0</v>
      </c>
      <c r="C2405" s="13">
        <v>100.0</v>
      </c>
      <c r="D2405" s="13">
        <v>70.0</v>
      </c>
      <c r="E2405" s="13">
        <v>387.0</v>
      </c>
    </row>
    <row r="2406">
      <c r="A2406" s="13">
        <v>5171219.0</v>
      </c>
      <c r="B2406" s="4">
        <v>274.0</v>
      </c>
      <c r="C2406" s="13">
        <v>33.0</v>
      </c>
      <c r="D2406" s="13">
        <v>12.0</v>
      </c>
      <c r="E2406" s="13">
        <v>83.0</v>
      </c>
    </row>
    <row r="2407">
      <c r="A2407" s="13">
        <v>5103032.0</v>
      </c>
      <c r="B2407" s="4">
        <v>275.0</v>
      </c>
      <c r="C2407" s="13">
        <v>228.0</v>
      </c>
      <c r="D2407" s="13">
        <v>128.0</v>
      </c>
      <c r="E2407" s="13">
        <v>1049.0</v>
      </c>
    </row>
    <row r="2408">
      <c r="A2408" s="13">
        <v>5103041.0</v>
      </c>
      <c r="B2408" s="4">
        <v>275.0</v>
      </c>
      <c r="C2408" s="13">
        <v>110.0</v>
      </c>
      <c r="D2408" s="13">
        <v>44.0</v>
      </c>
      <c r="E2408" s="13">
        <v>32.0</v>
      </c>
    </row>
    <row r="2409">
      <c r="A2409" s="13">
        <v>5171020.0</v>
      </c>
      <c r="B2409" s="4">
        <v>274.0</v>
      </c>
      <c r="C2409" s="13">
        <v>244.0</v>
      </c>
      <c r="D2409" s="13">
        <v>58.0</v>
      </c>
      <c r="E2409" s="13">
        <v>768.0</v>
      </c>
    </row>
    <row r="2410">
      <c r="A2410" s="13">
        <v>5171221.0</v>
      </c>
      <c r="B2410" s="4">
        <v>274.0</v>
      </c>
      <c r="C2410" s="13">
        <v>15.0</v>
      </c>
      <c r="D2410" s="13">
        <v>28.0</v>
      </c>
      <c r="E2410" s="13">
        <v>76.0</v>
      </c>
    </row>
    <row r="2411">
      <c r="A2411" s="13">
        <v>5106025.0</v>
      </c>
      <c r="B2411" s="4">
        <v>279.0</v>
      </c>
      <c r="C2411" s="13">
        <v>330.0</v>
      </c>
      <c r="D2411" s="13">
        <v>39.0</v>
      </c>
      <c r="E2411" s="13">
        <v>773.0</v>
      </c>
    </row>
    <row r="2412">
      <c r="A2412" s="13">
        <v>5104023.0</v>
      </c>
      <c r="B2412" s="4">
        <v>276.0</v>
      </c>
      <c r="C2412" s="13">
        <v>100.0</v>
      </c>
      <c r="D2412" s="13">
        <v>58.0</v>
      </c>
      <c r="E2412" s="13">
        <v>52.0</v>
      </c>
    </row>
    <row r="2413">
      <c r="A2413" s="13">
        <v>5102051.0</v>
      </c>
      <c r="B2413" s="4">
        <v>273.0</v>
      </c>
      <c r="C2413" s="13">
        <v>45.0</v>
      </c>
      <c r="D2413" s="13">
        <v>41.0</v>
      </c>
      <c r="E2413" s="13">
        <v>61.0</v>
      </c>
    </row>
    <row r="2414">
      <c r="A2414" s="13">
        <v>5171166.0</v>
      </c>
      <c r="B2414" s="4">
        <v>274.0</v>
      </c>
      <c r="C2414" s="13">
        <v>29.0</v>
      </c>
      <c r="D2414" s="13">
        <v>12.0</v>
      </c>
      <c r="E2414" s="13">
        <v>46.0</v>
      </c>
    </row>
    <row r="2415">
      <c r="A2415" s="13">
        <v>5105014.0</v>
      </c>
      <c r="B2415" s="4">
        <v>280.0</v>
      </c>
      <c r="C2415" s="13">
        <v>50.0</v>
      </c>
      <c r="D2415" s="13">
        <v>31.0</v>
      </c>
      <c r="E2415" s="13">
        <v>172.0</v>
      </c>
    </row>
    <row r="2416">
      <c r="A2416" s="13">
        <v>5103035.0</v>
      </c>
      <c r="B2416" s="4">
        <v>275.0</v>
      </c>
      <c r="C2416" s="13">
        <v>200.0</v>
      </c>
      <c r="D2416" s="13">
        <v>120.0</v>
      </c>
      <c r="E2416" s="13">
        <v>509.0</v>
      </c>
    </row>
    <row r="2417">
      <c r="A2417" s="13">
        <v>5108077.0</v>
      </c>
      <c r="B2417" s="4">
        <v>277.0</v>
      </c>
      <c r="C2417" s="13">
        <v>66.0</v>
      </c>
      <c r="D2417" s="13">
        <v>20.0</v>
      </c>
      <c r="E2417" s="13">
        <v>167.0</v>
      </c>
    </row>
    <row r="2418">
      <c r="A2418" s="13">
        <v>5102044.0</v>
      </c>
      <c r="B2418" s="4">
        <v>273.0</v>
      </c>
      <c r="C2418" s="13">
        <v>106.0</v>
      </c>
      <c r="D2418" s="13">
        <v>55.0</v>
      </c>
      <c r="E2418" s="13">
        <v>144.0</v>
      </c>
    </row>
    <row r="2419">
      <c r="A2419" s="13">
        <v>5171053.0</v>
      </c>
      <c r="B2419" s="4">
        <v>274.0</v>
      </c>
      <c r="C2419" s="13">
        <v>77.0</v>
      </c>
      <c r="D2419" s="13">
        <v>27.0</v>
      </c>
      <c r="E2419" s="13">
        <v>73.0</v>
      </c>
    </row>
    <row r="2420">
      <c r="A2420" s="13">
        <v>5171234.0</v>
      </c>
      <c r="B2420" s="4">
        <v>274.0</v>
      </c>
      <c r="C2420" s="13">
        <v>29.0</v>
      </c>
      <c r="D2420" s="13">
        <v>43.0</v>
      </c>
      <c r="E2420" s="13">
        <v>182.0</v>
      </c>
    </row>
    <row r="2421">
      <c r="A2421" s="13">
        <v>5101053.0</v>
      </c>
      <c r="B2421" s="4">
        <v>281.0</v>
      </c>
      <c r="C2421" s="13">
        <v>54.0</v>
      </c>
      <c r="D2421" s="13">
        <v>13.0</v>
      </c>
      <c r="E2421" s="13">
        <v>43.0</v>
      </c>
    </row>
    <row r="2422">
      <c r="A2422" s="13">
        <v>5108016.0</v>
      </c>
      <c r="B2422" s="4">
        <v>277.0</v>
      </c>
      <c r="C2422" s="13">
        <v>288.0</v>
      </c>
      <c r="D2422" s="13">
        <v>103.0</v>
      </c>
      <c r="E2422" s="13">
        <v>1071.0</v>
      </c>
    </row>
    <row r="2423">
      <c r="A2423" s="13">
        <v>5171192.0</v>
      </c>
      <c r="B2423" s="4">
        <v>274.0</v>
      </c>
      <c r="C2423" s="13">
        <v>150.0</v>
      </c>
      <c r="D2423" s="13">
        <v>46.0</v>
      </c>
      <c r="E2423" s="13">
        <v>683.0</v>
      </c>
    </row>
    <row r="2424">
      <c r="A2424" s="13">
        <v>5101054.0</v>
      </c>
      <c r="B2424" s="4">
        <v>281.0</v>
      </c>
      <c r="C2424" s="13">
        <v>100.0</v>
      </c>
      <c r="D2424" s="13">
        <v>45.0</v>
      </c>
      <c r="E2424" s="13">
        <v>82.0</v>
      </c>
    </row>
    <row r="2425">
      <c r="A2425" s="13">
        <v>5171217.0</v>
      </c>
      <c r="B2425" s="4">
        <v>274.0</v>
      </c>
      <c r="C2425" s="13">
        <v>104.0</v>
      </c>
      <c r="D2425" s="13">
        <v>32.0</v>
      </c>
      <c r="E2425" s="13">
        <v>138.0</v>
      </c>
    </row>
    <row r="2426">
      <c r="A2426" s="13">
        <v>5203027.0</v>
      </c>
      <c r="B2426" s="4">
        <v>282.0</v>
      </c>
      <c r="C2426" s="13">
        <v>70.0</v>
      </c>
      <c r="D2426" s="13">
        <v>36.0</v>
      </c>
      <c r="E2426" s="13">
        <v>83.0</v>
      </c>
    </row>
    <row r="2427">
      <c r="A2427" s="13">
        <v>5208002.0</v>
      </c>
      <c r="B2427" s="4">
        <v>283.0</v>
      </c>
      <c r="C2427" s="13">
        <v>151.0</v>
      </c>
      <c r="D2427" s="13">
        <v>25.0</v>
      </c>
      <c r="E2427" s="13">
        <v>80.0</v>
      </c>
    </row>
    <row r="2428">
      <c r="A2428" s="13">
        <v>5206015.0</v>
      </c>
      <c r="B2428" s="4">
        <v>284.0</v>
      </c>
      <c r="C2428" s="13">
        <v>234.0</v>
      </c>
      <c r="D2428" s="13">
        <v>29.0</v>
      </c>
      <c r="E2428" s="13">
        <v>675.0</v>
      </c>
    </row>
    <row r="2429">
      <c r="A2429" s="13">
        <v>5271104.0</v>
      </c>
      <c r="B2429" s="4">
        <v>285.0</v>
      </c>
      <c r="C2429" s="13">
        <v>107.0</v>
      </c>
      <c r="D2429" s="13">
        <v>42.0</v>
      </c>
      <c r="E2429" s="13">
        <v>74.0</v>
      </c>
    </row>
    <row r="2430">
      <c r="A2430" s="13">
        <v>5206027.0</v>
      </c>
      <c r="B2430" s="4">
        <v>286.0</v>
      </c>
      <c r="C2430" s="13">
        <v>189.0</v>
      </c>
      <c r="D2430" s="13">
        <v>53.0</v>
      </c>
      <c r="E2430" s="13">
        <v>281.0</v>
      </c>
    </row>
    <row r="2431">
      <c r="A2431" s="13">
        <v>5271101.0</v>
      </c>
      <c r="B2431" s="4">
        <v>285.0</v>
      </c>
      <c r="C2431" s="13">
        <v>52.0</v>
      </c>
      <c r="D2431" s="13">
        <v>61.0</v>
      </c>
      <c r="E2431" s="13">
        <v>135.0</v>
      </c>
    </row>
    <row r="2432">
      <c r="A2432" s="13">
        <v>5203029.0</v>
      </c>
      <c r="B2432" s="4">
        <v>282.0</v>
      </c>
      <c r="C2432" s="13">
        <v>38.0</v>
      </c>
      <c r="D2432" s="13">
        <v>12.0</v>
      </c>
      <c r="E2432" s="13">
        <v>182.0</v>
      </c>
    </row>
    <row r="2433">
      <c r="A2433" s="13">
        <v>5271021.0</v>
      </c>
      <c r="B2433" s="4">
        <v>285.0</v>
      </c>
      <c r="C2433" s="13">
        <v>64.0</v>
      </c>
      <c r="D2433" s="13">
        <v>28.0</v>
      </c>
      <c r="E2433" s="13">
        <v>162.0</v>
      </c>
    </row>
    <row r="2434">
      <c r="A2434" s="13">
        <v>5271098.0</v>
      </c>
      <c r="B2434" s="4">
        <v>285.0</v>
      </c>
      <c r="C2434" s="13">
        <v>61.0</v>
      </c>
      <c r="D2434" s="13">
        <v>33.0</v>
      </c>
      <c r="E2434" s="13">
        <v>131.0</v>
      </c>
    </row>
    <row r="2435">
      <c r="A2435" s="13">
        <v>5271103.0</v>
      </c>
      <c r="B2435" s="4">
        <v>285.0</v>
      </c>
      <c r="C2435" s="13">
        <v>27.0</v>
      </c>
      <c r="D2435" s="13">
        <v>10.0</v>
      </c>
      <c r="E2435" s="13">
        <v>30.0</v>
      </c>
    </row>
    <row r="2436">
      <c r="A2436" s="13">
        <v>5202011.0</v>
      </c>
      <c r="B2436" s="4">
        <v>287.0</v>
      </c>
      <c r="C2436" s="13">
        <v>240.0</v>
      </c>
      <c r="D2436" s="13">
        <v>138.0</v>
      </c>
      <c r="E2436" s="13">
        <v>760.0</v>
      </c>
    </row>
    <row r="2437">
      <c r="A2437" s="13">
        <v>5271043.0</v>
      </c>
      <c r="B2437" s="4">
        <v>285.0</v>
      </c>
      <c r="C2437" s="13">
        <v>50.0</v>
      </c>
      <c r="D2437" s="13">
        <v>18.0</v>
      </c>
      <c r="E2437" s="13">
        <v>64.0</v>
      </c>
    </row>
    <row r="2438">
      <c r="A2438" s="13">
        <v>5271099.0</v>
      </c>
      <c r="B2438" s="4">
        <v>285.0</v>
      </c>
      <c r="C2438" s="13">
        <v>56.0</v>
      </c>
      <c r="D2438" s="13">
        <v>18.0</v>
      </c>
      <c r="E2438" s="13">
        <v>211.0</v>
      </c>
    </row>
    <row r="2439">
      <c r="A2439" s="13">
        <v>5207002.0</v>
      </c>
      <c r="B2439" s="4">
        <v>288.0</v>
      </c>
      <c r="C2439" s="13">
        <v>100.0</v>
      </c>
      <c r="D2439" s="13">
        <v>49.0</v>
      </c>
      <c r="E2439" s="13">
        <v>304.0</v>
      </c>
    </row>
    <row r="2440">
      <c r="A2440" s="13">
        <v>5203012.0</v>
      </c>
      <c r="B2440" s="4">
        <v>282.0</v>
      </c>
      <c r="C2440" s="13">
        <v>283.0</v>
      </c>
      <c r="D2440" s="13">
        <v>105.0</v>
      </c>
      <c r="E2440" s="13">
        <v>1280.0</v>
      </c>
    </row>
    <row r="2441">
      <c r="A2441" s="13">
        <v>5272016.0</v>
      </c>
      <c r="B2441" s="4">
        <v>289.0</v>
      </c>
      <c r="C2441" s="13">
        <v>30.0</v>
      </c>
      <c r="D2441" s="13">
        <v>13.0</v>
      </c>
      <c r="E2441" s="13">
        <v>182.0</v>
      </c>
    </row>
    <row r="2442">
      <c r="A2442" s="13">
        <v>5203030.0</v>
      </c>
      <c r="B2442" s="4">
        <v>282.0</v>
      </c>
      <c r="C2442" s="13">
        <v>50.0</v>
      </c>
      <c r="D2442" s="13">
        <v>21.0</v>
      </c>
      <c r="E2442" s="13">
        <v>182.0</v>
      </c>
    </row>
    <row r="2443">
      <c r="A2443" s="13">
        <v>5272005.0</v>
      </c>
      <c r="B2443" s="4">
        <v>289.0</v>
      </c>
      <c r="C2443" s="13">
        <v>101.0</v>
      </c>
      <c r="D2443" s="13">
        <v>19.0</v>
      </c>
      <c r="E2443" s="13">
        <v>324.0</v>
      </c>
    </row>
    <row r="2444">
      <c r="A2444" s="13">
        <v>5271065.0</v>
      </c>
      <c r="B2444" s="4">
        <v>285.0</v>
      </c>
      <c r="C2444" s="13">
        <v>105.0</v>
      </c>
      <c r="D2444" s="13">
        <v>23.0</v>
      </c>
      <c r="E2444" s="13">
        <v>235.0</v>
      </c>
    </row>
    <row r="2445">
      <c r="A2445" s="13">
        <v>5207004.0</v>
      </c>
      <c r="B2445" s="4">
        <v>286.0</v>
      </c>
      <c r="C2445" s="13">
        <v>52.0</v>
      </c>
      <c r="D2445" s="13">
        <v>87.0</v>
      </c>
      <c r="E2445" s="13">
        <v>59.0</v>
      </c>
    </row>
    <row r="2446">
      <c r="A2446" s="13">
        <v>5205014.0</v>
      </c>
      <c r="B2446" s="4">
        <v>290.0</v>
      </c>
      <c r="C2446" s="13">
        <v>261.0</v>
      </c>
      <c r="D2446" s="13">
        <v>29.0</v>
      </c>
      <c r="E2446" s="13">
        <v>742.0</v>
      </c>
    </row>
    <row r="2447">
      <c r="A2447" s="13">
        <v>5203042.0</v>
      </c>
      <c r="B2447" s="4">
        <v>282.0</v>
      </c>
      <c r="C2447" s="13">
        <v>62.0</v>
      </c>
      <c r="D2447" s="13">
        <v>15.0</v>
      </c>
      <c r="E2447" s="13">
        <v>182.0</v>
      </c>
    </row>
    <row r="2448">
      <c r="A2448" s="13">
        <v>5272003.0</v>
      </c>
      <c r="B2448" s="4">
        <v>285.0</v>
      </c>
      <c r="C2448" s="13">
        <v>120.0</v>
      </c>
      <c r="D2448" s="13">
        <v>59.0</v>
      </c>
      <c r="E2448" s="13">
        <v>256.0</v>
      </c>
    </row>
    <row r="2449">
      <c r="A2449" s="13">
        <v>5203025.0</v>
      </c>
      <c r="B2449" s="4">
        <v>282.0</v>
      </c>
      <c r="C2449" s="13">
        <v>103.0</v>
      </c>
      <c r="D2449" s="13">
        <v>60.0</v>
      </c>
      <c r="E2449" s="13">
        <v>181.0</v>
      </c>
    </row>
    <row r="2450">
      <c r="A2450" s="13">
        <v>5271010.0</v>
      </c>
      <c r="B2450" s="4">
        <v>285.0</v>
      </c>
      <c r="C2450" s="13">
        <v>763.0</v>
      </c>
      <c r="D2450" s="13">
        <v>105.0</v>
      </c>
      <c r="E2450" s="13">
        <v>1274.0</v>
      </c>
    </row>
    <row r="2451">
      <c r="A2451" s="13">
        <v>5203024.0</v>
      </c>
      <c r="B2451" s="4">
        <v>282.0</v>
      </c>
      <c r="C2451" s="13">
        <v>115.0</v>
      </c>
      <c r="D2451" s="13">
        <v>56.0</v>
      </c>
      <c r="E2451" s="13">
        <v>113.0</v>
      </c>
    </row>
    <row r="2452">
      <c r="A2452" s="13">
        <v>5201010.0</v>
      </c>
      <c r="B2452" s="4">
        <v>291.0</v>
      </c>
      <c r="C2452" s="13">
        <v>234.0</v>
      </c>
      <c r="D2452" s="13">
        <v>56.0</v>
      </c>
      <c r="E2452" s="13">
        <v>490.0</v>
      </c>
    </row>
    <row r="2453">
      <c r="A2453" s="13">
        <v>5202023.0</v>
      </c>
      <c r="B2453" s="4">
        <v>287.0</v>
      </c>
      <c r="C2453" s="13">
        <v>25.0</v>
      </c>
      <c r="D2453" s="13">
        <v>18.0</v>
      </c>
      <c r="E2453" s="13">
        <v>15.0</v>
      </c>
    </row>
    <row r="2454">
      <c r="A2454" s="13">
        <v>5202035.0</v>
      </c>
      <c r="B2454" s="4">
        <v>287.0</v>
      </c>
      <c r="C2454" s="13">
        <v>74.0</v>
      </c>
      <c r="D2454" s="13">
        <v>47.0</v>
      </c>
      <c r="E2454" s="13">
        <v>35.0</v>
      </c>
    </row>
    <row r="2455">
      <c r="A2455" s="13">
        <v>5201012.0</v>
      </c>
      <c r="B2455" s="4">
        <v>291.0</v>
      </c>
      <c r="C2455" s="13">
        <v>103.0</v>
      </c>
      <c r="D2455" s="13">
        <v>51.0</v>
      </c>
      <c r="E2455" s="13">
        <v>302.0</v>
      </c>
    </row>
    <row r="2456">
      <c r="A2456" s="13">
        <v>5271032.0</v>
      </c>
      <c r="B2456" s="4">
        <v>285.0</v>
      </c>
      <c r="C2456" s="13">
        <v>106.0</v>
      </c>
      <c r="D2456" s="13">
        <v>32.0</v>
      </c>
      <c r="E2456" s="13">
        <v>329.0</v>
      </c>
    </row>
    <row r="2457">
      <c r="A2457" s="13">
        <v>5206029.0</v>
      </c>
      <c r="B2457" s="4">
        <v>284.0</v>
      </c>
      <c r="C2457" s="13">
        <v>101.0</v>
      </c>
      <c r="D2457" s="13">
        <v>25.0</v>
      </c>
      <c r="E2457" s="13">
        <v>67.0</v>
      </c>
    </row>
    <row r="2458">
      <c r="A2458" s="13">
        <v>5202024.0</v>
      </c>
      <c r="B2458" s="4">
        <v>287.0</v>
      </c>
      <c r="C2458" s="13">
        <v>58.0</v>
      </c>
      <c r="D2458" s="13">
        <v>25.0</v>
      </c>
      <c r="E2458" s="13">
        <v>65.0</v>
      </c>
    </row>
    <row r="2459">
      <c r="A2459" s="13">
        <v>5203041.0</v>
      </c>
      <c r="B2459" s="4">
        <v>282.0</v>
      </c>
      <c r="C2459" s="13">
        <v>43.0</v>
      </c>
      <c r="D2459" s="13">
        <v>12.0</v>
      </c>
      <c r="E2459" s="13">
        <v>182.0</v>
      </c>
    </row>
    <row r="2460">
      <c r="A2460" s="13">
        <v>5203028.0</v>
      </c>
      <c r="B2460" s="4">
        <v>282.0</v>
      </c>
      <c r="C2460" s="13">
        <v>72.0</v>
      </c>
      <c r="D2460" s="13">
        <v>51.0</v>
      </c>
      <c r="E2460" s="13">
        <v>35.0</v>
      </c>
    </row>
    <row r="2461">
      <c r="A2461" s="13">
        <v>5206030.0</v>
      </c>
      <c r="B2461" s="4">
        <v>289.0</v>
      </c>
      <c r="C2461" s="13">
        <v>74.0</v>
      </c>
      <c r="D2461" s="13">
        <v>29.0</v>
      </c>
      <c r="E2461" s="13">
        <v>99.0</v>
      </c>
    </row>
    <row r="2462">
      <c r="A2462" s="13">
        <v>5202022.0</v>
      </c>
      <c r="B2462" s="4">
        <v>287.0</v>
      </c>
      <c r="C2462" s="13">
        <v>83.0</v>
      </c>
      <c r="D2462" s="13">
        <v>35.0</v>
      </c>
      <c r="E2462" s="13">
        <v>331.0</v>
      </c>
    </row>
    <row r="2463">
      <c r="A2463" s="13">
        <v>5271102.0</v>
      </c>
      <c r="B2463" s="4">
        <v>285.0</v>
      </c>
      <c r="C2463" s="13">
        <v>22.0</v>
      </c>
      <c r="D2463" s="13">
        <v>17.0</v>
      </c>
      <c r="E2463" s="13">
        <v>27.0</v>
      </c>
    </row>
    <row r="2464">
      <c r="A2464" s="13">
        <v>5271054.0</v>
      </c>
      <c r="B2464" s="4">
        <v>285.0</v>
      </c>
      <c r="C2464" s="13">
        <v>111.0</v>
      </c>
      <c r="D2464" s="13">
        <v>34.0</v>
      </c>
      <c r="E2464" s="13">
        <v>329.0</v>
      </c>
    </row>
    <row r="2465">
      <c r="A2465" s="13">
        <v>5271087.0</v>
      </c>
      <c r="B2465" s="4">
        <v>285.0</v>
      </c>
      <c r="C2465" s="13">
        <v>355.0</v>
      </c>
      <c r="D2465" s="13">
        <v>138.0</v>
      </c>
      <c r="E2465" s="13">
        <v>1070.0</v>
      </c>
    </row>
    <row r="2466">
      <c r="A2466" s="13">
        <v>5271100.0</v>
      </c>
      <c r="B2466" s="4">
        <v>285.0</v>
      </c>
      <c r="C2466" s="13">
        <v>40.0</v>
      </c>
      <c r="D2466" s="13">
        <v>56.0</v>
      </c>
      <c r="E2466" s="13">
        <v>208.0</v>
      </c>
    </row>
    <row r="2467">
      <c r="A2467" s="13">
        <v>5204013.0</v>
      </c>
      <c r="B2467" s="4">
        <v>286.0</v>
      </c>
      <c r="C2467" s="13">
        <v>233.0</v>
      </c>
      <c r="D2467" s="13">
        <v>37.0</v>
      </c>
      <c r="E2467" s="13">
        <v>335.0</v>
      </c>
    </row>
    <row r="2468">
      <c r="A2468" s="13">
        <v>5206028.0</v>
      </c>
      <c r="B2468" s="4">
        <v>289.0</v>
      </c>
      <c r="C2468" s="13">
        <v>94.0</v>
      </c>
      <c r="D2468" s="13">
        <v>22.0</v>
      </c>
      <c r="E2468" s="13">
        <v>114.0</v>
      </c>
    </row>
    <row r="2469">
      <c r="A2469" s="13">
        <v>5202036.0</v>
      </c>
      <c r="B2469" s="4">
        <v>287.0</v>
      </c>
      <c r="C2469" s="13">
        <v>48.0</v>
      </c>
      <c r="D2469" s="13">
        <v>14.0</v>
      </c>
      <c r="E2469" s="13">
        <v>182.0</v>
      </c>
    </row>
    <row r="2470">
      <c r="A2470" s="13">
        <v>5205016.0</v>
      </c>
      <c r="B2470" s="4">
        <v>290.0</v>
      </c>
      <c r="C2470" s="13">
        <v>51.0</v>
      </c>
      <c r="D2470" s="13">
        <v>23.0</v>
      </c>
      <c r="E2470" s="13">
        <v>74.0</v>
      </c>
    </row>
    <row r="2471">
      <c r="A2471" s="13">
        <v>5271076.0</v>
      </c>
      <c r="B2471" s="4">
        <v>285.0</v>
      </c>
      <c r="C2471" s="13">
        <v>71.0</v>
      </c>
      <c r="D2471" s="13">
        <v>70.0</v>
      </c>
      <c r="E2471" s="13">
        <v>298.0</v>
      </c>
    </row>
    <row r="2472">
      <c r="A2472" s="13">
        <v>5311024.0</v>
      </c>
      <c r="B2472" s="4">
        <v>292.0</v>
      </c>
      <c r="C2472" s="13">
        <v>50.0</v>
      </c>
      <c r="D2472" s="13">
        <v>38.0</v>
      </c>
      <c r="E2472" s="13">
        <v>72.0</v>
      </c>
    </row>
    <row r="2473">
      <c r="A2473" s="13">
        <v>5371047.0</v>
      </c>
      <c r="B2473" s="4">
        <v>293.0</v>
      </c>
      <c r="C2473" s="13">
        <v>62.0</v>
      </c>
      <c r="D2473" s="13">
        <v>24.0</v>
      </c>
      <c r="E2473" s="13">
        <v>199.0</v>
      </c>
    </row>
    <row r="2474">
      <c r="A2474" s="13">
        <v>5302034.0</v>
      </c>
      <c r="B2474" s="4">
        <v>294.0</v>
      </c>
      <c r="C2474" s="13">
        <v>53.0</v>
      </c>
      <c r="D2474" s="13">
        <v>30.0</v>
      </c>
      <c r="E2474" s="13">
        <v>72.0</v>
      </c>
    </row>
    <row r="2475">
      <c r="A2475" s="13">
        <v>5309012.0</v>
      </c>
      <c r="B2475" s="4">
        <v>295.0</v>
      </c>
      <c r="C2475" s="13">
        <v>147.0</v>
      </c>
      <c r="D2475" s="13">
        <v>34.0</v>
      </c>
      <c r="E2475" s="13">
        <v>380.0</v>
      </c>
    </row>
    <row r="2476">
      <c r="A2476" s="13">
        <v>5303028.0</v>
      </c>
      <c r="B2476" s="4">
        <v>293.0</v>
      </c>
      <c r="C2476" s="13">
        <v>231.0</v>
      </c>
      <c r="D2476" s="13">
        <v>79.0</v>
      </c>
      <c r="E2476" s="13">
        <v>358.0</v>
      </c>
    </row>
    <row r="2477">
      <c r="A2477" s="13">
        <v>5301022.0</v>
      </c>
      <c r="B2477" s="4">
        <v>296.0</v>
      </c>
      <c r="C2477" s="13">
        <v>121.0</v>
      </c>
      <c r="D2477" s="13">
        <v>21.0</v>
      </c>
      <c r="E2477" s="13">
        <v>100.0</v>
      </c>
    </row>
    <row r="2478">
      <c r="A2478" s="13">
        <v>5371058.0</v>
      </c>
      <c r="B2478" s="4">
        <v>293.0</v>
      </c>
      <c r="C2478" s="13">
        <v>137.0</v>
      </c>
      <c r="D2478" s="13">
        <v>43.0</v>
      </c>
      <c r="E2478" s="13">
        <v>231.0</v>
      </c>
    </row>
    <row r="2479">
      <c r="A2479" s="13">
        <v>5313015.0</v>
      </c>
      <c r="B2479" s="4">
        <v>297.0</v>
      </c>
      <c r="C2479" s="13">
        <v>265.0</v>
      </c>
      <c r="D2479" s="13">
        <v>30.0</v>
      </c>
      <c r="E2479" s="13">
        <v>425.0</v>
      </c>
    </row>
    <row r="2480">
      <c r="A2480" s="13">
        <v>5309046.0</v>
      </c>
      <c r="B2480" s="4">
        <v>295.0</v>
      </c>
      <c r="C2480" s="13">
        <v>30.0</v>
      </c>
      <c r="D2480" s="13">
        <v>10.0</v>
      </c>
      <c r="E2480" s="13">
        <v>182.0</v>
      </c>
    </row>
    <row r="2481">
      <c r="A2481" s="13">
        <v>5371054.0</v>
      </c>
      <c r="B2481" s="4">
        <v>293.0</v>
      </c>
      <c r="C2481" s="13">
        <v>122.0</v>
      </c>
      <c r="D2481" s="13">
        <v>33.0</v>
      </c>
      <c r="E2481" s="13">
        <v>112.0</v>
      </c>
    </row>
    <row r="2482">
      <c r="A2482" s="13">
        <v>5317002.0</v>
      </c>
      <c r="B2482" s="4">
        <v>296.0</v>
      </c>
      <c r="C2482" s="13">
        <v>121.0</v>
      </c>
      <c r="D2482" s="13">
        <v>24.0</v>
      </c>
      <c r="E2482" s="13">
        <v>72.0</v>
      </c>
    </row>
    <row r="2483">
      <c r="A2483" s="13">
        <v>5318014.0</v>
      </c>
      <c r="B2483" s="4">
        <v>298.0</v>
      </c>
      <c r="C2483" s="13">
        <v>102.0</v>
      </c>
      <c r="D2483" s="13">
        <v>1.0</v>
      </c>
      <c r="E2483" s="13">
        <v>182.0</v>
      </c>
    </row>
    <row r="2484">
      <c r="A2484" s="13">
        <v>5305015.0</v>
      </c>
      <c r="B2484" s="4">
        <v>299.0</v>
      </c>
      <c r="C2484" s="13">
        <v>114.0</v>
      </c>
      <c r="D2484" s="13">
        <v>28.0</v>
      </c>
      <c r="E2484" s="13">
        <v>363.0</v>
      </c>
    </row>
    <row r="2485">
      <c r="A2485" s="13">
        <v>5309034.0</v>
      </c>
      <c r="B2485" s="4">
        <v>300.0</v>
      </c>
      <c r="C2485" s="13">
        <v>60.0</v>
      </c>
      <c r="D2485" s="13">
        <v>17.0</v>
      </c>
      <c r="E2485" s="13">
        <v>31.0</v>
      </c>
    </row>
    <row r="2486">
      <c r="A2486" s="13">
        <v>5303057.0</v>
      </c>
      <c r="B2486" s="4">
        <v>301.0</v>
      </c>
      <c r="C2486" s="13">
        <v>205.0</v>
      </c>
      <c r="D2486" s="13">
        <v>31.0</v>
      </c>
      <c r="E2486" s="13">
        <v>182.0</v>
      </c>
    </row>
    <row r="2487">
      <c r="A2487" s="13">
        <v>5371046.0</v>
      </c>
      <c r="B2487" s="4">
        <v>293.0</v>
      </c>
      <c r="C2487" s="13">
        <v>87.0</v>
      </c>
      <c r="D2487" s="13">
        <v>23.0</v>
      </c>
      <c r="E2487" s="13">
        <v>88.0</v>
      </c>
    </row>
    <row r="2488">
      <c r="A2488" s="13">
        <v>5302012.0</v>
      </c>
      <c r="B2488" s="4">
        <v>294.0</v>
      </c>
      <c r="C2488" s="13">
        <v>82.0</v>
      </c>
      <c r="D2488" s="13">
        <v>30.0</v>
      </c>
      <c r="E2488" s="13">
        <v>176.0</v>
      </c>
    </row>
    <row r="2489">
      <c r="A2489" s="13">
        <v>5371011.0</v>
      </c>
      <c r="B2489" s="4">
        <v>293.0</v>
      </c>
      <c r="C2489" s="13">
        <v>344.0</v>
      </c>
      <c r="D2489" s="13">
        <v>74.0</v>
      </c>
      <c r="E2489" s="13">
        <v>660.0</v>
      </c>
    </row>
    <row r="2490">
      <c r="A2490" s="13">
        <v>5371059.0</v>
      </c>
      <c r="B2490" s="4">
        <v>293.0</v>
      </c>
      <c r="C2490" s="13">
        <v>39.0</v>
      </c>
      <c r="D2490" s="13">
        <v>23.0</v>
      </c>
      <c r="E2490" s="13">
        <v>204.0</v>
      </c>
    </row>
    <row r="2491">
      <c r="A2491" s="13">
        <v>5304015.0</v>
      </c>
      <c r="B2491" s="4">
        <v>302.0</v>
      </c>
      <c r="C2491" s="13">
        <v>30.0</v>
      </c>
      <c r="D2491" s="13">
        <v>14.0</v>
      </c>
      <c r="E2491" s="13">
        <v>56.0</v>
      </c>
    </row>
    <row r="2492">
      <c r="A2492" s="13">
        <v>5319002.0</v>
      </c>
      <c r="B2492" s="4">
        <v>303.0</v>
      </c>
      <c r="C2492" s="13">
        <v>58.0</v>
      </c>
      <c r="D2492" s="13">
        <v>17.0</v>
      </c>
      <c r="E2492" s="13">
        <v>79.0</v>
      </c>
    </row>
    <row r="2493">
      <c r="A2493" s="13">
        <v>5306020.0</v>
      </c>
      <c r="B2493" s="4">
        <v>304.0</v>
      </c>
      <c r="C2493" s="13">
        <v>50.0</v>
      </c>
      <c r="D2493" s="13">
        <v>23.0</v>
      </c>
      <c r="E2493" s="13">
        <v>108.0</v>
      </c>
    </row>
    <row r="2494">
      <c r="A2494" s="13">
        <v>5310012.0</v>
      </c>
      <c r="B2494" s="4">
        <v>305.0</v>
      </c>
      <c r="C2494" s="13">
        <v>202.0</v>
      </c>
      <c r="D2494" s="13">
        <v>31.0</v>
      </c>
      <c r="E2494" s="13">
        <v>803.0</v>
      </c>
    </row>
    <row r="2495">
      <c r="A2495" s="13">
        <v>5303056.0</v>
      </c>
      <c r="B2495" s="4">
        <v>293.0</v>
      </c>
      <c r="C2495" s="13">
        <v>220.0</v>
      </c>
      <c r="D2495" s="13">
        <v>22.0</v>
      </c>
      <c r="E2495" s="13">
        <v>182.0</v>
      </c>
    </row>
    <row r="2496">
      <c r="A2496" s="13">
        <v>5303033.0</v>
      </c>
      <c r="B2496" s="4">
        <v>293.0</v>
      </c>
      <c r="C2496" s="13">
        <v>154.0</v>
      </c>
      <c r="D2496" s="13">
        <v>97.0</v>
      </c>
      <c r="E2496" s="13">
        <v>193.0</v>
      </c>
    </row>
    <row r="2497">
      <c r="A2497" s="13">
        <v>5303045.0</v>
      </c>
      <c r="B2497" s="4">
        <v>301.0</v>
      </c>
      <c r="C2497" s="13">
        <v>102.0</v>
      </c>
      <c r="D2497" s="13">
        <v>30.0</v>
      </c>
      <c r="E2497" s="13">
        <v>373.0</v>
      </c>
    </row>
    <row r="2498">
      <c r="A2498" s="13">
        <v>5304026.0</v>
      </c>
      <c r="B2498" s="4">
        <v>302.0</v>
      </c>
      <c r="C2498" s="13">
        <v>33.0</v>
      </c>
      <c r="D2498" s="13">
        <v>4.0</v>
      </c>
      <c r="E2498" s="13">
        <v>182.0</v>
      </c>
    </row>
    <row r="2499">
      <c r="A2499" s="13">
        <v>5315004.0</v>
      </c>
      <c r="B2499" s="4">
        <v>306.0</v>
      </c>
      <c r="C2499" s="13">
        <v>50.0</v>
      </c>
      <c r="D2499" s="13">
        <v>26.0</v>
      </c>
      <c r="E2499" s="13">
        <v>182.0</v>
      </c>
    </row>
    <row r="2500">
      <c r="A2500" s="13">
        <v>5303013.0</v>
      </c>
      <c r="B2500" s="4">
        <v>293.0</v>
      </c>
      <c r="C2500" s="13">
        <v>156.0</v>
      </c>
      <c r="D2500" s="13">
        <v>51.0</v>
      </c>
      <c r="E2500" s="13">
        <v>196.0</v>
      </c>
    </row>
    <row r="2501">
      <c r="A2501" s="13">
        <v>5306042.0</v>
      </c>
      <c r="B2501" s="4">
        <v>307.0</v>
      </c>
      <c r="C2501" s="13">
        <v>107.0</v>
      </c>
      <c r="D2501" s="13">
        <v>23.0</v>
      </c>
      <c r="E2501" s="13">
        <v>391.0</v>
      </c>
    </row>
    <row r="2502">
      <c r="A2502" s="13">
        <v>5302045.0</v>
      </c>
      <c r="B2502" s="4">
        <v>294.0</v>
      </c>
      <c r="C2502" s="13">
        <v>34.0</v>
      </c>
      <c r="D2502" s="13">
        <v>9.0</v>
      </c>
      <c r="E2502" s="13">
        <v>182.0</v>
      </c>
    </row>
    <row r="2503">
      <c r="A2503" s="13">
        <v>5302046.0</v>
      </c>
      <c r="B2503" s="4">
        <v>294.0</v>
      </c>
      <c r="C2503" s="13">
        <v>37.0</v>
      </c>
      <c r="D2503" s="13">
        <v>11.0</v>
      </c>
      <c r="E2503" s="13">
        <v>182.0</v>
      </c>
    </row>
    <row r="2504">
      <c r="A2504" s="13">
        <v>5311013.0</v>
      </c>
      <c r="B2504" s="4">
        <v>292.0</v>
      </c>
      <c r="C2504" s="13">
        <v>184.0</v>
      </c>
      <c r="D2504" s="13">
        <v>18.0</v>
      </c>
      <c r="E2504" s="13">
        <v>605.0</v>
      </c>
    </row>
    <row r="2505">
      <c r="A2505" s="13">
        <v>5307021.0</v>
      </c>
      <c r="B2505" s="4">
        <v>308.0</v>
      </c>
      <c r="C2505" s="13">
        <v>18.0</v>
      </c>
      <c r="D2505" s="13">
        <v>9.0</v>
      </c>
      <c r="E2505" s="13">
        <v>25.0</v>
      </c>
    </row>
    <row r="2506">
      <c r="A2506" s="13">
        <v>5301011.0</v>
      </c>
      <c r="B2506" s="4">
        <v>309.0</v>
      </c>
      <c r="C2506" s="13">
        <v>86.0</v>
      </c>
      <c r="D2506" s="13">
        <v>23.0</v>
      </c>
      <c r="E2506" s="13">
        <v>217.0</v>
      </c>
    </row>
    <row r="2507">
      <c r="A2507" s="13">
        <v>5312014.0</v>
      </c>
      <c r="B2507" s="4">
        <v>310.0</v>
      </c>
      <c r="C2507" s="13">
        <v>113.0</v>
      </c>
      <c r="D2507" s="13">
        <v>21.0</v>
      </c>
      <c r="E2507" s="13">
        <v>399.0</v>
      </c>
    </row>
    <row r="2508">
      <c r="A2508" s="13">
        <v>5371052.0</v>
      </c>
      <c r="B2508" s="4">
        <v>293.0</v>
      </c>
      <c r="C2508" s="13">
        <v>100.0</v>
      </c>
      <c r="D2508" s="13">
        <v>69.0</v>
      </c>
      <c r="E2508" s="13">
        <v>195.0</v>
      </c>
    </row>
    <row r="2509">
      <c r="A2509" s="13">
        <v>5304014.0</v>
      </c>
      <c r="B2509" s="4">
        <v>302.0</v>
      </c>
      <c r="C2509" s="13">
        <v>109.0</v>
      </c>
      <c r="D2509" s="13">
        <v>34.0</v>
      </c>
      <c r="E2509" s="13">
        <v>331.0</v>
      </c>
    </row>
    <row r="2510">
      <c r="A2510" s="13">
        <v>5308023.0</v>
      </c>
      <c r="B2510" s="4">
        <v>300.0</v>
      </c>
      <c r="C2510" s="13">
        <v>55.0</v>
      </c>
      <c r="D2510" s="13">
        <v>11.0</v>
      </c>
      <c r="E2510" s="13">
        <v>26.0</v>
      </c>
    </row>
    <row r="2511">
      <c r="A2511" s="13">
        <v>5306053.0</v>
      </c>
      <c r="B2511" s="4">
        <v>304.0</v>
      </c>
      <c r="C2511" s="13">
        <v>72.0</v>
      </c>
      <c r="D2511" s="13">
        <v>18.0</v>
      </c>
      <c r="E2511" s="13">
        <v>182.0</v>
      </c>
    </row>
    <row r="2512">
      <c r="A2512" s="13">
        <v>5301033.0</v>
      </c>
      <c r="B2512" s="4">
        <v>309.0</v>
      </c>
      <c r="C2512" s="13">
        <v>117.0</v>
      </c>
      <c r="D2512" s="13">
        <v>34.0</v>
      </c>
      <c r="E2512" s="13">
        <v>473.0</v>
      </c>
    </row>
    <row r="2513">
      <c r="A2513" s="13">
        <v>5313026.0</v>
      </c>
      <c r="B2513" s="4">
        <v>297.0</v>
      </c>
      <c r="C2513" s="13">
        <v>69.0</v>
      </c>
      <c r="D2513" s="13">
        <v>16.0</v>
      </c>
      <c r="E2513" s="13">
        <v>113.0</v>
      </c>
    </row>
    <row r="2514">
      <c r="A2514" s="13">
        <v>5371057.0</v>
      </c>
      <c r="B2514" s="4">
        <v>293.0</v>
      </c>
      <c r="C2514" s="13">
        <v>61.0</v>
      </c>
      <c r="D2514" s="13">
        <v>89.0</v>
      </c>
      <c r="E2514" s="13">
        <v>124.0</v>
      </c>
    </row>
    <row r="2515">
      <c r="A2515" s="13">
        <v>5306016.0</v>
      </c>
      <c r="B2515" s="4">
        <v>304.0</v>
      </c>
      <c r="C2515" s="13">
        <v>183.0</v>
      </c>
      <c r="D2515" s="13">
        <v>26.0</v>
      </c>
      <c r="E2515" s="13">
        <v>367.0</v>
      </c>
    </row>
    <row r="2516">
      <c r="A2516" s="13">
        <v>5308045.0</v>
      </c>
      <c r="B2516" s="4">
        <v>300.0</v>
      </c>
      <c r="C2516" s="13">
        <v>103.0</v>
      </c>
      <c r="D2516" s="13">
        <v>23.0</v>
      </c>
      <c r="E2516" s="13">
        <v>311.0</v>
      </c>
    </row>
    <row r="2517">
      <c r="A2517" s="13">
        <v>5305024.0</v>
      </c>
      <c r="B2517" s="4">
        <v>299.0</v>
      </c>
      <c r="C2517" s="13">
        <v>55.0</v>
      </c>
      <c r="D2517" s="13">
        <v>21.0</v>
      </c>
      <c r="E2517" s="13">
        <v>10.0</v>
      </c>
    </row>
    <row r="2518">
      <c r="A2518" s="13">
        <v>5315002.0</v>
      </c>
      <c r="B2518" s="4">
        <v>306.0</v>
      </c>
      <c r="C2518" s="13">
        <v>77.0</v>
      </c>
      <c r="D2518" s="13">
        <v>40.0</v>
      </c>
      <c r="E2518" s="13">
        <v>198.0</v>
      </c>
    </row>
    <row r="2519">
      <c r="A2519" s="13">
        <v>5302023.0</v>
      </c>
      <c r="B2519" s="4">
        <v>294.0</v>
      </c>
      <c r="C2519" s="13">
        <v>136.0</v>
      </c>
      <c r="D2519" s="13">
        <v>35.0</v>
      </c>
      <c r="E2519" s="13">
        <v>520.0</v>
      </c>
    </row>
    <row r="2520">
      <c r="A2520" s="13">
        <v>5305025.0</v>
      </c>
      <c r="B2520" s="4">
        <v>299.0</v>
      </c>
      <c r="C2520" s="13">
        <v>133.0</v>
      </c>
      <c r="D2520" s="13">
        <v>43.0</v>
      </c>
      <c r="E2520" s="13">
        <v>127.0</v>
      </c>
    </row>
    <row r="2521">
      <c r="A2521" s="13">
        <v>5303022.0</v>
      </c>
      <c r="B2521" s="4">
        <v>293.0</v>
      </c>
      <c r="C2521" s="13">
        <v>130.0</v>
      </c>
      <c r="D2521" s="13">
        <v>33.0</v>
      </c>
      <c r="E2521" s="13">
        <v>208.0</v>
      </c>
    </row>
    <row r="2522">
      <c r="A2522" s="13">
        <v>5313037.0</v>
      </c>
      <c r="B2522" s="4">
        <v>297.0</v>
      </c>
      <c r="C2522" s="13">
        <v>71.0</v>
      </c>
      <c r="D2522" s="13">
        <v>28.0</v>
      </c>
      <c r="E2522" s="13">
        <v>182.0</v>
      </c>
    </row>
    <row r="2523">
      <c r="A2523" s="13">
        <v>5310034.0</v>
      </c>
      <c r="B2523" s="4">
        <v>305.0</v>
      </c>
      <c r="C2523" s="13">
        <v>77.0</v>
      </c>
      <c r="D2523" s="13">
        <v>49.0</v>
      </c>
      <c r="E2523" s="13">
        <v>148.0</v>
      </c>
    </row>
    <row r="2524">
      <c r="A2524" s="13">
        <v>5319013.0</v>
      </c>
      <c r="B2524" s="4">
        <v>303.0</v>
      </c>
      <c r="C2524" s="13">
        <v>32.0</v>
      </c>
      <c r="D2524" s="13">
        <v>40.0</v>
      </c>
      <c r="E2524" s="13">
        <v>182.0</v>
      </c>
    </row>
    <row r="2525">
      <c r="A2525" s="13">
        <v>5301035.0</v>
      </c>
      <c r="B2525" s="4">
        <v>309.0</v>
      </c>
      <c r="C2525" s="13">
        <v>50.0</v>
      </c>
      <c r="D2525" s="13">
        <v>17.0</v>
      </c>
      <c r="E2525" s="13">
        <v>1.0</v>
      </c>
    </row>
    <row r="2526">
      <c r="A2526" s="13">
        <v>5306031.0</v>
      </c>
      <c r="B2526" s="4">
        <v>304.0</v>
      </c>
      <c r="C2526" s="13">
        <v>88.0</v>
      </c>
      <c r="D2526" s="13">
        <v>31.0</v>
      </c>
      <c r="E2526" s="13">
        <v>182.0</v>
      </c>
    </row>
    <row r="2527">
      <c r="A2527" s="13">
        <v>5310023.0</v>
      </c>
      <c r="B2527" s="4">
        <v>305.0</v>
      </c>
      <c r="C2527" s="13">
        <v>54.0</v>
      </c>
      <c r="D2527" s="13">
        <v>21.0</v>
      </c>
      <c r="E2527" s="13">
        <v>105.0</v>
      </c>
    </row>
    <row r="2528">
      <c r="A2528" s="13">
        <v>5320002.0</v>
      </c>
      <c r="B2528" s="4">
        <v>311.0</v>
      </c>
      <c r="C2528" s="13">
        <v>58.0</v>
      </c>
      <c r="D2528" s="13">
        <v>15.0</v>
      </c>
      <c r="E2528" s="13">
        <v>61.0</v>
      </c>
    </row>
    <row r="2529">
      <c r="A2529" s="13">
        <v>5318002.0</v>
      </c>
      <c r="B2529" s="4">
        <v>298.0</v>
      </c>
      <c r="C2529" s="13">
        <v>103.0</v>
      </c>
      <c r="D2529" s="13">
        <v>16.0</v>
      </c>
      <c r="E2529" s="13">
        <v>138.0</v>
      </c>
    </row>
    <row r="2530">
      <c r="A2530" s="13">
        <v>5320013.0</v>
      </c>
      <c r="B2530" s="4">
        <v>311.0</v>
      </c>
      <c r="C2530" s="13">
        <v>30.0</v>
      </c>
      <c r="D2530" s="13">
        <v>4.0</v>
      </c>
      <c r="E2530" s="13">
        <v>182.0</v>
      </c>
    </row>
    <row r="2531">
      <c r="A2531" s="13">
        <v>5303024.0</v>
      </c>
      <c r="B2531" s="4">
        <v>312.0</v>
      </c>
      <c r="C2531" s="13">
        <v>110.0</v>
      </c>
      <c r="D2531" s="13">
        <v>22.0</v>
      </c>
      <c r="E2531" s="13">
        <v>217.0</v>
      </c>
    </row>
    <row r="2532">
      <c r="A2532" s="13">
        <v>5316003.0</v>
      </c>
      <c r="B2532" s="4">
        <v>313.0</v>
      </c>
      <c r="C2532" s="13">
        <v>83.0</v>
      </c>
      <c r="D2532" s="13">
        <v>22.0</v>
      </c>
      <c r="E2532" s="13">
        <v>160.0</v>
      </c>
    </row>
    <row r="2533">
      <c r="A2533" s="13">
        <v>5307010.0</v>
      </c>
      <c r="B2533" s="4">
        <v>308.0</v>
      </c>
      <c r="C2533" s="13">
        <v>121.0</v>
      </c>
      <c r="D2533" s="13">
        <v>31.0</v>
      </c>
      <c r="E2533" s="13">
        <v>596.0</v>
      </c>
    </row>
    <row r="2534">
      <c r="A2534" s="13">
        <v>6102012.0</v>
      </c>
      <c r="B2534" s="4">
        <v>314.0</v>
      </c>
      <c r="C2534" s="13">
        <v>104.0</v>
      </c>
      <c r="D2534" s="13">
        <v>27.0</v>
      </c>
      <c r="E2534" s="13">
        <v>213.0</v>
      </c>
    </row>
    <row r="2535">
      <c r="A2535" s="13">
        <v>6172135.0</v>
      </c>
      <c r="B2535" s="4">
        <v>315.0</v>
      </c>
      <c r="C2535" s="13">
        <v>88.0</v>
      </c>
      <c r="D2535" s="13">
        <v>20.0</v>
      </c>
      <c r="E2535" s="13">
        <v>182.0</v>
      </c>
    </row>
    <row r="2536">
      <c r="A2536" s="13">
        <v>6109023.0</v>
      </c>
      <c r="B2536" s="4">
        <v>316.0</v>
      </c>
      <c r="C2536" s="13">
        <v>36.0</v>
      </c>
      <c r="D2536" s="13">
        <v>15.0</v>
      </c>
      <c r="E2536" s="13">
        <v>182.0</v>
      </c>
    </row>
    <row r="2537">
      <c r="A2537" s="13">
        <v>6112135.0</v>
      </c>
      <c r="B2537" s="4">
        <v>317.0</v>
      </c>
      <c r="C2537" s="13">
        <v>64.0</v>
      </c>
      <c r="D2537" s="13">
        <v>27.0</v>
      </c>
      <c r="E2537" s="13">
        <v>94.0</v>
      </c>
    </row>
    <row r="2538">
      <c r="A2538" s="13">
        <v>6112003.0</v>
      </c>
      <c r="B2538" s="4">
        <v>317.0</v>
      </c>
      <c r="C2538" s="13">
        <v>50.0</v>
      </c>
      <c r="D2538" s="13">
        <v>27.0</v>
      </c>
      <c r="E2538" s="13">
        <v>126.0</v>
      </c>
    </row>
    <row r="2539">
      <c r="A2539" s="13">
        <v>6171136.0</v>
      </c>
      <c r="B2539" s="4">
        <v>318.0</v>
      </c>
      <c r="C2539" s="13">
        <v>38.0</v>
      </c>
      <c r="D2539" s="13">
        <v>28.0</v>
      </c>
      <c r="E2539" s="13">
        <v>103.0</v>
      </c>
    </row>
    <row r="2540">
      <c r="A2540" s="13">
        <v>6101033.0</v>
      </c>
      <c r="B2540" s="4">
        <v>319.0</v>
      </c>
      <c r="C2540" s="13">
        <v>195.0</v>
      </c>
      <c r="D2540" s="13">
        <v>58.0</v>
      </c>
      <c r="E2540" s="13">
        <v>387.0</v>
      </c>
    </row>
    <row r="2541">
      <c r="A2541" s="13">
        <v>6171155.0</v>
      </c>
      <c r="B2541" s="4">
        <v>318.0</v>
      </c>
      <c r="C2541" s="13">
        <v>97.0</v>
      </c>
      <c r="D2541" s="13">
        <v>29.0</v>
      </c>
      <c r="E2541" s="13">
        <v>182.0</v>
      </c>
    </row>
    <row r="2542">
      <c r="A2542" s="13">
        <v>6109012.0</v>
      </c>
      <c r="B2542" s="4">
        <v>316.0</v>
      </c>
      <c r="C2542" s="13">
        <v>104.0</v>
      </c>
      <c r="D2542" s="13">
        <v>26.0</v>
      </c>
      <c r="E2542" s="13">
        <v>343.0</v>
      </c>
    </row>
    <row r="2543">
      <c r="A2543" s="13">
        <v>6171141.0</v>
      </c>
      <c r="B2543" s="4">
        <v>318.0</v>
      </c>
      <c r="C2543" s="13">
        <v>137.0</v>
      </c>
      <c r="D2543" s="13">
        <v>56.0</v>
      </c>
      <c r="E2543" s="13">
        <v>394.0</v>
      </c>
    </row>
    <row r="2544">
      <c r="A2544" s="13">
        <v>6104014.0</v>
      </c>
      <c r="B2544" s="4">
        <v>320.0</v>
      </c>
      <c r="C2544" s="13">
        <v>168.0</v>
      </c>
      <c r="D2544" s="13">
        <v>72.0</v>
      </c>
      <c r="E2544" s="13">
        <v>325.0</v>
      </c>
    </row>
    <row r="2545">
      <c r="A2545" s="13">
        <v>6106021.0</v>
      </c>
      <c r="B2545" s="4">
        <v>321.0</v>
      </c>
      <c r="C2545" s="13">
        <v>30.0</v>
      </c>
      <c r="D2545" s="13">
        <v>14.0</v>
      </c>
      <c r="E2545" s="13">
        <v>116.0</v>
      </c>
    </row>
    <row r="2546">
      <c r="A2546" s="13">
        <v>6110016.0</v>
      </c>
      <c r="B2546" s="4">
        <v>322.0</v>
      </c>
      <c r="C2546" s="13">
        <v>50.0</v>
      </c>
      <c r="D2546" s="13">
        <v>17.0</v>
      </c>
      <c r="E2546" s="13">
        <v>7.0</v>
      </c>
    </row>
    <row r="2547">
      <c r="A2547" s="13">
        <v>6102055.0</v>
      </c>
      <c r="B2547" s="4">
        <v>314.0</v>
      </c>
      <c r="C2547" s="13">
        <v>126.0</v>
      </c>
      <c r="D2547" s="13">
        <v>28.0</v>
      </c>
      <c r="E2547" s="13">
        <v>211.0</v>
      </c>
    </row>
    <row r="2548">
      <c r="A2548" s="13">
        <v>6171011.0</v>
      </c>
      <c r="B2548" s="4">
        <v>318.0</v>
      </c>
      <c r="C2548" s="13">
        <v>584.0</v>
      </c>
      <c r="D2548" s="13">
        <v>50.0</v>
      </c>
      <c r="E2548" s="13">
        <v>1241.0</v>
      </c>
    </row>
    <row r="2549">
      <c r="A2549" s="13">
        <v>6105028.0</v>
      </c>
      <c r="B2549" s="4">
        <v>323.0</v>
      </c>
      <c r="C2549" s="13">
        <v>53.0</v>
      </c>
      <c r="D2549" s="13">
        <v>21.0</v>
      </c>
      <c r="E2549" s="13">
        <v>111.0</v>
      </c>
    </row>
    <row r="2550">
      <c r="A2550" s="13">
        <v>6171156.0</v>
      </c>
      <c r="B2550" s="4">
        <v>318.0</v>
      </c>
      <c r="C2550" s="13">
        <v>50.0</v>
      </c>
      <c r="D2550" s="13">
        <v>16.0</v>
      </c>
      <c r="E2550" s="13">
        <v>182.0</v>
      </c>
    </row>
    <row r="2551">
      <c r="A2551" s="13">
        <v>6105031.0</v>
      </c>
      <c r="B2551" s="4">
        <v>323.0</v>
      </c>
      <c r="C2551" s="13">
        <v>54.0</v>
      </c>
      <c r="D2551" s="13">
        <v>13.0</v>
      </c>
      <c r="E2551" s="13">
        <v>80.0</v>
      </c>
    </row>
    <row r="2552">
      <c r="A2552" s="13">
        <v>6172002.0</v>
      </c>
      <c r="B2552" s="4">
        <v>315.0</v>
      </c>
      <c r="C2552" s="13">
        <v>29.0</v>
      </c>
      <c r="D2552" s="13">
        <v>9.0</v>
      </c>
      <c r="E2552" s="13">
        <v>55.0</v>
      </c>
    </row>
    <row r="2553">
      <c r="A2553" s="13">
        <v>6105026.0</v>
      </c>
      <c r="B2553" s="4">
        <v>323.0</v>
      </c>
      <c r="C2553" s="13">
        <v>100.0</v>
      </c>
      <c r="D2553" s="13">
        <v>24.0</v>
      </c>
      <c r="E2553" s="13">
        <v>109.0</v>
      </c>
    </row>
    <row r="2554">
      <c r="A2554" s="13">
        <v>6101137.0</v>
      </c>
      <c r="B2554" s="4">
        <v>319.0</v>
      </c>
      <c r="C2554" s="13">
        <v>32.0</v>
      </c>
      <c r="D2554" s="13">
        <v>18.0</v>
      </c>
      <c r="E2554" s="13">
        <v>91.0</v>
      </c>
    </row>
    <row r="2555">
      <c r="A2555" s="13">
        <v>6110015.0</v>
      </c>
      <c r="B2555" s="4">
        <v>322.0</v>
      </c>
      <c r="C2555" s="13">
        <v>56.0</v>
      </c>
      <c r="D2555" s="13">
        <v>33.0</v>
      </c>
      <c r="E2555" s="13">
        <v>75.0</v>
      </c>
    </row>
    <row r="2556">
      <c r="A2556" s="13">
        <v>6107038.0</v>
      </c>
      <c r="B2556" s="4">
        <v>324.0</v>
      </c>
      <c r="C2556" s="13">
        <v>36.0</v>
      </c>
      <c r="D2556" s="13">
        <v>25.0</v>
      </c>
      <c r="E2556" s="13">
        <v>182.0</v>
      </c>
    </row>
    <row r="2557">
      <c r="A2557" s="13">
        <v>6172113.0</v>
      </c>
      <c r="B2557" s="4">
        <v>315.0</v>
      </c>
      <c r="C2557" s="13">
        <v>194.0</v>
      </c>
      <c r="D2557" s="13">
        <v>32.0</v>
      </c>
      <c r="E2557" s="13">
        <v>416.0</v>
      </c>
    </row>
    <row r="2558">
      <c r="A2558" s="13">
        <v>6171033.0</v>
      </c>
      <c r="B2558" s="4">
        <v>318.0</v>
      </c>
      <c r="C2558" s="13">
        <v>240.0</v>
      </c>
      <c r="D2558" s="13">
        <v>79.0</v>
      </c>
      <c r="E2558" s="13">
        <v>1138.0</v>
      </c>
    </row>
    <row r="2559">
      <c r="A2559" s="13">
        <v>6107027.0</v>
      </c>
      <c r="B2559" s="4">
        <v>324.0</v>
      </c>
      <c r="C2559" s="13">
        <v>21.0</v>
      </c>
      <c r="D2559" s="13">
        <v>14.0</v>
      </c>
      <c r="E2559" s="13">
        <v>24.0</v>
      </c>
    </row>
    <row r="2560">
      <c r="A2560" s="13">
        <v>6106020.0</v>
      </c>
      <c r="B2560" s="4">
        <v>321.0</v>
      </c>
      <c r="C2560" s="13">
        <v>135.0</v>
      </c>
      <c r="D2560" s="13">
        <v>61.0</v>
      </c>
      <c r="E2560" s="13">
        <v>440.0</v>
      </c>
    </row>
    <row r="2561">
      <c r="A2561" s="13">
        <v>6112002.0</v>
      </c>
      <c r="B2561" s="4">
        <v>317.0</v>
      </c>
      <c r="C2561" s="13">
        <v>50.0</v>
      </c>
      <c r="D2561" s="13">
        <v>24.0</v>
      </c>
      <c r="E2561" s="13">
        <v>116.0</v>
      </c>
    </row>
    <row r="2562">
      <c r="A2562" s="13">
        <v>6107022.0</v>
      </c>
      <c r="B2562" s="4">
        <v>324.0</v>
      </c>
      <c r="C2562" s="13">
        <v>98.0</v>
      </c>
      <c r="D2562" s="13">
        <v>31.0</v>
      </c>
      <c r="E2562" s="13">
        <v>30.0</v>
      </c>
    </row>
    <row r="2563">
      <c r="A2563" s="13">
        <v>6171085.0</v>
      </c>
      <c r="B2563" s="4">
        <v>318.0</v>
      </c>
      <c r="C2563" s="13">
        <v>33.0</v>
      </c>
      <c r="D2563" s="13">
        <v>14.0</v>
      </c>
      <c r="E2563" s="13">
        <v>122.0</v>
      </c>
    </row>
    <row r="2564">
      <c r="A2564" s="13">
        <v>6101135.0</v>
      </c>
      <c r="B2564" s="4">
        <v>319.0</v>
      </c>
      <c r="C2564" s="13">
        <v>58.0</v>
      </c>
      <c r="D2564" s="13">
        <v>17.0</v>
      </c>
      <c r="E2564" s="13">
        <v>70.0</v>
      </c>
    </row>
    <row r="2565">
      <c r="A2565" s="13">
        <v>6171124.0</v>
      </c>
      <c r="B2565" s="4">
        <v>318.0</v>
      </c>
      <c r="C2565" s="13">
        <v>105.0</v>
      </c>
      <c r="D2565" s="13">
        <v>35.0</v>
      </c>
      <c r="E2565" s="13">
        <v>281.0</v>
      </c>
    </row>
    <row r="2566">
      <c r="A2566" s="13">
        <v>6101022.0</v>
      </c>
      <c r="B2566" s="4">
        <v>319.0</v>
      </c>
      <c r="C2566" s="13">
        <v>182.0</v>
      </c>
      <c r="D2566" s="13">
        <v>42.0</v>
      </c>
      <c r="E2566" s="13">
        <v>188.0</v>
      </c>
    </row>
    <row r="2567">
      <c r="A2567" s="13">
        <v>6171139.0</v>
      </c>
      <c r="B2567" s="4">
        <v>318.0</v>
      </c>
      <c r="C2567" s="13">
        <v>104.0</v>
      </c>
      <c r="D2567" s="13">
        <v>70.0</v>
      </c>
      <c r="E2567" s="13">
        <v>100.0</v>
      </c>
    </row>
    <row r="2568">
      <c r="A2568" s="13">
        <v>6108011.0</v>
      </c>
      <c r="B2568" s="4">
        <v>325.0</v>
      </c>
      <c r="C2568" s="13">
        <v>100.0</v>
      </c>
      <c r="D2568" s="13">
        <v>24.0</v>
      </c>
      <c r="E2568" s="13">
        <v>527.0</v>
      </c>
    </row>
    <row r="2569">
      <c r="A2569" s="13">
        <v>6171067.0</v>
      </c>
      <c r="B2569" s="4">
        <v>318.0</v>
      </c>
      <c r="C2569" s="13">
        <v>120.0</v>
      </c>
      <c r="D2569" s="13">
        <v>97.0</v>
      </c>
      <c r="E2569" s="13">
        <v>124.0</v>
      </c>
    </row>
    <row r="2570">
      <c r="A2570" s="13">
        <v>6103013.0</v>
      </c>
      <c r="B2570" s="4">
        <v>326.0</v>
      </c>
      <c r="C2570" s="13">
        <v>116.0</v>
      </c>
      <c r="D2570" s="13">
        <v>30.0</v>
      </c>
      <c r="E2570" s="13">
        <v>277.0</v>
      </c>
    </row>
    <row r="2571">
      <c r="A2571" s="13">
        <v>6171138.0</v>
      </c>
      <c r="B2571" s="4">
        <v>318.0</v>
      </c>
      <c r="C2571" s="13">
        <v>168.0</v>
      </c>
      <c r="D2571" s="13">
        <v>39.0</v>
      </c>
      <c r="E2571" s="13">
        <v>372.0</v>
      </c>
    </row>
    <row r="2572">
      <c r="A2572" s="13">
        <v>6172044.0</v>
      </c>
      <c r="B2572" s="4">
        <v>315.0</v>
      </c>
      <c r="C2572" s="13">
        <v>72.0</v>
      </c>
      <c r="D2572" s="13">
        <v>29.0</v>
      </c>
      <c r="E2572" s="13">
        <v>142.0</v>
      </c>
    </row>
    <row r="2573">
      <c r="A2573" s="13">
        <v>6110012.0</v>
      </c>
      <c r="B2573" s="4">
        <v>322.0</v>
      </c>
      <c r="C2573" s="13">
        <v>100.0</v>
      </c>
      <c r="D2573" s="13">
        <v>25.0</v>
      </c>
      <c r="E2573" s="13">
        <v>305.0</v>
      </c>
    </row>
    <row r="2574">
      <c r="A2574" s="13">
        <v>6110013.0</v>
      </c>
      <c r="B2574" s="4">
        <v>322.0</v>
      </c>
      <c r="C2574" s="13">
        <v>70.0</v>
      </c>
      <c r="D2574" s="13">
        <v>23.0</v>
      </c>
      <c r="E2574" s="13">
        <v>58.0</v>
      </c>
    </row>
    <row r="2575">
      <c r="A2575" s="13">
        <v>6108012.0</v>
      </c>
      <c r="B2575" s="4">
        <v>325.0</v>
      </c>
      <c r="C2575" s="13">
        <v>50.0</v>
      </c>
      <c r="D2575" s="13">
        <v>17.0</v>
      </c>
      <c r="E2575" s="13">
        <v>27.0</v>
      </c>
    </row>
    <row r="2576">
      <c r="A2576" s="13">
        <v>6105015.0</v>
      </c>
      <c r="B2576" s="4">
        <v>323.0</v>
      </c>
      <c r="C2576" s="13">
        <v>170.0</v>
      </c>
      <c r="D2576" s="13">
        <v>30.0</v>
      </c>
      <c r="E2576" s="13">
        <v>716.0</v>
      </c>
    </row>
    <row r="2577">
      <c r="A2577" s="13">
        <v>6107025.0</v>
      </c>
      <c r="B2577" s="4">
        <v>324.0</v>
      </c>
      <c r="C2577" s="13">
        <v>52.0</v>
      </c>
      <c r="D2577" s="13">
        <v>34.0</v>
      </c>
      <c r="E2577" s="13">
        <v>31.0</v>
      </c>
    </row>
    <row r="2578">
      <c r="A2578" s="13">
        <v>6107024.0</v>
      </c>
      <c r="B2578" s="4">
        <v>324.0</v>
      </c>
      <c r="C2578" s="13">
        <v>27.0</v>
      </c>
      <c r="D2578" s="13">
        <v>28.0</v>
      </c>
      <c r="E2578" s="13">
        <v>33.0</v>
      </c>
    </row>
    <row r="2579">
      <c r="A2579" s="13">
        <v>6172066.0</v>
      </c>
      <c r="B2579" s="4">
        <v>315.0</v>
      </c>
      <c r="C2579" s="13">
        <v>700.0</v>
      </c>
      <c r="D2579" s="13">
        <v>24.0</v>
      </c>
      <c r="E2579" s="13">
        <v>379.0</v>
      </c>
    </row>
    <row r="2580">
      <c r="A2580" s="13">
        <v>6171022.0</v>
      </c>
      <c r="B2580" s="4">
        <v>317.0</v>
      </c>
      <c r="C2580" s="13">
        <v>175.0</v>
      </c>
      <c r="D2580" s="13">
        <v>31.0</v>
      </c>
      <c r="E2580" s="13">
        <v>19.0</v>
      </c>
    </row>
    <row r="2581">
      <c r="A2581" s="13">
        <v>6111002.0</v>
      </c>
      <c r="B2581" s="4">
        <v>327.0</v>
      </c>
      <c r="C2581" s="13">
        <v>103.0</v>
      </c>
      <c r="D2581" s="13">
        <v>24.0</v>
      </c>
      <c r="E2581" s="13">
        <v>210.0</v>
      </c>
    </row>
    <row r="2582">
      <c r="A2582" s="13">
        <v>6106016.0</v>
      </c>
      <c r="B2582" s="4">
        <v>321.0</v>
      </c>
      <c r="C2582" s="13">
        <v>200.0</v>
      </c>
      <c r="D2582" s="13">
        <v>69.0</v>
      </c>
      <c r="E2582" s="13">
        <v>419.0</v>
      </c>
    </row>
    <row r="2583">
      <c r="A2583" s="13">
        <v>6108014.0</v>
      </c>
      <c r="B2583" s="4">
        <v>325.0</v>
      </c>
      <c r="C2583" s="13">
        <v>49.0</v>
      </c>
      <c r="D2583" s="13">
        <v>25.0</v>
      </c>
      <c r="E2583" s="13">
        <v>63.0</v>
      </c>
    </row>
    <row r="2584">
      <c r="A2584" s="13">
        <v>6107026.0</v>
      </c>
      <c r="B2584" s="4">
        <v>324.0</v>
      </c>
      <c r="C2584" s="13">
        <v>26.0</v>
      </c>
      <c r="D2584" s="13">
        <v>16.0</v>
      </c>
      <c r="E2584" s="13">
        <v>52.0</v>
      </c>
    </row>
    <row r="2585">
      <c r="A2585" s="13">
        <v>6172124.0</v>
      </c>
      <c r="B2585" s="4">
        <v>315.0</v>
      </c>
      <c r="C2585" s="13">
        <v>170.0</v>
      </c>
      <c r="D2585" s="13">
        <v>35.0</v>
      </c>
      <c r="E2585" s="13">
        <v>399.0</v>
      </c>
    </row>
    <row r="2586">
      <c r="A2586" s="13">
        <v>6103024.0</v>
      </c>
      <c r="B2586" s="4">
        <v>326.0</v>
      </c>
      <c r="C2586" s="13">
        <v>63.0</v>
      </c>
      <c r="D2586" s="13">
        <v>14.0</v>
      </c>
      <c r="E2586" s="13">
        <v>182.0</v>
      </c>
    </row>
    <row r="2587">
      <c r="A2587" s="13">
        <v>6171140.0</v>
      </c>
      <c r="B2587" s="4">
        <v>318.0</v>
      </c>
      <c r="C2587" s="13">
        <v>77.0</v>
      </c>
      <c r="D2587" s="13">
        <v>53.0</v>
      </c>
      <c r="E2587" s="13">
        <v>173.0</v>
      </c>
    </row>
    <row r="2588">
      <c r="A2588" s="13">
        <v>6171113.0</v>
      </c>
      <c r="B2588" s="4">
        <v>318.0</v>
      </c>
      <c r="C2588" s="13">
        <v>129.0</v>
      </c>
      <c r="D2588" s="13">
        <v>22.0</v>
      </c>
      <c r="E2588" s="13">
        <v>187.0</v>
      </c>
    </row>
    <row r="2589">
      <c r="A2589" s="13">
        <v>6172011.0</v>
      </c>
      <c r="B2589" s="4">
        <v>315.0</v>
      </c>
      <c r="C2589" s="13">
        <v>236.0</v>
      </c>
      <c r="D2589" s="13">
        <v>53.0</v>
      </c>
      <c r="E2589" s="13">
        <v>657.0</v>
      </c>
    </row>
    <row r="2590">
      <c r="A2590" s="13">
        <v>6171078.0</v>
      </c>
      <c r="B2590" s="4">
        <v>318.0</v>
      </c>
      <c r="C2590" s="13">
        <v>57.0</v>
      </c>
      <c r="D2590" s="13">
        <v>23.0</v>
      </c>
      <c r="E2590" s="13">
        <v>154.0</v>
      </c>
    </row>
    <row r="2591">
      <c r="A2591" s="13">
        <v>6107010.0</v>
      </c>
      <c r="B2591" s="4">
        <v>324.0</v>
      </c>
      <c r="C2591" s="13">
        <v>204.0</v>
      </c>
      <c r="D2591" s="13">
        <v>140.0</v>
      </c>
      <c r="E2591" s="13">
        <v>455.0</v>
      </c>
    </row>
    <row r="2592">
      <c r="A2592" s="13">
        <v>6271028.0</v>
      </c>
      <c r="B2592" s="4">
        <v>328.0</v>
      </c>
      <c r="C2592" s="13">
        <v>45.0</v>
      </c>
      <c r="D2592" s="13">
        <v>26.0</v>
      </c>
      <c r="E2592" s="13">
        <v>81.0</v>
      </c>
    </row>
    <row r="2593">
      <c r="A2593" s="13">
        <v>6271080.0</v>
      </c>
      <c r="B2593" s="4">
        <v>328.0</v>
      </c>
      <c r="C2593" s="13">
        <v>51.0</v>
      </c>
      <c r="D2593" s="13">
        <v>47.0</v>
      </c>
      <c r="E2593" s="13">
        <v>182.0</v>
      </c>
    </row>
    <row r="2594">
      <c r="A2594" s="13">
        <v>6271024.0</v>
      </c>
      <c r="B2594" s="4">
        <v>328.0</v>
      </c>
      <c r="C2594" s="13">
        <v>104.0</v>
      </c>
      <c r="D2594" s="13">
        <v>39.0</v>
      </c>
      <c r="E2594" s="13">
        <v>261.0</v>
      </c>
    </row>
    <row r="2595">
      <c r="A2595" s="13">
        <v>6213022.0</v>
      </c>
      <c r="B2595" s="4">
        <v>329.0</v>
      </c>
      <c r="C2595" s="13">
        <v>155.0</v>
      </c>
      <c r="D2595" s="13">
        <v>35.0</v>
      </c>
      <c r="E2595" s="13">
        <v>344.0</v>
      </c>
    </row>
    <row r="2596">
      <c r="A2596" s="13">
        <v>6202013.0</v>
      </c>
      <c r="B2596" s="4">
        <v>330.0</v>
      </c>
      <c r="C2596" s="13">
        <v>302.0</v>
      </c>
      <c r="D2596" s="13">
        <v>89.0</v>
      </c>
      <c r="E2596" s="13">
        <v>695.0</v>
      </c>
    </row>
    <row r="2597">
      <c r="A2597" s="13">
        <v>6207012.0</v>
      </c>
      <c r="B2597" s="4">
        <v>331.0</v>
      </c>
      <c r="C2597" s="13">
        <v>150.0</v>
      </c>
      <c r="D2597" s="13">
        <v>23.0</v>
      </c>
      <c r="E2597" s="13">
        <v>193.0</v>
      </c>
    </row>
    <row r="2598">
      <c r="A2598" s="13">
        <v>6203015.0</v>
      </c>
      <c r="B2598" s="4">
        <v>332.0</v>
      </c>
      <c r="C2598" s="13">
        <v>175.0</v>
      </c>
      <c r="D2598" s="13">
        <v>32.0</v>
      </c>
      <c r="E2598" s="13">
        <v>568.0</v>
      </c>
    </row>
    <row r="2599">
      <c r="A2599" s="13">
        <v>6210015.0</v>
      </c>
      <c r="B2599" s="4">
        <v>333.0</v>
      </c>
      <c r="C2599" s="13">
        <v>145.0</v>
      </c>
      <c r="D2599" s="13">
        <v>19.0</v>
      </c>
      <c r="E2599" s="13">
        <v>193.0</v>
      </c>
    </row>
    <row r="2600">
      <c r="A2600" s="13">
        <v>6201027.0</v>
      </c>
      <c r="B2600" s="4">
        <v>334.0</v>
      </c>
      <c r="C2600" s="13">
        <v>30.0</v>
      </c>
      <c r="D2600" s="13">
        <v>16.0</v>
      </c>
      <c r="E2600" s="13">
        <v>182.0</v>
      </c>
    </row>
    <row r="2601">
      <c r="A2601" s="13">
        <v>6204016.0</v>
      </c>
      <c r="B2601" s="4">
        <v>335.0</v>
      </c>
      <c r="C2601" s="13">
        <v>147.0</v>
      </c>
      <c r="D2601" s="13">
        <v>33.0</v>
      </c>
      <c r="E2601" s="13">
        <v>313.0</v>
      </c>
    </row>
    <row r="2602">
      <c r="A2602" s="13">
        <v>6271026.0</v>
      </c>
      <c r="B2602" s="4">
        <v>328.0</v>
      </c>
      <c r="C2602" s="13">
        <v>107.0</v>
      </c>
      <c r="D2602" s="13">
        <v>27.0</v>
      </c>
      <c r="E2602" s="13">
        <v>360.0</v>
      </c>
    </row>
    <row r="2603">
      <c r="A2603" s="13">
        <v>6271068.0</v>
      </c>
      <c r="B2603" s="4">
        <v>333.0</v>
      </c>
      <c r="C2603" s="13">
        <v>84.0</v>
      </c>
      <c r="D2603" s="13">
        <v>36.0</v>
      </c>
      <c r="E2603" s="13">
        <v>87.0</v>
      </c>
    </row>
    <row r="2604">
      <c r="A2604" s="13">
        <v>6271023.0</v>
      </c>
      <c r="B2604" s="4">
        <v>328.0</v>
      </c>
      <c r="C2604" s="13">
        <v>60.0</v>
      </c>
      <c r="D2604" s="13">
        <v>28.0</v>
      </c>
      <c r="E2604" s="13">
        <v>50.0</v>
      </c>
    </row>
    <row r="2605">
      <c r="A2605" s="13">
        <v>6271029.0</v>
      </c>
      <c r="B2605" s="4">
        <v>328.0</v>
      </c>
      <c r="C2605" s="13">
        <v>51.0</v>
      </c>
      <c r="D2605" s="13">
        <v>37.0</v>
      </c>
      <c r="E2605" s="13">
        <v>138.0</v>
      </c>
    </row>
    <row r="2606">
      <c r="A2606" s="13">
        <v>6201016.0</v>
      </c>
      <c r="B2606" s="4">
        <v>334.0</v>
      </c>
      <c r="C2606" s="13">
        <v>54.0</v>
      </c>
      <c r="D2606" s="13">
        <v>29.0</v>
      </c>
      <c r="E2606" s="13">
        <v>99.0</v>
      </c>
    </row>
    <row r="2607">
      <c r="A2607" s="13">
        <v>6205011.0</v>
      </c>
      <c r="B2607" s="4">
        <v>336.0</v>
      </c>
      <c r="C2607" s="13">
        <v>147.0</v>
      </c>
      <c r="D2607" s="13">
        <v>30.0</v>
      </c>
      <c r="E2607" s="13">
        <v>455.0</v>
      </c>
    </row>
    <row r="2608">
      <c r="A2608" s="13">
        <v>6211016.0</v>
      </c>
      <c r="B2608" s="4">
        <v>337.0</v>
      </c>
      <c r="C2608" s="13">
        <v>102.0</v>
      </c>
      <c r="D2608" s="13">
        <v>7.0</v>
      </c>
      <c r="E2608" s="13">
        <v>182.0</v>
      </c>
    </row>
    <row r="2609">
      <c r="A2609" s="13">
        <v>6201012.0</v>
      </c>
      <c r="B2609" s="4">
        <v>334.0</v>
      </c>
      <c r="C2609" s="13">
        <v>235.0</v>
      </c>
      <c r="D2609" s="13">
        <v>119.0</v>
      </c>
      <c r="E2609" s="13">
        <v>254.0</v>
      </c>
    </row>
    <row r="2610">
      <c r="A2610" s="13">
        <v>6207033.0</v>
      </c>
      <c r="B2610" s="4">
        <v>338.0</v>
      </c>
      <c r="C2610" s="13">
        <v>104.0</v>
      </c>
      <c r="D2610" s="13">
        <v>32.0</v>
      </c>
      <c r="E2610" s="13">
        <v>334.0</v>
      </c>
    </row>
    <row r="2611">
      <c r="A2611" s="13">
        <v>6209024.0</v>
      </c>
      <c r="B2611" s="4">
        <v>339.0</v>
      </c>
      <c r="C2611" s="13">
        <v>117.0</v>
      </c>
      <c r="D2611" s="13">
        <v>30.0</v>
      </c>
      <c r="E2611" s="13">
        <v>148.0</v>
      </c>
    </row>
    <row r="2612">
      <c r="A2612" s="13">
        <v>6271025.0</v>
      </c>
      <c r="B2612" s="4">
        <v>328.0</v>
      </c>
      <c r="C2612" s="13">
        <v>101.0</v>
      </c>
      <c r="D2612" s="13">
        <v>68.0</v>
      </c>
      <c r="E2612" s="13">
        <v>199.0</v>
      </c>
    </row>
    <row r="2613">
      <c r="A2613" s="13">
        <v>6208014.0</v>
      </c>
      <c r="B2613" s="4">
        <v>340.0</v>
      </c>
      <c r="C2613" s="13">
        <v>105.0</v>
      </c>
      <c r="D2613" s="13">
        <v>43.0</v>
      </c>
      <c r="E2613" s="13">
        <v>337.0</v>
      </c>
    </row>
    <row r="2614">
      <c r="A2614" s="13">
        <v>6271030.0</v>
      </c>
      <c r="B2614" s="4">
        <v>328.0</v>
      </c>
      <c r="C2614" s="13">
        <v>102.0</v>
      </c>
      <c r="D2614" s="13">
        <v>51.0</v>
      </c>
      <c r="E2614" s="13">
        <v>190.0</v>
      </c>
    </row>
    <row r="2615">
      <c r="A2615" s="13">
        <v>6201013.0</v>
      </c>
      <c r="B2615" s="4">
        <v>334.0</v>
      </c>
      <c r="C2615" s="13">
        <v>52.0</v>
      </c>
      <c r="D2615" s="13">
        <v>46.0</v>
      </c>
      <c r="E2615" s="13">
        <v>48.0</v>
      </c>
    </row>
    <row r="2616">
      <c r="A2616" s="13">
        <v>6211026.0</v>
      </c>
      <c r="B2616" s="4">
        <v>337.0</v>
      </c>
      <c r="C2616" s="13">
        <v>96.0</v>
      </c>
      <c r="D2616" s="13">
        <v>28.0</v>
      </c>
      <c r="E2616" s="13">
        <v>283.0</v>
      </c>
    </row>
    <row r="2617">
      <c r="A2617" s="13">
        <v>6202025.0</v>
      </c>
      <c r="B2617" s="4">
        <v>330.0</v>
      </c>
      <c r="C2617" s="13">
        <v>102.0</v>
      </c>
      <c r="D2617" s="13">
        <v>10.0</v>
      </c>
      <c r="E2617" s="13">
        <v>38.0</v>
      </c>
    </row>
    <row r="2618">
      <c r="A2618" s="13">
        <v>6209035.0</v>
      </c>
      <c r="B2618" s="4">
        <v>339.0</v>
      </c>
      <c r="C2618" s="13">
        <v>40.0</v>
      </c>
      <c r="D2618" s="13">
        <v>4.0</v>
      </c>
      <c r="E2618" s="13">
        <v>182.0</v>
      </c>
    </row>
    <row r="2619">
      <c r="A2619" s="13">
        <v>6271012.0</v>
      </c>
      <c r="B2619" s="4">
        <v>328.0</v>
      </c>
      <c r="C2619" s="13">
        <v>365.0</v>
      </c>
      <c r="D2619" s="13">
        <v>55.0</v>
      </c>
      <c r="E2619" s="13">
        <v>1372.0</v>
      </c>
    </row>
    <row r="2620">
      <c r="A2620" s="13">
        <v>6271027.0</v>
      </c>
      <c r="B2620" s="4">
        <v>328.0</v>
      </c>
      <c r="C2620" s="13">
        <v>116.0</v>
      </c>
      <c r="D2620" s="13">
        <v>58.0</v>
      </c>
      <c r="E2620" s="13">
        <v>255.0</v>
      </c>
    </row>
    <row r="2621">
      <c r="A2621" s="13">
        <v>6271031.0</v>
      </c>
      <c r="B2621" s="4">
        <v>328.0</v>
      </c>
      <c r="C2621" s="13">
        <v>76.0</v>
      </c>
      <c r="D2621" s="13">
        <v>17.0</v>
      </c>
      <c r="E2621" s="13">
        <v>33.0</v>
      </c>
    </row>
    <row r="2622">
      <c r="A2622" s="13">
        <v>6208013.0</v>
      </c>
      <c r="B2622" s="4">
        <v>340.0</v>
      </c>
      <c r="C2622" s="13">
        <v>101.0</v>
      </c>
      <c r="D2622" s="13">
        <v>21.0</v>
      </c>
      <c r="E2622" s="13">
        <v>237.0</v>
      </c>
    </row>
    <row r="2623">
      <c r="A2623" s="13">
        <v>6212020.0</v>
      </c>
      <c r="B2623" s="4">
        <v>341.0</v>
      </c>
      <c r="C2623" s="13">
        <v>122.0</v>
      </c>
      <c r="D2623" s="13">
        <v>61.0</v>
      </c>
      <c r="E2623" s="13">
        <v>304.0</v>
      </c>
    </row>
    <row r="2624">
      <c r="A2624" s="13">
        <v>6301013.0</v>
      </c>
      <c r="B2624" s="4">
        <v>342.0</v>
      </c>
      <c r="C2624" s="13">
        <v>185.0</v>
      </c>
      <c r="D2624" s="13">
        <v>43.0</v>
      </c>
      <c r="E2624" s="13">
        <v>503.0</v>
      </c>
    </row>
    <row r="2625">
      <c r="A2625" s="13">
        <v>6371072.0</v>
      </c>
      <c r="B2625" s="4">
        <v>343.0</v>
      </c>
      <c r="C2625" s="13">
        <v>264.0</v>
      </c>
      <c r="D2625" s="13">
        <v>130.0</v>
      </c>
      <c r="E2625" s="13">
        <v>208.0</v>
      </c>
    </row>
    <row r="2626">
      <c r="A2626" s="13">
        <v>6301015.0</v>
      </c>
      <c r="B2626" s="4">
        <v>342.0</v>
      </c>
      <c r="C2626" s="13">
        <v>156.0</v>
      </c>
      <c r="D2626" s="13">
        <v>34.0</v>
      </c>
      <c r="E2626" s="13">
        <v>229.0</v>
      </c>
    </row>
    <row r="2627">
      <c r="A2627" s="13">
        <v>6306025.0</v>
      </c>
      <c r="B2627" s="4">
        <v>344.0</v>
      </c>
      <c r="C2627" s="13">
        <v>26.0</v>
      </c>
      <c r="D2627" s="13">
        <v>27.0</v>
      </c>
      <c r="E2627" s="13">
        <v>23.0</v>
      </c>
    </row>
    <row r="2628">
      <c r="A2628" s="13">
        <v>6303027.0</v>
      </c>
      <c r="B2628" s="4">
        <v>345.0</v>
      </c>
      <c r="C2628" s="13">
        <v>108.0</v>
      </c>
      <c r="D2628" s="13">
        <v>42.0</v>
      </c>
      <c r="E2628" s="13">
        <v>256.0</v>
      </c>
    </row>
    <row r="2629">
      <c r="A2629" s="13">
        <v>6303030.0</v>
      </c>
      <c r="B2629" s="4">
        <v>345.0</v>
      </c>
      <c r="C2629" s="13">
        <v>47.0</v>
      </c>
      <c r="D2629" s="13">
        <v>29.0</v>
      </c>
      <c r="E2629" s="13">
        <v>50.0</v>
      </c>
    </row>
    <row r="2630">
      <c r="A2630" s="13">
        <v>6302026.0</v>
      </c>
      <c r="B2630" s="4">
        <v>346.0</v>
      </c>
      <c r="C2630" s="13">
        <v>52.0</v>
      </c>
      <c r="D2630" s="13">
        <v>20.0</v>
      </c>
      <c r="E2630" s="13">
        <v>182.0</v>
      </c>
    </row>
    <row r="2631">
      <c r="A2631" s="13">
        <v>6309014.0</v>
      </c>
      <c r="B2631" s="4">
        <v>347.0</v>
      </c>
      <c r="C2631" s="13">
        <v>169.0</v>
      </c>
      <c r="D2631" s="13">
        <v>27.0</v>
      </c>
      <c r="E2631" s="13">
        <v>36.0</v>
      </c>
    </row>
    <row r="2632">
      <c r="A2632" s="13">
        <v>6371155.0</v>
      </c>
      <c r="B2632" s="4">
        <v>343.0</v>
      </c>
      <c r="C2632" s="13">
        <v>33.0</v>
      </c>
      <c r="D2632" s="13">
        <v>17.0</v>
      </c>
      <c r="E2632" s="13">
        <v>100.0</v>
      </c>
    </row>
    <row r="2633">
      <c r="A2633" s="13">
        <v>6311016.0</v>
      </c>
      <c r="B2633" s="4">
        <v>348.0</v>
      </c>
      <c r="C2633" s="13">
        <v>122.0</v>
      </c>
      <c r="D2633" s="13">
        <v>31.0</v>
      </c>
      <c r="E2633" s="13">
        <v>607.0</v>
      </c>
    </row>
    <row r="2634">
      <c r="A2634" s="13">
        <v>6372021.0</v>
      </c>
      <c r="B2634" s="4">
        <v>349.0</v>
      </c>
      <c r="C2634" s="13">
        <v>50.0</v>
      </c>
      <c r="D2634" s="13">
        <v>49.0</v>
      </c>
      <c r="E2634" s="13">
        <v>21.0</v>
      </c>
    </row>
    <row r="2635">
      <c r="A2635" s="13">
        <v>6303015.0</v>
      </c>
      <c r="B2635" s="4">
        <v>345.0</v>
      </c>
      <c r="C2635" s="13">
        <v>272.0</v>
      </c>
      <c r="D2635" s="13">
        <v>49.0</v>
      </c>
      <c r="E2635" s="13">
        <v>833.0</v>
      </c>
    </row>
    <row r="2636">
      <c r="A2636" s="13">
        <v>6371130.0</v>
      </c>
      <c r="B2636" s="4">
        <v>343.0</v>
      </c>
      <c r="C2636" s="13">
        <v>75.0</v>
      </c>
      <c r="D2636" s="13">
        <v>48.0</v>
      </c>
      <c r="E2636" s="13">
        <v>144.0</v>
      </c>
    </row>
    <row r="2637">
      <c r="A2637" s="13">
        <v>6372017.0</v>
      </c>
      <c r="B2637" s="4">
        <v>349.0</v>
      </c>
      <c r="C2637" s="13">
        <v>174.0</v>
      </c>
      <c r="D2637" s="13">
        <v>60.0</v>
      </c>
      <c r="E2637" s="13">
        <v>126.0</v>
      </c>
    </row>
    <row r="2638">
      <c r="A2638" s="13">
        <v>6306026.0</v>
      </c>
      <c r="B2638" s="4">
        <v>344.0</v>
      </c>
      <c r="C2638" s="13">
        <v>62.0</v>
      </c>
      <c r="D2638" s="13">
        <v>9.0</v>
      </c>
      <c r="E2638" s="13">
        <v>182.0</v>
      </c>
    </row>
    <row r="2639">
      <c r="A2639" s="13">
        <v>6301020.0</v>
      </c>
      <c r="B2639" s="4">
        <v>342.0</v>
      </c>
      <c r="C2639" s="13">
        <v>87.0</v>
      </c>
      <c r="D2639" s="13">
        <v>23.0</v>
      </c>
      <c r="E2639" s="13">
        <v>131.0</v>
      </c>
    </row>
    <row r="2640">
      <c r="A2640" s="13">
        <v>6310015.0</v>
      </c>
      <c r="B2640" s="4">
        <v>350.0</v>
      </c>
      <c r="C2640" s="13">
        <v>170.0</v>
      </c>
      <c r="D2640" s="13">
        <v>47.0</v>
      </c>
      <c r="E2640" s="13">
        <v>671.0</v>
      </c>
    </row>
    <row r="2641">
      <c r="A2641" s="13">
        <v>6305011.0</v>
      </c>
      <c r="B2641" s="4">
        <v>351.0</v>
      </c>
      <c r="C2641" s="13">
        <v>53.0</v>
      </c>
      <c r="D2641" s="13">
        <v>32.0</v>
      </c>
      <c r="E2641" s="13">
        <v>45.0</v>
      </c>
    </row>
    <row r="2642">
      <c r="A2642" s="13">
        <v>6304020.0</v>
      </c>
      <c r="B2642" s="4">
        <v>352.0</v>
      </c>
      <c r="C2642" s="13">
        <v>110.0</v>
      </c>
      <c r="D2642" s="13">
        <v>28.0</v>
      </c>
      <c r="E2642" s="13">
        <v>275.0</v>
      </c>
    </row>
    <row r="2643">
      <c r="A2643" s="13">
        <v>6371152.0</v>
      </c>
      <c r="B2643" s="4">
        <v>343.0</v>
      </c>
      <c r="C2643" s="13">
        <v>114.0</v>
      </c>
      <c r="D2643" s="13">
        <v>22.0</v>
      </c>
      <c r="E2643" s="13">
        <v>295.0</v>
      </c>
    </row>
    <row r="2644">
      <c r="A2644" s="13">
        <v>6372016.0</v>
      </c>
      <c r="B2644" s="4">
        <v>349.0</v>
      </c>
      <c r="C2644" s="13">
        <v>55.0</v>
      </c>
      <c r="D2644" s="13">
        <v>26.0</v>
      </c>
      <c r="E2644" s="13">
        <v>38.0</v>
      </c>
    </row>
    <row r="2645">
      <c r="A2645" s="13">
        <v>6371024.0</v>
      </c>
      <c r="B2645" s="4">
        <v>343.0</v>
      </c>
      <c r="C2645" s="13">
        <v>100.0</v>
      </c>
      <c r="D2645" s="13">
        <v>48.0</v>
      </c>
      <c r="E2645" s="13">
        <v>467.0</v>
      </c>
    </row>
    <row r="2646">
      <c r="A2646" s="13">
        <v>6308014.0</v>
      </c>
      <c r="B2646" s="4">
        <v>353.0</v>
      </c>
      <c r="C2646" s="13">
        <v>43.0</v>
      </c>
      <c r="D2646" s="13">
        <v>19.0</v>
      </c>
      <c r="E2646" s="13">
        <v>63.0</v>
      </c>
    </row>
    <row r="2647">
      <c r="A2647" s="13">
        <v>6371158.0</v>
      </c>
      <c r="B2647" s="4">
        <v>343.0</v>
      </c>
      <c r="C2647" s="13">
        <v>53.0</v>
      </c>
      <c r="D2647" s="13">
        <v>55.0</v>
      </c>
      <c r="E2647" s="13">
        <v>65.0</v>
      </c>
    </row>
    <row r="2648">
      <c r="A2648" s="13">
        <v>6306011.0</v>
      </c>
      <c r="B2648" s="4">
        <v>344.0</v>
      </c>
      <c r="C2648" s="13">
        <v>234.0</v>
      </c>
      <c r="D2648" s="13">
        <v>52.0</v>
      </c>
      <c r="E2648" s="13">
        <v>372.0</v>
      </c>
    </row>
    <row r="2649">
      <c r="A2649" s="13">
        <v>6301016.0</v>
      </c>
      <c r="B2649" s="4">
        <v>342.0</v>
      </c>
      <c r="C2649" s="13">
        <v>40.0</v>
      </c>
      <c r="D2649" s="13">
        <v>14.0</v>
      </c>
      <c r="E2649" s="13">
        <v>48.0</v>
      </c>
    </row>
    <row r="2650">
      <c r="A2650" s="13">
        <v>6371050.0</v>
      </c>
      <c r="B2650" s="4">
        <v>343.0</v>
      </c>
      <c r="C2650" s="13">
        <v>230.0</v>
      </c>
      <c r="D2650" s="13">
        <v>40.0</v>
      </c>
      <c r="E2650" s="13">
        <v>325.0</v>
      </c>
    </row>
    <row r="2651">
      <c r="A2651" s="13">
        <v>6308013.0</v>
      </c>
      <c r="B2651" s="4">
        <v>353.0</v>
      </c>
      <c r="C2651" s="13">
        <v>240.0</v>
      </c>
      <c r="D2651" s="13">
        <v>76.0</v>
      </c>
      <c r="E2651" s="13">
        <v>524.0</v>
      </c>
    </row>
    <row r="2652">
      <c r="A2652" s="13">
        <v>6302014.0</v>
      </c>
      <c r="B2652" s="4">
        <v>346.0</v>
      </c>
      <c r="C2652" s="13">
        <v>132.0</v>
      </c>
      <c r="D2652" s="13">
        <v>42.0</v>
      </c>
      <c r="E2652" s="13">
        <v>269.0</v>
      </c>
    </row>
    <row r="2653">
      <c r="A2653" s="13">
        <v>6371094.0</v>
      </c>
      <c r="B2653" s="4">
        <v>343.0</v>
      </c>
      <c r="C2653" s="13">
        <v>139.0</v>
      </c>
      <c r="D2653" s="13">
        <v>38.0</v>
      </c>
      <c r="E2653" s="13">
        <v>266.0</v>
      </c>
    </row>
    <row r="2654">
      <c r="A2654" s="13">
        <v>6306023.0</v>
      </c>
      <c r="B2654" s="4">
        <v>344.0</v>
      </c>
      <c r="C2654" s="13">
        <v>54.0</v>
      </c>
      <c r="D2654" s="13">
        <v>34.0</v>
      </c>
      <c r="E2654" s="13">
        <v>199.0</v>
      </c>
    </row>
    <row r="2655">
      <c r="A2655" s="13">
        <v>6309025.0</v>
      </c>
      <c r="B2655" s="4">
        <v>347.0</v>
      </c>
      <c r="C2655" s="13">
        <v>111.0</v>
      </c>
      <c r="D2655" s="13">
        <v>49.0</v>
      </c>
      <c r="E2655" s="13">
        <v>150.0</v>
      </c>
    </row>
    <row r="2656">
      <c r="A2656" s="13">
        <v>6304016.0</v>
      </c>
      <c r="B2656" s="4">
        <v>345.0</v>
      </c>
      <c r="C2656" s="13">
        <v>129.0</v>
      </c>
      <c r="D2656" s="13">
        <v>41.0</v>
      </c>
      <c r="E2656" s="13">
        <v>513.0</v>
      </c>
    </row>
    <row r="2657">
      <c r="A2657" s="13">
        <v>6310018.0</v>
      </c>
      <c r="B2657" s="4">
        <v>350.0</v>
      </c>
      <c r="C2657" s="13">
        <v>125.0</v>
      </c>
      <c r="D2657" s="13">
        <v>40.0</v>
      </c>
      <c r="E2657" s="13">
        <v>186.0</v>
      </c>
    </row>
    <row r="2658">
      <c r="A2658" s="13">
        <v>6371141.0</v>
      </c>
      <c r="B2658" s="4">
        <v>349.0</v>
      </c>
      <c r="C2658" s="13">
        <v>50.0</v>
      </c>
      <c r="D2658" s="13">
        <v>17.0</v>
      </c>
      <c r="E2658" s="13">
        <v>70.0</v>
      </c>
    </row>
    <row r="2659">
      <c r="A2659" s="13">
        <v>6372018.0</v>
      </c>
      <c r="B2659" s="4">
        <v>349.0</v>
      </c>
      <c r="C2659" s="13">
        <v>72.0</v>
      </c>
      <c r="D2659" s="13">
        <v>21.0</v>
      </c>
      <c r="E2659" s="13">
        <v>66.0</v>
      </c>
    </row>
    <row r="2660">
      <c r="A2660" s="13">
        <v>6371013.0</v>
      </c>
      <c r="B2660" s="4">
        <v>343.0</v>
      </c>
      <c r="C2660" s="13">
        <v>649.0</v>
      </c>
      <c r="D2660" s="13">
        <v>155.0</v>
      </c>
      <c r="E2660" s="13">
        <v>2170.0</v>
      </c>
    </row>
    <row r="2661">
      <c r="A2661" s="13">
        <v>6372022.0</v>
      </c>
      <c r="B2661" s="4">
        <v>349.0</v>
      </c>
      <c r="C2661" s="13">
        <v>177.0</v>
      </c>
      <c r="D2661" s="13">
        <v>36.0</v>
      </c>
      <c r="E2661" s="13">
        <v>22.0</v>
      </c>
    </row>
    <row r="2662">
      <c r="A2662" s="13">
        <v>6306024.0</v>
      </c>
      <c r="B2662" s="4">
        <v>344.0</v>
      </c>
      <c r="C2662" s="13">
        <v>54.0</v>
      </c>
      <c r="D2662" s="13">
        <v>12.0</v>
      </c>
      <c r="E2662" s="13">
        <v>90.0</v>
      </c>
    </row>
    <row r="2663">
      <c r="A2663" s="13">
        <v>6372019.0</v>
      </c>
      <c r="B2663" s="4">
        <v>349.0</v>
      </c>
      <c r="C2663" s="13">
        <v>56.0</v>
      </c>
      <c r="D2663" s="13">
        <v>47.0</v>
      </c>
      <c r="E2663" s="13">
        <v>91.0</v>
      </c>
    </row>
    <row r="2664">
      <c r="A2664" s="13">
        <v>6305010.0</v>
      </c>
      <c r="B2664" s="4">
        <v>351.0</v>
      </c>
      <c r="C2664" s="13">
        <v>100.0</v>
      </c>
      <c r="D2664" s="13">
        <v>43.0</v>
      </c>
      <c r="E2664" s="13">
        <v>421.0</v>
      </c>
    </row>
    <row r="2665">
      <c r="A2665" s="13">
        <v>6371156.0</v>
      </c>
      <c r="B2665" s="4">
        <v>343.0</v>
      </c>
      <c r="C2665" s="13">
        <v>334.0</v>
      </c>
      <c r="D2665" s="13">
        <v>39.0</v>
      </c>
      <c r="E2665" s="13">
        <v>394.0</v>
      </c>
    </row>
    <row r="2666">
      <c r="A2666" s="13">
        <v>6371170.0</v>
      </c>
      <c r="B2666" s="4">
        <v>343.0</v>
      </c>
      <c r="C2666" s="13">
        <v>64.0</v>
      </c>
      <c r="D2666" s="13">
        <v>25.0</v>
      </c>
      <c r="E2666" s="13">
        <v>8.0</v>
      </c>
    </row>
    <row r="2667">
      <c r="A2667" s="13">
        <v>6372014.0</v>
      </c>
      <c r="B2667" s="4">
        <v>349.0</v>
      </c>
      <c r="C2667" s="13">
        <v>247.0</v>
      </c>
      <c r="D2667" s="13">
        <v>62.0</v>
      </c>
      <c r="E2667" s="13">
        <v>935.0</v>
      </c>
    </row>
    <row r="2668">
      <c r="A2668" s="13">
        <v>6303033.0</v>
      </c>
      <c r="B2668" s="4">
        <v>345.0</v>
      </c>
      <c r="C2668" s="13">
        <v>205.0</v>
      </c>
      <c r="D2668" s="13">
        <v>53.0</v>
      </c>
      <c r="E2668" s="13">
        <v>235.0</v>
      </c>
    </row>
    <row r="2669">
      <c r="A2669" s="13">
        <v>6371046.0</v>
      </c>
      <c r="B2669" s="4">
        <v>343.0</v>
      </c>
      <c r="C2669" s="13">
        <v>120.0</v>
      </c>
      <c r="D2669" s="13">
        <v>40.0</v>
      </c>
      <c r="E2669" s="13">
        <v>394.0</v>
      </c>
    </row>
    <row r="2670">
      <c r="A2670" s="13">
        <v>6310016.0</v>
      </c>
      <c r="B2670" s="4">
        <v>350.0</v>
      </c>
      <c r="C2670" s="13">
        <v>50.0</v>
      </c>
      <c r="D2670" s="13">
        <v>18.0</v>
      </c>
      <c r="E2670" s="13">
        <v>50.0</v>
      </c>
    </row>
    <row r="2671">
      <c r="A2671" s="13">
        <v>6307012.0</v>
      </c>
      <c r="B2671" s="4">
        <v>354.0</v>
      </c>
      <c r="C2671" s="13">
        <v>323.0</v>
      </c>
      <c r="D2671" s="13">
        <v>123.0</v>
      </c>
      <c r="E2671" s="13">
        <v>182.0</v>
      </c>
    </row>
    <row r="2672">
      <c r="A2672" s="13">
        <v>6303028.0</v>
      </c>
      <c r="B2672" s="4">
        <v>345.0</v>
      </c>
      <c r="C2672" s="13">
        <v>25.0</v>
      </c>
      <c r="D2672" s="13">
        <v>16.0</v>
      </c>
      <c r="E2672" s="13">
        <v>182.0</v>
      </c>
    </row>
    <row r="2673">
      <c r="A2673" s="13">
        <v>6371153.0</v>
      </c>
      <c r="B2673" s="4">
        <v>343.0</v>
      </c>
      <c r="C2673" s="13">
        <v>50.0</v>
      </c>
      <c r="D2673" s="13">
        <v>21.0</v>
      </c>
      <c r="E2673" s="13">
        <v>194.0</v>
      </c>
    </row>
    <row r="2674">
      <c r="A2674" s="13">
        <v>6405012.0</v>
      </c>
      <c r="B2674" s="4">
        <v>355.0</v>
      </c>
      <c r="C2674" s="13">
        <v>67.0</v>
      </c>
      <c r="D2674" s="13">
        <v>21.0</v>
      </c>
      <c r="E2674" s="13">
        <v>131.0</v>
      </c>
    </row>
    <row r="2675">
      <c r="A2675" s="13">
        <v>6471014.0</v>
      </c>
      <c r="B2675" s="4">
        <v>356.0</v>
      </c>
      <c r="C2675" s="13">
        <v>574.0</v>
      </c>
      <c r="D2675" s="13">
        <v>61.0</v>
      </c>
      <c r="E2675" s="13">
        <v>1273.0</v>
      </c>
    </row>
    <row r="2676">
      <c r="A2676" s="13">
        <v>6404045.0</v>
      </c>
      <c r="B2676" s="4">
        <v>357.0</v>
      </c>
      <c r="C2676" s="13">
        <v>41.0</v>
      </c>
      <c r="D2676" s="13">
        <v>26.0</v>
      </c>
      <c r="E2676" s="13">
        <v>69.0</v>
      </c>
    </row>
    <row r="2677">
      <c r="A2677" s="13">
        <v>6471087.0</v>
      </c>
      <c r="B2677" s="4">
        <v>356.0</v>
      </c>
      <c r="C2677" s="13">
        <v>50.0</v>
      </c>
      <c r="D2677" s="13">
        <v>15.0</v>
      </c>
      <c r="E2677" s="13">
        <v>29.0</v>
      </c>
    </row>
    <row r="2678">
      <c r="A2678" s="13">
        <v>6472143.0</v>
      </c>
      <c r="B2678" s="4">
        <v>358.0</v>
      </c>
      <c r="C2678" s="13">
        <v>31.0</v>
      </c>
      <c r="D2678" s="13">
        <v>25.0</v>
      </c>
      <c r="E2678" s="13">
        <v>2.0</v>
      </c>
    </row>
    <row r="2679">
      <c r="A2679" s="13">
        <v>6403052.0</v>
      </c>
      <c r="B2679" s="4">
        <v>359.0</v>
      </c>
      <c r="C2679" s="13">
        <v>116.0</v>
      </c>
      <c r="D2679" s="13">
        <v>58.0</v>
      </c>
      <c r="E2679" s="13">
        <v>298.0</v>
      </c>
    </row>
    <row r="2680">
      <c r="A2680" s="13">
        <v>6409047.0</v>
      </c>
      <c r="B2680" s="4">
        <v>360.0</v>
      </c>
      <c r="C2680" s="13">
        <v>52.0</v>
      </c>
      <c r="D2680" s="13">
        <v>17.0</v>
      </c>
      <c r="E2680" s="13">
        <v>182.0</v>
      </c>
    </row>
    <row r="2681">
      <c r="A2681" s="13">
        <v>6404065.0</v>
      </c>
      <c r="B2681" s="4">
        <v>357.0</v>
      </c>
      <c r="C2681" s="13">
        <v>50.0</v>
      </c>
      <c r="D2681" s="13">
        <v>10.0</v>
      </c>
      <c r="E2681" s="13">
        <v>182.0</v>
      </c>
    </row>
    <row r="2682">
      <c r="A2682" s="13">
        <v>6471074.0</v>
      </c>
      <c r="B2682" s="4">
        <v>356.0</v>
      </c>
      <c r="C2682" s="13">
        <v>42.0</v>
      </c>
      <c r="D2682" s="13">
        <v>20.0</v>
      </c>
      <c r="E2682" s="13">
        <v>77.0</v>
      </c>
    </row>
    <row r="2683">
      <c r="A2683" s="13">
        <v>6472063.0</v>
      </c>
      <c r="B2683" s="4">
        <v>358.0</v>
      </c>
      <c r="C2683" s="13">
        <v>200.0</v>
      </c>
      <c r="D2683" s="13">
        <v>24.0</v>
      </c>
      <c r="E2683" s="13">
        <v>398.0</v>
      </c>
    </row>
    <row r="2684">
      <c r="A2684" s="13">
        <v>6471036.0</v>
      </c>
      <c r="B2684" s="4">
        <v>356.0</v>
      </c>
      <c r="C2684" s="13">
        <v>144.0</v>
      </c>
      <c r="D2684" s="13">
        <v>66.0</v>
      </c>
      <c r="E2684" s="13">
        <v>550.0</v>
      </c>
    </row>
    <row r="2685">
      <c r="A2685" s="13">
        <v>6404047.0</v>
      </c>
      <c r="B2685" s="4">
        <v>357.0</v>
      </c>
      <c r="C2685" s="13">
        <v>23.0</v>
      </c>
      <c r="D2685" s="13">
        <v>18.0</v>
      </c>
      <c r="E2685" s="13">
        <v>30.0</v>
      </c>
    </row>
    <row r="2686">
      <c r="A2686" s="13">
        <v>6474010.0</v>
      </c>
      <c r="B2686" s="4">
        <v>361.0</v>
      </c>
      <c r="C2686" s="13">
        <v>51.0</v>
      </c>
      <c r="D2686" s="13">
        <v>27.0</v>
      </c>
      <c r="E2686" s="13">
        <v>71.0</v>
      </c>
    </row>
    <row r="2687">
      <c r="A2687" s="13">
        <v>6404066.0</v>
      </c>
      <c r="B2687" s="4">
        <v>357.0</v>
      </c>
      <c r="C2687" s="13">
        <v>59.0</v>
      </c>
      <c r="D2687" s="13">
        <v>28.0</v>
      </c>
      <c r="E2687" s="13">
        <v>182.0</v>
      </c>
    </row>
    <row r="2688">
      <c r="A2688" s="13">
        <v>6404043.0</v>
      </c>
      <c r="B2688" s="4">
        <v>357.0</v>
      </c>
      <c r="C2688" s="13">
        <v>97.0</v>
      </c>
      <c r="D2688" s="13">
        <v>32.0</v>
      </c>
      <c r="E2688" s="13">
        <v>90.0</v>
      </c>
    </row>
    <row r="2689">
      <c r="A2689" s="13">
        <v>6404032.0</v>
      </c>
      <c r="B2689" s="4">
        <v>357.0</v>
      </c>
      <c r="C2689" s="13">
        <v>189.0</v>
      </c>
      <c r="D2689" s="13">
        <v>39.0</v>
      </c>
      <c r="E2689" s="13">
        <v>523.0</v>
      </c>
    </row>
    <row r="2690">
      <c r="A2690" s="13">
        <v>6471078.0</v>
      </c>
      <c r="B2690" s="4">
        <v>356.0</v>
      </c>
      <c r="C2690" s="13">
        <v>69.0</v>
      </c>
      <c r="D2690" s="13">
        <v>20.0</v>
      </c>
      <c r="E2690" s="13">
        <v>36.0</v>
      </c>
    </row>
    <row r="2691">
      <c r="A2691" s="13">
        <v>6471085.0</v>
      </c>
      <c r="B2691" s="4">
        <v>356.0</v>
      </c>
      <c r="C2691" s="13">
        <v>42.0</v>
      </c>
      <c r="D2691" s="13">
        <v>14.0</v>
      </c>
      <c r="E2691" s="13">
        <v>79.0</v>
      </c>
    </row>
    <row r="2692">
      <c r="A2692" s="13">
        <v>6472107.0</v>
      </c>
      <c r="B2692" s="4">
        <v>358.0</v>
      </c>
      <c r="C2692" s="13">
        <v>134.0</v>
      </c>
      <c r="D2692" s="13">
        <v>27.0</v>
      </c>
      <c r="E2692" s="13">
        <v>151.0</v>
      </c>
    </row>
    <row r="2693">
      <c r="A2693" s="13">
        <v>6471073.0</v>
      </c>
      <c r="B2693" s="4">
        <v>356.0</v>
      </c>
      <c r="C2693" s="13">
        <v>141.0</v>
      </c>
      <c r="D2693" s="13">
        <v>47.0</v>
      </c>
      <c r="E2693" s="13">
        <v>297.0</v>
      </c>
    </row>
    <row r="2694">
      <c r="A2694" s="13">
        <v>6471062.0</v>
      </c>
      <c r="B2694" s="4">
        <v>356.0</v>
      </c>
      <c r="C2694" s="13">
        <v>41.0</v>
      </c>
      <c r="D2694" s="13">
        <v>10.0</v>
      </c>
      <c r="E2694" s="13">
        <v>160.0</v>
      </c>
    </row>
    <row r="2695">
      <c r="A2695" s="13">
        <v>6474032.0</v>
      </c>
      <c r="B2695" s="4">
        <v>361.0</v>
      </c>
      <c r="C2695" s="13">
        <v>200.0</v>
      </c>
      <c r="D2695" s="13">
        <v>112.0</v>
      </c>
      <c r="E2695" s="13">
        <v>598.0</v>
      </c>
    </row>
    <row r="2696">
      <c r="A2696" s="13">
        <v>6409049.0</v>
      </c>
      <c r="B2696" s="4">
        <v>360.0</v>
      </c>
      <c r="C2696" s="13">
        <v>102.0</v>
      </c>
      <c r="D2696" s="13">
        <v>31.0</v>
      </c>
      <c r="E2696" s="13">
        <v>182.0</v>
      </c>
    </row>
    <row r="2697">
      <c r="A2697" s="13">
        <v>6404044.0</v>
      </c>
      <c r="B2697" s="4">
        <v>357.0</v>
      </c>
      <c r="C2697" s="13">
        <v>60.0</v>
      </c>
      <c r="D2697" s="13">
        <v>30.0</v>
      </c>
      <c r="E2697" s="13">
        <v>175.0</v>
      </c>
    </row>
    <row r="2698">
      <c r="A2698" s="13">
        <v>6472131.0</v>
      </c>
      <c r="B2698" s="4">
        <v>358.0</v>
      </c>
      <c r="C2698" s="13">
        <v>19.0</v>
      </c>
      <c r="D2698" s="13">
        <v>22.0</v>
      </c>
      <c r="E2698" s="13">
        <v>182.0</v>
      </c>
    </row>
    <row r="2699">
      <c r="A2699" s="13">
        <v>6401014.0</v>
      </c>
      <c r="B2699" s="4">
        <v>362.0</v>
      </c>
      <c r="C2699" s="13">
        <v>281.0</v>
      </c>
      <c r="D2699" s="13">
        <v>50.0</v>
      </c>
      <c r="E2699" s="13">
        <v>699.0</v>
      </c>
    </row>
    <row r="2700">
      <c r="A2700" s="13">
        <v>6472030.0</v>
      </c>
      <c r="B2700" s="4">
        <v>358.0</v>
      </c>
      <c r="C2700" s="13">
        <v>230.0</v>
      </c>
      <c r="D2700" s="13">
        <v>57.0</v>
      </c>
      <c r="E2700" s="13">
        <v>662.0</v>
      </c>
    </row>
    <row r="2701">
      <c r="A2701" s="13">
        <v>6402053.0</v>
      </c>
      <c r="B2701" s="4">
        <v>363.0</v>
      </c>
      <c r="C2701" s="13">
        <v>48.0</v>
      </c>
      <c r="D2701" s="13">
        <v>27.0</v>
      </c>
      <c r="E2701" s="13">
        <v>38.0</v>
      </c>
    </row>
    <row r="2702">
      <c r="A2702" s="13">
        <v>6409036.0</v>
      </c>
      <c r="B2702" s="4">
        <v>360.0</v>
      </c>
      <c r="C2702" s="13">
        <v>107.0</v>
      </c>
      <c r="D2702" s="13">
        <v>33.0</v>
      </c>
      <c r="E2702" s="13">
        <v>312.0</v>
      </c>
    </row>
    <row r="2703">
      <c r="A2703" s="13">
        <v>6471077.0</v>
      </c>
      <c r="B2703" s="4">
        <v>356.0</v>
      </c>
      <c r="C2703" s="13">
        <v>57.0</v>
      </c>
      <c r="D2703" s="13">
        <v>29.0</v>
      </c>
      <c r="E2703" s="13">
        <v>112.0</v>
      </c>
    </row>
    <row r="2704">
      <c r="A2704" s="13">
        <v>6471082.0</v>
      </c>
      <c r="B2704" s="4">
        <v>356.0</v>
      </c>
      <c r="C2704" s="13">
        <v>18.0</v>
      </c>
      <c r="D2704" s="13">
        <v>1.0</v>
      </c>
      <c r="E2704" s="13">
        <v>54.0</v>
      </c>
    </row>
    <row r="2705">
      <c r="A2705" s="13">
        <v>6402041.0</v>
      </c>
      <c r="B2705" s="4">
        <v>363.0</v>
      </c>
      <c r="C2705" s="13">
        <v>177.0</v>
      </c>
      <c r="D2705" s="13">
        <v>37.0</v>
      </c>
      <c r="E2705" s="13">
        <v>604.0</v>
      </c>
    </row>
    <row r="2706">
      <c r="A2706" s="13">
        <v>6472130.0</v>
      </c>
      <c r="B2706" s="4">
        <v>358.0</v>
      </c>
      <c r="C2706" s="13">
        <v>167.0</v>
      </c>
      <c r="D2706" s="13">
        <v>127.0</v>
      </c>
      <c r="E2706" s="13">
        <v>249.0</v>
      </c>
    </row>
    <row r="2707">
      <c r="A2707" s="13">
        <v>6472052.0</v>
      </c>
      <c r="B2707" s="4">
        <v>358.0</v>
      </c>
      <c r="C2707" s="13">
        <v>38.0</v>
      </c>
      <c r="D2707" s="13">
        <v>5.0</v>
      </c>
      <c r="E2707" s="13">
        <v>60.0</v>
      </c>
    </row>
    <row r="2708">
      <c r="A2708" s="13">
        <v>6402064.0</v>
      </c>
      <c r="B2708" s="4">
        <v>363.0</v>
      </c>
      <c r="C2708" s="13">
        <v>50.0</v>
      </c>
      <c r="D2708" s="13">
        <v>15.0</v>
      </c>
      <c r="E2708" s="13">
        <v>182.0</v>
      </c>
    </row>
    <row r="2709">
      <c r="A2709" s="13">
        <v>6471025.0</v>
      </c>
      <c r="B2709" s="4">
        <v>356.0</v>
      </c>
      <c r="C2709" s="13">
        <v>180.0</v>
      </c>
      <c r="D2709" s="13">
        <v>55.0</v>
      </c>
      <c r="E2709" s="13">
        <v>310.0</v>
      </c>
    </row>
    <row r="2710">
      <c r="A2710" s="13">
        <v>6404046.0</v>
      </c>
      <c r="B2710" s="4">
        <v>357.0</v>
      </c>
      <c r="C2710" s="13">
        <v>155.0</v>
      </c>
      <c r="D2710" s="13">
        <v>39.0</v>
      </c>
      <c r="E2710" s="13">
        <v>381.0</v>
      </c>
    </row>
    <row r="2711">
      <c r="A2711" s="13">
        <v>6472096.0</v>
      </c>
      <c r="B2711" s="4">
        <v>358.0</v>
      </c>
      <c r="C2711" s="13">
        <v>62.0</v>
      </c>
      <c r="D2711" s="13">
        <v>13.0</v>
      </c>
      <c r="E2711" s="13">
        <v>74.0</v>
      </c>
    </row>
    <row r="2712">
      <c r="A2712" s="13">
        <v>6404054.0</v>
      </c>
      <c r="B2712" s="4">
        <v>357.0</v>
      </c>
      <c r="C2712" s="13">
        <v>29.0</v>
      </c>
      <c r="D2712" s="13">
        <v>16.0</v>
      </c>
      <c r="E2712" s="13">
        <v>61.0</v>
      </c>
    </row>
    <row r="2713">
      <c r="A2713" s="13">
        <v>6472123.0</v>
      </c>
      <c r="B2713" s="4">
        <v>358.0</v>
      </c>
      <c r="C2713" s="13">
        <v>182.0</v>
      </c>
      <c r="D2713" s="13">
        <v>46.0</v>
      </c>
      <c r="E2713" s="13">
        <v>524.0</v>
      </c>
    </row>
    <row r="2714">
      <c r="A2714" s="13">
        <v>6471051.0</v>
      </c>
      <c r="B2714" s="4">
        <v>356.0</v>
      </c>
      <c r="C2714" s="13">
        <v>166.0</v>
      </c>
      <c r="D2714" s="13">
        <v>76.0</v>
      </c>
      <c r="E2714" s="13">
        <v>216.0</v>
      </c>
    </row>
    <row r="2715">
      <c r="A2715" s="13">
        <v>6472121.0</v>
      </c>
      <c r="B2715" s="4">
        <v>358.0</v>
      </c>
      <c r="C2715" s="13">
        <v>28.0</v>
      </c>
      <c r="D2715" s="13">
        <v>14.0</v>
      </c>
      <c r="E2715" s="13">
        <v>37.0</v>
      </c>
    </row>
    <row r="2716">
      <c r="A2716" s="13">
        <v>6474021.0</v>
      </c>
      <c r="B2716" s="4">
        <v>361.0</v>
      </c>
      <c r="C2716" s="13">
        <v>100.0</v>
      </c>
      <c r="D2716" s="13">
        <v>47.0</v>
      </c>
      <c r="E2716" s="13">
        <v>465.0</v>
      </c>
    </row>
    <row r="2717">
      <c r="A2717" s="13">
        <v>6403017.0</v>
      </c>
      <c r="B2717" s="4">
        <v>359.0</v>
      </c>
      <c r="C2717" s="13">
        <v>80.0</v>
      </c>
      <c r="D2717" s="13">
        <v>9.0</v>
      </c>
      <c r="E2717" s="13">
        <v>369.0</v>
      </c>
    </row>
    <row r="2718">
      <c r="A2718" s="13">
        <v>6405011.0</v>
      </c>
      <c r="B2718" s="4">
        <v>355.0</v>
      </c>
      <c r="C2718" s="13">
        <v>261.0</v>
      </c>
      <c r="D2718" s="13">
        <v>49.0</v>
      </c>
      <c r="E2718" s="13">
        <v>689.0</v>
      </c>
    </row>
    <row r="2719">
      <c r="A2719" s="13">
        <v>6474033.0</v>
      </c>
      <c r="B2719" s="4">
        <v>361.0</v>
      </c>
      <c r="C2719" s="13">
        <v>65.0</v>
      </c>
      <c r="D2719" s="13">
        <v>27.0</v>
      </c>
      <c r="E2719" s="13">
        <v>257.0</v>
      </c>
    </row>
    <row r="2720">
      <c r="A2720" s="13">
        <v>6472118.0</v>
      </c>
      <c r="B2720" s="4">
        <v>358.0</v>
      </c>
      <c r="C2720" s="13">
        <v>134.0</v>
      </c>
      <c r="D2720" s="13">
        <v>41.0</v>
      </c>
      <c r="E2720" s="13">
        <v>231.0</v>
      </c>
    </row>
    <row r="2721">
      <c r="A2721" s="13">
        <v>6472015.0</v>
      </c>
      <c r="B2721" s="4">
        <v>358.0</v>
      </c>
      <c r="C2721" s="13">
        <v>572.0</v>
      </c>
      <c r="D2721" s="13">
        <v>61.0</v>
      </c>
      <c r="E2721" s="13">
        <v>2285.0</v>
      </c>
    </row>
    <row r="2722">
      <c r="A2722" s="13">
        <v>6474034.0</v>
      </c>
      <c r="B2722" s="4">
        <v>361.0</v>
      </c>
      <c r="C2722" s="13">
        <v>99.0</v>
      </c>
      <c r="D2722" s="13">
        <v>32.0</v>
      </c>
      <c r="E2722" s="13">
        <v>170.0</v>
      </c>
    </row>
    <row r="2723">
      <c r="A2723" s="13">
        <v>6404051.0</v>
      </c>
      <c r="B2723" s="4">
        <v>357.0</v>
      </c>
      <c r="C2723" s="13">
        <v>55.0</v>
      </c>
      <c r="D2723" s="13">
        <v>22.0</v>
      </c>
      <c r="E2723" s="13">
        <v>139.0</v>
      </c>
    </row>
    <row r="2724">
      <c r="A2724" s="13">
        <v>6472124.0</v>
      </c>
      <c r="B2724" s="4">
        <v>358.0</v>
      </c>
      <c r="C2724" s="13">
        <v>70.0</v>
      </c>
      <c r="D2724" s="13">
        <v>41.0</v>
      </c>
      <c r="E2724" s="13">
        <v>105.0</v>
      </c>
    </row>
    <row r="2725">
      <c r="A2725" s="13">
        <v>6471075.0</v>
      </c>
      <c r="B2725" s="4">
        <v>356.0</v>
      </c>
      <c r="C2725" s="13">
        <v>205.0</v>
      </c>
      <c r="D2725" s="13">
        <v>85.0</v>
      </c>
      <c r="E2725" s="13">
        <v>397.0</v>
      </c>
    </row>
    <row r="2726">
      <c r="A2726" s="13">
        <v>6411001.0</v>
      </c>
      <c r="B2726" s="4">
        <v>364.0</v>
      </c>
      <c r="C2726" s="13">
        <v>62.0</v>
      </c>
      <c r="D2726" s="13">
        <v>16.0</v>
      </c>
      <c r="E2726" s="13">
        <v>198.0</v>
      </c>
    </row>
    <row r="2727">
      <c r="A2727" s="13">
        <v>6403015.0</v>
      </c>
      <c r="B2727" s="4">
        <v>359.0</v>
      </c>
      <c r="C2727" s="13">
        <v>281.0</v>
      </c>
      <c r="D2727" s="13">
        <v>101.0</v>
      </c>
      <c r="E2727" s="13">
        <v>966.0</v>
      </c>
    </row>
    <row r="2728">
      <c r="A2728" s="13">
        <v>6471079.0</v>
      </c>
      <c r="B2728" s="4">
        <v>356.0</v>
      </c>
      <c r="C2728" s="13">
        <v>147.0</v>
      </c>
      <c r="D2728" s="13">
        <v>46.0</v>
      </c>
      <c r="E2728" s="13">
        <v>423.0</v>
      </c>
    </row>
    <row r="2729">
      <c r="A2729" s="13">
        <v>6472128.0</v>
      </c>
      <c r="B2729" s="4">
        <v>358.0</v>
      </c>
      <c r="C2729" s="13">
        <v>21.0</v>
      </c>
      <c r="D2729" s="13">
        <v>25.0</v>
      </c>
      <c r="E2729" s="13">
        <v>111.0</v>
      </c>
    </row>
    <row r="2730">
      <c r="A2730" s="13">
        <v>6472041.0</v>
      </c>
      <c r="B2730" s="4">
        <v>358.0</v>
      </c>
      <c r="C2730" s="13">
        <v>54.0</v>
      </c>
      <c r="D2730" s="13">
        <v>87.0</v>
      </c>
      <c r="E2730" s="13">
        <v>169.0</v>
      </c>
    </row>
    <row r="2731">
      <c r="A2731" s="13">
        <v>6471086.0</v>
      </c>
      <c r="B2731" s="4">
        <v>356.0</v>
      </c>
      <c r="C2731" s="13">
        <v>131.0</v>
      </c>
      <c r="D2731" s="13">
        <v>70.0</v>
      </c>
      <c r="E2731" s="13">
        <v>228.0</v>
      </c>
    </row>
    <row r="2732">
      <c r="A2732" s="13">
        <v>6571045.0</v>
      </c>
      <c r="B2732" s="4">
        <v>365.0</v>
      </c>
      <c r="C2732" s="13">
        <v>71.0</v>
      </c>
      <c r="D2732" s="13">
        <v>3.0</v>
      </c>
      <c r="E2732" s="13">
        <v>182.0</v>
      </c>
    </row>
    <row r="2733">
      <c r="A2733" s="13">
        <v>6473043.0</v>
      </c>
      <c r="B2733" s="4">
        <v>365.0</v>
      </c>
      <c r="C2733" s="13">
        <v>102.0</v>
      </c>
      <c r="D2733" s="13">
        <v>28.0</v>
      </c>
      <c r="E2733" s="13">
        <v>186.0</v>
      </c>
    </row>
    <row r="2734">
      <c r="A2734" s="13">
        <v>6473016.0</v>
      </c>
      <c r="B2734" s="4">
        <v>365.0</v>
      </c>
      <c r="C2734" s="13">
        <v>343.0</v>
      </c>
      <c r="D2734" s="13">
        <v>44.0</v>
      </c>
      <c r="E2734" s="13">
        <v>1199.0</v>
      </c>
    </row>
    <row r="2735">
      <c r="A2735" s="13">
        <v>6501013.0</v>
      </c>
      <c r="B2735" s="4">
        <v>366.0</v>
      </c>
      <c r="C2735" s="13">
        <v>20.0</v>
      </c>
      <c r="D2735" s="13">
        <v>4.0</v>
      </c>
      <c r="E2735" s="13">
        <v>17.0</v>
      </c>
    </row>
    <row r="2736">
      <c r="A2736" s="13">
        <v>6504027.0</v>
      </c>
      <c r="B2736" s="4">
        <v>367.0</v>
      </c>
      <c r="C2736" s="13">
        <v>50.0</v>
      </c>
      <c r="D2736" s="13">
        <v>11.0</v>
      </c>
      <c r="E2736" s="13">
        <v>50.0</v>
      </c>
    </row>
    <row r="2737">
      <c r="A2737" s="13">
        <v>6504038.0</v>
      </c>
      <c r="B2737" s="4">
        <v>367.0</v>
      </c>
      <c r="C2737" s="13">
        <v>14.0</v>
      </c>
      <c r="D2737" s="13">
        <v>15.0</v>
      </c>
      <c r="E2737" s="13">
        <v>182.0</v>
      </c>
    </row>
    <row r="2738">
      <c r="A2738" s="13">
        <v>6503013.0</v>
      </c>
      <c r="B2738" s="4">
        <v>368.0</v>
      </c>
      <c r="C2738" s="13">
        <v>42.0</v>
      </c>
      <c r="D2738" s="13">
        <v>10.0</v>
      </c>
      <c r="E2738" s="13">
        <v>182.0</v>
      </c>
    </row>
    <row r="2739">
      <c r="A2739" s="13">
        <v>6571044.0</v>
      </c>
      <c r="B2739" s="4">
        <v>365.0</v>
      </c>
      <c r="C2739" s="13">
        <v>144.0</v>
      </c>
      <c r="D2739" s="13">
        <v>32.0</v>
      </c>
      <c r="E2739" s="13">
        <v>366.0</v>
      </c>
    </row>
    <row r="2740">
      <c r="A2740" s="13">
        <v>6408014.0</v>
      </c>
      <c r="B2740" s="4">
        <v>366.0</v>
      </c>
      <c r="C2740" s="13">
        <v>10.0</v>
      </c>
      <c r="D2740" s="13">
        <v>9.0</v>
      </c>
      <c r="E2740" s="13">
        <v>23.0</v>
      </c>
    </row>
    <row r="2741">
      <c r="A2741" s="13">
        <v>6502011.0</v>
      </c>
      <c r="B2741" s="4">
        <v>369.0</v>
      </c>
      <c r="C2741" s="13">
        <v>66.0</v>
      </c>
      <c r="D2741" s="13">
        <v>20.0</v>
      </c>
      <c r="E2741" s="13">
        <v>182.0</v>
      </c>
    </row>
    <row r="2742">
      <c r="A2742" s="13">
        <v>6473042.0</v>
      </c>
      <c r="B2742" s="4">
        <v>365.0</v>
      </c>
      <c r="C2742" s="13">
        <v>88.0</v>
      </c>
      <c r="D2742" s="13">
        <v>32.0</v>
      </c>
      <c r="E2742" s="13">
        <v>74.0</v>
      </c>
    </row>
    <row r="2743">
      <c r="A2743" s="13">
        <v>6404021.0</v>
      </c>
      <c r="B2743" s="4">
        <v>369.0</v>
      </c>
      <c r="C2743" s="13">
        <v>303.0</v>
      </c>
      <c r="D2743" s="13">
        <v>45.0</v>
      </c>
      <c r="E2743" s="13">
        <v>344.0</v>
      </c>
    </row>
    <row r="2744">
      <c r="A2744" s="13">
        <v>6406012.0</v>
      </c>
      <c r="B2744" s="4">
        <v>366.0</v>
      </c>
      <c r="C2744" s="13">
        <v>168.0</v>
      </c>
      <c r="D2744" s="13">
        <v>46.0</v>
      </c>
      <c r="E2744" s="13">
        <v>165.0</v>
      </c>
    </row>
    <row r="2745">
      <c r="A2745" s="13">
        <v>6571056.0</v>
      </c>
      <c r="B2745" s="4">
        <v>365.0</v>
      </c>
      <c r="C2745" s="13">
        <v>47.0</v>
      </c>
      <c r="D2745" s="13">
        <v>25.0</v>
      </c>
      <c r="E2745" s="13">
        <v>182.0</v>
      </c>
    </row>
    <row r="2746">
      <c r="A2746" s="13">
        <v>6504039.0</v>
      </c>
      <c r="B2746" s="4">
        <v>367.0</v>
      </c>
      <c r="C2746" s="13">
        <v>17.0</v>
      </c>
      <c r="D2746" s="13">
        <v>5.0</v>
      </c>
      <c r="E2746" s="13">
        <v>182.0</v>
      </c>
    </row>
    <row r="2747">
      <c r="A2747" s="13">
        <v>6408025.0</v>
      </c>
      <c r="B2747" s="4">
        <v>367.0</v>
      </c>
      <c r="C2747" s="13">
        <v>245.0</v>
      </c>
      <c r="D2747" s="13">
        <v>71.0</v>
      </c>
      <c r="E2747" s="13">
        <v>284.0</v>
      </c>
    </row>
    <row r="2748">
      <c r="A2748" s="13">
        <v>6503002.0</v>
      </c>
      <c r="B2748" s="4">
        <v>368.0</v>
      </c>
      <c r="C2748" s="13">
        <v>56.0</v>
      </c>
      <c r="D2748" s="13">
        <v>16.0</v>
      </c>
      <c r="E2748" s="13">
        <v>55.0</v>
      </c>
    </row>
    <row r="2749">
      <c r="A2749" s="13">
        <v>7102120.0</v>
      </c>
      <c r="B2749" s="4">
        <v>370.0</v>
      </c>
      <c r="C2749" s="13">
        <v>130.0</v>
      </c>
      <c r="D2749" s="13">
        <v>72.0</v>
      </c>
      <c r="E2749" s="13">
        <v>352.0</v>
      </c>
    </row>
    <row r="2750">
      <c r="A2750" s="13">
        <v>7109028.0</v>
      </c>
      <c r="B2750" s="4">
        <v>371.0</v>
      </c>
      <c r="C2750" s="13">
        <v>100.0</v>
      </c>
      <c r="D2750" s="13">
        <v>22.0</v>
      </c>
      <c r="E2750" s="13">
        <v>109.0</v>
      </c>
    </row>
    <row r="2751">
      <c r="A2751" s="13">
        <v>7101037.0</v>
      </c>
      <c r="B2751" s="4">
        <v>372.0</v>
      </c>
      <c r="C2751" s="13">
        <v>88.0</v>
      </c>
      <c r="D2751" s="13">
        <v>26.0</v>
      </c>
      <c r="E2751" s="13">
        <v>116.0</v>
      </c>
    </row>
    <row r="2752">
      <c r="A2752" s="13">
        <v>7102040.0</v>
      </c>
      <c r="B2752" s="4">
        <v>370.0</v>
      </c>
      <c r="C2752" s="13">
        <v>131.0</v>
      </c>
      <c r="D2752" s="13">
        <v>90.0</v>
      </c>
      <c r="E2752" s="13">
        <v>58.0</v>
      </c>
    </row>
    <row r="2753">
      <c r="A2753" s="13">
        <v>7171108.0</v>
      </c>
      <c r="B2753" s="4">
        <v>373.0</v>
      </c>
      <c r="C2753" s="13">
        <v>11.0</v>
      </c>
      <c r="D2753" s="13">
        <v>11.0</v>
      </c>
      <c r="E2753" s="13">
        <v>46.0</v>
      </c>
    </row>
    <row r="2754">
      <c r="A2754" s="13">
        <v>7106020.0</v>
      </c>
      <c r="B2754" s="4">
        <v>374.0</v>
      </c>
      <c r="C2754" s="13">
        <v>202.0</v>
      </c>
      <c r="D2754" s="13">
        <v>82.0</v>
      </c>
      <c r="E2754" s="13">
        <v>152.0</v>
      </c>
    </row>
    <row r="2755">
      <c r="A2755" s="13">
        <v>7171072.0</v>
      </c>
      <c r="B2755" s="4">
        <v>373.0</v>
      </c>
      <c r="C2755" s="13">
        <v>65.0</v>
      </c>
      <c r="D2755" s="13">
        <v>22.0</v>
      </c>
      <c r="E2755" s="13">
        <v>122.0</v>
      </c>
    </row>
    <row r="2756">
      <c r="A2756" s="13">
        <v>7103039.0</v>
      </c>
      <c r="B2756" s="4">
        <v>375.0</v>
      </c>
      <c r="C2756" s="13">
        <v>64.0</v>
      </c>
      <c r="D2756" s="13">
        <v>19.0</v>
      </c>
      <c r="E2756" s="13">
        <v>46.0</v>
      </c>
    </row>
    <row r="2757">
      <c r="A2757" s="13">
        <v>7171097.0</v>
      </c>
      <c r="B2757" s="4">
        <v>373.0</v>
      </c>
      <c r="C2757" s="13">
        <v>53.0</v>
      </c>
      <c r="D2757" s="13">
        <v>16.0</v>
      </c>
      <c r="E2757" s="13">
        <v>62.0</v>
      </c>
    </row>
    <row r="2758">
      <c r="A2758" s="13">
        <v>7103026.0</v>
      </c>
      <c r="B2758" s="4">
        <v>376.0</v>
      </c>
      <c r="C2758" s="13">
        <v>93.0</v>
      </c>
      <c r="D2758" s="13">
        <v>30.0</v>
      </c>
      <c r="E2758" s="13">
        <v>161.0</v>
      </c>
    </row>
    <row r="2759">
      <c r="A2759" s="13">
        <v>7107003.0</v>
      </c>
      <c r="B2759" s="4">
        <v>377.0</v>
      </c>
      <c r="C2759" s="13">
        <v>108.0</v>
      </c>
      <c r="D2759" s="13">
        <v>29.0</v>
      </c>
      <c r="E2759" s="13">
        <v>132.0</v>
      </c>
    </row>
    <row r="2760">
      <c r="A2760" s="13">
        <v>7173002.0</v>
      </c>
      <c r="B2760" s="4">
        <v>378.0</v>
      </c>
      <c r="C2760" s="13">
        <v>106.0</v>
      </c>
      <c r="D2760" s="13">
        <v>22.0</v>
      </c>
      <c r="E2760" s="13">
        <v>394.0</v>
      </c>
    </row>
    <row r="2761">
      <c r="A2761" s="13">
        <v>7102062.0</v>
      </c>
      <c r="B2761" s="4">
        <v>374.0</v>
      </c>
      <c r="C2761" s="13">
        <v>116.0</v>
      </c>
      <c r="D2761" s="13">
        <v>20.0</v>
      </c>
      <c r="E2761" s="13">
        <v>148.0</v>
      </c>
    </row>
    <row r="2762">
      <c r="A2762" s="13">
        <v>7171095.0</v>
      </c>
      <c r="B2762" s="4">
        <v>373.0</v>
      </c>
      <c r="C2762" s="13">
        <v>47.0</v>
      </c>
      <c r="D2762" s="13">
        <v>26.0</v>
      </c>
      <c r="E2762" s="13">
        <v>46.0</v>
      </c>
    </row>
    <row r="2763">
      <c r="A2763" s="13">
        <v>7172014.0</v>
      </c>
      <c r="B2763" s="4">
        <v>379.0</v>
      </c>
      <c r="C2763" s="13">
        <v>116.0</v>
      </c>
      <c r="D2763" s="13">
        <v>26.0</v>
      </c>
      <c r="E2763" s="13">
        <v>187.0</v>
      </c>
    </row>
    <row r="2764">
      <c r="A2764" s="13">
        <v>7110002.0</v>
      </c>
      <c r="B2764" s="4">
        <v>380.0</v>
      </c>
      <c r="C2764" s="13">
        <v>101.0</v>
      </c>
      <c r="D2764" s="13">
        <v>15.0</v>
      </c>
      <c r="E2764" s="13">
        <v>167.0</v>
      </c>
    </row>
    <row r="2765">
      <c r="A2765" s="13">
        <v>7171013.0</v>
      </c>
      <c r="B2765" s="4">
        <v>373.0</v>
      </c>
      <c r="C2765" s="13">
        <v>729.0</v>
      </c>
      <c r="D2765" s="13">
        <v>95.0</v>
      </c>
      <c r="E2765" s="13">
        <v>2278.0</v>
      </c>
    </row>
    <row r="2766">
      <c r="A2766" s="13">
        <v>7171105.0</v>
      </c>
      <c r="B2766" s="4">
        <v>373.0</v>
      </c>
      <c r="C2766" s="13">
        <v>109.0</v>
      </c>
      <c r="D2766" s="13">
        <v>34.0</v>
      </c>
      <c r="E2766" s="13">
        <v>77.0</v>
      </c>
    </row>
    <row r="2767">
      <c r="A2767" s="13">
        <v>7109002.0</v>
      </c>
      <c r="B2767" s="4">
        <v>371.0</v>
      </c>
      <c r="C2767" s="13">
        <v>50.0</v>
      </c>
      <c r="D2767" s="13">
        <v>20.0</v>
      </c>
      <c r="E2767" s="13">
        <v>99.0</v>
      </c>
    </row>
    <row r="2768">
      <c r="A2768" s="13">
        <v>7171124.0</v>
      </c>
      <c r="B2768" s="4">
        <v>373.0</v>
      </c>
      <c r="C2768" s="13">
        <v>102.0</v>
      </c>
      <c r="D2768" s="13">
        <v>1.0</v>
      </c>
      <c r="E2768" s="13">
        <v>182.0</v>
      </c>
    </row>
    <row r="2769">
      <c r="A2769" s="13">
        <v>7105084.0</v>
      </c>
      <c r="B2769" s="4">
        <v>381.0</v>
      </c>
      <c r="C2769" s="13">
        <v>68.0</v>
      </c>
      <c r="D2769" s="13">
        <v>10.0</v>
      </c>
      <c r="E2769" s="13">
        <v>44.0</v>
      </c>
    </row>
    <row r="2770">
      <c r="A2770" s="13">
        <v>7171122.0</v>
      </c>
      <c r="B2770" s="4">
        <v>373.0</v>
      </c>
      <c r="C2770" s="13">
        <v>79.0</v>
      </c>
      <c r="D2770" s="13">
        <v>28.0</v>
      </c>
      <c r="E2770" s="13">
        <v>182.0</v>
      </c>
    </row>
    <row r="2771">
      <c r="A2771" s="13">
        <v>7171104.0</v>
      </c>
      <c r="B2771" s="4">
        <v>373.0</v>
      </c>
      <c r="C2771" s="13">
        <v>22.0</v>
      </c>
      <c r="D2771" s="13">
        <v>20.0</v>
      </c>
      <c r="E2771" s="13">
        <v>140.0</v>
      </c>
    </row>
    <row r="2772">
      <c r="A2772" s="13">
        <v>7171120.0</v>
      </c>
      <c r="B2772" s="4">
        <v>373.0</v>
      </c>
      <c r="C2772" s="13">
        <v>10.0</v>
      </c>
      <c r="D2772" s="13">
        <v>18.0</v>
      </c>
      <c r="E2772" s="13">
        <v>182.0</v>
      </c>
    </row>
    <row r="2773">
      <c r="A2773" s="13">
        <v>7172036.0</v>
      </c>
      <c r="B2773" s="4">
        <v>379.0</v>
      </c>
      <c r="C2773" s="13">
        <v>201.0</v>
      </c>
      <c r="D2773" s="13">
        <v>50.0</v>
      </c>
      <c r="E2773" s="13">
        <v>756.0</v>
      </c>
    </row>
    <row r="2774">
      <c r="A2774" s="13">
        <v>7102121.0</v>
      </c>
      <c r="B2774" s="4">
        <v>370.0</v>
      </c>
      <c r="C2774" s="13">
        <v>200.0</v>
      </c>
      <c r="D2774" s="13">
        <v>91.0</v>
      </c>
      <c r="E2774" s="13">
        <v>87.0</v>
      </c>
    </row>
    <row r="2775">
      <c r="A2775" s="13">
        <v>7105030.0</v>
      </c>
      <c r="B2775" s="4">
        <v>381.0</v>
      </c>
      <c r="C2775" s="13">
        <v>92.0</v>
      </c>
      <c r="D2775" s="13">
        <v>18.0</v>
      </c>
      <c r="E2775" s="13">
        <v>21.0</v>
      </c>
    </row>
    <row r="2776">
      <c r="A2776" s="13">
        <v>7171035.0</v>
      </c>
      <c r="B2776" s="4">
        <v>370.0</v>
      </c>
      <c r="C2776" s="13">
        <v>174.0</v>
      </c>
      <c r="D2776" s="13">
        <v>23.0</v>
      </c>
      <c r="E2776" s="13">
        <v>347.0</v>
      </c>
    </row>
    <row r="2777">
      <c r="A2777" s="13">
        <v>7171103.0</v>
      </c>
      <c r="B2777" s="4">
        <v>373.0</v>
      </c>
      <c r="C2777" s="13">
        <v>287.0</v>
      </c>
      <c r="D2777" s="13">
        <v>22.0</v>
      </c>
      <c r="E2777" s="13">
        <v>99.0</v>
      </c>
    </row>
    <row r="2778">
      <c r="A2778" s="13">
        <v>7174024.0</v>
      </c>
      <c r="B2778" s="4">
        <v>372.0</v>
      </c>
      <c r="C2778" s="13">
        <v>110.0</v>
      </c>
      <c r="D2778" s="13">
        <v>20.0</v>
      </c>
      <c r="E2778" s="13">
        <v>180.0</v>
      </c>
    </row>
    <row r="2779">
      <c r="A2779" s="13">
        <v>7105116.0</v>
      </c>
      <c r="B2779" s="4">
        <v>381.0</v>
      </c>
      <c r="C2779" s="13">
        <v>173.0</v>
      </c>
      <c r="D2779" s="13">
        <v>32.0</v>
      </c>
      <c r="E2779" s="13">
        <v>368.0</v>
      </c>
    </row>
    <row r="2780">
      <c r="A2780" s="13">
        <v>7173036.0</v>
      </c>
      <c r="B2780" s="4">
        <v>378.0</v>
      </c>
      <c r="C2780" s="13">
        <v>238.0</v>
      </c>
      <c r="D2780" s="13">
        <v>77.0</v>
      </c>
      <c r="E2780" s="13">
        <v>572.0</v>
      </c>
    </row>
    <row r="2781">
      <c r="A2781" s="13">
        <v>7171061.0</v>
      </c>
      <c r="B2781" s="4">
        <v>373.0</v>
      </c>
      <c r="C2781" s="13">
        <v>116.0</v>
      </c>
      <c r="D2781" s="13">
        <v>97.0</v>
      </c>
      <c r="E2781" s="13">
        <v>275.0</v>
      </c>
    </row>
    <row r="2782">
      <c r="A2782" s="13">
        <v>7171106.0</v>
      </c>
      <c r="B2782" s="4">
        <v>373.0</v>
      </c>
      <c r="C2782" s="13">
        <v>115.0</v>
      </c>
      <c r="D2782" s="13">
        <v>76.0</v>
      </c>
      <c r="E2782" s="13">
        <v>182.0</v>
      </c>
    </row>
    <row r="2783">
      <c r="A2783" s="13">
        <v>7103015.0</v>
      </c>
      <c r="B2783" s="4">
        <v>375.0</v>
      </c>
      <c r="C2783" s="13">
        <v>164.0</v>
      </c>
      <c r="D2783" s="13">
        <v>45.0</v>
      </c>
      <c r="E2783" s="13">
        <v>472.0</v>
      </c>
    </row>
    <row r="2784">
      <c r="A2784" s="13">
        <v>7108037.0</v>
      </c>
      <c r="B2784" s="4">
        <v>376.0</v>
      </c>
      <c r="C2784" s="13">
        <v>100.0</v>
      </c>
      <c r="D2784" s="13">
        <v>20.0</v>
      </c>
      <c r="E2784" s="13">
        <v>143.0</v>
      </c>
    </row>
    <row r="2785">
      <c r="A2785" s="13">
        <v>7111011.0</v>
      </c>
      <c r="B2785" s="4">
        <v>382.0</v>
      </c>
      <c r="C2785" s="13">
        <v>50.0</v>
      </c>
      <c r="D2785" s="13">
        <v>13.0</v>
      </c>
      <c r="E2785" s="13">
        <v>182.0</v>
      </c>
    </row>
    <row r="2786">
      <c r="A2786" s="13">
        <v>7171121.0</v>
      </c>
      <c r="B2786" s="4">
        <v>373.0</v>
      </c>
      <c r="C2786" s="13">
        <v>105.0</v>
      </c>
      <c r="D2786" s="13">
        <v>27.0</v>
      </c>
      <c r="E2786" s="13">
        <v>182.0</v>
      </c>
    </row>
    <row r="2787">
      <c r="A2787" s="13">
        <v>7106018.0</v>
      </c>
      <c r="B2787" s="4">
        <v>374.0</v>
      </c>
      <c r="C2787" s="13">
        <v>109.0</v>
      </c>
      <c r="D2787" s="13">
        <v>32.0</v>
      </c>
      <c r="E2787" s="13">
        <v>346.0</v>
      </c>
    </row>
    <row r="2788">
      <c r="A2788" s="13">
        <v>7173051.0</v>
      </c>
      <c r="B2788" s="4">
        <v>378.0</v>
      </c>
      <c r="C2788" s="13">
        <v>195.0</v>
      </c>
      <c r="D2788" s="13">
        <v>31.0</v>
      </c>
      <c r="E2788" s="13">
        <v>219.0</v>
      </c>
    </row>
    <row r="2789">
      <c r="A2789" s="13">
        <v>7171083.0</v>
      </c>
      <c r="B2789" s="4">
        <v>373.0</v>
      </c>
      <c r="C2789" s="13">
        <v>158.0</v>
      </c>
      <c r="D2789" s="13">
        <v>30.0</v>
      </c>
      <c r="E2789" s="13">
        <v>219.0</v>
      </c>
    </row>
    <row r="2790">
      <c r="A2790" s="13">
        <v>7171094.0</v>
      </c>
      <c r="B2790" s="4">
        <v>373.0</v>
      </c>
      <c r="C2790" s="13">
        <v>75.0</v>
      </c>
      <c r="D2790" s="13">
        <v>15.0</v>
      </c>
      <c r="E2790" s="13">
        <v>39.0</v>
      </c>
    </row>
    <row r="2791">
      <c r="A2791" s="13">
        <v>7104027.0</v>
      </c>
      <c r="B2791" s="4">
        <v>383.0</v>
      </c>
      <c r="C2791" s="13">
        <v>66.0</v>
      </c>
      <c r="D2791" s="13">
        <v>12.0</v>
      </c>
      <c r="E2791" s="13">
        <v>2.0</v>
      </c>
    </row>
    <row r="2792">
      <c r="A2792" s="13">
        <v>7172048.0</v>
      </c>
      <c r="B2792" s="4">
        <v>379.0</v>
      </c>
      <c r="C2792" s="13">
        <v>117.0</v>
      </c>
      <c r="D2792" s="13">
        <v>11.0</v>
      </c>
      <c r="E2792" s="13">
        <v>182.0</v>
      </c>
    </row>
    <row r="2793">
      <c r="A2793" s="13">
        <v>7102073.0</v>
      </c>
      <c r="B2793" s="4">
        <v>370.0</v>
      </c>
      <c r="C2793" s="13">
        <v>132.0</v>
      </c>
      <c r="D2793" s="13">
        <v>19.0</v>
      </c>
      <c r="E2793" s="13">
        <v>104.0</v>
      </c>
    </row>
    <row r="2794">
      <c r="A2794" s="13">
        <v>7172025.0</v>
      </c>
      <c r="B2794" s="4">
        <v>379.0</v>
      </c>
      <c r="C2794" s="13">
        <v>92.0</v>
      </c>
      <c r="D2794" s="13">
        <v>14.0</v>
      </c>
      <c r="E2794" s="13">
        <v>71.0</v>
      </c>
    </row>
    <row r="2795">
      <c r="A2795" s="13">
        <v>7174035.0</v>
      </c>
      <c r="B2795" s="4">
        <v>372.0</v>
      </c>
      <c r="C2795" s="13">
        <v>245.0</v>
      </c>
      <c r="D2795" s="13">
        <v>33.0</v>
      </c>
      <c r="E2795" s="13">
        <v>769.0</v>
      </c>
    </row>
    <row r="2796">
      <c r="A2796" s="13">
        <v>7174004.0</v>
      </c>
      <c r="B2796" s="4">
        <v>372.0</v>
      </c>
      <c r="C2796" s="13">
        <v>38.0</v>
      </c>
      <c r="D2796" s="13">
        <v>17.0</v>
      </c>
      <c r="E2796" s="13">
        <v>68.0</v>
      </c>
    </row>
    <row r="2797">
      <c r="A2797" s="13">
        <v>7107014.0</v>
      </c>
      <c r="B2797" s="4">
        <v>377.0</v>
      </c>
      <c r="C2797" s="13">
        <v>70.0</v>
      </c>
      <c r="D2797" s="13">
        <v>24.0</v>
      </c>
      <c r="E2797" s="13">
        <v>182.0</v>
      </c>
    </row>
    <row r="2798">
      <c r="A2798" s="13">
        <v>7171098.0</v>
      </c>
      <c r="B2798" s="4">
        <v>373.0</v>
      </c>
      <c r="C2798" s="13">
        <v>58.0</v>
      </c>
      <c r="D2798" s="13">
        <v>10.0</v>
      </c>
      <c r="E2798" s="13">
        <v>182.0</v>
      </c>
    </row>
    <row r="2799">
      <c r="A2799" s="13">
        <v>7171024.0</v>
      </c>
      <c r="B2799" s="4">
        <v>373.0</v>
      </c>
      <c r="C2799" s="13">
        <v>198.0</v>
      </c>
      <c r="D2799" s="13">
        <v>32.0</v>
      </c>
      <c r="E2799" s="13">
        <v>466.0</v>
      </c>
    </row>
    <row r="2800">
      <c r="A2800" s="13">
        <v>7101013.0</v>
      </c>
      <c r="B2800" s="4">
        <v>384.0</v>
      </c>
      <c r="C2800" s="13">
        <v>100.0</v>
      </c>
      <c r="D2800" s="13">
        <v>33.0</v>
      </c>
      <c r="E2800" s="13">
        <v>221.0</v>
      </c>
    </row>
    <row r="2801">
      <c r="A2801" s="13">
        <v>7102095.0</v>
      </c>
      <c r="B2801" s="4">
        <v>374.0</v>
      </c>
      <c r="C2801" s="13">
        <v>103.0</v>
      </c>
      <c r="D2801" s="13">
        <v>19.0</v>
      </c>
      <c r="E2801" s="13">
        <v>45.0</v>
      </c>
    </row>
    <row r="2802">
      <c r="A2802" s="13">
        <v>7171102.0</v>
      </c>
      <c r="B2802" s="4">
        <v>373.0</v>
      </c>
      <c r="C2802" s="13">
        <v>247.0</v>
      </c>
      <c r="D2802" s="13">
        <v>30.0</v>
      </c>
      <c r="E2802" s="13">
        <v>157.0</v>
      </c>
    </row>
    <row r="2803">
      <c r="A2803" s="13">
        <v>7171099.0</v>
      </c>
      <c r="B2803" s="4">
        <v>373.0</v>
      </c>
      <c r="C2803" s="13">
        <v>200.0</v>
      </c>
      <c r="D2803" s="13">
        <v>98.0</v>
      </c>
      <c r="E2803" s="13">
        <v>510.0</v>
      </c>
    </row>
    <row r="2804">
      <c r="A2804" s="13">
        <v>7171050.0</v>
      </c>
      <c r="B2804" s="4">
        <v>373.0</v>
      </c>
      <c r="C2804" s="13">
        <v>163.0</v>
      </c>
      <c r="D2804" s="13">
        <v>27.0</v>
      </c>
      <c r="E2804" s="13">
        <v>527.0</v>
      </c>
    </row>
    <row r="2805">
      <c r="A2805" s="13">
        <v>7104038.0</v>
      </c>
      <c r="B2805" s="4">
        <v>383.0</v>
      </c>
      <c r="C2805" s="13">
        <v>118.0</v>
      </c>
      <c r="D2805" s="13">
        <v>24.0</v>
      </c>
      <c r="E2805" s="13">
        <v>343.0</v>
      </c>
    </row>
    <row r="2806">
      <c r="A2806" s="13">
        <v>7102014.0</v>
      </c>
      <c r="B2806" s="4">
        <v>370.0</v>
      </c>
      <c r="C2806" s="13">
        <v>151.0</v>
      </c>
      <c r="D2806" s="13">
        <v>38.0</v>
      </c>
      <c r="E2806" s="13">
        <v>55.0</v>
      </c>
    </row>
    <row r="2807">
      <c r="A2807" s="13">
        <v>7201012.0</v>
      </c>
      <c r="B2807" s="4">
        <v>385.0</v>
      </c>
      <c r="C2807" s="13">
        <v>125.0</v>
      </c>
      <c r="D2807" s="13">
        <v>18.0</v>
      </c>
      <c r="E2807" s="13">
        <v>286.0</v>
      </c>
    </row>
    <row r="2808">
      <c r="A2808" s="13">
        <v>7204010.0</v>
      </c>
      <c r="B2808" s="4">
        <v>386.0</v>
      </c>
      <c r="C2808" s="13">
        <v>180.0</v>
      </c>
      <c r="D2808" s="13">
        <v>91.0</v>
      </c>
      <c r="E2808" s="13">
        <v>610.0</v>
      </c>
    </row>
    <row r="2809">
      <c r="A2809" s="13">
        <v>7201014.0</v>
      </c>
      <c r="B2809" s="4">
        <v>385.0</v>
      </c>
      <c r="C2809" s="13">
        <v>24.0</v>
      </c>
      <c r="D2809" s="13">
        <v>11.0</v>
      </c>
      <c r="E2809" s="13">
        <v>17.0</v>
      </c>
    </row>
    <row r="2810">
      <c r="A2810" s="13">
        <v>7271025.0</v>
      </c>
      <c r="B2810" s="4">
        <v>387.0</v>
      </c>
      <c r="C2810" s="13">
        <v>116.0</v>
      </c>
      <c r="D2810" s="13">
        <v>35.0</v>
      </c>
      <c r="E2810" s="13">
        <v>228.0</v>
      </c>
    </row>
    <row r="2811">
      <c r="A2811" s="13">
        <v>7209032.0</v>
      </c>
      <c r="B2811" s="4">
        <v>388.0</v>
      </c>
      <c r="C2811" s="13">
        <v>177.0</v>
      </c>
      <c r="D2811" s="13">
        <v>51.0</v>
      </c>
      <c r="E2811" s="13">
        <v>579.0</v>
      </c>
    </row>
    <row r="2812">
      <c r="A2812" s="13">
        <v>7271040.0</v>
      </c>
      <c r="B2812" s="4">
        <v>387.0</v>
      </c>
      <c r="C2812" s="13">
        <v>135.0</v>
      </c>
      <c r="D2812" s="13">
        <v>126.0</v>
      </c>
      <c r="E2812" s="13">
        <v>192.0</v>
      </c>
    </row>
    <row r="2813">
      <c r="A2813" s="13">
        <v>7208011.0</v>
      </c>
      <c r="B2813" s="4">
        <v>389.0</v>
      </c>
      <c r="C2813" s="13">
        <v>173.0</v>
      </c>
      <c r="D2813" s="13">
        <v>34.0</v>
      </c>
      <c r="E2813" s="13">
        <v>761.0</v>
      </c>
    </row>
    <row r="2814">
      <c r="A2814" s="13">
        <v>7208013.0</v>
      </c>
      <c r="B2814" s="4">
        <v>389.0</v>
      </c>
      <c r="C2814" s="13">
        <v>101.0</v>
      </c>
      <c r="D2814" s="13">
        <v>17.0</v>
      </c>
      <c r="E2814" s="13">
        <v>247.0</v>
      </c>
    </row>
    <row r="2815">
      <c r="A2815" s="13">
        <v>7271130.0</v>
      </c>
      <c r="B2815" s="4">
        <v>387.0</v>
      </c>
      <c r="C2815" s="13">
        <v>75.0</v>
      </c>
      <c r="D2815" s="13">
        <v>12.0</v>
      </c>
      <c r="E2815" s="13">
        <v>100.0</v>
      </c>
    </row>
    <row r="2816">
      <c r="A2816" s="13">
        <v>7205024.0</v>
      </c>
      <c r="B2816" s="4">
        <v>390.0</v>
      </c>
      <c r="C2816" s="13">
        <v>68.0</v>
      </c>
      <c r="D2816" s="13">
        <v>20.0</v>
      </c>
      <c r="E2816" s="13">
        <v>63.0</v>
      </c>
    </row>
    <row r="2817">
      <c r="A2817" s="13">
        <v>7271095.0</v>
      </c>
      <c r="B2817" s="4">
        <v>387.0</v>
      </c>
      <c r="C2817" s="13">
        <v>132.0</v>
      </c>
      <c r="D2817" s="13">
        <v>53.0</v>
      </c>
      <c r="E2817" s="13">
        <v>190.0</v>
      </c>
    </row>
    <row r="2818">
      <c r="A2818" s="13">
        <v>7201011.0</v>
      </c>
      <c r="B2818" s="4">
        <v>391.0</v>
      </c>
      <c r="C2818" s="13">
        <v>125.0</v>
      </c>
      <c r="D2818" s="13">
        <v>24.0</v>
      </c>
      <c r="E2818" s="13">
        <v>381.0</v>
      </c>
    </row>
    <row r="2819">
      <c r="A2819" s="13">
        <v>7212011.0</v>
      </c>
      <c r="B2819" s="4">
        <v>392.0</v>
      </c>
      <c r="C2819" s="13">
        <v>36.0</v>
      </c>
      <c r="D2819" s="13">
        <v>13.0</v>
      </c>
      <c r="E2819" s="13">
        <v>182.0</v>
      </c>
    </row>
    <row r="2820">
      <c r="A2820" s="13">
        <v>7206012.0</v>
      </c>
      <c r="B2820" s="4">
        <v>393.0</v>
      </c>
      <c r="C2820" s="13">
        <v>291.0</v>
      </c>
      <c r="D2820" s="13">
        <v>36.0</v>
      </c>
      <c r="E2820" s="13">
        <v>869.0</v>
      </c>
    </row>
    <row r="2821">
      <c r="A2821" s="13">
        <v>7203016.0</v>
      </c>
      <c r="B2821" s="4">
        <v>394.0</v>
      </c>
      <c r="C2821" s="13">
        <v>246.0</v>
      </c>
      <c r="D2821" s="13">
        <v>64.0</v>
      </c>
      <c r="E2821" s="13">
        <v>705.0</v>
      </c>
    </row>
    <row r="2822">
      <c r="A2822" s="13">
        <v>7209004.0</v>
      </c>
      <c r="B2822" s="4">
        <v>388.0</v>
      </c>
      <c r="C2822" s="13">
        <v>20.0</v>
      </c>
      <c r="D2822" s="13">
        <v>7.0</v>
      </c>
      <c r="E2822" s="13">
        <v>5.0</v>
      </c>
    </row>
    <row r="2823">
      <c r="A2823" s="13">
        <v>7208012.0</v>
      </c>
      <c r="B2823" s="4">
        <v>389.0</v>
      </c>
      <c r="C2823" s="13">
        <v>86.0</v>
      </c>
      <c r="D2823" s="13">
        <v>14.0</v>
      </c>
      <c r="E2823" s="13">
        <v>107.0</v>
      </c>
    </row>
    <row r="2824">
      <c r="A2824" s="13">
        <v>7204044.0</v>
      </c>
      <c r="B2824" s="4">
        <v>386.0</v>
      </c>
      <c r="C2824" s="13">
        <v>59.0</v>
      </c>
      <c r="D2824" s="13">
        <v>24.0</v>
      </c>
      <c r="E2824" s="13">
        <v>7.0</v>
      </c>
    </row>
    <row r="2825">
      <c r="A2825" s="13">
        <v>7208115.0</v>
      </c>
      <c r="B2825" s="4">
        <v>389.0</v>
      </c>
      <c r="C2825" s="13">
        <v>62.0</v>
      </c>
      <c r="D2825" s="13">
        <v>16.0</v>
      </c>
      <c r="E2825" s="13">
        <v>129.0</v>
      </c>
    </row>
    <row r="2826">
      <c r="A2826" s="13">
        <v>7271014.0</v>
      </c>
      <c r="B2826" s="4">
        <v>387.0</v>
      </c>
      <c r="C2826" s="13">
        <v>397.0</v>
      </c>
      <c r="D2826" s="13">
        <v>115.0</v>
      </c>
      <c r="E2826" s="13">
        <v>1014.0</v>
      </c>
    </row>
    <row r="2827">
      <c r="A2827" s="13">
        <v>7203018.0</v>
      </c>
      <c r="B2827" s="4">
        <v>394.0</v>
      </c>
      <c r="C2827" s="13">
        <v>51.0</v>
      </c>
      <c r="D2827" s="13">
        <v>25.0</v>
      </c>
      <c r="E2827" s="13">
        <v>145.0</v>
      </c>
    </row>
    <row r="2828">
      <c r="A2828" s="13">
        <v>7204021.0</v>
      </c>
      <c r="B2828" s="4">
        <v>392.0</v>
      </c>
      <c r="C2828" s="13">
        <v>182.0</v>
      </c>
      <c r="D2828" s="13">
        <v>56.0</v>
      </c>
      <c r="E2828" s="13">
        <v>302.0</v>
      </c>
    </row>
    <row r="2829">
      <c r="A2829" s="13">
        <v>7210002.0</v>
      </c>
      <c r="B2829" s="4">
        <v>395.0</v>
      </c>
      <c r="C2829" s="13">
        <v>209.0</v>
      </c>
      <c r="D2829" s="13">
        <v>28.0</v>
      </c>
      <c r="E2829" s="13">
        <v>277.0</v>
      </c>
    </row>
    <row r="2830">
      <c r="A2830" s="13">
        <v>7206014.0</v>
      </c>
      <c r="B2830" s="4">
        <v>393.0</v>
      </c>
      <c r="C2830" s="13">
        <v>56.0</v>
      </c>
      <c r="D2830" s="13">
        <v>17.0</v>
      </c>
      <c r="E2830" s="13">
        <v>123.0</v>
      </c>
    </row>
    <row r="2831">
      <c r="A2831" s="13">
        <v>7271036.0</v>
      </c>
      <c r="B2831" s="4">
        <v>387.0</v>
      </c>
      <c r="C2831" s="13">
        <v>357.0</v>
      </c>
      <c r="D2831" s="13">
        <v>69.0</v>
      </c>
      <c r="E2831" s="13">
        <v>1439.0</v>
      </c>
    </row>
    <row r="2832">
      <c r="A2832" s="13">
        <v>7271131.0</v>
      </c>
      <c r="B2832" s="4">
        <v>387.0</v>
      </c>
      <c r="C2832" s="13">
        <v>28.0</v>
      </c>
      <c r="D2832" s="13">
        <v>7.0</v>
      </c>
      <c r="E2832" s="13">
        <v>29.0</v>
      </c>
    </row>
    <row r="2833">
      <c r="A2833" s="13">
        <v>7204043.0</v>
      </c>
      <c r="B2833" s="4">
        <v>386.0</v>
      </c>
      <c r="C2833" s="13">
        <v>62.0</v>
      </c>
      <c r="D2833" s="13">
        <v>21.0</v>
      </c>
      <c r="E2833" s="13">
        <v>125.0</v>
      </c>
    </row>
    <row r="2834">
      <c r="A2834" s="13">
        <v>7202016.0</v>
      </c>
      <c r="B2834" s="4">
        <v>396.0</v>
      </c>
      <c r="C2834" s="13">
        <v>27.0</v>
      </c>
      <c r="D2834" s="13">
        <v>5.0</v>
      </c>
      <c r="E2834" s="13">
        <v>45.0</v>
      </c>
    </row>
    <row r="2835">
      <c r="A2835" s="13">
        <v>7271051.0</v>
      </c>
      <c r="B2835" s="4">
        <v>387.0</v>
      </c>
      <c r="C2835" s="13">
        <v>226.0</v>
      </c>
      <c r="D2835" s="13">
        <v>28.0</v>
      </c>
      <c r="E2835" s="13">
        <v>303.0</v>
      </c>
    </row>
    <row r="2836">
      <c r="A2836" s="13">
        <v>7271128.0</v>
      </c>
      <c r="B2836" s="4">
        <v>387.0</v>
      </c>
      <c r="C2836" s="13">
        <v>100.0</v>
      </c>
      <c r="D2836" s="13">
        <v>38.0</v>
      </c>
      <c r="E2836" s="13">
        <v>98.0</v>
      </c>
    </row>
    <row r="2837">
      <c r="A2837" s="13">
        <v>7202017.0</v>
      </c>
      <c r="B2837" s="4">
        <v>396.0</v>
      </c>
      <c r="C2837" s="13">
        <v>55.0</v>
      </c>
      <c r="D2837" s="13">
        <v>21.0</v>
      </c>
      <c r="E2837" s="13">
        <v>45.0</v>
      </c>
    </row>
    <row r="2838">
      <c r="A2838" s="13">
        <v>7205022.0</v>
      </c>
      <c r="B2838" s="4">
        <v>390.0</v>
      </c>
      <c r="C2838" s="13">
        <v>129.0</v>
      </c>
      <c r="D2838" s="13">
        <v>25.0</v>
      </c>
      <c r="E2838" s="13">
        <v>272.0</v>
      </c>
    </row>
    <row r="2839">
      <c r="A2839" s="13">
        <v>7202015.0</v>
      </c>
      <c r="B2839" s="4">
        <v>396.0</v>
      </c>
      <c r="C2839" s="13">
        <v>311.0</v>
      </c>
      <c r="D2839" s="13">
        <v>35.0</v>
      </c>
      <c r="E2839" s="13">
        <v>266.0</v>
      </c>
    </row>
    <row r="2840">
      <c r="A2840" s="13">
        <v>7271132.0</v>
      </c>
      <c r="B2840" s="4">
        <v>387.0</v>
      </c>
      <c r="C2840" s="13">
        <v>110.0</v>
      </c>
      <c r="D2840" s="13">
        <v>63.0</v>
      </c>
      <c r="E2840" s="13">
        <v>132.0</v>
      </c>
    </row>
    <row r="2841">
      <c r="A2841" s="13">
        <v>7209002.0</v>
      </c>
      <c r="B2841" s="4">
        <v>388.0</v>
      </c>
      <c r="C2841" s="13">
        <v>72.0</v>
      </c>
      <c r="D2841" s="13">
        <v>14.0</v>
      </c>
      <c r="E2841" s="13">
        <v>110.0</v>
      </c>
    </row>
    <row r="2842">
      <c r="A2842" s="13">
        <v>7271116.0</v>
      </c>
      <c r="B2842" s="4">
        <v>387.0</v>
      </c>
      <c r="C2842" s="13">
        <v>32.0</v>
      </c>
      <c r="D2842" s="13">
        <v>13.0</v>
      </c>
      <c r="E2842" s="13">
        <v>21.0</v>
      </c>
    </row>
    <row r="2843">
      <c r="A2843" s="13">
        <v>7271127.0</v>
      </c>
      <c r="B2843" s="4">
        <v>387.0</v>
      </c>
      <c r="C2843" s="13">
        <v>114.0</v>
      </c>
      <c r="D2843" s="13">
        <v>36.0</v>
      </c>
      <c r="E2843" s="13">
        <v>214.0</v>
      </c>
    </row>
    <row r="2844">
      <c r="A2844" s="13">
        <v>7271133.0</v>
      </c>
      <c r="B2844" s="4">
        <v>387.0</v>
      </c>
      <c r="C2844" s="13">
        <v>2.0</v>
      </c>
      <c r="D2844" s="13">
        <v>16.0</v>
      </c>
      <c r="E2844" s="13">
        <v>108.0</v>
      </c>
    </row>
    <row r="2845">
      <c r="A2845" s="13">
        <v>7207013.0</v>
      </c>
      <c r="B2845" s="4">
        <v>397.0</v>
      </c>
      <c r="C2845" s="13">
        <v>223.0</v>
      </c>
      <c r="D2845" s="13">
        <v>38.0</v>
      </c>
      <c r="E2845" s="13">
        <v>391.0</v>
      </c>
    </row>
    <row r="2846">
      <c r="A2846" s="13">
        <v>7316015.0</v>
      </c>
      <c r="B2846" s="4">
        <v>398.0</v>
      </c>
      <c r="C2846" s="13">
        <v>119.0</v>
      </c>
      <c r="D2846" s="13">
        <v>31.0</v>
      </c>
      <c r="E2846" s="13">
        <v>567.0</v>
      </c>
    </row>
    <row r="2847">
      <c r="A2847" s="13">
        <v>7371191.0</v>
      </c>
      <c r="B2847" s="4">
        <v>399.0</v>
      </c>
      <c r="C2847" s="13">
        <v>75.0</v>
      </c>
      <c r="D2847" s="13">
        <v>20.0</v>
      </c>
      <c r="E2847" s="13">
        <v>167.0</v>
      </c>
    </row>
    <row r="2848">
      <c r="A2848" s="13">
        <v>7373003.0</v>
      </c>
      <c r="B2848" s="4">
        <v>400.0</v>
      </c>
      <c r="C2848" s="13">
        <v>101.0</v>
      </c>
      <c r="D2848" s="13">
        <v>17.0</v>
      </c>
      <c r="E2848" s="13">
        <v>182.0</v>
      </c>
    </row>
    <row r="2849">
      <c r="A2849" s="13">
        <v>7371433.0</v>
      </c>
      <c r="B2849" s="4">
        <v>399.0</v>
      </c>
      <c r="C2849" s="13">
        <v>10.0</v>
      </c>
      <c r="D2849" s="13">
        <v>21.0</v>
      </c>
      <c r="E2849" s="13">
        <v>97.0</v>
      </c>
    </row>
    <row r="2850">
      <c r="A2850" s="13">
        <v>7371014.0</v>
      </c>
      <c r="B2850" s="4">
        <v>399.0</v>
      </c>
      <c r="C2850" s="13">
        <v>127.0</v>
      </c>
      <c r="D2850" s="13">
        <v>19.0</v>
      </c>
      <c r="E2850" s="13">
        <v>285.0</v>
      </c>
    </row>
    <row r="2851">
      <c r="A2851" s="13">
        <v>7302016.0</v>
      </c>
      <c r="B2851" s="4">
        <v>401.0</v>
      </c>
      <c r="C2851" s="13">
        <v>255.0</v>
      </c>
      <c r="D2851" s="13">
        <v>33.0</v>
      </c>
      <c r="E2851" s="13">
        <v>827.0</v>
      </c>
    </row>
    <row r="2852">
      <c r="A2852" s="13">
        <v>7373008.0</v>
      </c>
      <c r="B2852" s="4">
        <v>400.0</v>
      </c>
      <c r="C2852" s="13">
        <v>148.0</v>
      </c>
      <c r="D2852" s="13">
        <v>27.0</v>
      </c>
      <c r="E2852" s="13">
        <v>120.0</v>
      </c>
    </row>
    <row r="2853">
      <c r="A2853" s="13">
        <v>7371436.0</v>
      </c>
      <c r="B2853" s="4">
        <v>399.0</v>
      </c>
      <c r="C2853" s="13">
        <v>15.0</v>
      </c>
      <c r="D2853" s="13">
        <v>17.0</v>
      </c>
      <c r="E2853" s="13">
        <v>80.0</v>
      </c>
    </row>
    <row r="2854">
      <c r="A2854" s="13">
        <v>7308070.0</v>
      </c>
      <c r="B2854" s="4">
        <v>402.0</v>
      </c>
      <c r="C2854" s="13">
        <v>103.0</v>
      </c>
      <c r="D2854" s="13">
        <v>25.0</v>
      </c>
      <c r="E2854" s="13">
        <v>182.0</v>
      </c>
    </row>
    <row r="2855">
      <c r="A2855" s="13">
        <v>7371418.0</v>
      </c>
      <c r="B2855" s="4">
        <v>399.0</v>
      </c>
      <c r="C2855" s="13">
        <v>34.0</v>
      </c>
      <c r="D2855" s="13">
        <v>16.0</v>
      </c>
      <c r="E2855" s="13">
        <v>48.0</v>
      </c>
    </row>
    <row r="2856">
      <c r="A2856" s="13">
        <v>7308071.0</v>
      </c>
      <c r="B2856" s="4">
        <v>402.0</v>
      </c>
      <c r="C2856" s="13">
        <v>105.0</v>
      </c>
      <c r="D2856" s="13">
        <v>31.0</v>
      </c>
      <c r="E2856" s="13">
        <v>182.0</v>
      </c>
    </row>
    <row r="2857">
      <c r="A2857" s="13">
        <v>7371030.0</v>
      </c>
      <c r="B2857" s="4">
        <v>399.0</v>
      </c>
      <c r="C2857" s="13">
        <v>319.0</v>
      </c>
      <c r="D2857" s="13">
        <v>93.0</v>
      </c>
      <c r="E2857" s="13">
        <v>534.0</v>
      </c>
    </row>
    <row r="2858">
      <c r="A2858" s="13">
        <v>7371413.0</v>
      </c>
      <c r="B2858" s="4">
        <v>399.0</v>
      </c>
      <c r="C2858" s="13">
        <v>33.0</v>
      </c>
      <c r="D2858" s="13">
        <v>15.0</v>
      </c>
      <c r="E2858" s="13">
        <v>73.0</v>
      </c>
    </row>
    <row r="2859">
      <c r="A2859" s="13">
        <v>7373007.0</v>
      </c>
      <c r="B2859" s="4">
        <v>400.0</v>
      </c>
      <c r="C2859" s="13">
        <v>100.0</v>
      </c>
      <c r="D2859" s="13">
        <v>22.0</v>
      </c>
      <c r="E2859" s="13">
        <v>118.0</v>
      </c>
    </row>
    <row r="2860">
      <c r="A2860" s="13">
        <v>7371373.0</v>
      </c>
      <c r="B2860" s="4">
        <v>399.0</v>
      </c>
      <c r="C2860" s="13">
        <v>209.0</v>
      </c>
      <c r="D2860" s="13">
        <v>43.0</v>
      </c>
      <c r="E2860" s="13">
        <v>504.0</v>
      </c>
    </row>
    <row r="2861">
      <c r="A2861" s="13">
        <v>7310021.0</v>
      </c>
      <c r="B2861" s="4">
        <v>403.0</v>
      </c>
      <c r="C2861" s="13">
        <v>50.0</v>
      </c>
      <c r="D2861" s="13">
        <v>15.0</v>
      </c>
      <c r="E2861" s="13">
        <v>109.0</v>
      </c>
    </row>
    <row r="2862">
      <c r="A2862" s="13">
        <v>7301017.0</v>
      </c>
      <c r="B2862" s="4">
        <v>404.0</v>
      </c>
      <c r="C2862" s="13">
        <v>45.0</v>
      </c>
      <c r="D2862" s="13">
        <v>7.0</v>
      </c>
      <c r="E2862" s="13">
        <v>13.0</v>
      </c>
    </row>
    <row r="2863">
      <c r="A2863" s="13">
        <v>7310016.0</v>
      </c>
      <c r="B2863" s="4">
        <v>403.0</v>
      </c>
      <c r="C2863" s="13">
        <v>200.0</v>
      </c>
      <c r="D2863" s="13">
        <v>39.0</v>
      </c>
      <c r="E2863" s="13">
        <v>365.0</v>
      </c>
    </row>
    <row r="2864">
      <c r="A2864" s="13">
        <v>7317020.0</v>
      </c>
      <c r="B2864" s="4">
        <v>405.0</v>
      </c>
      <c r="C2864" s="13">
        <v>86.0</v>
      </c>
      <c r="D2864" s="13">
        <v>35.0</v>
      </c>
      <c r="E2864" s="13">
        <v>277.0</v>
      </c>
    </row>
    <row r="2865">
      <c r="A2865" s="13">
        <v>7372078.0</v>
      </c>
      <c r="B2865" s="4">
        <v>406.0</v>
      </c>
      <c r="C2865" s="13">
        <v>214.0</v>
      </c>
      <c r="D2865" s="13">
        <v>35.0</v>
      </c>
      <c r="E2865" s="13">
        <v>52.0</v>
      </c>
    </row>
    <row r="2866">
      <c r="A2866" s="13">
        <v>7371256.0</v>
      </c>
      <c r="B2866" s="4">
        <v>399.0</v>
      </c>
      <c r="C2866" s="13">
        <v>80.0</v>
      </c>
      <c r="D2866" s="13">
        <v>21.0</v>
      </c>
      <c r="E2866" s="13">
        <v>234.0</v>
      </c>
    </row>
    <row r="2867">
      <c r="A2867" s="13">
        <v>7305026.0</v>
      </c>
      <c r="B2867" s="4">
        <v>407.0</v>
      </c>
      <c r="C2867" s="13">
        <v>116.0</v>
      </c>
      <c r="D2867" s="13">
        <v>37.0</v>
      </c>
      <c r="E2867" s="13">
        <v>182.0</v>
      </c>
    </row>
    <row r="2868">
      <c r="A2868" s="13">
        <v>7308059.0</v>
      </c>
      <c r="B2868" s="4">
        <v>402.0</v>
      </c>
      <c r="C2868" s="13">
        <v>107.0</v>
      </c>
      <c r="D2868" s="13">
        <v>25.0</v>
      </c>
      <c r="E2868" s="13">
        <v>349.0</v>
      </c>
    </row>
    <row r="2869">
      <c r="A2869" s="13">
        <v>7305013.0</v>
      </c>
      <c r="B2869" s="4">
        <v>407.0</v>
      </c>
      <c r="C2869" s="13">
        <v>126.0</v>
      </c>
      <c r="D2869" s="13">
        <v>26.0</v>
      </c>
      <c r="E2869" s="13">
        <v>138.0</v>
      </c>
    </row>
    <row r="2870">
      <c r="A2870" s="13">
        <v>7305014.0</v>
      </c>
      <c r="B2870" s="4">
        <v>407.0</v>
      </c>
      <c r="C2870" s="13">
        <v>14.0</v>
      </c>
      <c r="D2870" s="13">
        <v>13.0</v>
      </c>
      <c r="E2870" s="13">
        <v>25.0</v>
      </c>
    </row>
    <row r="2871">
      <c r="A2871" s="13">
        <v>7371448.0</v>
      </c>
      <c r="B2871" s="4">
        <v>399.0</v>
      </c>
      <c r="C2871" s="13">
        <v>58.0</v>
      </c>
      <c r="D2871" s="13">
        <v>25.0</v>
      </c>
      <c r="E2871" s="13">
        <v>182.0</v>
      </c>
    </row>
    <row r="2872">
      <c r="A2872" s="13">
        <v>7304011.0</v>
      </c>
      <c r="B2872" s="4">
        <v>408.0</v>
      </c>
      <c r="C2872" s="13">
        <v>229.0</v>
      </c>
      <c r="D2872" s="13">
        <v>50.0</v>
      </c>
      <c r="E2872" s="13">
        <v>1036.0</v>
      </c>
    </row>
    <row r="2873">
      <c r="A2873" s="13">
        <v>7317075.0</v>
      </c>
      <c r="B2873" s="4">
        <v>409.0</v>
      </c>
      <c r="C2873" s="13">
        <v>270.0</v>
      </c>
      <c r="D2873" s="13">
        <v>37.0</v>
      </c>
      <c r="E2873" s="13">
        <v>221.0</v>
      </c>
    </row>
    <row r="2874">
      <c r="A2874" s="13">
        <v>7371449.0</v>
      </c>
      <c r="B2874" s="4">
        <v>399.0</v>
      </c>
      <c r="C2874" s="13">
        <v>87.0</v>
      </c>
      <c r="D2874" s="13">
        <v>52.0</v>
      </c>
      <c r="E2874" s="13">
        <v>182.0</v>
      </c>
    </row>
    <row r="2875">
      <c r="A2875" s="13">
        <v>7371052.0</v>
      </c>
      <c r="B2875" s="4">
        <v>399.0</v>
      </c>
      <c r="C2875" s="13">
        <v>203.0</v>
      </c>
      <c r="D2875" s="13">
        <v>94.0</v>
      </c>
      <c r="E2875" s="13">
        <v>502.0</v>
      </c>
    </row>
    <row r="2876">
      <c r="A2876" s="13">
        <v>7371399.0</v>
      </c>
      <c r="B2876" s="4">
        <v>399.0</v>
      </c>
      <c r="C2876" s="13">
        <v>208.0</v>
      </c>
      <c r="D2876" s="13">
        <v>90.0</v>
      </c>
      <c r="E2876" s="13">
        <v>696.0</v>
      </c>
    </row>
    <row r="2877">
      <c r="A2877" s="13">
        <v>7372020.0</v>
      </c>
      <c r="B2877" s="4">
        <v>406.0</v>
      </c>
      <c r="C2877" s="13">
        <v>198.0</v>
      </c>
      <c r="D2877" s="13">
        <v>38.0</v>
      </c>
      <c r="E2877" s="13">
        <v>302.0</v>
      </c>
    </row>
    <row r="2878">
      <c r="A2878" s="13">
        <v>7322004.0</v>
      </c>
      <c r="B2878" s="4">
        <v>410.0</v>
      </c>
      <c r="C2878" s="13">
        <v>128.0</v>
      </c>
      <c r="D2878" s="13">
        <v>18.0</v>
      </c>
      <c r="E2878" s="13">
        <v>38.0</v>
      </c>
    </row>
    <row r="2879">
      <c r="A2879" s="13">
        <v>7312011.0</v>
      </c>
      <c r="B2879" s="4">
        <v>411.0</v>
      </c>
      <c r="C2879" s="13">
        <v>264.0</v>
      </c>
      <c r="D2879" s="13">
        <v>101.0</v>
      </c>
      <c r="E2879" s="13">
        <v>910.0</v>
      </c>
    </row>
    <row r="2880">
      <c r="A2880" s="13">
        <v>7373064.0</v>
      </c>
      <c r="B2880" s="4">
        <v>400.0</v>
      </c>
      <c r="C2880" s="13">
        <v>180.0</v>
      </c>
      <c r="D2880" s="13">
        <v>49.0</v>
      </c>
      <c r="E2880" s="13">
        <v>178.0</v>
      </c>
    </row>
    <row r="2881">
      <c r="A2881" s="13">
        <v>7371432.0</v>
      </c>
      <c r="B2881" s="4">
        <v>399.0</v>
      </c>
      <c r="C2881" s="13">
        <v>57.0</v>
      </c>
      <c r="D2881" s="13">
        <v>45.0</v>
      </c>
      <c r="E2881" s="13">
        <v>18.0</v>
      </c>
    </row>
    <row r="2882">
      <c r="A2882" s="13">
        <v>7371314.0</v>
      </c>
      <c r="B2882" s="4">
        <v>399.0</v>
      </c>
      <c r="C2882" s="13">
        <v>320.0</v>
      </c>
      <c r="D2882" s="13">
        <v>105.0</v>
      </c>
      <c r="E2882" s="13">
        <v>414.0</v>
      </c>
    </row>
    <row r="2883">
      <c r="A2883" s="13">
        <v>7306059.0</v>
      </c>
      <c r="B2883" s="4">
        <v>412.0</v>
      </c>
      <c r="C2883" s="13">
        <v>100.0</v>
      </c>
      <c r="D2883" s="13">
        <v>25.0</v>
      </c>
      <c r="E2883" s="13">
        <v>51.0</v>
      </c>
    </row>
    <row r="2884">
      <c r="A2884" s="13">
        <v>7306046.0</v>
      </c>
      <c r="B2884" s="4">
        <v>412.0</v>
      </c>
      <c r="C2884" s="13">
        <v>235.0</v>
      </c>
      <c r="D2884" s="13">
        <v>42.0</v>
      </c>
      <c r="E2884" s="13">
        <v>489.0</v>
      </c>
    </row>
    <row r="2885">
      <c r="A2885" s="13">
        <v>7371107.0</v>
      </c>
      <c r="B2885" s="4">
        <v>399.0</v>
      </c>
      <c r="C2885" s="13">
        <v>57.0</v>
      </c>
      <c r="D2885" s="13">
        <v>22.0</v>
      </c>
      <c r="E2885" s="13">
        <v>68.0</v>
      </c>
    </row>
    <row r="2886">
      <c r="A2886" s="13">
        <v>7371074.0</v>
      </c>
      <c r="B2886" s="4">
        <v>399.0</v>
      </c>
      <c r="C2886" s="13">
        <v>100.0</v>
      </c>
      <c r="D2886" s="13">
        <v>37.0</v>
      </c>
      <c r="E2886" s="13">
        <v>175.0</v>
      </c>
    </row>
    <row r="2887">
      <c r="A2887" s="13">
        <v>7371412.0</v>
      </c>
      <c r="B2887" s="4">
        <v>399.0</v>
      </c>
      <c r="C2887" s="13">
        <v>163.0</v>
      </c>
      <c r="D2887" s="13">
        <v>112.0</v>
      </c>
      <c r="E2887" s="13">
        <v>143.0</v>
      </c>
    </row>
    <row r="2888">
      <c r="A2888" s="13">
        <v>7372075.0</v>
      </c>
      <c r="B2888" s="4">
        <v>406.0</v>
      </c>
      <c r="C2888" s="13">
        <v>294.0</v>
      </c>
      <c r="D2888" s="13">
        <v>137.0</v>
      </c>
      <c r="E2888" s="13">
        <v>1246.0</v>
      </c>
    </row>
    <row r="2889">
      <c r="A2889" s="13">
        <v>7314013.0</v>
      </c>
      <c r="B2889" s="4">
        <v>413.0</v>
      </c>
      <c r="C2889" s="13">
        <v>192.0</v>
      </c>
      <c r="D2889" s="13">
        <v>34.0</v>
      </c>
      <c r="E2889" s="13">
        <v>623.0</v>
      </c>
    </row>
    <row r="2890">
      <c r="A2890" s="13">
        <v>7371408.0</v>
      </c>
      <c r="B2890" s="4">
        <v>399.0</v>
      </c>
      <c r="C2890" s="13">
        <v>236.0</v>
      </c>
      <c r="D2890" s="13">
        <v>134.0</v>
      </c>
      <c r="E2890" s="13">
        <v>505.0</v>
      </c>
    </row>
    <row r="2891">
      <c r="A2891" s="13">
        <v>7371425.0</v>
      </c>
      <c r="B2891" s="4">
        <v>399.0</v>
      </c>
      <c r="C2891" s="13">
        <v>87.0</v>
      </c>
      <c r="D2891" s="13">
        <v>23.0</v>
      </c>
      <c r="E2891" s="13">
        <v>44.0</v>
      </c>
    </row>
    <row r="2892">
      <c r="A2892" s="13">
        <v>7318054.0</v>
      </c>
      <c r="B2892" s="4">
        <v>414.0</v>
      </c>
      <c r="C2892" s="13">
        <v>200.0</v>
      </c>
      <c r="D2892" s="13">
        <v>105.0</v>
      </c>
      <c r="E2892" s="13">
        <v>499.0</v>
      </c>
    </row>
    <row r="2893">
      <c r="A2893" s="13">
        <v>7371452.0</v>
      </c>
      <c r="B2893" s="4">
        <v>399.0</v>
      </c>
      <c r="C2893" s="13">
        <v>112.0</v>
      </c>
      <c r="D2893" s="13">
        <v>53.0</v>
      </c>
      <c r="E2893" s="13">
        <v>182.0</v>
      </c>
    </row>
    <row r="2894">
      <c r="A2894" s="13">
        <v>7315016.0</v>
      </c>
      <c r="B2894" s="4">
        <v>415.0</v>
      </c>
      <c r="C2894" s="13">
        <v>53.0</v>
      </c>
      <c r="D2894" s="13">
        <v>22.0</v>
      </c>
      <c r="E2894" s="13">
        <v>68.0</v>
      </c>
    </row>
    <row r="2895">
      <c r="A2895" s="13">
        <v>7371340.0</v>
      </c>
      <c r="B2895" s="4">
        <v>399.0</v>
      </c>
      <c r="C2895" s="13">
        <v>269.0</v>
      </c>
      <c r="D2895" s="13">
        <v>108.0</v>
      </c>
      <c r="E2895" s="13">
        <v>506.0</v>
      </c>
    </row>
    <row r="2896">
      <c r="A2896" s="13">
        <v>7371406.0</v>
      </c>
      <c r="B2896" s="4">
        <v>399.0</v>
      </c>
      <c r="C2896" s="13">
        <v>29.0</v>
      </c>
      <c r="D2896" s="13">
        <v>16.0</v>
      </c>
      <c r="E2896" s="13">
        <v>15.0</v>
      </c>
    </row>
    <row r="2897">
      <c r="A2897" s="13">
        <v>7371429.0</v>
      </c>
      <c r="B2897" s="4">
        <v>399.0</v>
      </c>
      <c r="C2897" s="13">
        <v>38.0</v>
      </c>
      <c r="D2897" s="13">
        <v>24.0</v>
      </c>
      <c r="E2897" s="13">
        <v>77.0</v>
      </c>
    </row>
    <row r="2898">
      <c r="A2898" s="13">
        <v>7315018.0</v>
      </c>
      <c r="B2898" s="4">
        <v>415.0</v>
      </c>
      <c r="C2898" s="13">
        <v>83.0</v>
      </c>
      <c r="D2898" s="13">
        <v>24.0</v>
      </c>
      <c r="E2898" s="13">
        <v>86.0</v>
      </c>
    </row>
    <row r="2899">
      <c r="A2899" s="13">
        <v>7371434.0</v>
      </c>
      <c r="B2899" s="4">
        <v>399.0</v>
      </c>
      <c r="C2899" s="13">
        <v>103.0</v>
      </c>
      <c r="D2899" s="13">
        <v>35.0</v>
      </c>
      <c r="E2899" s="13">
        <v>106.0</v>
      </c>
    </row>
    <row r="2900">
      <c r="A2900" s="13">
        <v>7308026.0</v>
      </c>
      <c r="B2900" s="4">
        <v>402.0</v>
      </c>
      <c r="C2900" s="13">
        <v>154.0</v>
      </c>
      <c r="D2900" s="13">
        <v>20.0</v>
      </c>
      <c r="E2900" s="13">
        <v>280.0</v>
      </c>
    </row>
    <row r="2901">
      <c r="A2901" s="13">
        <v>7371180.0</v>
      </c>
      <c r="B2901" s="4">
        <v>399.0</v>
      </c>
      <c r="C2901" s="13">
        <v>38.0</v>
      </c>
      <c r="D2901" s="13">
        <v>23.0</v>
      </c>
      <c r="E2901" s="13">
        <v>117.0</v>
      </c>
    </row>
    <row r="2902">
      <c r="A2902" s="13">
        <v>7326002.0</v>
      </c>
      <c r="B2902" s="4">
        <v>416.0</v>
      </c>
      <c r="C2902" s="13">
        <v>117.0</v>
      </c>
      <c r="D2902" s="13">
        <v>26.0</v>
      </c>
      <c r="E2902" s="13">
        <v>148.0</v>
      </c>
    </row>
    <row r="2903">
      <c r="A2903" s="13">
        <v>7318056.0</v>
      </c>
      <c r="B2903" s="4">
        <v>414.0</v>
      </c>
      <c r="C2903" s="13">
        <v>111.0</v>
      </c>
      <c r="D2903" s="13">
        <v>30.0</v>
      </c>
      <c r="E2903" s="13">
        <v>82.0</v>
      </c>
    </row>
    <row r="2904">
      <c r="A2904" s="13">
        <v>7310032.0</v>
      </c>
      <c r="B2904" s="4">
        <v>403.0</v>
      </c>
      <c r="C2904" s="13">
        <v>24.0</v>
      </c>
      <c r="D2904" s="13">
        <v>6.0</v>
      </c>
      <c r="E2904" s="13">
        <v>182.0</v>
      </c>
    </row>
    <row r="2905">
      <c r="A2905" s="13">
        <v>7301015.0</v>
      </c>
      <c r="B2905" s="4">
        <v>404.0</v>
      </c>
      <c r="C2905" s="13">
        <v>135.0</v>
      </c>
      <c r="D2905" s="13">
        <v>36.0</v>
      </c>
      <c r="E2905" s="13">
        <v>380.0</v>
      </c>
    </row>
    <row r="2906">
      <c r="A2906" s="13">
        <v>7315014.0</v>
      </c>
      <c r="B2906" s="4">
        <v>415.0</v>
      </c>
      <c r="C2906" s="13">
        <v>191.0</v>
      </c>
      <c r="D2906" s="13">
        <v>42.0</v>
      </c>
      <c r="E2906" s="13">
        <v>421.0</v>
      </c>
    </row>
    <row r="2907">
      <c r="A2907" s="13">
        <v>7313023.0</v>
      </c>
      <c r="B2907" s="4">
        <v>417.0</v>
      </c>
      <c r="C2907" s="13">
        <v>102.0</v>
      </c>
      <c r="D2907" s="13">
        <v>18.0</v>
      </c>
      <c r="E2907" s="13">
        <v>117.0</v>
      </c>
    </row>
    <row r="2908">
      <c r="A2908" s="13">
        <v>7371451.0</v>
      </c>
      <c r="B2908" s="4">
        <v>399.0</v>
      </c>
      <c r="C2908" s="13">
        <v>16.0</v>
      </c>
      <c r="D2908" s="13">
        <v>36.0</v>
      </c>
      <c r="E2908" s="13">
        <v>182.0</v>
      </c>
    </row>
    <row r="2909">
      <c r="A2909" s="13">
        <v>7371336.0</v>
      </c>
      <c r="B2909" s="4">
        <v>399.0</v>
      </c>
      <c r="C2909" s="13">
        <v>100.0</v>
      </c>
      <c r="D2909" s="13">
        <v>78.0</v>
      </c>
      <c r="E2909" s="13">
        <v>137.0</v>
      </c>
    </row>
    <row r="2910">
      <c r="A2910" s="13">
        <v>7371450.0</v>
      </c>
      <c r="B2910" s="4">
        <v>399.0</v>
      </c>
      <c r="C2910" s="13">
        <v>102.0</v>
      </c>
      <c r="D2910" s="13">
        <v>18.0</v>
      </c>
      <c r="E2910" s="13">
        <v>182.0</v>
      </c>
    </row>
    <row r="2911">
      <c r="A2911" s="13">
        <v>7371026.0</v>
      </c>
      <c r="B2911" s="4">
        <v>399.0</v>
      </c>
      <c r="C2911" s="13">
        <v>224.0</v>
      </c>
      <c r="D2911" s="13">
        <v>105.0</v>
      </c>
      <c r="E2911" s="13">
        <v>666.0</v>
      </c>
    </row>
    <row r="2912">
      <c r="A2912" s="13">
        <v>7373005.0</v>
      </c>
      <c r="B2912" s="4">
        <v>400.0</v>
      </c>
      <c r="C2912" s="13">
        <v>106.0</v>
      </c>
      <c r="D2912" s="13">
        <v>29.0</v>
      </c>
      <c r="E2912" s="13">
        <v>145.0</v>
      </c>
    </row>
    <row r="2913">
      <c r="A2913" s="13">
        <v>7371362.0</v>
      </c>
      <c r="B2913" s="4">
        <v>399.0</v>
      </c>
      <c r="C2913" s="13">
        <v>207.0</v>
      </c>
      <c r="D2913" s="13">
        <v>42.0</v>
      </c>
      <c r="E2913" s="13">
        <v>527.0</v>
      </c>
    </row>
    <row r="2914">
      <c r="A2914" s="13">
        <v>7371400.0</v>
      </c>
      <c r="B2914" s="4">
        <v>399.0</v>
      </c>
      <c r="C2914" s="13">
        <v>51.0</v>
      </c>
      <c r="D2914" s="13">
        <v>27.0</v>
      </c>
      <c r="E2914" s="13">
        <v>84.0</v>
      </c>
    </row>
    <row r="2915">
      <c r="A2915" s="13">
        <v>7371427.0</v>
      </c>
      <c r="B2915" s="4">
        <v>399.0</v>
      </c>
      <c r="C2915" s="13">
        <v>10.0</v>
      </c>
      <c r="D2915" s="13">
        <v>18.0</v>
      </c>
      <c r="E2915" s="13">
        <v>87.0</v>
      </c>
    </row>
    <row r="2916">
      <c r="A2916" s="13">
        <v>7309016.0</v>
      </c>
      <c r="B2916" s="4">
        <v>418.0</v>
      </c>
      <c r="C2916" s="13">
        <v>180.0</v>
      </c>
      <c r="D2916" s="13">
        <v>63.0</v>
      </c>
      <c r="E2916" s="13">
        <v>688.0</v>
      </c>
    </row>
    <row r="2917">
      <c r="A2917" s="13">
        <v>7306057.0</v>
      </c>
      <c r="B2917" s="4">
        <v>412.0</v>
      </c>
      <c r="C2917" s="13">
        <v>79.0</v>
      </c>
      <c r="D2917" s="13">
        <v>22.0</v>
      </c>
      <c r="E2917" s="13">
        <v>154.0</v>
      </c>
    </row>
    <row r="2918">
      <c r="A2918" s="13">
        <v>7308058.0</v>
      </c>
      <c r="B2918" s="4">
        <v>402.0</v>
      </c>
      <c r="C2918" s="13">
        <v>120.0</v>
      </c>
      <c r="D2918" s="13">
        <v>25.0</v>
      </c>
      <c r="E2918" s="13">
        <v>239.0</v>
      </c>
    </row>
    <row r="2919">
      <c r="A2919" s="13">
        <v>7371430.0</v>
      </c>
      <c r="B2919" s="4">
        <v>399.0</v>
      </c>
      <c r="C2919" s="13">
        <v>74.0</v>
      </c>
      <c r="D2919" s="13">
        <v>27.0</v>
      </c>
      <c r="E2919" s="13">
        <v>111.0</v>
      </c>
    </row>
    <row r="2920">
      <c r="A2920" s="13">
        <v>7373016.0</v>
      </c>
      <c r="B2920" s="4">
        <v>400.0</v>
      </c>
      <c r="C2920" s="13">
        <v>272.0</v>
      </c>
      <c r="D2920" s="13">
        <v>36.0</v>
      </c>
      <c r="E2920" s="13">
        <v>1255.0</v>
      </c>
    </row>
    <row r="2921">
      <c r="A2921" s="13">
        <v>7371428.0</v>
      </c>
      <c r="B2921" s="4">
        <v>399.0</v>
      </c>
      <c r="C2921" s="13">
        <v>107.0</v>
      </c>
      <c r="D2921" s="13">
        <v>28.0</v>
      </c>
      <c r="E2921" s="13">
        <v>216.0</v>
      </c>
    </row>
    <row r="2922">
      <c r="A2922" s="13">
        <v>7371223.0</v>
      </c>
      <c r="B2922" s="4">
        <v>399.0</v>
      </c>
      <c r="C2922" s="13">
        <v>57.0</v>
      </c>
      <c r="D2922" s="13">
        <v>19.0</v>
      </c>
      <c r="E2922" s="13">
        <v>2.0</v>
      </c>
    </row>
    <row r="2923">
      <c r="A2923" s="13">
        <v>7303010.0</v>
      </c>
      <c r="B2923" s="4">
        <v>419.0</v>
      </c>
      <c r="C2923" s="13">
        <v>271.0</v>
      </c>
      <c r="D2923" s="13">
        <v>37.0</v>
      </c>
      <c r="E2923" s="13">
        <v>394.0</v>
      </c>
    </row>
    <row r="2924">
      <c r="A2924" s="13">
        <v>7371041.0</v>
      </c>
      <c r="B2924" s="4">
        <v>399.0</v>
      </c>
      <c r="C2924" s="13">
        <v>349.0</v>
      </c>
      <c r="D2924" s="13">
        <v>99.0</v>
      </c>
      <c r="E2924" s="13">
        <v>109.0</v>
      </c>
    </row>
    <row r="2925">
      <c r="A2925" s="13">
        <v>7304012.0</v>
      </c>
      <c r="B2925" s="4">
        <v>408.0</v>
      </c>
      <c r="C2925" s="13">
        <v>32.0</v>
      </c>
      <c r="D2925" s="13">
        <v>13.0</v>
      </c>
      <c r="E2925" s="13">
        <v>11.0</v>
      </c>
    </row>
    <row r="2926">
      <c r="A2926" s="13">
        <v>7371395.0</v>
      </c>
      <c r="B2926" s="4">
        <v>399.0</v>
      </c>
      <c r="C2926" s="13">
        <v>218.0</v>
      </c>
      <c r="D2926" s="13">
        <v>99.0</v>
      </c>
      <c r="E2926" s="13">
        <v>490.0</v>
      </c>
    </row>
    <row r="2927">
      <c r="A2927" s="13">
        <v>7307025.0</v>
      </c>
      <c r="B2927" s="4">
        <v>420.0</v>
      </c>
      <c r="C2927" s="13">
        <v>30.0</v>
      </c>
      <c r="D2927" s="13">
        <v>14.0</v>
      </c>
      <c r="E2927" s="13">
        <v>182.0</v>
      </c>
    </row>
    <row r="2928">
      <c r="A2928" s="13">
        <v>7371414.0</v>
      </c>
      <c r="B2928" s="4">
        <v>399.0</v>
      </c>
      <c r="C2928" s="13">
        <v>32.0</v>
      </c>
      <c r="D2928" s="13">
        <v>21.0</v>
      </c>
      <c r="E2928" s="13">
        <v>59.0</v>
      </c>
    </row>
    <row r="2929">
      <c r="A2929" s="13">
        <v>7313024.0</v>
      </c>
      <c r="B2929" s="4">
        <v>417.0</v>
      </c>
      <c r="C2929" s="13">
        <v>67.0</v>
      </c>
      <c r="D2929" s="13">
        <v>23.0</v>
      </c>
      <c r="E2929" s="13">
        <v>182.0</v>
      </c>
    </row>
    <row r="2930">
      <c r="A2930" s="13">
        <v>7311010.0</v>
      </c>
      <c r="B2930" s="4">
        <v>421.0</v>
      </c>
      <c r="C2930" s="13">
        <v>189.0</v>
      </c>
      <c r="D2930" s="13">
        <v>66.0</v>
      </c>
      <c r="E2930" s="13">
        <v>142.0</v>
      </c>
    </row>
    <row r="2931">
      <c r="A2931" s="13">
        <v>7317053.0</v>
      </c>
      <c r="B2931" s="4">
        <v>410.0</v>
      </c>
      <c r="C2931" s="13">
        <v>249.0</v>
      </c>
      <c r="D2931" s="13">
        <v>27.0</v>
      </c>
      <c r="E2931" s="13">
        <v>550.0</v>
      </c>
    </row>
    <row r="2932">
      <c r="A2932" s="13">
        <v>7303012.0</v>
      </c>
      <c r="B2932" s="4">
        <v>419.0</v>
      </c>
      <c r="C2932" s="13">
        <v>46.0</v>
      </c>
      <c r="D2932" s="13">
        <v>22.0</v>
      </c>
      <c r="E2932" s="13">
        <v>53.0</v>
      </c>
    </row>
    <row r="2933">
      <c r="A2933" s="13">
        <v>7371293.0</v>
      </c>
      <c r="B2933" s="4">
        <v>399.0</v>
      </c>
      <c r="C2933" s="13">
        <v>201.0</v>
      </c>
      <c r="D2933" s="13">
        <v>44.0</v>
      </c>
      <c r="E2933" s="13">
        <v>403.0</v>
      </c>
    </row>
    <row r="2934">
      <c r="A2934" s="13">
        <v>7371410.0</v>
      </c>
      <c r="B2934" s="4">
        <v>399.0</v>
      </c>
      <c r="C2934" s="13">
        <v>109.0</v>
      </c>
      <c r="D2934" s="13">
        <v>23.0</v>
      </c>
      <c r="E2934" s="13">
        <v>243.0</v>
      </c>
    </row>
    <row r="2935">
      <c r="A2935" s="13">
        <v>7371453.0</v>
      </c>
      <c r="B2935" s="4">
        <v>399.0</v>
      </c>
      <c r="C2935" s="13">
        <v>102.0</v>
      </c>
      <c r="D2935" s="13">
        <v>3.0</v>
      </c>
      <c r="E2935" s="13">
        <v>182.0</v>
      </c>
    </row>
    <row r="2936">
      <c r="A2936" s="13">
        <v>7302017.0</v>
      </c>
      <c r="B2936" s="4">
        <v>401.0</v>
      </c>
      <c r="C2936" s="13">
        <v>37.0</v>
      </c>
      <c r="D2936" s="13">
        <v>16.0</v>
      </c>
      <c r="E2936" s="13">
        <v>16.0</v>
      </c>
    </row>
    <row r="2937">
      <c r="A2937" s="13">
        <v>7305015.0</v>
      </c>
      <c r="B2937" s="4">
        <v>407.0</v>
      </c>
      <c r="C2937" s="13">
        <v>10.0</v>
      </c>
      <c r="D2937" s="13">
        <v>9.0</v>
      </c>
      <c r="E2937" s="13">
        <v>22.0</v>
      </c>
    </row>
    <row r="2938">
      <c r="A2938" s="13">
        <v>7305012.0</v>
      </c>
      <c r="B2938" s="4">
        <v>407.0</v>
      </c>
      <c r="C2938" s="13">
        <v>200.0</v>
      </c>
      <c r="D2938" s="13">
        <v>32.0</v>
      </c>
      <c r="E2938" s="13">
        <v>732.0</v>
      </c>
    </row>
    <row r="2939">
      <c r="A2939" s="13">
        <v>7303013.0</v>
      </c>
      <c r="B2939" s="4">
        <v>419.0</v>
      </c>
      <c r="C2939" s="13">
        <v>11.0</v>
      </c>
      <c r="D2939" s="13">
        <v>5.0</v>
      </c>
      <c r="E2939" s="13">
        <v>182.0</v>
      </c>
    </row>
    <row r="2940">
      <c r="A2940" s="13">
        <v>7318010.0</v>
      </c>
      <c r="B2940" s="4">
        <v>416.0</v>
      </c>
      <c r="C2940" s="13">
        <v>173.0</v>
      </c>
      <c r="D2940" s="13">
        <v>43.0</v>
      </c>
      <c r="E2940" s="13">
        <v>175.0</v>
      </c>
    </row>
    <row r="2941">
      <c r="A2941" s="13">
        <v>7371063.0</v>
      </c>
      <c r="B2941" s="4">
        <v>399.0</v>
      </c>
      <c r="C2941" s="13">
        <v>244.0</v>
      </c>
      <c r="D2941" s="13">
        <v>103.0</v>
      </c>
      <c r="E2941" s="13">
        <v>579.0</v>
      </c>
    </row>
    <row r="2942">
      <c r="A2942" s="13">
        <v>7309044.0</v>
      </c>
      <c r="B2942" s="4">
        <v>418.0</v>
      </c>
      <c r="C2942" s="13">
        <v>106.0</v>
      </c>
      <c r="D2942" s="13">
        <v>20.0</v>
      </c>
      <c r="E2942" s="13">
        <v>194.0</v>
      </c>
    </row>
    <row r="2943">
      <c r="A2943" s="13">
        <v>7372031.0</v>
      </c>
      <c r="B2943" s="4">
        <v>406.0</v>
      </c>
      <c r="C2943" s="13">
        <v>136.0</v>
      </c>
      <c r="D2943" s="13">
        <v>23.0</v>
      </c>
      <c r="E2943" s="13">
        <v>290.0</v>
      </c>
    </row>
    <row r="2944">
      <c r="A2944" s="13">
        <v>7371426.0</v>
      </c>
      <c r="B2944" s="4">
        <v>399.0</v>
      </c>
      <c r="C2944" s="13">
        <v>180.0</v>
      </c>
      <c r="D2944" s="13">
        <v>56.0</v>
      </c>
      <c r="E2944" s="13">
        <v>233.0</v>
      </c>
    </row>
    <row r="2945">
      <c r="A2945" s="13">
        <v>7314025.0</v>
      </c>
      <c r="B2945" s="4">
        <v>413.0</v>
      </c>
      <c r="C2945" s="13">
        <v>75.0</v>
      </c>
      <c r="D2945" s="13">
        <v>24.0</v>
      </c>
      <c r="E2945" s="13">
        <v>76.0</v>
      </c>
    </row>
    <row r="2946">
      <c r="A2946" s="13">
        <v>7313012.0</v>
      </c>
      <c r="B2946" s="4">
        <v>417.0</v>
      </c>
      <c r="C2946" s="13">
        <v>201.0</v>
      </c>
      <c r="D2946" s="13">
        <v>25.0</v>
      </c>
      <c r="E2946" s="13">
        <v>227.0</v>
      </c>
    </row>
    <row r="2947">
      <c r="A2947" s="13">
        <v>7318021.0</v>
      </c>
      <c r="B2947" s="4">
        <v>414.0</v>
      </c>
      <c r="C2947" s="13">
        <v>115.0</v>
      </c>
      <c r="D2947" s="13">
        <v>26.0</v>
      </c>
      <c r="E2947" s="13">
        <v>175.0</v>
      </c>
    </row>
    <row r="2948">
      <c r="A2948" s="13">
        <v>7371402.0</v>
      </c>
      <c r="B2948" s="4">
        <v>399.0</v>
      </c>
      <c r="C2948" s="13">
        <v>213.0</v>
      </c>
      <c r="D2948" s="13">
        <v>109.0</v>
      </c>
      <c r="E2948" s="13">
        <v>480.0</v>
      </c>
    </row>
    <row r="2949">
      <c r="A2949" s="13">
        <v>7371325.0</v>
      </c>
      <c r="B2949" s="4">
        <v>399.0</v>
      </c>
      <c r="C2949" s="13">
        <v>847.0</v>
      </c>
      <c r="D2949" s="13">
        <v>163.0</v>
      </c>
      <c r="E2949" s="13">
        <v>2490.0</v>
      </c>
    </row>
    <row r="2950">
      <c r="A2950" s="13">
        <v>7326003.0</v>
      </c>
      <c r="B2950" s="4">
        <v>416.0</v>
      </c>
      <c r="C2950" s="13">
        <v>63.0</v>
      </c>
      <c r="D2950" s="13">
        <v>24.0</v>
      </c>
      <c r="E2950" s="13">
        <v>182.0</v>
      </c>
    </row>
    <row r="2951">
      <c r="A2951" s="13">
        <v>7371403.0</v>
      </c>
      <c r="B2951" s="4">
        <v>399.0</v>
      </c>
      <c r="C2951" s="13">
        <v>102.0</v>
      </c>
      <c r="D2951" s="13">
        <v>38.0</v>
      </c>
      <c r="E2951" s="13">
        <v>51.0</v>
      </c>
    </row>
    <row r="2952">
      <c r="A2952" s="13">
        <v>7307014.0</v>
      </c>
      <c r="B2952" s="4">
        <v>420.0</v>
      </c>
      <c r="C2952" s="13">
        <v>219.0</v>
      </c>
      <c r="D2952" s="13">
        <v>31.0</v>
      </c>
      <c r="E2952" s="13">
        <v>534.0</v>
      </c>
    </row>
    <row r="2953">
      <c r="A2953" s="13">
        <v>7322003.0</v>
      </c>
      <c r="B2953" s="4">
        <v>410.0</v>
      </c>
      <c r="C2953" s="13">
        <v>125.0</v>
      </c>
      <c r="D2953" s="13">
        <v>21.0</v>
      </c>
      <c r="E2953" s="13">
        <v>147.0</v>
      </c>
    </row>
    <row r="2954">
      <c r="A2954" s="13">
        <v>7371234.0</v>
      </c>
      <c r="B2954" s="4">
        <v>399.0</v>
      </c>
      <c r="C2954" s="13">
        <v>81.0</v>
      </c>
      <c r="D2954" s="13">
        <v>20.0</v>
      </c>
      <c r="E2954" s="13">
        <v>252.0</v>
      </c>
    </row>
    <row r="2955">
      <c r="A2955" s="13">
        <v>7316026.0</v>
      </c>
      <c r="B2955" s="4">
        <v>398.0</v>
      </c>
      <c r="C2955" s="13">
        <v>32.0</v>
      </c>
      <c r="D2955" s="13">
        <v>10.0</v>
      </c>
      <c r="E2955" s="13">
        <v>55.0</v>
      </c>
    </row>
    <row r="2956">
      <c r="A2956" s="13">
        <v>7371422.0</v>
      </c>
      <c r="B2956" s="4">
        <v>399.0</v>
      </c>
      <c r="C2956" s="13">
        <v>13.0</v>
      </c>
      <c r="D2956" s="13">
        <v>19.0</v>
      </c>
      <c r="E2956" s="13">
        <v>122.0</v>
      </c>
    </row>
    <row r="2957">
      <c r="A2957" s="13">
        <v>7306070.0</v>
      </c>
      <c r="B2957" s="4">
        <v>412.0</v>
      </c>
      <c r="C2957" s="13">
        <v>116.0</v>
      </c>
      <c r="D2957" s="13">
        <v>58.0</v>
      </c>
      <c r="E2957" s="13">
        <v>182.0</v>
      </c>
    </row>
    <row r="2958">
      <c r="A2958" s="13">
        <v>7371096.0</v>
      </c>
      <c r="B2958" s="4">
        <v>399.0</v>
      </c>
      <c r="C2958" s="13">
        <v>400.0</v>
      </c>
      <c r="D2958" s="13">
        <v>43.0</v>
      </c>
      <c r="E2958" s="13">
        <v>519.0</v>
      </c>
    </row>
    <row r="2959">
      <c r="A2959" s="13">
        <v>7371407.0</v>
      </c>
      <c r="B2959" s="4">
        <v>399.0</v>
      </c>
      <c r="C2959" s="13">
        <v>100.0</v>
      </c>
      <c r="D2959" s="13">
        <v>32.0</v>
      </c>
      <c r="E2959" s="13">
        <v>102.0</v>
      </c>
    </row>
    <row r="2960">
      <c r="A2960" s="13">
        <v>7314024.0</v>
      </c>
      <c r="B2960" s="4">
        <v>413.0</v>
      </c>
      <c r="C2960" s="13">
        <v>147.0</v>
      </c>
      <c r="D2960" s="13">
        <v>30.0</v>
      </c>
      <c r="E2960" s="13">
        <v>462.0</v>
      </c>
    </row>
    <row r="2961">
      <c r="A2961" s="13">
        <v>7302028.0</v>
      </c>
      <c r="B2961" s="4">
        <v>401.0</v>
      </c>
      <c r="C2961" s="13">
        <v>55.0</v>
      </c>
      <c r="D2961" s="13">
        <v>25.0</v>
      </c>
      <c r="E2961" s="13">
        <v>182.0</v>
      </c>
    </row>
    <row r="2962">
      <c r="A2962" s="13">
        <v>7325016.0</v>
      </c>
      <c r="B2962" s="4">
        <v>405.0</v>
      </c>
      <c r="C2962" s="13">
        <v>200.0</v>
      </c>
      <c r="D2962" s="13">
        <v>37.0</v>
      </c>
      <c r="E2962" s="13">
        <v>191.0</v>
      </c>
    </row>
    <row r="2963">
      <c r="A2963" s="13">
        <v>7317076.0</v>
      </c>
      <c r="B2963" s="4">
        <v>409.0</v>
      </c>
      <c r="C2963" s="13">
        <v>139.0</v>
      </c>
      <c r="D2963" s="13">
        <v>28.0</v>
      </c>
      <c r="E2963" s="13">
        <v>130.0</v>
      </c>
    </row>
    <row r="2964">
      <c r="A2964" s="13">
        <v>7371351.0</v>
      </c>
      <c r="B2964" s="4">
        <v>399.0</v>
      </c>
      <c r="C2964" s="13">
        <v>50.0</v>
      </c>
      <c r="D2964" s="13">
        <v>21.0</v>
      </c>
      <c r="E2964" s="13">
        <v>70.0</v>
      </c>
    </row>
    <row r="2965">
      <c r="A2965" s="13">
        <v>7373004.0</v>
      </c>
      <c r="B2965" s="4">
        <v>400.0</v>
      </c>
      <c r="C2965" s="13">
        <v>190.0</v>
      </c>
      <c r="D2965" s="13">
        <v>40.0</v>
      </c>
      <c r="E2965" s="13">
        <v>196.0</v>
      </c>
    </row>
    <row r="2966">
      <c r="A2966" s="13">
        <v>7372077.0</v>
      </c>
      <c r="B2966" s="4">
        <v>406.0</v>
      </c>
      <c r="C2966" s="13">
        <v>32.0</v>
      </c>
      <c r="D2966" s="13">
        <v>11.0</v>
      </c>
      <c r="E2966" s="13">
        <v>41.0</v>
      </c>
    </row>
    <row r="2967">
      <c r="A2967" s="13">
        <v>7308041.0</v>
      </c>
      <c r="B2967" s="4">
        <v>402.0</v>
      </c>
      <c r="C2967" s="13">
        <v>404.0</v>
      </c>
      <c r="D2967" s="13">
        <v>33.0</v>
      </c>
      <c r="E2967" s="13">
        <v>840.0</v>
      </c>
    </row>
    <row r="2968">
      <c r="A2968" s="13">
        <v>7314036.0</v>
      </c>
      <c r="B2968" s="4">
        <v>413.0</v>
      </c>
      <c r="C2968" s="13">
        <v>82.0</v>
      </c>
      <c r="D2968" s="13">
        <v>22.0</v>
      </c>
      <c r="E2968" s="13">
        <v>182.0</v>
      </c>
    </row>
    <row r="2969">
      <c r="A2969" s="13">
        <v>7402010.0</v>
      </c>
      <c r="B2969" s="4">
        <v>422.0</v>
      </c>
      <c r="C2969" s="13">
        <v>189.0</v>
      </c>
      <c r="D2969" s="13">
        <v>24.0</v>
      </c>
      <c r="E2969" s="13">
        <v>442.0</v>
      </c>
    </row>
    <row r="2970">
      <c r="A2970" s="13">
        <v>7471136.0</v>
      </c>
      <c r="B2970" s="4">
        <v>423.0</v>
      </c>
      <c r="C2970" s="13">
        <v>132.0</v>
      </c>
      <c r="D2970" s="13">
        <v>55.0</v>
      </c>
      <c r="E2970" s="13">
        <v>182.0</v>
      </c>
    </row>
    <row r="2971">
      <c r="A2971" s="13">
        <v>7404012.0</v>
      </c>
      <c r="B2971" s="4">
        <v>424.0</v>
      </c>
      <c r="C2971" s="13">
        <v>205.0</v>
      </c>
      <c r="D2971" s="13">
        <v>51.0</v>
      </c>
      <c r="E2971" s="13">
        <v>512.0</v>
      </c>
    </row>
    <row r="2972">
      <c r="A2972" s="13">
        <v>7403126.0</v>
      </c>
      <c r="B2972" s="4">
        <v>425.0</v>
      </c>
      <c r="C2972" s="13">
        <v>50.0</v>
      </c>
      <c r="D2972" s="13">
        <v>15.0</v>
      </c>
      <c r="E2972" s="13">
        <v>51.0</v>
      </c>
    </row>
    <row r="2973">
      <c r="A2973" s="13">
        <v>7403022.0</v>
      </c>
      <c r="B2973" s="4">
        <v>425.0</v>
      </c>
      <c r="C2973" s="13">
        <v>209.0</v>
      </c>
      <c r="D2973" s="13">
        <v>35.0</v>
      </c>
      <c r="E2973" s="13">
        <v>861.0</v>
      </c>
    </row>
    <row r="2974">
      <c r="A2974" s="13">
        <v>7471009.0</v>
      </c>
      <c r="B2974" s="4">
        <v>423.0</v>
      </c>
      <c r="C2974" s="13">
        <v>53.0</v>
      </c>
      <c r="D2974" s="13">
        <v>19.0</v>
      </c>
      <c r="E2974" s="13">
        <v>182.0</v>
      </c>
    </row>
    <row r="2975">
      <c r="A2975" s="13">
        <v>7404034.0</v>
      </c>
      <c r="B2975" s="4">
        <v>426.0</v>
      </c>
      <c r="C2975" s="13">
        <v>139.0</v>
      </c>
      <c r="D2975" s="13">
        <v>25.0</v>
      </c>
      <c r="E2975" s="13">
        <v>398.0</v>
      </c>
    </row>
    <row r="2976">
      <c r="A2976" s="13">
        <v>7471002.0</v>
      </c>
      <c r="B2976" s="4">
        <v>423.0</v>
      </c>
      <c r="C2976" s="13">
        <v>53.0</v>
      </c>
      <c r="D2976" s="13">
        <v>27.0</v>
      </c>
      <c r="E2976" s="13">
        <v>91.0</v>
      </c>
    </row>
    <row r="2977">
      <c r="A2977" s="13">
        <v>7471044.0</v>
      </c>
      <c r="B2977" s="4">
        <v>423.0</v>
      </c>
      <c r="C2977" s="13">
        <v>102.0</v>
      </c>
      <c r="D2977" s="13">
        <v>33.0</v>
      </c>
      <c r="E2977" s="13">
        <v>135.0</v>
      </c>
    </row>
    <row r="2978">
      <c r="A2978" s="13">
        <v>7471004.0</v>
      </c>
      <c r="B2978" s="4">
        <v>423.0</v>
      </c>
      <c r="C2978" s="13">
        <v>65.0</v>
      </c>
      <c r="D2978" s="13">
        <v>32.0</v>
      </c>
      <c r="E2978" s="13">
        <v>70.0</v>
      </c>
    </row>
    <row r="2979">
      <c r="A2979" s="13">
        <v>7402011.0</v>
      </c>
      <c r="B2979" s="4">
        <v>427.0</v>
      </c>
      <c r="C2979" s="13">
        <v>100.0</v>
      </c>
      <c r="D2979" s="13">
        <v>14.0</v>
      </c>
      <c r="E2979" s="13">
        <v>134.0</v>
      </c>
    </row>
    <row r="2980">
      <c r="A2980" s="13">
        <v>7472002.0</v>
      </c>
      <c r="B2980" s="4">
        <v>428.0</v>
      </c>
      <c r="C2980" s="13">
        <v>114.0</v>
      </c>
      <c r="D2980" s="13">
        <v>33.0</v>
      </c>
      <c r="E2980" s="13">
        <v>241.0</v>
      </c>
    </row>
    <row r="2981">
      <c r="A2981" s="13">
        <v>7471070.0</v>
      </c>
      <c r="B2981" s="4">
        <v>423.0</v>
      </c>
      <c r="C2981" s="13">
        <v>110.0</v>
      </c>
      <c r="D2981" s="13">
        <v>87.0</v>
      </c>
      <c r="E2981" s="13">
        <v>223.0</v>
      </c>
    </row>
    <row r="2982">
      <c r="A2982" s="13">
        <v>7406036.0</v>
      </c>
      <c r="B2982" s="4">
        <v>429.0</v>
      </c>
      <c r="C2982" s="13">
        <v>124.0</v>
      </c>
      <c r="D2982" s="13">
        <v>23.0</v>
      </c>
      <c r="E2982" s="13">
        <v>192.0</v>
      </c>
    </row>
    <row r="2983">
      <c r="A2983" s="13">
        <v>7414002.0</v>
      </c>
      <c r="B2983" s="4">
        <v>430.0</v>
      </c>
      <c r="C2983" s="13">
        <v>51.0</v>
      </c>
      <c r="D2983" s="13">
        <v>9.0</v>
      </c>
      <c r="E2983" s="13">
        <v>123.0</v>
      </c>
    </row>
    <row r="2984">
      <c r="A2984" s="13">
        <v>7471008.0</v>
      </c>
      <c r="B2984" s="4">
        <v>423.0</v>
      </c>
      <c r="C2984" s="13">
        <v>51.0</v>
      </c>
      <c r="D2984" s="13">
        <v>20.0</v>
      </c>
      <c r="E2984" s="13">
        <v>27.0</v>
      </c>
    </row>
    <row r="2985">
      <c r="A2985" s="13">
        <v>7471138.0</v>
      </c>
      <c r="B2985" s="4">
        <v>423.0</v>
      </c>
      <c r="C2985" s="13">
        <v>61.0</v>
      </c>
      <c r="D2985" s="13">
        <v>14.0</v>
      </c>
      <c r="E2985" s="13">
        <v>182.0</v>
      </c>
    </row>
    <row r="2986">
      <c r="A2986" s="13">
        <v>7401038.0</v>
      </c>
      <c r="B2986" s="4">
        <v>431.0</v>
      </c>
      <c r="C2986" s="13">
        <v>128.0</v>
      </c>
      <c r="D2986" s="13">
        <v>22.0</v>
      </c>
      <c r="E2986" s="13">
        <v>253.0</v>
      </c>
    </row>
    <row r="2987">
      <c r="A2987" s="13">
        <v>7403114.0</v>
      </c>
      <c r="B2987" s="4">
        <v>432.0</v>
      </c>
      <c r="C2987" s="13">
        <v>110.0</v>
      </c>
      <c r="D2987" s="13">
        <v>32.0</v>
      </c>
      <c r="E2987" s="13">
        <v>249.0</v>
      </c>
    </row>
    <row r="2988">
      <c r="A2988" s="13">
        <v>7408013.0</v>
      </c>
      <c r="B2988" s="4">
        <v>433.0</v>
      </c>
      <c r="C2988" s="13">
        <v>57.0</v>
      </c>
      <c r="D2988" s="13">
        <v>20.0</v>
      </c>
      <c r="E2988" s="13">
        <v>159.0</v>
      </c>
    </row>
    <row r="2989">
      <c r="A2989" s="13">
        <v>7412002.0</v>
      </c>
      <c r="B2989" s="4">
        <v>434.0</v>
      </c>
      <c r="C2989" s="13">
        <v>50.0</v>
      </c>
      <c r="D2989" s="13">
        <v>20.0</v>
      </c>
      <c r="E2989" s="13">
        <v>159.0</v>
      </c>
    </row>
    <row r="2990">
      <c r="A2990" s="13">
        <v>7404045.0</v>
      </c>
      <c r="B2990" s="4">
        <v>424.0</v>
      </c>
      <c r="C2990" s="13">
        <v>62.0</v>
      </c>
      <c r="D2990" s="13">
        <v>22.0</v>
      </c>
      <c r="E2990" s="13">
        <v>182.0</v>
      </c>
    </row>
    <row r="2991">
      <c r="A2991" s="13">
        <v>7471011.0</v>
      </c>
      <c r="B2991" s="4">
        <v>423.0</v>
      </c>
      <c r="C2991" s="13">
        <v>365.0</v>
      </c>
      <c r="D2991" s="13">
        <v>104.0</v>
      </c>
      <c r="E2991" s="13">
        <v>1079.0</v>
      </c>
    </row>
    <row r="2992">
      <c r="A2992" s="13">
        <v>7471137.0</v>
      </c>
      <c r="B2992" s="4">
        <v>423.0</v>
      </c>
      <c r="C2992" s="13">
        <v>56.0</v>
      </c>
      <c r="D2992" s="13">
        <v>27.0</v>
      </c>
      <c r="E2992" s="13">
        <v>182.0</v>
      </c>
    </row>
    <row r="2993">
      <c r="A2993" s="13">
        <v>7402022.0</v>
      </c>
      <c r="B2993" s="4">
        <v>422.0</v>
      </c>
      <c r="C2993" s="13">
        <v>26.0</v>
      </c>
      <c r="D2993" s="13">
        <v>15.0</v>
      </c>
      <c r="E2993" s="13">
        <v>182.0</v>
      </c>
    </row>
    <row r="2994">
      <c r="A2994" s="13">
        <v>7404023.0</v>
      </c>
      <c r="B2994" s="4">
        <v>424.0</v>
      </c>
      <c r="C2994" s="13">
        <v>65.0</v>
      </c>
      <c r="D2994" s="13">
        <v>20.0</v>
      </c>
      <c r="E2994" s="13">
        <v>42.0</v>
      </c>
    </row>
    <row r="2995">
      <c r="A2995" s="13">
        <v>7472004.0</v>
      </c>
      <c r="B2995" s="4">
        <v>428.0</v>
      </c>
      <c r="C2995" s="13">
        <v>65.0</v>
      </c>
      <c r="D2995" s="13">
        <v>21.0</v>
      </c>
      <c r="E2995" s="13">
        <v>1.0</v>
      </c>
    </row>
    <row r="2996">
      <c r="A2996" s="13">
        <v>7403033.0</v>
      </c>
      <c r="B2996" s="4">
        <v>423.0</v>
      </c>
      <c r="C2996" s="13">
        <v>100.0</v>
      </c>
      <c r="D2996" s="13">
        <v>31.0</v>
      </c>
      <c r="E2996" s="13">
        <v>163.0</v>
      </c>
    </row>
    <row r="2997">
      <c r="A2997" s="13">
        <v>7401039.0</v>
      </c>
      <c r="B2997" s="4">
        <v>435.0</v>
      </c>
      <c r="C2997" s="13">
        <v>119.0</v>
      </c>
      <c r="D2997" s="13">
        <v>24.0</v>
      </c>
      <c r="E2997" s="13">
        <v>130.0</v>
      </c>
    </row>
    <row r="2998">
      <c r="A2998" s="13">
        <v>7471066.0</v>
      </c>
      <c r="B2998" s="4">
        <v>423.0</v>
      </c>
      <c r="C2998" s="13">
        <v>187.0</v>
      </c>
      <c r="D2998" s="13">
        <v>30.0</v>
      </c>
      <c r="E2998" s="13">
        <v>281.0</v>
      </c>
    </row>
    <row r="2999">
      <c r="A2999" s="13">
        <v>7471007.0</v>
      </c>
      <c r="B2999" s="4">
        <v>423.0</v>
      </c>
      <c r="C2999" s="13">
        <v>51.0</v>
      </c>
      <c r="D2999" s="13">
        <v>26.0</v>
      </c>
      <c r="E2999" s="13">
        <v>86.0</v>
      </c>
    </row>
    <row r="3000">
      <c r="A3000" s="13">
        <v>7471005.0</v>
      </c>
      <c r="B3000" s="4">
        <v>423.0</v>
      </c>
      <c r="C3000" s="13">
        <v>53.0</v>
      </c>
      <c r="D3000" s="13">
        <v>24.0</v>
      </c>
      <c r="E3000" s="13">
        <v>77.0</v>
      </c>
    </row>
    <row r="3001">
      <c r="A3001" s="13">
        <v>7472016.0</v>
      </c>
      <c r="B3001" s="4">
        <v>428.0</v>
      </c>
      <c r="C3001" s="13">
        <v>169.0</v>
      </c>
      <c r="D3001" s="13">
        <v>40.0</v>
      </c>
      <c r="E3001" s="13">
        <v>271.0</v>
      </c>
    </row>
    <row r="3002">
      <c r="A3002" s="13">
        <v>7411908.0</v>
      </c>
      <c r="B3002" s="4">
        <v>436.0</v>
      </c>
      <c r="C3002" s="13">
        <v>56.0</v>
      </c>
      <c r="D3002" s="13">
        <v>23.0</v>
      </c>
      <c r="E3002" s="13">
        <v>174.0</v>
      </c>
    </row>
    <row r="3003">
      <c r="A3003" s="13">
        <v>7404046.0</v>
      </c>
      <c r="B3003" s="4">
        <v>424.0</v>
      </c>
      <c r="C3003" s="13">
        <v>29.0</v>
      </c>
      <c r="D3003" s="13">
        <v>13.0</v>
      </c>
      <c r="E3003" s="13">
        <v>182.0</v>
      </c>
    </row>
    <row r="3004">
      <c r="A3004" s="13">
        <v>7471092.0</v>
      </c>
      <c r="B3004" s="4">
        <v>423.0</v>
      </c>
      <c r="C3004" s="13">
        <v>264.0</v>
      </c>
      <c r="D3004" s="13">
        <v>43.0</v>
      </c>
      <c r="E3004" s="13">
        <v>593.0</v>
      </c>
    </row>
    <row r="3005">
      <c r="A3005" s="13">
        <v>7407012.0</v>
      </c>
      <c r="B3005" s="4">
        <v>437.0</v>
      </c>
      <c r="C3005" s="13">
        <v>95.0</v>
      </c>
      <c r="D3005" s="13">
        <v>26.0</v>
      </c>
      <c r="E3005" s="13">
        <v>340.0</v>
      </c>
    </row>
    <row r="3006">
      <c r="A3006" s="13">
        <v>7401024.0</v>
      </c>
      <c r="B3006" s="4">
        <v>438.0</v>
      </c>
      <c r="C3006" s="13">
        <v>53.0</v>
      </c>
      <c r="D3006" s="13">
        <v>26.0</v>
      </c>
      <c r="E3006" s="13">
        <v>233.0</v>
      </c>
    </row>
    <row r="3007">
      <c r="A3007" s="13">
        <v>7504032.0</v>
      </c>
      <c r="B3007" s="4">
        <v>439.0</v>
      </c>
      <c r="C3007" s="13">
        <v>224.0</v>
      </c>
      <c r="D3007" s="13">
        <v>29.0</v>
      </c>
      <c r="E3007" s="13">
        <v>438.0</v>
      </c>
    </row>
    <row r="3008">
      <c r="A3008" s="13">
        <v>7504012.0</v>
      </c>
      <c r="B3008" s="4">
        <v>439.0</v>
      </c>
      <c r="C3008" s="13">
        <v>135.0</v>
      </c>
      <c r="D3008" s="13">
        <v>27.0</v>
      </c>
      <c r="E3008" s="13">
        <v>163.0</v>
      </c>
    </row>
    <row r="3009">
      <c r="A3009" s="13">
        <v>7502049.0</v>
      </c>
      <c r="B3009" s="4">
        <v>440.0</v>
      </c>
      <c r="C3009" s="13">
        <v>51.0</v>
      </c>
      <c r="D3009" s="13">
        <v>17.0</v>
      </c>
      <c r="E3009" s="13">
        <v>182.0</v>
      </c>
    </row>
    <row r="3010">
      <c r="A3010" s="13">
        <v>7502032.0</v>
      </c>
      <c r="B3010" s="4">
        <v>441.0</v>
      </c>
      <c r="C3010" s="13">
        <v>124.0</v>
      </c>
      <c r="D3010" s="13">
        <v>25.0</v>
      </c>
      <c r="E3010" s="13">
        <v>418.0</v>
      </c>
    </row>
    <row r="3011">
      <c r="A3011" s="13">
        <v>7503045.0</v>
      </c>
      <c r="B3011" s="4">
        <v>442.0</v>
      </c>
      <c r="C3011" s="13">
        <v>178.0</v>
      </c>
      <c r="D3011" s="13">
        <v>28.0</v>
      </c>
      <c r="E3011" s="13">
        <v>560.0</v>
      </c>
    </row>
    <row r="3012">
      <c r="A3012" s="13">
        <v>7505002.0</v>
      </c>
      <c r="B3012" s="4">
        <v>443.0</v>
      </c>
      <c r="C3012" s="13">
        <v>121.0</v>
      </c>
      <c r="D3012" s="13">
        <v>26.0</v>
      </c>
      <c r="E3012" s="13">
        <v>272.0</v>
      </c>
    </row>
    <row r="3013">
      <c r="A3013" s="13">
        <v>7503056.0</v>
      </c>
      <c r="B3013" s="4">
        <v>442.0</v>
      </c>
      <c r="C3013" s="13">
        <v>50.0</v>
      </c>
      <c r="D3013" s="13">
        <v>3.0</v>
      </c>
      <c r="E3013" s="13">
        <v>182.0</v>
      </c>
    </row>
    <row r="3014">
      <c r="A3014" s="13">
        <v>7502034.0</v>
      </c>
      <c r="B3014" s="4">
        <v>440.0</v>
      </c>
      <c r="C3014" s="13">
        <v>110.0</v>
      </c>
      <c r="D3014" s="13">
        <v>85.0</v>
      </c>
      <c r="E3014" s="13">
        <v>398.0</v>
      </c>
    </row>
    <row r="3015">
      <c r="A3015" s="13">
        <v>7502021.0</v>
      </c>
      <c r="B3015" s="4">
        <v>441.0</v>
      </c>
      <c r="C3015" s="13">
        <v>62.0</v>
      </c>
      <c r="D3015" s="13">
        <v>17.0</v>
      </c>
      <c r="E3015" s="13">
        <v>72.0</v>
      </c>
    </row>
    <row r="3016">
      <c r="A3016" s="13">
        <v>7505013.0</v>
      </c>
      <c r="B3016" s="4">
        <v>443.0</v>
      </c>
      <c r="C3016" s="13">
        <v>40.0</v>
      </c>
      <c r="D3016" s="13">
        <v>6.0</v>
      </c>
      <c r="E3016" s="13">
        <v>182.0</v>
      </c>
    </row>
    <row r="3017">
      <c r="A3017" s="13">
        <v>7501043.0</v>
      </c>
      <c r="B3017" s="4">
        <v>444.0</v>
      </c>
      <c r="C3017" s="13">
        <v>147.0</v>
      </c>
      <c r="D3017" s="13">
        <v>34.0</v>
      </c>
      <c r="E3017" s="13">
        <v>468.0</v>
      </c>
    </row>
    <row r="3018">
      <c r="A3018" s="13">
        <v>7571021.0</v>
      </c>
      <c r="B3018" s="4">
        <v>441.0</v>
      </c>
      <c r="C3018" s="13">
        <v>106.0</v>
      </c>
      <c r="D3018" s="13">
        <v>20.0</v>
      </c>
      <c r="E3018" s="13">
        <v>208.0</v>
      </c>
    </row>
    <row r="3019">
      <c r="A3019" s="13">
        <v>7571010.0</v>
      </c>
      <c r="B3019" s="4">
        <v>441.0</v>
      </c>
      <c r="C3019" s="13">
        <v>350.0</v>
      </c>
      <c r="D3019" s="13">
        <v>65.0</v>
      </c>
      <c r="E3019" s="13">
        <v>1009.0</v>
      </c>
    </row>
    <row r="3020">
      <c r="A3020" s="13">
        <v>7571022.0</v>
      </c>
      <c r="B3020" s="4">
        <v>441.0</v>
      </c>
      <c r="C3020" s="13">
        <v>77.0</v>
      </c>
      <c r="D3020" s="13">
        <v>13.0</v>
      </c>
      <c r="E3020" s="13">
        <v>52.0</v>
      </c>
    </row>
    <row r="3021">
      <c r="A3021" s="13">
        <v>7502033.0</v>
      </c>
      <c r="B3021" s="4">
        <v>440.0</v>
      </c>
      <c r="C3021" s="13">
        <v>246.0</v>
      </c>
      <c r="D3021" s="13">
        <v>82.0</v>
      </c>
      <c r="E3021" s="13">
        <v>932.0</v>
      </c>
    </row>
    <row r="3022">
      <c r="A3022" s="13">
        <v>7501044.0</v>
      </c>
      <c r="B3022" s="4">
        <v>444.0</v>
      </c>
      <c r="C3022" s="13">
        <v>50.0</v>
      </c>
      <c r="D3022" s="13">
        <v>26.0</v>
      </c>
      <c r="E3022" s="13">
        <v>111.0</v>
      </c>
    </row>
    <row r="3023">
      <c r="A3023" s="13">
        <v>7502047.0</v>
      </c>
      <c r="B3023" s="4">
        <v>440.0</v>
      </c>
      <c r="C3023" s="13">
        <v>119.0</v>
      </c>
      <c r="D3023" s="13">
        <v>23.0</v>
      </c>
      <c r="E3023" s="13">
        <v>182.0</v>
      </c>
    </row>
    <row r="3024">
      <c r="A3024" s="13">
        <v>7502035.0</v>
      </c>
      <c r="B3024" s="4">
        <v>440.0</v>
      </c>
      <c r="C3024" s="13">
        <v>86.0</v>
      </c>
      <c r="D3024" s="13">
        <v>27.0</v>
      </c>
      <c r="E3024" s="13">
        <v>105.0</v>
      </c>
    </row>
    <row r="3025">
      <c r="A3025" s="13">
        <v>7571023.0</v>
      </c>
      <c r="B3025" s="4">
        <v>441.0</v>
      </c>
      <c r="C3025" s="13">
        <v>124.0</v>
      </c>
      <c r="D3025" s="13">
        <v>30.0</v>
      </c>
      <c r="E3025" s="13">
        <v>185.0</v>
      </c>
    </row>
    <row r="3026">
      <c r="A3026" s="13">
        <v>7604026.0</v>
      </c>
      <c r="B3026" s="4">
        <v>445.0</v>
      </c>
      <c r="C3026" s="13">
        <v>118.0</v>
      </c>
      <c r="D3026" s="13">
        <v>30.0</v>
      </c>
      <c r="E3026" s="13">
        <v>70.0</v>
      </c>
    </row>
    <row r="3027">
      <c r="A3027" s="13">
        <v>7602045.0</v>
      </c>
      <c r="B3027" s="4">
        <v>446.0</v>
      </c>
      <c r="C3027" s="13">
        <v>40.0</v>
      </c>
      <c r="D3027" s="13">
        <v>38.0</v>
      </c>
      <c r="E3027" s="13">
        <v>182.0</v>
      </c>
    </row>
    <row r="3028">
      <c r="A3028" s="13">
        <v>7605013.0</v>
      </c>
      <c r="B3028" s="4">
        <v>447.0</v>
      </c>
      <c r="C3028" s="13">
        <v>137.0</v>
      </c>
      <c r="D3028" s="13">
        <v>14.0</v>
      </c>
      <c r="E3028" s="13">
        <v>117.0</v>
      </c>
    </row>
    <row r="3029">
      <c r="A3029" s="13">
        <v>7601011.0</v>
      </c>
      <c r="B3029" s="4">
        <v>448.0</v>
      </c>
      <c r="C3029" s="13">
        <v>180.0</v>
      </c>
      <c r="D3029" s="13">
        <v>38.0</v>
      </c>
      <c r="E3029" s="13">
        <v>610.0</v>
      </c>
    </row>
    <row r="3030">
      <c r="A3030" s="13">
        <v>7603024.0</v>
      </c>
      <c r="B3030" s="4">
        <v>449.0</v>
      </c>
      <c r="C3030" s="13">
        <v>82.0</v>
      </c>
      <c r="D3030" s="13">
        <v>18.0</v>
      </c>
      <c r="E3030" s="13">
        <v>180.0</v>
      </c>
    </row>
    <row r="3031">
      <c r="A3031" s="13">
        <v>7604012.0</v>
      </c>
      <c r="B3031" s="4">
        <v>450.0</v>
      </c>
      <c r="C3031" s="13">
        <v>135.0</v>
      </c>
      <c r="D3031" s="13">
        <v>36.0</v>
      </c>
      <c r="E3031" s="13">
        <v>418.0</v>
      </c>
    </row>
    <row r="3032">
      <c r="A3032" s="13">
        <v>7604024.0</v>
      </c>
      <c r="B3032" s="4">
        <v>450.0</v>
      </c>
      <c r="C3032" s="13">
        <v>109.0</v>
      </c>
      <c r="D3032" s="13">
        <v>37.0</v>
      </c>
      <c r="E3032" s="13">
        <v>186.0</v>
      </c>
    </row>
    <row r="3033">
      <c r="A3033" s="13">
        <v>7602048.0</v>
      </c>
      <c r="B3033" s="4">
        <v>446.0</v>
      </c>
      <c r="C3033" s="13">
        <v>66.0</v>
      </c>
      <c r="D3033" s="13">
        <v>35.0</v>
      </c>
      <c r="E3033" s="13">
        <v>59.0</v>
      </c>
    </row>
    <row r="3034">
      <c r="A3034" s="13">
        <v>7603022.0</v>
      </c>
      <c r="B3034" s="4">
        <v>449.0</v>
      </c>
      <c r="C3034" s="13">
        <v>55.0</v>
      </c>
      <c r="D3034" s="13">
        <v>14.0</v>
      </c>
      <c r="E3034" s="13">
        <v>182.0</v>
      </c>
    </row>
    <row r="3035">
      <c r="A3035" s="13">
        <v>7601022.0</v>
      </c>
      <c r="B3035" s="4">
        <v>448.0</v>
      </c>
      <c r="C3035" s="13">
        <v>102.0</v>
      </c>
      <c r="D3035" s="13">
        <v>4.0</v>
      </c>
      <c r="E3035" s="13">
        <v>182.0</v>
      </c>
    </row>
    <row r="3036">
      <c r="A3036" s="13">
        <v>7604027.0</v>
      </c>
      <c r="B3036" s="4">
        <v>450.0</v>
      </c>
      <c r="C3036" s="13">
        <v>109.0</v>
      </c>
      <c r="D3036" s="13">
        <v>18.0</v>
      </c>
      <c r="E3036" s="13">
        <v>143.0</v>
      </c>
    </row>
    <row r="3037">
      <c r="A3037" s="13">
        <v>7602044.0</v>
      </c>
      <c r="B3037" s="4">
        <v>446.0</v>
      </c>
      <c r="C3037" s="13">
        <v>576.0</v>
      </c>
      <c r="D3037" s="13">
        <v>35.0</v>
      </c>
      <c r="E3037" s="13">
        <v>733.0</v>
      </c>
    </row>
    <row r="3038">
      <c r="A3038" s="13">
        <v>7604023.0</v>
      </c>
      <c r="B3038" s="4">
        <v>450.0</v>
      </c>
      <c r="C3038" s="13">
        <v>222.0</v>
      </c>
      <c r="D3038" s="13">
        <v>63.0</v>
      </c>
      <c r="E3038" s="13">
        <v>309.0</v>
      </c>
    </row>
    <row r="3039">
      <c r="A3039" s="13">
        <v>7604039.0</v>
      </c>
      <c r="B3039" s="4">
        <v>450.0</v>
      </c>
      <c r="C3039" s="13">
        <v>58.0</v>
      </c>
      <c r="D3039" s="13">
        <v>10.0</v>
      </c>
      <c r="E3039" s="13">
        <v>182.0</v>
      </c>
    </row>
    <row r="3040">
      <c r="A3040" s="13">
        <v>7604028.0</v>
      </c>
      <c r="B3040" s="4">
        <v>450.0</v>
      </c>
      <c r="C3040" s="13">
        <v>30.0</v>
      </c>
      <c r="D3040" s="13">
        <v>11.0</v>
      </c>
      <c r="E3040" s="13">
        <v>182.0</v>
      </c>
    </row>
    <row r="3041">
      <c r="A3041" s="13">
        <v>8171015.0</v>
      </c>
      <c r="B3041" s="4">
        <v>451.0</v>
      </c>
      <c r="C3041" s="13">
        <v>304.0</v>
      </c>
      <c r="D3041" s="13">
        <v>46.0</v>
      </c>
      <c r="E3041" s="13">
        <v>586.0</v>
      </c>
    </row>
    <row r="3042">
      <c r="A3042" s="13">
        <v>8108002.0</v>
      </c>
      <c r="B3042" s="4">
        <v>452.0</v>
      </c>
      <c r="C3042" s="13">
        <v>56.0</v>
      </c>
      <c r="D3042" s="13">
        <v>10.0</v>
      </c>
      <c r="E3042" s="13">
        <v>34.0</v>
      </c>
    </row>
    <row r="3043">
      <c r="A3043" s="13">
        <v>8101041.0</v>
      </c>
      <c r="B3043" s="4">
        <v>453.0</v>
      </c>
      <c r="C3043" s="13">
        <v>33.0</v>
      </c>
      <c r="D3043" s="13">
        <v>4.0</v>
      </c>
      <c r="E3043" s="13">
        <v>182.0</v>
      </c>
    </row>
    <row r="3044">
      <c r="A3044" s="13">
        <v>8171030.0</v>
      </c>
      <c r="B3044" s="4">
        <v>451.0</v>
      </c>
      <c r="C3044" s="13">
        <v>53.0</v>
      </c>
      <c r="D3044" s="13">
        <v>23.0</v>
      </c>
      <c r="E3044" s="13">
        <v>28.0</v>
      </c>
    </row>
    <row r="3045">
      <c r="A3045" s="13">
        <v>8172002.0</v>
      </c>
      <c r="B3045" s="4">
        <v>454.0</v>
      </c>
      <c r="C3045" s="13">
        <v>76.0</v>
      </c>
      <c r="D3045" s="13">
        <v>16.0</v>
      </c>
      <c r="E3045" s="13">
        <v>57.0</v>
      </c>
    </row>
    <row r="3046">
      <c r="A3046" s="13">
        <v>8103020.0</v>
      </c>
      <c r="B3046" s="4">
        <v>455.0</v>
      </c>
      <c r="C3046" s="13">
        <v>108.0</v>
      </c>
      <c r="D3046" s="13">
        <v>54.0</v>
      </c>
      <c r="E3046" s="13">
        <v>160.0</v>
      </c>
    </row>
    <row r="3047">
      <c r="A3047" s="13">
        <v>8171123.0</v>
      </c>
      <c r="B3047" s="4">
        <v>451.0</v>
      </c>
      <c r="C3047" s="13">
        <v>249.0</v>
      </c>
      <c r="D3047" s="13">
        <v>45.0</v>
      </c>
      <c r="E3047" s="13">
        <v>95.0</v>
      </c>
    </row>
    <row r="3048">
      <c r="A3048" s="13">
        <v>8171074.0</v>
      </c>
      <c r="B3048" s="4">
        <v>451.0</v>
      </c>
      <c r="C3048" s="13">
        <v>57.0</v>
      </c>
      <c r="D3048" s="13">
        <v>9.0</v>
      </c>
      <c r="E3048" s="13">
        <v>11.0</v>
      </c>
    </row>
    <row r="3049">
      <c r="A3049" s="13">
        <v>8109002.0</v>
      </c>
      <c r="B3049" s="4">
        <v>456.0</v>
      </c>
      <c r="C3049" s="13">
        <v>11.0</v>
      </c>
      <c r="D3049" s="13">
        <v>8.0</v>
      </c>
      <c r="E3049" s="13">
        <v>36.0</v>
      </c>
    </row>
    <row r="3050">
      <c r="A3050" s="13">
        <v>8103053.0</v>
      </c>
      <c r="B3050" s="4">
        <v>457.0</v>
      </c>
      <c r="C3050" s="13">
        <v>107.0</v>
      </c>
      <c r="D3050" s="13">
        <v>102.0</v>
      </c>
      <c r="E3050" s="13">
        <v>335.0</v>
      </c>
    </row>
    <row r="3051">
      <c r="A3051" s="13">
        <v>8109018.0</v>
      </c>
      <c r="B3051" s="4">
        <v>456.0</v>
      </c>
      <c r="C3051" s="13">
        <v>110.0</v>
      </c>
      <c r="D3051" s="13">
        <v>17.0</v>
      </c>
      <c r="E3051" s="13">
        <v>260.0</v>
      </c>
    </row>
    <row r="3052">
      <c r="A3052" s="13">
        <v>8171096.0</v>
      </c>
      <c r="B3052" s="4">
        <v>451.0</v>
      </c>
      <c r="C3052" s="13">
        <v>50.0</v>
      </c>
      <c r="D3052" s="13">
        <v>24.0</v>
      </c>
      <c r="E3052" s="13">
        <v>108.0</v>
      </c>
    </row>
    <row r="3053">
      <c r="A3053" s="13">
        <v>8107021.0</v>
      </c>
      <c r="B3053" s="4">
        <v>458.0</v>
      </c>
      <c r="C3053" s="13">
        <v>103.0</v>
      </c>
      <c r="D3053" s="13">
        <v>31.0</v>
      </c>
      <c r="E3053" s="13">
        <v>410.0</v>
      </c>
    </row>
    <row r="3054">
      <c r="A3054" s="13">
        <v>8101026.0</v>
      </c>
      <c r="B3054" s="4">
        <v>459.0</v>
      </c>
      <c r="C3054" s="13">
        <v>90.0</v>
      </c>
      <c r="D3054" s="13">
        <v>26.0</v>
      </c>
      <c r="E3054" s="13">
        <v>26.0</v>
      </c>
    </row>
    <row r="3055">
      <c r="A3055" s="13">
        <v>8103002.0</v>
      </c>
      <c r="B3055" s="4">
        <v>457.0</v>
      </c>
      <c r="C3055" s="13">
        <v>50.0</v>
      </c>
      <c r="D3055" s="13">
        <v>14.0</v>
      </c>
      <c r="E3055" s="13">
        <v>77.0</v>
      </c>
    </row>
    <row r="3056">
      <c r="A3056" s="13">
        <v>8171026.0</v>
      </c>
      <c r="B3056" s="4">
        <v>451.0</v>
      </c>
      <c r="C3056" s="13">
        <v>128.0</v>
      </c>
      <c r="D3056" s="13">
        <v>38.0</v>
      </c>
      <c r="E3056" s="13">
        <v>320.0</v>
      </c>
    </row>
    <row r="3057">
      <c r="A3057" s="13">
        <v>8103016.0</v>
      </c>
      <c r="B3057" s="4">
        <v>457.0</v>
      </c>
      <c r="C3057" s="13">
        <v>67.0</v>
      </c>
      <c r="D3057" s="13">
        <v>23.0</v>
      </c>
      <c r="E3057" s="13">
        <v>3.0</v>
      </c>
    </row>
    <row r="3058">
      <c r="A3058" s="13">
        <v>8171063.0</v>
      </c>
      <c r="B3058" s="4">
        <v>451.0</v>
      </c>
      <c r="C3058" s="13">
        <v>84.0</v>
      </c>
      <c r="D3058" s="13">
        <v>31.0</v>
      </c>
      <c r="E3058" s="13">
        <v>180.0</v>
      </c>
    </row>
    <row r="3059">
      <c r="A3059" s="13">
        <v>8106011.0</v>
      </c>
      <c r="B3059" s="4">
        <v>460.0</v>
      </c>
      <c r="C3059" s="13">
        <v>41.0</v>
      </c>
      <c r="D3059" s="13">
        <v>55.0</v>
      </c>
      <c r="E3059" s="13">
        <v>182.0</v>
      </c>
    </row>
    <row r="3060">
      <c r="A3060" s="13">
        <v>8103042.0</v>
      </c>
      <c r="B3060" s="4">
        <v>457.0</v>
      </c>
      <c r="C3060" s="13">
        <v>202.0</v>
      </c>
      <c r="D3060" s="13">
        <v>91.0</v>
      </c>
      <c r="E3060" s="13">
        <v>280.0</v>
      </c>
    </row>
    <row r="3061">
      <c r="A3061" s="13">
        <v>8101063.0</v>
      </c>
      <c r="B3061" s="4">
        <v>453.0</v>
      </c>
      <c r="C3061" s="13">
        <v>84.0</v>
      </c>
      <c r="D3061" s="13">
        <v>15.0</v>
      </c>
      <c r="E3061" s="13">
        <v>195.0</v>
      </c>
    </row>
    <row r="3062">
      <c r="A3062" s="13">
        <v>8171124.0</v>
      </c>
      <c r="B3062" s="4">
        <v>451.0</v>
      </c>
      <c r="C3062" s="13">
        <v>157.0</v>
      </c>
      <c r="D3062" s="13">
        <v>41.0</v>
      </c>
      <c r="E3062" s="13">
        <v>67.0</v>
      </c>
    </row>
    <row r="3063">
      <c r="A3063" s="13">
        <v>8171085.0</v>
      </c>
      <c r="B3063" s="4">
        <v>451.0</v>
      </c>
      <c r="C3063" s="13">
        <v>57.0</v>
      </c>
      <c r="D3063" s="13">
        <v>23.0</v>
      </c>
      <c r="E3063" s="13">
        <v>64.0</v>
      </c>
    </row>
    <row r="3064">
      <c r="A3064" s="13">
        <v>8105019.0</v>
      </c>
      <c r="B3064" s="4">
        <v>461.0</v>
      </c>
      <c r="C3064" s="13">
        <v>98.0</v>
      </c>
      <c r="D3064" s="13">
        <v>28.0</v>
      </c>
      <c r="E3064" s="13">
        <v>335.0</v>
      </c>
    </row>
    <row r="3065">
      <c r="A3065" s="13">
        <v>8171121.0</v>
      </c>
      <c r="B3065" s="4">
        <v>451.0</v>
      </c>
      <c r="C3065" s="13">
        <v>112.0</v>
      </c>
      <c r="D3065" s="13">
        <v>42.0</v>
      </c>
      <c r="E3065" s="13">
        <v>164.0</v>
      </c>
    </row>
    <row r="3066">
      <c r="A3066" s="13">
        <v>8106010.0</v>
      </c>
      <c r="B3066" s="4">
        <v>460.0</v>
      </c>
      <c r="C3066" s="13">
        <v>156.0</v>
      </c>
      <c r="D3066" s="13">
        <v>21.0</v>
      </c>
      <c r="E3066" s="13">
        <v>15.0</v>
      </c>
    </row>
    <row r="3067">
      <c r="A3067" s="13">
        <v>8171110.0</v>
      </c>
      <c r="B3067" s="4">
        <v>451.0</v>
      </c>
      <c r="C3067" s="13">
        <v>113.0</v>
      </c>
      <c r="D3067" s="13">
        <v>30.0</v>
      </c>
      <c r="E3067" s="13">
        <v>92.0</v>
      </c>
    </row>
    <row r="3068">
      <c r="A3068" s="13">
        <v>8101015.0</v>
      </c>
      <c r="B3068" s="4">
        <v>459.0</v>
      </c>
      <c r="C3068" s="13">
        <v>176.0</v>
      </c>
      <c r="D3068" s="13">
        <v>84.0</v>
      </c>
      <c r="E3068" s="13">
        <v>253.0</v>
      </c>
    </row>
    <row r="3069">
      <c r="A3069" s="13">
        <v>8205032.0</v>
      </c>
      <c r="B3069" s="4">
        <v>462.0</v>
      </c>
      <c r="C3069" s="13">
        <v>163.0</v>
      </c>
      <c r="D3069" s="13">
        <v>31.0</v>
      </c>
      <c r="E3069" s="13">
        <v>147.0</v>
      </c>
    </row>
    <row r="3070">
      <c r="A3070" s="13">
        <v>8271031.0</v>
      </c>
      <c r="B3070" s="4">
        <v>463.0</v>
      </c>
      <c r="C3070" s="13">
        <v>79.0</v>
      </c>
      <c r="D3070" s="13">
        <v>35.0</v>
      </c>
      <c r="E3070" s="13">
        <v>129.0</v>
      </c>
    </row>
    <row r="3071">
      <c r="A3071" s="13">
        <v>8201021.0</v>
      </c>
      <c r="B3071" s="4">
        <v>464.0</v>
      </c>
      <c r="C3071" s="13">
        <v>126.0</v>
      </c>
      <c r="D3071" s="13">
        <v>34.0</v>
      </c>
      <c r="E3071" s="13">
        <v>337.0</v>
      </c>
    </row>
    <row r="3072">
      <c r="A3072" s="13">
        <v>8272003.0</v>
      </c>
      <c r="B3072" s="4">
        <v>465.0</v>
      </c>
      <c r="C3072" s="13">
        <v>63.0</v>
      </c>
      <c r="D3072" s="13">
        <v>23.0</v>
      </c>
      <c r="E3072" s="13">
        <v>63.0</v>
      </c>
    </row>
    <row r="3073">
      <c r="A3073" s="13">
        <v>8203020.0</v>
      </c>
      <c r="B3073" s="4">
        <v>466.0</v>
      </c>
      <c r="C3073" s="13">
        <v>73.0</v>
      </c>
      <c r="D3073" s="13">
        <v>27.0</v>
      </c>
      <c r="E3073" s="13">
        <v>135.0</v>
      </c>
    </row>
    <row r="3074">
      <c r="A3074" s="13">
        <v>8204011.0</v>
      </c>
      <c r="B3074" s="4">
        <v>467.0</v>
      </c>
      <c r="C3074" s="13">
        <v>20.0</v>
      </c>
      <c r="D3074" s="13">
        <v>8.0</v>
      </c>
      <c r="E3074" s="13">
        <v>11.0</v>
      </c>
    </row>
    <row r="3075">
      <c r="A3075" s="13">
        <v>8206012.0</v>
      </c>
      <c r="B3075" s="4">
        <v>468.0</v>
      </c>
      <c r="C3075" s="13">
        <v>76.0</v>
      </c>
      <c r="D3075" s="13">
        <v>43.0</v>
      </c>
      <c r="E3075" s="13">
        <v>162.0</v>
      </c>
    </row>
    <row r="3076">
      <c r="A3076" s="13">
        <v>8205021.0</v>
      </c>
      <c r="B3076" s="4">
        <v>469.0</v>
      </c>
      <c r="C3076" s="13">
        <v>99.0</v>
      </c>
      <c r="D3076" s="13">
        <v>28.0</v>
      </c>
      <c r="E3076" s="13">
        <v>237.0</v>
      </c>
    </row>
    <row r="3077">
      <c r="A3077" s="13">
        <v>8271070.0</v>
      </c>
      <c r="B3077" s="4">
        <v>463.0</v>
      </c>
      <c r="C3077" s="13">
        <v>33.0</v>
      </c>
      <c r="D3077" s="13">
        <v>15.0</v>
      </c>
      <c r="E3077" s="13">
        <v>182.0</v>
      </c>
    </row>
    <row r="3078">
      <c r="A3078" s="13">
        <v>8271020.0</v>
      </c>
      <c r="B3078" s="4">
        <v>463.0</v>
      </c>
      <c r="C3078" s="13">
        <v>52.0</v>
      </c>
      <c r="D3078" s="13">
        <v>14.0</v>
      </c>
      <c r="E3078" s="13">
        <v>79.0</v>
      </c>
    </row>
    <row r="3079">
      <c r="A3079" s="13">
        <v>8272004.0</v>
      </c>
      <c r="B3079" s="4">
        <v>465.0</v>
      </c>
      <c r="C3079" s="13">
        <v>32.0</v>
      </c>
      <c r="D3079" s="13">
        <v>12.0</v>
      </c>
      <c r="E3079" s="13">
        <v>22.0</v>
      </c>
    </row>
    <row r="3080">
      <c r="A3080" s="13">
        <v>8208001.0</v>
      </c>
      <c r="B3080" s="4">
        <v>470.0</v>
      </c>
      <c r="C3080" s="13">
        <v>31.0</v>
      </c>
      <c r="D3080" s="13">
        <v>12.0</v>
      </c>
      <c r="E3080" s="13">
        <v>72.0</v>
      </c>
    </row>
    <row r="3081">
      <c r="A3081" s="13">
        <v>8201010.0</v>
      </c>
      <c r="B3081" s="4">
        <v>471.0</v>
      </c>
      <c r="C3081" s="13">
        <v>200.0</v>
      </c>
      <c r="D3081" s="13">
        <v>37.0</v>
      </c>
      <c r="E3081" s="13">
        <v>479.0</v>
      </c>
    </row>
    <row r="3082">
      <c r="A3082" s="13">
        <v>8271042.0</v>
      </c>
      <c r="B3082" s="4">
        <v>463.0</v>
      </c>
      <c r="C3082" s="13">
        <v>44.0</v>
      </c>
      <c r="D3082" s="13">
        <v>24.0</v>
      </c>
      <c r="E3082" s="13">
        <v>56.0</v>
      </c>
    </row>
    <row r="3083">
      <c r="A3083" s="13">
        <v>8202043.0</v>
      </c>
      <c r="B3083" s="4">
        <v>465.0</v>
      </c>
      <c r="C3083" s="13">
        <v>151.0</v>
      </c>
      <c r="D3083" s="13">
        <v>56.0</v>
      </c>
      <c r="E3083" s="13">
        <v>515.0</v>
      </c>
    </row>
    <row r="3084">
      <c r="A3084" s="13">
        <v>8271058.0</v>
      </c>
      <c r="B3084" s="4">
        <v>463.0</v>
      </c>
      <c r="C3084" s="13">
        <v>38.0</v>
      </c>
      <c r="D3084" s="13">
        <v>28.0</v>
      </c>
      <c r="E3084" s="13">
        <v>182.0</v>
      </c>
    </row>
    <row r="3085">
      <c r="A3085" s="13">
        <v>8204010.0</v>
      </c>
      <c r="B3085" s="4">
        <v>467.0</v>
      </c>
      <c r="C3085" s="13">
        <v>143.0</v>
      </c>
      <c r="D3085" s="13">
        <v>52.0</v>
      </c>
      <c r="E3085" s="13">
        <v>420.0</v>
      </c>
    </row>
    <row r="3086">
      <c r="A3086" s="13">
        <v>8271057.0</v>
      </c>
      <c r="B3086" s="4">
        <v>463.0</v>
      </c>
      <c r="C3086" s="13">
        <v>58.0</v>
      </c>
      <c r="D3086" s="13">
        <v>21.0</v>
      </c>
      <c r="E3086" s="13">
        <v>54.0</v>
      </c>
    </row>
    <row r="3087">
      <c r="A3087" s="13">
        <v>8205033.0</v>
      </c>
      <c r="B3087" s="4">
        <v>471.0</v>
      </c>
      <c r="C3087" s="13">
        <v>66.0</v>
      </c>
      <c r="D3087" s="13">
        <v>22.0</v>
      </c>
      <c r="E3087" s="13">
        <v>67.0</v>
      </c>
    </row>
    <row r="3088">
      <c r="A3088" s="13">
        <v>8271016.0</v>
      </c>
      <c r="B3088" s="4">
        <v>463.0</v>
      </c>
      <c r="C3088" s="13">
        <v>292.0</v>
      </c>
      <c r="D3088" s="13">
        <v>95.0</v>
      </c>
      <c r="E3088" s="13">
        <v>752.0</v>
      </c>
    </row>
    <row r="3089">
      <c r="A3089" s="13">
        <v>8271069.0</v>
      </c>
      <c r="B3089" s="4">
        <v>463.0</v>
      </c>
      <c r="C3089" s="13">
        <v>31.0</v>
      </c>
      <c r="D3089" s="13">
        <v>18.0</v>
      </c>
      <c r="E3089" s="13">
        <v>182.0</v>
      </c>
    </row>
    <row r="3090">
      <c r="A3090" s="13">
        <v>8204012.0</v>
      </c>
      <c r="B3090" s="4">
        <v>467.0</v>
      </c>
      <c r="C3090" s="13">
        <v>66.0</v>
      </c>
      <c r="D3090" s="13">
        <v>7.0</v>
      </c>
      <c r="E3090" s="13">
        <v>43.0</v>
      </c>
    </row>
    <row r="3091">
      <c r="A3091" s="13">
        <v>9106013.0</v>
      </c>
      <c r="B3091" s="4">
        <v>472.0</v>
      </c>
      <c r="C3091" s="13">
        <v>82.0</v>
      </c>
      <c r="D3091" s="13">
        <v>58.0</v>
      </c>
      <c r="E3091" s="13">
        <v>263.0</v>
      </c>
    </row>
    <row r="3092">
      <c r="A3092" s="13">
        <v>9108002.0</v>
      </c>
      <c r="B3092" s="4">
        <v>473.0</v>
      </c>
      <c r="C3092" s="13">
        <v>182.0</v>
      </c>
      <c r="D3092" s="13">
        <v>17.0</v>
      </c>
      <c r="E3092" s="13">
        <v>100.0</v>
      </c>
    </row>
    <row r="3093">
      <c r="A3093" s="13">
        <v>9110011.0</v>
      </c>
      <c r="B3093" s="4">
        <v>474.0</v>
      </c>
      <c r="C3093" s="13">
        <v>4.0</v>
      </c>
      <c r="D3093" s="13">
        <v>8.0</v>
      </c>
      <c r="E3093" s="13">
        <v>182.0</v>
      </c>
    </row>
    <row r="3094">
      <c r="A3094" s="13">
        <v>9109002.0</v>
      </c>
      <c r="B3094" s="4">
        <v>475.0</v>
      </c>
      <c r="C3094" s="13">
        <v>39.0</v>
      </c>
      <c r="D3094" s="13">
        <v>15.0</v>
      </c>
      <c r="E3094" s="13">
        <v>182.0</v>
      </c>
    </row>
    <row r="3095">
      <c r="A3095" s="13">
        <v>9102022.0</v>
      </c>
      <c r="B3095" s="4">
        <v>476.0</v>
      </c>
      <c r="C3095" s="13">
        <v>60.0</v>
      </c>
      <c r="D3095" s="13">
        <v>27.0</v>
      </c>
      <c r="E3095" s="13">
        <v>4.0</v>
      </c>
    </row>
    <row r="3096">
      <c r="A3096" s="13">
        <v>9105017.0</v>
      </c>
      <c r="B3096" s="4">
        <v>476.0</v>
      </c>
      <c r="C3096" s="13">
        <v>55.0</v>
      </c>
      <c r="D3096" s="13">
        <v>17.0</v>
      </c>
      <c r="E3096" s="13">
        <v>182.0</v>
      </c>
    </row>
    <row r="3097">
      <c r="A3097" s="13">
        <v>9102034.0</v>
      </c>
      <c r="B3097" s="4">
        <v>477.0</v>
      </c>
      <c r="C3097" s="13">
        <v>100.0</v>
      </c>
      <c r="D3097" s="13">
        <v>32.0</v>
      </c>
      <c r="E3097" s="13">
        <v>270.0</v>
      </c>
    </row>
    <row r="3098">
      <c r="A3098" s="13">
        <v>9103035.0</v>
      </c>
      <c r="B3098" s="4">
        <v>478.0</v>
      </c>
      <c r="C3098" s="13">
        <v>103.0</v>
      </c>
      <c r="D3098" s="13">
        <v>22.0</v>
      </c>
      <c r="E3098" s="13">
        <v>218.0</v>
      </c>
    </row>
    <row r="3099">
      <c r="A3099" s="13">
        <v>9171010.0</v>
      </c>
      <c r="B3099" s="4">
        <v>479.0</v>
      </c>
      <c r="C3099" s="13">
        <v>220.0</v>
      </c>
      <c r="D3099" s="13">
        <v>43.0</v>
      </c>
      <c r="E3099" s="13">
        <v>323.0</v>
      </c>
    </row>
    <row r="3100">
      <c r="A3100" s="13">
        <v>9171047.0</v>
      </c>
      <c r="B3100" s="4">
        <v>480.0</v>
      </c>
      <c r="C3100" s="13">
        <v>92.0</v>
      </c>
      <c r="D3100" s="13">
        <v>18.0</v>
      </c>
      <c r="E3100" s="13">
        <v>93.0</v>
      </c>
    </row>
    <row r="3101">
      <c r="A3101" s="13">
        <v>9105005.0</v>
      </c>
      <c r="B3101" s="4">
        <v>476.0</v>
      </c>
      <c r="C3101" s="13">
        <v>53.0</v>
      </c>
      <c r="D3101" s="13">
        <v>15.0</v>
      </c>
      <c r="E3101" s="13">
        <v>60.0</v>
      </c>
    </row>
    <row r="3102">
      <c r="A3102" s="13">
        <v>9111001.0</v>
      </c>
      <c r="B3102" s="4">
        <v>481.0</v>
      </c>
      <c r="C3102" s="13">
        <v>62.0</v>
      </c>
      <c r="D3102" s="13">
        <v>20.0</v>
      </c>
      <c r="E3102" s="13">
        <v>182.0</v>
      </c>
    </row>
    <row r="3103">
      <c r="A3103" s="13">
        <v>9171032.0</v>
      </c>
      <c r="B3103" s="4">
        <v>480.0</v>
      </c>
      <c r="C3103" s="13">
        <v>149.0</v>
      </c>
      <c r="D3103" s="13">
        <v>30.0</v>
      </c>
      <c r="E3103" s="13">
        <v>380.0</v>
      </c>
    </row>
    <row r="3104">
      <c r="A3104" s="13">
        <v>9271034.0</v>
      </c>
      <c r="B3104" s="4">
        <v>480.0</v>
      </c>
      <c r="C3104" s="13">
        <v>47.0</v>
      </c>
      <c r="D3104" s="13">
        <v>15.0</v>
      </c>
      <c r="E3104" s="13">
        <v>26.0</v>
      </c>
    </row>
    <row r="3105">
      <c r="A3105" s="13">
        <v>9107002.0</v>
      </c>
      <c r="B3105" s="4">
        <v>480.0</v>
      </c>
      <c r="C3105" s="13">
        <v>63.0</v>
      </c>
      <c r="D3105" s="13">
        <v>40.0</v>
      </c>
      <c r="E3105" s="13">
        <v>141.0</v>
      </c>
    </row>
    <row r="3106">
      <c r="A3106" s="13">
        <v>9101010.0</v>
      </c>
      <c r="B3106" s="4">
        <v>482.0</v>
      </c>
      <c r="C3106" s="13">
        <v>132.0</v>
      </c>
      <c r="D3106" s="13">
        <v>25.0</v>
      </c>
      <c r="E3106" s="13">
        <v>284.0</v>
      </c>
    </row>
    <row r="3107">
      <c r="A3107" s="13">
        <v>9104002.0</v>
      </c>
      <c r="B3107" s="4">
        <v>483.0</v>
      </c>
      <c r="C3107" s="13">
        <v>97.0</v>
      </c>
      <c r="D3107" s="13">
        <v>32.0</v>
      </c>
      <c r="E3107" s="13">
        <v>233.0</v>
      </c>
    </row>
    <row r="3108">
      <c r="A3108" s="13">
        <v>9102011.0</v>
      </c>
      <c r="B3108" s="4">
        <v>476.0</v>
      </c>
      <c r="C3108" s="13">
        <v>160.0</v>
      </c>
      <c r="D3108" s="13">
        <v>26.0</v>
      </c>
      <c r="E3108" s="13">
        <v>442.0</v>
      </c>
    </row>
    <row r="3109">
      <c r="A3109" s="13">
        <v>9102033.0</v>
      </c>
      <c r="B3109" s="4">
        <v>476.0</v>
      </c>
      <c r="C3109" s="13">
        <v>118.0</v>
      </c>
      <c r="D3109" s="13">
        <v>23.0</v>
      </c>
      <c r="E3109" s="13">
        <v>170.0</v>
      </c>
    </row>
    <row r="3110">
      <c r="A3110" s="13">
        <v>9105004.0</v>
      </c>
      <c r="B3110" s="4">
        <v>476.0</v>
      </c>
      <c r="C3110" s="13">
        <v>50.0</v>
      </c>
      <c r="D3110" s="13">
        <v>23.0</v>
      </c>
      <c r="E3110" s="13">
        <v>78.0</v>
      </c>
    </row>
    <row r="3111">
      <c r="A3111" s="13">
        <v>9105006.0</v>
      </c>
      <c r="B3111" s="4">
        <v>476.0</v>
      </c>
      <c r="C3111" s="13">
        <v>192.0</v>
      </c>
      <c r="D3111" s="13">
        <v>33.0</v>
      </c>
      <c r="E3111" s="13">
        <v>313.0</v>
      </c>
    </row>
    <row r="3112">
      <c r="A3112" s="13">
        <v>9171046.0</v>
      </c>
      <c r="B3112" s="4">
        <v>480.0</v>
      </c>
      <c r="C3112" s="13">
        <v>55.0</v>
      </c>
      <c r="D3112" s="13">
        <v>18.0</v>
      </c>
      <c r="E3112" s="13">
        <v>67.0</v>
      </c>
    </row>
    <row r="3113">
      <c r="A3113" s="13">
        <v>9171021.0</v>
      </c>
      <c r="B3113" s="4">
        <v>480.0</v>
      </c>
      <c r="C3113" s="13">
        <v>50.0</v>
      </c>
      <c r="D3113" s="13">
        <v>34.0</v>
      </c>
      <c r="E3113" s="13">
        <v>61.0</v>
      </c>
    </row>
    <row r="3114">
      <c r="A3114" s="13">
        <v>9204014.0</v>
      </c>
      <c r="B3114" s="4">
        <v>484.0</v>
      </c>
      <c r="C3114" s="13">
        <v>125.0</v>
      </c>
      <c r="D3114" s="13">
        <v>42.0</v>
      </c>
      <c r="E3114" s="13">
        <v>78.0</v>
      </c>
    </row>
    <row r="3115">
      <c r="A3115" s="13">
        <v>9212028.0</v>
      </c>
      <c r="B3115" s="4">
        <v>485.0</v>
      </c>
      <c r="C3115" s="13">
        <v>102.0</v>
      </c>
      <c r="D3115" s="13">
        <v>1.0</v>
      </c>
      <c r="E3115" s="13">
        <v>182.0</v>
      </c>
    </row>
    <row r="3116">
      <c r="A3116" s="13">
        <v>9203015.0</v>
      </c>
      <c r="B3116" s="4">
        <v>486.0</v>
      </c>
      <c r="C3116" s="13">
        <v>108.0</v>
      </c>
      <c r="D3116" s="13">
        <v>32.0</v>
      </c>
      <c r="E3116" s="13">
        <v>164.0</v>
      </c>
    </row>
    <row r="3117">
      <c r="A3117" s="13">
        <v>9201011.0</v>
      </c>
      <c r="B3117" s="4">
        <v>485.0</v>
      </c>
      <c r="C3117" s="13">
        <v>140.0</v>
      </c>
      <c r="D3117" s="13">
        <v>27.0</v>
      </c>
      <c r="E3117" s="13">
        <v>331.0</v>
      </c>
    </row>
    <row r="3118">
      <c r="A3118" s="13">
        <v>9228002.0</v>
      </c>
      <c r="B3118" s="4">
        <v>487.0</v>
      </c>
      <c r="C3118" s="13">
        <v>1220.0</v>
      </c>
      <c r="D3118" s="13">
        <v>50.0</v>
      </c>
      <c r="E3118" s="13">
        <v>20.0</v>
      </c>
    </row>
    <row r="3119">
      <c r="A3119" s="13">
        <v>9271045.0</v>
      </c>
      <c r="B3119" s="4">
        <v>486.0</v>
      </c>
      <c r="C3119" s="13">
        <v>76.0</v>
      </c>
      <c r="D3119" s="13">
        <v>20.0</v>
      </c>
      <c r="E3119" s="13">
        <v>80.0</v>
      </c>
    </row>
    <row r="3120">
      <c r="A3120" s="13">
        <v>9226002.0</v>
      </c>
      <c r="B3120" s="4">
        <v>488.0</v>
      </c>
      <c r="C3120" s="13">
        <v>14.0</v>
      </c>
      <c r="D3120" s="13">
        <v>6.0</v>
      </c>
      <c r="E3120" s="13">
        <v>182.0</v>
      </c>
    </row>
    <row r="3121">
      <c r="A3121" s="13">
        <v>9234003.0</v>
      </c>
      <c r="B3121" s="4">
        <v>489.0</v>
      </c>
      <c r="C3121" s="13">
        <v>25.0</v>
      </c>
      <c r="D3121" s="13">
        <v>11.0</v>
      </c>
      <c r="E3121" s="13">
        <v>182.0</v>
      </c>
    </row>
    <row r="3122">
      <c r="A3122" s="13">
        <v>9201035.0</v>
      </c>
      <c r="B3122" s="4">
        <v>490.0</v>
      </c>
      <c r="C3122" s="13">
        <v>92.0</v>
      </c>
      <c r="D3122" s="13">
        <v>36.0</v>
      </c>
      <c r="E3122" s="13">
        <v>38.0</v>
      </c>
    </row>
    <row r="3123">
      <c r="A3123" s="13">
        <v>9205030.0</v>
      </c>
      <c r="B3123" s="4">
        <v>491.0</v>
      </c>
      <c r="C3123" s="13">
        <v>103.0</v>
      </c>
      <c r="D3123" s="13">
        <v>41.0</v>
      </c>
      <c r="E3123" s="13">
        <v>26.0</v>
      </c>
    </row>
    <row r="3124">
      <c r="A3124" s="13">
        <v>9236003.0</v>
      </c>
      <c r="B3124" s="4">
        <v>492.0</v>
      </c>
      <c r="C3124" s="13">
        <v>16.0</v>
      </c>
      <c r="D3124" s="13">
        <v>8.0</v>
      </c>
      <c r="E3124" s="13">
        <v>182.0</v>
      </c>
    </row>
    <row r="3125">
      <c r="A3125" s="13">
        <v>9227011.0</v>
      </c>
      <c r="B3125" s="4">
        <v>493.0</v>
      </c>
      <c r="C3125" s="13">
        <v>46.0</v>
      </c>
      <c r="D3125" s="13">
        <v>24.0</v>
      </c>
      <c r="E3125" s="13">
        <v>136.0</v>
      </c>
    </row>
    <row r="3126">
      <c r="A3126" s="13">
        <v>9202012.0</v>
      </c>
      <c r="B3126" s="4">
        <v>494.0</v>
      </c>
      <c r="C3126" s="13">
        <v>267.0</v>
      </c>
      <c r="D3126" s="13">
        <v>47.0</v>
      </c>
      <c r="E3126" s="13">
        <v>49.0</v>
      </c>
    </row>
    <row r="3127">
      <c r="A3127" s="13">
        <v>9271079.0</v>
      </c>
      <c r="B3127" s="4">
        <v>486.0</v>
      </c>
      <c r="C3127" s="13">
        <v>124.0</v>
      </c>
      <c r="D3127" s="13">
        <v>44.0</v>
      </c>
      <c r="E3127" s="13">
        <v>204.0</v>
      </c>
    </row>
    <row r="3128">
      <c r="A3128" s="13">
        <v>9271067.0</v>
      </c>
      <c r="B3128" s="4">
        <v>486.0</v>
      </c>
      <c r="C3128" s="13">
        <v>132.0</v>
      </c>
      <c r="D3128" s="13">
        <v>39.0</v>
      </c>
      <c r="E3128" s="13">
        <v>340.0</v>
      </c>
    </row>
    <row r="3129">
      <c r="A3129" s="13">
        <v>9219044.0</v>
      </c>
      <c r="B3129" s="4">
        <v>495.0</v>
      </c>
      <c r="C3129" s="13">
        <v>63.0</v>
      </c>
      <c r="D3129" s="13">
        <v>13.0</v>
      </c>
      <c r="E3129" s="13">
        <v>182.0</v>
      </c>
    </row>
    <row r="3130">
      <c r="A3130" s="13">
        <v>9230002.0</v>
      </c>
      <c r="B3130" s="4">
        <v>496.0</v>
      </c>
      <c r="C3130" s="13">
        <v>85.0</v>
      </c>
      <c r="D3130" s="13">
        <v>27.0</v>
      </c>
      <c r="E3130" s="13">
        <v>13.0</v>
      </c>
    </row>
    <row r="3131">
      <c r="A3131" s="13">
        <v>9202014.0</v>
      </c>
      <c r="B3131" s="4">
        <v>497.0</v>
      </c>
      <c r="C3131" s="13">
        <v>89.0</v>
      </c>
      <c r="D3131" s="13">
        <v>23.0</v>
      </c>
      <c r="E3131" s="13">
        <v>20.0</v>
      </c>
    </row>
    <row r="3132">
      <c r="A3132" s="13">
        <v>9202023.0</v>
      </c>
      <c r="B3132" s="4">
        <v>498.0</v>
      </c>
      <c r="C3132" s="13">
        <v>135.0</v>
      </c>
      <c r="D3132" s="13">
        <v>26.0</v>
      </c>
      <c r="E3132" s="13">
        <v>309.0</v>
      </c>
    </row>
    <row r="3133">
      <c r="A3133" s="13">
        <v>9271012.0</v>
      </c>
      <c r="B3133" s="4">
        <v>486.0</v>
      </c>
      <c r="C3133" s="13">
        <v>300.0</v>
      </c>
      <c r="D3133" s="13">
        <v>37.0</v>
      </c>
      <c r="E3133" s="13">
        <v>522.0</v>
      </c>
    </row>
    <row r="3134">
      <c r="A3134" s="13">
        <v>9271080.0</v>
      </c>
      <c r="B3134" s="4">
        <v>486.0</v>
      </c>
      <c r="C3134" s="13">
        <v>55.0</v>
      </c>
      <c r="D3134" s="13">
        <v>25.0</v>
      </c>
      <c r="E3134" s="13">
        <v>47.0</v>
      </c>
    </row>
    <row r="3135">
      <c r="A3135" s="13">
        <v>9212013.0</v>
      </c>
      <c r="B3135" s="4">
        <v>485.0</v>
      </c>
      <c r="C3135" s="13">
        <v>60.0</v>
      </c>
      <c r="D3135" s="13">
        <v>30.0</v>
      </c>
      <c r="E3135" s="13">
        <v>59.0</v>
      </c>
    </row>
    <row r="3136">
      <c r="A3136" s="13">
        <v>9229002.0</v>
      </c>
      <c r="B3136" s="4">
        <v>499.0</v>
      </c>
      <c r="C3136" s="13">
        <v>102.0</v>
      </c>
      <c r="D3136" s="13">
        <v>29.0</v>
      </c>
      <c r="E3136" s="13">
        <v>9.0</v>
      </c>
    </row>
    <row r="3137">
      <c r="A3137" s="13">
        <v>9217013.0</v>
      </c>
      <c r="B3137" s="4">
        <v>500.0</v>
      </c>
      <c r="C3137" s="13">
        <v>61.0</v>
      </c>
      <c r="D3137" s="13">
        <v>17.0</v>
      </c>
      <c r="E3137" s="13">
        <v>86.0</v>
      </c>
    </row>
    <row r="3138">
      <c r="A3138" s="13">
        <v>9214012.0</v>
      </c>
      <c r="B3138" s="4">
        <v>501.0</v>
      </c>
      <c r="C3138" s="13">
        <v>142.0</v>
      </c>
      <c r="D3138" s="13">
        <v>27.0</v>
      </c>
      <c r="E3138" s="13">
        <v>142.0</v>
      </c>
    </row>
    <row r="3139">
      <c r="A3139" s="13">
        <v>9201034.0</v>
      </c>
      <c r="B3139" s="4">
        <v>490.0</v>
      </c>
      <c r="C3139" s="13">
        <v>101.0</v>
      </c>
      <c r="D3139" s="13">
        <v>32.0</v>
      </c>
      <c r="E3139" s="13">
        <v>117.0</v>
      </c>
    </row>
    <row r="3140">
      <c r="A3140" s="13">
        <v>9205015.0</v>
      </c>
      <c r="B3140" s="4">
        <v>491.0</v>
      </c>
      <c r="C3140" s="13">
        <v>380.0</v>
      </c>
      <c r="D3140" s="13">
        <v>55.0</v>
      </c>
      <c r="E3140" s="13">
        <v>577.0</v>
      </c>
    </row>
    <row r="3141">
      <c r="A3141" s="13">
        <v>9235002.0</v>
      </c>
      <c r="B3141" s="4">
        <v>502.0</v>
      </c>
      <c r="C3141" s="13">
        <v>14.0</v>
      </c>
      <c r="D3141" s="13">
        <v>6.0</v>
      </c>
      <c r="E3141" s="13">
        <v>17.0</v>
      </c>
    </row>
    <row r="3142">
      <c r="A3142" s="13">
        <v>9233011.0</v>
      </c>
      <c r="B3142" s="4">
        <v>503.0</v>
      </c>
      <c r="C3142" s="13">
        <v>58.0</v>
      </c>
      <c r="D3142" s="13">
        <v>6.0</v>
      </c>
      <c r="E3142" s="13">
        <v>182.0</v>
      </c>
    </row>
    <row r="3143">
      <c r="A3143" s="13">
        <v>9203016.0</v>
      </c>
      <c r="B3143" s="4">
        <v>486.0</v>
      </c>
      <c r="C3143" s="13">
        <v>133.0</v>
      </c>
      <c r="D3143" s="13">
        <v>49.0</v>
      </c>
      <c r="E3143" s="13">
        <v>376.0</v>
      </c>
    </row>
    <row r="3144">
      <c r="A3144" s="13">
        <v>9211010.0</v>
      </c>
      <c r="B3144" s="4">
        <v>504.0</v>
      </c>
      <c r="C3144" s="13">
        <v>81.0</v>
      </c>
      <c r="D3144" s="13">
        <v>26.0</v>
      </c>
      <c r="E3144" s="13">
        <v>148.0</v>
      </c>
    </row>
    <row r="3145">
      <c r="A3145" s="13">
        <v>9201012.0</v>
      </c>
      <c r="B3145" s="4">
        <v>490.0</v>
      </c>
      <c r="C3145" s="13">
        <v>222.0</v>
      </c>
      <c r="D3145" s="13">
        <v>37.0</v>
      </c>
      <c r="E3145" s="13">
        <v>466.0</v>
      </c>
    </row>
    <row r="3146">
      <c r="A3146" s="13">
        <v>9271056.0</v>
      </c>
      <c r="B3146" s="4">
        <v>486.0</v>
      </c>
      <c r="C3146" s="13">
        <v>147.0</v>
      </c>
      <c r="D3146" s="13">
        <v>82.0</v>
      </c>
      <c r="E3146" s="13">
        <v>336.0</v>
      </c>
    </row>
    <row r="3147">
      <c r="A3147" s="13">
        <v>9212011.0</v>
      </c>
      <c r="B3147" s="4">
        <v>485.0</v>
      </c>
      <c r="C3147" s="13">
        <v>186.0</v>
      </c>
      <c r="D3147" s="13">
        <v>32.0</v>
      </c>
      <c r="E3147" s="13">
        <v>241.0</v>
      </c>
    </row>
    <row r="3148">
      <c r="A3148" s="13">
        <v>9213038.0</v>
      </c>
      <c r="B3148" s="4">
        <v>505.0</v>
      </c>
      <c r="C3148" s="13">
        <v>32.0</v>
      </c>
      <c r="D3148" s="13">
        <v>6.0</v>
      </c>
      <c r="E3148" s="13">
        <v>29.0</v>
      </c>
    </row>
    <row r="3149">
      <c r="A3149" s="13">
        <v>9271078.0</v>
      </c>
      <c r="B3149" s="4">
        <v>506.0</v>
      </c>
      <c r="C3149" s="13">
        <v>130.0</v>
      </c>
      <c r="D3149" s="13">
        <v>47.0</v>
      </c>
      <c r="E3149" s="13">
        <v>253.0</v>
      </c>
    </row>
    <row r="3150">
      <c r="A3150" s="13">
        <v>9218002.0</v>
      </c>
      <c r="B3150" s="4">
        <v>507.0</v>
      </c>
      <c r="C3150" s="13">
        <v>37.0</v>
      </c>
      <c r="D3150" s="13">
        <v>29.0</v>
      </c>
      <c r="E3150" s="13">
        <v>147.0</v>
      </c>
    </row>
    <row r="3151">
      <c r="A3151" s="13">
        <v>9215011.0</v>
      </c>
      <c r="B3151" s="4">
        <v>508.0</v>
      </c>
      <c r="C3151" s="13">
        <v>104.0</v>
      </c>
      <c r="D3151" s="13">
        <v>24.0</v>
      </c>
      <c r="E3151" s="13">
        <v>261.0</v>
      </c>
    </row>
    <row r="3152">
      <c r="A3152" s="13">
        <v>9213039.0</v>
      </c>
      <c r="B3152" s="4">
        <v>505.0</v>
      </c>
      <c r="C3152" s="13">
        <v>102.0</v>
      </c>
      <c r="D3152" s="13">
        <v>23.0</v>
      </c>
      <c r="E3152" s="13">
        <v>112.0</v>
      </c>
    </row>
    <row r="3153">
      <c r="A3153" s="13">
        <v>9220043.0</v>
      </c>
      <c r="B3153" s="4">
        <v>509.0</v>
      </c>
      <c r="C3153" s="13">
        <v>86.0</v>
      </c>
      <c r="D3153" s="13">
        <v>19.0</v>
      </c>
      <c r="E3153" s="13">
        <v>164.0</v>
      </c>
    </row>
    <row r="3154">
      <c r="A3154" s="13">
        <v>9232011.0</v>
      </c>
      <c r="B3154" s="4">
        <v>510.0</v>
      </c>
      <c r="C3154" s="13">
        <v>35.0</v>
      </c>
      <c r="D3154" s="13">
        <v>18.0</v>
      </c>
      <c r="E3154" s="13">
        <v>182.0</v>
      </c>
    </row>
    <row r="3155">
      <c r="A3155" s="13">
        <v>9231002.0</v>
      </c>
      <c r="B3155" s="4">
        <v>511.0</v>
      </c>
      <c r="C3155" s="13">
        <v>85.0</v>
      </c>
      <c r="D3155" s="13">
        <v>23.0</v>
      </c>
      <c r="E3155" s="13">
        <v>47.0</v>
      </c>
    </row>
    <row r="3156">
      <c r="A3156" s="13">
        <v>9201046.0</v>
      </c>
      <c r="B3156" s="4">
        <v>490.0</v>
      </c>
      <c r="C3156" s="13">
        <v>81.0</v>
      </c>
      <c r="D3156" s="13">
        <v>24.0</v>
      </c>
      <c r="E3156" s="13">
        <v>182.0</v>
      </c>
    </row>
    <row r="3157">
      <c r="A3157" s="13">
        <v>9212027.0</v>
      </c>
      <c r="B3157" s="4">
        <v>485.0</v>
      </c>
      <c r="C3157" s="13">
        <v>60.0</v>
      </c>
      <c r="D3157" s="13">
        <v>43.0</v>
      </c>
      <c r="E3157" s="13">
        <v>182.0</v>
      </c>
    </row>
    <row r="3158">
      <c r="A3158" s="13">
        <v>9271023.0</v>
      </c>
      <c r="B3158" s="4">
        <v>486.0</v>
      </c>
      <c r="C3158" s="13">
        <v>236.0</v>
      </c>
      <c r="D3158" s="13">
        <v>79.0</v>
      </c>
      <c r="E3158" s="13">
        <v>190.0</v>
      </c>
    </row>
  </sheetData>
  <mergeCells count="1">
    <mergeCell ref="A1:E2"/>
  </mergeCells>
  <drawing r:id="rId1"/>
</worksheet>
</file>